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drawing+xml" PartName="/xl/drawings/drawing1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>
    <mc:Choice Requires="x15">
      <x15ac:absPath xmlns:x15ac="http://schemas.microsoft.com/office/spreadsheetml/2010/11/ac" url="C:\Users\JaapvanderHeijden-Su\Documents\Supercloud\Website v2\Configurator\"/>
    </mc:Choice>
  </mc:AlternateContent>
  <xr:revisionPtr revIDLastSave="0" documentId="13_ncr:1_{0E5E78AC-1F22-488C-BA9C-0A1A171A8591}" xr6:coauthVersionLast="47" xr6:coauthVersionMax="47" xr10:uidLastSave="{00000000-0000-0000-0000-000000000000}"/>
  <bookViews>
    <workbookView xWindow="-120" yWindow="-120" windowWidth="29040" windowHeight="15990" xr2:uid="{22535A25-1288-4047-9A96-6739369C6E52}"/>
  </bookViews>
  <sheets>
    <sheet name="BLO" sheetId="44" r:id="rId1"/>
    <sheet name="Mastersheet" sheetId="43" r:id="rId2"/>
    <sheet name="Digitaaldruk" sheetId="69" r:id="rId3"/>
    <sheet name="Plot" sheetId="18" r:id="rId4"/>
    <sheet name="Input" sheetId="1" r:id="rId5"/>
    <sheet name="Rekenblad" sheetId="3" r:id="rId6"/>
    <sheet name="Kwaliteit conversie" sheetId="2" r:id="rId7"/>
    <sheet name="Tarieven" sheetId="8" r:id="rId8"/>
    <sheet name="Prijs karton" sheetId="7" r:id="rId9"/>
    <sheet name="Marge tabel" sheetId="11" r:id="rId10"/>
    <sheet name="Pallet en transport" sheetId="10" r:id="rId11"/>
    <sheet name="Transport tarieven" sheetId="5" r:id="rId12"/>
    <sheet name="Versiebeheer" sheetId="13" r:id="rId13"/>
    <sheet name="Input (2)" sheetId="45" r:id="rId14"/>
    <sheet name="Rekenblad (2)" sheetId="46" r:id="rId15"/>
    <sheet name="Kwaliteit conversie (2)" sheetId="47" r:id="rId16"/>
    <sheet name="Tarieven (2)" sheetId="48" r:id="rId17"/>
    <sheet name="Prijs karton (2)" sheetId="49" r:id="rId18"/>
    <sheet name="Marge tabel (2)" sheetId="50" r:id="rId19"/>
    <sheet name="Pallet en transport (2)" sheetId="51" r:id="rId20"/>
    <sheet name="Transport tarieven (2)" sheetId="52" r:id="rId21"/>
    <sheet name="Input (3)" sheetId="53" r:id="rId22"/>
    <sheet name="Rekenblad (3)" sheetId="54" r:id="rId23"/>
    <sheet name="Kwaliteit conversie (3)" sheetId="55" r:id="rId24"/>
    <sheet name="Tarieven (3)" sheetId="56" r:id="rId25"/>
    <sheet name="Prijs karton (3)" sheetId="57" r:id="rId26"/>
    <sheet name="Marge tabel (3)" sheetId="58" r:id="rId27"/>
    <sheet name="Pallet en transport (3)" sheetId="59" r:id="rId28"/>
    <sheet name="Transport tarieven (3)" sheetId="60" r:id="rId29"/>
    <sheet name="Input (4)" sheetId="61" r:id="rId30"/>
    <sheet name="Rekenblad (4)" sheetId="62" r:id="rId31"/>
    <sheet name="Kwaliteit conversie (4)" sheetId="63" r:id="rId32"/>
    <sheet name="Tarieven (4)" sheetId="64" r:id="rId33"/>
    <sheet name="Prijs karton (4)" sheetId="65" r:id="rId34"/>
    <sheet name="Marge tabel (4)" sheetId="66" r:id="rId35"/>
    <sheet name="Pallet en transport (4)" sheetId="67" r:id="rId36"/>
    <sheet name="Transport tarieven (4)" sheetId="68" r:id="rId37"/>
    <sheet name="Logboek Jaap" sheetId="15" r:id="rId38"/>
  </sheets>
  <definedNames>
    <definedName name="FEFCO_plot" localSheetId="3">Plot!$B$136:$J$161</definedName>
    <definedName name="FEFCOGEENPRIJS">Mastersheet!$A$64:$B$78</definedName>
    <definedName name="Kwaliteit_plot" localSheetId="3">Plot!$B$99:$E$131</definedName>
    <definedName name="Snelheid_plot" localSheetId="3">Plot!$C$71:$E$74</definedName>
    <definedName name="Tape_aantal_plot" localSheetId="3">Plot!$B$78:$B$92</definedName>
    <definedName name="Tape_prijs_plot" localSheetId="3">Plot!$C$78:$C$92</definedName>
    <definedName name="Tapen_plot" localSheetId="3">Plot!$B$78:$C$92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69" l="1"/>
  <c r="G23" i="69" s="1"/>
  <c r="D5" i="43"/>
  <c r="E45" i="69"/>
  <c r="H45" i="69" s="1"/>
  <c r="E44" i="69"/>
  <c r="H44" i="69" s="1"/>
  <c r="E43" i="69"/>
  <c r="H43" i="69" s="1"/>
  <c r="B12" i="44"/>
  <c r="B11" i="61" s="1"/>
  <c r="G3" i="69"/>
  <c r="F3" i="69"/>
  <c r="E3" i="69"/>
  <c r="B37" i="69"/>
  <c r="B31" i="69"/>
  <c r="B48" i="69" s="1"/>
  <c r="B22" i="69"/>
  <c r="B23" i="69" s="1"/>
  <c r="B25" i="69" s="1"/>
  <c r="B27" i="69" s="1"/>
  <c r="B28" i="69" s="1"/>
  <c r="B47" i="69" s="1"/>
  <c r="B18" i="69"/>
  <c r="B13" i="69"/>
  <c r="B59" i="69" s="1"/>
  <c r="H25" i="69" s="1"/>
  <c r="B6" i="69"/>
  <c r="B5" i="69"/>
  <c r="B7" i="69" s="1"/>
  <c r="B8" i="69" s="1"/>
  <c r="B46" i="69" s="1"/>
  <c r="Q13" i="65"/>
  <c r="P13" i="65"/>
  <c r="O13" i="65"/>
  <c r="N13" i="65"/>
  <c r="Q12" i="65"/>
  <c r="P12" i="65"/>
  <c r="O12" i="65"/>
  <c r="N12" i="65"/>
  <c r="Q11" i="65"/>
  <c r="P11" i="65"/>
  <c r="O11" i="65"/>
  <c r="N11" i="65"/>
  <c r="Q10" i="65"/>
  <c r="P10" i="65"/>
  <c r="O10" i="65"/>
  <c r="N10" i="65"/>
  <c r="Q9" i="65"/>
  <c r="P9" i="65"/>
  <c r="O9" i="65"/>
  <c r="N9" i="65"/>
  <c r="T8" i="65"/>
  <c r="Q8" i="65"/>
  <c r="P8" i="65"/>
  <c r="O8" i="65"/>
  <c r="N8" i="65"/>
  <c r="W7" i="65"/>
  <c r="V7" i="65"/>
  <c r="U7" i="65"/>
  <c r="T7" i="65"/>
  <c r="Q7" i="65"/>
  <c r="P7" i="65"/>
  <c r="O7" i="65"/>
  <c r="N7" i="65"/>
  <c r="Q13" i="57"/>
  <c r="P13" i="57"/>
  <c r="O13" i="57"/>
  <c r="N13" i="57"/>
  <c r="Q12" i="57"/>
  <c r="P12" i="57"/>
  <c r="O12" i="57"/>
  <c r="N12" i="57"/>
  <c r="Q11" i="57"/>
  <c r="P11" i="57"/>
  <c r="O11" i="57"/>
  <c r="N11" i="57"/>
  <c r="Q10" i="57"/>
  <c r="P10" i="57"/>
  <c r="O10" i="57"/>
  <c r="N10" i="57"/>
  <c r="Q9" i="57"/>
  <c r="P9" i="57"/>
  <c r="O9" i="57"/>
  <c r="N9" i="57"/>
  <c r="T8" i="57"/>
  <c r="Q8" i="57"/>
  <c r="P8" i="57"/>
  <c r="O8" i="57"/>
  <c r="N8" i="57"/>
  <c r="W7" i="57"/>
  <c r="V7" i="57"/>
  <c r="U7" i="57"/>
  <c r="T7" i="57"/>
  <c r="Q7" i="57"/>
  <c r="P7" i="57"/>
  <c r="O7" i="57"/>
  <c r="N7" i="57"/>
  <c r="Q13" i="49"/>
  <c r="P13" i="49"/>
  <c r="O13" i="49"/>
  <c r="N13" i="49"/>
  <c r="Q12" i="49"/>
  <c r="P12" i="49"/>
  <c r="O12" i="49"/>
  <c r="N12" i="49"/>
  <c r="Q11" i="49"/>
  <c r="P11" i="49"/>
  <c r="O11" i="49"/>
  <c r="N11" i="49"/>
  <c r="Q10" i="49"/>
  <c r="P10" i="49"/>
  <c r="O10" i="49"/>
  <c r="N10" i="49"/>
  <c r="Q9" i="49"/>
  <c r="P9" i="49"/>
  <c r="O9" i="49"/>
  <c r="N9" i="49"/>
  <c r="T8" i="49"/>
  <c r="Q8" i="49"/>
  <c r="P8" i="49"/>
  <c r="O8" i="49"/>
  <c r="N8" i="49"/>
  <c r="W7" i="49"/>
  <c r="V7" i="49"/>
  <c r="U7" i="49"/>
  <c r="T7" i="49"/>
  <c r="Q7" i="49"/>
  <c r="P7" i="49"/>
  <c r="O7" i="49"/>
  <c r="N7" i="49"/>
  <c r="B17" i="1"/>
  <c r="G25" i="69" l="1"/>
  <c r="J25" i="69"/>
  <c r="I25" i="69"/>
  <c r="B11" i="1"/>
  <c r="B11" i="45"/>
  <c r="C14" i="46" s="1"/>
  <c r="B11" i="53"/>
  <c r="C14" i="54" s="1"/>
  <c r="A115" i="54" s="1"/>
  <c r="B57" i="69"/>
  <c r="B65" i="69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01" i="18"/>
  <c r="E102" i="18"/>
  <c r="E103" i="18"/>
  <c r="E104" i="18"/>
  <c r="E105" i="18"/>
  <c r="E100" i="18"/>
  <c r="D42" i="18"/>
  <c r="AA44" i="18"/>
  <c r="AK44" i="18" s="1"/>
  <c r="Q44" i="18"/>
  <c r="Z42" i="18"/>
  <c r="B9" i="1"/>
  <c r="B7" i="1"/>
  <c r="C2" i="18" s="1"/>
  <c r="B8" i="1"/>
  <c r="C3" i="18" s="1"/>
  <c r="K77" i="68"/>
  <c r="I77" i="68"/>
  <c r="F77" i="68"/>
  <c r="K75" i="68"/>
  <c r="J75" i="68"/>
  <c r="J77" i="68" s="1"/>
  <c r="I75" i="68"/>
  <c r="H75" i="68"/>
  <c r="H77" i="68" s="1"/>
  <c r="G75" i="68"/>
  <c r="G77" i="68" s="1"/>
  <c r="F75" i="68"/>
  <c r="E75" i="68"/>
  <c r="E77" i="68" s="1"/>
  <c r="K74" i="68"/>
  <c r="J74" i="68"/>
  <c r="I74" i="68"/>
  <c r="H74" i="68"/>
  <c r="G74" i="68"/>
  <c r="F74" i="68"/>
  <c r="E74" i="68"/>
  <c r="K73" i="68"/>
  <c r="J73" i="68"/>
  <c r="I73" i="68"/>
  <c r="H73" i="68"/>
  <c r="G73" i="68"/>
  <c r="F73" i="68"/>
  <c r="E73" i="68"/>
  <c r="K72" i="68"/>
  <c r="J72" i="68"/>
  <c r="I72" i="68"/>
  <c r="H72" i="68"/>
  <c r="G72" i="68"/>
  <c r="F72" i="68"/>
  <c r="E72" i="68"/>
  <c r="K71" i="68"/>
  <c r="J71" i="68"/>
  <c r="I71" i="68"/>
  <c r="H71" i="68"/>
  <c r="G71" i="68"/>
  <c r="F71" i="68"/>
  <c r="E71" i="68"/>
  <c r="K70" i="68"/>
  <c r="J70" i="68"/>
  <c r="I70" i="68"/>
  <c r="H70" i="68"/>
  <c r="G70" i="68"/>
  <c r="F70" i="68"/>
  <c r="E70" i="68"/>
  <c r="K69" i="68"/>
  <c r="J69" i="68"/>
  <c r="I69" i="68"/>
  <c r="H69" i="68"/>
  <c r="G69" i="68"/>
  <c r="F69" i="68"/>
  <c r="E69" i="68"/>
  <c r="K68" i="68"/>
  <c r="J68" i="68"/>
  <c r="I68" i="68"/>
  <c r="H68" i="68"/>
  <c r="G68" i="68"/>
  <c r="F68" i="68"/>
  <c r="E68" i="68"/>
  <c r="K67" i="68"/>
  <c r="J67" i="68"/>
  <c r="I67" i="68"/>
  <c r="H67" i="68"/>
  <c r="G67" i="68"/>
  <c r="F67" i="68"/>
  <c r="E67" i="68"/>
  <c r="K66" i="68"/>
  <c r="J66" i="68"/>
  <c r="I66" i="68"/>
  <c r="H66" i="68"/>
  <c r="G66" i="68"/>
  <c r="F66" i="68"/>
  <c r="E66" i="68"/>
  <c r="K65" i="68"/>
  <c r="J65" i="68"/>
  <c r="I65" i="68"/>
  <c r="H65" i="68"/>
  <c r="G65" i="68"/>
  <c r="F65" i="68"/>
  <c r="E65" i="68"/>
  <c r="K64" i="68"/>
  <c r="J64" i="68"/>
  <c r="I64" i="68"/>
  <c r="H64" i="68"/>
  <c r="G64" i="68"/>
  <c r="F64" i="68"/>
  <c r="E64" i="68"/>
  <c r="K63" i="68"/>
  <c r="J63" i="68"/>
  <c r="I63" i="68"/>
  <c r="H63" i="68"/>
  <c r="G63" i="68"/>
  <c r="F63" i="68"/>
  <c r="E63" i="68"/>
  <c r="K62" i="68"/>
  <c r="J62" i="68"/>
  <c r="I62" i="68"/>
  <c r="H62" i="68"/>
  <c r="G62" i="68"/>
  <c r="F62" i="68"/>
  <c r="E62" i="68"/>
  <c r="K61" i="68"/>
  <c r="J61" i="68"/>
  <c r="I61" i="68"/>
  <c r="H61" i="68"/>
  <c r="G61" i="68"/>
  <c r="F61" i="68"/>
  <c r="E61" i="68"/>
  <c r="K60" i="68"/>
  <c r="J60" i="68"/>
  <c r="I60" i="68"/>
  <c r="H60" i="68"/>
  <c r="G60" i="68"/>
  <c r="F60" i="68"/>
  <c r="E60" i="68"/>
  <c r="K59" i="68"/>
  <c r="J59" i="68"/>
  <c r="I59" i="68"/>
  <c r="H59" i="68"/>
  <c r="G59" i="68"/>
  <c r="F59" i="68"/>
  <c r="E59" i="68"/>
  <c r="K58" i="68"/>
  <c r="J58" i="68"/>
  <c r="I58" i="68"/>
  <c r="H58" i="68"/>
  <c r="G58" i="68"/>
  <c r="F58" i="68"/>
  <c r="E58" i="68"/>
  <c r="K57" i="68"/>
  <c r="J57" i="68"/>
  <c r="I57" i="68"/>
  <c r="H57" i="68"/>
  <c r="G57" i="68"/>
  <c r="F57" i="68"/>
  <c r="E57" i="68"/>
  <c r="M56" i="68"/>
  <c r="K56" i="68"/>
  <c r="J56" i="68"/>
  <c r="I56" i="68"/>
  <c r="H56" i="68"/>
  <c r="G56" i="68"/>
  <c r="F56" i="68"/>
  <c r="E56" i="68"/>
  <c r="M55" i="68"/>
  <c r="E55" i="68" s="1"/>
  <c r="K55" i="68"/>
  <c r="J55" i="68"/>
  <c r="I55" i="68"/>
  <c r="H55" i="68"/>
  <c r="G55" i="68"/>
  <c r="F55" i="68"/>
  <c r="M54" i="68"/>
  <c r="E54" i="68" s="1"/>
  <c r="K54" i="68"/>
  <c r="J54" i="68"/>
  <c r="I54" i="68"/>
  <c r="H54" i="68"/>
  <c r="G54" i="68"/>
  <c r="F54" i="68"/>
  <c r="M53" i="68"/>
  <c r="E53" i="68" s="1"/>
  <c r="K53" i="68"/>
  <c r="J53" i="68"/>
  <c r="I53" i="68"/>
  <c r="H53" i="68"/>
  <c r="G53" i="68"/>
  <c r="F53" i="68"/>
  <c r="M52" i="68"/>
  <c r="K52" i="68"/>
  <c r="J52" i="68"/>
  <c r="I52" i="68"/>
  <c r="H52" i="68"/>
  <c r="G52" i="68"/>
  <c r="F52" i="68"/>
  <c r="E52" i="68"/>
  <c r="M51" i="68"/>
  <c r="E51" i="68" s="1"/>
  <c r="K51" i="68"/>
  <c r="J51" i="68"/>
  <c r="I51" i="68"/>
  <c r="H51" i="68"/>
  <c r="G51" i="68"/>
  <c r="F51" i="68"/>
  <c r="M50" i="68"/>
  <c r="E50" i="68" s="1"/>
  <c r="K50" i="68"/>
  <c r="J50" i="68"/>
  <c r="I50" i="68"/>
  <c r="H50" i="68"/>
  <c r="G50" i="68"/>
  <c r="F50" i="68"/>
  <c r="M49" i="68"/>
  <c r="K49" i="68"/>
  <c r="J49" i="68"/>
  <c r="I49" i="68"/>
  <c r="H49" i="68"/>
  <c r="G49" i="68"/>
  <c r="F49" i="68"/>
  <c r="E49" i="68"/>
  <c r="M48" i="68"/>
  <c r="K48" i="68"/>
  <c r="J48" i="68"/>
  <c r="I48" i="68"/>
  <c r="H48" i="68"/>
  <c r="G48" i="68"/>
  <c r="F48" i="68"/>
  <c r="E48" i="68"/>
  <c r="M47" i="68"/>
  <c r="E47" i="68" s="1"/>
  <c r="K47" i="68"/>
  <c r="J47" i="68"/>
  <c r="I47" i="68"/>
  <c r="H47" i="68"/>
  <c r="G47" i="68"/>
  <c r="F47" i="68"/>
  <c r="M46" i="68"/>
  <c r="K46" i="68"/>
  <c r="J46" i="68"/>
  <c r="I46" i="68"/>
  <c r="H46" i="68"/>
  <c r="G46" i="68"/>
  <c r="F46" i="68"/>
  <c r="E46" i="68"/>
  <c r="M45" i="68"/>
  <c r="K45" i="68"/>
  <c r="J45" i="68"/>
  <c r="I45" i="68"/>
  <c r="H45" i="68"/>
  <c r="G45" i="68"/>
  <c r="F45" i="68"/>
  <c r="E45" i="68"/>
  <c r="M44" i="68"/>
  <c r="E44" i="68" s="1"/>
  <c r="K44" i="68"/>
  <c r="J44" i="68"/>
  <c r="I44" i="68"/>
  <c r="H44" i="68"/>
  <c r="G44" i="68"/>
  <c r="F44" i="68"/>
  <c r="M43" i="68"/>
  <c r="E43" i="68" s="1"/>
  <c r="K43" i="68"/>
  <c r="J43" i="68"/>
  <c r="I43" i="68"/>
  <c r="H43" i="68"/>
  <c r="G43" i="68"/>
  <c r="F43" i="68"/>
  <c r="M42" i="68"/>
  <c r="K42" i="68"/>
  <c r="J42" i="68"/>
  <c r="I42" i="68"/>
  <c r="H42" i="68"/>
  <c r="G42" i="68"/>
  <c r="F42" i="68"/>
  <c r="E42" i="68"/>
  <c r="M41" i="68"/>
  <c r="K41" i="68"/>
  <c r="J41" i="68"/>
  <c r="I41" i="68"/>
  <c r="H41" i="68"/>
  <c r="G41" i="68"/>
  <c r="F41" i="68"/>
  <c r="E41" i="68"/>
  <c r="M40" i="68"/>
  <c r="E40" i="68" s="1"/>
  <c r="K40" i="68"/>
  <c r="J40" i="68"/>
  <c r="I40" i="68"/>
  <c r="H40" i="68"/>
  <c r="G40" i="68"/>
  <c r="F40" i="68"/>
  <c r="M39" i="68"/>
  <c r="E39" i="68" s="1"/>
  <c r="K39" i="68"/>
  <c r="J39" i="68"/>
  <c r="I39" i="68"/>
  <c r="H39" i="68"/>
  <c r="G39" i="68"/>
  <c r="F39" i="68"/>
  <c r="M38" i="68"/>
  <c r="E38" i="68" s="1"/>
  <c r="K38" i="68"/>
  <c r="J38" i="68"/>
  <c r="I38" i="68"/>
  <c r="H38" i="68"/>
  <c r="G38" i="68"/>
  <c r="F38" i="68"/>
  <c r="M37" i="68"/>
  <c r="E37" i="68" s="1"/>
  <c r="K37" i="68"/>
  <c r="J37" i="68"/>
  <c r="I37" i="68"/>
  <c r="H37" i="68"/>
  <c r="G37" i="68"/>
  <c r="F37" i="68"/>
  <c r="M36" i="68"/>
  <c r="E36" i="68" s="1"/>
  <c r="K36" i="68"/>
  <c r="J36" i="68"/>
  <c r="I36" i="68"/>
  <c r="H36" i="68"/>
  <c r="G36" i="68"/>
  <c r="F36" i="68"/>
  <c r="M35" i="68"/>
  <c r="E35" i="68" s="1"/>
  <c r="K35" i="68"/>
  <c r="J35" i="68"/>
  <c r="I35" i="68"/>
  <c r="H35" i="68"/>
  <c r="G35" i="68"/>
  <c r="F35" i="68"/>
  <c r="K15" i="68"/>
  <c r="J15" i="68"/>
  <c r="I15" i="68"/>
  <c r="H15" i="68"/>
  <c r="G15" i="68"/>
  <c r="F15" i="68"/>
  <c r="E15" i="68"/>
  <c r="AB111" i="67"/>
  <c r="AB110" i="67"/>
  <c r="AB109" i="67"/>
  <c r="AB108" i="67"/>
  <c r="AB107" i="67"/>
  <c r="AB106" i="67"/>
  <c r="AB105" i="67"/>
  <c r="AB104" i="67"/>
  <c r="AB103" i="67"/>
  <c r="AB102" i="67"/>
  <c r="AB101" i="67"/>
  <c r="AB100" i="67"/>
  <c r="AB99" i="67"/>
  <c r="AB98" i="67"/>
  <c r="AB97" i="67"/>
  <c r="AB96" i="67"/>
  <c r="AB95" i="67"/>
  <c r="AB94" i="67"/>
  <c r="AB93" i="67"/>
  <c r="AB92" i="67"/>
  <c r="AB91" i="67"/>
  <c r="AB90" i="67"/>
  <c r="AB89" i="67"/>
  <c r="AB88" i="67"/>
  <c r="AB87" i="67"/>
  <c r="AB86" i="67"/>
  <c r="AB85" i="67"/>
  <c r="AB84" i="67"/>
  <c r="AB83" i="67"/>
  <c r="AB82" i="67"/>
  <c r="AB81" i="67"/>
  <c r="AB80" i="67"/>
  <c r="AB79" i="67"/>
  <c r="AB78" i="67"/>
  <c r="AB77" i="67"/>
  <c r="AB76" i="67"/>
  <c r="AB75" i="67"/>
  <c r="AB74" i="67"/>
  <c r="AB73" i="67"/>
  <c r="AB69" i="67"/>
  <c r="AB68" i="67"/>
  <c r="AB67" i="67"/>
  <c r="AB66" i="67"/>
  <c r="AB65" i="67"/>
  <c r="AB64" i="67"/>
  <c r="AB63" i="67"/>
  <c r="AB62" i="67"/>
  <c r="AB61" i="67"/>
  <c r="AB60" i="67"/>
  <c r="AB59" i="67"/>
  <c r="AB58" i="67"/>
  <c r="AB57" i="67"/>
  <c r="AB56" i="67"/>
  <c r="AB55" i="67"/>
  <c r="AB54" i="67"/>
  <c r="AB53" i="67"/>
  <c r="AB52" i="67"/>
  <c r="AB51" i="67"/>
  <c r="AB50" i="67"/>
  <c r="AB49" i="67"/>
  <c r="AB48" i="67"/>
  <c r="AB47" i="67"/>
  <c r="AB46" i="67"/>
  <c r="AB45" i="67"/>
  <c r="AB44" i="67"/>
  <c r="AB43" i="67"/>
  <c r="AB42" i="67"/>
  <c r="AB41" i="67"/>
  <c r="AB40" i="67"/>
  <c r="AB39" i="67"/>
  <c r="AB38" i="67"/>
  <c r="AB37" i="67"/>
  <c r="AB36" i="67"/>
  <c r="AB35" i="67"/>
  <c r="AB34" i="67"/>
  <c r="AB33" i="67"/>
  <c r="AB32" i="67"/>
  <c r="AB31" i="67"/>
  <c r="AI100" i="66"/>
  <c r="AH100" i="66"/>
  <c r="AG100" i="66"/>
  <c r="AF100" i="66"/>
  <c r="AE100" i="66"/>
  <c r="AD100" i="66"/>
  <c r="AC100" i="66"/>
  <c r="AB100" i="66"/>
  <c r="AA100" i="66"/>
  <c r="Z100" i="66"/>
  <c r="Y100" i="66"/>
  <c r="X100" i="66"/>
  <c r="W100" i="66"/>
  <c r="V100" i="66"/>
  <c r="U100" i="66"/>
  <c r="T100" i="66"/>
  <c r="S100" i="66"/>
  <c r="R100" i="66"/>
  <c r="Q100" i="66"/>
  <c r="N73" i="66"/>
  <c r="M73" i="66"/>
  <c r="L73" i="66"/>
  <c r="F65" i="66"/>
  <c r="E65" i="66"/>
  <c r="F64" i="66"/>
  <c r="E64" i="66"/>
  <c r="F63" i="66"/>
  <c r="E63" i="66"/>
  <c r="F62" i="66"/>
  <c r="E62" i="66"/>
  <c r="F61" i="66"/>
  <c r="E61" i="66"/>
  <c r="F60" i="66"/>
  <c r="E60" i="66"/>
  <c r="F59" i="66"/>
  <c r="E59" i="66"/>
  <c r="F58" i="66"/>
  <c r="E58" i="66"/>
  <c r="F57" i="66"/>
  <c r="E57" i="66"/>
  <c r="F56" i="66"/>
  <c r="E56" i="66"/>
  <c r="F55" i="66"/>
  <c r="E55" i="66"/>
  <c r="F54" i="66"/>
  <c r="E54" i="66"/>
  <c r="F53" i="66"/>
  <c r="E53" i="66"/>
  <c r="F52" i="66"/>
  <c r="E52" i="66"/>
  <c r="F51" i="66"/>
  <c r="E51" i="66"/>
  <c r="F50" i="66"/>
  <c r="E50" i="66"/>
  <c r="F49" i="66"/>
  <c r="E49" i="66"/>
  <c r="F48" i="66"/>
  <c r="E48" i="66"/>
  <c r="F47" i="66"/>
  <c r="E47" i="66"/>
  <c r="F46" i="66"/>
  <c r="E46" i="66"/>
  <c r="F45" i="66"/>
  <c r="E45" i="66"/>
  <c r="F44" i="66"/>
  <c r="E44" i="66"/>
  <c r="F43" i="66"/>
  <c r="E43" i="66"/>
  <c r="F42" i="66"/>
  <c r="E42" i="66"/>
  <c r="F41" i="66"/>
  <c r="E41" i="66"/>
  <c r="F40" i="66"/>
  <c r="E40" i="66"/>
  <c r="F39" i="66"/>
  <c r="E39" i="66"/>
  <c r="F38" i="66"/>
  <c r="E38" i="66"/>
  <c r="F37" i="66"/>
  <c r="E37" i="66"/>
  <c r="F36" i="66"/>
  <c r="E36" i="66"/>
  <c r="F35" i="66"/>
  <c r="E35" i="66"/>
  <c r="F34" i="66"/>
  <c r="E34" i="66"/>
  <c r="F33" i="66"/>
  <c r="E33" i="66"/>
  <c r="F32" i="66"/>
  <c r="E32" i="66"/>
  <c r="F31" i="66"/>
  <c r="E31" i="66"/>
  <c r="F30" i="66"/>
  <c r="E30" i="66"/>
  <c r="F29" i="66"/>
  <c r="E29" i="66"/>
  <c r="F28" i="66"/>
  <c r="E28" i="66"/>
  <c r="F27" i="66"/>
  <c r="E27" i="66"/>
  <c r="F26" i="66"/>
  <c r="E26" i="66"/>
  <c r="F25" i="66"/>
  <c r="E25" i="66"/>
  <c r="F24" i="66"/>
  <c r="E24" i="66"/>
  <c r="F23" i="66"/>
  <c r="E23" i="66"/>
  <c r="F22" i="66"/>
  <c r="E22" i="66"/>
  <c r="F21" i="66"/>
  <c r="E21" i="66"/>
  <c r="F20" i="66"/>
  <c r="E20" i="66"/>
  <c r="F19" i="66"/>
  <c r="E19" i="66"/>
  <c r="F18" i="66"/>
  <c r="E18" i="66"/>
  <c r="F17" i="66"/>
  <c r="E17" i="66"/>
  <c r="F16" i="66"/>
  <c r="E16" i="66"/>
  <c r="F15" i="66"/>
  <c r="E15" i="66"/>
  <c r="F14" i="66"/>
  <c r="E14" i="66"/>
  <c r="F13" i="66"/>
  <c r="E13" i="66"/>
  <c r="F12" i="66"/>
  <c r="E12" i="66"/>
  <c r="F11" i="66"/>
  <c r="E11" i="66"/>
  <c r="F10" i="66"/>
  <c r="E10" i="66"/>
  <c r="F9" i="66"/>
  <c r="E9" i="66"/>
  <c r="F8" i="66"/>
  <c r="E8" i="66"/>
  <c r="F7" i="66"/>
  <c r="E7" i="66"/>
  <c r="F6" i="66"/>
  <c r="E6" i="66"/>
  <c r="P23" i="63"/>
  <c r="O23" i="63"/>
  <c r="N23" i="63"/>
  <c r="M23" i="63"/>
  <c r="L23" i="63"/>
  <c r="K23" i="63"/>
  <c r="J23" i="63"/>
  <c r="I23" i="63"/>
  <c r="H23" i="63"/>
  <c r="P22" i="63"/>
  <c r="O22" i="63"/>
  <c r="N22" i="63"/>
  <c r="M22" i="63"/>
  <c r="L22" i="63"/>
  <c r="K22" i="63"/>
  <c r="J22" i="63"/>
  <c r="I22" i="63"/>
  <c r="H22" i="63"/>
  <c r="P21" i="63"/>
  <c r="O21" i="63"/>
  <c r="N21" i="63"/>
  <c r="M21" i="63"/>
  <c r="L21" i="63"/>
  <c r="K21" i="63"/>
  <c r="J21" i="63"/>
  <c r="I21" i="63"/>
  <c r="H21" i="63"/>
  <c r="P20" i="63"/>
  <c r="O20" i="63"/>
  <c r="N20" i="63"/>
  <c r="M20" i="63"/>
  <c r="L20" i="63"/>
  <c r="K20" i="63"/>
  <c r="J20" i="63"/>
  <c r="I20" i="63"/>
  <c r="H20" i="63"/>
  <c r="P19" i="63"/>
  <c r="O19" i="63"/>
  <c r="N19" i="63"/>
  <c r="M19" i="63"/>
  <c r="L19" i="63"/>
  <c r="K19" i="63"/>
  <c r="J19" i="63"/>
  <c r="I19" i="63"/>
  <c r="H19" i="63"/>
  <c r="P18" i="63"/>
  <c r="O18" i="63"/>
  <c r="N18" i="63"/>
  <c r="M18" i="63"/>
  <c r="L18" i="63"/>
  <c r="K18" i="63"/>
  <c r="J18" i="63"/>
  <c r="I18" i="63"/>
  <c r="H18" i="63"/>
  <c r="P17" i="63"/>
  <c r="O17" i="63"/>
  <c r="N17" i="63"/>
  <c r="M17" i="63"/>
  <c r="L17" i="63"/>
  <c r="K17" i="63"/>
  <c r="J17" i="63"/>
  <c r="I17" i="63"/>
  <c r="H17" i="63"/>
  <c r="P16" i="63"/>
  <c r="O16" i="63"/>
  <c r="N16" i="63"/>
  <c r="M16" i="63"/>
  <c r="L16" i="63"/>
  <c r="K16" i="63"/>
  <c r="J16" i="63"/>
  <c r="I16" i="63"/>
  <c r="H16" i="63"/>
  <c r="P15" i="63"/>
  <c r="O15" i="63"/>
  <c r="N15" i="63"/>
  <c r="M15" i="63"/>
  <c r="L15" i="63"/>
  <c r="K15" i="63"/>
  <c r="J15" i="63"/>
  <c r="I15" i="63"/>
  <c r="H15" i="63"/>
  <c r="P14" i="63"/>
  <c r="O14" i="63"/>
  <c r="N14" i="63"/>
  <c r="M14" i="63"/>
  <c r="L14" i="63"/>
  <c r="K14" i="63"/>
  <c r="J14" i="63"/>
  <c r="I14" i="63"/>
  <c r="H14" i="63"/>
  <c r="P13" i="63"/>
  <c r="O13" i="63"/>
  <c r="N13" i="63"/>
  <c r="M13" i="63"/>
  <c r="L13" i="63"/>
  <c r="K13" i="63"/>
  <c r="J13" i="63"/>
  <c r="I13" i="63"/>
  <c r="H13" i="63"/>
  <c r="P12" i="63"/>
  <c r="O12" i="63"/>
  <c r="N12" i="63"/>
  <c r="M12" i="63"/>
  <c r="L12" i="63"/>
  <c r="K12" i="63"/>
  <c r="J12" i="63"/>
  <c r="I12" i="63"/>
  <c r="H12" i="63"/>
  <c r="P11" i="63"/>
  <c r="O11" i="63"/>
  <c r="N11" i="63"/>
  <c r="M11" i="63"/>
  <c r="L11" i="63"/>
  <c r="K11" i="63"/>
  <c r="J11" i="63"/>
  <c r="I11" i="63"/>
  <c r="H11" i="63"/>
  <c r="P10" i="63"/>
  <c r="O10" i="63"/>
  <c r="N10" i="63"/>
  <c r="M10" i="63"/>
  <c r="L10" i="63"/>
  <c r="K10" i="63"/>
  <c r="J10" i="63"/>
  <c r="P9" i="63"/>
  <c r="O9" i="63"/>
  <c r="M9" i="63"/>
  <c r="K9" i="63"/>
  <c r="O8" i="63"/>
  <c r="K8" i="63"/>
  <c r="K7" i="63"/>
  <c r="D4" i="63"/>
  <c r="C4" i="63"/>
  <c r="B4" i="61" s="1"/>
  <c r="B4" i="63"/>
  <c r="C4" i="62" s="1"/>
  <c r="C1084" i="62"/>
  <c r="C1063" i="62"/>
  <c r="C1010" i="62"/>
  <c r="D1010" i="62" s="1"/>
  <c r="C991" i="62"/>
  <c r="D991" i="62" s="1"/>
  <c r="C975" i="62"/>
  <c r="D975" i="62" s="1"/>
  <c r="C934" i="62"/>
  <c r="D934" i="62" s="1"/>
  <c r="C899" i="62"/>
  <c r="D899" i="62" s="1"/>
  <c r="C858" i="62"/>
  <c r="D858" i="62" s="1"/>
  <c r="O832" i="62"/>
  <c r="N832" i="62"/>
  <c r="M832" i="62"/>
  <c r="L832" i="62"/>
  <c r="K832" i="62"/>
  <c r="J832" i="62"/>
  <c r="I832" i="62"/>
  <c r="H832" i="62"/>
  <c r="G832" i="62"/>
  <c r="F832" i="62"/>
  <c r="E832" i="62"/>
  <c r="D832" i="62"/>
  <c r="O831" i="62"/>
  <c r="N831" i="62"/>
  <c r="M831" i="62"/>
  <c r="L831" i="62"/>
  <c r="K831" i="62"/>
  <c r="J831" i="62"/>
  <c r="I831" i="62"/>
  <c r="H831" i="62"/>
  <c r="G831" i="62"/>
  <c r="F831" i="62"/>
  <c r="E831" i="62"/>
  <c r="D831" i="62"/>
  <c r="O830" i="62"/>
  <c r="N830" i="62"/>
  <c r="M830" i="62"/>
  <c r="L830" i="62"/>
  <c r="K830" i="62"/>
  <c r="J830" i="62"/>
  <c r="I830" i="62"/>
  <c r="H830" i="62"/>
  <c r="G830" i="62"/>
  <c r="F830" i="62"/>
  <c r="E830" i="62"/>
  <c r="D830" i="62"/>
  <c r="O829" i="62"/>
  <c r="N829" i="62"/>
  <c r="M829" i="62"/>
  <c r="L829" i="62"/>
  <c r="K829" i="62"/>
  <c r="J829" i="62"/>
  <c r="I829" i="62"/>
  <c r="H829" i="62"/>
  <c r="G829" i="62"/>
  <c r="F829" i="62"/>
  <c r="E829" i="62"/>
  <c r="D829" i="62"/>
  <c r="O828" i="62"/>
  <c r="N828" i="62"/>
  <c r="M828" i="62"/>
  <c r="L828" i="62"/>
  <c r="K828" i="62"/>
  <c r="J828" i="62"/>
  <c r="I828" i="62"/>
  <c r="H828" i="62"/>
  <c r="G828" i="62"/>
  <c r="F828" i="62"/>
  <c r="E828" i="62"/>
  <c r="D828" i="62"/>
  <c r="O827" i="62"/>
  <c r="N827" i="62"/>
  <c r="M827" i="62"/>
  <c r="L827" i="62"/>
  <c r="K827" i="62"/>
  <c r="J827" i="62"/>
  <c r="I827" i="62"/>
  <c r="H827" i="62"/>
  <c r="G827" i="62"/>
  <c r="F827" i="62"/>
  <c r="E827" i="62"/>
  <c r="D827" i="62"/>
  <c r="O826" i="62"/>
  <c r="N826" i="62"/>
  <c r="M826" i="62"/>
  <c r="L826" i="62"/>
  <c r="K826" i="62"/>
  <c r="J826" i="62"/>
  <c r="I826" i="62"/>
  <c r="H826" i="62"/>
  <c r="G826" i="62"/>
  <c r="F826" i="62"/>
  <c r="E826" i="62"/>
  <c r="D826" i="62"/>
  <c r="O825" i="62"/>
  <c r="N825" i="62"/>
  <c r="M825" i="62"/>
  <c r="L825" i="62"/>
  <c r="K825" i="62"/>
  <c r="J825" i="62"/>
  <c r="I825" i="62"/>
  <c r="H825" i="62"/>
  <c r="G825" i="62"/>
  <c r="F825" i="62"/>
  <c r="E825" i="62"/>
  <c r="D825" i="62"/>
  <c r="O824" i="62"/>
  <c r="N824" i="62"/>
  <c r="M824" i="62"/>
  <c r="L824" i="62"/>
  <c r="K824" i="62"/>
  <c r="J824" i="62"/>
  <c r="I824" i="62"/>
  <c r="H824" i="62"/>
  <c r="G824" i="62"/>
  <c r="F824" i="62"/>
  <c r="E824" i="62"/>
  <c r="D824" i="62"/>
  <c r="O823" i="62"/>
  <c r="N823" i="62"/>
  <c r="M823" i="62"/>
  <c r="L823" i="62"/>
  <c r="K823" i="62"/>
  <c r="J823" i="62"/>
  <c r="I823" i="62"/>
  <c r="H823" i="62"/>
  <c r="G823" i="62"/>
  <c r="F823" i="62"/>
  <c r="E823" i="62"/>
  <c r="D823" i="62"/>
  <c r="O822" i="62"/>
  <c r="N822" i="62"/>
  <c r="M822" i="62"/>
  <c r="L822" i="62"/>
  <c r="K822" i="62"/>
  <c r="J822" i="62"/>
  <c r="I822" i="62"/>
  <c r="H822" i="62"/>
  <c r="G822" i="62"/>
  <c r="F822" i="62"/>
  <c r="E822" i="62"/>
  <c r="D822" i="62"/>
  <c r="O821" i="62"/>
  <c r="N821" i="62"/>
  <c r="M821" i="62"/>
  <c r="L821" i="62"/>
  <c r="K821" i="62"/>
  <c r="J821" i="62"/>
  <c r="I821" i="62"/>
  <c r="H821" i="62"/>
  <c r="G821" i="62"/>
  <c r="F821" i="62"/>
  <c r="E821" i="62"/>
  <c r="D821" i="62"/>
  <c r="O820" i="62"/>
  <c r="N820" i="62"/>
  <c r="M820" i="62"/>
  <c r="L820" i="62"/>
  <c r="K820" i="62"/>
  <c r="J820" i="62"/>
  <c r="I820" i="62"/>
  <c r="H820" i="62"/>
  <c r="G820" i="62"/>
  <c r="F820" i="62"/>
  <c r="E820" i="62"/>
  <c r="D820" i="62"/>
  <c r="C799" i="62"/>
  <c r="D799" i="62" s="1"/>
  <c r="E769" i="62"/>
  <c r="E768" i="62"/>
  <c r="E767" i="62"/>
  <c r="E766" i="62"/>
  <c r="E765" i="62"/>
  <c r="E764" i="62"/>
  <c r="E763" i="62"/>
  <c r="I727" i="62"/>
  <c r="I726" i="62"/>
  <c r="I725" i="62"/>
  <c r="I724" i="62"/>
  <c r="I723" i="62"/>
  <c r="I722" i="62"/>
  <c r="I721" i="62"/>
  <c r="I720" i="62"/>
  <c r="C719" i="62"/>
  <c r="D719" i="62" s="1"/>
  <c r="Z688" i="62"/>
  <c r="Y688" i="62"/>
  <c r="X688" i="62"/>
  <c r="W688" i="62"/>
  <c r="V688" i="62"/>
  <c r="U688" i="62"/>
  <c r="T688" i="62"/>
  <c r="S688" i="62"/>
  <c r="R688" i="62"/>
  <c r="Q688" i="62"/>
  <c r="P688" i="62"/>
  <c r="O688" i="62"/>
  <c r="N688" i="62"/>
  <c r="M688" i="62"/>
  <c r="L688" i="62"/>
  <c r="K688" i="62"/>
  <c r="J688" i="62"/>
  <c r="I688" i="62"/>
  <c r="H688" i="62"/>
  <c r="G688" i="62"/>
  <c r="F688" i="62"/>
  <c r="E688" i="62"/>
  <c r="D688" i="62"/>
  <c r="Z687" i="62"/>
  <c r="Y687" i="62"/>
  <c r="X687" i="62"/>
  <c r="W687" i="62"/>
  <c r="V687" i="62"/>
  <c r="U687" i="62"/>
  <c r="T687" i="62"/>
  <c r="S687" i="62"/>
  <c r="R687" i="62"/>
  <c r="Q687" i="62"/>
  <c r="P687" i="62"/>
  <c r="O687" i="62"/>
  <c r="N687" i="62"/>
  <c r="M687" i="62"/>
  <c r="L687" i="62"/>
  <c r="K687" i="62"/>
  <c r="J687" i="62"/>
  <c r="I687" i="62"/>
  <c r="H687" i="62"/>
  <c r="G687" i="62"/>
  <c r="F687" i="62"/>
  <c r="E687" i="62"/>
  <c r="D687" i="62"/>
  <c r="Z686" i="62"/>
  <c r="Y686" i="62"/>
  <c r="X686" i="62"/>
  <c r="W686" i="62"/>
  <c r="V686" i="62"/>
  <c r="U686" i="62"/>
  <c r="T686" i="62"/>
  <c r="S686" i="62"/>
  <c r="R686" i="62"/>
  <c r="Q686" i="62"/>
  <c r="P686" i="62"/>
  <c r="O686" i="62"/>
  <c r="N686" i="62"/>
  <c r="M686" i="62"/>
  <c r="L686" i="62"/>
  <c r="K686" i="62"/>
  <c r="J686" i="62"/>
  <c r="I686" i="62"/>
  <c r="H686" i="62"/>
  <c r="G686" i="62"/>
  <c r="F686" i="62"/>
  <c r="E686" i="62"/>
  <c r="D686" i="62"/>
  <c r="Z685" i="62"/>
  <c r="Y685" i="62"/>
  <c r="X685" i="62"/>
  <c r="W685" i="62"/>
  <c r="V685" i="62"/>
  <c r="U685" i="62"/>
  <c r="T685" i="62"/>
  <c r="S685" i="62"/>
  <c r="R685" i="62"/>
  <c r="Q685" i="62"/>
  <c r="P685" i="62"/>
  <c r="O685" i="62"/>
  <c r="N685" i="62"/>
  <c r="M685" i="62"/>
  <c r="L685" i="62"/>
  <c r="K685" i="62"/>
  <c r="J685" i="62"/>
  <c r="I685" i="62"/>
  <c r="H685" i="62"/>
  <c r="G685" i="62"/>
  <c r="F685" i="62"/>
  <c r="E685" i="62"/>
  <c r="D685" i="62"/>
  <c r="Z684" i="62"/>
  <c r="Y684" i="62"/>
  <c r="X684" i="62"/>
  <c r="W684" i="62"/>
  <c r="V684" i="62"/>
  <c r="U684" i="62"/>
  <c r="T684" i="62"/>
  <c r="S684" i="62"/>
  <c r="R684" i="62"/>
  <c r="Q684" i="62"/>
  <c r="P684" i="62"/>
  <c r="O684" i="62"/>
  <c r="N684" i="62"/>
  <c r="M684" i="62"/>
  <c r="L684" i="62"/>
  <c r="K684" i="62"/>
  <c r="J684" i="62"/>
  <c r="I684" i="62"/>
  <c r="H684" i="62"/>
  <c r="G684" i="62"/>
  <c r="F684" i="62"/>
  <c r="E684" i="62"/>
  <c r="D684" i="62"/>
  <c r="Z683" i="62"/>
  <c r="Y683" i="62"/>
  <c r="X683" i="62"/>
  <c r="W683" i="62"/>
  <c r="V683" i="62"/>
  <c r="U683" i="62"/>
  <c r="T683" i="62"/>
  <c r="S683" i="62"/>
  <c r="R683" i="62"/>
  <c r="Q683" i="62"/>
  <c r="P683" i="62"/>
  <c r="O683" i="62"/>
  <c r="N683" i="62"/>
  <c r="M683" i="62"/>
  <c r="L683" i="62"/>
  <c r="K683" i="62"/>
  <c r="J683" i="62"/>
  <c r="I683" i="62"/>
  <c r="H683" i="62"/>
  <c r="G683" i="62"/>
  <c r="F683" i="62"/>
  <c r="E683" i="62"/>
  <c r="D683" i="62"/>
  <c r="Z682" i="62"/>
  <c r="Y682" i="62"/>
  <c r="X682" i="62"/>
  <c r="W682" i="62"/>
  <c r="V682" i="62"/>
  <c r="U682" i="62"/>
  <c r="T682" i="62"/>
  <c r="S682" i="62"/>
  <c r="R682" i="62"/>
  <c r="Q682" i="62"/>
  <c r="P682" i="62"/>
  <c r="O682" i="62"/>
  <c r="N682" i="62"/>
  <c r="M682" i="62"/>
  <c r="L682" i="62"/>
  <c r="K682" i="62"/>
  <c r="J682" i="62"/>
  <c r="I682" i="62"/>
  <c r="H682" i="62"/>
  <c r="G682" i="62"/>
  <c r="F682" i="62"/>
  <c r="E682" i="62"/>
  <c r="D682" i="62"/>
  <c r="Z681" i="62"/>
  <c r="Y681" i="62"/>
  <c r="X681" i="62"/>
  <c r="W681" i="62"/>
  <c r="V681" i="62"/>
  <c r="U681" i="62"/>
  <c r="T681" i="62"/>
  <c r="S681" i="62"/>
  <c r="R681" i="62"/>
  <c r="Q681" i="62"/>
  <c r="P681" i="62"/>
  <c r="O681" i="62"/>
  <c r="N681" i="62"/>
  <c r="M681" i="62"/>
  <c r="L681" i="62"/>
  <c r="K681" i="62"/>
  <c r="J681" i="62"/>
  <c r="I681" i="62"/>
  <c r="H681" i="62"/>
  <c r="G681" i="62"/>
  <c r="F681" i="62"/>
  <c r="E681" i="62"/>
  <c r="D681" i="62"/>
  <c r="Z680" i="62"/>
  <c r="Y680" i="62"/>
  <c r="X680" i="62"/>
  <c r="W680" i="62"/>
  <c r="V680" i="62"/>
  <c r="U680" i="62"/>
  <c r="T680" i="62"/>
  <c r="S680" i="62"/>
  <c r="R680" i="62"/>
  <c r="Q680" i="62"/>
  <c r="P680" i="62"/>
  <c r="O680" i="62"/>
  <c r="N680" i="62"/>
  <c r="M680" i="62"/>
  <c r="L680" i="62"/>
  <c r="K680" i="62"/>
  <c r="J680" i="62"/>
  <c r="I680" i="62"/>
  <c r="H680" i="62"/>
  <c r="G680" i="62"/>
  <c r="F680" i="62"/>
  <c r="E680" i="62"/>
  <c r="D680" i="62"/>
  <c r="Z679" i="62"/>
  <c r="Y679" i="62"/>
  <c r="X679" i="62"/>
  <c r="W679" i="62"/>
  <c r="V679" i="62"/>
  <c r="U679" i="62"/>
  <c r="T679" i="62"/>
  <c r="S679" i="62"/>
  <c r="R679" i="62"/>
  <c r="Q679" i="62"/>
  <c r="P679" i="62"/>
  <c r="O679" i="62"/>
  <c r="N679" i="62"/>
  <c r="M679" i="62"/>
  <c r="L679" i="62"/>
  <c r="K679" i="62"/>
  <c r="J679" i="62"/>
  <c r="I679" i="62"/>
  <c r="H679" i="62"/>
  <c r="G679" i="62"/>
  <c r="F679" i="62"/>
  <c r="E679" i="62"/>
  <c r="D679" i="62"/>
  <c r="Z678" i="62"/>
  <c r="Y678" i="62"/>
  <c r="X678" i="62"/>
  <c r="W678" i="62"/>
  <c r="V678" i="62"/>
  <c r="U678" i="62"/>
  <c r="T678" i="62"/>
  <c r="S678" i="62"/>
  <c r="R678" i="62"/>
  <c r="Q678" i="62"/>
  <c r="P678" i="62"/>
  <c r="O678" i="62"/>
  <c r="N678" i="62"/>
  <c r="M678" i="62"/>
  <c r="L678" i="62"/>
  <c r="K678" i="62"/>
  <c r="J678" i="62"/>
  <c r="I678" i="62"/>
  <c r="H678" i="62"/>
  <c r="G678" i="62"/>
  <c r="F678" i="62"/>
  <c r="E678" i="62"/>
  <c r="D678" i="62"/>
  <c r="Z677" i="62"/>
  <c r="Y677" i="62"/>
  <c r="X677" i="62"/>
  <c r="W677" i="62"/>
  <c r="V677" i="62"/>
  <c r="U677" i="62"/>
  <c r="T677" i="62"/>
  <c r="S677" i="62"/>
  <c r="R677" i="62"/>
  <c r="Q677" i="62"/>
  <c r="P677" i="62"/>
  <c r="O677" i="62"/>
  <c r="N677" i="62"/>
  <c r="M677" i="62"/>
  <c r="L677" i="62"/>
  <c r="K677" i="62"/>
  <c r="J677" i="62"/>
  <c r="I677" i="62"/>
  <c r="H677" i="62"/>
  <c r="G677" i="62"/>
  <c r="F677" i="62"/>
  <c r="E677" i="62"/>
  <c r="D677" i="62"/>
  <c r="Z676" i="62"/>
  <c r="Y676" i="62"/>
  <c r="X676" i="62"/>
  <c r="W676" i="62"/>
  <c r="V676" i="62"/>
  <c r="U676" i="62"/>
  <c r="T676" i="62"/>
  <c r="S676" i="62"/>
  <c r="R676" i="62"/>
  <c r="Q676" i="62"/>
  <c r="P676" i="62"/>
  <c r="O676" i="62"/>
  <c r="N676" i="62"/>
  <c r="M676" i="62"/>
  <c r="L676" i="62"/>
  <c r="K676" i="62"/>
  <c r="J676" i="62"/>
  <c r="I676" i="62"/>
  <c r="H676" i="62"/>
  <c r="G676" i="62"/>
  <c r="F676" i="62"/>
  <c r="E676" i="62"/>
  <c r="D676" i="62"/>
  <c r="Z675" i="62"/>
  <c r="Y675" i="62"/>
  <c r="X675" i="62"/>
  <c r="W675" i="62"/>
  <c r="V675" i="62"/>
  <c r="U675" i="62"/>
  <c r="T675" i="62"/>
  <c r="S675" i="62"/>
  <c r="R675" i="62"/>
  <c r="Q675" i="62"/>
  <c r="P675" i="62"/>
  <c r="O675" i="62"/>
  <c r="N675" i="62"/>
  <c r="M675" i="62"/>
  <c r="L675" i="62"/>
  <c r="K675" i="62"/>
  <c r="J675" i="62"/>
  <c r="I675" i="62"/>
  <c r="H675" i="62"/>
  <c r="G675" i="62"/>
  <c r="F675" i="62"/>
  <c r="E675" i="62"/>
  <c r="D675" i="62"/>
  <c r="Z674" i="62"/>
  <c r="Y674" i="62"/>
  <c r="X674" i="62"/>
  <c r="W674" i="62"/>
  <c r="V674" i="62"/>
  <c r="U674" i="62"/>
  <c r="T674" i="62"/>
  <c r="S674" i="62"/>
  <c r="R674" i="62"/>
  <c r="Q674" i="62"/>
  <c r="P674" i="62"/>
  <c r="O674" i="62"/>
  <c r="N674" i="62"/>
  <c r="M674" i="62"/>
  <c r="L674" i="62"/>
  <c r="K674" i="62"/>
  <c r="J674" i="62"/>
  <c r="I674" i="62"/>
  <c r="H674" i="62"/>
  <c r="G674" i="62"/>
  <c r="F674" i="62"/>
  <c r="E674" i="62"/>
  <c r="D674" i="62"/>
  <c r="Z673" i="62"/>
  <c r="Y673" i="62"/>
  <c r="X673" i="62"/>
  <c r="W673" i="62"/>
  <c r="V673" i="62"/>
  <c r="U673" i="62"/>
  <c r="T673" i="62"/>
  <c r="S673" i="62"/>
  <c r="R673" i="62"/>
  <c r="Q673" i="62"/>
  <c r="P673" i="62"/>
  <c r="O673" i="62"/>
  <c r="N673" i="62"/>
  <c r="M673" i="62"/>
  <c r="L673" i="62"/>
  <c r="K673" i="62"/>
  <c r="J673" i="62"/>
  <c r="I673" i="62"/>
  <c r="H673" i="62"/>
  <c r="G673" i="62"/>
  <c r="F673" i="62"/>
  <c r="E673" i="62"/>
  <c r="D673" i="62"/>
  <c r="Z672" i="62"/>
  <c r="Y672" i="62"/>
  <c r="X672" i="62"/>
  <c r="W672" i="62"/>
  <c r="V672" i="62"/>
  <c r="U672" i="62"/>
  <c r="T672" i="62"/>
  <c r="S672" i="62"/>
  <c r="R672" i="62"/>
  <c r="Q672" i="62"/>
  <c r="P672" i="62"/>
  <c r="O672" i="62"/>
  <c r="N672" i="62"/>
  <c r="M672" i="62"/>
  <c r="L672" i="62"/>
  <c r="K672" i="62"/>
  <c r="J672" i="62"/>
  <c r="I672" i="62"/>
  <c r="H672" i="62"/>
  <c r="G672" i="62"/>
  <c r="F672" i="62"/>
  <c r="E672" i="62"/>
  <c r="D672" i="62"/>
  <c r="Z671" i="62"/>
  <c r="Y671" i="62"/>
  <c r="X671" i="62"/>
  <c r="W671" i="62"/>
  <c r="V671" i="62"/>
  <c r="U671" i="62"/>
  <c r="T671" i="62"/>
  <c r="S671" i="62"/>
  <c r="R671" i="62"/>
  <c r="Q671" i="62"/>
  <c r="P671" i="62"/>
  <c r="O671" i="62"/>
  <c r="N671" i="62"/>
  <c r="M671" i="62"/>
  <c r="L671" i="62"/>
  <c r="K671" i="62"/>
  <c r="J671" i="62"/>
  <c r="I671" i="62"/>
  <c r="H671" i="62"/>
  <c r="G671" i="62"/>
  <c r="F671" i="62"/>
  <c r="E671" i="62"/>
  <c r="D671" i="62"/>
  <c r="Z670" i="62"/>
  <c r="Y670" i="62"/>
  <c r="X670" i="62"/>
  <c r="W670" i="62"/>
  <c r="V670" i="62"/>
  <c r="U670" i="62"/>
  <c r="T670" i="62"/>
  <c r="S670" i="62"/>
  <c r="R670" i="62"/>
  <c r="Q670" i="62"/>
  <c r="P670" i="62"/>
  <c r="O670" i="62"/>
  <c r="N670" i="62"/>
  <c r="M670" i="62"/>
  <c r="L670" i="62"/>
  <c r="K670" i="62"/>
  <c r="J670" i="62"/>
  <c r="I670" i="62"/>
  <c r="H670" i="62"/>
  <c r="G670" i="62"/>
  <c r="F670" i="62"/>
  <c r="E670" i="62"/>
  <c r="D670" i="62"/>
  <c r="Z669" i="62"/>
  <c r="Y669" i="62"/>
  <c r="X669" i="62"/>
  <c r="W669" i="62"/>
  <c r="V669" i="62"/>
  <c r="U669" i="62"/>
  <c r="T669" i="62"/>
  <c r="S669" i="62"/>
  <c r="R669" i="62"/>
  <c r="Q669" i="62"/>
  <c r="P669" i="62"/>
  <c r="O669" i="62"/>
  <c r="N669" i="62"/>
  <c r="M669" i="62"/>
  <c r="L669" i="62"/>
  <c r="K669" i="62"/>
  <c r="J669" i="62"/>
  <c r="I669" i="62"/>
  <c r="H669" i="62"/>
  <c r="G669" i="62"/>
  <c r="F669" i="62"/>
  <c r="E669" i="62"/>
  <c r="D669" i="62"/>
  <c r="Z668" i="62"/>
  <c r="Y668" i="62"/>
  <c r="X668" i="62"/>
  <c r="W668" i="62"/>
  <c r="V668" i="62"/>
  <c r="U668" i="62"/>
  <c r="T668" i="62"/>
  <c r="S668" i="62"/>
  <c r="R668" i="62"/>
  <c r="Q668" i="62"/>
  <c r="P668" i="62"/>
  <c r="O668" i="62"/>
  <c r="N668" i="62"/>
  <c r="M668" i="62"/>
  <c r="L668" i="62"/>
  <c r="K668" i="62"/>
  <c r="J668" i="62"/>
  <c r="I668" i="62"/>
  <c r="H668" i="62"/>
  <c r="G668" i="62"/>
  <c r="F668" i="62"/>
  <c r="E668" i="62"/>
  <c r="D668" i="62"/>
  <c r="Z667" i="62"/>
  <c r="Y667" i="62"/>
  <c r="X667" i="62"/>
  <c r="W667" i="62"/>
  <c r="V667" i="62"/>
  <c r="U667" i="62"/>
  <c r="T667" i="62"/>
  <c r="S667" i="62"/>
  <c r="R667" i="62"/>
  <c r="Q667" i="62"/>
  <c r="P667" i="62"/>
  <c r="O667" i="62"/>
  <c r="N667" i="62"/>
  <c r="M667" i="62"/>
  <c r="L667" i="62"/>
  <c r="K667" i="62"/>
  <c r="J667" i="62"/>
  <c r="I667" i="62"/>
  <c r="H667" i="62"/>
  <c r="G667" i="62"/>
  <c r="F667" i="62"/>
  <c r="E667" i="62"/>
  <c r="D667" i="62"/>
  <c r="L638" i="62"/>
  <c r="L637" i="62"/>
  <c r="L636" i="62"/>
  <c r="L635" i="62"/>
  <c r="L634" i="62"/>
  <c r="L633" i="62"/>
  <c r="L632" i="62"/>
  <c r="D632" i="62"/>
  <c r="C632" i="62"/>
  <c r="L631" i="62"/>
  <c r="C614" i="62"/>
  <c r="B614" i="62"/>
  <c r="C613" i="62"/>
  <c r="B613" i="62"/>
  <c r="C612" i="62"/>
  <c r="B612" i="62"/>
  <c r="C611" i="62"/>
  <c r="B611" i="62"/>
  <c r="C610" i="62"/>
  <c r="B610" i="62"/>
  <c r="M609" i="62"/>
  <c r="L609" i="62"/>
  <c r="K609" i="62"/>
  <c r="J609" i="62"/>
  <c r="I609" i="62"/>
  <c r="H609" i="62"/>
  <c r="G609" i="62"/>
  <c r="F609" i="62"/>
  <c r="C609" i="62"/>
  <c r="B609" i="62"/>
  <c r="M608" i="62"/>
  <c r="L608" i="62"/>
  <c r="K608" i="62"/>
  <c r="J608" i="62"/>
  <c r="I608" i="62"/>
  <c r="H608" i="62"/>
  <c r="G608" i="62"/>
  <c r="F608" i="62"/>
  <c r="C608" i="62"/>
  <c r="B608" i="62"/>
  <c r="M607" i="62"/>
  <c r="L607" i="62"/>
  <c r="K607" i="62"/>
  <c r="J607" i="62"/>
  <c r="I607" i="62"/>
  <c r="H607" i="62"/>
  <c r="G607" i="62"/>
  <c r="F607" i="62"/>
  <c r="C607" i="62"/>
  <c r="B607" i="62"/>
  <c r="C606" i="62"/>
  <c r="B606" i="62"/>
  <c r="C605" i="62"/>
  <c r="B605" i="62"/>
  <c r="C604" i="62"/>
  <c r="B604" i="62"/>
  <c r="M603" i="62"/>
  <c r="L603" i="62"/>
  <c r="K603" i="62"/>
  <c r="J603" i="62"/>
  <c r="I603" i="62"/>
  <c r="H603" i="62"/>
  <c r="G603" i="62"/>
  <c r="F603" i="62"/>
  <c r="C603" i="62"/>
  <c r="B603" i="62"/>
  <c r="M602" i="62"/>
  <c r="L602" i="62"/>
  <c r="K602" i="62"/>
  <c r="J602" i="62"/>
  <c r="I602" i="62"/>
  <c r="H602" i="62"/>
  <c r="G602" i="62"/>
  <c r="F602" i="62"/>
  <c r="C602" i="62"/>
  <c r="B602" i="62"/>
  <c r="M601" i="62"/>
  <c r="L601" i="62"/>
  <c r="K601" i="62"/>
  <c r="J601" i="62"/>
  <c r="I601" i="62"/>
  <c r="H601" i="62"/>
  <c r="G601" i="62"/>
  <c r="F601" i="62"/>
  <c r="C601" i="62"/>
  <c r="B601" i="62"/>
  <c r="C600" i="62"/>
  <c r="B600" i="62"/>
  <c r="B599" i="62"/>
  <c r="C598" i="62"/>
  <c r="B598" i="62"/>
  <c r="C597" i="62"/>
  <c r="B597" i="62"/>
  <c r="C596" i="62"/>
  <c r="B596" i="62"/>
  <c r="C595" i="62"/>
  <c r="B595" i="62"/>
  <c r="C594" i="62"/>
  <c r="B594" i="62"/>
  <c r="P583" i="62"/>
  <c r="O583" i="62"/>
  <c r="N583" i="62"/>
  <c r="M583" i="62"/>
  <c r="C571" i="62"/>
  <c r="D571" i="62" s="1"/>
  <c r="C570" i="62"/>
  <c r="D570" i="62" s="1"/>
  <c r="C548" i="62"/>
  <c r="B548" i="62"/>
  <c r="C547" i="62"/>
  <c r="B547" i="62"/>
  <c r="C546" i="62"/>
  <c r="B546" i="62"/>
  <c r="C545" i="62"/>
  <c r="B545" i="62"/>
  <c r="C544" i="62"/>
  <c r="B544" i="62"/>
  <c r="C543" i="62"/>
  <c r="B543" i="62"/>
  <c r="C542" i="62"/>
  <c r="B542" i="62"/>
  <c r="C541" i="62"/>
  <c r="B541" i="62"/>
  <c r="C540" i="62"/>
  <c r="B540" i="62"/>
  <c r="C539" i="62"/>
  <c r="B539" i="62"/>
  <c r="C538" i="62"/>
  <c r="B538" i="62"/>
  <c r="N537" i="62"/>
  <c r="L537" i="62"/>
  <c r="K537" i="62"/>
  <c r="J537" i="62"/>
  <c r="I537" i="62"/>
  <c r="H537" i="62"/>
  <c r="G537" i="62"/>
  <c r="F537" i="62"/>
  <c r="C537" i="62"/>
  <c r="B537" i="62"/>
  <c r="N536" i="62"/>
  <c r="L536" i="62"/>
  <c r="K536" i="62"/>
  <c r="J536" i="62"/>
  <c r="I536" i="62"/>
  <c r="H536" i="62"/>
  <c r="G536" i="62"/>
  <c r="F536" i="62"/>
  <c r="C536" i="62"/>
  <c r="B536" i="62"/>
  <c r="N535" i="62"/>
  <c r="L535" i="62"/>
  <c r="K535" i="62"/>
  <c r="J535" i="62"/>
  <c r="I535" i="62"/>
  <c r="H535" i="62"/>
  <c r="G535" i="62"/>
  <c r="F535" i="62"/>
  <c r="C535" i="62"/>
  <c r="B535" i="62"/>
  <c r="C534" i="62"/>
  <c r="B534" i="62"/>
  <c r="C533" i="62"/>
  <c r="B533" i="62"/>
  <c r="C532" i="62"/>
  <c r="B532" i="62"/>
  <c r="C531" i="62"/>
  <c r="B531" i="62"/>
  <c r="C530" i="62"/>
  <c r="B530" i="62"/>
  <c r="C529" i="62"/>
  <c r="B529" i="62"/>
  <c r="B528" i="62"/>
  <c r="T512" i="62"/>
  <c r="C502" i="62"/>
  <c r="D502" i="62" s="1"/>
  <c r="AR449" i="62"/>
  <c r="AH433" i="62"/>
  <c r="B427" i="62"/>
  <c r="I375" i="62"/>
  <c r="H375" i="62"/>
  <c r="G375" i="62"/>
  <c r="F375" i="62"/>
  <c r="D375" i="62"/>
  <c r="B370" i="62"/>
  <c r="B369" i="62"/>
  <c r="B368" i="62"/>
  <c r="V356" i="62"/>
  <c r="V355" i="62"/>
  <c r="I322" i="62"/>
  <c r="I321" i="62"/>
  <c r="I320" i="62"/>
  <c r="I319" i="62"/>
  <c r="I318" i="62"/>
  <c r="I317" i="62"/>
  <c r="I316" i="62"/>
  <c r="I314" i="62"/>
  <c r="I313" i="62"/>
  <c r="I312" i="62"/>
  <c r="I311" i="62"/>
  <c r="I310" i="62"/>
  <c r="I309" i="62"/>
  <c r="I308" i="62"/>
  <c r="D287" i="62"/>
  <c r="C287" i="62"/>
  <c r="H239" i="62"/>
  <c r="E238" i="62"/>
  <c r="C238" i="62"/>
  <c r="I168" i="62"/>
  <c r="A128" i="62"/>
  <c r="A127" i="62"/>
  <c r="B107" i="62"/>
  <c r="B106" i="62"/>
  <c r="B105" i="62"/>
  <c r="B104" i="62"/>
  <c r="B103" i="62"/>
  <c r="B102" i="62"/>
  <c r="B101" i="62"/>
  <c r="B100" i="62"/>
  <c r="B99" i="62"/>
  <c r="B98" i="62"/>
  <c r="B97" i="62"/>
  <c r="B96" i="62"/>
  <c r="B95" i="62"/>
  <c r="B94" i="62"/>
  <c r="B93" i="62"/>
  <c r="B92" i="62"/>
  <c r="B91" i="62"/>
  <c r="B90" i="62"/>
  <c r="B89" i="62"/>
  <c r="B88" i="62"/>
  <c r="B87" i="62"/>
  <c r="C17" i="62"/>
  <c r="D159" i="67" s="1"/>
  <c r="C15" i="62"/>
  <c r="B13" i="61"/>
  <c r="C16" i="62" s="1"/>
  <c r="C14" i="62"/>
  <c r="A113" i="62" s="1"/>
  <c r="B9" i="61"/>
  <c r="C8" i="62" s="1"/>
  <c r="B8" i="61"/>
  <c r="C7" i="62" s="1"/>
  <c r="B7" i="61"/>
  <c r="C6" i="62" s="1"/>
  <c r="B6" i="61"/>
  <c r="C2" i="62" s="1"/>
  <c r="A53" i="62" s="1"/>
  <c r="A90" i="62" s="1"/>
  <c r="B2" i="61"/>
  <c r="K75" i="60"/>
  <c r="K77" i="60" s="1"/>
  <c r="J75" i="60"/>
  <c r="J77" i="60" s="1"/>
  <c r="I75" i="60"/>
  <c r="I77" i="60" s="1"/>
  <c r="H75" i="60"/>
  <c r="H77" i="60" s="1"/>
  <c r="G75" i="60"/>
  <c r="G77" i="60" s="1"/>
  <c r="F75" i="60"/>
  <c r="F77" i="60" s="1"/>
  <c r="E75" i="60"/>
  <c r="E77" i="60" s="1"/>
  <c r="K74" i="60"/>
  <c r="J74" i="60"/>
  <c r="I74" i="60"/>
  <c r="H74" i="60"/>
  <c r="G74" i="60"/>
  <c r="F74" i="60"/>
  <c r="E74" i="60"/>
  <c r="K73" i="60"/>
  <c r="J73" i="60"/>
  <c r="I73" i="60"/>
  <c r="H73" i="60"/>
  <c r="G73" i="60"/>
  <c r="F73" i="60"/>
  <c r="E73" i="60"/>
  <c r="K72" i="60"/>
  <c r="J72" i="60"/>
  <c r="I72" i="60"/>
  <c r="H72" i="60"/>
  <c r="G72" i="60"/>
  <c r="F72" i="60"/>
  <c r="E72" i="60"/>
  <c r="K71" i="60"/>
  <c r="J71" i="60"/>
  <c r="I71" i="60"/>
  <c r="H71" i="60"/>
  <c r="G71" i="60"/>
  <c r="F71" i="60"/>
  <c r="E71" i="60"/>
  <c r="K70" i="60"/>
  <c r="J70" i="60"/>
  <c r="I70" i="60"/>
  <c r="H70" i="60"/>
  <c r="G70" i="60"/>
  <c r="F70" i="60"/>
  <c r="E70" i="60"/>
  <c r="K69" i="60"/>
  <c r="J69" i="60"/>
  <c r="I69" i="60"/>
  <c r="H69" i="60"/>
  <c r="G69" i="60"/>
  <c r="F69" i="60"/>
  <c r="E69" i="60"/>
  <c r="K68" i="60"/>
  <c r="J68" i="60"/>
  <c r="I68" i="60"/>
  <c r="H68" i="60"/>
  <c r="G68" i="60"/>
  <c r="F68" i="60"/>
  <c r="E68" i="60"/>
  <c r="K67" i="60"/>
  <c r="J67" i="60"/>
  <c r="I67" i="60"/>
  <c r="H67" i="60"/>
  <c r="G67" i="60"/>
  <c r="F67" i="60"/>
  <c r="E67" i="60"/>
  <c r="K66" i="60"/>
  <c r="J66" i="60"/>
  <c r="I66" i="60"/>
  <c r="H66" i="60"/>
  <c r="G66" i="60"/>
  <c r="F66" i="60"/>
  <c r="E66" i="60"/>
  <c r="K65" i="60"/>
  <c r="J65" i="60"/>
  <c r="I65" i="60"/>
  <c r="H65" i="60"/>
  <c r="G65" i="60"/>
  <c r="F65" i="60"/>
  <c r="E65" i="60"/>
  <c r="K64" i="60"/>
  <c r="J64" i="60"/>
  <c r="I64" i="60"/>
  <c r="H64" i="60"/>
  <c r="G64" i="60"/>
  <c r="F64" i="60"/>
  <c r="E64" i="60"/>
  <c r="K63" i="60"/>
  <c r="J63" i="60"/>
  <c r="I63" i="60"/>
  <c r="H63" i="60"/>
  <c r="G63" i="60"/>
  <c r="F63" i="60"/>
  <c r="E63" i="60"/>
  <c r="K62" i="60"/>
  <c r="J62" i="60"/>
  <c r="I62" i="60"/>
  <c r="H62" i="60"/>
  <c r="G62" i="60"/>
  <c r="F62" i="60"/>
  <c r="E62" i="60"/>
  <c r="K61" i="60"/>
  <c r="J61" i="60"/>
  <c r="I61" i="60"/>
  <c r="H61" i="60"/>
  <c r="G61" i="60"/>
  <c r="F61" i="60"/>
  <c r="E61" i="60"/>
  <c r="K60" i="60"/>
  <c r="J60" i="60"/>
  <c r="I60" i="60"/>
  <c r="H60" i="60"/>
  <c r="G60" i="60"/>
  <c r="F60" i="60"/>
  <c r="E60" i="60"/>
  <c r="K59" i="60"/>
  <c r="J59" i="60"/>
  <c r="I59" i="60"/>
  <c r="H59" i="60"/>
  <c r="G59" i="60"/>
  <c r="F59" i="60"/>
  <c r="E59" i="60"/>
  <c r="K58" i="60"/>
  <c r="J58" i="60"/>
  <c r="I58" i="60"/>
  <c r="H58" i="60"/>
  <c r="G58" i="60"/>
  <c r="F58" i="60"/>
  <c r="E58" i="60"/>
  <c r="K57" i="60"/>
  <c r="J57" i="60"/>
  <c r="I57" i="60"/>
  <c r="H57" i="60"/>
  <c r="G57" i="60"/>
  <c r="F57" i="60"/>
  <c r="E57" i="60"/>
  <c r="M56" i="60"/>
  <c r="E56" i="60" s="1"/>
  <c r="K56" i="60"/>
  <c r="J56" i="60"/>
  <c r="I56" i="60"/>
  <c r="H56" i="60"/>
  <c r="G56" i="60"/>
  <c r="F56" i="60"/>
  <c r="M55" i="60"/>
  <c r="E55" i="60" s="1"/>
  <c r="K55" i="60"/>
  <c r="J55" i="60"/>
  <c r="I55" i="60"/>
  <c r="H55" i="60"/>
  <c r="G55" i="60"/>
  <c r="F55" i="60"/>
  <c r="M54" i="60"/>
  <c r="E54" i="60" s="1"/>
  <c r="K54" i="60"/>
  <c r="J54" i="60"/>
  <c r="I54" i="60"/>
  <c r="H54" i="60"/>
  <c r="G54" i="60"/>
  <c r="F54" i="60"/>
  <c r="M53" i="60"/>
  <c r="E53" i="60" s="1"/>
  <c r="K53" i="60"/>
  <c r="J53" i="60"/>
  <c r="I53" i="60"/>
  <c r="H53" i="60"/>
  <c r="G53" i="60"/>
  <c r="F53" i="60"/>
  <c r="M52" i="60"/>
  <c r="K52" i="60"/>
  <c r="J52" i="60"/>
  <c r="I52" i="60"/>
  <c r="H52" i="60"/>
  <c r="G52" i="60"/>
  <c r="F52" i="60"/>
  <c r="E52" i="60"/>
  <c r="M51" i="60"/>
  <c r="E51" i="60" s="1"/>
  <c r="K51" i="60"/>
  <c r="J51" i="60"/>
  <c r="I51" i="60"/>
  <c r="H51" i="60"/>
  <c r="G51" i="60"/>
  <c r="F51" i="60"/>
  <c r="M50" i="60"/>
  <c r="E50" i="60" s="1"/>
  <c r="K50" i="60"/>
  <c r="J50" i="60"/>
  <c r="I50" i="60"/>
  <c r="H50" i="60"/>
  <c r="G50" i="60"/>
  <c r="F50" i="60"/>
  <c r="M49" i="60"/>
  <c r="K49" i="60"/>
  <c r="J49" i="60"/>
  <c r="I49" i="60"/>
  <c r="H49" i="60"/>
  <c r="G49" i="60"/>
  <c r="F49" i="60"/>
  <c r="E49" i="60"/>
  <c r="M48" i="60"/>
  <c r="K48" i="60"/>
  <c r="J48" i="60"/>
  <c r="I48" i="60"/>
  <c r="H48" i="60"/>
  <c r="G48" i="60"/>
  <c r="F48" i="60"/>
  <c r="E48" i="60"/>
  <c r="M47" i="60"/>
  <c r="E47" i="60" s="1"/>
  <c r="K47" i="60"/>
  <c r="J47" i="60"/>
  <c r="I47" i="60"/>
  <c r="H47" i="60"/>
  <c r="G47" i="60"/>
  <c r="F47" i="60"/>
  <c r="M46" i="60"/>
  <c r="E46" i="60" s="1"/>
  <c r="K46" i="60"/>
  <c r="J46" i="60"/>
  <c r="I46" i="60"/>
  <c r="H46" i="60"/>
  <c r="G46" i="60"/>
  <c r="F46" i="60"/>
  <c r="M45" i="60"/>
  <c r="K45" i="60"/>
  <c r="J45" i="60"/>
  <c r="I45" i="60"/>
  <c r="H45" i="60"/>
  <c r="G45" i="60"/>
  <c r="F45" i="60"/>
  <c r="E45" i="60"/>
  <c r="M44" i="60"/>
  <c r="K44" i="60"/>
  <c r="J44" i="60"/>
  <c r="I44" i="60"/>
  <c r="H44" i="60"/>
  <c r="G44" i="60"/>
  <c r="F44" i="60"/>
  <c r="E44" i="60"/>
  <c r="M43" i="60"/>
  <c r="E43" i="60" s="1"/>
  <c r="K43" i="60"/>
  <c r="J43" i="60"/>
  <c r="I43" i="60"/>
  <c r="H43" i="60"/>
  <c r="G43" i="60"/>
  <c r="F43" i="60"/>
  <c r="M42" i="60"/>
  <c r="K42" i="60"/>
  <c r="J42" i="60"/>
  <c r="I42" i="60"/>
  <c r="H42" i="60"/>
  <c r="G42" i="60"/>
  <c r="F42" i="60"/>
  <c r="E42" i="60"/>
  <c r="M41" i="60"/>
  <c r="K41" i="60"/>
  <c r="J41" i="60"/>
  <c r="I41" i="60"/>
  <c r="H41" i="60"/>
  <c r="G41" i="60"/>
  <c r="F41" i="60"/>
  <c r="E41" i="60"/>
  <c r="M40" i="60"/>
  <c r="E40" i="60" s="1"/>
  <c r="K40" i="60"/>
  <c r="J40" i="60"/>
  <c r="I40" i="60"/>
  <c r="H40" i="60"/>
  <c r="G40" i="60"/>
  <c r="F40" i="60"/>
  <c r="M39" i="60"/>
  <c r="E39" i="60" s="1"/>
  <c r="K39" i="60"/>
  <c r="J39" i="60"/>
  <c r="I39" i="60"/>
  <c r="H39" i="60"/>
  <c r="G39" i="60"/>
  <c r="F39" i="60"/>
  <c r="M38" i="60"/>
  <c r="K38" i="60"/>
  <c r="J38" i="60"/>
  <c r="I38" i="60"/>
  <c r="H38" i="60"/>
  <c r="G38" i="60"/>
  <c r="F38" i="60"/>
  <c r="E38" i="60"/>
  <c r="M37" i="60"/>
  <c r="E37" i="60" s="1"/>
  <c r="K37" i="60"/>
  <c r="J37" i="60"/>
  <c r="I37" i="60"/>
  <c r="H37" i="60"/>
  <c r="G37" i="60"/>
  <c r="F37" i="60"/>
  <c r="M36" i="60"/>
  <c r="E36" i="60" s="1"/>
  <c r="K36" i="60"/>
  <c r="J36" i="60"/>
  <c r="I36" i="60"/>
  <c r="H36" i="60"/>
  <c r="G36" i="60"/>
  <c r="F36" i="60"/>
  <c r="M35" i="60"/>
  <c r="E35" i="60" s="1"/>
  <c r="K35" i="60"/>
  <c r="J35" i="60"/>
  <c r="I35" i="60"/>
  <c r="H35" i="60"/>
  <c r="G35" i="60"/>
  <c r="F35" i="60"/>
  <c r="K15" i="60"/>
  <c r="J15" i="60"/>
  <c r="I15" i="60"/>
  <c r="H15" i="60"/>
  <c r="G15" i="60"/>
  <c r="F15" i="60"/>
  <c r="E15" i="60"/>
  <c r="AB111" i="59"/>
  <c r="AB110" i="59"/>
  <c r="AB109" i="59"/>
  <c r="AB108" i="59"/>
  <c r="AB107" i="59"/>
  <c r="AB106" i="59"/>
  <c r="AB105" i="59"/>
  <c r="AB104" i="59"/>
  <c r="AB103" i="59"/>
  <c r="AB102" i="59"/>
  <c r="AB101" i="59"/>
  <c r="AB100" i="59"/>
  <c r="AB99" i="59"/>
  <c r="AB98" i="59"/>
  <c r="AB97" i="59"/>
  <c r="AB96" i="59"/>
  <c r="AB95" i="59"/>
  <c r="AB94" i="59"/>
  <c r="AB93" i="59"/>
  <c r="AB92" i="59"/>
  <c r="AB91" i="59"/>
  <c r="AB90" i="59"/>
  <c r="AB89" i="59"/>
  <c r="AB88" i="59"/>
  <c r="AB87" i="59"/>
  <c r="AB86" i="59"/>
  <c r="AB85" i="59"/>
  <c r="AB84" i="59"/>
  <c r="AB83" i="59"/>
  <c r="AB82" i="59"/>
  <c r="AB81" i="59"/>
  <c r="AB80" i="59"/>
  <c r="AB79" i="59"/>
  <c r="AB78" i="59"/>
  <c r="AB77" i="59"/>
  <c r="AB76" i="59"/>
  <c r="AB75" i="59"/>
  <c r="AB74" i="59"/>
  <c r="AB73" i="59"/>
  <c r="AB69" i="59"/>
  <c r="AB68" i="59"/>
  <c r="AB67" i="59"/>
  <c r="AB66" i="59"/>
  <c r="AB65" i="59"/>
  <c r="AB64" i="59"/>
  <c r="AB63" i="59"/>
  <c r="AB62" i="59"/>
  <c r="AB61" i="59"/>
  <c r="AB60" i="59"/>
  <c r="AB59" i="59"/>
  <c r="AB58" i="59"/>
  <c r="AB57" i="59"/>
  <c r="AB56" i="59"/>
  <c r="AB55" i="59"/>
  <c r="AB54" i="59"/>
  <c r="AB53" i="59"/>
  <c r="AB52" i="59"/>
  <c r="AB51" i="59"/>
  <c r="AB50" i="59"/>
  <c r="AB49" i="59"/>
  <c r="AB48" i="59"/>
  <c r="AB47" i="59"/>
  <c r="AB46" i="59"/>
  <c r="AB45" i="59"/>
  <c r="AB44" i="59"/>
  <c r="AB43" i="59"/>
  <c r="AB42" i="59"/>
  <c r="AB41" i="59"/>
  <c r="AB40" i="59"/>
  <c r="AB39" i="59"/>
  <c r="AB38" i="59"/>
  <c r="AB37" i="59"/>
  <c r="AB36" i="59"/>
  <c r="AB35" i="59"/>
  <c r="AB34" i="59"/>
  <c r="AB33" i="59"/>
  <c r="AB32" i="59"/>
  <c r="AB31" i="59"/>
  <c r="AI100" i="58"/>
  <c r="AH100" i="58"/>
  <c r="AG100" i="58"/>
  <c r="AF100" i="58"/>
  <c r="AE100" i="58"/>
  <c r="AD100" i="58"/>
  <c r="AC100" i="58"/>
  <c r="AB100" i="58"/>
  <c r="AA100" i="58"/>
  <c r="Z100" i="58"/>
  <c r="Y100" i="58"/>
  <c r="X100" i="58"/>
  <c r="W100" i="58"/>
  <c r="V100" i="58"/>
  <c r="U100" i="58"/>
  <c r="T100" i="58"/>
  <c r="S100" i="58"/>
  <c r="R100" i="58"/>
  <c r="Q100" i="58"/>
  <c r="N73" i="58"/>
  <c r="M73" i="58"/>
  <c r="L73" i="58"/>
  <c r="F65" i="58"/>
  <c r="E65" i="58"/>
  <c r="F64" i="58"/>
  <c r="E64" i="58"/>
  <c r="F63" i="58"/>
  <c r="E63" i="58"/>
  <c r="F62" i="58"/>
  <c r="E62" i="58"/>
  <c r="F61" i="58"/>
  <c r="E61" i="58"/>
  <c r="F60" i="58"/>
  <c r="E60" i="58"/>
  <c r="F59" i="58"/>
  <c r="E59" i="58"/>
  <c r="F58" i="58"/>
  <c r="E58" i="58"/>
  <c r="F57" i="58"/>
  <c r="E57" i="58"/>
  <c r="F56" i="58"/>
  <c r="E56" i="58"/>
  <c r="F55" i="58"/>
  <c r="E55" i="58"/>
  <c r="F54" i="58"/>
  <c r="E54" i="58"/>
  <c r="F53" i="58"/>
  <c r="E53" i="58"/>
  <c r="F52" i="58"/>
  <c r="E52" i="58"/>
  <c r="F51" i="58"/>
  <c r="E51" i="58"/>
  <c r="F50" i="58"/>
  <c r="E50" i="58"/>
  <c r="F49" i="58"/>
  <c r="E49" i="58"/>
  <c r="F48" i="58"/>
  <c r="E48" i="58"/>
  <c r="F47" i="58"/>
  <c r="E47" i="58"/>
  <c r="F46" i="58"/>
  <c r="E46" i="58"/>
  <c r="F45" i="58"/>
  <c r="E45" i="58"/>
  <c r="F44" i="58"/>
  <c r="E44" i="58"/>
  <c r="F43" i="58"/>
  <c r="E43" i="58"/>
  <c r="F42" i="58"/>
  <c r="E42" i="58"/>
  <c r="F41" i="58"/>
  <c r="E41" i="58"/>
  <c r="F40" i="58"/>
  <c r="E40" i="58"/>
  <c r="F39" i="58"/>
  <c r="E39" i="58"/>
  <c r="F38" i="58"/>
  <c r="E38" i="58"/>
  <c r="F37" i="58"/>
  <c r="E37" i="58"/>
  <c r="F36" i="58"/>
  <c r="E36" i="58"/>
  <c r="F35" i="58"/>
  <c r="E35" i="58"/>
  <c r="F34" i="58"/>
  <c r="E34" i="58"/>
  <c r="F33" i="58"/>
  <c r="E33" i="58"/>
  <c r="F32" i="58"/>
  <c r="E32" i="58"/>
  <c r="F31" i="58"/>
  <c r="E31" i="58"/>
  <c r="F30" i="58"/>
  <c r="E30" i="58"/>
  <c r="F29" i="58"/>
  <c r="E29" i="58"/>
  <c r="F28" i="58"/>
  <c r="E28" i="58"/>
  <c r="F27" i="58"/>
  <c r="E27" i="58"/>
  <c r="F26" i="58"/>
  <c r="E26" i="58"/>
  <c r="F25" i="58"/>
  <c r="E25" i="58"/>
  <c r="F24" i="58"/>
  <c r="E24" i="58"/>
  <c r="F23" i="58"/>
  <c r="E23" i="58"/>
  <c r="F22" i="58"/>
  <c r="E22" i="58"/>
  <c r="F21" i="58"/>
  <c r="E21" i="58"/>
  <c r="F20" i="58"/>
  <c r="E20" i="58"/>
  <c r="F19" i="58"/>
  <c r="E19" i="58"/>
  <c r="F18" i="58"/>
  <c r="E18" i="58"/>
  <c r="F17" i="58"/>
  <c r="E17" i="58"/>
  <c r="F16" i="58"/>
  <c r="E16" i="58"/>
  <c r="F15" i="58"/>
  <c r="E15" i="58"/>
  <c r="F14" i="58"/>
  <c r="E14" i="58"/>
  <c r="F13" i="58"/>
  <c r="E13" i="58"/>
  <c r="F12" i="58"/>
  <c r="E12" i="58"/>
  <c r="F11" i="58"/>
  <c r="E11" i="58"/>
  <c r="F10" i="58"/>
  <c r="E10" i="58"/>
  <c r="F9" i="58"/>
  <c r="E9" i="58"/>
  <c r="F8" i="58"/>
  <c r="E8" i="58"/>
  <c r="F7" i="58"/>
  <c r="E7" i="58"/>
  <c r="F6" i="58"/>
  <c r="E6" i="58"/>
  <c r="P23" i="55"/>
  <c r="O23" i="55"/>
  <c r="N23" i="55"/>
  <c r="M23" i="55"/>
  <c r="L23" i="55"/>
  <c r="K23" i="55"/>
  <c r="J23" i="55"/>
  <c r="I23" i="55"/>
  <c r="H23" i="55"/>
  <c r="P22" i="55"/>
  <c r="O22" i="55"/>
  <c r="N22" i="55"/>
  <c r="M22" i="55"/>
  <c r="L22" i="55"/>
  <c r="K22" i="55"/>
  <c r="J22" i="55"/>
  <c r="I22" i="55"/>
  <c r="H22" i="55"/>
  <c r="P21" i="55"/>
  <c r="O21" i="55"/>
  <c r="N21" i="55"/>
  <c r="M21" i="55"/>
  <c r="L21" i="55"/>
  <c r="K21" i="55"/>
  <c r="J21" i="55"/>
  <c r="I21" i="55"/>
  <c r="H21" i="55"/>
  <c r="P20" i="55"/>
  <c r="O20" i="55"/>
  <c r="N20" i="55"/>
  <c r="M20" i="55"/>
  <c r="L20" i="55"/>
  <c r="K20" i="55"/>
  <c r="J20" i="55"/>
  <c r="I20" i="55"/>
  <c r="H20" i="55"/>
  <c r="P19" i="55"/>
  <c r="O19" i="55"/>
  <c r="N19" i="55"/>
  <c r="M19" i="55"/>
  <c r="L19" i="55"/>
  <c r="K19" i="55"/>
  <c r="J19" i="55"/>
  <c r="I19" i="55"/>
  <c r="H19" i="55"/>
  <c r="P18" i="55"/>
  <c r="O18" i="55"/>
  <c r="N18" i="55"/>
  <c r="M18" i="55"/>
  <c r="L18" i="55"/>
  <c r="K18" i="55"/>
  <c r="J18" i="55"/>
  <c r="I18" i="55"/>
  <c r="H18" i="55"/>
  <c r="P17" i="55"/>
  <c r="O17" i="55"/>
  <c r="N17" i="55"/>
  <c r="M17" i="55"/>
  <c r="L17" i="55"/>
  <c r="K17" i="55"/>
  <c r="J17" i="55"/>
  <c r="I17" i="55"/>
  <c r="H17" i="55"/>
  <c r="P16" i="55"/>
  <c r="O16" i="55"/>
  <c r="N16" i="55"/>
  <c r="M16" i="55"/>
  <c r="L16" i="55"/>
  <c r="K16" i="55"/>
  <c r="J16" i="55"/>
  <c r="I16" i="55"/>
  <c r="H16" i="55"/>
  <c r="P15" i="55"/>
  <c r="O15" i="55"/>
  <c r="N15" i="55"/>
  <c r="M15" i="55"/>
  <c r="L15" i="55"/>
  <c r="K15" i="55"/>
  <c r="J15" i="55"/>
  <c r="I15" i="55"/>
  <c r="H15" i="55"/>
  <c r="P14" i="55"/>
  <c r="O14" i="55"/>
  <c r="N14" i="55"/>
  <c r="M14" i="55"/>
  <c r="L14" i="55"/>
  <c r="K14" i="55"/>
  <c r="J14" i="55"/>
  <c r="I14" i="55"/>
  <c r="H14" i="55"/>
  <c r="P13" i="55"/>
  <c r="O13" i="55"/>
  <c r="N13" i="55"/>
  <c r="M13" i="55"/>
  <c r="L13" i="55"/>
  <c r="K13" i="55"/>
  <c r="J13" i="55"/>
  <c r="I13" i="55"/>
  <c r="H13" i="55"/>
  <c r="P12" i="55"/>
  <c r="O12" i="55"/>
  <c r="N12" i="55"/>
  <c r="M12" i="55"/>
  <c r="L12" i="55"/>
  <c r="K12" i="55"/>
  <c r="J12" i="55"/>
  <c r="I12" i="55"/>
  <c r="H12" i="55"/>
  <c r="P11" i="55"/>
  <c r="O11" i="55"/>
  <c r="N11" i="55"/>
  <c r="M11" i="55"/>
  <c r="L11" i="55"/>
  <c r="K11" i="55"/>
  <c r="J11" i="55"/>
  <c r="I11" i="55"/>
  <c r="H11" i="55"/>
  <c r="P10" i="55"/>
  <c r="O10" i="55"/>
  <c r="N10" i="55"/>
  <c r="M10" i="55"/>
  <c r="L10" i="55"/>
  <c r="K10" i="55"/>
  <c r="J10" i="55"/>
  <c r="P9" i="55"/>
  <c r="O9" i="55"/>
  <c r="M9" i="55"/>
  <c r="K9" i="55"/>
  <c r="O8" i="55"/>
  <c r="K8" i="55"/>
  <c r="K7" i="55"/>
  <c r="D4" i="55"/>
  <c r="C4" i="55"/>
  <c r="B4" i="53" s="1"/>
  <c r="B4" i="55"/>
  <c r="C4" i="54" s="1"/>
  <c r="C1084" i="54"/>
  <c r="C1063" i="54"/>
  <c r="C1010" i="54"/>
  <c r="D1010" i="54" s="1"/>
  <c r="C991" i="54"/>
  <c r="D991" i="54" s="1"/>
  <c r="D975" i="54"/>
  <c r="C975" i="54"/>
  <c r="C934" i="54"/>
  <c r="D934" i="54" s="1"/>
  <c r="C899" i="54"/>
  <c r="D899" i="54" s="1"/>
  <c r="C858" i="54"/>
  <c r="D858" i="54" s="1"/>
  <c r="O832" i="54"/>
  <c r="N832" i="54"/>
  <c r="M832" i="54"/>
  <c r="L832" i="54"/>
  <c r="K832" i="54"/>
  <c r="J832" i="54"/>
  <c r="I832" i="54"/>
  <c r="H832" i="54"/>
  <c r="G832" i="54"/>
  <c r="F832" i="54"/>
  <c r="E832" i="54"/>
  <c r="D832" i="54"/>
  <c r="O831" i="54"/>
  <c r="N831" i="54"/>
  <c r="M831" i="54"/>
  <c r="L831" i="54"/>
  <c r="K831" i="54"/>
  <c r="J831" i="54"/>
  <c r="I831" i="54"/>
  <c r="H831" i="54"/>
  <c r="G831" i="54"/>
  <c r="F831" i="54"/>
  <c r="E831" i="54"/>
  <c r="D831" i="54"/>
  <c r="O830" i="54"/>
  <c r="N830" i="54"/>
  <c r="M830" i="54"/>
  <c r="L830" i="54"/>
  <c r="K830" i="54"/>
  <c r="J830" i="54"/>
  <c r="I830" i="54"/>
  <c r="H830" i="54"/>
  <c r="G830" i="54"/>
  <c r="F830" i="54"/>
  <c r="E830" i="54"/>
  <c r="D830" i="54"/>
  <c r="O829" i="54"/>
  <c r="N829" i="54"/>
  <c r="M829" i="54"/>
  <c r="L829" i="54"/>
  <c r="K829" i="54"/>
  <c r="J829" i="54"/>
  <c r="I829" i="54"/>
  <c r="H829" i="54"/>
  <c r="G829" i="54"/>
  <c r="F829" i="54"/>
  <c r="E829" i="54"/>
  <c r="D829" i="54"/>
  <c r="O828" i="54"/>
  <c r="N828" i="54"/>
  <c r="M828" i="54"/>
  <c r="L828" i="54"/>
  <c r="K828" i="54"/>
  <c r="J828" i="54"/>
  <c r="I828" i="54"/>
  <c r="H828" i="54"/>
  <c r="G828" i="54"/>
  <c r="F828" i="54"/>
  <c r="E828" i="54"/>
  <c r="D828" i="54"/>
  <c r="O827" i="54"/>
  <c r="N827" i="54"/>
  <c r="M827" i="54"/>
  <c r="L827" i="54"/>
  <c r="K827" i="54"/>
  <c r="J827" i="54"/>
  <c r="I827" i="54"/>
  <c r="H827" i="54"/>
  <c r="G827" i="54"/>
  <c r="F827" i="54"/>
  <c r="E827" i="54"/>
  <c r="D827" i="54"/>
  <c r="O826" i="54"/>
  <c r="N826" i="54"/>
  <c r="M826" i="54"/>
  <c r="L826" i="54"/>
  <c r="K826" i="54"/>
  <c r="J826" i="54"/>
  <c r="I826" i="54"/>
  <c r="H826" i="54"/>
  <c r="G826" i="54"/>
  <c r="F826" i="54"/>
  <c r="E826" i="54"/>
  <c r="D826" i="54"/>
  <c r="O825" i="54"/>
  <c r="N825" i="54"/>
  <c r="M825" i="54"/>
  <c r="L825" i="54"/>
  <c r="K825" i="54"/>
  <c r="J825" i="54"/>
  <c r="I825" i="54"/>
  <c r="H825" i="54"/>
  <c r="G825" i="54"/>
  <c r="F825" i="54"/>
  <c r="E825" i="54"/>
  <c r="D825" i="54"/>
  <c r="O824" i="54"/>
  <c r="N824" i="54"/>
  <c r="M824" i="54"/>
  <c r="L824" i="54"/>
  <c r="K824" i="54"/>
  <c r="J824" i="54"/>
  <c r="I824" i="54"/>
  <c r="H824" i="54"/>
  <c r="G824" i="54"/>
  <c r="F824" i="54"/>
  <c r="E824" i="54"/>
  <c r="D824" i="54"/>
  <c r="O823" i="54"/>
  <c r="N823" i="54"/>
  <c r="M823" i="54"/>
  <c r="L823" i="54"/>
  <c r="K823" i="54"/>
  <c r="J823" i="54"/>
  <c r="I823" i="54"/>
  <c r="H823" i="54"/>
  <c r="G823" i="54"/>
  <c r="F823" i="54"/>
  <c r="E823" i="54"/>
  <c r="D823" i="54"/>
  <c r="O822" i="54"/>
  <c r="N822" i="54"/>
  <c r="M822" i="54"/>
  <c r="L822" i="54"/>
  <c r="K822" i="54"/>
  <c r="J822" i="54"/>
  <c r="I822" i="54"/>
  <c r="H822" i="54"/>
  <c r="G822" i="54"/>
  <c r="F822" i="54"/>
  <c r="E822" i="54"/>
  <c r="D822" i="54"/>
  <c r="O821" i="54"/>
  <c r="N821" i="54"/>
  <c r="M821" i="54"/>
  <c r="L821" i="54"/>
  <c r="K821" i="54"/>
  <c r="J821" i="54"/>
  <c r="I821" i="54"/>
  <c r="H821" i="54"/>
  <c r="G821" i="54"/>
  <c r="F821" i="54"/>
  <c r="E821" i="54"/>
  <c r="D821" i="54"/>
  <c r="O820" i="54"/>
  <c r="N820" i="54"/>
  <c r="M820" i="54"/>
  <c r="L820" i="54"/>
  <c r="K820" i="54"/>
  <c r="J820" i="54"/>
  <c r="I820" i="54"/>
  <c r="H820" i="54"/>
  <c r="G820" i="54"/>
  <c r="F820" i="54"/>
  <c r="E820" i="54"/>
  <c r="D820" i="54"/>
  <c r="D799" i="54"/>
  <c r="C799" i="54"/>
  <c r="E769" i="54"/>
  <c r="E768" i="54"/>
  <c r="E767" i="54"/>
  <c r="E766" i="54"/>
  <c r="E765" i="54"/>
  <c r="E764" i="54"/>
  <c r="E763" i="54"/>
  <c r="I727" i="54"/>
  <c r="I726" i="54"/>
  <c r="I725" i="54"/>
  <c r="I724" i="54"/>
  <c r="I723" i="54"/>
  <c r="I722" i="54"/>
  <c r="I721" i="54"/>
  <c r="I720" i="54"/>
  <c r="C719" i="54"/>
  <c r="D719" i="54" s="1"/>
  <c r="Z688" i="54"/>
  <c r="Y688" i="54"/>
  <c r="X688" i="54"/>
  <c r="W688" i="54"/>
  <c r="V688" i="54"/>
  <c r="U688" i="54"/>
  <c r="T688" i="54"/>
  <c r="S688" i="54"/>
  <c r="R688" i="54"/>
  <c r="Q688" i="54"/>
  <c r="P688" i="54"/>
  <c r="O688" i="54"/>
  <c r="N688" i="54"/>
  <c r="M688" i="54"/>
  <c r="L688" i="54"/>
  <c r="K688" i="54"/>
  <c r="J688" i="54"/>
  <c r="I688" i="54"/>
  <c r="H688" i="54"/>
  <c r="G688" i="54"/>
  <c r="F688" i="54"/>
  <c r="E688" i="54"/>
  <c r="D688" i="54"/>
  <c r="Z687" i="54"/>
  <c r="Y687" i="54"/>
  <c r="X687" i="54"/>
  <c r="W687" i="54"/>
  <c r="V687" i="54"/>
  <c r="U687" i="54"/>
  <c r="T687" i="54"/>
  <c r="S687" i="54"/>
  <c r="R687" i="54"/>
  <c r="Q687" i="54"/>
  <c r="P687" i="54"/>
  <c r="O687" i="54"/>
  <c r="N687" i="54"/>
  <c r="M687" i="54"/>
  <c r="L687" i="54"/>
  <c r="K687" i="54"/>
  <c r="J687" i="54"/>
  <c r="I687" i="54"/>
  <c r="H687" i="54"/>
  <c r="G687" i="54"/>
  <c r="F687" i="54"/>
  <c r="E687" i="54"/>
  <c r="D687" i="54"/>
  <c r="Z686" i="54"/>
  <c r="Y686" i="54"/>
  <c r="X686" i="54"/>
  <c r="W686" i="54"/>
  <c r="V686" i="54"/>
  <c r="U686" i="54"/>
  <c r="T686" i="54"/>
  <c r="S686" i="54"/>
  <c r="R686" i="54"/>
  <c r="Q686" i="54"/>
  <c r="P686" i="54"/>
  <c r="O686" i="54"/>
  <c r="N686" i="54"/>
  <c r="M686" i="54"/>
  <c r="L686" i="54"/>
  <c r="K686" i="54"/>
  <c r="J686" i="54"/>
  <c r="I686" i="54"/>
  <c r="H686" i="54"/>
  <c r="G686" i="54"/>
  <c r="F686" i="54"/>
  <c r="E686" i="54"/>
  <c r="D686" i="54"/>
  <c r="Z685" i="54"/>
  <c r="Y685" i="54"/>
  <c r="X685" i="54"/>
  <c r="W685" i="54"/>
  <c r="V685" i="54"/>
  <c r="U685" i="54"/>
  <c r="T685" i="54"/>
  <c r="S685" i="54"/>
  <c r="R685" i="54"/>
  <c r="Q685" i="54"/>
  <c r="P685" i="54"/>
  <c r="O685" i="54"/>
  <c r="N685" i="54"/>
  <c r="M685" i="54"/>
  <c r="L685" i="54"/>
  <c r="K685" i="54"/>
  <c r="J685" i="54"/>
  <c r="I685" i="54"/>
  <c r="H685" i="54"/>
  <c r="G685" i="54"/>
  <c r="F685" i="54"/>
  <c r="E685" i="54"/>
  <c r="D685" i="54"/>
  <c r="Z684" i="54"/>
  <c r="Y684" i="54"/>
  <c r="X684" i="54"/>
  <c r="W684" i="54"/>
  <c r="V684" i="54"/>
  <c r="U684" i="54"/>
  <c r="T684" i="54"/>
  <c r="S684" i="54"/>
  <c r="R684" i="54"/>
  <c r="Q684" i="54"/>
  <c r="P684" i="54"/>
  <c r="O684" i="54"/>
  <c r="N684" i="54"/>
  <c r="M684" i="54"/>
  <c r="L684" i="54"/>
  <c r="K684" i="54"/>
  <c r="J684" i="54"/>
  <c r="I684" i="54"/>
  <c r="H684" i="54"/>
  <c r="G684" i="54"/>
  <c r="F684" i="54"/>
  <c r="E684" i="54"/>
  <c r="D684" i="54"/>
  <c r="Z683" i="54"/>
  <c r="Y683" i="54"/>
  <c r="X683" i="54"/>
  <c r="W683" i="54"/>
  <c r="V683" i="54"/>
  <c r="U683" i="54"/>
  <c r="T683" i="54"/>
  <c r="S683" i="54"/>
  <c r="R683" i="54"/>
  <c r="Q683" i="54"/>
  <c r="P683" i="54"/>
  <c r="O683" i="54"/>
  <c r="N683" i="54"/>
  <c r="M683" i="54"/>
  <c r="L683" i="54"/>
  <c r="K683" i="54"/>
  <c r="J683" i="54"/>
  <c r="I683" i="54"/>
  <c r="H683" i="54"/>
  <c r="G683" i="54"/>
  <c r="F683" i="54"/>
  <c r="E683" i="54"/>
  <c r="D683" i="54"/>
  <c r="Z682" i="54"/>
  <c r="Y682" i="54"/>
  <c r="X682" i="54"/>
  <c r="W682" i="54"/>
  <c r="V682" i="54"/>
  <c r="U682" i="54"/>
  <c r="T682" i="54"/>
  <c r="S682" i="54"/>
  <c r="R682" i="54"/>
  <c r="Q682" i="54"/>
  <c r="P682" i="54"/>
  <c r="O682" i="54"/>
  <c r="N682" i="54"/>
  <c r="M682" i="54"/>
  <c r="L682" i="54"/>
  <c r="K682" i="54"/>
  <c r="J682" i="54"/>
  <c r="I682" i="54"/>
  <c r="H682" i="54"/>
  <c r="G682" i="54"/>
  <c r="F682" i="54"/>
  <c r="E682" i="54"/>
  <c r="D682" i="54"/>
  <c r="Z681" i="54"/>
  <c r="Y681" i="54"/>
  <c r="X681" i="54"/>
  <c r="W681" i="54"/>
  <c r="V681" i="54"/>
  <c r="U681" i="54"/>
  <c r="T681" i="54"/>
  <c r="S681" i="54"/>
  <c r="R681" i="54"/>
  <c r="Q681" i="54"/>
  <c r="P681" i="54"/>
  <c r="O681" i="54"/>
  <c r="N681" i="54"/>
  <c r="M681" i="54"/>
  <c r="L681" i="54"/>
  <c r="K681" i="54"/>
  <c r="J681" i="54"/>
  <c r="I681" i="54"/>
  <c r="H681" i="54"/>
  <c r="G681" i="54"/>
  <c r="F681" i="54"/>
  <c r="E681" i="54"/>
  <c r="D681" i="54"/>
  <c r="Z680" i="54"/>
  <c r="Y680" i="54"/>
  <c r="X680" i="54"/>
  <c r="W680" i="54"/>
  <c r="V680" i="54"/>
  <c r="U680" i="54"/>
  <c r="T680" i="54"/>
  <c r="S680" i="54"/>
  <c r="R680" i="54"/>
  <c r="Q680" i="54"/>
  <c r="P680" i="54"/>
  <c r="O680" i="54"/>
  <c r="N680" i="54"/>
  <c r="M680" i="54"/>
  <c r="L680" i="54"/>
  <c r="K680" i="54"/>
  <c r="J680" i="54"/>
  <c r="I680" i="54"/>
  <c r="H680" i="54"/>
  <c r="G680" i="54"/>
  <c r="F680" i="54"/>
  <c r="E680" i="54"/>
  <c r="D680" i="54"/>
  <c r="Z679" i="54"/>
  <c r="Y679" i="54"/>
  <c r="X679" i="54"/>
  <c r="W679" i="54"/>
  <c r="V679" i="54"/>
  <c r="U679" i="54"/>
  <c r="T679" i="54"/>
  <c r="S679" i="54"/>
  <c r="R679" i="54"/>
  <c r="Q679" i="54"/>
  <c r="P679" i="54"/>
  <c r="O679" i="54"/>
  <c r="N679" i="54"/>
  <c r="M679" i="54"/>
  <c r="L679" i="54"/>
  <c r="K679" i="54"/>
  <c r="J679" i="54"/>
  <c r="I679" i="54"/>
  <c r="H679" i="54"/>
  <c r="G679" i="54"/>
  <c r="F679" i="54"/>
  <c r="E679" i="54"/>
  <c r="D679" i="54"/>
  <c r="Z678" i="54"/>
  <c r="Y678" i="54"/>
  <c r="X678" i="54"/>
  <c r="W678" i="54"/>
  <c r="V678" i="54"/>
  <c r="U678" i="54"/>
  <c r="T678" i="54"/>
  <c r="S678" i="54"/>
  <c r="R678" i="54"/>
  <c r="Q678" i="54"/>
  <c r="P678" i="54"/>
  <c r="O678" i="54"/>
  <c r="N678" i="54"/>
  <c r="M678" i="54"/>
  <c r="L678" i="54"/>
  <c r="K678" i="54"/>
  <c r="J678" i="54"/>
  <c r="I678" i="54"/>
  <c r="H678" i="54"/>
  <c r="G678" i="54"/>
  <c r="F678" i="54"/>
  <c r="E678" i="54"/>
  <c r="D678" i="54"/>
  <c r="Z677" i="54"/>
  <c r="Y677" i="54"/>
  <c r="X677" i="54"/>
  <c r="W677" i="54"/>
  <c r="V677" i="54"/>
  <c r="U677" i="54"/>
  <c r="T677" i="54"/>
  <c r="S677" i="54"/>
  <c r="R677" i="54"/>
  <c r="Q677" i="54"/>
  <c r="P677" i="54"/>
  <c r="O677" i="54"/>
  <c r="N677" i="54"/>
  <c r="M677" i="54"/>
  <c r="L677" i="54"/>
  <c r="K677" i="54"/>
  <c r="J677" i="54"/>
  <c r="I677" i="54"/>
  <c r="H677" i="54"/>
  <c r="G677" i="54"/>
  <c r="F677" i="54"/>
  <c r="E677" i="54"/>
  <c r="D677" i="54"/>
  <c r="Z676" i="54"/>
  <c r="Y676" i="54"/>
  <c r="X676" i="54"/>
  <c r="W676" i="54"/>
  <c r="V676" i="54"/>
  <c r="U676" i="54"/>
  <c r="T676" i="54"/>
  <c r="S676" i="54"/>
  <c r="R676" i="54"/>
  <c r="Q676" i="54"/>
  <c r="P676" i="54"/>
  <c r="O676" i="54"/>
  <c r="N676" i="54"/>
  <c r="M676" i="54"/>
  <c r="L676" i="54"/>
  <c r="K676" i="54"/>
  <c r="J676" i="54"/>
  <c r="I676" i="54"/>
  <c r="H676" i="54"/>
  <c r="G676" i="54"/>
  <c r="F676" i="54"/>
  <c r="E676" i="54"/>
  <c r="D676" i="54"/>
  <c r="Z675" i="54"/>
  <c r="Y675" i="54"/>
  <c r="X675" i="54"/>
  <c r="W675" i="54"/>
  <c r="V675" i="54"/>
  <c r="U675" i="54"/>
  <c r="T675" i="54"/>
  <c r="S675" i="54"/>
  <c r="R675" i="54"/>
  <c r="Q675" i="54"/>
  <c r="P675" i="54"/>
  <c r="O675" i="54"/>
  <c r="N675" i="54"/>
  <c r="M675" i="54"/>
  <c r="L675" i="54"/>
  <c r="K675" i="54"/>
  <c r="J675" i="54"/>
  <c r="I675" i="54"/>
  <c r="H675" i="54"/>
  <c r="G675" i="54"/>
  <c r="F675" i="54"/>
  <c r="E675" i="54"/>
  <c r="D675" i="54"/>
  <c r="Z674" i="54"/>
  <c r="Y674" i="54"/>
  <c r="X674" i="54"/>
  <c r="W674" i="54"/>
  <c r="V674" i="54"/>
  <c r="U674" i="54"/>
  <c r="T674" i="54"/>
  <c r="S674" i="54"/>
  <c r="R674" i="54"/>
  <c r="Q674" i="54"/>
  <c r="P674" i="54"/>
  <c r="O674" i="54"/>
  <c r="N674" i="54"/>
  <c r="M674" i="54"/>
  <c r="L674" i="54"/>
  <c r="K674" i="54"/>
  <c r="J674" i="54"/>
  <c r="I674" i="54"/>
  <c r="H674" i="54"/>
  <c r="G674" i="54"/>
  <c r="F674" i="54"/>
  <c r="E674" i="54"/>
  <c r="D674" i="54"/>
  <c r="Z673" i="54"/>
  <c r="Y673" i="54"/>
  <c r="X673" i="54"/>
  <c r="W673" i="54"/>
  <c r="V673" i="54"/>
  <c r="U673" i="54"/>
  <c r="T673" i="54"/>
  <c r="S673" i="54"/>
  <c r="R673" i="54"/>
  <c r="Q673" i="54"/>
  <c r="P673" i="54"/>
  <c r="O673" i="54"/>
  <c r="N673" i="54"/>
  <c r="M673" i="54"/>
  <c r="L673" i="54"/>
  <c r="K673" i="54"/>
  <c r="J673" i="54"/>
  <c r="I673" i="54"/>
  <c r="H673" i="54"/>
  <c r="G673" i="54"/>
  <c r="F673" i="54"/>
  <c r="E673" i="54"/>
  <c r="D673" i="54"/>
  <c r="Z672" i="54"/>
  <c r="Y672" i="54"/>
  <c r="X672" i="54"/>
  <c r="W672" i="54"/>
  <c r="V672" i="54"/>
  <c r="U672" i="54"/>
  <c r="T672" i="54"/>
  <c r="S672" i="54"/>
  <c r="R672" i="54"/>
  <c r="Q672" i="54"/>
  <c r="P672" i="54"/>
  <c r="O672" i="54"/>
  <c r="N672" i="54"/>
  <c r="M672" i="54"/>
  <c r="L672" i="54"/>
  <c r="K672" i="54"/>
  <c r="J672" i="54"/>
  <c r="I672" i="54"/>
  <c r="H672" i="54"/>
  <c r="G672" i="54"/>
  <c r="F672" i="54"/>
  <c r="E672" i="54"/>
  <c r="D672" i="54"/>
  <c r="Z671" i="54"/>
  <c r="Y671" i="54"/>
  <c r="X671" i="54"/>
  <c r="W671" i="54"/>
  <c r="V671" i="54"/>
  <c r="U671" i="54"/>
  <c r="T671" i="54"/>
  <c r="S671" i="54"/>
  <c r="R671" i="54"/>
  <c r="Q671" i="54"/>
  <c r="P671" i="54"/>
  <c r="O671" i="54"/>
  <c r="N671" i="54"/>
  <c r="M671" i="54"/>
  <c r="L671" i="54"/>
  <c r="K671" i="54"/>
  <c r="J671" i="54"/>
  <c r="I671" i="54"/>
  <c r="H671" i="54"/>
  <c r="G671" i="54"/>
  <c r="F671" i="54"/>
  <c r="E671" i="54"/>
  <c r="D671" i="54"/>
  <c r="Z670" i="54"/>
  <c r="Y670" i="54"/>
  <c r="X670" i="54"/>
  <c r="W670" i="54"/>
  <c r="V670" i="54"/>
  <c r="U670" i="54"/>
  <c r="T670" i="54"/>
  <c r="S670" i="54"/>
  <c r="R670" i="54"/>
  <c r="Q670" i="54"/>
  <c r="P670" i="54"/>
  <c r="O670" i="54"/>
  <c r="N670" i="54"/>
  <c r="M670" i="54"/>
  <c r="L670" i="54"/>
  <c r="K670" i="54"/>
  <c r="J670" i="54"/>
  <c r="I670" i="54"/>
  <c r="H670" i="54"/>
  <c r="G670" i="54"/>
  <c r="F670" i="54"/>
  <c r="E670" i="54"/>
  <c r="D670" i="54"/>
  <c r="Z669" i="54"/>
  <c r="Y669" i="54"/>
  <c r="X669" i="54"/>
  <c r="W669" i="54"/>
  <c r="V669" i="54"/>
  <c r="U669" i="54"/>
  <c r="T669" i="54"/>
  <c r="S669" i="54"/>
  <c r="R669" i="54"/>
  <c r="Q669" i="54"/>
  <c r="P669" i="54"/>
  <c r="O669" i="54"/>
  <c r="N669" i="54"/>
  <c r="M669" i="54"/>
  <c r="L669" i="54"/>
  <c r="K669" i="54"/>
  <c r="J669" i="54"/>
  <c r="I669" i="54"/>
  <c r="H669" i="54"/>
  <c r="G669" i="54"/>
  <c r="F669" i="54"/>
  <c r="E669" i="54"/>
  <c r="D669" i="54"/>
  <c r="Z668" i="54"/>
  <c r="Y668" i="54"/>
  <c r="X668" i="54"/>
  <c r="W668" i="54"/>
  <c r="V668" i="54"/>
  <c r="U668" i="54"/>
  <c r="T668" i="54"/>
  <c r="S668" i="54"/>
  <c r="R668" i="54"/>
  <c r="Q668" i="54"/>
  <c r="P668" i="54"/>
  <c r="O668" i="54"/>
  <c r="N668" i="54"/>
  <c r="M668" i="54"/>
  <c r="L668" i="54"/>
  <c r="K668" i="54"/>
  <c r="J668" i="54"/>
  <c r="I668" i="54"/>
  <c r="H668" i="54"/>
  <c r="G668" i="54"/>
  <c r="F668" i="54"/>
  <c r="E668" i="54"/>
  <c r="D668" i="54"/>
  <c r="Z667" i="54"/>
  <c r="Y667" i="54"/>
  <c r="X667" i="54"/>
  <c r="W667" i="54"/>
  <c r="V667" i="54"/>
  <c r="U667" i="54"/>
  <c r="T667" i="54"/>
  <c r="S667" i="54"/>
  <c r="R667" i="54"/>
  <c r="Q667" i="54"/>
  <c r="P667" i="54"/>
  <c r="O667" i="54"/>
  <c r="N667" i="54"/>
  <c r="M667" i="54"/>
  <c r="L667" i="54"/>
  <c r="K667" i="54"/>
  <c r="J667" i="54"/>
  <c r="I667" i="54"/>
  <c r="H667" i="54"/>
  <c r="G667" i="54"/>
  <c r="F667" i="54"/>
  <c r="E667" i="54"/>
  <c r="D667" i="54"/>
  <c r="L638" i="54"/>
  <c r="L637" i="54"/>
  <c r="L636" i="54"/>
  <c r="L635" i="54"/>
  <c r="L634" i="54"/>
  <c r="L633" i="54"/>
  <c r="L632" i="54"/>
  <c r="C632" i="54"/>
  <c r="D632" i="54" s="1"/>
  <c r="L631" i="54"/>
  <c r="C614" i="54"/>
  <c r="B614" i="54"/>
  <c r="C613" i="54"/>
  <c r="B613" i="54"/>
  <c r="C612" i="54"/>
  <c r="B612" i="54"/>
  <c r="C611" i="54"/>
  <c r="B611" i="54"/>
  <c r="C610" i="54"/>
  <c r="B610" i="54"/>
  <c r="M609" i="54"/>
  <c r="L609" i="54"/>
  <c r="K609" i="54"/>
  <c r="J609" i="54"/>
  <c r="I609" i="54"/>
  <c r="H609" i="54"/>
  <c r="G609" i="54"/>
  <c r="F609" i="54"/>
  <c r="C609" i="54"/>
  <c r="B609" i="54"/>
  <c r="M608" i="54"/>
  <c r="L608" i="54"/>
  <c r="K608" i="54"/>
  <c r="J608" i="54"/>
  <c r="I608" i="54"/>
  <c r="H608" i="54"/>
  <c r="G608" i="54"/>
  <c r="F608" i="54"/>
  <c r="C608" i="54"/>
  <c r="B608" i="54"/>
  <c r="M607" i="54"/>
  <c r="L607" i="54"/>
  <c r="K607" i="54"/>
  <c r="J607" i="54"/>
  <c r="I607" i="54"/>
  <c r="H607" i="54"/>
  <c r="G607" i="54"/>
  <c r="F607" i="54"/>
  <c r="C607" i="54"/>
  <c r="B607" i="54"/>
  <c r="C606" i="54"/>
  <c r="B606" i="54"/>
  <c r="C605" i="54"/>
  <c r="B605" i="54"/>
  <c r="C604" i="54"/>
  <c r="B604" i="54"/>
  <c r="M603" i="54"/>
  <c r="L603" i="54"/>
  <c r="K603" i="54"/>
  <c r="J603" i="54"/>
  <c r="I603" i="54"/>
  <c r="H603" i="54"/>
  <c r="G603" i="54"/>
  <c r="F603" i="54"/>
  <c r="C603" i="54"/>
  <c r="B603" i="54"/>
  <c r="M602" i="54"/>
  <c r="L602" i="54"/>
  <c r="K602" i="54"/>
  <c r="J602" i="54"/>
  <c r="I602" i="54"/>
  <c r="H602" i="54"/>
  <c r="G602" i="54"/>
  <c r="F602" i="54"/>
  <c r="C602" i="54"/>
  <c r="B602" i="54"/>
  <c r="M601" i="54"/>
  <c r="L601" i="54"/>
  <c r="K601" i="54"/>
  <c r="J601" i="54"/>
  <c r="I601" i="54"/>
  <c r="H601" i="54"/>
  <c r="G601" i="54"/>
  <c r="F601" i="54"/>
  <c r="C601" i="54"/>
  <c r="B601" i="54"/>
  <c r="C600" i="54"/>
  <c r="B600" i="54"/>
  <c r="B599" i="54"/>
  <c r="C598" i="54"/>
  <c r="B598" i="54"/>
  <c r="C597" i="54"/>
  <c r="B597" i="54"/>
  <c r="C596" i="54"/>
  <c r="B596" i="54"/>
  <c r="C595" i="54"/>
  <c r="B595" i="54"/>
  <c r="C594" i="54"/>
  <c r="B594" i="54"/>
  <c r="P583" i="54"/>
  <c r="O583" i="54"/>
  <c r="N583" i="54"/>
  <c r="M583" i="54"/>
  <c r="C571" i="54"/>
  <c r="D571" i="54" s="1"/>
  <c r="C570" i="54"/>
  <c r="D570" i="54" s="1"/>
  <c r="C548" i="54"/>
  <c r="B548" i="54"/>
  <c r="C547" i="54"/>
  <c r="B547" i="54"/>
  <c r="C546" i="54"/>
  <c r="B546" i="54"/>
  <c r="C545" i="54"/>
  <c r="B545" i="54"/>
  <c r="C544" i="54"/>
  <c r="B544" i="54"/>
  <c r="C543" i="54"/>
  <c r="B543" i="54"/>
  <c r="C542" i="54"/>
  <c r="B542" i="54"/>
  <c r="C541" i="54"/>
  <c r="B541" i="54"/>
  <c r="C540" i="54"/>
  <c r="B540" i="54"/>
  <c r="C539" i="54"/>
  <c r="B539" i="54"/>
  <c r="C538" i="54"/>
  <c r="B538" i="54"/>
  <c r="N537" i="54"/>
  <c r="L537" i="54"/>
  <c r="K537" i="54"/>
  <c r="J537" i="54"/>
  <c r="I537" i="54"/>
  <c r="H537" i="54"/>
  <c r="G537" i="54"/>
  <c r="F537" i="54"/>
  <c r="C537" i="54"/>
  <c r="B537" i="54"/>
  <c r="N536" i="54"/>
  <c r="L536" i="54"/>
  <c r="K536" i="54"/>
  <c r="J536" i="54"/>
  <c r="I536" i="54"/>
  <c r="H536" i="54"/>
  <c r="G536" i="54"/>
  <c r="F536" i="54"/>
  <c r="C536" i="54"/>
  <c r="B536" i="54"/>
  <c r="N535" i="54"/>
  <c r="L535" i="54"/>
  <c r="K535" i="54"/>
  <c r="J535" i="54"/>
  <c r="I535" i="54"/>
  <c r="H535" i="54"/>
  <c r="G535" i="54"/>
  <c r="F535" i="54"/>
  <c r="C535" i="54"/>
  <c r="B535" i="54"/>
  <c r="C534" i="54"/>
  <c r="B534" i="54"/>
  <c r="C533" i="54"/>
  <c r="B533" i="54"/>
  <c r="C532" i="54"/>
  <c r="B532" i="54"/>
  <c r="C531" i="54"/>
  <c r="B531" i="54"/>
  <c r="C530" i="54"/>
  <c r="B530" i="54"/>
  <c r="C529" i="54"/>
  <c r="B529" i="54"/>
  <c r="B528" i="54"/>
  <c r="T512" i="54"/>
  <c r="C502" i="54"/>
  <c r="D502" i="54" s="1"/>
  <c r="AR449" i="54"/>
  <c r="AH433" i="54"/>
  <c r="B427" i="54"/>
  <c r="I375" i="54"/>
  <c r="H375" i="54"/>
  <c r="G375" i="54"/>
  <c r="F375" i="54"/>
  <c r="D375" i="54"/>
  <c r="B370" i="54"/>
  <c r="B369" i="54"/>
  <c r="B368" i="54"/>
  <c r="V356" i="54"/>
  <c r="V355" i="54"/>
  <c r="I322" i="54"/>
  <c r="I321" i="54"/>
  <c r="I320" i="54"/>
  <c r="I319" i="54"/>
  <c r="I318" i="54"/>
  <c r="I317" i="54"/>
  <c r="I316" i="54"/>
  <c r="I314" i="54"/>
  <c r="I313" i="54"/>
  <c r="I312" i="54"/>
  <c r="I311" i="54"/>
  <c r="I310" i="54"/>
  <c r="I309" i="54"/>
  <c r="I308" i="54"/>
  <c r="D287" i="54"/>
  <c r="C287" i="54"/>
  <c r="E242" i="54"/>
  <c r="H239" i="54"/>
  <c r="E238" i="54"/>
  <c r="I166" i="54" s="1"/>
  <c r="C238" i="54"/>
  <c r="I168" i="54"/>
  <c r="A128" i="54"/>
  <c r="A126" i="54"/>
  <c r="A125" i="54"/>
  <c r="A124" i="54"/>
  <c r="A122" i="54"/>
  <c r="A121" i="54"/>
  <c r="C119" i="54" s="1"/>
  <c r="B107" i="54"/>
  <c r="B106" i="54"/>
  <c r="B105" i="54"/>
  <c r="B104" i="54"/>
  <c r="B103" i="54"/>
  <c r="B102" i="54"/>
  <c r="B101" i="54"/>
  <c r="B100" i="54"/>
  <c r="B99" i="54"/>
  <c r="B98" i="54"/>
  <c r="B97" i="54"/>
  <c r="B96" i="54"/>
  <c r="B95" i="54"/>
  <c r="B94" i="54"/>
  <c r="B93" i="54"/>
  <c r="B92" i="54"/>
  <c r="B91" i="54"/>
  <c r="B90" i="54"/>
  <c r="B89" i="54"/>
  <c r="B88" i="54"/>
  <c r="B87" i="54"/>
  <c r="C17" i="54"/>
  <c r="D159" i="59" s="1"/>
  <c r="C15" i="54"/>
  <c r="B13" i="53"/>
  <c r="C16" i="54" s="1"/>
  <c r="A134" i="54" s="1"/>
  <c r="B9" i="53"/>
  <c r="C8" i="54" s="1"/>
  <c r="B8" i="53"/>
  <c r="C7" i="54" s="1"/>
  <c r="D342" i="54" s="1"/>
  <c r="B7" i="53"/>
  <c r="C6" i="54" s="1"/>
  <c r="B6" i="53"/>
  <c r="C2" i="54" s="1"/>
  <c r="B2" i="53"/>
  <c r="K77" i="52"/>
  <c r="I77" i="52"/>
  <c r="G77" i="52"/>
  <c r="F77" i="52"/>
  <c r="K75" i="52"/>
  <c r="J75" i="52"/>
  <c r="J77" i="52" s="1"/>
  <c r="I75" i="52"/>
  <c r="H75" i="52"/>
  <c r="H77" i="52" s="1"/>
  <c r="G75" i="52"/>
  <c r="F75" i="52"/>
  <c r="E75" i="52"/>
  <c r="E77" i="52" s="1"/>
  <c r="K74" i="52"/>
  <c r="J74" i="52"/>
  <c r="I74" i="52"/>
  <c r="H74" i="52"/>
  <c r="G74" i="52"/>
  <c r="F74" i="52"/>
  <c r="E74" i="52"/>
  <c r="K73" i="52"/>
  <c r="J73" i="52"/>
  <c r="I73" i="52"/>
  <c r="H73" i="52"/>
  <c r="G73" i="52"/>
  <c r="F73" i="52"/>
  <c r="E73" i="52"/>
  <c r="K72" i="52"/>
  <c r="J72" i="52"/>
  <c r="I72" i="52"/>
  <c r="H72" i="52"/>
  <c r="G72" i="52"/>
  <c r="F72" i="52"/>
  <c r="E72" i="52"/>
  <c r="K71" i="52"/>
  <c r="J71" i="52"/>
  <c r="I71" i="52"/>
  <c r="H71" i="52"/>
  <c r="G71" i="52"/>
  <c r="F71" i="52"/>
  <c r="E71" i="52"/>
  <c r="K70" i="52"/>
  <c r="J70" i="52"/>
  <c r="I70" i="52"/>
  <c r="H70" i="52"/>
  <c r="G70" i="52"/>
  <c r="F70" i="52"/>
  <c r="E70" i="52"/>
  <c r="K69" i="52"/>
  <c r="J69" i="52"/>
  <c r="I69" i="52"/>
  <c r="H69" i="52"/>
  <c r="G69" i="52"/>
  <c r="F69" i="52"/>
  <c r="E69" i="52"/>
  <c r="K68" i="52"/>
  <c r="J68" i="52"/>
  <c r="I68" i="52"/>
  <c r="H68" i="52"/>
  <c r="G68" i="52"/>
  <c r="F68" i="52"/>
  <c r="E68" i="52"/>
  <c r="K67" i="52"/>
  <c r="J67" i="52"/>
  <c r="I67" i="52"/>
  <c r="H67" i="52"/>
  <c r="G67" i="52"/>
  <c r="F67" i="52"/>
  <c r="E67" i="52"/>
  <c r="K66" i="52"/>
  <c r="J66" i="52"/>
  <c r="I66" i="52"/>
  <c r="H66" i="52"/>
  <c r="G66" i="52"/>
  <c r="F66" i="52"/>
  <c r="E66" i="52"/>
  <c r="K65" i="52"/>
  <c r="J65" i="52"/>
  <c r="I65" i="52"/>
  <c r="H65" i="52"/>
  <c r="G65" i="52"/>
  <c r="F65" i="52"/>
  <c r="E65" i="52"/>
  <c r="K64" i="52"/>
  <c r="J64" i="52"/>
  <c r="I64" i="52"/>
  <c r="H64" i="52"/>
  <c r="G64" i="52"/>
  <c r="F64" i="52"/>
  <c r="E64" i="52"/>
  <c r="K63" i="52"/>
  <c r="J63" i="52"/>
  <c r="I63" i="52"/>
  <c r="H63" i="52"/>
  <c r="G63" i="52"/>
  <c r="F63" i="52"/>
  <c r="E63" i="52"/>
  <c r="K62" i="52"/>
  <c r="J62" i="52"/>
  <c r="I62" i="52"/>
  <c r="H62" i="52"/>
  <c r="G62" i="52"/>
  <c r="F62" i="52"/>
  <c r="E62" i="52"/>
  <c r="K61" i="52"/>
  <c r="J61" i="52"/>
  <c r="I61" i="52"/>
  <c r="H61" i="52"/>
  <c r="G61" i="52"/>
  <c r="F61" i="52"/>
  <c r="E61" i="52"/>
  <c r="K60" i="52"/>
  <c r="J60" i="52"/>
  <c r="I60" i="52"/>
  <c r="H60" i="52"/>
  <c r="G60" i="52"/>
  <c r="F60" i="52"/>
  <c r="E60" i="52"/>
  <c r="K59" i="52"/>
  <c r="J59" i="52"/>
  <c r="I59" i="52"/>
  <c r="H59" i="52"/>
  <c r="G59" i="52"/>
  <c r="F59" i="52"/>
  <c r="E59" i="52"/>
  <c r="K58" i="52"/>
  <c r="J58" i="52"/>
  <c r="I58" i="52"/>
  <c r="H58" i="52"/>
  <c r="G58" i="52"/>
  <c r="F58" i="52"/>
  <c r="E58" i="52"/>
  <c r="K57" i="52"/>
  <c r="J57" i="52"/>
  <c r="I57" i="52"/>
  <c r="H57" i="52"/>
  <c r="G57" i="52"/>
  <c r="F57" i="52"/>
  <c r="E57" i="52"/>
  <c r="M56" i="52"/>
  <c r="K56" i="52"/>
  <c r="J56" i="52"/>
  <c r="I56" i="52"/>
  <c r="H56" i="52"/>
  <c r="G56" i="52"/>
  <c r="F56" i="52"/>
  <c r="E56" i="52"/>
  <c r="M55" i="52"/>
  <c r="E55" i="52" s="1"/>
  <c r="K55" i="52"/>
  <c r="J55" i="52"/>
  <c r="I55" i="52"/>
  <c r="H55" i="52"/>
  <c r="G55" i="52"/>
  <c r="F55" i="52"/>
  <c r="M54" i="52"/>
  <c r="K54" i="52"/>
  <c r="J54" i="52"/>
  <c r="I54" i="52"/>
  <c r="H54" i="52"/>
  <c r="G54" i="52"/>
  <c r="F54" i="52"/>
  <c r="E54" i="52"/>
  <c r="M53" i="52"/>
  <c r="E53" i="52" s="1"/>
  <c r="K53" i="52"/>
  <c r="J53" i="52"/>
  <c r="I53" i="52"/>
  <c r="H53" i="52"/>
  <c r="G53" i="52"/>
  <c r="F53" i="52"/>
  <c r="M52" i="52"/>
  <c r="E52" i="52" s="1"/>
  <c r="K52" i="52"/>
  <c r="J52" i="52"/>
  <c r="I52" i="52"/>
  <c r="H52" i="52"/>
  <c r="G52" i="52"/>
  <c r="F52" i="52"/>
  <c r="M51" i="52"/>
  <c r="E51" i="52" s="1"/>
  <c r="K51" i="52"/>
  <c r="J51" i="52"/>
  <c r="I51" i="52"/>
  <c r="H51" i="52"/>
  <c r="G51" i="52"/>
  <c r="F51" i="52"/>
  <c r="M50" i="52"/>
  <c r="K50" i="52"/>
  <c r="J50" i="52"/>
  <c r="I50" i="52"/>
  <c r="H50" i="52"/>
  <c r="G50" i="52"/>
  <c r="F50" i="52"/>
  <c r="E50" i="52"/>
  <c r="M49" i="52"/>
  <c r="E49" i="52" s="1"/>
  <c r="K49" i="52"/>
  <c r="J49" i="52"/>
  <c r="I49" i="52"/>
  <c r="H49" i="52"/>
  <c r="G49" i="52"/>
  <c r="F49" i="52"/>
  <c r="M48" i="52"/>
  <c r="E48" i="52" s="1"/>
  <c r="K48" i="52"/>
  <c r="J48" i="52"/>
  <c r="I48" i="52"/>
  <c r="H48" i="52"/>
  <c r="G48" i="52"/>
  <c r="F48" i="52"/>
  <c r="M47" i="52"/>
  <c r="E47" i="52" s="1"/>
  <c r="K47" i="52"/>
  <c r="J47" i="52"/>
  <c r="I47" i="52"/>
  <c r="H47" i="52"/>
  <c r="G47" i="52"/>
  <c r="F47" i="52"/>
  <c r="M46" i="52"/>
  <c r="K46" i="52"/>
  <c r="J46" i="52"/>
  <c r="I46" i="52"/>
  <c r="H46" i="52"/>
  <c r="G46" i="52"/>
  <c r="F46" i="52"/>
  <c r="E46" i="52"/>
  <c r="M45" i="52"/>
  <c r="E45" i="52" s="1"/>
  <c r="K45" i="52"/>
  <c r="J45" i="52"/>
  <c r="I45" i="52"/>
  <c r="H45" i="52"/>
  <c r="G45" i="52"/>
  <c r="F45" i="52"/>
  <c r="M44" i="52"/>
  <c r="K44" i="52"/>
  <c r="J44" i="52"/>
  <c r="I44" i="52"/>
  <c r="H44" i="52"/>
  <c r="G44" i="52"/>
  <c r="F44" i="52"/>
  <c r="E44" i="52"/>
  <c r="M43" i="52"/>
  <c r="E43" i="52" s="1"/>
  <c r="K43" i="52"/>
  <c r="J43" i="52"/>
  <c r="I43" i="52"/>
  <c r="H43" i="52"/>
  <c r="G43" i="52"/>
  <c r="F43" i="52"/>
  <c r="M42" i="52"/>
  <c r="K42" i="52"/>
  <c r="J42" i="52"/>
  <c r="I42" i="52"/>
  <c r="H42" i="52"/>
  <c r="G42" i="52"/>
  <c r="F42" i="52"/>
  <c r="E42" i="52"/>
  <c r="M41" i="52"/>
  <c r="E41" i="52" s="1"/>
  <c r="K41" i="52"/>
  <c r="J41" i="52"/>
  <c r="I41" i="52"/>
  <c r="H41" i="52"/>
  <c r="G41" i="52"/>
  <c r="F41" i="52"/>
  <c r="M40" i="52"/>
  <c r="K40" i="52"/>
  <c r="J40" i="52"/>
  <c r="I40" i="52"/>
  <c r="H40" i="52"/>
  <c r="G40" i="52"/>
  <c r="F40" i="52"/>
  <c r="E40" i="52"/>
  <c r="M39" i="52"/>
  <c r="E39" i="52" s="1"/>
  <c r="K39" i="52"/>
  <c r="J39" i="52"/>
  <c r="I39" i="52"/>
  <c r="H39" i="52"/>
  <c r="G39" i="52"/>
  <c r="F39" i="52"/>
  <c r="M38" i="52"/>
  <c r="E38" i="52" s="1"/>
  <c r="K38" i="52"/>
  <c r="J38" i="52"/>
  <c r="I38" i="52"/>
  <c r="H38" i="52"/>
  <c r="G38" i="52"/>
  <c r="F38" i="52"/>
  <c r="M37" i="52"/>
  <c r="E37" i="52" s="1"/>
  <c r="K37" i="52"/>
  <c r="J37" i="52"/>
  <c r="I37" i="52"/>
  <c r="H37" i="52"/>
  <c r="G37" i="52"/>
  <c r="F37" i="52"/>
  <c r="M36" i="52"/>
  <c r="K36" i="52"/>
  <c r="J36" i="52"/>
  <c r="I36" i="52"/>
  <c r="H36" i="52"/>
  <c r="G36" i="52"/>
  <c r="F36" i="52"/>
  <c r="E36" i="52"/>
  <c r="M35" i="52"/>
  <c r="E35" i="52" s="1"/>
  <c r="K35" i="52"/>
  <c r="J35" i="52"/>
  <c r="I35" i="52"/>
  <c r="H35" i="52"/>
  <c r="G35" i="52"/>
  <c r="F35" i="52"/>
  <c r="K15" i="52"/>
  <c r="J15" i="52"/>
  <c r="I15" i="52"/>
  <c r="H15" i="52"/>
  <c r="G15" i="52"/>
  <c r="F15" i="52"/>
  <c r="E15" i="52"/>
  <c r="AB111" i="51"/>
  <c r="AB110" i="51"/>
  <c r="AB109" i="51"/>
  <c r="AB108" i="51"/>
  <c r="AB107" i="51"/>
  <c r="AB106" i="51"/>
  <c r="AB105" i="51"/>
  <c r="AB104" i="51"/>
  <c r="AB103" i="51"/>
  <c r="AB102" i="51"/>
  <c r="AB101" i="51"/>
  <c r="AB100" i="51"/>
  <c r="AB99" i="51"/>
  <c r="AB98" i="51"/>
  <c r="AB97" i="51"/>
  <c r="AB96" i="51"/>
  <c r="AB95" i="51"/>
  <c r="AB94" i="51"/>
  <c r="AB93" i="51"/>
  <c r="AB92" i="51"/>
  <c r="AB91" i="51"/>
  <c r="AB90" i="51"/>
  <c r="AB89" i="51"/>
  <c r="AB88" i="51"/>
  <c r="AB87" i="51"/>
  <c r="AB86" i="51"/>
  <c r="AB85" i="51"/>
  <c r="AB84" i="51"/>
  <c r="AB83" i="51"/>
  <c r="AB82" i="51"/>
  <c r="AB81" i="51"/>
  <c r="AB80" i="51"/>
  <c r="AB79" i="51"/>
  <c r="AB78" i="51"/>
  <c r="AB77" i="51"/>
  <c r="AB76" i="51"/>
  <c r="AB75" i="51"/>
  <c r="AB74" i="51"/>
  <c r="AB73" i="51"/>
  <c r="AB69" i="51"/>
  <c r="AB68" i="51"/>
  <c r="AB67" i="51"/>
  <c r="AB66" i="51"/>
  <c r="AB65" i="51"/>
  <c r="AB64" i="51"/>
  <c r="AB63" i="51"/>
  <c r="AB62" i="51"/>
  <c r="AB61" i="51"/>
  <c r="AB60" i="51"/>
  <c r="AB59" i="51"/>
  <c r="AB58" i="51"/>
  <c r="AB57" i="51"/>
  <c r="AB56" i="51"/>
  <c r="AB55" i="51"/>
  <c r="AB54" i="51"/>
  <c r="AB53" i="51"/>
  <c r="AB52" i="51"/>
  <c r="AB51" i="51"/>
  <c r="AB50" i="51"/>
  <c r="AB49" i="51"/>
  <c r="AB48" i="51"/>
  <c r="AB47" i="51"/>
  <c r="AB46" i="51"/>
  <c r="AB45" i="51"/>
  <c r="AB44" i="51"/>
  <c r="AB43" i="51"/>
  <c r="AB42" i="51"/>
  <c r="AB41" i="51"/>
  <c r="AB40" i="51"/>
  <c r="AB39" i="51"/>
  <c r="AB38" i="51"/>
  <c r="AB37" i="51"/>
  <c r="AB36" i="51"/>
  <c r="AB35" i="51"/>
  <c r="AB34" i="51"/>
  <c r="AB33" i="51"/>
  <c r="AB32" i="51"/>
  <c r="AB31" i="51"/>
  <c r="AI100" i="50"/>
  <c r="AH100" i="50"/>
  <c r="AG100" i="50"/>
  <c r="AF100" i="50"/>
  <c r="AE100" i="50"/>
  <c r="AD100" i="50"/>
  <c r="AC100" i="50"/>
  <c r="AB100" i="50"/>
  <c r="AA100" i="50"/>
  <c r="Z100" i="50"/>
  <c r="Y100" i="50"/>
  <c r="X100" i="50"/>
  <c r="W100" i="50"/>
  <c r="V100" i="50"/>
  <c r="U100" i="50"/>
  <c r="T100" i="50"/>
  <c r="S100" i="50"/>
  <c r="R100" i="50"/>
  <c r="Q100" i="50"/>
  <c r="N73" i="50"/>
  <c r="M73" i="50"/>
  <c r="L73" i="50"/>
  <c r="F65" i="50"/>
  <c r="E65" i="50"/>
  <c r="F64" i="50"/>
  <c r="E64" i="50"/>
  <c r="F63" i="50"/>
  <c r="E63" i="50"/>
  <c r="F62" i="50"/>
  <c r="E62" i="50"/>
  <c r="F61" i="50"/>
  <c r="E61" i="50"/>
  <c r="F60" i="50"/>
  <c r="E60" i="50"/>
  <c r="F59" i="50"/>
  <c r="E59" i="50"/>
  <c r="F58" i="50"/>
  <c r="E58" i="50"/>
  <c r="F57" i="50"/>
  <c r="E57" i="50"/>
  <c r="F56" i="50"/>
  <c r="E56" i="50"/>
  <c r="F55" i="50"/>
  <c r="E55" i="50"/>
  <c r="F54" i="50"/>
  <c r="E54" i="50"/>
  <c r="F53" i="50"/>
  <c r="E53" i="50"/>
  <c r="F52" i="50"/>
  <c r="E52" i="50"/>
  <c r="F51" i="50"/>
  <c r="E51" i="50"/>
  <c r="F50" i="50"/>
  <c r="E50" i="50"/>
  <c r="F49" i="50"/>
  <c r="E49" i="50"/>
  <c r="F48" i="50"/>
  <c r="E48" i="50"/>
  <c r="F47" i="50"/>
  <c r="E47" i="50"/>
  <c r="F46" i="50"/>
  <c r="E46" i="50"/>
  <c r="F45" i="50"/>
  <c r="E45" i="50"/>
  <c r="F44" i="50"/>
  <c r="E44" i="50"/>
  <c r="F43" i="50"/>
  <c r="E43" i="50"/>
  <c r="F42" i="50"/>
  <c r="E42" i="50"/>
  <c r="F41" i="50"/>
  <c r="E41" i="50"/>
  <c r="F40" i="50"/>
  <c r="E40" i="50"/>
  <c r="F39" i="50"/>
  <c r="E39" i="50"/>
  <c r="F38" i="50"/>
  <c r="E38" i="50"/>
  <c r="F37" i="50"/>
  <c r="E37" i="50"/>
  <c r="F36" i="50"/>
  <c r="E36" i="50"/>
  <c r="F35" i="50"/>
  <c r="E35" i="50"/>
  <c r="F34" i="50"/>
  <c r="E34" i="50"/>
  <c r="F33" i="50"/>
  <c r="E33" i="50"/>
  <c r="F32" i="50"/>
  <c r="E32" i="50"/>
  <c r="F31" i="50"/>
  <c r="E31" i="50"/>
  <c r="F30" i="50"/>
  <c r="E30" i="50"/>
  <c r="F29" i="50"/>
  <c r="E29" i="50"/>
  <c r="F28" i="50"/>
  <c r="E28" i="50"/>
  <c r="F27" i="50"/>
  <c r="E27" i="50"/>
  <c r="F26" i="50"/>
  <c r="E26" i="50"/>
  <c r="F25" i="50"/>
  <c r="E25" i="50"/>
  <c r="F24" i="50"/>
  <c r="E24" i="50"/>
  <c r="F23" i="50"/>
  <c r="E23" i="50"/>
  <c r="F22" i="50"/>
  <c r="E22" i="50"/>
  <c r="F21" i="50"/>
  <c r="E21" i="50"/>
  <c r="F20" i="50"/>
  <c r="E20" i="50"/>
  <c r="F19" i="50"/>
  <c r="E19" i="50"/>
  <c r="F18" i="50"/>
  <c r="E18" i="50"/>
  <c r="F17" i="50"/>
  <c r="E17" i="50"/>
  <c r="F16" i="50"/>
  <c r="E16" i="50"/>
  <c r="F15" i="50"/>
  <c r="E15" i="50"/>
  <c r="F14" i="50"/>
  <c r="E14" i="50"/>
  <c r="F13" i="50"/>
  <c r="E13" i="50"/>
  <c r="F12" i="50"/>
  <c r="E12" i="50"/>
  <c r="F11" i="50"/>
  <c r="E11" i="50"/>
  <c r="F10" i="50"/>
  <c r="E10" i="50"/>
  <c r="F9" i="50"/>
  <c r="E9" i="50"/>
  <c r="F8" i="50"/>
  <c r="E8" i="50"/>
  <c r="F7" i="50"/>
  <c r="E7" i="50"/>
  <c r="F6" i="50"/>
  <c r="E6" i="50"/>
  <c r="P23" i="47"/>
  <c r="O23" i="47"/>
  <c r="N23" i="47"/>
  <c r="M23" i="47"/>
  <c r="L23" i="47"/>
  <c r="K23" i="47"/>
  <c r="J23" i="47"/>
  <c r="I23" i="47"/>
  <c r="H23" i="47"/>
  <c r="P22" i="47"/>
  <c r="O22" i="47"/>
  <c r="N22" i="47"/>
  <c r="M22" i="47"/>
  <c r="L22" i="47"/>
  <c r="K22" i="47"/>
  <c r="J22" i="47"/>
  <c r="I22" i="47"/>
  <c r="H22" i="47"/>
  <c r="P21" i="47"/>
  <c r="O21" i="47"/>
  <c r="N21" i="47"/>
  <c r="M21" i="47"/>
  <c r="L21" i="47"/>
  <c r="K21" i="47"/>
  <c r="J21" i="47"/>
  <c r="I21" i="47"/>
  <c r="H21" i="47"/>
  <c r="P20" i="47"/>
  <c r="O20" i="47"/>
  <c r="N20" i="47"/>
  <c r="M20" i="47"/>
  <c r="L20" i="47"/>
  <c r="K20" i="47"/>
  <c r="J20" i="47"/>
  <c r="I20" i="47"/>
  <c r="H20" i="47"/>
  <c r="P19" i="47"/>
  <c r="O19" i="47"/>
  <c r="N19" i="47"/>
  <c r="M19" i="47"/>
  <c r="L19" i="47"/>
  <c r="K19" i="47"/>
  <c r="J19" i="47"/>
  <c r="I19" i="47"/>
  <c r="H19" i="47"/>
  <c r="P18" i="47"/>
  <c r="O18" i="47"/>
  <c r="N18" i="47"/>
  <c r="M18" i="47"/>
  <c r="L18" i="47"/>
  <c r="K18" i="47"/>
  <c r="J18" i="47"/>
  <c r="I18" i="47"/>
  <c r="H18" i="47"/>
  <c r="P17" i="47"/>
  <c r="O17" i="47"/>
  <c r="N17" i="47"/>
  <c r="M17" i="47"/>
  <c r="L17" i="47"/>
  <c r="K17" i="47"/>
  <c r="J17" i="47"/>
  <c r="I17" i="47"/>
  <c r="H17" i="47"/>
  <c r="P16" i="47"/>
  <c r="O16" i="47"/>
  <c r="N16" i="47"/>
  <c r="M16" i="47"/>
  <c r="L16" i="47"/>
  <c r="K16" i="47"/>
  <c r="J16" i="47"/>
  <c r="I16" i="47"/>
  <c r="H16" i="47"/>
  <c r="P15" i="47"/>
  <c r="O15" i="47"/>
  <c r="N15" i="47"/>
  <c r="M15" i="47"/>
  <c r="L15" i="47"/>
  <c r="K15" i="47"/>
  <c r="J15" i="47"/>
  <c r="I15" i="47"/>
  <c r="H15" i="47"/>
  <c r="P14" i="47"/>
  <c r="O14" i="47"/>
  <c r="N14" i="47"/>
  <c r="M14" i="47"/>
  <c r="L14" i="47"/>
  <c r="K14" i="47"/>
  <c r="J14" i="47"/>
  <c r="I14" i="47"/>
  <c r="H14" i="47"/>
  <c r="P13" i="47"/>
  <c r="O13" i="47"/>
  <c r="N13" i="47"/>
  <c r="M13" i="47"/>
  <c r="L13" i="47"/>
  <c r="K13" i="47"/>
  <c r="J13" i="47"/>
  <c r="I13" i="47"/>
  <c r="H13" i="47"/>
  <c r="P12" i="47"/>
  <c r="O12" i="47"/>
  <c r="N12" i="47"/>
  <c r="M12" i="47"/>
  <c r="L12" i="47"/>
  <c r="K12" i="47"/>
  <c r="J12" i="47"/>
  <c r="I12" i="47"/>
  <c r="H12" i="47"/>
  <c r="P11" i="47"/>
  <c r="O11" i="47"/>
  <c r="N11" i="47"/>
  <c r="M11" i="47"/>
  <c r="L11" i="47"/>
  <c r="K11" i="47"/>
  <c r="J11" i="47"/>
  <c r="I11" i="47"/>
  <c r="H11" i="47"/>
  <c r="P10" i="47"/>
  <c r="O10" i="47"/>
  <c r="N10" i="47"/>
  <c r="M10" i="47"/>
  <c r="L10" i="47"/>
  <c r="K10" i="47"/>
  <c r="J10" i="47"/>
  <c r="P9" i="47"/>
  <c r="O9" i="47"/>
  <c r="M9" i="47"/>
  <c r="K9" i="47"/>
  <c r="O8" i="47"/>
  <c r="K8" i="47"/>
  <c r="K7" i="47"/>
  <c r="D4" i="47"/>
  <c r="C4" i="47"/>
  <c r="B4" i="45" s="1"/>
  <c r="B4" i="47"/>
  <c r="B3" i="45" s="1"/>
  <c r="C1084" i="46"/>
  <c r="C1063" i="46"/>
  <c r="C1010" i="46"/>
  <c r="D1010" i="46" s="1"/>
  <c r="C991" i="46"/>
  <c r="D991" i="46" s="1"/>
  <c r="C975" i="46"/>
  <c r="D975" i="46" s="1"/>
  <c r="C934" i="46"/>
  <c r="D934" i="46" s="1"/>
  <c r="C899" i="46"/>
  <c r="D899" i="46" s="1"/>
  <c r="C858" i="46"/>
  <c r="D858" i="46" s="1"/>
  <c r="O832" i="46"/>
  <c r="N832" i="46"/>
  <c r="M832" i="46"/>
  <c r="L832" i="46"/>
  <c r="K832" i="46"/>
  <c r="J832" i="46"/>
  <c r="I832" i="46"/>
  <c r="H832" i="46"/>
  <c r="G832" i="46"/>
  <c r="F832" i="46"/>
  <c r="E832" i="46"/>
  <c r="D832" i="46"/>
  <c r="O831" i="46"/>
  <c r="N831" i="46"/>
  <c r="M831" i="46"/>
  <c r="L831" i="46"/>
  <c r="K831" i="46"/>
  <c r="J831" i="46"/>
  <c r="I831" i="46"/>
  <c r="H831" i="46"/>
  <c r="G831" i="46"/>
  <c r="F831" i="46"/>
  <c r="E831" i="46"/>
  <c r="D831" i="46"/>
  <c r="O830" i="46"/>
  <c r="N830" i="46"/>
  <c r="M830" i="46"/>
  <c r="L830" i="46"/>
  <c r="K830" i="46"/>
  <c r="J830" i="46"/>
  <c r="I830" i="46"/>
  <c r="H830" i="46"/>
  <c r="G830" i="46"/>
  <c r="F830" i="46"/>
  <c r="E830" i="46"/>
  <c r="D830" i="46"/>
  <c r="O829" i="46"/>
  <c r="N829" i="46"/>
  <c r="M829" i="46"/>
  <c r="L829" i="46"/>
  <c r="K829" i="46"/>
  <c r="J829" i="46"/>
  <c r="I829" i="46"/>
  <c r="H829" i="46"/>
  <c r="G829" i="46"/>
  <c r="F829" i="46"/>
  <c r="E829" i="46"/>
  <c r="D829" i="46"/>
  <c r="O828" i="46"/>
  <c r="N828" i="46"/>
  <c r="M828" i="46"/>
  <c r="L828" i="46"/>
  <c r="K828" i="46"/>
  <c r="J828" i="46"/>
  <c r="I828" i="46"/>
  <c r="H828" i="46"/>
  <c r="G828" i="46"/>
  <c r="F828" i="46"/>
  <c r="E828" i="46"/>
  <c r="D828" i="46"/>
  <c r="O827" i="46"/>
  <c r="N827" i="46"/>
  <c r="M827" i="46"/>
  <c r="L827" i="46"/>
  <c r="K827" i="46"/>
  <c r="J827" i="46"/>
  <c r="I827" i="46"/>
  <c r="H827" i="46"/>
  <c r="G827" i="46"/>
  <c r="F827" i="46"/>
  <c r="E827" i="46"/>
  <c r="D827" i="46"/>
  <c r="O826" i="46"/>
  <c r="N826" i="46"/>
  <c r="M826" i="46"/>
  <c r="L826" i="46"/>
  <c r="K826" i="46"/>
  <c r="J826" i="46"/>
  <c r="I826" i="46"/>
  <c r="H826" i="46"/>
  <c r="G826" i="46"/>
  <c r="F826" i="46"/>
  <c r="E826" i="46"/>
  <c r="D826" i="46"/>
  <c r="O825" i="46"/>
  <c r="N825" i="46"/>
  <c r="M825" i="46"/>
  <c r="L825" i="46"/>
  <c r="K825" i="46"/>
  <c r="J825" i="46"/>
  <c r="I825" i="46"/>
  <c r="H825" i="46"/>
  <c r="G825" i="46"/>
  <c r="F825" i="46"/>
  <c r="E825" i="46"/>
  <c r="D825" i="46"/>
  <c r="O824" i="46"/>
  <c r="N824" i="46"/>
  <c r="M824" i="46"/>
  <c r="L824" i="46"/>
  <c r="K824" i="46"/>
  <c r="J824" i="46"/>
  <c r="I824" i="46"/>
  <c r="H824" i="46"/>
  <c r="G824" i="46"/>
  <c r="F824" i="46"/>
  <c r="E824" i="46"/>
  <c r="D824" i="46"/>
  <c r="O823" i="46"/>
  <c r="N823" i="46"/>
  <c r="M823" i="46"/>
  <c r="L823" i="46"/>
  <c r="K823" i="46"/>
  <c r="J823" i="46"/>
  <c r="I823" i="46"/>
  <c r="H823" i="46"/>
  <c r="G823" i="46"/>
  <c r="F823" i="46"/>
  <c r="E823" i="46"/>
  <c r="D823" i="46"/>
  <c r="O822" i="46"/>
  <c r="N822" i="46"/>
  <c r="M822" i="46"/>
  <c r="L822" i="46"/>
  <c r="K822" i="46"/>
  <c r="J822" i="46"/>
  <c r="I822" i="46"/>
  <c r="H822" i="46"/>
  <c r="G822" i="46"/>
  <c r="F822" i="46"/>
  <c r="E822" i="46"/>
  <c r="D822" i="46"/>
  <c r="O821" i="46"/>
  <c r="N821" i="46"/>
  <c r="M821" i="46"/>
  <c r="L821" i="46"/>
  <c r="K821" i="46"/>
  <c r="J821" i="46"/>
  <c r="I821" i="46"/>
  <c r="H821" i="46"/>
  <c r="G821" i="46"/>
  <c r="F821" i="46"/>
  <c r="E821" i="46"/>
  <c r="D821" i="46"/>
  <c r="O820" i="46"/>
  <c r="N820" i="46"/>
  <c r="M820" i="46"/>
  <c r="L820" i="46"/>
  <c r="K820" i="46"/>
  <c r="J820" i="46"/>
  <c r="I820" i="46"/>
  <c r="H820" i="46"/>
  <c r="G820" i="46"/>
  <c r="F820" i="46"/>
  <c r="E820" i="46"/>
  <c r="D820" i="46"/>
  <c r="C799" i="46"/>
  <c r="D799" i="46" s="1"/>
  <c r="E769" i="46"/>
  <c r="E768" i="46"/>
  <c r="E767" i="46"/>
  <c r="E766" i="46"/>
  <c r="E765" i="46"/>
  <c r="E764" i="46"/>
  <c r="E763" i="46"/>
  <c r="I727" i="46"/>
  <c r="I726" i="46"/>
  <c r="I725" i="46"/>
  <c r="I724" i="46"/>
  <c r="I723" i="46"/>
  <c r="I722" i="46"/>
  <c r="I721" i="46"/>
  <c r="I720" i="46"/>
  <c r="C719" i="46"/>
  <c r="D719" i="46" s="1"/>
  <c r="Z688" i="46"/>
  <c r="Y688" i="46"/>
  <c r="X688" i="46"/>
  <c r="W688" i="46"/>
  <c r="V688" i="46"/>
  <c r="U688" i="46"/>
  <c r="T688" i="46"/>
  <c r="S688" i="46"/>
  <c r="R688" i="46"/>
  <c r="Q688" i="46"/>
  <c r="P688" i="46"/>
  <c r="O688" i="46"/>
  <c r="N688" i="46"/>
  <c r="M688" i="46"/>
  <c r="L688" i="46"/>
  <c r="K688" i="46"/>
  <c r="J688" i="46"/>
  <c r="I688" i="46"/>
  <c r="H688" i="46"/>
  <c r="G688" i="46"/>
  <c r="F688" i="46"/>
  <c r="E688" i="46"/>
  <c r="D688" i="46"/>
  <c r="Z687" i="46"/>
  <c r="Y687" i="46"/>
  <c r="X687" i="46"/>
  <c r="W687" i="46"/>
  <c r="V687" i="46"/>
  <c r="U687" i="46"/>
  <c r="T687" i="46"/>
  <c r="S687" i="46"/>
  <c r="R687" i="46"/>
  <c r="Q687" i="46"/>
  <c r="P687" i="46"/>
  <c r="O687" i="46"/>
  <c r="N687" i="46"/>
  <c r="M687" i="46"/>
  <c r="L687" i="46"/>
  <c r="K687" i="46"/>
  <c r="J687" i="46"/>
  <c r="I687" i="46"/>
  <c r="H687" i="46"/>
  <c r="G687" i="46"/>
  <c r="F687" i="46"/>
  <c r="E687" i="46"/>
  <c r="D687" i="46"/>
  <c r="Z686" i="46"/>
  <c r="Y686" i="46"/>
  <c r="X686" i="46"/>
  <c r="W686" i="46"/>
  <c r="V686" i="46"/>
  <c r="U686" i="46"/>
  <c r="T686" i="46"/>
  <c r="S686" i="46"/>
  <c r="R686" i="46"/>
  <c r="Q686" i="46"/>
  <c r="P686" i="46"/>
  <c r="O686" i="46"/>
  <c r="N686" i="46"/>
  <c r="M686" i="46"/>
  <c r="L686" i="46"/>
  <c r="K686" i="46"/>
  <c r="J686" i="46"/>
  <c r="I686" i="46"/>
  <c r="H686" i="46"/>
  <c r="G686" i="46"/>
  <c r="F686" i="46"/>
  <c r="E686" i="46"/>
  <c r="D686" i="46"/>
  <c r="Z685" i="46"/>
  <c r="Y685" i="46"/>
  <c r="X685" i="46"/>
  <c r="W685" i="46"/>
  <c r="V685" i="46"/>
  <c r="U685" i="46"/>
  <c r="T685" i="46"/>
  <c r="S685" i="46"/>
  <c r="R685" i="46"/>
  <c r="Q685" i="46"/>
  <c r="P685" i="46"/>
  <c r="O685" i="46"/>
  <c r="N685" i="46"/>
  <c r="M685" i="46"/>
  <c r="L685" i="46"/>
  <c r="K685" i="46"/>
  <c r="J685" i="46"/>
  <c r="I685" i="46"/>
  <c r="H685" i="46"/>
  <c r="G685" i="46"/>
  <c r="F685" i="46"/>
  <c r="E685" i="46"/>
  <c r="D685" i="46"/>
  <c r="Z684" i="46"/>
  <c r="Y684" i="46"/>
  <c r="X684" i="46"/>
  <c r="W684" i="46"/>
  <c r="V684" i="46"/>
  <c r="U684" i="46"/>
  <c r="T684" i="46"/>
  <c r="S684" i="46"/>
  <c r="R684" i="46"/>
  <c r="Q684" i="46"/>
  <c r="P684" i="46"/>
  <c r="O684" i="46"/>
  <c r="N684" i="46"/>
  <c r="M684" i="46"/>
  <c r="L684" i="46"/>
  <c r="K684" i="46"/>
  <c r="J684" i="46"/>
  <c r="I684" i="46"/>
  <c r="H684" i="46"/>
  <c r="G684" i="46"/>
  <c r="F684" i="46"/>
  <c r="E684" i="46"/>
  <c r="D684" i="46"/>
  <c r="Z683" i="46"/>
  <c r="Y683" i="46"/>
  <c r="X683" i="46"/>
  <c r="W683" i="46"/>
  <c r="V683" i="46"/>
  <c r="U683" i="46"/>
  <c r="T683" i="46"/>
  <c r="S683" i="46"/>
  <c r="R683" i="46"/>
  <c r="Q683" i="46"/>
  <c r="P683" i="46"/>
  <c r="O683" i="46"/>
  <c r="N683" i="46"/>
  <c r="M683" i="46"/>
  <c r="L683" i="46"/>
  <c r="K683" i="46"/>
  <c r="J683" i="46"/>
  <c r="I683" i="46"/>
  <c r="H683" i="46"/>
  <c r="G683" i="46"/>
  <c r="F683" i="46"/>
  <c r="E683" i="46"/>
  <c r="D683" i="46"/>
  <c r="Z682" i="46"/>
  <c r="Y682" i="46"/>
  <c r="X682" i="46"/>
  <c r="W682" i="46"/>
  <c r="V682" i="46"/>
  <c r="U682" i="46"/>
  <c r="T682" i="46"/>
  <c r="S682" i="46"/>
  <c r="R682" i="46"/>
  <c r="Q682" i="46"/>
  <c r="P682" i="46"/>
  <c r="O682" i="46"/>
  <c r="N682" i="46"/>
  <c r="M682" i="46"/>
  <c r="L682" i="46"/>
  <c r="K682" i="46"/>
  <c r="J682" i="46"/>
  <c r="I682" i="46"/>
  <c r="H682" i="46"/>
  <c r="G682" i="46"/>
  <c r="F682" i="46"/>
  <c r="E682" i="46"/>
  <c r="D682" i="46"/>
  <c r="Z681" i="46"/>
  <c r="Y681" i="46"/>
  <c r="X681" i="46"/>
  <c r="W681" i="46"/>
  <c r="V681" i="46"/>
  <c r="U681" i="46"/>
  <c r="T681" i="46"/>
  <c r="S681" i="46"/>
  <c r="R681" i="46"/>
  <c r="Q681" i="46"/>
  <c r="P681" i="46"/>
  <c r="O681" i="46"/>
  <c r="N681" i="46"/>
  <c r="M681" i="46"/>
  <c r="L681" i="46"/>
  <c r="K681" i="46"/>
  <c r="J681" i="46"/>
  <c r="I681" i="46"/>
  <c r="H681" i="46"/>
  <c r="G681" i="46"/>
  <c r="F681" i="46"/>
  <c r="E681" i="46"/>
  <c r="D681" i="46"/>
  <c r="Z680" i="46"/>
  <c r="Y680" i="46"/>
  <c r="X680" i="46"/>
  <c r="W680" i="46"/>
  <c r="V680" i="46"/>
  <c r="U680" i="46"/>
  <c r="T680" i="46"/>
  <c r="S680" i="46"/>
  <c r="R680" i="46"/>
  <c r="Q680" i="46"/>
  <c r="P680" i="46"/>
  <c r="O680" i="46"/>
  <c r="N680" i="46"/>
  <c r="M680" i="46"/>
  <c r="L680" i="46"/>
  <c r="K680" i="46"/>
  <c r="J680" i="46"/>
  <c r="I680" i="46"/>
  <c r="H680" i="46"/>
  <c r="G680" i="46"/>
  <c r="F680" i="46"/>
  <c r="E680" i="46"/>
  <c r="D680" i="46"/>
  <c r="Z679" i="46"/>
  <c r="Y679" i="46"/>
  <c r="X679" i="46"/>
  <c r="W679" i="46"/>
  <c r="V679" i="46"/>
  <c r="U679" i="46"/>
  <c r="T679" i="46"/>
  <c r="S679" i="46"/>
  <c r="R679" i="46"/>
  <c r="Q679" i="46"/>
  <c r="P679" i="46"/>
  <c r="O679" i="46"/>
  <c r="N679" i="46"/>
  <c r="M679" i="46"/>
  <c r="L679" i="46"/>
  <c r="K679" i="46"/>
  <c r="J679" i="46"/>
  <c r="I679" i="46"/>
  <c r="H679" i="46"/>
  <c r="G679" i="46"/>
  <c r="F679" i="46"/>
  <c r="E679" i="46"/>
  <c r="D679" i="46"/>
  <c r="Z678" i="46"/>
  <c r="Y678" i="46"/>
  <c r="X678" i="46"/>
  <c r="W678" i="46"/>
  <c r="V678" i="46"/>
  <c r="U678" i="46"/>
  <c r="T678" i="46"/>
  <c r="S678" i="46"/>
  <c r="R678" i="46"/>
  <c r="Q678" i="46"/>
  <c r="P678" i="46"/>
  <c r="O678" i="46"/>
  <c r="N678" i="46"/>
  <c r="M678" i="46"/>
  <c r="L678" i="46"/>
  <c r="K678" i="46"/>
  <c r="J678" i="46"/>
  <c r="I678" i="46"/>
  <c r="H678" i="46"/>
  <c r="G678" i="46"/>
  <c r="F678" i="46"/>
  <c r="E678" i="46"/>
  <c r="D678" i="46"/>
  <c r="Z677" i="46"/>
  <c r="Y677" i="46"/>
  <c r="X677" i="46"/>
  <c r="W677" i="46"/>
  <c r="V677" i="46"/>
  <c r="U677" i="46"/>
  <c r="T677" i="46"/>
  <c r="S677" i="46"/>
  <c r="R677" i="46"/>
  <c r="Q677" i="46"/>
  <c r="P677" i="46"/>
  <c r="O677" i="46"/>
  <c r="N677" i="46"/>
  <c r="M677" i="46"/>
  <c r="L677" i="46"/>
  <c r="K677" i="46"/>
  <c r="J677" i="46"/>
  <c r="I677" i="46"/>
  <c r="H677" i="46"/>
  <c r="G677" i="46"/>
  <c r="F677" i="46"/>
  <c r="E677" i="46"/>
  <c r="D677" i="46"/>
  <c r="Z676" i="46"/>
  <c r="Y676" i="46"/>
  <c r="X676" i="46"/>
  <c r="W676" i="46"/>
  <c r="V676" i="46"/>
  <c r="U676" i="46"/>
  <c r="T676" i="46"/>
  <c r="S676" i="46"/>
  <c r="R676" i="46"/>
  <c r="Q676" i="46"/>
  <c r="P676" i="46"/>
  <c r="O676" i="46"/>
  <c r="N676" i="46"/>
  <c r="M676" i="46"/>
  <c r="L676" i="46"/>
  <c r="K676" i="46"/>
  <c r="J676" i="46"/>
  <c r="I676" i="46"/>
  <c r="H676" i="46"/>
  <c r="G676" i="46"/>
  <c r="F676" i="46"/>
  <c r="E676" i="46"/>
  <c r="D676" i="46"/>
  <c r="Z675" i="46"/>
  <c r="Y675" i="46"/>
  <c r="X675" i="46"/>
  <c r="W675" i="46"/>
  <c r="V675" i="46"/>
  <c r="U675" i="46"/>
  <c r="T675" i="46"/>
  <c r="S675" i="46"/>
  <c r="R675" i="46"/>
  <c r="Q675" i="46"/>
  <c r="P675" i="46"/>
  <c r="O675" i="46"/>
  <c r="N675" i="46"/>
  <c r="M675" i="46"/>
  <c r="L675" i="46"/>
  <c r="K675" i="46"/>
  <c r="J675" i="46"/>
  <c r="I675" i="46"/>
  <c r="H675" i="46"/>
  <c r="G675" i="46"/>
  <c r="F675" i="46"/>
  <c r="E675" i="46"/>
  <c r="D675" i="46"/>
  <c r="Z674" i="46"/>
  <c r="Y674" i="46"/>
  <c r="X674" i="46"/>
  <c r="W674" i="46"/>
  <c r="V674" i="46"/>
  <c r="U674" i="46"/>
  <c r="T674" i="46"/>
  <c r="S674" i="46"/>
  <c r="R674" i="46"/>
  <c r="Q674" i="46"/>
  <c r="P674" i="46"/>
  <c r="O674" i="46"/>
  <c r="N674" i="46"/>
  <c r="M674" i="46"/>
  <c r="L674" i="46"/>
  <c r="K674" i="46"/>
  <c r="J674" i="46"/>
  <c r="I674" i="46"/>
  <c r="H674" i="46"/>
  <c r="G674" i="46"/>
  <c r="F674" i="46"/>
  <c r="E674" i="46"/>
  <c r="D674" i="46"/>
  <c r="Z673" i="46"/>
  <c r="Y673" i="46"/>
  <c r="X673" i="46"/>
  <c r="W673" i="46"/>
  <c r="V673" i="46"/>
  <c r="U673" i="46"/>
  <c r="T673" i="46"/>
  <c r="S673" i="46"/>
  <c r="R673" i="46"/>
  <c r="Q673" i="46"/>
  <c r="P673" i="46"/>
  <c r="O673" i="46"/>
  <c r="N673" i="46"/>
  <c r="M673" i="46"/>
  <c r="L673" i="46"/>
  <c r="K673" i="46"/>
  <c r="J673" i="46"/>
  <c r="I673" i="46"/>
  <c r="H673" i="46"/>
  <c r="G673" i="46"/>
  <c r="F673" i="46"/>
  <c r="E673" i="46"/>
  <c r="D673" i="46"/>
  <c r="Z672" i="46"/>
  <c r="Y672" i="46"/>
  <c r="X672" i="46"/>
  <c r="W672" i="46"/>
  <c r="V672" i="46"/>
  <c r="U672" i="46"/>
  <c r="T672" i="46"/>
  <c r="S672" i="46"/>
  <c r="R672" i="46"/>
  <c r="Q672" i="46"/>
  <c r="P672" i="46"/>
  <c r="O672" i="46"/>
  <c r="N672" i="46"/>
  <c r="M672" i="46"/>
  <c r="L672" i="46"/>
  <c r="K672" i="46"/>
  <c r="J672" i="46"/>
  <c r="I672" i="46"/>
  <c r="H672" i="46"/>
  <c r="G672" i="46"/>
  <c r="F672" i="46"/>
  <c r="E672" i="46"/>
  <c r="D672" i="46"/>
  <c r="Z671" i="46"/>
  <c r="Y671" i="46"/>
  <c r="X671" i="46"/>
  <c r="W671" i="46"/>
  <c r="V671" i="46"/>
  <c r="U671" i="46"/>
  <c r="T671" i="46"/>
  <c r="S671" i="46"/>
  <c r="R671" i="46"/>
  <c r="Q671" i="46"/>
  <c r="P671" i="46"/>
  <c r="O671" i="46"/>
  <c r="N671" i="46"/>
  <c r="M671" i="46"/>
  <c r="L671" i="46"/>
  <c r="K671" i="46"/>
  <c r="J671" i="46"/>
  <c r="I671" i="46"/>
  <c r="H671" i="46"/>
  <c r="G671" i="46"/>
  <c r="F671" i="46"/>
  <c r="E671" i="46"/>
  <c r="D671" i="46"/>
  <c r="Z670" i="46"/>
  <c r="Y670" i="46"/>
  <c r="X670" i="46"/>
  <c r="W670" i="46"/>
  <c r="V670" i="46"/>
  <c r="U670" i="46"/>
  <c r="T670" i="46"/>
  <c r="S670" i="46"/>
  <c r="R670" i="46"/>
  <c r="Q670" i="46"/>
  <c r="P670" i="46"/>
  <c r="O670" i="46"/>
  <c r="N670" i="46"/>
  <c r="M670" i="46"/>
  <c r="L670" i="46"/>
  <c r="K670" i="46"/>
  <c r="J670" i="46"/>
  <c r="I670" i="46"/>
  <c r="H670" i="46"/>
  <c r="G670" i="46"/>
  <c r="F670" i="46"/>
  <c r="E670" i="46"/>
  <c r="D670" i="46"/>
  <c r="Z669" i="46"/>
  <c r="Y669" i="46"/>
  <c r="X669" i="46"/>
  <c r="W669" i="46"/>
  <c r="V669" i="46"/>
  <c r="U669" i="46"/>
  <c r="T669" i="46"/>
  <c r="S669" i="46"/>
  <c r="R669" i="46"/>
  <c r="Q669" i="46"/>
  <c r="P669" i="46"/>
  <c r="O669" i="46"/>
  <c r="N669" i="46"/>
  <c r="M669" i="46"/>
  <c r="L669" i="46"/>
  <c r="K669" i="46"/>
  <c r="J669" i="46"/>
  <c r="I669" i="46"/>
  <c r="H669" i="46"/>
  <c r="G669" i="46"/>
  <c r="F669" i="46"/>
  <c r="E669" i="46"/>
  <c r="D669" i="46"/>
  <c r="Z668" i="46"/>
  <c r="Y668" i="46"/>
  <c r="X668" i="46"/>
  <c r="W668" i="46"/>
  <c r="V668" i="46"/>
  <c r="U668" i="46"/>
  <c r="T668" i="46"/>
  <c r="S668" i="46"/>
  <c r="R668" i="46"/>
  <c r="Q668" i="46"/>
  <c r="P668" i="46"/>
  <c r="O668" i="46"/>
  <c r="N668" i="46"/>
  <c r="M668" i="46"/>
  <c r="L668" i="46"/>
  <c r="K668" i="46"/>
  <c r="J668" i="46"/>
  <c r="I668" i="46"/>
  <c r="H668" i="46"/>
  <c r="G668" i="46"/>
  <c r="F668" i="46"/>
  <c r="E668" i="46"/>
  <c r="D668" i="46"/>
  <c r="Z667" i="46"/>
  <c r="Y667" i="46"/>
  <c r="X667" i="46"/>
  <c r="W667" i="46"/>
  <c r="V667" i="46"/>
  <c r="U667" i="46"/>
  <c r="T667" i="46"/>
  <c r="S667" i="46"/>
  <c r="R667" i="46"/>
  <c r="Q667" i="46"/>
  <c r="P667" i="46"/>
  <c r="O667" i="46"/>
  <c r="N667" i="46"/>
  <c r="M667" i="46"/>
  <c r="L667" i="46"/>
  <c r="K667" i="46"/>
  <c r="J667" i="46"/>
  <c r="I667" i="46"/>
  <c r="H667" i="46"/>
  <c r="G667" i="46"/>
  <c r="F667" i="46"/>
  <c r="E667" i="46"/>
  <c r="D667" i="46"/>
  <c r="L638" i="46"/>
  <c r="L637" i="46"/>
  <c r="L636" i="46"/>
  <c r="L635" i="46"/>
  <c r="L634" i="46"/>
  <c r="L633" i="46"/>
  <c r="L632" i="46"/>
  <c r="C632" i="46"/>
  <c r="D632" i="46" s="1"/>
  <c r="L631" i="46"/>
  <c r="C614" i="46"/>
  <c r="B614" i="46"/>
  <c r="C613" i="46"/>
  <c r="B613" i="46"/>
  <c r="C612" i="46"/>
  <c r="B612" i="46"/>
  <c r="C611" i="46"/>
  <c r="B611" i="46"/>
  <c r="C610" i="46"/>
  <c r="B610" i="46"/>
  <c r="M609" i="46"/>
  <c r="L609" i="46"/>
  <c r="K609" i="46"/>
  <c r="J609" i="46"/>
  <c r="I609" i="46"/>
  <c r="H609" i="46"/>
  <c r="G609" i="46"/>
  <c r="F609" i="46"/>
  <c r="C609" i="46"/>
  <c r="B609" i="46"/>
  <c r="M608" i="46"/>
  <c r="L608" i="46"/>
  <c r="K608" i="46"/>
  <c r="J608" i="46"/>
  <c r="I608" i="46"/>
  <c r="H608" i="46"/>
  <c r="G608" i="46"/>
  <c r="F608" i="46"/>
  <c r="C608" i="46"/>
  <c r="B608" i="46"/>
  <c r="M607" i="46"/>
  <c r="L607" i="46"/>
  <c r="K607" i="46"/>
  <c r="J607" i="46"/>
  <c r="I607" i="46"/>
  <c r="H607" i="46"/>
  <c r="G607" i="46"/>
  <c r="F607" i="46"/>
  <c r="C607" i="46"/>
  <c r="B607" i="46"/>
  <c r="C606" i="46"/>
  <c r="B606" i="46"/>
  <c r="C605" i="46"/>
  <c r="B605" i="46"/>
  <c r="C604" i="46"/>
  <c r="B604" i="46"/>
  <c r="M603" i="46"/>
  <c r="L603" i="46"/>
  <c r="K603" i="46"/>
  <c r="J603" i="46"/>
  <c r="I603" i="46"/>
  <c r="H603" i="46"/>
  <c r="G603" i="46"/>
  <c r="F603" i="46"/>
  <c r="C603" i="46"/>
  <c r="B603" i="46"/>
  <c r="M602" i="46"/>
  <c r="L602" i="46"/>
  <c r="K602" i="46"/>
  <c r="J602" i="46"/>
  <c r="I602" i="46"/>
  <c r="H602" i="46"/>
  <c r="G602" i="46"/>
  <c r="F602" i="46"/>
  <c r="C602" i="46"/>
  <c r="B602" i="46"/>
  <c r="M601" i="46"/>
  <c r="L601" i="46"/>
  <c r="K601" i="46"/>
  <c r="J601" i="46"/>
  <c r="I601" i="46"/>
  <c r="H601" i="46"/>
  <c r="G601" i="46"/>
  <c r="F601" i="46"/>
  <c r="C601" i="46"/>
  <c r="B601" i="46"/>
  <c r="C600" i="46"/>
  <c r="B600" i="46"/>
  <c r="B599" i="46"/>
  <c r="C598" i="46"/>
  <c r="B598" i="46"/>
  <c r="C597" i="46"/>
  <c r="B597" i="46"/>
  <c r="C596" i="46"/>
  <c r="B596" i="46"/>
  <c r="C595" i="46"/>
  <c r="B595" i="46"/>
  <c r="C594" i="46"/>
  <c r="B594" i="46"/>
  <c r="P583" i="46"/>
  <c r="O583" i="46"/>
  <c r="N583" i="46"/>
  <c r="M583" i="46"/>
  <c r="C571" i="46"/>
  <c r="D571" i="46" s="1"/>
  <c r="D570" i="46"/>
  <c r="C570" i="46"/>
  <c r="C548" i="46"/>
  <c r="B548" i="46"/>
  <c r="C547" i="46"/>
  <c r="B547" i="46"/>
  <c r="C546" i="46"/>
  <c r="B546" i="46"/>
  <c r="C545" i="46"/>
  <c r="B545" i="46"/>
  <c r="C544" i="46"/>
  <c r="B544" i="46"/>
  <c r="C543" i="46"/>
  <c r="B543" i="46"/>
  <c r="C542" i="46"/>
  <c r="B542" i="46"/>
  <c r="C541" i="46"/>
  <c r="B541" i="46"/>
  <c r="C540" i="46"/>
  <c r="B540" i="46"/>
  <c r="C539" i="46"/>
  <c r="B539" i="46"/>
  <c r="C538" i="46"/>
  <c r="B538" i="46"/>
  <c r="N537" i="46"/>
  <c r="L537" i="46"/>
  <c r="K537" i="46"/>
  <c r="J537" i="46"/>
  <c r="I537" i="46"/>
  <c r="H537" i="46"/>
  <c r="G537" i="46"/>
  <c r="F537" i="46"/>
  <c r="C537" i="46"/>
  <c r="B537" i="46"/>
  <c r="N536" i="46"/>
  <c r="L536" i="46"/>
  <c r="K536" i="46"/>
  <c r="J536" i="46"/>
  <c r="I536" i="46"/>
  <c r="H536" i="46"/>
  <c r="G536" i="46"/>
  <c r="F536" i="46"/>
  <c r="C536" i="46"/>
  <c r="B536" i="46"/>
  <c r="N535" i="46"/>
  <c r="L535" i="46"/>
  <c r="K535" i="46"/>
  <c r="J535" i="46"/>
  <c r="I535" i="46"/>
  <c r="H535" i="46"/>
  <c r="G535" i="46"/>
  <c r="F535" i="46"/>
  <c r="C535" i="46"/>
  <c r="B535" i="46"/>
  <c r="C534" i="46"/>
  <c r="B534" i="46"/>
  <c r="C533" i="46"/>
  <c r="B533" i="46"/>
  <c r="C532" i="46"/>
  <c r="B532" i="46"/>
  <c r="C531" i="46"/>
  <c r="B531" i="46"/>
  <c r="C530" i="46"/>
  <c r="B530" i="46"/>
  <c r="C529" i="46"/>
  <c r="B529" i="46"/>
  <c r="B528" i="46"/>
  <c r="T512" i="46"/>
  <c r="C502" i="46"/>
  <c r="D502" i="46" s="1"/>
  <c r="AR449" i="46"/>
  <c r="AH433" i="46"/>
  <c r="B427" i="46"/>
  <c r="I375" i="46"/>
  <c r="H375" i="46"/>
  <c r="G375" i="46"/>
  <c r="F375" i="46"/>
  <c r="D375" i="46"/>
  <c r="B370" i="46"/>
  <c r="B369" i="46"/>
  <c r="B368" i="46"/>
  <c r="V356" i="46"/>
  <c r="V355" i="46"/>
  <c r="I322" i="46"/>
  <c r="I321" i="46"/>
  <c r="I320" i="46"/>
  <c r="I319" i="46"/>
  <c r="I318" i="46"/>
  <c r="I317" i="46"/>
  <c r="I316" i="46"/>
  <c r="I314" i="46"/>
  <c r="I313" i="46"/>
  <c r="I312" i="46"/>
  <c r="I311" i="46"/>
  <c r="I310" i="46"/>
  <c r="I309" i="46"/>
  <c r="I308" i="46"/>
  <c r="D287" i="46"/>
  <c r="C287" i="46"/>
  <c r="E242" i="46"/>
  <c r="H239" i="46"/>
  <c r="E238" i="46"/>
  <c r="C238" i="46"/>
  <c r="I168" i="46"/>
  <c r="I166" i="46"/>
  <c r="A126" i="46"/>
  <c r="A123" i="46"/>
  <c r="A122" i="46"/>
  <c r="B107" i="46"/>
  <c r="B106" i="46"/>
  <c r="B105" i="46"/>
  <c r="B104" i="46"/>
  <c r="B103" i="46"/>
  <c r="B102" i="46"/>
  <c r="B101" i="46"/>
  <c r="B100" i="46"/>
  <c r="B99" i="46"/>
  <c r="B98" i="46"/>
  <c r="B97" i="46"/>
  <c r="B96" i="46"/>
  <c r="B95" i="46"/>
  <c r="B94" i="46"/>
  <c r="B93" i="46"/>
  <c r="B92" i="46"/>
  <c r="B91" i="46"/>
  <c r="B90" i="46"/>
  <c r="B89" i="46"/>
  <c r="B88" i="46"/>
  <c r="B87" i="46"/>
  <c r="C17" i="46"/>
  <c r="D159" i="51" s="1"/>
  <c r="C15" i="46"/>
  <c r="B13" i="45"/>
  <c r="C16" i="46" s="1"/>
  <c r="B9" i="45"/>
  <c r="C8" i="46" s="1"/>
  <c r="B8" i="45"/>
  <c r="C7" i="46" s="1"/>
  <c r="L46" i="46" s="1"/>
  <c r="B7" i="45"/>
  <c r="C6" i="46" s="1"/>
  <c r="B6" i="45"/>
  <c r="C2" i="46" s="1"/>
  <c r="B2" i="45"/>
  <c r="B13" i="1"/>
  <c r="B6" i="1"/>
  <c r="B38" i="69" l="1"/>
  <c r="B44" i="69" s="1"/>
  <c r="E23" i="69" s="1"/>
  <c r="E24" i="69"/>
  <c r="C4" i="46"/>
  <c r="A154" i="46" s="1"/>
  <c r="B3" i="61"/>
  <c r="I4" i="63" s="1"/>
  <c r="A151" i="62"/>
  <c r="A157" i="62"/>
  <c r="B3" i="53"/>
  <c r="H4" i="55" s="1"/>
  <c r="A148" i="54"/>
  <c r="A150" i="54"/>
  <c r="Q511" i="54"/>
  <c r="A152" i="62"/>
  <c r="A153" i="62"/>
  <c r="Q504" i="62"/>
  <c r="A148" i="62"/>
  <c r="A149" i="62"/>
  <c r="A150" i="62"/>
  <c r="A68" i="62"/>
  <c r="A105" i="62" s="1"/>
  <c r="A67" i="62"/>
  <c r="A104" i="62" s="1"/>
  <c r="A114" i="62"/>
  <c r="A115" i="62"/>
  <c r="A116" i="62"/>
  <c r="A113" i="54"/>
  <c r="E307" i="54"/>
  <c r="G311" i="54" s="1"/>
  <c r="C307" i="46"/>
  <c r="B301" i="46" s="1"/>
  <c r="H20" i="46"/>
  <c r="B32" i="46"/>
  <c r="L20" i="46"/>
  <c r="J20" i="46"/>
  <c r="L20" i="54"/>
  <c r="I20" i="54"/>
  <c r="B39" i="54"/>
  <c r="G20" i="54"/>
  <c r="C307" i="54"/>
  <c r="J312" i="54" s="1"/>
  <c r="B78" i="54"/>
  <c r="E20" i="54"/>
  <c r="C46" i="54"/>
  <c r="L239" i="54" s="1"/>
  <c r="D20" i="54"/>
  <c r="C20" i="54"/>
  <c r="C342" i="54"/>
  <c r="B32" i="54"/>
  <c r="B30" i="54"/>
  <c r="B35" i="54"/>
  <c r="B29" i="54"/>
  <c r="B28" i="54"/>
  <c r="B20" i="54"/>
  <c r="B31" i="54"/>
  <c r="B20" i="46"/>
  <c r="G20" i="46"/>
  <c r="B33" i="46"/>
  <c r="B39" i="46"/>
  <c r="B35" i="46"/>
  <c r="B37" i="46"/>
  <c r="B78" i="46"/>
  <c r="Q224" i="54"/>
  <c r="Q228" i="54" s="1"/>
  <c r="D78" i="54"/>
  <c r="A64" i="46"/>
  <c r="A101" i="46" s="1"/>
  <c r="A54" i="46"/>
  <c r="A91" i="46" s="1"/>
  <c r="A62" i="46"/>
  <c r="A99" i="46" s="1"/>
  <c r="A50" i="62"/>
  <c r="A58" i="62"/>
  <c r="A95" i="62" s="1"/>
  <c r="B35" i="62"/>
  <c r="J20" i="62"/>
  <c r="B33" i="62"/>
  <c r="H20" i="62"/>
  <c r="B30" i="62"/>
  <c r="C20" i="62"/>
  <c r="B29" i="62"/>
  <c r="B20" i="62"/>
  <c r="B28" i="62"/>
  <c r="C307" i="62"/>
  <c r="B38" i="62"/>
  <c r="F20" i="62"/>
  <c r="B37" i="62"/>
  <c r="E20" i="62"/>
  <c r="B36" i="62"/>
  <c r="D20" i="62"/>
  <c r="C938" i="62"/>
  <c r="B34" i="62"/>
  <c r="B78" i="62"/>
  <c r="B32" i="62"/>
  <c r="C141" i="62"/>
  <c r="B31" i="62"/>
  <c r="I20" i="62"/>
  <c r="L20" i="62"/>
  <c r="K20" i="62"/>
  <c r="K46" i="62"/>
  <c r="C46" i="62"/>
  <c r="G20" i="62"/>
  <c r="B39" i="62"/>
  <c r="C342" i="62"/>
  <c r="C1062" i="62"/>
  <c r="Q235" i="62"/>
  <c r="Q239" i="62" s="1"/>
  <c r="D78" i="62"/>
  <c r="E46" i="62"/>
  <c r="Q224" i="62"/>
  <c r="Q228" i="62" s="1"/>
  <c r="M46" i="62"/>
  <c r="A64" i="62"/>
  <c r="A101" i="62" s="1"/>
  <c r="A56" i="62"/>
  <c r="A93" i="62" s="1"/>
  <c r="A66" i="62"/>
  <c r="A103" i="62" s="1"/>
  <c r="A62" i="62"/>
  <c r="A99" i="62" s="1"/>
  <c r="A69" i="62"/>
  <c r="A106" i="62" s="1"/>
  <c r="A63" i="62"/>
  <c r="A100" i="62" s="1"/>
  <c r="A54" i="62"/>
  <c r="A91" i="62" s="1"/>
  <c r="A61" i="62"/>
  <c r="A98" i="62" s="1"/>
  <c r="A51" i="62"/>
  <c r="A88" i="62" s="1"/>
  <c r="F235" i="62"/>
  <c r="F238" i="62" s="1"/>
  <c r="A60" i="62"/>
  <c r="A97" i="62" s="1"/>
  <c r="A52" i="62"/>
  <c r="A89" i="62" s="1"/>
  <c r="A70" i="62"/>
  <c r="A107" i="62" s="1"/>
  <c r="I342" i="62"/>
  <c r="A65" i="62"/>
  <c r="A102" i="62" s="1"/>
  <c r="A59" i="62"/>
  <c r="A96" i="62" s="1"/>
  <c r="P238" i="62"/>
  <c r="A57" i="62"/>
  <c r="A94" i="62" s="1"/>
  <c r="A55" i="62"/>
  <c r="A92" i="62" s="1"/>
  <c r="D342" i="62"/>
  <c r="E307" i="62"/>
  <c r="L46" i="62"/>
  <c r="D46" i="62"/>
  <c r="E242" i="62"/>
  <c r="I166" i="62"/>
  <c r="A126" i="62"/>
  <c r="A122" i="62"/>
  <c r="A125" i="62"/>
  <c r="A124" i="62"/>
  <c r="A121" i="62"/>
  <c r="A123" i="62"/>
  <c r="A135" i="62"/>
  <c r="A136" i="62"/>
  <c r="A134" i="62"/>
  <c r="A133" i="62"/>
  <c r="C78" i="62"/>
  <c r="F76" i="66"/>
  <c r="F79" i="66" s="1"/>
  <c r="A954" i="62"/>
  <c r="A948" i="62"/>
  <c r="A952" i="62"/>
  <c r="A955" i="62"/>
  <c r="A949" i="62"/>
  <c r="A769" i="62"/>
  <c r="Q506" i="62"/>
  <c r="Q505" i="62"/>
  <c r="A951" i="62"/>
  <c r="A768" i="62"/>
  <c r="A764" i="62"/>
  <c r="A765" i="62"/>
  <c r="A766" i="62"/>
  <c r="A767" i="62"/>
  <c r="A763" i="62"/>
  <c r="A953" i="62"/>
  <c r="A950" i="62"/>
  <c r="Q509" i="62"/>
  <c r="Q508" i="62"/>
  <c r="A156" i="62"/>
  <c r="A956" i="62"/>
  <c r="Q511" i="62"/>
  <c r="A154" i="62"/>
  <c r="Q510" i="62"/>
  <c r="A155" i="62"/>
  <c r="Q503" i="62"/>
  <c r="Q507" i="62"/>
  <c r="C81" i="68"/>
  <c r="A69" i="54"/>
  <c r="A106" i="54" s="1"/>
  <c r="A52" i="54"/>
  <c r="A89" i="54" s="1"/>
  <c r="I342" i="54"/>
  <c r="A67" i="54"/>
  <c r="A104" i="54" s="1"/>
  <c r="A62" i="54"/>
  <c r="A99" i="54" s="1"/>
  <c r="A60" i="54"/>
  <c r="A97" i="54" s="1"/>
  <c r="A51" i="54"/>
  <c r="A88" i="54" s="1"/>
  <c r="A61" i="54"/>
  <c r="A98" i="54" s="1"/>
  <c r="A58" i="54"/>
  <c r="A95" i="54" s="1"/>
  <c r="A55" i="54"/>
  <c r="A92" i="54" s="1"/>
  <c r="A53" i="54"/>
  <c r="A90" i="54" s="1"/>
  <c r="P238" i="54"/>
  <c r="A64" i="54"/>
  <c r="A101" i="54" s="1"/>
  <c r="A50" i="54"/>
  <c r="A57" i="54"/>
  <c r="A94" i="54" s="1"/>
  <c r="A63" i="54"/>
  <c r="A100" i="54" s="1"/>
  <c r="F235" i="54"/>
  <c r="F238" i="54" s="1"/>
  <c r="A66" i="54"/>
  <c r="A103" i="54" s="1"/>
  <c r="A54" i="54"/>
  <c r="A91" i="54" s="1"/>
  <c r="A70" i="54"/>
  <c r="A107" i="54" s="1"/>
  <c r="A65" i="54"/>
  <c r="A102" i="54" s="1"/>
  <c r="F76" i="58"/>
  <c r="F79" i="58" s="1"/>
  <c r="L46" i="54"/>
  <c r="C141" i="54"/>
  <c r="D46" i="54"/>
  <c r="Q235" i="54"/>
  <c r="Q239" i="54" s="1"/>
  <c r="A59" i="54"/>
  <c r="A96" i="54" s="1"/>
  <c r="A133" i="54"/>
  <c r="A136" i="54"/>
  <c r="A135" i="54"/>
  <c r="C78" i="54"/>
  <c r="A68" i="54"/>
  <c r="A105" i="54" s="1"/>
  <c r="A56" i="54"/>
  <c r="A93" i="54" s="1"/>
  <c r="A953" i="54"/>
  <c r="A948" i="54"/>
  <c r="A765" i="54"/>
  <c r="A954" i="54"/>
  <c r="A766" i="54"/>
  <c r="A956" i="54"/>
  <c r="A955" i="54"/>
  <c r="A769" i="54"/>
  <c r="Q503" i="54"/>
  <c r="A764" i="54"/>
  <c r="A949" i="54"/>
  <c r="A767" i="54"/>
  <c r="A768" i="54"/>
  <c r="A763" i="54"/>
  <c r="A952" i="54"/>
  <c r="Q510" i="54"/>
  <c r="Q504" i="54"/>
  <c r="A951" i="54"/>
  <c r="A950" i="54"/>
  <c r="Q506" i="54"/>
  <c r="Q505" i="54"/>
  <c r="A157" i="54"/>
  <c r="Q509" i="54"/>
  <c r="Q508" i="54"/>
  <c r="Q507" i="54"/>
  <c r="A154" i="54"/>
  <c r="A152" i="54"/>
  <c r="A151" i="54"/>
  <c r="A153" i="54"/>
  <c r="A149" i="54"/>
  <c r="C1062" i="54"/>
  <c r="M46" i="54"/>
  <c r="A155" i="54"/>
  <c r="E46" i="54"/>
  <c r="A156" i="54"/>
  <c r="A114" i="54"/>
  <c r="A116" i="54"/>
  <c r="C938" i="54"/>
  <c r="B36" i="54"/>
  <c r="K20" i="54"/>
  <c r="B37" i="54"/>
  <c r="J20" i="54"/>
  <c r="B34" i="54"/>
  <c r="H20" i="54"/>
  <c r="K46" i="54"/>
  <c r="B33" i="54"/>
  <c r="F20" i="54"/>
  <c r="B38" i="54"/>
  <c r="A123" i="54"/>
  <c r="A127" i="54"/>
  <c r="C81" i="60"/>
  <c r="A136" i="46"/>
  <c r="A135" i="46"/>
  <c r="A134" i="46"/>
  <c r="A133" i="46"/>
  <c r="F76" i="50"/>
  <c r="F79" i="50" s="1"/>
  <c r="E307" i="46"/>
  <c r="D46" i="46"/>
  <c r="C78" i="46"/>
  <c r="D342" i="46"/>
  <c r="A56" i="46"/>
  <c r="A93" i="46" s="1"/>
  <c r="P238" i="46"/>
  <c r="A69" i="46"/>
  <c r="A106" i="46" s="1"/>
  <c r="A58" i="46"/>
  <c r="A95" i="46" s="1"/>
  <c r="A53" i="46"/>
  <c r="A90" i="46" s="1"/>
  <c r="A50" i="46"/>
  <c r="F235" i="46"/>
  <c r="F238" i="46" s="1"/>
  <c r="A60" i="46"/>
  <c r="A97" i="46" s="1"/>
  <c r="A63" i="46"/>
  <c r="A100" i="46" s="1"/>
  <c r="A57" i="46"/>
  <c r="A94" i="46" s="1"/>
  <c r="A68" i="46"/>
  <c r="A105" i="46" s="1"/>
  <c r="A65" i="46"/>
  <c r="A102" i="46" s="1"/>
  <c r="I342" i="46"/>
  <c r="A61" i="46"/>
  <c r="A98" i="46" s="1"/>
  <c r="A59" i="46"/>
  <c r="A96" i="46" s="1"/>
  <c r="A55" i="46"/>
  <c r="A92" i="46" s="1"/>
  <c r="A51" i="46"/>
  <c r="A88" i="46" s="1"/>
  <c r="A70" i="46"/>
  <c r="A107" i="46" s="1"/>
  <c r="A67" i="46"/>
  <c r="A104" i="46" s="1"/>
  <c r="A52" i="46"/>
  <c r="A89" i="46" s="1"/>
  <c r="A66" i="46"/>
  <c r="A103" i="46" s="1"/>
  <c r="C1062" i="46"/>
  <c r="Q235" i="46"/>
  <c r="Q239" i="46" s="1"/>
  <c r="E46" i="46"/>
  <c r="Q224" i="46"/>
  <c r="Q228" i="46" s="1"/>
  <c r="D78" i="46"/>
  <c r="M46" i="46"/>
  <c r="A116" i="46"/>
  <c r="A115" i="46"/>
  <c r="A114" i="46"/>
  <c r="A113" i="46"/>
  <c r="C141" i="46"/>
  <c r="A125" i="46"/>
  <c r="A121" i="46"/>
  <c r="K20" i="46"/>
  <c r="B36" i="46"/>
  <c r="B38" i="46"/>
  <c r="A127" i="46"/>
  <c r="A951" i="46"/>
  <c r="A948" i="46"/>
  <c r="A954" i="46"/>
  <c r="A765" i="46"/>
  <c r="Q510" i="46"/>
  <c r="Q508" i="46"/>
  <c r="A766" i="46"/>
  <c r="M4" i="47"/>
  <c r="K4" i="47"/>
  <c r="J4" i="47"/>
  <c r="H4" i="47"/>
  <c r="I4" i="47"/>
  <c r="P4" i="47"/>
  <c r="O4" i="47"/>
  <c r="N4" i="47"/>
  <c r="L4" i="47"/>
  <c r="C938" i="46"/>
  <c r="C342" i="46"/>
  <c r="C20" i="46"/>
  <c r="D20" i="46"/>
  <c r="B29" i="46"/>
  <c r="C46" i="46"/>
  <c r="A128" i="46"/>
  <c r="E20" i="46"/>
  <c r="B30" i="46"/>
  <c r="A155" i="46"/>
  <c r="B28" i="46"/>
  <c r="F20" i="46"/>
  <c r="B31" i="46"/>
  <c r="A124" i="46"/>
  <c r="I20" i="46"/>
  <c r="B34" i="46"/>
  <c r="K46" i="46"/>
  <c r="C81" i="52"/>
  <c r="I168" i="3"/>
  <c r="I166" i="3"/>
  <c r="V356" i="3"/>
  <c r="V355" i="3"/>
  <c r="N16" i="43"/>
  <c r="D9" i="43"/>
  <c r="F12" i="44"/>
  <c r="D4" i="2"/>
  <c r="C4" i="2"/>
  <c r="B2" i="1"/>
  <c r="A950" i="46" l="1"/>
  <c r="Q506" i="46"/>
  <c r="Q504" i="46"/>
  <c r="Q511" i="46"/>
  <c r="A956" i="46"/>
  <c r="Q507" i="46"/>
  <c r="A949" i="46"/>
  <c r="A953" i="46"/>
  <c r="A955" i="46"/>
  <c r="A157" i="46"/>
  <c r="Q509" i="46"/>
  <c r="A153" i="46"/>
  <c r="A156" i="46"/>
  <c r="A152" i="46"/>
  <c r="A149" i="46"/>
  <c r="A768" i="46"/>
  <c r="A150" i="46"/>
  <c r="Q505" i="46"/>
  <c r="A769" i="46"/>
  <c r="A151" i="46"/>
  <c r="A952" i="46"/>
  <c r="A767" i="46"/>
  <c r="A764" i="46"/>
  <c r="Q503" i="46"/>
  <c r="A763" i="46"/>
  <c r="J4" i="63"/>
  <c r="N4" i="63"/>
  <c r="M4" i="63"/>
  <c r="O4" i="63"/>
  <c r="J4" i="55"/>
  <c r="A254" i="65"/>
  <c r="A242" i="65"/>
  <c r="A230" i="65"/>
  <c r="A218" i="65"/>
  <c r="A206" i="65"/>
  <c r="A194" i="65"/>
  <c r="A182" i="65"/>
  <c r="A170" i="65"/>
  <c r="A158" i="65"/>
  <c r="A146" i="65"/>
  <c r="A134" i="65"/>
  <c r="A122" i="65"/>
  <c r="A110" i="65"/>
  <c r="A98" i="65"/>
  <c r="A86" i="65"/>
  <c r="A74" i="65"/>
  <c r="A62" i="65"/>
  <c r="A50" i="65"/>
  <c r="A38" i="65"/>
  <c r="A26" i="65"/>
  <c r="A248" i="57"/>
  <c r="A236" i="57"/>
  <c r="A224" i="57"/>
  <c r="A212" i="57"/>
  <c r="A200" i="57"/>
  <c r="A188" i="57"/>
  <c r="A176" i="57"/>
  <c r="A164" i="57"/>
  <c r="A152" i="57"/>
  <c r="A140" i="57"/>
  <c r="A128" i="57"/>
  <c r="A116" i="57"/>
  <c r="A104" i="57"/>
  <c r="A92" i="57"/>
  <c r="A80" i="57"/>
  <c r="A68" i="57"/>
  <c r="A56" i="57"/>
  <c r="A44" i="57"/>
  <c r="A32" i="57"/>
  <c r="A20" i="57"/>
  <c r="A254" i="49"/>
  <c r="A242" i="49"/>
  <c r="A230" i="49"/>
  <c r="A218" i="49"/>
  <c r="A206" i="49"/>
  <c r="A194" i="49"/>
  <c r="A182" i="49"/>
  <c r="A170" i="49"/>
  <c r="A158" i="49"/>
  <c r="A146" i="49"/>
  <c r="A134" i="49"/>
  <c r="A122" i="49"/>
  <c r="A110" i="49"/>
  <c r="A98" i="49"/>
  <c r="A86" i="49"/>
  <c r="A74" i="49"/>
  <c r="A62" i="49"/>
  <c r="A50" i="49"/>
  <c r="A38" i="49"/>
  <c r="A26" i="49"/>
  <c r="A253" i="65"/>
  <c r="A252" i="65"/>
  <c r="A240" i="65"/>
  <c r="A228" i="65"/>
  <c r="A216" i="65"/>
  <c r="A204" i="65"/>
  <c r="A192" i="65"/>
  <c r="A180" i="65"/>
  <c r="A168" i="65"/>
  <c r="A156" i="65"/>
  <c r="A144" i="65"/>
  <c r="A132" i="65"/>
  <c r="A120" i="65"/>
  <c r="A108" i="65"/>
  <c r="A96" i="65"/>
  <c r="A84" i="65"/>
  <c r="A72" i="65"/>
  <c r="A60" i="65"/>
  <c r="A48" i="65"/>
  <c r="A36" i="65"/>
  <c r="A24" i="65"/>
  <c r="A246" i="57"/>
  <c r="A234" i="57"/>
  <c r="A222" i="57"/>
  <c r="A210" i="57"/>
  <c r="A198" i="57"/>
  <c r="A186" i="57"/>
  <c r="A174" i="57"/>
  <c r="A162" i="57"/>
  <c r="A150" i="57"/>
  <c r="A138" i="57"/>
  <c r="A126" i="57"/>
  <c r="A114" i="57"/>
  <c r="A102" i="57"/>
  <c r="A90" i="57"/>
  <c r="A78" i="57"/>
  <c r="A66" i="57"/>
  <c r="A54" i="57"/>
  <c r="A42" i="57"/>
  <c r="A30" i="57"/>
  <c r="A252" i="49"/>
  <c r="A240" i="49"/>
  <c r="A228" i="49"/>
  <c r="A216" i="49"/>
  <c r="A204" i="49"/>
  <c r="A192" i="49"/>
  <c r="A180" i="49"/>
  <c r="A168" i="49"/>
  <c r="A156" i="49"/>
  <c r="A144" i="49"/>
  <c r="A132" i="49"/>
  <c r="A120" i="49"/>
  <c r="A108" i="49"/>
  <c r="A96" i="49"/>
  <c r="A84" i="49"/>
  <c r="A72" i="49"/>
  <c r="A60" i="49"/>
  <c r="A48" i="49"/>
  <c r="A36" i="49"/>
  <c r="A24" i="49"/>
  <c r="A251" i="65"/>
  <c r="A239" i="65"/>
  <c r="A227" i="65"/>
  <c r="A215" i="65"/>
  <c r="A203" i="65"/>
  <c r="A191" i="65"/>
  <c r="A179" i="65"/>
  <c r="A167" i="65"/>
  <c r="A155" i="65"/>
  <c r="A143" i="65"/>
  <c r="A131" i="65"/>
  <c r="A119" i="65"/>
  <c r="A107" i="65"/>
  <c r="A95" i="65"/>
  <c r="A83" i="65"/>
  <c r="A71" i="65"/>
  <c r="A59" i="65"/>
  <c r="A47" i="65"/>
  <c r="A35" i="65"/>
  <c r="A23" i="65"/>
  <c r="A245" i="57"/>
  <c r="A233" i="57"/>
  <c r="A221" i="57"/>
  <c r="A209" i="57"/>
  <c r="A197" i="57"/>
  <c r="A249" i="65"/>
  <c r="A237" i="65"/>
  <c r="A225" i="65"/>
  <c r="A213" i="65"/>
  <c r="A201" i="65"/>
  <c r="A189" i="65"/>
  <c r="A177" i="65"/>
  <c r="A165" i="65"/>
  <c r="A153" i="65"/>
  <c r="A141" i="65"/>
  <c r="A129" i="65"/>
  <c r="A117" i="65"/>
  <c r="A105" i="65"/>
  <c r="A93" i="65"/>
  <c r="A81" i="65"/>
  <c r="A69" i="65"/>
  <c r="A57" i="65"/>
  <c r="A45" i="65"/>
  <c r="A33" i="65"/>
  <c r="A21" i="65"/>
  <c r="A243" i="57"/>
  <c r="A231" i="57"/>
  <c r="A219" i="57"/>
  <c r="A207" i="57"/>
  <c r="A195" i="57"/>
  <c r="A183" i="57"/>
  <c r="A171" i="57"/>
  <c r="A159" i="57"/>
  <c r="A147" i="57"/>
  <c r="A135" i="57"/>
  <c r="A123" i="57"/>
  <c r="A111" i="57"/>
  <c r="A99" i="57"/>
  <c r="A87" i="57"/>
  <c r="A75" i="57"/>
  <c r="A63" i="57"/>
  <c r="A51" i="57"/>
  <c r="A39" i="57"/>
  <c r="A27" i="57"/>
  <c r="A249" i="49"/>
  <c r="A237" i="49"/>
  <c r="A225" i="49"/>
  <c r="A213" i="49"/>
  <c r="A201" i="49"/>
  <c r="A189" i="49"/>
  <c r="A177" i="49"/>
  <c r="A165" i="49"/>
  <c r="A153" i="49"/>
  <c r="A141" i="49"/>
  <c r="A129" i="49"/>
  <c r="A117" i="49"/>
  <c r="A105" i="49"/>
  <c r="A93" i="49"/>
  <c r="A81" i="49"/>
  <c r="A69" i="49"/>
  <c r="A57" i="49"/>
  <c r="A45" i="49"/>
  <c r="A33" i="49"/>
  <c r="A21" i="49"/>
  <c r="A229" i="57"/>
  <c r="A217" i="57"/>
  <c r="A205" i="57"/>
  <c r="A193" i="57"/>
  <c r="A169" i="57"/>
  <c r="A157" i="57"/>
  <c r="A133" i="57"/>
  <c r="A109" i="57"/>
  <c r="A97" i="57"/>
  <c r="A73" i="57"/>
  <c r="A49" i="57"/>
  <c r="A25" i="57"/>
  <c r="A235" i="49"/>
  <c r="A211" i="49"/>
  <c r="A187" i="49"/>
  <c r="A163" i="49"/>
  <c r="A139" i="49"/>
  <c r="A103" i="49"/>
  <c r="A79" i="49"/>
  <c r="A55" i="49"/>
  <c r="A31" i="49"/>
  <c r="A248" i="65"/>
  <c r="A236" i="65"/>
  <c r="A224" i="65"/>
  <c r="A212" i="65"/>
  <c r="A200" i="65"/>
  <c r="A188" i="65"/>
  <c r="A176" i="65"/>
  <c r="A164" i="65"/>
  <c r="A152" i="65"/>
  <c r="A140" i="65"/>
  <c r="A128" i="65"/>
  <c r="A116" i="65"/>
  <c r="A104" i="65"/>
  <c r="A92" i="65"/>
  <c r="A80" i="65"/>
  <c r="A68" i="65"/>
  <c r="A56" i="65"/>
  <c r="A44" i="65"/>
  <c r="A32" i="65"/>
  <c r="A20" i="65"/>
  <c r="A254" i="57"/>
  <c r="A242" i="57"/>
  <c r="A230" i="57"/>
  <c r="A218" i="57"/>
  <c r="A206" i="57"/>
  <c r="A194" i="57"/>
  <c r="A182" i="57"/>
  <c r="A170" i="57"/>
  <c r="A158" i="57"/>
  <c r="A146" i="57"/>
  <c r="A134" i="57"/>
  <c r="A122" i="57"/>
  <c r="A110" i="57"/>
  <c r="A98" i="57"/>
  <c r="A86" i="57"/>
  <c r="A74" i="57"/>
  <c r="A62" i="57"/>
  <c r="A50" i="57"/>
  <c r="A38" i="57"/>
  <c r="A26" i="57"/>
  <c r="A248" i="49"/>
  <c r="A236" i="49"/>
  <c r="A224" i="49"/>
  <c r="A212" i="49"/>
  <c r="A200" i="49"/>
  <c r="A188" i="49"/>
  <c r="A176" i="49"/>
  <c r="A164" i="49"/>
  <c r="A152" i="49"/>
  <c r="A140" i="49"/>
  <c r="A128" i="49"/>
  <c r="A116" i="49"/>
  <c r="A104" i="49"/>
  <c r="A92" i="49"/>
  <c r="A80" i="49"/>
  <c r="A68" i="49"/>
  <c r="A56" i="49"/>
  <c r="A44" i="49"/>
  <c r="A32" i="49"/>
  <c r="A20" i="49"/>
  <c r="A241" i="57"/>
  <c r="A181" i="57"/>
  <c r="A145" i="57"/>
  <c r="A121" i="57"/>
  <c r="A85" i="57"/>
  <c r="A61" i="57"/>
  <c r="A37" i="57"/>
  <c r="A247" i="49"/>
  <c r="A223" i="49"/>
  <c r="A199" i="49"/>
  <c r="A175" i="49"/>
  <c r="A151" i="49"/>
  <c r="A127" i="49"/>
  <c r="A115" i="49"/>
  <c r="A91" i="49"/>
  <c r="A67" i="49"/>
  <c r="A43" i="49"/>
  <c r="A19" i="49"/>
  <c r="A247" i="65"/>
  <c r="A235" i="65"/>
  <c r="A223" i="65"/>
  <c r="A211" i="65"/>
  <c r="A199" i="65"/>
  <c r="A187" i="65"/>
  <c r="A175" i="65"/>
  <c r="A163" i="65"/>
  <c r="A151" i="65"/>
  <c r="A139" i="65"/>
  <c r="A127" i="65"/>
  <c r="A115" i="65"/>
  <c r="A103" i="65"/>
  <c r="A91" i="65"/>
  <c r="A79" i="65"/>
  <c r="A67" i="65"/>
  <c r="A55" i="65"/>
  <c r="A43" i="65"/>
  <c r="A31" i="65"/>
  <c r="A19" i="65"/>
  <c r="A253" i="57"/>
  <c r="A246" i="65"/>
  <c r="A234" i="65"/>
  <c r="A222" i="65"/>
  <c r="A210" i="65"/>
  <c r="A198" i="65"/>
  <c r="A186" i="65"/>
  <c r="A174" i="65"/>
  <c r="A162" i="65"/>
  <c r="A150" i="65"/>
  <c r="A138" i="65"/>
  <c r="A126" i="65"/>
  <c r="A114" i="65"/>
  <c r="A102" i="65"/>
  <c r="A90" i="65"/>
  <c r="A78" i="65"/>
  <c r="A66" i="65"/>
  <c r="A54" i="65"/>
  <c r="A42" i="65"/>
  <c r="A30" i="65"/>
  <c r="A252" i="57"/>
  <c r="A240" i="57"/>
  <c r="A228" i="57"/>
  <c r="A216" i="57"/>
  <c r="A204" i="57"/>
  <c r="A192" i="57"/>
  <c r="A180" i="57"/>
  <c r="A168" i="57"/>
  <c r="A156" i="57"/>
  <c r="A144" i="57"/>
  <c r="A132" i="57"/>
  <c r="A120" i="57"/>
  <c r="A108" i="57"/>
  <c r="A96" i="57"/>
  <c r="A84" i="57"/>
  <c r="A72" i="57"/>
  <c r="A60" i="57"/>
  <c r="A48" i="57"/>
  <c r="A36" i="57"/>
  <c r="A24" i="57"/>
  <c r="A246" i="49"/>
  <c r="A234" i="49"/>
  <c r="A222" i="49"/>
  <c r="A210" i="49"/>
  <c r="A198" i="49"/>
  <c r="A186" i="49"/>
  <c r="A174" i="49"/>
  <c r="A162" i="49"/>
  <c r="A150" i="49"/>
  <c r="A138" i="49"/>
  <c r="A126" i="49"/>
  <c r="A114" i="49"/>
  <c r="A102" i="49"/>
  <c r="A90" i="49"/>
  <c r="A78" i="49"/>
  <c r="A66" i="49"/>
  <c r="A54" i="49"/>
  <c r="A42" i="49"/>
  <c r="A30" i="49"/>
  <c r="A245" i="65"/>
  <c r="A233" i="65"/>
  <c r="A221" i="65"/>
  <c r="A209" i="65"/>
  <c r="A197" i="65"/>
  <c r="A185" i="65"/>
  <c r="A173" i="65"/>
  <c r="A161" i="65"/>
  <c r="A149" i="65"/>
  <c r="A137" i="65"/>
  <c r="A125" i="65"/>
  <c r="A113" i="65"/>
  <c r="A101" i="65"/>
  <c r="A89" i="65"/>
  <c r="A77" i="65"/>
  <c r="A65" i="65"/>
  <c r="A53" i="65"/>
  <c r="A41" i="65"/>
  <c r="A29" i="65"/>
  <c r="A251" i="57"/>
  <c r="A239" i="57"/>
  <c r="A227" i="57"/>
  <c r="A215" i="57"/>
  <c r="A203" i="57"/>
  <c r="A191" i="57"/>
  <c r="A179" i="57"/>
  <c r="A250" i="65"/>
  <c r="A214" i="65"/>
  <c r="A178" i="65"/>
  <c r="A142" i="65"/>
  <c r="A106" i="65"/>
  <c r="A70" i="65"/>
  <c r="A34" i="65"/>
  <c r="A223" i="57"/>
  <c r="A187" i="57"/>
  <c r="A161" i="57"/>
  <c r="A137" i="57"/>
  <c r="A113" i="57"/>
  <c r="A89" i="57"/>
  <c r="A65" i="57"/>
  <c r="A41" i="57"/>
  <c r="A245" i="49"/>
  <c r="A221" i="49"/>
  <c r="A197" i="49"/>
  <c r="A173" i="49"/>
  <c r="A149" i="49"/>
  <c r="A125" i="49"/>
  <c r="A101" i="49"/>
  <c r="A77" i="49"/>
  <c r="A53" i="49"/>
  <c r="A29" i="49"/>
  <c r="A220" i="49"/>
  <c r="A49" i="65"/>
  <c r="A244" i="65"/>
  <c r="A208" i="65"/>
  <c r="A172" i="65"/>
  <c r="A136" i="65"/>
  <c r="A100" i="65"/>
  <c r="A64" i="65"/>
  <c r="A28" i="65"/>
  <c r="A220" i="57"/>
  <c r="A185" i="57"/>
  <c r="A160" i="57"/>
  <c r="A136" i="57"/>
  <c r="A112" i="57"/>
  <c r="A88" i="57"/>
  <c r="A64" i="57"/>
  <c r="A40" i="57"/>
  <c r="A244" i="49"/>
  <c r="A196" i="49"/>
  <c r="A172" i="49"/>
  <c r="A148" i="49"/>
  <c r="A124" i="49"/>
  <c r="A100" i="49"/>
  <c r="A76" i="49"/>
  <c r="A52" i="49"/>
  <c r="A28" i="49"/>
  <c r="A143" i="49"/>
  <c r="A85" i="65"/>
  <c r="A190" i="65"/>
  <c r="A46" i="65"/>
  <c r="A199" i="57"/>
  <c r="A119" i="57"/>
  <c r="A47" i="57"/>
  <c r="A183" i="49"/>
  <c r="A63" i="49"/>
  <c r="A220" i="65"/>
  <c r="A118" i="57"/>
  <c r="A229" i="49"/>
  <c r="A109" i="49"/>
  <c r="A183" i="65"/>
  <c r="A75" i="65"/>
  <c r="A190" i="57"/>
  <c r="A117" i="57"/>
  <c r="A45" i="57"/>
  <c r="A251" i="49"/>
  <c r="A179" i="49"/>
  <c r="A107" i="49"/>
  <c r="A217" i="65"/>
  <c r="A243" i="65"/>
  <c r="A207" i="65"/>
  <c r="A171" i="65"/>
  <c r="A135" i="65"/>
  <c r="A99" i="65"/>
  <c r="A63" i="65"/>
  <c r="A27" i="65"/>
  <c r="A250" i="57"/>
  <c r="A214" i="57"/>
  <c r="A184" i="57"/>
  <c r="A155" i="57"/>
  <c r="A131" i="57"/>
  <c r="A107" i="57"/>
  <c r="A83" i="57"/>
  <c r="A59" i="57"/>
  <c r="A35" i="57"/>
  <c r="A243" i="49"/>
  <c r="A219" i="49"/>
  <c r="A195" i="49"/>
  <c r="A171" i="49"/>
  <c r="A147" i="49"/>
  <c r="A123" i="49"/>
  <c r="A99" i="49"/>
  <c r="A75" i="49"/>
  <c r="A51" i="49"/>
  <c r="A27" i="49"/>
  <c r="A119" i="49"/>
  <c r="A160" i="49"/>
  <c r="A112" i="65"/>
  <c r="A154" i="49"/>
  <c r="A241" i="65"/>
  <c r="A205" i="65"/>
  <c r="A169" i="65"/>
  <c r="A133" i="65"/>
  <c r="A97" i="65"/>
  <c r="A61" i="65"/>
  <c r="A25" i="65"/>
  <c r="A249" i="57"/>
  <c r="A213" i="57"/>
  <c r="A178" i="57"/>
  <c r="A154" i="57"/>
  <c r="A130" i="57"/>
  <c r="A106" i="57"/>
  <c r="A82" i="57"/>
  <c r="A58" i="57"/>
  <c r="A34" i="57"/>
  <c r="A241" i="49"/>
  <c r="A217" i="49"/>
  <c r="A193" i="49"/>
  <c r="A169" i="49"/>
  <c r="A145" i="49"/>
  <c r="A121" i="49"/>
  <c r="A97" i="49"/>
  <c r="A73" i="49"/>
  <c r="A49" i="49"/>
  <c r="A25" i="49"/>
  <c r="A157" i="65"/>
  <c r="A208" i="49"/>
  <c r="A136" i="49"/>
  <c r="A88" i="49"/>
  <c r="A40" i="49"/>
  <c r="A154" i="65"/>
  <c r="A167" i="57"/>
  <c r="A71" i="57"/>
  <c r="A231" i="49"/>
  <c r="A135" i="49"/>
  <c r="A87" i="49"/>
  <c r="A148" i="65"/>
  <c r="A147" i="65"/>
  <c r="A181" i="65"/>
  <c r="A109" i="65"/>
  <c r="A73" i="65"/>
  <c r="A37" i="65"/>
  <c r="A225" i="57"/>
  <c r="A189" i="57"/>
  <c r="A139" i="57"/>
  <c r="A115" i="57"/>
  <c r="A91" i="57"/>
  <c r="A43" i="57"/>
  <c r="A250" i="49"/>
  <c r="A202" i="49"/>
  <c r="A106" i="49"/>
  <c r="A58" i="49"/>
  <c r="A238" i="65"/>
  <c r="A202" i="65"/>
  <c r="A166" i="65"/>
  <c r="A130" i="65"/>
  <c r="A94" i="65"/>
  <c r="A58" i="65"/>
  <c r="A22" i="65"/>
  <c r="A247" i="57"/>
  <c r="A211" i="57"/>
  <c r="A177" i="57"/>
  <c r="A153" i="57"/>
  <c r="A129" i="57"/>
  <c r="A105" i="57"/>
  <c r="A81" i="57"/>
  <c r="A57" i="57"/>
  <c r="A33" i="57"/>
  <c r="A239" i="49"/>
  <c r="A215" i="49"/>
  <c r="A191" i="49"/>
  <c r="A167" i="49"/>
  <c r="A95" i="49"/>
  <c r="A71" i="49"/>
  <c r="A47" i="49"/>
  <c r="A23" i="49"/>
  <c r="A121" i="65"/>
  <c r="A112" i="49"/>
  <c r="A226" i="65"/>
  <c r="A235" i="57"/>
  <c r="A143" i="57"/>
  <c r="A95" i="57"/>
  <c r="A23" i="57"/>
  <c r="A207" i="49"/>
  <c r="A159" i="49"/>
  <c r="A111" i="49"/>
  <c r="A39" i="49"/>
  <c r="A184" i="65"/>
  <c r="A76" i="65"/>
  <c r="A40" i="65"/>
  <c r="A232" i="57"/>
  <c r="A196" i="57"/>
  <c r="A166" i="57"/>
  <c r="A94" i="57"/>
  <c r="A70" i="57"/>
  <c r="A46" i="57"/>
  <c r="A22" i="57"/>
  <c r="A253" i="49"/>
  <c r="A205" i="49"/>
  <c r="A181" i="49"/>
  <c r="A157" i="49"/>
  <c r="A85" i="49"/>
  <c r="A61" i="49"/>
  <c r="A37" i="49"/>
  <c r="A219" i="65"/>
  <c r="A111" i="65"/>
  <c r="A39" i="65"/>
  <c r="A226" i="57"/>
  <c r="A165" i="57"/>
  <c r="A141" i="57"/>
  <c r="A93" i="57"/>
  <c r="A69" i="57"/>
  <c r="A21" i="57"/>
  <c r="A227" i="49"/>
  <c r="A203" i="49"/>
  <c r="A155" i="49"/>
  <c r="A131" i="49"/>
  <c r="A83" i="49"/>
  <c r="A59" i="49"/>
  <c r="A35" i="49"/>
  <c r="A145" i="65"/>
  <c r="A163" i="57"/>
  <c r="A19" i="57"/>
  <c r="A226" i="49"/>
  <c r="A178" i="49"/>
  <c r="A130" i="49"/>
  <c r="A82" i="49"/>
  <c r="A34" i="49"/>
  <c r="A232" i="65"/>
  <c r="A196" i="65"/>
  <c r="A160" i="65"/>
  <c r="A124" i="65"/>
  <c r="A88" i="65"/>
  <c r="A52" i="65"/>
  <c r="A244" i="57"/>
  <c r="A208" i="57"/>
  <c r="A175" i="57"/>
  <c r="A151" i="57"/>
  <c r="A127" i="57"/>
  <c r="A103" i="57"/>
  <c r="A79" i="57"/>
  <c r="A55" i="57"/>
  <c r="A31" i="57"/>
  <c r="A238" i="49"/>
  <c r="A214" i="49"/>
  <c r="A190" i="49"/>
  <c r="A166" i="49"/>
  <c r="A142" i="49"/>
  <c r="A118" i="49"/>
  <c r="A94" i="49"/>
  <c r="A70" i="49"/>
  <c r="A46" i="49"/>
  <c r="A22" i="49"/>
  <c r="A193" i="65"/>
  <c r="A82" i="65"/>
  <c r="A133" i="49"/>
  <c r="A67" i="57"/>
  <c r="A231" i="65"/>
  <c r="A195" i="65"/>
  <c r="A159" i="65"/>
  <c r="A123" i="65"/>
  <c r="A87" i="65"/>
  <c r="A51" i="65"/>
  <c r="A238" i="57"/>
  <c r="A202" i="57"/>
  <c r="A173" i="57"/>
  <c r="A149" i="57"/>
  <c r="A125" i="57"/>
  <c r="A101" i="57"/>
  <c r="A77" i="57"/>
  <c r="A53" i="57"/>
  <c r="A29" i="57"/>
  <c r="A233" i="49"/>
  <c r="A209" i="49"/>
  <c r="A185" i="49"/>
  <c r="A161" i="49"/>
  <c r="A137" i="49"/>
  <c r="A113" i="49"/>
  <c r="A89" i="49"/>
  <c r="A65" i="49"/>
  <c r="A41" i="49"/>
  <c r="A229" i="65"/>
  <c r="A237" i="57"/>
  <c r="A201" i="57"/>
  <c r="A172" i="57"/>
  <c r="A148" i="57"/>
  <c r="A124" i="57"/>
  <c r="A100" i="57"/>
  <c r="A76" i="57"/>
  <c r="A52" i="57"/>
  <c r="A28" i="57"/>
  <c r="A232" i="49"/>
  <c r="A184" i="49"/>
  <c r="A64" i="49"/>
  <c r="A118" i="65"/>
  <c r="A142" i="57"/>
  <c r="A217" i="7"/>
  <c r="A218" i="7"/>
  <c r="A219" i="7"/>
  <c r="A220" i="7"/>
  <c r="A221" i="7"/>
  <c r="A222" i="7"/>
  <c r="A223" i="7"/>
  <c r="P4" i="55"/>
  <c r="K4" i="63"/>
  <c r="H4" i="63"/>
  <c r="L4" i="63"/>
  <c r="K4" i="55"/>
  <c r="N4" i="55"/>
  <c r="L4" i="55"/>
  <c r="P4" i="63"/>
  <c r="M4" i="55"/>
  <c r="O4" i="55"/>
  <c r="A148" i="46"/>
  <c r="M145" i="46" s="1"/>
  <c r="K145" i="62"/>
  <c r="D166" i="67" s="1"/>
  <c r="I4" i="55"/>
  <c r="H723" i="62"/>
  <c r="H721" i="62"/>
  <c r="E145" i="54"/>
  <c r="C12" i="54" s="1"/>
  <c r="Q46" i="54" s="1"/>
  <c r="C157" i="62"/>
  <c r="M145" i="54"/>
  <c r="J145" i="62"/>
  <c r="C884" i="62" s="1"/>
  <c r="C885" i="62" s="1"/>
  <c r="E145" i="62"/>
  <c r="C12" i="62" s="1"/>
  <c r="I46" i="62" s="1"/>
  <c r="N145" i="62"/>
  <c r="H650" i="62" s="1"/>
  <c r="G145" i="62"/>
  <c r="C838" i="62" s="1"/>
  <c r="F145" i="62"/>
  <c r="AB508" i="62" s="1"/>
  <c r="D157" i="62"/>
  <c r="M145" i="62"/>
  <c r="H724" i="54"/>
  <c r="D157" i="54"/>
  <c r="L145" i="62"/>
  <c r="I145" i="62"/>
  <c r="C865" i="62" s="1"/>
  <c r="K634" i="62"/>
  <c r="K635" i="62"/>
  <c r="H722" i="62"/>
  <c r="K633" i="62"/>
  <c r="G312" i="54"/>
  <c r="H145" i="62"/>
  <c r="B1032" i="62" s="1"/>
  <c r="C313" i="46"/>
  <c r="K313" i="46" s="1"/>
  <c r="F314" i="54"/>
  <c r="AU46" i="62"/>
  <c r="D72" i="66" s="1"/>
  <c r="U46" i="62"/>
  <c r="S239" i="62" s="1"/>
  <c r="AT46" i="62"/>
  <c r="E524" i="62" s="1"/>
  <c r="E525" i="62" s="1"/>
  <c r="W46" i="62"/>
  <c r="P307" i="62" s="1"/>
  <c r="P322" i="62" s="1"/>
  <c r="X46" i="62"/>
  <c r="AO46" i="62"/>
  <c r="K77" i="62" s="1"/>
  <c r="K78" i="62" s="1"/>
  <c r="J311" i="46"/>
  <c r="C310" i="46"/>
  <c r="K310" i="46" s="1"/>
  <c r="D310" i="46"/>
  <c r="O310" i="46" s="1"/>
  <c r="A87" i="62"/>
  <c r="E108" i="62" s="1"/>
  <c r="D145" i="67" s="1"/>
  <c r="AB46" i="62"/>
  <c r="C235" i="62" s="1"/>
  <c r="AH46" i="62"/>
  <c r="F77" i="62" s="1"/>
  <c r="F78" i="62" s="1"/>
  <c r="AZ46" i="62"/>
  <c r="AS46" i="62"/>
  <c r="C650" i="62" s="1"/>
  <c r="AJ46" i="62"/>
  <c r="H77" i="62" s="1"/>
  <c r="H78" i="62" s="1"/>
  <c r="C1073" i="62"/>
  <c r="E1071" i="62"/>
  <c r="E1075" i="62" s="1"/>
  <c r="AN46" i="62"/>
  <c r="K183" i="62" s="1"/>
  <c r="K187" i="62" s="1"/>
  <c r="AW46" i="62"/>
  <c r="C578" i="62" s="1"/>
  <c r="C311" i="46"/>
  <c r="K311" i="46" s="1"/>
  <c r="J312" i="46"/>
  <c r="J310" i="46"/>
  <c r="D311" i="46"/>
  <c r="O311" i="46" s="1"/>
  <c r="H720" i="62"/>
  <c r="H727" i="62"/>
  <c r="H726" i="62"/>
  <c r="K636" i="62"/>
  <c r="K632" i="62"/>
  <c r="C131" i="54"/>
  <c r="R307" i="54" s="1"/>
  <c r="C131" i="46"/>
  <c r="T235" i="46" s="1"/>
  <c r="C131" i="62"/>
  <c r="D591" i="62" s="1"/>
  <c r="H727" i="46"/>
  <c r="K638" i="54"/>
  <c r="K634" i="54"/>
  <c r="H720" i="54"/>
  <c r="H723" i="54"/>
  <c r="K638" i="62"/>
  <c r="H727" i="54"/>
  <c r="H721" i="54"/>
  <c r="K631" i="54"/>
  <c r="H720" i="46"/>
  <c r="H724" i="62"/>
  <c r="H725" i="62"/>
  <c r="C111" i="62"/>
  <c r="J342" i="62" s="1"/>
  <c r="K631" i="62"/>
  <c r="K636" i="54"/>
  <c r="K637" i="62"/>
  <c r="D111" i="62"/>
  <c r="K637" i="54"/>
  <c r="K632" i="54"/>
  <c r="H725" i="54"/>
  <c r="H722" i="54"/>
  <c r="H723" i="46"/>
  <c r="K637" i="46"/>
  <c r="K634" i="46"/>
  <c r="K631" i="46"/>
  <c r="H721" i="46"/>
  <c r="K635" i="46"/>
  <c r="H726" i="46"/>
  <c r="K633" i="54"/>
  <c r="K635" i="54"/>
  <c r="D111" i="54"/>
  <c r="C111" i="54"/>
  <c r="H722" i="46"/>
  <c r="H726" i="54"/>
  <c r="D312" i="46"/>
  <c r="O312" i="46" s="1"/>
  <c r="J313" i="46"/>
  <c r="C308" i="46"/>
  <c r="K308" i="46" s="1"/>
  <c r="C313" i="54"/>
  <c r="K313" i="54" s="1"/>
  <c r="C314" i="46"/>
  <c r="K314" i="46" s="1"/>
  <c r="O239" i="54"/>
  <c r="J309" i="46"/>
  <c r="L228" i="54"/>
  <c r="D308" i="46"/>
  <c r="O308" i="46" s="1"/>
  <c r="E315" i="46"/>
  <c r="G317" i="46" s="1"/>
  <c r="J308" i="46"/>
  <c r="M239" i="54"/>
  <c r="D314" i="46"/>
  <c r="O314" i="46" s="1"/>
  <c r="J314" i="46"/>
  <c r="C312" i="46"/>
  <c r="K312" i="46" s="1"/>
  <c r="M228" i="54"/>
  <c r="C309" i="46"/>
  <c r="K309" i="46" s="1"/>
  <c r="D309" i="46"/>
  <c r="O309" i="46" s="1"/>
  <c r="D313" i="46"/>
  <c r="O313" i="46" s="1"/>
  <c r="F308" i="54"/>
  <c r="F309" i="54"/>
  <c r="C301" i="54"/>
  <c r="G314" i="54"/>
  <c r="F311" i="54"/>
  <c r="F313" i="54"/>
  <c r="E314" i="54"/>
  <c r="G309" i="54"/>
  <c r="E309" i="54"/>
  <c r="M309" i="54" s="1"/>
  <c r="E313" i="54"/>
  <c r="M313" i="54" s="1"/>
  <c r="E310" i="54"/>
  <c r="L310" i="54" s="1"/>
  <c r="G313" i="54"/>
  <c r="F312" i="54"/>
  <c r="G308" i="54"/>
  <c r="E311" i="54"/>
  <c r="L311" i="54" s="1"/>
  <c r="E312" i="54"/>
  <c r="M312" i="54" s="1"/>
  <c r="E308" i="54"/>
  <c r="L308" i="54" s="1"/>
  <c r="C315" i="54"/>
  <c r="D322" i="54" s="1"/>
  <c r="O322" i="54" s="1"/>
  <c r="G310" i="54"/>
  <c r="F310" i="54"/>
  <c r="D310" i="54"/>
  <c r="O310" i="54" s="1"/>
  <c r="J309" i="54"/>
  <c r="J308" i="54"/>
  <c r="C310" i="54"/>
  <c r="K310" i="54" s="1"/>
  <c r="D308" i="54"/>
  <c r="O308" i="54" s="1"/>
  <c r="C309" i="54"/>
  <c r="K309" i="54" s="1"/>
  <c r="J310" i="54"/>
  <c r="E315" i="54"/>
  <c r="G318" i="54" s="1"/>
  <c r="C308" i="54"/>
  <c r="K308" i="54" s="1"/>
  <c r="J311" i="54"/>
  <c r="D311" i="54"/>
  <c r="O311" i="54" s="1"/>
  <c r="J314" i="54"/>
  <c r="B301" i="54"/>
  <c r="M24" i="54"/>
  <c r="AI61" i="54" s="1"/>
  <c r="D313" i="54"/>
  <c r="O313" i="54" s="1"/>
  <c r="N239" i="54"/>
  <c r="E41" i="54"/>
  <c r="AK53" i="54" s="1"/>
  <c r="M24" i="46"/>
  <c r="AI61" i="46" s="1"/>
  <c r="C311" i="54"/>
  <c r="K311" i="54" s="1"/>
  <c r="C314" i="54"/>
  <c r="K314" i="54" s="1"/>
  <c r="J313" i="54"/>
  <c r="D314" i="54"/>
  <c r="O314" i="54" s="1"/>
  <c r="D309" i="54"/>
  <c r="O309" i="54" s="1"/>
  <c r="D312" i="54"/>
  <c r="O312" i="54" s="1"/>
  <c r="C312" i="54"/>
  <c r="K312" i="54" s="1"/>
  <c r="AG46" i="62"/>
  <c r="E77" i="62" s="1"/>
  <c r="E78" i="62" s="1"/>
  <c r="AV46" i="62"/>
  <c r="AP46" i="62"/>
  <c r="L77" i="62" s="1"/>
  <c r="L78" i="62" s="1"/>
  <c r="AX46" i="62"/>
  <c r="M77" i="62" s="1"/>
  <c r="M78" i="62" s="1"/>
  <c r="AA46" i="62"/>
  <c r="L180" i="62" s="1"/>
  <c r="G1071" i="62"/>
  <c r="G1075" i="62" s="1"/>
  <c r="AQ46" i="62"/>
  <c r="N204" i="62" s="1"/>
  <c r="T46" i="62"/>
  <c r="M185" i="62" s="1"/>
  <c r="AC46" i="62"/>
  <c r="D166" i="62" s="1"/>
  <c r="A166" i="62" s="1"/>
  <c r="C180" i="62" s="1"/>
  <c r="H408" i="62" s="1"/>
  <c r="C1074" i="62"/>
  <c r="AL46" i="62"/>
  <c r="J77" i="62" s="1"/>
  <c r="J78" i="62" s="1"/>
  <c r="AM46" i="62"/>
  <c r="AR46" i="62"/>
  <c r="C140" i="62" s="1"/>
  <c r="H140" i="62" s="1"/>
  <c r="AY46" i="62"/>
  <c r="B1072" i="62"/>
  <c r="V46" i="62"/>
  <c r="D293" i="62" s="1"/>
  <c r="F1071" i="62"/>
  <c r="F1075" i="62" s="1"/>
  <c r="C1072" i="62"/>
  <c r="D314" i="62"/>
  <c r="O314" i="62" s="1"/>
  <c r="C309" i="62"/>
  <c r="K309" i="62" s="1"/>
  <c r="D311" i="62"/>
  <c r="O311" i="62" s="1"/>
  <c r="D309" i="62"/>
  <c r="O309" i="62" s="1"/>
  <c r="J308" i="62"/>
  <c r="C313" i="62"/>
  <c r="K313" i="62" s="1"/>
  <c r="J312" i="62"/>
  <c r="D312" i="62"/>
  <c r="O312" i="62" s="1"/>
  <c r="D308" i="62"/>
  <c r="O308" i="62" s="1"/>
  <c r="B301" i="62"/>
  <c r="C312" i="62"/>
  <c r="K312" i="62" s="1"/>
  <c r="C308" i="62"/>
  <c r="K308" i="62" s="1"/>
  <c r="J310" i="62"/>
  <c r="C311" i="62"/>
  <c r="K311" i="62" s="1"/>
  <c r="D313" i="62"/>
  <c r="O313" i="62" s="1"/>
  <c r="J314" i="62"/>
  <c r="C314" i="62"/>
  <c r="K314" i="62" s="1"/>
  <c r="J309" i="62"/>
  <c r="E315" i="62"/>
  <c r="J311" i="62"/>
  <c r="C310" i="62"/>
  <c r="K310" i="62" s="1"/>
  <c r="D310" i="62"/>
  <c r="O310" i="62" s="1"/>
  <c r="J313" i="62"/>
  <c r="E41" i="62"/>
  <c r="I957" i="62"/>
  <c r="H957" i="62"/>
  <c r="E957" i="62"/>
  <c r="D957" i="62"/>
  <c r="K957" i="62"/>
  <c r="J957" i="62"/>
  <c r="L957" i="62"/>
  <c r="C957" i="62"/>
  <c r="M957" i="62"/>
  <c r="F957" i="62"/>
  <c r="G957" i="62"/>
  <c r="P239" i="62"/>
  <c r="P228" i="62"/>
  <c r="W945" i="62"/>
  <c r="T945" i="62"/>
  <c r="S945" i="62"/>
  <c r="R945" i="62"/>
  <c r="V945" i="62"/>
  <c r="U945" i="62"/>
  <c r="M24" i="62"/>
  <c r="M23" i="62"/>
  <c r="O228" i="62"/>
  <c r="M228" i="62"/>
  <c r="N228" i="62"/>
  <c r="L228" i="62"/>
  <c r="M239" i="62"/>
  <c r="O239" i="62"/>
  <c r="N239" i="62"/>
  <c r="L239" i="62"/>
  <c r="K239" i="62"/>
  <c r="J239" i="62"/>
  <c r="K228" i="62"/>
  <c r="J228" i="62"/>
  <c r="C119" i="62"/>
  <c r="F312" i="62"/>
  <c r="E313" i="62"/>
  <c r="G308" i="62"/>
  <c r="G311" i="62"/>
  <c r="F311" i="62"/>
  <c r="G310" i="62"/>
  <c r="G312" i="62"/>
  <c r="E309" i="62"/>
  <c r="F308" i="62"/>
  <c r="G313" i="62"/>
  <c r="G309" i="62"/>
  <c r="F313" i="62"/>
  <c r="F309" i="62"/>
  <c r="F314" i="62"/>
  <c r="E314" i="62"/>
  <c r="E312" i="62"/>
  <c r="C301" i="62"/>
  <c r="C315" i="62"/>
  <c r="G314" i="62"/>
  <c r="E311" i="62"/>
  <c r="E308" i="62"/>
  <c r="F310" i="62"/>
  <c r="E310" i="62"/>
  <c r="C1074" i="54"/>
  <c r="F1071" i="54"/>
  <c r="F1075" i="54" s="1"/>
  <c r="E1071" i="54"/>
  <c r="G1071" i="54"/>
  <c r="G1075" i="54" s="1"/>
  <c r="C1073" i="54"/>
  <c r="B1072" i="54"/>
  <c r="C1072" i="54"/>
  <c r="AQ46" i="54"/>
  <c r="AU46" i="54"/>
  <c r="D72" i="58" s="1"/>
  <c r="AH46" i="54"/>
  <c r="F77" i="54" s="1"/>
  <c r="F78" i="54" s="1"/>
  <c r="AS46" i="54"/>
  <c r="AR46" i="54"/>
  <c r="C140" i="54" s="1"/>
  <c r="H140" i="54" s="1"/>
  <c r="AO46" i="54"/>
  <c r="K77" i="54" s="1"/>
  <c r="K78" i="54" s="1"/>
  <c r="W46" i="54"/>
  <c r="P307" i="54" s="1"/>
  <c r="A87" i="54"/>
  <c r="AJ46" i="54"/>
  <c r="H77" i="54" s="1"/>
  <c r="H78" i="54" s="1"/>
  <c r="AZ46" i="54"/>
  <c r="AY46" i="54"/>
  <c r="AG46" i="54"/>
  <c r="E77" i="54" s="1"/>
  <c r="E78" i="54" s="1"/>
  <c r="AW46" i="54"/>
  <c r="AB46" i="54"/>
  <c r="C235" i="54" s="1"/>
  <c r="AV46" i="54"/>
  <c r="AA46" i="54"/>
  <c r="AM46" i="54"/>
  <c r="AL46" i="54"/>
  <c r="J77" i="54" s="1"/>
  <c r="J78" i="54" s="1"/>
  <c r="AC46" i="54"/>
  <c r="X46" i="54"/>
  <c r="T46" i="54"/>
  <c r="AT46" i="54"/>
  <c r="V46" i="54"/>
  <c r="D293" i="54" s="1"/>
  <c r="AX46" i="54"/>
  <c r="M77" i="54" s="1"/>
  <c r="M78" i="54" s="1"/>
  <c r="U46" i="54"/>
  <c r="AP46" i="54"/>
  <c r="L77" i="54" s="1"/>
  <c r="L78" i="54" s="1"/>
  <c r="AN46" i="54"/>
  <c r="K183" i="54" s="1"/>
  <c r="P228" i="54"/>
  <c r="P239" i="54"/>
  <c r="M23" i="54"/>
  <c r="C157" i="54"/>
  <c r="G957" i="54"/>
  <c r="K957" i="54"/>
  <c r="J957" i="54"/>
  <c r="M957" i="54"/>
  <c r="E957" i="54"/>
  <c r="D957" i="54"/>
  <c r="C957" i="54"/>
  <c r="I957" i="54"/>
  <c r="H957" i="54"/>
  <c r="L957" i="54"/>
  <c r="F957" i="54"/>
  <c r="F145" i="54"/>
  <c r="N228" i="54"/>
  <c r="N145" i="54"/>
  <c r="H650" i="54" s="1"/>
  <c r="H145" i="54"/>
  <c r="B1032" i="54" s="1"/>
  <c r="I145" i="54"/>
  <c r="C865" i="54" s="1"/>
  <c r="L145" i="54"/>
  <c r="K145" i="54"/>
  <c r="D166" i="59" s="1"/>
  <c r="G145" i="54"/>
  <c r="C838" i="54" s="1"/>
  <c r="V945" i="54"/>
  <c r="W945" i="54"/>
  <c r="T945" i="54"/>
  <c r="S945" i="54"/>
  <c r="U945" i="54"/>
  <c r="R945" i="54"/>
  <c r="J145" i="54"/>
  <c r="C884" i="54" s="1"/>
  <c r="C885" i="54" s="1"/>
  <c r="K239" i="54"/>
  <c r="J228" i="54"/>
  <c r="K228" i="54"/>
  <c r="J239" i="54"/>
  <c r="O228" i="54"/>
  <c r="C119" i="46"/>
  <c r="G23" i="47"/>
  <c r="G9" i="47"/>
  <c r="G18" i="47"/>
  <c r="G12" i="47"/>
  <c r="G19" i="47"/>
  <c r="G13" i="47"/>
  <c r="G8" i="47"/>
  <c r="G20" i="47"/>
  <c r="G15" i="47"/>
  <c r="G21" i="47"/>
  <c r="G16" i="47"/>
  <c r="G11" i="47"/>
  <c r="G22" i="47"/>
  <c r="G17" i="47"/>
  <c r="G7" i="47"/>
  <c r="G6" i="47"/>
  <c r="G14" i="47"/>
  <c r="G10" i="47"/>
  <c r="M23" i="46"/>
  <c r="H725" i="46"/>
  <c r="E957" i="46"/>
  <c r="D957" i="46"/>
  <c r="C957" i="46"/>
  <c r="M957" i="46"/>
  <c r="I957" i="46"/>
  <c r="K638" i="46"/>
  <c r="F1071" i="46"/>
  <c r="F1075" i="46" s="1"/>
  <c r="G1071" i="46"/>
  <c r="G1075" i="46" s="1"/>
  <c r="E1071" i="46"/>
  <c r="C1074" i="46"/>
  <c r="C1073" i="46"/>
  <c r="B1072" i="46"/>
  <c r="C1072" i="46"/>
  <c r="AO46" i="46"/>
  <c r="K77" i="46" s="1"/>
  <c r="K78" i="46" s="1"/>
  <c r="AC46" i="46"/>
  <c r="AX46" i="46"/>
  <c r="M77" i="46" s="1"/>
  <c r="M78" i="46" s="1"/>
  <c r="AL46" i="46"/>
  <c r="J77" i="46" s="1"/>
  <c r="J78" i="46" s="1"/>
  <c r="X46" i="46"/>
  <c r="V46" i="46"/>
  <c r="D293" i="46" s="1"/>
  <c r="AU46" i="46"/>
  <c r="D72" i="50" s="1"/>
  <c r="AH46" i="46"/>
  <c r="F77" i="46" s="1"/>
  <c r="F78" i="46" s="1"/>
  <c r="AW46" i="46"/>
  <c r="W46" i="46"/>
  <c r="P307" i="46" s="1"/>
  <c r="AV46" i="46"/>
  <c r="AT46" i="46"/>
  <c r="AJ46" i="46"/>
  <c r="H77" i="46" s="1"/>
  <c r="H78" i="46" s="1"/>
  <c r="T46" i="46"/>
  <c r="U46" i="46"/>
  <c r="AS46" i="46"/>
  <c r="AG46" i="46"/>
  <c r="E77" i="46" s="1"/>
  <c r="E78" i="46" s="1"/>
  <c r="A87" i="46"/>
  <c r="AQ46" i="46"/>
  <c r="AR46" i="46"/>
  <c r="C140" i="46" s="1"/>
  <c r="H140" i="46" s="1"/>
  <c r="AP46" i="46"/>
  <c r="L77" i="46" s="1"/>
  <c r="L78" i="46" s="1"/>
  <c r="AN46" i="46"/>
  <c r="K183" i="46" s="1"/>
  <c r="AB46" i="46"/>
  <c r="C235" i="46" s="1"/>
  <c r="AM46" i="46"/>
  <c r="AA46" i="46"/>
  <c r="AZ46" i="46"/>
  <c r="AY46" i="46"/>
  <c r="W945" i="46"/>
  <c r="V945" i="46"/>
  <c r="U945" i="46"/>
  <c r="R945" i="46"/>
  <c r="T945" i="46"/>
  <c r="S945" i="46"/>
  <c r="E312" i="46"/>
  <c r="G313" i="46"/>
  <c r="F313" i="46"/>
  <c r="E308" i="46"/>
  <c r="C315" i="46"/>
  <c r="E314" i="46"/>
  <c r="G312" i="46"/>
  <c r="E309" i="46"/>
  <c r="F311" i="46"/>
  <c r="E311" i="46"/>
  <c r="G308" i="46"/>
  <c r="G314" i="46"/>
  <c r="G309" i="46"/>
  <c r="F308" i="46"/>
  <c r="E313" i="46"/>
  <c r="F309" i="46"/>
  <c r="E310" i="46"/>
  <c r="G310" i="46"/>
  <c r="F310" i="46"/>
  <c r="F314" i="46"/>
  <c r="G311" i="46"/>
  <c r="C301" i="46"/>
  <c r="D301" i="46" s="1"/>
  <c r="F312" i="46"/>
  <c r="E41" i="46"/>
  <c r="K632" i="46"/>
  <c r="K636" i="46"/>
  <c r="J228" i="46"/>
  <c r="K239" i="46"/>
  <c r="J239" i="46"/>
  <c r="K228" i="46"/>
  <c r="K633" i="46"/>
  <c r="P228" i="46"/>
  <c r="P239" i="46"/>
  <c r="D111" i="46"/>
  <c r="C111" i="46"/>
  <c r="O239" i="46"/>
  <c r="M239" i="46"/>
  <c r="L239" i="46"/>
  <c r="O228" i="46"/>
  <c r="N228" i="46"/>
  <c r="M228" i="46"/>
  <c r="N239" i="46"/>
  <c r="L228" i="46"/>
  <c r="H724" i="46"/>
  <c r="C85" i="43"/>
  <c r="M9" i="43"/>
  <c r="D4" i="43"/>
  <c r="E38" i="43" s="1"/>
  <c r="D3" i="43"/>
  <c r="D1" i="43"/>
  <c r="AJ58" i="18"/>
  <c r="Z58" i="18"/>
  <c r="P58" i="18"/>
  <c r="D58" i="18"/>
  <c r="AJ49" i="18"/>
  <c r="Z49" i="18"/>
  <c r="P49" i="18"/>
  <c r="D49" i="18"/>
  <c r="AJ46" i="18"/>
  <c r="Z46" i="18"/>
  <c r="P46" i="18"/>
  <c r="D46" i="18"/>
  <c r="AJ42" i="18"/>
  <c r="P42" i="18"/>
  <c r="AJ19" i="18"/>
  <c r="AJ20" i="18" s="1"/>
  <c r="Z19" i="18"/>
  <c r="Z20" i="18" s="1"/>
  <c r="P19" i="18"/>
  <c r="P20" i="18" s="1"/>
  <c r="D19" i="18"/>
  <c r="C6" i="18"/>
  <c r="E36" i="18" s="1" a="1"/>
  <c r="E36" i="18" s="1"/>
  <c r="C5" i="18"/>
  <c r="C4" i="18"/>
  <c r="O4" i="18" s="1"/>
  <c r="O3" i="18"/>
  <c r="O2" i="18"/>
  <c r="C1" i="18"/>
  <c r="C57" i="18" s="1"/>
  <c r="C67" i="18"/>
  <c r="AK23" i="18"/>
  <c r="AJ23" i="18"/>
  <c r="AA23" i="18"/>
  <c r="Z23" i="18"/>
  <c r="Q23" i="18"/>
  <c r="P23" i="18"/>
  <c r="D20" i="18"/>
  <c r="O16" i="43"/>
  <c r="L957" i="46" l="1"/>
  <c r="F957" i="46"/>
  <c r="H957" i="46"/>
  <c r="G957" i="46"/>
  <c r="B101" i="43"/>
  <c r="F13" i="44" s="1"/>
  <c r="K957" i="46"/>
  <c r="J957" i="46"/>
  <c r="R307" i="46"/>
  <c r="G10" i="63"/>
  <c r="G14" i="63"/>
  <c r="G21" i="63"/>
  <c r="G22" i="63"/>
  <c r="G9" i="63"/>
  <c r="G11" i="63"/>
  <c r="G18" i="63"/>
  <c r="N388" i="62"/>
  <c r="U359" i="62" s="1"/>
  <c r="F388" i="46"/>
  <c r="A388" i="62"/>
  <c r="G17" i="63"/>
  <c r="H388" i="46"/>
  <c r="D217" i="46" s="1"/>
  <c r="H388" i="62"/>
  <c r="D217" i="62" s="1"/>
  <c r="L388" i="54"/>
  <c r="B388" i="54"/>
  <c r="A388" i="46"/>
  <c r="J388" i="62"/>
  <c r="E264" i="62" s="1"/>
  <c r="E266" i="62" s="1"/>
  <c r="B388" i="46"/>
  <c r="J388" i="46"/>
  <c r="E264" i="46" s="1"/>
  <c r="E266" i="46" s="1"/>
  <c r="C388" i="62"/>
  <c r="E388" i="54"/>
  <c r="G23" i="63"/>
  <c r="G12" i="63"/>
  <c r="K388" i="62"/>
  <c r="H341" i="62" s="1"/>
  <c r="H342" i="62" s="1"/>
  <c r="G19" i="63"/>
  <c r="K388" i="46"/>
  <c r="H341" i="46" s="1"/>
  <c r="H342" i="46" s="1"/>
  <c r="E388" i="62"/>
  <c r="G7" i="63"/>
  <c r="C388" i="54"/>
  <c r="N388" i="54"/>
  <c r="U359" i="54" s="1"/>
  <c r="AI16" i="65"/>
  <c r="I388" i="62"/>
  <c r="F341" i="62" s="1"/>
  <c r="F342" i="62" s="1"/>
  <c r="D388" i="46"/>
  <c r="G15" i="63"/>
  <c r="G388" i="46"/>
  <c r="I388" i="54"/>
  <c r="F341" i="54" s="1"/>
  <c r="F342" i="54" s="1"/>
  <c r="F388" i="54"/>
  <c r="N388" i="46"/>
  <c r="U359" i="46" s="1"/>
  <c r="H388" i="54"/>
  <c r="D217" i="54" s="1"/>
  <c r="M388" i="54"/>
  <c r="U360" i="54" s="1"/>
  <c r="A388" i="54"/>
  <c r="G388" i="62"/>
  <c r="G388" i="54"/>
  <c r="G14" i="55"/>
  <c r="M388" i="46"/>
  <c r="U360" i="46" s="1"/>
  <c r="D388" i="54"/>
  <c r="L388" i="46"/>
  <c r="L388" i="62"/>
  <c r="AF16" i="57"/>
  <c r="R228" i="54" s="1"/>
  <c r="AG16" i="57"/>
  <c r="R239" i="54" s="1"/>
  <c r="AD16" i="57"/>
  <c r="Q183" i="54" s="1"/>
  <c r="Q185" i="54" s="1"/>
  <c r="AI16" i="57"/>
  <c r="AJ16" i="57"/>
  <c r="AE16" i="57"/>
  <c r="O204" i="54" s="1"/>
  <c r="O206" i="54" s="1"/>
  <c r="P6" i="57"/>
  <c r="AF16" i="65"/>
  <c r="R228" i="62" s="1"/>
  <c r="AG16" i="65"/>
  <c r="R239" i="62" s="1"/>
  <c r="AH16" i="65"/>
  <c r="E293" i="62" s="1"/>
  <c r="AD16" i="65"/>
  <c r="Q183" i="62" s="1"/>
  <c r="Q185" i="62" s="1"/>
  <c r="AE16" i="65"/>
  <c r="O204" i="62" s="1"/>
  <c r="O206" i="62" s="1"/>
  <c r="P6" i="65"/>
  <c r="I388" i="46"/>
  <c r="F341" i="46" s="1"/>
  <c r="F342" i="46" s="1"/>
  <c r="A385" i="46"/>
  <c r="D397" i="46" s="1"/>
  <c r="M388" i="62"/>
  <c r="U360" i="62" s="1"/>
  <c r="K388" i="54"/>
  <c r="H341" i="54" s="1"/>
  <c r="H342" i="54" s="1"/>
  <c r="AH16" i="57"/>
  <c r="C327" i="54" s="1"/>
  <c r="AF16" i="49"/>
  <c r="R228" i="46" s="1"/>
  <c r="AG16" i="49"/>
  <c r="R239" i="46" s="1"/>
  <c r="A385" i="54"/>
  <c r="D397" i="54" s="1"/>
  <c r="AJ16" i="65"/>
  <c r="E388" i="46"/>
  <c r="J388" i="54"/>
  <c r="E264" i="54" s="1"/>
  <c r="E266" i="54" s="1"/>
  <c r="D388" i="62"/>
  <c r="C388" i="46"/>
  <c r="B388" i="62"/>
  <c r="F388" i="62"/>
  <c r="AD16" i="49"/>
  <c r="Q183" i="46" s="1"/>
  <c r="Q184" i="46" s="1"/>
  <c r="AE16" i="49"/>
  <c r="O204" i="46" s="1"/>
  <c r="O206" i="46" s="1"/>
  <c r="AI16" i="49"/>
  <c r="P6" i="49"/>
  <c r="AJ16" i="49"/>
  <c r="AH16" i="49"/>
  <c r="E293" i="46" s="1"/>
  <c r="A385" i="62"/>
  <c r="C395" i="62" s="1"/>
  <c r="G20" i="55"/>
  <c r="G18" i="55"/>
  <c r="G13" i="63"/>
  <c r="G9" i="55"/>
  <c r="G17" i="55"/>
  <c r="G16" i="63"/>
  <c r="G20" i="63"/>
  <c r="G6" i="55"/>
  <c r="G8" i="63"/>
  <c r="G6" i="63"/>
  <c r="K145" i="46"/>
  <c r="D166" i="51" s="1"/>
  <c r="G10" i="55"/>
  <c r="G145" i="46"/>
  <c r="C838" i="46" s="1"/>
  <c r="N145" i="46"/>
  <c r="H650" i="46" s="1"/>
  <c r="D157" i="46"/>
  <c r="L145" i="46"/>
  <c r="J145" i="46"/>
  <c r="C884" i="46" s="1"/>
  <c r="C885" i="46" s="1"/>
  <c r="H145" i="46"/>
  <c r="B1032" i="46" s="1"/>
  <c r="AT55" i="54"/>
  <c r="E145" i="46"/>
  <c r="C12" i="46" s="1"/>
  <c r="AT62" i="46" s="1"/>
  <c r="C157" i="46"/>
  <c r="F145" i="46"/>
  <c r="AB508" i="46" s="1"/>
  <c r="G21" i="55"/>
  <c r="G23" i="55"/>
  <c r="I145" i="46"/>
  <c r="C865" i="46" s="1"/>
  <c r="N201" i="54"/>
  <c r="P180" i="54"/>
  <c r="T235" i="54"/>
  <c r="K342" i="54"/>
  <c r="T224" i="54"/>
  <c r="D35" i="18"/>
  <c r="D36" i="18" s="1"/>
  <c r="AT62" i="54"/>
  <c r="G7" i="55"/>
  <c r="G11" i="55"/>
  <c r="G22" i="55"/>
  <c r="Q46" i="62"/>
  <c r="G15" i="55"/>
  <c r="G8" i="55"/>
  <c r="G16" i="55"/>
  <c r="G13" i="55"/>
  <c r="G12" i="55"/>
  <c r="G19" i="55"/>
  <c r="I46" i="54"/>
  <c r="AD60" i="54" s="1"/>
  <c r="G15" i="43"/>
  <c r="L43" i="43" s="1"/>
  <c r="AT62" i="62"/>
  <c r="R307" i="62"/>
  <c r="R321" i="62" s="1"/>
  <c r="D591" i="54"/>
  <c r="D605" i="54" s="1"/>
  <c r="AT56" i="54"/>
  <c r="AT55" i="62"/>
  <c r="D525" i="62"/>
  <c r="D529" i="62" s="1"/>
  <c r="T235" i="62"/>
  <c r="T224" i="62"/>
  <c r="AD55" i="62"/>
  <c r="AE54" i="62"/>
  <c r="AD51" i="62"/>
  <c r="AT56" i="62"/>
  <c r="C13" i="62"/>
  <c r="D146" i="67" s="1"/>
  <c r="D147" i="67" s="1"/>
  <c r="M575" i="62"/>
  <c r="M574" i="62" s="1"/>
  <c r="G57" i="18"/>
  <c r="AD53" i="62"/>
  <c r="AE53" i="62"/>
  <c r="AE52" i="62"/>
  <c r="AE60" i="62"/>
  <c r="AE55" i="62"/>
  <c r="J319" i="54"/>
  <c r="C319" i="54"/>
  <c r="K319" i="54" s="1"/>
  <c r="M308" i="54"/>
  <c r="S228" i="62"/>
  <c r="AI53" i="54"/>
  <c r="P308" i="62"/>
  <c r="P312" i="62"/>
  <c r="P313" i="62"/>
  <c r="P318" i="62"/>
  <c r="E590" i="62"/>
  <c r="E591" i="62" s="1"/>
  <c r="E600" i="62" s="1"/>
  <c r="P311" i="62"/>
  <c r="P316" i="62"/>
  <c r="P314" i="62"/>
  <c r="P309" i="62"/>
  <c r="P317" i="62"/>
  <c r="P319" i="62"/>
  <c r="P321" i="62"/>
  <c r="P320" i="62"/>
  <c r="P310" i="62"/>
  <c r="C510" i="62"/>
  <c r="C10" i="62"/>
  <c r="K184" i="62"/>
  <c r="K185" i="62"/>
  <c r="K186" i="62"/>
  <c r="C734" i="62"/>
  <c r="D734" i="62" s="1"/>
  <c r="C322" i="54"/>
  <c r="K322" i="54" s="1"/>
  <c r="J320" i="54"/>
  <c r="B267" i="62"/>
  <c r="D267" i="62" s="1"/>
  <c r="N201" i="46"/>
  <c r="P180" i="46"/>
  <c r="T224" i="46"/>
  <c r="K342" i="46"/>
  <c r="D525" i="54"/>
  <c r="D539" i="54" s="1"/>
  <c r="D591" i="46"/>
  <c r="D595" i="46" s="1"/>
  <c r="M639" i="62"/>
  <c r="D702" i="62" s="1"/>
  <c r="J728" i="62"/>
  <c r="D782" i="62" s="1"/>
  <c r="O180" i="62"/>
  <c r="D525" i="46"/>
  <c r="D531" i="46" s="1"/>
  <c r="P180" i="62"/>
  <c r="H204" i="62"/>
  <c r="K342" i="62"/>
  <c r="N201" i="62"/>
  <c r="D238" i="62"/>
  <c r="D242" i="62" s="1"/>
  <c r="I167" i="62" s="1"/>
  <c r="A507" i="62"/>
  <c r="A555" i="62" s="1"/>
  <c r="C555" i="62" s="1"/>
  <c r="J728" i="54"/>
  <c r="D782" i="54" s="1"/>
  <c r="D227" i="62"/>
  <c r="A506" i="62"/>
  <c r="A554" i="62" s="1"/>
  <c r="C554" i="62" s="1"/>
  <c r="O183" i="62"/>
  <c r="U347" i="62"/>
  <c r="C1051" i="62"/>
  <c r="Q307" i="62"/>
  <c r="M639" i="46"/>
  <c r="D702" i="46" s="1"/>
  <c r="M639" i="54"/>
  <c r="D702" i="54" s="1"/>
  <c r="J728" i="46"/>
  <c r="D782" i="46" s="1"/>
  <c r="D319" i="54"/>
  <c r="O319" i="54" s="1"/>
  <c r="C318" i="54"/>
  <c r="K318" i="54" s="1"/>
  <c r="G320" i="46"/>
  <c r="O183" i="54"/>
  <c r="U347" i="54"/>
  <c r="Q307" i="54"/>
  <c r="D238" i="54"/>
  <c r="D242" i="54" s="1"/>
  <c r="I167" i="54" s="1"/>
  <c r="O180" i="54"/>
  <c r="B267" i="54"/>
  <c r="A506" i="54"/>
  <c r="A554" i="54" s="1"/>
  <c r="C554" i="54" s="1"/>
  <c r="J342" i="54"/>
  <c r="D227" i="54"/>
  <c r="A507" i="54"/>
  <c r="A555" i="54" s="1"/>
  <c r="C555" i="54" s="1"/>
  <c r="C1051" i="54"/>
  <c r="M311" i="54"/>
  <c r="J316" i="54"/>
  <c r="F318" i="46"/>
  <c r="F316" i="46"/>
  <c r="E322" i="46"/>
  <c r="M322" i="46" s="1"/>
  <c r="G319" i="46"/>
  <c r="G321" i="46"/>
  <c r="E320" i="46"/>
  <c r="L320" i="46" s="1"/>
  <c r="F317" i="46"/>
  <c r="E319" i="46"/>
  <c r="L319" i="46" s="1"/>
  <c r="C302" i="54"/>
  <c r="F319" i="46"/>
  <c r="E316" i="54"/>
  <c r="M316" i="54" s="1"/>
  <c r="E321" i="46"/>
  <c r="L321" i="46" s="1"/>
  <c r="E318" i="54"/>
  <c r="L318" i="54" s="1"/>
  <c r="F322" i="46"/>
  <c r="F320" i="46"/>
  <c r="E316" i="46"/>
  <c r="L316" i="46" s="1"/>
  <c r="E319" i="54"/>
  <c r="L319" i="54" s="1"/>
  <c r="E317" i="46"/>
  <c r="L317" i="46" s="1"/>
  <c r="F321" i="46"/>
  <c r="E322" i="54"/>
  <c r="L322" i="54" s="1"/>
  <c r="L313" i="54"/>
  <c r="D316" i="54"/>
  <c r="O316" i="54" s="1"/>
  <c r="D318" i="54"/>
  <c r="O318" i="54" s="1"/>
  <c r="J322" i="54"/>
  <c r="M310" i="54"/>
  <c r="C316" i="54"/>
  <c r="K316" i="54" s="1"/>
  <c r="C320" i="54"/>
  <c r="K320" i="54" s="1"/>
  <c r="C321" i="54"/>
  <c r="K321" i="54" s="1"/>
  <c r="L312" i="54"/>
  <c r="J318" i="54"/>
  <c r="G316" i="46"/>
  <c r="G322" i="46"/>
  <c r="G318" i="46"/>
  <c r="C302" i="46"/>
  <c r="D301" i="54"/>
  <c r="E318" i="46"/>
  <c r="M318" i="46" s="1"/>
  <c r="G320" i="54"/>
  <c r="G321" i="54"/>
  <c r="AK51" i="54"/>
  <c r="AK52" i="54"/>
  <c r="G322" i="54"/>
  <c r="F316" i="54"/>
  <c r="D320" i="54"/>
  <c r="O320" i="54" s="1"/>
  <c r="L309" i="54"/>
  <c r="M314" i="54"/>
  <c r="L314" i="54"/>
  <c r="D317" i="54"/>
  <c r="O317" i="54" s="1"/>
  <c r="B302" i="54"/>
  <c r="M206" i="62"/>
  <c r="D321" i="54"/>
  <c r="O321" i="54" s="1"/>
  <c r="J321" i="54"/>
  <c r="C317" i="54"/>
  <c r="K317" i="54" s="1"/>
  <c r="J317" i="54"/>
  <c r="F317" i="54"/>
  <c r="E320" i="54"/>
  <c r="M320" i="54" s="1"/>
  <c r="AI53" i="46"/>
  <c r="E321" i="54"/>
  <c r="M321" i="54" s="1"/>
  <c r="F322" i="54"/>
  <c r="F321" i="54"/>
  <c r="E317" i="54"/>
  <c r="M317" i="54" s="1"/>
  <c r="F319" i="54"/>
  <c r="G317" i="54"/>
  <c r="T238" i="62"/>
  <c r="G316" i="54"/>
  <c r="G319" i="54"/>
  <c r="T227" i="62"/>
  <c r="F320" i="54"/>
  <c r="P183" i="62"/>
  <c r="F318" i="54"/>
  <c r="I201" i="62"/>
  <c r="I205" i="62" s="1"/>
  <c r="D301" i="62"/>
  <c r="M187" i="62"/>
  <c r="M205" i="62"/>
  <c r="D1072" i="62"/>
  <c r="M184" i="62"/>
  <c r="D165" i="62"/>
  <c r="C868" i="62"/>
  <c r="G734" i="62"/>
  <c r="O504" i="62"/>
  <c r="G650" i="62"/>
  <c r="M591" i="62"/>
  <c r="M186" i="62"/>
  <c r="L313" i="62"/>
  <c r="M313" i="62"/>
  <c r="E318" i="62"/>
  <c r="G316" i="62"/>
  <c r="G322" i="62"/>
  <c r="G320" i="62"/>
  <c r="F318" i="62"/>
  <c r="E322" i="62"/>
  <c r="E320" i="62"/>
  <c r="G321" i="62"/>
  <c r="E317" i="62"/>
  <c r="F321" i="62"/>
  <c r="E321" i="62"/>
  <c r="F316" i="62"/>
  <c r="F320" i="62"/>
  <c r="F322" i="62"/>
  <c r="G317" i="62"/>
  <c r="G318" i="62"/>
  <c r="G319" i="62"/>
  <c r="C302" i="62"/>
  <c r="E316" i="62"/>
  <c r="F319" i="62"/>
  <c r="E319" i="62"/>
  <c r="F317" i="62"/>
  <c r="M310" i="62"/>
  <c r="L310" i="62"/>
  <c r="AK51" i="62"/>
  <c r="AK52" i="62"/>
  <c r="AK53" i="62"/>
  <c r="L308" i="62"/>
  <c r="M308" i="62"/>
  <c r="AD52" i="62"/>
  <c r="AD54" i="62"/>
  <c r="E540" i="62"/>
  <c r="E534" i="62"/>
  <c r="E533" i="62"/>
  <c r="M311" i="62"/>
  <c r="L311" i="62"/>
  <c r="L309" i="62"/>
  <c r="M309" i="62"/>
  <c r="AD60" i="62"/>
  <c r="L184" i="62"/>
  <c r="L186" i="62"/>
  <c r="L187" i="62"/>
  <c r="L185" i="62"/>
  <c r="D605" i="62"/>
  <c r="D597" i="62"/>
  <c r="D595" i="62"/>
  <c r="D596" i="62"/>
  <c r="C320" i="62"/>
  <c r="K320" i="62" s="1"/>
  <c r="D316" i="62"/>
  <c r="O316" i="62" s="1"/>
  <c r="C318" i="62"/>
  <c r="K318" i="62" s="1"/>
  <c r="J317" i="62"/>
  <c r="C322" i="62"/>
  <c r="K322" i="62" s="1"/>
  <c r="J316" i="62"/>
  <c r="D317" i="62"/>
  <c r="O317" i="62" s="1"/>
  <c r="J320" i="62"/>
  <c r="C317" i="62"/>
  <c r="K317" i="62" s="1"/>
  <c r="C321" i="62"/>
  <c r="K321" i="62" s="1"/>
  <c r="C316" i="62"/>
  <c r="K316" i="62" s="1"/>
  <c r="J321" i="62"/>
  <c r="D318" i="62"/>
  <c r="O318" i="62" s="1"/>
  <c r="D322" i="62"/>
  <c r="O322" i="62" s="1"/>
  <c r="J318" i="62"/>
  <c r="D321" i="62"/>
  <c r="O321" i="62" s="1"/>
  <c r="J319" i="62"/>
  <c r="B302" i="62"/>
  <c r="J322" i="62"/>
  <c r="D320" i="62"/>
  <c r="O320" i="62" s="1"/>
  <c r="D319" i="62"/>
  <c r="O319" i="62" s="1"/>
  <c r="C319" i="62"/>
  <c r="K319" i="62" s="1"/>
  <c r="AI51" i="62"/>
  <c r="AI52" i="62"/>
  <c r="L312" i="62"/>
  <c r="M312" i="62"/>
  <c r="AI53" i="62"/>
  <c r="AI61" i="62"/>
  <c r="M314" i="62"/>
  <c r="L314" i="62"/>
  <c r="M186" i="54"/>
  <c r="M185" i="54"/>
  <c r="M205" i="54"/>
  <c r="M206" i="54"/>
  <c r="M184" i="54"/>
  <c r="M187" i="54"/>
  <c r="T227" i="54"/>
  <c r="N204" i="54"/>
  <c r="P183" i="54"/>
  <c r="T238" i="54"/>
  <c r="P317" i="54"/>
  <c r="P320" i="54"/>
  <c r="P313" i="54"/>
  <c r="P322" i="54"/>
  <c r="P310" i="54"/>
  <c r="P314" i="54"/>
  <c r="P316" i="54"/>
  <c r="P311" i="54"/>
  <c r="P318" i="54"/>
  <c r="P308" i="54"/>
  <c r="P309" i="54"/>
  <c r="P321" i="54"/>
  <c r="P319" i="54"/>
  <c r="P312" i="54"/>
  <c r="D1072" i="54"/>
  <c r="E108" i="54"/>
  <c r="D145" i="59" s="1"/>
  <c r="K186" i="54"/>
  <c r="K185" i="54"/>
  <c r="K187" i="54"/>
  <c r="K184" i="54"/>
  <c r="L180" i="54"/>
  <c r="I201" i="54"/>
  <c r="AI51" i="54"/>
  <c r="AI52" i="54"/>
  <c r="E1075" i="54"/>
  <c r="C10" i="54"/>
  <c r="S239" i="54"/>
  <c r="S228" i="54"/>
  <c r="M575" i="54"/>
  <c r="M574" i="54" s="1"/>
  <c r="AB508" i="54"/>
  <c r="C13" i="54"/>
  <c r="C510" i="54"/>
  <c r="C578" i="54"/>
  <c r="C650" i="54"/>
  <c r="C734" i="54"/>
  <c r="E524" i="54"/>
  <c r="E525" i="54" s="1"/>
  <c r="E590" i="54"/>
  <c r="E591" i="54" s="1"/>
  <c r="H204" i="54"/>
  <c r="G734" i="54"/>
  <c r="M591" i="54"/>
  <c r="O504" i="54"/>
  <c r="G650" i="54"/>
  <c r="C868" i="54"/>
  <c r="D166" i="54"/>
  <c r="A166" i="54" s="1"/>
  <c r="C180" i="54" s="1"/>
  <c r="H408" i="54" s="1"/>
  <c r="D165" i="54"/>
  <c r="R322" i="54"/>
  <c r="R308" i="54"/>
  <c r="R318" i="54"/>
  <c r="R313" i="54"/>
  <c r="R311" i="54"/>
  <c r="R310" i="54"/>
  <c r="R309" i="54"/>
  <c r="R319" i="54"/>
  <c r="R321" i="54"/>
  <c r="R314" i="54"/>
  <c r="R312" i="54"/>
  <c r="R316" i="54"/>
  <c r="R320" i="54"/>
  <c r="R317" i="54"/>
  <c r="M314" i="46"/>
  <c r="L314" i="46"/>
  <c r="E524" i="46"/>
  <c r="E525" i="46" s="1"/>
  <c r="E590" i="46"/>
  <c r="E591" i="46" s="1"/>
  <c r="AI51" i="46"/>
  <c r="AI52" i="46"/>
  <c r="R312" i="46"/>
  <c r="R316" i="46"/>
  <c r="R321" i="46"/>
  <c r="R319" i="46"/>
  <c r="R308" i="46"/>
  <c r="R313" i="46"/>
  <c r="R318" i="46"/>
  <c r="R314" i="46"/>
  <c r="R310" i="46"/>
  <c r="R311" i="46"/>
  <c r="R322" i="46"/>
  <c r="R320" i="46"/>
  <c r="R317" i="46"/>
  <c r="R309" i="46"/>
  <c r="L309" i="46"/>
  <c r="M309" i="46"/>
  <c r="M205" i="46"/>
  <c r="M186" i="46"/>
  <c r="M187" i="46"/>
  <c r="M206" i="46"/>
  <c r="M185" i="46"/>
  <c r="M184" i="46"/>
  <c r="C1051" i="46"/>
  <c r="A506" i="46"/>
  <c r="A554" i="46" s="1"/>
  <c r="C554" i="46" s="1"/>
  <c r="A507" i="46"/>
  <c r="A555" i="46" s="1"/>
  <c r="C555" i="46" s="1"/>
  <c r="J342" i="46"/>
  <c r="O183" i="46"/>
  <c r="U347" i="46"/>
  <c r="B267" i="46"/>
  <c r="Q307" i="46"/>
  <c r="D227" i="46"/>
  <c r="H204" i="46"/>
  <c r="O180" i="46"/>
  <c r="D238" i="46"/>
  <c r="D242" i="46" s="1"/>
  <c r="I167" i="46" s="1"/>
  <c r="P314" i="46"/>
  <c r="P318" i="46"/>
  <c r="P316" i="46"/>
  <c r="P321" i="46"/>
  <c r="P310" i="46"/>
  <c r="P319" i="46"/>
  <c r="P317" i="46"/>
  <c r="P309" i="46"/>
  <c r="P311" i="46"/>
  <c r="P320" i="46"/>
  <c r="P322" i="46"/>
  <c r="P312" i="46"/>
  <c r="P308" i="46"/>
  <c r="P313" i="46"/>
  <c r="D1072" i="46"/>
  <c r="L310" i="46"/>
  <c r="M310" i="46"/>
  <c r="J319" i="46"/>
  <c r="D318" i="46"/>
  <c r="O318" i="46" s="1"/>
  <c r="C318" i="46"/>
  <c r="K318" i="46" s="1"/>
  <c r="J322" i="46"/>
  <c r="D321" i="46"/>
  <c r="O321" i="46" s="1"/>
  <c r="C316" i="46"/>
  <c r="K316" i="46" s="1"/>
  <c r="C321" i="46"/>
  <c r="K321" i="46" s="1"/>
  <c r="J320" i="46"/>
  <c r="D319" i="46"/>
  <c r="O319" i="46" s="1"/>
  <c r="C320" i="46"/>
  <c r="K320" i="46" s="1"/>
  <c r="D317" i="46"/>
  <c r="O317" i="46" s="1"/>
  <c r="D316" i="46"/>
  <c r="O316" i="46" s="1"/>
  <c r="J321" i="46"/>
  <c r="J317" i="46"/>
  <c r="C319" i="46"/>
  <c r="K319" i="46" s="1"/>
  <c r="C317" i="46"/>
  <c r="K317" i="46" s="1"/>
  <c r="D322" i="46"/>
  <c r="O322" i="46" s="1"/>
  <c r="J318" i="46"/>
  <c r="C322" i="46"/>
  <c r="K322" i="46" s="1"/>
  <c r="B302" i="46"/>
  <c r="D320" i="46"/>
  <c r="O320" i="46" s="1"/>
  <c r="J316" i="46"/>
  <c r="M312" i="46"/>
  <c r="L312" i="46"/>
  <c r="T238" i="46"/>
  <c r="T239" i="46" s="1"/>
  <c r="N204" i="46"/>
  <c r="P183" i="46"/>
  <c r="T227" i="46"/>
  <c r="T222" i="46" s="1"/>
  <c r="C578" i="46"/>
  <c r="C510" i="46"/>
  <c r="L308" i="46"/>
  <c r="M308" i="46"/>
  <c r="AK53" i="46"/>
  <c r="AK52" i="46"/>
  <c r="AK51" i="46"/>
  <c r="G734" i="46"/>
  <c r="C868" i="46"/>
  <c r="O504" i="46"/>
  <c r="M591" i="46"/>
  <c r="G650" i="46"/>
  <c r="E108" i="46"/>
  <c r="D145" i="51" s="1"/>
  <c r="E1075" i="46"/>
  <c r="C10" i="46"/>
  <c r="D165" i="46"/>
  <c r="D166" i="46"/>
  <c r="A166" i="46" s="1"/>
  <c r="C180" i="46" s="1"/>
  <c r="H408" i="46" s="1"/>
  <c r="K184" i="46"/>
  <c r="K185" i="46"/>
  <c r="K187" i="46"/>
  <c r="K186" i="46"/>
  <c r="M313" i="46"/>
  <c r="L313" i="46"/>
  <c r="M311" i="46"/>
  <c r="L311" i="46"/>
  <c r="L180" i="46"/>
  <c r="I201" i="46"/>
  <c r="C734" i="46"/>
  <c r="C650" i="46"/>
  <c r="S228" i="46"/>
  <c r="S239" i="46"/>
  <c r="B56" i="43"/>
  <c r="Y16" i="18"/>
  <c r="AI5" i="18"/>
  <c r="AJ29" i="18"/>
  <c r="Z29" i="18"/>
  <c r="P29" i="18"/>
  <c r="D29" i="18"/>
  <c r="F29" i="18" s="1"/>
  <c r="AK16" i="18"/>
  <c r="Z16" i="18"/>
  <c r="AA16" i="18"/>
  <c r="O15" i="18"/>
  <c r="AI15" i="18"/>
  <c r="P15" i="18"/>
  <c r="AJ15" i="18"/>
  <c r="Q15" i="18"/>
  <c r="AK15" i="18"/>
  <c r="O16" i="18"/>
  <c r="AI16" i="18"/>
  <c r="P16" i="18"/>
  <c r="AJ16" i="18"/>
  <c r="Q16" i="18"/>
  <c r="Y15" i="18"/>
  <c r="Z15" i="18"/>
  <c r="AA15" i="18"/>
  <c r="F23" i="43"/>
  <c r="O5" i="18"/>
  <c r="D10" i="43"/>
  <c r="M10" i="43" s="1"/>
  <c r="Y5" i="18"/>
  <c r="AI4" i="18"/>
  <c r="Y4" i="18"/>
  <c r="D15" i="18"/>
  <c r="C16" i="18"/>
  <c r="D16" i="18"/>
  <c r="E16" i="18"/>
  <c r="O1" i="18"/>
  <c r="D35" i="43"/>
  <c r="D30" i="43"/>
  <c r="E30" i="43" s="1"/>
  <c r="E15" i="18"/>
  <c r="D34" i="43"/>
  <c r="E34" i="43" s="1"/>
  <c r="F20" i="43"/>
  <c r="D29" i="43"/>
  <c r="D54" i="18"/>
  <c r="Y1" i="18"/>
  <c r="Z35" i="18" s="1"/>
  <c r="AI2" i="18"/>
  <c r="Y2" i="18"/>
  <c r="Y3" i="18"/>
  <c r="AI1" i="18"/>
  <c r="AI3" i="18"/>
  <c r="C15" i="18"/>
  <c r="D264" i="54" l="1"/>
  <c r="D266" i="54" s="1"/>
  <c r="D529" i="54"/>
  <c r="T239" i="54"/>
  <c r="D398" i="46"/>
  <c r="D530" i="54"/>
  <c r="D531" i="54"/>
  <c r="N206" i="54"/>
  <c r="D539" i="62"/>
  <c r="P184" i="54"/>
  <c r="R310" i="62"/>
  <c r="R312" i="62"/>
  <c r="D530" i="62"/>
  <c r="R308" i="62"/>
  <c r="R322" i="62"/>
  <c r="T222" i="54"/>
  <c r="R313" i="62"/>
  <c r="R311" i="62"/>
  <c r="C389" i="46"/>
  <c r="E392" i="46"/>
  <c r="B396" i="46"/>
  <c r="Q186" i="46"/>
  <c r="C390" i="54"/>
  <c r="C392" i="54"/>
  <c r="E395" i="54"/>
  <c r="B395" i="54"/>
  <c r="C398" i="46"/>
  <c r="E341" i="46"/>
  <c r="E342" i="46" s="1"/>
  <c r="B397" i="46"/>
  <c r="E394" i="46"/>
  <c r="E391" i="46"/>
  <c r="C393" i="46"/>
  <c r="E393" i="54"/>
  <c r="B390" i="54"/>
  <c r="E392" i="54"/>
  <c r="C391" i="54"/>
  <c r="E389" i="54"/>
  <c r="C394" i="54"/>
  <c r="C398" i="54"/>
  <c r="B396" i="54"/>
  <c r="D395" i="54"/>
  <c r="D398" i="54"/>
  <c r="E397" i="54"/>
  <c r="D396" i="54"/>
  <c r="D393" i="54"/>
  <c r="C396" i="54"/>
  <c r="D264" i="46"/>
  <c r="D266" i="46" s="1"/>
  <c r="F266" i="46" s="1"/>
  <c r="E396" i="54"/>
  <c r="D389" i="54"/>
  <c r="C389" i="54"/>
  <c r="B394" i="54"/>
  <c r="D394" i="54"/>
  <c r="L204" i="62"/>
  <c r="Q185" i="46"/>
  <c r="Q187" i="46"/>
  <c r="B397" i="54"/>
  <c r="D264" i="62"/>
  <c r="D266" i="62" s="1"/>
  <c r="F266" i="62" s="1"/>
  <c r="E341" i="62"/>
  <c r="E342" i="62" s="1"/>
  <c r="D390" i="46"/>
  <c r="B391" i="46"/>
  <c r="B392" i="46"/>
  <c r="D395" i="46"/>
  <c r="E395" i="46"/>
  <c r="E393" i="46"/>
  <c r="C397" i="46"/>
  <c r="B395" i="46"/>
  <c r="B391" i="54"/>
  <c r="D392" i="54"/>
  <c r="C395" i="54"/>
  <c r="C397" i="54"/>
  <c r="E390" i="54"/>
  <c r="D393" i="46"/>
  <c r="E398" i="46"/>
  <c r="B389" i="46"/>
  <c r="D389" i="46"/>
  <c r="E397" i="46"/>
  <c r="E341" i="54"/>
  <c r="E342" i="54" s="1"/>
  <c r="C395" i="46"/>
  <c r="C394" i="46"/>
  <c r="D396" i="46"/>
  <c r="E390" i="46"/>
  <c r="E396" i="46"/>
  <c r="E389" i="46"/>
  <c r="B398" i="46"/>
  <c r="E394" i="54"/>
  <c r="E398" i="54"/>
  <c r="E391" i="54"/>
  <c r="B389" i="54"/>
  <c r="B393" i="54"/>
  <c r="B393" i="46"/>
  <c r="B390" i="46"/>
  <c r="C396" i="46"/>
  <c r="C391" i="46"/>
  <c r="D394" i="46"/>
  <c r="D392" i="46"/>
  <c r="C390" i="46"/>
  <c r="C392" i="46"/>
  <c r="B394" i="46"/>
  <c r="B392" i="54"/>
  <c r="B398" i="54"/>
  <c r="D390" i="54"/>
  <c r="C393" i="54"/>
  <c r="O205" i="54"/>
  <c r="D391" i="46"/>
  <c r="Q186" i="54"/>
  <c r="E293" i="54"/>
  <c r="C327" i="46"/>
  <c r="O205" i="46"/>
  <c r="L204" i="46"/>
  <c r="Q187" i="54"/>
  <c r="B397" i="62"/>
  <c r="B398" i="62"/>
  <c r="D218" i="46"/>
  <c r="Q184" i="54"/>
  <c r="C396" i="62"/>
  <c r="C397" i="62"/>
  <c r="B396" i="62"/>
  <c r="C389" i="62"/>
  <c r="E389" i="62"/>
  <c r="G341" i="46"/>
  <c r="G342" i="46" s="1"/>
  <c r="C327" i="62"/>
  <c r="D218" i="62"/>
  <c r="D396" i="62"/>
  <c r="D390" i="62"/>
  <c r="C390" i="62"/>
  <c r="D391" i="62"/>
  <c r="B395" i="62"/>
  <c r="C393" i="62"/>
  <c r="C398" i="62"/>
  <c r="E395" i="62"/>
  <c r="D395" i="62"/>
  <c r="Q184" i="62"/>
  <c r="G341" i="62"/>
  <c r="G342" i="62" s="1"/>
  <c r="D392" i="62"/>
  <c r="E398" i="62"/>
  <c r="D393" i="62"/>
  <c r="D394" i="62"/>
  <c r="D398" i="62"/>
  <c r="D391" i="54"/>
  <c r="Q186" i="62"/>
  <c r="E392" i="62"/>
  <c r="B391" i="62"/>
  <c r="D397" i="62"/>
  <c r="E397" i="62"/>
  <c r="B390" i="62"/>
  <c r="Q187" i="62"/>
  <c r="E393" i="62"/>
  <c r="B392" i="62"/>
  <c r="E390" i="62"/>
  <c r="D389" i="62"/>
  <c r="C392" i="62"/>
  <c r="E396" i="62"/>
  <c r="C394" i="62"/>
  <c r="E394" i="62"/>
  <c r="C391" i="62"/>
  <c r="B389" i="62"/>
  <c r="B393" i="62"/>
  <c r="B394" i="62"/>
  <c r="E391" i="62"/>
  <c r="L204" i="54"/>
  <c r="D218" i="54"/>
  <c r="O205" i="62"/>
  <c r="G341" i="54"/>
  <c r="G342" i="54" s="1"/>
  <c r="Z37" i="18"/>
  <c r="AT55" i="46"/>
  <c r="I46" i="46"/>
  <c r="AD60" i="46" s="1"/>
  <c r="AT56" i="46"/>
  <c r="Q46" i="46"/>
  <c r="M575" i="46"/>
  <c r="M574" i="46" s="1"/>
  <c r="C13" i="46"/>
  <c r="D146" i="51" s="1"/>
  <c r="D147" i="51" s="1"/>
  <c r="AD51" i="54"/>
  <c r="AE52" i="54"/>
  <c r="AE46" i="54" s="1"/>
  <c r="D170" i="54" s="1"/>
  <c r="AE53" i="54"/>
  <c r="R309" i="62"/>
  <c r="R316" i="62"/>
  <c r="D597" i="54"/>
  <c r="R317" i="62"/>
  <c r="R318" i="62"/>
  <c r="D596" i="54"/>
  <c r="D595" i="54"/>
  <c r="R320" i="62"/>
  <c r="R314" i="62"/>
  <c r="R319" i="62"/>
  <c r="P187" i="46"/>
  <c r="D37" i="18"/>
  <c r="D51" i="18" s="1"/>
  <c r="Y57" i="18"/>
  <c r="AI57" i="18"/>
  <c r="O57" i="18"/>
  <c r="AE55" i="54"/>
  <c r="AD52" i="54"/>
  <c r="AD55" i="54"/>
  <c r="AE60" i="54"/>
  <c r="AE54" i="54"/>
  <c r="AD54" i="54"/>
  <c r="AD53" i="54"/>
  <c r="N46" i="62"/>
  <c r="R60" i="62" s="1"/>
  <c r="D97" i="62" s="1"/>
  <c r="G97" i="62" s="1"/>
  <c r="F46" i="62"/>
  <c r="J61" i="62" s="1"/>
  <c r="C906" i="62"/>
  <c r="G21" i="43"/>
  <c r="M21" i="43" s="1"/>
  <c r="D531" i="62"/>
  <c r="D597" i="46"/>
  <c r="T222" i="62"/>
  <c r="T239" i="62"/>
  <c r="N206" i="46"/>
  <c r="N205" i="62"/>
  <c r="AE46" i="62"/>
  <c r="D170" i="62" s="1"/>
  <c r="AD46" i="62"/>
  <c r="L316" i="54"/>
  <c r="M321" i="46"/>
  <c r="M316" i="46"/>
  <c r="M318" i="54"/>
  <c r="E606" i="62"/>
  <c r="E599" i="62"/>
  <c r="M322" i="54"/>
  <c r="M319" i="46"/>
  <c r="D302" i="54"/>
  <c r="D300" i="54" s="1"/>
  <c r="N317" i="54" s="1"/>
  <c r="E734" i="62"/>
  <c r="E267" i="62"/>
  <c r="E268" i="62" s="1"/>
  <c r="L322" i="46"/>
  <c r="L317" i="54"/>
  <c r="D596" i="46"/>
  <c r="P186" i="62"/>
  <c r="D605" i="46"/>
  <c r="D530" i="46"/>
  <c r="P185" i="62"/>
  <c r="D539" i="46"/>
  <c r="P185" i="54"/>
  <c r="P186" i="54"/>
  <c r="D529" i="46"/>
  <c r="N206" i="62"/>
  <c r="P187" i="54"/>
  <c r="N205" i="54"/>
  <c r="P184" i="46"/>
  <c r="P186" i="46"/>
  <c r="P187" i="62"/>
  <c r="T228" i="46"/>
  <c r="P184" i="62"/>
  <c r="T228" i="62"/>
  <c r="P185" i="46"/>
  <c r="N205" i="46"/>
  <c r="T228" i="54"/>
  <c r="O184" i="62"/>
  <c r="O185" i="62"/>
  <c r="O186" i="62"/>
  <c r="O187" i="62"/>
  <c r="Q322" i="62"/>
  <c r="Q319" i="62"/>
  <c r="Q317" i="62"/>
  <c r="Q311" i="62"/>
  <c r="Q320" i="62"/>
  <c r="Q310" i="62"/>
  <c r="Q308" i="62"/>
  <c r="Q312" i="62"/>
  <c r="Q314" i="62"/>
  <c r="Q316" i="62"/>
  <c r="Q318" i="62"/>
  <c r="Q321" i="62"/>
  <c r="Q313" i="62"/>
  <c r="Q309" i="62"/>
  <c r="M319" i="54"/>
  <c r="M320" i="46"/>
  <c r="D267" i="54"/>
  <c r="E267" i="54"/>
  <c r="E268" i="54" s="1"/>
  <c r="Q313" i="54"/>
  <c r="Q312" i="54"/>
  <c r="Q310" i="54"/>
  <c r="Q320" i="54"/>
  <c r="Q309" i="54"/>
  <c r="Q314" i="54"/>
  <c r="Q318" i="54"/>
  <c r="Q321" i="54"/>
  <c r="Q317" i="54"/>
  <c r="Q308" i="54"/>
  <c r="Q322" i="54"/>
  <c r="Q311" i="54"/>
  <c r="Q319" i="54"/>
  <c r="Q316" i="54"/>
  <c r="O185" i="54"/>
  <c r="O187" i="54"/>
  <c r="O186" i="54"/>
  <c r="O184" i="54"/>
  <c r="L320" i="54"/>
  <c r="L318" i="46"/>
  <c r="M317" i="46"/>
  <c r="D302" i="46"/>
  <c r="D300" i="46" s="1"/>
  <c r="N312" i="46" s="1"/>
  <c r="I206" i="62"/>
  <c r="L321" i="54"/>
  <c r="AK46" i="54"/>
  <c r="I77" i="54" s="1"/>
  <c r="I78" i="54" s="1"/>
  <c r="B1074" i="54"/>
  <c r="D1074" i="54" s="1"/>
  <c r="AI46" i="62"/>
  <c r="G77" i="62" s="1"/>
  <c r="G78" i="62" s="1"/>
  <c r="B1073" i="62"/>
  <c r="D1073" i="62" s="1"/>
  <c r="AI46" i="46"/>
  <c r="G77" i="46" s="1"/>
  <c r="G78" i="46" s="1"/>
  <c r="B1073" i="46"/>
  <c r="D1073" i="46" s="1"/>
  <c r="AI46" i="54"/>
  <c r="G77" i="54" s="1"/>
  <c r="G78" i="54" s="1"/>
  <c r="B1073" i="54"/>
  <c r="D1073" i="54" s="1"/>
  <c r="AK46" i="46"/>
  <c r="I77" i="46" s="1"/>
  <c r="I78" i="46" s="1"/>
  <c r="B1074" i="46"/>
  <c r="D1074" i="46" s="1"/>
  <c r="AK46" i="62"/>
  <c r="I77" i="62" s="1"/>
  <c r="I78" i="62" s="1"/>
  <c r="B1074" i="62"/>
  <c r="D1074" i="62" s="1"/>
  <c r="L316" i="62"/>
  <c r="M316" i="62"/>
  <c r="M322" i="62"/>
  <c r="L322" i="62"/>
  <c r="L320" i="62"/>
  <c r="M320" i="62"/>
  <c r="M318" i="62"/>
  <c r="L318" i="62"/>
  <c r="D302" i="62"/>
  <c r="D300" i="62" s="1"/>
  <c r="L321" i="62"/>
  <c r="M321" i="62"/>
  <c r="A744" i="62"/>
  <c r="A743" i="62"/>
  <c r="A740" i="62"/>
  <c r="A741" i="62"/>
  <c r="A739" i="62"/>
  <c r="A742" i="62"/>
  <c r="L319" i="62"/>
  <c r="M319" i="62"/>
  <c r="M317" i="62"/>
  <c r="L317" i="62"/>
  <c r="E534" i="54"/>
  <c r="E533" i="54"/>
  <c r="E540" i="54"/>
  <c r="D146" i="59"/>
  <c r="D147" i="59" s="1"/>
  <c r="C906" i="54"/>
  <c r="F46" i="54"/>
  <c r="N46" i="54"/>
  <c r="E734" i="54"/>
  <c r="D734" i="54"/>
  <c r="F266" i="54"/>
  <c r="I205" i="54"/>
  <c r="I206" i="54"/>
  <c r="L186" i="54"/>
  <c r="L185" i="54"/>
  <c r="L184" i="54"/>
  <c r="L187" i="54"/>
  <c r="E600" i="54"/>
  <c r="E599" i="54"/>
  <c r="E606" i="54"/>
  <c r="Q318" i="46"/>
  <c r="Q312" i="46"/>
  <c r="Q321" i="46"/>
  <c r="Q310" i="46"/>
  <c r="Q319" i="46"/>
  <c r="Q317" i="46"/>
  <c r="Q309" i="46"/>
  <c r="Q316" i="46"/>
  <c r="Q313" i="46"/>
  <c r="Q322" i="46"/>
  <c r="Q311" i="46"/>
  <c r="Q314" i="46"/>
  <c r="Q320" i="46"/>
  <c r="Q308" i="46"/>
  <c r="E267" i="46"/>
  <c r="E268" i="46" s="1"/>
  <c r="D267" i="46"/>
  <c r="E540" i="46"/>
  <c r="E534" i="46"/>
  <c r="E533" i="46"/>
  <c r="O186" i="46"/>
  <c r="O187" i="46"/>
  <c r="O185" i="46"/>
  <c r="O184" i="46"/>
  <c r="E599" i="46"/>
  <c r="E600" i="46"/>
  <c r="E606" i="46"/>
  <c r="E734" i="46"/>
  <c r="D734" i="46"/>
  <c r="I205" i="46"/>
  <c r="I206" i="46"/>
  <c r="L185" i="46"/>
  <c r="L187" i="46"/>
  <c r="L186" i="46"/>
  <c r="L184" i="46"/>
  <c r="AB29" i="18"/>
  <c r="R29" i="18"/>
  <c r="AL29" i="18"/>
  <c r="AJ35" i="18"/>
  <c r="AJ37" i="18" s="1"/>
  <c r="P35" i="18"/>
  <c r="P37" i="18" s="1"/>
  <c r="F16" i="18"/>
  <c r="F15" i="18"/>
  <c r="AL16" i="18"/>
  <c r="R15" i="18"/>
  <c r="AL15" i="18"/>
  <c r="R16" i="18"/>
  <c r="AB15" i="18"/>
  <c r="AB16" i="18"/>
  <c r="AD52" i="46" l="1"/>
  <c r="AD46" i="46" s="1"/>
  <c r="C170" i="46" s="1"/>
  <c r="AD54" i="46"/>
  <c r="AE60" i="46"/>
  <c r="AE55" i="46"/>
  <c r="L342" i="46"/>
  <c r="AE54" i="46"/>
  <c r="AE52" i="46"/>
  <c r="AE46" i="46" s="1"/>
  <c r="D170" i="46" s="1"/>
  <c r="AD55" i="46"/>
  <c r="AD51" i="46"/>
  <c r="AD53" i="46"/>
  <c r="L342" i="62"/>
  <c r="AE53" i="46"/>
  <c r="D268" i="62"/>
  <c r="F268" i="62" s="1"/>
  <c r="L342" i="54"/>
  <c r="J50" i="62"/>
  <c r="C87" i="62" s="1"/>
  <c r="N46" i="46"/>
  <c r="R58" i="46" s="1"/>
  <c r="D95" i="46" s="1"/>
  <c r="G95" i="46" s="1"/>
  <c r="J67" i="62"/>
  <c r="C104" i="62" s="1"/>
  <c r="F104" i="62" s="1"/>
  <c r="F46" i="46"/>
  <c r="J63" i="46" s="1"/>
  <c r="C906" i="46"/>
  <c r="J64" i="62"/>
  <c r="C101" i="62" s="1"/>
  <c r="F101" i="62" s="1"/>
  <c r="AD62" i="62"/>
  <c r="J57" i="62"/>
  <c r="C94" i="62" s="1"/>
  <c r="F94" i="62" s="1"/>
  <c r="AD46" i="54"/>
  <c r="C170" i="54" s="1"/>
  <c r="E170" i="54" s="1"/>
  <c r="C175" i="54" s="1"/>
  <c r="J68" i="62"/>
  <c r="C105" i="62" s="1"/>
  <c r="F105" i="62" s="1"/>
  <c r="J58" i="62"/>
  <c r="C95" i="62" s="1"/>
  <c r="F95" i="62" s="1"/>
  <c r="J51" i="62"/>
  <c r="AF51" i="62" s="1"/>
  <c r="J54" i="62"/>
  <c r="C91" i="62" s="1"/>
  <c r="F91" i="62" s="1"/>
  <c r="J69" i="62"/>
  <c r="C106" i="62" s="1"/>
  <c r="F106" i="62" s="1"/>
  <c r="J63" i="62"/>
  <c r="J70" i="62"/>
  <c r="C107" i="62" s="1"/>
  <c r="F107" i="62" s="1"/>
  <c r="J60" i="62"/>
  <c r="C97" i="62" s="1"/>
  <c r="F97" i="62" s="1"/>
  <c r="J59" i="62"/>
  <c r="C96" i="62" s="1"/>
  <c r="F96" i="62" s="1"/>
  <c r="J55" i="62"/>
  <c r="C92" i="62" s="1"/>
  <c r="F92" i="62" s="1"/>
  <c r="J65" i="62"/>
  <c r="C102" i="62" s="1"/>
  <c r="F102" i="62" s="1"/>
  <c r="J56" i="62"/>
  <c r="C93" i="62" s="1"/>
  <c r="F93" i="62" s="1"/>
  <c r="J62" i="62"/>
  <c r="C99" i="62" s="1"/>
  <c r="F99" i="62" s="1"/>
  <c r="AE62" i="62"/>
  <c r="J66" i="62"/>
  <c r="C103" i="62" s="1"/>
  <c r="F103" i="62" s="1"/>
  <c r="J53" i="62"/>
  <c r="AF53" i="62" s="1"/>
  <c r="J52" i="62"/>
  <c r="C89" i="62" s="1"/>
  <c r="F89" i="62" s="1"/>
  <c r="R63" i="62"/>
  <c r="D100" i="62" s="1"/>
  <c r="G100" i="62" s="1"/>
  <c r="R64" i="62"/>
  <c r="D101" i="62" s="1"/>
  <c r="G101" i="62" s="1"/>
  <c r="R59" i="62"/>
  <c r="D96" i="62" s="1"/>
  <c r="G96" i="62" s="1"/>
  <c r="R57" i="62"/>
  <c r="D94" i="62" s="1"/>
  <c r="G94" i="62" s="1"/>
  <c r="R53" i="62"/>
  <c r="D90" i="62" s="1"/>
  <c r="G90" i="62" s="1"/>
  <c r="R56" i="62"/>
  <c r="D93" i="62" s="1"/>
  <c r="G93" i="62" s="1"/>
  <c r="R58" i="62"/>
  <c r="D95" i="62" s="1"/>
  <c r="G95" i="62" s="1"/>
  <c r="R50" i="62"/>
  <c r="D87" i="62" s="1"/>
  <c r="G87" i="62" s="1"/>
  <c r="R65" i="62"/>
  <c r="D102" i="62" s="1"/>
  <c r="G102" i="62" s="1"/>
  <c r="R55" i="62"/>
  <c r="D92" i="62" s="1"/>
  <c r="G92" i="62" s="1"/>
  <c r="R54" i="62"/>
  <c r="D91" i="62" s="1"/>
  <c r="G91" i="62" s="1"/>
  <c r="R51" i="62"/>
  <c r="D88" i="62" s="1"/>
  <c r="G88" i="62" s="1"/>
  <c r="R67" i="62"/>
  <c r="D104" i="62" s="1"/>
  <c r="G104" i="62" s="1"/>
  <c r="R68" i="62"/>
  <c r="D105" i="62" s="1"/>
  <c r="G105" i="62" s="1"/>
  <c r="R61" i="62"/>
  <c r="D98" i="62" s="1"/>
  <c r="G98" i="62" s="1"/>
  <c r="R52" i="62"/>
  <c r="D89" i="62" s="1"/>
  <c r="G89" i="62" s="1"/>
  <c r="R69" i="62"/>
  <c r="D106" i="62" s="1"/>
  <c r="G106" i="62" s="1"/>
  <c r="R62" i="62"/>
  <c r="D99" i="62" s="1"/>
  <c r="G99" i="62" s="1"/>
  <c r="R70" i="62"/>
  <c r="D107" i="62" s="1"/>
  <c r="G107" i="62" s="1"/>
  <c r="R66" i="62"/>
  <c r="D103" i="62" s="1"/>
  <c r="G103" i="62" s="1"/>
  <c r="H228" i="62"/>
  <c r="C170" i="62"/>
  <c r="E170" i="62" s="1"/>
  <c r="C175" i="62" s="1"/>
  <c r="F267" i="62"/>
  <c r="N321" i="54"/>
  <c r="S321" i="54" s="1"/>
  <c r="U321" i="54" s="1"/>
  <c r="N321" i="46"/>
  <c r="S321" i="46" s="1"/>
  <c r="T321" i="46" s="1"/>
  <c r="N308" i="46"/>
  <c r="S308" i="46" s="1"/>
  <c r="T308" i="46" s="1"/>
  <c r="N320" i="46"/>
  <c r="S320" i="46" s="1"/>
  <c r="U320" i="46" s="1"/>
  <c r="N314" i="54"/>
  <c r="S314" i="54" s="1"/>
  <c r="T314" i="54" s="1"/>
  <c r="N309" i="54"/>
  <c r="S309" i="54" s="1"/>
  <c r="T309" i="54" s="1"/>
  <c r="N318" i="46"/>
  <c r="S318" i="46" s="1"/>
  <c r="U318" i="46" s="1"/>
  <c r="F267" i="54"/>
  <c r="S312" i="46"/>
  <c r="U312" i="46" s="1"/>
  <c r="N309" i="46"/>
  <c r="S309" i="46" s="1"/>
  <c r="T309" i="46" s="1"/>
  <c r="N319" i="46"/>
  <c r="S319" i="46" s="1"/>
  <c r="T319" i="46" s="1"/>
  <c r="N322" i="46"/>
  <c r="S322" i="46" s="1"/>
  <c r="N313" i="46"/>
  <c r="S313" i="46" s="1"/>
  <c r="U313" i="46" s="1"/>
  <c r="D268" i="54"/>
  <c r="F268" i="54" s="1"/>
  <c r="S317" i="54"/>
  <c r="T317" i="54" s="1"/>
  <c r="D1075" i="62"/>
  <c r="D1075" i="46"/>
  <c r="N311" i="46"/>
  <c r="S311" i="46" s="1"/>
  <c r="T311" i="46" s="1"/>
  <c r="N314" i="46"/>
  <c r="S314" i="46" s="1"/>
  <c r="T314" i="46" s="1"/>
  <c r="N317" i="46"/>
  <c r="S317" i="46" s="1"/>
  <c r="U317" i="46" s="1"/>
  <c r="N310" i="46"/>
  <c r="S310" i="46" s="1"/>
  <c r="T310" i="46" s="1"/>
  <c r="N316" i="46"/>
  <c r="S316" i="46" s="1"/>
  <c r="T316" i="46" s="1"/>
  <c r="N313" i="54"/>
  <c r="S313" i="54" s="1"/>
  <c r="T313" i="54" s="1"/>
  <c r="N311" i="54"/>
  <c r="S311" i="54" s="1"/>
  <c r="T311" i="54" s="1"/>
  <c r="N312" i="54"/>
  <c r="S312" i="54" s="1"/>
  <c r="T312" i="54" s="1"/>
  <c r="N318" i="54"/>
  <c r="S318" i="54" s="1"/>
  <c r="U318" i="54" s="1"/>
  <c r="N320" i="54"/>
  <c r="S320" i="54" s="1"/>
  <c r="U320" i="54" s="1"/>
  <c r="N322" i="54"/>
  <c r="S322" i="54" s="1"/>
  <c r="T322" i="54" s="1"/>
  <c r="N316" i="54"/>
  <c r="S316" i="54" s="1"/>
  <c r="T316" i="54" s="1"/>
  <c r="N308" i="54"/>
  <c r="S308" i="54" s="1"/>
  <c r="U308" i="54" s="1"/>
  <c r="N310" i="54"/>
  <c r="S310" i="54" s="1"/>
  <c r="U310" i="54" s="1"/>
  <c r="N319" i="54"/>
  <c r="S319" i="54" s="1"/>
  <c r="U319" i="54" s="1"/>
  <c r="C9" i="54"/>
  <c r="Q78" i="54"/>
  <c r="D1075" i="54"/>
  <c r="C9" i="46"/>
  <c r="Q78" i="46"/>
  <c r="C9" i="62"/>
  <c r="Q78" i="62"/>
  <c r="N322" i="62"/>
  <c r="S322" i="62" s="1"/>
  <c r="N311" i="62"/>
  <c r="S311" i="62" s="1"/>
  <c r="N321" i="62"/>
  <c r="S321" i="62" s="1"/>
  <c r="N319" i="62"/>
  <c r="S319" i="62" s="1"/>
  <c r="N314" i="62"/>
  <c r="S314" i="62" s="1"/>
  <c r="N309" i="62"/>
  <c r="S309" i="62" s="1"/>
  <c r="N320" i="62"/>
  <c r="S320" i="62" s="1"/>
  <c r="N310" i="62"/>
  <c r="S310" i="62" s="1"/>
  <c r="N316" i="62"/>
  <c r="S316" i="62" s="1"/>
  <c r="N312" i="62"/>
  <c r="S312" i="62" s="1"/>
  <c r="N317" i="62"/>
  <c r="S317" i="62" s="1"/>
  <c r="N313" i="62"/>
  <c r="S313" i="62" s="1"/>
  <c r="N318" i="62"/>
  <c r="S318" i="62" s="1"/>
  <c r="N308" i="62"/>
  <c r="S308" i="62" s="1"/>
  <c r="C98" i="62"/>
  <c r="F98" i="62" s="1"/>
  <c r="A740" i="54"/>
  <c r="A743" i="54"/>
  <c r="A739" i="54"/>
  <c r="A742" i="54"/>
  <c r="A741" i="54"/>
  <c r="A744" i="54"/>
  <c r="R63" i="54"/>
  <c r="D100" i="54" s="1"/>
  <c r="G100" i="54" s="1"/>
  <c r="R58" i="54"/>
  <c r="D95" i="54" s="1"/>
  <c r="G95" i="54" s="1"/>
  <c r="R67" i="54"/>
  <c r="D104" i="54" s="1"/>
  <c r="G104" i="54" s="1"/>
  <c r="R53" i="54"/>
  <c r="D90" i="54" s="1"/>
  <c r="G90" i="54" s="1"/>
  <c r="R54" i="54"/>
  <c r="D91" i="54" s="1"/>
  <c r="G91" i="54" s="1"/>
  <c r="R50" i="54"/>
  <c r="D87" i="54" s="1"/>
  <c r="R52" i="54"/>
  <c r="D89" i="54" s="1"/>
  <c r="G89" i="54" s="1"/>
  <c r="R64" i="54"/>
  <c r="D101" i="54" s="1"/>
  <c r="G101" i="54" s="1"/>
  <c r="R56" i="54"/>
  <c r="D93" i="54" s="1"/>
  <c r="G93" i="54" s="1"/>
  <c r="R60" i="54"/>
  <c r="D97" i="54" s="1"/>
  <c r="G97" i="54" s="1"/>
  <c r="R62" i="54"/>
  <c r="D99" i="54" s="1"/>
  <c r="G99" i="54" s="1"/>
  <c r="R65" i="54"/>
  <c r="D102" i="54" s="1"/>
  <c r="G102" i="54" s="1"/>
  <c r="R61" i="54"/>
  <c r="D98" i="54" s="1"/>
  <c r="G98" i="54" s="1"/>
  <c r="R51" i="54"/>
  <c r="D88" i="54" s="1"/>
  <c r="G88" i="54" s="1"/>
  <c r="R69" i="54"/>
  <c r="D106" i="54" s="1"/>
  <c r="G106" i="54" s="1"/>
  <c r="R57" i="54"/>
  <c r="D94" i="54" s="1"/>
  <c r="G94" i="54" s="1"/>
  <c r="R66" i="54"/>
  <c r="D103" i="54" s="1"/>
  <c r="G103" i="54" s="1"/>
  <c r="R59" i="54"/>
  <c r="D96" i="54" s="1"/>
  <c r="G96" i="54" s="1"/>
  <c r="R68" i="54"/>
  <c r="D105" i="54" s="1"/>
  <c r="G105" i="54" s="1"/>
  <c r="R55" i="54"/>
  <c r="D92" i="54" s="1"/>
  <c r="G92" i="54" s="1"/>
  <c r="R70" i="54"/>
  <c r="D107" i="54" s="1"/>
  <c r="G107" i="54" s="1"/>
  <c r="J62" i="54"/>
  <c r="J57" i="54"/>
  <c r="J60" i="54"/>
  <c r="J68" i="54"/>
  <c r="J69" i="54"/>
  <c r="J66" i="54"/>
  <c r="J58" i="54"/>
  <c r="J67" i="54"/>
  <c r="J54" i="54"/>
  <c r="J61" i="54"/>
  <c r="J56" i="54"/>
  <c r="J65" i="54"/>
  <c r="J63" i="54"/>
  <c r="J70" i="54"/>
  <c r="J50" i="54"/>
  <c r="J53" i="54"/>
  <c r="J52" i="54"/>
  <c r="J55" i="54"/>
  <c r="J64" i="54"/>
  <c r="J51" i="54"/>
  <c r="J59" i="54"/>
  <c r="AE62" i="54"/>
  <c r="AD62" i="54"/>
  <c r="R67" i="46"/>
  <c r="D104" i="46" s="1"/>
  <c r="G104" i="46" s="1"/>
  <c r="D268" i="46"/>
  <c r="F267" i="46"/>
  <c r="A744" i="46"/>
  <c r="A743" i="46"/>
  <c r="A742" i="46"/>
  <c r="A741" i="46"/>
  <c r="A739" i="46"/>
  <c r="A740" i="46"/>
  <c r="C534" i="3"/>
  <c r="C533" i="3"/>
  <c r="R60" i="46" l="1"/>
  <c r="D97" i="46" s="1"/>
  <c r="G97" i="46" s="1"/>
  <c r="R55" i="46"/>
  <c r="D92" i="46" s="1"/>
  <c r="G92" i="46" s="1"/>
  <c r="R69" i="46"/>
  <c r="D106" i="46" s="1"/>
  <c r="G106" i="46" s="1"/>
  <c r="I351" i="46"/>
  <c r="I358" i="46" s="1"/>
  <c r="J51" i="46"/>
  <c r="AF51" i="46" s="1"/>
  <c r="J70" i="46"/>
  <c r="C107" i="46" s="1"/>
  <c r="F107" i="46" s="1"/>
  <c r="I351" i="62"/>
  <c r="I359" i="62" s="1"/>
  <c r="I351" i="54"/>
  <c r="I359" i="54" s="1"/>
  <c r="J50" i="46"/>
  <c r="C87" i="46" s="1"/>
  <c r="J64" i="46"/>
  <c r="C101" i="46" s="1"/>
  <c r="F101" i="46" s="1"/>
  <c r="R59" i="46"/>
  <c r="D96" i="46" s="1"/>
  <c r="G96" i="46" s="1"/>
  <c r="R61" i="46"/>
  <c r="D98" i="46" s="1"/>
  <c r="G98" i="46" s="1"/>
  <c r="J57" i="46"/>
  <c r="C94" i="46" s="1"/>
  <c r="F94" i="46" s="1"/>
  <c r="J54" i="46"/>
  <c r="C91" i="46" s="1"/>
  <c r="F91" i="46" s="1"/>
  <c r="R68" i="46"/>
  <c r="D105" i="46" s="1"/>
  <c r="G105" i="46" s="1"/>
  <c r="J52" i="46"/>
  <c r="C89" i="46" s="1"/>
  <c r="F89" i="46" s="1"/>
  <c r="J61" i="46"/>
  <c r="C98" i="46" s="1"/>
  <c r="F98" i="46" s="1"/>
  <c r="J56" i="46"/>
  <c r="C93" i="46" s="1"/>
  <c r="F93" i="46" s="1"/>
  <c r="R53" i="46"/>
  <c r="D90" i="46" s="1"/>
  <c r="G90" i="46" s="1"/>
  <c r="J55" i="46"/>
  <c r="C92" i="46" s="1"/>
  <c r="F92" i="46" s="1"/>
  <c r="R50" i="46"/>
  <c r="D87" i="46" s="1"/>
  <c r="G87" i="46" s="1"/>
  <c r="J62" i="46"/>
  <c r="AN62" i="46" s="1"/>
  <c r="R63" i="46"/>
  <c r="D100" i="46" s="1"/>
  <c r="G100" i="46" s="1"/>
  <c r="J66" i="46"/>
  <c r="C103" i="46" s="1"/>
  <c r="F103" i="46" s="1"/>
  <c r="J69" i="46"/>
  <c r="C106" i="46" s="1"/>
  <c r="F106" i="46" s="1"/>
  <c r="R54" i="46"/>
  <c r="D91" i="46" s="1"/>
  <c r="G91" i="46" s="1"/>
  <c r="AD62" i="46"/>
  <c r="J67" i="46"/>
  <c r="C104" i="46" s="1"/>
  <c r="F104" i="46" s="1"/>
  <c r="R70" i="46"/>
  <c r="D107" i="46" s="1"/>
  <c r="G107" i="46" s="1"/>
  <c r="R62" i="46"/>
  <c r="D99" i="46" s="1"/>
  <c r="G99" i="46" s="1"/>
  <c r="R64" i="46"/>
  <c r="D101" i="46" s="1"/>
  <c r="G101" i="46" s="1"/>
  <c r="R51" i="46"/>
  <c r="D88" i="46" s="1"/>
  <c r="G88" i="46" s="1"/>
  <c r="R65" i="46"/>
  <c r="D102" i="46" s="1"/>
  <c r="G102" i="46" s="1"/>
  <c r="R56" i="46"/>
  <c r="D93" i="46" s="1"/>
  <c r="G93" i="46" s="1"/>
  <c r="R57" i="46"/>
  <c r="D94" i="46" s="1"/>
  <c r="G94" i="46" s="1"/>
  <c r="R52" i="46"/>
  <c r="D89" i="46" s="1"/>
  <c r="G89" i="46" s="1"/>
  <c r="R66" i="46"/>
  <c r="D103" i="46" s="1"/>
  <c r="G103" i="46" s="1"/>
  <c r="J68" i="46"/>
  <c r="C105" i="46" s="1"/>
  <c r="F105" i="46" s="1"/>
  <c r="J53" i="46"/>
  <c r="J59" i="46"/>
  <c r="C96" i="46" s="1"/>
  <c r="F96" i="46" s="1"/>
  <c r="J60" i="46"/>
  <c r="C97" i="46" s="1"/>
  <c r="F97" i="46" s="1"/>
  <c r="J65" i="46"/>
  <c r="C102" i="46" s="1"/>
  <c r="F102" i="46" s="1"/>
  <c r="AE62" i="46"/>
  <c r="J58" i="46"/>
  <c r="C95" i="46" s="1"/>
  <c r="F95" i="46" s="1"/>
  <c r="H228" i="54"/>
  <c r="AF52" i="62"/>
  <c r="AF46" i="62" s="1"/>
  <c r="I228" i="62" s="1"/>
  <c r="AN62" i="62"/>
  <c r="Y54" i="62"/>
  <c r="C90" i="62"/>
  <c r="F90" i="62" s="1"/>
  <c r="Y60" i="62"/>
  <c r="C88" i="62"/>
  <c r="F88" i="62" s="1"/>
  <c r="Y63" i="62"/>
  <c r="Y64" i="62"/>
  <c r="C100" i="62"/>
  <c r="F100" i="62" s="1"/>
  <c r="Y57" i="62"/>
  <c r="Y59" i="62"/>
  <c r="Y69" i="62"/>
  <c r="Y52" i="62"/>
  <c r="Y68" i="62"/>
  <c r="Y62" i="62"/>
  <c r="Y61" i="62"/>
  <c r="Y70" i="62"/>
  <c r="D108" i="62"/>
  <c r="C228" i="62" s="1"/>
  <c r="G108" i="62"/>
  <c r="D4" i="67" s="1"/>
  <c r="S85" i="67" s="1"/>
  <c r="Y56" i="62"/>
  <c r="Y51" i="62"/>
  <c r="Y67" i="62"/>
  <c r="Y58" i="62"/>
  <c r="Y53" i="62"/>
  <c r="Y55" i="62"/>
  <c r="Y50" i="62"/>
  <c r="Y66" i="62"/>
  <c r="Y65" i="62"/>
  <c r="D175" i="62"/>
  <c r="E175" i="62" s="1"/>
  <c r="E165" i="62" s="1"/>
  <c r="A165" i="62" s="1"/>
  <c r="C179" i="62" s="1"/>
  <c r="G408" i="62" s="1"/>
  <c r="D175" i="54"/>
  <c r="E175" i="54" s="1"/>
  <c r="E165" i="54" s="1"/>
  <c r="A165" i="54" s="1"/>
  <c r="C179" i="54" s="1"/>
  <c r="G408" i="54" s="1"/>
  <c r="E170" i="46"/>
  <c r="D175" i="46" s="1"/>
  <c r="H228" i="46"/>
  <c r="T320" i="46"/>
  <c r="T318" i="46"/>
  <c r="U308" i="46"/>
  <c r="U309" i="54"/>
  <c r="T313" i="46"/>
  <c r="T312" i="46"/>
  <c r="U309" i="46"/>
  <c r="U319" i="46"/>
  <c r="U312" i="54"/>
  <c r="U314" i="54"/>
  <c r="U317" i="54"/>
  <c r="U321" i="46"/>
  <c r="U310" i="46"/>
  <c r="T317" i="46"/>
  <c r="T321" i="54"/>
  <c r="U313" i="54"/>
  <c r="U311" i="46"/>
  <c r="U314" i="46"/>
  <c r="T318" i="54"/>
  <c r="U316" i="46"/>
  <c r="U311" i="54"/>
  <c r="A307" i="54"/>
  <c r="A322" i="54" s="1"/>
  <c r="U322" i="54"/>
  <c r="U316" i="54"/>
  <c r="T320" i="54"/>
  <c r="T310" i="54"/>
  <c r="T308" i="54"/>
  <c r="T319" i="54"/>
  <c r="A307" i="46"/>
  <c r="A306" i="46" s="1"/>
  <c r="A312" i="46" s="1"/>
  <c r="T322" i="46"/>
  <c r="U322" i="46"/>
  <c r="T316" i="62"/>
  <c r="A307" i="62"/>
  <c r="A306" i="62" s="1"/>
  <c r="U316" i="62"/>
  <c r="U319" i="62"/>
  <c r="T319" i="62"/>
  <c r="U317" i="62"/>
  <c r="T317" i="62"/>
  <c r="T311" i="62"/>
  <c r="U311" i="62"/>
  <c r="U322" i="62"/>
  <c r="T322" i="62"/>
  <c r="U313" i="62"/>
  <c r="T313" i="62"/>
  <c r="U310" i="62"/>
  <c r="T310" i="62"/>
  <c r="U321" i="62"/>
  <c r="T321" i="62"/>
  <c r="T318" i="62"/>
  <c r="U318" i="62"/>
  <c r="U320" i="62"/>
  <c r="T320" i="62"/>
  <c r="U314" i="62"/>
  <c r="T314" i="62"/>
  <c r="U308" i="62"/>
  <c r="T308" i="62"/>
  <c r="U312" i="62"/>
  <c r="T312" i="62"/>
  <c r="F87" i="62"/>
  <c r="F108" i="62" s="1"/>
  <c r="D3" i="67" s="1"/>
  <c r="C108" i="62"/>
  <c r="U309" i="62"/>
  <c r="T309" i="62"/>
  <c r="C97" i="54"/>
  <c r="F97" i="54" s="1"/>
  <c r="Y60" i="54"/>
  <c r="Y59" i="54"/>
  <c r="C96" i="54"/>
  <c r="F96" i="54" s="1"/>
  <c r="C91" i="54"/>
  <c r="F91" i="54" s="1"/>
  <c r="Y54" i="54"/>
  <c r="G87" i="54"/>
  <c r="G108" i="54" s="1"/>
  <c r="D4" i="59" s="1"/>
  <c r="D108" i="54"/>
  <c r="AF53" i="54"/>
  <c r="C90" i="54"/>
  <c r="F90" i="54" s="1"/>
  <c r="Y53" i="54"/>
  <c r="Y57" i="54"/>
  <c r="C94" i="54"/>
  <c r="F94" i="54" s="1"/>
  <c r="C102" i="54"/>
  <c r="F102" i="54" s="1"/>
  <c r="Y65" i="54"/>
  <c r="C88" i="54"/>
  <c r="F88" i="54" s="1"/>
  <c r="Y51" i="54"/>
  <c r="AF51" i="54"/>
  <c r="Y67" i="54"/>
  <c r="C104" i="54"/>
  <c r="F104" i="54" s="1"/>
  <c r="C95" i="54"/>
  <c r="F95" i="54" s="1"/>
  <c r="Y58" i="54"/>
  <c r="C105" i="54"/>
  <c r="F105" i="54" s="1"/>
  <c r="Y68" i="54"/>
  <c r="Y50" i="54"/>
  <c r="C87" i="54"/>
  <c r="C107" i="54"/>
  <c r="F107" i="54" s="1"/>
  <c r="Y70" i="54"/>
  <c r="Y63" i="54"/>
  <c r="C100" i="54"/>
  <c r="F100" i="54" s="1"/>
  <c r="Y62" i="54"/>
  <c r="AN62" i="54"/>
  <c r="C99" i="54"/>
  <c r="F99" i="54" s="1"/>
  <c r="Y56" i="54"/>
  <c r="C93" i="54"/>
  <c r="F93" i="54" s="1"/>
  <c r="C98" i="54"/>
  <c r="F98" i="54" s="1"/>
  <c r="Y61" i="54"/>
  <c r="C101" i="54"/>
  <c r="F101" i="54" s="1"/>
  <c r="Y64" i="54"/>
  <c r="Y55" i="54"/>
  <c r="C92" i="54"/>
  <c r="F92" i="54" s="1"/>
  <c r="Y66" i="54"/>
  <c r="C103" i="54"/>
  <c r="F103" i="54" s="1"/>
  <c r="Y52" i="54"/>
  <c r="AF52" i="54"/>
  <c r="C89" i="54"/>
  <c r="F89" i="54" s="1"/>
  <c r="Y69" i="54"/>
  <c r="C106" i="54"/>
  <c r="F106" i="54" s="1"/>
  <c r="F268" i="46"/>
  <c r="C100" i="46"/>
  <c r="F100" i="46" s="1"/>
  <c r="T512" i="3"/>
  <c r="P583" i="3"/>
  <c r="O583" i="3"/>
  <c r="N583" i="3"/>
  <c r="M583" i="3"/>
  <c r="I721" i="3"/>
  <c r="I722" i="3"/>
  <c r="I723" i="3"/>
  <c r="I724" i="3"/>
  <c r="I725" i="3"/>
  <c r="I726" i="3"/>
  <c r="I727" i="3"/>
  <c r="I720" i="3"/>
  <c r="L632" i="3"/>
  <c r="L633" i="3"/>
  <c r="L634" i="3"/>
  <c r="L635" i="3"/>
  <c r="L636" i="3"/>
  <c r="L637" i="3"/>
  <c r="L638" i="3"/>
  <c r="L631" i="3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Q100" i="11"/>
  <c r="C88" i="46" l="1"/>
  <c r="F88" i="46" s="1"/>
  <c r="I370" i="46"/>
  <c r="I359" i="46"/>
  <c r="Y50" i="46"/>
  <c r="C99" i="46"/>
  <c r="F99" i="46" s="1"/>
  <c r="Y70" i="46"/>
  <c r="I370" i="62"/>
  <c r="I358" i="62"/>
  <c r="Y61" i="46"/>
  <c r="D108" i="46"/>
  <c r="G183" i="46" s="1"/>
  <c r="Y69" i="46"/>
  <c r="I370" i="54"/>
  <c r="I358" i="54"/>
  <c r="Y67" i="46"/>
  <c r="AF52" i="46"/>
  <c r="Y57" i="46"/>
  <c r="Y68" i="46"/>
  <c r="Y54" i="46"/>
  <c r="Y53" i="46"/>
  <c r="Y55" i="46"/>
  <c r="Y51" i="46"/>
  <c r="Y63" i="46"/>
  <c r="Y59" i="46"/>
  <c r="G108" i="46"/>
  <c r="D4" i="51" s="1"/>
  <c r="S97" i="51" s="1"/>
  <c r="Y62" i="46"/>
  <c r="Y66" i="46"/>
  <c r="Y60" i="46"/>
  <c r="AF53" i="46"/>
  <c r="Y64" i="46"/>
  <c r="Y52" i="46"/>
  <c r="Y56" i="46"/>
  <c r="C90" i="46"/>
  <c r="F90" i="46" s="1"/>
  <c r="Y58" i="46"/>
  <c r="Y65" i="46"/>
  <c r="S97" i="67"/>
  <c r="T97" i="67" s="1"/>
  <c r="V97" i="67" s="1"/>
  <c r="L58" i="67"/>
  <c r="M58" i="67" s="1"/>
  <c r="O58" i="67" s="1"/>
  <c r="D12" i="67"/>
  <c r="L32" i="67"/>
  <c r="M32" i="67" s="1"/>
  <c r="O32" i="67" s="1"/>
  <c r="D16" i="67"/>
  <c r="L42" i="67"/>
  <c r="M42" i="67" s="1"/>
  <c r="O42" i="67" s="1"/>
  <c r="L65" i="67"/>
  <c r="M65" i="67" s="1"/>
  <c r="O65" i="67" s="1"/>
  <c r="L44" i="67"/>
  <c r="M44" i="67" s="1"/>
  <c r="O44" i="67" s="1"/>
  <c r="C239" i="62"/>
  <c r="G239" i="62" s="1"/>
  <c r="G183" i="62"/>
  <c r="G184" i="62" s="1"/>
  <c r="F184" i="62" s="1"/>
  <c r="E261" i="62"/>
  <c r="C274" i="62" s="1"/>
  <c r="L62" i="67"/>
  <c r="M62" i="67" s="1"/>
  <c r="O62" i="67" s="1"/>
  <c r="S83" i="67"/>
  <c r="T83" i="67" s="1"/>
  <c r="U83" i="67" s="1"/>
  <c r="D18" i="67"/>
  <c r="L45" i="67"/>
  <c r="M45" i="67" s="1"/>
  <c r="N45" i="67" s="1"/>
  <c r="L41" i="67"/>
  <c r="M41" i="67" s="1"/>
  <c r="O41" i="67" s="1"/>
  <c r="S84" i="67"/>
  <c r="T84" i="67" s="1"/>
  <c r="V84" i="67" s="1"/>
  <c r="L47" i="67"/>
  <c r="M47" i="67" s="1"/>
  <c r="O47" i="67" s="1"/>
  <c r="L60" i="67"/>
  <c r="M60" i="67" s="1"/>
  <c r="O60" i="67" s="1"/>
  <c r="S77" i="67"/>
  <c r="T77" i="67" s="1"/>
  <c r="V77" i="67" s="1"/>
  <c r="D17" i="67"/>
  <c r="S78" i="67"/>
  <c r="T78" i="67" s="1"/>
  <c r="V78" i="67" s="1"/>
  <c r="D10" i="67"/>
  <c r="S98" i="67"/>
  <c r="T98" i="67" s="1"/>
  <c r="V98" i="67" s="1"/>
  <c r="L31" i="67"/>
  <c r="M31" i="67" s="1"/>
  <c r="O31" i="67" s="1"/>
  <c r="L56" i="67"/>
  <c r="M56" i="67" s="1"/>
  <c r="O56" i="67" s="1"/>
  <c r="S74" i="67"/>
  <c r="T74" i="67" s="1"/>
  <c r="V74" i="67" s="1"/>
  <c r="L52" i="67"/>
  <c r="M52" i="67" s="1"/>
  <c r="N52" i="67" s="1"/>
  <c r="D8" i="67"/>
  <c r="S111" i="67"/>
  <c r="T111" i="67" s="1"/>
  <c r="V111" i="67" s="1"/>
  <c r="L50" i="67"/>
  <c r="M50" i="67" s="1"/>
  <c r="O50" i="67" s="1"/>
  <c r="L69" i="67"/>
  <c r="M69" i="67" s="1"/>
  <c r="O69" i="67" s="1"/>
  <c r="S102" i="67"/>
  <c r="T102" i="67" s="1"/>
  <c r="V102" i="67" s="1"/>
  <c r="S96" i="67"/>
  <c r="T96" i="67" s="1"/>
  <c r="V96" i="67" s="1"/>
  <c r="L46" i="67"/>
  <c r="M46" i="67" s="1"/>
  <c r="O46" i="67" s="1"/>
  <c r="L59" i="67"/>
  <c r="M59" i="67" s="1"/>
  <c r="O59" i="67" s="1"/>
  <c r="S99" i="67"/>
  <c r="T99" i="67" s="1"/>
  <c r="V99" i="67" s="1"/>
  <c r="S79" i="67"/>
  <c r="T79" i="67" s="1"/>
  <c r="V79" i="67" s="1"/>
  <c r="S82" i="67"/>
  <c r="T82" i="67" s="1"/>
  <c r="V82" i="67" s="1"/>
  <c r="S80" i="67"/>
  <c r="T80" i="67" s="1"/>
  <c r="U80" i="67" s="1"/>
  <c r="S105" i="67"/>
  <c r="T105" i="67" s="1"/>
  <c r="V105" i="67" s="1"/>
  <c r="S90" i="67"/>
  <c r="T90" i="67" s="1"/>
  <c r="V90" i="67" s="1"/>
  <c r="L63" i="67"/>
  <c r="M63" i="67" s="1"/>
  <c r="O63" i="67" s="1"/>
  <c r="D13" i="67"/>
  <c r="L57" i="67"/>
  <c r="M57" i="67" s="1"/>
  <c r="N57" i="67" s="1"/>
  <c r="D14" i="67"/>
  <c r="L35" i="67"/>
  <c r="M35" i="67" s="1"/>
  <c r="N35" i="67" s="1"/>
  <c r="S81" i="67"/>
  <c r="T81" i="67" s="1"/>
  <c r="V81" i="67" s="1"/>
  <c r="L66" i="67"/>
  <c r="M66" i="67" s="1"/>
  <c r="O66" i="67" s="1"/>
  <c r="L68" i="67"/>
  <c r="M68" i="67" s="1"/>
  <c r="N68" i="67" s="1"/>
  <c r="S109" i="67"/>
  <c r="T109" i="67" s="1"/>
  <c r="V109" i="67" s="1"/>
  <c r="D19" i="67"/>
  <c r="D23" i="67"/>
  <c r="L39" i="67"/>
  <c r="M39" i="67" s="1"/>
  <c r="N39" i="67" s="1"/>
  <c r="S110" i="67"/>
  <c r="T110" i="67" s="1"/>
  <c r="V110" i="67" s="1"/>
  <c r="S106" i="67"/>
  <c r="T106" i="67" s="1"/>
  <c r="V106" i="67" s="1"/>
  <c r="D206" i="62"/>
  <c r="L206" i="62" s="1"/>
  <c r="U356" i="62"/>
  <c r="W356" i="62" s="1"/>
  <c r="L34" i="67"/>
  <c r="M34" i="67" s="1"/>
  <c r="O34" i="67" s="1"/>
  <c r="D22" i="67"/>
  <c r="S75" i="67"/>
  <c r="T75" i="67" s="1"/>
  <c r="V75" i="67" s="1"/>
  <c r="D20" i="67"/>
  <c r="L53" i="67"/>
  <c r="M53" i="67" s="1"/>
  <c r="O53" i="67" s="1"/>
  <c r="S100" i="67"/>
  <c r="T100" i="67" s="1"/>
  <c r="V100" i="67" s="1"/>
  <c r="S92" i="67"/>
  <c r="T92" i="67" s="1"/>
  <c r="U92" i="67" s="1"/>
  <c r="S108" i="67"/>
  <c r="T108" i="67" s="1"/>
  <c r="V108" i="67" s="1"/>
  <c r="S95" i="67"/>
  <c r="T95" i="67" s="1"/>
  <c r="V95" i="67" s="1"/>
  <c r="D205" i="62"/>
  <c r="H205" i="62" s="1"/>
  <c r="L43" i="67"/>
  <c r="M43" i="67" s="1"/>
  <c r="O43" i="67" s="1"/>
  <c r="D15" i="67"/>
  <c r="L37" i="67"/>
  <c r="M37" i="67" s="1"/>
  <c r="N37" i="67" s="1"/>
  <c r="S93" i="67"/>
  <c r="T93" i="67" s="1"/>
  <c r="V93" i="67" s="1"/>
  <c r="L36" i="67"/>
  <c r="M36" i="67" s="1"/>
  <c r="O36" i="67" s="1"/>
  <c r="L61" i="67"/>
  <c r="M61" i="67" s="1"/>
  <c r="N61" i="67" s="1"/>
  <c r="L49" i="67"/>
  <c r="M49" i="67" s="1"/>
  <c r="N49" i="67" s="1"/>
  <c r="L64" i="67"/>
  <c r="M64" i="67" s="1"/>
  <c r="O64" i="67" s="1"/>
  <c r="S87" i="67"/>
  <c r="T87" i="67" s="1"/>
  <c r="U87" i="67" s="1"/>
  <c r="L40" i="67"/>
  <c r="M40" i="67" s="1"/>
  <c r="N40" i="67" s="1"/>
  <c r="S107" i="67"/>
  <c r="T107" i="67" s="1"/>
  <c r="U107" i="67" s="1"/>
  <c r="L67" i="67"/>
  <c r="M67" i="67" s="1"/>
  <c r="N67" i="67" s="1"/>
  <c r="L51" i="67"/>
  <c r="M51" i="67" s="1"/>
  <c r="O51" i="67" s="1"/>
  <c r="L55" i="67"/>
  <c r="M55" i="67" s="1"/>
  <c r="O55" i="67" s="1"/>
  <c r="S76" i="67"/>
  <c r="T76" i="67" s="1"/>
  <c r="V76" i="67" s="1"/>
  <c r="S88" i="67"/>
  <c r="T88" i="67" s="1"/>
  <c r="V88" i="67" s="1"/>
  <c r="E183" i="62"/>
  <c r="E185" i="62" s="1"/>
  <c r="S86" i="67"/>
  <c r="T86" i="67" s="1"/>
  <c r="U86" i="67" s="1"/>
  <c r="D21" i="67"/>
  <c r="S94" i="67"/>
  <c r="T94" i="67" s="1"/>
  <c r="V94" i="67" s="1"/>
  <c r="L54" i="67"/>
  <c r="M54" i="67" s="1"/>
  <c r="O54" i="67" s="1"/>
  <c r="S89" i="67"/>
  <c r="T89" i="67" s="1"/>
  <c r="V89" i="67" s="1"/>
  <c r="S91" i="67"/>
  <c r="T91" i="67" s="1"/>
  <c r="V91" i="67" s="1"/>
  <c r="S101" i="67"/>
  <c r="T101" i="67" s="1"/>
  <c r="U101" i="67" s="1"/>
  <c r="S73" i="67"/>
  <c r="T73" i="67" s="1"/>
  <c r="U73" i="67" s="1"/>
  <c r="D11" i="67"/>
  <c r="D9" i="67"/>
  <c r="S103" i="67"/>
  <c r="T103" i="67" s="1"/>
  <c r="V103" i="67" s="1"/>
  <c r="L33" i="67"/>
  <c r="M33" i="67" s="1"/>
  <c r="N33" i="67" s="1"/>
  <c r="S104" i="67"/>
  <c r="T104" i="67" s="1"/>
  <c r="V104" i="67" s="1"/>
  <c r="L38" i="67"/>
  <c r="M38" i="67" s="1"/>
  <c r="O38" i="67" s="1"/>
  <c r="L48" i="67"/>
  <c r="M48" i="67" s="1"/>
  <c r="O48" i="67" s="1"/>
  <c r="C175" i="46"/>
  <c r="E175" i="46" s="1"/>
  <c r="E165" i="46" s="1"/>
  <c r="A165" i="46" s="1"/>
  <c r="C179" i="46" s="1"/>
  <c r="G408" i="46" s="1"/>
  <c r="AF46" i="54"/>
  <c r="I228" i="54" s="1"/>
  <c r="A306" i="54"/>
  <c r="A310" i="54" s="1"/>
  <c r="A318" i="54"/>
  <c r="A320" i="54"/>
  <c r="A317" i="54"/>
  <c r="A319" i="54"/>
  <c r="A309" i="46"/>
  <c r="A316" i="54"/>
  <c r="A321" i="54"/>
  <c r="A321" i="46"/>
  <c r="A316" i="46"/>
  <c r="A314" i="46"/>
  <c r="A322" i="46"/>
  <c r="A319" i="46"/>
  <c r="A320" i="46"/>
  <c r="A308" i="46"/>
  <c r="A311" i="46"/>
  <c r="A310" i="46"/>
  <c r="A317" i="46"/>
  <c r="A313" i="46"/>
  <c r="A318" i="46"/>
  <c r="D76" i="66"/>
  <c r="D79" i="66" s="1"/>
  <c r="C730" i="62"/>
  <c r="C218" i="62"/>
  <c r="F228" i="62"/>
  <c r="G228" i="62"/>
  <c r="T85" i="67"/>
  <c r="V85" i="67" s="1"/>
  <c r="A311" i="62"/>
  <c r="A312" i="62"/>
  <c r="A308" i="62"/>
  <c r="A314" i="62"/>
  <c r="A309" i="62"/>
  <c r="A313" i="62"/>
  <c r="A310" i="62"/>
  <c r="C939" i="62"/>
  <c r="U355" i="62"/>
  <c r="D261" i="62"/>
  <c r="C185" i="62"/>
  <c r="B228" i="62"/>
  <c r="C186" i="62"/>
  <c r="C205" i="62"/>
  <c r="C184" i="62"/>
  <c r="H108" i="62"/>
  <c r="C142" i="62"/>
  <c r="C206" i="62"/>
  <c r="B239" i="62"/>
  <c r="C187" i="62"/>
  <c r="L108" i="67"/>
  <c r="L96" i="67"/>
  <c r="L84" i="67"/>
  <c r="L103" i="67"/>
  <c r="L91" i="67"/>
  <c r="L79" i="67"/>
  <c r="L100" i="67"/>
  <c r="L95" i="67"/>
  <c r="L90" i="67"/>
  <c r="L85" i="67"/>
  <c r="L80" i="67"/>
  <c r="S58" i="67"/>
  <c r="L111" i="67"/>
  <c r="L106" i="67"/>
  <c r="L101" i="67"/>
  <c r="L75" i="67"/>
  <c r="L102" i="67"/>
  <c r="S66" i="67"/>
  <c r="S65" i="67"/>
  <c r="S57" i="67"/>
  <c r="S54" i="67"/>
  <c r="S42" i="67"/>
  <c r="L109" i="67"/>
  <c r="S69" i="67"/>
  <c r="S55" i="67"/>
  <c r="S43" i="67"/>
  <c r="L99" i="67"/>
  <c r="L94" i="67"/>
  <c r="S61" i="67"/>
  <c r="S60" i="67"/>
  <c r="S48" i="67"/>
  <c r="S37" i="67"/>
  <c r="C20" i="67"/>
  <c r="C14" i="67"/>
  <c r="C8" i="67"/>
  <c r="L104" i="67"/>
  <c r="L89" i="67"/>
  <c r="S67" i="67"/>
  <c r="S52" i="67"/>
  <c r="S32" i="67"/>
  <c r="L105" i="67"/>
  <c r="L81" i="67"/>
  <c r="S68" i="67"/>
  <c r="S51" i="67"/>
  <c r="S46" i="67"/>
  <c r="S41" i="67"/>
  <c r="L86" i="67"/>
  <c r="L77" i="67"/>
  <c r="S56" i="67"/>
  <c r="S36" i="67"/>
  <c r="L107" i="67"/>
  <c r="L98" i="67"/>
  <c r="L93" i="67"/>
  <c r="L88" i="67"/>
  <c r="S64" i="67"/>
  <c r="S63" i="67"/>
  <c r="S62" i="67"/>
  <c r="S53" i="67"/>
  <c r="L87" i="67"/>
  <c r="C18" i="67"/>
  <c r="C11" i="67"/>
  <c r="S49" i="67"/>
  <c r="C17" i="67"/>
  <c r="C10" i="67"/>
  <c r="L73" i="67"/>
  <c r="S47" i="67"/>
  <c r="S39" i="67"/>
  <c r="L83" i="67"/>
  <c r="L74" i="67"/>
  <c r="C9" i="67"/>
  <c r="L92" i="67"/>
  <c r="D5" i="67"/>
  <c r="L97" i="67"/>
  <c r="S34" i="67"/>
  <c r="C23" i="67"/>
  <c r="C15" i="67"/>
  <c r="L110" i="67"/>
  <c r="S45" i="67"/>
  <c r="S38" i="67"/>
  <c r="S31" i="67"/>
  <c r="C19" i="67"/>
  <c r="S44" i="67"/>
  <c r="S35" i="67"/>
  <c r="C21" i="67"/>
  <c r="L82" i="67"/>
  <c r="C12" i="67"/>
  <c r="S33" i="67"/>
  <c r="S59" i="67"/>
  <c r="C22" i="67"/>
  <c r="L78" i="67"/>
  <c r="S50" i="67"/>
  <c r="S40" i="67"/>
  <c r="C13" i="67"/>
  <c r="L76" i="67"/>
  <c r="C16" i="67"/>
  <c r="A316" i="62"/>
  <c r="A322" i="62"/>
  <c r="A319" i="62"/>
  <c r="A318" i="62"/>
  <c r="A321" i="62"/>
  <c r="A320" i="62"/>
  <c r="A317" i="62"/>
  <c r="S106" i="59"/>
  <c r="S94" i="59"/>
  <c r="S82" i="59"/>
  <c r="S104" i="59"/>
  <c r="S81" i="59"/>
  <c r="S78" i="59"/>
  <c r="S93" i="59"/>
  <c r="S90" i="59"/>
  <c r="S80" i="59"/>
  <c r="S96" i="59"/>
  <c r="S83" i="59"/>
  <c r="L69" i="59"/>
  <c r="S85" i="59"/>
  <c r="S73" i="59"/>
  <c r="L52" i="59"/>
  <c r="L61" i="59"/>
  <c r="L49" i="59"/>
  <c r="L37" i="59"/>
  <c r="L56" i="59"/>
  <c r="L44" i="59"/>
  <c r="L32" i="59"/>
  <c r="D22" i="59"/>
  <c r="D16" i="59"/>
  <c r="D10" i="59"/>
  <c r="S88" i="59"/>
  <c r="S76" i="59"/>
  <c r="L57" i="59"/>
  <c r="L46" i="59"/>
  <c r="D18" i="59"/>
  <c r="D11" i="59"/>
  <c r="S99" i="59"/>
  <c r="L68" i="59"/>
  <c r="L55" i="59"/>
  <c r="S95" i="59"/>
  <c r="S77" i="59"/>
  <c r="L54" i="59"/>
  <c r="L53" i="59"/>
  <c r="L45" i="59"/>
  <c r="L39" i="59"/>
  <c r="L34" i="59"/>
  <c r="D23" i="59"/>
  <c r="D15" i="59"/>
  <c r="D8" i="59"/>
  <c r="S74" i="59"/>
  <c r="L63" i="59"/>
  <c r="D21" i="59"/>
  <c r="D14" i="59"/>
  <c r="S103" i="59"/>
  <c r="S101" i="59"/>
  <c r="L67" i="59"/>
  <c r="L41" i="59"/>
  <c r="L38" i="59"/>
  <c r="D17" i="59"/>
  <c r="S110" i="59"/>
  <c r="S108" i="59"/>
  <c r="S98" i="59"/>
  <c r="L58" i="59"/>
  <c r="D13" i="59"/>
  <c r="S100" i="59"/>
  <c r="L42" i="59"/>
  <c r="S111" i="59"/>
  <c r="S107" i="59"/>
  <c r="S97" i="59"/>
  <c r="L62" i="59"/>
  <c r="L40" i="59"/>
  <c r="D9" i="59"/>
  <c r="S91" i="59"/>
  <c r="S79" i="59"/>
  <c r="L50" i="59"/>
  <c r="S86" i="59"/>
  <c r="L66" i="59"/>
  <c r="L47" i="59"/>
  <c r="D20" i="59"/>
  <c r="L36" i="59"/>
  <c r="D19" i="59"/>
  <c r="L33" i="59"/>
  <c r="S89" i="59"/>
  <c r="L65" i="59"/>
  <c r="L48" i="59"/>
  <c r="D12" i="59"/>
  <c r="S84" i="59"/>
  <c r="L51" i="59"/>
  <c r="S102" i="59"/>
  <c r="S75" i="59"/>
  <c r="L35" i="59"/>
  <c r="L64" i="59"/>
  <c r="S109" i="59"/>
  <c r="L60" i="59"/>
  <c r="L31" i="59"/>
  <c r="L43" i="59"/>
  <c r="S92" i="59"/>
  <c r="S105" i="59"/>
  <c r="S87" i="59"/>
  <c r="L59" i="59"/>
  <c r="C228" i="54"/>
  <c r="D206" i="54"/>
  <c r="U356" i="54"/>
  <c r="E261" i="54"/>
  <c r="D205" i="54"/>
  <c r="C239" i="54"/>
  <c r="G183" i="54"/>
  <c r="E183" i="54"/>
  <c r="F87" i="54"/>
  <c r="F108" i="54" s="1"/>
  <c r="D3" i="59" s="1"/>
  <c r="C108" i="54"/>
  <c r="F87" i="46"/>
  <c r="F108" i="46" s="1"/>
  <c r="D3" i="51" s="1"/>
  <c r="C108" i="46"/>
  <c r="D679" i="3"/>
  <c r="N73" i="11"/>
  <c r="M73" i="11"/>
  <c r="L73" i="11"/>
  <c r="E261" i="46" l="1"/>
  <c r="C274" i="46" s="1"/>
  <c r="D206" i="46"/>
  <c r="L206" i="46" s="1"/>
  <c r="C228" i="46"/>
  <c r="G228" i="46" s="1"/>
  <c r="E183" i="46"/>
  <c r="E186" i="46" s="1"/>
  <c r="U356" i="46"/>
  <c r="W356" i="46" s="1"/>
  <c r="AF46" i="46"/>
  <c r="I228" i="46" s="1"/>
  <c r="D205" i="46"/>
  <c r="K206" i="46" s="1"/>
  <c r="C239" i="46"/>
  <c r="G239" i="46" s="1"/>
  <c r="L40" i="51"/>
  <c r="M40" i="51" s="1"/>
  <c r="O40" i="51" s="1"/>
  <c r="L66" i="51"/>
  <c r="M66" i="51" s="1"/>
  <c r="N66" i="51" s="1"/>
  <c r="L62" i="51"/>
  <c r="M62" i="51" s="1"/>
  <c r="O62" i="51" s="1"/>
  <c r="S81" i="51"/>
  <c r="T81" i="51" s="1"/>
  <c r="V81" i="51" s="1"/>
  <c r="D9" i="51"/>
  <c r="L35" i="51"/>
  <c r="M35" i="51" s="1"/>
  <c r="N35" i="51" s="1"/>
  <c r="D21" i="51"/>
  <c r="L67" i="51"/>
  <c r="M67" i="51" s="1"/>
  <c r="O67" i="51" s="1"/>
  <c r="D18" i="51"/>
  <c r="L46" i="51"/>
  <c r="M46" i="51" s="1"/>
  <c r="N46" i="51" s="1"/>
  <c r="S110" i="51"/>
  <c r="T110" i="51" s="1"/>
  <c r="V110" i="51" s="1"/>
  <c r="L69" i="51"/>
  <c r="M69" i="51" s="1"/>
  <c r="O69" i="51" s="1"/>
  <c r="L39" i="51"/>
  <c r="M39" i="51" s="1"/>
  <c r="O39" i="51" s="1"/>
  <c r="L50" i="51"/>
  <c r="M50" i="51" s="1"/>
  <c r="N50" i="51" s="1"/>
  <c r="S89" i="51"/>
  <c r="T89" i="51" s="1"/>
  <c r="U89" i="51" s="1"/>
  <c r="S75" i="51"/>
  <c r="T75" i="51" s="1"/>
  <c r="V75" i="51" s="1"/>
  <c r="L56" i="51"/>
  <c r="M56" i="51" s="1"/>
  <c r="O56" i="51" s="1"/>
  <c r="S82" i="51"/>
  <c r="T82" i="51" s="1"/>
  <c r="V82" i="51" s="1"/>
  <c r="L32" i="51"/>
  <c r="M32" i="51" s="1"/>
  <c r="O32" i="51" s="1"/>
  <c r="L44" i="51"/>
  <c r="M44" i="51" s="1"/>
  <c r="O44" i="51" s="1"/>
  <c r="L36" i="51"/>
  <c r="M36" i="51" s="1"/>
  <c r="O36" i="51" s="1"/>
  <c r="L54" i="51"/>
  <c r="M54" i="51" s="1"/>
  <c r="O54" i="51" s="1"/>
  <c r="S106" i="51"/>
  <c r="T106" i="51" s="1"/>
  <c r="U106" i="51" s="1"/>
  <c r="S94" i="51"/>
  <c r="T94" i="51" s="1"/>
  <c r="U94" i="51" s="1"/>
  <c r="L68" i="51"/>
  <c r="M68" i="51" s="1"/>
  <c r="O68" i="51" s="1"/>
  <c r="S109" i="51"/>
  <c r="T109" i="51" s="1"/>
  <c r="V109" i="51" s="1"/>
  <c r="S111" i="51"/>
  <c r="T111" i="51" s="1"/>
  <c r="V111" i="51" s="1"/>
  <c r="L51" i="51"/>
  <c r="M51" i="51" s="1"/>
  <c r="O51" i="51" s="1"/>
  <c r="D11" i="51"/>
  <c r="S100" i="51"/>
  <c r="T100" i="51" s="1"/>
  <c r="U100" i="51" s="1"/>
  <c r="S74" i="51"/>
  <c r="T74" i="51" s="1"/>
  <c r="V74" i="51" s="1"/>
  <c r="D15" i="51"/>
  <c r="L37" i="51"/>
  <c r="M37" i="51" s="1"/>
  <c r="N37" i="51" s="1"/>
  <c r="L63" i="51"/>
  <c r="M63" i="51" s="1"/>
  <c r="O63" i="51" s="1"/>
  <c r="D10" i="51"/>
  <c r="S102" i="51"/>
  <c r="T102" i="51" s="1"/>
  <c r="V102" i="51" s="1"/>
  <c r="L53" i="51"/>
  <c r="M53" i="51" s="1"/>
  <c r="N53" i="51" s="1"/>
  <c r="L59" i="51"/>
  <c r="M59" i="51" s="1"/>
  <c r="O59" i="51" s="1"/>
  <c r="L41" i="51"/>
  <c r="M41" i="51" s="1"/>
  <c r="O41" i="51" s="1"/>
  <c r="L48" i="51"/>
  <c r="M48" i="51" s="1"/>
  <c r="O48" i="51" s="1"/>
  <c r="S80" i="51"/>
  <c r="T80" i="51" s="1"/>
  <c r="V80" i="51" s="1"/>
  <c r="S79" i="51"/>
  <c r="T79" i="51" s="1"/>
  <c r="V79" i="51" s="1"/>
  <c r="L52" i="51"/>
  <c r="M52" i="51" s="1"/>
  <c r="O52" i="51" s="1"/>
  <c r="L64" i="51"/>
  <c r="M64" i="51" s="1"/>
  <c r="N64" i="51" s="1"/>
  <c r="S88" i="51"/>
  <c r="T88" i="51" s="1"/>
  <c r="U88" i="51" s="1"/>
  <c r="S107" i="51"/>
  <c r="T107" i="51" s="1"/>
  <c r="V107" i="51" s="1"/>
  <c r="D8" i="51"/>
  <c r="L49" i="51"/>
  <c r="M49" i="51" s="1"/>
  <c r="N49" i="51" s="1"/>
  <c r="D19" i="51"/>
  <c r="S84" i="51"/>
  <c r="T84" i="51" s="1"/>
  <c r="U84" i="51" s="1"/>
  <c r="L47" i="51"/>
  <c r="M47" i="51" s="1"/>
  <c r="N47" i="51" s="1"/>
  <c r="S108" i="51"/>
  <c r="T108" i="51" s="1"/>
  <c r="V108" i="51" s="1"/>
  <c r="S86" i="51"/>
  <c r="T86" i="51" s="1"/>
  <c r="V86" i="51" s="1"/>
  <c r="D12" i="51"/>
  <c r="S101" i="51"/>
  <c r="T101" i="51" s="1"/>
  <c r="V101" i="51" s="1"/>
  <c r="S78" i="51"/>
  <c r="T78" i="51" s="1"/>
  <c r="V78" i="51" s="1"/>
  <c r="S85" i="51"/>
  <c r="T85" i="51" s="1"/>
  <c r="V85" i="51" s="1"/>
  <c r="L60" i="51"/>
  <c r="M60" i="51" s="1"/>
  <c r="N60" i="51" s="1"/>
  <c r="S83" i="51"/>
  <c r="T83" i="51" s="1"/>
  <c r="U83" i="51" s="1"/>
  <c r="S93" i="51"/>
  <c r="T93" i="51" s="1"/>
  <c r="V93" i="51" s="1"/>
  <c r="L34" i="51"/>
  <c r="M34" i="51" s="1"/>
  <c r="O34" i="51" s="1"/>
  <c r="S104" i="51"/>
  <c r="T104" i="51" s="1"/>
  <c r="V104" i="51" s="1"/>
  <c r="S90" i="51"/>
  <c r="T90" i="51" s="1"/>
  <c r="V90" i="51" s="1"/>
  <c r="L31" i="51"/>
  <c r="M31" i="51" s="1"/>
  <c r="N31" i="51" s="1"/>
  <c r="S96" i="51"/>
  <c r="T96" i="51" s="1"/>
  <c r="V96" i="51" s="1"/>
  <c r="L55" i="51"/>
  <c r="M55" i="51" s="1"/>
  <c r="O55" i="51" s="1"/>
  <c r="L42" i="51"/>
  <c r="M42" i="51" s="1"/>
  <c r="O42" i="51" s="1"/>
  <c r="L57" i="51"/>
  <c r="M57" i="51" s="1"/>
  <c r="N57" i="51" s="1"/>
  <c r="S91" i="51"/>
  <c r="T91" i="51" s="1"/>
  <c r="V91" i="51" s="1"/>
  <c r="S103" i="51"/>
  <c r="T103" i="51" s="1"/>
  <c r="V103" i="51" s="1"/>
  <c r="D17" i="51"/>
  <c r="S98" i="51"/>
  <c r="T98" i="51" s="1"/>
  <c r="V98" i="51" s="1"/>
  <c r="S99" i="51"/>
  <c r="T99" i="51" s="1"/>
  <c r="V99" i="51" s="1"/>
  <c r="S95" i="51"/>
  <c r="T95" i="51" s="1"/>
  <c r="V95" i="51" s="1"/>
  <c r="S73" i="51"/>
  <c r="T73" i="51" s="1"/>
  <c r="U73" i="51" s="1"/>
  <c r="D14" i="51"/>
  <c r="S105" i="51"/>
  <c r="T105" i="51" s="1"/>
  <c r="U105" i="51" s="1"/>
  <c r="L65" i="51"/>
  <c r="M65" i="51" s="1"/>
  <c r="O65" i="51" s="1"/>
  <c r="S92" i="51"/>
  <c r="T92" i="51" s="1"/>
  <c r="V92" i="51" s="1"/>
  <c r="D13" i="51"/>
  <c r="D20" i="51"/>
  <c r="L61" i="51"/>
  <c r="M61" i="51" s="1"/>
  <c r="O61" i="51" s="1"/>
  <c r="L33" i="51"/>
  <c r="M33" i="51" s="1"/>
  <c r="O33" i="51" s="1"/>
  <c r="L45" i="51"/>
  <c r="M45" i="51" s="1"/>
  <c r="O45" i="51" s="1"/>
  <c r="D16" i="51"/>
  <c r="S87" i="51"/>
  <c r="T87" i="51" s="1"/>
  <c r="V87" i="51" s="1"/>
  <c r="D23" i="51"/>
  <c r="S76" i="51"/>
  <c r="T76" i="51" s="1"/>
  <c r="V76" i="51" s="1"/>
  <c r="L38" i="51"/>
  <c r="M38" i="51" s="1"/>
  <c r="O38" i="51" s="1"/>
  <c r="L58" i="51"/>
  <c r="M58" i="51" s="1"/>
  <c r="O58" i="51" s="1"/>
  <c r="L43" i="51"/>
  <c r="M43" i="51" s="1"/>
  <c r="O43" i="51" s="1"/>
  <c r="S77" i="51"/>
  <c r="T77" i="51" s="1"/>
  <c r="V77" i="51" s="1"/>
  <c r="D22" i="51"/>
  <c r="G205" i="62"/>
  <c r="L205" i="62"/>
  <c r="H206" i="62"/>
  <c r="G186" i="62"/>
  <c r="F186" i="62" s="1"/>
  <c r="G187" i="62"/>
  <c r="F187" i="62" s="1"/>
  <c r="C275" i="62"/>
  <c r="E275" i="62" s="1"/>
  <c r="D24" i="67"/>
  <c r="W106" i="67" s="1"/>
  <c r="X106" i="67" s="1"/>
  <c r="F239" i="62"/>
  <c r="G185" i="62"/>
  <c r="F185" i="62" s="1"/>
  <c r="N184" i="62"/>
  <c r="K206" i="62"/>
  <c r="E184" i="62"/>
  <c r="D184" i="62" s="1"/>
  <c r="E187" i="62"/>
  <c r="D187" i="62" s="1"/>
  <c r="N186" i="62"/>
  <c r="G206" i="62"/>
  <c r="N185" i="62"/>
  <c r="E186" i="62"/>
  <c r="N187" i="62"/>
  <c r="J168" i="62"/>
  <c r="U358" i="62"/>
  <c r="V359" i="62" s="1"/>
  <c r="A313" i="54"/>
  <c r="A309" i="54"/>
  <c r="A314" i="54"/>
  <c r="A311" i="54"/>
  <c r="A312" i="54"/>
  <c r="A308" i="54"/>
  <c r="O68" i="67"/>
  <c r="A333" i="46"/>
  <c r="D413" i="46" s="1"/>
  <c r="A872" i="46"/>
  <c r="J872" i="46" s="1"/>
  <c r="B327" i="46"/>
  <c r="D327" i="46" s="1"/>
  <c r="H351" i="46" s="1"/>
  <c r="H359" i="46" s="1"/>
  <c r="A331" i="46"/>
  <c r="C413" i="46" s="1"/>
  <c r="O45" i="67"/>
  <c r="V83" i="67"/>
  <c r="U98" i="67"/>
  <c r="U93" i="67"/>
  <c r="U105" i="67"/>
  <c r="U97" i="67"/>
  <c r="N53" i="67"/>
  <c r="N65" i="67"/>
  <c r="U108" i="67"/>
  <c r="U99" i="67"/>
  <c r="O61" i="67"/>
  <c r="V86" i="67"/>
  <c r="U94" i="67"/>
  <c r="U102" i="67"/>
  <c r="N63" i="67"/>
  <c r="U82" i="67"/>
  <c r="U88" i="67"/>
  <c r="N54" i="67"/>
  <c r="U85" i="67"/>
  <c r="N66" i="67"/>
  <c r="V80" i="67"/>
  <c r="N55" i="67"/>
  <c r="U81" i="67"/>
  <c r="U111" i="67"/>
  <c r="N32" i="67"/>
  <c r="V101" i="67"/>
  <c r="U78" i="67"/>
  <c r="O49" i="67"/>
  <c r="V87" i="67"/>
  <c r="O67" i="67"/>
  <c r="N41" i="67"/>
  <c r="N47" i="67"/>
  <c r="N43" i="67"/>
  <c r="N44" i="67"/>
  <c r="V92" i="67"/>
  <c r="O35" i="67"/>
  <c r="N50" i="67"/>
  <c r="O37" i="67"/>
  <c r="U109" i="67"/>
  <c r="N38" i="67"/>
  <c r="D24" i="59"/>
  <c r="W80" i="59" s="1"/>
  <c r="V107" i="67"/>
  <c r="O40" i="67"/>
  <c r="N69" i="67"/>
  <c r="T49" i="67"/>
  <c r="U49" i="67" s="1"/>
  <c r="D125" i="62"/>
  <c r="D126" i="62"/>
  <c r="D124" i="62"/>
  <c r="D123" i="62"/>
  <c r="D127" i="62"/>
  <c r="D128" i="62"/>
  <c r="D121" i="62"/>
  <c r="D122" i="62"/>
  <c r="T51" i="67"/>
  <c r="U51" i="67" s="1"/>
  <c r="J167" i="62"/>
  <c r="J166" i="62"/>
  <c r="H184" i="62"/>
  <c r="I184" i="62"/>
  <c r="M94" i="67"/>
  <c r="O94" i="67" s="1"/>
  <c r="D185" i="62"/>
  <c r="M82" i="67"/>
  <c r="O82" i="67" s="1"/>
  <c r="M93" i="67"/>
  <c r="O93" i="67" s="1"/>
  <c r="T69" i="67"/>
  <c r="V69" i="67" s="1"/>
  <c r="M75" i="67"/>
  <c r="N75" i="67" s="1"/>
  <c r="M91" i="67"/>
  <c r="O91" i="67" s="1"/>
  <c r="E239" i="62"/>
  <c r="D239" i="62"/>
  <c r="H945" i="62"/>
  <c r="O953" i="62"/>
  <c r="G945" i="62"/>
  <c r="D945" i="62"/>
  <c r="O951" i="62"/>
  <c r="C945" i="62"/>
  <c r="J945" i="62"/>
  <c r="O954" i="62"/>
  <c r="O948" i="62"/>
  <c r="I945" i="62"/>
  <c r="O952" i="62"/>
  <c r="E945" i="62"/>
  <c r="O949" i="62"/>
  <c r="O955" i="62"/>
  <c r="K945" i="62"/>
  <c r="F945" i="62"/>
  <c r="O956" i="62"/>
  <c r="M945" i="62"/>
  <c r="O957" i="62"/>
  <c r="L945" i="62"/>
  <c r="O950" i="62"/>
  <c r="O57" i="67"/>
  <c r="U91" i="67"/>
  <c r="U75" i="67"/>
  <c r="T40" i="67"/>
  <c r="V40" i="67" s="1"/>
  <c r="T38" i="67"/>
  <c r="V38" i="67" s="1"/>
  <c r="M92" i="67"/>
  <c r="O92" i="67" s="1"/>
  <c r="T53" i="67"/>
  <c r="V53" i="67" s="1"/>
  <c r="M98" i="67"/>
  <c r="O98" i="67" s="1"/>
  <c r="T41" i="67"/>
  <c r="V41" i="67" s="1"/>
  <c r="T37" i="67"/>
  <c r="V37" i="67" s="1"/>
  <c r="M101" i="67"/>
  <c r="O101" i="67" s="1"/>
  <c r="M85" i="67"/>
  <c r="O85" i="67" s="1"/>
  <c r="E206" i="62"/>
  <c r="F206" i="62"/>
  <c r="N48" i="67"/>
  <c r="N58" i="67"/>
  <c r="U77" i="67"/>
  <c r="U84" i="67"/>
  <c r="O52" i="67"/>
  <c r="N59" i="67"/>
  <c r="T50" i="67"/>
  <c r="U50" i="67" s="1"/>
  <c r="T35" i="67"/>
  <c r="U35" i="67" s="1"/>
  <c r="T45" i="67"/>
  <c r="V45" i="67" s="1"/>
  <c r="M107" i="67"/>
  <c r="N107" i="67" s="1"/>
  <c r="T52" i="67"/>
  <c r="U52" i="67" s="1"/>
  <c r="T48" i="67"/>
  <c r="U48" i="67" s="1"/>
  <c r="M109" i="67"/>
  <c r="O109" i="67" s="1"/>
  <c r="M106" i="67"/>
  <c r="O106" i="67" s="1"/>
  <c r="M103" i="67"/>
  <c r="O103" i="67" s="1"/>
  <c r="D145" i="62"/>
  <c r="C145" i="62"/>
  <c r="N62" i="67"/>
  <c r="E274" i="62"/>
  <c r="U103" i="67"/>
  <c r="O33" i="67"/>
  <c r="M90" i="67"/>
  <c r="N90" i="67" s="1"/>
  <c r="M83" i="67"/>
  <c r="O83" i="67" s="1"/>
  <c r="H186" i="62"/>
  <c r="I186" i="62"/>
  <c r="U90" i="67"/>
  <c r="N36" i="67"/>
  <c r="M78" i="67"/>
  <c r="O78" i="67" s="1"/>
  <c r="T62" i="67"/>
  <c r="U62" i="67" s="1"/>
  <c r="N64" i="67"/>
  <c r="M74" i="67"/>
  <c r="N74" i="67" s="1"/>
  <c r="T68" i="67"/>
  <c r="U68" i="67" s="1"/>
  <c r="M95" i="67"/>
  <c r="O95" i="67" s="1"/>
  <c r="T56" i="67"/>
  <c r="V56" i="67" s="1"/>
  <c r="M77" i="67"/>
  <c r="N77" i="67" s="1"/>
  <c r="M89" i="67"/>
  <c r="O89" i="67" s="1"/>
  <c r="T43" i="67"/>
  <c r="V43" i="67" s="1"/>
  <c r="T57" i="67"/>
  <c r="V57" i="67" s="1"/>
  <c r="T58" i="67"/>
  <c r="V58" i="67" s="1"/>
  <c r="M100" i="67"/>
  <c r="O100" i="67" s="1"/>
  <c r="C76" i="66"/>
  <c r="C79" i="66" s="1"/>
  <c r="E79" i="66" s="1"/>
  <c r="C729" i="62"/>
  <c r="C217" i="62"/>
  <c r="E218" i="62" s="1"/>
  <c r="E228" i="62"/>
  <c r="D228" i="62"/>
  <c r="N42" i="67"/>
  <c r="U100" i="67"/>
  <c r="T44" i="67"/>
  <c r="V44" i="67" s="1"/>
  <c r="M99" i="67"/>
  <c r="O99" i="67" s="1"/>
  <c r="U79" i="67"/>
  <c r="T46" i="67"/>
  <c r="U46" i="67" s="1"/>
  <c r="M111" i="67"/>
  <c r="O111" i="67" s="1"/>
  <c r="M110" i="67"/>
  <c r="N110" i="67" s="1"/>
  <c r="T61" i="67"/>
  <c r="V61" i="67" s="1"/>
  <c r="M81" i="67"/>
  <c r="O81" i="67" s="1"/>
  <c r="M96" i="67"/>
  <c r="N96" i="67" s="1"/>
  <c r="U106" i="67"/>
  <c r="T34" i="67"/>
  <c r="V34" i="67" s="1"/>
  <c r="A872" i="62"/>
  <c r="A333" i="62"/>
  <c r="D413" i="62" s="1"/>
  <c r="B327" i="62"/>
  <c r="D327" i="62" s="1"/>
  <c r="H351" i="62" s="1"/>
  <c r="A331" i="62"/>
  <c r="C413" i="62" s="1"/>
  <c r="C24" i="67"/>
  <c r="T55" i="67"/>
  <c r="V55" i="67" s="1"/>
  <c r="T66" i="67"/>
  <c r="V66" i="67" s="1"/>
  <c r="N46" i="67"/>
  <c r="U96" i="67"/>
  <c r="N56" i="67"/>
  <c r="T60" i="67"/>
  <c r="V60" i="67" s="1"/>
  <c r="T36" i="67"/>
  <c r="V36" i="67" s="1"/>
  <c r="T67" i="67"/>
  <c r="V67" i="67" s="1"/>
  <c r="F205" i="62"/>
  <c r="E205" i="62"/>
  <c r="J206" i="62"/>
  <c r="T59" i="67"/>
  <c r="V59" i="67" s="1"/>
  <c r="T33" i="67"/>
  <c r="V33" i="67" s="1"/>
  <c r="T31" i="67"/>
  <c r="V31" i="67" s="1"/>
  <c r="M86" i="67"/>
  <c r="O86" i="67" s="1"/>
  <c r="M104" i="67"/>
  <c r="O104" i="67" s="1"/>
  <c r="T65" i="67"/>
  <c r="V65" i="67" s="1"/>
  <c r="M108" i="67"/>
  <c r="O108" i="67" s="1"/>
  <c r="U76" i="67"/>
  <c r="V73" i="67"/>
  <c r="T47" i="67"/>
  <c r="V47" i="67" s="1"/>
  <c r="M87" i="67"/>
  <c r="O87" i="67" s="1"/>
  <c r="T64" i="67"/>
  <c r="V64" i="67" s="1"/>
  <c r="N31" i="67"/>
  <c r="U89" i="67"/>
  <c r="M97" i="67"/>
  <c r="O97" i="67" s="1"/>
  <c r="M73" i="67"/>
  <c r="O73" i="67" s="1"/>
  <c r="M105" i="67"/>
  <c r="O105" i="67" s="1"/>
  <c r="M102" i="67"/>
  <c r="O102" i="67" s="1"/>
  <c r="M79" i="67"/>
  <c r="O79" i="67" s="1"/>
  <c r="F261" i="62"/>
  <c r="B275" i="62"/>
  <c r="B274" i="62"/>
  <c r="D274" i="62" s="1"/>
  <c r="N60" i="67"/>
  <c r="U74" i="67"/>
  <c r="N34" i="67"/>
  <c r="U110" i="67"/>
  <c r="O39" i="67"/>
  <c r="T42" i="67"/>
  <c r="V42" i="67" s="1"/>
  <c r="M84" i="67"/>
  <c r="O84" i="67" s="1"/>
  <c r="U104" i="67"/>
  <c r="N51" i="67"/>
  <c r="T63" i="67"/>
  <c r="U63" i="67" s="1"/>
  <c r="G750" i="62"/>
  <c r="D750" i="62"/>
  <c r="C750" i="62"/>
  <c r="H750" i="62"/>
  <c r="F750" i="62"/>
  <c r="E750" i="62"/>
  <c r="T54" i="67"/>
  <c r="V54" i="67" s="1"/>
  <c r="T39" i="67"/>
  <c r="U39" i="67" s="1"/>
  <c r="I185" i="62"/>
  <c r="H185" i="62"/>
  <c r="M76" i="67"/>
  <c r="O76" i="67" s="1"/>
  <c r="M88" i="67"/>
  <c r="O88" i="67" s="1"/>
  <c r="T32" i="67"/>
  <c r="V32" i="67" s="1"/>
  <c r="M80" i="67"/>
  <c r="O80" i="67" s="1"/>
  <c r="I187" i="62"/>
  <c r="H187" i="62"/>
  <c r="W355" i="62"/>
  <c r="V360" i="62"/>
  <c r="U95" i="67"/>
  <c r="T80" i="59"/>
  <c r="V80" i="59" s="1"/>
  <c r="M31" i="59"/>
  <c r="N31" i="59" s="1"/>
  <c r="M66" i="59"/>
  <c r="O66" i="59" s="1"/>
  <c r="M38" i="59"/>
  <c r="N38" i="59" s="1"/>
  <c r="T86" i="59"/>
  <c r="U86" i="59" s="1"/>
  <c r="T97" i="59"/>
  <c r="V97" i="59" s="1"/>
  <c r="T88" i="59"/>
  <c r="U88" i="59" s="1"/>
  <c r="M60" i="59"/>
  <c r="N60" i="59" s="1"/>
  <c r="M65" i="59"/>
  <c r="O65" i="59" s="1"/>
  <c r="T107" i="59"/>
  <c r="U107" i="59" s="1"/>
  <c r="T98" i="59"/>
  <c r="U98" i="59" s="1"/>
  <c r="M67" i="59"/>
  <c r="N67" i="59" s="1"/>
  <c r="L100" i="59"/>
  <c r="L88" i="59"/>
  <c r="L76" i="59"/>
  <c r="L99" i="59"/>
  <c r="L86" i="59"/>
  <c r="L111" i="59"/>
  <c r="L98" i="59"/>
  <c r="L75" i="59"/>
  <c r="S68" i="59"/>
  <c r="L104" i="59"/>
  <c r="L101" i="59"/>
  <c r="L91" i="59"/>
  <c r="L78" i="59"/>
  <c r="L107" i="59"/>
  <c r="S63" i="59"/>
  <c r="S58" i="59"/>
  <c r="L90" i="59"/>
  <c r="L84" i="59"/>
  <c r="L83" i="59"/>
  <c r="L82" i="59"/>
  <c r="L81" i="59"/>
  <c r="L80" i="59"/>
  <c r="S67" i="59"/>
  <c r="S55" i="59"/>
  <c r="S43" i="59"/>
  <c r="S31" i="59"/>
  <c r="C23" i="59"/>
  <c r="C17" i="59"/>
  <c r="C11" i="59"/>
  <c r="L89" i="59"/>
  <c r="L87" i="59"/>
  <c r="L85" i="59"/>
  <c r="L79" i="59"/>
  <c r="S66" i="59"/>
  <c r="S65" i="59"/>
  <c r="S62" i="59"/>
  <c r="S50" i="59"/>
  <c r="S38" i="59"/>
  <c r="S44" i="59"/>
  <c r="S39" i="59"/>
  <c r="S34" i="59"/>
  <c r="L108" i="59"/>
  <c r="L102" i="59"/>
  <c r="L92" i="59"/>
  <c r="S69" i="59"/>
  <c r="S33" i="59"/>
  <c r="L109" i="59"/>
  <c r="L93" i="59"/>
  <c r="S64" i="59"/>
  <c r="S61" i="59"/>
  <c r="S49" i="59"/>
  <c r="C16" i="59"/>
  <c r="C9" i="59"/>
  <c r="L94" i="59"/>
  <c r="S60" i="59"/>
  <c r="S59" i="59"/>
  <c r="S48" i="59"/>
  <c r="S47" i="59"/>
  <c r="S42" i="59"/>
  <c r="S37" i="59"/>
  <c r="S32" i="59"/>
  <c r="L105" i="59"/>
  <c r="L95" i="59"/>
  <c r="S57" i="59"/>
  <c r="D5" i="59"/>
  <c r="L103" i="59"/>
  <c r="S46" i="59"/>
  <c r="C15" i="59"/>
  <c r="L110" i="59"/>
  <c r="L73" i="59"/>
  <c r="S56" i="59"/>
  <c r="S40" i="59"/>
  <c r="C13" i="59"/>
  <c r="S41" i="59"/>
  <c r="C20" i="59"/>
  <c r="C19" i="59"/>
  <c r="S36" i="59"/>
  <c r="C18" i="59"/>
  <c r="L97" i="59"/>
  <c r="C12" i="59"/>
  <c r="C10" i="59"/>
  <c r="S52" i="59"/>
  <c r="S45" i="59"/>
  <c r="C14" i="59"/>
  <c r="S51" i="59"/>
  <c r="S35" i="59"/>
  <c r="L106" i="59"/>
  <c r="C8" i="59"/>
  <c r="S54" i="59"/>
  <c r="L96" i="59"/>
  <c r="S53" i="59"/>
  <c r="L74" i="59"/>
  <c r="C22" i="59"/>
  <c r="L77" i="59"/>
  <c r="C21" i="59"/>
  <c r="T87" i="59"/>
  <c r="U87" i="59" s="1"/>
  <c r="T109" i="59"/>
  <c r="U109" i="59" s="1"/>
  <c r="M50" i="59"/>
  <c r="O50" i="59" s="1"/>
  <c r="N187" i="54"/>
  <c r="E184" i="54"/>
  <c r="E187" i="54"/>
  <c r="N184" i="54"/>
  <c r="J168" i="54"/>
  <c r="E185" i="54"/>
  <c r="E186" i="54"/>
  <c r="N186" i="54"/>
  <c r="N185" i="54"/>
  <c r="T79" i="59"/>
  <c r="V79" i="59" s="1"/>
  <c r="T111" i="59"/>
  <c r="V111" i="59" s="1"/>
  <c r="T108" i="59"/>
  <c r="U108" i="59" s="1"/>
  <c r="T99" i="59"/>
  <c r="V99" i="59" s="1"/>
  <c r="M37" i="59"/>
  <c r="O37" i="59" s="1"/>
  <c r="M33" i="59"/>
  <c r="O33" i="59" s="1"/>
  <c r="T110" i="59"/>
  <c r="V110" i="59" s="1"/>
  <c r="G239" i="54"/>
  <c r="F239" i="54"/>
  <c r="T103" i="59"/>
  <c r="V103" i="59" s="1"/>
  <c r="M34" i="59"/>
  <c r="O34" i="59" s="1"/>
  <c r="M45" i="59"/>
  <c r="N45" i="59" s="1"/>
  <c r="M49" i="59"/>
  <c r="O49" i="59" s="1"/>
  <c r="T83" i="59"/>
  <c r="V83" i="59" s="1"/>
  <c r="T78" i="59"/>
  <c r="V78" i="59" s="1"/>
  <c r="G187" i="54"/>
  <c r="F187" i="54" s="1"/>
  <c r="G185" i="54"/>
  <c r="F185" i="54" s="1"/>
  <c r="G186" i="54"/>
  <c r="F186" i="54" s="1"/>
  <c r="G184" i="54"/>
  <c r="F184" i="54" s="1"/>
  <c r="M64" i="59"/>
  <c r="O64" i="59" s="1"/>
  <c r="M42" i="59"/>
  <c r="O42" i="59" s="1"/>
  <c r="L205" i="54"/>
  <c r="H205" i="54"/>
  <c r="G205" i="54"/>
  <c r="K206" i="54"/>
  <c r="M35" i="59"/>
  <c r="O35" i="59" s="1"/>
  <c r="T100" i="59"/>
  <c r="U100" i="59" s="1"/>
  <c r="M53" i="59"/>
  <c r="N53" i="59" s="1"/>
  <c r="T81" i="59"/>
  <c r="V81" i="59" s="1"/>
  <c r="T82" i="59"/>
  <c r="V82" i="59" s="1"/>
  <c r="M48" i="59"/>
  <c r="N48" i="59" s="1"/>
  <c r="M41" i="59"/>
  <c r="N41" i="59" s="1"/>
  <c r="M55" i="59"/>
  <c r="N55" i="59" s="1"/>
  <c r="T73" i="59"/>
  <c r="V73" i="59" s="1"/>
  <c r="T90" i="59"/>
  <c r="U90" i="59" s="1"/>
  <c r="T94" i="59"/>
  <c r="V94" i="59" s="1"/>
  <c r="T89" i="59"/>
  <c r="V89" i="59" s="1"/>
  <c r="M68" i="59"/>
  <c r="O68" i="59" s="1"/>
  <c r="T93" i="59"/>
  <c r="V93" i="59" s="1"/>
  <c r="T106" i="59"/>
  <c r="V106" i="59" s="1"/>
  <c r="T85" i="59"/>
  <c r="V85" i="59" s="1"/>
  <c r="M56" i="59"/>
  <c r="N56" i="59" s="1"/>
  <c r="M59" i="59"/>
  <c r="O59" i="59" s="1"/>
  <c r="C939" i="54"/>
  <c r="U355" i="54"/>
  <c r="U358" i="54" s="1"/>
  <c r="V359" i="54" s="1"/>
  <c r="C206" i="54"/>
  <c r="C205" i="54"/>
  <c r="C142" i="54"/>
  <c r="C185" i="54"/>
  <c r="C187" i="54"/>
  <c r="C186" i="54"/>
  <c r="C184" i="54"/>
  <c r="B228" i="54"/>
  <c r="H108" i="54"/>
  <c r="D261" i="54"/>
  <c r="B239" i="54"/>
  <c r="T91" i="59"/>
  <c r="V91" i="59" s="1"/>
  <c r="T101" i="59"/>
  <c r="V101" i="59" s="1"/>
  <c r="M69" i="59"/>
  <c r="O69" i="59" s="1"/>
  <c r="C274" i="54"/>
  <c r="C275" i="54"/>
  <c r="E275" i="54" s="1"/>
  <c r="T105" i="59"/>
  <c r="V105" i="59" s="1"/>
  <c r="T75" i="59"/>
  <c r="V75" i="59" s="1"/>
  <c r="M36" i="59"/>
  <c r="O36" i="59" s="1"/>
  <c r="M39" i="59"/>
  <c r="O39" i="59" s="1"/>
  <c r="M54" i="59"/>
  <c r="O54" i="59" s="1"/>
  <c r="M46" i="59"/>
  <c r="O46" i="59" s="1"/>
  <c r="M32" i="59"/>
  <c r="O32" i="59" s="1"/>
  <c r="M61" i="59"/>
  <c r="O61" i="59" s="1"/>
  <c r="W356" i="54"/>
  <c r="T92" i="59"/>
  <c r="V92" i="59" s="1"/>
  <c r="T102" i="59"/>
  <c r="V102" i="59" s="1"/>
  <c r="M40" i="59"/>
  <c r="O40" i="59" s="1"/>
  <c r="M63" i="59"/>
  <c r="N63" i="59" s="1"/>
  <c r="T77" i="59"/>
  <c r="V77" i="59" s="1"/>
  <c r="M57" i="59"/>
  <c r="O57" i="59" s="1"/>
  <c r="T96" i="59"/>
  <c r="V96" i="59" s="1"/>
  <c r="H206" i="54"/>
  <c r="L206" i="54"/>
  <c r="G206" i="54"/>
  <c r="M43" i="59"/>
  <c r="O43" i="59" s="1"/>
  <c r="M51" i="59"/>
  <c r="N51" i="59" s="1"/>
  <c r="T74" i="59"/>
  <c r="V74" i="59" s="1"/>
  <c r="T76" i="59"/>
  <c r="V76" i="59" s="1"/>
  <c r="M44" i="59"/>
  <c r="O44" i="59" s="1"/>
  <c r="T104" i="59"/>
  <c r="V104" i="59" s="1"/>
  <c r="D76" i="58"/>
  <c r="D79" i="58" s="1"/>
  <c r="C730" i="54"/>
  <c r="F228" i="54"/>
  <c r="G228" i="54"/>
  <c r="C218" i="54"/>
  <c r="T84" i="59"/>
  <c r="V84" i="59" s="1"/>
  <c r="M47" i="59"/>
  <c r="O47" i="59" s="1"/>
  <c r="M62" i="59"/>
  <c r="O62" i="59" s="1"/>
  <c r="M58" i="59"/>
  <c r="O58" i="59" s="1"/>
  <c r="T95" i="59"/>
  <c r="V95" i="59" s="1"/>
  <c r="M52" i="59"/>
  <c r="O52" i="59" s="1"/>
  <c r="T97" i="51"/>
  <c r="V97" i="51" s="1"/>
  <c r="L108" i="51"/>
  <c r="L96" i="51"/>
  <c r="L84" i="51"/>
  <c r="L109" i="51"/>
  <c r="L105" i="51"/>
  <c r="L92" i="51"/>
  <c r="S59" i="51"/>
  <c r="L95" i="51"/>
  <c r="L82" i="51"/>
  <c r="L98" i="51"/>
  <c r="L88" i="51"/>
  <c r="L85" i="51"/>
  <c r="L75" i="51"/>
  <c r="L111" i="51"/>
  <c r="L110" i="51"/>
  <c r="L76" i="51"/>
  <c r="S60" i="51"/>
  <c r="S50" i="51"/>
  <c r="S38" i="51"/>
  <c r="L73" i="51"/>
  <c r="S54" i="51"/>
  <c r="L106" i="51"/>
  <c r="L101" i="51"/>
  <c r="S52" i="51"/>
  <c r="S47" i="51"/>
  <c r="S40" i="51"/>
  <c r="C21" i="51"/>
  <c r="C8" i="51"/>
  <c r="L104" i="51"/>
  <c r="S61" i="51"/>
  <c r="S55" i="51"/>
  <c r="S45" i="51"/>
  <c r="S35" i="51"/>
  <c r="S32" i="51"/>
  <c r="C18" i="51"/>
  <c r="L99" i="51"/>
  <c r="L93" i="51"/>
  <c r="L100" i="51"/>
  <c r="L80" i="51"/>
  <c r="S68" i="51"/>
  <c r="C20" i="51"/>
  <c r="L90" i="51"/>
  <c r="L87" i="51"/>
  <c r="S67" i="51"/>
  <c r="S39" i="51"/>
  <c r="C12" i="51"/>
  <c r="S69" i="51"/>
  <c r="C19" i="51"/>
  <c r="L81" i="51"/>
  <c r="L103" i="51"/>
  <c r="L83" i="51"/>
  <c r="S46" i="51"/>
  <c r="C14" i="51"/>
  <c r="L89" i="51"/>
  <c r="S62" i="51"/>
  <c r="C23" i="51"/>
  <c r="C13" i="51"/>
  <c r="L107" i="51"/>
  <c r="S65" i="51"/>
  <c r="S56" i="51"/>
  <c r="C22" i="51"/>
  <c r="C11" i="51"/>
  <c r="L102" i="51"/>
  <c r="S53" i="51"/>
  <c r="S42" i="51"/>
  <c r="S34" i="51"/>
  <c r="C10" i="51"/>
  <c r="L78" i="51"/>
  <c r="S63" i="51"/>
  <c r="S57" i="51"/>
  <c r="C9" i="51"/>
  <c r="L74" i="51"/>
  <c r="S49" i="51"/>
  <c r="S44" i="51"/>
  <c r="C16" i="51"/>
  <c r="L77" i="51"/>
  <c r="S51" i="51"/>
  <c r="L91" i="51"/>
  <c r="S36" i="51"/>
  <c r="C15" i="51"/>
  <c r="S48" i="51"/>
  <c r="L94" i="51"/>
  <c r="L86" i="51"/>
  <c r="S64" i="51"/>
  <c r="S43" i="51"/>
  <c r="S41" i="51"/>
  <c r="S31" i="51"/>
  <c r="D5" i="51"/>
  <c r="L79" i="51"/>
  <c r="S58" i="51"/>
  <c r="S66" i="51"/>
  <c r="L97" i="51"/>
  <c r="S33" i="51"/>
  <c r="S37" i="51"/>
  <c r="C17" i="51"/>
  <c r="G184" i="46"/>
  <c r="F184" i="46" s="1"/>
  <c r="G187" i="46"/>
  <c r="F187" i="46" s="1"/>
  <c r="G185" i="46"/>
  <c r="F185" i="46" s="1"/>
  <c r="G186" i="46"/>
  <c r="F186" i="46" s="1"/>
  <c r="U355" i="46"/>
  <c r="C939" i="46"/>
  <c r="D261" i="46"/>
  <c r="B239" i="46"/>
  <c r="C205" i="46"/>
  <c r="C186" i="46"/>
  <c r="C185" i="46"/>
  <c r="B228" i="46"/>
  <c r="C184" i="46"/>
  <c r="C187" i="46"/>
  <c r="C142" i="46"/>
  <c r="C206" i="46"/>
  <c r="H108" i="46"/>
  <c r="L820" i="3"/>
  <c r="M820" i="3"/>
  <c r="N820" i="3"/>
  <c r="O820" i="3"/>
  <c r="L821" i="3"/>
  <c r="M821" i="3"/>
  <c r="N821" i="3"/>
  <c r="O821" i="3"/>
  <c r="L822" i="3"/>
  <c r="M822" i="3"/>
  <c r="N822" i="3"/>
  <c r="O822" i="3"/>
  <c r="L823" i="3"/>
  <c r="M823" i="3"/>
  <c r="N823" i="3"/>
  <c r="O823" i="3"/>
  <c r="L824" i="3"/>
  <c r="M824" i="3"/>
  <c r="N824" i="3"/>
  <c r="O824" i="3"/>
  <c r="L825" i="3"/>
  <c r="M825" i="3"/>
  <c r="N825" i="3"/>
  <c r="O825" i="3"/>
  <c r="L826" i="3"/>
  <c r="M826" i="3"/>
  <c r="N826" i="3"/>
  <c r="O826" i="3"/>
  <c r="L827" i="3"/>
  <c r="M827" i="3"/>
  <c r="N827" i="3"/>
  <c r="O827" i="3"/>
  <c r="L828" i="3"/>
  <c r="M828" i="3"/>
  <c r="N828" i="3"/>
  <c r="O828" i="3"/>
  <c r="E829" i="3"/>
  <c r="F829" i="3"/>
  <c r="G829" i="3"/>
  <c r="H829" i="3"/>
  <c r="I829" i="3"/>
  <c r="J829" i="3"/>
  <c r="K829" i="3"/>
  <c r="L829" i="3"/>
  <c r="M829" i="3"/>
  <c r="N829" i="3"/>
  <c r="O829" i="3"/>
  <c r="E830" i="3"/>
  <c r="F830" i="3"/>
  <c r="G830" i="3"/>
  <c r="H830" i="3"/>
  <c r="I830" i="3"/>
  <c r="J830" i="3"/>
  <c r="K830" i="3"/>
  <c r="L830" i="3"/>
  <c r="M830" i="3"/>
  <c r="N830" i="3"/>
  <c r="O830" i="3"/>
  <c r="E831" i="3"/>
  <c r="F831" i="3"/>
  <c r="G831" i="3"/>
  <c r="H831" i="3"/>
  <c r="I831" i="3"/>
  <c r="J831" i="3"/>
  <c r="K831" i="3"/>
  <c r="L831" i="3"/>
  <c r="M831" i="3"/>
  <c r="N831" i="3"/>
  <c r="O831" i="3"/>
  <c r="E832" i="3"/>
  <c r="F832" i="3"/>
  <c r="G832" i="3"/>
  <c r="H832" i="3"/>
  <c r="I832" i="3"/>
  <c r="J832" i="3"/>
  <c r="K832" i="3"/>
  <c r="L832" i="3"/>
  <c r="M832" i="3"/>
  <c r="N832" i="3"/>
  <c r="O832" i="3"/>
  <c r="D830" i="3"/>
  <c r="D831" i="3"/>
  <c r="D832" i="3"/>
  <c r="D829" i="3"/>
  <c r="I820" i="3"/>
  <c r="J820" i="3"/>
  <c r="K820" i="3"/>
  <c r="I821" i="3"/>
  <c r="J821" i="3"/>
  <c r="K821" i="3"/>
  <c r="I822" i="3"/>
  <c r="J822" i="3"/>
  <c r="K822" i="3"/>
  <c r="I823" i="3"/>
  <c r="J823" i="3"/>
  <c r="K823" i="3"/>
  <c r="I824" i="3"/>
  <c r="J824" i="3"/>
  <c r="K824" i="3"/>
  <c r="I825" i="3"/>
  <c r="J825" i="3"/>
  <c r="K825" i="3"/>
  <c r="E826" i="3"/>
  <c r="F826" i="3"/>
  <c r="G826" i="3"/>
  <c r="H826" i="3"/>
  <c r="I826" i="3"/>
  <c r="J826" i="3"/>
  <c r="K826" i="3"/>
  <c r="E827" i="3"/>
  <c r="F827" i="3"/>
  <c r="G827" i="3"/>
  <c r="H827" i="3"/>
  <c r="I827" i="3"/>
  <c r="J827" i="3"/>
  <c r="K827" i="3"/>
  <c r="E828" i="3"/>
  <c r="F828" i="3"/>
  <c r="G828" i="3"/>
  <c r="H828" i="3"/>
  <c r="I828" i="3"/>
  <c r="J828" i="3"/>
  <c r="K828" i="3"/>
  <c r="D827" i="3"/>
  <c r="D828" i="3"/>
  <c r="D826" i="3"/>
  <c r="E820" i="3"/>
  <c r="F820" i="3"/>
  <c r="G820" i="3"/>
  <c r="H820" i="3"/>
  <c r="E821" i="3"/>
  <c r="F821" i="3"/>
  <c r="G821" i="3"/>
  <c r="H821" i="3"/>
  <c r="E822" i="3"/>
  <c r="F822" i="3"/>
  <c r="G822" i="3"/>
  <c r="H822" i="3"/>
  <c r="E823" i="3"/>
  <c r="F823" i="3"/>
  <c r="G823" i="3"/>
  <c r="H823" i="3"/>
  <c r="E824" i="3"/>
  <c r="F824" i="3"/>
  <c r="G824" i="3"/>
  <c r="H824" i="3"/>
  <c r="E825" i="3"/>
  <c r="F825" i="3"/>
  <c r="G825" i="3"/>
  <c r="H825" i="3"/>
  <c r="D821" i="3"/>
  <c r="D822" i="3"/>
  <c r="D823" i="3"/>
  <c r="D824" i="3"/>
  <c r="D825" i="3"/>
  <c r="D820" i="3"/>
  <c r="C275" i="46" l="1"/>
  <c r="E275" i="46" s="1"/>
  <c r="F228" i="46"/>
  <c r="E184" i="46"/>
  <c r="J184" i="46" s="1"/>
  <c r="H206" i="46"/>
  <c r="C218" i="46"/>
  <c r="G206" i="46"/>
  <c r="N184" i="46"/>
  <c r="D76" i="50"/>
  <c r="D79" i="50" s="1"/>
  <c r="J168" i="46"/>
  <c r="N187" i="46"/>
  <c r="E187" i="46"/>
  <c r="J187" i="46" s="1"/>
  <c r="N185" i="46"/>
  <c r="C730" i="46"/>
  <c r="H750" i="46" s="1"/>
  <c r="E185" i="46"/>
  <c r="D185" i="46" s="1"/>
  <c r="N186" i="46"/>
  <c r="F239" i="46"/>
  <c r="H205" i="46"/>
  <c r="G205" i="46"/>
  <c r="L205" i="46"/>
  <c r="D24" i="51"/>
  <c r="P69" i="51" s="1"/>
  <c r="Q69" i="51" s="1"/>
  <c r="P67" i="67"/>
  <c r="Q67" i="67" s="1"/>
  <c r="W111" i="67"/>
  <c r="X111" i="67" s="1"/>
  <c r="P33" i="67"/>
  <c r="Q33" i="67" s="1"/>
  <c r="W73" i="67"/>
  <c r="X73" i="67" s="1"/>
  <c r="P58" i="67"/>
  <c r="Q58" i="67" s="1"/>
  <c r="W110" i="67"/>
  <c r="X110" i="67" s="1"/>
  <c r="W96" i="67"/>
  <c r="X96" i="67" s="1"/>
  <c r="P47" i="67"/>
  <c r="Q47" i="67" s="1"/>
  <c r="W74" i="67"/>
  <c r="X74" i="67" s="1"/>
  <c r="W83" i="67"/>
  <c r="X83" i="67" s="1"/>
  <c r="P35" i="67"/>
  <c r="Q35" i="67" s="1"/>
  <c r="P51" i="67"/>
  <c r="Q51" i="67" s="1"/>
  <c r="P66" i="67"/>
  <c r="Q66" i="67" s="1"/>
  <c r="W108" i="67"/>
  <c r="X108" i="67" s="1"/>
  <c r="W76" i="67"/>
  <c r="X76" i="67" s="1"/>
  <c r="W75" i="67"/>
  <c r="X75" i="67" s="1"/>
  <c r="W92" i="67"/>
  <c r="X92" i="67" s="1"/>
  <c r="W84" i="67"/>
  <c r="X84" i="67" s="1"/>
  <c r="P40" i="67"/>
  <c r="Q40" i="67" s="1"/>
  <c r="W102" i="67"/>
  <c r="X102" i="67" s="1"/>
  <c r="W97" i="67"/>
  <c r="X97" i="67" s="1"/>
  <c r="P49" i="67"/>
  <c r="Q49" i="67" s="1"/>
  <c r="W99" i="67"/>
  <c r="X99" i="67" s="1"/>
  <c r="P39" i="67"/>
  <c r="Q39" i="67" s="1"/>
  <c r="J185" i="62"/>
  <c r="S185" i="62" s="1"/>
  <c r="P42" i="67"/>
  <c r="Q42" i="67" s="1"/>
  <c r="W86" i="67"/>
  <c r="X86" i="67" s="1"/>
  <c r="P64" i="67"/>
  <c r="Q64" i="67" s="1"/>
  <c r="W107" i="67"/>
  <c r="X107" i="67" s="1"/>
  <c r="P44" i="67"/>
  <c r="Q44" i="67" s="1"/>
  <c r="W90" i="67"/>
  <c r="X90" i="67" s="1"/>
  <c r="P65" i="67"/>
  <c r="Q65" i="67" s="1"/>
  <c r="W77" i="67"/>
  <c r="X77" i="67" s="1"/>
  <c r="P31" i="67"/>
  <c r="Q31" i="67" s="1"/>
  <c r="P54" i="67"/>
  <c r="Q54" i="67" s="1"/>
  <c r="P53" i="67"/>
  <c r="Q53" i="67" s="1"/>
  <c r="W82" i="67"/>
  <c r="X82" i="67" s="1"/>
  <c r="P37" i="67"/>
  <c r="Q37" i="67" s="1"/>
  <c r="P36" i="67"/>
  <c r="Q36" i="67" s="1"/>
  <c r="W81" i="67"/>
  <c r="X81" i="67" s="1"/>
  <c r="P59" i="67"/>
  <c r="Q59" i="67" s="1"/>
  <c r="W94" i="67"/>
  <c r="X94" i="67" s="1"/>
  <c r="P41" i="67"/>
  <c r="Q41" i="67" s="1"/>
  <c r="P55" i="67"/>
  <c r="Q55" i="67" s="1"/>
  <c r="P57" i="67"/>
  <c r="Q57" i="67" s="1"/>
  <c r="W103" i="67"/>
  <c r="X103" i="67" s="1"/>
  <c r="P38" i="67"/>
  <c r="Q38" i="67" s="1"/>
  <c r="W88" i="67"/>
  <c r="X88" i="67" s="1"/>
  <c r="W79" i="67"/>
  <c r="X79" i="67" s="1"/>
  <c r="P52" i="67"/>
  <c r="Q52" i="67" s="1"/>
  <c r="W80" i="67"/>
  <c r="X80" i="67" s="1"/>
  <c r="W104" i="67"/>
  <c r="X104" i="67" s="1"/>
  <c r="W105" i="67"/>
  <c r="X105" i="67" s="1"/>
  <c r="P48" i="67"/>
  <c r="Q48" i="67" s="1"/>
  <c r="P61" i="67"/>
  <c r="Q61" i="67" s="1"/>
  <c r="W89" i="67"/>
  <c r="X89" i="67" s="1"/>
  <c r="W98" i="67"/>
  <c r="X98" i="67" s="1"/>
  <c r="P60" i="67"/>
  <c r="Q60" i="67" s="1"/>
  <c r="W109" i="67"/>
  <c r="X109" i="67" s="1"/>
  <c r="W91" i="67"/>
  <c r="X91" i="67" s="1"/>
  <c r="W95" i="67"/>
  <c r="X95" i="67" s="1"/>
  <c r="W101" i="67"/>
  <c r="X101" i="67" s="1"/>
  <c r="P45" i="67"/>
  <c r="Q45" i="67" s="1"/>
  <c r="W78" i="67"/>
  <c r="X78" i="67" s="1"/>
  <c r="W93" i="67"/>
  <c r="X93" i="67" s="1"/>
  <c r="W85" i="67"/>
  <c r="X85" i="67" s="1"/>
  <c r="P43" i="67"/>
  <c r="Q43" i="67" s="1"/>
  <c r="W87" i="67"/>
  <c r="X87" i="67" s="1"/>
  <c r="P32" i="67"/>
  <c r="Q32" i="67" s="1"/>
  <c r="P50" i="67"/>
  <c r="Q50" i="67" s="1"/>
  <c r="P46" i="67"/>
  <c r="Q46" i="67" s="1"/>
  <c r="P34" i="67"/>
  <c r="Q34" i="67" s="1"/>
  <c r="P62" i="67"/>
  <c r="Q62" i="67" s="1"/>
  <c r="P68" i="67"/>
  <c r="Q68" i="67" s="1"/>
  <c r="J186" i="62"/>
  <c r="S186" i="62" s="1"/>
  <c r="W100" i="67"/>
  <c r="X100" i="67" s="1"/>
  <c r="P69" i="67"/>
  <c r="Q69" i="67" s="1"/>
  <c r="P63" i="67"/>
  <c r="Q63" i="67" s="1"/>
  <c r="P56" i="67"/>
  <c r="Q56" i="67" s="1"/>
  <c r="J184" i="62"/>
  <c r="R184" i="62" s="1"/>
  <c r="J187" i="62"/>
  <c r="R187" i="62" s="1"/>
  <c r="A187" i="62" s="1"/>
  <c r="D186" i="62"/>
  <c r="V361" i="62"/>
  <c r="A331" i="54"/>
  <c r="C413" i="54" s="1"/>
  <c r="A333" i="54"/>
  <c r="D413" i="54" s="1"/>
  <c r="C333" i="46"/>
  <c r="B333" i="46"/>
  <c r="B327" i="54"/>
  <c r="D327" i="54" s="1"/>
  <c r="H351" i="54" s="1"/>
  <c r="H359" i="54" s="1"/>
  <c r="A872" i="54"/>
  <c r="R872" i="54" s="1"/>
  <c r="D331" i="62"/>
  <c r="E413" i="62" s="1"/>
  <c r="C331" i="62"/>
  <c r="C331" i="46"/>
  <c r="B331" i="46"/>
  <c r="C333" i="62"/>
  <c r="B333" i="62"/>
  <c r="D333" i="46"/>
  <c r="F413" i="46" s="1"/>
  <c r="D333" i="62"/>
  <c r="F413" i="62" s="1"/>
  <c r="D331" i="46"/>
  <c r="E413" i="46" s="1"/>
  <c r="B331" i="62"/>
  <c r="V49" i="67"/>
  <c r="W872" i="46"/>
  <c r="U872" i="46"/>
  <c r="W81" i="59"/>
  <c r="X81" i="59" s="1"/>
  <c r="P49" i="59"/>
  <c r="Q49" i="59" s="1"/>
  <c r="AD872" i="46"/>
  <c r="V872" i="46"/>
  <c r="L872" i="46"/>
  <c r="C872" i="46"/>
  <c r="AA872" i="46"/>
  <c r="D872" i="46"/>
  <c r="P872" i="46"/>
  <c r="I872" i="46"/>
  <c r="X872" i="46"/>
  <c r="H358" i="46"/>
  <c r="H369" i="46"/>
  <c r="O48" i="59"/>
  <c r="O38" i="59"/>
  <c r="E872" i="46"/>
  <c r="U87" i="51"/>
  <c r="R872" i="46"/>
  <c r="G872" i="46"/>
  <c r="Y872" i="46"/>
  <c r="P58" i="59"/>
  <c r="Q58" i="59" s="1"/>
  <c r="AB872" i="46"/>
  <c r="M872" i="46"/>
  <c r="AC872" i="46"/>
  <c r="S872" i="46"/>
  <c r="N872" i="46"/>
  <c r="P38" i="59"/>
  <c r="Z872" i="46"/>
  <c r="K872" i="46"/>
  <c r="H872" i="46"/>
  <c r="F872" i="46"/>
  <c r="AE872" i="46"/>
  <c r="Q872" i="46"/>
  <c r="T872" i="46"/>
  <c r="U105" i="59"/>
  <c r="O872" i="46"/>
  <c r="N43" i="59"/>
  <c r="V52" i="67"/>
  <c r="W93" i="59"/>
  <c r="X93" i="59" s="1"/>
  <c r="N45" i="51"/>
  <c r="W103" i="59"/>
  <c r="X103" i="59" s="1"/>
  <c r="V107" i="59"/>
  <c r="N43" i="51"/>
  <c r="V83" i="51"/>
  <c r="W73" i="59"/>
  <c r="X73" i="59" s="1"/>
  <c r="O74" i="67"/>
  <c r="W111" i="59"/>
  <c r="X111" i="59" s="1"/>
  <c r="W107" i="59"/>
  <c r="U81" i="51"/>
  <c r="W76" i="59"/>
  <c r="X76" i="59" s="1"/>
  <c r="P48" i="59"/>
  <c r="P34" i="59"/>
  <c r="Q34" i="59" s="1"/>
  <c r="W87" i="59"/>
  <c r="W79" i="59"/>
  <c r="X79" i="59" s="1"/>
  <c r="W94" i="59"/>
  <c r="X94" i="59" s="1"/>
  <c r="W92" i="59"/>
  <c r="X92" i="59" s="1"/>
  <c r="P67" i="59"/>
  <c r="W105" i="59"/>
  <c r="X105" i="59" s="1"/>
  <c r="P47" i="59"/>
  <c r="Q47" i="59" s="1"/>
  <c r="W78" i="59"/>
  <c r="X78" i="59" s="1"/>
  <c r="U36" i="67"/>
  <c r="U95" i="59"/>
  <c r="O57" i="51"/>
  <c r="O110" i="67"/>
  <c r="N39" i="51"/>
  <c r="N33" i="59"/>
  <c r="N59" i="59"/>
  <c r="W101" i="59"/>
  <c r="X101" i="59" s="1"/>
  <c r="W100" i="59"/>
  <c r="P52" i="59"/>
  <c r="Q52" i="59" s="1"/>
  <c r="W90" i="59"/>
  <c r="V90" i="59"/>
  <c r="W104" i="59"/>
  <c r="X104" i="59" s="1"/>
  <c r="W88" i="59"/>
  <c r="P54" i="59"/>
  <c r="Q54" i="59" s="1"/>
  <c r="W74" i="59"/>
  <c r="X74" i="59" s="1"/>
  <c r="O31" i="59"/>
  <c r="N105" i="67"/>
  <c r="V88" i="51"/>
  <c r="U74" i="59"/>
  <c r="P57" i="59"/>
  <c r="Q57" i="59" s="1"/>
  <c r="P32" i="59"/>
  <c r="Q32" i="59" s="1"/>
  <c r="P36" i="59"/>
  <c r="Q36" i="59" s="1"/>
  <c r="W86" i="59"/>
  <c r="U54" i="67"/>
  <c r="N61" i="51"/>
  <c r="P31" i="59"/>
  <c r="W108" i="59"/>
  <c r="P69" i="59"/>
  <c r="Q69" i="59" s="1"/>
  <c r="V68" i="67"/>
  <c r="W99" i="59"/>
  <c r="X99" i="59" s="1"/>
  <c r="P59" i="59"/>
  <c r="Q59" i="59" s="1"/>
  <c r="P41" i="59"/>
  <c r="O60" i="51"/>
  <c r="W83" i="59"/>
  <c r="X83" i="59" s="1"/>
  <c r="P63" i="59"/>
  <c r="P56" i="59"/>
  <c r="V88" i="59"/>
  <c r="O56" i="59"/>
  <c r="N42" i="59"/>
  <c r="O51" i="59"/>
  <c r="O75" i="67"/>
  <c r="U80" i="51"/>
  <c r="O66" i="51"/>
  <c r="N36" i="59"/>
  <c r="W109" i="59"/>
  <c r="P46" i="59"/>
  <c r="Q46" i="59" s="1"/>
  <c r="P33" i="59"/>
  <c r="Q33" i="59" s="1"/>
  <c r="W89" i="59"/>
  <c r="X89" i="59" s="1"/>
  <c r="O45" i="59"/>
  <c r="O107" i="67"/>
  <c r="N38" i="51"/>
  <c r="N97" i="67"/>
  <c r="N69" i="51"/>
  <c r="N58" i="51"/>
  <c r="N52" i="51"/>
  <c r="O35" i="51"/>
  <c r="N44" i="51"/>
  <c r="V50" i="67"/>
  <c r="V89" i="51"/>
  <c r="N69" i="59"/>
  <c r="P44" i="59"/>
  <c r="Q44" i="59" s="1"/>
  <c r="P61" i="59"/>
  <c r="Q61" i="59" s="1"/>
  <c r="P55" i="59"/>
  <c r="W96" i="59"/>
  <c r="X96" i="59" s="1"/>
  <c r="P66" i="59"/>
  <c r="Q66" i="59" s="1"/>
  <c r="N89" i="67"/>
  <c r="J169" i="62"/>
  <c r="X356" i="62" s="1"/>
  <c r="W350" i="62" s="1"/>
  <c r="N79" i="67"/>
  <c r="V46" i="67"/>
  <c r="N57" i="59"/>
  <c r="U89" i="59"/>
  <c r="U56" i="67"/>
  <c r="N47" i="59"/>
  <c r="U94" i="59"/>
  <c r="U53" i="67"/>
  <c r="P205" i="62"/>
  <c r="A205" i="62" s="1"/>
  <c r="X80" i="59"/>
  <c r="U85" i="51"/>
  <c r="U83" i="59"/>
  <c r="O46" i="51"/>
  <c r="N81" i="67"/>
  <c r="P206" i="62"/>
  <c r="A206" i="62" s="1"/>
  <c r="U40" i="67"/>
  <c r="O60" i="59"/>
  <c r="V106" i="51"/>
  <c r="O50" i="51"/>
  <c r="P40" i="59"/>
  <c r="Q40" i="59" s="1"/>
  <c r="P35" i="59"/>
  <c r="Q35" i="59" s="1"/>
  <c r="P50" i="59"/>
  <c r="Q50" i="59" s="1"/>
  <c r="W82" i="59"/>
  <c r="X82" i="59" s="1"/>
  <c r="W98" i="59"/>
  <c r="N37" i="59"/>
  <c r="O49" i="51"/>
  <c r="N59" i="51"/>
  <c r="O53" i="59"/>
  <c r="U106" i="59"/>
  <c r="V86" i="59"/>
  <c r="W75" i="59"/>
  <c r="X75" i="59" s="1"/>
  <c r="P45" i="59"/>
  <c r="P65" i="59"/>
  <c r="Q65" i="59" s="1"/>
  <c r="W95" i="59"/>
  <c r="X95" i="59" s="1"/>
  <c r="W110" i="59"/>
  <c r="X110" i="59" s="1"/>
  <c r="G274" i="62"/>
  <c r="H274" i="62" s="1"/>
  <c r="N104" i="67"/>
  <c r="V51" i="67"/>
  <c r="N85" i="67"/>
  <c r="U79" i="59"/>
  <c r="N66" i="59"/>
  <c r="O96" i="67"/>
  <c r="U47" i="67"/>
  <c r="N35" i="59"/>
  <c r="U78" i="59"/>
  <c r="N91" i="67"/>
  <c r="N94" i="67"/>
  <c r="N65" i="51"/>
  <c r="O53" i="51"/>
  <c r="U76" i="51"/>
  <c r="U99" i="51"/>
  <c r="U96" i="59"/>
  <c r="O67" i="59"/>
  <c r="U41" i="67"/>
  <c r="N62" i="51"/>
  <c r="U59" i="67"/>
  <c r="N33" i="51"/>
  <c r="V94" i="51"/>
  <c r="O63" i="59"/>
  <c r="P64" i="59"/>
  <c r="Q64" i="59" s="1"/>
  <c r="W97" i="59"/>
  <c r="X97" i="59" s="1"/>
  <c r="W84" i="59"/>
  <c r="X84" i="59" s="1"/>
  <c r="P43" i="59"/>
  <c r="Q43" i="59" s="1"/>
  <c r="P60" i="59"/>
  <c r="W102" i="59"/>
  <c r="X102" i="59" s="1"/>
  <c r="U80" i="59"/>
  <c r="O77" i="67"/>
  <c r="U66" i="67"/>
  <c r="U43" i="67"/>
  <c r="U93" i="51"/>
  <c r="U90" i="51"/>
  <c r="U101" i="51"/>
  <c r="O37" i="51"/>
  <c r="N34" i="51"/>
  <c r="V108" i="59"/>
  <c r="W106" i="59"/>
  <c r="X106" i="59" s="1"/>
  <c r="W91" i="59"/>
  <c r="X91" i="59" s="1"/>
  <c r="P37" i="59"/>
  <c r="Q37" i="59" s="1"/>
  <c r="P51" i="59"/>
  <c r="P53" i="59"/>
  <c r="W77" i="59"/>
  <c r="X77" i="59" s="1"/>
  <c r="U82" i="59"/>
  <c r="N49" i="59"/>
  <c r="N99" i="67"/>
  <c r="O47" i="51"/>
  <c r="U103" i="51"/>
  <c r="V100" i="51"/>
  <c r="U76" i="59"/>
  <c r="O64" i="51"/>
  <c r="V105" i="51"/>
  <c r="U108" i="51"/>
  <c r="U77" i="59"/>
  <c r="N32" i="59"/>
  <c r="W85" i="59"/>
  <c r="X85" i="59" s="1"/>
  <c r="P39" i="59"/>
  <c r="Q39" i="59" s="1"/>
  <c r="P42" i="59"/>
  <c r="Q42" i="59" s="1"/>
  <c r="P62" i="59"/>
  <c r="Q62" i="59" s="1"/>
  <c r="P68" i="59"/>
  <c r="Q68" i="59" s="1"/>
  <c r="N92" i="67"/>
  <c r="V48" i="67"/>
  <c r="U44" i="67"/>
  <c r="N82" i="67"/>
  <c r="O31" i="51"/>
  <c r="N58" i="59"/>
  <c r="N46" i="59"/>
  <c r="U101" i="59"/>
  <c r="U42" i="67"/>
  <c r="N87" i="67"/>
  <c r="N54" i="51"/>
  <c r="V84" i="51"/>
  <c r="N62" i="59"/>
  <c r="N44" i="59"/>
  <c r="N80" i="67"/>
  <c r="U31" i="67"/>
  <c r="N100" i="67"/>
  <c r="N95" i="67"/>
  <c r="N106" i="67"/>
  <c r="N101" i="67"/>
  <c r="Z872" i="62"/>
  <c r="N872" i="62"/>
  <c r="Y872" i="62"/>
  <c r="M872" i="62"/>
  <c r="V872" i="62"/>
  <c r="J872" i="62"/>
  <c r="AB872" i="62"/>
  <c r="P872" i="62"/>
  <c r="D872" i="62"/>
  <c r="AA872" i="62"/>
  <c r="O872" i="62"/>
  <c r="C872" i="62"/>
  <c r="AE872" i="62"/>
  <c r="I872" i="62"/>
  <c r="AD872" i="62"/>
  <c r="H872" i="62"/>
  <c r="W872" i="62"/>
  <c r="E872" i="62"/>
  <c r="S872" i="62"/>
  <c r="L872" i="62"/>
  <c r="K872" i="62"/>
  <c r="AC872" i="62"/>
  <c r="X872" i="62"/>
  <c r="T872" i="62"/>
  <c r="Q872" i="62"/>
  <c r="R872" i="62"/>
  <c r="U872" i="62"/>
  <c r="F872" i="62"/>
  <c r="G872" i="62"/>
  <c r="V63" i="67"/>
  <c r="U32" i="67"/>
  <c r="U64" i="67"/>
  <c r="H358" i="62"/>
  <c r="H369" i="62"/>
  <c r="H359" i="62"/>
  <c r="V35" i="67"/>
  <c r="N103" i="67"/>
  <c r="N83" i="67"/>
  <c r="U45" i="67"/>
  <c r="O90" i="67"/>
  <c r="V39" i="67"/>
  <c r="N84" i="67"/>
  <c r="N73" i="67"/>
  <c r="N86" i="67"/>
  <c r="U67" i="67"/>
  <c r="V62" i="67"/>
  <c r="N98" i="67"/>
  <c r="W958" i="62"/>
  <c r="T958" i="62"/>
  <c r="S958" i="62"/>
  <c r="U958" i="62"/>
  <c r="R958" i="62"/>
  <c r="V958" i="62"/>
  <c r="D119" i="62"/>
  <c r="D275" i="62"/>
  <c r="G275" i="62" s="1"/>
  <c r="H275" i="62" s="1"/>
  <c r="F275" i="62"/>
  <c r="N109" i="67"/>
  <c r="C960" i="62"/>
  <c r="N88" i="67"/>
  <c r="A755" i="62"/>
  <c r="A756" i="62"/>
  <c r="A752" i="62"/>
  <c r="A751" i="62"/>
  <c r="A753" i="62"/>
  <c r="A754" i="62"/>
  <c r="U61" i="67"/>
  <c r="U55" i="67"/>
  <c r="P100" i="67"/>
  <c r="Q100" i="67" s="1"/>
  <c r="P88" i="67"/>
  <c r="Q88" i="67" s="1"/>
  <c r="P76" i="67"/>
  <c r="Q76" i="67" s="1"/>
  <c r="P107" i="67"/>
  <c r="P95" i="67"/>
  <c r="Q95" i="67" s="1"/>
  <c r="P83" i="67"/>
  <c r="Q83" i="67" s="1"/>
  <c r="P109" i="67"/>
  <c r="Q109" i="67" s="1"/>
  <c r="P104" i="67"/>
  <c r="Q104" i="67" s="1"/>
  <c r="P78" i="67"/>
  <c r="Q78" i="67" s="1"/>
  <c r="W62" i="67"/>
  <c r="W64" i="67"/>
  <c r="X64" i="67" s="1"/>
  <c r="P110" i="67"/>
  <c r="P105" i="67"/>
  <c r="Q105" i="67" s="1"/>
  <c r="P99" i="67"/>
  <c r="Q99" i="67" s="1"/>
  <c r="P94" i="67"/>
  <c r="Q94" i="67" s="1"/>
  <c r="P89" i="67"/>
  <c r="Q89" i="67" s="1"/>
  <c r="P84" i="67"/>
  <c r="Q84" i="67" s="1"/>
  <c r="P79" i="67"/>
  <c r="Q79" i="67" s="1"/>
  <c r="P74" i="67"/>
  <c r="W67" i="67"/>
  <c r="X67" i="67" s="1"/>
  <c r="P92" i="67"/>
  <c r="Q92" i="67" s="1"/>
  <c r="P90" i="67"/>
  <c r="W63" i="67"/>
  <c r="W56" i="67"/>
  <c r="X56" i="67" s="1"/>
  <c r="W46" i="67"/>
  <c r="P87" i="67"/>
  <c r="Q87" i="67" s="1"/>
  <c r="P85" i="67"/>
  <c r="Q85" i="67" s="1"/>
  <c r="P73" i="67"/>
  <c r="Q73" i="67" s="1"/>
  <c r="W47" i="67"/>
  <c r="X47" i="67" s="1"/>
  <c r="P80" i="67"/>
  <c r="Q80" i="67" s="1"/>
  <c r="W58" i="67"/>
  <c r="X58" i="67" s="1"/>
  <c r="W57" i="67"/>
  <c r="X57" i="67" s="1"/>
  <c r="W41" i="67"/>
  <c r="X41" i="67" s="1"/>
  <c r="W69" i="67"/>
  <c r="X69" i="67" s="1"/>
  <c r="W68" i="67"/>
  <c r="W51" i="67"/>
  <c r="W36" i="67"/>
  <c r="X36" i="67" s="1"/>
  <c r="P102" i="67"/>
  <c r="Q102" i="67" s="1"/>
  <c r="P96" i="67"/>
  <c r="W55" i="67"/>
  <c r="X55" i="67" s="1"/>
  <c r="W50" i="67"/>
  <c r="P106" i="67"/>
  <c r="Q106" i="67" s="1"/>
  <c r="Z106" i="67" s="1"/>
  <c r="P97" i="67"/>
  <c r="Q97" i="67" s="1"/>
  <c r="P91" i="67"/>
  <c r="Q91" i="67" s="1"/>
  <c r="W54" i="67"/>
  <c r="X54" i="67" s="1"/>
  <c r="W44" i="67"/>
  <c r="X44" i="67" s="1"/>
  <c r="W40" i="67"/>
  <c r="X40" i="67" s="1"/>
  <c r="P108" i="67"/>
  <c r="Q108" i="67" s="1"/>
  <c r="W66" i="67"/>
  <c r="X66" i="67" s="1"/>
  <c r="W65" i="67"/>
  <c r="X65" i="67" s="1"/>
  <c r="W60" i="67"/>
  <c r="X60" i="67" s="1"/>
  <c r="W59" i="67"/>
  <c r="X59" i="67" s="1"/>
  <c r="W52" i="67"/>
  <c r="W34" i="67"/>
  <c r="X34" i="67" s="1"/>
  <c r="W43" i="67"/>
  <c r="X43" i="67" s="1"/>
  <c r="W37" i="67"/>
  <c r="X37" i="67" s="1"/>
  <c r="P98" i="67"/>
  <c r="Q98" i="67" s="1"/>
  <c r="P82" i="67"/>
  <c r="Q82" i="67" s="1"/>
  <c r="P86" i="67"/>
  <c r="Q86" i="67" s="1"/>
  <c r="P101" i="67"/>
  <c r="Q101" i="67" s="1"/>
  <c r="W48" i="67"/>
  <c r="W33" i="67"/>
  <c r="X33" i="67" s="1"/>
  <c r="W45" i="67"/>
  <c r="X45" i="67" s="1"/>
  <c r="W38" i="67"/>
  <c r="X38" i="67" s="1"/>
  <c r="P103" i="67"/>
  <c r="Q103" i="67" s="1"/>
  <c r="P81" i="67"/>
  <c r="Q81" i="67" s="1"/>
  <c r="P75" i="67"/>
  <c r="W61" i="67"/>
  <c r="X61" i="67" s="1"/>
  <c r="W35" i="67"/>
  <c r="P111" i="67"/>
  <c r="Q111" i="67" s="1"/>
  <c r="W42" i="67"/>
  <c r="X42" i="67" s="1"/>
  <c r="W32" i="67"/>
  <c r="X32" i="67" s="1"/>
  <c r="P93" i="67"/>
  <c r="Q93" i="67" s="1"/>
  <c r="P77" i="67"/>
  <c r="W31" i="67"/>
  <c r="X31" i="67" s="1"/>
  <c r="W49" i="67"/>
  <c r="W53" i="67"/>
  <c r="X53" i="67" s="1"/>
  <c r="W39" i="67"/>
  <c r="F274" i="62"/>
  <c r="U69" i="67"/>
  <c r="N76" i="67"/>
  <c r="U33" i="67"/>
  <c r="U34" i="67"/>
  <c r="N78" i="67"/>
  <c r="N108" i="67"/>
  <c r="U60" i="67"/>
  <c r="N111" i="67"/>
  <c r="U58" i="67"/>
  <c r="U38" i="67"/>
  <c r="N93" i="67"/>
  <c r="N102" i="67"/>
  <c r="U65" i="67"/>
  <c r="U57" i="67"/>
  <c r="U37" i="67"/>
  <c r="F261" i="54"/>
  <c r="B275" i="54"/>
  <c r="B274" i="54"/>
  <c r="D274" i="54" s="1"/>
  <c r="F945" i="54"/>
  <c r="O954" i="54"/>
  <c r="G945" i="54"/>
  <c r="E945" i="54"/>
  <c r="O948" i="54"/>
  <c r="C945" i="54"/>
  <c r="O957" i="54"/>
  <c r="O953" i="54"/>
  <c r="L945" i="54"/>
  <c r="O956" i="54"/>
  <c r="K945" i="54"/>
  <c r="O955" i="54"/>
  <c r="J945" i="54"/>
  <c r="H945" i="54"/>
  <c r="O951" i="54"/>
  <c r="D945" i="54"/>
  <c r="O950" i="54"/>
  <c r="O949" i="54"/>
  <c r="M945" i="54"/>
  <c r="I945" i="54"/>
  <c r="O952" i="54"/>
  <c r="N68" i="59"/>
  <c r="J185" i="54"/>
  <c r="D185" i="54"/>
  <c r="C24" i="59"/>
  <c r="T50" i="59"/>
  <c r="V50" i="59" s="1"/>
  <c r="M83" i="59"/>
  <c r="O83" i="59" s="1"/>
  <c r="M76" i="59"/>
  <c r="O76" i="59" s="1"/>
  <c r="N65" i="59"/>
  <c r="M97" i="59"/>
  <c r="O97" i="59" s="1"/>
  <c r="M103" i="59"/>
  <c r="N103" i="59" s="1"/>
  <c r="T37" i="59"/>
  <c r="V37" i="59" s="1"/>
  <c r="M94" i="59"/>
  <c r="N94" i="59" s="1"/>
  <c r="T44" i="59"/>
  <c r="V44" i="59" s="1"/>
  <c r="M84" i="59"/>
  <c r="N84" i="59" s="1"/>
  <c r="T68" i="59"/>
  <c r="U68" i="59" s="1"/>
  <c r="O41" i="59"/>
  <c r="C76" i="58"/>
  <c r="C79" i="58" s="1"/>
  <c r="E79" i="58" s="1"/>
  <c r="C729" i="54"/>
  <c r="D228" i="54"/>
  <c r="C217" i="54"/>
  <c r="E218" i="54" s="1"/>
  <c r="E228" i="54"/>
  <c r="M106" i="59"/>
  <c r="O106" i="59" s="1"/>
  <c r="M88" i="59"/>
  <c r="O88" i="59" s="1"/>
  <c r="U81" i="59"/>
  <c r="D187" i="54"/>
  <c r="J187" i="54"/>
  <c r="N52" i="59"/>
  <c r="U92" i="59"/>
  <c r="H186" i="54"/>
  <c r="I186" i="54"/>
  <c r="D184" i="54"/>
  <c r="J184" i="54"/>
  <c r="T51" i="59"/>
  <c r="U51" i="59" s="1"/>
  <c r="T56" i="59"/>
  <c r="V56" i="59" s="1"/>
  <c r="T57" i="59"/>
  <c r="V57" i="59" s="1"/>
  <c r="T47" i="59"/>
  <c r="U47" i="59" s="1"/>
  <c r="T49" i="59"/>
  <c r="V49" i="59" s="1"/>
  <c r="M92" i="59"/>
  <c r="O92" i="59" s="1"/>
  <c r="T66" i="59"/>
  <c r="V66" i="59" s="1"/>
  <c r="T43" i="59"/>
  <c r="V43" i="59" s="1"/>
  <c r="M98" i="59"/>
  <c r="O98" i="59" s="1"/>
  <c r="M100" i="59"/>
  <c r="O100" i="59" s="1"/>
  <c r="E274" i="54"/>
  <c r="T62" i="59"/>
  <c r="U62" i="59" s="1"/>
  <c r="N54" i="59"/>
  <c r="M74" i="59"/>
  <c r="N74" i="59" s="1"/>
  <c r="M73" i="59"/>
  <c r="N73" i="59" s="1"/>
  <c r="T48" i="59"/>
  <c r="V48" i="59" s="1"/>
  <c r="T61" i="59"/>
  <c r="U61" i="59" s="1"/>
  <c r="T58" i="59"/>
  <c r="U58" i="59" s="1"/>
  <c r="U104" i="59"/>
  <c r="U102" i="59"/>
  <c r="M75" i="59"/>
  <c r="O75" i="59" s="1"/>
  <c r="T36" i="59"/>
  <c r="V36" i="59" s="1"/>
  <c r="T42" i="59"/>
  <c r="V42" i="59" s="1"/>
  <c r="N39" i="59"/>
  <c r="U84" i="59"/>
  <c r="O55" i="59"/>
  <c r="H185" i="54"/>
  <c r="I185" i="54"/>
  <c r="U111" i="59"/>
  <c r="V109" i="59"/>
  <c r="T64" i="59"/>
  <c r="V64" i="59" s="1"/>
  <c r="M102" i="59"/>
  <c r="O102" i="59" s="1"/>
  <c r="T55" i="59"/>
  <c r="V55" i="59" s="1"/>
  <c r="T63" i="59"/>
  <c r="V63" i="59" s="1"/>
  <c r="M78" i="59"/>
  <c r="O78" i="59" s="1"/>
  <c r="M111" i="59"/>
  <c r="O111" i="59" s="1"/>
  <c r="D124" i="54"/>
  <c r="D128" i="54"/>
  <c r="D121" i="54"/>
  <c r="D126" i="54"/>
  <c r="D125" i="54"/>
  <c r="D123" i="54"/>
  <c r="D122" i="54"/>
  <c r="D127" i="54"/>
  <c r="V98" i="59"/>
  <c r="U99" i="59"/>
  <c r="M77" i="59"/>
  <c r="O77" i="59" s="1"/>
  <c r="T40" i="59"/>
  <c r="V40" i="59" s="1"/>
  <c r="T31" i="59"/>
  <c r="V31" i="59" s="1"/>
  <c r="I184" i="54"/>
  <c r="H184" i="54"/>
  <c r="J167" i="54"/>
  <c r="J166" i="54"/>
  <c r="T35" i="59"/>
  <c r="U35" i="59" s="1"/>
  <c r="T69" i="59"/>
  <c r="V69" i="59" s="1"/>
  <c r="T65" i="59"/>
  <c r="U65" i="59" s="1"/>
  <c r="M90" i="59"/>
  <c r="O90" i="59" s="1"/>
  <c r="M107" i="59"/>
  <c r="O107" i="59" s="1"/>
  <c r="I187" i="54"/>
  <c r="H187" i="54"/>
  <c r="V87" i="59"/>
  <c r="U85" i="59"/>
  <c r="U110" i="59"/>
  <c r="N50" i="59"/>
  <c r="T53" i="59"/>
  <c r="V53" i="59" s="1"/>
  <c r="T45" i="59"/>
  <c r="V45" i="59" s="1"/>
  <c r="M95" i="59"/>
  <c r="O95" i="59" s="1"/>
  <c r="T59" i="59"/>
  <c r="V59" i="59" s="1"/>
  <c r="M93" i="59"/>
  <c r="O93" i="59" s="1"/>
  <c r="M108" i="59"/>
  <c r="O108" i="59" s="1"/>
  <c r="M79" i="59"/>
  <c r="N79" i="59" s="1"/>
  <c r="T67" i="59"/>
  <c r="U67" i="59" s="1"/>
  <c r="M86" i="59"/>
  <c r="O86" i="59" s="1"/>
  <c r="U97" i="59"/>
  <c r="M96" i="59"/>
  <c r="O96" i="59" s="1"/>
  <c r="M110" i="59"/>
  <c r="N110" i="59" s="1"/>
  <c r="M105" i="59"/>
  <c r="O105" i="59" s="1"/>
  <c r="T60" i="59"/>
  <c r="U60" i="59" s="1"/>
  <c r="M85" i="59"/>
  <c r="O85" i="59" s="1"/>
  <c r="T52" i="59"/>
  <c r="V52" i="59" s="1"/>
  <c r="M109" i="59"/>
  <c r="O109" i="59" s="1"/>
  <c r="T34" i="59"/>
  <c r="U34" i="59" s="1"/>
  <c r="M87" i="59"/>
  <c r="O87" i="59" s="1"/>
  <c r="M80" i="59"/>
  <c r="N80" i="59" s="1"/>
  <c r="M101" i="59"/>
  <c r="O101" i="59" s="1"/>
  <c r="M99" i="59"/>
  <c r="O99" i="59" s="1"/>
  <c r="M91" i="59"/>
  <c r="O91" i="59" s="1"/>
  <c r="N61" i="59"/>
  <c r="U91" i="59"/>
  <c r="N34" i="59"/>
  <c r="U73" i="59"/>
  <c r="T41" i="59"/>
  <c r="V41" i="59" s="1"/>
  <c r="T46" i="59"/>
  <c r="U46" i="59" s="1"/>
  <c r="T38" i="59"/>
  <c r="V38" i="59" s="1"/>
  <c r="M89" i="59"/>
  <c r="O89" i="59" s="1"/>
  <c r="M81" i="59"/>
  <c r="N81" i="59" s="1"/>
  <c r="M104" i="59"/>
  <c r="O104" i="59" s="1"/>
  <c r="D145" i="54"/>
  <c r="C145" i="54"/>
  <c r="E205" i="54"/>
  <c r="F205" i="54"/>
  <c r="J206" i="54"/>
  <c r="N64" i="59"/>
  <c r="V100" i="59"/>
  <c r="U75" i="59"/>
  <c r="E206" i="54"/>
  <c r="F206" i="54"/>
  <c r="T54" i="59"/>
  <c r="U54" i="59" s="1"/>
  <c r="F750" i="54"/>
  <c r="E750" i="54"/>
  <c r="H750" i="54"/>
  <c r="G750" i="54"/>
  <c r="C750" i="54"/>
  <c r="D750" i="54"/>
  <c r="N40" i="59"/>
  <c r="E239" i="54"/>
  <c r="D239" i="54"/>
  <c r="W355" i="54"/>
  <c r="V360" i="54"/>
  <c r="V361" i="54" s="1"/>
  <c r="U93" i="59"/>
  <c r="U103" i="59"/>
  <c r="D186" i="54"/>
  <c r="J186" i="54"/>
  <c r="T32" i="59"/>
  <c r="V32" i="59" s="1"/>
  <c r="T33" i="59"/>
  <c r="V33" i="59" s="1"/>
  <c r="T39" i="59"/>
  <c r="V39" i="59" s="1"/>
  <c r="M82" i="59"/>
  <c r="O82" i="59" s="1"/>
  <c r="T41" i="51"/>
  <c r="U41" i="51" s="1"/>
  <c r="M107" i="51"/>
  <c r="O107" i="51" s="1"/>
  <c r="T45" i="51"/>
  <c r="U45" i="51" s="1"/>
  <c r="T57" i="51"/>
  <c r="V57" i="51" s="1"/>
  <c r="T34" i="51"/>
  <c r="V34" i="51" s="1"/>
  <c r="M103" i="51"/>
  <c r="O103" i="51" s="1"/>
  <c r="T69" i="51"/>
  <c r="U69" i="51" s="1"/>
  <c r="M80" i="51"/>
  <c r="N80" i="51" s="1"/>
  <c r="T47" i="51"/>
  <c r="V47" i="51" s="1"/>
  <c r="M111" i="51"/>
  <c r="N111" i="51" s="1"/>
  <c r="M96" i="51"/>
  <c r="O96" i="51" s="1"/>
  <c r="U104" i="51"/>
  <c r="F261" i="46"/>
  <c r="B275" i="46"/>
  <c r="B274" i="46"/>
  <c r="D274" i="46" s="1"/>
  <c r="U98" i="51"/>
  <c r="N40" i="51"/>
  <c r="N48" i="51"/>
  <c r="N51" i="51"/>
  <c r="U74" i="51"/>
  <c r="U79" i="51"/>
  <c r="T37" i="51"/>
  <c r="V37" i="51" s="1"/>
  <c r="T43" i="51"/>
  <c r="V43" i="51" s="1"/>
  <c r="T63" i="51"/>
  <c r="U63" i="51" s="1"/>
  <c r="T55" i="51"/>
  <c r="V55" i="51" s="1"/>
  <c r="T52" i="51"/>
  <c r="V52" i="51" s="1"/>
  <c r="M75" i="51"/>
  <c r="N75" i="51" s="1"/>
  <c r="U110" i="51"/>
  <c r="U96" i="51"/>
  <c r="M108" i="51"/>
  <c r="N108" i="51" s="1"/>
  <c r="T64" i="51"/>
  <c r="U64" i="51" s="1"/>
  <c r="T53" i="51"/>
  <c r="U53" i="51" s="1"/>
  <c r="M88" i="51"/>
  <c r="O88" i="51" s="1"/>
  <c r="D145" i="46"/>
  <c r="C145" i="46"/>
  <c r="U77" i="51"/>
  <c r="N41" i="51"/>
  <c r="V73" i="51"/>
  <c r="U75" i="51"/>
  <c r="T33" i="51"/>
  <c r="U33" i="51" s="1"/>
  <c r="M91" i="51"/>
  <c r="O91" i="51" s="1"/>
  <c r="M93" i="51"/>
  <c r="N93" i="51" s="1"/>
  <c r="N68" i="51"/>
  <c r="N36" i="51"/>
  <c r="F206" i="46"/>
  <c r="E206" i="46"/>
  <c r="D184" i="46"/>
  <c r="T42" i="51"/>
  <c r="V42" i="51" s="1"/>
  <c r="M85" i="51"/>
  <c r="N85" i="51" s="1"/>
  <c r="T50" i="51"/>
  <c r="V50" i="51" s="1"/>
  <c r="M98" i="51"/>
  <c r="O98" i="51" s="1"/>
  <c r="I184" i="46"/>
  <c r="H184" i="46"/>
  <c r="J167" i="46"/>
  <c r="J166" i="46"/>
  <c r="U78" i="51"/>
  <c r="M97" i="51"/>
  <c r="O97" i="51" s="1"/>
  <c r="M77" i="51"/>
  <c r="O77" i="51" s="1"/>
  <c r="T67" i="51"/>
  <c r="U67" i="51" s="1"/>
  <c r="C24" i="51"/>
  <c r="T60" i="51"/>
  <c r="V60" i="51" s="1"/>
  <c r="U92" i="51"/>
  <c r="J945" i="46"/>
  <c r="O954" i="46"/>
  <c r="O948" i="46"/>
  <c r="L945" i="46"/>
  <c r="O950" i="46"/>
  <c r="K945" i="46"/>
  <c r="I945" i="46"/>
  <c r="G945" i="46"/>
  <c r="O957" i="46"/>
  <c r="O955" i="46"/>
  <c r="F945" i="46"/>
  <c r="E945" i="46"/>
  <c r="O953" i="46"/>
  <c r="D945" i="46"/>
  <c r="O951" i="46"/>
  <c r="M945" i="46"/>
  <c r="O956" i="46"/>
  <c r="O952" i="46"/>
  <c r="H945" i="46"/>
  <c r="C945" i="46"/>
  <c r="O949" i="46"/>
  <c r="T61" i="51"/>
  <c r="V61" i="51" s="1"/>
  <c r="M86" i="51"/>
  <c r="O86" i="51" s="1"/>
  <c r="M89" i="51"/>
  <c r="O89" i="51" s="1"/>
  <c r="M101" i="51"/>
  <c r="O101" i="51" s="1"/>
  <c r="U111" i="51"/>
  <c r="N32" i="51"/>
  <c r="C76" i="50"/>
  <c r="C79" i="50" s="1"/>
  <c r="C729" i="46"/>
  <c r="E228" i="46"/>
  <c r="D228" i="46"/>
  <c r="C217" i="46"/>
  <c r="M81" i="51"/>
  <c r="N81" i="51" s="1"/>
  <c r="M87" i="51"/>
  <c r="N87" i="51" s="1"/>
  <c r="M106" i="51"/>
  <c r="O106" i="51" s="1"/>
  <c r="M82" i="51"/>
  <c r="O82" i="51" s="1"/>
  <c r="M100" i="51"/>
  <c r="O100" i="51" s="1"/>
  <c r="T62" i="51"/>
  <c r="U62" i="51" s="1"/>
  <c r="T39" i="51"/>
  <c r="U39" i="51" s="1"/>
  <c r="M94" i="51"/>
  <c r="N94" i="51" s="1"/>
  <c r="T48" i="51"/>
  <c r="V48" i="51" s="1"/>
  <c r="U82" i="51"/>
  <c r="N63" i="51"/>
  <c r="T58" i="51"/>
  <c r="V58" i="51" s="1"/>
  <c r="T44" i="51"/>
  <c r="V44" i="51" s="1"/>
  <c r="M90" i="51"/>
  <c r="O90" i="51" s="1"/>
  <c r="E274" i="46"/>
  <c r="T36" i="51"/>
  <c r="V36" i="51" s="1"/>
  <c r="T51" i="51"/>
  <c r="U51" i="51" s="1"/>
  <c r="M104" i="51"/>
  <c r="O104" i="51" s="1"/>
  <c r="T66" i="51"/>
  <c r="U66" i="51" s="1"/>
  <c r="I185" i="46"/>
  <c r="H185" i="46"/>
  <c r="M79" i="51"/>
  <c r="O79" i="51" s="1"/>
  <c r="T49" i="51"/>
  <c r="V49" i="51" s="1"/>
  <c r="T32" i="51"/>
  <c r="V32" i="51" s="1"/>
  <c r="T54" i="51"/>
  <c r="V54" i="51" s="1"/>
  <c r="M95" i="51"/>
  <c r="O95" i="51" s="1"/>
  <c r="N67" i="51"/>
  <c r="D128" i="46"/>
  <c r="D124" i="46"/>
  <c r="D125" i="46"/>
  <c r="D123" i="46"/>
  <c r="D127" i="46"/>
  <c r="D122" i="46"/>
  <c r="D126" i="46"/>
  <c r="D121" i="46"/>
  <c r="M92" i="51"/>
  <c r="O92" i="51" s="1"/>
  <c r="V360" i="46"/>
  <c r="W355" i="46"/>
  <c r="M99" i="51"/>
  <c r="O99" i="51" s="1"/>
  <c r="M105" i="51"/>
  <c r="O105" i="51" s="1"/>
  <c r="U86" i="51"/>
  <c r="M109" i="51"/>
  <c r="O109" i="51" s="1"/>
  <c r="U358" i="46"/>
  <c r="V359" i="46" s="1"/>
  <c r="I186" i="46"/>
  <c r="H186" i="46"/>
  <c r="U95" i="51"/>
  <c r="U91" i="51"/>
  <c r="U107" i="51"/>
  <c r="N42" i="51"/>
  <c r="M74" i="51"/>
  <c r="O74" i="51" s="1"/>
  <c r="T56" i="51"/>
  <c r="V56" i="51" s="1"/>
  <c r="M83" i="51"/>
  <c r="O83" i="51" s="1"/>
  <c r="T68" i="51"/>
  <c r="V68" i="51" s="1"/>
  <c r="T35" i="51"/>
  <c r="V35" i="51" s="1"/>
  <c r="T40" i="51"/>
  <c r="V40" i="51" s="1"/>
  <c r="M73" i="51"/>
  <c r="O73" i="51" s="1"/>
  <c r="M76" i="51"/>
  <c r="O76" i="51" s="1"/>
  <c r="M84" i="51"/>
  <c r="O84" i="51" s="1"/>
  <c r="U102" i="51"/>
  <c r="E239" i="46"/>
  <c r="D239" i="46"/>
  <c r="M78" i="51"/>
  <c r="O78" i="51" s="1"/>
  <c r="T38" i="51"/>
  <c r="V38" i="51" s="1"/>
  <c r="H187" i="46"/>
  <c r="I187" i="46"/>
  <c r="J186" i="46"/>
  <c r="D186" i="46"/>
  <c r="M102" i="51"/>
  <c r="O102" i="51" s="1"/>
  <c r="T46" i="51"/>
  <c r="U46" i="51" s="1"/>
  <c r="N56" i="51"/>
  <c r="J206" i="46"/>
  <c r="E205" i="46"/>
  <c r="F205" i="46"/>
  <c r="U109" i="51"/>
  <c r="T31" i="51"/>
  <c r="V31" i="51" s="1"/>
  <c r="T65" i="51"/>
  <c r="V65" i="51" s="1"/>
  <c r="M110" i="51"/>
  <c r="O110" i="51" s="1"/>
  <c r="T59" i="51"/>
  <c r="V59" i="51" s="1"/>
  <c r="U97" i="51"/>
  <c r="N55" i="51"/>
  <c r="E685" i="3"/>
  <c r="F685" i="3"/>
  <c r="G685" i="3"/>
  <c r="H685" i="3"/>
  <c r="I685" i="3"/>
  <c r="J685" i="3"/>
  <c r="K685" i="3"/>
  <c r="L685" i="3"/>
  <c r="M685" i="3"/>
  <c r="N685" i="3"/>
  <c r="O685" i="3"/>
  <c r="P685" i="3"/>
  <c r="Q685" i="3"/>
  <c r="R685" i="3"/>
  <c r="S685" i="3"/>
  <c r="T685" i="3"/>
  <c r="U685" i="3"/>
  <c r="V685" i="3"/>
  <c r="W685" i="3"/>
  <c r="X685" i="3"/>
  <c r="Y685" i="3"/>
  <c r="Z685" i="3"/>
  <c r="E686" i="3"/>
  <c r="F686" i="3"/>
  <c r="G686" i="3"/>
  <c r="H686" i="3"/>
  <c r="I686" i="3"/>
  <c r="J686" i="3"/>
  <c r="K686" i="3"/>
  <c r="L686" i="3"/>
  <c r="M686" i="3"/>
  <c r="N686" i="3"/>
  <c r="O686" i="3"/>
  <c r="P686" i="3"/>
  <c r="Q686" i="3"/>
  <c r="R686" i="3"/>
  <c r="S686" i="3"/>
  <c r="T686" i="3"/>
  <c r="U686" i="3"/>
  <c r="V686" i="3"/>
  <c r="W686" i="3"/>
  <c r="X686" i="3"/>
  <c r="Y686" i="3"/>
  <c r="Z686" i="3"/>
  <c r="E687" i="3"/>
  <c r="F687" i="3"/>
  <c r="G687" i="3"/>
  <c r="H687" i="3"/>
  <c r="I687" i="3"/>
  <c r="J687" i="3"/>
  <c r="K687" i="3"/>
  <c r="L687" i="3"/>
  <c r="M687" i="3"/>
  <c r="N687" i="3"/>
  <c r="O687" i="3"/>
  <c r="P687" i="3"/>
  <c r="Q687" i="3"/>
  <c r="R687" i="3"/>
  <c r="S687" i="3"/>
  <c r="T687" i="3"/>
  <c r="U687" i="3"/>
  <c r="V687" i="3"/>
  <c r="W687" i="3"/>
  <c r="X687" i="3"/>
  <c r="Y687" i="3"/>
  <c r="Z687" i="3"/>
  <c r="E688" i="3"/>
  <c r="F688" i="3"/>
  <c r="G688" i="3"/>
  <c r="H688" i="3"/>
  <c r="I688" i="3"/>
  <c r="J688" i="3"/>
  <c r="K688" i="3"/>
  <c r="L688" i="3"/>
  <c r="M688" i="3"/>
  <c r="N688" i="3"/>
  <c r="O688" i="3"/>
  <c r="P688" i="3"/>
  <c r="Q688" i="3"/>
  <c r="R688" i="3"/>
  <c r="S688" i="3"/>
  <c r="T688" i="3"/>
  <c r="U688" i="3"/>
  <c r="V688" i="3"/>
  <c r="W688" i="3"/>
  <c r="X688" i="3"/>
  <c r="Y688" i="3"/>
  <c r="Z688" i="3"/>
  <c r="D686" i="3"/>
  <c r="D687" i="3"/>
  <c r="D688" i="3"/>
  <c r="D685" i="3"/>
  <c r="E672" i="3"/>
  <c r="F672" i="3"/>
  <c r="G672" i="3"/>
  <c r="H672" i="3"/>
  <c r="I672" i="3"/>
  <c r="J672" i="3"/>
  <c r="K672" i="3"/>
  <c r="L672" i="3"/>
  <c r="M672" i="3"/>
  <c r="N672" i="3"/>
  <c r="O672" i="3"/>
  <c r="P672" i="3"/>
  <c r="Q672" i="3"/>
  <c r="R672" i="3"/>
  <c r="S672" i="3"/>
  <c r="T672" i="3"/>
  <c r="U672" i="3"/>
  <c r="V672" i="3"/>
  <c r="W672" i="3"/>
  <c r="X672" i="3"/>
  <c r="Y672" i="3"/>
  <c r="Z672" i="3"/>
  <c r="E673" i="3"/>
  <c r="F673" i="3"/>
  <c r="G673" i="3"/>
  <c r="H673" i="3"/>
  <c r="I673" i="3"/>
  <c r="J673" i="3"/>
  <c r="K673" i="3"/>
  <c r="L673" i="3"/>
  <c r="M673" i="3"/>
  <c r="N673" i="3"/>
  <c r="O673" i="3"/>
  <c r="P673" i="3"/>
  <c r="Q673" i="3"/>
  <c r="R673" i="3"/>
  <c r="S673" i="3"/>
  <c r="T673" i="3"/>
  <c r="U673" i="3"/>
  <c r="V673" i="3"/>
  <c r="W673" i="3"/>
  <c r="X673" i="3"/>
  <c r="Y673" i="3"/>
  <c r="Z673" i="3"/>
  <c r="E674" i="3"/>
  <c r="F674" i="3"/>
  <c r="G674" i="3"/>
  <c r="H674" i="3"/>
  <c r="I674" i="3"/>
  <c r="J674" i="3"/>
  <c r="K674" i="3"/>
  <c r="L674" i="3"/>
  <c r="M674" i="3"/>
  <c r="N674" i="3"/>
  <c r="O674" i="3"/>
  <c r="P674" i="3"/>
  <c r="Q674" i="3"/>
  <c r="R674" i="3"/>
  <c r="S674" i="3"/>
  <c r="T674" i="3"/>
  <c r="U674" i="3"/>
  <c r="V674" i="3"/>
  <c r="W674" i="3"/>
  <c r="X674" i="3"/>
  <c r="Y674" i="3"/>
  <c r="Z674" i="3"/>
  <c r="E675" i="3"/>
  <c r="F675" i="3"/>
  <c r="G675" i="3"/>
  <c r="H675" i="3"/>
  <c r="I675" i="3"/>
  <c r="J675" i="3"/>
  <c r="K675" i="3"/>
  <c r="L675" i="3"/>
  <c r="M675" i="3"/>
  <c r="N675" i="3"/>
  <c r="O675" i="3"/>
  <c r="P675" i="3"/>
  <c r="Q675" i="3"/>
  <c r="R675" i="3"/>
  <c r="S675" i="3"/>
  <c r="T675" i="3"/>
  <c r="U675" i="3"/>
  <c r="V675" i="3"/>
  <c r="W675" i="3"/>
  <c r="X675" i="3"/>
  <c r="Y675" i="3"/>
  <c r="Z675" i="3"/>
  <c r="E676" i="3"/>
  <c r="F676" i="3"/>
  <c r="G676" i="3"/>
  <c r="H676" i="3"/>
  <c r="I676" i="3"/>
  <c r="J676" i="3"/>
  <c r="K676" i="3"/>
  <c r="L676" i="3"/>
  <c r="M676" i="3"/>
  <c r="N676" i="3"/>
  <c r="O676" i="3"/>
  <c r="P676" i="3"/>
  <c r="Q676" i="3"/>
  <c r="R676" i="3"/>
  <c r="S676" i="3"/>
  <c r="T676" i="3"/>
  <c r="U676" i="3"/>
  <c r="V676" i="3"/>
  <c r="W676" i="3"/>
  <c r="X676" i="3"/>
  <c r="Y676" i="3"/>
  <c r="Z676" i="3"/>
  <c r="E677" i="3"/>
  <c r="F677" i="3"/>
  <c r="G677" i="3"/>
  <c r="H677" i="3"/>
  <c r="I677" i="3"/>
  <c r="J677" i="3"/>
  <c r="K677" i="3"/>
  <c r="L677" i="3"/>
  <c r="M677" i="3"/>
  <c r="N677" i="3"/>
  <c r="O677" i="3"/>
  <c r="P677" i="3"/>
  <c r="Q677" i="3"/>
  <c r="R677" i="3"/>
  <c r="S677" i="3"/>
  <c r="T677" i="3"/>
  <c r="U677" i="3"/>
  <c r="V677" i="3"/>
  <c r="W677" i="3"/>
  <c r="X677" i="3"/>
  <c r="Y677" i="3"/>
  <c r="Z677" i="3"/>
  <c r="E678" i="3"/>
  <c r="F678" i="3"/>
  <c r="G678" i="3"/>
  <c r="H678" i="3"/>
  <c r="I678" i="3"/>
  <c r="J678" i="3"/>
  <c r="K678" i="3"/>
  <c r="L678" i="3"/>
  <c r="M678" i="3"/>
  <c r="N678" i="3"/>
  <c r="O678" i="3"/>
  <c r="P678" i="3"/>
  <c r="Q678" i="3"/>
  <c r="R678" i="3"/>
  <c r="S678" i="3"/>
  <c r="T678" i="3"/>
  <c r="U678" i="3"/>
  <c r="V678" i="3"/>
  <c r="W678" i="3"/>
  <c r="X678" i="3"/>
  <c r="Y678" i="3"/>
  <c r="Z678" i="3"/>
  <c r="E679" i="3"/>
  <c r="F679" i="3"/>
  <c r="G679" i="3"/>
  <c r="H679" i="3"/>
  <c r="I679" i="3"/>
  <c r="J679" i="3"/>
  <c r="K679" i="3"/>
  <c r="L679" i="3"/>
  <c r="M679" i="3"/>
  <c r="N679" i="3"/>
  <c r="O679" i="3"/>
  <c r="P679" i="3"/>
  <c r="Q679" i="3"/>
  <c r="R679" i="3"/>
  <c r="S679" i="3"/>
  <c r="T679" i="3"/>
  <c r="U679" i="3"/>
  <c r="V679" i="3"/>
  <c r="W679" i="3"/>
  <c r="X679" i="3"/>
  <c r="Y679" i="3"/>
  <c r="Z679" i="3"/>
  <c r="E680" i="3"/>
  <c r="F680" i="3"/>
  <c r="G680" i="3"/>
  <c r="H680" i="3"/>
  <c r="I680" i="3"/>
  <c r="J680" i="3"/>
  <c r="K680" i="3"/>
  <c r="L680" i="3"/>
  <c r="M680" i="3"/>
  <c r="N680" i="3"/>
  <c r="O680" i="3"/>
  <c r="P680" i="3"/>
  <c r="Q680" i="3"/>
  <c r="R680" i="3"/>
  <c r="S680" i="3"/>
  <c r="T680" i="3"/>
  <c r="U680" i="3"/>
  <c r="V680" i="3"/>
  <c r="W680" i="3"/>
  <c r="X680" i="3"/>
  <c r="Y680" i="3"/>
  <c r="Z680" i="3"/>
  <c r="E681" i="3"/>
  <c r="F681" i="3"/>
  <c r="G681" i="3"/>
  <c r="H681" i="3"/>
  <c r="I681" i="3"/>
  <c r="J681" i="3"/>
  <c r="K681" i="3"/>
  <c r="L681" i="3"/>
  <c r="M681" i="3"/>
  <c r="N681" i="3"/>
  <c r="O681" i="3"/>
  <c r="P681" i="3"/>
  <c r="Q681" i="3"/>
  <c r="R681" i="3"/>
  <c r="S681" i="3"/>
  <c r="T681" i="3"/>
  <c r="U681" i="3"/>
  <c r="V681" i="3"/>
  <c r="W681" i="3"/>
  <c r="X681" i="3"/>
  <c r="Y681" i="3"/>
  <c r="Z681" i="3"/>
  <c r="E682" i="3"/>
  <c r="F682" i="3"/>
  <c r="G682" i="3"/>
  <c r="H682" i="3"/>
  <c r="I682" i="3"/>
  <c r="J682" i="3"/>
  <c r="K682" i="3"/>
  <c r="L682" i="3"/>
  <c r="M682" i="3"/>
  <c r="N682" i="3"/>
  <c r="O682" i="3"/>
  <c r="P682" i="3"/>
  <c r="Q682" i="3"/>
  <c r="R682" i="3"/>
  <c r="S682" i="3"/>
  <c r="T682" i="3"/>
  <c r="U682" i="3"/>
  <c r="V682" i="3"/>
  <c r="W682" i="3"/>
  <c r="X682" i="3"/>
  <c r="Y682" i="3"/>
  <c r="Z682" i="3"/>
  <c r="E683" i="3"/>
  <c r="F683" i="3"/>
  <c r="G683" i="3"/>
  <c r="H683" i="3"/>
  <c r="I683" i="3"/>
  <c r="J683" i="3"/>
  <c r="K683" i="3"/>
  <c r="L683" i="3"/>
  <c r="M683" i="3"/>
  <c r="N683" i="3"/>
  <c r="O683" i="3"/>
  <c r="P683" i="3"/>
  <c r="Q683" i="3"/>
  <c r="R683" i="3"/>
  <c r="S683" i="3"/>
  <c r="T683" i="3"/>
  <c r="U683" i="3"/>
  <c r="V683" i="3"/>
  <c r="W683" i="3"/>
  <c r="X683" i="3"/>
  <c r="Y683" i="3"/>
  <c r="Z683" i="3"/>
  <c r="E684" i="3"/>
  <c r="F684" i="3"/>
  <c r="G684" i="3"/>
  <c r="H684" i="3"/>
  <c r="I684" i="3"/>
  <c r="J684" i="3"/>
  <c r="K684" i="3"/>
  <c r="L684" i="3"/>
  <c r="M684" i="3"/>
  <c r="N684" i="3"/>
  <c r="O684" i="3"/>
  <c r="P684" i="3"/>
  <c r="Q684" i="3"/>
  <c r="R684" i="3"/>
  <c r="S684" i="3"/>
  <c r="T684" i="3"/>
  <c r="U684" i="3"/>
  <c r="V684" i="3"/>
  <c r="W684" i="3"/>
  <c r="X684" i="3"/>
  <c r="Y684" i="3"/>
  <c r="Z684" i="3"/>
  <c r="D673" i="3"/>
  <c r="D674" i="3"/>
  <c r="D675" i="3"/>
  <c r="D676" i="3"/>
  <c r="D677" i="3"/>
  <c r="D678" i="3"/>
  <c r="D680" i="3"/>
  <c r="D681" i="3"/>
  <c r="D682" i="3"/>
  <c r="D683" i="3"/>
  <c r="D684" i="3"/>
  <c r="D672" i="3"/>
  <c r="E667" i="3"/>
  <c r="F667" i="3"/>
  <c r="G667" i="3"/>
  <c r="H667" i="3"/>
  <c r="I667" i="3"/>
  <c r="J667" i="3"/>
  <c r="K667" i="3"/>
  <c r="L667" i="3"/>
  <c r="M667" i="3"/>
  <c r="N667" i="3"/>
  <c r="O667" i="3"/>
  <c r="P667" i="3"/>
  <c r="Q667" i="3"/>
  <c r="R667" i="3"/>
  <c r="S667" i="3"/>
  <c r="T667" i="3"/>
  <c r="U667" i="3"/>
  <c r="V667" i="3"/>
  <c r="W667" i="3"/>
  <c r="X667" i="3"/>
  <c r="Y667" i="3"/>
  <c r="Z667" i="3"/>
  <c r="E668" i="3"/>
  <c r="F668" i="3"/>
  <c r="G668" i="3"/>
  <c r="H668" i="3"/>
  <c r="I668" i="3"/>
  <c r="J668" i="3"/>
  <c r="K668" i="3"/>
  <c r="L668" i="3"/>
  <c r="M668" i="3"/>
  <c r="N668" i="3"/>
  <c r="O668" i="3"/>
  <c r="P668" i="3"/>
  <c r="Q668" i="3"/>
  <c r="R668" i="3"/>
  <c r="S668" i="3"/>
  <c r="T668" i="3"/>
  <c r="U668" i="3"/>
  <c r="V668" i="3"/>
  <c r="W668" i="3"/>
  <c r="X668" i="3"/>
  <c r="Y668" i="3"/>
  <c r="Z668" i="3"/>
  <c r="E669" i="3"/>
  <c r="F669" i="3"/>
  <c r="G669" i="3"/>
  <c r="H669" i="3"/>
  <c r="I669" i="3"/>
  <c r="J669" i="3"/>
  <c r="K669" i="3"/>
  <c r="L669" i="3"/>
  <c r="M669" i="3"/>
  <c r="N669" i="3"/>
  <c r="O669" i="3"/>
  <c r="P669" i="3"/>
  <c r="Q669" i="3"/>
  <c r="R669" i="3"/>
  <c r="S669" i="3"/>
  <c r="T669" i="3"/>
  <c r="U669" i="3"/>
  <c r="V669" i="3"/>
  <c r="W669" i="3"/>
  <c r="X669" i="3"/>
  <c r="Y669" i="3"/>
  <c r="Z669" i="3"/>
  <c r="E670" i="3"/>
  <c r="F670" i="3"/>
  <c r="G670" i="3"/>
  <c r="H670" i="3"/>
  <c r="I670" i="3"/>
  <c r="J670" i="3"/>
  <c r="K670" i="3"/>
  <c r="L670" i="3"/>
  <c r="M670" i="3"/>
  <c r="N670" i="3"/>
  <c r="O670" i="3"/>
  <c r="P670" i="3"/>
  <c r="Q670" i="3"/>
  <c r="R670" i="3"/>
  <c r="S670" i="3"/>
  <c r="T670" i="3"/>
  <c r="U670" i="3"/>
  <c r="V670" i="3"/>
  <c r="W670" i="3"/>
  <c r="X670" i="3"/>
  <c r="Y670" i="3"/>
  <c r="Z670" i="3"/>
  <c r="E671" i="3"/>
  <c r="F671" i="3"/>
  <c r="G671" i="3"/>
  <c r="H671" i="3"/>
  <c r="I671" i="3"/>
  <c r="J671" i="3"/>
  <c r="K671" i="3"/>
  <c r="L671" i="3"/>
  <c r="M671" i="3"/>
  <c r="N671" i="3"/>
  <c r="O671" i="3"/>
  <c r="P671" i="3"/>
  <c r="Q671" i="3"/>
  <c r="R671" i="3"/>
  <c r="S671" i="3"/>
  <c r="T671" i="3"/>
  <c r="U671" i="3"/>
  <c r="V671" i="3"/>
  <c r="W671" i="3"/>
  <c r="X671" i="3"/>
  <c r="Y671" i="3"/>
  <c r="Z671" i="3"/>
  <c r="D668" i="3"/>
  <c r="D669" i="3"/>
  <c r="D670" i="3"/>
  <c r="D671" i="3"/>
  <c r="D667" i="3"/>
  <c r="E79" i="50" l="1"/>
  <c r="E218" i="46"/>
  <c r="D187" i="46"/>
  <c r="D750" i="46"/>
  <c r="G750" i="46"/>
  <c r="E750" i="46"/>
  <c r="C750" i="46"/>
  <c r="F750" i="46"/>
  <c r="J185" i="46"/>
  <c r="R185" i="46" s="1"/>
  <c r="A185" i="46" s="1"/>
  <c r="W75" i="51"/>
  <c r="X75" i="51" s="1"/>
  <c r="P65" i="51"/>
  <c r="Q65" i="51" s="1"/>
  <c r="P52" i="51"/>
  <c r="Q52" i="51" s="1"/>
  <c r="W76" i="51"/>
  <c r="X76" i="51" s="1"/>
  <c r="W79" i="51"/>
  <c r="X79" i="51" s="1"/>
  <c r="P61" i="51"/>
  <c r="Q61" i="51" s="1"/>
  <c r="W80" i="51"/>
  <c r="X80" i="51" s="1"/>
  <c r="P67" i="51"/>
  <c r="Q67" i="51" s="1"/>
  <c r="P60" i="51"/>
  <c r="Q60" i="51" s="1"/>
  <c r="P35" i="51"/>
  <c r="Q35" i="51" s="1"/>
  <c r="W101" i="51"/>
  <c r="X101" i="51" s="1"/>
  <c r="W107" i="51"/>
  <c r="X107" i="51" s="1"/>
  <c r="P50" i="51"/>
  <c r="Q50" i="51" s="1"/>
  <c r="Z59" i="67"/>
  <c r="AA59" i="67" s="1"/>
  <c r="AC59" i="67" s="1"/>
  <c r="W89" i="51"/>
  <c r="X89" i="51" s="1"/>
  <c r="W97" i="51"/>
  <c r="X97" i="51" s="1"/>
  <c r="W109" i="51"/>
  <c r="X109" i="51" s="1"/>
  <c r="P36" i="51"/>
  <c r="Q36" i="51" s="1"/>
  <c r="P64" i="51"/>
  <c r="Q64" i="51" s="1"/>
  <c r="W104" i="51"/>
  <c r="X104" i="51" s="1"/>
  <c r="W99" i="51"/>
  <c r="X99" i="51" s="1"/>
  <c r="W93" i="51"/>
  <c r="X93" i="51" s="1"/>
  <c r="P48" i="51"/>
  <c r="Q48" i="51" s="1"/>
  <c r="W98" i="51"/>
  <c r="X98" i="51" s="1"/>
  <c r="W102" i="51"/>
  <c r="X102" i="51" s="1"/>
  <c r="P44" i="51"/>
  <c r="Q44" i="51" s="1"/>
  <c r="P59" i="51"/>
  <c r="Q59" i="51" s="1"/>
  <c r="W100" i="51"/>
  <c r="X100" i="51" s="1"/>
  <c r="W95" i="51"/>
  <c r="X95" i="51" s="1"/>
  <c r="P41" i="51"/>
  <c r="Q41" i="51" s="1"/>
  <c r="P51" i="51"/>
  <c r="Q51" i="51" s="1"/>
  <c r="P45" i="51"/>
  <c r="Q45" i="51" s="1"/>
  <c r="P42" i="51"/>
  <c r="Q42" i="51" s="1"/>
  <c r="W88" i="51"/>
  <c r="X88" i="51" s="1"/>
  <c r="W84" i="51"/>
  <c r="X84" i="51" s="1"/>
  <c r="P62" i="51"/>
  <c r="Q62" i="51" s="1"/>
  <c r="P66" i="51"/>
  <c r="Q66" i="51" s="1"/>
  <c r="W87" i="51"/>
  <c r="X87" i="51" s="1"/>
  <c r="W94" i="51"/>
  <c r="X94" i="51" s="1"/>
  <c r="P49" i="51"/>
  <c r="Q49" i="51" s="1"/>
  <c r="W105" i="51"/>
  <c r="X105" i="51" s="1"/>
  <c r="W92" i="51"/>
  <c r="X92" i="51" s="1"/>
  <c r="W90" i="51"/>
  <c r="X90" i="51" s="1"/>
  <c r="W85" i="51"/>
  <c r="X85" i="51" s="1"/>
  <c r="P57" i="51"/>
  <c r="Q57" i="51" s="1"/>
  <c r="W86" i="51"/>
  <c r="X86" i="51" s="1"/>
  <c r="P53" i="51"/>
  <c r="Q53" i="51" s="1"/>
  <c r="W77" i="51"/>
  <c r="X77" i="51" s="1"/>
  <c r="P54" i="51"/>
  <c r="Q54" i="51" s="1"/>
  <c r="P55" i="51"/>
  <c r="Q55" i="51" s="1"/>
  <c r="W111" i="51"/>
  <c r="X111" i="51" s="1"/>
  <c r="P47" i="51"/>
  <c r="Q47" i="51" s="1"/>
  <c r="P39" i="51"/>
  <c r="Q39" i="51" s="1"/>
  <c r="P56" i="51"/>
  <c r="Q56" i="51" s="1"/>
  <c r="W103" i="51"/>
  <c r="X103" i="51" s="1"/>
  <c r="P58" i="51"/>
  <c r="Q58" i="51" s="1"/>
  <c r="W82" i="51"/>
  <c r="X82" i="51" s="1"/>
  <c r="W73" i="51"/>
  <c r="X73" i="51" s="1"/>
  <c r="W91" i="51"/>
  <c r="X91" i="51" s="1"/>
  <c r="P31" i="51"/>
  <c r="Q31" i="51" s="1"/>
  <c r="W81" i="51"/>
  <c r="X81" i="51" s="1"/>
  <c r="W96" i="51"/>
  <c r="X96" i="51" s="1"/>
  <c r="P68" i="51"/>
  <c r="Q68" i="51" s="1"/>
  <c r="P38" i="51"/>
  <c r="Q38" i="51" s="1"/>
  <c r="W110" i="51"/>
  <c r="X110" i="51" s="1"/>
  <c r="P46" i="51"/>
  <c r="Q46" i="51" s="1"/>
  <c r="W83" i="51"/>
  <c r="X83" i="51" s="1"/>
  <c r="P40" i="51"/>
  <c r="Q40" i="51" s="1"/>
  <c r="W108" i="51"/>
  <c r="X108" i="51" s="1"/>
  <c r="W78" i="51"/>
  <c r="X78" i="51" s="1"/>
  <c r="W106" i="51"/>
  <c r="X106" i="51" s="1"/>
  <c r="P34" i="51"/>
  <c r="Q34" i="51" s="1"/>
  <c r="P33" i="51"/>
  <c r="Q33" i="51" s="1"/>
  <c r="P37" i="51"/>
  <c r="Q37" i="51" s="1"/>
  <c r="P43" i="51"/>
  <c r="Q43" i="51" s="1"/>
  <c r="P32" i="51"/>
  <c r="Q32" i="51" s="1"/>
  <c r="P63" i="51"/>
  <c r="Q63" i="51" s="1"/>
  <c r="W74" i="51"/>
  <c r="X74" i="51" s="1"/>
  <c r="Z108" i="67"/>
  <c r="AA108" i="67" s="1"/>
  <c r="AC108" i="67" s="1"/>
  <c r="Z36" i="67"/>
  <c r="AA36" i="67" s="1"/>
  <c r="AC36" i="67" s="1"/>
  <c r="Z76" i="67"/>
  <c r="AA76" i="67" s="1"/>
  <c r="AC76" i="67" s="1"/>
  <c r="Z31" i="67"/>
  <c r="AA31" i="67" s="1"/>
  <c r="AC31" i="67" s="1"/>
  <c r="Z60" i="67"/>
  <c r="AA60" i="67" s="1"/>
  <c r="AC60" i="67" s="1"/>
  <c r="R185" i="62"/>
  <c r="A185" i="62" s="1"/>
  <c r="Z66" i="67"/>
  <c r="AA66" i="67" s="1"/>
  <c r="AC66" i="67" s="1"/>
  <c r="Z42" i="67"/>
  <c r="AA42" i="67" s="1"/>
  <c r="AC42" i="67" s="1"/>
  <c r="Z65" i="67"/>
  <c r="AA65" i="67" s="1"/>
  <c r="AC65" i="67" s="1"/>
  <c r="Z102" i="67"/>
  <c r="AA102" i="67" s="1"/>
  <c r="AC102" i="67" s="1"/>
  <c r="Z111" i="67"/>
  <c r="AA111" i="67" s="1"/>
  <c r="AC111" i="67" s="1"/>
  <c r="Z81" i="67"/>
  <c r="AA81" i="67" s="1"/>
  <c r="AC81" i="67" s="1"/>
  <c r="Z93" i="67"/>
  <c r="AA93" i="67" s="1"/>
  <c r="AC93" i="67" s="1"/>
  <c r="Z105" i="67"/>
  <c r="AA105" i="67" s="1"/>
  <c r="AC105" i="67" s="1"/>
  <c r="Z100" i="67"/>
  <c r="AA100" i="67" s="1"/>
  <c r="AC100" i="67" s="1"/>
  <c r="Z78" i="67"/>
  <c r="AA78" i="67" s="1"/>
  <c r="AC78" i="67" s="1"/>
  <c r="S184" i="62"/>
  <c r="U184" i="62" s="1"/>
  <c r="Z41" i="67"/>
  <c r="AA41" i="67" s="1"/>
  <c r="AC41" i="67" s="1"/>
  <c r="Z85" i="67"/>
  <c r="AA85" i="67" s="1"/>
  <c r="AC85" i="67" s="1"/>
  <c r="Z94" i="67"/>
  <c r="AA94" i="67" s="1"/>
  <c r="AC94" i="67" s="1"/>
  <c r="Z104" i="67"/>
  <c r="AA104" i="67" s="1"/>
  <c r="AC104" i="67" s="1"/>
  <c r="Z69" i="67"/>
  <c r="AA69" i="67" s="1"/>
  <c r="AC69" i="67" s="1"/>
  <c r="S187" i="62"/>
  <c r="U187" i="62" s="1"/>
  <c r="Z54" i="67"/>
  <c r="AA54" i="67" s="1"/>
  <c r="AC54" i="67" s="1"/>
  <c r="C331" i="54"/>
  <c r="Z97" i="67"/>
  <c r="AA97" i="67" s="1"/>
  <c r="AC97" i="67" s="1"/>
  <c r="Z58" i="67"/>
  <c r="AA58" i="67" s="1"/>
  <c r="AC58" i="67" s="1"/>
  <c r="Z47" i="67"/>
  <c r="AA47" i="67" s="1"/>
  <c r="AC47" i="67" s="1"/>
  <c r="Z84" i="67"/>
  <c r="AA84" i="67" s="1"/>
  <c r="AC84" i="67" s="1"/>
  <c r="Z53" i="67"/>
  <c r="AA53" i="67" s="1"/>
  <c r="AC53" i="67" s="1"/>
  <c r="Z103" i="67"/>
  <c r="AA103" i="67" s="1"/>
  <c r="AC103" i="67" s="1"/>
  <c r="Z95" i="67"/>
  <c r="AA95" i="67" s="1"/>
  <c r="AC95" i="67" s="1"/>
  <c r="R186" i="62"/>
  <c r="A186" i="62" s="1"/>
  <c r="Z99" i="67"/>
  <c r="AA99" i="67" s="1"/>
  <c r="AC99" i="67" s="1"/>
  <c r="Z88" i="67"/>
  <c r="AA88" i="67" s="1"/>
  <c r="AC88" i="67" s="1"/>
  <c r="Z64" i="67"/>
  <c r="AA64" i="67" s="1"/>
  <c r="AC64" i="67" s="1"/>
  <c r="Z44" i="67"/>
  <c r="AA44" i="67" s="1"/>
  <c r="AC44" i="67" s="1"/>
  <c r="Z98" i="67"/>
  <c r="AA98" i="67" s="1"/>
  <c r="AC98" i="67" s="1"/>
  <c r="Z32" i="67"/>
  <c r="AA32" i="67" s="1"/>
  <c r="AC32" i="67" s="1"/>
  <c r="Z56" i="67"/>
  <c r="AA56" i="67" s="1"/>
  <c r="AC56" i="67" s="1"/>
  <c r="Z82" i="67"/>
  <c r="AA82" i="67" s="1"/>
  <c r="AC82" i="67" s="1"/>
  <c r="Z91" i="67"/>
  <c r="AA91" i="67" s="1"/>
  <c r="AC91" i="67" s="1"/>
  <c r="Z43" i="67"/>
  <c r="AA43" i="67" s="1"/>
  <c r="AC43" i="67" s="1"/>
  <c r="Z109" i="67"/>
  <c r="AA109" i="67" s="1"/>
  <c r="AC109" i="67" s="1"/>
  <c r="Z34" i="67"/>
  <c r="AA34" i="67" s="1"/>
  <c r="AC34" i="67" s="1"/>
  <c r="Z79" i="67"/>
  <c r="AA79" i="67" s="1"/>
  <c r="AC79" i="67" s="1"/>
  <c r="Z38" i="67"/>
  <c r="AA38" i="67" s="1"/>
  <c r="AC38" i="67" s="1"/>
  <c r="Z55" i="67"/>
  <c r="AA55" i="67" s="1"/>
  <c r="AC55" i="67" s="1"/>
  <c r="Z89" i="67"/>
  <c r="AA89" i="67" s="1"/>
  <c r="AC89" i="67" s="1"/>
  <c r="D331" i="54"/>
  <c r="E413" i="54" s="1"/>
  <c r="D333" i="54"/>
  <c r="F413" i="54" s="1"/>
  <c r="B331" i="54"/>
  <c r="T872" i="54"/>
  <c r="Q41" i="59"/>
  <c r="Q38" i="59"/>
  <c r="X49" i="67"/>
  <c r="Z49" i="67" s="1"/>
  <c r="AA49" i="67" s="1"/>
  <c r="AC49" i="67" s="1"/>
  <c r="Q872" i="54"/>
  <c r="J872" i="54"/>
  <c r="N872" i="54"/>
  <c r="AB872" i="54"/>
  <c r="AD872" i="54"/>
  <c r="P872" i="54"/>
  <c r="H358" i="54"/>
  <c r="S872" i="54"/>
  <c r="H872" i="54"/>
  <c r="W872" i="54"/>
  <c r="G872" i="54"/>
  <c r="V872" i="54"/>
  <c r="AE872" i="54"/>
  <c r="C872" i="54"/>
  <c r="Z872" i="54"/>
  <c r="I872" i="54"/>
  <c r="E872" i="54"/>
  <c r="X872" i="54"/>
  <c r="B333" i="54"/>
  <c r="H369" i="54"/>
  <c r="C333" i="54"/>
  <c r="K872" i="54"/>
  <c r="Y872" i="54"/>
  <c r="L872" i="54"/>
  <c r="M872" i="54"/>
  <c r="U872" i="54"/>
  <c r="AA872" i="54"/>
  <c r="D872" i="54"/>
  <c r="F872" i="54"/>
  <c r="O872" i="54"/>
  <c r="AC872" i="54"/>
  <c r="Z45" i="67"/>
  <c r="AA45" i="67" s="1"/>
  <c r="AC45" i="67" s="1"/>
  <c r="Z83" i="67"/>
  <c r="AA83" i="67" s="1"/>
  <c r="AC83" i="67" s="1"/>
  <c r="X52" i="67"/>
  <c r="Z52" i="67" s="1"/>
  <c r="AA52" i="67" s="1"/>
  <c r="AC52" i="67" s="1"/>
  <c r="N73" i="51"/>
  <c r="Q48" i="59"/>
  <c r="Q67" i="59"/>
  <c r="C876" i="46"/>
  <c r="D876" i="46" s="1"/>
  <c r="X100" i="59"/>
  <c r="X107" i="59"/>
  <c r="Z101" i="67"/>
  <c r="AA101" i="67" s="1"/>
  <c r="AC101" i="67" s="1"/>
  <c r="Q74" i="67"/>
  <c r="Z74" i="67" s="1"/>
  <c r="AA74" i="67" s="1"/>
  <c r="AC74" i="67" s="1"/>
  <c r="U36" i="59"/>
  <c r="Q31" i="59"/>
  <c r="Q63" i="59"/>
  <c r="X86" i="59"/>
  <c r="N91" i="59"/>
  <c r="Q56" i="59"/>
  <c r="Q96" i="67"/>
  <c r="Z96" i="67" s="1"/>
  <c r="AA96" i="67" s="1"/>
  <c r="AC96" i="67" s="1"/>
  <c r="X87" i="59"/>
  <c r="Q110" i="67"/>
  <c r="Z110" i="67" s="1"/>
  <c r="AA110" i="67" s="1"/>
  <c r="AC110" i="67" s="1"/>
  <c r="Q51" i="59"/>
  <c r="C961" i="62"/>
  <c r="C962" i="62" s="1"/>
  <c r="X88" i="59"/>
  <c r="Q45" i="59"/>
  <c r="Z61" i="67"/>
  <c r="AA61" i="67" s="1"/>
  <c r="AC61" i="67" s="1"/>
  <c r="Z37" i="67"/>
  <c r="AA37" i="67" s="1"/>
  <c r="AC37" i="67" s="1"/>
  <c r="X90" i="59"/>
  <c r="N89" i="51"/>
  <c r="X50" i="67"/>
  <c r="Z50" i="67" s="1"/>
  <c r="AA50" i="67" s="1"/>
  <c r="AC50" i="67" s="1"/>
  <c r="U57" i="51"/>
  <c r="U37" i="59"/>
  <c r="Q60" i="59"/>
  <c r="V51" i="59"/>
  <c r="U350" i="62"/>
  <c r="Z87" i="67"/>
  <c r="AA87" i="67" s="1"/>
  <c r="AC87" i="67" s="1"/>
  <c r="X108" i="59"/>
  <c r="X46" i="67"/>
  <c r="Z46" i="67" s="1"/>
  <c r="AA46" i="67" s="1"/>
  <c r="AC46" i="67" s="1"/>
  <c r="N79" i="51"/>
  <c r="Z86" i="67"/>
  <c r="AA86" i="67" s="1"/>
  <c r="AC86" i="67" s="1"/>
  <c r="X68" i="67"/>
  <c r="Z68" i="67" s="1"/>
  <c r="AA68" i="67" s="1"/>
  <c r="AC68" i="67" s="1"/>
  <c r="O85" i="51"/>
  <c r="N86" i="59"/>
  <c r="Q75" i="67"/>
  <c r="Z75" i="67" s="1"/>
  <c r="AA75" i="67" s="1"/>
  <c r="AC75" i="67" s="1"/>
  <c r="U52" i="59"/>
  <c r="V66" i="51"/>
  <c r="V68" i="59"/>
  <c r="U50" i="59"/>
  <c r="O87" i="51"/>
  <c r="N82" i="51"/>
  <c r="O103" i="59"/>
  <c r="X109" i="59"/>
  <c r="Q55" i="59"/>
  <c r="V62" i="59"/>
  <c r="N95" i="59"/>
  <c r="N92" i="59"/>
  <c r="Z67" i="67"/>
  <c r="AA67" i="67" s="1"/>
  <c r="AC67" i="67" s="1"/>
  <c r="U31" i="59"/>
  <c r="N107" i="51"/>
  <c r="O73" i="59"/>
  <c r="X39" i="67"/>
  <c r="Z39" i="67" s="1"/>
  <c r="AA39" i="67" s="1"/>
  <c r="AC39" i="67" s="1"/>
  <c r="Z80" i="67"/>
  <c r="AA80" i="67" s="1"/>
  <c r="AC80" i="67" s="1"/>
  <c r="V35" i="59"/>
  <c r="O94" i="59"/>
  <c r="V51" i="51"/>
  <c r="Q53" i="59"/>
  <c r="V69" i="51"/>
  <c r="U44" i="59"/>
  <c r="Z73" i="67"/>
  <c r="C73" i="67" s="1"/>
  <c r="Q107" i="67"/>
  <c r="Z107" i="67" s="1"/>
  <c r="AA107" i="67" s="1"/>
  <c r="O108" i="51"/>
  <c r="O81" i="59"/>
  <c r="V64" i="51"/>
  <c r="J169" i="54"/>
  <c r="X356" i="54" s="1"/>
  <c r="W350" i="54" s="1"/>
  <c r="U61" i="51"/>
  <c r="O75" i="51"/>
  <c r="N91" i="51"/>
  <c r="N107" i="59"/>
  <c r="N93" i="59"/>
  <c r="U44" i="51"/>
  <c r="U34" i="51"/>
  <c r="U69" i="59"/>
  <c r="U49" i="59"/>
  <c r="X51" i="67"/>
  <c r="Z51" i="67" s="1"/>
  <c r="AA51" i="67" s="1"/>
  <c r="AC51" i="67" s="1"/>
  <c r="U35" i="51"/>
  <c r="N105" i="59"/>
  <c r="N111" i="59"/>
  <c r="V46" i="51"/>
  <c r="U52" i="51"/>
  <c r="F274" i="46"/>
  <c r="U32" i="51"/>
  <c r="N99" i="59"/>
  <c r="X98" i="59"/>
  <c r="Z40" i="67"/>
  <c r="AA40" i="67" s="1"/>
  <c r="AC40" i="67" s="1"/>
  <c r="X63" i="67"/>
  <c r="Z63" i="67" s="1"/>
  <c r="AA63" i="67" s="1"/>
  <c r="AC63" i="67" s="1"/>
  <c r="P204" i="62"/>
  <c r="D351" i="62" s="1"/>
  <c r="D354" i="62" s="1"/>
  <c r="D371" i="62" s="1"/>
  <c r="U45" i="59"/>
  <c r="Q90" i="67"/>
  <c r="Z90" i="67" s="1"/>
  <c r="AA90" i="67" s="1"/>
  <c r="AC90" i="67" s="1"/>
  <c r="X62" i="67"/>
  <c r="Z62" i="67" s="1"/>
  <c r="AA62" i="67" s="1"/>
  <c r="AC62" i="67" s="1"/>
  <c r="Z33" i="67"/>
  <c r="AA33" i="67" s="1"/>
  <c r="I275" i="62"/>
  <c r="X35" i="67"/>
  <c r="Z35" i="67" s="1"/>
  <c r="Z92" i="67"/>
  <c r="AA92" i="67" s="1"/>
  <c r="AC92" i="67" s="1"/>
  <c r="N92" i="51"/>
  <c r="O81" i="51"/>
  <c r="N82" i="59"/>
  <c r="V53" i="51"/>
  <c r="V361" i="46"/>
  <c r="N95" i="51"/>
  <c r="V63" i="51"/>
  <c r="V47" i="59"/>
  <c r="N76" i="59"/>
  <c r="K275" i="62"/>
  <c r="N109" i="51"/>
  <c r="V34" i="59"/>
  <c r="V58" i="59"/>
  <c r="U66" i="59"/>
  <c r="N78" i="51"/>
  <c r="U56" i="51"/>
  <c r="N104" i="51"/>
  <c r="N98" i="51"/>
  <c r="N96" i="51"/>
  <c r="U33" i="59"/>
  <c r="U38" i="51"/>
  <c r="U37" i="51"/>
  <c r="N109" i="59"/>
  <c r="O93" i="51"/>
  <c r="O80" i="51"/>
  <c r="U50" i="51"/>
  <c r="U32" i="59"/>
  <c r="U40" i="59"/>
  <c r="N102" i="51"/>
  <c r="V33" i="51"/>
  <c r="N100" i="51"/>
  <c r="N77" i="51"/>
  <c r="U55" i="51"/>
  <c r="V60" i="59"/>
  <c r="U38" i="59"/>
  <c r="N101" i="59"/>
  <c r="V67" i="59"/>
  <c r="U53" i="59"/>
  <c r="N77" i="59"/>
  <c r="F274" i="54"/>
  <c r="O110" i="59"/>
  <c r="V41" i="51"/>
  <c r="V45" i="51"/>
  <c r="O80" i="59"/>
  <c r="U42" i="59"/>
  <c r="N100" i="59"/>
  <c r="U57" i="59"/>
  <c r="Q77" i="67"/>
  <c r="Z77" i="67" s="1"/>
  <c r="AA77" i="67" s="1"/>
  <c r="N108" i="59"/>
  <c r="U48" i="59"/>
  <c r="N98" i="59"/>
  <c r="X48" i="67"/>
  <c r="Z48" i="67" s="1"/>
  <c r="AA48" i="67" s="1"/>
  <c r="V185" i="62"/>
  <c r="U185" i="62"/>
  <c r="T185" i="62"/>
  <c r="A184" i="62"/>
  <c r="K274" i="62"/>
  <c r="V186" i="62"/>
  <c r="T186" i="62"/>
  <c r="U186" i="62"/>
  <c r="AA106" i="67"/>
  <c r="AC106" i="67" s="1"/>
  <c r="I274" i="62"/>
  <c r="Z57" i="67"/>
  <c r="C758" i="62"/>
  <c r="H758" i="62"/>
  <c r="E758" i="62"/>
  <c r="D758" i="62"/>
  <c r="G758" i="62"/>
  <c r="F758" i="62"/>
  <c r="C876" i="62"/>
  <c r="D876" i="62" s="1"/>
  <c r="B208" i="62"/>
  <c r="C409" i="62" s="1"/>
  <c r="B209" i="62"/>
  <c r="D409" i="62" s="1"/>
  <c r="D119" i="54"/>
  <c r="U39" i="59"/>
  <c r="P104" i="59"/>
  <c r="Q104" i="59" s="1"/>
  <c r="Z104" i="59" s="1"/>
  <c r="P92" i="59"/>
  <c r="Q92" i="59" s="1"/>
  <c r="Z92" i="59" s="1"/>
  <c r="P80" i="59"/>
  <c r="P111" i="59"/>
  <c r="Q111" i="59" s="1"/>
  <c r="Z111" i="59" s="1"/>
  <c r="P98" i="59"/>
  <c r="Q98" i="59" s="1"/>
  <c r="P85" i="59"/>
  <c r="Q85" i="59" s="1"/>
  <c r="Z85" i="59" s="1"/>
  <c r="P75" i="59"/>
  <c r="Q75" i="59" s="1"/>
  <c r="Z75" i="59" s="1"/>
  <c r="W68" i="59"/>
  <c r="P110" i="59"/>
  <c r="P97" i="59"/>
  <c r="Q97" i="59" s="1"/>
  <c r="Z97" i="59" s="1"/>
  <c r="P87" i="59"/>
  <c r="Q87" i="59" s="1"/>
  <c r="P74" i="59"/>
  <c r="P103" i="59"/>
  <c r="P100" i="59"/>
  <c r="Q100" i="59" s="1"/>
  <c r="P77" i="59"/>
  <c r="Q77" i="59" s="1"/>
  <c r="Z77" i="59" s="1"/>
  <c r="W67" i="59"/>
  <c r="P102" i="59"/>
  <c r="Q102" i="59" s="1"/>
  <c r="Z102" i="59" s="1"/>
  <c r="P101" i="59"/>
  <c r="Q101" i="59" s="1"/>
  <c r="Z101" i="59" s="1"/>
  <c r="P91" i="59"/>
  <c r="Q91" i="59" s="1"/>
  <c r="Z91" i="59" s="1"/>
  <c r="P90" i="59"/>
  <c r="Q90" i="59" s="1"/>
  <c r="P83" i="59"/>
  <c r="Q83" i="59" s="1"/>
  <c r="Z83" i="59" s="1"/>
  <c r="P82" i="59"/>
  <c r="Q82" i="59" s="1"/>
  <c r="Z82" i="59" s="1"/>
  <c r="W62" i="59"/>
  <c r="W50" i="59"/>
  <c r="X50" i="59" s="1"/>
  <c r="Z50" i="59" s="1"/>
  <c r="P78" i="59"/>
  <c r="Q78" i="59" s="1"/>
  <c r="Z78" i="59" s="1"/>
  <c r="P76" i="59"/>
  <c r="Q76" i="59" s="1"/>
  <c r="Z76" i="59" s="1"/>
  <c r="W59" i="59"/>
  <c r="X59" i="59" s="1"/>
  <c r="Z59" i="59" s="1"/>
  <c r="W47" i="59"/>
  <c r="W35" i="59"/>
  <c r="W54" i="59"/>
  <c r="W42" i="59"/>
  <c r="X42" i="59" s="1"/>
  <c r="Z42" i="59" s="1"/>
  <c r="P93" i="59"/>
  <c r="Q93" i="59" s="1"/>
  <c r="Z93" i="59" s="1"/>
  <c r="P84" i="59"/>
  <c r="W63" i="59"/>
  <c r="X63" i="59" s="1"/>
  <c r="W37" i="59"/>
  <c r="X37" i="59" s="1"/>
  <c r="Z37" i="59" s="1"/>
  <c r="W32" i="59"/>
  <c r="X32" i="59" s="1"/>
  <c r="Z32" i="59" s="1"/>
  <c r="P109" i="59"/>
  <c r="Q109" i="59" s="1"/>
  <c r="P88" i="59"/>
  <c r="Q88" i="59" s="1"/>
  <c r="W65" i="59"/>
  <c r="W60" i="59"/>
  <c r="W48" i="59"/>
  <c r="X48" i="59" s="1"/>
  <c r="P94" i="59"/>
  <c r="P89" i="59"/>
  <c r="Q89" i="59" s="1"/>
  <c r="Z89" i="59" s="1"/>
  <c r="P81" i="59"/>
  <c r="W66" i="59"/>
  <c r="X66" i="59" s="1"/>
  <c r="Z66" i="59" s="1"/>
  <c r="W58" i="59"/>
  <c r="W41" i="59"/>
  <c r="X41" i="59" s="1"/>
  <c r="W36" i="59"/>
  <c r="X36" i="59" s="1"/>
  <c r="Z36" i="59" s="1"/>
  <c r="W31" i="59"/>
  <c r="X31" i="59" s="1"/>
  <c r="P105" i="59"/>
  <c r="Q105" i="59" s="1"/>
  <c r="Z105" i="59" s="1"/>
  <c r="P73" i="59"/>
  <c r="W57" i="59"/>
  <c r="X57" i="59" s="1"/>
  <c r="Z57" i="59" s="1"/>
  <c r="W56" i="59"/>
  <c r="X56" i="59" s="1"/>
  <c r="W46" i="59"/>
  <c r="P96" i="59"/>
  <c r="Q96" i="59" s="1"/>
  <c r="Z96" i="59" s="1"/>
  <c r="P86" i="59"/>
  <c r="Q86" i="59" s="1"/>
  <c r="W55" i="59"/>
  <c r="X55" i="59" s="1"/>
  <c r="W40" i="59"/>
  <c r="X40" i="59" s="1"/>
  <c r="Z40" i="59" s="1"/>
  <c r="W61" i="59"/>
  <c r="W52" i="59"/>
  <c r="X52" i="59" s="1"/>
  <c r="Z52" i="59" s="1"/>
  <c r="P106" i="59"/>
  <c r="Q106" i="59" s="1"/>
  <c r="Z106" i="59" s="1"/>
  <c r="W64" i="59"/>
  <c r="X64" i="59" s="1"/>
  <c r="Z64" i="59" s="1"/>
  <c r="W53" i="59"/>
  <c r="X53" i="59" s="1"/>
  <c r="W43" i="59"/>
  <c r="X43" i="59" s="1"/>
  <c r="Z43" i="59" s="1"/>
  <c r="W33" i="59"/>
  <c r="X33" i="59" s="1"/>
  <c r="Z33" i="59" s="1"/>
  <c r="W69" i="59"/>
  <c r="X69" i="59" s="1"/>
  <c r="Z69" i="59" s="1"/>
  <c r="W51" i="59"/>
  <c r="W45" i="59"/>
  <c r="X45" i="59" s="1"/>
  <c r="P108" i="59"/>
  <c r="Q108" i="59" s="1"/>
  <c r="W49" i="59"/>
  <c r="X49" i="59" s="1"/>
  <c r="Z49" i="59" s="1"/>
  <c r="P107" i="59"/>
  <c r="Q107" i="59" s="1"/>
  <c r="P95" i="59"/>
  <c r="Q95" i="59" s="1"/>
  <c r="Z95" i="59" s="1"/>
  <c r="W39" i="59"/>
  <c r="X39" i="59" s="1"/>
  <c r="Z39" i="59" s="1"/>
  <c r="P99" i="59"/>
  <c r="Q99" i="59" s="1"/>
  <c r="Z99" i="59" s="1"/>
  <c r="W38" i="59"/>
  <c r="X38" i="59" s="1"/>
  <c r="P79" i="59"/>
  <c r="W44" i="59"/>
  <c r="X44" i="59" s="1"/>
  <c r="Z44" i="59" s="1"/>
  <c r="W34" i="59"/>
  <c r="C960" i="54"/>
  <c r="V54" i="59"/>
  <c r="N96" i="59"/>
  <c r="R187" i="54"/>
  <c r="A187" i="54" s="1"/>
  <c r="S187" i="54"/>
  <c r="N102" i="59"/>
  <c r="O74" i="59"/>
  <c r="N88" i="59"/>
  <c r="V958" i="54"/>
  <c r="S958" i="54"/>
  <c r="W958" i="54"/>
  <c r="U958" i="54"/>
  <c r="T958" i="54"/>
  <c r="R958" i="54"/>
  <c r="N89" i="59"/>
  <c r="N87" i="59"/>
  <c r="N85" i="59"/>
  <c r="U59" i="59"/>
  <c r="O84" i="59"/>
  <c r="U64" i="59"/>
  <c r="N106" i="59"/>
  <c r="N97" i="59"/>
  <c r="V61" i="59"/>
  <c r="U43" i="59"/>
  <c r="G274" i="54"/>
  <c r="H274" i="54" s="1"/>
  <c r="P205" i="54"/>
  <c r="U56" i="59"/>
  <c r="P206" i="54"/>
  <c r="A206" i="54" s="1"/>
  <c r="N90" i="59"/>
  <c r="R184" i="54"/>
  <c r="S184" i="54"/>
  <c r="U63" i="59"/>
  <c r="N75" i="59"/>
  <c r="F275" i="54"/>
  <c r="D275" i="54"/>
  <c r="G275" i="54" s="1"/>
  <c r="H275" i="54" s="1"/>
  <c r="V65" i="59"/>
  <c r="R186" i="54"/>
  <c r="A186" i="54" s="1"/>
  <c r="S186" i="54"/>
  <c r="N78" i="59"/>
  <c r="O79" i="59"/>
  <c r="R185" i="54"/>
  <c r="A185" i="54" s="1"/>
  <c r="S185" i="54"/>
  <c r="N83" i="59"/>
  <c r="A756" i="54"/>
  <c r="A755" i="54"/>
  <c r="A752" i="54"/>
  <c r="A751" i="54"/>
  <c r="A753" i="54"/>
  <c r="A754" i="54"/>
  <c r="V46" i="59"/>
  <c r="U55" i="59"/>
  <c r="N104" i="59"/>
  <c r="U41" i="59"/>
  <c r="U58" i="51"/>
  <c r="N74" i="51"/>
  <c r="N110" i="51"/>
  <c r="P205" i="46"/>
  <c r="N105" i="51"/>
  <c r="U54" i="51"/>
  <c r="U36" i="51"/>
  <c r="N101" i="51"/>
  <c r="J169" i="46"/>
  <c r="X356" i="46" s="1"/>
  <c r="U47" i="51"/>
  <c r="O94" i="51"/>
  <c r="G274" i="46"/>
  <c r="H274" i="46" s="1"/>
  <c r="N106" i="51"/>
  <c r="N90" i="51"/>
  <c r="U48" i="51"/>
  <c r="V958" i="46"/>
  <c r="U958" i="46"/>
  <c r="T958" i="46"/>
  <c r="R958" i="46"/>
  <c r="W958" i="46"/>
  <c r="S958" i="46"/>
  <c r="R184" i="46"/>
  <c r="S184" i="46"/>
  <c r="U42" i="51"/>
  <c r="N88" i="51"/>
  <c r="F275" i="46"/>
  <c r="D275" i="46"/>
  <c r="G275" i="46" s="1"/>
  <c r="H275" i="46" s="1"/>
  <c r="D119" i="46"/>
  <c r="C960" i="46"/>
  <c r="O111" i="51"/>
  <c r="R187" i="46"/>
  <c r="A187" i="46" s="1"/>
  <c r="S187" i="46"/>
  <c r="U60" i="51"/>
  <c r="V39" i="51"/>
  <c r="U31" i="51"/>
  <c r="U68" i="51"/>
  <c r="N99" i="51"/>
  <c r="V62" i="51"/>
  <c r="N84" i="51"/>
  <c r="R186" i="46"/>
  <c r="A186" i="46" s="1"/>
  <c r="S186" i="46"/>
  <c r="N86" i="51"/>
  <c r="P100" i="51"/>
  <c r="Q100" i="51" s="1"/>
  <c r="P88" i="51"/>
  <c r="Q88" i="51" s="1"/>
  <c r="P76" i="51"/>
  <c r="Q76" i="51" s="1"/>
  <c r="P104" i="51"/>
  <c r="Q104" i="51" s="1"/>
  <c r="P91" i="51"/>
  <c r="Q91" i="51" s="1"/>
  <c r="W63" i="51"/>
  <c r="P107" i="51"/>
  <c r="Q107" i="51" s="1"/>
  <c r="P94" i="51"/>
  <c r="P81" i="51"/>
  <c r="P97" i="51"/>
  <c r="Q97" i="51" s="1"/>
  <c r="P87" i="51"/>
  <c r="P84" i="51"/>
  <c r="Q84" i="51" s="1"/>
  <c r="P73" i="51"/>
  <c r="Q73" i="51" s="1"/>
  <c r="W59" i="51"/>
  <c r="X59" i="51" s="1"/>
  <c r="W54" i="51"/>
  <c r="X54" i="51" s="1"/>
  <c r="W42" i="51"/>
  <c r="X42" i="51" s="1"/>
  <c r="P103" i="51"/>
  <c r="Q103" i="51" s="1"/>
  <c r="P102" i="51"/>
  <c r="Q102" i="51" s="1"/>
  <c r="P99" i="51"/>
  <c r="Q99" i="51" s="1"/>
  <c r="P89" i="51"/>
  <c r="Q89" i="51" s="1"/>
  <c r="P83" i="51"/>
  <c r="Q83" i="51" s="1"/>
  <c r="P80" i="51"/>
  <c r="W58" i="51"/>
  <c r="X58" i="51" s="1"/>
  <c r="W46" i="51"/>
  <c r="P96" i="51"/>
  <c r="Q96" i="51" s="1"/>
  <c r="P75" i="51"/>
  <c r="W64" i="51"/>
  <c r="W56" i="51"/>
  <c r="X56" i="51" s="1"/>
  <c r="W39" i="51"/>
  <c r="P98" i="51"/>
  <c r="Q98" i="51" s="1"/>
  <c r="P93" i="51"/>
  <c r="W53" i="51"/>
  <c r="W48" i="51"/>
  <c r="X48" i="51" s="1"/>
  <c r="W44" i="51"/>
  <c r="X44" i="51" s="1"/>
  <c r="W31" i="51"/>
  <c r="X31" i="51" s="1"/>
  <c r="P106" i="51"/>
  <c r="Q106" i="51" s="1"/>
  <c r="W38" i="51"/>
  <c r="X38" i="51" s="1"/>
  <c r="W37" i="51"/>
  <c r="X37" i="51" s="1"/>
  <c r="P77" i="51"/>
  <c r="Q77" i="51" s="1"/>
  <c r="W55" i="51"/>
  <c r="X55" i="51" s="1"/>
  <c r="W52" i="51"/>
  <c r="X52" i="51" s="1"/>
  <c r="W51" i="51"/>
  <c r="W50" i="51"/>
  <c r="X50" i="51" s="1"/>
  <c r="W49" i="51"/>
  <c r="X49" i="51" s="1"/>
  <c r="W47" i="51"/>
  <c r="X47" i="51" s="1"/>
  <c r="W36" i="51"/>
  <c r="X36" i="51" s="1"/>
  <c r="P111" i="51"/>
  <c r="W60" i="51"/>
  <c r="X60" i="51" s="1"/>
  <c r="W57" i="51"/>
  <c r="X57" i="51" s="1"/>
  <c r="W45" i="51"/>
  <c r="W35" i="51"/>
  <c r="X35" i="51" s="1"/>
  <c r="P109" i="51"/>
  <c r="Q109" i="51" s="1"/>
  <c r="P101" i="51"/>
  <c r="Q101" i="51" s="1"/>
  <c r="P92" i="51"/>
  <c r="Q92" i="51" s="1"/>
  <c r="P108" i="51"/>
  <c r="P105" i="51"/>
  <c r="Q105" i="51" s="1"/>
  <c r="W34" i="51"/>
  <c r="X34" i="51" s="1"/>
  <c r="P110" i="51"/>
  <c r="Q110" i="51" s="1"/>
  <c r="W68" i="51"/>
  <c r="X68" i="51" s="1"/>
  <c r="P82" i="51"/>
  <c r="Q82" i="51" s="1"/>
  <c r="P78" i="51"/>
  <c r="Q78" i="51" s="1"/>
  <c r="W43" i="51"/>
  <c r="X43" i="51" s="1"/>
  <c r="P95" i="51"/>
  <c r="Q95" i="51" s="1"/>
  <c r="P86" i="51"/>
  <c r="Q86" i="51" s="1"/>
  <c r="W61" i="51"/>
  <c r="X61" i="51" s="1"/>
  <c r="W67" i="51"/>
  <c r="W41" i="51"/>
  <c r="P79" i="51"/>
  <c r="Q79" i="51" s="1"/>
  <c r="P90" i="51"/>
  <c r="Q90" i="51" s="1"/>
  <c r="W69" i="51"/>
  <c r="W66" i="51"/>
  <c r="W40" i="51"/>
  <c r="X40" i="51" s="1"/>
  <c r="W33" i="51"/>
  <c r="P85" i="51"/>
  <c r="W32" i="51"/>
  <c r="X32" i="51" s="1"/>
  <c r="P74" i="51"/>
  <c r="Q74" i="51" s="1"/>
  <c r="W65" i="51"/>
  <c r="X65" i="51" s="1"/>
  <c r="W62" i="51"/>
  <c r="U43" i="51"/>
  <c r="N97" i="51"/>
  <c r="N83" i="51"/>
  <c r="V67" i="51"/>
  <c r="N103" i="51"/>
  <c r="U59" i="51"/>
  <c r="U40" i="51"/>
  <c r="A755" i="46"/>
  <c r="A754" i="46"/>
  <c r="A753" i="46"/>
  <c r="A751" i="46"/>
  <c r="A756" i="46"/>
  <c r="A752" i="46"/>
  <c r="U65" i="51"/>
  <c r="N76" i="51"/>
  <c r="U49" i="51"/>
  <c r="P206" i="46"/>
  <c r="A206" i="46" s="1"/>
  <c r="C287" i="3"/>
  <c r="C1063" i="3"/>
  <c r="Z74" i="51" l="1"/>
  <c r="AA74" i="51" s="1"/>
  <c r="AC74" i="51" s="1"/>
  <c r="Z56" i="51"/>
  <c r="AA56" i="51" s="1"/>
  <c r="AC56" i="51" s="1"/>
  <c r="Z92" i="51"/>
  <c r="AA92" i="51" s="1"/>
  <c r="AC92" i="51" s="1"/>
  <c r="Z109" i="51"/>
  <c r="AA109" i="51" s="1"/>
  <c r="AC109" i="51" s="1"/>
  <c r="Z95" i="51"/>
  <c r="AA95" i="51" s="1"/>
  <c r="AC95" i="51" s="1"/>
  <c r="Z76" i="51"/>
  <c r="AA76" i="51" s="1"/>
  <c r="AC76" i="51" s="1"/>
  <c r="Z32" i="51"/>
  <c r="AA32" i="51" s="1"/>
  <c r="AC32" i="51" s="1"/>
  <c r="S185" i="46"/>
  <c r="U185" i="46" s="1"/>
  <c r="Z65" i="51"/>
  <c r="AA65" i="51" s="1"/>
  <c r="AC65" i="51" s="1"/>
  <c r="Z52" i="51"/>
  <c r="AA52" i="51" s="1"/>
  <c r="AC52" i="51" s="1"/>
  <c r="Z79" i="51"/>
  <c r="AA79" i="51" s="1"/>
  <c r="AC79" i="51" s="1"/>
  <c r="Z110" i="51"/>
  <c r="AA110" i="51" s="1"/>
  <c r="AC110" i="51" s="1"/>
  <c r="Z97" i="51"/>
  <c r="AA97" i="51" s="1"/>
  <c r="AC97" i="51" s="1"/>
  <c r="Z38" i="51"/>
  <c r="AA38" i="51" s="1"/>
  <c r="AC38" i="51" s="1"/>
  <c r="Z61" i="51"/>
  <c r="AA61" i="51" s="1"/>
  <c r="AC61" i="51" s="1"/>
  <c r="Z103" i="51"/>
  <c r="AA103" i="51" s="1"/>
  <c r="AC103" i="51" s="1"/>
  <c r="Z102" i="51"/>
  <c r="Z48" i="51"/>
  <c r="AA48" i="51" s="1"/>
  <c r="AC48" i="51" s="1"/>
  <c r="Z34" i="51"/>
  <c r="AA34" i="51" s="1"/>
  <c r="AC34" i="51" s="1"/>
  <c r="Z101" i="51"/>
  <c r="AA101" i="51" s="1"/>
  <c r="AC101" i="51" s="1"/>
  <c r="Z91" i="51"/>
  <c r="AA91" i="51" s="1"/>
  <c r="AC91" i="51" s="1"/>
  <c r="Z104" i="51"/>
  <c r="AA104" i="51" s="1"/>
  <c r="AC104" i="51" s="1"/>
  <c r="Z36" i="51"/>
  <c r="AA36" i="51" s="1"/>
  <c r="AC36" i="51" s="1"/>
  <c r="Z99" i="51"/>
  <c r="AA99" i="51" s="1"/>
  <c r="AC99" i="51" s="1"/>
  <c r="Z107" i="51"/>
  <c r="AA107" i="51" s="1"/>
  <c r="AC107" i="51" s="1"/>
  <c r="Z98" i="51"/>
  <c r="AA98" i="51" s="1"/>
  <c r="AC98" i="51" s="1"/>
  <c r="Z42" i="51"/>
  <c r="AA42" i="51" s="1"/>
  <c r="AC42" i="51" s="1"/>
  <c r="Z77" i="51"/>
  <c r="AA77" i="51" s="1"/>
  <c r="AC77" i="51" s="1"/>
  <c r="Z40" i="51"/>
  <c r="AA40" i="51" s="1"/>
  <c r="AC40" i="51" s="1"/>
  <c r="Z78" i="51"/>
  <c r="AA78" i="51" s="1"/>
  <c r="AC78" i="51" s="1"/>
  <c r="Z58" i="51"/>
  <c r="AA58" i="51" s="1"/>
  <c r="AC58" i="51" s="1"/>
  <c r="Z82" i="51"/>
  <c r="AA82" i="51" s="1"/>
  <c r="AC82" i="51" s="1"/>
  <c r="Z44" i="51"/>
  <c r="AA44" i="51" s="1"/>
  <c r="AC44" i="51" s="1"/>
  <c r="Z86" i="51"/>
  <c r="AA86" i="51" s="1"/>
  <c r="AC86" i="51" s="1"/>
  <c r="Z43" i="51"/>
  <c r="AA43" i="51" s="1"/>
  <c r="AC43" i="51" s="1"/>
  <c r="Z59" i="51"/>
  <c r="AA59" i="51" s="1"/>
  <c r="AC59" i="51" s="1"/>
  <c r="Z54" i="51"/>
  <c r="AA54" i="51" s="1"/>
  <c r="AC54" i="51" s="1"/>
  <c r="Z55" i="51"/>
  <c r="AA55" i="51" s="1"/>
  <c r="AC55" i="51" s="1"/>
  <c r="Z96" i="51"/>
  <c r="AA96" i="51" s="1"/>
  <c r="AC96" i="51" s="1"/>
  <c r="Z68" i="51"/>
  <c r="AA68" i="51" s="1"/>
  <c r="AC68" i="51" s="1"/>
  <c r="Z90" i="51"/>
  <c r="AA90" i="51" s="1"/>
  <c r="AC90" i="51" s="1"/>
  <c r="C31" i="67"/>
  <c r="C32" i="67" s="1"/>
  <c r="C33" i="67" s="1"/>
  <c r="C34" i="67" s="1"/>
  <c r="V184" i="62"/>
  <c r="T184" i="62"/>
  <c r="V187" i="62"/>
  <c r="T187" i="62"/>
  <c r="R180" i="62"/>
  <c r="C351" i="62" s="1"/>
  <c r="C365" i="62" s="1"/>
  <c r="Z31" i="51"/>
  <c r="C31" i="51" s="1"/>
  <c r="Z105" i="51"/>
  <c r="AA105" i="51" s="1"/>
  <c r="AC105" i="51" s="1"/>
  <c r="Z38" i="59"/>
  <c r="AA38" i="59" s="1"/>
  <c r="AC38" i="59" s="1"/>
  <c r="Z41" i="59"/>
  <c r="AA41" i="59" s="1"/>
  <c r="AC41" i="59" s="1"/>
  <c r="Z88" i="51"/>
  <c r="AA88" i="51" s="1"/>
  <c r="AC88" i="51" s="1"/>
  <c r="Z57" i="51"/>
  <c r="AA57" i="51" s="1"/>
  <c r="AC57" i="51" s="1"/>
  <c r="Z35" i="51"/>
  <c r="AA35" i="51" s="1"/>
  <c r="AC35" i="51" s="1"/>
  <c r="Z37" i="51"/>
  <c r="AA37" i="51" s="1"/>
  <c r="AC37" i="51" s="1"/>
  <c r="C876" i="54"/>
  <c r="D876" i="54" s="1"/>
  <c r="Z48" i="59"/>
  <c r="AA48" i="59" s="1"/>
  <c r="AC48" i="59" s="1"/>
  <c r="Z83" i="51"/>
  <c r="AA83" i="51" s="1"/>
  <c r="AC83" i="51" s="1"/>
  <c r="C74" i="67"/>
  <c r="C75" i="67" s="1"/>
  <c r="Z49" i="51"/>
  <c r="AA49" i="51" s="1"/>
  <c r="AC49" i="51" s="1"/>
  <c r="Z50" i="51"/>
  <c r="AA50" i="51" s="1"/>
  <c r="AC50" i="51" s="1"/>
  <c r="Q93" i="51"/>
  <c r="Z93" i="51" s="1"/>
  <c r="AA93" i="51" s="1"/>
  <c r="AC93" i="51" s="1"/>
  <c r="Z60" i="51"/>
  <c r="AA60" i="51" s="1"/>
  <c r="AC60" i="51" s="1"/>
  <c r="Z106" i="51"/>
  <c r="AA106" i="51" s="1"/>
  <c r="AC106" i="51" s="1"/>
  <c r="Z73" i="51"/>
  <c r="C73" i="51" s="1"/>
  <c r="Z89" i="51"/>
  <c r="AA89" i="51" s="1"/>
  <c r="AC89" i="51" s="1"/>
  <c r="Z100" i="59"/>
  <c r="AA100" i="59" s="1"/>
  <c r="AC100" i="59" s="1"/>
  <c r="Z100" i="51"/>
  <c r="AA100" i="51" s="1"/>
  <c r="AC100" i="51" s="1"/>
  <c r="Z107" i="59"/>
  <c r="AA107" i="59" s="1"/>
  <c r="AC107" i="59" s="1"/>
  <c r="Z31" i="59"/>
  <c r="C31" i="59" s="1"/>
  <c r="C32" i="59" s="1"/>
  <c r="X33" i="51"/>
  <c r="Z33" i="51" s="1"/>
  <c r="AA33" i="51" s="1"/>
  <c r="AC33" i="51" s="1"/>
  <c r="Q87" i="51"/>
  <c r="Z87" i="51" s="1"/>
  <c r="AA87" i="51" s="1"/>
  <c r="AC87" i="51" s="1"/>
  <c r="X51" i="59"/>
  <c r="Z51" i="59" s="1"/>
  <c r="AA51" i="59" s="1"/>
  <c r="AC51" i="59" s="1"/>
  <c r="Z63" i="59"/>
  <c r="AA63" i="59" s="1"/>
  <c r="AC63" i="59" s="1"/>
  <c r="X69" i="51"/>
  <c r="Z69" i="51" s="1"/>
  <c r="AA69" i="51" s="1"/>
  <c r="AC69" i="51" s="1"/>
  <c r="Z47" i="51"/>
  <c r="AA47" i="51" s="1"/>
  <c r="AC47" i="51" s="1"/>
  <c r="Z56" i="59"/>
  <c r="AA56" i="59" s="1"/>
  <c r="AC56" i="59" s="1"/>
  <c r="X51" i="51"/>
  <c r="Z51" i="51" s="1"/>
  <c r="AA51" i="51" s="1"/>
  <c r="AC51" i="51" s="1"/>
  <c r="Z88" i="59"/>
  <c r="AA88" i="59" s="1"/>
  <c r="AC88" i="59" s="1"/>
  <c r="Z86" i="59"/>
  <c r="AA86" i="59" s="1"/>
  <c r="AC86" i="59" s="1"/>
  <c r="Q81" i="59"/>
  <c r="Z81" i="59" s="1"/>
  <c r="AA81" i="59" s="1"/>
  <c r="AC81" i="59" s="1"/>
  <c r="Q73" i="59"/>
  <c r="Z73" i="59" s="1"/>
  <c r="C73" i="59" s="1"/>
  <c r="Z87" i="59"/>
  <c r="AA87" i="59" s="1"/>
  <c r="AC87" i="59" s="1"/>
  <c r="Z108" i="59"/>
  <c r="AA108" i="59" s="1"/>
  <c r="AC108" i="59" s="1"/>
  <c r="Z84" i="51"/>
  <c r="AA84" i="51" s="1"/>
  <c r="AC84" i="51" s="1"/>
  <c r="Z45" i="59"/>
  <c r="AA45" i="59" s="1"/>
  <c r="AC45" i="59" s="1"/>
  <c r="Z90" i="59"/>
  <c r="AA90" i="59" s="1"/>
  <c r="AC90" i="59" s="1"/>
  <c r="X68" i="59"/>
  <c r="Z68" i="59" s="1"/>
  <c r="AA68" i="59" s="1"/>
  <c r="AC68" i="59" s="1"/>
  <c r="X58" i="59"/>
  <c r="Z58" i="59" s="1"/>
  <c r="AA58" i="59" s="1"/>
  <c r="AC58" i="59" s="1"/>
  <c r="X66" i="51"/>
  <c r="Z66" i="51" s="1"/>
  <c r="AA66" i="51" s="1"/>
  <c r="AC66" i="51" s="1"/>
  <c r="X41" i="51"/>
  <c r="Z41" i="51" s="1"/>
  <c r="AA41" i="51" s="1"/>
  <c r="AC41" i="51" s="1"/>
  <c r="Q80" i="59"/>
  <c r="Z80" i="59" s="1"/>
  <c r="AA80" i="59" s="1"/>
  <c r="AC80" i="59" s="1"/>
  <c r="Z53" i="59"/>
  <c r="AA53" i="59" s="1"/>
  <c r="AC53" i="59" s="1"/>
  <c r="AA35" i="67"/>
  <c r="AC35" i="67" s="1"/>
  <c r="Q85" i="51"/>
  <c r="Z85" i="51" s="1"/>
  <c r="AA85" i="51" s="1"/>
  <c r="AC85" i="51" s="1"/>
  <c r="X62" i="59"/>
  <c r="Z62" i="59" s="1"/>
  <c r="AA62" i="59" s="1"/>
  <c r="AC62" i="59" s="1"/>
  <c r="X46" i="51"/>
  <c r="Z46" i="51" s="1"/>
  <c r="AA46" i="51" s="1"/>
  <c r="AC46" i="51" s="1"/>
  <c r="Z55" i="59"/>
  <c r="AA55" i="59" s="1"/>
  <c r="AC55" i="59" s="1"/>
  <c r="Q110" i="59"/>
  <c r="Z110" i="59" s="1"/>
  <c r="AA110" i="59" s="1"/>
  <c r="AC110" i="59" s="1"/>
  <c r="B758" i="62"/>
  <c r="N761" i="62" s="1"/>
  <c r="AA73" i="67"/>
  <c r="AC73" i="67" s="1"/>
  <c r="Q94" i="59"/>
  <c r="Z94" i="59" s="1"/>
  <c r="AA94" i="59" s="1"/>
  <c r="AC94" i="59" s="1"/>
  <c r="Q81" i="51"/>
  <c r="Z81" i="51" s="1"/>
  <c r="AA81" i="51" s="1"/>
  <c r="AC81" i="51" s="1"/>
  <c r="X35" i="59"/>
  <c r="Z35" i="59" s="1"/>
  <c r="AA35" i="59" s="1"/>
  <c r="AC35" i="59" s="1"/>
  <c r="Z98" i="59"/>
  <c r="AA98" i="59" s="1"/>
  <c r="AC98" i="59" s="1"/>
  <c r="C961" i="54"/>
  <c r="C962" i="54" s="1"/>
  <c r="X67" i="59"/>
  <c r="Z67" i="59" s="1"/>
  <c r="AA67" i="59" s="1"/>
  <c r="AC67" i="59" s="1"/>
  <c r="Z109" i="59"/>
  <c r="AA109" i="59" s="1"/>
  <c r="AC109" i="59" s="1"/>
  <c r="Q103" i="59"/>
  <c r="Z103" i="59" s="1"/>
  <c r="AA103" i="59" s="1"/>
  <c r="AC103" i="59" s="1"/>
  <c r="X64" i="51"/>
  <c r="Z64" i="51" s="1"/>
  <c r="AA64" i="51" s="1"/>
  <c r="AC64" i="51" s="1"/>
  <c r="X53" i="51"/>
  <c r="Z53" i="51" s="1"/>
  <c r="AA53" i="51" s="1"/>
  <c r="AC53" i="51" s="1"/>
  <c r="AC77" i="67"/>
  <c r="Q108" i="51"/>
  <c r="Z108" i="51" s="1"/>
  <c r="AA108" i="51" s="1"/>
  <c r="AC108" i="51" s="1"/>
  <c r="C961" i="46"/>
  <c r="C962" i="46" s="1"/>
  <c r="X45" i="51"/>
  <c r="Z45" i="51" s="1"/>
  <c r="AA45" i="51" s="1"/>
  <c r="AC45" i="51" s="1"/>
  <c r="Q75" i="51"/>
  <c r="Z75" i="51" s="1"/>
  <c r="AA75" i="51" s="1"/>
  <c r="AC75" i="51" s="1"/>
  <c r="D364" i="62"/>
  <c r="D356" i="62"/>
  <c r="D373" i="62" s="1"/>
  <c r="X47" i="59"/>
  <c r="Z47" i="59" s="1"/>
  <c r="AA47" i="59" s="1"/>
  <c r="AC47" i="59" s="1"/>
  <c r="X60" i="59"/>
  <c r="Z60" i="59" s="1"/>
  <c r="AA60" i="59" s="1"/>
  <c r="AC60" i="59" s="1"/>
  <c r="X67" i="51"/>
  <c r="Z67" i="51" s="1"/>
  <c r="X63" i="51"/>
  <c r="Z63" i="51" s="1"/>
  <c r="AA63" i="51" s="1"/>
  <c r="AC63" i="51" s="1"/>
  <c r="U350" i="54"/>
  <c r="AC33" i="67"/>
  <c r="X39" i="51"/>
  <c r="Z39" i="51" s="1"/>
  <c r="AA39" i="51" s="1"/>
  <c r="AC39" i="51" s="1"/>
  <c r="AC107" i="67"/>
  <c r="AC48" i="67"/>
  <c r="X34" i="59"/>
  <c r="Z34" i="59" s="1"/>
  <c r="AA34" i="59" s="1"/>
  <c r="Q80" i="51"/>
  <c r="Z80" i="51" s="1"/>
  <c r="AA80" i="51" s="1"/>
  <c r="AC80" i="51" s="1"/>
  <c r="X65" i="59"/>
  <c r="Z65" i="59" s="1"/>
  <c r="AA65" i="59" s="1"/>
  <c r="AC65" i="59" s="1"/>
  <c r="X62" i="51"/>
  <c r="Z62" i="51" s="1"/>
  <c r="AA62" i="51" s="1"/>
  <c r="AC62" i="51" s="1"/>
  <c r="I271" i="62"/>
  <c r="J275" i="62" s="1"/>
  <c r="A191" i="62"/>
  <c r="A193" i="62" s="1"/>
  <c r="C193" i="62" s="1"/>
  <c r="K271" i="62"/>
  <c r="AA57" i="67"/>
  <c r="AC57" i="67" s="1"/>
  <c r="AA64" i="59"/>
  <c r="AC64" i="59" s="1"/>
  <c r="AA59" i="59"/>
  <c r="AC59" i="59" s="1"/>
  <c r="AA52" i="59"/>
  <c r="AC52" i="59" s="1"/>
  <c r="V184" i="54"/>
  <c r="U184" i="54"/>
  <c r="T184" i="54"/>
  <c r="Q79" i="59"/>
  <c r="Z79" i="59" s="1"/>
  <c r="AA43" i="59"/>
  <c r="AC43" i="59" s="1"/>
  <c r="AA57" i="59"/>
  <c r="AC57" i="59" s="1"/>
  <c r="AA111" i="59"/>
  <c r="AC111" i="59" s="1"/>
  <c r="AA77" i="59"/>
  <c r="AC77" i="59" s="1"/>
  <c r="AA42" i="59"/>
  <c r="AC42" i="59" s="1"/>
  <c r="AA99" i="59"/>
  <c r="AC99" i="59" s="1"/>
  <c r="AA105" i="59"/>
  <c r="AC105" i="59" s="1"/>
  <c r="AA76" i="59"/>
  <c r="AC76" i="59" s="1"/>
  <c r="AA92" i="59"/>
  <c r="AC92" i="59" s="1"/>
  <c r="AA36" i="59"/>
  <c r="AC36" i="59" s="1"/>
  <c r="AA39" i="59"/>
  <c r="AC39" i="59" s="1"/>
  <c r="AA106" i="59"/>
  <c r="AC106" i="59" s="1"/>
  <c r="AA78" i="59"/>
  <c r="AC78" i="59" s="1"/>
  <c r="AA104" i="59"/>
  <c r="AC104" i="59" s="1"/>
  <c r="AA50" i="59"/>
  <c r="AC50" i="59" s="1"/>
  <c r="AA95" i="59"/>
  <c r="AC95" i="59" s="1"/>
  <c r="Q74" i="59"/>
  <c r="Z74" i="59" s="1"/>
  <c r="A184" i="54"/>
  <c r="R180" i="54"/>
  <c r="C351" i="54" s="1"/>
  <c r="AA49" i="59"/>
  <c r="AC49" i="59" s="1"/>
  <c r="AA40" i="59"/>
  <c r="AC40" i="59" s="1"/>
  <c r="AA82" i="59"/>
  <c r="AC82" i="59" s="1"/>
  <c r="AA97" i="59"/>
  <c r="AC97" i="59" s="1"/>
  <c r="X61" i="59"/>
  <c r="Z61" i="59" s="1"/>
  <c r="A205" i="54"/>
  <c r="P204" i="54"/>
  <c r="D351" i="54" s="1"/>
  <c r="AA66" i="59"/>
  <c r="AC66" i="59" s="1"/>
  <c r="Q84" i="59"/>
  <c r="Z84" i="59" s="1"/>
  <c r="AA83" i="59"/>
  <c r="AC83" i="59" s="1"/>
  <c r="T186" i="54"/>
  <c r="V186" i="54"/>
  <c r="U186" i="54"/>
  <c r="AA33" i="59"/>
  <c r="AC33" i="59" s="1"/>
  <c r="AA93" i="59"/>
  <c r="AC93" i="59" s="1"/>
  <c r="AA37" i="59"/>
  <c r="AC37" i="59" s="1"/>
  <c r="AA96" i="59"/>
  <c r="AC96" i="59" s="1"/>
  <c r="AA89" i="59"/>
  <c r="AC89" i="59" s="1"/>
  <c r="AA91" i="59"/>
  <c r="AC91" i="59" s="1"/>
  <c r="AA75" i="59"/>
  <c r="AC75" i="59" s="1"/>
  <c r="AA69" i="59"/>
  <c r="AC69" i="59" s="1"/>
  <c r="X46" i="59"/>
  <c r="Z46" i="59" s="1"/>
  <c r="X54" i="59"/>
  <c r="Z54" i="59" s="1"/>
  <c r="AA101" i="59"/>
  <c r="AC101" i="59" s="1"/>
  <c r="AA85" i="59"/>
  <c r="AC85" i="59" s="1"/>
  <c r="AA32" i="59"/>
  <c r="AC32" i="59" s="1"/>
  <c r="T187" i="54"/>
  <c r="V187" i="54"/>
  <c r="U187" i="54"/>
  <c r="T185" i="54"/>
  <c r="U185" i="54"/>
  <c r="V185" i="54"/>
  <c r="K275" i="54"/>
  <c r="I274" i="54"/>
  <c r="I275" i="54"/>
  <c r="K274" i="54"/>
  <c r="E758" i="54"/>
  <c r="D758" i="54"/>
  <c r="H758" i="54"/>
  <c r="F758" i="54"/>
  <c r="C758" i="54"/>
  <c r="G758" i="54"/>
  <c r="AA44" i="59"/>
  <c r="AC44" i="59" s="1"/>
  <c r="AA102" i="59"/>
  <c r="AC102" i="59" s="1"/>
  <c r="T186" i="46"/>
  <c r="V186" i="46"/>
  <c r="U186" i="46"/>
  <c r="AA102" i="51"/>
  <c r="AC102" i="51" s="1"/>
  <c r="P204" i="46"/>
  <c r="D351" i="46" s="1"/>
  <c r="A205" i="46"/>
  <c r="H758" i="46"/>
  <c r="G758" i="46"/>
  <c r="F758" i="46"/>
  <c r="E758" i="46"/>
  <c r="D758" i="46"/>
  <c r="C758" i="46"/>
  <c r="W350" i="46"/>
  <c r="U350" i="46"/>
  <c r="Q94" i="51"/>
  <c r="Z94" i="51" s="1"/>
  <c r="Q111" i="51"/>
  <c r="Z111" i="51" s="1"/>
  <c r="U184" i="46"/>
  <c r="T184" i="46"/>
  <c r="V184" i="46"/>
  <c r="T187" i="46"/>
  <c r="U187" i="46"/>
  <c r="V187" i="46"/>
  <c r="R180" i="46"/>
  <c r="C351" i="46" s="1"/>
  <c r="A184" i="46"/>
  <c r="K274" i="46"/>
  <c r="I274" i="46"/>
  <c r="K275" i="46"/>
  <c r="I275" i="46"/>
  <c r="K77" i="5"/>
  <c r="J77" i="5"/>
  <c r="I77" i="5"/>
  <c r="H77" i="5"/>
  <c r="G77" i="5"/>
  <c r="F77" i="5"/>
  <c r="E77" i="5"/>
  <c r="V185" i="46" l="1"/>
  <c r="T185" i="46"/>
  <c r="E191" i="46" s="1"/>
  <c r="E191" i="62"/>
  <c r="G191" i="62" s="1"/>
  <c r="E193" i="62"/>
  <c r="F193" i="62" s="1"/>
  <c r="C356" i="62"/>
  <c r="C373" i="62" s="1"/>
  <c r="C352" i="62"/>
  <c r="C364" i="62" s="1"/>
  <c r="C354" i="62"/>
  <c r="C371" i="62" s="1"/>
  <c r="H349" i="62"/>
  <c r="AA31" i="51"/>
  <c r="AC31" i="51" s="1"/>
  <c r="AA73" i="51"/>
  <c r="AC73" i="51" s="1"/>
  <c r="AA31" i="59"/>
  <c r="AC31" i="59" s="1"/>
  <c r="B758" i="54"/>
  <c r="F761" i="54" s="1"/>
  <c r="F761" i="62"/>
  <c r="H761" i="62"/>
  <c r="AA73" i="59"/>
  <c r="AC73" i="59" s="1"/>
  <c r="I761" i="62"/>
  <c r="J274" i="62"/>
  <c r="L274" i="62" s="1"/>
  <c r="B758" i="46"/>
  <c r="K761" i="46" s="1"/>
  <c r="J761" i="62"/>
  <c r="K761" i="62"/>
  <c r="G761" i="62"/>
  <c r="L761" i="62"/>
  <c r="M761" i="62"/>
  <c r="C35" i="67"/>
  <c r="C36" i="67" s="1"/>
  <c r="C37" i="67" s="1"/>
  <c r="C38" i="67" s="1"/>
  <c r="C191" i="62"/>
  <c r="AA67" i="51"/>
  <c r="AC67" i="51" s="1"/>
  <c r="D355" i="62"/>
  <c r="D359" i="62" s="1"/>
  <c r="B193" i="62"/>
  <c r="C32" i="51"/>
  <c r="C33" i="51" s="1"/>
  <c r="C34" i="51" s="1"/>
  <c r="I271" i="46"/>
  <c r="J275" i="46" s="1"/>
  <c r="C33" i="59"/>
  <c r="C34" i="59" s="1"/>
  <c r="AC34" i="59"/>
  <c r="C76" i="67"/>
  <c r="B191" i="62"/>
  <c r="I271" i="54"/>
  <c r="J275" i="54" s="1"/>
  <c r="B209" i="54"/>
  <c r="D409" i="54" s="1"/>
  <c r="B208" i="54"/>
  <c r="C409" i="54" s="1"/>
  <c r="AA79" i="59"/>
  <c r="AC79" i="59" s="1"/>
  <c r="AA54" i="59"/>
  <c r="AC54" i="59" s="1"/>
  <c r="AA84" i="59"/>
  <c r="AC84" i="59" s="1"/>
  <c r="A191" i="54"/>
  <c r="A193" i="54" s="1"/>
  <c r="B193" i="54" s="1"/>
  <c r="C356" i="54"/>
  <c r="C373" i="54" s="1"/>
  <c r="C365" i="54"/>
  <c r="C354" i="54"/>
  <c r="C371" i="54" s="1"/>
  <c r="C352" i="54"/>
  <c r="H349" i="54"/>
  <c r="K271" i="54"/>
  <c r="AA46" i="59"/>
  <c r="AC46" i="59" s="1"/>
  <c r="AA61" i="59"/>
  <c r="AC61" i="59" s="1"/>
  <c r="C74" i="59"/>
  <c r="AA74" i="59"/>
  <c r="AC74" i="59" s="1"/>
  <c r="D356" i="54"/>
  <c r="D373" i="54" s="1"/>
  <c r="D354" i="54"/>
  <c r="D371" i="54" s="1"/>
  <c r="D364" i="54"/>
  <c r="E193" i="54"/>
  <c r="E191" i="54"/>
  <c r="A191" i="46"/>
  <c r="A193" i="46" s="1"/>
  <c r="C193" i="46" s="1"/>
  <c r="K271" i="46"/>
  <c r="C365" i="46"/>
  <c r="C354" i="46"/>
  <c r="C371" i="46" s="1"/>
  <c r="C356" i="46"/>
  <c r="C373" i="46" s="1"/>
  <c r="C352" i="46"/>
  <c r="H349" i="46"/>
  <c r="AA94" i="51"/>
  <c r="AC94" i="51" s="1"/>
  <c r="B208" i="46"/>
  <c r="C409" i="46" s="1"/>
  <c r="B209" i="46"/>
  <c r="D409" i="46" s="1"/>
  <c r="C74" i="51"/>
  <c r="C75" i="51" s="1"/>
  <c r="D354" i="46"/>
  <c r="D371" i="46" s="1"/>
  <c r="D356" i="46"/>
  <c r="D373" i="46" s="1"/>
  <c r="D364" i="46"/>
  <c r="AA111" i="51"/>
  <c r="AC111" i="51" s="1"/>
  <c r="I15" i="5"/>
  <c r="E15" i="5"/>
  <c r="F15" i="5"/>
  <c r="E193" i="46" l="1"/>
  <c r="G193" i="46" s="1"/>
  <c r="G193" i="62"/>
  <c r="F191" i="62"/>
  <c r="C366" i="62"/>
  <c r="C355" i="62"/>
  <c r="C372" i="62" s="1"/>
  <c r="H761" i="54"/>
  <c r="G761" i="54"/>
  <c r="I761" i="54"/>
  <c r="J761" i="54"/>
  <c r="K761" i="54"/>
  <c r="L761" i="54"/>
  <c r="M761" i="54"/>
  <c r="N761" i="54"/>
  <c r="L275" i="62"/>
  <c r="A274" i="62" s="1"/>
  <c r="G761" i="46"/>
  <c r="H761" i="46"/>
  <c r="I761" i="46"/>
  <c r="M761" i="46"/>
  <c r="F761" i="46"/>
  <c r="L761" i="46"/>
  <c r="N761" i="46"/>
  <c r="J761" i="46"/>
  <c r="C193" i="54"/>
  <c r="D372" i="62"/>
  <c r="D358" i="62"/>
  <c r="J274" i="54"/>
  <c r="L274" i="54" s="1"/>
  <c r="J274" i="46"/>
  <c r="L274" i="46" s="1"/>
  <c r="D355" i="46"/>
  <c r="D358" i="46" s="1"/>
  <c r="C355" i="46"/>
  <c r="C372" i="46" s="1"/>
  <c r="D355" i="54"/>
  <c r="D372" i="54" s="1"/>
  <c r="C77" i="67"/>
  <c r="C78" i="67" s="1"/>
  <c r="C39" i="67"/>
  <c r="C364" i="54"/>
  <c r="C366" i="54"/>
  <c r="C75" i="59"/>
  <c r="C76" i="59" s="1"/>
  <c r="G191" i="54"/>
  <c r="F191" i="54"/>
  <c r="C35" i="59"/>
  <c r="C355" i="54"/>
  <c r="C372" i="54" s="1"/>
  <c r="B191" i="54"/>
  <c r="F193" i="54"/>
  <c r="G193" i="54"/>
  <c r="C191" i="54"/>
  <c r="B191" i="46"/>
  <c r="B193" i="46"/>
  <c r="G191" i="46"/>
  <c r="F191" i="46"/>
  <c r="C191" i="46"/>
  <c r="C366" i="46"/>
  <c r="C364" i="46"/>
  <c r="C35" i="51"/>
  <c r="C36" i="51" s="1"/>
  <c r="C76" i="51"/>
  <c r="C77" i="51" s="1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73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31" i="10"/>
  <c r="C8" i="3"/>
  <c r="F193" i="46" l="1"/>
  <c r="C358" i="62"/>
  <c r="C349" i="62" s="1"/>
  <c r="U349" i="62"/>
  <c r="C359" i="62"/>
  <c r="D359" i="54"/>
  <c r="A275" i="62"/>
  <c r="F412" i="62" s="1"/>
  <c r="L275" i="54"/>
  <c r="A274" i="54" s="1"/>
  <c r="L275" i="46"/>
  <c r="A274" i="46" s="1"/>
  <c r="C358" i="46"/>
  <c r="D349" i="46" s="1"/>
  <c r="U349" i="46"/>
  <c r="C359" i="46"/>
  <c r="D358" i="54"/>
  <c r="C79" i="67"/>
  <c r="C80" i="67" s="1"/>
  <c r="C358" i="54"/>
  <c r="D372" i="46"/>
  <c r="D359" i="46"/>
  <c r="C40" i="67"/>
  <c r="C359" i="54"/>
  <c r="C77" i="59"/>
  <c r="C36" i="59"/>
  <c r="U349" i="54"/>
  <c r="C78" i="51"/>
  <c r="C37" i="51"/>
  <c r="C38" i="51" s="1"/>
  <c r="D78" i="3"/>
  <c r="P9" i="2"/>
  <c r="P10" i="2"/>
  <c r="P11" i="2"/>
  <c r="P12" i="2"/>
  <c r="O8" i="2"/>
  <c r="O9" i="2"/>
  <c r="O10" i="2"/>
  <c r="O11" i="2"/>
  <c r="N10" i="2"/>
  <c r="N11" i="2"/>
  <c r="N12" i="2"/>
  <c r="M9" i="2"/>
  <c r="M10" i="2"/>
  <c r="M11" i="2"/>
  <c r="L10" i="2"/>
  <c r="K7" i="2"/>
  <c r="K8" i="2"/>
  <c r="K9" i="2"/>
  <c r="K10" i="2"/>
  <c r="J10" i="2"/>
  <c r="F65" i="11"/>
  <c r="E65" i="11"/>
  <c r="F64" i="11"/>
  <c r="E64" i="11"/>
  <c r="F63" i="11"/>
  <c r="E63" i="11"/>
  <c r="F62" i="11"/>
  <c r="E62" i="11"/>
  <c r="F61" i="11"/>
  <c r="E61" i="11"/>
  <c r="F60" i="11"/>
  <c r="E60" i="11"/>
  <c r="F59" i="11"/>
  <c r="E59" i="11"/>
  <c r="F58" i="11"/>
  <c r="E58" i="11"/>
  <c r="F57" i="11"/>
  <c r="E57" i="11"/>
  <c r="F56" i="11"/>
  <c r="E56" i="11"/>
  <c r="F55" i="11"/>
  <c r="E55" i="11"/>
  <c r="F54" i="11"/>
  <c r="E54" i="11"/>
  <c r="F53" i="11"/>
  <c r="E53" i="11"/>
  <c r="F52" i="11"/>
  <c r="E52" i="11"/>
  <c r="F51" i="11"/>
  <c r="E51" i="11"/>
  <c r="F50" i="11"/>
  <c r="E50" i="11"/>
  <c r="F49" i="11"/>
  <c r="E49" i="11"/>
  <c r="F48" i="11"/>
  <c r="E48" i="11"/>
  <c r="F47" i="11"/>
  <c r="E47" i="11"/>
  <c r="F46" i="11"/>
  <c r="E46" i="11"/>
  <c r="F45" i="11"/>
  <c r="E45" i="11"/>
  <c r="F44" i="11"/>
  <c r="E44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C858" i="3"/>
  <c r="D858" i="3" s="1"/>
  <c r="C975" i="3"/>
  <c r="D975" i="3" s="1"/>
  <c r="C991" i="3"/>
  <c r="D991" i="3" s="1"/>
  <c r="D349" i="62" l="1"/>
  <c r="E276" i="62"/>
  <c r="E277" i="62" s="1"/>
  <c r="D281" i="62" s="1"/>
  <c r="D276" i="62"/>
  <c r="D277" i="62" s="1"/>
  <c r="D278" i="62" s="1"/>
  <c r="A275" i="54"/>
  <c r="E412" i="54" s="1"/>
  <c r="C412" i="62"/>
  <c r="D412" i="62"/>
  <c r="E412" i="62"/>
  <c r="A275" i="46"/>
  <c r="E412" i="46" s="1"/>
  <c r="C349" i="46"/>
  <c r="D349" i="54"/>
  <c r="C349" i="54"/>
  <c r="C41" i="67"/>
  <c r="C81" i="67"/>
  <c r="C78" i="59"/>
  <c r="C79" i="59" s="1"/>
  <c r="C37" i="59"/>
  <c r="C39" i="51"/>
  <c r="C79" i="51"/>
  <c r="C80" i="51" s="1"/>
  <c r="C81" i="51" s="1"/>
  <c r="C934" i="3"/>
  <c r="D934" i="3" s="1"/>
  <c r="C899" i="3"/>
  <c r="D899" i="3" s="1"/>
  <c r="C1010" i="3"/>
  <c r="D1010" i="3" s="1"/>
  <c r="C799" i="3"/>
  <c r="D799" i="3" s="1"/>
  <c r="C502" i="3"/>
  <c r="D502" i="3" s="1"/>
  <c r="N535" i="3"/>
  <c r="N536" i="3"/>
  <c r="N537" i="3"/>
  <c r="G535" i="3"/>
  <c r="G536" i="3"/>
  <c r="G537" i="3"/>
  <c r="L535" i="3"/>
  <c r="L536" i="3"/>
  <c r="L537" i="3"/>
  <c r="K535" i="3"/>
  <c r="K536" i="3"/>
  <c r="K537" i="3"/>
  <c r="J535" i="3"/>
  <c r="J536" i="3"/>
  <c r="J537" i="3"/>
  <c r="I535" i="3"/>
  <c r="I536" i="3"/>
  <c r="I537" i="3"/>
  <c r="C529" i="3"/>
  <c r="C530" i="3"/>
  <c r="C531" i="3"/>
  <c r="C532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28" i="3"/>
  <c r="H537" i="3"/>
  <c r="F537" i="3"/>
  <c r="F535" i="3"/>
  <c r="C571" i="3"/>
  <c r="D571" i="3" s="1"/>
  <c r="C570" i="3"/>
  <c r="D570" i="3" s="1"/>
  <c r="M601" i="3"/>
  <c r="M602" i="3"/>
  <c r="M603" i="3"/>
  <c r="L601" i="3"/>
  <c r="L602" i="3"/>
  <c r="L603" i="3"/>
  <c r="K601" i="3"/>
  <c r="K602" i="3"/>
  <c r="K603" i="3"/>
  <c r="J601" i="3"/>
  <c r="J602" i="3"/>
  <c r="J603" i="3"/>
  <c r="I601" i="3"/>
  <c r="I602" i="3"/>
  <c r="I603" i="3"/>
  <c r="H601" i="3"/>
  <c r="H602" i="3"/>
  <c r="H603" i="3"/>
  <c r="G601" i="3"/>
  <c r="G602" i="3"/>
  <c r="G603" i="3"/>
  <c r="C595" i="3"/>
  <c r="C596" i="3"/>
  <c r="C597" i="3"/>
  <c r="C598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594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595" i="3"/>
  <c r="B594" i="3"/>
  <c r="F601" i="3"/>
  <c r="E769" i="3"/>
  <c r="E768" i="3"/>
  <c r="E767" i="3"/>
  <c r="E766" i="3"/>
  <c r="E765" i="3"/>
  <c r="E764" i="3"/>
  <c r="E763" i="3"/>
  <c r="C719" i="3"/>
  <c r="D719" i="3" s="1"/>
  <c r="D276" i="46" l="1"/>
  <c r="D277" i="46" s="1"/>
  <c r="D278" i="46" s="1"/>
  <c r="E276" i="46"/>
  <c r="E277" i="46" s="1"/>
  <c r="E278" i="46" s="1"/>
  <c r="D276" i="54"/>
  <c r="D277" i="54" s="1"/>
  <c r="D278" i="54" s="1"/>
  <c r="E276" i="54"/>
  <c r="E277" i="54" s="1"/>
  <c r="E278" i="54" s="1"/>
  <c r="C281" i="62"/>
  <c r="C282" i="62" s="1"/>
  <c r="C288" i="62" s="1"/>
  <c r="E278" i="62"/>
  <c r="F412" i="54"/>
  <c r="C412" i="54"/>
  <c r="D412" i="54"/>
  <c r="F412" i="46"/>
  <c r="C412" i="46"/>
  <c r="D412" i="46"/>
  <c r="C42" i="67"/>
  <c r="C43" i="67" s="1"/>
  <c r="C44" i="67" s="1"/>
  <c r="C82" i="67"/>
  <c r="C80" i="59"/>
  <c r="C38" i="59"/>
  <c r="C82" i="51"/>
  <c r="C83" i="51" s="1"/>
  <c r="C40" i="51"/>
  <c r="C41" i="51" s="1"/>
  <c r="F536" i="3"/>
  <c r="H535" i="3"/>
  <c r="H536" i="3"/>
  <c r="F603" i="3"/>
  <c r="F602" i="3"/>
  <c r="C281" i="46" l="1"/>
  <c r="C281" i="54"/>
  <c r="D281" i="46"/>
  <c r="D281" i="54"/>
  <c r="C285" i="62"/>
  <c r="D282" i="62"/>
  <c r="D285" i="62" s="1"/>
  <c r="C45" i="67"/>
  <c r="C46" i="67" s="1"/>
  <c r="C47" i="67" s="1"/>
  <c r="C48" i="67" s="1"/>
  <c r="C49" i="67" s="1"/>
  <c r="C50" i="67" s="1"/>
  <c r="C51" i="67" s="1"/>
  <c r="C52" i="67" s="1"/>
  <c r="C53" i="67" s="1"/>
  <c r="C54" i="67" s="1"/>
  <c r="C55" i="67" s="1"/>
  <c r="C56" i="67" s="1"/>
  <c r="C57" i="67" s="1"/>
  <c r="C58" i="67" s="1"/>
  <c r="C84" i="51"/>
  <c r="C85" i="51" s="1"/>
  <c r="C86" i="51" s="1"/>
  <c r="C87" i="51" s="1"/>
  <c r="C88" i="51" s="1"/>
  <c r="C89" i="51" s="1"/>
  <c r="C90" i="51" s="1"/>
  <c r="C91" i="51" s="1"/>
  <c r="C92" i="51" s="1"/>
  <c r="C93" i="51" s="1"/>
  <c r="C94" i="51" s="1"/>
  <c r="C95" i="51" s="1"/>
  <c r="C96" i="51" s="1"/>
  <c r="C97" i="51" s="1"/>
  <c r="C98" i="51" s="1"/>
  <c r="C99" i="51" s="1"/>
  <c r="C100" i="51" s="1"/>
  <c r="C83" i="67"/>
  <c r="C81" i="59"/>
  <c r="C82" i="59" s="1"/>
  <c r="C39" i="59"/>
  <c r="C42" i="51"/>
  <c r="C43" i="51" s="1"/>
  <c r="C44" i="51" s="1"/>
  <c r="C45" i="51" s="1"/>
  <c r="C46" i="51" s="1"/>
  <c r="C47" i="51" s="1"/>
  <c r="C48" i="51" s="1"/>
  <c r="C49" i="51" s="1"/>
  <c r="C50" i="51" s="1"/>
  <c r="C51" i="51" s="1"/>
  <c r="C52" i="51" s="1"/>
  <c r="C53" i="51" s="1"/>
  <c r="C54" i="51" s="1"/>
  <c r="C55" i="51" s="1"/>
  <c r="C56" i="51" s="1"/>
  <c r="C57" i="51" s="1"/>
  <c r="C58" i="51" s="1"/>
  <c r="C632" i="3"/>
  <c r="D632" i="3" s="1"/>
  <c r="C23" i="1"/>
  <c r="C1084" i="3"/>
  <c r="AH433" i="3"/>
  <c r="AR449" i="3"/>
  <c r="D282" i="46" l="1"/>
  <c r="D285" i="46" s="1"/>
  <c r="C282" i="46"/>
  <c r="C288" i="46" s="1"/>
  <c r="D282" i="54"/>
  <c r="D285" i="54" s="1"/>
  <c r="C282" i="54"/>
  <c r="C288" i="54" s="1"/>
  <c r="E285" i="62"/>
  <c r="D288" i="62"/>
  <c r="E288" i="62" s="1"/>
  <c r="C59" i="67"/>
  <c r="C60" i="67" s="1"/>
  <c r="C61" i="67" s="1"/>
  <c r="C62" i="67" s="1"/>
  <c r="C63" i="67" s="1"/>
  <c r="C64" i="67" s="1"/>
  <c r="C65" i="67" s="1"/>
  <c r="C66" i="67" s="1"/>
  <c r="C67" i="67" s="1"/>
  <c r="C68" i="67" s="1"/>
  <c r="C69" i="67" s="1"/>
  <c r="C30" i="67" s="1"/>
  <c r="C129" i="67" s="1"/>
  <c r="D133" i="67" s="1"/>
  <c r="C59" i="51"/>
  <c r="C60" i="51" s="1"/>
  <c r="C61" i="51" s="1"/>
  <c r="C62" i="51" s="1"/>
  <c r="C63" i="51" s="1"/>
  <c r="C64" i="51" s="1"/>
  <c r="C65" i="51" s="1"/>
  <c r="C66" i="51" s="1"/>
  <c r="C67" i="51" s="1"/>
  <c r="C68" i="51" s="1"/>
  <c r="C69" i="51" s="1"/>
  <c r="C30" i="51" s="1"/>
  <c r="C129" i="51" s="1"/>
  <c r="D134" i="51" s="1"/>
  <c r="C84" i="67"/>
  <c r="C85" i="67" s="1"/>
  <c r="C86" i="67" s="1"/>
  <c r="C87" i="67" s="1"/>
  <c r="C88" i="67" s="1"/>
  <c r="C89" i="67" s="1"/>
  <c r="C90" i="67" s="1"/>
  <c r="C91" i="67" s="1"/>
  <c r="C92" i="67" s="1"/>
  <c r="C93" i="67" s="1"/>
  <c r="C94" i="67" s="1"/>
  <c r="C95" i="67" s="1"/>
  <c r="C96" i="67" s="1"/>
  <c r="C97" i="67" s="1"/>
  <c r="C98" i="67" s="1"/>
  <c r="C99" i="67" s="1"/>
  <c r="C100" i="67" s="1"/>
  <c r="C40" i="59"/>
  <c r="C83" i="59"/>
  <c r="C101" i="51"/>
  <c r="C102" i="51" s="1"/>
  <c r="C103" i="51" s="1"/>
  <c r="C104" i="51" s="1"/>
  <c r="C105" i="51" s="1"/>
  <c r="C106" i="51" s="1"/>
  <c r="C107" i="51" s="1"/>
  <c r="C108" i="51" s="1"/>
  <c r="C109" i="51" s="1"/>
  <c r="C110" i="51" s="1"/>
  <c r="C111" i="51" s="1"/>
  <c r="C72" i="51" s="1"/>
  <c r="C135" i="51" s="1"/>
  <c r="B427" i="3"/>
  <c r="D288" i="46" l="1"/>
  <c r="E288" i="46" s="1"/>
  <c r="C285" i="46"/>
  <c r="E285" i="46" s="1"/>
  <c r="D288" i="54"/>
  <c r="E288" i="54" s="1"/>
  <c r="C285" i="54"/>
  <c r="E285" i="54" s="1"/>
  <c r="C293" i="62"/>
  <c r="F293" i="62" s="1"/>
  <c r="G351" i="62" s="1"/>
  <c r="G357" i="62" s="1"/>
  <c r="G374" i="62" s="1"/>
  <c r="D134" i="67"/>
  <c r="M134" i="67" s="1"/>
  <c r="D132" i="67"/>
  <c r="M132" i="67" s="1"/>
  <c r="D130" i="67"/>
  <c r="J130" i="67" s="1"/>
  <c r="D131" i="67"/>
  <c r="N131" i="67" s="1"/>
  <c r="D132" i="51"/>
  <c r="E132" i="51" s="1"/>
  <c r="D131" i="51"/>
  <c r="E131" i="51" s="1"/>
  <c r="D130" i="51"/>
  <c r="J130" i="51" s="1"/>
  <c r="D133" i="51"/>
  <c r="F133" i="51" s="1"/>
  <c r="E133" i="67"/>
  <c r="O133" i="67"/>
  <c r="R133" i="67" s="1"/>
  <c r="F133" i="67"/>
  <c r="G133" i="67"/>
  <c r="I133" i="67"/>
  <c r="H133" i="67"/>
  <c r="M133" i="67"/>
  <c r="L133" i="67"/>
  <c r="J133" i="67"/>
  <c r="N133" i="67"/>
  <c r="C101" i="67"/>
  <c r="C102" i="67" s="1"/>
  <c r="C103" i="67" s="1"/>
  <c r="C104" i="67" s="1"/>
  <c r="C105" i="67" s="1"/>
  <c r="C106" i="67" s="1"/>
  <c r="C107" i="67" s="1"/>
  <c r="C108" i="67" s="1"/>
  <c r="C109" i="67" s="1"/>
  <c r="C110" i="67" s="1"/>
  <c r="C111" i="67" s="1"/>
  <c r="C72" i="67" s="1"/>
  <c r="C135" i="67" s="1"/>
  <c r="C41" i="59"/>
  <c r="C84" i="59"/>
  <c r="C85" i="59" s="1"/>
  <c r="C86" i="59" s="1"/>
  <c r="C87" i="59" s="1"/>
  <c r="C88" i="59" s="1"/>
  <c r="C89" i="59" s="1"/>
  <c r="C90" i="59" s="1"/>
  <c r="C91" i="59" s="1"/>
  <c r="C92" i="59" s="1"/>
  <c r="C93" i="59" s="1"/>
  <c r="C94" i="59" s="1"/>
  <c r="C95" i="59" s="1"/>
  <c r="C96" i="59" s="1"/>
  <c r="C97" i="59" s="1"/>
  <c r="C98" i="59" s="1"/>
  <c r="C99" i="59" s="1"/>
  <c r="C100" i="59" s="1"/>
  <c r="D140" i="51"/>
  <c r="D137" i="51"/>
  <c r="D138" i="51"/>
  <c r="D139" i="51"/>
  <c r="D136" i="51"/>
  <c r="H134" i="51"/>
  <c r="G134" i="51"/>
  <c r="F134" i="51"/>
  <c r="E134" i="51"/>
  <c r="J134" i="51"/>
  <c r="O134" i="51"/>
  <c r="R134" i="51" s="1"/>
  <c r="I134" i="51"/>
  <c r="M134" i="51"/>
  <c r="L134" i="51"/>
  <c r="N134" i="51"/>
  <c r="E238" i="3"/>
  <c r="E242" i="3" s="1"/>
  <c r="C238" i="3"/>
  <c r="G368" i="62" l="1"/>
  <c r="G352" i="62"/>
  <c r="G366" i="62" s="1"/>
  <c r="E131" i="67"/>
  <c r="H132" i="51"/>
  <c r="M132" i="51"/>
  <c r="N132" i="51"/>
  <c r="M131" i="67"/>
  <c r="I132" i="51"/>
  <c r="G130" i="67"/>
  <c r="H130" i="67"/>
  <c r="I130" i="67"/>
  <c r="G132" i="51"/>
  <c r="O134" i="67"/>
  <c r="R134" i="67" s="1"/>
  <c r="F132" i="67"/>
  <c r="E132" i="67"/>
  <c r="N132" i="67"/>
  <c r="C293" i="46"/>
  <c r="F293" i="46" s="1"/>
  <c r="G351" i="46" s="1"/>
  <c r="G357" i="46" s="1"/>
  <c r="G374" i="46" s="1"/>
  <c r="G132" i="67"/>
  <c r="J134" i="67"/>
  <c r="L134" i="67"/>
  <c r="O132" i="67"/>
  <c r="R132" i="67" s="1"/>
  <c r="G134" i="67"/>
  <c r="H132" i="67"/>
  <c r="H134" i="67"/>
  <c r="J132" i="67"/>
  <c r="I132" i="67"/>
  <c r="L132" i="67"/>
  <c r="I131" i="67"/>
  <c r="J131" i="67"/>
  <c r="O131" i="67"/>
  <c r="R131" i="67" s="1"/>
  <c r="F131" i="67"/>
  <c r="H131" i="67"/>
  <c r="G131" i="67"/>
  <c r="M130" i="67"/>
  <c r="F130" i="67"/>
  <c r="E130" i="67"/>
  <c r="L130" i="67"/>
  <c r="F132" i="51"/>
  <c r="N130" i="67"/>
  <c r="N134" i="67"/>
  <c r="O130" i="67"/>
  <c r="R130" i="67" s="1"/>
  <c r="J133" i="51"/>
  <c r="O133" i="51"/>
  <c r="R133" i="51" s="1"/>
  <c r="F134" i="67"/>
  <c r="O132" i="51"/>
  <c r="R132" i="51" s="1"/>
  <c r="E134" i="67"/>
  <c r="J132" i="51"/>
  <c r="L131" i="67"/>
  <c r="I134" i="67"/>
  <c r="L132" i="51"/>
  <c r="F131" i="51"/>
  <c r="L131" i="51"/>
  <c r="F130" i="51"/>
  <c r="N130" i="51"/>
  <c r="H131" i="51"/>
  <c r="G133" i="51"/>
  <c r="H133" i="51"/>
  <c r="I133" i="51"/>
  <c r="L130" i="51"/>
  <c r="L133" i="51"/>
  <c r="N133" i="51"/>
  <c r="E130" i="51"/>
  <c r="O131" i="51"/>
  <c r="R131" i="51" s="1"/>
  <c r="M133" i="51"/>
  <c r="I130" i="51"/>
  <c r="M131" i="51"/>
  <c r="E133" i="51"/>
  <c r="C293" i="54"/>
  <c r="F293" i="54" s="1"/>
  <c r="G351" i="54" s="1"/>
  <c r="G357" i="54" s="1"/>
  <c r="G374" i="54" s="1"/>
  <c r="G130" i="51"/>
  <c r="I131" i="51"/>
  <c r="O130" i="51"/>
  <c r="R130" i="51" s="1"/>
  <c r="J131" i="51"/>
  <c r="G131" i="51"/>
  <c r="M130" i="51"/>
  <c r="N131" i="51"/>
  <c r="H130" i="51"/>
  <c r="D138" i="67"/>
  <c r="D140" i="67"/>
  <c r="D136" i="67"/>
  <c r="D137" i="67"/>
  <c r="D139" i="67"/>
  <c r="C101" i="59"/>
  <c r="C102" i="59" s="1"/>
  <c r="C103" i="59" s="1"/>
  <c r="C104" i="59" s="1"/>
  <c r="C105" i="59" s="1"/>
  <c r="C106" i="59" s="1"/>
  <c r="C107" i="59" s="1"/>
  <c r="C108" i="59" s="1"/>
  <c r="C109" i="59" s="1"/>
  <c r="C110" i="59" s="1"/>
  <c r="C111" i="59" s="1"/>
  <c r="C72" i="59" s="1"/>
  <c r="C135" i="59" s="1"/>
  <c r="C42" i="59"/>
  <c r="C43" i="59" s="1"/>
  <c r="C44" i="59" s="1"/>
  <c r="C45" i="59" s="1"/>
  <c r="C46" i="59" s="1"/>
  <c r="C47" i="59" s="1"/>
  <c r="C48" i="59" s="1"/>
  <c r="C49" i="59" s="1"/>
  <c r="C50" i="59" s="1"/>
  <c r="C51" i="59" s="1"/>
  <c r="C52" i="59" s="1"/>
  <c r="C53" i="59" s="1"/>
  <c r="C54" i="59" s="1"/>
  <c r="C55" i="59" s="1"/>
  <c r="C56" i="59" s="1"/>
  <c r="C57" i="59" s="1"/>
  <c r="C58" i="59" s="1"/>
  <c r="F136" i="51"/>
  <c r="N136" i="51"/>
  <c r="M136" i="51"/>
  <c r="L136" i="51"/>
  <c r="J136" i="51"/>
  <c r="I136" i="51"/>
  <c r="H136" i="51"/>
  <c r="E136" i="51"/>
  <c r="O136" i="51"/>
  <c r="R136" i="51" s="1"/>
  <c r="G136" i="51"/>
  <c r="J140" i="51"/>
  <c r="F140" i="51"/>
  <c r="E140" i="51"/>
  <c r="O140" i="51"/>
  <c r="R140" i="51" s="1"/>
  <c r="N140" i="51"/>
  <c r="L140" i="51"/>
  <c r="H140" i="51"/>
  <c r="G140" i="51"/>
  <c r="M140" i="51"/>
  <c r="I140" i="51"/>
  <c r="N138" i="51"/>
  <c r="J138" i="51"/>
  <c r="M138" i="51"/>
  <c r="L138" i="51"/>
  <c r="H138" i="51"/>
  <c r="G138" i="51"/>
  <c r="F138" i="51"/>
  <c r="O138" i="51"/>
  <c r="R138" i="51" s="1"/>
  <c r="I138" i="51"/>
  <c r="E138" i="51"/>
  <c r="J137" i="51"/>
  <c r="F137" i="51"/>
  <c r="H137" i="51"/>
  <c r="G137" i="51"/>
  <c r="N137" i="51"/>
  <c r="L137" i="51"/>
  <c r="I137" i="51"/>
  <c r="E137" i="51"/>
  <c r="O137" i="51"/>
  <c r="R137" i="51" s="1"/>
  <c r="M137" i="51"/>
  <c r="F139" i="51"/>
  <c r="N139" i="51"/>
  <c r="J139" i="51"/>
  <c r="H139" i="51"/>
  <c r="G139" i="51"/>
  <c r="E139" i="51"/>
  <c r="L139" i="51"/>
  <c r="I139" i="51"/>
  <c r="O139" i="51"/>
  <c r="R139" i="51" s="1"/>
  <c r="M139" i="51"/>
  <c r="B370" i="3"/>
  <c r="B369" i="3"/>
  <c r="B368" i="3"/>
  <c r="G359" i="62" l="1"/>
  <c r="N348" i="62" s="1"/>
  <c r="U238" i="62" s="1"/>
  <c r="G358" i="62"/>
  <c r="G352" i="46"/>
  <c r="G366" i="46" s="1"/>
  <c r="G368" i="46"/>
  <c r="L129" i="67"/>
  <c r="P130" i="67" s="1"/>
  <c r="L129" i="51"/>
  <c r="K130" i="51" s="1"/>
  <c r="G368" i="54"/>
  <c r="G352" i="54"/>
  <c r="G366" i="54" s="1"/>
  <c r="J137" i="67"/>
  <c r="I137" i="67"/>
  <c r="H137" i="67"/>
  <c r="F137" i="67"/>
  <c r="N137" i="67"/>
  <c r="L137" i="67"/>
  <c r="G137" i="67"/>
  <c r="O137" i="67"/>
  <c r="R137" i="67" s="1"/>
  <c r="M137" i="67"/>
  <c r="E137" i="67"/>
  <c r="F136" i="67"/>
  <c r="E136" i="67"/>
  <c r="N136" i="67"/>
  <c r="L136" i="67"/>
  <c r="O136" i="67"/>
  <c r="R136" i="67" s="1"/>
  <c r="M136" i="67"/>
  <c r="G136" i="67"/>
  <c r="I136" i="67"/>
  <c r="H136" i="67"/>
  <c r="J136" i="67"/>
  <c r="J140" i="67"/>
  <c r="I140" i="67"/>
  <c r="F140" i="67"/>
  <c r="G140" i="67"/>
  <c r="L140" i="67"/>
  <c r="O140" i="67"/>
  <c r="R140" i="67" s="1"/>
  <c r="E140" i="67"/>
  <c r="H140" i="67"/>
  <c r="M140" i="67"/>
  <c r="N140" i="67"/>
  <c r="N138" i="67"/>
  <c r="M138" i="67"/>
  <c r="E138" i="67"/>
  <c r="O138" i="67"/>
  <c r="R138" i="67" s="1"/>
  <c r="L138" i="67"/>
  <c r="H138" i="67"/>
  <c r="G138" i="67"/>
  <c r="F138" i="67"/>
  <c r="J138" i="67"/>
  <c r="I138" i="67"/>
  <c r="F139" i="67"/>
  <c r="E139" i="67"/>
  <c r="L139" i="67"/>
  <c r="J139" i="67"/>
  <c r="M139" i="67"/>
  <c r="N139" i="67"/>
  <c r="I139" i="67"/>
  <c r="O139" i="67"/>
  <c r="R139" i="67" s="1"/>
  <c r="G139" i="67"/>
  <c r="H139" i="67"/>
  <c r="D136" i="59"/>
  <c r="D139" i="59"/>
  <c r="D137" i="59"/>
  <c r="D138" i="59"/>
  <c r="D140" i="59"/>
  <c r="C59" i="59"/>
  <c r="C60" i="59" s="1"/>
  <c r="C61" i="59" s="1"/>
  <c r="C62" i="59" s="1"/>
  <c r="C63" i="59" s="1"/>
  <c r="C64" i="59" s="1"/>
  <c r="C65" i="59" s="1"/>
  <c r="C66" i="59" s="1"/>
  <c r="C67" i="59" s="1"/>
  <c r="C68" i="59" s="1"/>
  <c r="C69" i="59" s="1"/>
  <c r="C30" i="59" s="1"/>
  <c r="C129" i="59" s="1"/>
  <c r="L135" i="51"/>
  <c r="P136" i="51" s="1"/>
  <c r="D375" i="3"/>
  <c r="I375" i="3"/>
  <c r="H375" i="3"/>
  <c r="G375" i="3"/>
  <c r="F375" i="3"/>
  <c r="I322" i="3"/>
  <c r="I321" i="3"/>
  <c r="I320" i="3"/>
  <c r="I319" i="3"/>
  <c r="I318" i="3"/>
  <c r="I317" i="3"/>
  <c r="I316" i="3"/>
  <c r="I309" i="3"/>
  <c r="I310" i="3"/>
  <c r="I311" i="3"/>
  <c r="I312" i="3"/>
  <c r="I313" i="3"/>
  <c r="I314" i="3"/>
  <c r="I308" i="3"/>
  <c r="M348" i="62" l="1"/>
  <c r="U227" i="62" s="1"/>
  <c r="G358" i="46"/>
  <c r="G359" i="46"/>
  <c r="P134" i="67"/>
  <c r="K131" i="67"/>
  <c r="P132" i="67"/>
  <c r="K132" i="67"/>
  <c r="K133" i="67"/>
  <c r="P133" i="67"/>
  <c r="K130" i="67"/>
  <c r="K134" i="67"/>
  <c r="P131" i="67"/>
  <c r="P133" i="51"/>
  <c r="K140" i="51"/>
  <c r="K136" i="51"/>
  <c r="P132" i="51"/>
  <c r="G359" i="54"/>
  <c r="M348" i="54" s="1"/>
  <c r="U227" i="54" s="1"/>
  <c r="P134" i="51"/>
  <c r="K131" i="51"/>
  <c r="G358" i="54"/>
  <c r="K132" i="51"/>
  <c r="K134" i="51"/>
  <c r="P130" i="51"/>
  <c r="K133" i="51"/>
  <c r="P131" i="51"/>
  <c r="L135" i="67"/>
  <c r="P139" i="67" s="1"/>
  <c r="D134" i="59"/>
  <c r="D132" i="59"/>
  <c r="D131" i="59"/>
  <c r="D133" i="59"/>
  <c r="D130" i="59"/>
  <c r="F140" i="59"/>
  <c r="O140" i="59"/>
  <c r="R140" i="59" s="1"/>
  <c r="M140" i="59"/>
  <c r="J140" i="59"/>
  <c r="G140" i="59"/>
  <c r="E140" i="59"/>
  <c r="H140" i="59"/>
  <c r="N140" i="59"/>
  <c r="L140" i="59"/>
  <c r="I140" i="59"/>
  <c r="J138" i="59"/>
  <c r="N138" i="59"/>
  <c r="L138" i="59"/>
  <c r="G138" i="59"/>
  <c r="M138" i="59"/>
  <c r="I138" i="59"/>
  <c r="F138" i="59"/>
  <c r="O138" i="59"/>
  <c r="R138" i="59" s="1"/>
  <c r="H138" i="59"/>
  <c r="E138" i="59"/>
  <c r="F137" i="59"/>
  <c r="J137" i="59"/>
  <c r="H137" i="59"/>
  <c r="E137" i="59"/>
  <c r="I137" i="59"/>
  <c r="M137" i="59"/>
  <c r="L137" i="59"/>
  <c r="G137" i="59"/>
  <c r="N137" i="59"/>
  <c r="O137" i="59"/>
  <c r="R137" i="59" s="1"/>
  <c r="N139" i="59"/>
  <c r="I139" i="59"/>
  <c r="G139" i="59"/>
  <c r="E139" i="59"/>
  <c r="H139" i="59"/>
  <c r="O139" i="59"/>
  <c r="R139" i="59" s="1"/>
  <c r="L139" i="59"/>
  <c r="J139" i="59"/>
  <c r="F139" i="59"/>
  <c r="M139" i="59"/>
  <c r="N136" i="59"/>
  <c r="O136" i="59"/>
  <c r="R136" i="59" s="1"/>
  <c r="L136" i="59"/>
  <c r="H136" i="59"/>
  <c r="E136" i="59"/>
  <c r="G136" i="59"/>
  <c r="F136" i="59"/>
  <c r="M136" i="59"/>
  <c r="J136" i="59"/>
  <c r="I136" i="59"/>
  <c r="K139" i="51"/>
  <c r="P137" i="51"/>
  <c r="P138" i="51"/>
  <c r="K137" i="51"/>
  <c r="P139" i="51"/>
  <c r="K138" i="51"/>
  <c r="P140" i="51"/>
  <c r="D287" i="3"/>
  <c r="W7" i="7"/>
  <c r="V7" i="7"/>
  <c r="U7" i="7"/>
  <c r="Q7" i="7"/>
  <c r="P7" i="7"/>
  <c r="O7" i="7"/>
  <c r="N7" i="7"/>
  <c r="T8" i="7"/>
  <c r="T7" i="7"/>
  <c r="Q13" i="7"/>
  <c r="P13" i="7"/>
  <c r="O13" i="7"/>
  <c r="N13" i="7"/>
  <c r="Q12" i="7"/>
  <c r="P12" i="7"/>
  <c r="O12" i="7"/>
  <c r="N12" i="7"/>
  <c r="Q11" i="7"/>
  <c r="P11" i="7"/>
  <c r="O11" i="7"/>
  <c r="N11" i="7"/>
  <c r="Q10" i="7"/>
  <c r="P10" i="7"/>
  <c r="O10" i="7"/>
  <c r="N10" i="7"/>
  <c r="Q9" i="7"/>
  <c r="P9" i="7"/>
  <c r="O9" i="7"/>
  <c r="N9" i="7"/>
  <c r="Q8" i="7"/>
  <c r="P8" i="7"/>
  <c r="O8" i="7"/>
  <c r="N8" i="7"/>
  <c r="H239" i="3"/>
  <c r="M348" i="46" l="1"/>
  <c r="U227" i="46" s="1"/>
  <c r="N348" i="46"/>
  <c r="U238" i="46" s="1"/>
  <c r="K129" i="67"/>
  <c r="Q132" i="67" s="1"/>
  <c r="S132" i="67" s="1"/>
  <c r="N348" i="54"/>
  <c r="U238" i="54" s="1"/>
  <c r="K129" i="51"/>
  <c r="P140" i="67"/>
  <c r="K139" i="67"/>
  <c r="P136" i="67"/>
  <c r="K136" i="67"/>
  <c r="P138" i="67"/>
  <c r="K138" i="67"/>
  <c r="P137" i="67"/>
  <c r="K140" i="67"/>
  <c r="K137" i="67"/>
  <c r="M133" i="59"/>
  <c r="G133" i="59"/>
  <c r="F133" i="59"/>
  <c r="O133" i="59"/>
  <c r="R133" i="59" s="1"/>
  <c r="N133" i="59"/>
  <c r="E133" i="59"/>
  <c r="L133" i="59"/>
  <c r="H133" i="59"/>
  <c r="J133" i="59"/>
  <c r="I133" i="59"/>
  <c r="L135" i="59"/>
  <c r="K140" i="59" s="1"/>
  <c r="E130" i="59"/>
  <c r="G130" i="59"/>
  <c r="O130" i="59"/>
  <c r="R130" i="59" s="1"/>
  <c r="N130" i="59"/>
  <c r="M130" i="59"/>
  <c r="J130" i="59"/>
  <c r="I130" i="59"/>
  <c r="L130" i="59"/>
  <c r="F130" i="59"/>
  <c r="H130" i="59"/>
  <c r="M131" i="59"/>
  <c r="F131" i="59"/>
  <c r="O131" i="59"/>
  <c r="R131" i="59" s="1"/>
  <c r="N131" i="59"/>
  <c r="I131" i="59"/>
  <c r="E131" i="59"/>
  <c r="L131" i="59"/>
  <c r="H131" i="59"/>
  <c r="J131" i="59"/>
  <c r="G131" i="59"/>
  <c r="I132" i="59"/>
  <c r="E132" i="59"/>
  <c r="N132" i="59"/>
  <c r="M132" i="59"/>
  <c r="L132" i="59"/>
  <c r="J132" i="59"/>
  <c r="H132" i="59"/>
  <c r="G132" i="59"/>
  <c r="F132" i="59"/>
  <c r="O132" i="59"/>
  <c r="R132" i="59" s="1"/>
  <c r="L134" i="59"/>
  <c r="O134" i="59"/>
  <c r="R134" i="59" s="1"/>
  <c r="J134" i="59"/>
  <c r="I134" i="59"/>
  <c r="G134" i="59"/>
  <c r="F134" i="59"/>
  <c r="M134" i="59"/>
  <c r="H134" i="59"/>
  <c r="E134" i="59"/>
  <c r="N134" i="59"/>
  <c r="K135" i="51"/>
  <c r="Q137" i="51" s="1"/>
  <c r="S137" i="51" s="1"/>
  <c r="C1062" i="3"/>
  <c r="K75" i="5"/>
  <c r="J75" i="5"/>
  <c r="I75" i="5"/>
  <c r="H75" i="5"/>
  <c r="G75" i="5"/>
  <c r="F75" i="5"/>
  <c r="E75" i="5"/>
  <c r="K74" i="5"/>
  <c r="J74" i="5"/>
  <c r="I74" i="5"/>
  <c r="H74" i="5"/>
  <c r="G74" i="5"/>
  <c r="F74" i="5"/>
  <c r="E74" i="5"/>
  <c r="K73" i="5"/>
  <c r="J73" i="5"/>
  <c r="I73" i="5"/>
  <c r="H73" i="5"/>
  <c r="G73" i="5"/>
  <c r="F73" i="5"/>
  <c r="E73" i="5"/>
  <c r="K72" i="5"/>
  <c r="J72" i="5"/>
  <c r="I72" i="5"/>
  <c r="H72" i="5"/>
  <c r="G72" i="5"/>
  <c r="F72" i="5"/>
  <c r="E72" i="5"/>
  <c r="K71" i="5"/>
  <c r="J71" i="5"/>
  <c r="I71" i="5"/>
  <c r="H71" i="5"/>
  <c r="G71" i="5"/>
  <c r="F71" i="5"/>
  <c r="E71" i="5"/>
  <c r="K70" i="5"/>
  <c r="J70" i="5"/>
  <c r="I70" i="5"/>
  <c r="H70" i="5"/>
  <c r="G70" i="5"/>
  <c r="F70" i="5"/>
  <c r="E70" i="5"/>
  <c r="K69" i="5"/>
  <c r="J69" i="5"/>
  <c r="I69" i="5"/>
  <c r="H69" i="5"/>
  <c r="G69" i="5"/>
  <c r="F69" i="5"/>
  <c r="E69" i="5"/>
  <c r="K68" i="5"/>
  <c r="J68" i="5"/>
  <c r="I68" i="5"/>
  <c r="H68" i="5"/>
  <c r="G68" i="5"/>
  <c r="F68" i="5"/>
  <c r="E68" i="5"/>
  <c r="K67" i="5"/>
  <c r="J67" i="5"/>
  <c r="I67" i="5"/>
  <c r="H67" i="5"/>
  <c r="G67" i="5"/>
  <c r="F67" i="5"/>
  <c r="E67" i="5"/>
  <c r="K66" i="5"/>
  <c r="J66" i="5"/>
  <c r="I66" i="5"/>
  <c r="H66" i="5"/>
  <c r="G66" i="5"/>
  <c r="F66" i="5"/>
  <c r="E66" i="5"/>
  <c r="K65" i="5"/>
  <c r="J65" i="5"/>
  <c r="I65" i="5"/>
  <c r="H65" i="5"/>
  <c r="G65" i="5"/>
  <c r="F65" i="5"/>
  <c r="E65" i="5"/>
  <c r="K64" i="5"/>
  <c r="J64" i="5"/>
  <c r="I64" i="5"/>
  <c r="H64" i="5"/>
  <c r="G64" i="5"/>
  <c r="F64" i="5"/>
  <c r="E64" i="5"/>
  <c r="K63" i="5"/>
  <c r="J63" i="5"/>
  <c r="I63" i="5"/>
  <c r="H63" i="5"/>
  <c r="G63" i="5"/>
  <c r="F63" i="5"/>
  <c r="E63" i="5"/>
  <c r="K62" i="5"/>
  <c r="J62" i="5"/>
  <c r="I62" i="5"/>
  <c r="H62" i="5"/>
  <c r="G62" i="5"/>
  <c r="F62" i="5"/>
  <c r="E62" i="5"/>
  <c r="K61" i="5"/>
  <c r="J61" i="5"/>
  <c r="I61" i="5"/>
  <c r="H61" i="5"/>
  <c r="G61" i="5"/>
  <c r="F61" i="5"/>
  <c r="E61" i="5"/>
  <c r="K60" i="5"/>
  <c r="J60" i="5"/>
  <c r="I60" i="5"/>
  <c r="H60" i="5"/>
  <c r="G60" i="5"/>
  <c r="F60" i="5"/>
  <c r="E60" i="5"/>
  <c r="K59" i="5"/>
  <c r="J59" i="5"/>
  <c r="I59" i="5"/>
  <c r="H59" i="5"/>
  <c r="G59" i="5"/>
  <c r="F59" i="5"/>
  <c r="E59" i="5"/>
  <c r="K58" i="5"/>
  <c r="J58" i="5"/>
  <c r="I58" i="5"/>
  <c r="H58" i="5"/>
  <c r="G58" i="5"/>
  <c r="F58" i="5"/>
  <c r="E58" i="5"/>
  <c r="K57" i="5"/>
  <c r="J57" i="5"/>
  <c r="I57" i="5"/>
  <c r="H57" i="5"/>
  <c r="G57" i="5"/>
  <c r="F57" i="5"/>
  <c r="E57" i="5"/>
  <c r="M56" i="5"/>
  <c r="E56" i="5" s="1"/>
  <c r="K56" i="5"/>
  <c r="J56" i="5"/>
  <c r="I56" i="5"/>
  <c r="H56" i="5"/>
  <c r="G56" i="5"/>
  <c r="F56" i="5"/>
  <c r="M55" i="5"/>
  <c r="K55" i="5"/>
  <c r="J55" i="5"/>
  <c r="I55" i="5"/>
  <c r="H55" i="5"/>
  <c r="G55" i="5"/>
  <c r="F55" i="5"/>
  <c r="E55" i="5"/>
  <c r="M54" i="5"/>
  <c r="E54" i="5" s="1"/>
  <c r="K54" i="5"/>
  <c r="J54" i="5"/>
  <c r="I54" i="5"/>
  <c r="H54" i="5"/>
  <c r="G54" i="5"/>
  <c r="F54" i="5"/>
  <c r="M53" i="5"/>
  <c r="E53" i="5" s="1"/>
  <c r="K53" i="5"/>
  <c r="J53" i="5"/>
  <c r="I53" i="5"/>
  <c r="H53" i="5"/>
  <c r="G53" i="5"/>
  <c r="F53" i="5"/>
  <c r="M52" i="5"/>
  <c r="E52" i="5" s="1"/>
  <c r="K52" i="5"/>
  <c r="J52" i="5"/>
  <c r="I52" i="5"/>
  <c r="H52" i="5"/>
  <c r="G52" i="5"/>
  <c r="F52" i="5"/>
  <c r="M51" i="5"/>
  <c r="E51" i="5" s="1"/>
  <c r="K51" i="5"/>
  <c r="J51" i="5"/>
  <c r="I51" i="5"/>
  <c r="H51" i="5"/>
  <c r="G51" i="5"/>
  <c r="F51" i="5"/>
  <c r="M50" i="5"/>
  <c r="E50" i="5" s="1"/>
  <c r="K50" i="5"/>
  <c r="J50" i="5"/>
  <c r="I50" i="5"/>
  <c r="H50" i="5"/>
  <c r="G50" i="5"/>
  <c r="F50" i="5"/>
  <c r="M49" i="5"/>
  <c r="E49" i="5" s="1"/>
  <c r="K49" i="5"/>
  <c r="J49" i="5"/>
  <c r="I49" i="5"/>
  <c r="H49" i="5"/>
  <c r="G49" i="5"/>
  <c r="F49" i="5"/>
  <c r="M48" i="5"/>
  <c r="E48" i="5" s="1"/>
  <c r="K48" i="5"/>
  <c r="J48" i="5"/>
  <c r="I48" i="5"/>
  <c r="H48" i="5"/>
  <c r="G48" i="5"/>
  <c r="F48" i="5"/>
  <c r="M47" i="5"/>
  <c r="E47" i="5" s="1"/>
  <c r="K47" i="5"/>
  <c r="J47" i="5"/>
  <c r="I47" i="5"/>
  <c r="H47" i="5"/>
  <c r="G47" i="5"/>
  <c r="F47" i="5"/>
  <c r="M46" i="5"/>
  <c r="E46" i="5" s="1"/>
  <c r="K46" i="5"/>
  <c r="J46" i="5"/>
  <c r="I46" i="5"/>
  <c r="H46" i="5"/>
  <c r="G46" i="5"/>
  <c r="F46" i="5"/>
  <c r="M45" i="5"/>
  <c r="E45" i="5" s="1"/>
  <c r="K45" i="5"/>
  <c r="J45" i="5"/>
  <c r="I45" i="5"/>
  <c r="H45" i="5"/>
  <c r="G45" i="5"/>
  <c r="F45" i="5"/>
  <c r="M44" i="5"/>
  <c r="E44" i="5" s="1"/>
  <c r="K44" i="5"/>
  <c r="J44" i="5"/>
  <c r="I44" i="5"/>
  <c r="H44" i="5"/>
  <c r="G44" i="5"/>
  <c r="F44" i="5"/>
  <c r="M43" i="5"/>
  <c r="E43" i="5" s="1"/>
  <c r="K43" i="5"/>
  <c r="J43" i="5"/>
  <c r="I43" i="5"/>
  <c r="H43" i="5"/>
  <c r="G43" i="5"/>
  <c r="F43" i="5"/>
  <c r="M42" i="5"/>
  <c r="E42" i="5" s="1"/>
  <c r="K42" i="5"/>
  <c r="J42" i="5"/>
  <c r="I42" i="5"/>
  <c r="H42" i="5"/>
  <c r="G42" i="5"/>
  <c r="F42" i="5"/>
  <c r="M41" i="5"/>
  <c r="K41" i="5"/>
  <c r="J41" i="5"/>
  <c r="I41" i="5"/>
  <c r="H41" i="5"/>
  <c r="G41" i="5"/>
  <c r="F41" i="5"/>
  <c r="E41" i="5"/>
  <c r="M40" i="5"/>
  <c r="E40" i="5" s="1"/>
  <c r="K40" i="5"/>
  <c r="J40" i="5"/>
  <c r="I40" i="5"/>
  <c r="H40" i="5"/>
  <c r="G40" i="5"/>
  <c r="F40" i="5"/>
  <c r="M39" i="5"/>
  <c r="E39" i="5" s="1"/>
  <c r="K39" i="5"/>
  <c r="J39" i="5"/>
  <c r="I39" i="5"/>
  <c r="H39" i="5"/>
  <c r="G39" i="5"/>
  <c r="F39" i="5"/>
  <c r="M38" i="5"/>
  <c r="E38" i="5" s="1"/>
  <c r="K38" i="5"/>
  <c r="J38" i="5"/>
  <c r="I38" i="5"/>
  <c r="H38" i="5"/>
  <c r="G38" i="5"/>
  <c r="F38" i="5"/>
  <c r="M37" i="5"/>
  <c r="E37" i="5" s="1"/>
  <c r="K37" i="5"/>
  <c r="J37" i="5"/>
  <c r="I37" i="5"/>
  <c r="H37" i="5"/>
  <c r="G37" i="5"/>
  <c r="F37" i="5"/>
  <c r="M36" i="5"/>
  <c r="E36" i="5" s="1"/>
  <c r="K36" i="5"/>
  <c r="J36" i="5"/>
  <c r="I36" i="5"/>
  <c r="H36" i="5"/>
  <c r="G36" i="5"/>
  <c r="F36" i="5"/>
  <c r="M35" i="5"/>
  <c r="E35" i="5" s="1"/>
  <c r="K35" i="5"/>
  <c r="J35" i="5"/>
  <c r="I35" i="5"/>
  <c r="H35" i="5"/>
  <c r="G35" i="5"/>
  <c r="F35" i="5"/>
  <c r="K15" i="5"/>
  <c r="J15" i="5"/>
  <c r="H15" i="5"/>
  <c r="G15" i="5"/>
  <c r="C16" i="3"/>
  <c r="A136" i="3" s="1"/>
  <c r="C17" i="3"/>
  <c r="D159" i="10" s="1"/>
  <c r="Q134" i="67" l="1"/>
  <c r="S134" i="67" s="1"/>
  <c r="Q133" i="67"/>
  <c r="S133" i="67" s="1"/>
  <c r="Q130" i="67"/>
  <c r="S130" i="67" s="1"/>
  <c r="Q131" i="67"/>
  <c r="S131" i="67" s="1"/>
  <c r="Q138" i="51"/>
  <c r="S138" i="51" s="1"/>
  <c r="Q130" i="51"/>
  <c r="S130" i="51" s="1"/>
  <c r="Q134" i="51"/>
  <c r="S134" i="51" s="1"/>
  <c r="Q132" i="51"/>
  <c r="S132" i="51" s="1"/>
  <c r="L129" i="59"/>
  <c r="K132" i="59" s="1"/>
  <c r="Q131" i="51"/>
  <c r="S131" i="51" s="1"/>
  <c r="Q133" i="51"/>
  <c r="S133" i="51" s="1"/>
  <c r="Q139" i="51"/>
  <c r="S139" i="51" s="1"/>
  <c r="K135" i="67"/>
  <c r="Q137" i="67" s="1"/>
  <c r="S137" i="67" s="1"/>
  <c r="P139" i="59"/>
  <c r="P140" i="59"/>
  <c r="P136" i="59"/>
  <c r="K138" i="59"/>
  <c r="K136" i="59"/>
  <c r="K137" i="59"/>
  <c r="P137" i="59"/>
  <c r="K139" i="59"/>
  <c r="P138" i="59"/>
  <c r="Q140" i="51"/>
  <c r="S140" i="51" s="1"/>
  <c r="Q136" i="51"/>
  <c r="S136" i="51" s="1"/>
  <c r="C81" i="5"/>
  <c r="A135" i="3"/>
  <c r="A133" i="3"/>
  <c r="A134" i="3"/>
  <c r="C15" i="3"/>
  <c r="C14" i="3"/>
  <c r="A114" i="3" s="1"/>
  <c r="C2" i="3"/>
  <c r="B102" i="3"/>
  <c r="B103" i="3"/>
  <c r="B104" i="3"/>
  <c r="B105" i="3"/>
  <c r="B106" i="3"/>
  <c r="B107" i="3"/>
  <c r="Q140" i="67" l="1"/>
  <c r="S140" i="67" s="1"/>
  <c r="Q136" i="67"/>
  <c r="S136" i="67" s="1"/>
  <c r="S129" i="67"/>
  <c r="T131" i="67" s="1"/>
  <c r="Q138" i="67"/>
  <c r="S138" i="67" s="1"/>
  <c r="K134" i="59"/>
  <c r="P130" i="59"/>
  <c r="S129" i="51"/>
  <c r="T132" i="51" s="1"/>
  <c r="P133" i="59"/>
  <c r="P134" i="59"/>
  <c r="K133" i="59"/>
  <c r="K130" i="59"/>
  <c r="K131" i="59"/>
  <c r="P132" i="59"/>
  <c r="P131" i="59"/>
  <c r="Q139" i="67"/>
  <c r="S139" i="67" s="1"/>
  <c r="K135" i="59"/>
  <c r="Q140" i="59" s="1"/>
  <c r="S140" i="59" s="1"/>
  <c r="S135" i="51"/>
  <c r="T136" i="51" s="1"/>
  <c r="F235" i="3"/>
  <c r="F238" i="3" s="1"/>
  <c r="P238" i="3"/>
  <c r="I342" i="3"/>
  <c r="A51" i="3"/>
  <c r="A88" i="3" s="1"/>
  <c r="A122" i="3"/>
  <c r="C131" i="3"/>
  <c r="D525" i="3" s="1"/>
  <c r="A121" i="3"/>
  <c r="A128" i="3"/>
  <c r="A127" i="3"/>
  <c r="A126" i="3"/>
  <c r="A113" i="3"/>
  <c r="A125" i="3"/>
  <c r="A116" i="3"/>
  <c r="A124" i="3"/>
  <c r="A115" i="3"/>
  <c r="A123" i="3"/>
  <c r="A68" i="3"/>
  <c r="A105" i="3" s="1"/>
  <c r="A66" i="3"/>
  <c r="A103" i="3" s="1"/>
  <c r="A58" i="3"/>
  <c r="A95" i="3" s="1"/>
  <c r="A65" i="3"/>
  <c r="A102" i="3" s="1"/>
  <c r="A57" i="3"/>
  <c r="A94" i="3" s="1"/>
  <c r="A64" i="3"/>
  <c r="A101" i="3" s="1"/>
  <c r="A56" i="3"/>
  <c r="A93" i="3" s="1"/>
  <c r="A63" i="3"/>
  <c r="A100" i="3" s="1"/>
  <c r="A55" i="3"/>
  <c r="A92" i="3" s="1"/>
  <c r="A50" i="3"/>
  <c r="A70" i="3"/>
  <c r="A107" i="3" s="1"/>
  <c r="A62" i="3"/>
  <c r="A99" i="3" s="1"/>
  <c r="A54" i="3"/>
  <c r="A91" i="3" s="1"/>
  <c r="A69" i="3"/>
  <c r="A106" i="3" s="1"/>
  <c r="A61" i="3"/>
  <c r="A98" i="3" s="1"/>
  <c r="A53" i="3"/>
  <c r="A90" i="3" s="1"/>
  <c r="A60" i="3"/>
  <c r="A97" i="3" s="1"/>
  <c r="A52" i="3"/>
  <c r="A89" i="3" s="1"/>
  <c r="A67" i="3"/>
  <c r="A104" i="3" s="1"/>
  <c r="A59" i="3"/>
  <c r="A96" i="3" s="1"/>
  <c r="C3" i="3"/>
  <c r="G512" i="3" s="1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87" i="3"/>
  <c r="T134" i="67" l="1"/>
  <c r="T130" i="67"/>
  <c r="T133" i="67"/>
  <c r="T132" i="67"/>
  <c r="T133" i="51"/>
  <c r="Q138" i="59"/>
  <c r="S138" i="59" s="1"/>
  <c r="K129" i="59"/>
  <c r="Q131" i="59" s="1"/>
  <c r="S131" i="59" s="1"/>
  <c r="T134" i="51"/>
  <c r="S135" i="67"/>
  <c r="T138" i="67" s="1"/>
  <c r="T131" i="51"/>
  <c r="T130" i="51"/>
  <c r="T140" i="51"/>
  <c r="Q139" i="59"/>
  <c r="S139" i="59" s="1"/>
  <c r="Q136" i="59"/>
  <c r="S136" i="59" s="1"/>
  <c r="Q137" i="59"/>
  <c r="S137" i="59" s="1"/>
  <c r="T139" i="51"/>
  <c r="T138" i="51"/>
  <c r="T137" i="51"/>
  <c r="AB506" i="3"/>
  <c r="AZ46" i="3"/>
  <c r="AY46" i="3"/>
  <c r="C868" i="3" s="1"/>
  <c r="E1084" i="3"/>
  <c r="L21" i="1" s="1"/>
  <c r="L722" i="3"/>
  <c r="L730" i="3"/>
  <c r="L723" i="3"/>
  <c r="L721" i="3"/>
  <c r="L724" i="3"/>
  <c r="L725" i="3"/>
  <c r="L727" i="3"/>
  <c r="L728" i="3"/>
  <c r="L726" i="3"/>
  <c r="L729" i="3"/>
  <c r="H722" i="3"/>
  <c r="H721" i="3"/>
  <c r="H720" i="3"/>
  <c r="H725" i="3"/>
  <c r="H724" i="3"/>
  <c r="H727" i="3"/>
  <c r="H726" i="3"/>
  <c r="H723" i="3"/>
  <c r="AX46" i="3"/>
  <c r="M77" i="3" s="1"/>
  <c r="K634" i="3"/>
  <c r="K638" i="3"/>
  <c r="K635" i="3"/>
  <c r="K637" i="3"/>
  <c r="K636" i="3"/>
  <c r="K633" i="3"/>
  <c r="K631" i="3"/>
  <c r="K632" i="3"/>
  <c r="AW46" i="3"/>
  <c r="AV46" i="3"/>
  <c r="D173" i="10"/>
  <c r="AU46" i="3"/>
  <c r="D72" i="11" s="1"/>
  <c r="I862" i="3"/>
  <c r="D111" i="3"/>
  <c r="C119" i="3"/>
  <c r="C997" i="3"/>
  <c r="C980" i="3"/>
  <c r="I805" i="3"/>
  <c r="C905" i="3"/>
  <c r="I508" i="3"/>
  <c r="I578" i="3"/>
  <c r="D529" i="3"/>
  <c r="D539" i="3"/>
  <c r="D531" i="3"/>
  <c r="D530" i="3"/>
  <c r="R307" i="3"/>
  <c r="R312" i="3" s="1"/>
  <c r="D591" i="3"/>
  <c r="AS46" i="3"/>
  <c r="C440" i="3"/>
  <c r="AR46" i="3"/>
  <c r="C140" i="3" s="1"/>
  <c r="T224" i="3"/>
  <c r="T235" i="3"/>
  <c r="N201" i="3"/>
  <c r="AQ46" i="3"/>
  <c r="K342" i="3"/>
  <c r="P180" i="3"/>
  <c r="C111" i="3"/>
  <c r="F1071" i="3"/>
  <c r="AP46" i="3"/>
  <c r="L77" i="3" s="1"/>
  <c r="G1071" i="3"/>
  <c r="AO46" i="3"/>
  <c r="K77" i="3" s="1"/>
  <c r="AC46" i="3"/>
  <c r="D165" i="3" s="1"/>
  <c r="AB46" i="3"/>
  <c r="C235" i="3" s="1"/>
  <c r="AA46" i="3"/>
  <c r="AM46" i="3"/>
  <c r="V46" i="3"/>
  <c r="D293" i="3" s="1"/>
  <c r="U46" i="3"/>
  <c r="T46" i="3"/>
  <c r="X46" i="3"/>
  <c r="W46" i="3"/>
  <c r="P307" i="3" s="1"/>
  <c r="E1071" i="3"/>
  <c r="AL46" i="3"/>
  <c r="J77" i="3" s="1"/>
  <c r="J78" i="3" s="1"/>
  <c r="AJ46" i="3"/>
  <c r="H77" i="3" s="1"/>
  <c r="AH46" i="3"/>
  <c r="F77" i="3" s="1"/>
  <c r="AG46" i="3"/>
  <c r="E77" i="3" s="1"/>
  <c r="C1074" i="3"/>
  <c r="C1073" i="3"/>
  <c r="C1072" i="3"/>
  <c r="B1072" i="3"/>
  <c r="A87" i="3"/>
  <c r="E108" i="3" s="1"/>
  <c r="D145" i="10" s="1"/>
  <c r="C7" i="3"/>
  <c r="C6" i="3"/>
  <c r="B78" i="3" s="1"/>
  <c r="P23" i="2"/>
  <c r="P22" i="2"/>
  <c r="P21" i="2"/>
  <c r="P20" i="2"/>
  <c r="P19" i="2"/>
  <c r="P18" i="2"/>
  <c r="P17" i="2"/>
  <c r="P16" i="2"/>
  <c r="P15" i="2"/>
  <c r="P14" i="2"/>
  <c r="P13" i="2"/>
  <c r="O23" i="2"/>
  <c r="O22" i="2"/>
  <c r="O21" i="2"/>
  <c r="O20" i="2"/>
  <c r="O19" i="2"/>
  <c r="O18" i="2"/>
  <c r="O17" i="2"/>
  <c r="O16" i="2"/>
  <c r="O15" i="2"/>
  <c r="O14" i="2"/>
  <c r="O13" i="2"/>
  <c r="O12" i="2"/>
  <c r="N23" i="2"/>
  <c r="N22" i="2"/>
  <c r="N21" i="2"/>
  <c r="N20" i="2"/>
  <c r="N19" i="2"/>
  <c r="N18" i="2"/>
  <c r="N17" i="2"/>
  <c r="N16" i="2"/>
  <c r="N15" i="2"/>
  <c r="N14" i="2"/>
  <c r="N13" i="2"/>
  <c r="M23" i="2"/>
  <c r="M22" i="2"/>
  <c r="M21" i="2"/>
  <c r="M20" i="2"/>
  <c r="M19" i="2"/>
  <c r="M18" i="2"/>
  <c r="M17" i="2"/>
  <c r="M16" i="2"/>
  <c r="M15" i="2"/>
  <c r="M14" i="2"/>
  <c r="M13" i="2"/>
  <c r="M12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I12" i="2"/>
  <c r="I13" i="2"/>
  <c r="I14" i="2"/>
  <c r="I15" i="2"/>
  <c r="I16" i="2"/>
  <c r="I17" i="2"/>
  <c r="I18" i="2"/>
  <c r="I19" i="2"/>
  <c r="I20" i="2"/>
  <c r="I21" i="2"/>
  <c r="I22" i="2"/>
  <c r="I23" i="2"/>
  <c r="I11" i="2"/>
  <c r="Q134" i="59" l="1"/>
  <c r="S134" i="59" s="1"/>
  <c r="Q133" i="59"/>
  <c r="S133" i="59" s="1"/>
  <c r="T129" i="67"/>
  <c r="U132" i="67" s="1"/>
  <c r="V132" i="67" s="1"/>
  <c r="Q132" i="59"/>
  <c r="S132" i="59" s="1"/>
  <c r="T137" i="67"/>
  <c r="T136" i="67"/>
  <c r="Q130" i="59"/>
  <c r="S130" i="59" s="1"/>
  <c r="T139" i="67"/>
  <c r="T140" i="67"/>
  <c r="T135" i="51"/>
  <c r="U136" i="51" s="1"/>
  <c r="V136" i="51" s="1"/>
  <c r="T129" i="51"/>
  <c r="U130" i="51" s="1"/>
  <c r="V130" i="51" s="1"/>
  <c r="S135" i="59"/>
  <c r="T137" i="59" s="1"/>
  <c r="U347" i="3"/>
  <c r="D238" i="3"/>
  <c r="K78" i="3"/>
  <c r="L78" i="3"/>
  <c r="C578" i="3"/>
  <c r="C510" i="3"/>
  <c r="O504" i="3"/>
  <c r="G734" i="3"/>
  <c r="M591" i="3"/>
  <c r="G650" i="3"/>
  <c r="D762" i="3"/>
  <c r="J728" i="3"/>
  <c r="D782" i="3" s="1"/>
  <c r="M639" i="3"/>
  <c r="D702" i="3" s="1"/>
  <c r="M78" i="3"/>
  <c r="F78" i="3"/>
  <c r="E78" i="3"/>
  <c r="F76" i="11"/>
  <c r="F79" i="11" s="1"/>
  <c r="C78" i="3"/>
  <c r="C938" i="3"/>
  <c r="W945" i="3" s="1"/>
  <c r="C141" i="3"/>
  <c r="H140" i="3" s="1"/>
  <c r="O180" i="3"/>
  <c r="O183" i="3"/>
  <c r="O184" i="3" s="1"/>
  <c r="A507" i="3"/>
  <c r="A555" i="3" s="1"/>
  <c r="C555" i="3" s="1"/>
  <c r="A506" i="3"/>
  <c r="A554" i="3" s="1"/>
  <c r="C554" i="3" s="1"/>
  <c r="R317" i="3"/>
  <c r="R313" i="3"/>
  <c r="R322" i="3"/>
  <c r="R308" i="3"/>
  <c r="R321" i="3"/>
  <c r="R314" i="3"/>
  <c r="R318" i="3"/>
  <c r="R309" i="3"/>
  <c r="R319" i="3"/>
  <c r="R320" i="3"/>
  <c r="R311" i="3"/>
  <c r="R316" i="3"/>
  <c r="R310" i="3"/>
  <c r="D597" i="3"/>
  <c r="D595" i="3"/>
  <c r="D605" i="3"/>
  <c r="D596" i="3"/>
  <c r="C650" i="3"/>
  <c r="C734" i="3"/>
  <c r="E734" i="3" s="1"/>
  <c r="C1051" i="3"/>
  <c r="N204" i="3"/>
  <c r="N206" i="3" s="1"/>
  <c r="T238" i="3"/>
  <c r="T239" i="3" s="1"/>
  <c r="P183" i="3"/>
  <c r="P186" i="3" s="1"/>
  <c r="T227" i="3"/>
  <c r="B267" i="3"/>
  <c r="E267" i="3" s="1"/>
  <c r="D227" i="3"/>
  <c r="Q307" i="3"/>
  <c r="Q319" i="3" s="1"/>
  <c r="J342" i="3"/>
  <c r="P320" i="3"/>
  <c r="P313" i="3"/>
  <c r="P319" i="3"/>
  <c r="P314" i="3"/>
  <c r="P318" i="3"/>
  <c r="P309" i="3"/>
  <c r="P317" i="3"/>
  <c r="P308" i="3"/>
  <c r="P322" i="3"/>
  <c r="P316" i="3"/>
  <c r="P310" i="3"/>
  <c r="P311" i="3"/>
  <c r="P321" i="3"/>
  <c r="P312" i="3"/>
  <c r="C307" i="3"/>
  <c r="B301" i="3" s="1"/>
  <c r="C342" i="3"/>
  <c r="E307" i="3"/>
  <c r="G314" i="3" s="1"/>
  <c r="D342" i="3"/>
  <c r="F1075" i="3"/>
  <c r="G1075" i="3"/>
  <c r="M187" i="3"/>
  <c r="M186" i="3"/>
  <c r="M184" i="3"/>
  <c r="M185" i="3"/>
  <c r="M206" i="3"/>
  <c r="M205" i="3"/>
  <c r="B29" i="3"/>
  <c r="B37" i="3"/>
  <c r="B30" i="3"/>
  <c r="B38" i="3"/>
  <c r="B31" i="3"/>
  <c r="B39" i="3"/>
  <c r="B32" i="3"/>
  <c r="B28" i="3"/>
  <c r="B36" i="3"/>
  <c r="B33" i="3"/>
  <c r="B35" i="3"/>
  <c r="B34" i="3"/>
  <c r="G20" i="3"/>
  <c r="H20" i="3"/>
  <c r="I20" i="3"/>
  <c r="J20" i="3"/>
  <c r="K20" i="3"/>
  <c r="C20" i="3"/>
  <c r="D20" i="3"/>
  <c r="L20" i="3"/>
  <c r="E20" i="3"/>
  <c r="B20" i="3"/>
  <c r="F20" i="3"/>
  <c r="L180" i="3"/>
  <c r="L186" i="3" s="1"/>
  <c r="I201" i="3"/>
  <c r="D166" i="3"/>
  <c r="A166" i="3" s="1"/>
  <c r="C180" i="3" s="1"/>
  <c r="H408" i="3" s="1"/>
  <c r="E1075" i="3"/>
  <c r="S239" i="3"/>
  <c r="S228" i="3"/>
  <c r="Q224" i="3"/>
  <c r="Q228" i="3" s="1"/>
  <c r="Q235" i="3"/>
  <c r="Q239" i="3" s="1"/>
  <c r="C10" i="3"/>
  <c r="D1072" i="3"/>
  <c r="K46" i="3"/>
  <c r="C46" i="3"/>
  <c r="L46" i="3"/>
  <c r="D46" i="3"/>
  <c r="E46" i="3"/>
  <c r="M46" i="3"/>
  <c r="S129" i="59" l="1"/>
  <c r="T131" i="59" s="1"/>
  <c r="U130" i="67"/>
  <c r="V130" i="67" s="1"/>
  <c r="U134" i="67"/>
  <c r="V134" i="67" s="1"/>
  <c r="U131" i="67"/>
  <c r="V131" i="67" s="1"/>
  <c r="U139" i="51"/>
  <c r="V139" i="51" s="1"/>
  <c r="U133" i="67"/>
  <c r="V133" i="67" s="1"/>
  <c r="T135" i="67"/>
  <c r="U139" i="67" s="1"/>
  <c r="V139" i="67" s="1"/>
  <c r="U140" i="51"/>
  <c r="V140" i="51" s="1"/>
  <c r="U138" i="51"/>
  <c r="V138" i="51" s="1"/>
  <c r="U131" i="51"/>
  <c r="V131" i="51" s="1"/>
  <c r="U133" i="51"/>
  <c r="V133" i="51" s="1"/>
  <c r="U134" i="51"/>
  <c r="V134" i="51" s="1"/>
  <c r="U132" i="51"/>
  <c r="V132" i="51" s="1"/>
  <c r="U137" i="51"/>
  <c r="V137" i="51" s="1"/>
  <c r="T136" i="59"/>
  <c r="T139" i="59"/>
  <c r="T140" i="59"/>
  <c r="T138" i="59"/>
  <c r="H78" i="3"/>
  <c r="V945" i="3"/>
  <c r="U945" i="3"/>
  <c r="T945" i="3"/>
  <c r="S945" i="3"/>
  <c r="R945" i="3"/>
  <c r="N205" i="3"/>
  <c r="D734" i="3"/>
  <c r="O185" i="3"/>
  <c r="O186" i="3"/>
  <c r="O187" i="3"/>
  <c r="D242" i="3"/>
  <c r="I167" i="3" s="1"/>
  <c r="P187" i="3"/>
  <c r="I205" i="3"/>
  <c r="I206" i="3"/>
  <c r="P184" i="3"/>
  <c r="P185" i="3"/>
  <c r="Q308" i="3"/>
  <c r="Q321" i="3"/>
  <c r="Q312" i="3"/>
  <c r="Q311" i="3"/>
  <c r="Q314" i="3"/>
  <c r="Q316" i="3"/>
  <c r="Q309" i="3"/>
  <c r="Q322" i="3"/>
  <c r="Q313" i="3"/>
  <c r="Q318" i="3"/>
  <c r="Q320" i="3"/>
  <c r="Q317" i="3"/>
  <c r="Q310" i="3"/>
  <c r="T222" i="3"/>
  <c r="T228" i="3"/>
  <c r="D267" i="3"/>
  <c r="F308" i="3"/>
  <c r="F314" i="3"/>
  <c r="C315" i="3"/>
  <c r="B302" i="3" s="1"/>
  <c r="F312" i="3"/>
  <c r="E311" i="3"/>
  <c r="M311" i="3" s="1"/>
  <c r="E310" i="3"/>
  <c r="L310" i="3" s="1"/>
  <c r="E313" i="3"/>
  <c r="L313" i="3" s="1"/>
  <c r="F311" i="3"/>
  <c r="E314" i="3"/>
  <c r="L314" i="3" s="1"/>
  <c r="E308" i="3"/>
  <c r="M308" i="3" s="1"/>
  <c r="F313" i="3"/>
  <c r="G313" i="3"/>
  <c r="E312" i="3"/>
  <c r="M312" i="3" s="1"/>
  <c r="G311" i="3"/>
  <c r="J314" i="3"/>
  <c r="F309" i="3"/>
  <c r="G312" i="3"/>
  <c r="C301" i="3"/>
  <c r="D301" i="3" s="1"/>
  <c r="D311" i="3"/>
  <c r="O311" i="3" s="1"/>
  <c r="E315" i="3"/>
  <c r="G322" i="3" s="1"/>
  <c r="J309" i="3"/>
  <c r="C308" i="3"/>
  <c r="D312" i="3"/>
  <c r="O312" i="3" s="1"/>
  <c r="C310" i="3"/>
  <c r="K310" i="3" s="1"/>
  <c r="C309" i="3"/>
  <c r="K309" i="3" s="1"/>
  <c r="J308" i="3"/>
  <c r="J312" i="3"/>
  <c r="C313" i="3"/>
  <c r="K313" i="3" s="1"/>
  <c r="C312" i="3"/>
  <c r="K312" i="3" s="1"/>
  <c r="D310" i="3"/>
  <c r="O310" i="3" s="1"/>
  <c r="J313" i="3"/>
  <c r="D313" i="3"/>
  <c r="O313" i="3" s="1"/>
  <c r="D308" i="3"/>
  <c r="J310" i="3"/>
  <c r="D314" i="3"/>
  <c r="O314" i="3" s="1"/>
  <c r="C311" i="3"/>
  <c r="K311" i="3" s="1"/>
  <c r="J311" i="3"/>
  <c r="D309" i="3"/>
  <c r="O309" i="3" s="1"/>
  <c r="C314" i="3"/>
  <c r="K314" i="3" s="1"/>
  <c r="F310" i="3"/>
  <c r="E309" i="3"/>
  <c r="M309" i="3" s="1"/>
  <c r="G310" i="3"/>
  <c r="G309" i="3"/>
  <c r="G308" i="3"/>
  <c r="E41" i="3"/>
  <c r="AK53" i="3" s="1"/>
  <c r="M23" i="3"/>
  <c r="M24" i="3"/>
  <c r="L187" i="3"/>
  <c r="L185" i="3"/>
  <c r="L184" i="3"/>
  <c r="L239" i="3"/>
  <c r="M239" i="3"/>
  <c r="O239" i="3"/>
  <c r="N239" i="3"/>
  <c r="P239" i="3"/>
  <c r="P228" i="3"/>
  <c r="K239" i="3"/>
  <c r="J239" i="3"/>
  <c r="O228" i="3"/>
  <c r="N228" i="3"/>
  <c r="M228" i="3"/>
  <c r="L228" i="3"/>
  <c r="K228" i="3"/>
  <c r="J228" i="3"/>
  <c r="T133" i="59" l="1"/>
  <c r="V129" i="67"/>
  <c r="B132" i="67" s="1"/>
  <c r="T130" i="59"/>
  <c r="T132" i="59"/>
  <c r="T134" i="59"/>
  <c r="U137" i="67"/>
  <c r="V137" i="67" s="1"/>
  <c r="U140" i="67"/>
  <c r="V140" i="67" s="1"/>
  <c r="U138" i="67"/>
  <c r="V138" i="67" s="1"/>
  <c r="U136" i="67"/>
  <c r="V136" i="67" s="1"/>
  <c r="V129" i="51"/>
  <c r="B130" i="51" s="1"/>
  <c r="T135" i="59"/>
  <c r="U138" i="59" s="1"/>
  <c r="V138" i="59" s="1"/>
  <c r="V135" i="51"/>
  <c r="A739" i="3"/>
  <c r="A741" i="3"/>
  <c r="A742" i="3"/>
  <c r="A740" i="3"/>
  <c r="A743" i="3"/>
  <c r="A744" i="3"/>
  <c r="O308" i="3"/>
  <c r="K308" i="3"/>
  <c r="C318" i="3"/>
  <c r="K318" i="3" s="1"/>
  <c r="D319" i="3"/>
  <c r="O319" i="3" s="1"/>
  <c r="C322" i="3"/>
  <c r="K322" i="3" s="1"/>
  <c r="C321" i="3"/>
  <c r="K321" i="3" s="1"/>
  <c r="F267" i="3"/>
  <c r="C317" i="3"/>
  <c r="K317" i="3" s="1"/>
  <c r="J320" i="3"/>
  <c r="J319" i="3"/>
  <c r="D321" i="3"/>
  <c r="O321" i="3" s="1"/>
  <c r="D318" i="3"/>
  <c r="O318" i="3" s="1"/>
  <c r="J321" i="3"/>
  <c r="D316" i="3"/>
  <c r="O316" i="3" s="1"/>
  <c r="J316" i="3"/>
  <c r="F317" i="3"/>
  <c r="C320" i="3"/>
  <c r="K320" i="3" s="1"/>
  <c r="C316" i="3"/>
  <c r="K316" i="3" s="1"/>
  <c r="G321" i="3"/>
  <c r="F320" i="3"/>
  <c r="C319" i="3"/>
  <c r="K319" i="3" s="1"/>
  <c r="J318" i="3"/>
  <c r="E316" i="3"/>
  <c r="L316" i="3" s="1"/>
  <c r="J322" i="3"/>
  <c r="D320" i="3"/>
  <c r="O320" i="3" s="1"/>
  <c r="J317" i="3"/>
  <c r="D317" i="3"/>
  <c r="O317" i="3" s="1"/>
  <c r="D322" i="3"/>
  <c r="O322" i="3" s="1"/>
  <c r="E317" i="3"/>
  <c r="M317" i="3" s="1"/>
  <c r="F318" i="3"/>
  <c r="G317" i="3"/>
  <c r="E321" i="3"/>
  <c r="M321" i="3" s="1"/>
  <c r="M314" i="3"/>
  <c r="F316" i="3"/>
  <c r="E319" i="3"/>
  <c r="L319" i="3" s="1"/>
  <c r="L311" i="3"/>
  <c r="M310" i="3"/>
  <c r="G316" i="3"/>
  <c r="E320" i="3"/>
  <c r="L320" i="3" s="1"/>
  <c r="F321" i="3"/>
  <c r="G318" i="3"/>
  <c r="E322" i="3"/>
  <c r="L322" i="3" s="1"/>
  <c r="E318" i="3"/>
  <c r="M318" i="3" s="1"/>
  <c r="G320" i="3"/>
  <c r="F322" i="3"/>
  <c r="F319" i="3"/>
  <c r="G319" i="3"/>
  <c r="M313" i="3"/>
  <c r="L309" i="3"/>
  <c r="L308" i="3"/>
  <c r="C302" i="3"/>
  <c r="D302" i="3" s="1"/>
  <c r="D300" i="3" s="1"/>
  <c r="N321" i="3" s="1"/>
  <c r="L312" i="3"/>
  <c r="AK51" i="3"/>
  <c r="AK52" i="3"/>
  <c r="B1074" i="3" s="1"/>
  <c r="AI53" i="3"/>
  <c r="AI61" i="3"/>
  <c r="AI51" i="3"/>
  <c r="AI52" i="3"/>
  <c r="T129" i="59" l="1"/>
  <c r="U133" i="59" s="1"/>
  <c r="V133" i="59" s="1"/>
  <c r="B131" i="67"/>
  <c r="B134" i="67"/>
  <c r="B130" i="67"/>
  <c r="B133" i="67"/>
  <c r="B134" i="51"/>
  <c r="B132" i="51"/>
  <c r="U136" i="59"/>
  <c r="V136" i="59" s="1"/>
  <c r="V135" i="67"/>
  <c r="B137" i="67" s="1"/>
  <c r="U137" i="59"/>
  <c r="V137" i="59" s="1"/>
  <c r="U139" i="59"/>
  <c r="V139" i="59" s="1"/>
  <c r="U140" i="59"/>
  <c r="V140" i="59" s="1"/>
  <c r="B133" i="51"/>
  <c r="B140" i="51"/>
  <c r="B136" i="51"/>
  <c r="B137" i="51"/>
  <c r="B139" i="51"/>
  <c r="B131" i="51"/>
  <c r="B138" i="51"/>
  <c r="D1074" i="3"/>
  <c r="L321" i="3"/>
  <c r="S321" i="3" s="1"/>
  <c r="U321" i="3" s="1"/>
  <c r="L317" i="3"/>
  <c r="M316" i="3"/>
  <c r="M319" i="3"/>
  <c r="M320" i="3"/>
  <c r="L318" i="3"/>
  <c r="M322" i="3"/>
  <c r="AK46" i="3"/>
  <c r="I77" i="3" s="1"/>
  <c r="I78" i="3" s="1"/>
  <c r="N310" i="3"/>
  <c r="N322" i="3"/>
  <c r="N316" i="3"/>
  <c r="N309" i="3"/>
  <c r="N314" i="3"/>
  <c r="N318" i="3"/>
  <c r="N312" i="3"/>
  <c r="N313" i="3"/>
  <c r="N319" i="3"/>
  <c r="N320" i="3"/>
  <c r="N308" i="3"/>
  <c r="N311" i="3"/>
  <c r="N317" i="3"/>
  <c r="AI46" i="3"/>
  <c r="G77" i="3" s="1"/>
  <c r="G78" i="3" s="1"/>
  <c r="B1073" i="3"/>
  <c r="D1073" i="3" s="1"/>
  <c r="U132" i="59" l="1"/>
  <c r="V132" i="59" s="1"/>
  <c r="U131" i="59"/>
  <c r="V131" i="59" s="1"/>
  <c r="U134" i="59"/>
  <c r="V134" i="59" s="1"/>
  <c r="U130" i="59"/>
  <c r="V130" i="59" s="1"/>
  <c r="Y130" i="67"/>
  <c r="B140" i="67"/>
  <c r="B138" i="67"/>
  <c r="B139" i="67"/>
  <c r="B136" i="67"/>
  <c r="Y130" i="51"/>
  <c r="AA130" i="51" s="1"/>
  <c r="V135" i="59"/>
  <c r="B138" i="59" s="1"/>
  <c r="Y131" i="51"/>
  <c r="AT46" i="3"/>
  <c r="H204" i="3" s="1"/>
  <c r="Q78" i="3"/>
  <c r="I764" i="3"/>
  <c r="G767" i="3"/>
  <c r="K769" i="3"/>
  <c r="H766" i="3"/>
  <c r="F763" i="3"/>
  <c r="N768" i="3"/>
  <c r="I767" i="3"/>
  <c r="J766" i="3"/>
  <c r="H769" i="3"/>
  <c r="L763" i="3"/>
  <c r="J767" i="3"/>
  <c r="J768" i="3"/>
  <c r="G763" i="3"/>
  <c r="M764" i="3"/>
  <c r="L764" i="3"/>
  <c r="I765" i="3"/>
  <c r="N769" i="3"/>
  <c r="J769" i="3"/>
  <c r="I769" i="3"/>
  <c r="L767" i="3"/>
  <c r="K763" i="3"/>
  <c r="J763" i="3"/>
  <c r="L765" i="3"/>
  <c r="H765" i="3"/>
  <c r="F769" i="3"/>
  <c r="G768" i="3"/>
  <c r="N767" i="3"/>
  <c r="J765" i="3"/>
  <c r="G769" i="3"/>
  <c r="L766" i="3"/>
  <c r="M766" i="3"/>
  <c r="M763" i="3"/>
  <c r="F767" i="3"/>
  <c r="H764" i="3"/>
  <c r="H763" i="3"/>
  <c r="G764" i="3"/>
  <c r="K767" i="3"/>
  <c r="L769" i="3"/>
  <c r="H768" i="3"/>
  <c r="K765" i="3"/>
  <c r="M765" i="3"/>
  <c r="N765" i="3"/>
  <c r="K766" i="3"/>
  <c r="L768" i="3"/>
  <c r="H767" i="3"/>
  <c r="M768" i="3"/>
  <c r="F765" i="3"/>
  <c r="G766" i="3"/>
  <c r="I768" i="3"/>
  <c r="F766" i="3"/>
  <c r="N764" i="3"/>
  <c r="N766" i="3"/>
  <c r="K764" i="3"/>
  <c r="I766" i="3"/>
  <c r="K768" i="3"/>
  <c r="M767" i="3"/>
  <c r="N763" i="3"/>
  <c r="G765" i="3"/>
  <c r="M769" i="3"/>
  <c r="F768" i="3"/>
  <c r="F764" i="3"/>
  <c r="J764" i="3"/>
  <c r="S318" i="3"/>
  <c r="U318" i="3" s="1"/>
  <c r="S320" i="3"/>
  <c r="T320" i="3" s="1"/>
  <c r="S322" i="3"/>
  <c r="T322" i="3" s="1"/>
  <c r="S319" i="3"/>
  <c r="T319" i="3" s="1"/>
  <c r="S316" i="3"/>
  <c r="T316" i="3" s="1"/>
  <c r="S311" i="3"/>
  <c r="T311" i="3" s="1"/>
  <c r="S314" i="3"/>
  <c r="U314" i="3" s="1"/>
  <c r="S308" i="3"/>
  <c r="T308" i="3" s="1"/>
  <c r="S309" i="3"/>
  <c r="T309" i="3" s="1"/>
  <c r="S310" i="3"/>
  <c r="T310" i="3" s="1"/>
  <c r="S313" i="3"/>
  <c r="T313" i="3" s="1"/>
  <c r="S312" i="3"/>
  <c r="T312" i="3" s="1"/>
  <c r="S317" i="3"/>
  <c r="U317" i="3" s="1"/>
  <c r="T321" i="3"/>
  <c r="C9" i="3"/>
  <c r="D1075" i="3"/>
  <c r="AJ130" i="51" l="1"/>
  <c r="AM130" i="51" s="1"/>
  <c r="V129" i="59"/>
  <c r="B133" i="59" s="1"/>
  <c r="AG130" i="51"/>
  <c r="AD130" i="51"/>
  <c r="AH130" i="51"/>
  <c r="AE130" i="51"/>
  <c r="AC130" i="51"/>
  <c r="AI130" i="51"/>
  <c r="AB130" i="51"/>
  <c r="AH130" i="67"/>
  <c r="AD130" i="67"/>
  <c r="AB130" i="67"/>
  <c r="AG130" i="67"/>
  <c r="AI130" i="67"/>
  <c r="AA130" i="67"/>
  <c r="AJ130" i="67"/>
  <c r="AM130" i="67" s="1"/>
  <c r="Z130" i="67"/>
  <c r="AE130" i="67"/>
  <c r="AC130" i="67"/>
  <c r="Y131" i="67"/>
  <c r="AB131" i="67" s="1"/>
  <c r="Z130" i="51"/>
  <c r="B136" i="59"/>
  <c r="B139" i="59"/>
  <c r="B140" i="59"/>
  <c r="B137" i="59"/>
  <c r="AC131" i="51"/>
  <c r="AH131" i="51"/>
  <c r="AA131" i="51"/>
  <c r="Z131" i="51"/>
  <c r="AE131" i="51"/>
  <c r="AJ131" i="51"/>
  <c r="AM131" i="51" s="1"/>
  <c r="AI131" i="51"/>
  <c r="AG131" i="51"/>
  <c r="AB131" i="51"/>
  <c r="AD131" i="51"/>
  <c r="E524" i="3"/>
  <c r="E525" i="3" s="1"/>
  <c r="E590" i="3"/>
  <c r="E591" i="3" s="1"/>
  <c r="E600" i="3" s="1"/>
  <c r="U311" i="3"/>
  <c r="T318" i="3"/>
  <c r="U316" i="3"/>
  <c r="U310" i="3"/>
  <c r="U312" i="3"/>
  <c r="T314" i="3"/>
  <c r="U309" i="3"/>
  <c r="U320" i="3"/>
  <c r="T317" i="3"/>
  <c r="U313" i="3"/>
  <c r="U308" i="3"/>
  <c r="U319" i="3"/>
  <c r="U322" i="3"/>
  <c r="A307" i="3"/>
  <c r="A322" i="3" s="1"/>
  <c r="B132" i="59" l="1"/>
  <c r="B131" i="59"/>
  <c r="B130" i="59"/>
  <c r="AG131" i="67"/>
  <c r="AG129" i="67" s="1"/>
  <c r="AK131" i="67" s="1"/>
  <c r="B134" i="59"/>
  <c r="Z131" i="67"/>
  <c r="AH131" i="67"/>
  <c r="AA131" i="67"/>
  <c r="AJ131" i="67"/>
  <c r="AM131" i="67" s="1"/>
  <c r="AE131" i="67"/>
  <c r="AC131" i="67"/>
  <c r="AI131" i="67"/>
  <c r="AD131" i="67"/>
  <c r="Y131" i="59"/>
  <c r="AE131" i="59" s="1"/>
  <c r="AG129" i="51"/>
  <c r="E540" i="3"/>
  <c r="E534" i="3"/>
  <c r="E606" i="3"/>
  <c r="E599" i="3"/>
  <c r="E533" i="3"/>
  <c r="A319" i="3"/>
  <c r="A320" i="3"/>
  <c r="A321" i="3"/>
  <c r="A306" i="3"/>
  <c r="A311" i="3" s="1"/>
  <c r="A318" i="3"/>
  <c r="A317" i="3"/>
  <c r="A316" i="3"/>
  <c r="Y130" i="59" l="1"/>
  <c r="Z130" i="59" s="1"/>
  <c r="AF130" i="67"/>
  <c r="AK130" i="67"/>
  <c r="AF131" i="67"/>
  <c r="AD131" i="59"/>
  <c r="AI131" i="59"/>
  <c r="Z131" i="59"/>
  <c r="AC131" i="59"/>
  <c r="AH131" i="59"/>
  <c r="AJ131" i="59"/>
  <c r="AM131" i="59" s="1"/>
  <c r="AA131" i="59"/>
  <c r="AB131" i="59"/>
  <c r="AG131" i="59"/>
  <c r="AK131" i="51"/>
  <c r="AF130" i="51"/>
  <c r="AK130" i="51"/>
  <c r="AF131" i="51"/>
  <c r="A313" i="3"/>
  <c r="A308" i="3"/>
  <c r="A314" i="3"/>
  <c r="A312" i="3"/>
  <c r="A309" i="3"/>
  <c r="A310" i="3"/>
  <c r="AI130" i="59" l="1"/>
  <c r="AD130" i="59"/>
  <c r="AE130" i="59"/>
  <c r="AH130" i="59"/>
  <c r="AC130" i="59"/>
  <c r="AB130" i="59"/>
  <c r="AG130" i="59"/>
  <c r="AG129" i="59" s="1"/>
  <c r="AA130" i="59"/>
  <c r="AJ130" i="59"/>
  <c r="AM130" i="59" s="1"/>
  <c r="AF129" i="67"/>
  <c r="AL130" i="67" s="1"/>
  <c r="AN130" i="67" s="1"/>
  <c r="AF129" i="51"/>
  <c r="AL131" i="51" s="1"/>
  <c r="AN131" i="51" s="1"/>
  <c r="A872" i="3"/>
  <c r="B327" i="3"/>
  <c r="A333" i="3"/>
  <c r="A331" i="3"/>
  <c r="D333" i="3" s="1"/>
  <c r="AF130" i="59" l="1"/>
  <c r="AL131" i="67"/>
  <c r="AN131" i="67" s="1"/>
  <c r="AF131" i="59"/>
  <c r="AK130" i="59"/>
  <c r="AK131" i="59"/>
  <c r="AL130" i="51"/>
  <c r="AN130" i="51" s="1"/>
  <c r="F872" i="3"/>
  <c r="N872" i="3"/>
  <c r="V872" i="3"/>
  <c r="AD872" i="3"/>
  <c r="U872" i="3"/>
  <c r="G872" i="3"/>
  <c r="O872" i="3"/>
  <c r="W872" i="3"/>
  <c r="AE872" i="3"/>
  <c r="S872" i="3"/>
  <c r="L872" i="3"/>
  <c r="E872" i="3"/>
  <c r="H872" i="3"/>
  <c r="P872" i="3"/>
  <c r="X872" i="3"/>
  <c r="C872" i="3"/>
  <c r="AA872" i="3"/>
  <c r="T872" i="3"/>
  <c r="AC872" i="3"/>
  <c r="I872" i="3"/>
  <c r="Q872" i="3"/>
  <c r="Y872" i="3"/>
  <c r="M872" i="3"/>
  <c r="J872" i="3"/>
  <c r="R872" i="3"/>
  <c r="Z872" i="3"/>
  <c r="K872" i="3"/>
  <c r="D872" i="3"/>
  <c r="AB872" i="3"/>
  <c r="D331" i="3"/>
  <c r="E413" i="3" s="1"/>
  <c r="C331" i="3"/>
  <c r="C413" i="3"/>
  <c r="F413" i="3"/>
  <c r="C333" i="3"/>
  <c r="D413" i="3"/>
  <c r="B333" i="3"/>
  <c r="B331" i="3"/>
  <c r="AF129" i="59" l="1"/>
  <c r="AL131" i="59" s="1"/>
  <c r="AN131" i="59" s="1"/>
  <c r="AN129" i="67"/>
  <c r="AO130" i="67" s="1"/>
  <c r="AN129" i="51"/>
  <c r="AO131" i="51" s="1"/>
  <c r="C876" i="3"/>
  <c r="D876" i="3" s="1"/>
  <c r="AL130" i="59" l="1"/>
  <c r="AN130" i="59" s="1"/>
  <c r="AN129" i="59" s="1"/>
  <c r="AO131" i="59" s="1"/>
  <c r="AO131" i="67"/>
  <c r="AO130" i="51"/>
  <c r="AO129" i="51" s="1"/>
  <c r="AP131" i="51" s="1"/>
  <c r="AQ131" i="51" s="1"/>
  <c r="F609" i="3"/>
  <c r="J607" i="3"/>
  <c r="F608" i="3"/>
  <c r="L608" i="3"/>
  <c r="AO130" i="59" l="1"/>
  <c r="AO129" i="59" s="1"/>
  <c r="AP131" i="59" s="1"/>
  <c r="AQ131" i="59" s="1"/>
  <c r="AO129" i="67"/>
  <c r="AP130" i="67" s="1"/>
  <c r="AQ130" i="67" s="1"/>
  <c r="AP130" i="51"/>
  <c r="AQ130" i="51" s="1"/>
  <c r="AQ129" i="51" s="1"/>
  <c r="X131" i="51" s="1"/>
  <c r="L607" i="3"/>
  <c r="K607" i="3"/>
  <c r="G607" i="3"/>
  <c r="F607" i="3"/>
  <c r="H607" i="3" s="1"/>
  <c r="I607" i="3" s="1"/>
  <c r="M607" i="3" s="1"/>
  <c r="L609" i="3"/>
  <c r="AP130" i="59" l="1"/>
  <c r="AQ130" i="59" s="1"/>
  <c r="AQ129" i="59" s="1"/>
  <c r="X131" i="59" s="1"/>
  <c r="AP131" i="67"/>
  <c r="AQ131" i="67" s="1"/>
  <c r="AQ129" i="67" s="1"/>
  <c r="X130" i="67" s="1"/>
  <c r="X130" i="51"/>
  <c r="Z133" i="51" s="1"/>
  <c r="D149" i="51" s="1"/>
  <c r="J608" i="3"/>
  <c r="K608" i="3" s="1"/>
  <c r="J609" i="3"/>
  <c r="K609" i="3" s="1"/>
  <c r="X130" i="59" l="1"/>
  <c r="Z133" i="59" s="1"/>
  <c r="D150" i="59" s="1"/>
  <c r="X131" i="67"/>
  <c r="Z133" i="67" s="1"/>
  <c r="D150" i="67" s="1"/>
  <c r="E150" i="51"/>
  <c r="D150" i="51"/>
  <c r="D151" i="51" s="1"/>
  <c r="D182" i="51" s="1"/>
  <c r="E149" i="51"/>
  <c r="G608" i="3"/>
  <c r="H608" i="3" s="1"/>
  <c r="I608" i="3" s="1"/>
  <c r="M608" i="3" s="1"/>
  <c r="G609" i="3"/>
  <c r="H609" i="3" s="1"/>
  <c r="I609" i="3" s="1"/>
  <c r="M609" i="3" s="1"/>
  <c r="AN46" i="3"/>
  <c r="K183" i="3" s="1"/>
  <c r="D149" i="59" l="1"/>
  <c r="D151" i="59" s="1"/>
  <c r="D182" i="59" s="1"/>
  <c r="E150" i="59"/>
  <c r="E149" i="59"/>
  <c r="E151" i="51"/>
  <c r="D181" i="51" s="1"/>
  <c r="E149" i="67"/>
  <c r="E150" i="67"/>
  <c r="D149" i="67"/>
  <c r="D151" i="67" s="1"/>
  <c r="K186" i="3"/>
  <c r="K187" i="3"/>
  <c r="K184" i="3"/>
  <c r="K185" i="3"/>
  <c r="E151" i="59" l="1"/>
  <c r="D181" i="59" s="1"/>
  <c r="B28" i="45"/>
  <c r="E151" i="67"/>
  <c r="D181" i="67" s="1"/>
  <c r="D182" i="67"/>
  <c r="B4" i="1"/>
  <c r="B4" i="2"/>
  <c r="B3" i="1" s="1"/>
  <c r="A19" i="7"/>
  <c r="B28" i="53" l="1"/>
  <c r="B28" i="61"/>
  <c r="C4" i="3"/>
  <c r="A948" i="3" s="1"/>
  <c r="A193" i="7"/>
  <c r="A87" i="7"/>
  <c r="A194" i="7"/>
  <c r="A196" i="7"/>
  <c r="A83" i="7"/>
  <c r="A152" i="7"/>
  <c r="A248" i="7"/>
  <c r="A134" i="7"/>
  <c r="A117" i="7"/>
  <c r="A79" i="7"/>
  <c r="A34" i="7"/>
  <c r="A181" i="7"/>
  <c r="A252" i="7"/>
  <c r="A98" i="7"/>
  <c r="A205" i="7"/>
  <c r="A120" i="7"/>
  <c r="A241" i="7"/>
  <c r="A242" i="7"/>
  <c r="A203" i="7"/>
  <c r="A101" i="7"/>
  <c r="A225" i="7"/>
  <c r="A175" i="7"/>
  <c r="A27" i="7"/>
  <c r="A183" i="7"/>
  <c r="A29" i="7"/>
  <c r="A160" i="7"/>
  <c r="A88" i="7"/>
  <c r="A84" i="7"/>
  <c r="A21" i="7"/>
  <c r="A141" i="7"/>
  <c r="A114" i="7"/>
  <c r="A244" i="7"/>
  <c r="A80" i="7"/>
  <c r="A59" i="7"/>
  <c r="A154" i="7"/>
  <c r="A50" i="7"/>
  <c r="A149" i="7"/>
  <c r="A40" i="7"/>
  <c r="A75" i="7"/>
  <c r="A144" i="7"/>
  <c r="A112" i="7"/>
  <c r="A47" i="7"/>
  <c r="A100" i="7"/>
  <c r="A245" i="7"/>
  <c r="A36" i="7"/>
  <c r="A236" i="7"/>
  <c r="A159" i="7"/>
  <c r="A204" i="7"/>
  <c r="A56" i="7"/>
  <c r="A65" i="7"/>
  <c r="A67" i="7"/>
  <c r="A60" i="7"/>
  <c r="A76" i="7"/>
  <c r="A231" i="7"/>
  <c r="A246" i="7"/>
  <c r="A182" i="7"/>
  <c r="A158" i="7"/>
  <c r="A206" i="7"/>
  <c r="A77" i="7"/>
  <c r="A235" i="7"/>
  <c r="A147" i="7"/>
  <c r="A126" i="7"/>
  <c r="A198" i="7"/>
  <c r="A113" i="7"/>
  <c r="A190" i="7"/>
  <c r="A233" i="7"/>
  <c r="A145" i="7"/>
  <c r="A85" i="7"/>
  <c r="A133" i="7"/>
  <c r="A230" i="7"/>
  <c r="A243" i="7"/>
  <c r="A234" i="7"/>
  <c r="A228" i="7"/>
  <c r="A69" i="7"/>
  <c r="A184" i="7"/>
  <c r="A247" i="7"/>
  <c r="A107" i="7"/>
  <c r="A92" i="7"/>
  <c r="A30" i="7"/>
  <c r="A155" i="7"/>
  <c r="A61" i="7"/>
  <c r="A177" i="7"/>
  <c r="A41" i="7"/>
  <c r="A212" i="7"/>
  <c r="A199" i="7"/>
  <c r="A35" i="7"/>
  <c r="A237" i="7"/>
  <c r="A64" i="7"/>
  <c r="A179" i="7"/>
  <c r="A150" i="7"/>
  <c r="A20" i="7"/>
  <c r="A130" i="7"/>
  <c r="A163" i="7"/>
  <c r="A86" i="7"/>
  <c r="A95" i="7"/>
  <c r="A31" i="7"/>
  <c r="A153" i="7"/>
  <c r="A197" i="7"/>
  <c r="A138" i="7"/>
  <c r="A170" i="7"/>
  <c r="A226" i="7"/>
  <c r="A48" i="7"/>
  <c r="A54" i="7"/>
  <c r="A208" i="7"/>
  <c r="A136" i="7"/>
  <c r="A172" i="7"/>
  <c r="A58" i="7"/>
  <c r="A44" i="7"/>
  <c r="A173" i="7"/>
  <c r="A211" i="7"/>
  <c r="A72" i="7"/>
  <c r="A142" i="7"/>
  <c r="A24" i="7"/>
  <c r="A250" i="7"/>
  <c r="A99" i="7"/>
  <c r="A70" i="7"/>
  <c r="A71" i="7"/>
  <c r="A96" i="7"/>
  <c r="A165" i="7"/>
  <c r="A121" i="7"/>
  <c r="A110" i="7"/>
  <c r="A66" i="7"/>
  <c r="A238" i="7"/>
  <c r="A127" i="7"/>
  <c r="A151" i="7"/>
  <c r="A168" i="7"/>
  <c r="A232" i="7"/>
  <c r="A249" i="7"/>
  <c r="A195" i="7"/>
  <c r="A178" i="7"/>
  <c r="A216" i="7"/>
  <c r="A186" i="7"/>
  <c r="A156" i="7"/>
  <c r="A106" i="7"/>
  <c r="A38" i="7"/>
  <c r="A191" i="7"/>
  <c r="A46" i="7"/>
  <c r="A229" i="7"/>
  <c r="A49" i="7"/>
  <c r="A148" i="7"/>
  <c r="A209" i="7"/>
  <c r="A132" i="7"/>
  <c r="A125" i="7"/>
  <c r="A139" i="7"/>
  <c r="A45" i="7"/>
  <c r="A253" i="7"/>
  <c r="A93" i="7"/>
  <c r="A51" i="7"/>
  <c r="A62" i="7"/>
  <c r="A166" i="7"/>
  <c r="A200" i="7"/>
  <c r="A73" i="7"/>
  <c r="A91" i="7"/>
  <c r="A26" i="7"/>
  <c r="A188" i="7"/>
  <c r="A215" i="7"/>
  <c r="A94" i="7"/>
  <c r="A119" i="7"/>
  <c r="A137" i="7"/>
  <c r="A180" i="7"/>
  <c r="A162" i="7"/>
  <c r="A81" i="7"/>
  <c r="A224" i="7"/>
  <c r="A55" i="7"/>
  <c r="A213" i="7"/>
  <c r="A63" i="7"/>
  <c r="A128" i="7"/>
  <c r="A42" i="7"/>
  <c r="A164" i="7"/>
  <c r="A104" i="7"/>
  <c r="A140" i="7"/>
  <c r="A23" i="7"/>
  <c r="A33" i="7"/>
  <c r="A108" i="7"/>
  <c r="A251" i="7"/>
  <c r="A32" i="7"/>
  <c r="A82" i="7"/>
  <c r="A174" i="7"/>
  <c r="A37" i="7"/>
  <c r="A103" i="7"/>
  <c r="A202" i="7"/>
  <c r="A28" i="7"/>
  <c r="A43" i="7"/>
  <c r="A169" i="7"/>
  <c r="A53" i="7"/>
  <c r="A146" i="7"/>
  <c r="A161" i="7"/>
  <c r="A124" i="7"/>
  <c r="A115" i="7"/>
  <c r="A227" i="7"/>
  <c r="A187" i="7"/>
  <c r="A157" i="7"/>
  <c r="A171" i="7"/>
  <c r="A105" i="7"/>
  <c r="A57" i="7"/>
  <c r="A102" i="7"/>
  <c r="A74" i="7"/>
  <c r="A210" i="7"/>
  <c r="A167" i="7"/>
  <c r="A122" i="7"/>
  <c r="A22" i="7"/>
  <c r="A240" i="7"/>
  <c r="A109" i="7"/>
  <c r="A192" i="7"/>
  <c r="A207" i="7"/>
  <c r="A78" i="7"/>
  <c r="A176" i="7"/>
  <c r="A68" i="7"/>
  <c r="A143" i="7"/>
  <c r="A52" i="7"/>
  <c r="A189" i="7"/>
  <c r="A239" i="7"/>
  <c r="A135" i="7"/>
  <c r="A116" i="7"/>
  <c r="A90" i="7"/>
  <c r="A201" i="7"/>
  <c r="A89" i="7"/>
  <c r="A254" i="7"/>
  <c r="A129" i="7"/>
  <c r="A118" i="7"/>
  <c r="A111" i="7"/>
  <c r="A214" i="7"/>
  <c r="A185" i="7"/>
  <c r="A25" i="7"/>
  <c r="A123" i="7"/>
  <c r="A131" i="7"/>
  <c r="A39" i="7"/>
  <c r="A97" i="7"/>
  <c r="J4" i="2"/>
  <c r="L4" i="2"/>
  <c r="P4" i="2"/>
  <c r="H4" i="2"/>
  <c r="M4" i="2"/>
  <c r="O4" i="2"/>
  <c r="K4" i="2"/>
  <c r="I4" i="2"/>
  <c r="N4" i="2"/>
  <c r="Q504" i="3" l="1"/>
  <c r="Q503" i="3"/>
  <c r="A954" i="3"/>
  <c r="A956" i="3"/>
  <c r="A768" i="3"/>
  <c r="A157" i="3"/>
  <c r="A949" i="3"/>
  <c r="A151" i="3"/>
  <c r="Q507" i="3"/>
  <c r="A769" i="3"/>
  <c r="A766" i="3"/>
  <c r="A767" i="3"/>
  <c r="Q508" i="3"/>
  <c r="A156" i="3"/>
  <c r="A950" i="3"/>
  <c r="A952" i="3"/>
  <c r="A152" i="3"/>
  <c r="A155" i="3"/>
  <c r="A955" i="3"/>
  <c r="Q511" i="3"/>
  <c r="A154" i="3"/>
  <c r="Q510" i="3"/>
  <c r="A149" i="3"/>
  <c r="Q506" i="3"/>
  <c r="A953" i="3"/>
  <c r="Q505" i="3"/>
  <c r="A951" i="3"/>
  <c r="A763" i="3"/>
  <c r="A150" i="3"/>
  <c r="A765" i="3"/>
  <c r="N388" i="3"/>
  <c r="U359" i="3" s="1"/>
  <c r="AE16" i="7"/>
  <c r="O204" i="3" s="1"/>
  <c r="O205" i="3" s="1"/>
  <c r="F388" i="3"/>
  <c r="A764" i="3"/>
  <c r="A148" i="3"/>
  <c r="A153" i="3"/>
  <c r="Q509" i="3"/>
  <c r="AJ16" i="7"/>
  <c r="K388" i="3"/>
  <c r="H341" i="3" s="1"/>
  <c r="H342" i="3" s="1"/>
  <c r="G12" i="2"/>
  <c r="G23" i="2"/>
  <c r="G9" i="2"/>
  <c r="G17" i="2"/>
  <c r="G6" i="2"/>
  <c r="G21" i="2"/>
  <c r="G8" i="2"/>
  <c r="G22" i="2"/>
  <c r="G15" i="2"/>
  <c r="G10" i="2"/>
  <c r="G20" i="2"/>
  <c r="G14" i="2"/>
  <c r="G7" i="2"/>
  <c r="G13" i="2"/>
  <c r="G11" i="2"/>
  <c r="G19" i="2"/>
  <c r="G18" i="2"/>
  <c r="G16" i="2"/>
  <c r="C388" i="3"/>
  <c r="G388" i="3"/>
  <c r="AF16" i="7"/>
  <c r="R228" i="3" s="1"/>
  <c r="B388" i="3"/>
  <c r="AH16" i="7"/>
  <c r="I388" i="3"/>
  <c r="F341" i="3" s="1"/>
  <c r="F342" i="3" s="1"/>
  <c r="E388" i="3"/>
  <c r="AG16" i="7"/>
  <c r="R239" i="3" s="1"/>
  <c r="D388" i="3"/>
  <c r="P6" i="7"/>
  <c r="AI16" i="7"/>
  <c r="A385" i="3"/>
  <c r="A388" i="3"/>
  <c r="H388" i="3"/>
  <c r="L388" i="3"/>
  <c r="AD16" i="7"/>
  <c r="Q183" i="3" s="1"/>
  <c r="M388" i="3"/>
  <c r="U360" i="3" s="1"/>
  <c r="J388" i="3"/>
  <c r="M145" i="3" l="1"/>
  <c r="H145" i="3"/>
  <c r="B1032" i="3" s="1"/>
  <c r="K770" i="3"/>
  <c r="N770" i="3"/>
  <c r="I145" i="3"/>
  <c r="C865" i="3" s="1"/>
  <c r="G145" i="3"/>
  <c r="C838" i="3" s="1"/>
  <c r="H770" i="3"/>
  <c r="M957" i="3"/>
  <c r="O206" i="3"/>
  <c r="J957" i="3"/>
  <c r="G770" i="3"/>
  <c r="E957" i="3"/>
  <c r="F957" i="3"/>
  <c r="L957" i="3"/>
  <c r="I957" i="3"/>
  <c r="K957" i="3"/>
  <c r="J770" i="3"/>
  <c r="G957" i="3"/>
  <c r="L770" i="3"/>
  <c r="K145" i="3"/>
  <c r="D166" i="10" s="1"/>
  <c r="D957" i="3"/>
  <c r="H957" i="3"/>
  <c r="F770" i="3"/>
  <c r="C957" i="3"/>
  <c r="M770" i="3"/>
  <c r="E145" i="3"/>
  <c r="C12" i="3" s="1"/>
  <c r="L145" i="3"/>
  <c r="D157" i="3"/>
  <c r="C157" i="3"/>
  <c r="N145" i="3"/>
  <c r="H650" i="3" s="1"/>
  <c r="J145" i="3"/>
  <c r="C884" i="3" s="1"/>
  <c r="C885" i="3" s="1"/>
  <c r="C886" i="3" s="1"/>
  <c r="F145" i="3"/>
  <c r="Q187" i="3"/>
  <c r="Q184" i="3"/>
  <c r="Q186" i="3"/>
  <c r="Q185" i="3"/>
  <c r="D389" i="3"/>
  <c r="D390" i="3"/>
  <c r="C390" i="3"/>
  <c r="B389" i="3"/>
  <c r="E396" i="3"/>
  <c r="C389" i="3"/>
  <c r="B394" i="3"/>
  <c r="B398" i="3"/>
  <c r="D395" i="3"/>
  <c r="C395" i="3"/>
  <c r="D396" i="3"/>
  <c r="D391" i="3"/>
  <c r="E394" i="3"/>
  <c r="D397" i="3"/>
  <c r="D398" i="3"/>
  <c r="C398" i="3"/>
  <c r="C396" i="3"/>
  <c r="E398" i="3"/>
  <c r="E390" i="3"/>
  <c r="C392" i="3"/>
  <c r="E397" i="3"/>
  <c r="E391" i="3"/>
  <c r="D392" i="3"/>
  <c r="C394" i="3"/>
  <c r="C391" i="3"/>
  <c r="B392" i="3"/>
  <c r="E393" i="3"/>
  <c r="B393" i="3"/>
  <c r="B396" i="3"/>
  <c r="B397" i="3"/>
  <c r="D394" i="3"/>
  <c r="E395" i="3"/>
  <c r="B390" i="3"/>
  <c r="B391" i="3"/>
  <c r="C397" i="3"/>
  <c r="D393" i="3"/>
  <c r="C393" i="3"/>
  <c r="E389" i="3"/>
  <c r="B395" i="3"/>
  <c r="E392" i="3"/>
  <c r="D217" i="3"/>
  <c r="D264" i="3"/>
  <c r="D266" i="3" s="1"/>
  <c r="E341" i="3"/>
  <c r="E342" i="3" s="1"/>
  <c r="E293" i="3"/>
  <c r="C327" i="3"/>
  <c r="D327" i="3" s="1"/>
  <c r="G341" i="3"/>
  <c r="G342" i="3" s="1"/>
  <c r="D218" i="3"/>
  <c r="L204" i="3"/>
  <c r="E264" i="3"/>
  <c r="E266" i="3" s="1"/>
  <c r="E268" i="3" s="1"/>
  <c r="L342" i="3" l="1"/>
  <c r="I351" i="3" s="1"/>
  <c r="AB508" i="3"/>
  <c r="M575" i="3"/>
  <c r="M574" i="3" s="1"/>
  <c r="C13" i="3"/>
  <c r="AT55" i="3"/>
  <c r="I46" i="3"/>
  <c r="AT56" i="3"/>
  <c r="Q46" i="3"/>
  <c r="AT62" i="3"/>
  <c r="F266" i="3"/>
  <c r="D268" i="3"/>
  <c r="I359" i="3" l="1"/>
  <c r="I358" i="3"/>
  <c r="H351" i="3"/>
  <c r="H358" i="3" s="1"/>
  <c r="I370" i="3"/>
  <c r="D146" i="10"/>
  <c r="D147" i="10" s="1"/>
  <c r="I158" i="18" s="1"/>
  <c r="I161" i="18" s="1"/>
  <c r="C906" i="3"/>
  <c r="C907" i="3" s="1"/>
  <c r="N46" i="3"/>
  <c r="F46" i="3"/>
  <c r="AD62" i="3" s="1"/>
  <c r="AE53" i="3"/>
  <c r="AD60" i="3"/>
  <c r="AE52" i="3"/>
  <c r="AD52" i="3"/>
  <c r="AD54" i="3"/>
  <c r="AE60" i="3"/>
  <c r="AD53" i="3"/>
  <c r="AD51" i="3"/>
  <c r="AE54" i="3"/>
  <c r="AE55" i="3"/>
  <c r="AD55" i="3"/>
  <c r="F268" i="3"/>
  <c r="AD46" i="3" l="1"/>
  <c r="C170" i="3" s="1"/>
  <c r="AE46" i="3"/>
  <c r="D170" i="3" s="1"/>
  <c r="H369" i="3"/>
  <c r="H359" i="3"/>
  <c r="J57" i="3"/>
  <c r="J59" i="3"/>
  <c r="J58" i="3"/>
  <c r="J68" i="3"/>
  <c r="J64" i="3"/>
  <c r="J66" i="3"/>
  <c r="J69" i="3"/>
  <c r="J53" i="3"/>
  <c r="J70" i="3"/>
  <c r="AE62" i="3"/>
  <c r="J51" i="3"/>
  <c r="J52" i="3"/>
  <c r="J50" i="3"/>
  <c r="J54" i="3"/>
  <c r="J60" i="3"/>
  <c r="J55" i="3"/>
  <c r="J63" i="3"/>
  <c r="J62" i="3"/>
  <c r="J61" i="3"/>
  <c r="J67" i="3"/>
  <c r="J65" i="3"/>
  <c r="J56" i="3"/>
  <c r="R56" i="3"/>
  <c r="D93" i="3" s="1"/>
  <c r="G93" i="3" s="1"/>
  <c r="R62" i="3"/>
  <c r="D99" i="3" s="1"/>
  <c r="G99" i="3" s="1"/>
  <c r="R51" i="3"/>
  <c r="D88" i="3" s="1"/>
  <c r="G88" i="3" s="1"/>
  <c r="R65" i="3"/>
  <c r="D102" i="3" s="1"/>
  <c r="G102" i="3" s="1"/>
  <c r="R55" i="3"/>
  <c r="D92" i="3" s="1"/>
  <c r="G92" i="3" s="1"/>
  <c r="R52" i="3"/>
  <c r="D89" i="3" s="1"/>
  <c r="G89" i="3" s="1"/>
  <c r="R59" i="3"/>
  <c r="D96" i="3" s="1"/>
  <c r="G96" i="3" s="1"/>
  <c r="R70" i="3"/>
  <c r="D107" i="3" s="1"/>
  <c r="G107" i="3" s="1"/>
  <c r="R57" i="3"/>
  <c r="D94" i="3" s="1"/>
  <c r="G94" i="3" s="1"/>
  <c r="R50" i="3"/>
  <c r="D87" i="3" s="1"/>
  <c r="R61" i="3"/>
  <c r="D98" i="3" s="1"/>
  <c r="G98" i="3" s="1"/>
  <c r="R64" i="3"/>
  <c r="D101" i="3" s="1"/>
  <c r="G101" i="3" s="1"/>
  <c r="R67" i="3"/>
  <c r="D104" i="3" s="1"/>
  <c r="G104" i="3" s="1"/>
  <c r="R53" i="3"/>
  <c r="D90" i="3" s="1"/>
  <c r="R58" i="3"/>
  <c r="D95" i="3" s="1"/>
  <c r="G95" i="3" s="1"/>
  <c r="R68" i="3"/>
  <c r="D105" i="3" s="1"/>
  <c r="G105" i="3" s="1"/>
  <c r="R63" i="3"/>
  <c r="D100" i="3" s="1"/>
  <c r="G100" i="3" s="1"/>
  <c r="R66" i="3"/>
  <c r="D103" i="3" s="1"/>
  <c r="G103" i="3" s="1"/>
  <c r="R60" i="3"/>
  <c r="D97" i="3" s="1"/>
  <c r="G97" i="3" s="1"/>
  <c r="R54" i="3"/>
  <c r="D91" i="3" s="1"/>
  <c r="G91" i="3" s="1"/>
  <c r="R69" i="3"/>
  <c r="D106" i="3" s="1"/>
  <c r="G106" i="3" s="1"/>
  <c r="G87" i="3" l="1"/>
  <c r="G10" i="18"/>
  <c r="E47" i="69" s="1"/>
  <c r="H47" i="69" s="1"/>
  <c r="H51" i="69" s="1"/>
  <c r="H228" i="3"/>
  <c r="E170" i="3"/>
  <c r="C175" i="3" s="1"/>
  <c r="C93" i="3"/>
  <c r="F93" i="3" s="1"/>
  <c r="Y56" i="3"/>
  <c r="Z56" i="3" s="1"/>
  <c r="Y65" i="3"/>
  <c r="Z65" i="3" s="1"/>
  <c r="C102" i="3"/>
  <c r="F102" i="3" s="1"/>
  <c r="C107" i="3"/>
  <c r="F107" i="3" s="1"/>
  <c r="Y70" i="3"/>
  <c r="Z70" i="3" s="1"/>
  <c r="Y55" i="3"/>
  <c r="Z55" i="3" s="1"/>
  <c r="C92" i="3"/>
  <c r="F92" i="3" s="1"/>
  <c r="Y68" i="3"/>
  <c r="Z68" i="3" s="1"/>
  <c r="C105" i="3"/>
  <c r="F105" i="3" s="1"/>
  <c r="C104" i="3"/>
  <c r="F104" i="3" s="1"/>
  <c r="Y67" i="3"/>
  <c r="Z67" i="3" s="1"/>
  <c r="Y66" i="3"/>
  <c r="Z66" i="3" s="1"/>
  <c r="C103" i="3"/>
  <c r="F103" i="3" s="1"/>
  <c r="Y64" i="3"/>
  <c r="Z64" i="3" s="1"/>
  <c r="C101" i="3"/>
  <c r="F101" i="3" s="1"/>
  <c r="C97" i="3"/>
  <c r="F97" i="3" s="1"/>
  <c r="Y60" i="3"/>
  <c r="Z60" i="3" s="1"/>
  <c r="Y58" i="3"/>
  <c r="Z58" i="3" s="1"/>
  <c r="C95" i="3"/>
  <c r="F95" i="3" s="1"/>
  <c r="C106" i="3"/>
  <c r="F106" i="3" s="1"/>
  <c r="Y69" i="3"/>
  <c r="Z69" i="3" s="1"/>
  <c r="Y54" i="3"/>
  <c r="Z54" i="3" s="1"/>
  <c r="C91" i="3"/>
  <c r="F91" i="3" s="1"/>
  <c r="Y59" i="3"/>
  <c r="Z59" i="3" s="1"/>
  <c r="C96" i="3"/>
  <c r="F96" i="3" s="1"/>
  <c r="Y50" i="3"/>
  <c r="Z50" i="3" s="1"/>
  <c r="C87" i="3"/>
  <c r="C94" i="3"/>
  <c r="F94" i="3" s="1"/>
  <c r="Y57" i="3"/>
  <c r="Z57" i="3" s="1"/>
  <c r="Y61" i="3"/>
  <c r="Z61" i="3" s="1"/>
  <c r="C98" i="3"/>
  <c r="F98" i="3" s="1"/>
  <c r="C99" i="3"/>
  <c r="F99" i="3" s="1"/>
  <c r="AN62" i="3"/>
  <c r="Y62" i="3"/>
  <c r="Z62" i="3" s="1"/>
  <c r="Y63" i="3"/>
  <c r="Z63" i="3" s="1"/>
  <c r="C100" i="3"/>
  <c r="F100" i="3" s="1"/>
  <c r="G90" i="3"/>
  <c r="D108" i="3"/>
  <c r="U356" i="3" s="1"/>
  <c r="Y52" i="3"/>
  <c r="Z52" i="3" s="1"/>
  <c r="AF52" i="3"/>
  <c r="C89" i="3"/>
  <c r="F89" i="3" s="1"/>
  <c r="Y53" i="3"/>
  <c r="Z53" i="3" s="1"/>
  <c r="AF53" i="3"/>
  <c r="C90" i="3"/>
  <c r="Y51" i="3"/>
  <c r="Z51" i="3" s="1"/>
  <c r="C88" i="3"/>
  <c r="F88" i="3" s="1"/>
  <c r="AF51" i="3"/>
  <c r="D24" i="18" l="1"/>
  <c r="D27" i="18" s="1"/>
  <c r="E8" i="69"/>
  <c r="I10" i="18"/>
  <c r="E158" i="18" s="1"/>
  <c r="H159" i="18" s="1"/>
  <c r="W356" i="3"/>
  <c r="F87" i="3"/>
  <c r="G9" i="18"/>
  <c r="E46" i="69" s="1"/>
  <c r="J3" i="69" s="1"/>
  <c r="AF46" i="3"/>
  <c r="I228" i="3" s="1"/>
  <c r="D175" i="3"/>
  <c r="E175" i="3" s="1"/>
  <c r="E165" i="3" s="1"/>
  <c r="A165" i="3" s="1"/>
  <c r="C179" i="3" s="1"/>
  <c r="G408" i="3" s="1"/>
  <c r="S10" i="18"/>
  <c r="C228" i="3"/>
  <c r="E183" i="3"/>
  <c r="J168" i="3" s="1"/>
  <c r="E261" i="3"/>
  <c r="C239" i="3"/>
  <c r="G183" i="3"/>
  <c r="D205" i="3"/>
  <c r="D206" i="3"/>
  <c r="G108" i="3"/>
  <c r="D4" i="10" s="1"/>
  <c r="F90" i="3"/>
  <c r="C108" i="3"/>
  <c r="U355" i="3" s="1"/>
  <c r="D36" i="43" l="1"/>
  <c r="E36" i="43" s="1"/>
  <c r="E37" i="43" s="1"/>
  <c r="D31" i="43"/>
  <c r="D8" i="69"/>
  <c r="F8" i="69" s="1"/>
  <c r="G14" i="69"/>
  <c r="G13" i="69"/>
  <c r="G15" i="69"/>
  <c r="G17" i="69" s="1"/>
  <c r="G18" i="69" s="1"/>
  <c r="G19" i="69" s="1"/>
  <c r="G24" i="69" s="1"/>
  <c r="G26" i="69" s="1"/>
  <c r="U10" i="18"/>
  <c r="AE10" i="18" s="1"/>
  <c r="AO10" i="18" s="1"/>
  <c r="H160" i="18"/>
  <c r="I9" i="18"/>
  <c r="D158" i="18" s="1"/>
  <c r="G159" i="18" s="1"/>
  <c r="I159" i="18" s="1"/>
  <c r="W355" i="3"/>
  <c r="V360" i="3"/>
  <c r="U358" i="3"/>
  <c r="V359" i="3" s="1"/>
  <c r="H206" i="3"/>
  <c r="L206" i="3"/>
  <c r="G206" i="3"/>
  <c r="F108" i="3"/>
  <c r="D3" i="10" s="1"/>
  <c r="L31" i="10"/>
  <c r="M31" i="10" s="1"/>
  <c r="O31" i="10" s="1"/>
  <c r="L32" i="10"/>
  <c r="M32" i="10" s="1"/>
  <c r="O32" i="10" s="1"/>
  <c r="S101" i="10"/>
  <c r="L69" i="10"/>
  <c r="S100" i="10"/>
  <c r="T100" i="10" s="1"/>
  <c r="V100" i="10" s="1"/>
  <c r="S82" i="10"/>
  <c r="T82" i="10" s="1"/>
  <c r="V82" i="10" s="1"/>
  <c r="D10" i="10"/>
  <c r="D8" i="10"/>
  <c r="S102" i="10"/>
  <c r="T102" i="10" s="1"/>
  <c r="V102" i="10" s="1"/>
  <c r="L35" i="10"/>
  <c r="D13" i="10"/>
  <c r="S76" i="10"/>
  <c r="T76" i="10" s="1"/>
  <c r="U76" i="10" s="1"/>
  <c r="L68" i="10"/>
  <c r="M68" i="10" s="1"/>
  <c r="O68" i="10" s="1"/>
  <c r="S83" i="10"/>
  <c r="T83" i="10" s="1"/>
  <c r="V83" i="10" s="1"/>
  <c r="L46" i="10"/>
  <c r="L45" i="10"/>
  <c r="S96" i="10"/>
  <c r="S91" i="10"/>
  <c r="L60" i="10"/>
  <c r="D18" i="10"/>
  <c r="S80" i="10"/>
  <c r="T80" i="10" s="1"/>
  <c r="V80" i="10" s="1"/>
  <c r="S92" i="10"/>
  <c r="S110" i="10"/>
  <c r="S97" i="10"/>
  <c r="L33" i="10"/>
  <c r="S86" i="10"/>
  <c r="S106" i="10"/>
  <c r="S108" i="10"/>
  <c r="L38" i="10"/>
  <c r="M38" i="10" s="1"/>
  <c r="O38" i="10" s="1"/>
  <c r="L55" i="10"/>
  <c r="M55" i="10" s="1"/>
  <c r="O55" i="10" s="1"/>
  <c r="D17" i="10"/>
  <c r="L59" i="10"/>
  <c r="M59" i="10" s="1"/>
  <c r="O59" i="10" s="1"/>
  <c r="L49" i="10"/>
  <c r="D9" i="10"/>
  <c r="D20" i="10"/>
  <c r="L43" i="10"/>
  <c r="S73" i="10"/>
  <c r="L39" i="10"/>
  <c r="M39" i="10" s="1"/>
  <c r="O39" i="10" s="1"/>
  <c r="L67" i="10"/>
  <c r="S75" i="10"/>
  <c r="T75" i="10" s="1"/>
  <c r="V75" i="10" s="1"/>
  <c r="L40" i="10"/>
  <c r="M40" i="10" s="1"/>
  <c r="O40" i="10" s="1"/>
  <c r="L48" i="10"/>
  <c r="L62" i="10"/>
  <c r="D19" i="10"/>
  <c r="S87" i="10"/>
  <c r="T87" i="10" s="1"/>
  <c r="V87" i="10" s="1"/>
  <c r="S85" i="10"/>
  <c r="T85" i="10" s="1"/>
  <c r="V85" i="10" s="1"/>
  <c r="S98" i="10"/>
  <c r="L66" i="10"/>
  <c r="L52" i="10"/>
  <c r="M52" i="10" s="1"/>
  <c r="O52" i="10" s="1"/>
  <c r="D11" i="10"/>
  <c r="S109" i="10"/>
  <c r="L65" i="10"/>
  <c r="S74" i="10"/>
  <c r="S99" i="10"/>
  <c r="T99" i="10" s="1"/>
  <c r="V99" i="10" s="1"/>
  <c r="L64" i="10"/>
  <c r="L36" i="10"/>
  <c r="L54" i="10"/>
  <c r="L58" i="10"/>
  <c r="L63" i="10"/>
  <c r="M63" i="10" s="1"/>
  <c r="O63" i="10" s="1"/>
  <c r="L53" i="10"/>
  <c r="S81" i="10"/>
  <c r="S95" i="10"/>
  <c r="S77" i="10"/>
  <c r="S88" i="10"/>
  <c r="L61" i="10"/>
  <c r="L47" i="10"/>
  <c r="M47" i="10" s="1"/>
  <c r="O47" i="10" s="1"/>
  <c r="D12" i="10"/>
  <c r="L42" i="10"/>
  <c r="S93" i="10"/>
  <c r="L44" i="10"/>
  <c r="S103" i="10"/>
  <c r="T103" i="10" s="1"/>
  <c r="V103" i="10" s="1"/>
  <c r="S84" i="10"/>
  <c r="S90" i="10"/>
  <c r="T90" i="10" s="1"/>
  <c r="V90" i="10" s="1"/>
  <c r="L34" i="10"/>
  <c r="M34" i="10" s="1"/>
  <c r="O34" i="10" s="1"/>
  <c r="L51" i="10"/>
  <c r="M51" i="10" s="1"/>
  <c r="O51" i="10" s="1"/>
  <c r="L56" i="10"/>
  <c r="M56" i="10" s="1"/>
  <c r="O56" i="10" s="1"/>
  <c r="D16" i="10"/>
  <c r="D21" i="10"/>
  <c r="L50" i="10"/>
  <c r="S107" i="10"/>
  <c r="S89" i="10"/>
  <c r="T89" i="10" s="1"/>
  <c r="V89" i="10" s="1"/>
  <c r="S104" i="10"/>
  <c r="L41" i="10"/>
  <c r="M41" i="10" s="1"/>
  <c r="O41" i="10" s="1"/>
  <c r="S94" i="10"/>
  <c r="T94" i="10" s="1"/>
  <c r="V94" i="10" s="1"/>
  <c r="S79" i="10"/>
  <c r="T79" i="10" s="1"/>
  <c r="V79" i="10" s="1"/>
  <c r="L57" i="10"/>
  <c r="M57" i="10" s="1"/>
  <c r="O57" i="10" s="1"/>
  <c r="D14" i="10"/>
  <c r="L37" i="10"/>
  <c r="M37" i="10" s="1"/>
  <c r="N37" i="10" s="1"/>
  <c r="S111" i="10"/>
  <c r="T111" i="10" s="1"/>
  <c r="U111" i="10" s="1"/>
  <c r="D23" i="10"/>
  <c r="S78" i="10"/>
  <c r="S105" i="10"/>
  <c r="D15" i="10"/>
  <c r="D22" i="10"/>
  <c r="G184" i="3"/>
  <c r="F184" i="3" s="1"/>
  <c r="G186" i="3"/>
  <c r="F186" i="3" s="1"/>
  <c r="G187" i="3"/>
  <c r="F187" i="3" s="1"/>
  <c r="G185" i="3"/>
  <c r="F185" i="3" s="1"/>
  <c r="L205" i="3"/>
  <c r="H205" i="3"/>
  <c r="K206" i="3"/>
  <c r="G205" i="3"/>
  <c r="G239" i="3"/>
  <c r="F239" i="3"/>
  <c r="C274" i="3"/>
  <c r="C275" i="3"/>
  <c r="E275" i="3" s="1"/>
  <c r="N187" i="3"/>
  <c r="E185" i="3"/>
  <c r="N184" i="3"/>
  <c r="E184" i="3"/>
  <c r="E186" i="3"/>
  <c r="N186" i="3"/>
  <c r="E187" i="3"/>
  <c r="N185" i="3"/>
  <c r="D76" i="11"/>
  <c r="D79" i="11" s="1"/>
  <c r="G228" i="3"/>
  <c r="F228" i="3"/>
  <c r="C218" i="3"/>
  <c r="C730" i="3"/>
  <c r="C11" i="18"/>
  <c r="E32" i="18" s="1"/>
  <c r="S9" i="18"/>
  <c r="E25" i="18"/>
  <c r="D261" i="3"/>
  <c r="C187" i="3"/>
  <c r="C206" i="3"/>
  <c r="C939" i="3"/>
  <c r="C186" i="3"/>
  <c r="C205" i="3"/>
  <c r="B228" i="3"/>
  <c r="C142" i="3"/>
  <c r="C185" i="3"/>
  <c r="B239" i="3"/>
  <c r="C184" i="3"/>
  <c r="H108" i="3"/>
  <c r="AC10" i="18"/>
  <c r="P24" i="18"/>
  <c r="P27" i="18" s="1"/>
  <c r="F37" i="43" l="1"/>
  <c r="G43" i="43"/>
  <c r="G46" i="43"/>
  <c r="G44" i="43"/>
  <c r="G45" i="43"/>
  <c r="E31" i="43"/>
  <c r="E32" i="43" s="1"/>
  <c r="G28" i="69"/>
  <c r="U9" i="18"/>
  <c r="AE9" i="18" s="1"/>
  <c r="AO9" i="18" s="1"/>
  <c r="G160" i="18"/>
  <c r="I160" i="18" s="1"/>
  <c r="K160" i="18" s="1"/>
  <c r="M159" i="18"/>
  <c r="K159" i="18"/>
  <c r="O159" i="18"/>
  <c r="J167" i="3"/>
  <c r="J166" i="3"/>
  <c r="V361" i="3"/>
  <c r="U351" i="3" s="1"/>
  <c r="E27" i="18"/>
  <c r="F27" i="18" s="1"/>
  <c r="D32" i="18" s="1"/>
  <c r="N40" i="10"/>
  <c r="U100" i="10"/>
  <c r="V111" i="10"/>
  <c r="N47" i="10"/>
  <c r="N38" i="10"/>
  <c r="U99" i="10"/>
  <c r="U82" i="10"/>
  <c r="N55" i="10"/>
  <c r="U83" i="10"/>
  <c r="N31" i="10"/>
  <c r="U94" i="10"/>
  <c r="V76" i="10"/>
  <c r="U90" i="10"/>
  <c r="U79" i="10"/>
  <c r="U87" i="10"/>
  <c r="U103" i="10"/>
  <c r="U102" i="10"/>
  <c r="N59" i="10"/>
  <c r="U80" i="10"/>
  <c r="U85" i="10"/>
  <c r="N52" i="10"/>
  <c r="N68" i="10"/>
  <c r="N63" i="10"/>
  <c r="U89" i="10"/>
  <c r="J945" i="3"/>
  <c r="D945" i="3"/>
  <c r="I945" i="3"/>
  <c r="O953" i="3"/>
  <c r="O950" i="3"/>
  <c r="L945" i="3"/>
  <c r="O956" i="3"/>
  <c r="G945" i="3"/>
  <c r="O955" i="3"/>
  <c r="O952" i="3"/>
  <c r="O948" i="3"/>
  <c r="K945" i="3"/>
  <c r="H945" i="3"/>
  <c r="O949" i="3"/>
  <c r="E945" i="3"/>
  <c r="C945" i="3"/>
  <c r="F945" i="3"/>
  <c r="M945" i="3"/>
  <c r="O957" i="3"/>
  <c r="O951" i="3"/>
  <c r="O954" i="3"/>
  <c r="M48" i="10"/>
  <c r="N48" i="10" s="1"/>
  <c r="T91" i="10"/>
  <c r="V91" i="10" s="1"/>
  <c r="T109" i="10"/>
  <c r="V109" i="10" s="1"/>
  <c r="U75" i="10"/>
  <c r="F206" i="3"/>
  <c r="E206" i="3"/>
  <c r="D187" i="3"/>
  <c r="J187" i="3"/>
  <c r="M61" i="10"/>
  <c r="O61" i="10" s="1"/>
  <c r="T74" i="10"/>
  <c r="V74" i="10" s="1"/>
  <c r="T96" i="10"/>
  <c r="V96" i="10" s="1"/>
  <c r="H187" i="3"/>
  <c r="I187" i="3"/>
  <c r="M67" i="10"/>
  <c r="O67" i="10" s="1"/>
  <c r="H184" i="3"/>
  <c r="I184" i="3"/>
  <c r="O11" i="18"/>
  <c r="Q25" i="18"/>
  <c r="AC9" i="18"/>
  <c r="T81" i="10"/>
  <c r="U81" i="10" s="1"/>
  <c r="T73" i="10"/>
  <c r="V73" i="10" s="1"/>
  <c r="M33" i="10"/>
  <c r="O33" i="10" s="1"/>
  <c r="M65" i="10"/>
  <c r="O65" i="10" s="1"/>
  <c r="Z24" i="18"/>
  <c r="Z27" i="18" s="1"/>
  <c r="AM10" i="18"/>
  <c r="AJ24" i="18" s="1"/>
  <c r="AJ27" i="18" s="1"/>
  <c r="T77" i="10"/>
  <c r="U77" i="10" s="1"/>
  <c r="T101" i="10"/>
  <c r="V101" i="10" s="1"/>
  <c r="E239" i="3"/>
  <c r="D239" i="3"/>
  <c r="G15" i="18"/>
  <c r="C12" i="18"/>
  <c r="G16" i="18"/>
  <c r="D185" i="3"/>
  <c r="J185" i="3"/>
  <c r="T84" i="10"/>
  <c r="V84" i="10" s="1"/>
  <c r="M53" i="10"/>
  <c r="N53" i="10" s="1"/>
  <c r="M66" i="10"/>
  <c r="O66" i="10" s="1"/>
  <c r="M43" i="10"/>
  <c r="O43" i="10" s="1"/>
  <c r="T97" i="10"/>
  <c r="V97" i="10" s="1"/>
  <c r="S66" i="10"/>
  <c r="S33" i="10"/>
  <c r="T33" i="10" s="1"/>
  <c r="V33" i="10" s="1"/>
  <c r="L74" i="10"/>
  <c r="L87" i="10"/>
  <c r="S43" i="10"/>
  <c r="L111" i="10"/>
  <c r="S46" i="10"/>
  <c r="C15" i="10"/>
  <c r="D5" i="10"/>
  <c r="S45" i="10"/>
  <c r="S55" i="10"/>
  <c r="L79" i="10"/>
  <c r="M79" i="10" s="1"/>
  <c r="O79" i="10" s="1"/>
  <c r="L105" i="10"/>
  <c r="M105" i="10" s="1"/>
  <c r="O105" i="10" s="1"/>
  <c r="S54" i="10"/>
  <c r="L92" i="10"/>
  <c r="S35" i="10"/>
  <c r="T35" i="10" s="1"/>
  <c r="V35" i="10" s="1"/>
  <c r="C23" i="10"/>
  <c r="C8" i="10"/>
  <c r="L81" i="10"/>
  <c r="L82" i="10"/>
  <c r="S50" i="10"/>
  <c r="T50" i="10" s="1"/>
  <c r="V50" i="10" s="1"/>
  <c r="L84" i="10"/>
  <c r="S61" i="10"/>
  <c r="T61" i="10" s="1"/>
  <c r="V61" i="10" s="1"/>
  <c r="L109" i="10"/>
  <c r="M109" i="10" s="1"/>
  <c r="O109" i="10" s="1"/>
  <c r="L96" i="10"/>
  <c r="C16" i="10"/>
  <c r="L98" i="10"/>
  <c r="S31" i="10"/>
  <c r="S67" i="10"/>
  <c r="T67" i="10" s="1"/>
  <c r="U67" i="10" s="1"/>
  <c r="S47" i="10"/>
  <c r="T47" i="10" s="1"/>
  <c r="V47" i="10" s="1"/>
  <c r="S53" i="10"/>
  <c r="T53" i="10" s="1"/>
  <c r="V53" i="10" s="1"/>
  <c r="S49" i="10"/>
  <c r="L73" i="10"/>
  <c r="C13" i="10"/>
  <c r="C17" i="10"/>
  <c r="L99" i="10"/>
  <c r="L90" i="10"/>
  <c r="M90" i="10" s="1"/>
  <c r="O90" i="10" s="1"/>
  <c r="L80" i="10"/>
  <c r="M80" i="10" s="1"/>
  <c r="O80" i="10" s="1"/>
  <c r="S63" i="10"/>
  <c r="T63" i="10" s="1"/>
  <c r="V63" i="10" s="1"/>
  <c r="L76" i="10"/>
  <c r="M76" i="10" s="1"/>
  <c r="O76" i="10" s="1"/>
  <c r="C14" i="10"/>
  <c r="S32" i="10"/>
  <c r="T32" i="10" s="1"/>
  <c r="V32" i="10" s="1"/>
  <c r="L106" i="10"/>
  <c r="S62" i="10"/>
  <c r="T62" i="10" s="1"/>
  <c r="V62" i="10" s="1"/>
  <c r="L77" i="10"/>
  <c r="M77" i="10" s="1"/>
  <c r="O77" i="10" s="1"/>
  <c r="S39" i="10"/>
  <c r="L89" i="10"/>
  <c r="C18" i="10"/>
  <c r="L97" i="10"/>
  <c r="S64" i="10"/>
  <c r="S51" i="10"/>
  <c r="T51" i="10" s="1"/>
  <c r="V51" i="10" s="1"/>
  <c r="S42" i="10"/>
  <c r="S40" i="10"/>
  <c r="S59" i="10"/>
  <c r="C22" i="10"/>
  <c r="C12" i="10"/>
  <c r="S69" i="10"/>
  <c r="T69" i="10" s="1"/>
  <c r="V69" i="10" s="1"/>
  <c r="L86" i="10"/>
  <c r="M86" i="10" s="1"/>
  <c r="N86" i="10" s="1"/>
  <c r="L95" i="10"/>
  <c r="S41" i="10"/>
  <c r="T41" i="10" s="1"/>
  <c r="V41" i="10" s="1"/>
  <c r="L85" i="10"/>
  <c r="C10" i="10"/>
  <c r="L103" i="10"/>
  <c r="L102" i="10"/>
  <c r="M102" i="10" s="1"/>
  <c r="O102" i="10" s="1"/>
  <c r="S68" i="10"/>
  <c r="S58" i="10"/>
  <c r="T58" i="10" s="1"/>
  <c r="V58" i="10" s="1"/>
  <c r="L101" i="10"/>
  <c r="C21" i="10"/>
  <c r="S44" i="10"/>
  <c r="S37" i="10"/>
  <c r="T37" i="10" s="1"/>
  <c r="V37" i="10" s="1"/>
  <c r="S34" i="10"/>
  <c r="S65" i="10"/>
  <c r="T65" i="10" s="1"/>
  <c r="V65" i="10" s="1"/>
  <c r="L93" i="10"/>
  <c r="M93" i="10" s="1"/>
  <c r="O93" i="10" s="1"/>
  <c r="S38" i="10"/>
  <c r="C9" i="10"/>
  <c r="C11" i="10"/>
  <c r="S52" i="10"/>
  <c r="S48" i="10"/>
  <c r="S36" i="10"/>
  <c r="T36" i="10" s="1"/>
  <c r="V36" i="10" s="1"/>
  <c r="L107" i="10"/>
  <c r="S60" i="10"/>
  <c r="T60" i="10" s="1"/>
  <c r="V60" i="10" s="1"/>
  <c r="L88" i="10"/>
  <c r="M88" i="10" s="1"/>
  <c r="O88" i="10" s="1"/>
  <c r="L83" i="10"/>
  <c r="M83" i="10" s="1"/>
  <c r="O83" i="10" s="1"/>
  <c r="L94" i="10"/>
  <c r="C19" i="10"/>
  <c r="S56" i="10"/>
  <c r="T56" i="10" s="1"/>
  <c r="V56" i="10" s="1"/>
  <c r="L110" i="10"/>
  <c r="L75" i="10"/>
  <c r="M75" i="10" s="1"/>
  <c r="O75" i="10" s="1"/>
  <c r="L108" i="10"/>
  <c r="L104" i="10"/>
  <c r="L100" i="10"/>
  <c r="M100" i="10" s="1"/>
  <c r="O100" i="10" s="1"/>
  <c r="L91" i="10"/>
  <c r="S57" i="10"/>
  <c r="T57" i="10" s="1"/>
  <c r="V57" i="10" s="1"/>
  <c r="C20" i="10"/>
  <c r="L78" i="10"/>
  <c r="M78" i="10" s="1"/>
  <c r="N78" i="10" s="1"/>
  <c r="T88" i="10"/>
  <c r="V88" i="10" s="1"/>
  <c r="T106" i="10"/>
  <c r="V106" i="10" s="1"/>
  <c r="D127" i="3"/>
  <c r="E127" i="3" s="1"/>
  <c r="D122" i="3"/>
  <c r="E122" i="3" s="1"/>
  <c r="D123" i="3"/>
  <c r="E123" i="3" s="1"/>
  <c r="D121" i="3"/>
  <c r="D124" i="3"/>
  <c r="E124" i="3" s="1"/>
  <c r="D126" i="3"/>
  <c r="E126" i="3" s="1"/>
  <c r="D128" i="3"/>
  <c r="E128" i="3" s="1"/>
  <c r="D125" i="3"/>
  <c r="E125" i="3" s="1"/>
  <c r="I108" i="3"/>
  <c r="Q86" i="11" s="1"/>
  <c r="D6" i="43"/>
  <c r="J184" i="3"/>
  <c r="D184" i="3"/>
  <c r="I185" i="3"/>
  <c r="H185" i="3"/>
  <c r="E750" i="3"/>
  <c r="D750" i="3"/>
  <c r="C750" i="3"/>
  <c r="G750" i="3"/>
  <c r="H750" i="3"/>
  <c r="F750" i="3"/>
  <c r="T98" i="10"/>
  <c r="V98" i="10" s="1"/>
  <c r="T110" i="10"/>
  <c r="V110" i="10" s="1"/>
  <c r="M69" i="10"/>
  <c r="O69" i="10" s="1"/>
  <c r="J186" i="3"/>
  <c r="D186" i="3"/>
  <c r="N39" i="10"/>
  <c r="N34" i="10"/>
  <c r="N41" i="10"/>
  <c r="D145" i="3"/>
  <c r="C145" i="3"/>
  <c r="T104" i="10"/>
  <c r="V104" i="10" s="1"/>
  <c r="M44" i="10"/>
  <c r="O44" i="10" s="1"/>
  <c r="M58" i="10"/>
  <c r="O58" i="10" s="1"/>
  <c r="T92" i="10"/>
  <c r="V92" i="10" s="1"/>
  <c r="M35" i="10"/>
  <c r="N35" i="10" s="1"/>
  <c r="M45" i="10"/>
  <c r="O45" i="10" s="1"/>
  <c r="N56" i="10"/>
  <c r="O37" i="10"/>
  <c r="C217" i="3"/>
  <c r="E218" i="3" s="1"/>
  <c r="E228" i="3"/>
  <c r="C76" i="11"/>
  <c r="C79" i="11" s="1"/>
  <c r="E79" i="11" s="1"/>
  <c r="C729" i="3"/>
  <c r="D228" i="3"/>
  <c r="E274" i="3"/>
  <c r="T93" i="10"/>
  <c r="V93" i="10" s="1"/>
  <c r="M54" i="10"/>
  <c r="O54" i="10" s="1"/>
  <c r="M49" i="10"/>
  <c r="O49" i="10" s="1"/>
  <c r="T108" i="10"/>
  <c r="U108" i="10" s="1"/>
  <c r="F261" i="3"/>
  <c r="B275" i="3"/>
  <c r="B274" i="3"/>
  <c r="D274" i="3" s="1"/>
  <c r="M46" i="10"/>
  <c r="O46" i="10" s="1"/>
  <c r="T95" i="10"/>
  <c r="V95" i="10" s="1"/>
  <c r="T86" i="10"/>
  <c r="V86" i="10" s="1"/>
  <c r="N57" i="10"/>
  <c r="J206" i="3"/>
  <c r="F205" i="3"/>
  <c r="E205" i="3"/>
  <c r="T105" i="10"/>
  <c r="V105" i="10" s="1"/>
  <c r="T107" i="10"/>
  <c r="V107" i="10" s="1"/>
  <c r="M42" i="10"/>
  <c r="O42" i="10" s="1"/>
  <c r="M36" i="10"/>
  <c r="N36" i="10" s="1"/>
  <c r="D24" i="10"/>
  <c r="N51" i="10"/>
  <c r="N32" i="10"/>
  <c r="I186" i="3"/>
  <c r="H186" i="3"/>
  <c r="T78" i="10"/>
  <c r="V78" i="10" s="1"/>
  <c r="M50" i="10"/>
  <c r="N50" i="10" s="1"/>
  <c r="M64" i="10"/>
  <c r="O64" i="10" s="1"/>
  <c r="M62" i="10"/>
  <c r="N62" i="10" s="1"/>
  <c r="M60" i="10"/>
  <c r="O60" i="10" s="1"/>
  <c r="D43" i="43" l="1"/>
  <c r="F32" i="43"/>
  <c r="D46" i="43"/>
  <c r="D44" i="43"/>
  <c r="D45" i="43"/>
  <c r="G34" i="69"/>
  <c r="G39" i="69" s="1"/>
  <c r="G29" i="69"/>
  <c r="G30" i="69"/>
  <c r="C91" i="43"/>
  <c r="B91" i="43" s="1"/>
  <c r="O160" i="18"/>
  <c r="M160" i="18"/>
  <c r="I162" i="18"/>
  <c r="D45" i="18" s="1"/>
  <c r="D33" i="18"/>
  <c r="D52" i="18" s="1"/>
  <c r="J169" i="3"/>
  <c r="X356" i="3" s="1"/>
  <c r="Q27" i="18"/>
  <c r="R27" i="18" s="1"/>
  <c r="P32" i="18" s="1"/>
  <c r="U51" i="10"/>
  <c r="N105" i="10"/>
  <c r="N66" i="10"/>
  <c r="U101" i="10"/>
  <c r="U62" i="10"/>
  <c r="U97" i="10"/>
  <c r="U56" i="10"/>
  <c r="U37" i="10"/>
  <c r="U95" i="10"/>
  <c r="U63" i="10"/>
  <c r="U33" i="10"/>
  <c r="N79" i="10"/>
  <c r="O50" i="10"/>
  <c r="N100" i="10"/>
  <c r="U36" i="10"/>
  <c r="U57" i="10"/>
  <c r="U69" i="10"/>
  <c r="U74" i="10"/>
  <c r="U58" i="10"/>
  <c r="U60" i="10"/>
  <c r="N44" i="10"/>
  <c r="N102" i="10"/>
  <c r="N45" i="10"/>
  <c r="N65" i="10"/>
  <c r="U109" i="10"/>
  <c r="N33" i="10"/>
  <c r="N76" i="10"/>
  <c r="N75" i="10"/>
  <c r="N46" i="10"/>
  <c r="N77" i="10"/>
  <c r="U50" i="10"/>
  <c r="P206" i="3"/>
  <c r="A206" i="3" s="1"/>
  <c r="U35" i="10"/>
  <c r="N88" i="10"/>
  <c r="O36" i="10"/>
  <c r="O86" i="10"/>
  <c r="G274" i="3"/>
  <c r="H274" i="3" s="1"/>
  <c r="O78" i="10"/>
  <c r="N90" i="10"/>
  <c r="O62" i="10"/>
  <c r="N69" i="10"/>
  <c r="C960" i="3"/>
  <c r="N109" i="10"/>
  <c r="U98" i="10"/>
  <c r="U61" i="10"/>
  <c r="U78" i="10"/>
  <c r="P205" i="3"/>
  <c r="A205" i="3" s="1"/>
  <c r="D18" i="18"/>
  <c r="D21" i="18" s="1"/>
  <c r="D50" i="18" s="1"/>
  <c r="V108" i="10"/>
  <c r="U73" i="10"/>
  <c r="U65" i="10"/>
  <c r="U41" i="10"/>
  <c r="O48" i="10"/>
  <c r="C24" i="10"/>
  <c r="P97" i="10" s="1"/>
  <c r="O53" i="10"/>
  <c r="N93" i="10"/>
  <c r="N83" i="10"/>
  <c r="O35" i="10"/>
  <c r="U86" i="10"/>
  <c r="N54" i="10"/>
  <c r="U84" i="10"/>
  <c r="V77" i="10"/>
  <c r="R186" i="3"/>
  <c r="A186" i="3" s="1"/>
  <c r="S186" i="3"/>
  <c r="M91" i="10"/>
  <c r="N91" i="10" s="1"/>
  <c r="M107" i="10"/>
  <c r="O107" i="10" s="1"/>
  <c r="T49" i="10"/>
  <c r="V49" i="10" s="1"/>
  <c r="M82" i="10"/>
  <c r="O82" i="10" s="1"/>
  <c r="U32" i="10"/>
  <c r="V67" i="10"/>
  <c r="N60" i="10"/>
  <c r="F275" i="3"/>
  <c r="D275" i="3"/>
  <c r="G275" i="3" s="1"/>
  <c r="H275" i="3" s="1"/>
  <c r="U92" i="10"/>
  <c r="D119" i="3"/>
  <c r="E121" i="3"/>
  <c r="E119" i="3" s="1"/>
  <c r="C1052" i="3" s="1"/>
  <c r="M101" i="10"/>
  <c r="N101" i="10" s="1"/>
  <c r="M106" i="10"/>
  <c r="O106" i="10" s="1"/>
  <c r="M81" i="10"/>
  <c r="O81" i="10" s="1"/>
  <c r="T46" i="10"/>
  <c r="U46" i="10" s="1"/>
  <c r="S958" i="3"/>
  <c r="R958" i="3"/>
  <c r="T958" i="3"/>
  <c r="U958" i="3"/>
  <c r="W958" i="3"/>
  <c r="V958" i="3"/>
  <c r="N58" i="10"/>
  <c r="R185" i="3"/>
  <c r="A185" i="3" s="1"/>
  <c r="S185" i="3"/>
  <c r="T52" i="10"/>
  <c r="V52" i="10" s="1"/>
  <c r="T68" i="10"/>
  <c r="V68" i="10" s="1"/>
  <c r="T40" i="10"/>
  <c r="V40" i="10" s="1"/>
  <c r="T43" i="10"/>
  <c r="V43" i="10" s="1"/>
  <c r="N67" i="10"/>
  <c r="W106" i="10"/>
  <c r="X106" i="10" s="1"/>
  <c r="W92" i="10"/>
  <c r="X92" i="10" s="1"/>
  <c r="P68" i="10"/>
  <c r="Q68" i="10" s="1"/>
  <c r="W86" i="10"/>
  <c r="X86" i="10" s="1"/>
  <c r="P32" i="10"/>
  <c r="Q32" i="10" s="1"/>
  <c r="P33" i="10"/>
  <c r="Q33" i="10" s="1"/>
  <c r="W107" i="10"/>
  <c r="X107" i="10" s="1"/>
  <c r="W90" i="10"/>
  <c r="X90" i="10" s="1"/>
  <c r="P56" i="10"/>
  <c r="Q56" i="10" s="1"/>
  <c r="W110" i="10"/>
  <c r="X110" i="10" s="1"/>
  <c r="P67" i="10"/>
  <c r="Q67" i="10" s="1"/>
  <c r="P57" i="10"/>
  <c r="Q57" i="10" s="1"/>
  <c r="W97" i="10"/>
  <c r="X97" i="10" s="1"/>
  <c r="P58" i="10"/>
  <c r="Q58" i="10" s="1"/>
  <c r="W76" i="10"/>
  <c r="X76" i="10" s="1"/>
  <c r="W77" i="10"/>
  <c r="P35" i="10"/>
  <c r="W94" i="10"/>
  <c r="X94" i="10" s="1"/>
  <c r="P49" i="10"/>
  <c r="Q49" i="10" s="1"/>
  <c r="P66" i="10"/>
  <c r="Q66" i="10" s="1"/>
  <c r="W87" i="10"/>
  <c r="X87" i="10" s="1"/>
  <c r="P44" i="10"/>
  <c r="Q44" i="10" s="1"/>
  <c r="P43" i="10"/>
  <c r="Q43" i="10" s="1"/>
  <c r="W82" i="10"/>
  <c r="X82" i="10" s="1"/>
  <c r="P46" i="10"/>
  <c r="Q46" i="10" s="1"/>
  <c r="P60" i="10"/>
  <c r="Q60" i="10" s="1"/>
  <c r="W104" i="10"/>
  <c r="X104" i="10" s="1"/>
  <c r="P38" i="10"/>
  <c r="Q38" i="10" s="1"/>
  <c r="P37" i="10"/>
  <c r="Q37" i="10" s="1"/>
  <c r="P47" i="10"/>
  <c r="Q47" i="10" s="1"/>
  <c r="W73" i="10"/>
  <c r="X73" i="10" s="1"/>
  <c r="P53" i="10"/>
  <c r="W84" i="10"/>
  <c r="X84" i="10" s="1"/>
  <c r="W75" i="10"/>
  <c r="X75" i="10" s="1"/>
  <c r="W91" i="10"/>
  <c r="X91" i="10" s="1"/>
  <c r="P48" i="10"/>
  <c r="W105" i="10"/>
  <c r="X105" i="10" s="1"/>
  <c r="P41" i="10"/>
  <c r="Q41" i="10" s="1"/>
  <c r="P39" i="10"/>
  <c r="Q39" i="10" s="1"/>
  <c r="W89" i="10"/>
  <c r="X89" i="10" s="1"/>
  <c r="P65" i="10"/>
  <c r="Q65" i="10" s="1"/>
  <c r="W98" i="10"/>
  <c r="X98" i="10" s="1"/>
  <c r="W88" i="10"/>
  <c r="X88" i="10" s="1"/>
  <c r="W74" i="10"/>
  <c r="X74" i="10" s="1"/>
  <c r="W101" i="10"/>
  <c r="X101" i="10" s="1"/>
  <c r="W108" i="10"/>
  <c r="P62" i="10"/>
  <c r="P63" i="10"/>
  <c r="Q63" i="10" s="1"/>
  <c r="P36" i="10"/>
  <c r="P34" i="10"/>
  <c r="Q34" i="10" s="1"/>
  <c r="W96" i="10"/>
  <c r="X96" i="10" s="1"/>
  <c r="P52" i="10"/>
  <c r="Q52" i="10" s="1"/>
  <c r="P55" i="10"/>
  <c r="Q55" i="10" s="1"/>
  <c r="P31" i="10"/>
  <c r="Q31" i="10" s="1"/>
  <c r="W102" i="10"/>
  <c r="X102" i="10" s="1"/>
  <c r="W80" i="10"/>
  <c r="X80" i="10" s="1"/>
  <c r="W85" i="10"/>
  <c r="X85" i="10" s="1"/>
  <c r="W95" i="10"/>
  <c r="X95" i="10" s="1"/>
  <c r="P54" i="10"/>
  <c r="Q54" i="10" s="1"/>
  <c r="P61" i="10"/>
  <c r="Q61" i="10" s="1"/>
  <c r="W93" i="10"/>
  <c r="X93" i="10" s="1"/>
  <c r="P59" i="10"/>
  <c r="Q59" i="10" s="1"/>
  <c r="W78" i="10"/>
  <c r="X78" i="10" s="1"/>
  <c r="W81" i="10"/>
  <c r="W99" i="10"/>
  <c r="X99" i="10" s="1"/>
  <c r="W79" i="10"/>
  <c r="X79" i="10" s="1"/>
  <c r="P64" i="10"/>
  <c r="Q64" i="10" s="1"/>
  <c r="P69" i="10"/>
  <c r="Q69" i="10" s="1"/>
  <c r="P45" i="10"/>
  <c r="Q45" i="10" s="1"/>
  <c r="W111" i="10"/>
  <c r="X111" i="10" s="1"/>
  <c r="P51" i="10"/>
  <c r="Q51" i="10" s="1"/>
  <c r="W103" i="10"/>
  <c r="X103" i="10" s="1"/>
  <c r="W100" i="10"/>
  <c r="X100" i="10" s="1"/>
  <c r="W83" i="10"/>
  <c r="X83" i="10" s="1"/>
  <c r="P50" i="10"/>
  <c r="P42" i="10"/>
  <c r="Q42" i="10" s="1"/>
  <c r="P40" i="10"/>
  <c r="Q40" i="10" s="1"/>
  <c r="W109" i="10"/>
  <c r="X109" i="10" s="1"/>
  <c r="T42" i="10"/>
  <c r="V42" i="10" s="1"/>
  <c r="T31" i="10"/>
  <c r="V31" i="10" s="1"/>
  <c r="M87" i="10"/>
  <c r="O87" i="10" s="1"/>
  <c r="T48" i="10"/>
  <c r="U48" i="10" s="1"/>
  <c r="T59" i="10"/>
  <c r="U59" i="10" s="1"/>
  <c r="N49" i="10"/>
  <c r="U110" i="10"/>
  <c r="U106" i="10"/>
  <c r="M110" i="10"/>
  <c r="N110" i="10" s="1"/>
  <c r="M103" i="10"/>
  <c r="O103" i="10" s="1"/>
  <c r="M98" i="10"/>
  <c r="O98" i="10" s="1"/>
  <c r="M92" i="10"/>
  <c r="O92" i="10" s="1"/>
  <c r="M74" i="10"/>
  <c r="N74" i="10" s="1"/>
  <c r="V81" i="10"/>
  <c r="S187" i="3"/>
  <c r="R187" i="3"/>
  <c r="A187" i="3" s="1"/>
  <c r="T38" i="10"/>
  <c r="V38" i="10" s="1"/>
  <c r="T64" i="10"/>
  <c r="U64" i="10" s="1"/>
  <c r="T54" i="10"/>
  <c r="V54" i="10" s="1"/>
  <c r="N64" i="10"/>
  <c r="N42" i="10"/>
  <c r="U104" i="10"/>
  <c r="D7" i="43"/>
  <c r="G16" i="43"/>
  <c r="U88" i="10"/>
  <c r="M85" i="10"/>
  <c r="O85" i="10" s="1"/>
  <c r="M97" i="10"/>
  <c r="O97" i="10" s="1"/>
  <c r="M96" i="10"/>
  <c r="O96" i="10" s="1"/>
  <c r="T66" i="10"/>
  <c r="V66" i="10" s="1"/>
  <c r="AA25" i="18"/>
  <c r="AM9" i="18"/>
  <c r="Y11" i="18"/>
  <c r="U96" i="10"/>
  <c r="N80" i="10"/>
  <c r="R84" i="11"/>
  <c r="X84" i="11"/>
  <c r="AD84" i="11"/>
  <c r="T84" i="11"/>
  <c r="AF97" i="11"/>
  <c r="X97" i="11"/>
  <c r="AE97" i="11"/>
  <c r="S97" i="11"/>
  <c r="Q97" i="11"/>
  <c r="AJ84" i="11"/>
  <c r="AH97" i="11"/>
  <c r="Z97" i="11"/>
  <c r="AC97" i="11"/>
  <c r="AG97" i="11"/>
  <c r="AB97" i="11"/>
  <c r="T97" i="11"/>
  <c r="W84" i="11"/>
  <c r="V84" i="11"/>
  <c r="AA84" i="11"/>
  <c r="AC84" i="11"/>
  <c r="AB84" i="11"/>
  <c r="AD97" i="11"/>
  <c r="AE84" i="11"/>
  <c r="AG84" i="11"/>
  <c r="S84" i="11"/>
  <c r="R97" i="11"/>
  <c r="V97" i="11"/>
  <c r="U84" i="11"/>
  <c r="Y97" i="11"/>
  <c r="W97" i="11"/>
  <c r="Y84" i="11"/>
  <c r="AF84" i="11"/>
  <c r="AH84" i="11"/>
  <c r="AI97" i="11"/>
  <c r="AA97" i="11"/>
  <c r="Z84" i="11"/>
  <c r="U97" i="11"/>
  <c r="AI84" i="11"/>
  <c r="M94" i="10"/>
  <c r="N94" i="10" s="1"/>
  <c r="M99" i="10"/>
  <c r="O99" i="10" s="1"/>
  <c r="U47" i="10"/>
  <c r="T34" i="10"/>
  <c r="V34" i="10" s="1"/>
  <c r="M95" i="10"/>
  <c r="O95" i="10" s="1"/>
  <c r="M89" i="10"/>
  <c r="O89" i="10" s="1"/>
  <c r="T55" i="10"/>
  <c r="V55" i="10" s="1"/>
  <c r="S15" i="18"/>
  <c r="Q32" i="18"/>
  <c r="S16" i="18"/>
  <c r="U107" i="10"/>
  <c r="U93" i="10"/>
  <c r="T39" i="10"/>
  <c r="V39" i="10" s="1"/>
  <c r="M84" i="10"/>
  <c r="O84" i="10" s="1"/>
  <c r="T45" i="10"/>
  <c r="V45" i="10" s="1"/>
  <c r="U91" i="10"/>
  <c r="A751" i="3"/>
  <c r="A755" i="3"/>
  <c r="A753" i="3"/>
  <c r="A752" i="3"/>
  <c r="A756" i="3"/>
  <c r="A754" i="3"/>
  <c r="M104" i="10"/>
  <c r="N104" i="10" s="1"/>
  <c r="M111" i="10"/>
  <c r="O111" i="10" s="1"/>
  <c r="M108" i="10"/>
  <c r="O108" i="10" s="1"/>
  <c r="U53" i="10"/>
  <c r="U105" i="10"/>
  <c r="F274" i="3"/>
  <c r="T44" i="10"/>
  <c r="V44" i="10" s="1"/>
  <c r="M73" i="10"/>
  <c r="N73" i="10" s="1"/>
  <c r="N43" i="10"/>
  <c r="S184" i="3"/>
  <c r="R184" i="3"/>
  <c r="N61" i="10"/>
  <c r="U350" i="3" l="1"/>
  <c r="W350" i="3"/>
  <c r="AA27" i="18"/>
  <c r="AB27" i="18" s="1"/>
  <c r="Z32" i="18" s="1"/>
  <c r="Q36" i="10"/>
  <c r="Q53" i="10"/>
  <c r="W66" i="10"/>
  <c r="X66" i="10" s="1"/>
  <c r="Z66" i="10" s="1"/>
  <c r="P107" i="10"/>
  <c r="Q107" i="10" s="1"/>
  <c r="Z107" i="10" s="1"/>
  <c r="Q50" i="10"/>
  <c r="W64" i="10"/>
  <c r="I275" i="3"/>
  <c r="U39" i="10"/>
  <c r="C961" i="3"/>
  <c r="C962" i="3" s="1"/>
  <c r="C963" i="3" s="1"/>
  <c r="N92" i="10"/>
  <c r="W43" i="10"/>
  <c r="X43" i="10" s="1"/>
  <c r="Z43" i="10" s="1"/>
  <c r="P105" i="10"/>
  <c r="Q105" i="10" s="1"/>
  <c r="Z105" i="10" s="1"/>
  <c r="P95" i="10"/>
  <c r="Q95" i="10" s="1"/>
  <c r="Z95" i="10" s="1"/>
  <c r="P92" i="10"/>
  <c r="Q92" i="10" s="1"/>
  <c r="Z92" i="10" s="1"/>
  <c r="AA92" i="10" s="1"/>
  <c r="W49" i="10"/>
  <c r="X49" i="10" s="1"/>
  <c r="Z49" i="10" s="1"/>
  <c r="P73" i="10"/>
  <c r="W67" i="10"/>
  <c r="X67" i="10" s="1"/>
  <c r="Z67" i="10" s="1"/>
  <c r="AA67" i="10" s="1"/>
  <c r="AC67" i="10" s="1"/>
  <c r="P78" i="10"/>
  <c r="Q78" i="10" s="1"/>
  <c r="Z78" i="10" s="1"/>
  <c r="AA78" i="10" s="1"/>
  <c r="AC78" i="10" s="1"/>
  <c r="W51" i="10"/>
  <c r="X51" i="10" s="1"/>
  <c r="Z51" i="10" s="1"/>
  <c r="AA51" i="10" s="1"/>
  <c r="AC51" i="10" s="1"/>
  <c r="W32" i="10"/>
  <c r="X32" i="10" s="1"/>
  <c r="Z32" i="10" s="1"/>
  <c r="W36" i="10"/>
  <c r="X36" i="10" s="1"/>
  <c r="P108" i="10"/>
  <c r="Q108" i="10" s="1"/>
  <c r="P111" i="10"/>
  <c r="Q111" i="10" s="1"/>
  <c r="Z111" i="10" s="1"/>
  <c r="AA111" i="10" s="1"/>
  <c r="AC111" i="10" s="1"/>
  <c r="P75" i="10"/>
  <c r="Q75" i="10" s="1"/>
  <c r="Z75" i="10" s="1"/>
  <c r="P93" i="10"/>
  <c r="Q93" i="10" s="1"/>
  <c r="Z93" i="10" s="1"/>
  <c r="P82" i="10"/>
  <c r="Q82" i="10" s="1"/>
  <c r="Z82" i="10" s="1"/>
  <c r="AA82" i="10" s="1"/>
  <c r="AC82" i="10" s="1"/>
  <c r="P100" i="10"/>
  <c r="Q100" i="10" s="1"/>
  <c r="Z100" i="10" s="1"/>
  <c r="W56" i="10"/>
  <c r="X56" i="10" s="1"/>
  <c r="Z56" i="10" s="1"/>
  <c r="P87" i="10"/>
  <c r="Q87" i="10" s="1"/>
  <c r="Z87" i="10" s="1"/>
  <c r="W61" i="10"/>
  <c r="X61" i="10" s="1"/>
  <c r="Z61" i="10" s="1"/>
  <c r="AA61" i="10" s="1"/>
  <c r="AC61" i="10" s="1"/>
  <c r="P90" i="10"/>
  <c r="Q90" i="10" s="1"/>
  <c r="Z90" i="10" s="1"/>
  <c r="AA90" i="10" s="1"/>
  <c r="P81" i="10"/>
  <c r="Q81" i="10" s="1"/>
  <c r="P88" i="10"/>
  <c r="Q88" i="10" s="1"/>
  <c r="Z88" i="10" s="1"/>
  <c r="P96" i="10"/>
  <c r="Q96" i="10" s="1"/>
  <c r="Z96" i="10" s="1"/>
  <c r="W62" i="10"/>
  <c r="X62" i="10" s="1"/>
  <c r="W59" i="10"/>
  <c r="W34" i="10"/>
  <c r="X34" i="10" s="1"/>
  <c r="Z34" i="10" s="1"/>
  <c r="W60" i="10"/>
  <c r="X60" i="10" s="1"/>
  <c r="Z60" i="10" s="1"/>
  <c r="W42" i="10"/>
  <c r="X42" i="10" s="1"/>
  <c r="Z42" i="10" s="1"/>
  <c r="P94" i="10"/>
  <c r="P86" i="10"/>
  <c r="Q86" i="10" s="1"/>
  <c r="Z86" i="10" s="1"/>
  <c r="P106" i="10"/>
  <c r="Q106" i="10" s="1"/>
  <c r="Z106" i="10" s="1"/>
  <c r="W53" i="10"/>
  <c r="X53" i="10" s="1"/>
  <c r="P103" i="10"/>
  <c r="Q103" i="10" s="1"/>
  <c r="Z103" i="10" s="1"/>
  <c r="AA103" i="10" s="1"/>
  <c r="AC103" i="10" s="1"/>
  <c r="P76" i="10"/>
  <c r="Q76" i="10" s="1"/>
  <c r="Z76" i="10" s="1"/>
  <c r="AA76" i="10" s="1"/>
  <c r="W31" i="10"/>
  <c r="X31" i="10" s="1"/>
  <c r="Z31" i="10" s="1"/>
  <c r="X77" i="10"/>
  <c r="W41" i="10"/>
  <c r="X41" i="10" s="1"/>
  <c r="Z41" i="10" s="1"/>
  <c r="AA41" i="10" s="1"/>
  <c r="P84" i="10"/>
  <c r="Q84" i="10" s="1"/>
  <c r="Z84" i="10" s="1"/>
  <c r="W50" i="10"/>
  <c r="X50" i="10" s="1"/>
  <c r="P99" i="10"/>
  <c r="Q99" i="10" s="1"/>
  <c r="Z99" i="10" s="1"/>
  <c r="P102" i="10"/>
  <c r="Q102" i="10" s="1"/>
  <c r="Z102" i="10" s="1"/>
  <c r="AA102" i="10" s="1"/>
  <c r="AC102" i="10" s="1"/>
  <c r="P101" i="10"/>
  <c r="W33" i="10"/>
  <c r="X33" i="10" s="1"/>
  <c r="Z33" i="10" s="1"/>
  <c r="P110" i="10"/>
  <c r="P77" i="10"/>
  <c r="Q77" i="10" s="1"/>
  <c r="P85" i="10"/>
  <c r="Q85" i="10" s="1"/>
  <c r="Z85" i="10" s="1"/>
  <c r="P18" i="18"/>
  <c r="P21" i="18" s="1"/>
  <c r="P50" i="18" s="1"/>
  <c r="W69" i="10"/>
  <c r="X69" i="10" s="1"/>
  <c r="Z69" i="10" s="1"/>
  <c r="P80" i="10"/>
  <c r="Q80" i="10" s="1"/>
  <c r="Z80" i="10" s="1"/>
  <c r="W45" i="10"/>
  <c r="X45" i="10" s="1"/>
  <c r="Z45" i="10" s="1"/>
  <c r="AA45" i="10" s="1"/>
  <c r="AC45" i="10" s="1"/>
  <c r="W65" i="10"/>
  <c r="X65" i="10" s="1"/>
  <c r="Z65" i="10" s="1"/>
  <c r="W37" i="10"/>
  <c r="X37" i="10" s="1"/>
  <c r="Z37" i="10" s="1"/>
  <c r="Q62" i="10"/>
  <c r="W40" i="10"/>
  <c r="X40" i="10" s="1"/>
  <c r="Z40" i="10" s="1"/>
  <c r="P83" i="10"/>
  <c r="Q83" i="10" s="1"/>
  <c r="Z83" i="10" s="1"/>
  <c r="W48" i="10"/>
  <c r="W47" i="10"/>
  <c r="X47" i="10" s="1"/>
  <c r="Z47" i="10" s="1"/>
  <c r="P74" i="10"/>
  <c r="W68" i="10"/>
  <c r="X68" i="10" s="1"/>
  <c r="Z68" i="10" s="1"/>
  <c r="P104" i="10"/>
  <c r="W38" i="10"/>
  <c r="X38" i="10" s="1"/>
  <c r="Z38" i="10" s="1"/>
  <c r="AA38" i="10" s="1"/>
  <c r="W63" i="10"/>
  <c r="X63" i="10" s="1"/>
  <c r="Z63" i="10" s="1"/>
  <c r="W46" i="10"/>
  <c r="X108" i="10"/>
  <c r="N97" i="10"/>
  <c r="O110" i="10"/>
  <c r="V59" i="10"/>
  <c r="Q48" i="10"/>
  <c r="U45" i="10"/>
  <c r="O74" i="10"/>
  <c r="K274" i="3"/>
  <c r="O104" i="10"/>
  <c r="Q35" i="10"/>
  <c r="P204" i="3"/>
  <c r="D351" i="3" s="1"/>
  <c r="D356" i="3" s="1"/>
  <c r="D373" i="3" s="1"/>
  <c r="U66" i="10"/>
  <c r="N103" i="10"/>
  <c r="V46" i="10"/>
  <c r="N96" i="10"/>
  <c r="K275" i="3"/>
  <c r="I274" i="3"/>
  <c r="N106" i="10"/>
  <c r="O94" i="10"/>
  <c r="U42" i="10"/>
  <c r="U54" i="10"/>
  <c r="U43" i="10"/>
  <c r="O91" i="10"/>
  <c r="O73" i="10"/>
  <c r="N111" i="10"/>
  <c r="N84" i="10"/>
  <c r="N89" i="10"/>
  <c r="W55" i="10"/>
  <c r="X55" i="10" s="1"/>
  <c r="Z55" i="10" s="1"/>
  <c r="AA55" i="10" s="1"/>
  <c r="W54" i="10"/>
  <c r="X54" i="10" s="1"/>
  <c r="Z54" i="10" s="1"/>
  <c r="P91" i="10"/>
  <c r="P109" i="10"/>
  <c r="Q109" i="10" s="1"/>
  <c r="Z109" i="10" s="1"/>
  <c r="W57" i="10"/>
  <c r="X57" i="10" s="1"/>
  <c r="Z57" i="10" s="1"/>
  <c r="W58" i="10"/>
  <c r="X58" i="10" s="1"/>
  <c r="Z58" i="10" s="1"/>
  <c r="P79" i="10"/>
  <c r="Q79" i="10" s="1"/>
  <c r="Z79" i="10" s="1"/>
  <c r="AA79" i="10" s="1"/>
  <c r="P98" i="10"/>
  <c r="Q98" i="10" s="1"/>
  <c r="Z98" i="10" s="1"/>
  <c r="W44" i="10"/>
  <c r="X44" i="10" s="1"/>
  <c r="Z44" i="10" s="1"/>
  <c r="W52" i="10"/>
  <c r="X52" i="10" s="1"/>
  <c r="Z52" i="10" s="1"/>
  <c r="W35" i="10"/>
  <c r="X35" i="10" s="1"/>
  <c r="P89" i="10"/>
  <c r="Q89" i="10" s="1"/>
  <c r="Z89" i="10" s="1"/>
  <c r="W39" i="10"/>
  <c r="X39" i="10" s="1"/>
  <c r="Z39" i="10" s="1"/>
  <c r="N81" i="10"/>
  <c r="U55" i="10"/>
  <c r="U187" i="3"/>
  <c r="V187" i="3"/>
  <c r="T187" i="3"/>
  <c r="V185" i="3"/>
  <c r="U185" i="3"/>
  <c r="T185" i="3"/>
  <c r="B208" i="3"/>
  <c r="C409" i="3" s="1"/>
  <c r="B209" i="3"/>
  <c r="D409" i="3" s="1"/>
  <c r="N107" i="10"/>
  <c r="A184" i="3"/>
  <c r="R180" i="3"/>
  <c r="C351" i="3" s="1"/>
  <c r="T184" i="3"/>
  <c r="U184" i="3"/>
  <c r="V184" i="3"/>
  <c r="N95" i="10"/>
  <c r="V48" i="10"/>
  <c r="O101" i="10"/>
  <c r="N108" i="10"/>
  <c r="K72" i="11"/>
  <c r="N85" i="10"/>
  <c r="N87" i="10"/>
  <c r="U40" i="10"/>
  <c r="E758" i="3"/>
  <c r="C758" i="3"/>
  <c r="H758" i="3"/>
  <c r="F758" i="3"/>
  <c r="D758" i="3"/>
  <c r="G758" i="3"/>
  <c r="AA32" i="18"/>
  <c r="AC16" i="18"/>
  <c r="AC15" i="18"/>
  <c r="V64" i="10"/>
  <c r="V186" i="3"/>
  <c r="T186" i="3"/>
  <c r="U186" i="3"/>
  <c r="R83" i="11"/>
  <c r="D84" i="11" s="1"/>
  <c r="U44" i="10"/>
  <c r="U34" i="10"/>
  <c r="N99" i="10"/>
  <c r="AK25" i="18"/>
  <c r="AI11" i="18"/>
  <c r="G22" i="43"/>
  <c r="G23" i="43"/>
  <c r="M23" i="43" s="1"/>
  <c r="G17" i="43"/>
  <c r="M17" i="43" s="1"/>
  <c r="G20" i="43"/>
  <c r="M20" i="43" s="1"/>
  <c r="U38" i="10"/>
  <c r="N98" i="10"/>
  <c r="U31" i="10"/>
  <c r="U68" i="10"/>
  <c r="N82" i="10"/>
  <c r="Q97" i="10"/>
  <c r="Z97" i="10" s="1"/>
  <c r="X81" i="10"/>
  <c r="U52" i="10"/>
  <c r="U49" i="10"/>
  <c r="AK27" i="18" l="1"/>
  <c r="AL27" i="18" s="1"/>
  <c r="AJ32" i="18" s="1"/>
  <c r="X64" i="10"/>
  <c r="Z64" i="10" s="1"/>
  <c r="AA64" i="10" s="1"/>
  <c r="AC64" i="10" s="1"/>
  <c r="Z53" i="10"/>
  <c r="AA53" i="10" s="1"/>
  <c r="AC53" i="10" s="1"/>
  <c r="X59" i="10"/>
  <c r="Z59" i="10" s="1"/>
  <c r="AA59" i="10" s="1"/>
  <c r="AC59" i="10" s="1"/>
  <c r="I271" i="3"/>
  <c r="J275" i="3" s="1"/>
  <c r="Z36" i="10"/>
  <c r="AA36" i="10" s="1"/>
  <c r="AC36" i="10" s="1"/>
  <c r="Z50" i="10"/>
  <c r="AA50" i="10" s="1"/>
  <c r="AC50" i="10" s="1"/>
  <c r="Q110" i="10"/>
  <c r="Z110" i="10" s="1"/>
  <c r="AA110" i="10" s="1"/>
  <c r="AC110" i="10" s="1"/>
  <c r="Z77" i="10"/>
  <c r="AA77" i="10" s="1"/>
  <c r="AC77" i="10" s="1"/>
  <c r="X48" i="10"/>
  <c r="Z48" i="10" s="1"/>
  <c r="AA48" i="10" s="1"/>
  <c r="AC48" i="10" s="1"/>
  <c r="D364" i="3"/>
  <c r="D354" i="3"/>
  <c r="D371" i="3" s="1"/>
  <c r="Q94" i="10"/>
  <c r="Z94" i="10" s="1"/>
  <c r="AA94" i="10" s="1"/>
  <c r="AC94" i="10" s="1"/>
  <c r="Q73" i="10"/>
  <c r="Z73" i="10" s="1"/>
  <c r="C73" i="10" s="1"/>
  <c r="Q104" i="10"/>
  <c r="Z104" i="10" s="1"/>
  <c r="AA104" i="10" s="1"/>
  <c r="AC104" i="10" s="1"/>
  <c r="Q74" i="10"/>
  <c r="Z74" i="10" s="1"/>
  <c r="Z62" i="10"/>
  <c r="AA62" i="10" s="1"/>
  <c r="AC62" i="10" s="1"/>
  <c r="AA86" i="10"/>
  <c r="AC86" i="10" s="1"/>
  <c r="AC76" i="10"/>
  <c r="AC92" i="10"/>
  <c r="X46" i="10"/>
  <c r="Z46" i="10" s="1"/>
  <c r="AA46" i="10" s="1"/>
  <c r="AC46" i="10" s="1"/>
  <c r="K271" i="3"/>
  <c r="Q101" i="10"/>
  <c r="Z101" i="10" s="1"/>
  <c r="AA101" i="10" s="1"/>
  <c r="AC101" i="10" s="1"/>
  <c r="AC41" i="10"/>
  <c r="Q91" i="10"/>
  <c r="Z91" i="10" s="1"/>
  <c r="AA91" i="10" s="1"/>
  <c r="AC91" i="10" s="1"/>
  <c r="AA37" i="10"/>
  <c r="AC37" i="10" s="1"/>
  <c r="AA65" i="10"/>
  <c r="AC65" i="10" s="1"/>
  <c r="Z108" i="10"/>
  <c r="AA56" i="10"/>
  <c r="AC56" i="10" s="1"/>
  <c r="AC90" i="10"/>
  <c r="AA98" i="10"/>
  <c r="AC98" i="10" s="1"/>
  <c r="AC55" i="10"/>
  <c r="B758" i="3"/>
  <c r="J761" i="3" s="1"/>
  <c r="Z35" i="10"/>
  <c r="AA35" i="10" s="1"/>
  <c r="AC35" i="10" s="1"/>
  <c r="AC38" i="10"/>
  <c r="D355" i="3"/>
  <c r="D372" i="3" s="1"/>
  <c r="AA52" i="10"/>
  <c r="AC52" i="10" s="1"/>
  <c r="AA109" i="10"/>
  <c r="AC109" i="10" s="1"/>
  <c r="AA58" i="10"/>
  <c r="AC58" i="10" s="1"/>
  <c r="AA57" i="10"/>
  <c r="AC57" i="10" s="1"/>
  <c r="AC79" i="10"/>
  <c r="Z18" i="18"/>
  <c r="Z21" i="18" s="1"/>
  <c r="Z50" i="18" s="1"/>
  <c r="AA44" i="10"/>
  <c r="AC44" i="10" s="1"/>
  <c r="AA88" i="10"/>
  <c r="AC88" i="10" s="1"/>
  <c r="AA69" i="10"/>
  <c r="AC69" i="10" s="1"/>
  <c r="Z81" i="10"/>
  <c r="AA81" i="10" s="1"/>
  <c r="AC81" i="10" s="1"/>
  <c r="C356" i="3"/>
  <c r="C373" i="3" s="1"/>
  <c r="C354" i="3"/>
  <c r="C371" i="3" s="1"/>
  <c r="C365" i="3"/>
  <c r="C352" i="3"/>
  <c r="H349" i="3"/>
  <c r="AA75" i="10"/>
  <c r="AC75" i="10" s="1"/>
  <c r="AA80" i="10"/>
  <c r="AC80" i="10" s="1"/>
  <c r="AA40" i="10"/>
  <c r="AC40" i="10" s="1"/>
  <c r="AA66" i="10"/>
  <c r="AC66" i="10" s="1"/>
  <c r="G25" i="43"/>
  <c r="M22" i="43"/>
  <c r="M16" i="43" s="1"/>
  <c r="AA106" i="10"/>
  <c r="AC106" i="10" s="1"/>
  <c r="AA95" i="10"/>
  <c r="AC95" i="10" s="1"/>
  <c r="AA49" i="10"/>
  <c r="AC49" i="10" s="1"/>
  <c r="AA97" i="10"/>
  <c r="AC97" i="10" s="1"/>
  <c r="AK32" i="18"/>
  <c r="AM15" i="18"/>
  <c r="AM16" i="18"/>
  <c r="AA107" i="10"/>
  <c r="AC107" i="10" s="1"/>
  <c r="AA42" i="10"/>
  <c r="AC42" i="10" s="1"/>
  <c r="AA32" i="10"/>
  <c r="AC32" i="10" s="1"/>
  <c r="AA47" i="10"/>
  <c r="AC47" i="10" s="1"/>
  <c r="AA84" i="10"/>
  <c r="AC84" i="10" s="1"/>
  <c r="AA85" i="10"/>
  <c r="AC85" i="10" s="1"/>
  <c r="AA63" i="10"/>
  <c r="AC63" i="10" s="1"/>
  <c r="AA31" i="10"/>
  <c r="AC31" i="10" s="1"/>
  <c r="C31" i="10"/>
  <c r="AA33" i="10"/>
  <c r="AC33" i="10" s="1"/>
  <c r="A191" i="3"/>
  <c r="A193" i="3" s="1"/>
  <c r="C193" i="3" s="1"/>
  <c r="AA34" i="10"/>
  <c r="AC34" i="10" s="1"/>
  <c r="AA54" i="10"/>
  <c r="AC54" i="10" s="1"/>
  <c r="AA105" i="10"/>
  <c r="AC105" i="10" s="1"/>
  <c r="AA43" i="10"/>
  <c r="AC43" i="10" s="1"/>
  <c r="E191" i="3"/>
  <c r="E193" i="3"/>
  <c r="AA87" i="10"/>
  <c r="AC87" i="10" s="1"/>
  <c r="AA93" i="10"/>
  <c r="AC93" i="10" s="1"/>
  <c r="AA60" i="10"/>
  <c r="AC60" i="10" s="1"/>
  <c r="AA68" i="10"/>
  <c r="AC68" i="10" s="1"/>
  <c r="AA83" i="10"/>
  <c r="AC83" i="10" s="1"/>
  <c r="AA39" i="10"/>
  <c r="AC39" i="10" s="1"/>
  <c r="AA89" i="10"/>
  <c r="AC89" i="10" s="1"/>
  <c r="AA100" i="10"/>
  <c r="AC100" i="10" s="1"/>
  <c r="AA99" i="10"/>
  <c r="AC99" i="10" s="1"/>
  <c r="AA96" i="10"/>
  <c r="AC96" i="10" s="1"/>
  <c r="C366" i="3" l="1"/>
  <c r="C364" i="3"/>
  <c r="J274" i="3"/>
  <c r="L275" i="3" s="1"/>
  <c r="C74" i="10"/>
  <c r="C75" i="10" s="1"/>
  <c r="C76" i="10" s="1"/>
  <c r="AA74" i="10"/>
  <c r="AC74" i="10" s="1"/>
  <c r="AA73" i="10"/>
  <c r="AC73" i="10" s="1"/>
  <c r="N761" i="3"/>
  <c r="AA108" i="10"/>
  <c r="AC108" i="10" s="1"/>
  <c r="K761" i="3"/>
  <c r="F761" i="3"/>
  <c r="G761" i="3"/>
  <c r="L761" i="3"/>
  <c r="D358" i="3"/>
  <c r="D359" i="3"/>
  <c r="I761" i="3"/>
  <c r="M761" i="3"/>
  <c r="B193" i="3"/>
  <c r="AJ18" i="18"/>
  <c r="AJ21" i="18" s="1"/>
  <c r="AJ50" i="18" s="1"/>
  <c r="H761" i="3"/>
  <c r="C191" i="3"/>
  <c r="B191" i="3"/>
  <c r="F193" i="3"/>
  <c r="G193" i="3"/>
  <c r="F191" i="3"/>
  <c r="G191" i="3"/>
  <c r="C32" i="10"/>
  <c r="C355" i="3"/>
  <c r="U349" i="3" s="1"/>
  <c r="B43" i="43"/>
  <c r="B55" i="43"/>
  <c r="L274" i="3" l="1"/>
  <c r="A274" i="3" s="1"/>
  <c r="C77" i="10"/>
  <c r="C78" i="10" s="1"/>
  <c r="C33" i="10"/>
  <c r="C372" i="3"/>
  <c r="C359" i="3"/>
  <c r="C358" i="3"/>
  <c r="A275" i="3" l="1"/>
  <c r="E412" i="3" s="1"/>
  <c r="C34" i="10"/>
  <c r="C349" i="3"/>
  <c r="D349" i="3"/>
  <c r="C79" i="10"/>
  <c r="E276" i="3" l="1"/>
  <c r="E277" i="3" s="1"/>
  <c r="D281" i="3" s="1"/>
  <c r="D276" i="3"/>
  <c r="D277" i="3" s="1"/>
  <c r="C281" i="3" s="1"/>
  <c r="C412" i="3"/>
  <c r="F412" i="3"/>
  <c r="D412" i="3"/>
  <c r="C80" i="10"/>
  <c r="C81" i="10" s="1"/>
  <c r="C82" i="10" s="1"/>
  <c r="C35" i="10"/>
  <c r="D282" i="3" l="1"/>
  <c r="D285" i="3" s="1"/>
  <c r="E278" i="3"/>
  <c r="C282" i="3"/>
  <c r="C288" i="3" s="1"/>
  <c r="D278" i="3"/>
  <c r="C83" i="10"/>
  <c r="C84" i="10" s="1"/>
  <c r="C85" i="10" s="1"/>
  <c r="C36" i="10"/>
  <c r="D288" i="3" l="1"/>
  <c r="E288" i="3" s="1"/>
  <c r="C285" i="3"/>
  <c r="E285" i="3" s="1"/>
  <c r="C37" i="10"/>
  <c r="C86" i="10"/>
  <c r="C293" i="3" l="1"/>
  <c r="F293" i="3" s="1"/>
  <c r="G351" i="3" s="1"/>
  <c r="G357" i="3" s="1"/>
  <c r="G374" i="3" s="1"/>
  <c r="C38" i="10"/>
  <c r="C39" i="10" s="1"/>
  <c r="C40" i="10" s="1"/>
  <c r="C41" i="10" s="1"/>
  <c r="C87" i="10"/>
  <c r="G352" i="3" l="1"/>
  <c r="G366" i="3" s="1"/>
  <c r="G368" i="3"/>
  <c r="C42" i="10"/>
  <c r="C88" i="10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G359" i="3" l="1"/>
  <c r="N348" i="3" s="1"/>
  <c r="U238" i="3" s="1"/>
  <c r="U239" i="3" s="1"/>
  <c r="V239" i="3" s="1"/>
  <c r="R348" i="3" s="1"/>
  <c r="G358" i="3"/>
  <c r="C43" i="10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101" i="10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72" i="10" s="1"/>
  <c r="C135" i="10" s="1"/>
  <c r="M348" i="3" l="1"/>
  <c r="U227" i="3" s="1"/>
  <c r="U228" i="3" s="1"/>
  <c r="V228" i="3" s="1"/>
  <c r="Q348" i="3" s="1"/>
  <c r="C59" i="10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30" i="10" s="1"/>
  <c r="C129" i="10" s="1"/>
  <c r="D140" i="10"/>
  <c r="D139" i="10"/>
  <c r="D137" i="10"/>
  <c r="D138" i="10"/>
  <c r="D136" i="10"/>
  <c r="Q349" i="3" l="1"/>
  <c r="R350" i="3"/>
  <c r="Q350" i="3"/>
  <c r="E139" i="10"/>
  <c r="L139" i="10"/>
  <c r="H139" i="10"/>
  <c r="M139" i="10"/>
  <c r="O139" i="10"/>
  <c r="R139" i="10" s="1"/>
  <c r="J139" i="10"/>
  <c r="I139" i="10"/>
  <c r="G139" i="10"/>
  <c r="F139" i="10"/>
  <c r="N139" i="10"/>
  <c r="G140" i="10"/>
  <c r="F140" i="10"/>
  <c r="J140" i="10"/>
  <c r="O140" i="10"/>
  <c r="R140" i="10" s="1"/>
  <c r="L140" i="10"/>
  <c r="M140" i="10"/>
  <c r="H140" i="10"/>
  <c r="I140" i="10"/>
  <c r="E140" i="10"/>
  <c r="N140" i="10"/>
  <c r="D134" i="10"/>
  <c r="D133" i="10"/>
  <c r="D131" i="10"/>
  <c r="D132" i="10"/>
  <c r="D130" i="10"/>
  <c r="I136" i="10"/>
  <c r="N136" i="10"/>
  <c r="G136" i="10"/>
  <c r="E136" i="10"/>
  <c r="O136" i="10"/>
  <c r="R136" i="10" s="1"/>
  <c r="H136" i="10"/>
  <c r="L136" i="10"/>
  <c r="M136" i="10"/>
  <c r="F136" i="10"/>
  <c r="J136" i="10"/>
  <c r="L137" i="10"/>
  <c r="I137" i="10"/>
  <c r="E137" i="10"/>
  <c r="N137" i="10"/>
  <c r="H137" i="10"/>
  <c r="J137" i="10"/>
  <c r="F137" i="10"/>
  <c r="M137" i="10"/>
  <c r="O137" i="10"/>
  <c r="R137" i="10" s="1"/>
  <c r="G137" i="10"/>
  <c r="I138" i="10"/>
  <c r="L138" i="10"/>
  <c r="M138" i="10"/>
  <c r="G138" i="10"/>
  <c r="N138" i="10"/>
  <c r="H138" i="10"/>
  <c r="E138" i="10"/>
  <c r="O138" i="10"/>
  <c r="R138" i="10" s="1"/>
  <c r="F138" i="10"/>
  <c r="J138" i="10"/>
  <c r="Q351" i="3" l="1"/>
  <c r="E351" i="3" s="1"/>
  <c r="E352" i="3" s="1"/>
  <c r="E366" i="3" s="1"/>
  <c r="R351" i="3"/>
  <c r="F351" i="3" s="1"/>
  <c r="F359" i="3" s="1"/>
  <c r="N134" i="10"/>
  <c r="F134" i="10"/>
  <c r="G134" i="10"/>
  <c r="J134" i="10"/>
  <c r="I134" i="10"/>
  <c r="H134" i="10"/>
  <c r="M134" i="10"/>
  <c r="E134" i="10"/>
  <c r="O134" i="10"/>
  <c r="R134" i="10" s="1"/>
  <c r="L134" i="10"/>
  <c r="H130" i="10"/>
  <c r="L130" i="10"/>
  <c r="M130" i="10"/>
  <c r="E130" i="10"/>
  <c r="I130" i="10"/>
  <c r="N130" i="10"/>
  <c r="O130" i="10"/>
  <c r="R130" i="10" s="1"/>
  <c r="G130" i="10"/>
  <c r="F130" i="10"/>
  <c r="J130" i="10"/>
  <c r="L135" i="10"/>
  <c r="E132" i="10"/>
  <c r="G132" i="10"/>
  <c r="M132" i="10"/>
  <c r="O132" i="10"/>
  <c r="R132" i="10" s="1"/>
  <c r="I132" i="10"/>
  <c r="N132" i="10"/>
  <c r="L132" i="10"/>
  <c r="J132" i="10"/>
  <c r="F132" i="10"/>
  <c r="H132" i="10"/>
  <c r="E131" i="10"/>
  <c r="I131" i="10"/>
  <c r="L131" i="10"/>
  <c r="G131" i="10"/>
  <c r="J131" i="10"/>
  <c r="M131" i="10"/>
  <c r="O131" i="10"/>
  <c r="R131" i="10" s="1"/>
  <c r="H131" i="10"/>
  <c r="N131" i="10"/>
  <c r="F131" i="10"/>
  <c r="G133" i="10"/>
  <c r="N133" i="10"/>
  <c r="J133" i="10"/>
  <c r="I133" i="10"/>
  <c r="E133" i="10"/>
  <c r="L133" i="10"/>
  <c r="O133" i="10"/>
  <c r="R133" i="10" s="1"/>
  <c r="F133" i="10"/>
  <c r="H133" i="10"/>
  <c r="M133" i="10"/>
  <c r="E353" i="3" l="1"/>
  <c r="E358" i="3" s="1"/>
  <c r="F349" i="3"/>
  <c r="E367" i="3"/>
  <c r="F358" i="3"/>
  <c r="F366" i="3"/>
  <c r="L129" i="10"/>
  <c r="K132" i="10" s="1"/>
  <c r="K137" i="10"/>
  <c r="K138" i="10"/>
  <c r="P139" i="10"/>
  <c r="P137" i="10"/>
  <c r="P138" i="10"/>
  <c r="K139" i="10"/>
  <c r="P136" i="10"/>
  <c r="K140" i="10"/>
  <c r="K136" i="10"/>
  <c r="P140" i="10"/>
  <c r="U348" i="3" l="1"/>
  <c r="U352" i="3" s="1"/>
  <c r="J358" i="3" s="1"/>
  <c r="G348" i="3" s="1"/>
  <c r="E365" i="3"/>
  <c r="E375" i="3" s="1"/>
  <c r="E359" i="3"/>
  <c r="E349" i="3"/>
  <c r="P133" i="10"/>
  <c r="P132" i="10"/>
  <c r="K131" i="10"/>
  <c r="K134" i="10"/>
  <c r="P131" i="10"/>
  <c r="P134" i="10"/>
  <c r="P130" i="10"/>
  <c r="K130" i="10"/>
  <c r="K135" i="10"/>
  <c r="Q137" i="10" s="1"/>
  <c r="S137" i="10" s="1"/>
  <c r="K133" i="10"/>
  <c r="E348" i="3" l="1"/>
  <c r="H348" i="3"/>
  <c r="I348" i="3"/>
  <c r="F348" i="3"/>
  <c r="C348" i="3"/>
  <c r="Q140" i="10"/>
  <c r="S140" i="10" s="1"/>
  <c r="Q136" i="10"/>
  <c r="S136" i="10" s="1"/>
  <c r="Q138" i="10"/>
  <c r="S138" i="10" s="1"/>
  <c r="Q139" i="10"/>
  <c r="S139" i="10" s="1"/>
  <c r="K129" i="10"/>
  <c r="Q134" i="10" s="1"/>
  <c r="S134" i="10" s="1"/>
  <c r="D348" i="3" l="1"/>
  <c r="D347" i="3" s="1"/>
  <c r="D362" i="3" s="1"/>
  <c r="J31" i="1" s="1"/>
  <c r="S135" i="10"/>
  <c r="T138" i="10" s="1"/>
  <c r="Q130" i="10"/>
  <c r="S130" i="10" s="1"/>
  <c r="Q133" i="10"/>
  <c r="S133" i="10" s="1"/>
  <c r="Q131" i="10"/>
  <c r="S131" i="10" s="1"/>
  <c r="Q132" i="10"/>
  <c r="S132" i="10" s="1"/>
  <c r="F347" i="3" l="1"/>
  <c r="F362" i="3" s="1"/>
  <c r="L31" i="1" s="1"/>
  <c r="I347" i="3"/>
  <c r="I362" i="3" s="1"/>
  <c r="O31" i="1" s="1"/>
  <c r="E347" i="3"/>
  <c r="E362" i="3" s="1"/>
  <c r="K31" i="1" s="1"/>
  <c r="H347" i="3"/>
  <c r="H362" i="3" s="1"/>
  <c r="N31" i="1" s="1"/>
  <c r="G347" i="3"/>
  <c r="G362" i="3" s="1"/>
  <c r="M31" i="1" s="1"/>
  <c r="C347" i="3"/>
  <c r="C362" i="3" s="1"/>
  <c r="T136" i="10"/>
  <c r="T137" i="10"/>
  <c r="T140" i="10"/>
  <c r="T139" i="10"/>
  <c r="S129" i="10"/>
  <c r="T133" i="10" s="1"/>
  <c r="I31" i="1" l="1"/>
  <c r="C375" i="3"/>
  <c r="C402" i="3" s="1"/>
  <c r="A250" i="3"/>
  <c r="J377" i="3"/>
  <c r="C432" i="3" s="1"/>
  <c r="A253" i="3"/>
  <c r="J366" i="3"/>
  <c r="C629" i="3" s="1"/>
  <c r="A636" i="3" s="1"/>
  <c r="A694" i="3" s="1"/>
  <c r="C694" i="3" s="1"/>
  <c r="D694" i="3" s="1"/>
  <c r="A251" i="3"/>
  <c r="D1" i="10"/>
  <c r="J376" i="3"/>
  <c r="C431" i="3" s="1"/>
  <c r="C437" i="3" s="1"/>
  <c r="J378" i="3"/>
  <c r="J442" i="3" s="1"/>
  <c r="E3" i="11"/>
  <c r="F3" i="11" s="1"/>
  <c r="J374" i="3"/>
  <c r="C1007" i="3" s="1"/>
  <c r="A1043" i="3" s="1"/>
  <c r="C1043" i="3" s="1"/>
  <c r="J368" i="3"/>
  <c r="C795" i="3" s="1"/>
  <c r="A802" i="3" s="1"/>
  <c r="A845" i="3" s="1"/>
  <c r="C845" i="3" s="1"/>
  <c r="J364" i="3"/>
  <c r="C500" i="3" s="1"/>
  <c r="A561" i="3" s="1"/>
  <c r="J365" i="3"/>
  <c r="C568" i="3" s="1"/>
  <c r="A577" i="3" s="1"/>
  <c r="A619" i="3" s="1"/>
  <c r="D619" i="3" s="1"/>
  <c r="J370" i="3"/>
  <c r="A370" i="3" s="1"/>
  <c r="J372" i="3"/>
  <c r="C972" i="3" s="1"/>
  <c r="A982" i="3" s="1"/>
  <c r="C982" i="3" s="1"/>
  <c r="D972" i="3" s="1"/>
  <c r="G1083" i="3" s="1"/>
  <c r="H1071" i="3"/>
  <c r="H1075" i="3" s="1"/>
  <c r="J373" i="3"/>
  <c r="C988" i="3" s="1"/>
  <c r="D165" i="10" s="1"/>
  <c r="B402" i="3"/>
  <c r="M409" i="3" s="1"/>
  <c r="J367" i="3"/>
  <c r="G79" i="11" s="1"/>
  <c r="H79" i="11" s="1"/>
  <c r="H69" i="11" s="1"/>
  <c r="J369" i="3"/>
  <c r="J371" i="3"/>
  <c r="C931" i="3" s="1"/>
  <c r="C965" i="3" s="1"/>
  <c r="T135" i="10"/>
  <c r="U138" i="10" s="1"/>
  <c r="V138" i="10" s="1"/>
  <c r="T130" i="10"/>
  <c r="T132" i="10"/>
  <c r="T134" i="10"/>
  <c r="T131" i="10"/>
  <c r="A369" i="3" l="1"/>
  <c r="D1007" i="3"/>
  <c r="G1081" i="3" s="1"/>
  <c r="A1000" i="3"/>
  <c r="C1000" i="3" s="1"/>
  <c r="A710" i="3"/>
  <c r="A637" i="3"/>
  <c r="A695" i="3" s="1"/>
  <c r="C247" i="3"/>
  <c r="B241" i="3" s="1"/>
  <c r="A414" i="3"/>
  <c r="A374" i="3"/>
  <c r="A638" i="3"/>
  <c r="A696" i="3" s="1"/>
  <c r="C696" i="3" s="1"/>
  <c r="D696" i="3" s="1"/>
  <c r="A639" i="3"/>
  <c r="A697" i="3" s="1"/>
  <c r="C697" i="3" s="1"/>
  <c r="D697" i="3" s="1"/>
  <c r="A1001" i="3"/>
  <c r="C1001" i="3" s="1"/>
  <c r="A412" i="3"/>
  <c r="A411" i="3"/>
  <c r="L410" i="3"/>
  <c r="A408" i="3"/>
  <c r="A413" i="3"/>
  <c r="M410" i="3"/>
  <c r="A410" i="3"/>
  <c r="A635" i="3"/>
  <c r="A693" i="3" s="1"/>
  <c r="C693" i="3" s="1"/>
  <c r="D693" i="3" s="1"/>
  <c r="A368" i="3"/>
  <c r="A373" i="3"/>
  <c r="G69" i="11"/>
  <c r="A409" i="3"/>
  <c r="Q521" i="3"/>
  <c r="Q535" i="3" s="1"/>
  <c r="C896" i="3"/>
  <c r="A922" i="3" s="1"/>
  <c r="F69" i="11"/>
  <c r="C855" i="3"/>
  <c r="A863" i="3" s="1"/>
  <c r="A575" i="3"/>
  <c r="A617" i="3" s="1"/>
  <c r="A620" i="3" s="1"/>
  <c r="A576" i="3"/>
  <c r="A618" i="3" s="1"/>
  <c r="A624" i="3"/>
  <c r="A364" i="3"/>
  <c r="A966" i="3"/>
  <c r="C966" i="3" s="1"/>
  <c r="C967" i="3" s="1"/>
  <c r="D931" i="3" s="1"/>
  <c r="G1084" i="3" s="1"/>
  <c r="A965" i="3"/>
  <c r="C512" i="3"/>
  <c r="A366" i="3"/>
  <c r="I69" i="11"/>
  <c r="A367" i="3"/>
  <c r="C1061" i="3"/>
  <c r="C1064" i="3" s="1"/>
  <c r="A365" i="3"/>
  <c r="A371" i="3"/>
  <c r="C433" i="3"/>
  <c r="J437" i="3" s="1"/>
  <c r="AI432" i="3" s="1"/>
  <c r="AI437" i="3" s="1"/>
  <c r="D437" i="3" s="1"/>
  <c r="E437" i="3" s="1"/>
  <c r="F437" i="3" s="1"/>
  <c r="G437" i="3" s="1"/>
  <c r="H437" i="3" s="1"/>
  <c r="I437" i="3" s="1"/>
  <c r="C715" i="3"/>
  <c r="A722" i="3" s="1"/>
  <c r="A775" i="3" s="1"/>
  <c r="C775" i="3" s="1"/>
  <c r="D775" i="3" s="1"/>
  <c r="J363" i="3"/>
  <c r="A372" i="3"/>
  <c r="M412" i="3"/>
  <c r="F189" i="3"/>
  <c r="C408" i="3" s="1"/>
  <c r="L412" i="3"/>
  <c r="L414" i="3"/>
  <c r="L413" i="3"/>
  <c r="F402" i="3"/>
  <c r="L408" i="3"/>
  <c r="M413" i="3"/>
  <c r="D402" i="3"/>
  <c r="C643" i="3" s="1"/>
  <c r="D650" i="3" s="1"/>
  <c r="M414" i="3"/>
  <c r="C246" i="3"/>
  <c r="L409" i="3"/>
  <c r="M408" i="3"/>
  <c r="A803" i="3"/>
  <c r="A846" i="3" s="1"/>
  <c r="C846" i="3" s="1"/>
  <c r="C847" i="3" s="1"/>
  <c r="D795" i="3"/>
  <c r="G1087" i="3" s="1"/>
  <c r="A850" i="3"/>
  <c r="C850" i="3" s="1"/>
  <c r="U137" i="10"/>
  <c r="V137" i="10" s="1"/>
  <c r="U139" i="10"/>
  <c r="V139" i="10" s="1"/>
  <c r="U140" i="10"/>
  <c r="V140" i="10" s="1"/>
  <c r="U136" i="10"/>
  <c r="V136" i="10" s="1"/>
  <c r="B29" i="1"/>
  <c r="T129" i="10"/>
  <c r="U134" i="10" s="1"/>
  <c r="V134" i="10" s="1"/>
  <c r="C253" i="3" l="1"/>
  <c r="C248" i="3" s="1"/>
  <c r="C241" i="3" s="1"/>
  <c r="M411" i="3" s="1"/>
  <c r="C418" i="3" s="1"/>
  <c r="C1002" i="3"/>
  <c r="D988" i="3" s="1"/>
  <c r="G1082" i="3" s="1"/>
  <c r="A505" i="3"/>
  <c r="A553" i="3" s="1"/>
  <c r="C553" i="3" s="1"/>
  <c r="C242" i="3"/>
  <c r="D241" i="3" s="1"/>
  <c r="C637" i="3"/>
  <c r="C695" i="3" s="1"/>
  <c r="D695" i="3" s="1"/>
  <c r="D698" i="3" s="1"/>
  <c r="L411" i="3"/>
  <c r="C417" i="3" s="1"/>
  <c r="A889" i="3"/>
  <c r="C889" i="3" s="1"/>
  <c r="C423" i="3"/>
  <c r="O537" i="3"/>
  <c r="C427" i="3"/>
  <c r="A925" i="3"/>
  <c r="C426" i="3"/>
  <c r="AH437" i="3"/>
  <c r="C424" i="3"/>
  <c r="X437" i="3"/>
  <c r="AJ432" i="3" s="1"/>
  <c r="AJ437" i="3" s="1"/>
  <c r="K437" i="3" s="1"/>
  <c r="L437" i="3" s="1"/>
  <c r="M437" i="3" s="1"/>
  <c r="N437" i="3" s="1"/>
  <c r="O437" i="3" s="1"/>
  <c r="P437" i="3" s="1"/>
  <c r="Q437" i="3" s="1"/>
  <c r="R437" i="3" s="1"/>
  <c r="S437" i="3" s="1"/>
  <c r="T437" i="3" s="1"/>
  <c r="U437" i="3" s="1"/>
  <c r="V437" i="3" s="1"/>
  <c r="W437" i="3" s="1"/>
  <c r="C528" i="3"/>
  <c r="Q536" i="3"/>
  <c r="S535" i="3"/>
  <c r="O535" i="3"/>
  <c r="A890" i="3"/>
  <c r="P535" i="3"/>
  <c r="P537" i="3"/>
  <c r="S536" i="3"/>
  <c r="O536" i="3"/>
  <c r="S537" i="3"/>
  <c r="P536" i="3"/>
  <c r="Q537" i="3"/>
  <c r="E408" i="3"/>
  <c r="C581" i="3"/>
  <c r="A596" i="3" s="1"/>
  <c r="F596" i="3" s="1"/>
  <c r="F408" i="3"/>
  <c r="I408" i="3" s="1"/>
  <c r="C425" i="3" s="1"/>
  <c r="A509" i="3"/>
  <c r="A557" i="3" s="1"/>
  <c r="C557" i="3" s="1"/>
  <c r="D408" i="3"/>
  <c r="C513" i="3"/>
  <c r="A547" i="3" s="1"/>
  <c r="N547" i="3" s="1"/>
  <c r="A508" i="3"/>
  <c r="A556" i="3" s="1"/>
  <c r="C556" i="3" s="1"/>
  <c r="K362" i="3"/>
  <c r="D158" i="10" s="1"/>
  <c r="D160" i="10" s="1"/>
  <c r="B32" i="1" s="1"/>
  <c r="E650" i="3"/>
  <c r="E739" i="3" s="1"/>
  <c r="A724" i="3"/>
  <c r="A777" i="3" s="1"/>
  <c r="C777" i="3" s="1"/>
  <c r="D777" i="3" s="1"/>
  <c r="A723" i="3"/>
  <c r="A776" i="3" s="1"/>
  <c r="C776" i="3" s="1"/>
  <c r="D776" i="3" s="1"/>
  <c r="A790" i="3"/>
  <c r="E241" i="3"/>
  <c r="C411" i="3" s="1"/>
  <c r="C419" i="3" s="1"/>
  <c r="B453" i="3" s="1"/>
  <c r="AR453" i="3" s="1"/>
  <c r="A658" i="3"/>
  <c r="A656" i="3"/>
  <c r="A659" i="3"/>
  <c r="A660" i="3"/>
  <c r="A655" i="3"/>
  <c r="A657" i="3"/>
  <c r="V135" i="10"/>
  <c r="B139" i="10" s="1"/>
  <c r="U132" i="10"/>
  <c r="V132" i="10" s="1"/>
  <c r="U130" i="10"/>
  <c r="V130" i="10" s="1"/>
  <c r="U133" i="10"/>
  <c r="V133" i="10" s="1"/>
  <c r="U131" i="10"/>
  <c r="V131" i="10" s="1"/>
  <c r="A558" i="3" l="1"/>
  <c r="D558" i="3" s="1"/>
  <c r="D411" i="3"/>
  <c r="C420" i="3" s="1"/>
  <c r="B454" i="3" s="1"/>
  <c r="B473" i="3" s="1"/>
  <c r="AR473" i="3" s="1"/>
  <c r="F241" i="3"/>
  <c r="F411" i="3" s="1"/>
  <c r="C422" i="3" s="1"/>
  <c r="G241" i="3"/>
  <c r="E411" i="3" s="1"/>
  <c r="C421" i="3" s="1"/>
  <c r="D451" i="3" s="1"/>
  <c r="D452" i="3" s="1"/>
  <c r="AK432" i="3"/>
  <c r="AK437" i="3" s="1"/>
  <c r="Y437" i="3" s="1"/>
  <c r="Z437" i="3" s="1"/>
  <c r="AA437" i="3" s="1"/>
  <c r="AB437" i="3" s="1"/>
  <c r="AC437" i="3" s="1"/>
  <c r="AD437" i="3" s="1"/>
  <c r="AE437" i="3" s="1"/>
  <c r="AF437" i="3" s="1"/>
  <c r="AG437" i="3" s="1"/>
  <c r="A613" i="3"/>
  <c r="H613" i="3" s="1"/>
  <c r="A614" i="3"/>
  <c r="M614" i="3" s="1"/>
  <c r="A612" i="3"/>
  <c r="F612" i="3" s="1"/>
  <c r="P547" i="3"/>
  <c r="A528" i="3"/>
  <c r="K547" i="3"/>
  <c r="A533" i="3"/>
  <c r="Q533" i="3" s="1"/>
  <c r="A610" i="3"/>
  <c r="I610" i="3" s="1"/>
  <c r="A594" i="3"/>
  <c r="L594" i="3" s="1"/>
  <c r="A595" i="3"/>
  <c r="E659" i="3"/>
  <c r="L596" i="3"/>
  <c r="A611" i="3"/>
  <c r="F611" i="3" s="1"/>
  <c r="A599" i="3"/>
  <c r="H599" i="3" s="1"/>
  <c r="A605" i="3"/>
  <c r="F605" i="3" s="1"/>
  <c r="A606" i="3"/>
  <c r="M606" i="3" s="1"/>
  <c r="E740" i="3"/>
  <c r="A598" i="3"/>
  <c r="F598" i="3" s="1"/>
  <c r="A604" i="3"/>
  <c r="L604" i="3" s="1"/>
  <c r="A597" i="3"/>
  <c r="L597" i="3" s="1"/>
  <c r="A600" i="3"/>
  <c r="H600" i="3" s="1"/>
  <c r="C559" i="3"/>
  <c r="D778" i="3"/>
  <c r="A544" i="3"/>
  <c r="H544" i="3" s="1"/>
  <c r="L547" i="3"/>
  <c r="A529" i="3"/>
  <c r="Q529" i="3" s="1"/>
  <c r="A542" i="3"/>
  <c r="F542" i="3" s="1"/>
  <c r="A543" i="3"/>
  <c r="J543" i="3" s="1"/>
  <c r="A534" i="3"/>
  <c r="L534" i="3" s="1"/>
  <c r="A539" i="3"/>
  <c r="P539" i="3" s="1"/>
  <c r="O547" i="3"/>
  <c r="H547" i="3"/>
  <c r="G547" i="3"/>
  <c r="A538" i="3"/>
  <c r="A540" i="3"/>
  <c r="H540" i="3" s="1"/>
  <c r="J547" i="3"/>
  <c r="F547" i="3"/>
  <c r="A531" i="3"/>
  <c r="F531" i="3" s="1"/>
  <c r="A548" i="3"/>
  <c r="P548" i="3" s="1"/>
  <c r="A541" i="3"/>
  <c r="S541" i="3" s="1"/>
  <c r="I547" i="3"/>
  <c r="S547" i="3"/>
  <c r="Q547" i="3"/>
  <c r="A530" i="3"/>
  <c r="F530" i="3" s="1"/>
  <c r="A532" i="3"/>
  <c r="S532" i="3" s="1"/>
  <c r="A545" i="3"/>
  <c r="O545" i="3" s="1"/>
  <c r="A546" i="3"/>
  <c r="G546" i="3" s="1"/>
  <c r="D162" i="10"/>
  <c r="D164" i="10" s="1"/>
  <c r="D167" i="10" s="1"/>
  <c r="D168" i="10" s="1"/>
  <c r="E660" i="3"/>
  <c r="E744" i="3"/>
  <c r="E655" i="3"/>
  <c r="E743" i="3"/>
  <c r="E657" i="3"/>
  <c r="E742" i="3"/>
  <c r="E656" i="3"/>
  <c r="E741" i="3"/>
  <c r="E658" i="3"/>
  <c r="C453" i="3"/>
  <c r="A453" i="3" s="1"/>
  <c r="I763" i="3"/>
  <c r="I770" i="3" s="1"/>
  <c r="B770" i="3" s="1"/>
  <c r="C782" i="3" s="1"/>
  <c r="B138" i="10"/>
  <c r="B140" i="10"/>
  <c r="B136" i="10"/>
  <c r="B137" i="10"/>
  <c r="V129" i="10"/>
  <c r="B130" i="10" s="1"/>
  <c r="F528" i="3" l="1"/>
  <c r="K613" i="3"/>
  <c r="D453" i="3"/>
  <c r="E451" i="3"/>
  <c r="AK451" i="3" s="1"/>
  <c r="AK452" i="3" s="1"/>
  <c r="L614" i="3"/>
  <c r="F734" i="3"/>
  <c r="H734" i="3" s="1"/>
  <c r="E782" i="3" s="1"/>
  <c r="C787" i="3" s="1"/>
  <c r="F650" i="3"/>
  <c r="I650" i="3" s="1"/>
  <c r="K614" i="3"/>
  <c r="L598" i="3"/>
  <c r="F529" i="3"/>
  <c r="B456" i="3"/>
  <c r="AR456" i="3" s="1"/>
  <c r="M613" i="3"/>
  <c r="F594" i="3"/>
  <c r="P542" i="3"/>
  <c r="O540" i="3"/>
  <c r="I613" i="3"/>
  <c r="H614" i="3"/>
  <c r="F538" i="3"/>
  <c r="O529" i="3"/>
  <c r="I614" i="3"/>
  <c r="J614" i="3"/>
  <c r="L595" i="3"/>
  <c r="F614" i="3"/>
  <c r="F595" i="3"/>
  <c r="F597" i="3"/>
  <c r="L543" i="3"/>
  <c r="L613" i="3"/>
  <c r="G613" i="3"/>
  <c r="J613" i="3"/>
  <c r="F613" i="3"/>
  <c r="B455" i="3"/>
  <c r="C455" i="3" s="1"/>
  <c r="A455" i="3" s="1"/>
  <c r="B477" i="3"/>
  <c r="C477" i="3" s="1"/>
  <c r="A477" i="3" s="1"/>
  <c r="D477" i="3" s="1"/>
  <c r="B491" i="3"/>
  <c r="AR491" i="3" s="1"/>
  <c r="M611" i="3"/>
  <c r="B459" i="3"/>
  <c r="C459" i="3" s="1"/>
  <c r="A459" i="3" s="1"/>
  <c r="D459" i="3" s="1"/>
  <c r="S542" i="3"/>
  <c r="B479" i="3"/>
  <c r="AR479" i="3" s="1"/>
  <c r="Q540" i="3"/>
  <c r="L540" i="3"/>
  <c r="B468" i="3"/>
  <c r="C468" i="3" s="1"/>
  <c r="A468" i="3" s="1"/>
  <c r="S540" i="3"/>
  <c r="P529" i="3"/>
  <c r="B465" i="3"/>
  <c r="C465" i="3" s="1"/>
  <c r="A465" i="3" s="1"/>
  <c r="B475" i="3"/>
  <c r="C475" i="3" s="1"/>
  <c r="A475" i="3" s="1"/>
  <c r="G614" i="3"/>
  <c r="N540" i="3"/>
  <c r="B487" i="3"/>
  <c r="C487" i="3" s="1"/>
  <c r="A487" i="3" s="1"/>
  <c r="D487" i="3" s="1"/>
  <c r="C473" i="3"/>
  <c r="A473" i="3" s="1"/>
  <c r="S529" i="3"/>
  <c r="P540" i="3"/>
  <c r="B489" i="3"/>
  <c r="C489" i="3" s="1"/>
  <c r="A489" i="3" s="1"/>
  <c r="B463" i="3"/>
  <c r="AR463" i="3" s="1"/>
  <c r="B458" i="3"/>
  <c r="C458" i="3" s="1"/>
  <c r="A458" i="3" s="1"/>
  <c r="H612" i="3"/>
  <c r="B492" i="3"/>
  <c r="AR492" i="3" s="1"/>
  <c r="S534" i="3"/>
  <c r="H611" i="3"/>
  <c r="Q532" i="3"/>
  <c r="G600" i="3"/>
  <c r="M600" i="3"/>
  <c r="S533" i="3"/>
  <c r="B490" i="3"/>
  <c r="AR490" i="3" s="1"/>
  <c r="B482" i="3"/>
  <c r="C482" i="3" s="1"/>
  <c r="A482" i="3" s="1"/>
  <c r="B478" i="3"/>
  <c r="AR478" i="3" s="1"/>
  <c r="M612" i="3"/>
  <c r="F540" i="3"/>
  <c r="B457" i="3"/>
  <c r="C457" i="3" s="1"/>
  <c r="A457" i="3" s="1"/>
  <c r="B462" i="3"/>
  <c r="AR462" i="3" s="1"/>
  <c r="C454" i="3"/>
  <c r="A454" i="3" s="1"/>
  <c r="AR454" i="3"/>
  <c r="B486" i="3"/>
  <c r="AR486" i="3" s="1"/>
  <c r="J612" i="3"/>
  <c r="G612" i="3"/>
  <c r="O542" i="3"/>
  <c r="K540" i="3"/>
  <c r="B466" i="3"/>
  <c r="AR466" i="3" s="1"/>
  <c r="B461" i="3"/>
  <c r="AR461" i="3" s="1"/>
  <c r="B460" i="3"/>
  <c r="AR460" i="3" s="1"/>
  <c r="B484" i="3"/>
  <c r="AR484" i="3" s="1"/>
  <c r="B483" i="3"/>
  <c r="C483" i="3" s="1"/>
  <c r="A483" i="3" s="1"/>
  <c r="D483" i="3" s="1"/>
  <c r="G540" i="3"/>
  <c r="L612" i="3"/>
  <c r="Q542" i="3"/>
  <c r="J540" i="3"/>
  <c r="B474" i="3"/>
  <c r="AR474" i="3" s="1"/>
  <c r="B464" i="3"/>
  <c r="C464" i="3" s="1"/>
  <c r="A464" i="3" s="1"/>
  <c r="B480" i="3"/>
  <c r="C480" i="3" s="1"/>
  <c r="A480" i="3" s="1"/>
  <c r="B481" i="3"/>
  <c r="C481" i="3" s="1"/>
  <c r="A481" i="3" s="1"/>
  <c r="B471" i="3"/>
  <c r="AR471" i="3" s="1"/>
  <c r="B488" i="3"/>
  <c r="AR488" i="3" s="1"/>
  <c r="B472" i="3"/>
  <c r="C472" i="3" s="1"/>
  <c r="A472" i="3" s="1"/>
  <c r="F604" i="3"/>
  <c r="I540" i="3"/>
  <c r="B467" i="3"/>
  <c r="C467" i="3" s="1"/>
  <c r="A467" i="3" s="1"/>
  <c r="B470" i="3"/>
  <c r="C470" i="3" s="1"/>
  <c r="A470" i="3" s="1"/>
  <c r="B469" i="3"/>
  <c r="AR469" i="3" s="1"/>
  <c r="B476" i="3"/>
  <c r="AR476" i="3" s="1"/>
  <c r="B485" i="3"/>
  <c r="C485" i="3" s="1"/>
  <c r="A485" i="3" s="1"/>
  <c r="D485" i="3" s="1"/>
  <c r="K612" i="3"/>
  <c r="I612" i="3"/>
  <c r="H533" i="3"/>
  <c r="L533" i="3"/>
  <c r="I533" i="3"/>
  <c r="D180" i="10"/>
  <c r="O533" i="3"/>
  <c r="N533" i="3"/>
  <c r="F533" i="3"/>
  <c r="P533" i="3"/>
  <c r="K533" i="3"/>
  <c r="J533" i="3"/>
  <c r="G533" i="3"/>
  <c r="G534" i="3"/>
  <c r="N534" i="3"/>
  <c r="K611" i="3"/>
  <c r="I611" i="3"/>
  <c r="P534" i="3"/>
  <c r="M599" i="3"/>
  <c r="H534" i="3"/>
  <c r="I600" i="3"/>
  <c r="K600" i="3"/>
  <c r="F534" i="3"/>
  <c r="J534" i="3"/>
  <c r="F600" i="3"/>
  <c r="Q534" i="3"/>
  <c r="G611" i="3"/>
  <c r="I534" i="3"/>
  <c r="J600" i="3"/>
  <c r="L611" i="3"/>
  <c r="J599" i="3"/>
  <c r="O534" i="3"/>
  <c r="L600" i="3"/>
  <c r="K534" i="3"/>
  <c r="J611" i="3"/>
  <c r="L546" i="3"/>
  <c r="L599" i="3"/>
  <c r="F599" i="3"/>
  <c r="I599" i="3"/>
  <c r="P544" i="3"/>
  <c r="K599" i="3"/>
  <c r="G599" i="3"/>
  <c r="K546" i="3"/>
  <c r="K544" i="3"/>
  <c r="F610" i="3"/>
  <c r="K610" i="3"/>
  <c r="Q541" i="3"/>
  <c r="J610" i="3"/>
  <c r="O546" i="3"/>
  <c r="J544" i="3"/>
  <c r="G610" i="3"/>
  <c r="S546" i="3"/>
  <c r="J606" i="3"/>
  <c r="I606" i="3"/>
  <c r="H546" i="3"/>
  <c r="F546" i="3"/>
  <c r="L544" i="3"/>
  <c r="S544" i="3"/>
  <c r="O544" i="3"/>
  <c r="J546" i="3"/>
  <c r="Q546" i="3"/>
  <c r="F544" i="3"/>
  <c r="I544" i="3"/>
  <c r="F606" i="3"/>
  <c r="N546" i="3"/>
  <c r="I546" i="3"/>
  <c r="P541" i="3"/>
  <c r="H610" i="3"/>
  <c r="N544" i="3"/>
  <c r="L610" i="3"/>
  <c r="O541" i="3"/>
  <c r="K606" i="3"/>
  <c r="L606" i="3"/>
  <c r="P546" i="3"/>
  <c r="Q544" i="3"/>
  <c r="G544" i="3"/>
  <c r="M610" i="3"/>
  <c r="F541" i="3"/>
  <c r="G606" i="3"/>
  <c r="H606" i="3"/>
  <c r="L545" i="3"/>
  <c r="M605" i="3"/>
  <c r="L605" i="3"/>
  <c r="J605" i="3"/>
  <c r="I605" i="3"/>
  <c r="H605" i="3"/>
  <c r="K605" i="3"/>
  <c r="G545" i="3"/>
  <c r="S548" i="3"/>
  <c r="G605" i="3"/>
  <c r="S531" i="3"/>
  <c r="I539" i="3"/>
  <c r="P543" i="3"/>
  <c r="F543" i="3"/>
  <c r="I543" i="3"/>
  <c r="Q543" i="3"/>
  <c r="S543" i="3"/>
  <c r="H543" i="3"/>
  <c r="N543" i="3"/>
  <c r="G543" i="3"/>
  <c r="K543" i="3"/>
  <c r="O543" i="3"/>
  <c r="N539" i="3"/>
  <c r="S539" i="3"/>
  <c r="H539" i="3"/>
  <c r="P532" i="3"/>
  <c r="J539" i="3"/>
  <c r="O532" i="3"/>
  <c r="F532" i="3"/>
  <c r="L539" i="3"/>
  <c r="Q539" i="3"/>
  <c r="O531" i="3"/>
  <c r="Q531" i="3"/>
  <c r="O539" i="3"/>
  <c r="K539" i="3"/>
  <c r="F539" i="3"/>
  <c r="G539" i="3"/>
  <c r="P531" i="3"/>
  <c r="L548" i="3"/>
  <c r="P545" i="3"/>
  <c r="F548" i="3"/>
  <c r="J548" i="3"/>
  <c r="I548" i="3"/>
  <c r="I545" i="3"/>
  <c r="O548" i="3"/>
  <c r="S545" i="3"/>
  <c r="K548" i="3"/>
  <c r="N545" i="3"/>
  <c r="Q545" i="3"/>
  <c r="H545" i="3"/>
  <c r="J545" i="3"/>
  <c r="H548" i="3"/>
  <c r="G548" i="3"/>
  <c r="N548" i="3"/>
  <c r="Q548" i="3"/>
  <c r="F545" i="3"/>
  <c r="K545" i="3"/>
  <c r="Y131" i="10"/>
  <c r="AI131" i="10" s="1"/>
  <c r="B131" i="10"/>
  <c r="B132" i="10"/>
  <c r="B134" i="10"/>
  <c r="B133" i="10"/>
  <c r="Y451" i="3" l="1"/>
  <c r="Y452" i="3" s="1"/>
  <c r="O451" i="3"/>
  <c r="O452" i="3" s="1"/>
  <c r="E473" i="3"/>
  <c r="E467" i="3"/>
  <c r="AN451" i="3"/>
  <c r="AN458" i="3" s="1"/>
  <c r="E454" i="3"/>
  <c r="AL451" i="3"/>
  <c r="AL454" i="3" s="1"/>
  <c r="AK453" i="3"/>
  <c r="T451" i="3"/>
  <c r="T465" i="3" s="1"/>
  <c r="AB451" i="3"/>
  <c r="AB452" i="3" s="1"/>
  <c r="AK464" i="3"/>
  <c r="AJ451" i="3"/>
  <c r="AJ452" i="3" s="1"/>
  <c r="U451" i="3"/>
  <c r="U480" i="3" s="1"/>
  <c r="G451" i="3"/>
  <c r="G485" i="3" s="1"/>
  <c r="AD451" i="3"/>
  <c r="AD482" i="3" s="1"/>
  <c r="I451" i="3"/>
  <c r="I458" i="3" s="1"/>
  <c r="Z451" i="3"/>
  <c r="Z452" i="3" s="1"/>
  <c r="X451" i="3"/>
  <c r="X480" i="3" s="1"/>
  <c r="E452" i="3"/>
  <c r="AA451" i="3"/>
  <c r="AA489" i="3" s="1"/>
  <c r="AC451" i="3"/>
  <c r="AC452" i="3" s="1"/>
  <c r="V451" i="3"/>
  <c r="V454" i="3" s="1"/>
  <c r="P451" i="3"/>
  <c r="P470" i="3" s="1"/>
  <c r="AM451" i="3"/>
  <c r="AM473" i="3" s="1"/>
  <c r="E481" i="3"/>
  <c r="AK475" i="3"/>
  <c r="E455" i="3"/>
  <c r="AO451" i="3"/>
  <c r="AO452" i="3" s="1"/>
  <c r="AG451" i="3"/>
  <c r="AG452" i="3" s="1"/>
  <c r="N451" i="3"/>
  <c r="N452" i="3" s="1"/>
  <c r="K451" i="3"/>
  <c r="K452" i="3" s="1"/>
  <c r="F451" i="3"/>
  <c r="F482" i="3" s="1"/>
  <c r="E470" i="3"/>
  <c r="E480" i="3"/>
  <c r="AK482" i="3"/>
  <c r="E465" i="3"/>
  <c r="AP451" i="3"/>
  <c r="AP452" i="3" s="1"/>
  <c r="E453" i="3"/>
  <c r="W451" i="3"/>
  <c r="W477" i="3" s="1"/>
  <c r="L451" i="3"/>
  <c r="L452" i="3" s="1"/>
  <c r="S451" i="3"/>
  <c r="S457" i="3" s="1"/>
  <c r="E458" i="3"/>
  <c r="AE451" i="3"/>
  <c r="AE452" i="3" s="1"/>
  <c r="AF451" i="3"/>
  <c r="AF454" i="3" s="1"/>
  <c r="J451" i="3"/>
  <c r="J489" i="3" s="1"/>
  <c r="AI451" i="3"/>
  <c r="AI454" i="3" s="1"/>
  <c r="Q451" i="3"/>
  <c r="Q452" i="3" s="1"/>
  <c r="AK472" i="3"/>
  <c r="E457" i="3"/>
  <c r="AK468" i="3"/>
  <c r="H451" i="3"/>
  <c r="H457" i="3" s="1"/>
  <c r="AH451" i="3"/>
  <c r="AH482" i="3" s="1"/>
  <c r="R451" i="3"/>
  <c r="R483" i="3" s="1"/>
  <c r="M451" i="3"/>
  <c r="M481" i="3" s="1"/>
  <c r="AQ451" i="3"/>
  <c r="AQ452" i="3" s="1"/>
  <c r="E489" i="3"/>
  <c r="D455" i="3"/>
  <c r="C456" i="3"/>
  <c r="A456" i="3" s="1"/>
  <c r="AK455" i="3"/>
  <c r="AR455" i="3"/>
  <c r="E459" i="3"/>
  <c r="C474" i="3"/>
  <c r="A474" i="3" s="1"/>
  <c r="AR477" i="3"/>
  <c r="AK477" i="3"/>
  <c r="E477" i="3"/>
  <c r="AK489" i="3"/>
  <c r="C491" i="3"/>
  <c r="A491" i="3" s="1"/>
  <c r="D491" i="3" s="1"/>
  <c r="D489" i="3"/>
  <c r="C461" i="3"/>
  <c r="A461" i="3" s="1"/>
  <c r="AK458" i="3"/>
  <c r="AK487" i="3"/>
  <c r="D473" i="3"/>
  <c r="AR465" i="3"/>
  <c r="AK465" i="3"/>
  <c r="AK473" i="3"/>
  <c r="D465" i="3"/>
  <c r="C492" i="3"/>
  <c r="A492" i="3" s="1"/>
  <c r="E487" i="3"/>
  <c r="D454" i="3"/>
  <c r="AK454" i="3"/>
  <c r="AR487" i="3"/>
  <c r="AR485" i="3"/>
  <c r="AR489" i="3"/>
  <c r="AK459" i="3"/>
  <c r="D458" i="3"/>
  <c r="C463" i="3"/>
  <c r="A463" i="3" s="1"/>
  <c r="AR458" i="3"/>
  <c r="AR459" i="3"/>
  <c r="D468" i="3"/>
  <c r="D481" i="3"/>
  <c r="E475" i="3"/>
  <c r="D475" i="3"/>
  <c r="C478" i="3"/>
  <c r="A478" i="3" s="1"/>
  <c r="AR475" i="3"/>
  <c r="C479" i="3"/>
  <c r="A479" i="3" s="1"/>
  <c r="E468" i="3"/>
  <c r="AR468" i="3"/>
  <c r="AR457" i="3"/>
  <c r="E464" i="3"/>
  <c r="AK457" i="3"/>
  <c r="C490" i="3"/>
  <c r="A490" i="3" s="1"/>
  <c r="E485" i="3"/>
  <c r="D464" i="3"/>
  <c r="AK467" i="3"/>
  <c r="AR467" i="3"/>
  <c r="AK485" i="3"/>
  <c r="D467" i="3"/>
  <c r="AR464" i="3"/>
  <c r="C460" i="3"/>
  <c r="A460" i="3" s="1"/>
  <c r="C488" i="3"/>
  <c r="A488" i="3" s="1"/>
  <c r="E482" i="3"/>
  <c r="AR482" i="3"/>
  <c r="C471" i="3"/>
  <c r="A471" i="3" s="1"/>
  <c r="D482" i="3"/>
  <c r="AR480" i="3"/>
  <c r="D470" i="3"/>
  <c r="C486" i="3"/>
  <c r="A486" i="3" s="1"/>
  <c r="AK480" i="3"/>
  <c r="AR470" i="3"/>
  <c r="D480" i="3"/>
  <c r="AK470" i="3"/>
  <c r="C484" i="3"/>
  <c r="A484" i="3" s="1"/>
  <c r="C476" i="3"/>
  <c r="A476" i="3" s="1"/>
  <c r="E476" i="3" s="1"/>
  <c r="C466" i="3"/>
  <c r="A466" i="3" s="1"/>
  <c r="AR481" i="3"/>
  <c r="AR483" i="3"/>
  <c r="D457" i="3"/>
  <c r="E472" i="3"/>
  <c r="AK483" i="3"/>
  <c r="D472" i="3"/>
  <c r="E483" i="3"/>
  <c r="AK481" i="3"/>
  <c r="C462" i="3"/>
  <c r="A462" i="3" s="1"/>
  <c r="AR472" i="3"/>
  <c r="C469" i="3"/>
  <c r="A469" i="3" s="1"/>
  <c r="E469" i="3" s="1"/>
  <c r="Z131" i="10"/>
  <c r="AH131" i="10"/>
  <c r="AB131" i="10"/>
  <c r="AG131" i="10"/>
  <c r="AC131" i="10"/>
  <c r="AD131" i="10"/>
  <c r="AE131" i="10"/>
  <c r="AJ131" i="10"/>
  <c r="AM131" i="10" s="1"/>
  <c r="AA131" i="10"/>
  <c r="Y130" i="10"/>
  <c r="AI130" i="10" s="1"/>
  <c r="O472" i="3" l="1"/>
  <c r="O473" i="3"/>
  <c r="O467" i="3"/>
  <c r="O482" i="3"/>
  <c r="O480" i="3"/>
  <c r="O481" i="3"/>
  <c r="AN459" i="3"/>
  <c r="Y489" i="3"/>
  <c r="O471" i="3"/>
  <c r="Y477" i="3"/>
  <c r="AN475" i="3"/>
  <c r="AN472" i="3"/>
  <c r="O470" i="3"/>
  <c r="O465" i="3"/>
  <c r="AN465" i="3"/>
  <c r="O459" i="3"/>
  <c r="AL489" i="3"/>
  <c r="O464" i="3"/>
  <c r="AN485" i="3"/>
  <c r="O457" i="3"/>
  <c r="O454" i="3"/>
  <c r="AN470" i="3"/>
  <c r="O475" i="3"/>
  <c r="O485" i="3"/>
  <c r="O487" i="3"/>
  <c r="AN454" i="3"/>
  <c r="O489" i="3"/>
  <c r="Y470" i="3"/>
  <c r="O477" i="3"/>
  <c r="AN452" i="3"/>
  <c r="AN453" i="3"/>
  <c r="AN482" i="3"/>
  <c r="AN457" i="3"/>
  <c r="Y465" i="3"/>
  <c r="Y482" i="3"/>
  <c r="Y454" i="3"/>
  <c r="Y458" i="3"/>
  <c r="Y457" i="3"/>
  <c r="Y472" i="3"/>
  <c r="Y464" i="3"/>
  <c r="Y480" i="3"/>
  <c r="Y485" i="3"/>
  <c r="Y487" i="3"/>
  <c r="Y483" i="3"/>
  <c r="Y459" i="3"/>
  <c r="AJ477" i="3"/>
  <c r="Y467" i="3"/>
  <c r="Y475" i="3"/>
  <c r="Y453" i="3"/>
  <c r="Y473" i="3"/>
  <c r="Y455" i="3"/>
  <c r="Y468" i="3"/>
  <c r="Y481" i="3"/>
  <c r="AL465" i="3"/>
  <c r="AL464" i="3"/>
  <c r="AL483" i="3"/>
  <c r="AN468" i="3"/>
  <c r="AN455" i="3"/>
  <c r="AN477" i="3"/>
  <c r="AN464" i="3"/>
  <c r="AN481" i="3"/>
  <c r="AN483" i="3"/>
  <c r="AL485" i="3"/>
  <c r="AL468" i="3"/>
  <c r="AL473" i="3"/>
  <c r="AL484" i="3"/>
  <c r="AL457" i="3"/>
  <c r="AL452" i="3"/>
  <c r="AL475" i="3"/>
  <c r="AL467" i="3"/>
  <c r="AB473" i="3"/>
  <c r="V458" i="3"/>
  <c r="AL470" i="3"/>
  <c r="O483" i="3"/>
  <c r="O455" i="3"/>
  <c r="O468" i="3"/>
  <c r="O458" i="3"/>
  <c r="O453" i="3"/>
  <c r="V482" i="3"/>
  <c r="AB470" i="3"/>
  <c r="AJ487" i="3"/>
  <c r="AB453" i="3"/>
  <c r="V477" i="3"/>
  <c r="AL477" i="3"/>
  <c r="AL472" i="3"/>
  <c r="AN489" i="3"/>
  <c r="AL453" i="3"/>
  <c r="AL487" i="3"/>
  <c r="AL482" i="3"/>
  <c r="AB477" i="3"/>
  <c r="AL480" i="3"/>
  <c r="AN480" i="3"/>
  <c r="AN473" i="3"/>
  <c r="U457" i="3"/>
  <c r="AL459" i="3"/>
  <c r="AL481" i="3"/>
  <c r="AB464" i="3"/>
  <c r="AL458" i="3"/>
  <c r="AN487" i="3"/>
  <c r="AL455" i="3"/>
  <c r="AN467" i="3"/>
  <c r="AJ483" i="3"/>
  <c r="AB467" i="3"/>
  <c r="P454" i="3"/>
  <c r="Q459" i="3"/>
  <c r="V489" i="3"/>
  <c r="AI482" i="3"/>
  <c r="AI489" i="3"/>
  <c r="AP472" i="3"/>
  <c r="AI453" i="3"/>
  <c r="U452" i="3"/>
  <c r="AB465" i="3"/>
  <c r="AP453" i="3"/>
  <c r="U481" i="3"/>
  <c r="V473" i="3"/>
  <c r="AI458" i="3"/>
  <c r="Q464" i="3"/>
  <c r="AJ472" i="3"/>
  <c r="AI483" i="3"/>
  <c r="V475" i="3"/>
  <c r="U473" i="3"/>
  <c r="U453" i="3"/>
  <c r="U487" i="3"/>
  <c r="U465" i="3"/>
  <c r="AI457" i="3"/>
  <c r="U483" i="3"/>
  <c r="AP465" i="3"/>
  <c r="AI473" i="3"/>
  <c r="AP487" i="3"/>
  <c r="T477" i="3"/>
  <c r="U489" i="3"/>
  <c r="U459" i="3"/>
  <c r="AJ454" i="3"/>
  <c r="AP489" i="3"/>
  <c r="AP459" i="3"/>
  <c r="AP481" i="3"/>
  <c r="AP485" i="3"/>
  <c r="AP467" i="3"/>
  <c r="AJ481" i="3"/>
  <c r="V470" i="3"/>
  <c r="Q485" i="3"/>
  <c r="Q470" i="3"/>
  <c r="Q475" i="3"/>
  <c r="AI477" i="3"/>
  <c r="AB485" i="3"/>
  <c r="AI472" i="3"/>
  <c r="V453" i="3"/>
  <c r="Q468" i="3"/>
  <c r="AI467" i="3"/>
  <c r="AI485" i="3"/>
  <c r="V467" i="3"/>
  <c r="AI480" i="3"/>
  <c r="AJ457" i="3"/>
  <c r="AJ470" i="3"/>
  <c r="AM457" i="3"/>
  <c r="AJ455" i="3"/>
  <c r="AJ475" i="3"/>
  <c r="Q454" i="3"/>
  <c r="Q465" i="3"/>
  <c r="Q457" i="3"/>
  <c r="I460" i="3"/>
  <c r="Q481" i="3"/>
  <c r="P467" i="3"/>
  <c r="Q489" i="3"/>
  <c r="AB459" i="3"/>
  <c r="AB455" i="3"/>
  <c r="AI487" i="3"/>
  <c r="AI470" i="3"/>
  <c r="V472" i="3"/>
  <c r="AB483" i="3"/>
  <c r="AB457" i="3"/>
  <c r="V464" i="3"/>
  <c r="V459" i="3"/>
  <c r="AB454" i="3"/>
  <c r="U477" i="3"/>
  <c r="V485" i="3"/>
  <c r="V457" i="3"/>
  <c r="V487" i="3"/>
  <c r="AB475" i="3"/>
  <c r="AI465" i="3"/>
  <c r="AI475" i="3"/>
  <c r="AI468" i="3"/>
  <c r="V452" i="3"/>
  <c r="AB481" i="3"/>
  <c r="AB472" i="3"/>
  <c r="V468" i="3"/>
  <c r="V481" i="3"/>
  <c r="AB482" i="3"/>
  <c r="AB458" i="3"/>
  <c r="G489" i="3"/>
  <c r="V455" i="3"/>
  <c r="AI481" i="3"/>
  <c r="AI455" i="3"/>
  <c r="AI459" i="3"/>
  <c r="AB480" i="3"/>
  <c r="AD468" i="3"/>
  <c r="V483" i="3"/>
  <c r="AB487" i="3"/>
  <c r="V465" i="3"/>
  <c r="V480" i="3"/>
  <c r="AB489" i="3"/>
  <c r="U454" i="3"/>
  <c r="AB468" i="3"/>
  <c r="AI464" i="3"/>
  <c r="AI452" i="3"/>
  <c r="T481" i="3"/>
  <c r="AJ489" i="3"/>
  <c r="AJ473" i="3"/>
  <c r="AJ467" i="3"/>
  <c r="AJ464" i="3"/>
  <c r="AP473" i="3"/>
  <c r="P459" i="3"/>
  <c r="AM458" i="3"/>
  <c r="AJ482" i="3"/>
  <c r="AJ465" i="3"/>
  <c r="AJ458" i="3"/>
  <c r="AJ480" i="3"/>
  <c r="AJ485" i="3"/>
  <c r="AJ468" i="3"/>
  <c r="T470" i="3"/>
  <c r="T459" i="3"/>
  <c r="T473" i="3"/>
  <c r="T467" i="3"/>
  <c r="T482" i="3"/>
  <c r="T480" i="3"/>
  <c r="T472" i="3"/>
  <c r="T468" i="3"/>
  <c r="T464" i="3"/>
  <c r="T455" i="3"/>
  <c r="T483" i="3"/>
  <c r="T489" i="3"/>
  <c r="T485" i="3"/>
  <c r="T454" i="3"/>
  <c r="T458" i="3"/>
  <c r="T453" i="3"/>
  <c r="T487" i="3"/>
  <c r="T457" i="3"/>
  <c r="T452" i="3"/>
  <c r="T475" i="3"/>
  <c r="T456" i="3"/>
  <c r="P485" i="3"/>
  <c r="P472" i="3"/>
  <c r="P464" i="3"/>
  <c r="AM477" i="3"/>
  <c r="AG454" i="3"/>
  <c r="AG455" i="3"/>
  <c r="I470" i="3"/>
  <c r="N468" i="3"/>
  <c r="X487" i="3"/>
  <c r="N472" i="3"/>
  <c r="N470" i="3"/>
  <c r="X453" i="3"/>
  <c r="X454" i="3"/>
  <c r="X455" i="3"/>
  <c r="R468" i="3"/>
  <c r="M477" i="3"/>
  <c r="G483" i="3"/>
  <c r="N487" i="3"/>
  <c r="N482" i="3"/>
  <c r="AP455" i="3"/>
  <c r="AP457" i="3"/>
  <c r="U458" i="3"/>
  <c r="U464" i="3"/>
  <c r="G452" i="3"/>
  <c r="G468" i="3"/>
  <c r="AP464" i="3"/>
  <c r="AP483" i="3"/>
  <c r="U472" i="3"/>
  <c r="U475" i="3"/>
  <c r="N481" i="3"/>
  <c r="AP470" i="3"/>
  <c r="G459" i="3"/>
  <c r="U467" i="3"/>
  <c r="X483" i="3"/>
  <c r="W480" i="3"/>
  <c r="W468" i="3"/>
  <c r="G455" i="3"/>
  <c r="G454" i="3"/>
  <c r="I485" i="3"/>
  <c r="G487" i="3"/>
  <c r="G472" i="3"/>
  <c r="I473" i="3"/>
  <c r="G464" i="3"/>
  <c r="W455" i="3"/>
  <c r="G457" i="3"/>
  <c r="I489" i="3"/>
  <c r="I492" i="3"/>
  <c r="I465" i="3"/>
  <c r="G470" i="3"/>
  <c r="G482" i="3"/>
  <c r="G480" i="3"/>
  <c r="I467" i="3"/>
  <c r="AD477" i="3"/>
  <c r="AD465" i="3"/>
  <c r="G453" i="3"/>
  <c r="G467" i="3"/>
  <c r="G475" i="3"/>
  <c r="G477" i="3"/>
  <c r="G473" i="3"/>
  <c r="AD467" i="3"/>
  <c r="AD454" i="3"/>
  <c r="G465" i="3"/>
  <c r="G481" i="3"/>
  <c r="I481" i="3"/>
  <c r="G458" i="3"/>
  <c r="W458" i="3"/>
  <c r="W475" i="3"/>
  <c r="R470" i="3"/>
  <c r="I453" i="3"/>
  <c r="M485" i="3"/>
  <c r="AG480" i="3"/>
  <c r="X465" i="3"/>
  <c r="N485" i="3"/>
  <c r="W483" i="3"/>
  <c r="N454" i="3"/>
  <c r="M465" i="3"/>
  <c r="AD483" i="3"/>
  <c r="AD464" i="3"/>
  <c r="N455" i="3"/>
  <c r="W487" i="3"/>
  <c r="X468" i="3"/>
  <c r="M482" i="3"/>
  <c r="AD489" i="3"/>
  <c r="AD459" i="3"/>
  <c r="AD470" i="3"/>
  <c r="M487" i="3"/>
  <c r="X457" i="3"/>
  <c r="X489" i="3"/>
  <c r="AD457" i="3"/>
  <c r="W489" i="3"/>
  <c r="N459" i="3"/>
  <c r="AD452" i="3"/>
  <c r="AD472" i="3"/>
  <c r="N475" i="3"/>
  <c r="M468" i="3"/>
  <c r="G466" i="3"/>
  <c r="N453" i="3"/>
  <c r="M480" i="3"/>
  <c r="M453" i="3"/>
  <c r="AJ459" i="3"/>
  <c r="U470" i="3"/>
  <c r="Z487" i="3"/>
  <c r="I482" i="3"/>
  <c r="I472" i="3"/>
  <c r="I464" i="3"/>
  <c r="AC467" i="3"/>
  <c r="I468" i="3"/>
  <c r="AC481" i="3"/>
  <c r="I480" i="3"/>
  <c r="AJ453" i="3"/>
  <c r="AC483" i="3"/>
  <c r="AQ487" i="3"/>
  <c r="AG465" i="3"/>
  <c r="R472" i="3"/>
  <c r="J487" i="3"/>
  <c r="R481" i="3"/>
  <c r="R454" i="3"/>
  <c r="R475" i="3"/>
  <c r="M472" i="3"/>
  <c r="M464" i="3"/>
  <c r="N457" i="3"/>
  <c r="X475" i="3"/>
  <c r="R487" i="3"/>
  <c r="R477" i="3"/>
  <c r="AG481" i="3"/>
  <c r="AQ485" i="3"/>
  <c r="AG459" i="3"/>
  <c r="R458" i="3"/>
  <c r="AQ468" i="3"/>
  <c r="AG468" i="3"/>
  <c r="W478" i="3"/>
  <c r="AG475" i="3"/>
  <c r="AG453" i="3"/>
  <c r="M470" i="3"/>
  <c r="S467" i="3"/>
  <c r="AC473" i="3"/>
  <c r="R459" i="3"/>
  <c r="AG458" i="3"/>
  <c r="K458" i="3"/>
  <c r="J465" i="3"/>
  <c r="AG464" i="3"/>
  <c r="X482" i="3"/>
  <c r="J468" i="3"/>
  <c r="K468" i="3"/>
  <c r="K465" i="3"/>
  <c r="S470" i="3"/>
  <c r="R485" i="3"/>
  <c r="AC465" i="3"/>
  <c r="J467" i="3"/>
  <c r="AC489" i="3"/>
  <c r="J464" i="3"/>
  <c r="AC455" i="3"/>
  <c r="AC487" i="3"/>
  <c r="M457" i="3"/>
  <c r="L457" i="3"/>
  <c r="R482" i="3"/>
  <c r="AG457" i="3"/>
  <c r="AG472" i="3"/>
  <c r="X464" i="3"/>
  <c r="X473" i="3"/>
  <c r="X481" i="3"/>
  <c r="X470" i="3"/>
  <c r="AP475" i="3"/>
  <c r="L473" i="3"/>
  <c r="U482" i="3"/>
  <c r="AC477" i="3"/>
  <c r="AC485" i="3"/>
  <c r="U468" i="3"/>
  <c r="J470" i="3"/>
  <c r="R467" i="3"/>
  <c r="I457" i="3"/>
  <c r="J475" i="3"/>
  <c r="AD475" i="3"/>
  <c r="AD458" i="3"/>
  <c r="AG483" i="3"/>
  <c r="M467" i="3"/>
  <c r="AG485" i="3"/>
  <c r="X472" i="3"/>
  <c r="S465" i="3"/>
  <c r="I455" i="3"/>
  <c r="Z472" i="3"/>
  <c r="U462" i="3"/>
  <c r="I454" i="3"/>
  <c r="AC468" i="3"/>
  <c r="AC463" i="3"/>
  <c r="J458" i="3"/>
  <c r="J477" i="3"/>
  <c r="AQ467" i="3"/>
  <c r="F480" i="3"/>
  <c r="R452" i="3"/>
  <c r="R480" i="3"/>
  <c r="AC458" i="3"/>
  <c r="X485" i="3"/>
  <c r="M458" i="3"/>
  <c r="I487" i="3"/>
  <c r="N467" i="3"/>
  <c r="AC459" i="3"/>
  <c r="J472" i="3"/>
  <c r="I483" i="3"/>
  <c r="M489" i="3"/>
  <c r="AG477" i="3"/>
  <c r="M452" i="3"/>
  <c r="M459" i="3"/>
  <c r="AG482" i="3"/>
  <c r="AQ458" i="3"/>
  <c r="S464" i="3"/>
  <c r="I477" i="3"/>
  <c r="X458" i="3"/>
  <c r="X459" i="3"/>
  <c r="AP477" i="3"/>
  <c r="N465" i="3"/>
  <c r="U485" i="3"/>
  <c r="AC480" i="3"/>
  <c r="AC454" i="3"/>
  <c r="J483" i="3"/>
  <c r="J473" i="3"/>
  <c r="J455" i="3"/>
  <c r="R455" i="3"/>
  <c r="R473" i="3"/>
  <c r="X452" i="3"/>
  <c r="F470" i="3"/>
  <c r="AQ489" i="3"/>
  <c r="M455" i="3"/>
  <c r="AD453" i="3"/>
  <c r="M454" i="3"/>
  <c r="AD481" i="3"/>
  <c r="M475" i="3"/>
  <c r="N464" i="3"/>
  <c r="AP482" i="3"/>
  <c r="S489" i="3"/>
  <c r="Z454" i="3"/>
  <c r="AG489" i="3"/>
  <c r="X477" i="3"/>
  <c r="X467" i="3"/>
  <c r="J454" i="3"/>
  <c r="R465" i="3"/>
  <c r="M473" i="3"/>
  <c r="AP480" i="3"/>
  <c r="N489" i="3"/>
  <c r="AC453" i="3"/>
  <c r="U455" i="3"/>
  <c r="L468" i="3"/>
  <c r="W472" i="3"/>
  <c r="AC472" i="3"/>
  <c r="J453" i="3"/>
  <c r="J480" i="3"/>
  <c r="R464" i="3"/>
  <c r="R489" i="3"/>
  <c r="R457" i="3"/>
  <c r="Z480" i="3"/>
  <c r="I452" i="3"/>
  <c r="AQ454" i="3"/>
  <c r="AG470" i="3"/>
  <c r="AD455" i="3"/>
  <c r="AD487" i="3"/>
  <c r="M483" i="3"/>
  <c r="AG467" i="3"/>
  <c r="AQ481" i="3"/>
  <c r="N458" i="3"/>
  <c r="F467" i="3"/>
  <c r="AC457" i="3"/>
  <c r="S468" i="3"/>
  <c r="J459" i="3"/>
  <c r="J481" i="3"/>
  <c r="AC470" i="3"/>
  <c r="AQ470" i="3"/>
  <c r="J482" i="3"/>
  <c r="S475" i="3"/>
  <c r="AC475" i="3"/>
  <c r="AQ465" i="3"/>
  <c r="F489" i="3"/>
  <c r="R453" i="3"/>
  <c r="AG473" i="3"/>
  <c r="Z470" i="3"/>
  <c r="AC482" i="3"/>
  <c r="N480" i="3"/>
  <c r="N477" i="3"/>
  <c r="N473" i="3"/>
  <c r="AP454" i="3"/>
  <c r="N483" i="3"/>
  <c r="AP468" i="3"/>
  <c r="J457" i="3"/>
  <c r="AC464" i="3"/>
  <c r="J452" i="3"/>
  <c r="J485" i="3"/>
  <c r="K464" i="3"/>
  <c r="I475" i="3"/>
  <c r="AD473" i="3"/>
  <c r="AD485" i="3"/>
  <c r="AD480" i="3"/>
  <c r="AQ457" i="3"/>
  <c r="AG487" i="3"/>
  <c r="K480" i="3"/>
  <c r="AP458" i="3"/>
  <c r="Z455" i="3"/>
  <c r="I459" i="3"/>
  <c r="S487" i="3"/>
  <c r="Q488" i="3"/>
  <c r="X474" i="3"/>
  <c r="AA482" i="3"/>
  <c r="AF481" i="3"/>
  <c r="AO489" i="3"/>
  <c r="AF457" i="3"/>
  <c r="AF458" i="3"/>
  <c r="AF472" i="3"/>
  <c r="AA464" i="3"/>
  <c r="AH457" i="3"/>
  <c r="H473" i="3"/>
  <c r="AO465" i="3"/>
  <c r="AO468" i="3"/>
  <c r="AH453" i="3"/>
  <c r="AA481" i="3"/>
  <c r="AH489" i="3"/>
  <c r="AH470" i="3"/>
  <c r="AF487" i="3"/>
  <c r="AH459" i="3"/>
  <c r="AA467" i="3"/>
  <c r="AO485" i="3"/>
  <c r="AA475" i="3"/>
  <c r="AA472" i="3"/>
  <c r="AF475" i="3"/>
  <c r="AO464" i="3"/>
  <c r="AO454" i="3"/>
  <c r="AO481" i="3"/>
  <c r="AO473" i="3"/>
  <c r="AO483" i="3"/>
  <c r="AH464" i="3"/>
  <c r="AH480" i="3"/>
  <c r="S454" i="3"/>
  <c r="S472" i="3"/>
  <c r="Z458" i="3"/>
  <c r="Z467" i="3"/>
  <c r="AF452" i="3"/>
  <c r="AH455" i="3"/>
  <c r="AF470" i="3"/>
  <c r="AF482" i="3"/>
  <c r="AO470" i="3"/>
  <c r="AO475" i="3"/>
  <c r="AF483" i="3"/>
  <c r="AA468" i="3"/>
  <c r="AF465" i="3"/>
  <c r="AF480" i="3"/>
  <c r="AH487" i="3"/>
  <c r="AA454" i="3"/>
  <c r="AA473" i="3"/>
  <c r="AH481" i="3"/>
  <c r="S482" i="3"/>
  <c r="S453" i="3"/>
  <c r="AF485" i="3"/>
  <c r="AH485" i="3"/>
  <c r="AA458" i="3"/>
  <c r="AF455" i="3"/>
  <c r="AA452" i="3"/>
  <c r="AH468" i="3"/>
  <c r="AF477" i="3"/>
  <c r="AF489" i="3"/>
  <c r="AF468" i="3"/>
  <c r="AO455" i="3"/>
  <c r="AO477" i="3"/>
  <c r="AO472" i="3"/>
  <c r="Z473" i="3"/>
  <c r="AF467" i="3"/>
  <c r="AA480" i="3"/>
  <c r="Z457" i="3"/>
  <c r="AF453" i="3"/>
  <c r="AH452" i="3"/>
  <c r="Z453" i="3"/>
  <c r="AA485" i="3"/>
  <c r="S477" i="3"/>
  <c r="S485" i="3"/>
  <c r="S455" i="3"/>
  <c r="Z483" i="3"/>
  <c r="Z464" i="3"/>
  <c r="AF464" i="3"/>
  <c r="AO453" i="3"/>
  <c r="AO482" i="3"/>
  <c r="AA487" i="3"/>
  <c r="AH483" i="3"/>
  <c r="AH477" i="3"/>
  <c r="AH475" i="3"/>
  <c r="Z485" i="3"/>
  <c r="S452" i="3"/>
  <c r="S480" i="3"/>
  <c r="S459" i="3"/>
  <c r="AA459" i="3"/>
  <c r="Z475" i="3"/>
  <c r="AF473" i="3"/>
  <c r="AO467" i="3"/>
  <c r="AO459" i="3"/>
  <c r="AO457" i="3"/>
  <c r="AA457" i="3"/>
  <c r="AH473" i="3"/>
  <c r="AA465" i="3"/>
  <c r="AA470" i="3"/>
  <c r="Z468" i="3"/>
  <c r="AA483" i="3"/>
  <c r="AA455" i="3"/>
  <c r="Z465" i="3"/>
  <c r="AA453" i="3"/>
  <c r="AH465" i="3"/>
  <c r="S473" i="3"/>
  <c r="S481" i="3"/>
  <c r="S483" i="3"/>
  <c r="AH467" i="3"/>
  <c r="Z481" i="3"/>
  <c r="F468" i="3"/>
  <c r="AF459" i="3"/>
  <c r="AO480" i="3"/>
  <c r="AO458" i="3"/>
  <c r="AO487" i="3"/>
  <c r="AH472" i="3"/>
  <c r="AH454" i="3"/>
  <c r="AA477" i="3"/>
  <c r="Z489" i="3"/>
  <c r="Z477" i="3"/>
  <c r="Z482" i="3"/>
  <c r="AH458" i="3"/>
  <c r="S458" i="3"/>
  <c r="Z459" i="3"/>
  <c r="AI456" i="3"/>
  <c r="AA456" i="3"/>
  <c r="AK456" i="3"/>
  <c r="O456" i="3"/>
  <c r="AG456" i="3"/>
  <c r="N456" i="3"/>
  <c r="M456" i="3"/>
  <c r="AN456" i="3"/>
  <c r="U456" i="3"/>
  <c r="D456" i="3"/>
  <c r="AH456" i="3"/>
  <c r="G456" i="3"/>
  <c r="AB456" i="3"/>
  <c r="Z456" i="3"/>
  <c r="X456" i="3"/>
  <c r="AD456" i="3"/>
  <c r="J456" i="3"/>
  <c r="K456" i="3"/>
  <c r="AF456" i="3"/>
  <c r="AJ456" i="3"/>
  <c r="AC456" i="3"/>
  <c r="S456" i="3"/>
  <c r="AL456" i="3"/>
  <c r="AO456" i="3"/>
  <c r="R456" i="3"/>
  <c r="AP456" i="3"/>
  <c r="I456" i="3"/>
  <c r="Y456" i="3"/>
  <c r="E456" i="3"/>
  <c r="Q456" i="3"/>
  <c r="V456" i="3"/>
  <c r="H485" i="3"/>
  <c r="AE482" i="3"/>
  <c r="H470" i="3"/>
  <c r="AE470" i="3"/>
  <c r="AE456" i="3"/>
  <c r="H452" i="3"/>
  <c r="H459" i="3"/>
  <c r="H482" i="3"/>
  <c r="AE477" i="3"/>
  <c r="H480" i="3"/>
  <c r="H487" i="3"/>
  <c r="AE457" i="3"/>
  <c r="AE465" i="3"/>
  <c r="H475" i="3"/>
  <c r="AE468" i="3"/>
  <c r="AE481" i="3"/>
  <c r="H455" i="3"/>
  <c r="AE458" i="3"/>
  <c r="H468" i="3"/>
  <c r="AE453" i="3"/>
  <c r="L467" i="3"/>
  <c r="AM459" i="3"/>
  <c r="AM467" i="3"/>
  <c r="H465" i="3"/>
  <c r="L454" i="3"/>
  <c r="L487" i="3"/>
  <c r="W452" i="3"/>
  <c r="L481" i="3"/>
  <c r="W465" i="3"/>
  <c r="L459" i="3"/>
  <c r="AE473" i="3"/>
  <c r="K489" i="3"/>
  <c r="AE475" i="3"/>
  <c r="Q472" i="3"/>
  <c r="Q477" i="3"/>
  <c r="Q453" i="3"/>
  <c r="L480" i="3"/>
  <c r="F459" i="3"/>
  <c r="F452" i="3"/>
  <c r="L464" i="3"/>
  <c r="F453" i="3"/>
  <c r="AQ459" i="3"/>
  <c r="AM470" i="3"/>
  <c r="P455" i="3"/>
  <c r="P465" i="3"/>
  <c r="K485" i="3"/>
  <c r="K482" i="3"/>
  <c r="P458" i="3"/>
  <c r="AQ483" i="3"/>
  <c r="F457" i="3"/>
  <c r="AM468" i="3"/>
  <c r="K453" i="3"/>
  <c r="F465" i="3"/>
  <c r="K457" i="3"/>
  <c r="AM479" i="3"/>
  <c r="W485" i="3"/>
  <c r="L477" i="3"/>
  <c r="F455" i="3"/>
  <c r="F487" i="3"/>
  <c r="AM455" i="3"/>
  <c r="F464" i="3"/>
  <c r="F481" i="3"/>
  <c r="F456" i="3"/>
  <c r="H458" i="3"/>
  <c r="L472" i="3"/>
  <c r="W467" i="3"/>
  <c r="L482" i="3"/>
  <c r="W470" i="3"/>
  <c r="W473" i="3"/>
  <c r="K473" i="3"/>
  <c r="AE459" i="3"/>
  <c r="AE454" i="3"/>
  <c r="AE487" i="3"/>
  <c r="Q467" i="3"/>
  <c r="Q473" i="3"/>
  <c r="AM452" i="3"/>
  <c r="AM487" i="3"/>
  <c r="F485" i="3"/>
  <c r="AM453" i="3"/>
  <c r="AM482" i="3"/>
  <c r="P489" i="3"/>
  <c r="P473" i="3"/>
  <c r="AQ473" i="3"/>
  <c r="AQ453" i="3"/>
  <c r="AQ464" i="3"/>
  <c r="P482" i="3"/>
  <c r="P453" i="3"/>
  <c r="AQ482" i="3"/>
  <c r="F454" i="3"/>
  <c r="F483" i="3"/>
  <c r="AM490" i="3"/>
  <c r="AM475" i="3"/>
  <c r="P456" i="3"/>
  <c r="H454" i="3"/>
  <c r="H464" i="3"/>
  <c r="H489" i="3"/>
  <c r="H477" i="3"/>
  <c r="L470" i="3"/>
  <c r="W457" i="3"/>
  <c r="W482" i="3"/>
  <c r="L485" i="3"/>
  <c r="K483" i="3"/>
  <c r="AE480" i="3"/>
  <c r="AE485" i="3"/>
  <c r="AE483" i="3"/>
  <c r="AE455" i="3"/>
  <c r="Q487" i="3"/>
  <c r="F477" i="3"/>
  <c r="K459" i="3"/>
  <c r="L455" i="3"/>
  <c r="P457" i="3"/>
  <c r="L465" i="3"/>
  <c r="AQ472" i="3"/>
  <c r="AQ455" i="3"/>
  <c r="P475" i="3"/>
  <c r="P468" i="3"/>
  <c r="K487" i="3"/>
  <c r="AM481" i="3"/>
  <c r="P487" i="3"/>
  <c r="F458" i="3"/>
  <c r="K455" i="3"/>
  <c r="L456" i="3"/>
  <c r="L483" i="3"/>
  <c r="L453" i="3"/>
  <c r="AM485" i="3"/>
  <c r="H453" i="3"/>
  <c r="H483" i="3"/>
  <c r="W459" i="3"/>
  <c r="W454" i="3"/>
  <c r="W464" i="3"/>
  <c r="W481" i="3"/>
  <c r="L489" i="3"/>
  <c r="W453" i="3"/>
  <c r="AM489" i="3"/>
  <c r="AE489" i="3"/>
  <c r="AE472" i="3"/>
  <c r="Q482" i="3"/>
  <c r="AM472" i="3"/>
  <c r="AM480" i="3"/>
  <c r="L475" i="3"/>
  <c r="P477" i="3"/>
  <c r="K472" i="3"/>
  <c r="P452" i="3"/>
  <c r="K481" i="3"/>
  <c r="AQ480" i="3"/>
  <c r="P481" i="3"/>
  <c r="F472" i="3"/>
  <c r="K475" i="3"/>
  <c r="AM464" i="3"/>
  <c r="L486" i="3"/>
  <c r="AM454" i="3"/>
  <c r="F473" i="3"/>
  <c r="AM461" i="3"/>
  <c r="AM456" i="3"/>
  <c r="W456" i="3"/>
  <c r="AQ456" i="3"/>
  <c r="H456" i="3"/>
  <c r="H472" i="3"/>
  <c r="H467" i="3"/>
  <c r="H481" i="3"/>
  <c r="L458" i="3"/>
  <c r="AM483" i="3"/>
  <c r="K470" i="3"/>
  <c r="K454" i="3"/>
  <c r="AE464" i="3"/>
  <c r="AE467" i="3"/>
  <c r="Q455" i="3"/>
  <c r="Q480" i="3"/>
  <c r="Q483" i="3"/>
  <c r="Q458" i="3"/>
  <c r="F475" i="3"/>
  <c r="AQ475" i="3"/>
  <c r="K477" i="3"/>
  <c r="K467" i="3"/>
  <c r="P483" i="3"/>
  <c r="AM465" i="3"/>
  <c r="AQ477" i="3"/>
  <c r="P480" i="3"/>
  <c r="AD474" i="3"/>
  <c r="Q474" i="3"/>
  <c r="AG474" i="3"/>
  <c r="AM474" i="3"/>
  <c r="Y474" i="3"/>
  <c r="G474" i="3"/>
  <c r="K474" i="3"/>
  <c r="M474" i="3"/>
  <c r="AQ474" i="3"/>
  <c r="U461" i="3"/>
  <c r="V474" i="3"/>
  <c r="AH474" i="3"/>
  <c r="I474" i="3"/>
  <c r="E474" i="3"/>
  <c r="R474" i="3"/>
  <c r="AK474" i="3"/>
  <c r="T474" i="3"/>
  <c r="Z474" i="3"/>
  <c r="AF474" i="3"/>
  <c r="S474" i="3"/>
  <c r="H474" i="3"/>
  <c r="AP474" i="3"/>
  <c r="AE474" i="3"/>
  <c r="F474" i="3"/>
  <c r="AL474" i="3"/>
  <c r="AC474" i="3"/>
  <c r="O474" i="3"/>
  <c r="AN474" i="3"/>
  <c r="AI474" i="3"/>
  <c r="P474" i="3"/>
  <c r="U474" i="3"/>
  <c r="W474" i="3"/>
  <c r="N474" i="3"/>
  <c r="AB474" i="3"/>
  <c r="AJ474" i="3"/>
  <c r="AA474" i="3"/>
  <c r="J474" i="3"/>
  <c r="D474" i="3"/>
  <c r="L474" i="3"/>
  <c r="AO474" i="3"/>
  <c r="P488" i="3"/>
  <c r="AQ484" i="3"/>
  <c r="AL488" i="3"/>
  <c r="Q484" i="3"/>
  <c r="X488" i="3"/>
  <c r="AG488" i="3"/>
  <c r="U488" i="3"/>
  <c r="AF488" i="3"/>
  <c r="AF491" i="3"/>
  <c r="X491" i="3"/>
  <c r="AQ491" i="3"/>
  <c r="G463" i="3"/>
  <c r="AE491" i="3"/>
  <c r="Q461" i="3"/>
  <c r="U463" i="3"/>
  <c r="E463" i="3"/>
  <c r="K461" i="3"/>
  <c r="J491" i="3"/>
  <c r="E461" i="3"/>
  <c r="W476" i="3"/>
  <c r="R491" i="3"/>
  <c r="AD491" i="3"/>
  <c r="AK491" i="3"/>
  <c r="AA491" i="3"/>
  <c r="AO491" i="3"/>
  <c r="T491" i="3"/>
  <c r="O491" i="3"/>
  <c r="AN491" i="3"/>
  <c r="K491" i="3"/>
  <c r="M491" i="3"/>
  <c r="Q491" i="3"/>
  <c r="H491" i="3"/>
  <c r="AC486" i="3"/>
  <c r="G491" i="3"/>
  <c r="P491" i="3"/>
  <c r="AL491" i="3"/>
  <c r="Y491" i="3"/>
  <c r="AM491" i="3"/>
  <c r="S491" i="3"/>
  <c r="AC491" i="3"/>
  <c r="AA476" i="3"/>
  <c r="AP491" i="3"/>
  <c r="V491" i="3"/>
  <c r="F491" i="3"/>
  <c r="Z491" i="3"/>
  <c r="AB491" i="3"/>
  <c r="E491" i="3"/>
  <c r="U491" i="3"/>
  <c r="I491" i="3"/>
  <c r="AG491" i="3"/>
  <c r="AI491" i="3"/>
  <c r="N491" i="3"/>
  <c r="W491" i="3"/>
  <c r="AJ491" i="3"/>
  <c r="AH491" i="3"/>
  <c r="L491" i="3"/>
  <c r="AI463" i="3"/>
  <c r="AE461" i="3"/>
  <c r="M461" i="3"/>
  <c r="AB461" i="3"/>
  <c r="AL461" i="3"/>
  <c r="AH463" i="3"/>
  <c r="Q463" i="3"/>
  <c r="AI461" i="3"/>
  <c r="F461" i="3"/>
  <c r="I461" i="3"/>
  <c r="T461" i="3"/>
  <c r="W463" i="3"/>
  <c r="P463" i="3"/>
  <c r="R463" i="3"/>
  <c r="L463" i="3"/>
  <c r="AK463" i="3"/>
  <c r="K463" i="3"/>
  <c r="T463" i="3"/>
  <c r="AM463" i="3"/>
  <c r="AC461" i="3"/>
  <c r="AH490" i="3"/>
  <c r="P492" i="3"/>
  <c r="R492" i="3"/>
  <c r="L492" i="3"/>
  <c r="R490" i="3"/>
  <c r="AP492" i="3"/>
  <c r="AF490" i="3"/>
  <c r="F492" i="3"/>
  <c r="AO490" i="3"/>
  <c r="E490" i="3"/>
  <c r="Y492" i="3"/>
  <c r="AC492" i="3"/>
  <c r="AF492" i="3"/>
  <c r="V490" i="3"/>
  <c r="AG492" i="3"/>
  <c r="J492" i="3"/>
  <c r="I490" i="3"/>
  <c r="S492" i="3"/>
  <c r="V492" i="3"/>
  <c r="X492" i="3"/>
  <c r="AA466" i="3"/>
  <c r="V466" i="3"/>
  <c r="P478" i="3"/>
  <c r="N478" i="3"/>
  <c r="Z463" i="3"/>
  <c r="V463" i="3"/>
  <c r="M463" i="3"/>
  <c r="AO463" i="3"/>
  <c r="W461" i="3"/>
  <c r="H461" i="3"/>
  <c r="AF461" i="3"/>
  <c r="O461" i="3"/>
  <c r="AK461" i="3"/>
  <c r="Q478" i="3"/>
  <c r="Y461" i="3"/>
  <c r="AJ461" i="3"/>
  <c r="S471" i="3"/>
  <c r="AJ463" i="3"/>
  <c r="AL463" i="3"/>
  <c r="AN463" i="3"/>
  <c r="AQ463" i="3"/>
  <c r="X463" i="3"/>
  <c r="P461" i="3"/>
  <c r="AP461" i="3"/>
  <c r="I463" i="3"/>
  <c r="AD461" i="3"/>
  <c r="X461" i="3"/>
  <c r="S461" i="3"/>
  <c r="G461" i="3"/>
  <c r="J463" i="3"/>
  <c r="AF463" i="3"/>
  <c r="AE463" i="3"/>
  <c r="F463" i="3"/>
  <c r="AG463" i="3"/>
  <c r="AN461" i="3"/>
  <c r="AH461" i="3"/>
  <c r="V461" i="3"/>
  <c r="J461" i="3"/>
  <c r="AG461" i="3"/>
  <c r="O463" i="3"/>
  <c r="AA463" i="3"/>
  <c r="H463" i="3"/>
  <c r="S463" i="3"/>
  <c r="AD463" i="3"/>
  <c r="Z461" i="3"/>
  <c r="AO461" i="3"/>
  <c r="D461" i="3"/>
  <c r="L461" i="3"/>
  <c r="N461" i="3"/>
  <c r="AA461" i="3"/>
  <c r="N463" i="3"/>
  <c r="AB463" i="3"/>
  <c r="D463" i="3"/>
  <c r="AP463" i="3"/>
  <c r="Y463" i="3"/>
  <c r="O478" i="3"/>
  <c r="R461" i="3"/>
  <c r="AQ461" i="3"/>
  <c r="O479" i="3"/>
  <c r="AB479" i="3"/>
  <c r="G479" i="3"/>
  <c r="V479" i="3"/>
  <c r="W479" i="3"/>
  <c r="M479" i="3"/>
  <c r="AC479" i="3"/>
  <c r="AH479" i="3"/>
  <c r="AE479" i="3"/>
  <c r="M469" i="3"/>
  <c r="D478" i="3"/>
  <c r="U478" i="3"/>
  <c r="AP478" i="3"/>
  <c r="I471" i="3"/>
  <c r="F471" i="3"/>
  <c r="F478" i="3"/>
  <c r="M478" i="3"/>
  <c r="AD471" i="3"/>
  <c r="T478" i="3"/>
  <c r="AK478" i="3"/>
  <c r="AO478" i="3"/>
  <c r="J478" i="3"/>
  <c r="AF471" i="3"/>
  <c r="L471" i="3"/>
  <c r="K478" i="3"/>
  <c r="Y478" i="3"/>
  <c r="AL478" i="3"/>
  <c r="AJ471" i="3"/>
  <c r="AJ478" i="3"/>
  <c r="G478" i="3"/>
  <c r="AA471" i="3"/>
  <c r="E478" i="3"/>
  <c r="AE478" i="3"/>
  <c r="AQ471" i="3"/>
  <c r="L478" i="3"/>
  <c r="I478" i="3"/>
  <c r="AF462" i="3"/>
  <c r="AI478" i="3"/>
  <c r="X479" i="3"/>
  <c r="AQ479" i="3"/>
  <c r="AP479" i="3"/>
  <c r="AK479" i="3"/>
  <c r="AN488" i="3"/>
  <c r="O490" i="3"/>
  <c r="AI479" i="3"/>
  <c r="J479" i="3"/>
  <c r="AB488" i="3"/>
  <c r="N460" i="3"/>
  <c r="F479" i="3"/>
  <c r="I488" i="3"/>
  <c r="AO488" i="3"/>
  <c r="AK488" i="3"/>
  <c r="AQ490" i="3"/>
  <c r="K490" i="3"/>
  <c r="AM471" i="3"/>
  <c r="AM478" i="3"/>
  <c r="AB478" i="3"/>
  <c r="X478" i="3"/>
  <c r="D492" i="3"/>
  <c r="N492" i="3"/>
  <c r="O492" i="3"/>
  <c r="AL492" i="3"/>
  <c r="J460" i="3"/>
  <c r="P484" i="3"/>
  <c r="I479" i="3"/>
  <c r="AG479" i="3"/>
  <c r="R479" i="3"/>
  <c r="J484" i="3"/>
  <c r="AL479" i="3"/>
  <c r="V462" i="3"/>
  <c r="E492" i="3"/>
  <c r="K488" i="3"/>
  <c r="AE488" i="3"/>
  <c r="N484" i="3"/>
  <c r="Z488" i="3"/>
  <c r="AH488" i="3"/>
  <c r="AJ492" i="3"/>
  <c r="F488" i="3"/>
  <c r="AO484" i="3"/>
  <c r="O488" i="3"/>
  <c r="K492" i="3"/>
  <c r="D479" i="3"/>
  <c r="H479" i="3"/>
  <c r="AC490" i="3"/>
  <c r="M490" i="3"/>
  <c r="AQ478" i="3"/>
  <c r="AN478" i="3"/>
  <c r="R469" i="3"/>
  <c r="AD478" i="3"/>
  <c r="Q492" i="3"/>
  <c r="AB492" i="3"/>
  <c r="AH492" i="3"/>
  <c r="H492" i="3"/>
  <c r="AG471" i="3"/>
  <c r="E479" i="3"/>
  <c r="S479" i="3"/>
  <c r="T479" i="3"/>
  <c r="H484" i="3"/>
  <c r="AK492" i="3"/>
  <c r="U492" i="3"/>
  <c r="N479" i="3"/>
  <c r="J469" i="3"/>
  <c r="R488" i="3"/>
  <c r="T488" i="3"/>
  <c r="M488" i="3"/>
  <c r="W488" i="3"/>
  <c r="AM488" i="3"/>
  <c r="Y488" i="3"/>
  <c r="AI488" i="3"/>
  <c r="D488" i="3"/>
  <c r="Y479" i="3"/>
  <c r="K479" i="3"/>
  <c r="G492" i="3"/>
  <c r="P460" i="3"/>
  <c r="I484" i="3"/>
  <c r="Q469" i="3"/>
  <c r="D490" i="3"/>
  <c r="T490" i="3"/>
  <c r="AD490" i="3"/>
  <c r="V471" i="3"/>
  <c r="AF478" i="3"/>
  <c r="AH478" i="3"/>
  <c r="AC478" i="3"/>
  <c r="AN492" i="3"/>
  <c r="AA492" i="3"/>
  <c r="AM492" i="3"/>
  <c r="AD492" i="3"/>
  <c r="T492" i="3"/>
  <c r="AC471" i="3"/>
  <c r="AJ479" i="3"/>
  <c r="AF479" i="3"/>
  <c r="AN479" i="3"/>
  <c r="AN484" i="3"/>
  <c r="O484" i="3"/>
  <c r="M492" i="3"/>
  <c r="U479" i="3"/>
  <c r="AC488" i="3"/>
  <c r="AQ488" i="3"/>
  <c r="S488" i="3"/>
  <c r="E488" i="3"/>
  <c r="AP488" i="3"/>
  <c r="L488" i="3"/>
  <c r="Z478" i="3"/>
  <c r="J488" i="3"/>
  <c r="S478" i="3"/>
  <c r="N471" i="3"/>
  <c r="AA478" i="3"/>
  <c r="AE484" i="3"/>
  <c r="N488" i="3"/>
  <c r="AJ488" i="3"/>
  <c r="Q479" i="3"/>
  <c r="AB490" i="3"/>
  <c r="W492" i="3"/>
  <c r="AG484" i="3"/>
  <c r="AO479" i="3"/>
  <c r="V488" i="3"/>
  <c r="U490" i="3"/>
  <c r="S490" i="3"/>
  <c r="M471" i="3"/>
  <c r="AK471" i="3"/>
  <c r="R478" i="3"/>
  <c r="H478" i="3"/>
  <c r="V478" i="3"/>
  <c r="AQ492" i="3"/>
  <c r="AO492" i="3"/>
  <c r="Z492" i="3"/>
  <c r="AE492" i="3"/>
  <c r="AI492" i="3"/>
  <c r="Q460" i="3"/>
  <c r="L479" i="3"/>
  <c r="AD479" i="3"/>
  <c r="Z479" i="3"/>
  <c r="K484" i="3"/>
  <c r="AG478" i="3"/>
  <c r="P479" i="3"/>
  <c r="W469" i="3"/>
  <c r="AD488" i="3"/>
  <c r="AA488" i="3"/>
  <c r="H488" i="3"/>
  <c r="G488" i="3"/>
  <c r="AG466" i="3"/>
  <c r="AH466" i="3"/>
  <c r="R466" i="3"/>
  <c r="AC466" i="3"/>
  <c r="L466" i="3"/>
  <c r="I466" i="3"/>
  <c r="M466" i="3"/>
  <c r="X466" i="3"/>
  <c r="AJ466" i="3"/>
  <c r="Y466" i="3"/>
  <c r="AA479" i="3"/>
  <c r="Y460" i="3"/>
  <c r="AM469" i="3"/>
  <c r="U469" i="3"/>
  <c r="H469" i="3"/>
  <c r="O469" i="3"/>
  <c r="AI460" i="3"/>
  <c r="AE469" i="3"/>
  <c r="AP460" i="3"/>
  <c r="E471" i="3"/>
  <c r="Z471" i="3"/>
  <c r="P471" i="3"/>
  <c r="K471" i="3"/>
  <c r="AA469" i="3"/>
  <c r="K469" i="3"/>
  <c r="AE471" i="3"/>
  <c r="Z460" i="3"/>
  <c r="K460" i="3"/>
  <c r="H471" i="3"/>
  <c r="AF460" i="3"/>
  <c r="AA460" i="3"/>
  <c r="AC469" i="3"/>
  <c r="I469" i="3"/>
  <c r="AL469" i="3"/>
  <c r="AC460" i="3"/>
  <c r="AO460" i="3"/>
  <c r="AQ469" i="3"/>
  <c r="X460" i="3"/>
  <c r="AK460" i="3"/>
  <c r="G471" i="3"/>
  <c r="W471" i="3"/>
  <c r="R471" i="3"/>
  <c r="AP471" i="3"/>
  <c r="AP469" i="3"/>
  <c r="AG469" i="3"/>
  <c r="F469" i="3"/>
  <c r="Z469" i="3"/>
  <c r="S462" i="3"/>
  <c r="G460" i="3"/>
  <c r="AB460" i="3"/>
  <c r="U471" i="3"/>
  <c r="Y471" i="3"/>
  <c r="M460" i="3"/>
  <c r="T460" i="3"/>
  <c r="AD469" i="3"/>
  <c r="S469" i="3"/>
  <c r="Y469" i="3"/>
  <c r="G469" i="3"/>
  <c r="AN460" i="3"/>
  <c r="T469" i="3"/>
  <c r="U460" i="3"/>
  <c r="AJ460" i="3"/>
  <c r="AD460" i="3"/>
  <c r="AK469" i="3"/>
  <c r="X471" i="3"/>
  <c r="AI471" i="3"/>
  <c r="AJ469" i="3"/>
  <c r="AN469" i="3"/>
  <c r="W462" i="3"/>
  <c r="T462" i="3"/>
  <c r="X462" i="3"/>
  <c r="AH460" i="3"/>
  <c r="V460" i="3"/>
  <c r="AB471" i="3"/>
  <c r="L460" i="3"/>
  <c r="D460" i="3"/>
  <c r="AG460" i="3"/>
  <c r="AH462" i="3"/>
  <c r="L469" i="3"/>
  <c r="W460" i="3"/>
  <c r="AB469" i="3"/>
  <c r="Q471" i="3"/>
  <c r="AL471" i="3"/>
  <c r="AN471" i="3"/>
  <c r="AF469" i="3"/>
  <c r="AO469" i="3"/>
  <c r="AB462" i="3"/>
  <c r="R460" i="3"/>
  <c r="D471" i="3"/>
  <c r="H460" i="3"/>
  <c r="O460" i="3"/>
  <c r="AE460" i="3"/>
  <c r="AM460" i="3"/>
  <c r="X469" i="3"/>
  <c r="AQ460" i="3"/>
  <c r="AH471" i="3"/>
  <c r="AO471" i="3"/>
  <c r="T471" i="3"/>
  <c r="J471" i="3"/>
  <c r="AH469" i="3"/>
  <c r="N469" i="3"/>
  <c r="D469" i="3"/>
  <c r="Y462" i="3"/>
  <c r="E460" i="3"/>
  <c r="S460" i="3"/>
  <c r="F460" i="3"/>
  <c r="AL460" i="3"/>
  <c r="V469" i="3"/>
  <c r="AI469" i="3"/>
  <c r="P469" i="3"/>
  <c r="G486" i="3"/>
  <c r="AH476" i="3"/>
  <c r="W486" i="3"/>
  <c r="E486" i="3"/>
  <c r="D476" i="3"/>
  <c r="AQ486" i="3"/>
  <c r="N486" i="3"/>
  <c r="AM476" i="3"/>
  <c r="AL476" i="3"/>
  <c r="AF476" i="3"/>
  <c r="AD476" i="3"/>
  <c r="M486" i="3"/>
  <c r="V486" i="3"/>
  <c r="Q490" i="3"/>
  <c r="J490" i="3"/>
  <c r="L490" i="3"/>
  <c r="Z490" i="3"/>
  <c r="Y490" i="3"/>
  <c r="AA490" i="3"/>
  <c r="G490" i="3"/>
  <c r="AO476" i="3"/>
  <c r="I476" i="3"/>
  <c r="O476" i="3"/>
  <c r="T476" i="3"/>
  <c r="AI476" i="3"/>
  <c r="F476" i="3"/>
  <c r="AE486" i="3"/>
  <c r="O486" i="3"/>
  <c r="AN486" i="3"/>
  <c r="F486" i="3"/>
  <c r="AO486" i="3"/>
  <c r="Q486" i="3"/>
  <c r="AI490" i="3"/>
  <c r="H490" i="3"/>
  <c r="AP490" i="3"/>
  <c r="N490" i="3"/>
  <c r="AL490" i="3"/>
  <c r="R476" i="3"/>
  <c r="S476" i="3"/>
  <c r="P476" i="3"/>
  <c r="M476" i="3"/>
  <c r="D486" i="3"/>
  <c r="AD486" i="3"/>
  <c r="P486" i="3"/>
  <c r="AG486" i="3"/>
  <c r="AM486" i="3"/>
  <c r="F490" i="3"/>
  <c r="P490" i="3"/>
  <c r="AN490" i="3"/>
  <c r="AE490" i="3"/>
  <c r="Y476" i="3"/>
  <c r="K476" i="3"/>
  <c r="N476" i="3"/>
  <c r="AN476" i="3"/>
  <c r="X490" i="3"/>
  <c r="AP476" i="3"/>
  <c r="AJ486" i="3"/>
  <c r="H486" i="3"/>
  <c r="U486" i="3"/>
  <c r="AA486" i="3"/>
  <c r="J486" i="3"/>
  <c r="AE476" i="3"/>
  <c r="AB476" i="3"/>
  <c r="V476" i="3"/>
  <c r="AJ476" i="3"/>
  <c r="AC476" i="3"/>
  <c r="G476" i="3"/>
  <c r="H476" i="3"/>
  <c r="X486" i="3"/>
  <c r="AH486" i="3"/>
  <c r="AB486" i="3"/>
  <c r="AK486" i="3"/>
  <c r="Z486" i="3"/>
  <c r="AI486" i="3"/>
  <c r="AG476" i="3"/>
  <c r="X476" i="3"/>
  <c r="AK476" i="3"/>
  <c r="I486" i="3"/>
  <c r="L476" i="3"/>
  <c r="W490" i="3"/>
  <c r="AG490" i="3"/>
  <c r="AK490" i="3"/>
  <c r="AJ490" i="3"/>
  <c r="Z476" i="3"/>
  <c r="Q476" i="3"/>
  <c r="AQ476" i="3"/>
  <c r="J476" i="3"/>
  <c r="U476" i="3"/>
  <c r="AL486" i="3"/>
  <c r="K486" i="3"/>
  <c r="Y486" i="3"/>
  <c r="AF486" i="3"/>
  <c r="T486" i="3"/>
  <c r="AP486" i="3"/>
  <c r="R486" i="3"/>
  <c r="S486" i="3"/>
  <c r="AH484" i="3"/>
  <c r="S484" i="3"/>
  <c r="AA484" i="3"/>
  <c r="AC484" i="3"/>
  <c r="AP484" i="3"/>
  <c r="G484" i="3"/>
  <c r="T484" i="3"/>
  <c r="M484" i="3"/>
  <c r="AI484" i="3"/>
  <c r="AK484" i="3"/>
  <c r="AJ484" i="3"/>
  <c r="D484" i="3"/>
  <c r="L484" i="3"/>
  <c r="AD484" i="3"/>
  <c r="AF484" i="3"/>
  <c r="R484" i="3"/>
  <c r="U484" i="3"/>
  <c r="V484" i="3"/>
  <c r="F484" i="3"/>
  <c r="AB484" i="3"/>
  <c r="E484" i="3"/>
  <c r="X484" i="3"/>
  <c r="Z484" i="3"/>
  <c r="AM484" i="3"/>
  <c r="W484" i="3"/>
  <c r="Y484" i="3"/>
  <c r="F462" i="3"/>
  <c r="AM462" i="3"/>
  <c r="G462" i="3"/>
  <c r="AE462" i="3"/>
  <c r="AG462" i="3"/>
  <c r="S466" i="3"/>
  <c r="E466" i="3"/>
  <c r="N466" i="3"/>
  <c r="AO466" i="3"/>
  <c r="K462" i="3"/>
  <c r="O462" i="3"/>
  <c r="AQ462" i="3"/>
  <c r="R462" i="3"/>
  <c r="I462" i="3"/>
  <c r="AC462" i="3"/>
  <c r="Q466" i="3"/>
  <c r="O466" i="3"/>
  <c r="AQ466" i="3"/>
  <c r="Z462" i="3"/>
  <c r="N462" i="3"/>
  <c r="AA462" i="3"/>
  <c r="AO462" i="3"/>
  <c r="AD462" i="3"/>
  <c r="U466" i="3"/>
  <c r="Z466" i="3"/>
  <c r="AN466" i="3"/>
  <c r="AB466" i="3"/>
  <c r="T466" i="3"/>
  <c r="AD466" i="3"/>
  <c r="J462" i="3"/>
  <c r="AK462" i="3"/>
  <c r="P462" i="3"/>
  <c r="AL462" i="3"/>
  <c r="AJ462" i="3"/>
  <c r="E462" i="3"/>
  <c r="AM466" i="3"/>
  <c r="D466" i="3"/>
  <c r="W466" i="3"/>
  <c r="AI466" i="3"/>
  <c r="AP462" i="3"/>
  <c r="H462" i="3"/>
  <c r="AI462" i="3"/>
  <c r="AN462" i="3"/>
  <c r="F466" i="3"/>
  <c r="K466" i="3"/>
  <c r="H466" i="3"/>
  <c r="J466" i="3"/>
  <c r="P466" i="3"/>
  <c r="AE466" i="3"/>
  <c r="AP466" i="3"/>
  <c r="L462" i="3"/>
  <c r="M462" i="3"/>
  <c r="D462" i="3"/>
  <c r="Q462" i="3"/>
  <c r="AK466" i="3"/>
  <c r="AF466" i="3"/>
  <c r="AL466" i="3"/>
  <c r="AD130" i="10"/>
  <c r="AB130" i="10"/>
  <c r="AA130" i="10"/>
  <c r="Z130" i="10"/>
  <c r="AG130" i="10"/>
  <c r="AG129" i="10" s="1"/>
  <c r="AF131" i="10" s="1"/>
  <c r="AE130" i="10"/>
  <c r="AH130" i="10"/>
  <c r="AC130" i="10"/>
  <c r="AJ130" i="10"/>
  <c r="AM130" i="10" s="1"/>
  <c r="C452" i="3" l="1"/>
  <c r="B445" i="3"/>
  <c r="F493" i="3" s="1"/>
  <c r="F449" i="3" s="1"/>
  <c r="F494" i="3" s="1"/>
  <c r="AK131" i="10"/>
  <c r="AF130" i="10"/>
  <c r="AF129" i="10" s="1"/>
  <c r="AL130" i="10" s="1"/>
  <c r="AK130" i="10"/>
  <c r="M493" i="3" l="1"/>
  <c r="M449" i="3" s="1"/>
  <c r="M494" i="3" s="1"/>
  <c r="AE493" i="3"/>
  <c r="AE449" i="3" s="1"/>
  <c r="AE494" i="3" s="1"/>
  <c r="AH493" i="3"/>
  <c r="AH449" i="3" s="1"/>
  <c r="AH494" i="3" s="1"/>
  <c r="X493" i="3"/>
  <c r="X449" i="3" s="1"/>
  <c r="X494" i="3" s="1"/>
  <c r="Q493" i="3"/>
  <c r="Q449" i="3" s="1"/>
  <c r="Q494" i="3" s="1"/>
  <c r="AG493" i="3"/>
  <c r="AG449" i="3" s="1"/>
  <c r="AG494" i="3" s="1"/>
  <c r="AA493" i="3"/>
  <c r="AA449" i="3" s="1"/>
  <c r="AA494" i="3" s="1"/>
  <c r="O493" i="3"/>
  <c r="O449" i="3" s="1"/>
  <c r="O494" i="3" s="1"/>
  <c r="V493" i="3"/>
  <c r="V449" i="3" s="1"/>
  <c r="V494" i="3" s="1"/>
  <c r="AN493" i="3"/>
  <c r="AN449" i="3" s="1"/>
  <c r="AN494" i="3" s="1"/>
  <c r="AQ493" i="3"/>
  <c r="AQ449" i="3" s="1"/>
  <c r="AQ494" i="3" s="1"/>
  <c r="I493" i="3"/>
  <c r="I449" i="3" s="1"/>
  <c r="I494" i="3" s="1"/>
  <c r="Y493" i="3"/>
  <c r="Y449" i="3" s="1"/>
  <c r="Y494" i="3" s="1"/>
  <c r="Z493" i="3"/>
  <c r="Z449" i="3" s="1"/>
  <c r="Z494" i="3" s="1"/>
  <c r="N493" i="3"/>
  <c r="N449" i="3" s="1"/>
  <c r="N494" i="3" s="1"/>
  <c r="K493" i="3"/>
  <c r="K449" i="3" s="1"/>
  <c r="K494" i="3" s="1"/>
  <c r="U493" i="3"/>
  <c r="U449" i="3" s="1"/>
  <c r="U494" i="3" s="1"/>
  <c r="AB493" i="3"/>
  <c r="AB449" i="3" s="1"/>
  <c r="AB494" i="3" s="1"/>
  <c r="AC493" i="3"/>
  <c r="AC449" i="3" s="1"/>
  <c r="AC494" i="3" s="1"/>
  <c r="AO493" i="3"/>
  <c r="AO449" i="3" s="1"/>
  <c r="AO494" i="3" s="1"/>
  <c r="H493" i="3"/>
  <c r="H449" i="3" s="1"/>
  <c r="H494" i="3" s="1"/>
  <c r="P493" i="3"/>
  <c r="P449" i="3" s="1"/>
  <c r="P494" i="3" s="1"/>
  <c r="L493" i="3"/>
  <c r="L449" i="3" s="1"/>
  <c r="L494" i="3" s="1"/>
  <c r="AM493" i="3"/>
  <c r="AM449" i="3" s="1"/>
  <c r="AM494" i="3" s="1"/>
  <c r="AJ493" i="3"/>
  <c r="AJ449" i="3" s="1"/>
  <c r="AJ494" i="3" s="1"/>
  <c r="G493" i="3"/>
  <c r="G449" i="3" s="1"/>
  <c r="G494" i="3" s="1"/>
  <c r="AP493" i="3"/>
  <c r="AP449" i="3" s="1"/>
  <c r="AP494" i="3" s="1"/>
  <c r="D493" i="3"/>
  <c r="D449" i="3" s="1"/>
  <c r="D494" i="3" s="1"/>
  <c r="AF493" i="3"/>
  <c r="AF449" i="3" s="1"/>
  <c r="AF494" i="3" s="1"/>
  <c r="W493" i="3"/>
  <c r="W449" i="3" s="1"/>
  <c r="W494" i="3" s="1"/>
  <c r="T493" i="3"/>
  <c r="T449" i="3" s="1"/>
  <c r="T494" i="3" s="1"/>
  <c r="AL493" i="3"/>
  <c r="AL449" i="3" s="1"/>
  <c r="AL494" i="3" s="1"/>
  <c r="E493" i="3"/>
  <c r="E449" i="3" s="1"/>
  <c r="E494" i="3" s="1"/>
  <c r="AI493" i="3"/>
  <c r="AI449" i="3" s="1"/>
  <c r="AI494" i="3" s="1"/>
  <c r="S493" i="3"/>
  <c r="S449" i="3" s="1"/>
  <c r="S494" i="3" s="1"/>
  <c r="AD493" i="3"/>
  <c r="AD449" i="3" s="1"/>
  <c r="AD494" i="3" s="1"/>
  <c r="J493" i="3"/>
  <c r="J449" i="3" s="1"/>
  <c r="J494" i="3" s="1"/>
  <c r="R493" i="3"/>
  <c r="R449" i="3" s="1"/>
  <c r="R494" i="3" s="1"/>
  <c r="AK493" i="3"/>
  <c r="AK449" i="3" s="1"/>
  <c r="AK494" i="3" s="1"/>
  <c r="AN130" i="10"/>
  <c r="AL131" i="10"/>
  <c r="AN131" i="10" s="1"/>
  <c r="AR494" i="3" l="1"/>
  <c r="AH495" i="3" s="1"/>
  <c r="AN129" i="10"/>
  <c r="AO131" i="10" s="1"/>
  <c r="X495" i="3" l="1"/>
  <c r="W495" i="3"/>
  <c r="AE495" i="3"/>
  <c r="H495" i="3"/>
  <c r="AQ495" i="3"/>
  <c r="S495" i="3"/>
  <c r="AB495" i="3"/>
  <c r="Q495" i="3"/>
  <c r="AK495" i="3"/>
  <c r="U495" i="3"/>
  <c r="AD495" i="3"/>
  <c r="F495" i="3"/>
  <c r="E495" i="3"/>
  <c r="K495" i="3"/>
  <c r="AN495" i="3"/>
  <c r="AJ495" i="3"/>
  <c r="M495" i="3"/>
  <c r="AC495" i="3"/>
  <c r="D495" i="3"/>
  <c r="AP495" i="3"/>
  <c r="AG495" i="3"/>
  <c r="AM495" i="3"/>
  <c r="O495" i="3"/>
  <c r="T495" i="3"/>
  <c r="Z495" i="3"/>
  <c r="AI495" i="3"/>
  <c r="AA495" i="3"/>
  <c r="G495" i="3"/>
  <c r="R495" i="3"/>
  <c r="V495" i="3"/>
  <c r="L495" i="3"/>
  <c r="N495" i="3"/>
  <c r="I495" i="3"/>
  <c r="AF495" i="3"/>
  <c r="P495" i="3"/>
  <c r="AO495" i="3"/>
  <c r="J495" i="3"/>
  <c r="Y495" i="3"/>
  <c r="AL495" i="3"/>
  <c r="AO130" i="10"/>
  <c r="AO129" i="10" s="1"/>
  <c r="AP131" i="10" s="1"/>
  <c r="AQ131" i="10" s="1"/>
  <c r="J542" i="3"/>
  <c r="K542" i="3" s="1"/>
  <c r="G542" i="3"/>
  <c r="H542" i="3" s="1"/>
  <c r="I542" i="3" s="1"/>
  <c r="AR495" i="3" l="1"/>
  <c r="C443" i="3" s="1"/>
  <c r="D445" i="3" s="1"/>
  <c r="AP130" i="10"/>
  <c r="AQ130" i="10" s="1"/>
  <c r="AQ129" i="10" s="1"/>
  <c r="X131" i="10" s="1"/>
  <c r="F445" i="3" l="1"/>
  <c r="C904" i="3" s="1"/>
  <c r="C445" i="3"/>
  <c r="C583" i="3"/>
  <c r="C808" i="3"/>
  <c r="C515" i="3"/>
  <c r="G529" i="3" s="1"/>
  <c r="H529" i="3" s="1"/>
  <c r="I529" i="3" s="1"/>
  <c r="C861" i="3"/>
  <c r="X130" i="10"/>
  <c r="Z133" i="10" s="1"/>
  <c r="E150" i="10" s="1"/>
  <c r="L542" i="3"/>
  <c r="N542" i="3" s="1"/>
  <c r="G597" i="3" l="1"/>
  <c r="H597" i="3" s="1"/>
  <c r="I597" i="3" s="1"/>
  <c r="G595" i="3"/>
  <c r="H595" i="3" s="1"/>
  <c r="I595" i="3" s="1"/>
  <c r="G531" i="3"/>
  <c r="H531" i="3" s="1"/>
  <c r="I531" i="3" s="1"/>
  <c r="G541" i="3"/>
  <c r="H541" i="3" s="1"/>
  <c r="I541" i="3" s="1"/>
  <c r="G532" i="3"/>
  <c r="H532" i="3" s="1"/>
  <c r="I532" i="3" s="1"/>
  <c r="G538" i="3"/>
  <c r="H538" i="3" s="1"/>
  <c r="I538" i="3" s="1"/>
  <c r="G594" i="3"/>
  <c r="H594" i="3" s="1"/>
  <c r="I594" i="3" s="1"/>
  <c r="G598" i="3"/>
  <c r="H598" i="3" s="1"/>
  <c r="I598" i="3" s="1"/>
  <c r="E445" i="3"/>
  <c r="C516" i="3" s="1"/>
  <c r="S501" i="3" s="1"/>
  <c r="U507" i="3" s="1"/>
  <c r="H512" i="3"/>
  <c r="I512" i="3" s="1"/>
  <c r="G530" i="3"/>
  <c r="H530" i="3" s="1"/>
  <c r="I530" i="3" s="1"/>
  <c r="R528" i="3"/>
  <c r="C860" i="3"/>
  <c r="H860" i="3" s="1"/>
  <c r="H862" i="3" s="1"/>
  <c r="C807" i="3"/>
  <c r="H803" i="3" s="1"/>
  <c r="C514" i="3"/>
  <c r="H506" i="3" s="1"/>
  <c r="H508" i="3" s="1"/>
  <c r="E402" i="3"/>
  <c r="A389" i="3"/>
  <c r="F389" i="3" s="1"/>
  <c r="C582" i="3"/>
  <c r="U575" i="3" s="1"/>
  <c r="A390" i="3"/>
  <c r="F390" i="3" s="1"/>
  <c r="D861" i="3"/>
  <c r="C646" i="3"/>
  <c r="BC664" i="3" s="1"/>
  <c r="C810" i="3"/>
  <c r="C585" i="3"/>
  <c r="J595" i="3" s="1"/>
  <c r="K595" i="3" s="1"/>
  <c r="C517" i="3"/>
  <c r="J529" i="3" s="1"/>
  <c r="K529" i="3" s="1"/>
  <c r="A391" i="3"/>
  <c r="F391" i="3" s="1"/>
  <c r="G604" i="3"/>
  <c r="H604" i="3" s="1"/>
  <c r="I604" i="3" s="1"/>
  <c r="G596" i="3"/>
  <c r="H596" i="3" s="1"/>
  <c r="I596" i="3" s="1"/>
  <c r="G528" i="3"/>
  <c r="H528" i="3" s="1"/>
  <c r="I528" i="3" s="1"/>
  <c r="M528" i="3"/>
  <c r="D153" i="10"/>
  <c r="E149" i="10"/>
  <c r="D150" i="10"/>
  <c r="D149" i="10"/>
  <c r="D170" i="10"/>
  <c r="D171" i="10" s="1"/>
  <c r="D174" i="10" s="1"/>
  <c r="M595" i="3" l="1"/>
  <c r="J531" i="3"/>
  <c r="K531" i="3" s="1"/>
  <c r="J541" i="3"/>
  <c r="K541" i="3" s="1"/>
  <c r="J604" i="3"/>
  <c r="K604" i="3" s="1"/>
  <c r="J597" i="3"/>
  <c r="K597" i="3" s="1"/>
  <c r="M597" i="3" s="1"/>
  <c r="J538" i="3"/>
  <c r="K538" i="3" s="1"/>
  <c r="O538" i="3"/>
  <c r="P538" i="3" s="1"/>
  <c r="H443" i="3"/>
  <c r="C809" i="3"/>
  <c r="C815" i="3" s="1"/>
  <c r="A829" i="3" s="1"/>
  <c r="C645" i="3"/>
  <c r="A670" i="3" s="1"/>
  <c r="D860" i="3"/>
  <c r="A861" i="3" s="1"/>
  <c r="M604" i="3"/>
  <c r="U504" i="3"/>
  <c r="U509" i="3"/>
  <c r="U510" i="3"/>
  <c r="U506" i="3"/>
  <c r="U503" i="3"/>
  <c r="U508" i="3"/>
  <c r="U505" i="3"/>
  <c r="U511" i="3"/>
  <c r="AU664" i="3"/>
  <c r="M506" i="3"/>
  <c r="J532" i="3"/>
  <c r="K532" i="3" s="1"/>
  <c r="J594" i="3"/>
  <c r="K594" i="3" s="1"/>
  <c r="M594" i="3" s="1"/>
  <c r="J598" i="3"/>
  <c r="K598" i="3" s="1"/>
  <c r="M598" i="3" s="1"/>
  <c r="O528" i="3"/>
  <c r="P528" i="3" s="1"/>
  <c r="C584" i="3"/>
  <c r="G445" i="3"/>
  <c r="H442" i="3" s="1"/>
  <c r="C903" i="3"/>
  <c r="L911" i="3" s="1"/>
  <c r="J596" i="3"/>
  <c r="K596" i="3" s="1"/>
  <c r="M596" i="3" s="1"/>
  <c r="O530" i="3"/>
  <c r="P530" i="3" s="1"/>
  <c r="AQ664" i="3"/>
  <c r="P664" i="3"/>
  <c r="AO664" i="3"/>
  <c r="Q664" i="3"/>
  <c r="U664" i="3"/>
  <c r="H664" i="3"/>
  <c r="K664" i="3"/>
  <c r="AH664" i="3"/>
  <c r="V664" i="3"/>
  <c r="M664" i="3"/>
  <c r="E664" i="3"/>
  <c r="L664" i="3"/>
  <c r="J664" i="3"/>
  <c r="F664" i="3"/>
  <c r="AT664" i="3"/>
  <c r="AS664" i="3"/>
  <c r="Z664" i="3"/>
  <c r="AR664" i="3"/>
  <c r="U573" i="3"/>
  <c r="AG664" i="3"/>
  <c r="AZ664" i="3"/>
  <c r="AX664" i="3"/>
  <c r="AI664" i="3"/>
  <c r="BB664" i="3"/>
  <c r="O664" i="3"/>
  <c r="AY664" i="3"/>
  <c r="AV664" i="3"/>
  <c r="AP664" i="3"/>
  <c r="AM664" i="3"/>
  <c r="W664" i="3"/>
  <c r="BA664" i="3"/>
  <c r="AN664" i="3"/>
  <c r="C85" i="11"/>
  <c r="B104" i="11" s="1"/>
  <c r="I664" i="3"/>
  <c r="G664" i="3"/>
  <c r="AJ664" i="3"/>
  <c r="N664" i="3"/>
  <c r="T664" i="3"/>
  <c r="U576" i="3"/>
  <c r="D664" i="3"/>
  <c r="R664" i="3"/>
  <c r="AW664" i="3"/>
  <c r="AK664" i="3"/>
  <c r="Y664" i="3"/>
  <c r="X664" i="3"/>
  <c r="S664" i="3"/>
  <c r="AL664" i="3"/>
  <c r="U574" i="3"/>
  <c r="H576" i="3"/>
  <c r="H578" i="3" s="1"/>
  <c r="J530" i="3"/>
  <c r="K530" i="3" s="1"/>
  <c r="T501" i="3"/>
  <c r="V505" i="3" s="1"/>
  <c r="J528" i="3"/>
  <c r="K528" i="3" s="1"/>
  <c r="N506" i="3"/>
  <c r="L506" i="3"/>
  <c r="O506" i="3"/>
  <c r="N1016" i="3"/>
  <c r="N1019" i="3"/>
  <c r="N1015" i="3"/>
  <c r="N1021" i="3"/>
  <c r="N1020" i="3"/>
  <c r="N1013" i="3"/>
  <c r="N1014" i="3"/>
  <c r="N1018" i="3"/>
  <c r="N1017" i="3"/>
  <c r="H805" i="3"/>
  <c r="E151" i="10"/>
  <c r="D181" i="10" s="1"/>
  <c r="D151" i="10"/>
  <c r="B31" i="1"/>
  <c r="D39" i="18" s="1"/>
  <c r="P39" i="18" s="1"/>
  <c r="Z39" i="18" s="1"/>
  <c r="AJ39" i="18" s="1"/>
  <c r="B30" i="1"/>
  <c r="B33" i="1"/>
  <c r="D183" i="10"/>
  <c r="D154" i="10"/>
  <c r="D155" i="10" s="1"/>
  <c r="C1058" i="3" s="1"/>
  <c r="D1048" i="3" s="1"/>
  <c r="C1082" i="3" s="1"/>
  <c r="A667" i="3" l="1"/>
  <c r="D43" i="18"/>
  <c r="P43" i="18" s="1"/>
  <c r="W505" i="3"/>
  <c r="H445" i="3"/>
  <c r="G860" i="3" s="1"/>
  <c r="C814" i="3"/>
  <c r="J817" i="3" s="1"/>
  <c r="C84" i="11"/>
  <c r="B97" i="11" s="1"/>
  <c r="A860" i="3"/>
  <c r="C867" i="3" s="1"/>
  <c r="A668" i="3"/>
  <c r="A679" i="3"/>
  <c r="A680" i="3"/>
  <c r="A688" i="3"/>
  <c r="A684" i="3"/>
  <c r="A673" i="3"/>
  <c r="A674" i="3"/>
  <c r="A671" i="3"/>
  <c r="A678" i="3"/>
  <c r="A681" i="3"/>
  <c r="A675" i="3"/>
  <c r="A686" i="3"/>
  <c r="A682" i="3"/>
  <c r="A672" i="3"/>
  <c r="A685" i="3"/>
  <c r="A676" i="3"/>
  <c r="A669" i="3"/>
  <c r="A677" i="3"/>
  <c r="A687" i="3"/>
  <c r="A683" i="3"/>
  <c r="O911" i="3"/>
  <c r="K911" i="3"/>
  <c r="A917" i="3"/>
  <c r="A918" i="3"/>
  <c r="J911" i="3"/>
  <c r="D911" i="3"/>
  <c r="I911" i="3"/>
  <c r="N911" i="3"/>
  <c r="A915" i="3"/>
  <c r="F911" i="3"/>
  <c r="H911" i="3"/>
  <c r="M911" i="3"/>
  <c r="E911" i="3"/>
  <c r="A916" i="3"/>
  <c r="G911" i="3"/>
  <c r="A914" i="3"/>
  <c r="V504" i="3"/>
  <c r="W504" i="3" s="1"/>
  <c r="M615" i="3"/>
  <c r="O511" i="3"/>
  <c r="N525" i="3" s="1"/>
  <c r="V511" i="3"/>
  <c r="W511" i="3" s="1"/>
  <c r="V506" i="3"/>
  <c r="W506" i="3" s="1"/>
  <c r="V507" i="3"/>
  <c r="W507" i="3" s="1"/>
  <c r="V509" i="3"/>
  <c r="W509" i="3" s="1"/>
  <c r="V510" i="3"/>
  <c r="W510" i="3" s="1"/>
  <c r="E104" i="11"/>
  <c r="G83" i="11"/>
  <c r="I83" i="11"/>
  <c r="C104" i="11"/>
  <c r="N83" i="11"/>
  <c r="L83" i="11"/>
  <c r="G104" i="11"/>
  <c r="F104" i="11"/>
  <c r="T92" i="11"/>
  <c r="T93" i="11" s="1"/>
  <c r="W577" i="3"/>
  <c r="E83" i="11"/>
  <c r="M83" i="11"/>
  <c r="J83" i="11"/>
  <c r="H83" i="11"/>
  <c r="K83" i="11"/>
  <c r="D104" i="11"/>
  <c r="F83" i="11"/>
  <c r="A820" i="3"/>
  <c r="A831" i="3"/>
  <c r="A821" i="3"/>
  <c r="A832" i="3"/>
  <c r="A825" i="3"/>
  <c r="A824" i="3"/>
  <c r="A828" i="3"/>
  <c r="A822" i="3"/>
  <c r="A830" i="3"/>
  <c r="A826" i="3"/>
  <c r="A823" i="3"/>
  <c r="C1014" i="3"/>
  <c r="A1021" i="3" s="1"/>
  <c r="A827" i="3"/>
  <c r="V508" i="3"/>
  <c r="W508" i="3" s="1"/>
  <c r="V503" i="3"/>
  <c r="W503" i="3" s="1"/>
  <c r="P1022" i="3"/>
  <c r="B1034" i="3" s="1"/>
  <c r="B28" i="1"/>
  <c r="D182" i="10"/>
  <c r="D185" i="10" s="1"/>
  <c r="D190" i="10" s="1"/>
  <c r="E190" i="10" s="1"/>
  <c r="C88" i="43"/>
  <c r="F9" i="44" s="1"/>
  <c r="E1082" i="3"/>
  <c r="L20" i="1" s="1"/>
  <c r="C617" i="3" l="1"/>
  <c r="C618" i="3"/>
  <c r="I445" i="3"/>
  <c r="C21" i="1" s="1"/>
  <c r="G576" i="3"/>
  <c r="G578" i="3" s="1"/>
  <c r="C586" i="3" s="1"/>
  <c r="G803" i="3"/>
  <c r="I803" i="3" s="1"/>
  <c r="J445" i="3"/>
  <c r="AA434" i="3" s="1"/>
  <c r="Z43" i="18"/>
  <c r="AJ43" i="18" s="1"/>
  <c r="B98" i="11"/>
  <c r="G506" i="3"/>
  <c r="I506" i="3" s="1"/>
  <c r="B99" i="11"/>
  <c r="B95" i="11"/>
  <c r="S92" i="11"/>
  <c r="S93" i="11" s="1"/>
  <c r="U93" i="11" s="1"/>
  <c r="E817" i="3"/>
  <c r="B94" i="11"/>
  <c r="B87" i="11"/>
  <c r="B93" i="11"/>
  <c r="B90" i="11"/>
  <c r="B91" i="11"/>
  <c r="G817" i="3"/>
  <c r="H817" i="3"/>
  <c r="D817" i="3"/>
  <c r="F817" i="3"/>
  <c r="M817" i="3"/>
  <c r="O817" i="3"/>
  <c r="K817" i="3"/>
  <c r="C1013" i="3"/>
  <c r="G1016" i="3" s="1"/>
  <c r="I817" i="3"/>
  <c r="N817" i="3"/>
  <c r="L817" i="3"/>
  <c r="B92" i="11"/>
  <c r="B86" i="11"/>
  <c r="B100" i="11"/>
  <c r="B88" i="11"/>
  <c r="B89" i="11"/>
  <c r="B96" i="11"/>
  <c r="U689" i="3"/>
  <c r="T689" i="3"/>
  <c r="W512" i="3"/>
  <c r="L525" i="3" s="1"/>
  <c r="W689" i="3"/>
  <c r="P689" i="3"/>
  <c r="Q689" i="3"/>
  <c r="J689" i="3"/>
  <c r="S689" i="3"/>
  <c r="H689" i="3"/>
  <c r="F689" i="3"/>
  <c r="K689" i="3"/>
  <c r="X689" i="3"/>
  <c r="L689" i="3"/>
  <c r="D689" i="3"/>
  <c r="Y689" i="3"/>
  <c r="O689" i="3"/>
  <c r="V689" i="3"/>
  <c r="E689" i="3"/>
  <c r="M689" i="3"/>
  <c r="I689" i="3"/>
  <c r="N689" i="3"/>
  <c r="Z689" i="3"/>
  <c r="G689" i="3"/>
  <c r="R689" i="3"/>
  <c r="K919" i="3"/>
  <c r="N919" i="3"/>
  <c r="F919" i="3"/>
  <c r="G919" i="3"/>
  <c r="L919" i="3"/>
  <c r="D919" i="3"/>
  <c r="C922" i="3" s="1"/>
  <c r="C923" i="3" s="1"/>
  <c r="C925" i="3" s="1"/>
  <c r="D896" i="3" s="1"/>
  <c r="G1085" i="3" s="1"/>
  <c r="J919" i="3"/>
  <c r="I919" i="3"/>
  <c r="M919" i="3"/>
  <c r="O919" i="3"/>
  <c r="H919" i="3"/>
  <c r="E919" i="3"/>
  <c r="S525" i="3"/>
  <c r="A1026" i="3"/>
  <c r="H107" i="11"/>
  <c r="A1020" i="3"/>
  <c r="A1023" i="3"/>
  <c r="A1025" i="3"/>
  <c r="A1024" i="3"/>
  <c r="A1022" i="3"/>
  <c r="M834" i="3"/>
  <c r="K834" i="3"/>
  <c r="G834" i="3"/>
  <c r="D834" i="3"/>
  <c r="H834" i="3"/>
  <c r="F834" i="3"/>
  <c r="O834" i="3"/>
  <c r="J834" i="3"/>
  <c r="E834" i="3"/>
  <c r="I834" i="3"/>
  <c r="L834" i="3"/>
  <c r="N834" i="3"/>
  <c r="A1019" i="3"/>
  <c r="A1027" i="3"/>
  <c r="I860" i="3"/>
  <c r="G862" i="3"/>
  <c r="C866" i="3" s="1"/>
  <c r="C879" i="3" s="1"/>
  <c r="C880" i="3" s="1"/>
  <c r="C890" i="3" s="1"/>
  <c r="C891" i="3" s="1"/>
  <c r="D855" i="3" s="1"/>
  <c r="G1086" i="3" s="1"/>
  <c r="C89" i="43"/>
  <c r="C90" i="43" s="1"/>
  <c r="D191" i="10"/>
  <c r="B6" i="5" s="1"/>
  <c r="C434" i="3" l="1"/>
  <c r="AD434" i="3"/>
  <c r="G805" i="3"/>
  <c r="C811" i="3" s="1"/>
  <c r="B706" i="3"/>
  <c r="D706" i="3" s="1"/>
  <c r="B786" i="3"/>
  <c r="D786" i="3" s="1"/>
  <c r="D787" i="3" s="1"/>
  <c r="E787" i="3" s="1"/>
  <c r="C790" i="3" s="1"/>
  <c r="D790" i="3" s="1"/>
  <c r="D715" i="3" s="1"/>
  <c r="G1091" i="3" s="1"/>
  <c r="I576" i="3"/>
  <c r="L541" i="3"/>
  <c r="N541" i="3" s="1"/>
  <c r="L529" i="3"/>
  <c r="N529" i="3" s="1"/>
  <c r="Z434" i="3"/>
  <c r="I434" i="3"/>
  <c r="N434" i="3"/>
  <c r="O434" i="3"/>
  <c r="J434" i="3"/>
  <c r="AF434" i="3"/>
  <c r="W434" i="3"/>
  <c r="AH434" i="3"/>
  <c r="M434" i="3"/>
  <c r="AE434" i="3"/>
  <c r="X434" i="3"/>
  <c r="U434" i="3"/>
  <c r="C384" i="3"/>
  <c r="E434" i="3"/>
  <c r="H434" i="3"/>
  <c r="AG434" i="3"/>
  <c r="S434" i="3"/>
  <c r="F384" i="3"/>
  <c r="F434" i="3"/>
  <c r="K434" i="3"/>
  <c r="AB434" i="3"/>
  <c r="V434" i="3"/>
  <c r="Y434" i="3"/>
  <c r="AC434" i="3"/>
  <c r="D434" i="3"/>
  <c r="D384" i="3"/>
  <c r="E384" i="3"/>
  <c r="Q434" i="3"/>
  <c r="R434" i="3"/>
  <c r="K443" i="3"/>
  <c r="P434" i="3"/>
  <c r="L434" i="3"/>
  <c r="G434" i="3"/>
  <c r="G384" i="3"/>
  <c r="T434" i="3"/>
  <c r="G508" i="3"/>
  <c r="C518" i="3" s="1"/>
  <c r="AB507" i="3" s="1"/>
  <c r="AB509" i="3" s="1"/>
  <c r="K1016" i="3"/>
  <c r="F1016" i="3"/>
  <c r="J1016" i="3"/>
  <c r="E1016" i="3"/>
  <c r="L1016" i="3"/>
  <c r="K101" i="11"/>
  <c r="D1016" i="3"/>
  <c r="I1016" i="3"/>
  <c r="N101" i="11"/>
  <c r="F101" i="11"/>
  <c r="G101" i="11"/>
  <c r="H1016" i="3"/>
  <c r="E101" i="11"/>
  <c r="M101" i="11"/>
  <c r="C83" i="11"/>
  <c r="J69" i="11" s="1"/>
  <c r="K69" i="11" s="1"/>
  <c r="J101" i="11"/>
  <c r="H101" i="11"/>
  <c r="L101" i="11"/>
  <c r="I101" i="11"/>
  <c r="C702" i="3"/>
  <c r="E702" i="3" s="1"/>
  <c r="C707" i="3" s="1"/>
  <c r="A562" i="3"/>
  <c r="A563" i="3" s="1"/>
  <c r="L532" i="3"/>
  <c r="N532" i="3" s="1"/>
  <c r="L538" i="3"/>
  <c r="N538" i="3" s="1"/>
  <c r="L528" i="3"/>
  <c r="N528" i="3" s="1"/>
  <c r="Q525" i="3"/>
  <c r="Q538" i="3" s="1"/>
  <c r="S538" i="3" s="1"/>
  <c r="L531" i="3"/>
  <c r="N531" i="3" s="1"/>
  <c r="L530" i="3"/>
  <c r="N530" i="3" s="1"/>
  <c r="L1028" i="3"/>
  <c r="E1028" i="3"/>
  <c r="H1028" i="3"/>
  <c r="I1028" i="3"/>
  <c r="G1028" i="3"/>
  <c r="C837" i="3"/>
  <c r="C839" i="3" s="1"/>
  <c r="C841" i="3" s="1"/>
  <c r="F1028" i="3"/>
  <c r="D1028" i="3"/>
  <c r="K1028" i="3"/>
  <c r="J1028" i="3"/>
  <c r="M578" i="3"/>
  <c r="N578" i="3" s="1"/>
  <c r="P578" i="3" s="1"/>
  <c r="C624" i="3"/>
  <c r="C87" i="43"/>
  <c r="C50" i="5"/>
  <c r="C63" i="5"/>
  <c r="C56" i="5"/>
  <c r="C67" i="5"/>
  <c r="C54" i="5"/>
  <c r="C52" i="5"/>
  <c r="C36" i="5"/>
  <c r="C76" i="5"/>
  <c r="C55" i="5"/>
  <c r="C44" i="5"/>
  <c r="C41" i="5"/>
  <c r="C48" i="5"/>
  <c r="C39" i="5"/>
  <c r="C45" i="5"/>
  <c r="C35" i="5"/>
  <c r="C60" i="5"/>
  <c r="C62" i="5"/>
  <c r="C51" i="5"/>
  <c r="C66" i="5"/>
  <c r="C57" i="5"/>
  <c r="C68" i="5"/>
  <c r="C47" i="5"/>
  <c r="C58" i="5"/>
  <c r="C38" i="5"/>
  <c r="C40" i="5"/>
  <c r="C64" i="5"/>
  <c r="C73" i="5"/>
  <c r="C37" i="5"/>
  <c r="C42" i="5"/>
  <c r="C61" i="5"/>
  <c r="C46" i="5"/>
  <c r="C53" i="5"/>
  <c r="C43" i="5"/>
  <c r="C75" i="5"/>
  <c r="C49" i="5"/>
  <c r="C59" i="5"/>
  <c r="C65" i="5"/>
  <c r="B87" i="43" l="1"/>
  <c r="I15" i="43" s="1"/>
  <c r="B90" i="43"/>
  <c r="C842" i="3"/>
  <c r="L443" i="3"/>
  <c r="K445" i="3"/>
  <c r="C1081" i="3" s="1"/>
  <c r="E1081" i="3" s="1"/>
  <c r="L18" i="1" s="1"/>
  <c r="D83" i="11"/>
  <c r="D85" i="11" s="1"/>
  <c r="J72" i="11" s="1"/>
  <c r="D707" i="3"/>
  <c r="E707" i="3" s="1"/>
  <c r="C710" i="3" s="1"/>
  <c r="D710" i="3" s="1"/>
  <c r="D629" i="3" s="1"/>
  <c r="G1088" i="3" s="1"/>
  <c r="AB511" i="3"/>
  <c r="AB512" i="3"/>
  <c r="Q528" i="3"/>
  <c r="S528" i="3" s="1"/>
  <c r="Q530" i="3"/>
  <c r="S530" i="3" s="1"/>
  <c r="A1016" i="3"/>
  <c r="B1031" i="3"/>
  <c r="B1033" i="3" s="1"/>
  <c r="B1035" i="3" s="1"/>
  <c r="B1037" i="3" s="1"/>
  <c r="B1040" i="3" s="1"/>
  <c r="O578" i="3"/>
  <c r="M582" i="3" s="1"/>
  <c r="C86" i="43"/>
  <c r="J78" i="5"/>
  <c r="G78" i="5"/>
  <c r="C82" i="5" s="1"/>
  <c r="E191" i="10" s="1"/>
  <c r="E192" i="10" s="1"/>
  <c r="H78" i="5"/>
  <c r="I78" i="5"/>
  <c r="K78" i="5"/>
  <c r="E78" i="5"/>
  <c r="F78" i="5"/>
  <c r="J15" i="43" l="1"/>
  <c r="B17" i="61" s="1"/>
  <c r="H15" i="43"/>
  <c r="B17" i="45" s="1"/>
  <c r="C23" i="45" s="1"/>
  <c r="L445" i="3"/>
  <c r="C1087" i="3" s="1"/>
  <c r="E1087" i="3" s="1"/>
  <c r="AB513" i="3"/>
  <c r="N549" i="3" s="1"/>
  <c r="Q582" i="3"/>
  <c r="P582" i="3"/>
  <c r="N582" i="3"/>
  <c r="O582" i="3"/>
  <c r="B17" i="53"/>
  <c r="E193" i="10"/>
  <c r="E194" i="10" s="1"/>
  <c r="H16" i="43" l="1"/>
  <c r="H20" i="43" s="1"/>
  <c r="O6" i="18"/>
  <c r="J158" i="18" s="1"/>
  <c r="H21" i="43"/>
  <c r="L44" i="43"/>
  <c r="C3" i="46"/>
  <c r="L723" i="46" s="1"/>
  <c r="C3" i="62"/>
  <c r="C23" i="61"/>
  <c r="C3" i="54"/>
  <c r="C23" i="53"/>
  <c r="S549" i="3"/>
  <c r="C562" i="3" s="1"/>
  <c r="Q578" i="3"/>
  <c r="R578" i="3" s="1"/>
  <c r="C620" i="3" s="1"/>
  <c r="C621" i="3" s="1"/>
  <c r="D568" i="3" s="1"/>
  <c r="G1089" i="3" s="1"/>
  <c r="Y6" i="18"/>
  <c r="I16" i="43"/>
  <c r="I21" i="43"/>
  <c r="L45" i="43"/>
  <c r="AI6" i="18"/>
  <c r="J16" i="43"/>
  <c r="L46" i="43"/>
  <c r="J21" i="43"/>
  <c r="H24" i="43"/>
  <c r="E196" i="10"/>
  <c r="C1091" i="3"/>
  <c r="E1091" i="3" s="1"/>
  <c r="L22" i="1" s="1"/>
  <c r="F3" i="44" l="1"/>
  <c r="H21" i="69"/>
  <c r="F7" i="44"/>
  <c r="J21" i="69"/>
  <c r="F5" i="44"/>
  <c r="I21" i="69"/>
  <c r="K161" i="18"/>
  <c r="K162" i="18" s="1"/>
  <c r="P45" i="18" s="1"/>
  <c r="H22" i="43"/>
  <c r="O12" i="18"/>
  <c r="P33" i="18" s="1"/>
  <c r="P52" i="18" s="1"/>
  <c r="P54" i="18"/>
  <c r="S57" i="18"/>
  <c r="Q36" i="18" a="1"/>
  <c r="Q36" i="18" s="1"/>
  <c r="P36" i="18" s="1"/>
  <c r="P51" i="18" s="1"/>
  <c r="H17" i="43"/>
  <c r="H23" i="43"/>
  <c r="U228" i="46"/>
  <c r="V228" i="46" s="1"/>
  <c r="Q348" i="46" s="1"/>
  <c r="Z69" i="46"/>
  <c r="U239" i="46"/>
  <c r="V239" i="46" s="1"/>
  <c r="R348" i="46" s="1"/>
  <c r="Z55" i="46"/>
  <c r="Z51" i="46"/>
  <c r="C963" i="46"/>
  <c r="Z53" i="46"/>
  <c r="Z67" i="46"/>
  <c r="L727" i="46"/>
  <c r="C905" i="46"/>
  <c r="C907" i="46" s="1"/>
  <c r="Z64" i="46"/>
  <c r="G512" i="46"/>
  <c r="Z60" i="46"/>
  <c r="I108" i="46"/>
  <c r="Q86" i="50" s="1"/>
  <c r="U84" i="50" s="1"/>
  <c r="U351" i="46"/>
  <c r="L724" i="46"/>
  <c r="E122" i="46"/>
  <c r="E124" i="46"/>
  <c r="Z61" i="46"/>
  <c r="Z63" i="46"/>
  <c r="L730" i="46"/>
  <c r="L728" i="46"/>
  <c r="E127" i="46"/>
  <c r="Z50" i="46"/>
  <c r="Z59" i="46"/>
  <c r="L726" i="46"/>
  <c r="C440" i="46"/>
  <c r="C997" i="46"/>
  <c r="C980" i="46"/>
  <c r="Z65" i="46"/>
  <c r="I578" i="46"/>
  <c r="L721" i="46"/>
  <c r="Z68" i="46"/>
  <c r="I805" i="46"/>
  <c r="E123" i="46"/>
  <c r="Z70" i="46"/>
  <c r="L722" i="46"/>
  <c r="Z54" i="46"/>
  <c r="E125" i="46"/>
  <c r="Z62" i="46"/>
  <c r="Z58" i="46"/>
  <c r="AB506" i="46"/>
  <c r="E126" i="46"/>
  <c r="L725" i="46"/>
  <c r="E1084" i="46"/>
  <c r="L21" i="45" s="1"/>
  <c r="I862" i="46"/>
  <c r="Z66" i="46"/>
  <c r="I508" i="46"/>
  <c r="Z52" i="46"/>
  <c r="D173" i="51"/>
  <c r="E128" i="46"/>
  <c r="Z56" i="46"/>
  <c r="L729" i="46"/>
  <c r="E121" i="46"/>
  <c r="E119" i="46" s="1"/>
  <c r="C1052" i="46" s="1"/>
  <c r="Z57" i="46"/>
  <c r="C886" i="46"/>
  <c r="L158" i="18"/>
  <c r="M161" i="18" s="1"/>
  <c r="M162" i="18" s="1"/>
  <c r="Z45" i="18" s="1"/>
  <c r="AC57" i="18"/>
  <c r="N158" i="18"/>
  <c r="O161" i="18" s="1"/>
  <c r="O162" i="18" s="1"/>
  <c r="AJ45" i="18" s="1"/>
  <c r="AM57" i="18"/>
  <c r="D44" i="18"/>
  <c r="D53" i="18" s="1"/>
  <c r="E57" i="18" s="1"/>
  <c r="F57" i="18" s="1"/>
  <c r="D57" i="18" s="1"/>
  <c r="C997" i="62"/>
  <c r="L729" i="62"/>
  <c r="C980" i="62"/>
  <c r="L722" i="62"/>
  <c r="L726" i="62"/>
  <c r="L728" i="62"/>
  <c r="I862" i="62"/>
  <c r="L723" i="62"/>
  <c r="E1084" i="62"/>
  <c r="L21" i="61" s="1"/>
  <c r="AB506" i="62"/>
  <c r="L730" i="62"/>
  <c r="L725" i="62"/>
  <c r="I508" i="62"/>
  <c r="L724" i="62"/>
  <c r="I578" i="62"/>
  <c r="L721" i="62"/>
  <c r="C440" i="62"/>
  <c r="L727" i="62"/>
  <c r="D173" i="67"/>
  <c r="C905" i="62"/>
  <c r="C907" i="62" s="1"/>
  <c r="I805" i="62"/>
  <c r="C886" i="62"/>
  <c r="G512" i="62"/>
  <c r="Z57" i="62"/>
  <c r="Z67" i="62"/>
  <c r="Z69" i="62"/>
  <c r="Z50" i="62"/>
  <c r="Z63" i="62"/>
  <c r="Z66" i="62"/>
  <c r="Z64" i="62"/>
  <c r="Z55" i="62"/>
  <c r="Z60" i="62"/>
  <c r="Z62" i="62"/>
  <c r="Z53" i="62"/>
  <c r="Z52" i="62"/>
  <c r="Z58" i="62"/>
  <c r="Z54" i="62"/>
  <c r="Z56" i="62"/>
  <c r="Z61" i="62"/>
  <c r="Z59" i="62"/>
  <c r="Z65" i="62"/>
  <c r="Z70" i="62"/>
  <c r="Z51" i="62"/>
  <c r="Z68" i="62"/>
  <c r="I108" i="62"/>
  <c r="Q86" i="66" s="1"/>
  <c r="E127" i="62"/>
  <c r="E125" i="62"/>
  <c r="E121" i="62"/>
  <c r="E119" i="62" s="1"/>
  <c r="C1052" i="62" s="1"/>
  <c r="E123" i="62"/>
  <c r="U351" i="62"/>
  <c r="E122" i="62"/>
  <c r="E128" i="62"/>
  <c r="E126" i="62"/>
  <c r="E124" i="62"/>
  <c r="C963" i="62"/>
  <c r="U239" i="62"/>
  <c r="V239" i="62" s="1"/>
  <c r="R348" i="62" s="1"/>
  <c r="U228" i="62"/>
  <c r="V228" i="62" s="1"/>
  <c r="Q348" i="62" s="1"/>
  <c r="G512" i="54"/>
  <c r="AB506" i="54"/>
  <c r="I508" i="54"/>
  <c r="L730" i="54"/>
  <c r="L722" i="54"/>
  <c r="L727" i="54"/>
  <c r="E1084" i="54"/>
  <c r="L21" i="53" s="1"/>
  <c r="L726" i="54"/>
  <c r="C440" i="54"/>
  <c r="L728" i="54"/>
  <c r="L729" i="54"/>
  <c r="L721" i="54"/>
  <c r="C997" i="54"/>
  <c r="I805" i="54"/>
  <c r="L725" i="54"/>
  <c r="C905" i="54"/>
  <c r="C907" i="54" s="1"/>
  <c r="D173" i="59"/>
  <c r="I862" i="54"/>
  <c r="L723" i="54"/>
  <c r="L724" i="54"/>
  <c r="C980" i="54"/>
  <c r="I578" i="54"/>
  <c r="C886" i="54"/>
  <c r="Z59" i="54"/>
  <c r="Z62" i="54"/>
  <c r="Z55" i="54"/>
  <c r="Z67" i="54"/>
  <c r="Z70" i="54"/>
  <c r="Z56" i="54"/>
  <c r="Z60" i="54"/>
  <c r="Z58" i="54"/>
  <c r="Z65" i="54"/>
  <c r="Z69" i="54"/>
  <c r="Z68" i="54"/>
  <c r="Z63" i="54"/>
  <c r="Z57" i="54"/>
  <c r="Z50" i="54"/>
  <c r="Z51" i="54"/>
  <c r="Z61" i="54"/>
  <c r="Z66" i="54"/>
  <c r="Z52" i="54"/>
  <c r="Z54" i="54"/>
  <c r="Z64" i="54"/>
  <c r="Z53" i="54"/>
  <c r="I108" i="54"/>
  <c r="Q86" i="58" s="1"/>
  <c r="E128" i="54"/>
  <c r="U351" i="54"/>
  <c r="E126" i="54"/>
  <c r="E124" i="54"/>
  <c r="E127" i="54"/>
  <c r="E125" i="54"/>
  <c r="E122" i="54"/>
  <c r="E121" i="54"/>
  <c r="E119" i="54" s="1"/>
  <c r="C1052" i="54" s="1"/>
  <c r="E123" i="54"/>
  <c r="C963" i="54"/>
  <c r="U239" i="54"/>
  <c r="V239" i="54" s="1"/>
  <c r="R348" i="54" s="1"/>
  <c r="U228" i="54"/>
  <c r="V228" i="54" s="1"/>
  <c r="Q348" i="54" s="1"/>
  <c r="C561" i="3"/>
  <c r="C563" i="3" s="1"/>
  <c r="D500" i="3" s="1"/>
  <c r="G1090" i="3" s="1"/>
  <c r="J23" i="43"/>
  <c r="J20" i="43"/>
  <c r="J17" i="43"/>
  <c r="J22" i="43"/>
  <c r="AK36" i="18" a="1"/>
  <c r="AK36" i="18" s="1"/>
  <c r="AJ36" i="18" s="1"/>
  <c r="AJ51" i="18" s="1"/>
  <c r="AI12" i="18"/>
  <c r="AJ54" i="18"/>
  <c r="I20" i="43"/>
  <c r="I22" i="43"/>
  <c r="I17" i="43"/>
  <c r="I23" i="43"/>
  <c r="Z54" i="18"/>
  <c r="AA36" i="18" a="1"/>
  <c r="AA36" i="18" s="1"/>
  <c r="Z36" i="18" s="1"/>
  <c r="Z51" i="18" s="1"/>
  <c r="Y12" i="18"/>
  <c r="I23" i="69" l="1"/>
  <c r="I17" i="69"/>
  <c r="I18" i="69" s="1"/>
  <c r="I19" i="69" s="1"/>
  <c r="I24" i="69" s="1"/>
  <c r="J17" i="69"/>
  <c r="J18" i="69" s="1"/>
  <c r="J19" i="69" s="1"/>
  <c r="J24" i="69" s="1"/>
  <c r="J23" i="69"/>
  <c r="H23" i="69"/>
  <c r="H17" i="69"/>
  <c r="H18" i="69" s="1"/>
  <c r="H19" i="69" s="1"/>
  <c r="H24" i="69" s="1"/>
  <c r="D762" i="46"/>
  <c r="K767" i="46" s="1"/>
  <c r="H25" i="43"/>
  <c r="B44" i="43" s="1"/>
  <c r="Q97" i="50"/>
  <c r="Y97" i="50"/>
  <c r="W97" i="50"/>
  <c r="AH84" i="50"/>
  <c r="AI84" i="50"/>
  <c r="V84" i="50"/>
  <c r="S84" i="50"/>
  <c r="AF84" i="50"/>
  <c r="AJ84" i="50"/>
  <c r="AI97" i="50"/>
  <c r="AD84" i="50"/>
  <c r="AA84" i="50"/>
  <c r="AD97" i="50"/>
  <c r="U97" i="50"/>
  <c r="R97" i="50"/>
  <c r="T84" i="50"/>
  <c r="AE97" i="50"/>
  <c r="AB84" i="50"/>
  <c r="AA97" i="50"/>
  <c r="Z97" i="50"/>
  <c r="X97" i="50"/>
  <c r="AB97" i="50"/>
  <c r="R350" i="46"/>
  <c r="AG97" i="50"/>
  <c r="AC84" i="50"/>
  <c r="Z84" i="50"/>
  <c r="S97" i="50"/>
  <c r="AH97" i="50"/>
  <c r="R84" i="50"/>
  <c r="AF97" i="50"/>
  <c r="AE84" i="50"/>
  <c r="X84" i="50"/>
  <c r="W84" i="50"/>
  <c r="AG84" i="50"/>
  <c r="V97" i="50"/>
  <c r="AC97" i="50"/>
  <c r="Y84" i="50"/>
  <c r="T97" i="50"/>
  <c r="Q350" i="46"/>
  <c r="Q349" i="46"/>
  <c r="Z33" i="18"/>
  <c r="Z52" i="18" s="1"/>
  <c r="AJ33" i="18"/>
  <c r="AJ52" i="18" s="1"/>
  <c r="D55" i="18"/>
  <c r="F18" i="44" s="1"/>
  <c r="D762" i="54"/>
  <c r="I763" i="54" s="1"/>
  <c r="W84" i="66"/>
  <c r="V97" i="66"/>
  <c r="R97" i="66"/>
  <c r="AF97" i="66"/>
  <c r="Z84" i="66"/>
  <c r="V84" i="66"/>
  <c r="T97" i="66"/>
  <c r="AI97" i="66"/>
  <c r="AF84" i="66"/>
  <c r="AJ84" i="66"/>
  <c r="U84" i="66"/>
  <c r="R84" i="66"/>
  <c r="X84" i="66"/>
  <c r="AH97" i="66"/>
  <c r="AD97" i="66"/>
  <c r="AG97" i="66"/>
  <c r="T84" i="66"/>
  <c r="S84" i="66"/>
  <c r="Q97" i="66"/>
  <c r="Y97" i="66"/>
  <c r="Z97" i="66"/>
  <c r="AC84" i="66"/>
  <c r="AE84" i="66"/>
  <c r="U97" i="66"/>
  <c r="AC97" i="66"/>
  <c r="X97" i="66"/>
  <c r="AH84" i="66"/>
  <c r="AE97" i="66"/>
  <c r="AA84" i="66"/>
  <c r="AD84" i="66"/>
  <c r="AB97" i="66"/>
  <c r="S97" i="66"/>
  <c r="W97" i="66"/>
  <c r="AA97" i="66"/>
  <c r="Y84" i="66"/>
  <c r="AI84" i="66"/>
  <c r="AB84" i="66"/>
  <c r="AG84" i="66"/>
  <c r="Q349" i="54"/>
  <c r="Q350" i="54"/>
  <c r="R350" i="54"/>
  <c r="V84" i="58"/>
  <c r="AE97" i="58"/>
  <c r="AH97" i="58"/>
  <c r="AB97" i="58"/>
  <c r="AI84" i="58"/>
  <c r="AC97" i="58"/>
  <c r="Y97" i="58"/>
  <c r="AD84" i="58"/>
  <c r="S97" i="58"/>
  <c r="S84" i="58"/>
  <c r="R84" i="58"/>
  <c r="X97" i="58"/>
  <c r="AA84" i="58"/>
  <c r="R97" i="58"/>
  <c r="AB84" i="58"/>
  <c r="U97" i="58"/>
  <c r="Y84" i="58"/>
  <c r="AC84" i="58"/>
  <c r="AH84" i="58"/>
  <c r="W97" i="58"/>
  <c r="AD97" i="58"/>
  <c r="X84" i="58"/>
  <c r="AG84" i="58"/>
  <c r="Z84" i="58"/>
  <c r="T97" i="58"/>
  <c r="AF84" i="58"/>
  <c r="Z97" i="58"/>
  <c r="V97" i="58"/>
  <c r="AJ84" i="58"/>
  <c r="AA97" i="58"/>
  <c r="U84" i="58"/>
  <c r="AI97" i="58"/>
  <c r="W84" i="58"/>
  <c r="AG97" i="58"/>
  <c r="T84" i="58"/>
  <c r="Q97" i="58"/>
  <c r="AE84" i="58"/>
  <c r="AF97" i="58"/>
  <c r="D762" i="62"/>
  <c r="R350" i="62"/>
  <c r="Q350" i="62"/>
  <c r="Q349" i="62"/>
  <c r="C1083" i="3"/>
  <c r="E1083" i="3" s="1"/>
  <c r="L19" i="1" s="1"/>
  <c r="M19" i="1" s="1"/>
  <c r="I25" i="43"/>
  <c r="B45" i="43" s="1"/>
  <c r="J25" i="43"/>
  <c r="B46" i="43" s="1"/>
  <c r="H26" i="69" l="1"/>
  <c r="H28" i="69" s="1"/>
  <c r="J26" i="69"/>
  <c r="J28" i="69" s="1"/>
  <c r="I26" i="69"/>
  <c r="I28" i="69" s="1"/>
  <c r="K763" i="46"/>
  <c r="F763" i="46"/>
  <c r="G763" i="46"/>
  <c r="H766" i="46"/>
  <c r="I765" i="46"/>
  <c r="I769" i="46"/>
  <c r="N763" i="46"/>
  <c r="F766" i="46"/>
  <c r="L763" i="46"/>
  <c r="J763" i="46"/>
  <c r="J769" i="46"/>
  <c r="F765" i="46"/>
  <c r="G768" i="46"/>
  <c r="G766" i="46"/>
  <c r="M768" i="46"/>
  <c r="L764" i="46"/>
  <c r="J764" i="46"/>
  <c r="I763" i="46"/>
  <c r="G769" i="46"/>
  <c r="N769" i="46"/>
  <c r="F768" i="46"/>
  <c r="H769" i="46"/>
  <c r="F769" i="46"/>
  <c r="J765" i="46"/>
  <c r="L765" i="46"/>
  <c r="J768" i="46"/>
  <c r="N765" i="46"/>
  <c r="I766" i="46"/>
  <c r="M769" i="46"/>
  <c r="H767" i="46"/>
  <c r="M766" i="46"/>
  <c r="N766" i="46"/>
  <c r="G765" i="46"/>
  <c r="H768" i="46"/>
  <c r="I768" i="46"/>
  <c r="G764" i="46"/>
  <c r="L768" i="46"/>
  <c r="N764" i="46"/>
  <c r="M764" i="46"/>
  <c r="H765" i="46"/>
  <c r="I767" i="46"/>
  <c r="N768" i="46"/>
  <c r="M765" i="46"/>
  <c r="N767" i="46"/>
  <c r="L766" i="46"/>
  <c r="H764" i="46"/>
  <c r="K766" i="46"/>
  <c r="J767" i="46"/>
  <c r="G767" i="46"/>
  <c r="L767" i="46"/>
  <c r="K768" i="46"/>
  <c r="J766" i="46"/>
  <c r="F764" i="46"/>
  <c r="F767" i="46"/>
  <c r="K765" i="46"/>
  <c r="I764" i="46"/>
  <c r="H763" i="46"/>
  <c r="M763" i="46"/>
  <c r="K764" i="46"/>
  <c r="M767" i="46"/>
  <c r="K769" i="46"/>
  <c r="L769" i="46"/>
  <c r="K72" i="50"/>
  <c r="R83" i="50"/>
  <c r="D84" i="50" s="1"/>
  <c r="Q351" i="46"/>
  <c r="E351" i="46" s="1"/>
  <c r="E352" i="46" s="1"/>
  <c r="E366" i="46" s="1"/>
  <c r="R351" i="46"/>
  <c r="F351" i="46" s="1"/>
  <c r="F358" i="46" s="1"/>
  <c r="D59" i="18"/>
  <c r="G766" i="54"/>
  <c r="H765" i="54"/>
  <c r="I765" i="54"/>
  <c r="J764" i="54"/>
  <c r="N768" i="54"/>
  <c r="F763" i="54"/>
  <c r="F768" i="54"/>
  <c r="M763" i="54"/>
  <c r="M764" i="54"/>
  <c r="H764" i="54"/>
  <c r="G769" i="54"/>
  <c r="I764" i="54"/>
  <c r="J766" i="54"/>
  <c r="L763" i="54"/>
  <c r="N769" i="54"/>
  <c r="M769" i="54"/>
  <c r="L769" i="54"/>
  <c r="F765" i="54"/>
  <c r="L764" i="54"/>
  <c r="N765" i="54"/>
  <c r="N764" i="54"/>
  <c r="H769" i="54"/>
  <c r="L768" i="54"/>
  <c r="M768" i="54"/>
  <c r="H767" i="54"/>
  <c r="H766" i="54"/>
  <c r="K763" i="54"/>
  <c r="K769" i="54"/>
  <c r="M765" i="54"/>
  <c r="K765" i="54"/>
  <c r="M766" i="54"/>
  <c r="J768" i="54"/>
  <c r="K764" i="54"/>
  <c r="F766" i="54"/>
  <c r="G763" i="54"/>
  <c r="J763" i="54"/>
  <c r="H763" i="54"/>
  <c r="G767" i="54"/>
  <c r="K768" i="54"/>
  <c r="L765" i="54"/>
  <c r="I768" i="54"/>
  <c r="G765" i="54"/>
  <c r="F767" i="54"/>
  <c r="N763" i="54"/>
  <c r="I766" i="54"/>
  <c r="J765" i="54"/>
  <c r="M767" i="54"/>
  <c r="R351" i="54"/>
  <c r="F351" i="54" s="1"/>
  <c r="F366" i="54" s="1"/>
  <c r="R351" i="62"/>
  <c r="F351" i="62" s="1"/>
  <c r="F358" i="62" s="1"/>
  <c r="G764" i="54"/>
  <c r="J767" i="54"/>
  <c r="K767" i="54"/>
  <c r="I767" i="54"/>
  <c r="K766" i="54"/>
  <c r="H768" i="54"/>
  <c r="N767" i="54"/>
  <c r="J769" i="54"/>
  <c r="F764" i="54"/>
  <c r="G768" i="54"/>
  <c r="I769" i="54"/>
  <c r="L767" i="54"/>
  <c r="L766" i="54"/>
  <c r="F769" i="54"/>
  <c r="N766" i="54"/>
  <c r="Q351" i="54"/>
  <c r="E351" i="54" s="1"/>
  <c r="E353" i="54" s="1"/>
  <c r="Q351" i="62"/>
  <c r="E351" i="62" s="1"/>
  <c r="E353" i="62" s="1"/>
  <c r="K72" i="58"/>
  <c r="R83" i="66"/>
  <c r="D84" i="66" s="1"/>
  <c r="R83" i="58"/>
  <c r="D84" i="58" s="1"/>
  <c r="K72" i="66"/>
  <c r="G764" i="62"/>
  <c r="N764" i="62"/>
  <c r="F767" i="62"/>
  <c r="J765" i="62"/>
  <c r="L766" i="62"/>
  <c r="I768" i="62"/>
  <c r="I764" i="62"/>
  <c r="I763" i="62"/>
  <c r="K764" i="62"/>
  <c r="G769" i="62"/>
  <c r="H768" i="62"/>
  <c r="H764" i="62"/>
  <c r="L769" i="62"/>
  <c r="H769" i="62"/>
  <c r="M769" i="62"/>
  <c r="I766" i="62"/>
  <c r="L768" i="62"/>
  <c r="F763" i="62"/>
  <c r="J767" i="62"/>
  <c r="J769" i="62"/>
  <c r="H766" i="62"/>
  <c r="K769" i="62"/>
  <c r="H765" i="62"/>
  <c r="N765" i="62"/>
  <c r="I769" i="62"/>
  <c r="I767" i="62"/>
  <c r="K765" i="62"/>
  <c r="J763" i="62"/>
  <c r="M765" i="62"/>
  <c r="H767" i="62"/>
  <c r="J768" i="62"/>
  <c r="N767" i="62"/>
  <c r="M764" i="62"/>
  <c r="K763" i="62"/>
  <c r="N766" i="62"/>
  <c r="G767" i="62"/>
  <c r="L763" i="62"/>
  <c r="N769" i="62"/>
  <c r="N763" i="62"/>
  <c r="K767" i="62"/>
  <c r="J766" i="62"/>
  <c r="M763" i="62"/>
  <c r="F768" i="62"/>
  <c r="M766" i="62"/>
  <c r="M768" i="62"/>
  <c r="F766" i="62"/>
  <c r="F769" i="62"/>
  <c r="G765" i="62"/>
  <c r="G763" i="62"/>
  <c r="F764" i="62"/>
  <c r="F765" i="62"/>
  <c r="J764" i="62"/>
  <c r="K766" i="62"/>
  <c r="H763" i="62"/>
  <c r="L767" i="62"/>
  <c r="L764" i="62"/>
  <c r="L765" i="62"/>
  <c r="I765" i="62"/>
  <c r="G768" i="62"/>
  <c r="K768" i="62"/>
  <c r="G766" i="62"/>
  <c r="M767" i="62"/>
  <c r="N768" i="62"/>
  <c r="C1085" i="3"/>
  <c r="E1085" i="3" s="1"/>
  <c r="I1071" i="3"/>
  <c r="I1075" i="3" s="1"/>
  <c r="J1075" i="3" s="1"/>
  <c r="D11" i="43" s="1"/>
  <c r="C46" i="43" s="1"/>
  <c r="I30" i="69" l="1"/>
  <c r="I34" i="69"/>
  <c r="I39" i="69" s="1"/>
  <c r="I29" i="69"/>
  <c r="J29" i="69"/>
  <c r="J34" i="69"/>
  <c r="J39" i="69" s="1"/>
  <c r="J30" i="69"/>
  <c r="H29" i="69"/>
  <c r="H30" i="69"/>
  <c r="H34" i="69"/>
  <c r="H39" i="69" s="1"/>
  <c r="I770" i="62"/>
  <c r="F770" i="62"/>
  <c r="G770" i="46"/>
  <c r="J770" i="54"/>
  <c r="H770" i="46"/>
  <c r="G770" i="54"/>
  <c r="I770" i="46"/>
  <c r="G770" i="62"/>
  <c r="L770" i="62"/>
  <c r="L770" i="46"/>
  <c r="K770" i="46"/>
  <c r="I770" i="54"/>
  <c r="F770" i="54"/>
  <c r="H770" i="54"/>
  <c r="F770" i="46"/>
  <c r="J770" i="46"/>
  <c r="J770" i="62"/>
  <c r="N770" i="62"/>
  <c r="K770" i="54"/>
  <c r="N770" i="54"/>
  <c r="M770" i="54"/>
  <c r="M770" i="46"/>
  <c r="H770" i="62"/>
  <c r="M770" i="62"/>
  <c r="K770" i="62"/>
  <c r="L770" i="54"/>
  <c r="N770" i="46"/>
  <c r="E353" i="46"/>
  <c r="E365" i="46" s="1"/>
  <c r="E367" i="46"/>
  <c r="F366" i="46"/>
  <c r="F359" i="46"/>
  <c r="F349" i="46"/>
  <c r="F359" i="62"/>
  <c r="E352" i="62"/>
  <c r="E366" i="62" s="1"/>
  <c r="F358" i="54"/>
  <c r="F359" i="54"/>
  <c r="F366" i="62"/>
  <c r="E367" i="54"/>
  <c r="E367" i="62"/>
  <c r="F349" i="54"/>
  <c r="E352" i="54"/>
  <c r="E366" i="54" s="1"/>
  <c r="F349" i="62"/>
  <c r="B73" i="11"/>
  <c r="J73" i="11" s="1"/>
  <c r="M11" i="43"/>
  <c r="B54" i="43" s="1"/>
  <c r="B57" i="43" s="1"/>
  <c r="M55" i="43" s="1"/>
  <c r="C43" i="43"/>
  <c r="C44" i="43"/>
  <c r="C45" i="43"/>
  <c r="E375" i="46" l="1"/>
  <c r="B770" i="46"/>
  <c r="C782" i="46" s="1"/>
  <c r="B770" i="54"/>
  <c r="C782" i="54" s="1"/>
  <c r="B770" i="62"/>
  <c r="C782" i="62" s="1"/>
  <c r="E359" i="46"/>
  <c r="E358" i="46"/>
  <c r="E349" i="46" s="1"/>
  <c r="E365" i="62"/>
  <c r="E375" i="62" s="1"/>
  <c r="B28" i="11"/>
  <c r="D73" i="11"/>
  <c r="E358" i="62"/>
  <c r="E349" i="62" s="1"/>
  <c r="E359" i="62"/>
  <c r="E358" i="54"/>
  <c r="E349" i="54" s="1"/>
  <c r="E365" i="54"/>
  <c r="E375" i="54" s="1"/>
  <c r="B33" i="11"/>
  <c r="B47" i="11"/>
  <c r="B31" i="11"/>
  <c r="G73" i="11"/>
  <c r="B25" i="11"/>
  <c r="B42" i="11"/>
  <c r="B49" i="11"/>
  <c r="B32" i="11"/>
  <c r="B30" i="11"/>
  <c r="B65" i="11"/>
  <c r="B39" i="11"/>
  <c r="B50" i="11"/>
  <c r="B13" i="11"/>
  <c r="B17" i="11"/>
  <c r="B38" i="11"/>
  <c r="B16" i="11"/>
  <c r="B40" i="11"/>
  <c r="B18" i="11"/>
  <c r="B44" i="11"/>
  <c r="K73" i="11"/>
  <c r="B52" i="11"/>
  <c r="B20" i="11"/>
  <c r="B6" i="11"/>
  <c r="B8" i="11"/>
  <c r="B61" i="11"/>
  <c r="B60" i="11"/>
  <c r="B23" i="11"/>
  <c r="B14" i="11"/>
  <c r="B59" i="11"/>
  <c r="B53" i="11"/>
  <c r="H73" i="11"/>
  <c r="B62" i="11"/>
  <c r="B46" i="11"/>
  <c r="B22" i="11"/>
  <c r="B19" i="11"/>
  <c r="B35" i="11"/>
  <c r="B27" i="11"/>
  <c r="B9" i="11"/>
  <c r="F73" i="11"/>
  <c r="B34" i="11"/>
  <c r="B29" i="11"/>
  <c r="B64" i="11"/>
  <c r="B51" i="11"/>
  <c r="B56" i="11"/>
  <c r="B54" i="11"/>
  <c r="B58" i="11"/>
  <c r="B12" i="11"/>
  <c r="B7" i="11"/>
  <c r="B45" i="11"/>
  <c r="B21" i="11"/>
  <c r="B11" i="11"/>
  <c r="E73" i="11"/>
  <c r="B10" i="11"/>
  <c r="B57" i="11"/>
  <c r="B63" i="11"/>
  <c r="E359" i="54"/>
  <c r="B37" i="11"/>
  <c r="B43" i="11"/>
  <c r="B15" i="11"/>
  <c r="B26" i="11"/>
  <c r="B48" i="11"/>
  <c r="I73" i="11"/>
  <c r="B36" i="11"/>
  <c r="B55" i="11"/>
  <c r="B24" i="11"/>
  <c r="B41" i="11"/>
  <c r="U348" i="46" l="1"/>
  <c r="U352" i="46" s="1"/>
  <c r="J358" i="46" s="1"/>
  <c r="F348" i="46" s="1"/>
  <c r="U348" i="62"/>
  <c r="U352" i="62" s="1"/>
  <c r="J358" i="62" s="1"/>
  <c r="F348" i="62" s="1"/>
  <c r="U348" i="54"/>
  <c r="U352" i="54" s="1"/>
  <c r="J358" i="54" s="1"/>
  <c r="I348" i="54" s="1"/>
  <c r="E66" i="11"/>
  <c r="F66" i="11"/>
  <c r="I348" i="46" l="1"/>
  <c r="G348" i="46"/>
  <c r="C348" i="46"/>
  <c r="E348" i="46"/>
  <c r="D348" i="46" s="1"/>
  <c r="H348" i="46"/>
  <c r="C72" i="11"/>
  <c r="C73" i="11" s="1"/>
  <c r="O73" i="11" s="1"/>
  <c r="C1088" i="3" s="1"/>
  <c r="C1089" i="3" s="1"/>
  <c r="E1089" i="3" s="1"/>
  <c r="L24" i="1" s="1"/>
  <c r="H348" i="62"/>
  <c r="C348" i="62"/>
  <c r="I348" i="62"/>
  <c r="G348" i="62"/>
  <c r="E348" i="62"/>
  <c r="D348" i="62" s="1"/>
  <c r="G348" i="54"/>
  <c r="E348" i="54"/>
  <c r="H348" i="54"/>
  <c r="C348" i="54"/>
  <c r="F348" i="54"/>
  <c r="I347" i="46" l="1"/>
  <c r="I362" i="46" s="1"/>
  <c r="O31" i="45" s="1"/>
  <c r="F347" i="46"/>
  <c r="F362" i="46" s="1"/>
  <c r="L31" i="45" s="1"/>
  <c r="G347" i="46"/>
  <c r="G362" i="46" s="1"/>
  <c r="M31" i="45" s="1"/>
  <c r="D347" i="46"/>
  <c r="D362" i="46" s="1"/>
  <c r="J31" i="45" s="1"/>
  <c r="H347" i="46"/>
  <c r="H362" i="46" s="1"/>
  <c r="N31" i="45" s="1"/>
  <c r="E347" i="46"/>
  <c r="E362" i="46" s="1"/>
  <c r="K31" i="45" s="1"/>
  <c r="C347" i="46"/>
  <c r="C362" i="46" s="1"/>
  <c r="I31" i="45" s="1"/>
  <c r="E1088" i="3"/>
  <c r="C1093" i="3"/>
  <c r="F347" i="62"/>
  <c r="F362" i="62" s="1"/>
  <c r="L31" i="61" s="1"/>
  <c r="E347" i="62"/>
  <c r="E362" i="62" s="1"/>
  <c r="K31" i="61" s="1"/>
  <c r="H347" i="62"/>
  <c r="H362" i="62" s="1"/>
  <c r="N31" i="61" s="1"/>
  <c r="D347" i="62"/>
  <c r="D362" i="62" s="1"/>
  <c r="J31" i="61" s="1"/>
  <c r="C347" i="62"/>
  <c r="C362" i="62" s="1"/>
  <c r="C375" i="62" s="1"/>
  <c r="G347" i="62"/>
  <c r="G362" i="62" s="1"/>
  <c r="M31" i="61" s="1"/>
  <c r="I347" i="62"/>
  <c r="I362" i="62" s="1"/>
  <c r="O31" i="61" s="1"/>
  <c r="D348" i="54"/>
  <c r="D347" i="54" s="1"/>
  <c r="D362" i="54" s="1"/>
  <c r="J31" i="53" s="1"/>
  <c r="E3" i="50" l="1"/>
  <c r="F3" i="50" s="1"/>
  <c r="J370" i="46"/>
  <c r="A370" i="46" s="1"/>
  <c r="J365" i="46"/>
  <c r="C568" i="46" s="1"/>
  <c r="J378" i="46"/>
  <c r="J442" i="46" s="1"/>
  <c r="C375" i="46"/>
  <c r="C402" i="46" s="1"/>
  <c r="C247" i="46" s="1"/>
  <c r="B241" i="46" s="1"/>
  <c r="A253" i="46"/>
  <c r="J376" i="46"/>
  <c r="C431" i="46" s="1"/>
  <c r="C437" i="46" s="1"/>
  <c r="J364" i="46"/>
  <c r="A364" i="46" s="1"/>
  <c r="J371" i="46"/>
  <c r="C931" i="46" s="1"/>
  <c r="A965" i="46" s="1"/>
  <c r="J373" i="46"/>
  <c r="G69" i="50" s="1"/>
  <c r="J369" i="46"/>
  <c r="C855" i="46" s="1"/>
  <c r="A889" i="46" s="1"/>
  <c r="C889" i="46" s="1"/>
  <c r="J372" i="46"/>
  <c r="C972" i="46" s="1"/>
  <c r="A982" i="46" s="1"/>
  <c r="C982" i="46" s="1"/>
  <c r="D972" i="46" s="1"/>
  <c r="G1083" i="46" s="1"/>
  <c r="J374" i="46"/>
  <c r="C1007" i="46" s="1"/>
  <c r="D1007" i="46" s="1"/>
  <c r="G1081" i="46" s="1"/>
  <c r="B402" i="46"/>
  <c r="C246" i="46" s="1"/>
  <c r="J368" i="46"/>
  <c r="C795" i="46" s="1"/>
  <c r="A251" i="46"/>
  <c r="J377" i="46"/>
  <c r="C432" i="46" s="1"/>
  <c r="J367" i="46"/>
  <c r="D1" i="51"/>
  <c r="J366" i="46"/>
  <c r="C629" i="46" s="1"/>
  <c r="A636" i="46" s="1"/>
  <c r="A694" i="46" s="1"/>
  <c r="C694" i="46" s="1"/>
  <c r="D694" i="46" s="1"/>
  <c r="A250" i="46"/>
  <c r="H1071" i="46"/>
  <c r="H1075" i="46" s="1"/>
  <c r="E1093" i="3"/>
  <c r="L26" i="1" s="1"/>
  <c r="I31" i="61"/>
  <c r="J367" i="62"/>
  <c r="C715" i="62" s="1"/>
  <c r="J372" i="62"/>
  <c r="F69" i="66" s="1"/>
  <c r="J371" i="62"/>
  <c r="C931" i="62" s="1"/>
  <c r="A966" i="62" s="1"/>
  <c r="C966" i="62" s="1"/>
  <c r="J368" i="62"/>
  <c r="C795" i="62" s="1"/>
  <c r="A802" i="62" s="1"/>
  <c r="A845" i="62" s="1"/>
  <c r="C845" i="62" s="1"/>
  <c r="J377" i="62"/>
  <c r="C432" i="62" s="1"/>
  <c r="C402" i="62"/>
  <c r="C247" i="62" s="1"/>
  <c r="B241" i="62" s="1"/>
  <c r="J364" i="62"/>
  <c r="C500" i="62" s="1"/>
  <c r="A561" i="62" s="1"/>
  <c r="J374" i="62"/>
  <c r="A374" i="62" s="1"/>
  <c r="A250" i="62"/>
  <c r="J378" i="62"/>
  <c r="J442" i="62" s="1"/>
  <c r="B402" i="62"/>
  <c r="J376" i="62"/>
  <c r="C431" i="62" s="1"/>
  <c r="C437" i="62" s="1"/>
  <c r="J365" i="62"/>
  <c r="C568" i="62" s="1"/>
  <c r="A575" i="62" s="1"/>
  <c r="A617" i="62" s="1"/>
  <c r="J370" i="62"/>
  <c r="A370" i="62" s="1"/>
  <c r="J366" i="62"/>
  <c r="C629" i="62" s="1"/>
  <c r="A639" i="62" s="1"/>
  <c r="A697" i="62" s="1"/>
  <c r="C697" i="62" s="1"/>
  <c r="D697" i="62" s="1"/>
  <c r="A251" i="62"/>
  <c r="A253" i="62"/>
  <c r="E3" i="66"/>
  <c r="F3" i="66" s="1"/>
  <c r="J369" i="62"/>
  <c r="C855" i="62" s="1"/>
  <c r="A889" i="62" s="1"/>
  <c r="C889" i="62" s="1"/>
  <c r="D1" i="67"/>
  <c r="H1071" i="62"/>
  <c r="H1075" i="62" s="1"/>
  <c r="J373" i="62"/>
  <c r="A373" i="62" s="1"/>
  <c r="G347" i="54"/>
  <c r="G362" i="54" s="1"/>
  <c r="M31" i="53" s="1"/>
  <c r="F347" i="54"/>
  <c r="F362" i="54" s="1"/>
  <c r="L31" i="53" s="1"/>
  <c r="I347" i="54"/>
  <c r="I362" i="54" s="1"/>
  <c r="O31" i="53" s="1"/>
  <c r="C347" i="54"/>
  <c r="C362" i="54" s="1"/>
  <c r="H347" i="54"/>
  <c r="H362" i="54" s="1"/>
  <c r="N31" i="53" s="1"/>
  <c r="E347" i="54"/>
  <c r="E362" i="54" s="1"/>
  <c r="C253" i="46" l="1"/>
  <c r="C248" i="46" s="1"/>
  <c r="C241" i="46" s="1"/>
  <c r="M411" i="46" s="1"/>
  <c r="L412" i="46"/>
  <c r="C896" i="46"/>
  <c r="A922" i="46" s="1"/>
  <c r="C922" i="46" s="1"/>
  <c r="C923" i="46" s="1"/>
  <c r="A410" i="46"/>
  <c r="L408" i="46"/>
  <c r="A414" i="46"/>
  <c r="A408" i="46"/>
  <c r="A409" i="46"/>
  <c r="A412" i="46"/>
  <c r="A374" i="46"/>
  <c r="C242" i="46"/>
  <c r="D241" i="46" s="1"/>
  <c r="D411" i="46" s="1"/>
  <c r="F189" i="46"/>
  <c r="F408" i="46" s="1"/>
  <c r="I408" i="46" s="1"/>
  <c r="M414" i="46"/>
  <c r="C512" i="46"/>
  <c r="C528" i="46" s="1"/>
  <c r="A890" i="46"/>
  <c r="D402" i="46"/>
  <c r="C643" i="46" s="1"/>
  <c r="D650" i="46" s="1"/>
  <c r="A660" i="46" s="1"/>
  <c r="M410" i="46"/>
  <c r="C433" i="46"/>
  <c r="AH437" i="46" s="1"/>
  <c r="A638" i="46"/>
  <c r="A696" i="46" s="1"/>
  <c r="C696" i="46" s="1"/>
  <c r="D696" i="46" s="1"/>
  <c r="A411" i="46"/>
  <c r="A413" i="46"/>
  <c r="I69" i="50"/>
  <c r="F69" i="50"/>
  <c r="C500" i="46"/>
  <c r="Q521" i="46" s="1"/>
  <c r="A863" i="46"/>
  <c r="A372" i="46"/>
  <c r="A369" i="46"/>
  <c r="A365" i="46"/>
  <c r="A373" i="46"/>
  <c r="A637" i="46"/>
  <c r="A695" i="46" s="1"/>
  <c r="C988" i="46"/>
  <c r="D165" i="51" s="1"/>
  <c r="B29" i="45" s="1"/>
  <c r="L410" i="46"/>
  <c r="A1043" i="46"/>
  <c r="C1043" i="46" s="1"/>
  <c r="E241" i="46"/>
  <c r="C411" i="46" s="1"/>
  <c r="A368" i="46"/>
  <c r="L409" i="46"/>
  <c r="L414" i="46"/>
  <c r="L413" i="46"/>
  <c r="L411" i="46"/>
  <c r="M408" i="46"/>
  <c r="M409" i="46"/>
  <c r="F402" i="46"/>
  <c r="M413" i="46"/>
  <c r="M412" i="46"/>
  <c r="A366" i="46"/>
  <c r="A710" i="46"/>
  <c r="J363" i="46"/>
  <c r="A639" i="46"/>
  <c r="A697" i="46" s="1"/>
  <c r="C697" i="46" s="1"/>
  <c r="D697" i="46" s="1"/>
  <c r="A635" i="46"/>
  <c r="A693" i="46" s="1"/>
  <c r="C693" i="46" s="1"/>
  <c r="D693" i="46" s="1"/>
  <c r="G79" i="50"/>
  <c r="H79" i="50" s="1"/>
  <c r="H69" i="50" s="1"/>
  <c r="C715" i="46"/>
  <c r="A723" i="46" s="1"/>
  <c r="A776" i="46" s="1"/>
  <c r="C776" i="46" s="1"/>
  <c r="D776" i="46" s="1"/>
  <c r="A367" i="46"/>
  <c r="A371" i="46"/>
  <c r="F241" i="46"/>
  <c r="F411" i="46" s="1"/>
  <c r="G241" i="46"/>
  <c r="E411" i="46" s="1"/>
  <c r="D795" i="62"/>
  <c r="G1087" i="62" s="1"/>
  <c r="A371" i="62"/>
  <c r="C972" i="62"/>
  <c r="A982" i="62" s="1"/>
  <c r="C982" i="62" s="1"/>
  <c r="A710" i="62"/>
  <c r="C253" i="62"/>
  <c r="C248" i="62" s="1"/>
  <c r="C241" i="62" s="1"/>
  <c r="M411" i="62" s="1"/>
  <c r="A368" i="62"/>
  <c r="A850" i="62"/>
  <c r="C850" i="62" s="1"/>
  <c r="A637" i="62"/>
  <c r="A695" i="62" s="1"/>
  <c r="A635" i="62"/>
  <c r="A693" i="62" s="1"/>
  <c r="C693" i="62" s="1"/>
  <c r="D693" i="62" s="1"/>
  <c r="A410" i="62"/>
  <c r="A803" i="62"/>
  <c r="A846" i="62" s="1"/>
  <c r="C846" i="62" s="1"/>
  <c r="C847" i="62" s="1"/>
  <c r="A367" i="62"/>
  <c r="A638" i="62"/>
  <c r="A696" i="62" s="1"/>
  <c r="C696" i="62" s="1"/>
  <c r="D696" i="62" s="1"/>
  <c r="A636" i="62"/>
  <c r="A694" i="62" s="1"/>
  <c r="C694" i="62" s="1"/>
  <c r="D694" i="62" s="1"/>
  <c r="C896" i="62"/>
  <c r="A925" i="62" s="1"/>
  <c r="C925" i="62" s="1"/>
  <c r="A372" i="62"/>
  <c r="A724" i="62"/>
  <c r="A777" i="62" s="1"/>
  <c r="C777" i="62" s="1"/>
  <c r="D777" i="62" s="1"/>
  <c r="M408" i="62"/>
  <c r="A723" i="62"/>
  <c r="A776" i="62" s="1"/>
  <c r="C776" i="62" s="1"/>
  <c r="D776" i="62" s="1"/>
  <c r="A790" i="62"/>
  <c r="A722" i="62"/>
  <c r="A775" i="62" s="1"/>
  <c r="C775" i="62" s="1"/>
  <c r="D775" i="62" s="1"/>
  <c r="G79" i="66"/>
  <c r="H79" i="66" s="1"/>
  <c r="H69" i="66" s="1"/>
  <c r="A411" i="62"/>
  <c r="A863" i="62"/>
  <c r="A412" i="62"/>
  <c r="A409" i="62"/>
  <c r="A890" i="62"/>
  <c r="A413" i="62"/>
  <c r="A408" i="62"/>
  <c r="A414" i="62"/>
  <c r="J363" i="62"/>
  <c r="M410" i="62"/>
  <c r="L410" i="62"/>
  <c r="L411" i="62"/>
  <c r="A364" i="62"/>
  <c r="L409" i="62"/>
  <c r="L413" i="62"/>
  <c r="G69" i="66"/>
  <c r="A369" i="62"/>
  <c r="C988" i="62"/>
  <c r="A1001" i="62" s="1"/>
  <c r="C1001" i="62" s="1"/>
  <c r="C246" i="62"/>
  <c r="C242" i="62" s="1"/>
  <c r="D241" i="62" s="1"/>
  <c r="D411" i="62" s="1"/>
  <c r="D402" i="62"/>
  <c r="C643" i="62" s="1"/>
  <c r="E650" i="62" s="1"/>
  <c r="M409" i="62"/>
  <c r="I69" i="66"/>
  <c r="C433" i="62"/>
  <c r="J437" i="62" s="1"/>
  <c r="AI432" i="62" s="1"/>
  <c r="AI437" i="62" s="1"/>
  <c r="D437" i="62" s="1"/>
  <c r="E437" i="62" s="1"/>
  <c r="F437" i="62" s="1"/>
  <c r="G437" i="62" s="1"/>
  <c r="H437" i="62" s="1"/>
  <c r="I437" i="62" s="1"/>
  <c r="M414" i="62"/>
  <c r="C512" i="62"/>
  <c r="A508" i="62" s="1"/>
  <c r="A556" i="62" s="1"/>
  <c r="C556" i="62" s="1"/>
  <c r="L408" i="62"/>
  <c r="F189" i="62"/>
  <c r="E408" i="62" s="1"/>
  <c r="M413" i="62"/>
  <c r="A576" i="62"/>
  <c r="A618" i="62" s="1"/>
  <c r="A624" i="62"/>
  <c r="L414" i="62"/>
  <c r="C1007" i="62"/>
  <c r="A1043" i="62" s="1"/>
  <c r="C1043" i="62" s="1"/>
  <c r="A366" i="62"/>
  <c r="A365" i="62"/>
  <c r="A577" i="62"/>
  <c r="A619" i="62" s="1"/>
  <c r="D619" i="62" s="1"/>
  <c r="L412" i="62"/>
  <c r="F402" i="62"/>
  <c r="M412" i="62"/>
  <c r="Q521" i="62"/>
  <c r="O537" i="62" s="1"/>
  <c r="C375" i="54"/>
  <c r="C402" i="54" s="1"/>
  <c r="J370" i="54"/>
  <c r="D1" i="59"/>
  <c r="J364" i="54"/>
  <c r="J367" i="54"/>
  <c r="J371" i="54"/>
  <c r="A253" i="54"/>
  <c r="B402" i="54"/>
  <c r="I31" i="53"/>
  <c r="J378" i="54"/>
  <c r="J442" i="54" s="1"/>
  <c r="A250" i="54"/>
  <c r="H1071" i="54"/>
  <c r="H1075" i="54" s="1"/>
  <c r="J372" i="54"/>
  <c r="J366" i="54"/>
  <c r="J376" i="54"/>
  <c r="C431" i="54" s="1"/>
  <c r="J377" i="54"/>
  <c r="C432" i="54" s="1"/>
  <c r="J369" i="54"/>
  <c r="A251" i="54"/>
  <c r="J365" i="54"/>
  <c r="J373" i="54"/>
  <c r="J374" i="54"/>
  <c r="J368" i="54"/>
  <c r="K31" i="53"/>
  <c r="E3" i="58"/>
  <c r="F3" i="58" s="1"/>
  <c r="A966" i="46"/>
  <c r="C966" i="46" s="1"/>
  <c r="C965" i="46"/>
  <c r="C965" i="62"/>
  <c r="C967" i="62" s="1"/>
  <c r="D931" i="62" s="1"/>
  <c r="G1084" i="62" s="1"/>
  <c r="C1061" i="62"/>
  <c r="C1064" i="62" s="1"/>
  <c r="A802" i="46"/>
  <c r="A845" i="46" s="1"/>
  <c r="C845" i="46" s="1"/>
  <c r="A850" i="46"/>
  <c r="C850" i="46" s="1"/>
  <c r="A803" i="46"/>
  <c r="A846" i="46" s="1"/>
  <c r="C846" i="46" s="1"/>
  <c r="D795" i="46"/>
  <c r="G1087" i="46" s="1"/>
  <c r="A965" i="62"/>
  <c r="A577" i="46"/>
  <c r="A619" i="46" s="1"/>
  <c r="D619" i="46" s="1"/>
  <c r="A575" i="46"/>
  <c r="A617" i="46" s="1"/>
  <c r="A576" i="46"/>
  <c r="A618" i="46" s="1"/>
  <c r="A624" i="46"/>
  <c r="C1061" i="46"/>
  <c r="C1064" i="46" s="1"/>
  <c r="A620" i="62"/>
  <c r="D896" i="46" l="1"/>
  <c r="G1085" i="46" s="1"/>
  <c r="A925" i="46"/>
  <c r="C925" i="46" s="1"/>
  <c r="A508" i="46"/>
  <c r="A556" i="46" s="1"/>
  <c r="C556" i="46" s="1"/>
  <c r="A509" i="46"/>
  <c r="A557" i="46" s="1"/>
  <c r="C557" i="46" s="1"/>
  <c r="E408" i="46"/>
  <c r="C421" i="46" s="1"/>
  <c r="C513" i="46"/>
  <c r="A538" i="46" s="1"/>
  <c r="C408" i="46"/>
  <c r="C419" i="46" s="1"/>
  <c r="B453" i="46" s="1"/>
  <c r="AR453" i="46" s="1"/>
  <c r="A656" i="46"/>
  <c r="A657" i="46"/>
  <c r="J437" i="46"/>
  <c r="AI432" i="46" s="1"/>
  <c r="AI437" i="46" s="1"/>
  <c r="D437" i="46" s="1"/>
  <c r="E437" i="46" s="1"/>
  <c r="F437" i="46" s="1"/>
  <c r="G437" i="46" s="1"/>
  <c r="H437" i="46" s="1"/>
  <c r="I437" i="46" s="1"/>
  <c r="C427" i="46"/>
  <c r="X437" i="46"/>
  <c r="AK432" i="46" s="1"/>
  <c r="AK437" i="46" s="1"/>
  <c r="Y437" i="46" s="1"/>
  <c r="Z437" i="46" s="1"/>
  <c r="AA437" i="46" s="1"/>
  <c r="AB437" i="46" s="1"/>
  <c r="AC437" i="46" s="1"/>
  <c r="AD437" i="46" s="1"/>
  <c r="AE437" i="46" s="1"/>
  <c r="AF437" i="46" s="1"/>
  <c r="AG437" i="46" s="1"/>
  <c r="A659" i="46"/>
  <c r="A658" i="46"/>
  <c r="C581" i="46"/>
  <c r="A614" i="46" s="1"/>
  <c r="A655" i="46"/>
  <c r="A505" i="46"/>
  <c r="A553" i="46" s="1"/>
  <c r="C553" i="46" s="1"/>
  <c r="D408" i="46"/>
  <c r="C420" i="46" s="1"/>
  <c r="C423" i="46"/>
  <c r="E650" i="46"/>
  <c r="E739" i="46" s="1"/>
  <c r="C424" i="46"/>
  <c r="C417" i="46"/>
  <c r="C426" i="46"/>
  <c r="A561" i="46"/>
  <c r="C422" i="46"/>
  <c r="C425" i="46"/>
  <c r="A722" i="46"/>
  <c r="A775" i="46" s="1"/>
  <c r="C775" i="46" s="1"/>
  <c r="D775" i="46" s="1"/>
  <c r="A724" i="46"/>
  <c r="A777" i="46" s="1"/>
  <c r="C777" i="46" s="1"/>
  <c r="D777" i="46" s="1"/>
  <c r="A790" i="46"/>
  <c r="K362" i="46"/>
  <c r="D158" i="51" s="1"/>
  <c r="D160" i="51" s="1"/>
  <c r="D170" i="51" s="1"/>
  <c r="B30" i="45" s="1"/>
  <c r="C418" i="46"/>
  <c r="A1000" i="46"/>
  <c r="C1000" i="46" s="1"/>
  <c r="A1001" i="46"/>
  <c r="C1001" i="46" s="1"/>
  <c r="C637" i="46"/>
  <c r="C695" i="46" s="1"/>
  <c r="D695" i="46" s="1"/>
  <c r="D698" i="46" s="1"/>
  <c r="D972" i="62"/>
  <c r="G1083" i="62" s="1"/>
  <c r="C637" i="62"/>
  <c r="C695" i="62" s="1"/>
  <c r="D695" i="62" s="1"/>
  <c r="D698" i="62" s="1"/>
  <c r="D778" i="62"/>
  <c r="A922" i="62"/>
  <c r="C922" i="62" s="1"/>
  <c r="C923" i="62" s="1"/>
  <c r="D896" i="62"/>
  <c r="G1085" i="62" s="1"/>
  <c r="C423" i="62"/>
  <c r="C417" i="62"/>
  <c r="C426" i="62"/>
  <c r="C424" i="62"/>
  <c r="C427" i="62"/>
  <c r="C418" i="62"/>
  <c r="C513" i="62"/>
  <c r="A545" i="62" s="1"/>
  <c r="L545" i="62" s="1"/>
  <c r="D408" i="62"/>
  <c r="C420" i="62" s="1"/>
  <c r="F408" i="62"/>
  <c r="I408" i="62" s="1"/>
  <c r="C425" i="62" s="1"/>
  <c r="A509" i="62"/>
  <c r="A557" i="62" s="1"/>
  <c r="C557" i="62" s="1"/>
  <c r="A505" i="62"/>
  <c r="A553" i="62" s="1"/>
  <c r="C553" i="62" s="1"/>
  <c r="E241" i="62"/>
  <c r="C411" i="62" s="1"/>
  <c r="G241" i="62"/>
  <c r="E411" i="62" s="1"/>
  <c r="C421" i="62" s="1"/>
  <c r="D451" i="62" s="1"/>
  <c r="F241" i="62"/>
  <c r="F411" i="62" s="1"/>
  <c r="C528" i="62"/>
  <c r="K362" i="62"/>
  <c r="D158" i="67" s="1"/>
  <c r="D160" i="67" s="1"/>
  <c r="D170" i="67" s="1"/>
  <c r="B30" i="61" s="1"/>
  <c r="A1000" i="62"/>
  <c r="C1000" i="62" s="1"/>
  <c r="C1002" i="62" s="1"/>
  <c r="D988" i="62" s="1"/>
  <c r="G1082" i="62" s="1"/>
  <c r="C581" i="62"/>
  <c r="A599" i="62" s="1"/>
  <c r="L599" i="62" s="1"/>
  <c r="C408" i="62"/>
  <c r="X437" i="62"/>
  <c r="AJ432" i="62" s="1"/>
  <c r="AJ437" i="62" s="1"/>
  <c r="K437" i="62" s="1"/>
  <c r="L437" i="62" s="1"/>
  <c r="M437" i="62" s="1"/>
  <c r="N437" i="62" s="1"/>
  <c r="O437" i="62" s="1"/>
  <c r="P437" i="62" s="1"/>
  <c r="Q437" i="62" s="1"/>
  <c r="R437" i="62" s="1"/>
  <c r="S437" i="62" s="1"/>
  <c r="T437" i="62" s="1"/>
  <c r="U437" i="62" s="1"/>
  <c r="V437" i="62" s="1"/>
  <c r="W437" i="62" s="1"/>
  <c r="AH437" i="62"/>
  <c r="D650" i="62"/>
  <c r="A655" i="62" s="1"/>
  <c r="D1007" i="62"/>
  <c r="G1081" i="62" s="1"/>
  <c r="D165" i="67"/>
  <c r="B29" i="61" s="1"/>
  <c r="P537" i="62"/>
  <c r="O536" i="62"/>
  <c r="Q537" i="62"/>
  <c r="Q535" i="62"/>
  <c r="S536" i="62"/>
  <c r="S535" i="62"/>
  <c r="P536" i="62"/>
  <c r="O535" i="62"/>
  <c r="Q536" i="62"/>
  <c r="P535" i="62"/>
  <c r="S537" i="62"/>
  <c r="C1007" i="54"/>
  <c r="A374" i="54"/>
  <c r="C568" i="54"/>
  <c r="A365" i="54"/>
  <c r="I69" i="58"/>
  <c r="M412" i="54"/>
  <c r="L414" i="54"/>
  <c r="M409" i="54"/>
  <c r="M413" i="54"/>
  <c r="M414" i="54"/>
  <c r="L409" i="54"/>
  <c r="F189" i="54"/>
  <c r="F402" i="54"/>
  <c r="M408" i="54"/>
  <c r="L413" i="54"/>
  <c r="L412" i="54"/>
  <c r="L408" i="54"/>
  <c r="A410" i="54"/>
  <c r="L410" i="54"/>
  <c r="A408" i="54"/>
  <c r="A409" i="54"/>
  <c r="M410" i="54"/>
  <c r="D402" i="54"/>
  <c r="A413" i="54"/>
  <c r="A412" i="54"/>
  <c r="A414" i="54"/>
  <c r="A411" i="54"/>
  <c r="C931" i="54"/>
  <c r="A371" i="54"/>
  <c r="C988" i="54"/>
  <c r="G69" i="58"/>
  <c r="A373" i="54"/>
  <c r="C855" i="54"/>
  <c r="A369" i="54"/>
  <c r="A367" i="54"/>
  <c r="G79" i="58"/>
  <c r="H79" i="58" s="1"/>
  <c r="H69" i="58" s="1"/>
  <c r="C715" i="54"/>
  <c r="C500" i="54"/>
  <c r="A364" i="54"/>
  <c r="J363" i="54"/>
  <c r="C512" i="54"/>
  <c r="C437" i="54"/>
  <c r="C433" i="54"/>
  <c r="C629" i="54"/>
  <c r="A366" i="54"/>
  <c r="A370" i="54"/>
  <c r="C896" i="54"/>
  <c r="C972" i="54"/>
  <c r="F69" i="58"/>
  <c r="A372" i="54"/>
  <c r="C247" i="54"/>
  <c r="B241" i="54" s="1"/>
  <c r="C795" i="54"/>
  <c r="A368" i="54"/>
  <c r="C246" i="54"/>
  <c r="Q536" i="46"/>
  <c r="O535" i="46"/>
  <c r="S535" i="46"/>
  <c r="Q537" i="46"/>
  <c r="S537" i="46"/>
  <c r="P537" i="46"/>
  <c r="O536" i="46"/>
  <c r="P535" i="46"/>
  <c r="S536" i="46"/>
  <c r="P536" i="46"/>
  <c r="Q535" i="46"/>
  <c r="O537" i="46"/>
  <c r="C847" i="46"/>
  <c r="A620" i="46"/>
  <c r="C967" i="46"/>
  <c r="D931" i="46" s="1"/>
  <c r="G1084" i="46" s="1"/>
  <c r="E656" i="62"/>
  <c r="E741" i="62"/>
  <c r="E660" i="62"/>
  <c r="E657" i="62"/>
  <c r="E659" i="62"/>
  <c r="E658" i="62"/>
  <c r="E742" i="62"/>
  <c r="E655" i="62"/>
  <c r="E744" i="62"/>
  <c r="E739" i="62"/>
  <c r="E743" i="62"/>
  <c r="E740" i="62"/>
  <c r="E741" i="46" l="1"/>
  <c r="E657" i="46"/>
  <c r="E656" i="46"/>
  <c r="E659" i="46"/>
  <c r="C559" i="46"/>
  <c r="A530" i="46"/>
  <c r="F530" i="46" s="1"/>
  <c r="A546" i="46"/>
  <c r="F546" i="46" s="1"/>
  <c r="A541" i="46"/>
  <c r="Q541" i="46" s="1"/>
  <c r="A543" i="46"/>
  <c r="H543" i="46" s="1"/>
  <c r="A544" i="46"/>
  <c r="P544" i="46" s="1"/>
  <c r="A545" i="46"/>
  <c r="H545" i="46" s="1"/>
  <c r="A548" i="46"/>
  <c r="F548" i="46" s="1"/>
  <c r="A531" i="46"/>
  <c r="Q531" i="46" s="1"/>
  <c r="A540" i="46"/>
  <c r="O540" i="46" s="1"/>
  <c r="A542" i="46"/>
  <c r="N542" i="46" s="1"/>
  <c r="A532" i="46"/>
  <c r="S532" i="46" s="1"/>
  <c r="A529" i="46"/>
  <c r="S529" i="46" s="1"/>
  <c r="A533" i="46"/>
  <c r="H533" i="46" s="1"/>
  <c r="A539" i="46"/>
  <c r="L539" i="46" s="1"/>
  <c r="A534" i="46"/>
  <c r="O534" i="46" s="1"/>
  <c r="A528" i="46"/>
  <c r="P528" i="46" s="1"/>
  <c r="A547" i="46"/>
  <c r="I547" i="46" s="1"/>
  <c r="E655" i="46"/>
  <c r="E660" i="46"/>
  <c r="AJ432" i="46"/>
  <c r="AJ437" i="46" s="1"/>
  <c r="K437" i="46" s="1"/>
  <c r="L437" i="46" s="1"/>
  <c r="M437" i="46" s="1"/>
  <c r="N437" i="46" s="1"/>
  <c r="O437" i="46" s="1"/>
  <c r="P437" i="46" s="1"/>
  <c r="Q437" i="46" s="1"/>
  <c r="R437" i="46" s="1"/>
  <c r="S437" i="46" s="1"/>
  <c r="T437" i="46" s="1"/>
  <c r="U437" i="46" s="1"/>
  <c r="V437" i="46" s="1"/>
  <c r="W437" i="46" s="1"/>
  <c r="A604" i="46"/>
  <c r="F604" i="46" s="1"/>
  <c r="A600" i="46"/>
  <c r="J600" i="46" s="1"/>
  <c r="A613" i="46"/>
  <c r="M613" i="46" s="1"/>
  <c r="A605" i="46"/>
  <c r="H605" i="46" s="1"/>
  <c r="A611" i="46"/>
  <c r="K611" i="46" s="1"/>
  <c r="A599" i="46"/>
  <c r="M599" i="46" s="1"/>
  <c r="A596" i="46"/>
  <c r="F596" i="46" s="1"/>
  <c r="A612" i="46"/>
  <c r="F612" i="46" s="1"/>
  <c r="A606" i="46"/>
  <c r="I606" i="46" s="1"/>
  <c r="C1002" i="46"/>
  <c r="D988" i="46" s="1"/>
  <c r="G1082" i="46" s="1"/>
  <c r="A558" i="46"/>
  <c r="D558" i="46" s="1"/>
  <c r="A595" i="46"/>
  <c r="L595" i="46" s="1"/>
  <c r="E743" i="46"/>
  <c r="E744" i="46"/>
  <c r="E742" i="46"/>
  <c r="E658" i="46"/>
  <c r="A597" i="46"/>
  <c r="L597" i="46" s="1"/>
  <c r="E740" i="46"/>
  <c r="A610" i="46"/>
  <c r="H610" i="46" s="1"/>
  <c r="A598" i="46"/>
  <c r="F598" i="46" s="1"/>
  <c r="A594" i="46"/>
  <c r="F594" i="46" s="1"/>
  <c r="C453" i="46"/>
  <c r="A453" i="46" s="1"/>
  <c r="B454" i="46"/>
  <c r="B481" i="46" s="1"/>
  <c r="C481" i="46" s="1"/>
  <c r="A481" i="46" s="1"/>
  <c r="D778" i="46"/>
  <c r="E451" i="46"/>
  <c r="AH451" i="46" s="1"/>
  <c r="AH452" i="46" s="1"/>
  <c r="D162" i="51"/>
  <c r="D164" i="51" s="1"/>
  <c r="D167" i="51" s="1"/>
  <c r="D168" i="51" s="1"/>
  <c r="D171" i="51" s="1"/>
  <c r="D153" i="51"/>
  <c r="B32" i="45"/>
  <c r="D451" i="46"/>
  <c r="D452" i="46" s="1"/>
  <c r="F734" i="62"/>
  <c r="H734" i="62" s="1"/>
  <c r="E782" i="62" s="1"/>
  <c r="C787" i="62" s="1"/>
  <c r="C422" i="62"/>
  <c r="E451" i="62" s="1"/>
  <c r="E452" i="62" s="1"/>
  <c r="C419" i="62"/>
  <c r="B453" i="62" s="1"/>
  <c r="AR453" i="62" s="1"/>
  <c r="N545" i="62"/>
  <c r="A532" i="62"/>
  <c r="O545" i="62"/>
  <c r="A540" i="62"/>
  <c r="O540" i="62" s="1"/>
  <c r="P545" i="62"/>
  <c r="A533" i="62"/>
  <c r="H533" i="62" s="1"/>
  <c r="G545" i="62"/>
  <c r="K545" i="62"/>
  <c r="A541" i="62"/>
  <c r="F541" i="62" s="1"/>
  <c r="A544" i="62"/>
  <c r="Q544" i="62" s="1"/>
  <c r="A543" i="62"/>
  <c r="Q543" i="62" s="1"/>
  <c r="F545" i="62"/>
  <c r="A529" i="62"/>
  <c r="A547" i="62"/>
  <c r="F547" i="62" s="1"/>
  <c r="A539" i="62"/>
  <c r="O539" i="62" s="1"/>
  <c r="J545" i="62"/>
  <c r="A528" i="62"/>
  <c r="S545" i="62"/>
  <c r="I545" i="62"/>
  <c r="A530" i="62"/>
  <c r="Q545" i="62"/>
  <c r="H545" i="62"/>
  <c r="D452" i="62"/>
  <c r="A531" i="62"/>
  <c r="S531" i="62" s="1"/>
  <c r="AK432" i="62"/>
  <c r="AK437" i="62" s="1"/>
  <c r="Y437" i="62" s="1"/>
  <c r="Z437" i="62" s="1"/>
  <c r="AA437" i="62" s="1"/>
  <c r="AB437" i="62" s="1"/>
  <c r="AC437" i="62" s="1"/>
  <c r="AD437" i="62" s="1"/>
  <c r="AE437" i="62" s="1"/>
  <c r="AF437" i="62" s="1"/>
  <c r="AG437" i="62" s="1"/>
  <c r="A538" i="62"/>
  <c r="P538" i="62" s="1"/>
  <c r="A542" i="62"/>
  <c r="I542" i="62" s="1"/>
  <c r="A546" i="62"/>
  <c r="K546" i="62" s="1"/>
  <c r="A660" i="62"/>
  <c r="A558" i="62"/>
  <c r="D558" i="62" s="1"/>
  <c r="A659" i="62"/>
  <c r="A658" i="62"/>
  <c r="A548" i="62"/>
  <c r="Q548" i="62" s="1"/>
  <c r="A657" i="62"/>
  <c r="A534" i="62"/>
  <c r="I534" i="62" s="1"/>
  <c r="C559" i="62"/>
  <c r="J599" i="62"/>
  <c r="A598" i="62"/>
  <c r="I599" i="62"/>
  <c r="H599" i="62"/>
  <c r="A594" i="62"/>
  <c r="L594" i="62" s="1"/>
  <c r="M599" i="62"/>
  <c r="A600" i="62"/>
  <c r="F600" i="62" s="1"/>
  <c r="D153" i="67"/>
  <c r="A595" i="62"/>
  <c r="A606" i="62"/>
  <c r="K606" i="62" s="1"/>
  <c r="B32" i="61"/>
  <c r="G599" i="62"/>
  <c r="D162" i="67"/>
  <c r="D180" i="67" s="1"/>
  <c r="A612" i="62"/>
  <c r="J612" i="62" s="1"/>
  <c r="F599" i="62"/>
  <c r="A656" i="62"/>
  <c r="A597" i="62"/>
  <c r="A605" i="62"/>
  <c r="H605" i="62" s="1"/>
  <c r="A611" i="62"/>
  <c r="G611" i="62" s="1"/>
  <c r="A610" i="62"/>
  <c r="L610" i="62" s="1"/>
  <c r="K599" i="62"/>
  <c r="A614" i="62"/>
  <c r="I614" i="62" s="1"/>
  <c r="A613" i="62"/>
  <c r="F613" i="62" s="1"/>
  <c r="A604" i="62"/>
  <c r="A596" i="62"/>
  <c r="F596" i="62" s="1"/>
  <c r="C253" i="54"/>
  <c r="C248" i="54" s="1"/>
  <c r="C241" i="54" s="1"/>
  <c r="M411" i="54" s="1"/>
  <c r="C418" i="54" s="1"/>
  <c r="L411" i="54"/>
  <c r="C417" i="54" s="1"/>
  <c r="X437" i="54"/>
  <c r="AH437" i="54"/>
  <c r="J437" i="54"/>
  <c r="A890" i="54"/>
  <c r="A863" i="54"/>
  <c r="A889" i="54"/>
  <c r="C889" i="54" s="1"/>
  <c r="E402" i="54"/>
  <c r="C643" i="54"/>
  <c r="A509" i="54"/>
  <c r="A557" i="54" s="1"/>
  <c r="C557" i="54" s="1"/>
  <c r="C528" i="54"/>
  <c r="C513" i="54"/>
  <c r="C242" i="54"/>
  <c r="D241" i="54" s="1"/>
  <c r="D411" i="54" s="1"/>
  <c r="F241" i="54"/>
  <c r="F411" i="54" s="1"/>
  <c r="E241" i="54"/>
  <c r="C411" i="54" s="1"/>
  <c r="G241" i="54"/>
  <c r="E411" i="54" s="1"/>
  <c r="K362" i="54"/>
  <c r="D158" i="59" s="1"/>
  <c r="D160" i="59" s="1"/>
  <c r="A982" i="54"/>
  <c r="C982" i="54" s="1"/>
  <c r="D972" i="54" s="1"/>
  <c r="G1083" i="54" s="1"/>
  <c r="C427" i="54"/>
  <c r="C423" i="54"/>
  <c r="C426" i="54"/>
  <c r="C424" i="54"/>
  <c r="Q521" i="54"/>
  <c r="A561" i="54"/>
  <c r="A508" i="54"/>
  <c r="A556" i="54" s="1"/>
  <c r="C556" i="54" s="1"/>
  <c r="A505" i="54"/>
  <c r="A553" i="54" s="1"/>
  <c r="A803" i="54"/>
  <c r="A846" i="54" s="1"/>
  <c r="C846" i="54" s="1"/>
  <c r="A850" i="54"/>
  <c r="C850" i="54" s="1"/>
  <c r="D795" i="54"/>
  <c r="G1087" i="54" s="1"/>
  <c r="A802" i="54"/>
  <c r="A845" i="54" s="1"/>
  <c r="C845" i="54" s="1"/>
  <c r="A922" i="54"/>
  <c r="C922" i="54" s="1"/>
  <c r="C923" i="54" s="1"/>
  <c r="A925" i="54"/>
  <c r="C925" i="54" s="1"/>
  <c r="D896" i="54"/>
  <c r="G1085" i="54" s="1"/>
  <c r="A1001" i="54"/>
  <c r="C1001" i="54" s="1"/>
  <c r="A1000" i="54"/>
  <c r="C1000" i="54" s="1"/>
  <c r="D165" i="59"/>
  <c r="B29" i="53" s="1"/>
  <c r="C965" i="54"/>
  <c r="C1061" i="54"/>
  <c r="C1064" i="54" s="1"/>
  <c r="A965" i="54"/>
  <c r="A966" i="54"/>
  <c r="C966" i="54" s="1"/>
  <c r="A639" i="54"/>
  <c r="A697" i="54" s="1"/>
  <c r="C697" i="54" s="1"/>
  <c r="D697" i="54" s="1"/>
  <c r="A638" i="54"/>
  <c r="A696" i="54" s="1"/>
  <c r="C696" i="54" s="1"/>
  <c r="D696" i="54" s="1"/>
  <c r="A710" i="54"/>
  <c r="A637" i="54"/>
  <c r="A635" i="54"/>
  <c r="A693" i="54" s="1"/>
  <c r="C693" i="54" s="1"/>
  <c r="D693" i="54" s="1"/>
  <c r="A636" i="54"/>
  <c r="A694" i="54" s="1"/>
  <c r="C694" i="54" s="1"/>
  <c r="D694" i="54" s="1"/>
  <c r="A722" i="54"/>
  <c r="A775" i="54" s="1"/>
  <c r="C775" i="54" s="1"/>
  <c r="D775" i="54" s="1"/>
  <c r="A790" i="54"/>
  <c r="A723" i="54"/>
  <c r="A776" i="54" s="1"/>
  <c r="C776" i="54" s="1"/>
  <c r="D776" i="54" s="1"/>
  <c r="A724" i="54"/>
  <c r="A777" i="54" s="1"/>
  <c r="C777" i="54" s="1"/>
  <c r="D777" i="54" s="1"/>
  <c r="A624" i="54"/>
  <c r="A577" i="54"/>
  <c r="A619" i="54" s="1"/>
  <c r="D619" i="54" s="1"/>
  <c r="A575" i="54"/>
  <c r="A617" i="54" s="1"/>
  <c r="A576" i="54"/>
  <c r="A618" i="54" s="1"/>
  <c r="A1043" i="54"/>
  <c r="C1043" i="54" s="1"/>
  <c r="D1007" i="54"/>
  <c r="G1081" i="54" s="1"/>
  <c r="C581" i="54"/>
  <c r="C408" i="54"/>
  <c r="E408" i="54"/>
  <c r="D408" i="54"/>
  <c r="F408" i="54"/>
  <c r="I408" i="54" s="1"/>
  <c r="C425" i="54" s="1"/>
  <c r="L614" i="46"/>
  <c r="M614" i="46"/>
  <c r="J614" i="46"/>
  <c r="H614" i="46"/>
  <c r="F614" i="46"/>
  <c r="I614" i="46"/>
  <c r="G614" i="46"/>
  <c r="K614" i="46"/>
  <c r="Q538" i="46"/>
  <c r="S538" i="46"/>
  <c r="O538" i="46"/>
  <c r="F538" i="46"/>
  <c r="P538" i="46"/>
  <c r="F734" i="46" l="1"/>
  <c r="H734" i="46" s="1"/>
  <c r="E782" i="46" s="1"/>
  <c r="C787" i="46" s="1"/>
  <c r="F650" i="46"/>
  <c r="I650" i="46" s="1"/>
  <c r="O533" i="46"/>
  <c r="F533" i="46"/>
  <c r="L533" i="46"/>
  <c r="F605" i="46"/>
  <c r="O529" i="46"/>
  <c r="L605" i="46"/>
  <c r="Q529" i="46"/>
  <c r="P529" i="46"/>
  <c r="F529" i="46"/>
  <c r="H611" i="46"/>
  <c r="F611" i="46"/>
  <c r="P532" i="46"/>
  <c r="J533" i="46"/>
  <c r="F532" i="46"/>
  <c r="Q532" i="46"/>
  <c r="G533" i="46"/>
  <c r="S533" i="46"/>
  <c r="O532" i="46"/>
  <c r="N533" i="46"/>
  <c r="I546" i="46"/>
  <c r="N546" i="46"/>
  <c r="J539" i="46"/>
  <c r="S534" i="46"/>
  <c r="N534" i="46"/>
  <c r="H539" i="46"/>
  <c r="J546" i="46"/>
  <c r="P539" i="46"/>
  <c r="S539" i="46"/>
  <c r="Q534" i="46"/>
  <c r="F534" i="46"/>
  <c r="P534" i="46"/>
  <c r="N539" i="46"/>
  <c r="H546" i="46"/>
  <c r="H547" i="46"/>
  <c r="H534" i="46"/>
  <c r="J611" i="46"/>
  <c r="I534" i="46"/>
  <c r="O539" i="46"/>
  <c r="K533" i="46"/>
  <c r="S541" i="46"/>
  <c r="K534" i="46"/>
  <c r="F539" i="46"/>
  <c r="L611" i="46"/>
  <c r="P533" i="46"/>
  <c r="O541" i="46"/>
  <c r="G611" i="46"/>
  <c r="L534" i="46"/>
  <c r="Q533" i="46"/>
  <c r="S546" i="46"/>
  <c r="F541" i="46"/>
  <c r="P541" i="46"/>
  <c r="K539" i="46"/>
  <c r="M611" i="46"/>
  <c r="J534" i="46"/>
  <c r="I533" i="46"/>
  <c r="G546" i="46"/>
  <c r="G534" i="46"/>
  <c r="I611" i="46"/>
  <c r="L546" i="46"/>
  <c r="L547" i="46"/>
  <c r="G544" i="46"/>
  <c r="L544" i="46"/>
  <c r="L600" i="46"/>
  <c r="S547" i="46"/>
  <c r="F528" i="46"/>
  <c r="K543" i="46"/>
  <c r="Q543" i="46"/>
  <c r="R528" i="46"/>
  <c r="S543" i="46"/>
  <c r="O544" i="46"/>
  <c r="S528" i="46"/>
  <c r="O543" i="46"/>
  <c r="M528" i="46"/>
  <c r="O528" i="46"/>
  <c r="F543" i="46"/>
  <c r="Q544" i="46"/>
  <c r="N540" i="46"/>
  <c r="F542" i="46"/>
  <c r="I542" i="46"/>
  <c r="G540" i="46"/>
  <c r="M600" i="46"/>
  <c r="L542" i="46"/>
  <c r="F531" i="46"/>
  <c r="J542" i="46"/>
  <c r="F600" i="46"/>
  <c r="Q528" i="46"/>
  <c r="I600" i="46"/>
  <c r="P543" i="46"/>
  <c r="F540" i="46"/>
  <c r="Q540" i="46"/>
  <c r="J540" i="46"/>
  <c r="L540" i="46"/>
  <c r="P540" i="46"/>
  <c r="S540" i="46"/>
  <c r="I540" i="46"/>
  <c r="H540" i="46"/>
  <c r="K540" i="46"/>
  <c r="N548" i="46"/>
  <c r="G548" i="46"/>
  <c r="J548" i="46"/>
  <c r="P548" i="46"/>
  <c r="H548" i="46"/>
  <c r="P547" i="46"/>
  <c r="L548" i="46"/>
  <c r="S548" i="46"/>
  <c r="S545" i="46"/>
  <c r="K548" i="46"/>
  <c r="O548" i="46"/>
  <c r="I548" i="46"/>
  <c r="Q548" i="46"/>
  <c r="L545" i="46"/>
  <c r="Q547" i="46"/>
  <c r="Q542" i="46"/>
  <c r="P531" i="46"/>
  <c r="K545" i="46"/>
  <c r="I544" i="46"/>
  <c r="G543" i="46"/>
  <c r="G545" i="46"/>
  <c r="N547" i="46"/>
  <c r="H542" i="46"/>
  <c r="P545" i="46"/>
  <c r="G600" i="46"/>
  <c r="H544" i="46"/>
  <c r="J543" i="46"/>
  <c r="P546" i="46"/>
  <c r="O545" i="46"/>
  <c r="K547" i="46"/>
  <c r="P542" i="46"/>
  <c r="I539" i="46"/>
  <c r="I545" i="46"/>
  <c r="S544" i="46"/>
  <c r="L543" i="46"/>
  <c r="K546" i="46"/>
  <c r="F545" i="46"/>
  <c r="G547" i="46"/>
  <c r="J544" i="46"/>
  <c r="O547" i="46"/>
  <c r="G542" i="46"/>
  <c r="Q539" i="46"/>
  <c r="O531" i="46"/>
  <c r="N545" i="46"/>
  <c r="N544" i="46"/>
  <c r="I543" i="46"/>
  <c r="Q546" i="46"/>
  <c r="O542" i="46"/>
  <c r="J547" i="46"/>
  <c r="G539" i="46"/>
  <c r="S531" i="46"/>
  <c r="Q545" i="46"/>
  <c r="F544" i="46"/>
  <c r="N543" i="46"/>
  <c r="O546" i="46"/>
  <c r="F547" i="46"/>
  <c r="K544" i="46"/>
  <c r="J545" i="46"/>
  <c r="H600" i="46"/>
  <c r="S542" i="46"/>
  <c r="K600" i="46"/>
  <c r="K542" i="46"/>
  <c r="J605" i="46"/>
  <c r="K605" i="46"/>
  <c r="M605" i="46"/>
  <c r="I605" i="46"/>
  <c r="G605" i="46"/>
  <c r="K613" i="46"/>
  <c r="G613" i="46"/>
  <c r="I613" i="46"/>
  <c r="F613" i="46"/>
  <c r="H613" i="46"/>
  <c r="L613" i="46"/>
  <c r="J613" i="46"/>
  <c r="AN451" i="46"/>
  <c r="AN453" i="46" s="1"/>
  <c r="K451" i="46"/>
  <c r="K481" i="46" s="1"/>
  <c r="W451" i="46"/>
  <c r="W481" i="46" s="1"/>
  <c r="R451" i="46"/>
  <c r="R453" i="46" s="1"/>
  <c r="L604" i="46"/>
  <c r="I610" i="46"/>
  <c r="K610" i="46"/>
  <c r="L596" i="46"/>
  <c r="H599" i="46"/>
  <c r="F599" i="46"/>
  <c r="G599" i="46"/>
  <c r="K599" i="46"/>
  <c r="I599" i="46"/>
  <c r="J599" i="46"/>
  <c r="F597" i="46"/>
  <c r="B467" i="46"/>
  <c r="C467" i="46" s="1"/>
  <c r="A467" i="46" s="1"/>
  <c r="F606" i="46"/>
  <c r="L599" i="46"/>
  <c r="H612" i="46"/>
  <c r="J612" i="46"/>
  <c r="L606" i="46"/>
  <c r="J606" i="46"/>
  <c r="M606" i="46"/>
  <c r="K612" i="46"/>
  <c r="M612" i="46"/>
  <c r="G612" i="46"/>
  <c r="H606" i="46"/>
  <c r="I612" i="46"/>
  <c r="G606" i="46"/>
  <c r="L612" i="46"/>
  <c r="Z451" i="46"/>
  <c r="Z453" i="46" s="1"/>
  <c r="K606" i="46"/>
  <c r="AI451" i="46"/>
  <c r="AI481" i="46" s="1"/>
  <c r="AJ451" i="46"/>
  <c r="AJ453" i="46" s="1"/>
  <c r="AC451" i="46"/>
  <c r="AC452" i="46" s="1"/>
  <c r="AG451" i="46"/>
  <c r="AG452" i="46" s="1"/>
  <c r="AH453" i="46"/>
  <c r="AF451" i="46"/>
  <c r="AF452" i="46" s="1"/>
  <c r="M451" i="46"/>
  <c r="M452" i="46" s="1"/>
  <c r="AE451" i="46"/>
  <c r="AE453" i="46" s="1"/>
  <c r="Y451" i="46"/>
  <c r="Y453" i="46" s="1"/>
  <c r="AB451" i="46"/>
  <c r="AB481" i="46" s="1"/>
  <c r="F595" i="46"/>
  <c r="B457" i="46"/>
  <c r="AR457" i="46" s="1"/>
  <c r="V451" i="46"/>
  <c r="V452" i="46" s="1"/>
  <c r="U451" i="46"/>
  <c r="U452" i="46" s="1"/>
  <c r="X451" i="46"/>
  <c r="X453" i="46" s="1"/>
  <c r="AA451" i="46"/>
  <c r="AA453" i="46" s="1"/>
  <c r="D180" i="51"/>
  <c r="B466" i="46"/>
  <c r="C466" i="46" s="1"/>
  <c r="A466" i="46" s="1"/>
  <c r="Q451" i="46"/>
  <c r="Q452" i="46" s="1"/>
  <c r="AM451" i="46"/>
  <c r="AM452" i="46" s="1"/>
  <c r="T451" i="46"/>
  <c r="T452" i="46" s="1"/>
  <c r="AD451" i="46"/>
  <c r="AD453" i="46" s="1"/>
  <c r="AP451" i="46"/>
  <c r="AP453" i="46" s="1"/>
  <c r="B483" i="46"/>
  <c r="AR483" i="46" s="1"/>
  <c r="AQ451" i="46"/>
  <c r="AQ481" i="46" s="1"/>
  <c r="E453" i="46"/>
  <c r="AO451" i="46"/>
  <c r="AO453" i="46" s="1"/>
  <c r="J451" i="46"/>
  <c r="J452" i="46" s="1"/>
  <c r="S451" i="46"/>
  <c r="S452" i="46" s="1"/>
  <c r="G451" i="46"/>
  <c r="G453" i="46" s="1"/>
  <c r="B475" i="46"/>
  <c r="C475" i="46" s="1"/>
  <c r="A475" i="46" s="1"/>
  <c r="AK451" i="46"/>
  <c r="AK452" i="46" s="1"/>
  <c r="AL451" i="46"/>
  <c r="AL452" i="46" s="1"/>
  <c r="F451" i="46"/>
  <c r="F453" i="46" s="1"/>
  <c r="H451" i="46"/>
  <c r="H453" i="46" s="1"/>
  <c r="N451" i="46"/>
  <c r="N453" i="46" s="1"/>
  <c r="B472" i="46"/>
  <c r="AR472" i="46" s="1"/>
  <c r="O451" i="46"/>
  <c r="O452" i="46" s="1"/>
  <c r="P451" i="46"/>
  <c r="P453" i="46" s="1"/>
  <c r="L451" i="46"/>
  <c r="L452" i="46" s="1"/>
  <c r="I451" i="46"/>
  <c r="I453" i="46" s="1"/>
  <c r="E452" i="46"/>
  <c r="B456" i="46"/>
  <c r="AR456" i="46" s="1"/>
  <c r="B491" i="46"/>
  <c r="C491" i="46" s="1"/>
  <c r="A491" i="46" s="1"/>
  <c r="B463" i="46"/>
  <c r="AR463" i="46" s="1"/>
  <c r="C454" i="46"/>
  <c r="A454" i="46" s="1"/>
  <c r="B478" i="46"/>
  <c r="C478" i="46" s="1"/>
  <c r="A478" i="46" s="1"/>
  <c r="B479" i="46"/>
  <c r="C479" i="46" s="1"/>
  <c r="A479" i="46" s="1"/>
  <c r="L594" i="46"/>
  <c r="L598" i="46"/>
  <c r="B488" i="46"/>
  <c r="C488" i="46" s="1"/>
  <c r="A488" i="46" s="1"/>
  <c r="B468" i="46"/>
  <c r="C468" i="46" s="1"/>
  <c r="A468" i="46" s="1"/>
  <c r="B460" i="46"/>
  <c r="AR460" i="46" s="1"/>
  <c r="B461" i="46"/>
  <c r="AR461" i="46" s="1"/>
  <c r="B477" i="46"/>
  <c r="C477" i="46" s="1"/>
  <c r="A477" i="46" s="1"/>
  <c r="B480" i="46"/>
  <c r="AR480" i="46" s="1"/>
  <c r="B469" i="46"/>
  <c r="C469" i="46" s="1"/>
  <c r="A469" i="46" s="1"/>
  <c r="B455" i="46"/>
  <c r="AR455" i="46" s="1"/>
  <c r="B489" i="46"/>
  <c r="C489" i="46" s="1"/>
  <c r="A489" i="46" s="1"/>
  <c r="B473" i="46"/>
  <c r="C473" i="46" s="1"/>
  <c r="A473" i="46" s="1"/>
  <c r="M610" i="46"/>
  <c r="B487" i="46"/>
  <c r="AR487" i="46" s="1"/>
  <c r="AR481" i="46"/>
  <c r="F610" i="46"/>
  <c r="B482" i="46"/>
  <c r="AR482" i="46" s="1"/>
  <c r="B464" i="46"/>
  <c r="AR464" i="46" s="1"/>
  <c r="B486" i="46"/>
  <c r="AR486" i="46" s="1"/>
  <c r="J610" i="46"/>
  <c r="B490" i="46"/>
  <c r="AR490" i="46" s="1"/>
  <c r="G610" i="46"/>
  <c r="B458" i="46"/>
  <c r="AR458" i="46" s="1"/>
  <c r="B470" i="46"/>
  <c r="AR470" i="46" s="1"/>
  <c r="AR454" i="46"/>
  <c r="B471" i="46"/>
  <c r="AR471" i="46" s="1"/>
  <c r="L610" i="46"/>
  <c r="B462" i="46"/>
  <c r="AR462" i="46" s="1"/>
  <c r="B492" i="46"/>
  <c r="C492" i="46" s="1"/>
  <c r="A492" i="46" s="1"/>
  <c r="B484" i="46"/>
  <c r="AR484" i="46" s="1"/>
  <c r="B485" i="46"/>
  <c r="AR485" i="46" s="1"/>
  <c r="B474" i="46"/>
  <c r="C474" i="46" s="1"/>
  <c r="A474" i="46" s="1"/>
  <c r="B459" i="46"/>
  <c r="C459" i="46" s="1"/>
  <c r="A459" i="46" s="1"/>
  <c r="E459" i="46" s="1"/>
  <c r="B476" i="46"/>
  <c r="AR476" i="46" s="1"/>
  <c r="B465" i="46"/>
  <c r="C465" i="46" s="1"/>
  <c r="A465" i="46" s="1"/>
  <c r="D453" i="46"/>
  <c r="C421" i="54"/>
  <c r="D451" i="54" s="1"/>
  <c r="D452" i="54" s="1"/>
  <c r="C422" i="54"/>
  <c r="C419" i="54"/>
  <c r="B453" i="54" s="1"/>
  <c r="AR453" i="54" s="1"/>
  <c r="C420" i="54"/>
  <c r="P532" i="62"/>
  <c r="C453" i="62"/>
  <c r="A453" i="62" s="1"/>
  <c r="D453" i="62" s="1"/>
  <c r="F531" i="62"/>
  <c r="S529" i="62"/>
  <c r="S532" i="62"/>
  <c r="O532" i="62"/>
  <c r="G547" i="62"/>
  <c r="K547" i="62"/>
  <c r="S538" i="62"/>
  <c r="H547" i="62"/>
  <c r="F532" i="62"/>
  <c r="Q539" i="62"/>
  <c r="B454" i="62"/>
  <c r="B477" i="62" s="1"/>
  <c r="C477" i="62" s="1"/>
  <c r="A477" i="62" s="1"/>
  <c r="D477" i="62" s="1"/>
  <c r="N546" i="62"/>
  <c r="J542" i="62"/>
  <c r="H542" i="62"/>
  <c r="I546" i="62"/>
  <c r="Q547" i="62"/>
  <c r="J547" i="62"/>
  <c r="P547" i="62"/>
  <c r="O529" i="62"/>
  <c r="F529" i="62"/>
  <c r="J614" i="62"/>
  <c r="I539" i="62"/>
  <c r="L614" i="62"/>
  <c r="Q529" i="62"/>
  <c r="K614" i="62"/>
  <c r="P529" i="62"/>
  <c r="S540" i="62"/>
  <c r="N542" i="62"/>
  <c r="S546" i="62"/>
  <c r="J540" i="62"/>
  <c r="J613" i="62"/>
  <c r="N540" i="62"/>
  <c r="P540" i="62"/>
  <c r="I540" i="62"/>
  <c r="G540" i="62"/>
  <c r="L539" i="62"/>
  <c r="N547" i="62"/>
  <c r="F542" i="62"/>
  <c r="F538" i="62"/>
  <c r="Q538" i="62"/>
  <c r="H543" i="62"/>
  <c r="R528" i="62"/>
  <c r="K540" i="62"/>
  <c r="O542" i="62"/>
  <c r="L547" i="62"/>
  <c r="Q540" i="62"/>
  <c r="L540" i="62"/>
  <c r="F540" i="62"/>
  <c r="G544" i="62"/>
  <c r="P543" i="62"/>
  <c r="G548" i="62"/>
  <c r="P533" i="62"/>
  <c r="I543" i="62"/>
  <c r="G533" i="62"/>
  <c r="H540" i="62"/>
  <c r="L544" i="62"/>
  <c r="G543" i="62"/>
  <c r="K543" i="62"/>
  <c r="F650" i="62"/>
  <c r="I650" i="62" s="1"/>
  <c r="G613" i="62"/>
  <c r="S543" i="62"/>
  <c r="N543" i="62"/>
  <c r="F543" i="62"/>
  <c r="D164" i="67"/>
  <c r="D167" i="67" s="1"/>
  <c r="D168" i="67" s="1"/>
  <c r="D171" i="67" s="1"/>
  <c r="B31" i="61" s="1"/>
  <c r="O531" i="62"/>
  <c r="K533" i="62"/>
  <c r="P531" i="62"/>
  <c r="L533" i="62"/>
  <c r="S533" i="62"/>
  <c r="Q531" i="62"/>
  <c r="AN451" i="62"/>
  <c r="K612" i="62"/>
  <c r="S539" i="62"/>
  <c r="L543" i="62"/>
  <c r="Q542" i="62"/>
  <c r="J543" i="62"/>
  <c r="P542" i="62"/>
  <c r="J544" i="62"/>
  <c r="J533" i="62"/>
  <c r="H539" i="62"/>
  <c r="L542" i="62"/>
  <c r="P544" i="62"/>
  <c r="I544" i="62"/>
  <c r="P541" i="62"/>
  <c r="S547" i="62"/>
  <c r="F544" i="62"/>
  <c r="Q541" i="62"/>
  <c r="S541" i="62"/>
  <c r="I547" i="62"/>
  <c r="I533" i="62"/>
  <c r="O538" i="62"/>
  <c r="O547" i="62"/>
  <c r="Q532" i="62"/>
  <c r="Q533" i="62"/>
  <c r="F533" i="62"/>
  <c r="O543" i="62"/>
  <c r="S544" i="62"/>
  <c r="O541" i="62"/>
  <c r="O533" i="62"/>
  <c r="N544" i="62"/>
  <c r="H544" i="62"/>
  <c r="O544" i="62"/>
  <c r="N533" i="62"/>
  <c r="K544" i="62"/>
  <c r="H546" i="62"/>
  <c r="G546" i="62"/>
  <c r="O528" i="62"/>
  <c r="F528" i="62"/>
  <c r="P546" i="62"/>
  <c r="O546" i="62"/>
  <c r="F546" i="62"/>
  <c r="F530" i="62"/>
  <c r="N539" i="62"/>
  <c r="P528" i="62"/>
  <c r="Q528" i="62"/>
  <c r="K539" i="62"/>
  <c r="S542" i="62"/>
  <c r="G539" i="62"/>
  <c r="F539" i="62"/>
  <c r="L546" i="62"/>
  <c r="J546" i="62"/>
  <c r="S528" i="62"/>
  <c r="G542" i="62"/>
  <c r="P539" i="62"/>
  <c r="Q546" i="62"/>
  <c r="J539" i="62"/>
  <c r="K542" i="62"/>
  <c r="N548" i="62"/>
  <c r="H548" i="62"/>
  <c r="F598" i="62"/>
  <c r="S534" i="62"/>
  <c r="O534" i="62"/>
  <c r="J548" i="62"/>
  <c r="O548" i="62"/>
  <c r="L604" i="62"/>
  <c r="F604" i="62"/>
  <c r="P548" i="62"/>
  <c r="L548" i="62"/>
  <c r="Q534" i="62"/>
  <c r="J611" i="62"/>
  <c r="J534" i="62"/>
  <c r="P534" i="62"/>
  <c r="N451" i="62"/>
  <c r="N452" i="62" s="1"/>
  <c r="M600" i="62"/>
  <c r="I613" i="62"/>
  <c r="J600" i="62"/>
  <c r="H534" i="62"/>
  <c r="F534" i="62"/>
  <c r="AK451" i="62"/>
  <c r="L613" i="62"/>
  <c r="N534" i="62"/>
  <c r="K534" i="62"/>
  <c r="G600" i="62"/>
  <c r="L534" i="62"/>
  <c r="F548" i="62"/>
  <c r="K548" i="62"/>
  <c r="G534" i="62"/>
  <c r="AQ451" i="62"/>
  <c r="AQ452" i="62" s="1"/>
  <c r="K451" i="62"/>
  <c r="H613" i="62"/>
  <c r="M613" i="62"/>
  <c r="S548" i="62"/>
  <c r="I548" i="62"/>
  <c r="G606" i="62"/>
  <c r="AL451" i="62"/>
  <c r="AL452" i="62" s="1"/>
  <c r="F451" i="62"/>
  <c r="F452" i="62" s="1"/>
  <c r="S451" i="62"/>
  <c r="S452" i="62" s="1"/>
  <c r="H606" i="62"/>
  <c r="AM451" i="62"/>
  <c r="AM452" i="62" s="1"/>
  <c r="AP451" i="62"/>
  <c r="Z451" i="62"/>
  <c r="M451" i="62"/>
  <c r="M452" i="62" s="1"/>
  <c r="U451" i="62"/>
  <c r="U452" i="62" s="1"/>
  <c r="AE451" i="62"/>
  <c r="AE452" i="62" s="1"/>
  <c r="M606" i="62"/>
  <c r="J451" i="62"/>
  <c r="J452" i="62" s="1"/>
  <c r="AO451" i="62"/>
  <c r="AO452" i="62" s="1"/>
  <c r="H451" i="62"/>
  <c r="R451" i="62"/>
  <c r="X451" i="62"/>
  <c r="L612" i="62"/>
  <c r="L611" i="62"/>
  <c r="I611" i="62"/>
  <c r="F612" i="62"/>
  <c r="L598" i="62"/>
  <c r="M612" i="62"/>
  <c r="I612" i="62"/>
  <c r="G612" i="62"/>
  <c r="H612" i="62"/>
  <c r="G614" i="62"/>
  <c r="F594" i="62"/>
  <c r="H614" i="62"/>
  <c r="F595" i="62"/>
  <c r="I610" i="62"/>
  <c r="F614" i="62"/>
  <c r="L595" i="62"/>
  <c r="I600" i="62"/>
  <c r="T451" i="62"/>
  <c r="T452" i="62" s="1"/>
  <c r="J606" i="62"/>
  <c r="G451" i="62"/>
  <c r="AB451" i="62"/>
  <c r="AF451" i="62"/>
  <c r="L600" i="62"/>
  <c r="AA451" i="62"/>
  <c r="AA452" i="62" s="1"/>
  <c r="L606" i="62"/>
  <c r="AH451" i="62"/>
  <c r="H600" i="62"/>
  <c r="AG451" i="62"/>
  <c r="AG452" i="62" s="1"/>
  <c r="Y451" i="62"/>
  <c r="Q451" i="62"/>
  <c r="Q452" i="62" s="1"/>
  <c r="W451" i="62"/>
  <c r="W452" i="62" s="1"/>
  <c r="I451" i="62"/>
  <c r="F597" i="62"/>
  <c r="K600" i="62"/>
  <c r="F606" i="62"/>
  <c r="I606" i="62"/>
  <c r="AD451" i="62"/>
  <c r="AD452" i="62" s="1"/>
  <c r="P451" i="62"/>
  <c r="AC451" i="62"/>
  <c r="AJ451" i="62"/>
  <c r="AJ452" i="62" s="1"/>
  <c r="M610" i="62"/>
  <c r="L451" i="62"/>
  <c r="M614" i="62"/>
  <c r="O451" i="62"/>
  <c r="K613" i="62"/>
  <c r="AI451" i="62"/>
  <c r="V451" i="62"/>
  <c r="K605" i="62"/>
  <c r="M605" i="62"/>
  <c r="H611" i="62"/>
  <c r="M611" i="62"/>
  <c r="I605" i="62"/>
  <c r="G610" i="62"/>
  <c r="J605" i="62"/>
  <c r="L597" i="62"/>
  <c r="K610" i="62"/>
  <c r="F605" i="62"/>
  <c r="F610" i="62"/>
  <c r="L596" i="62"/>
  <c r="L605" i="62"/>
  <c r="K611" i="62"/>
  <c r="G605" i="62"/>
  <c r="F611" i="62"/>
  <c r="H610" i="62"/>
  <c r="J610" i="62"/>
  <c r="E481" i="46"/>
  <c r="C847" i="54"/>
  <c r="AJ432" i="54"/>
  <c r="AJ437" i="54" s="1"/>
  <c r="K437" i="54" s="1"/>
  <c r="L437" i="54" s="1"/>
  <c r="M437" i="54" s="1"/>
  <c r="N437" i="54" s="1"/>
  <c r="O437" i="54" s="1"/>
  <c r="P437" i="54" s="1"/>
  <c r="Q437" i="54" s="1"/>
  <c r="R437" i="54" s="1"/>
  <c r="S437" i="54" s="1"/>
  <c r="T437" i="54" s="1"/>
  <c r="U437" i="54" s="1"/>
  <c r="V437" i="54" s="1"/>
  <c r="W437" i="54" s="1"/>
  <c r="D778" i="54"/>
  <c r="C967" i="54"/>
  <c r="D931" i="54" s="1"/>
  <c r="G1084" i="54" s="1"/>
  <c r="AI432" i="54"/>
  <c r="AI437" i="54" s="1"/>
  <c r="D437" i="54" s="1"/>
  <c r="E437" i="54" s="1"/>
  <c r="F437" i="54" s="1"/>
  <c r="G437" i="54" s="1"/>
  <c r="H437" i="54" s="1"/>
  <c r="I437" i="54" s="1"/>
  <c r="S537" i="54"/>
  <c r="P535" i="54"/>
  <c r="Q537" i="54"/>
  <c r="Q536" i="54"/>
  <c r="S535" i="54"/>
  <c r="P536" i="54"/>
  <c r="O535" i="54"/>
  <c r="P537" i="54"/>
  <c r="O537" i="54"/>
  <c r="O536" i="54"/>
  <c r="S536" i="54"/>
  <c r="Q535" i="54"/>
  <c r="A606" i="54"/>
  <c r="A612" i="54"/>
  <c r="A596" i="54"/>
  <c r="A599" i="54"/>
  <c r="A600" i="54"/>
  <c r="A594" i="54"/>
  <c r="A610" i="54"/>
  <c r="A611" i="54"/>
  <c r="A605" i="54"/>
  <c r="A604" i="54"/>
  <c r="A614" i="54"/>
  <c r="A595" i="54"/>
  <c r="A613" i="54"/>
  <c r="A598" i="54"/>
  <c r="A597" i="54"/>
  <c r="A695" i="54"/>
  <c r="C637" i="54"/>
  <c r="A620" i="54"/>
  <c r="D162" i="59"/>
  <c r="B32" i="53"/>
  <c r="D153" i="59"/>
  <c r="D170" i="59"/>
  <c r="A529" i="54"/>
  <c r="A534" i="54"/>
  <c r="A528" i="54"/>
  <c r="A545" i="54"/>
  <c r="A544" i="54"/>
  <c r="A546" i="54"/>
  <c r="A538" i="54"/>
  <c r="A533" i="54"/>
  <c r="A548" i="54"/>
  <c r="A543" i="54"/>
  <c r="A531" i="54"/>
  <c r="A541" i="54"/>
  <c r="A547" i="54"/>
  <c r="A539" i="54"/>
  <c r="A540" i="54"/>
  <c r="A532" i="54"/>
  <c r="A542" i="54"/>
  <c r="A530" i="54"/>
  <c r="AK432" i="54"/>
  <c r="AK437" i="54" s="1"/>
  <c r="Y437" i="54" s="1"/>
  <c r="Z437" i="54" s="1"/>
  <c r="AA437" i="54" s="1"/>
  <c r="AB437" i="54" s="1"/>
  <c r="AC437" i="54" s="1"/>
  <c r="AD437" i="54" s="1"/>
  <c r="AE437" i="54" s="1"/>
  <c r="AF437" i="54" s="1"/>
  <c r="AG437" i="54" s="1"/>
  <c r="AH481" i="46"/>
  <c r="C1002" i="54"/>
  <c r="D988" i="54" s="1"/>
  <c r="G1082" i="54" s="1"/>
  <c r="A558" i="54"/>
  <c r="D558" i="54" s="1"/>
  <c r="C553" i="54"/>
  <c r="C559" i="54" s="1"/>
  <c r="E650" i="54"/>
  <c r="D650" i="54"/>
  <c r="D481" i="46"/>
  <c r="B31" i="45"/>
  <c r="D174" i="51"/>
  <c r="K453" i="46" l="1"/>
  <c r="AP481" i="46"/>
  <c r="AR478" i="46"/>
  <c r="V481" i="46"/>
  <c r="AJ452" i="46"/>
  <c r="AI453" i="46"/>
  <c r="K452" i="46"/>
  <c r="Z452" i="46"/>
  <c r="AI452" i="46"/>
  <c r="AQ452" i="46"/>
  <c r="Z479" i="46"/>
  <c r="AN481" i="46"/>
  <c r="AN452" i="46"/>
  <c r="AB453" i="46"/>
  <c r="R481" i="46"/>
  <c r="C458" i="46"/>
  <c r="A458" i="46" s="1"/>
  <c r="AC458" i="46" s="1"/>
  <c r="AI479" i="46"/>
  <c r="AJ459" i="46"/>
  <c r="AR465" i="46"/>
  <c r="U459" i="46"/>
  <c r="Z481" i="46"/>
  <c r="W452" i="46"/>
  <c r="N452" i="46"/>
  <c r="H481" i="46"/>
  <c r="W453" i="46"/>
  <c r="R452" i="46"/>
  <c r="Q453" i="46"/>
  <c r="M453" i="46"/>
  <c r="W459" i="46"/>
  <c r="C486" i="46"/>
  <c r="A486" i="46" s="1"/>
  <c r="AF486" i="46" s="1"/>
  <c r="G452" i="46"/>
  <c r="AR466" i="46"/>
  <c r="AJ481" i="46"/>
  <c r="U481" i="46"/>
  <c r="AR475" i="46"/>
  <c r="C487" i="46"/>
  <c r="A487" i="46" s="1"/>
  <c r="V487" i="46" s="1"/>
  <c r="AR474" i="46"/>
  <c r="Y454" i="46"/>
  <c r="H452" i="46"/>
  <c r="I481" i="46"/>
  <c r="U479" i="46"/>
  <c r="AR467" i="46"/>
  <c r="AM453" i="46"/>
  <c r="Z459" i="46"/>
  <c r="AK453" i="46"/>
  <c r="AR479" i="46"/>
  <c r="AJ479" i="46"/>
  <c r="G459" i="46"/>
  <c r="W479" i="46"/>
  <c r="C483" i="46"/>
  <c r="A483" i="46" s="1"/>
  <c r="AI483" i="46" s="1"/>
  <c r="K479" i="46"/>
  <c r="R459" i="46"/>
  <c r="AN459" i="46"/>
  <c r="AH479" i="46"/>
  <c r="C457" i="46"/>
  <c r="A457" i="46" s="1"/>
  <c r="T457" i="46" s="1"/>
  <c r="AR473" i="46"/>
  <c r="AP452" i="46"/>
  <c r="N479" i="46"/>
  <c r="AQ479" i="46"/>
  <c r="N481" i="46"/>
  <c r="C472" i="46"/>
  <c r="A472" i="46" s="1"/>
  <c r="V472" i="46" s="1"/>
  <c r="H479" i="46"/>
  <c r="AQ453" i="46"/>
  <c r="U453" i="46"/>
  <c r="V453" i="46"/>
  <c r="AA481" i="46"/>
  <c r="AG453" i="46"/>
  <c r="P481" i="46"/>
  <c r="L453" i="46"/>
  <c r="L459" i="46"/>
  <c r="AO481" i="46"/>
  <c r="AR468" i="46"/>
  <c r="AG479" i="46"/>
  <c r="L481" i="46"/>
  <c r="AC481" i="46"/>
  <c r="X479" i="46"/>
  <c r="AA479" i="46"/>
  <c r="X452" i="46"/>
  <c r="AG481" i="46"/>
  <c r="AA452" i="46"/>
  <c r="J481" i="46"/>
  <c r="J453" i="46"/>
  <c r="C482" i="46"/>
  <c r="A482" i="46" s="1"/>
  <c r="Z482" i="46" s="1"/>
  <c r="S453" i="46"/>
  <c r="I459" i="46"/>
  <c r="I452" i="46"/>
  <c r="O481" i="46"/>
  <c r="AF453" i="46"/>
  <c r="AC453" i="46"/>
  <c r="M481" i="46"/>
  <c r="AP479" i="46"/>
  <c r="AO459" i="46"/>
  <c r="P452" i="46"/>
  <c r="AR477" i="46"/>
  <c r="S481" i="46"/>
  <c r="O453" i="46"/>
  <c r="P459" i="46"/>
  <c r="AR488" i="46"/>
  <c r="AF481" i="46"/>
  <c r="C471" i="46"/>
  <c r="A471" i="46" s="1"/>
  <c r="W471" i="46" s="1"/>
  <c r="X481" i="46"/>
  <c r="AO452" i="46"/>
  <c r="T479" i="46"/>
  <c r="Y459" i="46"/>
  <c r="AL453" i="46"/>
  <c r="AE452" i="46"/>
  <c r="AE481" i="46"/>
  <c r="T481" i="46"/>
  <c r="Q459" i="46"/>
  <c r="E479" i="46"/>
  <c r="I479" i="46"/>
  <c r="AL454" i="46"/>
  <c r="AC479" i="46"/>
  <c r="D479" i="46"/>
  <c r="M479" i="46"/>
  <c r="J479" i="46"/>
  <c r="R479" i="46"/>
  <c r="AO479" i="46"/>
  <c r="C476" i="46"/>
  <c r="A476" i="46" s="1"/>
  <c r="AI476" i="46" s="1"/>
  <c r="Y479" i="46"/>
  <c r="G479" i="46"/>
  <c r="O479" i="46"/>
  <c r="AF479" i="46"/>
  <c r="P479" i="46"/>
  <c r="AL479" i="46"/>
  <c r="V479" i="46"/>
  <c r="AN479" i="46"/>
  <c r="AF454" i="46"/>
  <c r="AB452" i="46"/>
  <c r="AD454" i="46"/>
  <c r="C463" i="46"/>
  <c r="A463" i="46" s="1"/>
  <c r="M463" i="46" s="1"/>
  <c r="AB459" i="46"/>
  <c r="AB479" i="46"/>
  <c r="V454" i="46"/>
  <c r="Y481" i="46"/>
  <c r="AN454" i="46"/>
  <c r="Y452" i="46"/>
  <c r="AE479" i="46"/>
  <c r="AQ454" i="46"/>
  <c r="U454" i="46"/>
  <c r="AK479" i="46"/>
  <c r="F479" i="46"/>
  <c r="C464" i="46"/>
  <c r="A464" i="46" s="1"/>
  <c r="O464" i="46" s="1"/>
  <c r="AR469" i="46"/>
  <c r="S479" i="46"/>
  <c r="AO454" i="46"/>
  <c r="I454" i="46"/>
  <c r="C485" i="46"/>
  <c r="A485" i="46" s="1"/>
  <c r="I485" i="46" s="1"/>
  <c r="Q454" i="46"/>
  <c r="G481" i="46"/>
  <c r="AE454" i="46"/>
  <c r="C462" i="46"/>
  <c r="A462" i="46" s="1"/>
  <c r="U462" i="46" s="1"/>
  <c r="F481" i="46"/>
  <c r="AD481" i="46"/>
  <c r="T453" i="46"/>
  <c r="AA454" i="46"/>
  <c r="M454" i="46"/>
  <c r="C456" i="46"/>
  <c r="A456" i="46" s="1"/>
  <c r="R456" i="46" s="1"/>
  <c r="C480" i="46"/>
  <c r="A480" i="46" s="1"/>
  <c r="AK480" i="46" s="1"/>
  <c r="Q481" i="46"/>
  <c r="AI454" i="46"/>
  <c r="D454" i="46"/>
  <c r="AD479" i="46"/>
  <c r="AC454" i="46"/>
  <c r="L454" i="46"/>
  <c r="AK454" i="46"/>
  <c r="F454" i="46"/>
  <c r="S454" i="46"/>
  <c r="AM481" i="46"/>
  <c r="AJ454" i="46"/>
  <c r="AR491" i="46"/>
  <c r="C461" i="46"/>
  <c r="A461" i="46" s="1"/>
  <c r="AE461" i="46" s="1"/>
  <c r="AB454" i="46"/>
  <c r="AL481" i="46"/>
  <c r="F452" i="46"/>
  <c r="X454" i="46"/>
  <c r="Z454" i="46"/>
  <c r="R454" i="46"/>
  <c r="AK481" i="46"/>
  <c r="O454" i="46"/>
  <c r="C460" i="46"/>
  <c r="A460" i="46" s="1"/>
  <c r="AJ460" i="46" s="1"/>
  <c r="K454" i="46"/>
  <c r="T454" i="46"/>
  <c r="AD452" i="46"/>
  <c r="P454" i="46"/>
  <c r="Q479" i="46"/>
  <c r="E454" i="46"/>
  <c r="N454" i="46"/>
  <c r="AM479" i="46"/>
  <c r="H454" i="46"/>
  <c r="AH454" i="46"/>
  <c r="W454" i="46"/>
  <c r="AP454" i="46"/>
  <c r="AD459" i="46"/>
  <c r="AG454" i="46"/>
  <c r="J454" i="46"/>
  <c r="G454" i="46"/>
  <c r="AM454" i="46"/>
  <c r="L479" i="46"/>
  <c r="AR489" i="46"/>
  <c r="C455" i="46"/>
  <c r="A455" i="46" s="1"/>
  <c r="AP455" i="46" s="1"/>
  <c r="O459" i="46"/>
  <c r="AC459" i="46"/>
  <c r="J459" i="46"/>
  <c r="X459" i="46"/>
  <c r="AP459" i="46"/>
  <c r="AM459" i="46"/>
  <c r="AR492" i="46"/>
  <c r="C490" i="46"/>
  <c r="A490" i="46" s="1"/>
  <c r="S490" i="46" s="1"/>
  <c r="K459" i="46"/>
  <c r="AQ459" i="46"/>
  <c r="D459" i="46"/>
  <c r="AI459" i="46"/>
  <c r="N459" i="46"/>
  <c r="V459" i="46"/>
  <c r="AG459" i="46"/>
  <c r="T459" i="46"/>
  <c r="AH459" i="46"/>
  <c r="F459" i="46"/>
  <c r="AL459" i="46"/>
  <c r="M459" i="46"/>
  <c r="AR459" i="46"/>
  <c r="C484" i="46"/>
  <c r="A484" i="46" s="1"/>
  <c r="AM484" i="46" s="1"/>
  <c r="AA459" i="46"/>
  <c r="S459" i="46"/>
  <c r="C470" i="46"/>
  <c r="A470" i="46" s="1"/>
  <c r="AM470" i="46" s="1"/>
  <c r="AE459" i="46"/>
  <c r="AF459" i="46"/>
  <c r="AK459" i="46"/>
  <c r="H459" i="46"/>
  <c r="C453" i="54"/>
  <c r="A453" i="54" s="1"/>
  <c r="D453" i="54" s="1"/>
  <c r="B454" i="54"/>
  <c r="B465" i="54" s="1"/>
  <c r="AR465" i="54" s="1"/>
  <c r="E451" i="54"/>
  <c r="P451" i="54" s="1"/>
  <c r="P452" i="54" s="1"/>
  <c r="Z453" i="62"/>
  <c r="AK453" i="62"/>
  <c r="E453" i="62"/>
  <c r="AR454" i="62"/>
  <c r="B490" i="62"/>
  <c r="C490" i="62" s="1"/>
  <c r="A490" i="62" s="1"/>
  <c r="B457" i="62"/>
  <c r="AR457" i="62" s="1"/>
  <c r="B476" i="62"/>
  <c r="C476" i="62" s="1"/>
  <c r="A476" i="62" s="1"/>
  <c r="K476" i="62" s="1"/>
  <c r="B455" i="62"/>
  <c r="C455" i="62" s="1"/>
  <c r="A455" i="62" s="1"/>
  <c r="H455" i="62" s="1"/>
  <c r="B462" i="62"/>
  <c r="AR462" i="62" s="1"/>
  <c r="B463" i="62"/>
  <c r="AR463" i="62" s="1"/>
  <c r="B467" i="62"/>
  <c r="AR467" i="62" s="1"/>
  <c r="L477" i="62"/>
  <c r="B485" i="62"/>
  <c r="C485" i="62" s="1"/>
  <c r="A485" i="62" s="1"/>
  <c r="D485" i="62" s="1"/>
  <c r="B458" i="62"/>
  <c r="C458" i="62" s="1"/>
  <c r="A458" i="62" s="1"/>
  <c r="E458" i="62" s="1"/>
  <c r="B486" i="62"/>
  <c r="C486" i="62" s="1"/>
  <c r="A486" i="62" s="1"/>
  <c r="D486" i="62" s="1"/>
  <c r="B460" i="62"/>
  <c r="AR460" i="62" s="1"/>
  <c r="B483" i="62"/>
  <c r="AR483" i="62" s="1"/>
  <c r="B472" i="62"/>
  <c r="AR472" i="62" s="1"/>
  <c r="B469" i="62"/>
  <c r="C469" i="62" s="1"/>
  <c r="A469" i="62" s="1"/>
  <c r="D469" i="62" s="1"/>
  <c r="B488" i="62"/>
  <c r="AR488" i="62" s="1"/>
  <c r="B481" i="62"/>
  <c r="AR481" i="62" s="1"/>
  <c r="B456" i="62"/>
  <c r="C456" i="62" s="1"/>
  <c r="A456" i="62" s="1"/>
  <c r="R456" i="62" s="1"/>
  <c r="B487" i="62"/>
  <c r="AR487" i="62" s="1"/>
  <c r="AH477" i="62"/>
  <c r="C454" i="62"/>
  <c r="A454" i="62" s="1"/>
  <c r="AM454" i="62" s="1"/>
  <c r="B471" i="62"/>
  <c r="C471" i="62" s="1"/>
  <c r="A471" i="62" s="1"/>
  <c r="AB471" i="62" s="1"/>
  <c r="E477" i="62"/>
  <c r="B474" i="62"/>
  <c r="C474" i="62" s="1"/>
  <c r="A474" i="62" s="1"/>
  <c r="D474" i="62" s="1"/>
  <c r="B466" i="62"/>
  <c r="AR466" i="62" s="1"/>
  <c r="B492" i="62"/>
  <c r="AR492" i="62" s="1"/>
  <c r="B465" i="62"/>
  <c r="C465" i="62" s="1"/>
  <c r="A465" i="62" s="1"/>
  <c r="AP465" i="62" s="1"/>
  <c r="AI477" i="62"/>
  <c r="AF477" i="62"/>
  <c r="B473" i="62"/>
  <c r="C473" i="62" s="1"/>
  <c r="A473" i="62" s="1"/>
  <c r="AI473" i="62" s="1"/>
  <c r="B480" i="62"/>
  <c r="C480" i="62" s="1"/>
  <c r="A480" i="62" s="1"/>
  <c r="E480" i="62" s="1"/>
  <c r="B459" i="62"/>
  <c r="C459" i="62" s="1"/>
  <c r="A459" i="62" s="1"/>
  <c r="E459" i="62" s="1"/>
  <c r="B461" i="62"/>
  <c r="C461" i="62" s="1"/>
  <c r="A461" i="62" s="1"/>
  <c r="AN461" i="62" s="1"/>
  <c r="B482" i="62"/>
  <c r="AR482" i="62" s="1"/>
  <c r="AN477" i="62"/>
  <c r="B475" i="62"/>
  <c r="C475" i="62" s="1"/>
  <c r="A475" i="62" s="1"/>
  <c r="E475" i="62" s="1"/>
  <c r="AR477" i="62"/>
  <c r="B484" i="62"/>
  <c r="C484" i="62" s="1"/>
  <c r="A484" i="62" s="1"/>
  <c r="AE484" i="62" s="1"/>
  <c r="B479" i="62"/>
  <c r="AR479" i="62" s="1"/>
  <c r="B464" i="62"/>
  <c r="AR464" i="62" s="1"/>
  <c r="B489" i="62"/>
  <c r="C489" i="62" s="1"/>
  <c r="A489" i="62" s="1"/>
  <c r="R489" i="62" s="1"/>
  <c r="AA453" i="62"/>
  <c r="B468" i="62"/>
  <c r="AR468" i="62" s="1"/>
  <c r="B491" i="62"/>
  <c r="AR491" i="62" s="1"/>
  <c r="B470" i="62"/>
  <c r="AR470" i="62" s="1"/>
  <c r="B478" i="62"/>
  <c r="C478" i="62" s="1"/>
  <c r="A478" i="62" s="1"/>
  <c r="D478" i="62" s="1"/>
  <c r="D174" i="67"/>
  <c r="D183" i="67" s="1"/>
  <c r="D185" i="67" s="1"/>
  <c r="D190" i="67" s="1"/>
  <c r="E190" i="67" s="1"/>
  <c r="AN453" i="62"/>
  <c r="K453" i="62"/>
  <c r="AO453" i="62"/>
  <c r="AQ477" i="62"/>
  <c r="H452" i="62"/>
  <c r="AQ453" i="62"/>
  <c r="O477" i="62"/>
  <c r="N453" i="62"/>
  <c r="N477" i="62"/>
  <c r="AN452" i="62"/>
  <c r="AL477" i="62"/>
  <c r="H453" i="62"/>
  <c r="AM477" i="62"/>
  <c r="K452" i="62"/>
  <c r="AK452" i="62"/>
  <c r="H477" i="62"/>
  <c r="U477" i="62"/>
  <c r="R453" i="62"/>
  <c r="K477" i="62"/>
  <c r="Z477" i="62"/>
  <c r="L453" i="62"/>
  <c r="F453" i="62"/>
  <c r="L452" i="62"/>
  <c r="R452" i="62"/>
  <c r="AM453" i="62"/>
  <c r="F477" i="62"/>
  <c r="S477" i="62"/>
  <c r="S453" i="62"/>
  <c r="AL453" i="62"/>
  <c r="X477" i="62"/>
  <c r="M453" i="62"/>
  <c r="AE477" i="62"/>
  <c r="AK477" i="62"/>
  <c r="AE453" i="62"/>
  <c r="U453" i="62"/>
  <c r="M477" i="62"/>
  <c r="J477" i="62"/>
  <c r="Z452" i="62"/>
  <c r="AP452" i="62"/>
  <c r="AP453" i="62"/>
  <c r="AP477" i="62"/>
  <c r="J453" i="62"/>
  <c r="AO477" i="62"/>
  <c r="R477" i="62"/>
  <c r="G453" i="62"/>
  <c r="X452" i="62"/>
  <c r="X453" i="62"/>
  <c r="O453" i="62"/>
  <c r="O452" i="62"/>
  <c r="W453" i="62"/>
  <c r="W477" i="62"/>
  <c r="V477" i="62"/>
  <c r="I453" i="62"/>
  <c r="I477" i="62"/>
  <c r="AC452" i="62"/>
  <c r="Y453" i="62"/>
  <c r="G477" i="62"/>
  <c r="AC453" i="62"/>
  <c r="Y477" i="62"/>
  <c r="AC477" i="62"/>
  <c r="AG477" i="62"/>
  <c r="AA477" i="62"/>
  <c r="T453" i="62"/>
  <c r="T477" i="62"/>
  <c r="AG453" i="62"/>
  <c r="Q477" i="62"/>
  <c r="P453" i="62"/>
  <c r="AJ477" i="62"/>
  <c r="Q453" i="62"/>
  <c r="AJ453" i="62"/>
  <c r="P477" i="62"/>
  <c r="AH452" i="62"/>
  <c r="AH453" i="62"/>
  <c r="V452" i="62"/>
  <c r="V453" i="62"/>
  <c r="AD477" i="62"/>
  <c r="AI452" i="62"/>
  <c r="AI453" i="62"/>
  <c r="AF452" i="62"/>
  <c r="AF453" i="62"/>
  <c r="AD453" i="62"/>
  <c r="AB452" i="62"/>
  <c r="AB453" i="62"/>
  <c r="I452" i="62"/>
  <c r="G452" i="62"/>
  <c r="Y452" i="62"/>
  <c r="AB477" i="62"/>
  <c r="P452" i="62"/>
  <c r="T489" i="46"/>
  <c r="AQ489" i="46"/>
  <c r="O489" i="46"/>
  <c r="AO489" i="46"/>
  <c r="S489" i="46"/>
  <c r="H489" i="46"/>
  <c r="G489" i="46"/>
  <c r="I489" i="46"/>
  <c r="AH489" i="46"/>
  <c r="AJ489" i="46"/>
  <c r="M489" i="46"/>
  <c r="AC489" i="46"/>
  <c r="X489" i="46"/>
  <c r="AD489" i="46"/>
  <c r="Z489" i="46"/>
  <c r="AM489" i="46"/>
  <c r="AB489" i="46"/>
  <c r="U489" i="46"/>
  <c r="AF489" i="46"/>
  <c r="D489" i="46"/>
  <c r="E489" i="46"/>
  <c r="AP489" i="46"/>
  <c r="AA489" i="46"/>
  <c r="Y489" i="46"/>
  <c r="R489" i="46"/>
  <c r="AI489" i="46"/>
  <c r="AN489" i="46"/>
  <c r="P489" i="46"/>
  <c r="L489" i="46"/>
  <c r="Q489" i="46"/>
  <c r="AL489" i="46"/>
  <c r="AG489" i="46"/>
  <c r="K489" i="46"/>
  <c r="AK489" i="46"/>
  <c r="F489" i="46"/>
  <c r="N489" i="46"/>
  <c r="J489" i="46"/>
  <c r="V489" i="46"/>
  <c r="W489" i="46"/>
  <c r="AE489" i="46"/>
  <c r="J548" i="54"/>
  <c r="L548" i="54"/>
  <c r="N548" i="54"/>
  <c r="Q548" i="54"/>
  <c r="K548" i="54"/>
  <c r="O548" i="54"/>
  <c r="H548" i="54"/>
  <c r="F548" i="54"/>
  <c r="I548" i="54"/>
  <c r="P548" i="54"/>
  <c r="G548" i="54"/>
  <c r="S548" i="54"/>
  <c r="D164" i="59"/>
  <c r="D167" i="59" s="1"/>
  <c r="D168" i="59" s="1"/>
  <c r="D171" i="59" s="1"/>
  <c r="D180" i="59"/>
  <c r="F600" i="54"/>
  <c r="L600" i="54"/>
  <c r="M600" i="54"/>
  <c r="H600" i="54"/>
  <c r="G600" i="54"/>
  <c r="I600" i="54"/>
  <c r="K600" i="54"/>
  <c r="J600" i="54"/>
  <c r="O533" i="54"/>
  <c r="I533" i="54"/>
  <c r="F533" i="54"/>
  <c r="J533" i="54"/>
  <c r="N533" i="54"/>
  <c r="S533" i="54"/>
  <c r="P533" i="54"/>
  <c r="Q533" i="54"/>
  <c r="K533" i="54"/>
  <c r="H533" i="54"/>
  <c r="G533" i="54"/>
  <c r="L533" i="54"/>
  <c r="C695" i="54"/>
  <c r="D695" i="54" s="1"/>
  <c r="D698" i="54" s="1"/>
  <c r="L599" i="54"/>
  <c r="H599" i="54"/>
  <c r="G599" i="54"/>
  <c r="M599" i="54"/>
  <c r="K599" i="54"/>
  <c r="J599" i="54"/>
  <c r="I599" i="54"/>
  <c r="F599" i="54"/>
  <c r="Q538" i="54"/>
  <c r="O538" i="54"/>
  <c r="F538" i="54"/>
  <c r="S538" i="54"/>
  <c r="P538" i="54"/>
  <c r="F597" i="54"/>
  <c r="L597" i="54"/>
  <c r="L596" i="54"/>
  <c r="F596" i="54"/>
  <c r="F530" i="54"/>
  <c r="Q546" i="54"/>
  <c r="O546" i="54"/>
  <c r="J546" i="54"/>
  <c r="S546" i="54"/>
  <c r="P546" i="54"/>
  <c r="G546" i="54"/>
  <c r="K546" i="54"/>
  <c r="I546" i="54"/>
  <c r="L546" i="54"/>
  <c r="F546" i="54"/>
  <c r="H546" i="54"/>
  <c r="N546" i="54"/>
  <c r="L598" i="54"/>
  <c r="F598" i="54"/>
  <c r="K612" i="54"/>
  <c r="M612" i="54"/>
  <c r="L612" i="54"/>
  <c r="G612" i="54"/>
  <c r="J612" i="54"/>
  <c r="F612" i="54"/>
  <c r="I612" i="54"/>
  <c r="H612" i="54"/>
  <c r="F542" i="54"/>
  <c r="H542" i="54"/>
  <c r="P542" i="54"/>
  <c r="J542" i="54"/>
  <c r="L542" i="54"/>
  <c r="I542" i="54"/>
  <c r="N542" i="54"/>
  <c r="S542" i="54"/>
  <c r="K542" i="54"/>
  <c r="G542" i="54"/>
  <c r="Q542" i="54"/>
  <c r="O542" i="54"/>
  <c r="N544" i="54"/>
  <c r="H544" i="54"/>
  <c r="K544" i="54"/>
  <c r="J544" i="54"/>
  <c r="S544" i="54"/>
  <c r="O544" i="54"/>
  <c r="L544" i="54"/>
  <c r="G544" i="54"/>
  <c r="F544" i="54"/>
  <c r="Q544" i="54"/>
  <c r="P544" i="54"/>
  <c r="I544" i="54"/>
  <c r="M613" i="54"/>
  <c r="L613" i="54"/>
  <c r="I613" i="54"/>
  <c r="G613" i="54"/>
  <c r="K613" i="54"/>
  <c r="H613" i="54"/>
  <c r="F613" i="54"/>
  <c r="J613" i="54"/>
  <c r="G606" i="54"/>
  <c r="L606" i="54"/>
  <c r="F606" i="54"/>
  <c r="H606" i="54"/>
  <c r="M606" i="54"/>
  <c r="J606" i="54"/>
  <c r="I606" i="54"/>
  <c r="K606" i="54"/>
  <c r="O532" i="54"/>
  <c r="S532" i="54"/>
  <c r="Q532" i="54"/>
  <c r="F532" i="54"/>
  <c r="P532" i="54"/>
  <c r="G545" i="54"/>
  <c r="S545" i="54"/>
  <c r="P545" i="54"/>
  <c r="J545" i="54"/>
  <c r="Q545" i="54"/>
  <c r="L545" i="54"/>
  <c r="K545" i="54"/>
  <c r="H545" i="54"/>
  <c r="F545" i="54"/>
  <c r="I545" i="54"/>
  <c r="N545" i="54"/>
  <c r="O545" i="54"/>
  <c r="F595" i="54"/>
  <c r="L595" i="54"/>
  <c r="K540" i="54"/>
  <c r="Q540" i="54"/>
  <c r="I540" i="54"/>
  <c r="F540" i="54"/>
  <c r="L540" i="54"/>
  <c r="S540" i="54"/>
  <c r="N540" i="54"/>
  <c r="J540" i="54"/>
  <c r="G540" i="54"/>
  <c r="O540" i="54"/>
  <c r="H540" i="54"/>
  <c r="P540" i="54"/>
  <c r="S528" i="54"/>
  <c r="O528" i="54"/>
  <c r="Q528" i="54"/>
  <c r="F528" i="54"/>
  <c r="R528" i="54"/>
  <c r="P528" i="54"/>
  <c r="I614" i="54"/>
  <c r="J614" i="54"/>
  <c r="F614" i="54"/>
  <c r="G614" i="54"/>
  <c r="H614" i="54"/>
  <c r="M614" i="54"/>
  <c r="K614" i="54"/>
  <c r="L614" i="54"/>
  <c r="S539" i="54"/>
  <c r="L539" i="54"/>
  <c r="I539" i="54"/>
  <c r="F539" i="54"/>
  <c r="O539" i="54"/>
  <c r="N539" i="54"/>
  <c r="Q539" i="54"/>
  <c r="G539" i="54"/>
  <c r="J539" i="54"/>
  <c r="H539" i="54"/>
  <c r="P539" i="54"/>
  <c r="K539" i="54"/>
  <c r="S534" i="54"/>
  <c r="P534" i="54"/>
  <c r="J534" i="54"/>
  <c r="I534" i="54"/>
  <c r="K534" i="54"/>
  <c r="Q534" i="54"/>
  <c r="N534" i="54"/>
  <c r="H534" i="54"/>
  <c r="F534" i="54"/>
  <c r="L534" i="54"/>
  <c r="G534" i="54"/>
  <c r="O534" i="54"/>
  <c r="L604" i="54"/>
  <c r="F604" i="54"/>
  <c r="U465" i="46"/>
  <c r="F465" i="46"/>
  <c r="Y465" i="46"/>
  <c r="N465" i="46"/>
  <c r="AK465" i="46"/>
  <c r="AN465" i="46"/>
  <c r="AG465" i="46"/>
  <c r="J465" i="46"/>
  <c r="AQ465" i="46"/>
  <c r="Q465" i="46"/>
  <c r="H465" i="46"/>
  <c r="AP465" i="46"/>
  <c r="D465" i="46"/>
  <c r="X465" i="46"/>
  <c r="S465" i="46"/>
  <c r="K465" i="46"/>
  <c r="M465" i="46"/>
  <c r="R465" i="46"/>
  <c r="AL465" i="46"/>
  <c r="AB465" i="46"/>
  <c r="AA465" i="46"/>
  <c r="AH465" i="46"/>
  <c r="G465" i="46"/>
  <c r="AI465" i="46"/>
  <c r="E465" i="46"/>
  <c r="V465" i="46"/>
  <c r="AJ465" i="46"/>
  <c r="L465" i="46"/>
  <c r="AD465" i="46"/>
  <c r="I465" i="46"/>
  <c r="AO465" i="46"/>
  <c r="T465" i="46"/>
  <c r="Z465" i="46"/>
  <c r="AE465" i="46"/>
  <c r="O465" i="46"/>
  <c r="AM465" i="46"/>
  <c r="AC465" i="46"/>
  <c r="W465" i="46"/>
  <c r="P465" i="46"/>
  <c r="AF465" i="46"/>
  <c r="L547" i="54"/>
  <c r="J547" i="54"/>
  <c r="G547" i="54"/>
  <c r="Q547" i="54"/>
  <c r="F547" i="54"/>
  <c r="H547" i="54"/>
  <c r="N547" i="54"/>
  <c r="O547" i="54"/>
  <c r="P547" i="54"/>
  <c r="S547" i="54"/>
  <c r="K547" i="54"/>
  <c r="I547" i="54"/>
  <c r="P529" i="54"/>
  <c r="F529" i="54"/>
  <c r="S529" i="54"/>
  <c r="Q529" i="54"/>
  <c r="O529" i="54"/>
  <c r="M605" i="54"/>
  <c r="K605" i="54"/>
  <c r="J605" i="54"/>
  <c r="I605" i="54"/>
  <c r="G605" i="54"/>
  <c r="L605" i="54"/>
  <c r="H605" i="54"/>
  <c r="F605" i="54"/>
  <c r="P541" i="54"/>
  <c r="Q541" i="54"/>
  <c r="F541" i="54"/>
  <c r="O541" i="54"/>
  <c r="S541" i="54"/>
  <c r="B30" i="53"/>
  <c r="J611" i="54"/>
  <c r="M611" i="54"/>
  <c r="L611" i="54"/>
  <c r="G611" i="54"/>
  <c r="K611" i="54"/>
  <c r="F611" i="54"/>
  <c r="H611" i="54"/>
  <c r="I611" i="54"/>
  <c r="A659" i="54"/>
  <c r="A658" i="54"/>
  <c r="A655" i="54"/>
  <c r="A660" i="54"/>
  <c r="A656" i="54"/>
  <c r="A657" i="54"/>
  <c r="F531" i="54"/>
  <c r="O531" i="54"/>
  <c r="S531" i="54"/>
  <c r="P531" i="54"/>
  <c r="Q531" i="54"/>
  <c r="J610" i="54"/>
  <c r="M610" i="54"/>
  <c r="H610" i="54"/>
  <c r="F610" i="54"/>
  <c r="I610" i="54"/>
  <c r="G610" i="54"/>
  <c r="K610" i="54"/>
  <c r="L610" i="54"/>
  <c r="E655" i="54"/>
  <c r="E741" i="54"/>
  <c r="E742" i="54"/>
  <c r="E659" i="54"/>
  <c r="E740" i="54"/>
  <c r="E739" i="54"/>
  <c r="E743" i="54"/>
  <c r="E658" i="54"/>
  <c r="E657" i="54"/>
  <c r="E744" i="54"/>
  <c r="E656" i="54"/>
  <c r="E660" i="54"/>
  <c r="J543" i="54"/>
  <c r="F543" i="54"/>
  <c r="O543" i="54"/>
  <c r="I543" i="54"/>
  <c r="N543" i="54"/>
  <c r="S543" i="54"/>
  <c r="Q543" i="54"/>
  <c r="K543" i="54"/>
  <c r="G543" i="54"/>
  <c r="P543" i="54"/>
  <c r="H543" i="54"/>
  <c r="L543" i="54"/>
  <c r="L594" i="54"/>
  <c r="F594" i="54"/>
  <c r="M478" i="46"/>
  <c r="AE478" i="46"/>
  <c r="L478" i="46"/>
  <c r="AD478" i="46"/>
  <c r="AG478" i="46"/>
  <c r="AN478" i="46"/>
  <c r="R478" i="46"/>
  <c r="AM478" i="46"/>
  <c r="AQ478" i="46"/>
  <c r="V478" i="46"/>
  <c r="I478" i="46"/>
  <c r="AO478" i="46"/>
  <c r="AP478" i="46"/>
  <c r="Z478" i="46"/>
  <c r="E478" i="46"/>
  <c r="AL478" i="46"/>
  <c r="P478" i="46"/>
  <c r="W478" i="46"/>
  <c r="J478" i="46"/>
  <c r="AB478" i="46"/>
  <c r="AH478" i="46"/>
  <c r="AC478" i="46"/>
  <c r="H478" i="46"/>
  <c r="N478" i="46"/>
  <c r="D478" i="46"/>
  <c r="O478" i="46"/>
  <c r="X478" i="46"/>
  <c r="Y478" i="46"/>
  <c r="F478" i="46"/>
  <c r="AK478" i="46"/>
  <c r="Q478" i="46"/>
  <c r="K478" i="46"/>
  <c r="G478" i="46"/>
  <c r="AJ478" i="46"/>
  <c r="AA478" i="46"/>
  <c r="AF478" i="46"/>
  <c r="AI478" i="46"/>
  <c r="T478" i="46"/>
  <c r="U478" i="46"/>
  <c r="S478" i="46"/>
  <c r="G491" i="46"/>
  <c r="K491" i="46"/>
  <c r="H491" i="46"/>
  <c r="AA491" i="46"/>
  <c r="AP491" i="46"/>
  <c r="J491" i="46"/>
  <c r="Q491" i="46"/>
  <c r="AF491" i="46"/>
  <c r="AD491" i="46"/>
  <c r="X491" i="46"/>
  <c r="AM491" i="46"/>
  <c r="AN491" i="46"/>
  <c r="M491" i="46"/>
  <c r="E491" i="46"/>
  <c r="Z491" i="46"/>
  <c r="AI491" i="46"/>
  <c r="W491" i="46"/>
  <c r="AH491" i="46"/>
  <c r="D491" i="46"/>
  <c r="S491" i="46"/>
  <c r="V491" i="46"/>
  <c r="AG491" i="46"/>
  <c r="R491" i="46"/>
  <c r="I491" i="46"/>
  <c r="O491" i="46"/>
  <c r="L491" i="46"/>
  <c r="AL491" i="46"/>
  <c r="F491" i="46"/>
  <c r="P491" i="46"/>
  <c r="AJ491" i="46"/>
  <c r="AE491" i="46"/>
  <c r="U491" i="46"/>
  <c r="AB491" i="46"/>
  <c r="AQ491" i="46"/>
  <c r="T491" i="46"/>
  <c r="AO491" i="46"/>
  <c r="N491" i="46"/>
  <c r="AC491" i="46"/>
  <c r="Y491" i="46"/>
  <c r="AK491" i="46"/>
  <c r="AG492" i="46"/>
  <c r="AC492" i="46"/>
  <c r="N492" i="46"/>
  <c r="AA492" i="46"/>
  <c r="U492" i="46"/>
  <c r="G492" i="46"/>
  <c r="J492" i="46"/>
  <c r="AN492" i="46"/>
  <c r="AP492" i="46"/>
  <c r="Q492" i="46"/>
  <c r="S492" i="46"/>
  <c r="AL492" i="46"/>
  <c r="AI492" i="46"/>
  <c r="AE492" i="46"/>
  <c r="W492" i="46"/>
  <c r="E492" i="46"/>
  <c r="F492" i="46"/>
  <c r="D492" i="46"/>
  <c r="AB492" i="46"/>
  <c r="AM492" i="46"/>
  <c r="V492" i="46"/>
  <c r="AJ492" i="46"/>
  <c r="R492" i="46"/>
  <c r="T492" i="46"/>
  <c r="Y492" i="46"/>
  <c r="AO492" i="46"/>
  <c r="L492" i="46"/>
  <c r="P492" i="46"/>
  <c r="Z492" i="46"/>
  <c r="AH492" i="46"/>
  <c r="AF492" i="46"/>
  <c r="AQ492" i="46"/>
  <c r="H492" i="46"/>
  <c r="O492" i="46"/>
  <c r="X492" i="46"/>
  <c r="AD492" i="46"/>
  <c r="M492" i="46"/>
  <c r="K492" i="46"/>
  <c r="AK492" i="46"/>
  <c r="I492" i="46"/>
  <c r="N466" i="46"/>
  <c r="M466" i="46"/>
  <c r="F466" i="46"/>
  <c r="L466" i="46"/>
  <c r="P466" i="46"/>
  <c r="AE466" i="46"/>
  <c r="AD466" i="46"/>
  <c r="W466" i="46"/>
  <c r="I466" i="46"/>
  <c r="J466" i="46"/>
  <c r="AL466" i="46"/>
  <c r="AN466" i="46"/>
  <c r="AF466" i="46"/>
  <c r="D466" i="46"/>
  <c r="H466" i="46"/>
  <c r="AB466" i="46"/>
  <c r="R466" i="46"/>
  <c r="Z466" i="46"/>
  <c r="X466" i="46"/>
  <c r="AM466" i="46"/>
  <c r="K466" i="46"/>
  <c r="AH466" i="46"/>
  <c r="AJ466" i="46"/>
  <c r="AO466" i="46"/>
  <c r="U466" i="46"/>
  <c r="AG466" i="46"/>
  <c r="G466" i="46"/>
  <c r="O466" i="46"/>
  <c r="E466" i="46"/>
  <c r="AC466" i="46"/>
  <c r="Q466" i="46"/>
  <c r="V466" i="46"/>
  <c r="Y466" i="46"/>
  <c r="AI466" i="46"/>
  <c r="T466" i="46"/>
  <c r="AQ466" i="46"/>
  <c r="S466" i="46"/>
  <c r="AP466" i="46"/>
  <c r="AA466" i="46"/>
  <c r="AK466" i="46"/>
  <c r="W488" i="46"/>
  <c r="J488" i="46"/>
  <c r="AL488" i="46"/>
  <c r="K488" i="46"/>
  <c r="S488" i="46"/>
  <c r="AI488" i="46"/>
  <c r="Z488" i="46"/>
  <c r="AK488" i="46"/>
  <c r="V488" i="46"/>
  <c r="X488" i="46"/>
  <c r="AD488" i="46"/>
  <c r="D488" i="46"/>
  <c r="AA488" i="46"/>
  <c r="Y488" i="46"/>
  <c r="AE488" i="46"/>
  <c r="Q488" i="46"/>
  <c r="AH488" i="46"/>
  <c r="T488" i="46"/>
  <c r="R488" i="46"/>
  <c r="AB488" i="46"/>
  <c r="AQ488" i="46"/>
  <c r="U488" i="46"/>
  <c r="AG488" i="46"/>
  <c r="H488" i="46"/>
  <c r="L488" i="46"/>
  <c r="F488" i="46"/>
  <c r="AN488" i="46"/>
  <c r="I488" i="46"/>
  <c r="N488" i="46"/>
  <c r="AJ488" i="46"/>
  <c r="P488" i="46"/>
  <c r="AP488" i="46"/>
  <c r="M488" i="46"/>
  <c r="O488" i="46"/>
  <c r="AM488" i="46"/>
  <c r="AO488" i="46"/>
  <c r="E488" i="46"/>
  <c r="AF488" i="46"/>
  <c r="G488" i="46"/>
  <c r="AC488" i="46"/>
  <c r="W475" i="46"/>
  <c r="AK475" i="46"/>
  <c r="S475" i="46"/>
  <c r="AQ475" i="46"/>
  <c r="Q475" i="46"/>
  <c r="AG475" i="46"/>
  <c r="N475" i="46"/>
  <c r="AM475" i="46"/>
  <c r="AB475" i="46"/>
  <c r="E475" i="46"/>
  <c r="AC475" i="46"/>
  <c r="X475" i="46"/>
  <c r="K475" i="46"/>
  <c r="AP475" i="46"/>
  <c r="V475" i="46"/>
  <c r="R475" i="46"/>
  <c r="T475" i="46"/>
  <c r="U475" i="46"/>
  <c r="G475" i="46"/>
  <c r="O475" i="46"/>
  <c r="AF475" i="46"/>
  <c r="AA475" i="46"/>
  <c r="AJ475" i="46"/>
  <c r="J475" i="46"/>
  <c r="Z475" i="46"/>
  <c r="AL475" i="46"/>
  <c r="F475" i="46"/>
  <c r="AO475" i="46"/>
  <c r="M475" i="46"/>
  <c r="AE475" i="46"/>
  <c r="AD475" i="46"/>
  <c r="H475" i="46"/>
  <c r="Y475" i="46"/>
  <c r="AN475" i="46"/>
  <c r="P475" i="46"/>
  <c r="I475" i="46"/>
  <c r="D475" i="46"/>
  <c r="AI475" i="46"/>
  <c r="AH475" i="46"/>
  <c r="L475" i="46"/>
  <c r="D469" i="46"/>
  <c r="G469" i="46"/>
  <c r="AA469" i="46"/>
  <c r="H469" i="46"/>
  <c r="AI469" i="46"/>
  <c r="AG469" i="46"/>
  <c r="AM469" i="46"/>
  <c r="AE469" i="46"/>
  <c r="Z469" i="46"/>
  <c r="E469" i="46"/>
  <c r="AH469" i="46"/>
  <c r="J469" i="46"/>
  <c r="N469" i="46"/>
  <c r="S469" i="46"/>
  <c r="AP469" i="46"/>
  <c r="T469" i="46"/>
  <c r="K469" i="46"/>
  <c r="Y469" i="46"/>
  <c r="AN469" i="46"/>
  <c r="F469" i="46"/>
  <c r="V469" i="46"/>
  <c r="M469" i="46"/>
  <c r="W469" i="46"/>
  <c r="X469" i="46"/>
  <c r="Q469" i="46"/>
  <c r="U469" i="46"/>
  <c r="AQ469" i="46"/>
  <c r="AB469" i="46"/>
  <c r="AK469" i="46"/>
  <c r="I469" i="46"/>
  <c r="AD469" i="46"/>
  <c r="AL469" i="46"/>
  <c r="AJ469" i="46"/>
  <c r="R469" i="46"/>
  <c r="AF469" i="46"/>
  <c r="L469" i="46"/>
  <c r="AO469" i="46"/>
  <c r="P469" i="46"/>
  <c r="AC469" i="46"/>
  <c r="O469" i="46"/>
  <c r="L474" i="46"/>
  <c r="AI474" i="46"/>
  <c r="O474" i="46"/>
  <c r="J474" i="46"/>
  <c r="AF474" i="46"/>
  <c r="I474" i="46"/>
  <c r="AB474" i="46"/>
  <c r="AE474" i="46"/>
  <c r="N474" i="46"/>
  <c r="AJ474" i="46"/>
  <c r="E474" i="46"/>
  <c r="AM474" i="46"/>
  <c r="AQ474" i="46"/>
  <c r="Y474" i="46"/>
  <c r="AD474" i="46"/>
  <c r="AA474" i="46"/>
  <c r="F474" i="46"/>
  <c r="V474" i="46"/>
  <c r="H474" i="46"/>
  <c r="P474" i="46"/>
  <c r="D474" i="46"/>
  <c r="Q474" i="46"/>
  <c r="AG474" i="46"/>
  <c r="AP474" i="46"/>
  <c r="AL474" i="46"/>
  <c r="G474" i="46"/>
  <c r="K474" i="46"/>
  <c r="AN474" i="46"/>
  <c r="R474" i="46"/>
  <c r="AK474" i="46"/>
  <c r="AC474" i="46"/>
  <c r="W474" i="46"/>
  <c r="Z474" i="46"/>
  <c r="M474" i="46"/>
  <c r="T474" i="46"/>
  <c r="AH474" i="46"/>
  <c r="S474" i="46"/>
  <c r="U474" i="46"/>
  <c r="AO474" i="46"/>
  <c r="X474" i="46"/>
  <c r="AJ468" i="46"/>
  <c r="AN468" i="46"/>
  <c r="K468" i="46"/>
  <c r="V468" i="46"/>
  <c r="AE468" i="46"/>
  <c r="X468" i="46"/>
  <c r="O468" i="46"/>
  <c r="AH468" i="46"/>
  <c r="AB468" i="46"/>
  <c r="H468" i="46"/>
  <c r="L468" i="46"/>
  <c r="G468" i="46"/>
  <c r="M468" i="46"/>
  <c r="T468" i="46"/>
  <c r="N468" i="46"/>
  <c r="AQ468" i="46"/>
  <c r="AI468" i="46"/>
  <c r="AF468" i="46"/>
  <c r="U468" i="46"/>
  <c r="W468" i="46"/>
  <c r="S468" i="46"/>
  <c r="I468" i="46"/>
  <c r="AM468" i="46"/>
  <c r="E468" i="46"/>
  <c r="AK468" i="46"/>
  <c r="AO468" i="46"/>
  <c r="Q468" i="46"/>
  <c r="AP468" i="46"/>
  <c r="D468" i="46"/>
  <c r="AD468" i="46"/>
  <c r="Y468" i="46"/>
  <c r="J468" i="46"/>
  <c r="AC468" i="46"/>
  <c r="R468" i="46"/>
  <c r="AL468" i="46"/>
  <c r="P468" i="46"/>
  <c r="F468" i="46"/>
  <c r="AG468" i="46"/>
  <c r="AA468" i="46"/>
  <c r="Z468" i="46"/>
  <c r="AI477" i="46"/>
  <c r="H477" i="46"/>
  <c r="AB477" i="46"/>
  <c r="D477" i="46"/>
  <c r="F477" i="46"/>
  <c r="AP477" i="46"/>
  <c r="T477" i="46"/>
  <c r="O477" i="46"/>
  <c r="AC477" i="46"/>
  <c r="Z477" i="46"/>
  <c r="Q477" i="46"/>
  <c r="M477" i="46"/>
  <c r="AH477" i="46"/>
  <c r="N477" i="46"/>
  <c r="AD477" i="46"/>
  <c r="Y477" i="46"/>
  <c r="AG477" i="46"/>
  <c r="AO477" i="46"/>
  <c r="G477" i="46"/>
  <c r="AE477" i="46"/>
  <c r="AQ477" i="46"/>
  <c r="W477" i="46"/>
  <c r="K477" i="46"/>
  <c r="R477" i="46"/>
  <c r="V477" i="46"/>
  <c r="U477" i="46"/>
  <c r="AJ477" i="46"/>
  <c r="AA477" i="46"/>
  <c r="S477" i="46"/>
  <c r="AF477" i="46"/>
  <c r="I477" i="46"/>
  <c r="AN477" i="46"/>
  <c r="E477" i="46"/>
  <c r="X477" i="46"/>
  <c r="P477" i="46"/>
  <c r="AM477" i="46"/>
  <c r="L477" i="46"/>
  <c r="J477" i="46"/>
  <c r="AK477" i="46"/>
  <c r="AL477" i="46"/>
  <c r="M473" i="46"/>
  <c r="G473" i="46"/>
  <c r="AE473" i="46"/>
  <c r="H473" i="46"/>
  <c r="AL473" i="46"/>
  <c r="X473" i="46"/>
  <c r="AC473" i="46"/>
  <c r="R473" i="46"/>
  <c r="Z473" i="46"/>
  <c r="AP473" i="46"/>
  <c r="AQ473" i="46"/>
  <c r="AO473" i="46"/>
  <c r="W473" i="46"/>
  <c r="O473" i="46"/>
  <c r="V473" i="46"/>
  <c r="Y473" i="46"/>
  <c r="AA473" i="46"/>
  <c r="N473" i="46"/>
  <c r="L473" i="46"/>
  <c r="D473" i="46"/>
  <c r="U473" i="46"/>
  <c r="J473" i="46"/>
  <c r="T473" i="46"/>
  <c r="E473" i="46"/>
  <c r="AM473" i="46"/>
  <c r="AG473" i="46"/>
  <c r="AB473" i="46"/>
  <c r="K473" i="46"/>
  <c r="AF473" i="46"/>
  <c r="P473" i="46"/>
  <c r="AI473" i="46"/>
  <c r="Q473" i="46"/>
  <c r="F473" i="46"/>
  <c r="AK473" i="46"/>
  <c r="AJ473" i="46"/>
  <c r="AH473" i="46"/>
  <c r="AN473" i="46"/>
  <c r="I473" i="46"/>
  <c r="S473" i="46"/>
  <c r="AD473" i="46"/>
  <c r="K467" i="46"/>
  <c r="Y467" i="46"/>
  <c r="O467" i="46"/>
  <c r="AO467" i="46"/>
  <c r="F467" i="46"/>
  <c r="N467" i="46"/>
  <c r="I467" i="46"/>
  <c r="G467" i="46"/>
  <c r="L467" i="46"/>
  <c r="AH467" i="46"/>
  <c r="Q467" i="46"/>
  <c r="AP467" i="46"/>
  <c r="Z467" i="46"/>
  <c r="AJ467" i="46"/>
  <c r="U467" i="46"/>
  <c r="H467" i="46"/>
  <c r="AB467" i="46"/>
  <c r="S467" i="46"/>
  <c r="AK467" i="46"/>
  <c r="AA467" i="46"/>
  <c r="P467" i="46"/>
  <c r="R467" i="46"/>
  <c r="AG467" i="46"/>
  <c r="T467" i="46"/>
  <c r="AQ467" i="46"/>
  <c r="X467" i="46"/>
  <c r="V467" i="46"/>
  <c r="AI467" i="46"/>
  <c r="AN467" i="46"/>
  <c r="AM467" i="46"/>
  <c r="AC467" i="46"/>
  <c r="J467" i="46"/>
  <c r="AE467" i="46"/>
  <c r="W467" i="46"/>
  <c r="D467" i="46"/>
  <c r="E467" i="46"/>
  <c r="M467" i="46"/>
  <c r="AF467" i="46"/>
  <c r="AD467" i="46"/>
  <c r="AL467" i="46"/>
  <c r="D183" i="51"/>
  <c r="D185" i="51" s="1"/>
  <c r="D190" i="51" s="1"/>
  <c r="E190" i="51" s="1"/>
  <c r="B33" i="45"/>
  <c r="D154" i="51"/>
  <c r="D155" i="51" s="1"/>
  <c r="C1058" i="46" s="1"/>
  <c r="D1048" i="46" s="1"/>
  <c r="C1082" i="46" s="1"/>
  <c r="E1082" i="46" s="1"/>
  <c r="L20" i="45" s="1"/>
  <c r="E486" i="46" l="1"/>
  <c r="AG486" i="46"/>
  <c r="S486" i="46"/>
  <c r="AM486" i="46"/>
  <c r="AD486" i="46"/>
  <c r="W486" i="46"/>
  <c r="Z486" i="46"/>
  <c r="S458" i="46"/>
  <c r="G458" i="46"/>
  <c r="X486" i="46"/>
  <c r="Y486" i="46"/>
  <c r="R486" i="46"/>
  <c r="AE486" i="46"/>
  <c r="M486" i="46"/>
  <c r="AK486" i="46"/>
  <c r="F486" i="46"/>
  <c r="T486" i="46"/>
  <c r="J486" i="46"/>
  <c r="U486" i="46"/>
  <c r="I486" i="46"/>
  <c r="L486" i="46"/>
  <c r="AL486" i="46"/>
  <c r="Q486" i="46"/>
  <c r="V486" i="46"/>
  <c r="H486" i="46"/>
  <c r="K462" i="46"/>
  <c r="Q462" i="46"/>
  <c r="S462" i="46"/>
  <c r="W487" i="46"/>
  <c r="AF487" i="46"/>
  <c r="Z487" i="46"/>
  <c r="AH487" i="46"/>
  <c r="I487" i="46"/>
  <c r="AC487" i="46"/>
  <c r="F487" i="46"/>
  <c r="AG487" i="46"/>
  <c r="AI462" i="46"/>
  <c r="AA472" i="46"/>
  <c r="T472" i="46"/>
  <c r="X483" i="46"/>
  <c r="U483" i="46"/>
  <c r="Y483" i="46"/>
  <c r="AE472" i="46"/>
  <c r="AA483" i="46"/>
  <c r="I483" i="46"/>
  <c r="O483" i="46"/>
  <c r="S483" i="46"/>
  <c r="Q483" i="46"/>
  <c r="N483" i="46"/>
  <c r="T483" i="46"/>
  <c r="AK456" i="46"/>
  <c r="K483" i="46"/>
  <c r="AM483" i="46"/>
  <c r="P456" i="46"/>
  <c r="D483" i="46"/>
  <c r="F483" i="46"/>
  <c r="AD487" i="46"/>
  <c r="AM487" i="46"/>
  <c r="AN487" i="46"/>
  <c r="K487" i="46"/>
  <c r="AQ487" i="46"/>
  <c r="L487" i="46"/>
  <c r="M487" i="46"/>
  <c r="AA487" i="46"/>
  <c r="AL487" i="46"/>
  <c r="W482" i="46"/>
  <c r="E487" i="46"/>
  <c r="O487" i="46"/>
  <c r="AE487" i="46"/>
  <c r="G487" i="46"/>
  <c r="D480" i="46"/>
  <c r="AQ486" i="46"/>
  <c r="N486" i="46"/>
  <c r="AN486" i="46"/>
  <c r="P486" i="46"/>
  <c r="AB486" i="46"/>
  <c r="D486" i="46"/>
  <c r="AI486" i="46"/>
  <c r="AA486" i="46"/>
  <c r="AH486" i="46"/>
  <c r="AC486" i="46"/>
  <c r="AP486" i="46"/>
  <c r="AJ486" i="46"/>
  <c r="O486" i="46"/>
  <c r="K486" i="46"/>
  <c r="E458" i="46"/>
  <c r="AF458" i="46"/>
  <c r="Z458" i="46"/>
  <c r="F458" i="46"/>
  <c r="AP458" i="46"/>
  <c r="H458" i="46"/>
  <c r="T458" i="46"/>
  <c r="P458" i="46"/>
  <c r="U458" i="46"/>
  <c r="W458" i="46"/>
  <c r="G483" i="46"/>
  <c r="P483" i="46"/>
  <c r="V462" i="46"/>
  <c r="AI458" i="46"/>
  <c r="K458" i="46"/>
  <c r="D458" i="46"/>
  <c r="AM458" i="46"/>
  <c r="AQ458" i="46"/>
  <c r="J458" i="46"/>
  <c r="Q458" i="46"/>
  <c r="N458" i="46"/>
  <c r="AE458" i="46"/>
  <c r="Y458" i="46"/>
  <c r="AK458" i="46"/>
  <c r="AN458" i="46"/>
  <c r="AO458" i="46"/>
  <c r="I458" i="46"/>
  <c r="M458" i="46"/>
  <c r="AG458" i="46"/>
  <c r="O458" i="46"/>
  <c r="AL458" i="46"/>
  <c r="AJ458" i="46"/>
  <c r="AB458" i="46"/>
  <c r="AA458" i="46"/>
  <c r="AI485" i="46"/>
  <c r="AC480" i="46"/>
  <c r="AH458" i="46"/>
  <c r="L458" i="46"/>
  <c r="AD458" i="46"/>
  <c r="X458" i="46"/>
  <c r="V458" i="46"/>
  <c r="R458" i="46"/>
  <c r="L480" i="46"/>
  <c r="AD457" i="46"/>
  <c r="AN457" i="46"/>
  <c r="M462" i="46"/>
  <c r="AK462" i="46"/>
  <c r="AG462" i="46"/>
  <c r="T462" i="46"/>
  <c r="AM462" i="46"/>
  <c r="P462" i="46"/>
  <c r="AN462" i="46"/>
  <c r="N462" i="46"/>
  <c r="AB462" i="46"/>
  <c r="H462" i="46"/>
  <c r="AD462" i="46"/>
  <c r="AF462" i="46"/>
  <c r="AO462" i="46"/>
  <c r="J462" i="46"/>
  <c r="Y462" i="46"/>
  <c r="AA462" i="46"/>
  <c r="L462" i="46"/>
  <c r="X462" i="46"/>
  <c r="F462" i="46"/>
  <c r="AE462" i="46"/>
  <c r="D462" i="46"/>
  <c r="AH462" i="46"/>
  <c r="I462" i="46"/>
  <c r="AM464" i="46"/>
  <c r="AO482" i="46"/>
  <c r="AJ464" i="46"/>
  <c r="X482" i="46"/>
  <c r="AI464" i="46"/>
  <c r="G476" i="46"/>
  <c r="R464" i="46"/>
  <c r="E464" i="46"/>
  <c r="P464" i="46"/>
  <c r="T482" i="46"/>
  <c r="AJ482" i="46"/>
  <c r="G482" i="46"/>
  <c r="N476" i="46"/>
  <c r="AN482" i="46"/>
  <c r="D482" i="46"/>
  <c r="I482" i="46"/>
  <c r="AL476" i="46"/>
  <c r="AL462" i="46"/>
  <c r="AC462" i="46"/>
  <c r="Z462" i="46"/>
  <c r="N464" i="46"/>
  <c r="AH464" i="46"/>
  <c r="AA464" i="46"/>
  <c r="S464" i="46"/>
  <c r="AH482" i="46"/>
  <c r="AP482" i="46"/>
  <c r="U482" i="46"/>
  <c r="L482" i="46"/>
  <c r="J476" i="46"/>
  <c r="S476" i="46"/>
  <c r="AC482" i="46"/>
  <c r="D464" i="46"/>
  <c r="Y464" i="46"/>
  <c r="V464" i="46"/>
  <c r="AL464" i="46"/>
  <c r="AQ482" i="46"/>
  <c r="J482" i="46"/>
  <c r="F482" i="46"/>
  <c r="AL482" i="46"/>
  <c r="AD476" i="46"/>
  <c r="D476" i="46"/>
  <c r="G464" i="46"/>
  <c r="L464" i="46"/>
  <c r="N482" i="46"/>
  <c r="AG482" i="46"/>
  <c r="AK482" i="46"/>
  <c r="O482" i="46"/>
  <c r="F476" i="46"/>
  <c r="H476" i="46"/>
  <c r="AF482" i="46"/>
  <c r="AF464" i="46"/>
  <c r="M464" i="46"/>
  <c r="AE464" i="46"/>
  <c r="AQ464" i="46"/>
  <c r="P482" i="46"/>
  <c r="S482" i="46"/>
  <c r="R482" i="46"/>
  <c r="E476" i="46"/>
  <c r="K476" i="46"/>
  <c r="W464" i="46"/>
  <c r="AC476" i="46"/>
  <c r="W476" i="46"/>
  <c r="AI482" i="46"/>
  <c r="AB482" i="46"/>
  <c r="AM482" i="46"/>
  <c r="AA476" i="46"/>
  <c r="AN476" i="46"/>
  <c r="AB464" i="46"/>
  <c r="AE482" i="46"/>
  <c r="K482" i="46"/>
  <c r="Y482" i="46"/>
  <c r="M476" i="46"/>
  <c r="AK476" i="46"/>
  <c r="AD482" i="46"/>
  <c r="AP464" i="46"/>
  <c r="G462" i="46"/>
  <c r="AA482" i="46"/>
  <c r="H482" i="46"/>
  <c r="Q482" i="46"/>
  <c r="AM476" i="46"/>
  <c r="O476" i="46"/>
  <c r="F464" i="46"/>
  <c r="V482" i="46"/>
  <c r="T464" i="46"/>
  <c r="K464" i="46"/>
  <c r="Q464" i="46"/>
  <c r="AC464" i="46"/>
  <c r="U464" i="46"/>
  <c r="I464" i="46"/>
  <c r="H464" i="46"/>
  <c r="O462" i="46"/>
  <c r="AJ462" i="46"/>
  <c r="AK464" i="46"/>
  <c r="J464" i="46"/>
  <c r="AD464" i="46"/>
  <c r="R462" i="46"/>
  <c r="W462" i="46"/>
  <c r="AQ462" i="46"/>
  <c r="AG464" i="46"/>
  <c r="AN464" i="46"/>
  <c r="Z464" i="46"/>
  <c r="AP462" i="46"/>
  <c r="E462" i="46"/>
  <c r="AO464" i="46"/>
  <c r="X464" i="46"/>
  <c r="E482" i="46"/>
  <c r="M482" i="46"/>
  <c r="AP476" i="46"/>
  <c r="L476" i="46"/>
  <c r="R476" i="46"/>
  <c r="AG476" i="46"/>
  <c r="P476" i="46"/>
  <c r="Q476" i="46"/>
  <c r="AB476" i="46"/>
  <c r="AQ476" i="46"/>
  <c r="Z476" i="46"/>
  <c r="V476" i="46"/>
  <c r="AH476" i="46"/>
  <c r="I476" i="46"/>
  <c r="D472" i="46"/>
  <c r="V460" i="46"/>
  <c r="Q472" i="46"/>
  <c r="N472" i="46"/>
  <c r="N487" i="46"/>
  <c r="P487" i="46"/>
  <c r="Y487" i="46"/>
  <c r="Q487" i="46"/>
  <c r="AH480" i="46"/>
  <c r="AJ472" i="46"/>
  <c r="F472" i="46"/>
  <c r="X472" i="46"/>
  <c r="AO472" i="46"/>
  <c r="J472" i="46"/>
  <c r="W472" i="46"/>
  <c r="AB487" i="46"/>
  <c r="X487" i="46"/>
  <c r="AO487" i="46"/>
  <c r="AB457" i="46"/>
  <c r="AB472" i="46"/>
  <c r="AQ472" i="46"/>
  <c r="AH472" i="46"/>
  <c r="AF472" i="46"/>
  <c r="R487" i="46"/>
  <c r="T487" i="46"/>
  <c r="AJ487" i="46"/>
  <c r="AB460" i="46"/>
  <c r="O472" i="46"/>
  <c r="AP472" i="46"/>
  <c r="S472" i="46"/>
  <c r="AM472" i="46"/>
  <c r="H472" i="46"/>
  <c r="M472" i="46"/>
  <c r="R472" i="46"/>
  <c r="AN472" i="46"/>
  <c r="K472" i="46"/>
  <c r="E472" i="46"/>
  <c r="L472" i="46"/>
  <c r="AC472" i="46"/>
  <c r="E470" i="46"/>
  <c r="J487" i="46"/>
  <c r="U487" i="46"/>
  <c r="AK487" i="46"/>
  <c r="T460" i="46"/>
  <c r="AL472" i="46"/>
  <c r="AG472" i="46"/>
  <c r="AD472" i="46"/>
  <c r="AI487" i="46"/>
  <c r="H487" i="46"/>
  <c r="AP487" i="46"/>
  <c r="Z460" i="46"/>
  <c r="S480" i="46"/>
  <c r="AI472" i="46"/>
  <c r="I472" i="46"/>
  <c r="Z472" i="46"/>
  <c r="AK472" i="46"/>
  <c r="G472" i="46"/>
  <c r="X460" i="46"/>
  <c r="U472" i="46"/>
  <c r="D487" i="46"/>
  <c r="S487" i="46"/>
  <c r="K460" i="46"/>
  <c r="Q480" i="46"/>
  <c r="P472" i="46"/>
  <c r="Y472" i="46"/>
  <c r="F463" i="46"/>
  <c r="E463" i="46"/>
  <c r="G486" i="46"/>
  <c r="AO486" i="46"/>
  <c r="AE470" i="46"/>
  <c r="I470" i="46"/>
  <c r="H470" i="46"/>
  <c r="AH470" i="46"/>
  <c r="AQ470" i="46"/>
  <c r="AK470" i="46"/>
  <c r="AB463" i="46"/>
  <c r="U463" i="46"/>
  <c r="T463" i="46"/>
  <c r="J463" i="46"/>
  <c r="V480" i="46"/>
  <c r="AB480" i="46"/>
  <c r="X480" i="46"/>
  <c r="AA480" i="46"/>
  <c r="F480" i="46"/>
  <c r="AP480" i="46"/>
  <c r="I480" i="46"/>
  <c r="W480" i="46"/>
  <c r="AI480" i="46"/>
  <c r="J480" i="46"/>
  <c r="Y480" i="46"/>
  <c r="AD480" i="46"/>
  <c r="AQ480" i="46"/>
  <c r="Z480" i="46"/>
  <c r="G480" i="46"/>
  <c r="AL480" i="46"/>
  <c r="AN480" i="46"/>
  <c r="P480" i="46"/>
  <c r="M480" i="46"/>
  <c r="N480" i="46"/>
  <c r="AO480" i="46"/>
  <c r="T480" i="46"/>
  <c r="AE480" i="46"/>
  <c r="K480" i="46"/>
  <c r="AM480" i="46"/>
  <c r="U480" i="46"/>
  <c r="AF480" i="46"/>
  <c r="AG480" i="46"/>
  <c r="H480" i="46"/>
  <c r="AJ480" i="46"/>
  <c r="O480" i="46"/>
  <c r="AF490" i="46"/>
  <c r="AD485" i="46"/>
  <c r="D490" i="46"/>
  <c r="Z471" i="46"/>
  <c r="H485" i="46"/>
  <c r="Q490" i="46"/>
  <c r="T485" i="46"/>
  <c r="AN483" i="46"/>
  <c r="AB483" i="46"/>
  <c r="R483" i="46"/>
  <c r="AG483" i="46"/>
  <c r="AL483" i="46"/>
  <c r="E483" i="46"/>
  <c r="J483" i="46"/>
  <c r="O456" i="46"/>
  <c r="R485" i="46"/>
  <c r="AE483" i="46"/>
  <c r="AJ483" i="46"/>
  <c r="AH483" i="46"/>
  <c r="AO483" i="46"/>
  <c r="AN485" i="46"/>
  <c r="Z483" i="46"/>
  <c r="M483" i="46"/>
  <c r="AD483" i="46"/>
  <c r="AK483" i="46"/>
  <c r="E485" i="46"/>
  <c r="V483" i="46"/>
  <c r="AQ483" i="46"/>
  <c r="H483" i="46"/>
  <c r="AB485" i="46"/>
  <c r="AC483" i="46"/>
  <c r="W483" i="46"/>
  <c r="L483" i="46"/>
  <c r="U485" i="46"/>
  <c r="AF483" i="46"/>
  <c r="AP483" i="46"/>
  <c r="R463" i="46"/>
  <c r="AK463" i="46"/>
  <c r="P463" i="46"/>
  <c r="AQ463" i="46"/>
  <c r="W463" i="46"/>
  <c r="AA463" i="46"/>
  <c r="AI463" i="46"/>
  <c r="T476" i="46"/>
  <c r="AJ476" i="46"/>
  <c r="Y476" i="46"/>
  <c r="AG463" i="46"/>
  <c r="AO463" i="46"/>
  <c r="Z455" i="46"/>
  <c r="Y455" i="46"/>
  <c r="AC455" i="46"/>
  <c r="AE455" i="46"/>
  <c r="L455" i="46"/>
  <c r="Q463" i="46"/>
  <c r="L463" i="46"/>
  <c r="M457" i="46"/>
  <c r="AJ457" i="46"/>
  <c r="F457" i="46"/>
  <c r="AF457" i="46"/>
  <c r="Q457" i="46"/>
  <c r="AE457" i="46"/>
  <c r="M455" i="46"/>
  <c r="AH457" i="46"/>
  <c r="D457" i="46"/>
  <c r="X457" i="46"/>
  <c r="AP457" i="46"/>
  <c r="H457" i="46"/>
  <c r="AH455" i="46"/>
  <c r="F455" i="46"/>
  <c r="L457" i="46"/>
  <c r="AN455" i="46"/>
  <c r="K455" i="46"/>
  <c r="K457" i="46"/>
  <c r="AL457" i="46"/>
  <c r="O457" i="46"/>
  <c r="AM457" i="46"/>
  <c r="AQ457" i="46"/>
  <c r="N457" i="46"/>
  <c r="Y457" i="46"/>
  <c r="E457" i="46"/>
  <c r="X455" i="46"/>
  <c r="G455" i="46"/>
  <c r="AK457" i="46"/>
  <c r="U457" i="46"/>
  <c r="S457" i="46"/>
  <c r="AG455" i="46"/>
  <c r="D455" i="46"/>
  <c r="R455" i="46"/>
  <c r="AC457" i="46"/>
  <c r="H455" i="46"/>
  <c r="Q455" i="46"/>
  <c r="J457" i="46"/>
  <c r="AF455" i="46"/>
  <c r="AA457" i="46"/>
  <c r="AI457" i="46"/>
  <c r="O455" i="46"/>
  <c r="G457" i="46"/>
  <c r="Z457" i="46"/>
  <c r="AO457" i="46"/>
  <c r="V457" i="46"/>
  <c r="I457" i="46"/>
  <c r="AG457" i="46"/>
  <c r="P457" i="46"/>
  <c r="W457" i="46"/>
  <c r="R457" i="46"/>
  <c r="U455" i="46"/>
  <c r="S455" i="46"/>
  <c r="AD471" i="46"/>
  <c r="J485" i="46"/>
  <c r="W485" i="46"/>
  <c r="AF485" i="46"/>
  <c r="S471" i="46"/>
  <c r="V471" i="46"/>
  <c r="P485" i="46"/>
  <c r="M485" i="46"/>
  <c r="X485" i="46"/>
  <c r="K471" i="46"/>
  <c r="F485" i="46"/>
  <c r="AL485" i="46"/>
  <c r="AP485" i="46"/>
  <c r="AE471" i="46"/>
  <c r="L471" i="46"/>
  <c r="F471" i="46"/>
  <c r="Z461" i="46"/>
  <c r="AE485" i="46"/>
  <c r="Z485" i="46"/>
  <c r="AM485" i="46"/>
  <c r="AG471" i="46"/>
  <c r="Y471" i="46"/>
  <c r="M471" i="46"/>
  <c r="AG485" i="46"/>
  <c r="AH485" i="46"/>
  <c r="O485" i="46"/>
  <c r="N471" i="46"/>
  <c r="AJ471" i="46"/>
  <c r="D471" i="46"/>
  <c r="AP471" i="46"/>
  <c r="Q485" i="46"/>
  <c r="AA485" i="46"/>
  <c r="AO485" i="46"/>
  <c r="D485" i="46"/>
  <c r="AQ461" i="46"/>
  <c r="T471" i="46"/>
  <c r="AB471" i="46"/>
  <c r="AN471" i="46"/>
  <c r="N485" i="46"/>
  <c r="AK485" i="46"/>
  <c r="L485" i="46"/>
  <c r="Y485" i="46"/>
  <c r="AJ461" i="46"/>
  <c r="AM471" i="46"/>
  <c r="Q471" i="46"/>
  <c r="U471" i="46"/>
  <c r="AF471" i="46"/>
  <c r="V485" i="46"/>
  <c r="AQ485" i="46"/>
  <c r="K485" i="46"/>
  <c r="AC485" i="46"/>
  <c r="D461" i="46"/>
  <c r="E471" i="46"/>
  <c r="R471" i="46"/>
  <c r="AO471" i="46"/>
  <c r="G485" i="46"/>
  <c r="S485" i="46"/>
  <c r="AJ485" i="46"/>
  <c r="W461" i="46"/>
  <c r="AK471" i="46"/>
  <c r="AQ471" i="46"/>
  <c r="J471" i="46"/>
  <c r="AH461" i="46"/>
  <c r="U461" i="46"/>
  <c r="AI471" i="46"/>
  <c r="I471" i="46"/>
  <c r="AA471" i="46"/>
  <c r="AL471" i="46"/>
  <c r="AH471" i="46"/>
  <c r="AC471" i="46"/>
  <c r="H471" i="46"/>
  <c r="AP470" i="46"/>
  <c r="AF470" i="46"/>
  <c r="AI470" i="46"/>
  <c r="AA470" i="46"/>
  <c r="N470" i="46"/>
  <c r="V470" i="46"/>
  <c r="K470" i="46"/>
  <c r="AO470" i="46"/>
  <c r="AC470" i="46"/>
  <c r="F470" i="46"/>
  <c r="T470" i="46"/>
  <c r="X470" i="46"/>
  <c r="Y470" i="46"/>
  <c r="W470" i="46"/>
  <c r="AL470" i="46"/>
  <c r="AJ455" i="46"/>
  <c r="AO455" i="46"/>
  <c r="AB455" i="46"/>
  <c r="AM455" i="46"/>
  <c r="O470" i="46"/>
  <c r="Z470" i="46"/>
  <c r="D470" i="46"/>
  <c r="E455" i="46"/>
  <c r="P470" i="46"/>
  <c r="G470" i="46"/>
  <c r="L470" i="46"/>
  <c r="AJ470" i="46"/>
  <c r="AK455" i="46"/>
  <c r="AD470" i="46"/>
  <c r="R470" i="46"/>
  <c r="AG470" i="46"/>
  <c r="AN470" i="46"/>
  <c r="AQ455" i="46"/>
  <c r="AL455" i="46"/>
  <c r="AI455" i="46"/>
  <c r="I455" i="46"/>
  <c r="U470" i="46"/>
  <c r="M470" i="46"/>
  <c r="AB470" i="46"/>
  <c r="Q470" i="46"/>
  <c r="W455" i="46"/>
  <c r="V455" i="46"/>
  <c r="S470" i="46"/>
  <c r="J470" i="46"/>
  <c r="AD455" i="46"/>
  <c r="P455" i="46"/>
  <c r="J455" i="46"/>
  <c r="X461" i="46"/>
  <c r="AO461" i="46"/>
  <c r="M456" i="46"/>
  <c r="AM456" i="46"/>
  <c r="AD456" i="46"/>
  <c r="N456" i="46"/>
  <c r="AP456" i="46"/>
  <c r="O460" i="46"/>
  <c r="E460" i="46"/>
  <c r="N460" i="46"/>
  <c r="AH460" i="46"/>
  <c r="D463" i="46"/>
  <c r="Y456" i="46"/>
  <c r="W460" i="46"/>
  <c r="AC456" i="46"/>
  <c r="AO456" i="46"/>
  <c r="AQ456" i="46"/>
  <c r="R460" i="46"/>
  <c r="I460" i="46"/>
  <c r="AD460" i="46"/>
  <c r="AM460" i="46"/>
  <c r="AF456" i="46"/>
  <c r="U456" i="46"/>
  <c r="I456" i="46"/>
  <c r="M460" i="46"/>
  <c r="L456" i="46"/>
  <c r="AB456" i="46"/>
  <c r="G456" i="46"/>
  <c r="AL460" i="46"/>
  <c r="U460" i="46"/>
  <c r="AE456" i="46"/>
  <c r="AH456" i="46"/>
  <c r="S456" i="46"/>
  <c r="AQ460" i="46"/>
  <c r="Y460" i="46"/>
  <c r="AE460" i="46"/>
  <c r="AO476" i="46"/>
  <c r="U476" i="46"/>
  <c r="AE476" i="46"/>
  <c r="N463" i="46"/>
  <c r="I463" i="46"/>
  <c r="J456" i="46"/>
  <c r="F456" i="46"/>
  <c r="Z456" i="46"/>
  <c r="AN460" i="46"/>
  <c r="H460" i="46"/>
  <c r="Q460" i="46"/>
  <c r="H463" i="46"/>
  <c r="X463" i="46"/>
  <c r="X456" i="46"/>
  <c r="AA456" i="46"/>
  <c r="AI456" i="46"/>
  <c r="P460" i="46"/>
  <c r="D460" i="46"/>
  <c r="AK460" i="46"/>
  <c r="V463" i="46"/>
  <c r="AM463" i="46"/>
  <c r="AJ463" i="46"/>
  <c r="AA460" i="46"/>
  <c r="F460" i="46"/>
  <c r="L460" i="46"/>
  <c r="AC460" i="46"/>
  <c r="J460" i="46"/>
  <c r="AH463" i="46"/>
  <c r="AD463" i="46"/>
  <c r="Y463" i="46"/>
  <c r="Z463" i="46"/>
  <c r="Q456" i="46"/>
  <c r="AJ456" i="46"/>
  <c r="AN463" i="46"/>
  <c r="K463" i="46"/>
  <c r="AL463" i="46"/>
  <c r="E456" i="46"/>
  <c r="AG456" i="46"/>
  <c r="AL456" i="46"/>
  <c r="V456" i="46"/>
  <c r="AN456" i="46"/>
  <c r="K456" i="46"/>
  <c r="T456" i="46"/>
  <c r="AI460" i="46"/>
  <c r="S460" i="46"/>
  <c r="AF460" i="46"/>
  <c r="G460" i="46"/>
  <c r="W456" i="46"/>
  <c r="H456" i="46"/>
  <c r="D456" i="46"/>
  <c r="AO460" i="46"/>
  <c r="AG460" i="46"/>
  <c r="AP460" i="46"/>
  <c r="X476" i="46"/>
  <c r="AF476" i="46"/>
  <c r="X471" i="46"/>
  <c r="O471" i="46"/>
  <c r="G471" i="46"/>
  <c r="G463" i="46"/>
  <c r="AE463" i="46"/>
  <c r="S463" i="46"/>
  <c r="P471" i="46"/>
  <c r="O463" i="46"/>
  <c r="E480" i="46"/>
  <c r="R480" i="46"/>
  <c r="N455" i="46"/>
  <c r="AA455" i="46"/>
  <c r="AP463" i="46"/>
  <c r="AC463" i="46"/>
  <c r="AF463" i="46"/>
  <c r="T455" i="46"/>
  <c r="O461" i="46"/>
  <c r="G461" i="46"/>
  <c r="AC461" i="46"/>
  <c r="I461" i="46"/>
  <c r="J461" i="46"/>
  <c r="N461" i="46"/>
  <c r="AI461" i="46"/>
  <c r="E461" i="46"/>
  <c r="P461" i="46"/>
  <c r="T461" i="46"/>
  <c r="M461" i="46"/>
  <c r="H461" i="46"/>
  <c r="AP461" i="46"/>
  <c r="AG461" i="46"/>
  <c r="AM461" i="46"/>
  <c r="F461" i="46"/>
  <c r="L461" i="46"/>
  <c r="AA461" i="46"/>
  <c r="Q461" i="46"/>
  <c r="AL461" i="46"/>
  <c r="AK461" i="46"/>
  <c r="AB461" i="46"/>
  <c r="S461" i="46"/>
  <c r="R461" i="46"/>
  <c r="AN461" i="46"/>
  <c r="K461" i="46"/>
  <c r="AF461" i="46"/>
  <c r="V461" i="46"/>
  <c r="Y461" i="46"/>
  <c r="AD461" i="46"/>
  <c r="V484" i="46"/>
  <c r="AQ484" i="46"/>
  <c r="AC484" i="46"/>
  <c r="W484" i="46"/>
  <c r="AK484" i="46"/>
  <c r="J484" i="46"/>
  <c r="R484" i="46"/>
  <c r="H484" i="46"/>
  <c r="Q484" i="46"/>
  <c r="Y484" i="46"/>
  <c r="I484" i="46"/>
  <c r="AA484" i="46"/>
  <c r="AG484" i="46"/>
  <c r="AD484" i="46"/>
  <c r="AD490" i="46"/>
  <c r="T490" i="46"/>
  <c r="AI490" i="46"/>
  <c r="AL490" i="46"/>
  <c r="X484" i="46"/>
  <c r="AB484" i="46"/>
  <c r="F484" i="46"/>
  <c r="G490" i="46"/>
  <c r="Y490" i="46"/>
  <c r="AQ490" i="46"/>
  <c r="AP490" i="46"/>
  <c r="O490" i="46"/>
  <c r="K490" i="46"/>
  <c r="AG490" i="46"/>
  <c r="N490" i="46"/>
  <c r="M484" i="46"/>
  <c r="N484" i="46"/>
  <c r="E484" i="46"/>
  <c r="AE484" i="46"/>
  <c r="L490" i="46"/>
  <c r="M490" i="46"/>
  <c r="V490" i="46"/>
  <c r="AE490" i="46"/>
  <c r="AN490" i="46"/>
  <c r="AC490" i="46"/>
  <c r="D484" i="46"/>
  <c r="U484" i="46"/>
  <c r="G484" i="46"/>
  <c r="K484" i="46"/>
  <c r="L484" i="46"/>
  <c r="Z490" i="46"/>
  <c r="AO490" i="46"/>
  <c r="X490" i="46"/>
  <c r="N451" i="54"/>
  <c r="N453" i="54" s="1"/>
  <c r="O484" i="46"/>
  <c r="AL484" i="46"/>
  <c r="T484" i="46"/>
  <c r="AP484" i="46"/>
  <c r="I451" i="54"/>
  <c r="I452" i="54" s="1"/>
  <c r="P484" i="46"/>
  <c r="AN484" i="46"/>
  <c r="Z484" i="46"/>
  <c r="S484" i="46"/>
  <c r="AJ484" i="46"/>
  <c r="J490" i="46"/>
  <c r="W490" i="46"/>
  <c r="AA490" i="46"/>
  <c r="U451" i="54"/>
  <c r="U452" i="54" s="1"/>
  <c r="AF484" i="46"/>
  <c r="AH484" i="46"/>
  <c r="E490" i="46"/>
  <c r="AB490" i="46"/>
  <c r="H490" i="46"/>
  <c r="F490" i="46"/>
  <c r="AK490" i="46"/>
  <c r="R490" i="46"/>
  <c r="AM490" i="46"/>
  <c r="I490" i="46"/>
  <c r="AH490" i="46"/>
  <c r="AJ490" i="46"/>
  <c r="P490" i="46"/>
  <c r="U490" i="46"/>
  <c r="AO484" i="46"/>
  <c r="AI484" i="46"/>
  <c r="B482" i="54"/>
  <c r="C482" i="54" s="1"/>
  <c r="A482" i="54" s="1"/>
  <c r="AN451" i="54"/>
  <c r="AN452" i="54" s="1"/>
  <c r="Z451" i="54"/>
  <c r="Z452" i="54" s="1"/>
  <c r="P453" i="54"/>
  <c r="B480" i="54"/>
  <c r="C480" i="54" s="1"/>
  <c r="A480" i="54" s="1"/>
  <c r="AK451" i="54"/>
  <c r="AK452" i="54" s="1"/>
  <c r="X451" i="54"/>
  <c r="X453" i="54" s="1"/>
  <c r="AH451" i="54"/>
  <c r="AH453" i="54" s="1"/>
  <c r="L451" i="54"/>
  <c r="L453" i="54" s="1"/>
  <c r="O451" i="54"/>
  <c r="O453" i="54" s="1"/>
  <c r="S451" i="54"/>
  <c r="S453" i="54" s="1"/>
  <c r="F451" i="54"/>
  <c r="F452" i="54" s="1"/>
  <c r="G451" i="54"/>
  <c r="G452" i="54" s="1"/>
  <c r="B475" i="54"/>
  <c r="AR475" i="54" s="1"/>
  <c r="D154" i="67"/>
  <c r="D155" i="67" s="1"/>
  <c r="C1058" i="62" s="1"/>
  <c r="D1048" i="62" s="1"/>
  <c r="C1082" i="62" s="1"/>
  <c r="E1082" i="62" s="1"/>
  <c r="L20" i="61" s="1"/>
  <c r="B33" i="61"/>
  <c r="B486" i="54"/>
  <c r="AR486" i="54" s="1"/>
  <c r="B468" i="54"/>
  <c r="AR468" i="54" s="1"/>
  <c r="B462" i="54"/>
  <c r="C462" i="54" s="1"/>
  <c r="A462" i="54" s="1"/>
  <c r="B457" i="54"/>
  <c r="AR457" i="54" s="1"/>
  <c r="R451" i="54"/>
  <c r="R452" i="54" s="1"/>
  <c r="Y451" i="54"/>
  <c r="Y452" i="54" s="1"/>
  <c r="AJ451" i="54"/>
  <c r="AJ452" i="54" s="1"/>
  <c r="AC451" i="54"/>
  <c r="B459" i="54"/>
  <c r="C459" i="54" s="1"/>
  <c r="A459" i="54" s="1"/>
  <c r="B464" i="54"/>
  <c r="AR464" i="54" s="1"/>
  <c r="B489" i="54"/>
  <c r="C489" i="54" s="1"/>
  <c r="A489" i="54" s="1"/>
  <c r="B474" i="54"/>
  <c r="C474" i="54" s="1"/>
  <c r="A474" i="54" s="1"/>
  <c r="B477" i="54"/>
  <c r="C477" i="54" s="1"/>
  <c r="A477" i="54" s="1"/>
  <c r="B466" i="54"/>
  <c r="C466" i="54" s="1"/>
  <c r="A466" i="54" s="1"/>
  <c r="B488" i="54"/>
  <c r="AR488" i="54" s="1"/>
  <c r="B455" i="54"/>
  <c r="AR455" i="54" s="1"/>
  <c r="AR454" i="54"/>
  <c r="C465" i="54"/>
  <c r="A465" i="54" s="1"/>
  <c r="B491" i="54"/>
  <c r="AR491" i="54" s="1"/>
  <c r="B479" i="54"/>
  <c r="AR479" i="54" s="1"/>
  <c r="B469" i="54"/>
  <c r="C469" i="54" s="1"/>
  <c r="A469" i="54" s="1"/>
  <c r="B487" i="54"/>
  <c r="AR487" i="54" s="1"/>
  <c r="B463" i="54"/>
  <c r="AR463" i="54" s="1"/>
  <c r="B484" i="54"/>
  <c r="AR484" i="54" s="1"/>
  <c r="B476" i="54"/>
  <c r="AR476" i="54" s="1"/>
  <c r="B470" i="54"/>
  <c r="AR470" i="54" s="1"/>
  <c r="B467" i="54"/>
  <c r="AR467" i="54" s="1"/>
  <c r="B485" i="54"/>
  <c r="AR485" i="54" s="1"/>
  <c r="C454" i="54"/>
  <c r="A454" i="54" s="1"/>
  <c r="P454" i="54" s="1"/>
  <c r="B490" i="54"/>
  <c r="AR490" i="54" s="1"/>
  <c r="B492" i="54"/>
  <c r="C492" i="54" s="1"/>
  <c r="A492" i="54" s="1"/>
  <c r="B471" i="54"/>
  <c r="AR471" i="54" s="1"/>
  <c r="B456" i="54"/>
  <c r="AR456" i="54" s="1"/>
  <c r="B478" i="54"/>
  <c r="C478" i="54" s="1"/>
  <c r="A478" i="54" s="1"/>
  <c r="B472" i="54"/>
  <c r="C472" i="54" s="1"/>
  <c r="A472" i="54" s="1"/>
  <c r="B473" i="54"/>
  <c r="C473" i="54" s="1"/>
  <c r="A473" i="54" s="1"/>
  <c r="B483" i="54"/>
  <c r="C483" i="54" s="1"/>
  <c r="A483" i="54" s="1"/>
  <c r="B458" i="54"/>
  <c r="AR458" i="54" s="1"/>
  <c r="B461" i="54"/>
  <c r="AR461" i="54" s="1"/>
  <c r="B481" i="54"/>
  <c r="AR481" i="54" s="1"/>
  <c r="B460" i="54"/>
  <c r="AR460" i="54" s="1"/>
  <c r="F734" i="54"/>
  <c r="H734" i="54" s="1"/>
  <c r="E782" i="54" s="1"/>
  <c r="C787" i="54" s="1"/>
  <c r="AC474" i="62"/>
  <c r="S474" i="62"/>
  <c r="AE451" i="54"/>
  <c r="AE453" i="54" s="1"/>
  <c r="V451" i="54"/>
  <c r="V452" i="54" s="1"/>
  <c r="AF451" i="54"/>
  <c r="W451" i="54"/>
  <c r="W453" i="54" s="1"/>
  <c r="AL451" i="54"/>
  <c r="AQ451" i="54"/>
  <c r="AR476" i="62"/>
  <c r="H451" i="54"/>
  <c r="H453" i="54" s="1"/>
  <c r="AB451" i="54"/>
  <c r="J451" i="54"/>
  <c r="AP451" i="54"/>
  <c r="K451" i="54"/>
  <c r="AM451" i="54"/>
  <c r="AM452" i="54" s="1"/>
  <c r="AO451" i="54"/>
  <c r="AO453" i="54" s="1"/>
  <c r="AI451" i="54"/>
  <c r="AI452" i="54" s="1"/>
  <c r="AG451" i="54"/>
  <c r="AA451" i="54"/>
  <c r="AA453" i="54" s="1"/>
  <c r="M451" i="54"/>
  <c r="Q451" i="54"/>
  <c r="E453" i="54"/>
  <c r="T451" i="54"/>
  <c r="E452" i="54"/>
  <c r="AD451" i="54"/>
  <c r="R476" i="62"/>
  <c r="AG455" i="62"/>
  <c r="AB455" i="62"/>
  <c r="AE476" i="62"/>
  <c r="E476" i="62"/>
  <c r="X476" i="62"/>
  <c r="AC476" i="62"/>
  <c r="AJ476" i="62"/>
  <c r="I476" i="62"/>
  <c r="AI476" i="62"/>
  <c r="L476" i="62"/>
  <c r="D476" i="62"/>
  <c r="AO476" i="62"/>
  <c r="G476" i="62"/>
  <c r="O476" i="62"/>
  <c r="AL476" i="62"/>
  <c r="P476" i="62"/>
  <c r="AD476" i="62"/>
  <c r="U469" i="62"/>
  <c r="K455" i="62"/>
  <c r="C457" i="62"/>
  <c r="A457" i="62" s="1"/>
  <c r="W457" i="62" s="1"/>
  <c r="C460" i="62"/>
  <c r="A460" i="62" s="1"/>
  <c r="AD460" i="62" s="1"/>
  <c r="R474" i="62"/>
  <c r="R455" i="62"/>
  <c r="Q455" i="62"/>
  <c r="AN476" i="62"/>
  <c r="AE455" i="62"/>
  <c r="T455" i="62"/>
  <c r="W455" i="62"/>
  <c r="F455" i="62"/>
  <c r="N455" i="62"/>
  <c r="S455" i="62"/>
  <c r="V475" i="62"/>
  <c r="AM455" i="62"/>
  <c r="AM476" i="62"/>
  <c r="V476" i="62"/>
  <c r="M476" i="62"/>
  <c r="AQ469" i="62"/>
  <c r="H476" i="62"/>
  <c r="Z476" i="62"/>
  <c r="AQ476" i="62"/>
  <c r="AJ469" i="62"/>
  <c r="T476" i="62"/>
  <c r="S476" i="62"/>
  <c r="AB476" i="62"/>
  <c r="AI469" i="62"/>
  <c r="AF456" i="62"/>
  <c r="G455" i="62"/>
  <c r="AI455" i="62"/>
  <c r="AO455" i="62"/>
  <c r="AP476" i="62"/>
  <c r="AH476" i="62"/>
  <c r="AA473" i="62"/>
  <c r="R473" i="62"/>
  <c r="Q476" i="62"/>
  <c r="F476" i="62"/>
  <c r="AA476" i="62"/>
  <c r="AK476" i="62"/>
  <c r="AE473" i="62"/>
  <c r="G469" i="62"/>
  <c r="AR469" i="62"/>
  <c r="AF476" i="62"/>
  <c r="J476" i="62"/>
  <c r="W476" i="62"/>
  <c r="N476" i="62"/>
  <c r="AF473" i="62"/>
  <c r="U476" i="62"/>
  <c r="Y476" i="62"/>
  <c r="AG476" i="62"/>
  <c r="AR490" i="62"/>
  <c r="AH473" i="62"/>
  <c r="AB480" i="62"/>
  <c r="C487" i="62"/>
  <c r="A487" i="62" s="1"/>
  <c r="Q487" i="62" s="1"/>
  <c r="T456" i="62"/>
  <c r="AM469" i="62"/>
  <c r="AE471" i="62"/>
  <c r="W471" i="62"/>
  <c r="I471" i="62"/>
  <c r="Q456" i="62"/>
  <c r="J471" i="62"/>
  <c r="P458" i="62"/>
  <c r="AB456" i="62"/>
  <c r="C464" i="62"/>
  <c r="A464" i="62" s="1"/>
  <c r="AL464" i="62" s="1"/>
  <c r="Q471" i="62"/>
  <c r="AG456" i="62"/>
  <c r="U456" i="62"/>
  <c r="K458" i="62"/>
  <c r="C463" i="62"/>
  <c r="A463" i="62" s="1"/>
  <c r="AN463" i="62" s="1"/>
  <c r="Q486" i="62"/>
  <c r="T459" i="62"/>
  <c r="J458" i="62"/>
  <c r="AF455" i="62"/>
  <c r="C467" i="62"/>
  <c r="A467" i="62" s="1"/>
  <c r="AA467" i="62" s="1"/>
  <c r="Z455" i="62"/>
  <c r="X455" i="62"/>
  <c r="L486" i="62"/>
  <c r="V485" i="62"/>
  <c r="AJ456" i="62"/>
  <c r="D458" i="62"/>
  <c r="V455" i="62"/>
  <c r="AH455" i="62"/>
  <c r="I489" i="62"/>
  <c r="AR455" i="62"/>
  <c r="O456" i="62"/>
  <c r="AL455" i="62"/>
  <c r="U458" i="62"/>
  <c r="M458" i="62"/>
  <c r="K456" i="62"/>
  <c r="U455" i="62"/>
  <c r="AP455" i="62"/>
  <c r="AD485" i="62"/>
  <c r="G485" i="62"/>
  <c r="AA485" i="62"/>
  <c r="M454" i="62"/>
  <c r="Y485" i="62"/>
  <c r="AM478" i="62"/>
  <c r="I485" i="62"/>
  <c r="AI454" i="62"/>
  <c r="R485" i="62"/>
  <c r="AB485" i="62"/>
  <c r="W485" i="62"/>
  <c r="AC458" i="62"/>
  <c r="Z485" i="62"/>
  <c r="AJ471" i="62"/>
  <c r="AD458" i="62"/>
  <c r="AC485" i="62"/>
  <c r="AB474" i="62"/>
  <c r="AR474" i="62"/>
  <c r="AQ458" i="62"/>
  <c r="AO485" i="62"/>
  <c r="R486" i="62"/>
  <c r="Y454" i="62"/>
  <c r="Y459" i="62"/>
  <c r="O485" i="62"/>
  <c r="Z454" i="62"/>
  <c r="AA458" i="62"/>
  <c r="J485" i="62"/>
  <c r="Z456" i="62"/>
  <c r="X456" i="62"/>
  <c r="G471" i="62"/>
  <c r="AN454" i="62"/>
  <c r="AP485" i="62"/>
  <c r="N485" i="62"/>
  <c r="AJ458" i="62"/>
  <c r="U485" i="62"/>
  <c r="AI480" i="62"/>
  <c r="W489" i="62"/>
  <c r="R454" i="62"/>
  <c r="AD459" i="62"/>
  <c r="Q458" i="62"/>
  <c r="AC456" i="62"/>
  <c r="C462" i="62"/>
  <c r="A462" i="62" s="1"/>
  <c r="K462" i="62" s="1"/>
  <c r="AL486" i="62"/>
  <c r="O474" i="62"/>
  <c r="Y474" i="62"/>
  <c r="AA474" i="62"/>
  <c r="K474" i="62"/>
  <c r="AK474" i="62"/>
  <c r="V474" i="62"/>
  <c r="H471" i="62"/>
  <c r="F474" i="62"/>
  <c r="V471" i="62"/>
  <c r="AQ471" i="62"/>
  <c r="AD486" i="62"/>
  <c r="X454" i="62"/>
  <c r="AG458" i="62"/>
  <c r="AK458" i="62"/>
  <c r="U474" i="62"/>
  <c r="AK459" i="62"/>
  <c r="X474" i="62"/>
  <c r="E471" i="62"/>
  <c r="AF480" i="62"/>
  <c r="K471" i="62"/>
  <c r="AI486" i="62"/>
  <c r="O471" i="62"/>
  <c r="AI471" i="62"/>
  <c r="AF458" i="62"/>
  <c r="AF485" i="62"/>
  <c r="AH474" i="62"/>
  <c r="AG454" i="62"/>
  <c r="AQ454" i="62"/>
  <c r="AI458" i="62"/>
  <c r="F458" i="62"/>
  <c r="D454" i="62"/>
  <c r="AB458" i="62"/>
  <c r="AJ455" i="62"/>
  <c r="U459" i="62"/>
  <c r="AF471" i="62"/>
  <c r="R469" i="62"/>
  <c r="J486" i="62"/>
  <c r="AQ474" i="62"/>
  <c r="P471" i="62"/>
  <c r="AN455" i="62"/>
  <c r="AC486" i="62"/>
  <c r="AM485" i="62"/>
  <c r="AN485" i="62"/>
  <c r="O486" i="62"/>
  <c r="M471" i="62"/>
  <c r="AA471" i="62"/>
  <c r="AC459" i="62"/>
  <c r="W458" i="62"/>
  <c r="Q485" i="62"/>
  <c r="I458" i="62"/>
  <c r="Y458" i="62"/>
  <c r="W454" i="62"/>
  <c r="L458" i="62"/>
  <c r="AP458" i="62"/>
  <c r="AO459" i="62"/>
  <c r="T474" i="62"/>
  <c r="X471" i="62"/>
  <c r="M474" i="62"/>
  <c r="F485" i="62"/>
  <c r="N458" i="62"/>
  <c r="L455" i="62"/>
  <c r="S486" i="62"/>
  <c r="P455" i="62"/>
  <c r="O458" i="62"/>
  <c r="AL485" i="62"/>
  <c r="O455" i="62"/>
  <c r="AM486" i="62"/>
  <c r="AK471" i="62"/>
  <c r="W474" i="62"/>
  <c r="AO486" i="62"/>
  <c r="AC471" i="62"/>
  <c r="AH485" i="62"/>
  <c r="AH458" i="62"/>
  <c r="T458" i="62"/>
  <c r="AL458" i="62"/>
  <c r="L469" i="62"/>
  <c r="Z474" i="62"/>
  <c r="X485" i="62"/>
  <c r="T485" i="62"/>
  <c r="AB461" i="62"/>
  <c r="AO458" i="62"/>
  <c r="J474" i="62"/>
  <c r="C470" i="62"/>
  <c r="A470" i="62" s="1"/>
  <c r="M470" i="62" s="1"/>
  <c r="P486" i="62"/>
  <c r="X486" i="62"/>
  <c r="AD455" i="62"/>
  <c r="E485" i="62"/>
  <c r="U486" i="62"/>
  <c r="AA455" i="62"/>
  <c r="K486" i="62"/>
  <c r="AR485" i="62"/>
  <c r="AP474" i="62"/>
  <c r="AD474" i="62"/>
  <c r="AG485" i="62"/>
  <c r="AR471" i="62"/>
  <c r="G458" i="62"/>
  <c r="X458" i="62"/>
  <c r="AJ485" i="62"/>
  <c r="AN458" i="62"/>
  <c r="AR458" i="62"/>
  <c r="AB459" i="62"/>
  <c r="AE485" i="62"/>
  <c r="M459" i="62"/>
  <c r="H485" i="62"/>
  <c r="AF486" i="62"/>
  <c r="S459" i="62"/>
  <c r="F459" i="62"/>
  <c r="M486" i="62"/>
  <c r="H486" i="62"/>
  <c r="T471" i="62"/>
  <c r="AK485" i="62"/>
  <c r="E486" i="62"/>
  <c r="Z486" i="62"/>
  <c r="AE461" i="62"/>
  <c r="AN474" i="62"/>
  <c r="L474" i="62"/>
  <c r="AI474" i="62"/>
  <c r="AH454" i="62"/>
  <c r="AG474" i="62"/>
  <c r="P474" i="62"/>
  <c r="L485" i="62"/>
  <c r="Z458" i="62"/>
  <c r="AM458" i="62"/>
  <c r="AE474" i="62"/>
  <c r="AL474" i="62"/>
  <c r="R458" i="62"/>
  <c r="AR459" i="62"/>
  <c r="V480" i="62"/>
  <c r="AE486" i="62"/>
  <c r="U471" i="62"/>
  <c r="AA486" i="62"/>
  <c r="AJ486" i="62"/>
  <c r="AB486" i="62"/>
  <c r="AF474" i="62"/>
  <c r="P465" i="62"/>
  <c r="P485" i="62"/>
  <c r="Q474" i="62"/>
  <c r="Y455" i="62"/>
  <c r="AP454" i="62"/>
  <c r="AE458" i="62"/>
  <c r="S458" i="62"/>
  <c r="AO474" i="62"/>
  <c r="H458" i="62"/>
  <c r="M485" i="62"/>
  <c r="S485" i="62"/>
  <c r="V486" i="62"/>
  <c r="K485" i="62"/>
  <c r="E474" i="62"/>
  <c r="AO471" i="62"/>
  <c r="J455" i="62"/>
  <c r="I455" i="62"/>
  <c r="T486" i="62"/>
  <c r="E455" i="62"/>
  <c r="AC455" i="62"/>
  <c r="M455" i="62"/>
  <c r="AN486" i="62"/>
  <c r="I474" i="62"/>
  <c r="AI485" i="62"/>
  <c r="I454" i="62"/>
  <c r="AJ474" i="62"/>
  <c r="G474" i="62"/>
  <c r="AB454" i="62"/>
  <c r="V458" i="62"/>
  <c r="AR486" i="62"/>
  <c r="AA454" i="62"/>
  <c r="H474" i="62"/>
  <c r="AA469" i="62"/>
  <c r="X459" i="62"/>
  <c r="N474" i="62"/>
  <c r="AK486" i="62"/>
  <c r="D455" i="62"/>
  <c r="AK455" i="62"/>
  <c r="I486" i="62"/>
  <c r="AQ455" i="62"/>
  <c r="AQ485" i="62"/>
  <c r="Z471" i="62"/>
  <c r="AH486" i="62"/>
  <c r="Y465" i="62"/>
  <c r="P469" i="62"/>
  <c r="Q469" i="62"/>
  <c r="M475" i="62"/>
  <c r="J469" i="62"/>
  <c r="K469" i="62"/>
  <c r="H469" i="62"/>
  <c r="AH469" i="62"/>
  <c r="AE469" i="62"/>
  <c r="S475" i="62"/>
  <c r="K475" i="62"/>
  <c r="Y471" i="62"/>
  <c r="S471" i="62"/>
  <c r="I469" i="62"/>
  <c r="AD469" i="62"/>
  <c r="C466" i="62"/>
  <c r="A466" i="62" s="1"/>
  <c r="K466" i="62" s="1"/>
  <c r="AI465" i="62"/>
  <c r="AL465" i="62"/>
  <c r="AK469" i="62"/>
  <c r="Y469" i="62"/>
  <c r="V469" i="62"/>
  <c r="C472" i="62"/>
  <c r="A472" i="62" s="1"/>
  <c r="K472" i="62" s="1"/>
  <c r="T469" i="62"/>
  <c r="F469" i="62"/>
  <c r="V465" i="62"/>
  <c r="C492" i="62"/>
  <c r="A492" i="62" s="1"/>
  <c r="L492" i="62" s="1"/>
  <c r="S469" i="62"/>
  <c r="M469" i="62"/>
  <c r="N471" i="62"/>
  <c r="AQ486" i="62"/>
  <c r="AF469" i="62"/>
  <c r="AG469" i="62"/>
  <c r="AC469" i="62"/>
  <c r="AB469" i="62"/>
  <c r="AE475" i="62"/>
  <c r="D471" i="62"/>
  <c r="L471" i="62"/>
  <c r="AL471" i="62"/>
  <c r="AG471" i="62"/>
  <c r="AN471" i="62"/>
  <c r="N486" i="62"/>
  <c r="AM471" i="62"/>
  <c r="AG486" i="62"/>
  <c r="Z469" i="62"/>
  <c r="R459" i="62"/>
  <c r="AD471" i="62"/>
  <c r="AP471" i="62"/>
  <c r="F471" i="62"/>
  <c r="AH471" i="62"/>
  <c r="AO454" i="62"/>
  <c r="AL469" i="62"/>
  <c r="G486" i="62"/>
  <c r="AP486" i="62"/>
  <c r="R471" i="62"/>
  <c r="W469" i="62"/>
  <c r="O469" i="62"/>
  <c r="X469" i="62"/>
  <c r="Y486" i="62"/>
  <c r="W486" i="62"/>
  <c r="F486" i="62"/>
  <c r="C488" i="62"/>
  <c r="A488" i="62" s="1"/>
  <c r="R488" i="62" s="1"/>
  <c r="AR456" i="62"/>
  <c r="N456" i="62"/>
  <c r="AN456" i="62"/>
  <c r="J456" i="62"/>
  <c r="E465" i="62"/>
  <c r="R465" i="62"/>
  <c r="AA456" i="62"/>
  <c r="X473" i="62"/>
  <c r="L456" i="62"/>
  <c r="AF465" i="62"/>
  <c r="AC465" i="62"/>
  <c r="D456" i="62"/>
  <c r="AQ465" i="62"/>
  <c r="AE456" i="62"/>
  <c r="H456" i="62"/>
  <c r="C481" i="62"/>
  <c r="A481" i="62" s="1"/>
  <c r="N481" i="62" s="1"/>
  <c r="G456" i="62"/>
  <c r="AD473" i="62"/>
  <c r="I456" i="62"/>
  <c r="X465" i="62"/>
  <c r="M465" i="62"/>
  <c r="G465" i="62"/>
  <c r="Y456" i="62"/>
  <c r="AR465" i="62"/>
  <c r="AP456" i="62"/>
  <c r="Z465" i="62"/>
  <c r="S456" i="62"/>
  <c r="D473" i="62"/>
  <c r="AI456" i="62"/>
  <c r="AO465" i="62"/>
  <c r="F456" i="62"/>
  <c r="AK465" i="62"/>
  <c r="AM456" i="62"/>
  <c r="AQ456" i="62"/>
  <c r="AH456" i="62"/>
  <c r="M456" i="62"/>
  <c r="V456" i="62"/>
  <c r="P456" i="62"/>
  <c r="H465" i="62"/>
  <c r="AO456" i="62"/>
  <c r="AL456" i="62"/>
  <c r="E456" i="62"/>
  <c r="AM474" i="62"/>
  <c r="AD456" i="62"/>
  <c r="W456" i="62"/>
  <c r="D465" i="62"/>
  <c r="AK456" i="62"/>
  <c r="C483" i="62"/>
  <c r="A483" i="62" s="1"/>
  <c r="O483" i="62" s="1"/>
  <c r="N465" i="62"/>
  <c r="AD489" i="62"/>
  <c r="L489" i="62"/>
  <c r="AI489" i="62"/>
  <c r="AP489" i="62"/>
  <c r="J489" i="62"/>
  <c r="AR473" i="62"/>
  <c r="AL473" i="62"/>
  <c r="S473" i="62"/>
  <c r="AJ473" i="62"/>
  <c r="G489" i="62"/>
  <c r="I465" i="62"/>
  <c r="V489" i="62"/>
  <c r="T454" i="62"/>
  <c r="AK454" i="62"/>
  <c r="AA489" i="62"/>
  <c r="AB465" i="62"/>
  <c r="W465" i="62"/>
  <c r="AE489" i="62"/>
  <c r="S489" i="62"/>
  <c r="E489" i="62"/>
  <c r="AM480" i="62"/>
  <c r="AL480" i="62"/>
  <c r="K465" i="62"/>
  <c r="T473" i="62"/>
  <c r="Y473" i="62"/>
  <c r="AQ473" i="62"/>
  <c r="V473" i="62"/>
  <c r="AJ454" i="62"/>
  <c r="G454" i="62"/>
  <c r="AC454" i="62"/>
  <c r="S454" i="62"/>
  <c r="H454" i="62"/>
  <c r="AE454" i="62"/>
  <c r="AL489" i="62"/>
  <c r="J454" i="62"/>
  <c r="Q480" i="62"/>
  <c r="S465" i="62"/>
  <c r="AL454" i="62"/>
  <c r="L454" i="62"/>
  <c r="AP469" i="62"/>
  <c r="N469" i="62"/>
  <c r="AG473" i="62"/>
  <c r="N473" i="62"/>
  <c r="J473" i="62"/>
  <c r="Z489" i="62"/>
  <c r="N454" i="62"/>
  <c r="AH465" i="62"/>
  <c r="O489" i="62"/>
  <c r="P454" i="62"/>
  <c r="T489" i="62"/>
  <c r="V454" i="62"/>
  <c r="Y489" i="62"/>
  <c r="H473" i="62"/>
  <c r="F454" i="62"/>
  <c r="L465" i="62"/>
  <c r="F465" i="62"/>
  <c r="U465" i="62"/>
  <c r="U489" i="62"/>
  <c r="AM465" i="62"/>
  <c r="X489" i="62"/>
  <c r="M489" i="62"/>
  <c r="AO489" i="62"/>
  <c r="AN489" i="62"/>
  <c r="AN465" i="62"/>
  <c r="AE480" i="62"/>
  <c r="Q473" i="62"/>
  <c r="M473" i="62"/>
  <c r="AK473" i="62"/>
  <c r="AG489" i="62"/>
  <c r="AM473" i="62"/>
  <c r="Q489" i="62"/>
  <c r="AC489" i="62"/>
  <c r="U454" i="62"/>
  <c r="E454" i="62"/>
  <c r="AE465" i="62"/>
  <c r="D489" i="62"/>
  <c r="AR484" i="62"/>
  <c r="AC473" i="62"/>
  <c r="Z473" i="62"/>
  <c r="L473" i="62"/>
  <c r="AP473" i="62"/>
  <c r="AF489" i="62"/>
  <c r="AD454" i="62"/>
  <c r="AG465" i="62"/>
  <c r="Q454" i="62"/>
  <c r="J465" i="62"/>
  <c r="O465" i="62"/>
  <c r="AN469" i="62"/>
  <c r="N480" i="62"/>
  <c r="E473" i="62"/>
  <c r="AO473" i="62"/>
  <c r="G473" i="62"/>
  <c r="F473" i="62"/>
  <c r="O473" i="62"/>
  <c r="AF454" i="62"/>
  <c r="AJ465" i="62"/>
  <c r="AA465" i="62"/>
  <c r="H489" i="62"/>
  <c r="AB489" i="62"/>
  <c r="K454" i="62"/>
  <c r="E469" i="62"/>
  <c r="AB473" i="62"/>
  <c r="W473" i="62"/>
  <c r="P473" i="62"/>
  <c r="I473" i="62"/>
  <c r="AH489" i="62"/>
  <c r="AJ489" i="62"/>
  <c r="Q465" i="62"/>
  <c r="AG480" i="62"/>
  <c r="O454" i="62"/>
  <c r="I480" i="62"/>
  <c r="AN473" i="62"/>
  <c r="U473" i="62"/>
  <c r="K473" i="62"/>
  <c r="AD465" i="62"/>
  <c r="T465" i="62"/>
  <c r="P489" i="62"/>
  <c r="AK489" i="62"/>
  <c r="N489" i="62"/>
  <c r="AO469" i="62"/>
  <c r="Z475" i="62"/>
  <c r="AK480" i="62"/>
  <c r="S480" i="62"/>
  <c r="AH475" i="62"/>
  <c r="Q475" i="62"/>
  <c r="AD480" i="62"/>
  <c r="R480" i="62"/>
  <c r="AC480" i="62"/>
  <c r="F475" i="62"/>
  <c r="C468" i="62"/>
  <c r="A468" i="62" s="1"/>
  <c r="AG468" i="62" s="1"/>
  <c r="X480" i="62"/>
  <c r="AG475" i="62"/>
  <c r="AN480" i="62"/>
  <c r="G480" i="62"/>
  <c r="C482" i="62"/>
  <c r="A482" i="62" s="1"/>
  <c r="AB482" i="62" s="1"/>
  <c r="W480" i="62"/>
  <c r="T480" i="62"/>
  <c r="AO480" i="62"/>
  <c r="AR475" i="62"/>
  <c r="F480" i="62"/>
  <c r="AJ480" i="62"/>
  <c r="O480" i="62"/>
  <c r="Z480" i="62"/>
  <c r="AQ480" i="62"/>
  <c r="M480" i="62"/>
  <c r="D480" i="62"/>
  <c r="L480" i="62"/>
  <c r="J480" i="62"/>
  <c r="Y475" i="62"/>
  <c r="P480" i="62"/>
  <c r="U480" i="62"/>
  <c r="AR480" i="62"/>
  <c r="X461" i="62"/>
  <c r="R475" i="62"/>
  <c r="AK475" i="62"/>
  <c r="AA480" i="62"/>
  <c r="AH480" i="62"/>
  <c r="D461" i="62"/>
  <c r="AD461" i="62"/>
  <c r="N461" i="62"/>
  <c r="V461" i="62"/>
  <c r="AR461" i="62"/>
  <c r="AF475" i="62"/>
  <c r="AA475" i="62"/>
  <c r="Q461" i="62"/>
  <c r="Y461" i="62"/>
  <c r="G461" i="62"/>
  <c r="AC461" i="62"/>
  <c r="Z461" i="62"/>
  <c r="AB475" i="62"/>
  <c r="AA461" i="62"/>
  <c r="O461" i="62"/>
  <c r="H461" i="62"/>
  <c r="S461" i="62"/>
  <c r="AM475" i="62"/>
  <c r="AL461" i="62"/>
  <c r="D475" i="62"/>
  <c r="AD475" i="62"/>
  <c r="T461" i="62"/>
  <c r="AG459" i="62"/>
  <c r="AC475" i="62"/>
  <c r="I461" i="62"/>
  <c r="J459" i="62"/>
  <c r="X475" i="62"/>
  <c r="AP459" i="62"/>
  <c r="J475" i="62"/>
  <c r="F489" i="62"/>
  <c r="AJ461" i="62"/>
  <c r="G475" i="62"/>
  <c r="AI475" i="62"/>
  <c r="Z459" i="62"/>
  <c r="AO475" i="62"/>
  <c r="R461" i="62"/>
  <c r="M461" i="62"/>
  <c r="H475" i="62"/>
  <c r="AI461" i="62"/>
  <c r="AM459" i="62"/>
  <c r="K459" i="62"/>
  <c r="AQ475" i="62"/>
  <c r="AH461" i="62"/>
  <c r="P459" i="62"/>
  <c r="AJ475" i="62"/>
  <c r="L459" i="62"/>
  <c r="O459" i="62"/>
  <c r="AP475" i="62"/>
  <c r="AO461" i="62"/>
  <c r="T475" i="62"/>
  <c r="AQ459" i="62"/>
  <c r="AK461" i="62"/>
  <c r="AQ461" i="62"/>
  <c r="AF461" i="62"/>
  <c r="AA459" i="62"/>
  <c r="L475" i="62"/>
  <c r="W475" i="62"/>
  <c r="AF459" i="62"/>
  <c r="AN459" i="62"/>
  <c r="L461" i="62"/>
  <c r="J461" i="62"/>
  <c r="C491" i="62"/>
  <c r="A491" i="62" s="1"/>
  <c r="P491" i="62" s="1"/>
  <c r="K461" i="62"/>
  <c r="N475" i="62"/>
  <c r="I459" i="62"/>
  <c r="P475" i="62"/>
  <c r="G459" i="62"/>
  <c r="V459" i="62"/>
  <c r="W459" i="62"/>
  <c r="AP461" i="62"/>
  <c r="U461" i="62"/>
  <c r="H459" i="62"/>
  <c r="AL459" i="62"/>
  <c r="F461" i="62"/>
  <c r="AM461" i="62"/>
  <c r="E461" i="62"/>
  <c r="C479" i="62"/>
  <c r="A479" i="62" s="1"/>
  <c r="AJ479" i="62" s="1"/>
  <c r="K480" i="62"/>
  <c r="W461" i="62"/>
  <c r="AJ459" i="62"/>
  <c r="AG461" i="62"/>
  <c r="P461" i="62"/>
  <c r="Q459" i="62"/>
  <c r="AI459" i="62"/>
  <c r="AH459" i="62"/>
  <c r="U475" i="62"/>
  <c r="AE459" i="62"/>
  <c r="D459" i="62"/>
  <c r="N459" i="62"/>
  <c r="AP480" i="62"/>
  <c r="H480" i="62"/>
  <c r="AM489" i="62"/>
  <c r="AL475" i="62"/>
  <c r="Y480" i="62"/>
  <c r="K489" i="62"/>
  <c r="AR489" i="62"/>
  <c r="AQ489" i="62"/>
  <c r="E478" i="62"/>
  <c r="AN475" i="62"/>
  <c r="I475" i="62"/>
  <c r="O475" i="62"/>
  <c r="O478" i="62"/>
  <c r="H478" i="62"/>
  <c r="AF478" i="62"/>
  <c r="N478" i="62"/>
  <c r="AR478" i="62"/>
  <c r="V478" i="62"/>
  <c r="AD478" i="62"/>
  <c r="AG478" i="62"/>
  <c r="P478" i="62"/>
  <c r="X478" i="62"/>
  <c r="M478" i="62"/>
  <c r="AO478" i="62"/>
  <c r="AK478" i="62"/>
  <c r="AN478" i="62"/>
  <c r="W478" i="62"/>
  <c r="AC478" i="62"/>
  <c r="AJ478" i="62"/>
  <c r="Z478" i="62"/>
  <c r="AP478" i="62"/>
  <c r="L478" i="62"/>
  <c r="U478" i="62"/>
  <c r="I478" i="62"/>
  <c r="Y478" i="62"/>
  <c r="F478" i="62"/>
  <c r="AE478" i="62"/>
  <c r="R478" i="62"/>
  <c r="K478" i="62"/>
  <c r="AB478" i="62"/>
  <c r="G478" i="62"/>
  <c r="J478" i="62"/>
  <c r="AQ478" i="62"/>
  <c r="Q478" i="62"/>
  <c r="AA478" i="62"/>
  <c r="S478" i="62"/>
  <c r="AI478" i="62"/>
  <c r="T478" i="62"/>
  <c r="AH478" i="62"/>
  <c r="AL478" i="62"/>
  <c r="AH484" i="62"/>
  <c r="H484" i="62"/>
  <c r="S484" i="62"/>
  <c r="AF484" i="62"/>
  <c r="J484" i="62"/>
  <c r="I484" i="62"/>
  <c r="AK484" i="62"/>
  <c r="AC484" i="62"/>
  <c r="U484" i="62"/>
  <c r="T484" i="62"/>
  <c r="AI484" i="62"/>
  <c r="O484" i="62"/>
  <c r="F484" i="62"/>
  <c r="D484" i="62"/>
  <c r="Q484" i="62"/>
  <c r="AB484" i="62"/>
  <c r="E484" i="62"/>
  <c r="AG484" i="62"/>
  <c r="R484" i="62"/>
  <c r="AL484" i="62"/>
  <c r="AO484" i="62"/>
  <c r="M484" i="62"/>
  <c r="K484" i="62"/>
  <c r="N484" i="62"/>
  <c r="P484" i="62"/>
  <c r="AD484" i="62"/>
  <c r="V484" i="62"/>
  <c r="Z484" i="62"/>
  <c r="AJ484" i="62"/>
  <c r="X484" i="62"/>
  <c r="AQ484" i="62"/>
  <c r="G484" i="62"/>
  <c r="AN484" i="62"/>
  <c r="AA484" i="62"/>
  <c r="AM484" i="62"/>
  <c r="L484" i="62"/>
  <c r="AP484" i="62"/>
  <c r="Y484" i="62"/>
  <c r="W484" i="62"/>
  <c r="K490" i="62"/>
  <c r="AA490" i="62"/>
  <c r="AI490" i="62"/>
  <c r="AB490" i="62"/>
  <c r="AO490" i="62"/>
  <c r="Y490" i="62"/>
  <c r="G490" i="62"/>
  <c r="U490" i="62"/>
  <c r="F490" i="62"/>
  <c r="AG490" i="62"/>
  <c r="M490" i="62"/>
  <c r="AP490" i="62"/>
  <c r="S490" i="62"/>
  <c r="L490" i="62"/>
  <c r="W490" i="62"/>
  <c r="E490" i="62"/>
  <c r="Z490" i="62"/>
  <c r="Q490" i="62"/>
  <c r="AN490" i="62"/>
  <c r="J490" i="62"/>
  <c r="AC490" i="62"/>
  <c r="AF490" i="62"/>
  <c r="AL490" i="62"/>
  <c r="R490" i="62"/>
  <c r="T490" i="62"/>
  <c r="AK490" i="62"/>
  <c r="P490" i="62"/>
  <c r="AM490" i="62"/>
  <c r="H490" i="62"/>
  <c r="I490" i="62"/>
  <c r="N490" i="62"/>
  <c r="AH490" i="62"/>
  <c r="AD490" i="62"/>
  <c r="D490" i="62"/>
  <c r="AE490" i="62"/>
  <c r="V490" i="62"/>
  <c r="AJ490" i="62"/>
  <c r="AQ490" i="62"/>
  <c r="X490" i="62"/>
  <c r="O490" i="62"/>
  <c r="F650" i="54"/>
  <c r="I650" i="54" s="1"/>
  <c r="D174" i="59"/>
  <c r="B31" i="53"/>
  <c r="D191" i="67"/>
  <c r="B6" i="68" s="1"/>
  <c r="C68" i="68" s="1"/>
  <c r="D191" i="51"/>
  <c r="B6" i="52" s="1"/>
  <c r="C54" i="52" s="1"/>
  <c r="U453" i="54" l="1"/>
  <c r="AR482" i="54"/>
  <c r="I453" i="54"/>
  <c r="Z453" i="54"/>
  <c r="C452" i="46"/>
  <c r="B445" i="46"/>
  <c r="N493" i="46" s="1"/>
  <c r="N449" i="46" s="1"/>
  <c r="N494" i="46" s="1"/>
  <c r="N452" i="54"/>
  <c r="U465" i="54"/>
  <c r="X452" i="54"/>
  <c r="L452" i="54"/>
  <c r="AH452" i="54"/>
  <c r="AR480" i="54"/>
  <c r="S452" i="54"/>
  <c r="AN453" i="54"/>
  <c r="C475" i="54"/>
  <c r="A475" i="54" s="1"/>
  <c r="AD475" i="54" s="1"/>
  <c r="AK453" i="54"/>
  <c r="G453" i="54"/>
  <c r="O452" i="54"/>
  <c r="G462" i="54"/>
  <c r="F453" i="54"/>
  <c r="X462" i="54"/>
  <c r="N462" i="54"/>
  <c r="Q462" i="54"/>
  <c r="AN462" i="54"/>
  <c r="C486" i="54"/>
  <c r="A486" i="54" s="1"/>
  <c r="AN486" i="54" s="1"/>
  <c r="AH462" i="54"/>
  <c r="C457" i="54"/>
  <c r="A457" i="54" s="1"/>
  <c r="AM457" i="54" s="1"/>
  <c r="O462" i="54"/>
  <c r="I462" i="54"/>
  <c r="P462" i="54"/>
  <c r="U462" i="54"/>
  <c r="AK462" i="54"/>
  <c r="AH454" i="54"/>
  <c r="S462" i="54"/>
  <c r="C468" i="54"/>
  <c r="A468" i="54" s="1"/>
  <c r="AM468" i="54" s="1"/>
  <c r="C471" i="54"/>
  <c r="A471" i="54" s="1"/>
  <c r="AK471" i="54" s="1"/>
  <c r="I465" i="54"/>
  <c r="Z465" i="54"/>
  <c r="AN465" i="54"/>
  <c r="Y462" i="54"/>
  <c r="F465" i="54"/>
  <c r="R462" i="54"/>
  <c r="R453" i="54"/>
  <c r="AR489" i="54"/>
  <c r="AR459" i="54"/>
  <c r="G465" i="54"/>
  <c r="D465" i="54"/>
  <c r="E465" i="54"/>
  <c r="P465" i="54"/>
  <c r="C479" i="54"/>
  <c r="A479" i="54" s="1"/>
  <c r="AN479" i="54" s="1"/>
  <c r="AM453" i="54"/>
  <c r="L465" i="54"/>
  <c r="N465" i="54"/>
  <c r="F462" i="54"/>
  <c r="AP462" i="54"/>
  <c r="D462" i="54"/>
  <c r="AR462" i="54"/>
  <c r="E462" i="54"/>
  <c r="T462" i="54"/>
  <c r="AB462" i="54"/>
  <c r="L462" i="54"/>
  <c r="Z462" i="54"/>
  <c r="Y465" i="54"/>
  <c r="J465" i="54"/>
  <c r="R465" i="54"/>
  <c r="O465" i="54"/>
  <c r="X465" i="54"/>
  <c r="C463" i="54"/>
  <c r="A463" i="54" s="1"/>
  <c r="F463" i="54" s="1"/>
  <c r="C490" i="54"/>
  <c r="A490" i="54" s="1"/>
  <c r="Z490" i="54" s="1"/>
  <c r="Y453" i="54"/>
  <c r="S465" i="54"/>
  <c r="AC465" i="54"/>
  <c r="AK454" i="54"/>
  <c r="AR469" i="54"/>
  <c r="R454" i="54"/>
  <c r="U454" i="54"/>
  <c r="C456" i="54"/>
  <c r="A456" i="54" s="1"/>
  <c r="AI456" i="54" s="1"/>
  <c r="AC452" i="54"/>
  <c r="V462" i="54"/>
  <c r="AO465" i="54"/>
  <c r="AO452" i="54"/>
  <c r="AC483" i="54"/>
  <c r="AC462" i="54"/>
  <c r="AJ453" i="54"/>
  <c r="AR492" i="54"/>
  <c r="AC453" i="54"/>
  <c r="V465" i="54"/>
  <c r="AJ462" i="54"/>
  <c r="AR478" i="54"/>
  <c r="C487" i="54"/>
  <c r="A487" i="54" s="1"/>
  <c r="AH487" i="54" s="1"/>
  <c r="C464" i="54"/>
  <c r="A464" i="54" s="1"/>
  <c r="G464" i="54" s="1"/>
  <c r="C484" i="54"/>
  <c r="A484" i="54" s="1"/>
  <c r="S484" i="54" s="1"/>
  <c r="P483" i="54"/>
  <c r="C458" i="54"/>
  <c r="A458" i="54" s="1"/>
  <c r="AH458" i="54" s="1"/>
  <c r="AK483" i="54"/>
  <c r="Z483" i="54"/>
  <c r="V483" i="54"/>
  <c r="AR473" i="54"/>
  <c r="AR472" i="54"/>
  <c r="C461" i="54"/>
  <c r="A461" i="54" s="1"/>
  <c r="AG461" i="54" s="1"/>
  <c r="C481" i="54"/>
  <c r="A481" i="54" s="1"/>
  <c r="D481" i="54" s="1"/>
  <c r="AO483" i="54"/>
  <c r="G483" i="54"/>
  <c r="AR466" i="54"/>
  <c r="S483" i="54"/>
  <c r="AR474" i="54"/>
  <c r="U483" i="54"/>
  <c r="AQ483" i="54"/>
  <c r="AJ465" i="54"/>
  <c r="L483" i="54"/>
  <c r="C485" i="54"/>
  <c r="A485" i="54" s="1"/>
  <c r="AI485" i="54" s="1"/>
  <c r="C488" i="54"/>
  <c r="A488" i="54" s="1"/>
  <c r="J488" i="54" s="1"/>
  <c r="AH483" i="54"/>
  <c r="N483" i="54"/>
  <c r="C470" i="54"/>
  <c r="A470" i="54" s="1"/>
  <c r="AH470" i="54" s="1"/>
  <c r="E483" i="54"/>
  <c r="AH465" i="54"/>
  <c r="AK465" i="54"/>
  <c r="R483" i="54"/>
  <c r="Y483" i="54"/>
  <c r="AR477" i="54"/>
  <c r="C467" i="54"/>
  <c r="A467" i="54" s="1"/>
  <c r="AN467" i="54" s="1"/>
  <c r="C455" i="54"/>
  <c r="A455" i="54" s="1"/>
  <c r="AK455" i="54" s="1"/>
  <c r="C476" i="54"/>
  <c r="A476" i="54" s="1"/>
  <c r="AJ476" i="54" s="1"/>
  <c r="D483" i="54"/>
  <c r="AN483" i="54"/>
  <c r="K483" i="54"/>
  <c r="O483" i="54"/>
  <c r="AR483" i="54"/>
  <c r="X483" i="54"/>
  <c r="AD483" i="54"/>
  <c r="F483" i="54"/>
  <c r="AJ483" i="54"/>
  <c r="I483" i="54"/>
  <c r="AC454" i="54"/>
  <c r="N454" i="54"/>
  <c r="C460" i="54"/>
  <c r="A460" i="54" s="1"/>
  <c r="W460" i="54" s="1"/>
  <c r="AN454" i="54"/>
  <c r="AJ454" i="54"/>
  <c r="S454" i="54"/>
  <c r="E454" i="54"/>
  <c r="X454" i="54"/>
  <c r="M454" i="54"/>
  <c r="G454" i="54"/>
  <c r="AL465" i="54"/>
  <c r="Y454" i="54"/>
  <c r="AG454" i="54"/>
  <c r="L454" i="54"/>
  <c r="AO454" i="54"/>
  <c r="O454" i="54"/>
  <c r="C491" i="54"/>
  <c r="A491" i="54" s="1"/>
  <c r="AK491" i="54" s="1"/>
  <c r="AF465" i="54"/>
  <c r="F454" i="54"/>
  <c r="I454" i="54"/>
  <c r="D454" i="54"/>
  <c r="Z454" i="54"/>
  <c r="AM465" i="54"/>
  <c r="AI483" i="54"/>
  <c r="AI462" i="54"/>
  <c r="AI465" i="54"/>
  <c r="AG462" i="54"/>
  <c r="AI453" i="54"/>
  <c r="AF454" i="54"/>
  <c r="V454" i="54"/>
  <c r="AF452" i="54"/>
  <c r="AO462" i="54"/>
  <c r="V453" i="54"/>
  <c r="AG452" i="54"/>
  <c r="AG465" i="54"/>
  <c r="AA465" i="54"/>
  <c r="AG483" i="54"/>
  <c r="AE462" i="54"/>
  <c r="AE483" i="54"/>
  <c r="AE465" i="54"/>
  <c r="AM462" i="54"/>
  <c r="AM483" i="54"/>
  <c r="AM454" i="54"/>
  <c r="AE452" i="54"/>
  <c r="AE454" i="54"/>
  <c r="M453" i="54"/>
  <c r="AL462" i="54"/>
  <c r="AA454" i="54"/>
  <c r="AG453" i="54"/>
  <c r="W483" i="54"/>
  <c r="W465" i="54"/>
  <c r="W452" i="54"/>
  <c r="Q454" i="54"/>
  <c r="Q483" i="54"/>
  <c r="Q465" i="54"/>
  <c r="W462" i="54"/>
  <c r="W454" i="54"/>
  <c r="Q453" i="54"/>
  <c r="Q452" i="54"/>
  <c r="AA483" i="54"/>
  <c r="AL483" i="54"/>
  <c r="AQ453" i="54"/>
  <c r="AL453" i="54"/>
  <c r="AL454" i="54"/>
  <c r="AA462" i="54"/>
  <c r="AQ462" i="54"/>
  <c r="AL452" i="54"/>
  <c r="AA452" i="54"/>
  <c r="M465" i="54"/>
  <c r="AQ465" i="54"/>
  <c r="M462" i="54"/>
  <c r="AB454" i="54"/>
  <c r="AB483" i="54"/>
  <c r="AB465" i="54"/>
  <c r="AB452" i="54"/>
  <c r="AD462" i="54"/>
  <c r="T465" i="54"/>
  <c r="H452" i="54"/>
  <c r="K465" i="54"/>
  <c r="K462" i="54"/>
  <c r="AD454" i="54"/>
  <c r="K453" i="54"/>
  <c r="AP452" i="54"/>
  <c r="K452" i="54"/>
  <c r="K454" i="54"/>
  <c r="AP483" i="54"/>
  <c r="AP454" i="54"/>
  <c r="M452" i="54"/>
  <c r="H483" i="54"/>
  <c r="T453" i="54"/>
  <c r="AI454" i="54"/>
  <c r="AD465" i="54"/>
  <c r="AF483" i="54"/>
  <c r="AB453" i="54"/>
  <c r="H462" i="54"/>
  <c r="J483" i="54"/>
  <c r="AP453" i="54"/>
  <c r="AF492" i="54"/>
  <c r="H454" i="54"/>
  <c r="M483" i="54"/>
  <c r="T483" i="54"/>
  <c r="AD453" i="54"/>
  <c r="J452" i="54"/>
  <c r="AQ452" i="54"/>
  <c r="J453" i="54"/>
  <c r="T454" i="54"/>
  <c r="H465" i="54"/>
  <c r="AP465" i="54"/>
  <c r="AF462" i="54"/>
  <c r="AD452" i="54"/>
  <c r="AF453" i="54"/>
  <c r="J462" i="54"/>
  <c r="T452" i="54"/>
  <c r="J454" i="54"/>
  <c r="AQ454" i="54"/>
  <c r="AC460" i="62"/>
  <c r="O460" i="62"/>
  <c r="AE460" i="62"/>
  <c r="AO460" i="62"/>
  <c r="L460" i="62"/>
  <c r="AG457" i="62"/>
  <c r="AK460" i="62"/>
  <c r="AG460" i="62"/>
  <c r="T460" i="62"/>
  <c r="V460" i="62"/>
  <c r="AQ460" i="62"/>
  <c r="Y460" i="62"/>
  <c r="J460" i="62"/>
  <c r="M460" i="62"/>
  <c r="Z460" i="62"/>
  <c r="Q460" i="62"/>
  <c r="P460" i="62"/>
  <c r="AA460" i="62"/>
  <c r="W460" i="62"/>
  <c r="AH460" i="62"/>
  <c r="G460" i="62"/>
  <c r="AL460" i="62"/>
  <c r="D460" i="62"/>
  <c r="AB460" i="62"/>
  <c r="U460" i="62"/>
  <c r="S460" i="62"/>
  <c r="N460" i="62"/>
  <c r="E460" i="62"/>
  <c r="AJ460" i="62"/>
  <c r="R460" i="62"/>
  <c r="H487" i="62"/>
  <c r="X460" i="62"/>
  <c r="AI460" i="62"/>
  <c r="H460" i="62"/>
  <c r="K460" i="62"/>
  <c r="AN460" i="62"/>
  <c r="AP460" i="62"/>
  <c r="I460" i="62"/>
  <c r="AM460" i="62"/>
  <c r="AF460" i="62"/>
  <c r="F460" i="62"/>
  <c r="AL457" i="62"/>
  <c r="S457" i="62"/>
  <c r="P457" i="62"/>
  <c r="AJ457" i="62"/>
  <c r="T457" i="62"/>
  <c r="AM457" i="62"/>
  <c r="R457" i="62"/>
  <c r="AE457" i="62"/>
  <c r="AC457" i="62"/>
  <c r="AF457" i="62"/>
  <c r="AQ457" i="62"/>
  <c r="AB457" i="62"/>
  <c r="E487" i="62"/>
  <c r="N457" i="62"/>
  <c r="F457" i="62"/>
  <c r="AN457" i="62"/>
  <c r="V457" i="62"/>
  <c r="J457" i="62"/>
  <c r="Q457" i="62"/>
  <c r="U457" i="62"/>
  <c r="AH457" i="62"/>
  <c r="G457" i="62"/>
  <c r="D457" i="62"/>
  <c r="AA457" i="62"/>
  <c r="I457" i="62"/>
  <c r="H457" i="62"/>
  <c r="O457" i="62"/>
  <c r="AK457" i="62"/>
  <c r="AO457" i="62"/>
  <c r="K457" i="62"/>
  <c r="AD457" i="62"/>
  <c r="Y457" i="62"/>
  <c r="X457" i="62"/>
  <c r="Z457" i="62"/>
  <c r="L457" i="62"/>
  <c r="AP457" i="62"/>
  <c r="E457" i="62"/>
  <c r="M457" i="62"/>
  <c r="AI457" i="62"/>
  <c r="S464" i="62"/>
  <c r="R464" i="62"/>
  <c r="AC464" i="62"/>
  <c r="AN467" i="62"/>
  <c r="U467" i="62"/>
  <c r="AH467" i="62"/>
  <c r="G462" i="62"/>
  <c r="U462" i="62"/>
  <c r="E467" i="62"/>
  <c r="J470" i="62"/>
  <c r="AM470" i="62"/>
  <c r="S492" i="62"/>
  <c r="N462" i="62"/>
  <c r="D487" i="62"/>
  <c r="AD467" i="62"/>
  <c r="M487" i="62"/>
  <c r="G467" i="62"/>
  <c r="W487" i="62"/>
  <c r="T467" i="62"/>
  <c r="U466" i="62"/>
  <c r="AH487" i="62"/>
  <c r="AO467" i="62"/>
  <c r="O491" i="62"/>
  <c r="AF487" i="62"/>
  <c r="AD487" i="62"/>
  <c r="AC487" i="62"/>
  <c r="AK467" i="62"/>
  <c r="AK464" i="62"/>
  <c r="AE464" i="62"/>
  <c r="D462" i="62"/>
  <c r="AE470" i="62"/>
  <c r="U464" i="62"/>
  <c r="Q464" i="62"/>
  <c r="AA464" i="62"/>
  <c r="T487" i="62"/>
  <c r="AP467" i="62"/>
  <c r="H464" i="62"/>
  <c r="H467" i="62"/>
  <c r="AI462" i="62"/>
  <c r="I492" i="62"/>
  <c r="O464" i="62"/>
  <c r="Q467" i="62"/>
  <c r="X464" i="62"/>
  <c r="AF467" i="62"/>
  <c r="E492" i="62"/>
  <c r="AQ464" i="62"/>
  <c r="K467" i="62"/>
  <c r="Z464" i="62"/>
  <c r="Z487" i="62"/>
  <c r="K487" i="62"/>
  <c r="N487" i="62"/>
  <c r="AE487" i="62"/>
  <c r="U487" i="62"/>
  <c r="AM487" i="62"/>
  <c r="I487" i="62"/>
  <c r="AB487" i="62"/>
  <c r="AF466" i="62"/>
  <c r="O487" i="62"/>
  <c r="AL487" i="62"/>
  <c r="Q466" i="62"/>
  <c r="AG487" i="62"/>
  <c r="AQ466" i="62"/>
  <c r="X487" i="62"/>
  <c r="P467" i="62"/>
  <c r="R463" i="62"/>
  <c r="AJ463" i="62"/>
  <c r="D463" i="62"/>
  <c r="F467" i="62"/>
  <c r="X467" i="62"/>
  <c r="AM492" i="62"/>
  <c r="AM464" i="62"/>
  <c r="D467" i="62"/>
  <c r="AM467" i="62"/>
  <c r="M467" i="62"/>
  <c r="AB464" i="62"/>
  <c r="AK462" i="62"/>
  <c r="S463" i="62"/>
  <c r="R467" i="62"/>
  <c r="F462" i="62"/>
  <c r="Q492" i="62"/>
  <c r="S467" i="62"/>
  <c r="AE467" i="62"/>
  <c r="AP462" i="62"/>
  <c r="R470" i="62"/>
  <c r="M492" i="62"/>
  <c r="AG464" i="62"/>
  <c r="J467" i="62"/>
  <c r="I467" i="62"/>
  <c r="AQ467" i="62"/>
  <c r="N464" i="62"/>
  <c r="I462" i="62"/>
  <c r="V467" i="62"/>
  <c r="S470" i="62"/>
  <c r="AJ492" i="62"/>
  <c r="L464" i="62"/>
  <c r="AL467" i="62"/>
  <c r="N467" i="62"/>
  <c r="Z467" i="62"/>
  <c r="AE491" i="62"/>
  <c r="AM462" i="62"/>
  <c r="S462" i="62"/>
  <c r="K470" i="62"/>
  <c r="W467" i="62"/>
  <c r="O467" i="62"/>
  <c r="AJ467" i="62"/>
  <c r="Y463" i="62"/>
  <c r="V463" i="62"/>
  <c r="M464" i="62"/>
  <c r="AB467" i="62"/>
  <c r="AC467" i="62"/>
  <c r="AI470" i="62"/>
  <c r="AL463" i="62"/>
  <c r="H463" i="62"/>
  <c r="AG467" i="62"/>
  <c r="AE466" i="62"/>
  <c r="AQ487" i="62"/>
  <c r="AO487" i="62"/>
  <c r="Y487" i="62"/>
  <c r="J464" i="62"/>
  <c r="T464" i="62"/>
  <c r="K464" i="62"/>
  <c r="AI464" i="62"/>
  <c r="H462" i="62"/>
  <c r="V462" i="62"/>
  <c r="T462" i="62"/>
  <c r="I466" i="62"/>
  <c r="AN487" i="62"/>
  <c r="G487" i="62"/>
  <c r="J487" i="62"/>
  <c r="L487" i="62"/>
  <c r="I464" i="62"/>
  <c r="AN464" i="62"/>
  <c r="AA462" i="62"/>
  <c r="O462" i="62"/>
  <c r="T488" i="62"/>
  <c r="N466" i="62"/>
  <c r="Z462" i="62"/>
  <c r="V487" i="62"/>
  <c r="AJ487" i="62"/>
  <c r="AK487" i="62"/>
  <c r="AO464" i="62"/>
  <c r="F464" i="62"/>
  <c r="Y462" i="62"/>
  <c r="P487" i="62"/>
  <c r="S487" i="62"/>
  <c r="R487" i="62"/>
  <c r="AI487" i="62"/>
  <c r="AF464" i="62"/>
  <c r="AP464" i="62"/>
  <c r="AQ462" i="62"/>
  <c r="R462" i="62"/>
  <c r="AL462" i="62"/>
  <c r="P462" i="62"/>
  <c r="AE462" i="62"/>
  <c r="AC462" i="62"/>
  <c r="AA487" i="62"/>
  <c r="F487" i="62"/>
  <c r="AP487" i="62"/>
  <c r="AH464" i="62"/>
  <c r="AJ464" i="62"/>
  <c r="Y464" i="62"/>
  <c r="AD462" i="62"/>
  <c r="X462" i="62"/>
  <c r="AB462" i="62"/>
  <c r="L462" i="62"/>
  <c r="W462" i="62"/>
  <c r="AJ462" i="62"/>
  <c r="AN462" i="62"/>
  <c r="E462" i="62"/>
  <c r="Q462" i="62"/>
  <c r="Q468" i="62"/>
  <c r="AO462" i="62"/>
  <c r="AF462" i="62"/>
  <c r="M462" i="62"/>
  <c r="AH462" i="62"/>
  <c r="J462" i="62"/>
  <c r="AG462" i="62"/>
  <c r="O492" i="62"/>
  <c r="V464" i="62"/>
  <c r="AG491" i="62"/>
  <c r="AF488" i="62"/>
  <c r="AC492" i="62"/>
  <c r="AK470" i="62"/>
  <c r="AK492" i="62"/>
  <c r="AP470" i="62"/>
  <c r="G464" i="62"/>
  <c r="D464" i="62"/>
  <c r="N483" i="62"/>
  <c r="T470" i="62"/>
  <c r="AE492" i="62"/>
  <c r="AQ470" i="62"/>
  <c r="D483" i="62"/>
  <c r="W470" i="62"/>
  <c r="AP492" i="62"/>
  <c r="AD464" i="62"/>
  <c r="W464" i="62"/>
  <c r="J483" i="62"/>
  <c r="P483" i="62"/>
  <c r="D470" i="62"/>
  <c r="AB492" i="62"/>
  <c r="AN483" i="62"/>
  <c r="AM483" i="62"/>
  <c r="O470" i="62"/>
  <c r="AI492" i="62"/>
  <c r="P464" i="62"/>
  <c r="E464" i="62"/>
  <c r="I470" i="62"/>
  <c r="AC470" i="62"/>
  <c r="AH491" i="62"/>
  <c r="AN491" i="62"/>
  <c r="K488" i="62"/>
  <c r="AQ491" i="62"/>
  <c r="I491" i="62"/>
  <c r="AI491" i="62"/>
  <c r="Q491" i="62"/>
  <c r="AB491" i="62"/>
  <c r="AN488" i="62"/>
  <c r="AL488" i="62"/>
  <c r="S483" i="62"/>
  <c r="N488" i="62"/>
  <c r="G491" i="62"/>
  <c r="W491" i="62"/>
  <c r="F491" i="62"/>
  <c r="AC483" i="62"/>
  <c r="E491" i="62"/>
  <c r="AI467" i="62"/>
  <c r="Y467" i="62"/>
  <c r="L467" i="62"/>
  <c r="AO491" i="62"/>
  <c r="U491" i="62"/>
  <c r="AK483" i="62"/>
  <c r="AD483" i="62"/>
  <c r="N470" i="62"/>
  <c r="AD463" i="62"/>
  <c r="J463" i="62"/>
  <c r="E463" i="62"/>
  <c r="Z463" i="62"/>
  <c r="AB463" i="62"/>
  <c r="M463" i="62"/>
  <c r="AI463" i="62"/>
  <c r="G463" i="62"/>
  <c r="Y491" i="62"/>
  <c r="AA472" i="62"/>
  <c r="O463" i="62"/>
  <c r="AJ491" i="62"/>
  <c r="L466" i="62"/>
  <c r="W472" i="62"/>
  <c r="N491" i="62"/>
  <c r="L491" i="62"/>
  <c r="F463" i="62"/>
  <c r="T463" i="62"/>
  <c r="K463" i="62"/>
  <c r="X463" i="62"/>
  <c r="AM491" i="62"/>
  <c r="U463" i="62"/>
  <c r="AK481" i="62"/>
  <c r="AL491" i="62"/>
  <c r="R491" i="62"/>
  <c r="AE463" i="62"/>
  <c r="AM463" i="62"/>
  <c r="Q463" i="62"/>
  <c r="J491" i="62"/>
  <c r="AC491" i="62"/>
  <c r="AG463" i="62"/>
  <c r="L463" i="62"/>
  <c r="AP463" i="62"/>
  <c r="AK463" i="62"/>
  <c r="AA463" i="62"/>
  <c r="AF463" i="62"/>
  <c r="AC463" i="62"/>
  <c r="AK491" i="62"/>
  <c r="AF491" i="62"/>
  <c r="X491" i="62"/>
  <c r="AQ463" i="62"/>
  <c r="I463" i="62"/>
  <c r="W463" i="62"/>
  <c r="P463" i="62"/>
  <c r="T482" i="62"/>
  <c r="AH463" i="62"/>
  <c r="F466" i="62"/>
  <c r="U472" i="62"/>
  <c r="S466" i="62"/>
  <c r="N492" i="62"/>
  <c r="H470" i="62"/>
  <c r="H491" i="62"/>
  <c r="S491" i="62"/>
  <c r="M491" i="62"/>
  <c r="E483" i="62"/>
  <c r="T491" i="62"/>
  <c r="N463" i="62"/>
  <c r="AO463" i="62"/>
  <c r="AN481" i="62"/>
  <c r="AH481" i="62"/>
  <c r="AN482" i="62"/>
  <c r="S482" i="62"/>
  <c r="AA482" i="62"/>
  <c r="E481" i="62"/>
  <c r="H482" i="62"/>
  <c r="S481" i="62"/>
  <c r="AG482" i="62"/>
  <c r="M482" i="62"/>
  <c r="AN466" i="62"/>
  <c r="AM466" i="62"/>
  <c r="Z492" i="62"/>
  <c r="H492" i="62"/>
  <c r="K492" i="62"/>
  <c r="G470" i="62"/>
  <c r="I481" i="62"/>
  <c r="AA481" i="62"/>
  <c r="Z483" i="62"/>
  <c r="AE483" i="62"/>
  <c r="AD470" i="62"/>
  <c r="AM488" i="62"/>
  <c r="AO470" i="62"/>
  <c r="H488" i="62"/>
  <c r="U470" i="62"/>
  <c r="D481" i="62"/>
  <c r="AJ481" i="62"/>
  <c r="AL482" i="62"/>
  <c r="G492" i="62"/>
  <c r="Q470" i="62"/>
  <c r="E470" i="62"/>
  <c r="AF481" i="62"/>
  <c r="E466" i="62"/>
  <c r="W466" i="62"/>
  <c r="W492" i="62"/>
  <c r="AO492" i="62"/>
  <c r="AL492" i="62"/>
  <c r="AH470" i="62"/>
  <c r="Q482" i="62"/>
  <c r="AI481" i="62"/>
  <c r="W483" i="62"/>
  <c r="AJ483" i="62"/>
  <c r="M481" i="62"/>
  <c r="AL470" i="62"/>
  <c r="AB488" i="62"/>
  <c r="AA488" i="62"/>
  <c r="AK488" i="62"/>
  <c r="AQ488" i="62"/>
  <c r="AL481" i="62"/>
  <c r="AC466" i="62"/>
  <c r="T492" i="62"/>
  <c r="AA492" i="62"/>
  <c r="AQ492" i="62"/>
  <c r="F470" i="62"/>
  <c r="U483" i="62"/>
  <c r="W481" i="62"/>
  <c r="AO482" i="62"/>
  <c r="V470" i="62"/>
  <c r="G482" i="62"/>
  <c r="E488" i="62"/>
  <c r="AN470" i="62"/>
  <c r="F488" i="62"/>
  <c r="AI488" i="62"/>
  <c r="AG481" i="62"/>
  <c r="J488" i="62"/>
  <c r="AH482" i="62"/>
  <c r="O466" i="62"/>
  <c r="Y466" i="62"/>
  <c r="R492" i="62"/>
  <c r="Y492" i="62"/>
  <c r="F492" i="62"/>
  <c r="AD492" i="62"/>
  <c r="AO483" i="62"/>
  <c r="U481" i="62"/>
  <c r="L470" i="62"/>
  <c r="AG470" i="62"/>
  <c r="L481" i="62"/>
  <c r="AE488" i="62"/>
  <c r="U488" i="62"/>
  <c r="V466" i="62"/>
  <c r="R466" i="62"/>
  <c r="U492" i="62"/>
  <c r="J492" i="62"/>
  <c r="X492" i="62"/>
  <c r="AN492" i="62"/>
  <c r="AF470" i="62"/>
  <c r="K482" i="62"/>
  <c r="Z470" i="62"/>
  <c r="AE481" i="62"/>
  <c r="I482" i="62"/>
  <c r="AB470" i="62"/>
  <c r="O488" i="62"/>
  <c r="AG488" i="62"/>
  <c r="G488" i="62"/>
  <c r="Z482" i="62"/>
  <c r="Z466" i="62"/>
  <c r="P492" i="62"/>
  <c r="AH492" i="62"/>
  <c r="J481" i="62"/>
  <c r="AC481" i="62"/>
  <c r="AA470" i="62"/>
  <c r="AJ470" i="62"/>
  <c r="Q481" i="62"/>
  <c r="AO466" i="62"/>
  <c r="G466" i="62"/>
  <c r="V492" i="62"/>
  <c r="AG492" i="62"/>
  <c r="AF492" i="62"/>
  <c r="D492" i="62"/>
  <c r="X470" i="62"/>
  <c r="K483" i="62"/>
  <c r="AQ483" i="62"/>
  <c r="V481" i="62"/>
  <c r="P481" i="62"/>
  <c r="Y483" i="62"/>
  <c r="AJ488" i="62"/>
  <c r="P470" i="62"/>
  <c r="Q488" i="62"/>
  <c r="Y470" i="62"/>
  <c r="J472" i="62"/>
  <c r="AL472" i="62"/>
  <c r="H472" i="62"/>
  <c r="L472" i="62"/>
  <c r="AI472" i="62"/>
  <c r="T466" i="62"/>
  <c r="M466" i="62"/>
  <c r="AJ466" i="62"/>
  <c r="AP466" i="62"/>
  <c r="AQ472" i="62"/>
  <c r="V482" i="62"/>
  <c r="Z491" i="62"/>
  <c r="L483" i="62"/>
  <c r="AA483" i="62"/>
  <c r="AG483" i="62"/>
  <c r="T483" i="62"/>
  <c r="K481" i="62"/>
  <c r="R481" i="62"/>
  <c r="G481" i="62"/>
  <c r="AM482" i="62"/>
  <c r="Q483" i="62"/>
  <c r="D488" i="62"/>
  <c r="V488" i="62"/>
  <c r="I488" i="62"/>
  <c r="AD466" i="62"/>
  <c r="AK466" i="62"/>
  <c r="AH466" i="62"/>
  <c r="D466" i="62"/>
  <c r="Q472" i="62"/>
  <c r="N472" i="62"/>
  <c r="R472" i="62"/>
  <c r="E482" i="62"/>
  <c r="O482" i="62"/>
  <c r="F481" i="62"/>
  <c r="AP483" i="62"/>
  <c r="AM481" i="62"/>
  <c r="AP481" i="62"/>
  <c r="AK482" i="62"/>
  <c r="U482" i="62"/>
  <c r="AH488" i="62"/>
  <c r="AO488" i="62"/>
  <c r="L488" i="62"/>
  <c r="AF482" i="62"/>
  <c r="H466" i="62"/>
  <c r="AA466" i="62"/>
  <c r="P466" i="62"/>
  <c r="AG466" i="62"/>
  <c r="AP472" i="62"/>
  <c r="O472" i="62"/>
  <c r="H481" i="62"/>
  <c r="AL483" i="62"/>
  <c r="AB483" i="62"/>
  <c r="Y481" i="62"/>
  <c r="D482" i="62"/>
  <c r="H483" i="62"/>
  <c r="N482" i="62"/>
  <c r="X482" i="62"/>
  <c r="F482" i="62"/>
  <c r="O481" i="62"/>
  <c r="AP482" i="62"/>
  <c r="P482" i="62"/>
  <c r="J466" i="62"/>
  <c r="F472" i="62"/>
  <c r="X481" i="62"/>
  <c r="AO481" i="62"/>
  <c r="F483" i="62"/>
  <c r="M483" i="62"/>
  <c r="AB481" i="62"/>
  <c r="T481" i="62"/>
  <c r="J482" i="62"/>
  <c r="R482" i="62"/>
  <c r="AD482" i="62"/>
  <c r="AC488" i="62"/>
  <c r="P488" i="62"/>
  <c r="S488" i="62"/>
  <c r="W488" i="62"/>
  <c r="AH472" i="62"/>
  <c r="T472" i="62"/>
  <c r="AF472" i="62"/>
  <c r="AQ482" i="62"/>
  <c r="AF483" i="62"/>
  <c r="X483" i="62"/>
  <c r="X466" i="62"/>
  <c r="AI466" i="62"/>
  <c r="W482" i="62"/>
  <c r="AE482" i="62"/>
  <c r="AB466" i="62"/>
  <c r="AL466" i="62"/>
  <c r="M472" i="62"/>
  <c r="K491" i="62"/>
  <c r="AP491" i="62"/>
  <c r="L482" i="62"/>
  <c r="AA491" i="62"/>
  <c r="AQ481" i="62"/>
  <c r="R483" i="62"/>
  <c r="Z481" i="62"/>
  <c r="AD481" i="62"/>
  <c r="AJ482" i="62"/>
  <c r="Y482" i="62"/>
  <c r="I483" i="62"/>
  <c r="AP488" i="62"/>
  <c r="X488" i="62"/>
  <c r="M488" i="62"/>
  <c r="Y488" i="62"/>
  <c r="Z488" i="62"/>
  <c r="AD488" i="62"/>
  <c r="Y468" i="62"/>
  <c r="AC472" i="62"/>
  <c r="P472" i="62"/>
  <c r="G472" i="62"/>
  <c r="AN472" i="62"/>
  <c r="AG472" i="62"/>
  <c r="I472" i="62"/>
  <c r="S472" i="62"/>
  <c r="AB472" i="62"/>
  <c r="X472" i="62"/>
  <c r="AM472" i="62"/>
  <c r="AE472" i="62"/>
  <c r="Z472" i="62"/>
  <c r="AO472" i="62"/>
  <c r="AK472" i="62"/>
  <c r="D472" i="62"/>
  <c r="V472" i="62"/>
  <c r="AD472" i="62"/>
  <c r="E472" i="62"/>
  <c r="Y472" i="62"/>
  <c r="AJ472" i="62"/>
  <c r="AM468" i="62"/>
  <c r="G483" i="62"/>
  <c r="AH483" i="62"/>
  <c r="V483" i="62"/>
  <c r="AI483" i="62"/>
  <c r="O468" i="62"/>
  <c r="M468" i="62"/>
  <c r="G468" i="62"/>
  <c r="AD468" i="62"/>
  <c r="F468" i="62"/>
  <c r="E468" i="62"/>
  <c r="AE468" i="62"/>
  <c r="V468" i="62"/>
  <c r="AA468" i="62"/>
  <c r="X468" i="62"/>
  <c r="AB468" i="62"/>
  <c r="K468" i="62"/>
  <c r="L468" i="62"/>
  <c r="R468" i="62"/>
  <c r="AK468" i="62"/>
  <c r="P468" i="62"/>
  <c r="D468" i="62"/>
  <c r="AI468" i="62"/>
  <c r="U468" i="62"/>
  <c r="N468" i="62"/>
  <c r="Z468" i="62"/>
  <c r="J468" i="62"/>
  <c r="I468" i="62"/>
  <c r="H468" i="62"/>
  <c r="T468" i="62"/>
  <c r="AN468" i="62"/>
  <c r="AC468" i="62"/>
  <c r="AO468" i="62"/>
  <c r="AH468" i="62"/>
  <c r="N479" i="62"/>
  <c r="AD479" i="62"/>
  <c r="AC479" i="62"/>
  <c r="U479" i="62"/>
  <c r="AP468" i="62"/>
  <c r="AJ468" i="62"/>
  <c r="AL468" i="62"/>
  <c r="AF468" i="62"/>
  <c r="V479" i="62"/>
  <c r="AQ479" i="62"/>
  <c r="E479" i="62"/>
  <c r="S479" i="62"/>
  <c r="L479" i="62"/>
  <c r="Z479" i="62"/>
  <c r="AA479" i="62"/>
  <c r="AB479" i="62"/>
  <c r="AI479" i="62"/>
  <c r="O479" i="62"/>
  <c r="AO479" i="62"/>
  <c r="H479" i="62"/>
  <c r="S468" i="62"/>
  <c r="AH479" i="62"/>
  <c r="K479" i="62"/>
  <c r="M479" i="62"/>
  <c r="V491" i="62"/>
  <c r="AE479" i="62"/>
  <c r="D491" i="62"/>
  <c r="AD491" i="62"/>
  <c r="G479" i="62"/>
  <c r="AI482" i="62"/>
  <c r="AQ468" i="62"/>
  <c r="W468" i="62"/>
  <c r="AC482" i="62"/>
  <c r="Y479" i="62"/>
  <c r="X479" i="62"/>
  <c r="D479" i="62"/>
  <c r="I479" i="62"/>
  <c r="AL479" i="62"/>
  <c r="AN479" i="62"/>
  <c r="W479" i="62"/>
  <c r="T479" i="62"/>
  <c r="Q479" i="62"/>
  <c r="R479" i="62"/>
  <c r="P479" i="62"/>
  <c r="F479" i="62"/>
  <c r="AF479" i="62"/>
  <c r="AG479" i="62"/>
  <c r="AK479" i="62"/>
  <c r="AM479" i="62"/>
  <c r="J479" i="62"/>
  <c r="AP479" i="62"/>
  <c r="C36" i="52"/>
  <c r="C64" i="68"/>
  <c r="C37" i="52"/>
  <c r="C48" i="68"/>
  <c r="C50" i="52"/>
  <c r="C65" i="52"/>
  <c r="C37" i="68"/>
  <c r="C45" i="68"/>
  <c r="C41" i="68"/>
  <c r="C39" i="68"/>
  <c r="C67" i="68"/>
  <c r="C40" i="68"/>
  <c r="C54" i="68"/>
  <c r="C44" i="68"/>
  <c r="C58" i="68"/>
  <c r="C66" i="68"/>
  <c r="C38" i="68"/>
  <c r="C75" i="68"/>
  <c r="C43" i="68"/>
  <c r="C57" i="68"/>
  <c r="C76" i="68"/>
  <c r="C53" i="68"/>
  <c r="C61" i="68"/>
  <c r="C35" i="68"/>
  <c r="C47" i="68"/>
  <c r="C51" i="68"/>
  <c r="C42" i="68"/>
  <c r="C57" i="52"/>
  <c r="C76" i="52"/>
  <c r="C52" i="52"/>
  <c r="C46" i="52"/>
  <c r="C64" i="52"/>
  <c r="C60" i="68"/>
  <c r="C65" i="68"/>
  <c r="C42" i="52"/>
  <c r="C39" i="52"/>
  <c r="C63" i="68"/>
  <c r="C59" i="68"/>
  <c r="C49" i="68"/>
  <c r="C58" i="52"/>
  <c r="C43" i="52"/>
  <c r="C40" i="52"/>
  <c r="C45" i="52"/>
  <c r="C55" i="68"/>
  <c r="C56" i="68"/>
  <c r="C52" i="68"/>
  <c r="C46" i="68"/>
  <c r="C50" i="68"/>
  <c r="C55" i="52"/>
  <c r="C62" i="68"/>
  <c r="C73" i="68"/>
  <c r="C35" i="52"/>
  <c r="C75" i="52"/>
  <c r="C56" i="52"/>
  <c r="C51" i="52"/>
  <c r="C38" i="52"/>
  <c r="C61" i="52"/>
  <c r="C59" i="52"/>
  <c r="C53" i="52"/>
  <c r="C73" i="52"/>
  <c r="C67" i="52"/>
  <c r="C36" i="68"/>
  <c r="C68" i="52"/>
  <c r="C66" i="52"/>
  <c r="AK473" i="54"/>
  <c r="U473" i="54"/>
  <c r="L473" i="54"/>
  <c r="V473" i="54"/>
  <c r="G473" i="54"/>
  <c r="W473" i="54"/>
  <c r="AF473" i="54"/>
  <c r="AG473" i="54"/>
  <c r="D473" i="54"/>
  <c r="S473" i="54"/>
  <c r="X473" i="54"/>
  <c r="R473" i="54"/>
  <c r="AI473" i="54"/>
  <c r="F473" i="54"/>
  <c r="T473" i="54"/>
  <c r="AO473" i="54"/>
  <c r="AN473" i="54"/>
  <c r="AB473" i="54"/>
  <c r="K473" i="54"/>
  <c r="J473" i="54"/>
  <c r="E473" i="54"/>
  <c r="M473" i="54"/>
  <c r="AD473" i="54"/>
  <c r="Q473" i="54"/>
  <c r="AE473" i="54"/>
  <c r="P473" i="54"/>
  <c r="H473" i="54"/>
  <c r="AP473" i="54"/>
  <c r="Y473" i="54"/>
  <c r="AC473" i="54"/>
  <c r="O473" i="54"/>
  <c r="AL473" i="54"/>
  <c r="N473" i="54"/>
  <c r="AM473" i="54"/>
  <c r="I473" i="54"/>
  <c r="AJ473" i="54"/>
  <c r="Z473" i="54"/>
  <c r="AQ473" i="54"/>
  <c r="AH473" i="54"/>
  <c r="AA473" i="54"/>
  <c r="M480" i="54"/>
  <c r="T480" i="54"/>
  <c r="AJ480" i="54"/>
  <c r="AB480" i="54"/>
  <c r="AP480" i="54"/>
  <c r="AQ480" i="54"/>
  <c r="AG480" i="54"/>
  <c r="X480" i="54"/>
  <c r="Y480" i="54"/>
  <c r="AK480" i="54"/>
  <c r="K480" i="54"/>
  <c r="F480" i="54"/>
  <c r="V480" i="54"/>
  <c r="I480" i="54"/>
  <c r="S480" i="54"/>
  <c r="AF480" i="54"/>
  <c r="H480" i="54"/>
  <c r="G480" i="54"/>
  <c r="W480" i="54"/>
  <c r="AA480" i="54"/>
  <c r="AD480" i="54"/>
  <c r="AE480" i="54"/>
  <c r="AI480" i="54"/>
  <c r="P480" i="54"/>
  <c r="Q480" i="54"/>
  <c r="Z480" i="54"/>
  <c r="J480" i="54"/>
  <c r="R480" i="54"/>
  <c r="AN480" i="54"/>
  <c r="U480" i="54"/>
  <c r="AH480" i="54"/>
  <c r="L480" i="54"/>
  <c r="O480" i="54"/>
  <c r="N480" i="54"/>
  <c r="AL480" i="54"/>
  <c r="AM480" i="54"/>
  <c r="AC480" i="54"/>
  <c r="AO480" i="54"/>
  <c r="D480" i="54"/>
  <c r="E480" i="54"/>
  <c r="AD469" i="54"/>
  <c r="F469" i="54"/>
  <c r="AA469" i="54"/>
  <c r="AE469" i="54"/>
  <c r="S469" i="54"/>
  <c r="AM469" i="54"/>
  <c r="Z469" i="54"/>
  <c r="J469" i="54"/>
  <c r="AG469" i="54"/>
  <c r="T469" i="54"/>
  <c r="X469" i="54"/>
  <c r="AO469" i="54"/>
  <c r="AF469" i="54"/>
  <c r="D469" i="54"/>
  <c r="V469" i="54"/>
  <c r="AB469" i="54"/>
  <c r="AK469" i="54"/>
  <c r="AC469" i="54"/>
  <c r="Q469" i="54"/>
  <c r="Y469" i="54"/>
  <c r="P469" i="54"/>
  <c r="AL469" i="54"/>
  <c r="AP469" i="54"/>
  <c r="AI469" i="54"/>
  <c r="M469" i="54"/>
  <c r="AQ469" i="54"/>
  <c r="AJ469" i="54"/>
  <c r="AH469" i="54"/>
  <c r="U469" i="54"/>
  <c r="O469" i="54"/>
  <c r="AN469" i="54"/>
  <c r="R469" i="54"/>
  <c r="W469" i="54"/>
  <c r="I469" i="54"/>
  <c r="H469" i="54"/>
  <c r="N469" i="54"/>
  <c r="G469" i="54"/>
  <c r="K469" i="54"/>
  <c r="L469" i="54"/>
  <c r="E469" i="54"/>
  <c r="N466" i="54"/>
  <c r="I466" i="54"/>
  <c r="M466" i="54"/>
  <c r="D466" i="54"/>
  <c r="AN466" i="54"/>
  <c r="AF466" i="54"/>
  <c r="AK466" i="54"/>
  <c r="AA466" i="54"/>
  <c r="J466" i="54"/>
  <c r="G466" i="54"/>
  <c r="Q466" i="54"/>
  <c r="P466" i="54"/>
  <c r="E466" i="54"/>
  <c r="U466" i="54"/>
  <c r="AG466" i="54"/>
  <c r="AE466" i="54"/>
  <c r="W466" i="54"/>
  <c r="F466" i="54"/>
  <c r="AQ466" i="54"/>
  <c r="T466" i="54"/>
  <c r="S466" i="54"/>
  <c r="AB466" i="54"/>
  <c r="K466" i="54"/>
  <c r="X466" i="54"/>
  <c r="AI466" i="54"/>
  <c r="AH466" i="54"/>
  <c r="V466" i="54"/>
  <c r="O466" i="54"/>
  <c r="H466" i="54"/>
  <c r="AJ466" i="54"/>
  <c r="AM466" i="54"/>
  <c r="R466" i="54"/>
  <c r="AL466" i="54"/>
  <c r="AP466" i="54"/>
  <c r="AD466" i="54"/>
  <c r="Y466" i="54"/>
  <c r="AO466" i="54"/>
  <c r="L466" i="54"/>
  <c r="Z466" i="54"/>
  <c r="AC466" i="54"/>
  <c r="AI472" i="54"/>
  <c r="AQ472" i="54"/>
  <c r="J472" i="54"/>
  <c r="N472" i="54"/>
  <c r="AH472" i="54"/>
  <c r="M472" i="54"/>
  <c r="K472" i="54"/>
  <c r="I472" i="54"/>
  <c r="AF472" i="54"/>
  <c r="AN472" i="54"/>
  <c r="D472" i="54"/>
  <c r="E472" i="54"/>
  <c r="G472" i="54"/>
  <c r="Q472" i="54"/>
  <c r="AL472" i="54"/>
  <c r="AA472" i="54"/>
  <c r="AD472" i="54"/>
  <c r="AP472" i="54"/>
  <c r="AE472" i="54"/>
  <c r="P472" i="54"/>
  <c r="X472" i="54"/>
  <c r="Y472" i="54"/>
  <c r="H472" i="54"/>
  <c r="AC472" i="54"/>
  <c r="O472" i="54"/>
  <c r="AB472" i="54"/>
  <c r="R472" i="54"/>
  <c r="L472" i="54"/>
  <c r="V472" i="54"/>
  <c r="U472" i="54"/>
  <c r="T472" i="54"/>
  <c r="AO472" i="54"/>
  <c r="AM472" i="54"/>
  <c r="S472" i="54"/>
  <c r="W472" i="54"/>
  <c r="AJ472" i="54"/>
  <c r="Z472" i="54"/>
  <c r="F472" i="54"/>
  <c r="AK472" i="54"/>
  <c r="AG472" i="54"/>
  <c r="AE482" i="54"/>
  <c r="AM482" i="54"/>
  <c r="P482" i="54"/>
  <c r="O482" i="54"/>
  <c r="T482" i="54"/>
  <c r="AG482" i="54"/>
  <c r="Y482" i="54"/>
  <c r="L482" i="54"/>
  <c r="AL482" i="54"/>
  <c r="G482" i="54"/>
  <c r="X482" i="54"/>
  <c r="I482" i="54"/>
  <c r="AB482" i="54"/>
  <c r="AK482" i="54"/>
  <c r="R482" i="54"/>
  <c r="F482" i="54"/>
  <c r="AJ482" i="54"/>
  <c r="AN482" i="54"/>
  <c r="AI482" i="54"/>
  <c r="Q482" i="54"/>
  <c r="AA482" i="54"/>
  <c r="H482" i="54"/>
  <c r="K482" i="54"/>
  <c r="U482" i="54"/>
  <c r="D482" i="54"/>
  <c r="AC482" i="54"/>
  <c r="AO482" i="54"/>
  <c r="E482" i="54"/>
  <c r="AD482" i="54"/>
  <c r="Z482" i="54"/>
  <c r="N482" i="54"/>
  <c r="M482" i="54"/>
  <c r="W482" i="54"/>
  <c r="AF482" i="54"/>
  <c r="AH482" i="54"/>
  <c r="S482" i="54"/>
  <c r="V482" i="54"/>
  <c r="J482" i="54"/>
  <c r="AP482" i="54"/>
  <c r="AQ482" i="54"/>
  <c r="AE474" i="54"/>
  <c r="O474" i="54"/>
  <c r="AL474" i="54"/>
  <c r="M474" i="54"/>
  <c r="AN474" i="54"/>
  <c r="S474" i="54"/>
  <c r="AC474" i="54"/>
  <c r="F474" i="54"/>
  <c r="Y474" i="54"/>
  <c r="W474" i="54"/>
  <c r="E474" i="54"/>
  <c r="J474" i="54"/>
  <c r="G474" i="54"/>
  <c r="D474" i="54"/>
  <c r="X474" i="54"/>
  <c r="Z474" i="54"/>
  <c r="AH474" i="54"/>
  <c r="V474" i="54"/>
  <c r="AB474" i="54"/>
  <c r="AK474" i="54"/>
  <c r="AP474" i="54"/>
  <c r="U474" i="54"/>
  <c r="AO474" i="54"/>
  <c r="AA474" i="54"/>
  <c r="AF474" i="54"/>
  <c r="AM474" i="54"/>
  <c r="AD474" i="54"/>
  <c r="R474" i="54"/>
  <c r="K474" i="54"/>
  <c r="P474" i="54"/>
  <c r="AG474" i="54"/>
  <c r="T474" i="54"/>
  <c r="I474" i="54"/>
  <c r="AQ474" i="54"/>
  <c r="L474" i="54"/>
  <c r="Q474" i="54"/>
  <c r="AI474" i="54"/>
  <c r="H474" i="54"/>
  <c r="AJ474" i="54"/>
  <c r="N474" i="54"/>
  <c r="T478" i="54"/>
  <c r="Q478" i="54"/>
  <c r="N478" i="54"/>
  <c r="H478" i="54"/>
  <c r="AO478" i="54"/>
  <c r="AA478" i="54"/>
  <c r="I478" i="54"/>
  <c r="X478" i="54"/>
  <c r="U478" i="54"/>
  <c r="P478" i="54"/>
  <c r="E478" i="54"/>
  <c r="L478" i="54"/>
  <c r="K478" i="54"/>
  <c r="W478" i="54"/>
  <c r="AF478" i="54"/>
  <c r="AB478" i="54"/>
  <c r="M478" i="54"/>
  <c r="AN478" i="54"/>
  <c r="AK478" i="54"/>
  <c r="V478" i="54"/>
  <c r="AG478" i="54"/>
  <c r="G478" i="54"/>
  <c r="AQ478" i="54"/>
  <c r="AP478" i="54"/>
  <c r="AD478" i="54"/>
  <c r="F478" i="54"/>
  <c r="AL478" i="54"/>
  <c r="AM478" i="54"/>
  <c r="AC478" i="54"/>
  <c r="R478" i="54"/>
  <c r="AI478" i="54"/>
  <c r="D478" i="54"/>
  <c r="AH478" i="54"/>
  <c r="Z478" i="54"/>
  <c r="AJ478" i="54"/>
  <c r="AE478" i="54"/>
  <c r="S478" i="54"/>
  <c r="O478" i="54"/>
  <c r="J478" i="54"/>
  <c r="Y478" i="54"/>
  <c r="AC477" i="54"/>
  <c r="AF477" i="54"/>
  <c r="AD477" i="54"/>
  <c r="G477" i="54"/>
  <c r="U477" i="54"/>
  <c r="H477" i="54"/>
  <c r="AP477" i="54"/>
  <c r="T477" i="54"/>
  <c r="Y477" i="54"/>
  <c r="K477" i="54"/>
  <c r="X477" i="54"/>
  <c r="D477" i="54"/>
  <c r="AO477" i="54"/>
  <c r="AN477" i="54"/>
  <c r="AG477" i="54"/>
  <c r="L477" i="54"/>
  <c r="AE477" i="54"/>
  <c r="AL477" i="54"/>
  <c r="AJ477" i="54"/>
  <c r="F477" i="54"/>
  <c r="N477" i="54"/>
  <c r="AI477" i="54"/>
  <c r="P477" i="54"/>
  <c r="O477" i="54"/>
  <c r="E477" i="54"/>
  <c r="W477" i="54"/>
  <c r="AQ477" i="54"/>
  <c r="AB477" i="54"/>
  <c r="AK477" i="54"/>
  <c r="Z477" i="54"/>
  <c r="AH477" i="54"/>
  <c r="J477" i="54"/>
  <c r="V477" i="54"/>
  <c r="Q477" i="54"/>
  <c r="S477" i="54"/>
  <c r="I477" i="54"/>
  <c r="AA477" i="54"/>
  <c r="AM477" i="54"/>
  <c r="R477" i="54"/>
  <c r="M477" i="54"/>
  <c r="R459" i="54"/>
  <c r="AQ459" i="54"/>
  <c r="AF459" i="54"/>
  <c r="X459" i="54"/>
  <c r="AH459" i="54"/>
  <c r="U459" i="54"/>
  <c r="AG459" i="54"/>
  <c r="AP459" i="54"/>
  <c r="O459" i="54"/>
  <c r="AL459" i="54"/>
  <c r="I459" i="54"/>
  <c r="AK459" i="54"/>
  <c r="AD459" i="54"/>
  <c r="E459" i="54"/>
  <c r="Z459" i="54"/>
  <c r="AB459" i="54"/>
  <c r="AA459" i="54"/>
  <c r="K459" i="54"/>
  <c r="AO459" i="54"/>
  <c r="T459" i="54"/>
  <c r="F459" i="54"/>
  <c r="D459" i="54"/>
  <c r="W459" i="54"/>
  <c r="N459" i="54"/>
  <c r="L459" i="54"/>
  <c r="AM459" i="54"/>
  <c r="H459" i="54"/>
  <c r="AC459" i="54"/>
  <c r="Y459" i="54"/>
  <c r="M459" i="54"/>
  <c r="AE459" i="54"/>
  <c r="Q459" i="54"/>
  <c r="AI459" i="54"/>
  <c r="P459" i="54"/>
  <c r="J459" i="54"/>
  <c r="AN459" i="54"/>
  <c r="V459" i="54"/>
  <c r="S459" i="54"/>
  <c r="G459" i="54"/>
  <c r="AJ459" i="54"/>
  <c r="AO489" i="54"/>
  <c r="AF489" i="54"/>
  <c r="N489" i="54"/>
  <c r="J489" i="54"/>
  <c r="AK489" i="54"/>
  <c r="AJ489" i="54"/>
  <c r="R489" i="54"/>
  <c r="D489" i="54"/>
  <c r="T489" i="54"/>
  <c r="S489" i="54"/>
  <c r="K489" i="54"/>
  <c r="AN489" i="54"/>
  <c r="AE489" i="54"/>
  <c r="Q489" i="54"/>
  <c r="V489" i="54"/>
  <c r="M489" i="54"/>
  <c r="AB489" i="54"/>
  <c r="AI489" i="54"/>
  <c r="W489" i="54"/>
  <c r="I489" i="54"/>
  <c r="H489" i="54"/>
  <c r="E489" i="54"/>
  <c r="AP489" i="54"/>
  <c r="Y489" i="54"/>
  <c r="AH489" i="54"/>
  <c r="Z489" i="54"/>
  <c r="AA489" i="54"/>
  <c r="AQ489" i="54"/>
  <c r="L489" i="54"/>
  <c r="AL489" i="54"/>
  <c r="O489" i="54"/>
  <c r="AG489" i="54"/>
  <c r="F489" i="54"/>
  <c r="AD489" i="54"/>
  <c r="G489" i="54"/>
  <c r="P489" i="54"/>
  <c r="AM489" i="54"/>
  <c r="U489" i="54"/>
  <c r="X489" i="54"/>
  <c r="AC489" i="54"/>
  <c r="P492" i="54"/>
  <c r="AA492" i="54"/>
  <c r="N492" i="54"/>
  <c r="AM492" i="54"/>
  <c r="AN492" i="54"/>
  <c r="AG492" i="54"/>
  <c r="M492" i="54"/>
  <c r="Z492" i="54"/>
  <c r="S492" i="54"/>
  <c r="AB492" i="54"/>
  <c r="AI492" i="54"/>
  <c r="X492" i="54"/>
  <c r="K492" i="54"/>
  <c r="J492" i="54"/>
  <c r="Q492" i="54"/>
  <c r="H492" i="54"/>
  <c r="E492" i="54"/>
  <c r="L492" i="54"/>
  <c r="G492" i="54"/>
  <c r="AO492" i="54"/>
  <c r="T492" i="54"/>
  <c r="R492" i="54"/>
  <c r="D492" i="54"/>
  <c r="I492" i="54"/>
  <c r="AH492" i="54"/>
  <c r="W492" i="54"/>
  <c r="AC492" i="54"/>
  <c r="Y492" i="54"/>
  <c r="O492" i="54"/>
  <c r="AE492" i="54"/>
  <c r="AJ492" i="54"/>
  <c r="AP492" i="54"/>
  <c r="V492" i="54"/>
  <c r="F492" i="54"/>
  <c r="AL492" i="54"/>
  <c r="AK492" i="54"/>
  <c r="AD492" i="54"/>
  <c r="AQ492" i="54"/>
  <c r="U492" i="54"/>
  <c r="D183" i="59"/>
  <c r="D185" i="59" s="1"/>
  <c r="B33" i="53"/>
  <c r="D154" i="59"/>
  <c r="D155" i="59" s="1"/>
  <c r="C1058" i="54" s="1"/>
  <c r="D1048" i="54" s="1"/>
  <c r="C1082" i="54" s="1"/>
  <c r="E1082" i="54" s="1"/>
  <c r="L20" i="53" s="1"/>
  <c r="C47" i="52"/>
  <c r="C48" i="52"/>
  <c r="C41" i="52"/>
  <c r="C44" i="52"/>
  <c r="C63" i="52"/>
  <c r="C62" i="52"/>
  <c r="C49" i="52"/>
  <c r="C60" i="52"/>
  <c r="W493" i="46" l="1"/>
  <c r="W449" i="46" s="1"/>
  <c r="W494" i="46" s="1"/>
  <c r="AC493" i="46"/>
  <c r="AC449" i="46" s="1"/>
  <c r="AC494" i="46" s="1"/>
  <c r="AP493" i="46"/>
  <c r="AP449" i="46" s="1"/>
  <c r="AP494" i="46" s="1"/>
  <c r="AA493" i="46"/>
  <c r="AA449" i="46" s="1"/>
  <c r="AA494" i="46" s="1"/>
  <c r="I493" i="46"/>
  <c r="I449" i="46" s="1"/>
  <c r="I494" i="46" s="1"/>
  <c r="O493" i="46"/>
  <c r="O449" i="46" s="1"/>
  <c r="O494" i="46" s="1"/>
  <c r="AG493" i="46"/>
  <c r="AG449" i="46" s="1"/>
  <c r="AG494" i="46" s="1"/>
  <c r="S493" i="46"/>
  <c r="S449" i="46" s="1"/>
  <c r="S494" i="46" s="1"/>
  <c r="L493" i="46"/>
  <c r="L449" i="46" s="1"/>
  <c r="L494" i="46" s="1"/>
  <c r="AK493" i="46"/>
  <c r="AK449" i="46" s="1"/>
  <c r="AK494" i="46" s="1"/>
  <c r="T493" i="46"/>
  <c r="T449" i="46" s="1"/>
  <c r="T494" i="46" s="1"/>
  <c r="E493" i="46"/>
  <c r="E449" i="46" s="1"/>
  <c r="E494" i="46" s="1"/>
  <c r="AM493" i="46"/>
  <c r="AM449" i="46" s="1"/>
  <c r="AM494" i="46" s="1"/>
  <c r="AB493" i="46"/>
  <c r="AB449" i="46" s="1"/>
  <c r="AB494" i="46" s="1"/>
  <c r="K493" i="46"/>
  <c r="K449" i="46" s="1"/>
  <c r="K494" i="46" s="1"/>
  <c r="H493" i="46"/>
  <c r="H449" i="46" s="1"/>
  <c r="H494" i="46" s="1"/>
  <c r="AJ493" i="46"/>
  <c r="AJ449" i="46" s="1"/>
  <c r="AJ494" i="46" s="1"/>
  <c r="G493" i="46"/>
  <c r="G449" i="46" s="1"/>
  <c r="G494" i="46" s="1"/>
  <c r="Q493" i="46"/>
  <c r="Q449" i="46" s="1"/>
  <c r="Q494" i="46" s="1"/>
  <c r="Z493" i="46"/>
  <c r="Z449" i="46" s="1"/>
  <c r="Z494" i="46" s="1"/>
  <c r="U493" i="46"/>
  <c r="U449" i="46" s="1"/>
  <c r="U494" i="46" s="1"/>
  <c r="V493" i="46"/>
  <c r="V449" i="46" s="1"/>
  <c r="V494" i="46" s="1"/>
  <c r="AH493" i="46"/>
  <c r="AH449" i="46" s="1"/>
  <c r="AH494" i="46" s="1"/>
  <c r="D493" i="46"/>
  <c r="D449" i="46" s="1"/>
  <c r="D494" i="46" s="1"/>
  <c r="AL493" i="46"/>
  <c r="AL449" i="46" s="1"/>
  <c r="AL494" i="46" s="1"/>
  <c r="AQ493" i="46"/>
  <c r="AQ449" i="46" s="1"/>
  <c r="AQ494" i="46" s="1"/>
  <c r="AE493" i="46"/>
  <c r="AE449" i="46" s="1"/>
  <c r="AE494" i="46" s="1"/>
  <c r="X493" i="46"/>
  <c r="X449" i="46" s="1"/>
  <c r="X494" i="46" s="1"/>
  <c r="AO493" i="46"/>
  <c r="AO449" i="46" s="1"/>
  <c r="AO494" i="46" s="1"/>
  <c r="Y493" i="46"/>
  <c r="Y449" i="46" s="1"/>
  <c r="Y494" i="46" s="1"/>
  <c r="AF493" i="46"/>
  <c r="AF449" i="46" s="1"/>
  <c r="AF494" i="46" s="1"/>
  <c r="AI493" i="46"/>
  <c r="AI449" i="46" s="1"/>
  <c r="AI494" i="46" s="1"/>
  <c r="P493" i="46"/>
  <c r="P449" i="46" s="1"/>
  <c r="P494" i="46" s="1"/>
  <c r="F493" i="46"/>
  <c r="F449" i="46" s="1"/>
  <c r="F494" i="46" s="1"/>
  <c r="AN493" i="46"/>
  <c r="AN449" i="46" s="1"/>
  <c r="AN494" i="46" s="1"/>
  <c r="R493" i="46"/>
  <c r="R449" i="46" s="1"/>
  <c r="R494" i="46" s="1"/>
  <c r="M493" i="46"/>
  <c r="M449" i="46" s="1"/>
  <c r="M494" i="46" s="1"/>
  <c r="J493" i="46"/>
  <c r="J449" i="46" s="1"/>
  <c r="J494" i="46" s="1"/>
  <c r="AD493" i="46"/>
  <c r="AD449" i="46" s="1"/>
  <c r="AD494" i="46" s="1"/>
  <c r="D475" i="54"/>
  <c r="F486" i="54"/>
  <c r="AG457" i="54"/>
  <c r="F475" i="54"/>
  <c r="AI475" i="54"/>
  <c r="G475" i="54"/>
  <c r="AB475" i="54"/>
  <c r="S475" i="54"/>
  <c r="P475" i="54"/>
  <c r="U475" i="54"/>
  <c r="J475" i="54"/>
  <c r="Q475" i="54"/>
  <c r="AO475" i="54"/>
  <c r="AB486" i="54"/>
  <c r="AG486" i="54"/>
  <c r="AK486" i="54"/>
  <c r="N486" i="54"/>
  <c r="AO486" i="54"/>
  <c r="AA468" i="54"/>
  <c r="E468" i="54"/>
  <c r="Z468" i="54"/>
  <c r="M486" i="54"/>
  <c r="D486" i="54"/>
  <c r="AM486" i="54"/>
  <c r="P486" i="54"/>
  <c r="X475" i="54"/>
  <c r="O486" i="54"/>
  <c r="AN475" i="54"/>
  <c r="AC486" i="54"/>
  <c r="V475" i="54"/>
  <c r="Y486" i="54"/>
  <c r="AE475" i="54"/>
  <c r="Q486" i="54"/>
  <c r="AF475" i="54"/>
  <c r="K475" i="54"/>
  <c r="U468" i="54"/>
  <c r="E475" i="54"/>
  <c r="Z475" i="54"/>
  <c r="AH475" i="54"/>
  <c r="N475" i="54"/>
  <c r="AC475" i="54"/>
  <c r="O475" i="54"/>
  <c r="AP475" i="54"/>
  <c r="R475" i="54"/>
  <c r="Y475" i="54"/>
  <c r="AJ475" i="54"/>
  <c r="AQ475" i="54"/>
  <c r="D468" i="54"/>
  <c r="W475" i="54"/>
  <c r="T475" i="54"/>
  <c r="H475" i="54"/>
  <c r="AQ468" i="54"/>
  <c r="L475" i="54"/>
  <c r="M475" i="54"/>
  <c r="AM475" i="54"/>
  <c r="N468" i="54"/>
  <c r="AG475" i="54"/>
  <c r="AK475" i="54"/>
  <c r="I475" i="54"/>
  <c r="I468" i="54"/>
  <c r="AA475" i="54"/>
  <c r="AL475" i="54"/>
  <c r="AH486" i="54"/>
  <c r="J486" i="54"/>
  <c r="Z486" i="54"/>
  <c r="AJ486" i="54"/>
  <c r="V486" i="54"/>
  <c r="S486" i="54"/>
  <c r="AD486" i="54"/>
  <c r="U486" i="54"/>
  <c r="AP486" i="54"/>
  <c r="X486" i="54"/>
  <c r="AE486" i="54"/>
  <c r="L486" i="54"/>
  <c r="R486" i="54"/>
  <c r="I486" i="54"/>
  <c r="W486" i="54"/>
  <c r="V490" i="54"/>
  <c r="AF486" i="54"/>
  <c r="AA486" i="54"/>
  <c r="AQ486" i="54"/>
  <c r="E486" i="54"/>
  <c r="H486" i="54"/>
  <c r="G486" i="54"/>
  <c r="K486" i="54"/>
  <c r="AL486" i="54"/>
  <c r="T486" i="54"/>
  <c r="AI486" i="54"/>
  <c r="AN457" i="54"/>
  <c r="AQ457" i="54"/>
  <c r="N457" i="54"/>
  <c r="S457" i="54"/>
  <c r="AH457" i="54"/>
  <c r="Z457" i="54"/>
  <c r="AI457" i="54"/>
  <c r="AC457" i="54"/>
  <c r="D457" i="54"/>
  <c r="T457" i="54"/>
  <c r="Q457" i="54"/>
  <c r="U457" i="54"/>
  <c r="AJ457" i="54"/>
  <c r="AA457" i="54"/>
  <c r="G468" i="54"/>
  <c r="S468" i="54"/>
  <c r="AB468" i="54"/>
  <c r="W468" i="54"/>
  <c r="AI468" i="54"/>
  <c r="AL468" i="54"/>
  <c r="J468" i="54"/>
  <c r="K468" i="54"/>
  <c r="AP468" i="54"/>
  <c r="F468" i="54"/>
  <c r="AJ468" i="54"/>
  <c r="V468" i="54"/>
  <c r="X468" i="54"/>
  <c r="AN468" i="54"/>
  <c r="AC468" i="54"/>
  <c r="Q468" i="54"/>
  <c r="AG468" i="54"/>
  <c r="O487" i="54"/>
  <c r="AB487" i="54"/>
  <c r="AM487" i="54"/>
  <c r="T456" i="54"/>
  <c r="V487" i="54"/>
  <c r="AF487" i="54"/>
  <c r="AQ487" i="54"/>
  <c r="AC456" i="54"/>
  <c r="D456" i="54"/>
  <c r="AB457" i="54"/>
  <c r="G457" i="54"/>
  <c r="AE457" i="54"/>
  <c r="AD456" i="54"/>
  <c r="R457" i="54"/>
  <c r="V457" i="54"/>
  <c r="H457" i="54"/>
  <c r="AF456" i="54"/>
  <c r="X456" i="54"/>
  <c r="W463" i="54"/>
  <c r="O457" i="54"/>
  <c r="P457" i="54"/>
  <c r="E457" i="54"/>
  <c r="AO457" i="54"/>
  <c r="AQ456" i="54"/>
  <c r="K457" i="54"/>
  <c r="AL457" i="54"/>
  <c r="AK468" i="54"/>
  <c r="L468" i="54"/>
  <c r="Y468" i="54"/>
  <c r="AD457" i="54"/>
  <c r="W457" i="54"/>
  <c r="J457" i="54"/>
  <c r="AF457" i="54"/>
  <c r="AO468" i="54"/>
  <c r="O468" i="54"/>
  <c r="AF468" i="54"/>
  <c r="F457" i="54"/>
  <c r="X457" i="54"/>
  <c r="Y457" i="54"/>
  <c r="R468" i="54"/>
  <c r="AH468" i="54"/>
  <c r="T468" i="54"/>
  <c r="I457" i="54"/>
  <c r="L457" i="54"/>
  <c r="AP457" i="54"/>
  <c r="H468" i="54"/>
  <c r="AD468" i="54"/>
  <c r="M468" i="54"/>
  <c r="M457" i="54"/>
  <c r="AK457" i="54"/>
  <c r="AF463" i="54"/>
  <c r="AH490" i="54"/>
  <c r="Q490" i="54"/>
  <c r="AG490" i="54"/>
  <c r="M456" i="54"/>
  <c r="AK490" i="54"/>
  <c r="P490" i="54"/>
  <c r="G490" i="54"/>
  <c r="AA481" i="54"/>
  <c r="W456" i="54"/>
  <c r="AE468" i="54"/>
  <c r="P468" i="54"/>
  <c r="AG456" i="54"/>
  <c r="AG471" i="54"/>
  <c r="AO471" i="54"/>
  <c r="AE471" i="54"/>
  <c r="W471" i="54"/>
  <c r="AM471" i="54"/>
  <c r="AQ471" i="54"/>
  <c r="Y471" i="54"/>
  <c r="T471" i="54"/>
  <c r="AA471" i="54"/>
  <c r="O471" i="54"/>
  <c r="R471" i="54"/>
  <c r="L471" i="54"/>
  <c r="G471" i="54"/>
  <c r="AP471" i="54"/>
  <c r="I471" i="54"/>
  <c r="AN471" i="54"/>
  <c r="R479" i="54"/>
  <c r="M471" i="54"/>
  <c r="H471" i="54"/>
  <c r="F471" i="54"/>
  <c r="AD471" i="54"/>
  <c r="V471" i="54"/>
  <c r="AC471" i="54"/>
  <c r="U471" i="54"/>
  <c r="N471" i="54"/>
  <c r="Z471" i="54"/>
  <c r="AJ471" i="54"/>
  <c r="Q471" i="54"/>
  <c r="P463" i="54"/>
  <c r="AB471" i="54"/>
  <c r="J471" i="54"/>
  <c r="AH471" i="54"/>
  <c r="D471" i="54"/>
  <c r="T463" i="54"/>
  <c r="S471" i="54"/>
  <c r="X471" i="54"/>
  <c r="AI471" i="54"/>
  <c r="P471" i="54"/>
  <c r="X463" i="54"/>
  <c r="K471" i="54"/>
  <c r="AF471" i="54"/>
  <c r="AC463" i="54"/>
  <c r="AL471" i="54"/>
  <c r="E471" i="54"/>
  <c r="J490" i="54"/>
  <c r="AC490" i="54"/>
  <c r="AD490" i="54"/>
  <c r="T490" i="54"/>
  <c r="R490" i="54"/>
  <c r="F490" i="54"/>
  <c r="AP490" i="54"/>
  <c r="AE490" i="54"/>
  <c r="AL490" i="54"/>
  <c r="O490" i="54"/>
  <c r="X490" i="54"/>
  <c r="W490" i="54"/>
  <c r="AM490" i="54"/>
  <c r="Z464" i="54"/>
  <c r="U490" i="54"/>
  <c r="N490" i="54"/>
  <c r="W464" i="54"/>
  <c r="E491" i="54"/>
  <c r="AB490" i="54"/>
  <c r="I490" i="54"/>
  <c r="K490" i="54"/>
  <c r="AF490" i="54"/>
  <c r="L490" i="54"/>
  <c r="AI490" i="54"/>
  <c r="AJ490" i="54"/>
  <c r="AQ490" i="54"/>
  <c r="AN490" i="54"/>
  <c r="H490" i="54"/>
  <c r="S490" i="54"/>
  <c r="Y490" i="54"/>
  <c r="AO490" i="54"/>
  <c r="D490" i="54"/>
  <c r="E490" i="54"/>
  <c r="R491" i="54"/>
  <c r="V479" i="54"/>
  <c r="AF464" i="54"/>
  <c r="M490" i="54"/>
  <c r="AA490" i="54"/>
  <c r="AP491" i="54"/>
  <c r="AM470" i="54"/>
  <c r="AL463" i="54"/>
  <c r="AN463" i="54"/>
  <c r="Z463" i="54"/>
  <c r="V458" i="54"/>
  <c r="N463" i="54"/>
  <c r="Q458" i="54"/>
  <c r="S463" i="54"/>
  <c r="AH463" i="54"/>
  <c r="I463" i="54"/>
  <c r="AE463" i="54"/>
  <c r="AO463" i="54"/>
  <c r="AN464" i="54"/>
  <c r="AM491" i="54"/>
  <c r="U487" i="54"/>
  <c r="AK487" i="54"/>
  <c r="K487" i="54"/>
  <c r="AO487" i="54"/>
  <c r="AO458" i="54"/>
  <c r="AI458" i="54"/>
  <c r="H458" i="54"/>
  <c r="J464" i="54"/>
  <c r="I464" i="54"/>
  <c r="V464" i="54"/>
  <c r="N456" i="54"/>
  <c r="AO455" i="54"/>
  <c r="P479" i="54"/>
  <c r="O479" i="54"/>
  <c r="AK479" i="54"/>
  <c r="H479" i="54"/>
  <c r="AD479" i="54"/>
  <c r="N479" i="54"/>
  <c r="AJ479" i="54"/>
  <c r="AH479" i="54"/>
  <c r="Q479" i="54"/>
  <c r="AA479" i="54"/>
  <c r="S479" i="54"/>
  <c r="AL479" i="54"/>
  <c r="D479" i="54"/>
  <c r="AQ479" i="54"/>
  <c r="G479" i="54"/>
  <c r="M479" i="54"/>
  <c r="E479" i="54"/>
  <c r="AQ467" i="54"/>
  <c r="Z479" i="54"/>
  <c r="F479" i="54"/>
  <c r="AM479" i="54"/>
  <c r="W479" i="54"/>
  <c r="AC479" i="54"/>
  <c r="X455" i="54"/>
  <c r="AL491" i="54"/>
  <c r="P491" i="54"/>
  <c r="M485" i="54"/>
  <c r="AM485" i="54"/>
  <c r="AE476" i="54"/>
  <c r="AM476" i="54"/>
  <c r="W476" i="54"/>
  <c r="R470" i="54"/>
  <c r="AQ464" i="54"/>
  <c r="AB470" i="54"/>
  <c r="AB464" i="54"/>
  <c r="E470" i="54"/>
  <c r="AP464" i="54"/>
  <c r="Y470" i="54"/>
  <c r="E464" i="54"/>
  <c r="Q470" i="54"/>
  <c r="O464" i="54"/>
  <c r="AM463" i="54"/>
  <c r="Y463" i="54"/>
  <c r="R463" i="54"/>
  <c r="AA460" i="54"/>
  <c r="H463" i="54"/>
  <c r="AJ463" i="54"/>
  <c r="Q463" i="54"/>
  <c r="AK463" i="54"/>
  <c r="L463" i="54"/>
  <c r="AB463" i="54"/>
  <c r="AD491" i="54"/>
  <c r="AG463" i="54"/>
  <c r="V463" i="54"/>
  <c r="J463" i="54"/>
  <c r="D463" i="54"/>
  <c r="K463" i="54"/>
  <c r="AP463" i="54"/>
  <c r="G463" i="54"/>
  <c r="AD463" i="54"/>
  <c r="E463" i="54"/>
  <c r="O463" i="54"/>
  <c r="AQ463" i="54"/>
  <c r="AA463" i="54"/>
  <c r="L456" i="54"/>
  <c r="X464" i="54"/>
  <c r="U463" i="54"/>
  <c r="M463" i="54"/>
  <c r="AI463" i="54"/>
  <c r="AB456" i="54"/>
  <c r="H456" i="54"/>
  <c r="K464" i="54"/>
  <c r="Y491" i="54"/>
  <c r="AP479" i="54"/>
  <c r="AE479" i="54"/>
  <c r="K479" i="54"/>
  <c r="AG479" i="54"/>
  <c r="J479" i="54"/>
  <c r="I479" i="54"/>
  <c r="T479" i="54"/>
  <c r="Y479" i="54"/>
  <c r="AB479" i="54"/>
  <c r="AI479" i="54"/>
  <c r="AO479" i="54"/>
  <c r="L479" i="54"/>
  <c r="X479" i="54"/>
  <c r="U479" i="54"/>
  <c r="AF479" i="54"/>
  <c r="M484" i="54"/>
  <c r="Z467" i="54"/>
  <c r="O456" i="54"/>
  <c r="Z481" i="54"/>
  <c r="Z485" i="54"/>
  <c r="R467" i="54"/>
  <c r="V467" i="54"/>
  <c r="AF460" i="54"/>
  <c r="F467" i="54"/>
  <c r="E467" i="54"/>
  <c r="G467" i="54"/>
  <c r="AG467" i="54"/>
  <c r="J456" i="54"/>
  <c r="S456" i="54"/>
  <c r="Z456" i="54"/>
  <c r="AE456" i="54"/>
  <c r="AA456" i="54"/>
  <c r="R456" i="54"/>
  <c r="AJ456" i="54"/>
  <c r="Y456" i="54"/>
  <c r="K456" i="54"/>
  <c r="AN456" i="54"/>
  <c r="AL456" i="54"/>
  <c r="P456" i="54"/>
  <c r="I456" i="54"/>
  <c r="Q456" i="54"/>
  <c r="U456" i="54"/>
  <c r="G456" i="54"/>
  <c r="AH456" i="54"/>
  <c r="AK456" i="54"/>
  <c r="V456" i="54"/>
  <c r="AP456" i="54"/>
  <c r="F456" i="54"/>
  <c r="AM456" i="54"/>
  <c r="E456" i="54"/>
  <c r="AO456" i="54"/>
  <c r="AG458" i="54"/>
  <c r="L481" i="54"/>
  <c r="D470" i="54"/>
  <c r="L470" i="54"/>
  <c r="Y484" i="54"/>
  <c r="W470" i="54"/>
  <c r="AA470" i="54"/>
  <c r="Q464" i="54"/>
  <c r="D464" i="54"/>
  <c r="S464" i="54"/>
  <c r="J491" i="54"/>
  <c r="AB491" i="54"/>
  <c r="F470" i="54"/>
  <c r="U470" i="54"/>
  <c r="L464" i="54"/>
  <c r="AM464" i="54"/>
  <c r="R464" i="54"/>
  <c r="AK464" i="54"/>
  <c r="O491" i="54"/>
  <c r="L491" i="54"/>
  <c r="G470" i="54"/>
  <c r="S470" i="54"/>
  <c r="AO470" i="54"/>
  <c r="AI464" i="54"/>
  <c r="N464" i="54"/>
  <c r="U464" i="54"/>
  <c r="AH464" i="54"/>
  <c r="F491" i="54"/>
  <c r="D491" i="54"/>
  <c r="AD470" i="54"/>
  <c r="X470" i="54"/>
  <c r="I470" i="54"/>
  <c r="AD464" i="54"/>
  <c r="AJ464" i="54"/>
  <c r="AO464" i="54"/>
  <c r="U484" i="54"/>
  <c r="AC491" i="54"/>
  <c r="V491" i="54"/>
  <c r="AN470" i="54"/>
  <c r="K470" i="54"/>
  <c r="H464" i="54"/>
  <c r="AC464" i="54"/>
  <c r="P464" i="54"/>
  <c r="AP484" i="54"/>
  <c r="U491" i="54"/>
  <c r="AQ470" i="54"/>
  <c r="AF470" i="54"/>
  <c r="AL464" i="54"/>
  <c r="AA464" i="54"/>
  <c r="T464" i="54"/>
  <c r="L484" i="54"/>
  <c r="I491" i="54"/>
  <c r="AH491" i="54"/>
  <c r="J470" i="54"/>
  <c r="O470" i="54"/>
  <c r="Y464" i="54"/>
  <c r="AE464" i="54"/>
  <c r="AG464" i="54"/>
  <c r="K484" i="54"/>
  <c r="AA491" i="54"/>
  <c r="AI491" i="54"/>
  <c r="N470" i="54"/>
  <c r="Z470" i="54"/>
  <c r="F464" i="54"/>
  <c r="M464" i="54"/>
  <c r="V484" i="54"/>
  <c r="S491" i="54"/>
  <c r="W491" i="54"/>
  <c r="X458" i="54"/>
  <c r="T458" i="54"/>
  <c r="K458" i="54"/>
  <c r="Y458" i="54"/>
  <c r="L458" i="54"/>
  <c r="AK458" i="54"/>
  <c r="R458" i="54"/>
  <c r="E458" i="54"/>
  <c r="AE458" i="54"/>
  <c r="M458" i="54"/>
  <c r="O458" i="54"/>
  <c r="AP458" i="54"/>
  <c r="AL458" i="54"/>
  <c r="I458" i="54"/>
  <c r="AC458" i="54"/>
  <c r="AQ458" i="54"/>
  <c r="J458" i="54"/>
  <c r="AF458" i="54"/>
  <c r="S458" i="54"/>
  <c r="D458" i="54"/>
  <c r="N458" i="54"/>
  <c r="AN458" i="54"/>
  <c r="F458" i="54"/>
  <c r="P458" i="54"/>
  <c r="W458" i="54"/>
  <c r="Z458" i="54"/>
  <c r="AD458" i="54"/>
  <c r="G458" i="54"/>
  <c r="AA458" i="54"/>
  <c r="AJ458" i="54"/>
  <c r="AB458" i="54"/>
  <c r="AM458" i="54"/>
  <c r="U458" i="54"/>
  <c r="R487" i="54"/>
  <c r="E487" i="54"/>
  <c r="J487" i="54"/>
  <c r="AO485" i="54"/>
  <c r="G455" i="54"/>
  <c r="AC487" i="54"/>
  <c r="AA487" i="54"/>
  <c r="K485" i="54"/>
  <c r="I487" i="54"/>
  <c r="Z487" i="54"/>
  <c r="AD487" i="54"/>
  <c r="S487" i="54"/>
  <c r="N487" i="54"/>
  <c r="H487" i="54"/>
  <c r="AE485" i="54"/>
  <c r="Y487" i="54"/>
  <c r="W487" i="54"/>
  <c r="AN487" i="54"/>
  <c r="AG487" i="54"/>
  <c r="Q485" i="54"/>
  <c r="F455" i="54"/>
  <c r="G487" i="54"/>
  <c r="AJ487" i="54"/>
  <c r="F487" i="54"/>
  <c r="AH485" i="54"/>
  <c r="AN461" i="54"/>
  <c r="AD455" i="54"/>
  <c r="L487" i="54"/>
  <c r="X487" i="54"/>
  <c r="D487" i="54"/>
  <c r="AH488" i="54"/>
  <c r="AD461" i="54"/>
  <c r="T455" i="54"/>
  <c r="P487" i="54"/>
  <c r="T487" i="54"/>
  <c r="AL487" i="54"/>
  <c r="AI488" i="54"/>
  <c r="AI461" i="54"/>
  <c r="R455" i="54"/>
  <c r="AP487" i="54"/>
  <c r="AI487" i="54"/>
  <c r="AE487" i="54"/>
  <c r="T485" i="54"/>
  <c r="AF488" i="54"/>
  <c r="AG455" i="54"/>
  <c r="M487" i="54"/>
  <c r="Q487" i="54"/>
  <c r="W485" i="54"/>
  <c r="AP455" i="54"/>
  <c r="AF484" i="54"/>
  <c r="AB484" i="54"/>
  <c r="AK484" i="54"/>
  <c r="G484" i="54"/>
  <c r="E484" i="54"/>
  <c r="AL484" i="54"/>
  <c r="R484" i="54"/>
  <c r="Z484" i="54"/>
  <c r="AQ484" i="54"/>
  <c r="O484" i="54"/>
  <c r="AO484" i="54"/>
  <c r="AA484" i="54"/>
  <c r="N484" i="54"/>
  <c r="X484" i="54"/>
  <c r="AC484" i="54"/>
  <c r="D484" i="54"/>
  <c r="AN484" i="54"/>
  <c r="AE484" i="54"/>
  <c r="AH484" i="54"/>
  <c r="AG484" i="54"/>
  <c r="H484" i="54"/>
  <c r="T484" i="54"/>
  <c r="Q484" i="54"/>
  <c r="AJ484" i="54"/>
  <c r="W484" i="54"/>
  <c r="J484" i="54"/>
  <c r="P484" i="54"/>
  <c r="F484" i="54"/>
  <c r="I484" i="54"/>
  <c r="AM484" i="54"/>
  <c r="AI484" i="54"/>
  <c r="E481" i="54"/>
  <c r="AK481" i="54"/>
  <c r="AI481" i="54"/>
  <c r="N481" i="54"/>
  <c r="AM467" i="54"/>
  <c r="AA467" i="54"/>
  <c r="P467" i="54"/>
  <c r="Q467" i="54"/>
  <c r="F481" i="54"/>
  <c r="M481" i="54"/>
  <c r="AO481" i="54"/>
  <c r="AD484" i="54"/>
  <c r="N467" i="54"/>
  <c r="I460" i="54"/>
  <c r="N460" i="54"/>
  <c r="H481" i="54"/>
  <c r="P481" i="54"/>
  <c r="AE481" i="54"/>
  <c r="AD467" i="54"/>
  <c r="P460" i="54"/>
  <c r="AG460" i="54"/>
  <c r="O481" i="54"/>
  <c r="Y481" i="54"/>
  <c r="AD481" i="54"/>
  <c r="AO460" i="54"/>
  <c r="U481" i="54"/>
  <c r="U460" i="54"/>
  <c r="AJ460" i="54"/>
  <c r="G481" i="54"/>
  <c r="AJ481" i="54"/>
  <c r="AF481" i="54"/>
  <c r="W481" i="54"/>
  <c r="AF467" i="54"/>
  <c r="K467" i="54"/>
  <c r="AH467" i="54"/>
  <c r="AN460" i="54"/>
  <c r="R481" i="54"/>
  <c r="AM481" i="54"/>
  <c r="Q481" i="54"/>
  <c r="AP481" i="54"/>
  <c r="M467" i="54"/>
  <c r="K460" i="54"/>
  <c r="H467" i="54"/>
  <c r="AH481" i="54"/>
  <c r="K481" i="54"/>
  <c r="I481" i="54"/>
  <c r="AO467" i="54"/>
  <c r="O460" i="54"/>
  <c r="X467" i="54"/>
  <c r="V481" i="54"/>
  <c r="T481" i="54"/>
  <c r="AG481" i="54"/>
  <c r="AB481" i="54"/>
  <c r="J460" i="54"/>
  <c r="J467" i="54"/>
  <c r="AQ481" i="54"/>
  <c r="S481" i="54"/>
  <c r="X481" i="54"/>
  <c r="AC481" i="54"/>
  <c r="AC467" i="54"/>
  <c r="L467" i="54"/>
  <c r="AB467" i="54"/>
  <c r="AK467" i="54"/>
  <c r="AN481" i="54"/>
  <c r="AL481" i="54"/>
  <c r="J481" i="54"/>
  <c r="E460" i="54"/>
  <c r="I476" i="54"/>
  <c r="K476" i="54"/>
  <c r="AB476" i="54"/>
  <c r="Y476" i="54"/>
  <c r="V476" i="54"/>
  <c r="R485" i="54"/>
  <c r="AG485" i="54"/>
  <c r="AD485" i="54"/>
  <c r="H488" i="54"/>
  <c r="E488" i="54"/>
  <c r="AG488" i="54"/>
  <c r="AM488" i="54"/>
  <c r="AL461" i="54"/>
  <c r="Z461" i="54"/>
  <c r="O461" i="54"/>
  <c r="J461" i="54"/>
  <c r="W455" i="54"/>
  <c r="S455" i="54"/>
  <c r="AF455" i="54"/>
  <c r="Y455" i="54"/>
  <c r="N476" i="54"/>
  <c r="AQ476" i="54"/>
  <c r="M476" i="54"/>
  <c r="J476" i="54"/>
  <c r="AK485" i="54"/>
  <c r="O485" i="54"/>
  <c r="F485" i="54"/>
  <c r="AQ488" i="54"/>
  <c r="T488" i="54"/>
  <c r="AO488" i="54"/>
  <c r="AL488" i="54"/>
  <c r="AE461" i="54"/>
  <c r="AF461" i="54"/>
  <c r="AM461" i="54"/>
  <c r="AP461" i="54"/>
  <c r="M455" i="54"/>
  <c r="L455" i="54"/>
  <c r="D455" i="54"/>
  <c r="AE455" i="54"/>
  <c r="AO476" i="54"/>
  <c r="X476" i="54"/>
  <c r="AG476" i="54"/>
  <c r="Q476" i="54"/>
  <c r="S476" i="54"/>
  <c r="X485" i="54"/>
  <c r="U485" i="54"/>
  <c r="AL485" i="54"/>
  <c r="AN488" i="54"/>
  <c r="AE488" i="54"/>
  <c r="AK488" i="54"/>
  <c r="AA488" i="54"/>
  <c r="Q461" i="54"/>
  <c r="AK461" i="54"/>
  <c r="AQ461" i="54"/>
  <c r="AB461" i="54"/>
  <c r="AI455" i="54"/>
  <c r="AC455" i="54"/>
  <c r="E455" i="54"/>
  <c r="Z455" i="54"/>
  <c r="M488" i="54"/>
  <c r="E476" i="54"/>
  <c r="AD476" i="54"/>
  <c r="O476" i="54"/>
  <c r="AN485" i="54"/>
  <c r="D485" i="54"/>
  <c r="AC485" i="54"/>
  <c r="AJ488" i="54"/>
  <c r="Q488" i="54"/>
  <c r="V488" i="54"/>
  <c r="S461" i="54"/>
  <c r="Y461" i="54"/>
  <c r="N461" i="54"/>
  <c r="O455" i="54"/>
  <c r="AA455" i="54"/>
  <c r="AN455" i="54"/>
  <c r="Z476" i="54"/>
  <c r="AI476" i="54"/>
  <c r="AA476" i="54"/>
  <c r="G485" i="54"/>
  <c r="AF485" i="54"/>
  <c r="L485" i="54"/>
  <c r="AP488" i="54"/>
  <c r="D488" i="54"/>
  <c r="K488" i="54"/>
  <c r="R461" i="54"/>
  <c r="W461" i="54"/>
  <c r="AH461" i="54"/>
  <c r="K455" i="54"/>
  <c r="AL455" i="54"/>
  <c r="J455" i="54"/>
  <c r="P476" i="54"/>
  <c r="H476" i="54"/>
  <c r="N488" i="54"/>
  <c r="G488" i="54"/>
  <c r="V461" i="54"/>
  <c r="X461" i="54"/>
  <c r="T461" i="54"/>
  <c r="L476" i="54"/>
  <c r="U476" i="54"/>
  <c r="H485" i="54"/>
  <c r="I485" i="54"/>
  <c r="Y485" i="54"/>
  <c r="AJ485" i="54"/>
  <c r="Y488" i="54"/>
  <c r="L488" i="54"/>
  <c r="O488" i="54"/>
  <c r="M461" i="54"/>
  <c r="I461" i="54"/>
  <c r="K461" i="54"/>
  <c r="AB455" i="54"/>
  <c r="V455" i="54"/>
  <c r="U455" i="54"/>
  <c r="AC476" i="54"/>
  <c r="R476" i="54"/>
  <c r="G476" i="54"/>
  <c r="P485" i="54"/>
  <c r="S485" i="54"/>
  <c r="V485" i="54"/>
  <c r="E485" i="54"/>
  <c r="W488" i="54"/>
  <c r="S488" i="54"/>
  <c r="Z488" i="54"/>
  <c r="AA461" i="54"/>
  <c r="D461" i="54"/>
  <c r="E461" i="54"/>
  <c r="N455" i="54"/>
  <c r="AM455" i="54"/>
  <c r="Q455" i="54"/>
  <c r="AK460" i="54"/>
  <c r="AH476" i="54"/>
  <c r="AP476" i="54"/>
  <c r="AL476" i="54"/>
  <c r="AF476" i="54"/>
  <c r="T476" i="54"/>
  <c r="AQ485" i="54"/>
  <c r="J485" i="54"/>
  <c r="AA485" i="54"/>
  <c r="N485" i="54"/>
  <c r="R488" i="54"/>
  <c r="U488" i="54"/>
  <c r="AB488" i="54"/>
  <c r="AJ461" i="54"/>
  <c r="U461" i="54"/>
  <c r="F461" i="54"/>
  <c r="AJ455" i="54"/>
  <c r="P455" i="54"/>
  <c r="AQ455" i="54"/>
  <c r="AB460" i="54"/>
  <c r="AN476" i="54"/>
  <c r="AD488" i="54"/>
  <c r="X488" i="54"/>
  <c r="I488" i="54"/>
  <c r="AO461" i="54"/>
  <c r="AC461" i="54"/>
  <c r="P461" i="54"/>
  <c r="AK476" i="54"/>
  <c r="D476" i="54"/>
  <c r="F476" i="54"/>
  <c r="AP485" i="54"/>
  <c r="AB485" i="54"/>
  <c r="AC488" i="54"/>
  <c r="F488" i="54"/>
  <c r="P488" i="54"/>
  <c r="H461" i="54"/>
  <c r="L461" i="54"/>
  <c r="G461" i="54"/>
  <c r="AH455" i="54"/>
  <c r="H455" i="54"/>
  <c r="I455" i="54"/>
  <c r="F460" i="54"/>
  <c r="AQ460" i="54"/>
  <c r="X460" i="54"/>
  <c r="AE491" i="54"/>
  <c r="X491" i="54"/>
  <c r="H491" i="54"/>
  <c r="I467" i="54"/>
  <c r="T467" i="54"/>
  <c r="Y467" i="54"/>
  <c r="Y460" i="54"/>
  <c r="AC460" i="54"/>
  <c r="T460" i="54"/>
  <c r="Z460" i="54"/>
  <c r="AG470" i="54"/>
  <c r="AK470" i="54"/>
  <c r="AC470" i="54"/>
  <c r="AQ491" i="54"/>
  <c r="K491" i="54"/>
  <c r="AF491" i="54"/>
  <c r="AJ467" i="54"/>
  <c r="U467" i="54"/>
  <c r="V460" i="54"/>
  <c r="AE460" i="54"/>
  <c r="AI460" i="54"/>
  <c r="M460" i="54"/>
  <c r="S460" i="54"/>
  <c r="V470" i="54"/>
  <c r="AP470" i="54"/>
  <c r="AE470" i="54"/>
  <c r="H470" i="54"/>
  <c r="AN491" i="54"/>
  <c r="N491" i="54"/>
  <c r="Z491" i="54"/>
  <c r="M491" i="54"/>
  <c r="AE467" i="54"/>
  <c r="AI467" i="54"/>
  <c r="H460" i="54"/>
  <c r="G460" i="54"/>
  <c r="AL460" i="54"/>
  <c r="AD460" i="54"/>
  <c r="T470" i="54"/>
  <c r="AI470" i="54"/>
  <c r="P470" i="54"/>
  <c r="AL470" i="54"/>
  <c r="G491" i="54"/>
  <c r="T491" i="54"/>
  <c r="AJ491" i="54"/>
  <c r="AG491" i="54"/>
  <c r="O467" i="54"/>
  <c r="S467" i="54"/>
  <c r="AP467" i="54"/>
  <c r="Q460" i="54"/>
  <c r="AH460" i="54"/>
  <c r="L460" i="54"/>
  <c r="AJ470" i="54"/>
  <c r="M470" i="54"/>
  <c r="Q491" i="54"/>
  <c r="AO491" i="54"/>
  <c r="D467" i="54"/>
  <c r="W467" i="54"/>
  <c r="AL467" i="54"/>
  <c r="R460" i="54"/>
  <c r="AM460" i="54"/>
  <c r="D460" i="54"/>
  <c r="AP460" i="54"/>
  <c r="C452" i="62"/>
  <c r="B445" i="62"/>
  <c r="J493" i="62" s="1"/>
  <c r="J449" i="62" s="1"/>
  <c r="J494" i="62" s="1"/>
  <c r="G78" i="68"/>
  <c r="C82" i="68" s="1"/>
  <c r="E191" i="67" s="1"/>
  <c r="E192" i="67" s="1"/>
  <c r="E193" i="67" s="1"/>
  <c r="E194" i="67" s="1"/>
  <c r="C1091" i="62" s="1"/>
  <c r="H78" i="52"/>
  <c r="H78" i="68"/>
  <c r="G78" i="52"/>
  <c r="C82" i="52" s="1"/>
  <c r="E191" i="51" s="1"/>
  <c r="E192" i="51" s="1"/>
  <c r="E193" i="51" s="1"/>
  <c r="E194" i="51" s="1"/>
  <c r="C1091" i="46" s="1"/>
  <c r="E1091" i="46" s="1"/>
  <c r="L22" i="45" s="1"/>
  <c r="I78" i="68"/>
  <c r="F78" i="52"/>
  <c r="E78" i="52"/>
  <c r="K78" i="52"/>
  <c r="I78" i="52"/>
  <c r="E78" i="68"/>
  <c r="J78" i="52"/>
  <c r="J78" i="68"/>
  <c r="K78" i="68"/>
  <c r="F78" i="68"/>
  <c r="D190" i="59"/>
  <c r="E190" i="59" s="1"/>
  <c r="AR494" i="46" l="1"/>
  <c r="O495" i="46" s="1"/>
  <c r="C452" i="54"/>
  <c r="B445" i="54"/>
  <c r="Z493" i="54" s="1"/>
  <c r="Z449" i="54" s="1"/>
  <c r="Z494" i="54" s="1"/>
  <c r="AP493" i="62"/>
  <c r="AP449" i="62" s="1"/>
  <c r="AP494" i="62" s="1"/>
  <c r="L493" i="62"/>
  <c r="L449" i="62" s="1"/>
  <c r="L494" i="62" s="1"/>
  <c r="AG493" i="62"/>
  <c r="AG449" i="62" s="1"/>
  <c r="AG494" i="62" s="1"/>
  <c r="S493" i="62"/>
  <c r="S449" i="62" s="1"/>
  <c r="S494" i="62" s="1"/>
  <c r="AQ493" i="62"/>
  <c r="AQ449" i="62" s="1"/>
  <c r="AQ494" i="62" s="1"/>
  <c r="U493" i="62"/>
  <c r="U449" i="62" s="1"/>
  <c r="U494" i="62" s="1"/>
  <c r="G493" i="62"/>
  <c r="G449" i="62" s="1"/>
  <c r="G494" i="62" s="1"/>
  <c r="F493" i="62"/>
  <c r="F449" i="62" s="1"/>
  <c r="F494" i="62" s="1"/>
  <c r="D493" i="62"/>
  <c r="D449" i="62" s="1"/>
  <c r="D494" i="62" s="1"/>
  <c r="V493" i="62"/>
  <c r="V449" i="62" s="1"/>
  <c r="V494" i="62" s="1"/>
  <c r="AO493" i="62"/>
  <c r="AO449" i="62" s="1"/>
  <c r="AO494" i="62" s="1"/>
  <c r="H493" i="62"/>
  <c r="H449" i="62" s="1"/>
  <c r="H494" i="62" s="1"/>
  <c r="AN493" i="62"/>
  <c r="AN449" i="62" s="1"/>
  <c r="AN494" i="62" s="1"/>
  <c r="Z493" i="62"/>
  <c r="Z449" i="62" s="1"/>
  <c r="Z494" i="62" s="1"/>
  <c r="Y493" i="62"/>
  <c r="Y449" i="62" s="1"/>
  <c r="Y494" i="62" s="1"/>
  <c r="AK493" i="62"/>
  <c r="AK449" i="62" s="1"/>
  <c r="AK494" i="62" s="1"/>
  <c r="M493" i="62"/>
  <c r="M449" i="62" s="1"/>
  <c r="M494" i="62" s="1"/>
  <c r="AL493" i="62"/>
  <c r="AL449" i="62" s="1"/>
  <c r="AL494" i="62" s="1"/>
  <c r="E493" i="62"/>
  <c r="E449" i="62" s="1"/>
  <c r="E494" i="62" s="1"/>
  <c r="P493" i="62"/>
  <c r="P449" i="62" s="1"/>
  <c r="P494" i="62" s="1"/>
  <c r="W493" i="62"/>
  <c r="W449" i="62" s="1"/>
  <c r="W494" i="62" s="1"/>
  <c r="AI493" i="62"/>
  <c r="AI449" i="62" s="1"/>
  <c r="AI494" i="62" s="1"/>
  <c r="AA493" i="62"/>
  <c r="AA449" i="62" s="1"/>
  <c r="AA494" i="62" s="1"/>
  <c r="N493" i="62"/>
  <c r="N449" i="62" s="1"/>
  <c r="N494" i="62" s="1"/>
  <c r="AD493" i="62"/>
  <c r="AD449" i="62" s="1"/>
  <c r="AD494" i="62" s="1"/>
  <c r="AM493" i="62"/>
  <c r="AM449" i="62" s="1"/>
  <c r="AM494" i="62" s="1"/>
  <c r="AC493" i="62"/>
  <c r="AC449" i="62" s="1"/>
  <c r="AC494" i="62" s="1"/>
  <c r="Q493" i="62"/>
  <c r="Q449" i="62" s="1"/>
  <c r="Q494" i="62" s="1"/>
  <c r="AJ493" i="62"/>
  <c r="AJ449" i="62" s="1"/>
  <c r="AJ494" i="62" s="1"/>
  <c r="I493" i="62"/>
  <c r="I449" i="62" s="1"/>
  <c r="I494" i="62" s="1"/>
  <c r="AB493" i="62"/>
  <c r="AB449" i="62" s="1"/>
  <c r="AB494" i="62" s="1"/>
  <c r="R493" i="62"/>
  <c r="R449" i="62" s="1"/>
  <c r="R494" i="62" s="1"/>
  <c r="O493" i="62"/>
  <c r="O449" i="62" s="1"/>
  <c r="O494" i="62" s="1"/>
  <c r="AF493" i="62"/>
  <c r="AF449" i="62" s="1"/>
  <c r="AF494" i="62" s="1"/>
  <c r="X493" i="62"/>
  <c r="X449" i="62" s="1"/>
  <c r="X494" i="62" s="1"/>
  <c r="K493" i="62"/>
  <c r="K449" i="62" s="1"/>
  <c r="K494" i="62" s="1"/>
  <c r="AH493" i="62"/>
  <c r="AH449" i="62" s="1"/>
  <c r="AH494" i="62" s="1"/>
  <c r="T493" i="62"/>
  <c r="T449" i="62" s="1"/>
  <c r="T494" i="62" s="1"/>
  <c r="AE493" i="62"/>
  <c r="AE449" i="62" s="1"/>
  <c r="AE494" i="62" s="1"/>
  <c r="E196" i="67"/>
  <c r="E196" i="51"/>
  <c r="D191" i="59"/>
  <c r="B6" i="60" s="1"/>
  <c r="E1091" i="62"/>
  <c r="L22" i="61" s="1"/>
  <c r="I495" i="46" l="1"/>
  <c r="L495" i="46"/>
  <c r="J495" i="46"/>
  <c r="AA495" i="46"/>
  <c r="AG495" i="46"/>
  <c r="M495" i="46"/>
  <c r="D495" i="46"/>
  <c r="E495" i="46"/>
  <c r="AD495" i="46"/>
  <c r="AC495" i="46"/>
  <c r="X495" i="46"/>
  <c r="K495" i="46"/>
  <c r="U495" i="46"/>
  <c r="G495" i="46"/>
  <c r="AL495" i="46"/>
  <c r="F495" i="46"/>
  <c r="AP495" i="46"/>
  <c r="V495" i="46"/>
  <c r="AI495" i="46"/>
  <c r="AM495" i="46"/>
  <c r="Q495" i="46"/>
  <c r="AE495" i="46"/>
  <c r="AF495" i="46"/>
  <c r="AK495" i="46"/>
  <c r="H495" i="46"/>
  <c r="AJ495" i="46"/>
  <c r="Z495" i="46"/>
  <c r="P495" i="46"/>
  <c r="Y495" i="46"/>
  <c r="AQ495" i="46"/>
  <c r="AB495" i="46"/>
  <c r="AH495" i="46"/>
  <c r="W495" i="46"/>
  <c r="T495" i="46"/>
  <c r="N495" i="46"/>
  <c r="AN495" i="46"/>
  <c r="AO495" i="46"/>
  <c r="S495" i="46"/>
  <c r="R495" i="46"/>
  <c r="AH493" i="54"/>
  <c r="AH449" i="54" s="1"/>
  <c r="AH494" i="54" s="1"/>
  <c r="V493" i="54"/>
  <c r="V449" i="54" s="1"/>
  <c r="V494" i="54" s="1"/>
  <c r="AD493" i="54"/>
  <c r="AD449" i="54" s="1"/>
  <c r="AD494" i="54" s="1"/>
  <c r="E493" i="54"/>
  <c r="E449" i="54" s="1"/>
  <c r="E494" i="54" s="1"/>
  <c r="P493" i="54"/>
  <c r="P449" i="54" s="1"/>
  <c r="P494" i="54" s="1"/>
  <c r="S493" i="54"/>
  <c r="S449" i="54" s="1"/>
  <c r="S494" i="54" s="1"/>
  <c r="D493" i="54"/>
  <c r="D449" i="54" s="1"/>
  <c r="D494" i="54" s="1"/>
  <c r="AI493" i="54"/>
  <c r="AI449" i="54" s="1"/>
  <c r="AI494" i="54" s="1"/>
  <c r="AG493" i="54"/>
  <c r="AG449" i="54" s="1"/>
  <c r="AG494" i="54" s="1"/>
  <c r="AA493" i="54"/>
  <c r="AA449" i="54" s="1"/>
  <c r="AA494" i="54" s="1"/>
  <c r="AF493" i="54"/>
  <c r="AF449" i="54" s="1"/>
  <c r="AF494" i="54" s="1"/>
  <c r="AM493" i="54"/>
  <c r="AM449" i="54" s="1"/>
  <c r="AM494" i="54" s="1"/>
  <c r="F493" i="54"/>
  <c r="F449" i="54" s="1"/>
  <c r="F494" i="54" s="1"/>
  <c r="H493" i="54"/>
  <c r="H449" i="54" s="1"/>
  <c r="H494" i="54" s="1"/>
  <c r="R493" i="54"/>
  <c r="R449" i="54" s="1"/>
  <c r="R494" i="54" s="1"/>
  <c r="AK493" i="54"/>
  <c r="AK449" i="54" s="1"/>
  <c r="AK494" i="54" s="1"/>
  <c r="AJ493" i="54"/>
  <c r="AJ449" i="54" s="1"/>
  <c r="AJ494" i="54" s="1"/>
  <c r="AE493" i="54"/>
  <c r="AE449" i="54" s="1"/>
  <c r="AE494" i="54" s="1"/>
  <c r="AL493" i="54"/>
  <c r="AL449" i="54" s="1"/>
  <c r="AL494" i="54" s="1"/>
  <c r="J493" i="54"/>
  <c r="J449" i="54" s="1"/>
  <c r="J494" i="54" s="1"/>
  <c r="M493" i="54"/>
  <c r="M449" i="54" s="1"/>
  <c r="M494" i="54" s="1"/>
  <c r="Q493" i="54"/>
  <c r="Q449" i="54" s="1"/>
  <c r="Q494" i="54" s="1"/>
  <c r="T493" i="54"/>
  <c r="T449" i="54" s="1"/>
  <c r="T494" i="54" s="1"/>
  <c r="AO493" i="54"/>
  <c r="AO449" i="54" s="1"/>
  <c r="AO494" i="54" s="1"/>
  <c r="Y493" i="54"/>
  <c r="Y449" i="54" s="1"/>
  <c r="Y494" i="54" s="1"/>
  <c r="W493" i="54"/>
  <c r="W449" i="54" s="1"/>
  <c r="W494" i="54" s="1"/>
  <c r="U493" i="54"/>
  <c r="U449" i="54" s="1"/>
  <c r="U494" i="54" s="1"/>
  <c r="N493" i="54"/>
  <c r="N449" i="54" s="1"/>
  <c r="N494" i="54" s="1"/>
  <c r="AB493" i="54"/>
  <c r="AB449" i="54" s="1"/>
  <c r="AB494" i="54" s="1"/>
  <c r="AP493" i="54"/>
  <c r="AP449" i="54" s="1"/>
  <c r="AP494" i="54" s="1"/>
  <c r="L493" i="54"/>
  <c r="L449" i="54" s="1"/>
  <c r="L494" i="54" s="1"/>
  <c r="O493" i="54"/>
  <c r="O449" i="54" s="1"/>
  <c r="O494" i="54" s="1"/>
  <c r="G493" i="54"/>
  <c r="G449" i="54" s="1"/>
  <c r="G494" i="54" s="1"/>
  <c r="X493" i="54"/>
  <c r="X449" i="54" s="1"/>
  <c r="X494" i="54" s="1"/>
  <c r="AQ493" i="54"/>
  <c r="AQ449" i="54" s="1"/>
  <c r="AQ494" i="54" s="1"/>
  <c r="AN493" i="54"/>
  <c r="AN449" i="54" s="1"/>
  <c r="AN494" i="54" s="1"/>
  <c r="AC493" i="54"/>
  <c r="AC449" i="54" s="1"/>
  <c r="AC494" i="54" s="1"/>
  <c r="K493" i="54"/>
  <c r="K449" i="54" s="1"/>
  <c r="K494" i="54" s="1"/>
  <c r="I493" i="54"/>
  <c r="I449" i="54" s="1"/>
  <c r="I494" i="54" s="1"/>
  <c r="AJ44" i="18"/>
  <c r="AJ53" i="18" s="1"/>
  <c r="AK57" i="18" s="1"/>
  <c r="AL57" i="18" s="1"/>
  <c r="AJ57" i="18" s="1"/>
  <c r="AR494" i="62"/>
  <c r="K495" i="62" s="1"/>
  <c r="P44" i="18"/>
  <c r="P53" i="18" s="1"/>
  <c r="Q57" i="18" s="1"/>
  <c r="R57" i="18" s="1"/>
  <c r="P57" i="18" s="1"/>
  <c r="C59" i="60"/>
  <c r="C51" i="60"/>
  <c r="C73" i="60"/>
  <c r="C35" i="60"/>
  <c r="C46" i="60"/>
  <c r="C37" i="60"/>
  <c r="C48" i="60"/>
  <c r="C49" i="60"/>
  <c r="C50" i="60"/>
  <c r="C56" i="60"/>
  <c r="C40" i="60"/>
  <c r="C55" i="60"/>
  <c r="C52" i="60"/>
  <c r="C38" i="60"/>
  <c r="C63" i="60"/>
  <c r="C65" i="60"/>
  <c r="C62" i="60"/>
  <c r="C42" i="60"/>
  <c r="C36" i="60"/>
  <c r="C45" i="60"/>
  <c r="C57" i="60"/>
  <c r="C54" i="60"/>
  <c r="C58" i="60"/>
  <c r="C66" i="60"/>
  <c r="C64" i="60"/>
  <c r="C47" i="60"/>
  <c r="C75" i="60"/>
  <c r="C53" i="60"/>
  <c r="C41" i="60"/>
  <c r="C67" i="60"/>
  <c r="C39" i="60"/>
  <c r="C60" i="60"/>
  <c r="C43" i="60"/>
  <c r="C44" i="60"/>
  <c r="C61" i="60"/>
  <c r="C68" i="60"/>
  <c r="C76" i="60"/>
  <c r="AR495" i="46" l="1"/>
  <c r="C443" i="46" s="1"/>
  <c r="C445" i="46" s="1"/>
  <c r="AR494" i="54"/>
  <c r="R495" i="54" s="1"/>
  <c r="Z495" i="62"/>
  <c r="Q495" i="62"/>
  <c r="V495" i="62"/>
  <c r="AH495" i="62"/>
  <c r="AC495" i="62"/>
  <c r="AA495" i="62"/>
  <c r="AB495" i="62"/>
  <c r="W495" i="62"/>
  <c r="AE495" i="62"/>
  <c r="Y495" i="62"/>
  <c r="AL495" i="62"/>
  <c r="E495" i="62"/>
  <c r="H495" i="62"/>
  <c r="G495" i="62"/>
  <c r="J495" i="62"/>
  <c r="AI495" i="62"/>
  <c r="U495" i="62"/>
  <c r="AF495" i="62"/>
  <c r="AM495" i="62"/>
  <c r="I495" i="62"/>
  <c r="T495" i="62"/>
  <c r="M495" i="62"/>
  <c r="AN495" i="62"/>
  <c r="AJ495" i="62"/>
  <c r="AP495" i="62"/>
  <c r="N495" i="62"/>
  <c r="L495" i="62"/>
  <c r="S495" i="62"/>
  <c r="AD495" i="62"/>
  <c r="O495" i="62"/>
  <c r="R495" i="62"/>
  <c r="AK495" i="62"/>
  <c r="P495" i="62"/>
  <c r="AG495" i="62"/>
  <c r="AQ495" i="62"/>
  <c r="F495" i="62"/>
  <c r="P55" i="18"/>
  <c r="AJ55" i="18"/>
  <c r="X495" i="62"/>
  <c r="AO495" i="62"/>
  <c r="D495" i="62"/>
  <c r="I78" i="60"/>
  <c r="G78" i="60"/>
  <c r="C82" i="60" s="1"/>
  <c r="E191" i="59" s="1"/>
  <c r="E192" i="59" s="1"/>
  <c r="E193" i="59" s="1"/>
  <c r="E194" i="59" s="1"/>
  <c r="E196" i="59" s="1"/>
  <c r="H78" i="60"/>
  <c r="E78" i="60"/>
  <c r="J78" i="60"/>
  <c r="K78" i="60"/>
  <c r="F78" i="60"/>
  <c r="D445" i="46" l="1"/>
  <c r="C861" i="46" s="1"/>
  <c r="F445" i="46"/>
  <c r="D861" i="46" s="1"/>
  <c r="I495" i="54"/>
  <c r="AD495" i="54"/>
  <c r="J495" i="54"/>
  <c r="AE495" i="54"/>
  <c r="V495" i="54"/>
  <c r="Z495" i="54"/>
  <c r="X495" i="54"/>
  <c r="G495" i="54"/>
  <c r="AH495" i="54"/>
  <c r="AM495" i="54"/>
  <c r="AO495" i="54"/>
  <c r="L495" i="54"/>
  <c r="E495" i="54"/>
  <c r="AC495" i="54"/>
  <c r="O495" i="54"/>
  <c r="AG495" i="54"/>
  <c r="F495" i="54"/>
  <c r="AB495" i="54"/>
  <c r="AI495" i="54"/>
  <c r="AA495" i="54"/>
  <c r="AK495" i="54"/>
  <c r="Y495" i="54"/>
  <c r="AF495" i="54"/>
  <c r="U495" i="54"/>
  <c r="AL495" i="54"/>
  <c r="S495" i="54"/>
  <c r="D495" i="54"/>
  <c r="N495" i="54"/>
  <c r="Q495" i="54"/>
  <c r="AJ495" i="54"/>
  <c r="AP495" i="54"/>
  <c r="AN495" i="54"/>
  <c r="AQ495" i="54"/>
  <c r="K495" i="54"/>
  <c r="T495" i="54"/>
  <c r="W495" i="54"/>
  <c r="M495" i="54"/>
  <c r="H495" i="54"/>
  <c r="P495" i="54"/>
  <c r="E402" i="46"/>
  <c r="AR495" i="62"/>
  <c r="C443" i="62" s="1"/>
  <c r="C445" i="62" s="1"/>
  <c r="AJ59" i="18"/>
  <c r="P59" i="18"/>
  <c r="Z44" i="18"/>
  <c r="Z53" i="18" s="1"/>
  <c r="AA57" i="18" s="1"/>
  <c r="AB57" i="18" s="1"/>
  <c r="Z57" i="18" s="1"/>
  <c r="C1091" i="54"/>
  <c r="E1091" i="54" s="1"/>
  <c r="L22" i="53" s="1"/>
  <c r="E445" i="46"/>
  <c r="C860" i="46"/>
  <c r="C807" i="46"/>
  <c r="C514" i="46"/>
  <c r="C582" i="46"/>
  <c r="C808" i="46" l="1"/>
  <c r="H803" i="46" s="1"/>
  <c r="N1016" i="46" s="1"/>
  <c r="A389" i="46"/>
  <c r="F389" i="46" s="1"/>
  <c r="A391" i="46"/>
  <c r="F391" i="46" s="1"/>
  <c r="C583" i="46"/>
  <c r="H576" i="46" s="1"/>
  <c r="C515" i="46"/>
  <c r="G532" i="46" s="1"/>
  <c r="H532" i="46" s="1"/>
  <c r="I532" i="46" s="1"/>
  <c r="H512" i="46"/>
  <c r="I512" i="46" s="1"/>
  <c r="C810" i="46"/>
  <c r="C585" i="46"/>
  <c r="J594" i="46" s="1"/>
  <c r="K594" i="46" s="1"/>
  <c r="C517" i="46"/>
  <c r="O530" i="46" s="1"/>
  <c r="P530" i="46" s="1"/>
  <c r="A390" i="46"/>
  <c r="F390" i="46" s="1"/>
  <c r="C646" i="46"/>
  <c r="J664" i="46" s="1"/>
  <c r="C904" i="46"/>
  <c r="AR495" i="54"/>
  <c r="C443" i="54" s="1"/>
  <c r="D445" i="54" s="1"/>
  <c r="C515" i="54" s="1"/>
  <c r="E445" i="62"/>
  <c r="C645" i="62" s="1"/>
  <c r="A687" i="62" s="1"/>
  <c r="G598" i="46"/>
  <c r="H598" i="46" s="1"/>
  <c r="I598" i="46" s="1"/>
  <c r="G597" i="46"/>
  <c r="H597" i="46" s="1"/>
  <c r="I597" i="46" s="1"/>
  <c r="J598" i="46"/>
  <c r="K598" i="46" s="1"/>
  <c r="J532" i="46"/>
  <c r="K532" i="46" s="1"/>
  <c r="G541" i="46"/>
  <c r="H541" i="46" s="1"/>
  <c r="I541" i="46" s="1"/>
  <c r="G529" i="46"/>
  <c r="H529" i="46" s="1"/>
  <c r="I529" i="46" s="1"/>
  <c r="G604" i="46"/>
  <c r="H604" i="46" s="1"/>
  <c r="I604" i="46" s="1"/>
  <c r="M604" i="46" s="1"/>
  <c r="G595" i="46"/>
  <c r="H595" i="46" s="1"/>
  <c r="I595" i="46" s="1"/>
  <c r="J604" i="46"/>
  <c r="K604" i="46" s="1"/>
  <c r="J595" i="46"/>
  <c r="K595" i="46" s="1"/>
  <c r="F445" i="62"/>
  <c r="D445" i="62"/>
  <c r="C515" i="62" s="1"/>
  <c r="C514" i="62"/>
  <c r="C582" i="62"/>
  <c r="U575" i="62" s="1"/>
  <c r="C860" i="62"/>
  <c r="C807" i="62"/>
  <c r="Z55" i="18"/>
  <c r="J538" i="46"/>
  <c r="K538" i="46" s="1"/>
  <c r="J541" i="46"/>
  <c r="K541" i="46" s="1"/>
  <c r="G538" i="62"/>
  <c r="H538" i="62" s="1"/>
  <c r="I538" i="62" s="1"/>
  <c r="G541" i="62"/>
  <c r="H541" i="62" s="1"/>
  <c r="I541" i="62" s="1"/>
  <c r="G528" i="46"/>
  <c r="H528" i="46" s="1"/>
  <c r="I528" i="46" s="1"/>
  <c r="G538" i="46"/>
  <c r="H538" i="46" s="1"/>
  <c r="I538" i="46" s="1"/>
  <c r="J528" i="46"/>
  <c r="K528" i="46" s="1"/>
  <c r="G528" i="62"/>
  <c r="H528" i="62" s="1"/>
  <c r="I528" i="62" s="1"/>
  <c r="H860" i="46"/>
  <c r="U574" i="46"/>
  <c r="U573" i="46"/>
  <c r="U575" i="46"/>
  <c r="U576" i="46"/>
  <c r="C809" i="46"/>
  <c r="C903" i="46"/>
  <c r="C645" i="46"/>
  <c r="H443" i="46"/>
  <c r="D860" i="46"/>
  <c r="A860" i="46" s="1"/>
  <c r="C584" i="46"/>
  <c r="C516" i="46"/>
  <c r="S501" i="46" s="1"/>
  <c r="G445" i="46"/>
  <c r="H442" i="46" s="1"/>
  <c r="J529" i="46" l="1"/>
  <c r="K529" i="46" s="1"/>
  <c r="J531" i="46"/>
  <c r="K531" i="46" s="1"/>
  <c r="G531" i="46"/>
  <c r="H531" i="46" s="1"/>
  <c r="I531" i="46" s="1"/>
  <c r="J597" i="46"/>
  <c r="K597" i="46" s="1"/>
  <c r="J596" i="46"/>
  <c r="K596" i="46" s="1"/>
  <c r="G530" i="46"/>
  <c r="H530" i="46" s="1"/>
  <c r="I530" i="46" s="1"/>
  <c r="G594" i="46"/>
  <c r="H594" i="46" s="1"/>
  <c r="I594" i="46" s="1"/>
  <c r="M594" i="46" s="1"/>
  <c r="G596" i="46"/>
  <c r="H596" i="46" s="1"/>
  <c r="I596" i="46" s="1"/>
  <c r="J530" i="46"/>
  <c r="K530" i="46" s="1"/>
  <c r="T501" i="46"/>
  <c r="V511" i="46" s="1"/>
  <c r="O506" i="46"/>
  <c r="AT664" i="46"/>
  <c r="L506" i="46"/>
  <c r="H506" i="46"/>
  <c r="H508" i="46" s="1"/>
  <c r="Y664" i="46"/>
  <c r="U664" i="46"/>
  <c r="N664" i="46"/>
  <c r="BC664" i="46"/>
  <c r="N506" i="46"/>
  <c r="AR664" i="46"/>
  <c r="AI664" i="46"/>
  <c r="S664" i="46"/>
  <c r="M506" i="46"/>
  <c r="AG664" i="46"/>
  <c r="X664" i="46"/>
  <c r="AH664" i="46"/>
  <c r="BB664" i="46"/>
  <c r="AS664" i="46"/>
  <c r="AU664" i="46"/>
  <c r="AZ664" i="46"/>
  <c r="AQ664" i="46"/>
  <c r="L664" i="46"/>
  <c r="AP664" i="46"/>
  <c r="AK664" i="46"/>
  <c r="G664" i="46"/>
  <c r="I664" i="46"/>
  <c r="Z664" i="46"/>
  <c r="K664" i="46"/>
  <c r="O664" i="46"/>
  <c r="C815" i="46"/>
  <c r="A820" i="46" s="1"/>
  <c r="Q664" i="46"/>
  <c r="P664" i="46"/>
  <c r="AX664" i="46"/>
  <c r="AJ664" i="46"/>
  <c r="AY664" i="46"/>
  <c r="H664" i="46"/>
  <c r="D664" i="46"/>
  <c r="W664" i="46"/>
  <c r="V664" i="46"/>
  <c r="F664" i="46"/>
  <c r="M664" i="46"/>
  <c r="AO664" i="46"/>
  <c r="AV664" i="46"/>
  <c r="E664" i="46"/>
  <c r="T664" i="46"/>
  <c r="C85" i="50"/>
  <c r="G83" i="50" s="1"/>
  <c r="R664" i="46"/>
  <c r="AN664" i="46"/>
  <c r="AM664" i="46"/>
  <c r="AL664" i="46"/>
  <c r="AW664" i="46"/>
  <c r="BA664" i="46"/>
  <c r="G532" i="62"/>
  <c r="H532" i="62" s="1"/>
  <c r="I532" i="62" s="1"/>
  <c r="M528" i="62"/>
  <c r="G532" i="54"/>
  <c r="H532" i="54" s="1"/>
  <c r="I532" i="54" s="1"/>
  <c r="M528" i="54"/>
  <c r="A668" i="62"/>
  <c r="C84" i="66"/>
  <c r="B93" i="66" s="1"/>
  <c r="C445" i="54"/>
  <c r="C582" i="54" s="1"/>
  <c r="A667" i="62"/>
  <c r="F445" i="54"/>
  <c r="A390" i="54" s="1"/>
  <c r="F390" i="54" s="1"/>
  <c r="C583" i="54"/>
  <c r="G597" i="54" s="1"/>
  <c r="H597" i="54" s="1"/>
  <c r="I597" i="54" s="1"/>
  <c r="C861" i="54"/>
  <c r="C808" i="54"/>
  <c r="A676" i="62"/>
  <c r="M598" i="46"/>
  <c r="C809" i="62"/>
  <c r="A682" i="62"/>
  <c r="A688" i="62"/>
  <c r="H443" i="62"/>
  <c r="A683" i="62"/>
  <c r="A671" i="62"/>
  <c r="C516" i="62"/>
  <c r="S501" i="62" s="1"/>
  <c r="U510" i="62" s="1"/>
  <c r="A670" i="62"/>
  <c r="A686" i="62"/>
  <c r="A672" i="62"/>
  <c r="A680" i="62"/>
  <c r="A677" i="62"/>
  <c r="C584" i="62"/>
  <c r="A673" i="62"/>
  <c r="A674" i="62"/>
  <c r="A681" i="62"/>
  <c r="A684" i="62"/>
  <c r="A679" i="62"/>
  <c r="D860" i="62"/>
  <c r="A678" i="62"/>
  <c r="A675" i="62"/>
  <c r="G445" i="62"/>
  <c r="H442" i="62" s="1"/>
  <c r="A685" i="62"/>
  <c r="A669" i="62"/>
  <c r="C903" i="62"/>
  <c r="E402" i="62"/>
  <c r="G531" i="62"/>
  <c r="H531" i="62" s="1"/>
  <c r="I531" i="62" s="1"/>
  <c r="M597" i="46"/>
  <c r="G595" i="54"/>
  <c r="H595" i="54" s="1"/>
  <c r="I595" i="54" s="1"/>
  <c r="C585" i="62"/>
  <c r="J597" i="62" s="1"/>
  <c r="K597" i="62" s="1"/>
  <c r="G530" i="62"/>
  <c r="H530" i="62" s="1"/>
  <c r="I530" i="62" s="1"/>
  <c r="G529" i="62"/>
  <c r="H529" i="62" s="1"/>
  <c r="I529" i="62" s="1"/>
  <c r="M595" i="46"/>
  <c r="G541" i="54"/>
  <c r="H541" i="54" s="1"/>
  <c r="I541" i="54" s="1"/>
  <c r="G529" i="54"/>
  <c r="H529" i="54" s="1"/>
  <c r="I529" i="54" s="1"/>
  <c r="D861" i="62"/>
  <c r="U576" i="62"/>
  <c r="U574" i="62"/>
  <c r="C904" i="62"/>
  <c r="A389" i="62"/>
  <c r="F389" i="62" s="1"/>
  <c r="U573" i="62"/>
  <c r="H506" i="62"/>
  <c r="H508" i="62" s="1"/>
  <c r="C808" i="62"/>
  <c r="H803" i="62" s="1"/>
  <c r="N1014" i="62" s="1"/>
  <c r="C517" i="62"/>
  <c r="A390" i="62"/>
  <c r="F390" i="62" s="1"/>
  <c r="H512" i="62"/>
  <c r="I512" i="62" s="1"/>
  <c r="C861" i="62"/>
  <c r="H860" i="62" s="1"/>
  <c r="H862" i="62" s="1"/>
  <c r="C646" i="62"/>
  <c r="F664" i="62" s="1"/>
  <c r="C583" i="62"/>
  <c r="G597" i="62" s="1"/>
  <c r="H597" i="62" s="1"/>
  <c r="I597" i="62" s="1"/>
  <c r="A391" i="62"/>
  <c r="F391" i="62" s="1"/>
  <c r="C810" i="62"/>
  <c r="Z59" i="18"/>
  <c r="J538" i="62"/>
  <c r="K538" i="62" s="1"/>
  <c r="J541" i="62"/>
  <c r="K541" i="62" s="1"/>
  <c r="G604" i="62"/>
  <c r="H604" i="62" s="1"/>
  <c r="I604" i="62" s="1"/>
  <c r="J604" i="62"/>
  <c r="K604" i="62" s="1"/>
  <c r="G604" i="54"/>
  <c r="H604" i="54" s="1"/>
  <c r="I604" i="54" s="1"/>
  <c r="G528" i="54"/>
  <c r="H528" i="54" s="1"/>
  <c r="I528" i="54" s="1"/>
  <c r="G538" i="54"/>
  <c r="H538" i="54" s="1"/>
  <c r="I538" i="54" s="1"/>
  <c r="W577" i="46"/>
  <c r="G530" i="54"/>
  <c r="H530" i="54" s="1"/>
  <c r="I530" i="54" s="1"/>
  <c r="G531" i="54"/>
  <c r="H531" i="54" s="1"/>
  <c r="I531" i="54" s="1"/>
  <c r="N1019" i="46"/>
  <c r="N1015" i="46"/>
  <c r="N1020" i="46"/>
  <c r="H805" i="46"/>
  <c r="N1013" i="46"/>
  <c r="N1017" i="46"/>
  <c r="N1021" i="46"/>
  <c r="N1014" i="46"/>
  <c r="N1018" i="46"/>
  <c r="U503" i="46"/>
  <c r="U510" i="46"/>
  <c r="U509" i="46"/>
  <c r="U506" i="46"/>
  <c r="U511" i="46"/>
  <c r="U507" i="46"/>
  <c r="U508" i="46"/>
  <c r="U505" i="46"/>
  <c r="U504" i="46"/>
  <c r="C814" i="46"/>
  <c r="H445" i="46"/>
  <c r="I445" i="46" s="1"/>
  <c r="D911" i="46"/>
  <c r="A915" i="46"/>
  <c r="K911" i="46"/>
  <c r="O911" i="46"/>
  <c r="A914" i="46"/>
  <c r="F911" i="46"/>
  <c r="G911" i="46"/>
  <c r="J911" i="46"/>
  <c r="A918" i="46"/>
  <c r="M911" i="46"/>
  <c r="A917" i="46"/>
  <c r="H911" i="46"/>
  <c r="E911" i="46"/>
  <c r="L911" i="46"/>
  <c r="A916" i="46"/>
  <c r="N911" i="46"/>
  <c r="A861" i="46"/>
  <c r="C867" i="46" s="1"/>
  <c r="I911" i="46"/>
  <c r="H578" i="46"/>
  <c r="A677" i="46"/>
  <c r="A687" i="46"/>
  <c r="A676" i="46"/>
  <c r="A675" i="46"/>
  <c r="A688" i="46"/>
  <c r="A683" i="46"/>
  <c r="A684" i="46"/>
  <c r="A668" i="46"/>
  <c r="A679" i="46"/>
  <c r="A667" i="46"/>
  <c r="A681" i="46"/>
  <c r="A686" i="46"/>
  <c r="A669" i="46"/>
  <c r="A674" i="46"/>
  <c r="A672" i="46"/>
  <c r="A680" i="46"/>
  <c r="A673" i="46"/>
  <c r="A671" i="46"/>
  <c r="A678" i="46"/>
  <c r="A682" i="46"/>
  <c r="C84" i="50"/>
  <c r="A670" i="46"/>
  <c r="A685" i="46"/>
  <c r="H862" i="46"/>
  <c r="J595" i="62" l="1"/>
  <c r="K595" i="62" s="1"/>
  <c r="M596" i="46"/>
  <c r="V505" i="46"/>
  <c r="W505" i="46" s="1"/>
  <c r="V507" i="46"/>
  <c r="W507" i="46" s="1"/>
  <c r="V508" i="46"/>
  <c r="W508" i="46" s="1"/>
  <c r="V504" i="46"/>
  <c r="W504" i="46" s="1"/>
  <c r="V503" i="46"/>
  <c r="W503" i="46" s="1"/>
  <c r="V509" i="46"/>
  <c r="W509" i="46" s="1"/>
  <c r="V510" i="46"/>
  <c r="W510" i="46" s="1"/>
  <c r="V506" i="46"/>
  <c r="W506" i="46" s="1"/>
  <c r="A822" i="46"/>
  <c r="O511" i="46"/>
  <c r="N525" i="46" s="1"/>
  <c r="A830" i="46"/>
  <c r="A828" i="46"/>
  <c r="A825" i="46"/>
  <c r="A826" i="46"/>
  <c r="A827" i="46"/>
  <c r="E104" i="50"/>
  <c r="A823" i="46"/>
  <c r="B104" i="50"/>
  <c r="N83" i="50"/>
  <c r="I83" i="50"/>
  <c r="J83" i="50"/>
  <c r="A832" i="46"/>
  <c r="K83" i="50"/>
  <c r="A831" i="46"/>
  <c r="L83" i="50"/>
  <c r="G104" i="50"/>
  <c r="C1014" i="46"/>
  <c r="A1027" i="46" s="1"/>
  <c r="A824" i="46"/>
  <c r="H83" i="50"/>
  <c r="E83" i="50"/>
  <c r="F104" i="50"/>
  <c r="F83" i="50"/>
  <c r="A821" i="46"/>
  <c r="D104" i="50"/>
  <c r="M83" i="50"/>
  <c r="T92" i="50"/>
  <c r="T93" i="50" s="1"/>
  <c r="A829" i="46"/>
  <c r="C104" i="50"/>
  <c r="M597" i="62"/>
  <c r="B97" i="66"/>
  <c r="S92" i="66"/>
  <c r="S93" i="66" s="1"/>
  <c r="B95" i="66"/>
  <c r="B86" i="66"/>
  <c r="B96" i="66"/>
  <c r="B92" i="66"/>
  <c r="C904" i="54"/>
  <c r="C810" i="54"/>
  <c r="G594" i="54"/>
  <c r="H594" i="54" s="1"/>
  <c r="I594" i="54" s="1"/>
  <c r="E445" i="54"/>
  <c r="C516" i="54" s="1"/>
  <c r="S501" i="54" s="1"/>
  <c r="C517" i="54"/>
  <c r="O530" i="54" s="1"/>
  <c r="P530" i="54" s="1"/>
  <c r="A389" i="54"/>
  <c r="F389" i="54" s="1"/>
  <c r="B88" i="66"/>
  <c r="B94" i="66"/>
  <c r="B98" i="66"/>
  <c r="B89" i="66"/>
  <c r="B90" i="66"/>
  <c r="B87" i="66"/>
  <c r="B99" i="66"/>
  <c r="B100" i="66"/>
  <c r="B91" i="66"/>
  <c r="C860" i="54"/>
  <c r="H860" i="54" s="1"/>
  <c r="H862" i="54" s="1"/>
  <c r="C807" i="54"/>
  <c r="H803" i="54" s="1"/>
  <c r="N1019" i="54" s="1"/>
  <c r="G596" i="54"/>
  <c r="H596" i="54" s="1"/>
  <c r="I596" i="54" s="1"/>
  <c r="A391" i="54"/>
  <c r="F391" i="54" s="1"/>
  <c r="D861" i="54"/>
  <c r="C585" i="54"/>
  <c r="J596" i="54" s="1"/>
  <c r="K596" i="54" s="1"/>
  <c r="C646" i="54"/>
  <c r="U664" i="54" s="1"/>
  <c r="C514" i="54"/>
  <c r="H506" i="54" s="1"/>
  <c r="H508" i="54" s="1"/>
  <c r="H512" i="54"/>
  <c r="I512" i="54" s="1"/>
  <c r="G598" i="54"/>
  <c r="H598" i="54" s="1"/>
  <c r="I598" i="54" s="1"/>
  <c r="H445" i="62"/>
  <c r="I445" i="62" s="1"/>
  <c r="B786" i="62" s="1"/>
  <c r="D786" i="62" s="1"/>
  <c r="D787" i="62" s="1"/>
  <c r="E787" i="62" s="1"/>
  <c r="C790" i="62" s="1"/>
  <c r="D790" i="62" s="1"/>
  <c r="D715" i="62" s="1"/>
  <c r="G1091" i="62" s="1"/>
  <c r="C814" i="62"/>
  <c r="L817" i="62" s="1"/>
  <c r="U505" i="62"/>
  <c r="U508" i="62"/>
  <c r="U506" i="62"/>
  <c r="U504" i="62"/>
  <c r="U507" i="62"/>
  <c r="K689" i="62"/>
  <c r="H689" i="62"/>
  <c r="P689" i="62"/>
  <c r="U689" i="62"/>
  <c r="L689" i="62"/>
  <c r="Y689" i="62"/>
  <c r="M689" i="62"/>
  <c r="X689" i="62"/>
  <c r="R689" i="62"/>
  <c r="O689" i="62"/>
  <c r="D689" i="62"/>
  <c r="G689" i="62"/>
  <c r="N689" i="62"/>
  <c r="Q689" i="62"/>
  <c r="Z689" i="62"/>
  <c r="E689" i="62"/>
  <c r="U509" i="62"/>
  <c r="U503" i="62"/>
  <c r="J689" i="62"/>
  <c r="M911" i="62"/>
  <c r="S689" i="62"/>
  <c r="T689" i="62"/>
  <c r="A861" i="62"/>
  <c r="W689" i="62"/>
  <c r="V689" i="62"/>
  <c r="I689" i="62"/>
  <c r="F689" i="62"/>
  <c r="U511" i="62"/>
  <c r="J531" i="62"/>
  <c r="K531" i="62" s="1"/>
  <c r="O530" i="62"/>
  <c r="P530" i="62" s="1"/>
  <c r="J594" i="62"/>
  <c r="K594" i="62" s="1"/>
  <c r="C617" i="46"/>
  <c r="C618" i="46"/>
  <c r="G594" i="62"/>
  <c r="H594" i="62" s="1"/>
  <c r="I594" i="62" s="1"/>
  <c r="G598" i="62"/>
  <c r="H598" i="62" s="1"/>
  <c r="I598" i="62" s="1"/>
  <c r="J596" i="62"/>
  <c r="K596" i="62" s="1"/>
  <c r="J598" i="62"/>
  <c r="K598" i="62" s="1"/>
  <c r="J528" i="62"/>
  <c r="K528" i="62" s="1"/>
  <c r="J532" i="62"/>
  <c r="K532" i="62" s="1"/>
  <c r="J529" i="54"/>
  <c r="K529" i="54" s="1"/>
  <c r="J532" i="54"/>
  <c r="K532" i="54" s="1"/>
  <c r="J595" i="54"/>
  <c r="K595" i="54" s="1"/>
  <c r="M595" i="54" s="1"/>
  <c r="M615" i="46"/>
  <c r="N1021" i="62"/>
  <c r="N1019" i="62"/>
  <c r="N1016" i="62"/>
  <c r="N1017" i="62"/>
  <c r="N1013" i="62"/>
  <c r="J530" i="62"/>
  <c r="K530" i="62" s="1"/>
  <c r="J529" i="62"/>
  <c r="K529" i="62" s="1"/>
  <c r="G596" i="62"/>
  <c r="H596" i="62" s="1"/>
  <c r="I596" i="62" s="1"/>
  <c r="G595" i="62"/>
  <c r="H595" i="62" s="1"/>
  <c r="I595" i="62" s="1"/>
  <c r="M595" i="62" s="1"/>
  <c r="N1020" i="62"/>
  <c r="N1018" i="62"/>
  <c r="A860" i="62"/>
  <c r="G911" i="62"/>
  <c r="I911" i="62"/>
  <c r="C85" i="66"/>
  <c r="G83" i="66" s="1"/>
  <c r="AL664" i="62"/>
  <c r="AW664" i="62"/>
  <c r="AU664" i="62"/>
  <c r="J664" i="62"/>
  <c r="R664" i="62"/>
  <c r="W664" i="62"/>
  <c r="AY664" i="62"/>
  <c r="AR664" i="62"/>
  <c r="K911" i="62"/>
  <c r="BC664" i="62"/>
  <c r="V664" i="62"/>
  <c r="AI664" i="62"/>
  <c r="P664" i="62"/>
  <c r="E911" i="62"/>
  <c r="W577" i="62"/>
  <c r="N664" i="62"/>
  <c r="AX664" i="62"/>
  <c r="AZ664" i="62"/>
  <c r="Q664" i="62"/>
  <c r="N911" i="62"/>
  <c r="AV664" i="62"/>
  <c r="L664" i="62"/>
  <c r="I664" i="62"/>
  <c r="S664" i="62"/>
  <c r="T664" i="62"/>
  <c r="L911" i="62"/>
  <c r="H664" i="62"/>
  <c r="Y664" i="62"/>
  <c r="AJ664" i="62"/>
  <c r="M664" i="62"/>
  <c r="F911" i="62"/>
  <c r="D911" i="62"/>
  <c r="A916" i="62"/>
  <c r="H911" i="62"/>
  <c r="A915" i="62"/>
  <c r="A914" i="62"/>
  <c r="A918" i="62"/>
  <c r="J911" i="62"/>
  <c r="A917" i="62"/>
  <c r="E664" i="62"/>
  <c r="X664" i="62"/>
  <c r="O911" i="62"/>
  <c r="AP664" i="62"/>
  <c r="AK664" i="62"/>
  <c r="AG664" i="62"/>
  <c r="N1015" i="62"/>
  <c r="H805" i="62"/>
  <c r="AN664" i="62"/>
  <c r="AM664" i="62"/>
  <c r="AO664" i="62"/>
  <c r="G664" i="62"/>
  <c r="AQ664" i="62"/>
  <c r="AS664" i="62"/>
  <c r="Z664" i="62"/>
  <c r="D664" i="62"/>
  <c r="AT664" i="62"/>
  <c r="K664" i="62"/>
  <c r="BA664" i="62"/>
  <c r="U664" i="62"/>
  <c r="AH664" i="62"/>
  <c r="O664" i="62"/>
  <c r="BB664" i="62"/>
  <c r="L506" i="62"/>
  <c r="O506" i="62"/>
  <c r="H576" i="62"/>
  <c r="H578" i="62" s="1"/>
  <c r="T501" i="62"/>
  <c r="V507" i="62" s="1"/>
  <c r="N506" i="62"/>
  <c r="C815" i="62"/>
  <c r="A820" i="62" s="1"/>
  <c r="M506" i="62"/>
  <c r="J538" i="54"/>
  <c r="K538" i="54" s="1"/>
  <c r="J541" i="54"/>
  <c r="K541" i="54" s="1"/>
  <c r="J604" i="54"/>
  <c r="K604" i="54" s="1"/>
  <c r="M604" i="54" s="1"/>
  <c r="M604" i="62"/>
  <c r="P1022" i="46"/>
  <c r="B1034" i="46" s="1"/>
  <c r="U573" i="54"/>
  <c r="U575" i="54"/>
  <c r="U576" i="54"/>
  <c r="U574" i="54"/>
  <c r="H576" i="54"/>
  <c r="H578" i="54" s="1"/>
  <c r="J445" i="46"/>
  <c r="N434" i="46" s="1"/>
  <c r="B786" i="46"/>
  <c r="D786" i="46" s="1"/>
  <c r="D787" i="46" s="1"/>
  <c r="E787" i="46" s="1"/>
  <c r="C790" i="46" s="1"/>
  <c r="D790" i="46" s="1"/>
  <c r="D715" i="46" s="1"/>
  <c r="G1091" i="46" s="1"/>
  <c r="C21" i="45"/>
  <c r="B706" i="46"/>
  <c r="D706" i="46" s="1"/>
  <c r="G860" i="46"/>
  <c r="I860" i="46" s="1"/>
  <c r="G506" i="46"/>
  <c r="G803" i="46"/>
  <c r="G576" i="46"/>
  <c r="I576" i="46" s="1"/>
  <c r="M817" i="46"/>
  <c r="L817" i="46"/>
  <c r="I817" i="46"/>
  <c r="H817" i="46"/>
  <c r="J817" i="46"/>
  <c r="D817" i="46"/>
  <c r="O817" i="46"/>
  <c r="F817" i="46"/>
  <c r="E817" i="46"/>
  <c r="K817" i="46"/>
  <c r="C1013" i="46"/>
  <c r="N817" i="46"/>
  <c r="G817" i="46"/>
  <c r="W511" i="46"/>
  <c r="I919" i="46"/>
  <c r="H919" i="46"/>
  <c r="K919" i="46"/>
  <c r="J919" i="46"/>
  <c r="O919" i="46"/>
  <c r="L919" i="46"/>
  <c r="N919" i="46"/>
  <c r="D919" i="46"/>
  <c r="E919" i="46"/>
  <c r="G919" i="46"/>
  <c r="F919" i="46"/>
  <c r="M919" i="46"/>
  <c r="U689" i="46"/>
  <c r="N689" i="46"/>
  <c r="K689" i="46"/>
  <c r="P689" i="46"/>
  <c r="I689" i="46"/>
  <c r="T689" i="46"/>
  <c r="M689" i="46"/>
  <c r="H689" i="46"/>
  <c r="E689" i="46"/>
  <c r="V689" i="46"/>
  <c r="Z689" i="46"/>
  <c r="L689" i="46"/>
  <c r="R689" i="46"/>
  <c r="X689" i="46"/>
  <c r="J689" i="46"/>
  <c r="F689" i="46"/>
  <c r="G689" i="46"/>
  <c r="W689" i="46"/>
  <c r="Y689" i="46"/>
  <c r="D689" i="46"/>
  <c r="S689" i="46"/>
  <c r="Q689" i="46"/>
  <c r="O689" i="46"/>
  <c r="B91" i="50"/>
  <c r="B88" i="50"/>
  <c r="B90" i="50"/>
  <c r="B93" i="50"/>
  <c r="S92" i="50"/>
  <c r="S93" i="50" s="1"/>
  <c r="B92" i="50"/>
  <c r="B97" i="50"/>
  <c r="B89" i="50"/>
  <c r="B87" i="50"/>
  <c r="B86" i="50"/>
  <c r="B100" i="50"/>
  <c r="B99" i="50"/>
  <c r="B98" i="50"/>
  <c r="B95" i="50"/>
  <c r="B96" i="50"/>
  <c r="B94" i="50"/>
  <c r="A1019" i="46" l="1"/>
  <c r="W512" i="46"/>
  <c r="A562" i="46" s="1"/>
  <c r="U93" i="50"/>
  <c r="S525" i="46"/>
  <c r="D834" i="46"/>
  <c r="N834" i="46"/>
  <c r="H107" i="50"/>
  <c r="G834" i="46"/>
  <c r="F834" i="46"/>
  <c r="L834" i="46"/>
  <c r="A1023" i="46"/>
  <c r="K834" i="46"/>
  <c r="A1024" i="46"/>
  <c r="H834" i="46"/>
  <c r="A1022" i="46"/>
  <c r="J834" i="46"/>
  <c r="A1020" i="46"/>
  <c r="M834" i="46"/>
  <c r="A1025" i="46"/>
  <c r="O834" i="46"/>
  <c r="I834" i="46"/>
  <c r="A1026" i="46"/>
  <c r="E834" i="46"/>
  <c r="A1021" i="46"/>
  <c r="J597" i="54"/>
  <c r="K597" i="54" s="1"/>
  <c r="M597" i="54" s="1"/>
  <c r="J598" i="54"/>
  <c r="K598" i="54" s="1"/>
  <c r="J528" i="54"/>
  <c r="K528" i="54" s="1"/>
  <c r="J531" i="54"/>
  <c r="K531" i="54" s="1"/>
  <c r="D860" i="54"/>
  <c r="A861" i="54" s="1"/>
  <c r="C584" i="54"/>
  <c r="H443" i="54"/>
  <c r="C809" i="54"/>
  <c r="C815" i="54" s="1"/>
  <c r="G445" i="54"/>
  <c r="H442" i="54" s="1"/>
  <c r="C903" i="54"/>
  <c r="O911" i="54" s="1"/>
  <c r="N1017" i="54"/>
  <c r="C645" i="54"/>
  <c r="A684" i="54" s="1"/>
  <c r="V664" i="54"/>
  <c r="AS664" i="54"/>
  <c r="AW664" i="54"/>
  <c r="AY664" i="54"/>
  <c r="AR664" i="54"/>
  <c r="Y664" i="54"/>
  <c r="W664" i="54"/>
  <c r="X664" i="54"/>
  <c r="T664" i="54"/>
  <c r="AN664" i="54"/>
  <c r="L664" i="54"/>
  <c r="AZ664" i="54"/>
  <c r="J530" i="54"/>
  <c r="K530" i="54" s="1"/>
  <c r="R664" i="54"/>
  <c r="BC664" i="54"/>
  <c r="M506" i="54"/>
  <c r="L506" i="54"/>
  <c r="AU664" i="54"/>
  <c r="E664" i="54"/>
  <c r="AI664" i="54"/>
  <c r="AL664" i="54"/>
  <c r="N506" i="54"/>
  <c r="O506" i="54"/>
  <c r="T501" i="54"/>
  <c r="V505" i="54" s="1"/>
  <c r="AJ664" i="54"/>
  <c r="S664" i="54"/>
  <c r="M664" i="54"/>
  <c r="AH664" i="54"/>
  <c r="K101" i="66"/>
  <c r="J594" i="54"/>
  <c r="K594" i="54" s="1"/>
  <c r="M594" i="54" s="1"/>
  <c r="BB664" i="54"/>
  <c r="I664" i="54"/>
  <c r="M101" i="66"/>
  <c r="L101" i="66"/>
  <c r="J101" i="66"/>
  <c r="I101" i="66"/>
  <c r="F101" i="66"/>
  <c r="N1013" i="54"/>
  <c r="N1018" i="54"/>
  <c r="H101" i="66"/>
  <c r="N1014" i="54"/>
  <c r="N1020" i="54"/>
  <c r="N1021" i="54"/>
  <c r="N1016" i="54"/>
  <c r="N101" i="66"/>
  <c r="E101" i="66"/>
  <c r="N1015" i="54"/>
  <c r="M596" i="54"/>
  <c r="H805" i="54"/>
  <c r="G101" i="66"/>
  <c r="P664" i="54"/>
  <c r="C85" i="58"/>
  <c r="D104" i="58" s="1"/>
  <c r="AG664" i="54"/>
  <c r="J445" i="62"/>
  <c r="O434" i="62" s="1"/>
  <c r="AO664" i="54"/>
  <c r="N664" i="54"/>
  <c r="H664" i="54"/>
  <c r="AV664" i="54"/>
  <c r="G803" i="62"/>
  <c r="I803" i="62" s="1"/>
  <c r="AT664" i="54"/>
  <c r="O664" i="54"/>
  <c r="K664" i="54"/>
  <c r="AQ664" i="54"/>
  <c r="G664" i="54"/>
  <c r="Q664" i="54"/>
  <c r="D664" i="54"/>
  <c r="AM664" i="54"/>
  <c r="BA664" i="54"/>
  <c r="AK664" i="54"/>
  <c r="AP664" i="54"/>
  <c r="F664" i="54"/>
  <c r="J664" i="54"/>
  <c r="AX664" i="54"/>
  <c r="Z664" i="54"/>
  <c r="G860" i="62"/>
  <c r="G862" i="62" s="1"/>
  <c r="C866" i="62" s="1"/>
  <c r="D817" i="62"/>
  <c r="O817" i="62"/>
  <c r="C1013" i="62"/>
  <c r="H1016" i="62" s="1"/>
  <c r="N817" i="62"/>
  <c r="J817" i="62"/>
  <c r="G576" i="62"/>
  <c r="G578" i="62" s="1"/>
  <c r="C586" i="62" s="1"/>
  <c r="M578" i="62" s="1"/>
  <c r="N578" i="62" s="1"/>
  <c r="O578" i="62" s="1"/>
  <c r="E817" i="62"/>
  <c r="H817" i="62"/>
  <c r="M817" i="62"/>
  <c r="G817" i="62"/>
  <c r="B706" i="62"/>
  <c r="D706" i="62" s="1"/>
  <c r="G506" i="62"/>
  <c r="I506" i="62" s="1"/>
  <c r="K817" i="62"/>
  <c r="F817" i="62"/>
  <c r="C21" i="61"/>
  <c r="I817" i="62"/>
  <c r="W507" i="62"/>
  <c r="M598" i="54"/>
  <c r="M594" i="62"/>
  <c r="C867" i="62"/>
  <c r="M596" i="62"/>
  <c r="C617" i="62"/>
  <c r="C618" i="62"/>
  <c r="M598" i="62"/>
  <c r="C702" i="62"/>
  <c r="E702" i="62" s="1"/>
  <c r="C707" i="62" s="1"/>
  <c r="L83" i="66"/>
  <c r="P1022" i="62"/>
  <c r="B1034" i="62" s="1"/>
  <c r="D104" i="66"/>
  <c r="F83" i="66"/>
  <c r="C104" i="66"/>
  <c r="J83" i="66"/>
  <c r="H83" i="66"/>
  <c r="E104" i="66"/>
  <c r="T92" i="66"/>
  <c r="T93" i="66" s="1"/>
  <c r="U93" i="66" s="1"/>
  <c r="M83" i="66"/>
  <c r="N83" i="66"/>
  <c r="G104" i="66"/>
  <c r="F104" i="66"/>
  <c r="K83" i="66"/>
  <c r="E83" i="66"/>
  <c r="I83" i="66"/>
  <c r="B104" i="66"/>
  <c r="A829" i="62"/>
  <c r="A825" i="62"/>
  <c r="H919" i="62"/>
  <c r="O919" i="62"/>
  <c r="K919" i="62"/>
  <c r="M919" i="62"/>
  <c r="E919" i="62"/>
  <c r="F919" i="62"/>
  <c r="L919" i="62"/>
  <c r="V508" i="62"/>
  <c r="W508" i="62" s="1"/>
  <c r="N919" i="62"/>
  <c r="D919" i="62"/>
  <c r="G919" i="62"/>
  <c r="I919" i="62"/>
  <c r="J919" i="62"/>
  <c r="C1014" i="62"/>
  <c r="A1027" i="62" s="1"/>
  <c r="A828" i="62"/>
  <c r="V511" i="62"/>
  <c r="W511" i="62" s="1"/>
  <c r="A822" i="62"/>
  <c r="V509" i="62"/>
  <c r="W509" i="62" s="1"/>
  <c r="V504" i="62"/>
  <c r="W504" i="62" s="1"/>
  <c r="V503" i="62"/>
  <c r="W503" i="62" s="1"/>
  <c r="V510" i="62"/>
  <c r="W510" i="62" s="1"/>
  <c r="O511" i="62"/>
  <c r="S525" i="62" s="1"/>
  <c r="V505" i="62"/>
  <c r="W505" i="62" s="1"/>
  <c r="V506" i="62"/>
  <c r="W506" i="62" s="1"/>
  <c r="A832" i="62"/>
  <c r="A823" i="62"/>
  <c r="A831" i="62"/>
  <c r="A824" i="62"/>
  <c r="A826" i="62"/>
  <c r="A827" i="62"/>
  <c r="A830" i="62"/>
  <c r="A821" i="62"/>
  <c r="W577" i="54"/>
  <c r="C702" i="46"/>
  <c r="E702" i="46" s="1"/>
  <c r="C707" i="46" s="1"/>
  <c r="U508" i="54"/>
  <c r="U505" i="54"/>
  <c r="U503" i="54"/>
  <c r="U507" i="54"/>
  <c r="U506" i="54"/>
  <c r="U511" i="54"/>
  <c r="U509" i="54"/>
  <c r="U510" i="54"/>
  <c r="U504" i="54"/>
  <c r="C434" i="46"/>
  <c r="T434" i="46"/>
  <c r="X434" i="46"/>
  <c r="C384" i="46"/>
  <c r="E434" i="46"/>
  <c r="I434" i="46"/>
  <c r="Z434" i="46"/>
  <c r="V434" i="46"/>
  <c r="J434" i="46"/>
  <c r="D434" i="46"/>
  <c r="U434" i="46"/>
  <c r="AH434" i="46"/>
  <c r="W434" i="46"/>
  <c r="K443" i="46"/>
  <c r="AB434" i="46"/>
  <c r="G384" i="46"/>
  <c r="AC434" i="46"/>
  <c r="P434" i="46"/>
  <c r="F384" i="46"/>
  <c r="F434" i="46"/>
  <c r="Y434" i="46"/>
  <c r="M434" i="46"/>
  <c r="D384" i="46"/>
  <c r="O434" i="46"/>
  <c r="H434" i="46"/>
  <c r="R434" i="46"/>
  <c r="Q434" i="46"/>
  <c r="AA434" i="46"/>
  <c r="G434" i="46"/>
  <c r="AF434" i="46"/>
  <c r="L434" i="46"/>
  <c r="AG434" i="46"/>
  <c r="S434" i="46"/>
  <c r="AE434" i="46"/>
  <c r="AD434" i="46"/>
  <c r="E384" i="46"/>
  <c r="K434" i="46"/>
  <c r="G862" i="46"/>
  <c r="C866" i="46" s="1"/>
  <c r="C879" i="46" s="1"/>
  <c r="C880" i="46" s="1"/>
  <c r="C890" i="46" s="1"/>
  <c r="C891" i="46" s="1"/>
  <c r="D855" i="46" s="1"/>
  <c r="G1086" i="46" s="1"/>
  <c r="G578" i="46"/>
  <c r="C586" i="46" s="1"/>
  <c r="N101" i="50"/>
  <c r="L101" i="50"/>
  <c r="K101" i="50"/>
  <c r="J101" i="50"/>
  <c r="H101" i="50"/>
  <c r="C83" i="50"/>
  <c r="J69" i="50" s="1"/>
  <c r="K69" i="50" s="1"/>
  <c r="I101" i="50"/>
  <c r="G101" i="50"/>
  <c r="E101" i="50"/>
  <c r="M101" i="50"/>
  <c r="F101" i="50"/>
  <c r="J1016" i="46"/>
  <c r="I1016" i="46"/>
  <c r="E1016" i="46"/>
  <c r="H1016" i="46"/>
  <c r="L1016" i="46"/>
  <c r="D1016" i="46"/>
  <c r="F1016" i="46"/>
  <c r="K1016" i="46"/>
  <c r="G1016" i="46"/>
  <c r="I506" i="46"/>
  <c r="G508" i="46"/>
  <c r="C518" i="46" s="1"/>
  <c r="AB507" i="46" s="1"/>
  <c r="I803" i="46"/>
  <c r="G805" i="46"/>
  <c r="C811" i="46" s="1"/>
  <c r="C837" i="46" l="1"/>
  <c r="C839" i="46" s="1"/>
  <c r="C841" i="46" s="1"/>
  <c r="C842" i="46" s="1"/>
  <c r="L525" i="46"/>
  <c r="L531" i="46" s="1"/>
  <c r="N531" i="46" s="1"/>
  <c r="E1028" i="46"/>
  <c r="K1028" i="46"/>
  <c r="I1028" i="46"/>
  <c r="F1028" i="46"/>
  <c r="H1028" i="46"/>
  <c r="G1028" i="46"/>
  <c r="D1028" i="46"/>
  <c r="L1028" i="46"/>
  <c r="J1028" i="46"/>
  <c r="C814" i="54"/>
  <c r="O817" i="54" s="1"/>
  <c r="K911" i="54"/>
  <c r="H445" i="54"/>
  <c r="I445" i="54" s="1"/>
  <c r="B786" i="54" s="1"/>
  <c r="D786" i="54" s="1"/>
  <c r="D787" i="54" s="1"/>
  <c r="E787" i="54" s="1"/>
  <c r="C790" i="54" s="1"/>
  <c r="D790" i="54" s="1"/>
  <c r="D715" i="54" s="1"/>
  <c r="G1091" i="54" s="1"/>
  <c r="W512" i="62"/>
  <c r="A562" i="62" s="1"/>
  <c r="A563" i="62" s="1"/>
  <c r="A860" i="54"/>
  <c r="C867" i="54" s="1"/>
  <c r="N911" i="54"/>
  <c r="A675" i="54"/>
  <c r="A676" i="54"/>
  <c r="A917" i="54"/>
  <c r="F911" i="54"/>
  <c r="I911" i="54"/>
  <c r="D911" i="54"/>
  <c r="A918" i="54"/>
  <c r="A914" i="54"/>
  <c r="A915" i="54"/>
  <c r="A916" i="54"/>
  <c r="H911" i="54"/>
  <c r="G911" i="54"/>
  <c r="L911" i="54"/>
  <c r="E911" i="54"/>
  <c r="M911" i="54"/>
  <c r="J911" i="54"/>
  <c r="A688" i="54"/>
  <c r="A686" i="54"/>
  <c r="A677" i="54"/>
  <c r="A670" i="54"/>
  <c r="A667" i="54"/>
  <c r="A680" i="54"/>
  <c r="A669" i="54"/>
  <c r="A674" i="54"/>
  <c r="A679" i="54"/>
  <c r="A685" i="54"/>
  <c r="A678" i="54"/>
  <c r="A687" i="54"/>
  <c r="A682" i="54"/>
  <c r="A681" i="54"/>
  <c r="A673" i="54"/>
  <c r="A672" i="54"/>
  <c r="A668" i="54"/>
  <c r="C84" i="58"/>
  <c r="B89" i="58" s="1"/>
  <c r="A671" i="54"/>
  <c r="A683" i="54"/>
  <c r="O511" i="54"/>
  <c r="S525" i="54" s="1"/>
  <c r="K83" i="58"/>
  <c r="F83" i="58"/>
  <c r="G104" i="58"/>
  <c r="V509" i="54"/>
  <c r="W509" i="54" s="1"/>
  <c r="V508" i="54"/>
  <c r="W508" i="54" s="1"/>
  <c r="M615" i="54"/>
  <c r="V506" i="54"/>
  <c r="W506" i="54" s="1"/>
  <c r="V503" i="54"/>
  <c r="W503" i="54" s="1"/>
  <c r="V511" i="54"/>
  <c r="W511" i="54" s="1"/>
  <c r="V510" i="54"/>
  <c r="W510" i="54" s="1"/>
  <c r="V507" i="54"/>
  <c r="W507" i="54" s="1"/>
  <c r="V504" i="54"/>
  <c r="W504" i="54" s="1"/>
  <c r="P1022" i="54"/>
  <c r="B1034" i="54" s="1"/>
  <c r="B104" i="58"/>
  <c r="E434" i="62"/>
  <c r="E104" i="58"/>
  <c r="P434" i="62"/>
  <c r="J83" i="58"/>
  <c r="M83" i="58"/>
  <c r="S434" i="62"/>
  <c r="N83" i="58"/>
  <c r="L83" i="58"/>
  <c r="G83" i="58"/>
  <c r="T92" i="58"/>
  <c r="T93" i="58" s="1"/>
  <c r="C104" i="58"/>
  <c r="F104" i="58"/>
  <c r="E83" i="58"/>
  <c r="I83" i="58"/>
  <c r="H83" i="58"/>
  <c r="C434" i="62"/>
  <c r="AC434" i="62"/>
  <c r="F384" i="62"/>
  <c r="F434" i="62"/>
  <c r="X434" i="62"/>
  <c r="AF434" i="62"/>
  <c r="AB434" i="62"/>
  <c r="D384" i="62"/>
  <c r="L434" i="62"/>
  <c r="C384" i="62"/>
  <c r="Q434" i="62"/>
  <c r="G384" i="62"/>
  <c r="E1016" i="62"/>
  <c r="AD434" i="62"/>
  <c r="AH434" i="62"/>
  <c r="D434" i="62"/>
  <c r="AE434" i="62"/>
  <c r="J434" i="62"/>
  <c r="E384" i="62"/>
  <c r="G805" i="62"/>
  <c r="C811" i="62" s="1"/>
  <c r="K434" i="62"/>
  <c r="AG434" i="62"/>
  <c r="I434" i="62"/>
  <c r="N434" i="62"/>
  <c r="H434" i="62"/>
  <c r="Y434" i="62"/>
  <c r="V434" i="62"/>
  <c r="U434" i="62"/>
  <c r="W434" i="62"/>
  <c r="T434" i="62"/>
  <c r="Z434" i="62"/>
  <c r="AA434" i="62"/>
  <c r="R434" i="62"/>
  <c r="G434" i="62"/>
  <c r="K443" i="62"/>
  <c r="M434" i="62"/>
  <c r="I576" i="62"/>
  <c r="I860" i="62"/>
  <c r="D1016" i="62"/>
  <c r="C879" i="62"/>
  <c r="C880" i="62" s="1"/>
  <c r="C890" i="62" s="1"/>
  <c r="C891" i="62" s="1"/>
  <c r="D855" i="62" s="1"/>
  <c r="G1086" i="62" s="1"/>
  <c r="I1016" i="62"/>
  <c r="J1016" i="62"/>
  <c r="K1016" i="62"/>
  <c r="F1016" i="62"/>
  <c r="G1016" i="62"/>
  <c r="L1016" i="62"/>
  <c r="G508" i="62"/>
  <c r="C518" i="62" s="1"/>
  <c r="AB507" i="62" s="1"/>
  <c r="AB509" i="62" s="1"/>
  <c r="AB511" i="62" s="1"/>
  <c r="M615" i="62"/>
  <c r="C624" i="62" s="1"/>
  <c r="C617" i="54"/>
  <c r="C618" i="54"/>
  <c r="D707" i="62"/>
  <c r="E707" i="62" s="1"/>
  <c r="C710" i="62" s="1"/>
  <c r="D710" i="62" s="1"/>
  <c r="D629" i="62" s="1"/>
  <c r="G1088" i="62" s="1"/>
  <c r="L529" i="46"/>
  <c r="N529" i="46" s="1"/>
  <c r="L532" i="46"/>
  <c r="N532" i="46" s="1"/>
  <c r="H107" i="66"/>
  <c r="P578" i="62"/>
  <c r="C83" i="66"/>
  <c r="J69" i="66" s="1"/>
  <c r="K69" i="66" s="1"/>
  <c r="D83" i="66"/>
  <c r="D85" i="66" s="1"/>
  <c r="A1020" i="62"/>
  <c r="A1022" i="62"/>
  <c r="A1023" i="62"/>
  <c r="A1024" i="62"/>
  <c r="A1026" i="62"/>
  <c r="A1021" i="62"/>
  <c r="A1025" i="62"/>
  <c r="N525" i="62"/>
  <c r="A1019" i="62"/>
  <c r="D834" i="62"/>
  <c r="F834" i="62"/>
  <c r="O834" i="62"/>
  <c r="L834" i="62"/>
  <c r="J834" i="62"/>
  <c r="G834" i="62"/>
  <c r="E834" i="62"/>
  <c r="Q582" i="62"/>
  <c r="N582" i="62"/>
  <c r="O582" i="62"/>
  <c r="P582" i="62"/>
  <c r="M582" i="62"/>
  <c r="I834" i="62"/>
  <c r="H834" i="62"/>
  <c r="M834" i="62"/>
  <c r="N834" i="62"/>
  <c r="K834" i="62"/>
  <c r="L538" i="46"/>
  <c r="N538" i="46" s="1"/>
  <c r="L541" i="46"/>
  <c r="N541" i="46" s="1"/>
  <c r="L538" i="62"/>
  <c r="N538" i="62" s="1"/>
  <c r="D707" i="46"/>
  <c r="E707" i="46" s="1"/>
  <c r="C710" i="46" s="1"/>
  <c r="D710" i="46" s="1"/>
  <c r="D629" i="46" s="1"/>
  <c r="L528" i="46"/>
  <c r="N528" i="46" s="1"/>
  <c r="W505" i="54"/>
  <c r="A827" i="54"/>
  <c r="A824" i="54"/>
  <c r="A826" i="54"/>
  <c r="C1014" i="54"/>
  <c r="A821" i="54"/>
  <c r="A831" i="54"/>
  <c r="A830" i="54"/>
  <c r="A820" i="54"/>
  <c r="A825" i="54"/>
  <c r="A822" i="54"/>
  <c r="A829" i="54"/>
  <c r="A828" i="54"/>
  <c r="A823" i="54"/>
  <c r="A832" i="54"/>
  <c r="K445" i="46"/>
  <c r="C1081" i="46" s="1"/>
  <c r="L443" i="46"/>
  <c r="M578" i="46"/>
  <c r="N578" i="46" s="1"/>
  <c r="P578" i="46" s="1"/>
  <c r="C624" i="46"/>
  <c r="D83" i="50"/>
  <c r="D85" i="50" s="1"/>
  <c r="J72" i="50" s="1"/>
  <c r="A563" i="46"/>
  <c r="AB509" i="46"/>
  <c r="L530" i="46" l="1"/>
  <c r="N530" i="46" s="1"/>
  <c r="Q525" i="46"/>
  <c r="Q530" i="46" s="1"/>
  <c r="S530" i="46" s="1"/>
  <c r="B1031" i="46"/>
  <c r="B1033" i="46" s="1"/>
  <c r="B1035" i="46" s="1"/>
  <c r="B1037" i="46" s="1"/>
  <c r="B1040" i="46" s="1"/>
  <c r="A1016" i="46"/>
  <c r="G576" i="54"/>
  <c r="I576" i="54" s="1"/>
  <c r="J445" i="54"/>
  <c r="Q434" i="54" s="1"/>
  <c r="L817" i="54"/>
  <c r="I817" i="54"/>
  <c r="C1013" i="54"/>
  <c r="H1016" i="54" s="1"/>
  <c r="D817" i="54"/>
  <c r="K817" i="54"/>
  <c r="G506" i="54"/>
  <c r="G508" i="54" s="1"/>
  <c r="C518" i="54" s="1"/>
  <c r="AB507" i="54" s="1"/>
  <c r="AB509" i="54" s="1"/>
  <c r="G860" i="54"/>
  <c r="G862" i="54" s="1"/>
  <c r="C866" i="54" s="1"/>
  <c r="C879" i="54" s="1"/>
  <c r="C880" i="54" s="1"/>
  <c r="C890" i="54" s="1"/>
  <c r="C891" i="54" s="1"/>
  <c r="D855" i="54" s="1"/>
  <c r="G1086" i="54" s="1"/>
  <c r="C21" i="53"/>
  <c r="G803" i="54"/>
  <c r="I803" i="54" s="1"/>
  <c r="N817" i="54"/>
  <c r="B706" i="54"/>
  <c r="D706" i="54" s="1"/>
  <c r="G817" i="54"/>
  <c r="F817" i="54"/>
  <c r="H817" i="54"/>
  <c r="L525" i="62"/>
  <c r="L531" i="62" s="1"/>
  <c r="N531" i="62" s="1"/>
  <c r="J817" i="54"/>
  <c r="M817" i="54"/>
  <c r="E817" i="54"/>
  <c r="L528" i="62"/>
  <c r="W512" i="54"/>
  <c r="A562" i="54" s="1"/>
  <c r="B86" i="58"/>
  <c r="B88" i="58"/>
  <c r="B96" i="58"/>
  <c r="F919" i="54"/>
  <c r="N919" i="54"/>
  <c r="M919" i="54"/>
  <c r="B94" i="58"/>
  <c r="B98" i="58"/>
  <c r="K919" i="54"/>
  <c r="H919" i="54"/>
  <c r="D919" i="54"/>
  <c r="E919" i="54"/>
  <c r="I919" i="54"/>
  <c r="O919" i="54"/>
  <c r="L919" i="54"/>
  <c r="G919" i="54"/>
  <c r="J919" i="54"/>
  <c r="B97" i="58"/>
  <c r="F689" i="54"/>
  <c r="Z689" i="54"/>
  <c r="E689" i="54"/>
  <c r="N525" i="54"/>
  <c r="L689" i="54"/>
  <c r="N689" i="54"/>
  <c r="H689" i="54"/>
  <c r="W689" i="54"/>
  <c r="B95" i="58"/>
  <c r="G689" i="54"/>
  <c r="B92" i="58"/>
  <c r="Q689" i="54"/>
  <c r="T689" i="54"/>
  <c r="R689" i="54"/>
  <c r="J689" i="54"/>
  <c r="S689" i="54"/>
  <c r="B90" i="58"/>
  <c r="Y689" i="54"/>
  <c r="B99" i="58"/>
  <c r="D689" i="54"/>
  <c r="O689" i="54"/>
  <c r="B91" i="58"/>
  <c r="M689" i="54"/>
  <c r="U689" i="54"/>
  <c r="P689" i="54"/>
  <c r="S92" i="58"/>
  <c r="S93" i="58" s="1"/>
  <c r="U93" i="58" s="1"/>
  <c r="K689" i="54"/>
  <c r="B87" i="58"/>
  <c r="X689" i="54"/>
  <c r="V689" i="54"/>
  <c r="B100" i="58"/>
  <c r="B93" i="58"/>
  <c r="I689" i="54"/>
  <c r="H107" i="58"/>
  <c r="K445" i="62"/>
  <c r="C1081" i="62" s="1"/>
  <c r="E1081" i="62" s="1"/>
  <c r="L18" i="61" s="1"/>
  <c r="L443" i="62"/>
  <c r="AB512" i="62"/>
  <c r="AB513" i="62" s="1"/>
  <c r="L529" i="62"/>
  <c r="N529" i="62" s="1"/>
  <c r="L532" i="62"/>
  <c r="N532" i="62" s="1"/>
  <c r="J72" i="66"/>
  <c r="N528" i="62"/>
  <c r="C837" i="62"/>
  <c r="C839" i="62" s="1"/>
  <c r="C841" i="62" s="1"/>
  <c r="C842" i="62" s="1"/>
  <c r="Q578" i="62"/>
  <c r="R578" i="62" s="1"/>
  <c r="C620" i="62" s="1"/>
  <c r="C621" i="62" s="1"/>
  <c r="D568" i="62" s="1"/>
  <c r="G1089" i="62" s="1"/>
  <c r="I1028" i="62"/>
  <c r="L1028" i="62"/>
  <c r="L541" i="62"/>
  <c r="N541" i="62" s="1"/>
  <c r="H1028" i="62"/>
  <c r="G1028" i="62"/>
  <c r="K1028" i="62"/>
  <c r="F1028" i="62"/>
  <c r="D1028" i="62"/>
  <c r="J1028" i="62"/>
  <c r="E1028" i="62"/>
  <c r="A1021" i="54"/>
  <c r="A1022" i="54"/>
  <c r="A1027" i="54"/>
  <c r="A1025" i="54"/>
  <c r="A1026" i="54"/>
  <c r="A1023" i="54"/>
  <c r="A1024" i="54"/>
  <c r="A1020" i="54"/>
  <c r="A1019" i="54"/>
  <c r="L445" i="46"/>
  <c r="C1087" i="46" s="1"/>
  <c r="E1087" i="46" s="1"/>
  <c r="F834" i="54"/>
  <c r="D834" i="54"/>
  <c r="L834" i="54"/>
  <c r="N834" i="54"/>
  <c r="G834" i="54"/>
  <c r="E834" i="54"/>
  <c r="K834" i="54"/>
  <c r="H834" i="54"/>
  <c r="I834" i="54"/>
  <c r="M834" i="54"/>
  <c r="O834" i="54"/>
  <c r="J834" i="54"/>
  <c r="O578" i="46"/>
  <c r="Q582" i="46" s="1"/>
  <c r="G1088" i="46"/>
  <c r="AB512" i="46"/>
  <c r="AB511" i="46"/>
  <c r="E1081" i="46"/>
  <c r="L18" i="45" s="1"/>
  <c r="G578" i="54" l="1"/>
  <c r="C586" i="54" s="1"/>
  <c r="M578" i="54" s="1"/>
  <c r="N578" i="54" s="1"/>
  <c r="O578" i="54" s="1"/>
  <c r="L1016" i="54"/>
  <c r="D1016" i="54"/>
  <c r="L530" i="62"/>
  <c r="N530" i="62" s="1"/>
  <c r="N549" i="62" s="1"/>
  <c r="F1016" i="54"/>
  <c r="G1016" i="54"/>
  <c r="E1016" i="54"/>
  <c r="G384" i="54"/>
  <c r="M434" i="54"/>
  <c r="V434" i="54"/>
  <c r="AG434" i="54"/>
  <c r="P434" i="54"/>
  <c r="J434" i="54"/>
  <c r="Y434" i="54"/>
  <c r="I434" i="54"/>
  <c r="AD434" i="54"/>
  <c r="AB434" i="54"/>
  <c r="W434" i="54"/>
  <c r="X434" i="54"/>
  <c r="Z434" i="54"/>
  <c r="L434" i="54"/>
  <c r="U434" i="54"/>
  <c r="H434" i="54"/>
  <c r="AF434" i="54"/>
  <c r="C384" i="54"/>
  <c r="G434" i="54"/>
  <c r="AE434" i="54"/>
  <c r="F384" i="54"/>
  <c r="AH434" i="54"/>
  <c r="I860" i="54"/>
  <c r="I1016" i="54"/>
  <c r="J1016" i="54"/>
  <c r="K434" i="54"/>
  <c r="S434" i="54"/>
  <c r="L525" i="54"/>
  <c r="Q525" i="54" s="1"/>
  <c r="Q530" i="54" s="1"/>
  <c r="S530" i="54" s="1"/>
  <c r="I506" i="54"/>
  <c r="AA434" i="54"/>
  <c r="D384" i="54"/>
  <c r="R434" i="54"/>
  <c r="F434" i="54"/>
  <c r="K443" i="54"/>
  <c r="D434" i="54"/>
  <c r="N434" i="54"/>
  <c r="T434" i="54"/>
  <c r="O434" i="54"/>
  <c r="AC434" i="54"/>
  <c r="C434" i="54"/>
  <c r="E384" i="54"/>
  <c r="E434" i="54"/>
  <c r="G805" i="54"/>
  <c r="C811" i="54" s="1"/>
  <c r="K1016" i="54"/>
  <c r="Q525" i="62"/>
  <c r="Q530" i="62" s="1"/>
  <c r="S530" i="62" s="1"/>
  <c r="S549" i="62" s="1"/>
  <c r="C702" i="54"/>
  <c r="E702" i="54" s="1"/>
  <c r="D707" i="54" s="1"/>
  <c r="E101" i="58"/>
  <c r="N101" i="58"/>
  <c r="K101" i="58"/>
  <c r="M101" i="58"/>
  <c r="I101" i="58"/>
  <c r="F101" i="58"/>
  <c r="G101" i="58"/>
  <c r="H101" i="58"/>
  <c r="L101" i="58"/>
  <c r="C83" i="58"/>
  <c r="J69" i="58" s="1"/>
  <c r="K69" i="58" s="1"/>
  <c r="J101" i="58"/>
  <c r="L445" i="62"/>
  <c r="C1087" i="62" s="1"/>
  <c r="E1087" i="62" s="1"/>
  <c r="L532" i="54"/>
  <c r="N532" i="54" s="1"/>
  <c r="B1031" i="62"/>
  <c r="B1033" i="62" s="1"/>
  <c r="B1035" i="62" s="1"/>
  <c r="B1037" i="62" s="1"/>
  <c r="B1040" i="62" s="1"/>
  <c r="A1016" i="62"/>
  <c r="C837" i="54"/>
  <c r="C839" i="54" s="1"/>
  <c r="C841" i="54" s="1"/>
  <c r="L538" i="54"/>
  <c r="N538" i="54" s="1"/>
  <c r="L541" i="54"/>
  <c r="N541" i="54" s="1"/>
  <c r="L528" i="54"/>
  <c r="N528" i="54" s="1"/>
  <c r="AB512" i="54"/>
  <c r="AB511" i="54"/>
  <c r="G1028" i="54"/>
  <c r="J1028" i="54"/>
  <c r="L1028" i="54"/>
  <c r="K1028" i="54"/>
  <c r="F1028" i="54"/>
  <c r="E1028" i="54"/>
  <c r="D1028" i="54"/>
  <c r="I1028" i="54"/>
  <c r="H1028" i="54"/>
  <c r="A563" i="54"/>
  <c r="N582" i="46"/>
  <c r="P582" i="46"/>
  <c r="M582" i="46"/>
  <c r="O582" i="46"/>
  <c r="AB513" i="46"/>
  <c r="L529" i="54" l="1"/>
  <c r="N529" i="54" s="1"/>
  <c r="C624" i="54"/>
  <c r="C561" i="62"/>
  <c r="L531" i="54"/>
  <c r="N531" i="54" s="1"/>
  <c r="L530" i="54"/>
  <c r="N530" i="54" s="1"/>
  <c r="K445" i="54"/>
  <c r="C1081" i="54" s="1"/>
  <c r="E1081" i="54" s="1"/>
  <c r="L18" i="53" s="1"/>
  <c r="L443" i="54"/>
  <c r="C842" i="54"/>
  <c r="C707" i="54"/>
  <c r="E707" i="54" s="1"/>
  <c r="C710" i="54" s="1"/>
  <c r="D710" i="54" s="1"/>
  <c r="D629" i="54" s="1"/>
  <c r="G1088" i="54" s="1"/>
  <c r="D83" i="58"/>
  <c r="D85" i="58" s="1"/>
  <c r="J72" i="58" s="1"/>
  <c r="C562" i="62"/>
  <c r="C563" i="62" s="1"/>
  <c r="D500" i="62" s="1"/>
  <c r="G1090" i="62" s="1"/>
  <c r="N549" i="46"/>
  <c r="S549" i="46"/>
  <c r="P578" i="54"/>
  <c r="B1031" i="54"/>
  <c r="B1033" i="54" s="1"/>
  <c r="B1035" i="54" s="1"/>
  <c r="B1037" i="54" s="1"/>
  <c r="B1040" i="54" s="1"/>
  <c r="A1016" i="54"/>
  <c r="Q578" i="46"/>
  <c r="R578" i="46" s="1"/>
  <c r="C620" i="46" s="1"/>
  <c r="C621" i="46" s="1"/>
  <c r="D568" i="46" s="1"/>
  <c r="G1089" i="46" s="1"/>
  <c r="AB513" i="54"/>
  <c r="O582" i="54"/>
  <c r="M582" i="54"/>
  <c r="Q582" i="54"/>
  <c r="N582" i="54"/>
  <c r="P582" i="54"/>
  <c r="N549" i="54" l="1"/>
  <c r="L445" i="54"/>
  <c r="C1087" i="54" s="1"/>
  <c r="E1087" i="54" s="1"/>
  <c r="C561" i="46"/>
  <c r="C562" i="46"/>
  <c r="S549" i="54"/>
  <c r="C1083" i="62"/>
  <c r="E1083" i="62" s="1"/>
  <c r="L19" i="61" s="1"/>
  <c r="M19" i="61" s="1"/>
  <c r="Q578" i="54"/>
  <c r="R578" i="54" s="1"/>
  <c r="C620" i="54" s="1"/>
  <c r="C621" i="54" s="1"/>
  <c r="D568" i="54" s="1"/>
  <c r="C561" i="54" l="1"/>
  <c r="C562" i="54"/>
  <c r="C563" i="46"/>
  <c r="D500" i="46" s="1"/>
  <c r="I1071" i="62"/>
  <c r="I1075" i="62" s="1"/>
  <c r="J1075" i="62" s="1"/>
  <c r="C1085" i="62"/>
  <c r="E1085" i="62" s="1"/>
  <c r="G1089" i="54"/>
  <c r="C563" i="54" l="1"/>
  <c r="D500" i="54" s="1"/>
  <c r="G1090" i="54" s="1"/>
  <c r="G1090" i="46"/>
  <c r="C1083" i="46"/>
  <c r="B73" i="66"/>
  <c r="C1083" i="54" l="1"/>
  <c r="C1085" i="54" s="1"/>
  <c r="E1085" i="54" s="1"/>
  <c r="D73" i="66"/>
  <c r="J73" i="66"/>
  <c r="E1083" i="46"/>
  <c r="L19" i="45" s="1"/>
  <c r="M19" i="45" s="1"/>
  <c r="C1085" i="46"/>
  <c r="I1071" i="46"/>
  <c r="I1075" i="46" s="1"/>
  <c r="J1075" i="46" s="1"/>
  <c r="B12" i="66"/>
  <c r="B38" i="66"/>
  <c r="B36" i="66"/>
  <c r="B50" i="66"/>
  <c r="B44" i="66"/>
  <c r="B31" i="66"/>
  <c r="B59" i="66"/>
  <c r="B41" i="66"/>
  <c r="B9" i="66"/>
  <c r="B56" i="66"/>
  <c r="B49" i="66"/>
  <c r="B21" i="66"/>
  <c r="B15" i="66"/>
  <c r="B20" i="66"/>
  <c r="B58" i="66"/>
  <c r="B35" i="66"/>
  <c r="B47" i="66"/>
  <c r="B29" i="66"/>
  <c r="B27" i="66"/>
  <c r="B45" i="66"/>
  <c r="B34" i="66"/>
  <c r="B52" i="66"/>
  <c r="B7" i="66"/>
  <c r="B53" i="66"/>
  <c r="B62" i="66"/>
  <c r="B46" i="66"/>
  <c r="B61" i="66"/>
  <c r="B18" i="66"/>
  <c r="B6" i="66"/>
  <c r="B48" i="66"/>
  <c r="B39" i="66"/>
  <c r="B54" i="66"/>
  <c r="I73" i="66"/>
  <c r="H73" i="66"/>
  <c r="B16" i="66"/>
  <c r="B13" i="66"/>
  <c r="B63" i="66"/>
  <c r="B11" i="66"/>
  <c r="K73" i="66"/>
  <c r="F73" i="66"/>
  <c r="B32" i="66"/>
  <c r="B22" i="66"/>
  <c r="B19" i="66"/>
  <c r="B37" i="66"/>
  <c r="B26" i="66"/>
  <c r="B42" i="66"/>
  <c r="B8" i="66"/>
  <c r="B65" i="66"/>
  <c r="B57" i="66"/>
  <c r="B51" i="66"/>
  <c r="B14" i="66"/>
  <c r="B40" i="66"/>
  <c r="E73" i="66"/>
  <c r="B28" i="66"/>
  <c r="B64" i="66"/>
  <c r="B60" i="66"/>
  <c r="B23" i="66"/>
  <c r="B55" i="66"/>
  <c r="B25" i="66"/>
  <c r="B24" i="66"/>
  <c r="B43" i="66"/>
  <c r="B10" i="66"/>
  <c r="B17" i="66"/>
  <c r="G73" i="66"/>
  <c r="B30" i="66"/>
  <c r="B33" i="66"/>
  <c r="B73" i="58" l="1"/>
  <c r="J73" i="58" s="1"/>
  <c r="E1083" i="54"/>
  <c r="L19" i="53" s="1"/>
  <c r="M19" i="53" s="1"/>
  <c r="I1071" i="54"/>
  <c r="I1075" i="54" s="1"/>
  <c r="J1075" i="54" s="1"/>
  <c r="E1085" i="46"/>
  <c r="B73" i="50"/>
  <c r="F66" i="66"/>
  <c r="E66" i="66"/>
  <c r="D73" i="58" l="1"/>
  <c r="B34" i="58"/>
  <c r="B19" i="58"/>
  <c r="B24" i="58"/>
  <c r="B48" i="58"/>
  <c r="B62" i="58"/>
  <c r="B7" i="58"/>
  <c r="B6" i="58"/>
  <c r="B52" i="58"/>
  <c r="B64" i="58"/>
  <c r="B37" i="58"/>
  <c r="B32" i="58"/>
  <c r="I73" i="58"/>
  <c r="B25" i="58"/>
  <c r="B63" i="58"/>
  <c r="B20" i="58"/>
  <c r="B41" i="58"/>
  <c r="B44" i="58"/>
  <c r="B56" i="58"/>
  <c r="B18" i="58"/>
  <c r="B59" i="58"/>
  <c r="B14" i="58"/>
  <c r="B30" i="58"/>
  <c r="H73" i="58"/>
  <c r="B33" i="58"/>
  <c r="B46" i="58"/>
  <c r="B49" i="58"/>
  <c r="B16" i="58"/>
  <c r="B50" i="58"/>
  <c r="B61" i="58"/>
  <c r="B35" i="58"/>
  <c r="B53" i="58"/>
  <c r="B43" i="58"/>
  <c r="B57" i="58"/>
  <c r="B55" i="58"/>
  <c r="K73" i="58"/>
  <c r="B42" i="58"/>
  <c r="F73" i="58"/>
  <c r="B36" i="58"/>
  <c r="B10" i="58"/>
  <c r="B9" i="58"/>
  <c r="B38" i="58"/>
  <c r="B45" i="58"/>
  <c r="B13" i="58"/>
  <c r="B22" i="58"/>
  <c r="B47" i="58"/>
  <c r="B39" i="58"/>
  <c r="E73" i="58"/>
  <c r="B60" i="58"/>
  <c r="B12" i="58"/>
  <c r="B31" i="58"/>
  <c r="B54" i="58"/>
  <c r="B40" i="58"/>
  <c r="B8" i="58"/>
  <c r="B65" i="58"/>
  <c r="B23" i="58"/>
  <c r="B28" i="58"/>
  <c r="B17" i="58"/>
  <c r="B11" i="58"/>
  <c r="B27" i="58"/>
  <c r="B58" i="58"/>
  <c r="B21" i="58"/>
  <c r="B26" i="58"/>
  <c r="B15" i="58"/>
  <c r="B29" i="58"/>
  <c r="G73" i="58"/>
  <c r="B51" i="58"/>
  <c r="J73" i="50"/>
  <c r="D73" i="50"/>
  <c r="C72" i="66"/>
  <c r="C73" i="66" s="1"/>
  <c r="O73" i="66" s="1"/>
  <c r="C1088" i="62" s="1"/>
  <c r="E1088" i="62" s="1"/>
  <c r="B11" i="50"/>
  <c r="B9" i="50"/>
  <c r="B23" i="50"/>
  <c r="B40" i="50"/>
  <c r="B59" i="50"/>
  <c r="B46" i="50"/>
  <c r="B65" i="50"/>
  <c r="B25" i="50"/>
  <c r="B30" i="50"/>
  <c r="B52" i="50"/>
  <c r="B10" i="50"/>
  <c r="F73" i="50"/>
  <c r="B34" i="50"/>
  <c r="B13" i="50"/>
  <c r="B31" i="50"/>
  <c r="B20" i="50"/>
  <c r="B8" i="50"/>
  <c r="B12" i="50"/>
  <c r="B16" i="50"/>
  <c r="B17" i="50"/>
  <c r="K73" i="50"/>
  <c r="B38" i="50"/>
  <c r="B36" i="50"/>
  <c r="B49" i="50"/>
  <c r="B48" i="50"/>
  <c r="B35" i="50"/>
  <c r="B64" i="50"/>
  <c r="G73" i="50"/>
  <c r="B61" i="50"/>
  <c r="B45" i="50"/>
  <c r="B47" i="50"/>
  <c r="B18" i="50"/>
  <c r="B21" i="50"/>
  <c r="B51" i="50"/>
  <c r="B29" i="50"/>
  <c r="B22" i="50"/>
  <c r="B27" i="50"/>
  <c r="B15" i="50"/>
  <c r="B56" i="50"/>
  <c r="B42" i="50"/>
  <c r="B63" i="50"/>
  <c r="B32" i="50"/>
  <c r="B39" i="50"/>
  <c r="B43" i="50"/>
  <c r="B37" i="50"/>
  <c r="B53" i="50"/>
  <c r="B54" i="50"/>
  <c r="B58" i="50"/>
  <c r="B55" i="50"/>
  <c r="B60" i="50"/>
  <c r="B19" i="50"/>
  <c r="B24" i="50"/>
  <c r="I73" i="50"/>
  <c r="B33" i="50"/>
  <c r="B28" i="50"/>
  <c r="H73" i="50"/>
  <c r="B41" i="50"/>
  <c r="B62" i="50"/>
  <c r="B26" i="50"/>
  <c r="B6" i="50"/>
  <c r="E73" i="50"/>
  <c r="B14" i="50"/>
  <c r="B57" i="50"/>
  <c r="B44" i="50"/>
  <c r="B50" i="50"/>
  <c r="B7" i="50"/>
  <c r="F66" i="58" l="1"/>
  <c r="E66" i="58"/>
  <c r="C1089" i="62"/>
  <c r="E1089" i="62" s="1"/>
  <c r="L24" i="61" s="1"/>
  <c r="F66" i="50"/>
  <c r="E66" i="50"/>
  <c r="C72" i="58" l="1"/>
  <c r="C73" i="58" s="1"/>
  <c r="O73" i="58" s="1"/>
  <c r="C1088" i="54" s="1"/>
  <c r="C1089" i="54" s="1"/>
  <c r="E1089" i="54" s="1"/>
  <c r="L24" i="53" s="1"/>
  <c r="C1093" i="62"/>
  <c r="C72" i="50"/>
  <c r="C73" i="50" s="1"/>
  <c r="O73" i="50" s="1"/>
  <c r="C1088" i="46" s="1"/>
  <c r="C1089" i="46" s="1"/>
  <c r="E1093" i="62" l="1"/>
  <c r="L26" i="61" s="1"/>
  <c r="C1093" i="54"/>
  <c r="E1088" i="54"/>
  <c r="E1088" i="46"/>
  <c r="C1093" i="46"/>
  <c r="E1089" i="46"/>
  <c r="L24" i="45" s="1"/>
  <c r="J40" i="69" l="1"/>
  <c r="E1093" i="54"/>
  <c r="L26" i="53" s="1"/>
  <c r="E1093" i="46"/>
  <c r="L26" i="45" s="1"/>
  <c r="AL1" i="18" l="1"/>
  <c r="E46" i="43" s="1"/>
  <c r="F46" i="43" s="1"/>
  <c r="C1096" i="62"/>
  <c r="C1094" i="62" s="1"/>
  <c r="B23" i="61" s="1"/>
  <c r="H46" i="43" s="1"/>
  <c r="I46" i="43" s="1"/>
  <c r="I40" i="69"/>
  <c r="J46" i="43" l="1"/>
  <c r="K46" i="43" s="1"/>
  <c r="F8" i="44" s="1"/>
  <c r="AB1" i="18"/>
  <c r="E45" i="43" s="1"/>
  <c r="F45" i="43" s="1"/>
  <c r="C1096" i="54"/>
  <c r="C1094" i="54" s="1"/>
  <c r="B23" i="53" s="1"/>
  <c r="H45" i="43" s="1"/>
  <c r="I45" i="43" s="1"/>
  <c r="H40" i="69"/>
  <c r="J45" i="43" l="1"/>
  <c r="K45" i="43" s="1"/>
  <c r="F6" i="44" s="1"/>
  <c r="R1" i="18"/>
  <c r="E44" i="43" s="1"/>
  <c r="F44" i="43" s="1"/>
  <c r="C1096" i="46"/>
  <c r="C1094" i="46" s="1"/>
  <c r="B23" i="45" s="1"/>
  <c r="H44" i="43" s="1"/>
  <c r="I44" i="43" s="1"/>
  <c r="G40" i="69"/>
  <c r="J44" i="43" l="1"/>
  <c r="K44" i="43" s="1"/>
  <c r="F4" i="44" s="1"/>
  <c r="F1" i="18"/>
  <c r="E43" i="43" s="1"/>
  <c r="F43" i="43" s="1"/>
  <c r="C1096" i="3"/>
  <c r="C1094" i="3" s="1"/>
  <c r="B23" i="1" s="1"/>
  <c r="H43" i="43" l="1"/>
  <c r="I43" i="43" s="1"/>
  <c r="J43" i="43" s="1"/>
  <c r="J47" i="43" s="1"/>
  <c r="M47" i="43" s="1"/>
  <c r="F17" i="44"/>
  <c r="K43" i="43" l="1"/>
  <c r="F2" i="44" s="1"/>
  <c r="M19" i="43"/>
  <c r="M54" i="43" s="1"/>
  <c r="M58" i="43" s="1"/>
  <c r="F11" i="44" s="1"/>
  <c r="M53" i="43" l="1"/>
  <c r="F10" i="4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Logix API</author>
  </authors>
  <commentList>
    <comment ref="B2" authorId="0">
      <text>
        <t>Field: Fefco
Type: string</t>
      </text>
    </comment>
    <comment ref="B9" authorId="0">
      <text>
        <t>Field: Aantal
Type: number</t>
      </text>
    </comment>
    <comment ref="B5" authorId="0">
      <text>
        <t>Field: Hoogte
Type: number</t>
      </text>
    </comment>
    <comment ref="B3" authorId="0">
      <text>
        <t>Field: Lengte
Type: number</t>
      </text>
    </comment>
    <comment ref="B4" authorId="0">
      <text>
        <t>Field: Breedte
Type: number</t>
      </text>
    </comment>
    <comment ref="B6" authorId="0">
      <text>
        <t>Field: Kwaliteit
Type: number</t>
      </text>
    </comment>
    <comment ref="B7" authorId="0">
      <text>
        <t>Field: Bedrukking
Type: string</t>
      </text>
    </comment>
    <comment ref="B8" authorId="0">
      <text>
        <t>Field: Handgrepen
Type: string</t>
      </text>
    </comment>
    <comment ref="F11" authorId="0">
      <text>
        <t>Field: remark
Type: string</t>
      </text>
    </comment>
    <comment ref="F10" authorId="0">
      <text>
        <t>Field: status
Type: string</t>
      </text>
    </comment>
    <comment ref="F2" authorId="0">
      <text>
        <t>Field: per_price
Type: number</t>
      </text>
    </comment>
    <comment ref="F9" authorId="0">
      <text>
        <t>Field: pallet_qty
Type: number</t>
      </text>
    </comment>
    <comment ref="F3" authorId="0">
      <text>
        <t>Field: staffel2_qty
Type: number</t>
      </text>
    </comment>
    <comment ref="F5" authorId="0">
      <text>
        <t>Field: staffel3_qty
Type: number</t>
      </text>
    </comment>
    <comment ref="F7" authorId="0">
      <text>
        <t>Field: staffel4_qty
Type: number</t>
      </text>
    </comment>
    <comment ref="F4" authorId="0">
      <text>
        <t>Field: staffel2_price
Type: number</t>
      </text>
    </comment>
    <comment ref="F6" authorId="0">
      <text>
        <t>Field: staffel3_price
Type: number</t>
      </text>
    </comment>
    <comment ref="F8" authorId="0">
      <text>
        <t>Field: staffel4_price
Type: number</t>
      </text>
    </comment>
    <comment ref="F13" authorId="0">
      <text>
        <t>Field: deliverytime_to
Type: number</t>
      </text>
    </comment>
    <comment ref="F12" authorId="0">
      <text>
        <t>Field: deliverytime_from
Type: number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Logix API</author>
  </authors>
  <commentList>
    <comment ref="B2" authorId="0" shapeId="0" xr:uid="{0DA51F1A-F236-4942-BCAE-D684302D3ADD}">
      <text>
        <r>
          <rPr>
            <sz val="11"/>
            <color theme="1"/>
            <rFont val="Calibri"/>
            <family val="2"/>
            <scheme val="minor"/>
          </rPr>
          <t>Field: Kwaliteit
Type: number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Logix API</author>
  </authors>
  <commentList>
    <comment ref="B2" authorId="0" shapeId="0" xr:uid="{4CC11C29-AFFC-4C36-89A1-6750C8FE3242}">
      <text>
        <r>
          <rPr>
            <sz val="11"/>
            <color theme="1"/>
            <rFont val="Calibri"/>
            <family val="2"/>
            <scheme val="minor"/>
          </rPr>
          <t>Field: Kwaliteit
Type: number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Logix API</author>
  </authors>
  <commentList>
    <comment ref="B2" authorId="0" shapeId="0" xr:uid="{3C9FE74C-4774-4F21-B5B7-16B315427885}">
      <text>
        <r>
          <rPr>
            <sz val="11"/>
            <color theme="1"/>
            <rFont val="Calibri"/>
            <family val="2"/>
            <scheme val="minor"/>
          </rPr>
          <t>Field: Kwaliteit
Type: number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Logix API</author>
  </authors>
  <commentList>
    <comment ref="B2" authorId="0" shapeId="0" xr:uid="{19E25487-8E7A-4B6B-9983-6ACFB614F380}">
      <text>
        <r>
          <rPr>
            <sz val="11"/>
            <color theme="1"/>
            <rFont val="Calibri"/>
            <family val="2"/>
            <scheme val="minor"/>
          </rPr>
          <t>Field: Kwaliteit
Type: number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<sst xmlns="http://schemas.openxmlformats.org/spreadsheetml/2006/main" count="14760" uniqueCount="1533">
  <si>
    <t>Golf</t>
  </si>
  <si>
    <t>Kwaliteit</t>
  </si>
  <si>
    <t>Fefco</t>
  </si>
  <si>
    <t>Aantal kleuren</t>
  </si>
  <si>
    <t>Bedrukkingspercentage</t>
  </si>
  <si>
    <t xml:space="preserve">Handgrepen </t>
  </si>
  <si>
    <t xml:space="preserve">Aantal </t>
  </si>
  <si>
    <t>Toeslag materiaal</t>
  </si>
  <si>
    <t>0201</t>
  </si>
  <si>
    <t>Lengte</t>
  </si>
  <si>
    <t xml:space="preserve">breedte </t>
  </si>
  <si>
    <t>hoogte</t>
  </si>
  <si>
    <t>0110</t>
  </si>
  <si>
    <t>0200</t>
  </si>
  <si>
    <t>0203</t>
  </si>
  <si>
    <t>0409</t>
  </si>
  <si>
    <t>0427</t>
  </si>
  <si>
    <t>0421</t>
  </si>
  <si>
    <t>Breedte</t>
  </si>
  <si>
    <t>Hoogte</t>
  </si>
  <si>
    <t>Toeslag</t>
  </si>
  <si>
    <t>Wanddikte</t>
  </si>
  <si>
    <t>Extra</t>
  </si>
  <si>
    <t>Breedte plaat</t>
  </si>
  <si>
    <t>Lengte plaat</t>
  </si>
  <si>
    <t>mm</t>
  </si>
  <si>
    <t>Stuks</t>
  </si>
  <si>
    <t xml:space="preserve">Naam </t>
  </si>
  <si>
    <t>Selectie</t>
  </si>
  <si>
    <t>Code</t>
  </si>
  <si>
    <t>E</t>
  </si>
  <si>
    <t>B</t>
  </si>
  <si>
    <t>C</t>
  </si>
  <si>
    <t>EB</t>
  </si>
  <si>
    <t>EE</t>
  </si>
  <si>
    <t>BE</t>
  </si>
  <si>
    <t>BC</t>
  </si>
  <si>
    <t>AC</t>
  </si>
  <si>
    <t>AAC</t>
  </si>
  <si>
    <t>Keuze</t>
  </si>
  <si>
    <t>Bruin standaard</t>
  </si>
  <si>
    <t>Wit standaard</t>
  </si>
  <si>
    <t>BT14</t>
  </si>
  <si>
    <t>BKT14</t>
  </si>
  <si>
    <t>BKT19</t>
  </si>
  <si>
    <t>BDUWT14</t>
  </si>
  <si>
    <t>BKT14WS</t>
  </si>
  <si>
    <t>Dikte</t>
  </si>
  <si>
    <t>Bewerkingen</t>
  </si>
  <si>
    <t>0410</t>
  </si>
  <si>
    <t>Boxmaker</t>
  </si>
  <si>
    <t>Emba</t>
  </si>
  <si>
    <t>Stans</t>
  </si>
  <si>
    <t>Machinegroep mogelijk</t>
  </si>
  <si>
    <t>Roda</t>
  </si>
  <si>
    <t>Extra waarde</t>
  </si>
  <si>
    <t>0412</t>
  </si>
  <si>
    <t>Totaal (golfrichting)</t>
  </si>
  <si>
    <t>Totaal (lengte)</t>
  </si>
  <si>
    <t>m2 / st</t>
  </si>
  <si>
    <t>0422</t>
  </si>
  <si>
    <t>Aantal</t>
  </si>
  <si>
    <t>m2 tot</t>
  </si>
  <si>
    <t>Emba 170</t>
  </si>
  <si>
    <t>Emba 295</t>
  </si>
  <si>
    <t>Maxi</t>
  </si>
  <si>
    <t>Mini</t>
  </si>
  <si>
    <t>Plaat op maat</t>
  </si>
  <si>
    <t>Sluiting</t>
  </si>
  <si>
    <t>Nodig</t>
  </si>
  <si>
    <t>0501</t>
  </si>
  <si>
    <t>0452</t>
  </si>
  <si>
    <t>Lijmlip</t>
  </si>
  <si>
    <t>Emba 295 mogelijk</t>
  </si>
  <si>
    <t>Zijafval mini</t>
  </si>
  <si>
    <t>Onder</t>
  </si>
  <si>
    <t>Boven</t>
  </si>
  <si>
    <t>Fefco geselecteerd</t>
  </si>
  <si>
    <t>2</t>
  </si>
  <si>
    <t>Pallethoogte</t>
  </si>
  <si>
    <t>Bedrukking</t>
  </si>
  <si>
    <t>Onbedrukt</t>
  </si>
  <si>
    <t>Bedrukking:</t>
  </si>
  <si>
    <t>Percentage bedrukking</t>
  </si>
  <si>
    <t>Onbedrukt / minder dan 10%</t>
  </si>
  <si>
    <t>10%</t>
  </si>
  <si>
    <t>20%</t>
  </si>
  <si>
    <t>30%</t>
  </si>
  <si>
    <t>40%</t>
  </si>
  <si>
    <t>60%</t>
  </si>
  <si>
    <t>80%</t>
  </si>
  <si>
    <t>100%</t>
  </si>
  <si>
    <t>Plano formaat (exl lijmlip)</t>
  </si>
  <si>
    <t xml:space="preserve">Stansbewerking: </t>
  </si>
  <si>
    <t>Stansbewerking</t>
  </si>
  <si>
    <t>Aantal keuren</t>
  </si>
  <si>
    <t>mogelijk</t>
  </si>
  <si>
    <t>Bruin budget</t>
  </si>
  <si>
    <t>Wit budget</t>
  </si>
  <si>
    <t>Plaat breedte</t>
  </si>
  <si>
    <t>Plaat lengte</t>
  </si>
  <si>
    <t>Slitsmaat</t>
  </si>
  <si>
    <t>Dooshoogte</t>
  </si>
  <si>
    <t>Maatvoering ril breedte doos</t>
  </si>
  <si>
    <t>Maatvoering ril lengte doos</t>
  </si>
  <si>
    <t>Maatvoering ril L+B doos</t>
  </si>
  <si>
    <t>Minimale hoogte</t>
  </si>
  <si>
    <t xml:space="preserve">Hoogte breedte </t>
  </si>
  <si>
    <t>Formaat</t>
  </si>
  <si>
    <t>plaat</t>
  </si>
  <si>
    <t>Maximaal</t>
  </si>
  <si>
    <t>Minimaal</t>
  </si>
  <si>
    <t>maximaal</t>
  </si>
  <si>
    <t>minimaal</t>
  </si>
  <si>
    <t>verhouding</t>
  </si>
  <si>
    <t>plaat (+ lijmlip)</t>
  </si>
  <si>
    <t>Ongeslit Emba</t>
  </si>
  <si>
    <t>Slitmaten</t>
  </si>
  <si>
    <t xml:space="preserve">Cotrans laadmeter calculatie: </t>
  </si>
  <si>
    <t>Laadmeter (rest) pallet</t>
  </si>
  <si>
    <t>Ldm</t>
  </si>
  <si>
    <t>Landcode</t>
  </si>
  <si>
    <t>NL</t>
  </si>
  <si>
    <t>Postcode</t>
  </si>
  <si>
    <t>Volle vracht</t>
  </si>
  <si>
    <t>(rest) vracht</t>
  </si>
  <si>
    <t>Laadmeter (Ldm)</t>
  </si>
  <si>
    <t>Zone 1</t>
  </si>
  <si>
    <t>Zone 2</t>
  </si>
  <si>
    <t>Zone 3</t>
  </si>
  <si>
    <t>Zone 4</t>
  </si>
  <si>
    <t>België Zone 1</t>
  </si>
  <si>
    <t>België Zone 2</t>
  </si>
  <si>
    <t>België Zone 3</t>
  </si>
  <si>
    <t>PC1</t>
  </si>
  <si>
    <t>PC2</t>
  </si>
  <si>
    <t>PC3</t>
  </si>
  <si>
    <t>PC4</t>
  </si>
  <si>
    <t>PC5</t>
  </si>
  <si>
    <t>PC6</t>
  </si>
  <si>
    <t>PC7</t>
  </si>
  <si>
    <t>PC8</t>
  </si>
  <si>
    <t>Factor correctie</t>
  </si>
  <si>
    <t>PC9</t>
  </si>
  <si>
    <t>Correctie</t>
  </si>
  <si>
    <t xml:space="preserve">Standaard </t>
  </si>
  <si>
    <t>factor</t>
  </si>
  <si>
    <t>V</t>
  </si>
  <si>
    <t>D</t>
  </si>
  <si>
    <t xml:space="preserve">Minimaal </t>
  </si>
  <si>
    <t xml:space="preserve">Min </t>
  </si>
  <si>
    <t>Max</t>
  </si>
  <si>
    <t>Formaat mogelijk</t>
  </si>
  <si>
    <t>Score</t>
  </si>
  <si>
    <t xml:space="preserve">Lengte &gt; Breedte </t>
  </si>
  <si>
    <t>verplicht</t>
  </si>
  <si>
    <t>L &gt;= B akkoord</t>
  </si>
  <si>
    <t>L &gt;= B verplicht</t>
  </si>
  <si>
    <t>Materiaal op maat mogelijk</t>
  </si>
  <si>
    <t>Beveiliging</t>
  </si>
  <si>
    <t>(geen afgrendeling)</t>
  </si>
  <si>
    <t>Kwaliteit mogelijk</t>
  </si>
  <si>
    <t xml:space="preserve">Fefco op Emba </t>
  </si>
  <si>
    <t>Waarde</t>
  </si>
  <si>
    <t xml:space="preserve">Maximaal </t>
  </si>
  <si>
    <t>Max. boven elkaar</t>
  </si>
  <si>
    <t>Tussenafval</t>
  </si>
  <si>
    <t>Zijafval</t>
  </si>
  <si>
    <t>Extra maatvoering</t>
  </si>
  <si>
    <t>Verplicht per fefco</t>
  </si>
  <si>
    <t>Slitten</t>
  </si>
  <si>
    <t>Tussenafval i.v.m. slitten</t>
  </si>
  <si>
    <t xml:space="preserve">Slitmaat </t>
  </si>
  <si>
    <t>Som</t>
  </si>
  <si>
    <t>Tussen</t>
  </si>
  <si>
    <t>afval</t>
  </si>
  <si>
    <t>Afval nodigd</t>
  </si>
  <si>
    <t>Totaal</t>
  </si>
  <si>
    <t>Berekenen</t>
  </si>
  <si>
    <t>Beveiliging geen berekening:</t>
  </si>
  <si>
    <t>boven elkaar</t>
  </si>
  <si>
    <t>Max.</t>
  </si>
  <si>
    <t>Min.</t>
  </si>
  <si>
    <t>(incl zij en tussenafval)</t>
  </si>
  <si>
    <t>Lengte per</t>
  </si>
  <si>
    <t>product</t>
  </si>
  <si>
    <t xml:space="preserve">Lengte plaat </t>
  </si>
  <si>
    <t>Mogelijk</t>
  </si>
  <si>
    <t>Sluiting nodig</t>
  </si>
  <si>
    <t>Min. Hoogte</t>
  </si>
  <si>
    <t>taper</t>
  </si>
  <si>
    <t>Formaat op mini</t>
  </si>
  <si>
    <t>Formaat voorbew.</t>
  </si>
  <si>
    <t>Emba 170 mogelijk</t>
  </si>
  <si>
    <t>Mini mogelijk:</t>
  </si>
  <si>
    <t>Min. boven elkaar</t>
  </si>
  <si>
    <t>Min. achter elkaar</t>
  </si>
  <si>
    <t>Max. achter elkaar</t>
  </si>
  <si>
    <t>Emba 170 technisch mogelijk:</t>
  </si>
  <si>
    <t>Maxi mogelijk:</t>
  </si>
  <si>
    <t>Vlakstans mogelijk:</t>
  </si>
  <si>
    <t>Roda mogelijk:</t>
  </si>
  <si>
    <t>Stotende klep</t>
  </si>
  <si>
    <t>Overslaande klep</t>
  </si>
  <si>
    <t>40</t>
  </si>
  <si>
    <t>Minimale breedte F02.. op basis van lengte:</t>
  </si>
  <si>
    <t>Lengte tussen</t>
  </si>
  <si>
    <t>Hoogte minimaal</t>
  </si>
  <si>
    <t>Lengte / hoogte verhouding:</t>
  </si>
  <si>
    <t xml:space="preserve">Max. lengte 2 </t>
  </si>
  <si>
    <t xml:space="preserve">Max. breedte 2 </t>
  </si>
  <si>
    <t xml:space="preserve">Materiaal 1 achter </t>
  </si>
  <si>
    <t>elkaar mogelijk</t>
  </si>
  <si>
    <t>Prijs Karton</t>
  </si>
  <si>
    <t>Type golf</t>
  </si>
  <si>
    <t>Kwaliteitscodering Arifal</t>
  </si>
  <si>
    <t>kg. per m2</t>
  </si>
  <si>
    <t>Dikte (mm)</t>
  </si>
  <si>
    <t>LEVERANCIER</t>
  </si>
  <si>
    <t>0-199</t>
  </si>
  <si>
    <t>200-499</t>
  </si>
  <si>
    <t>500-999</t>
  </si>
  <si>
    <t>1000-1999</t>
  </si>
  <si>
    <t>2000-4999</t>
  </si>
  <si>
    <t>&gt;5000</t>
  </si>
  <si>
    <t>Buiten</t>
  </si>
  <si>
    <t>Binnen</t>
  </si>
  <si>
    <t>min plano breedte</t>
  </si>
  <si>
    <t>max plano breedte</t>
  </si>
  <si>
    <t>min plano lengte</t>
  </si>
  <si>
    <t>max plano lengte</t>
  </si>
  <si>
    <t>min platen &lt; 550 br</t>
  </si>
  <si>
    <t>min platen</t>
  </si>
  <si>
    <t>min m2</t>
  </si>
  <si>
    <t>Ect</t>
  </si>
  <si>
    <t>BT10 K</t>
  </si>
  <si>
    <t>B 70301</t>
  </si>
  <si>
    <t>TL 100</t>
  </si>
  <si>
    <t>WS 100</t>
  </si>
  <si>
    <t xml:space="preserve"> - </t>
  </si>
  <si>
    <t>Kappa</t>
  </si>
  <si>
    <t>BTS12/11</t>
  </si>
  <si>
    <t>1.01 B</t>
  </si>
  <si>
    <t>TL 90</t>
  </si>
  <si>
    <t>WS 90</t>
  </si>
  <si>
    <t>Pro</t>
  </si>
  <si>
    <t>BT12</t>
  </si>
  <si>
    <t>1.02 B W1</t>
  </si>
  <si>
    <t>TL115</t>
  </si>
  <si>
    <t>TL 115</t>
  </si>
  <si>
    <t>BT11</t>
  </si>
  <si>
    <t>1.02 B</t>
  </si>
  <si>
    <t>BT11 K</t>
  </si>
  <si>
    <t>B 70303</t>
  </si>
  <si>
    <t>TL 110</t>
  </si>
  <si>
    <t>WS 80</t>
  </si>
  <si>
    <t>1.03 B</t>
  </si>
  <si>
    <t>TL 135</t>
  </si>
  <si>
    <t>BT14S K</t>
  </si>
  <si>
    <t>B 720</t>
  </si>
  <si>
    <t>THP 125</t>
  </si>
  <si>
    <t>BT14 N2</t>
  </si>
  <si>
    <t>1.03 B N2</t>
  </si>
  <si>
    <t>BT13/14</t>
  </si>
  <si>
    <t>1.03 B W6</t>
  </si>
  <si>
    <t>WS 135</t>
  </si>
  <si>
    <t>BT14/15</t>
  </si>
  <si>
    <t>1.04 B W6</t>
  </si>
  <si>
    <t>1.25 B</t>
  </si>
  <si>
    <t>TLW 135</t>
  </si>
  <si>
    <t>BDUWT14 K</t>
  </si>
  <si>
    <t>B 742</t>
  </si>
  <si>
    <t>BKT13</t>
  </si>
  <si>
    <t>1.30 B</t>
  </si>
  <si>
    <t>PLK 140</t>
  </si>
  <si>
    <t>BKT13 K</t>
  </si>
  <si>
    <t>B 725</t>
  </si>
  <si>
    <t>KL 135</t>
  </si>
  <si>
    <t>BT13</t>
  </si>
  <si>
    <t>1.03 B W1</t>
  </si>
  <si>
    <t>1.30 B W6</t>
  </si>
  <si>
    <t>BKT14K</t>
  </si>
  <si>
    <t>1.31 B</t>
  </si>
  <si>
    <t>BT13 N7</t>
  </si>
  <si>
    <t>1.04 B N7</t>
  </si>
  <si>
    <t>WS 115</t>
  </si>
  <si>
    <t>BKT13/14</t>
  </si>
  <si>
    <t>1.30 B W7</t>
  </si>
  <si>
    <t>1.37 B W6</t>
  </si>
  <si>
    <t>KLW 135</t>
  </si>
  <si>
    <t>BT17 W6</t>
  </si>
  <si>
    <t>1.05 B W6</t>
  </si>
  <si>
    <t>TL 170</t>
  </si>
  <si>
    <t>1.41 B</t>
  </si>
  <si>
    <t>KL 175</t>
  </si>
  <si>
    <t>BKT19 X6</t>
  </si>
  <si>
    <t>1.40 B X6</t>
  </si>
  <si>
    <t>PLK 175</t>
  </si>
  <si>
    <t>BKT19 K</t>
  </si>
  <si>
    <t>B 730</t>
  </si>
  <si>
    <t>KL 170</t>
  </si>
  <si>
    <t>THP 150</t>
  </si>
  <si>
    <t>BKT14W</t>
  </si>
  <si>
    <t>1.37 B</t>
  </si>
  <si>
    <t>BDUWT14 W6</t>
  </si>
  <si>
    <t>1.25 B W6</t>
  </si>
  <si>
    <t>TL135</t>
  </si>
  <si>
    <t>BDUWT15</t>
  </si>
  <si>
    <t>1.25 B W1</t>
  </si>
  <si>
    <t>BKT13W K</t>
  </si>
  <si>
    <t>B 748</t>
  </si>
  <si>
    <t>TL110</t>
  </si>
  <si>
    <t>BK14WW K</t>
  </si>
  <si>
    <t>B 74814</t>
  </si>
  <si>
    <t>B prijs speciaal</t>
  </si>
  <si>
    <t>-</t>
  </si>
  <si>
    <t>DKT12 T2</t>
  </si>
  <si>
    <t>2.31 BC T2</t>
  </si>
  <si>
    <t>KL135</t>
  </si>
  <si>
    <t>DT14/12 N2</t>
  </si>
  <si>
    <t>2.03 BC N2</t>
  </si>
  <si>
    <t>DT14 K</t>
  </si>
  <si>
    <t>BC 914</t>
  </si>
  <si>
    <t>RF1 100</t>
  </si>
  <si>
    <t>RF1 80</t>
  </si>
  <si>
    <t>DT14 N7</t>
  </si>
  <si>
    <t>2.30 BC N7</t>
  </si>
  <si>
    <t>DT14 N2</t>
  </si>
  <si>
    <t>2.30 BC N2</t>
  </si>
  <si>
    <t>DKT12 N2</t>
  </si>
  <si>
    <t>2.31 BC N2</t>
  </si>
  <si>
    <t>PLK 120</t>
  </si>
  <si>
    <t>DKT13/12W N2</t>
  </si>
  <si>
    <t>2.35 BC N2</t>
  </si>
  <si>
    <t>DKT13/12W K</t>
  </si>
  <si>
    <t>BC 966</t>
  </si>
  <si>
    <t>DKT14 N2</t>
  </si>
  <si>
    <t>2.40 BC N2</t>
  </si>
  <si>
    <t>DKT14 N2 K</t>
  </si>
  <si>
    <t>BC 92242</t>
  </si>
  <si>
    <t>KL 110</t>
  </si>
  <si>
    <t>DKT14 K</t>
  </si>
  <si>
    <t>BC 922</t>
  </si>
  <si>
    <t>DKT14K N1</t>
  </si>
  <si>
    <t>2.41 BC N1</t>
  </si>
  <si>
    <t>DKT19 K</t>
  </si>
  <si>
    <t>BC 932</t>
  </si>
  <si>
    <t>DKT19 N2</t>
  </si>
  <si>
    <t>2.50 BC N2</t>
  </si>
  <si>
    <t>DKT19K N1</t>
  </si>
  <si>
    <t xml:space="preserve">2.51 BC N1 </t>
  </si>
  <si>
    <t>DK19 N1</t>
  </si>
  <si>
    <t>2.61 BC N1</t>
  </si>
  <si>
    <t>DK19FP K</t>
  </si>
  <si>
    <t>BC 950</t>
  </si>
  <si>
    <t>DK19F N1</t>
  </si>
  <si>
    <t>2.71 BC N1</t>
  </si>
  <si>
    <t>PMS 140</t>
  </si>
  <si>
    <t>DK30 X9</t>
  </si>
  <si>
    <t>2.90 BC X9</t>
  </si>
  <si>
    <t>KL 280</t>
  </si>
  <si>
    <t>DK30</t>
  </si>
  <si>
    <t>2.90 BC</t>
  </si>
  <si>
    <t>DK30 K</t>
  </si>
  <si>
    <t>BC 952</t>
  </si>
  <si>
    <t>KL 275</t>
  </si>
  <si>
    <t>DK30F</t>
  </si>
  <si>
    <t>2.91 BC</t>
  </si>
  <si>
    <t>BC prijs speciaal</t>
  </si>
  <si>
    <t>CT12</t>
  </si>
  <si>
    <t>1.02 C</t>
  </si>
  <si>
    <t>CT14</t>
  </si>
  <si>
    <t>1.03 C</t>
  </si>
  <si>
    <t>CT14 W7</t>
  </si>
  <si>
    <t>1.04 C W7</t>
  </si>
  <si>
    <t>CT17 X6</t>
  </si>
  <si>
    <t>1.05 X6</t>
  </si>
  <si>
    <t>CKT15</t>
  </si>
  <si>
    <t>1.30 C</t>
  </si>
  <si>
    <t>CKT15 W6</t>
  </si>
  <si>
    <t>1.30 C W6</t>
  </si>
  <si>
    <t>CKT15 K</t>
  </si>
  <si>
    <t>C 825</t>
  </si>
  <si>
    <t>CKT14K</t>
  </si>
  <si>
    <t>1.31 C</t>
  </si>
  <si>
    <t>CKT19</t>
  </si>
  <si>
    <t>1.41 C</t>
  </si>
  <si>
    <t>CKT19 K</t>
  </si>
  <si>
    <t>C 830</t>
  </si>
  <si>
    <t>THP150</t>
  </si>
  <si>
    <t>CKT14WS</t>
  </si>
  <si>
    <t>1.37 C W8</t>
  </si>
  <si>
    <t>C prijs speciaal</t>
  </si>
  <si>
    <t>ACK30/30</t>
  </si>
  <si>
    <t>2.91 AC</t>
  </si>
  <si>
    <t>ACK40</t>
  </si>
  <si>
    <t>2.92 AC</t>
  </si>
  <si>
    <t>KL 400</t>
  </si>
  <si>
    <t>PMK 140</t>
  </si>
  <si>
    <t>PMK 175</t>
  </si>
  <si>
    <t>AACK14</t>
  </si>
  <si>
    <t>3.90 AAC</t>
  </si>
  <si>
    <t>AACKTK20</t>
  </si>
  <si>
    <t>3.91 AAC</t>
  </si>
  <si>
    <t>AACK30/20</t>
  </si>
  <si>
    <t>3.92 AAC</t>
  </si>
  <si>
    <t>AACK40/30</t>
  </si>
  <si>
    <t>3.95 AAC</t>
  </si>
  <si>
    <t>AACKK40/40</t>
  </si>
  <si>
    <t>3.96 AAC</t>
  </si>
  <si>
    <t>ET12</t>
  </si>
  <si>
    <t>1.02 E</t>
  </si>
  <si>
    <t>WS 70</t>
  </si>
  <si>
    <t>ET13/12</t>
  </si>
  <si>
    <t>1.03 E W2</t>
  </si>
  <si>
    <t>EKT14</t>
  </si>
  <si>
    <t>E 625</t>
  </si>
  <si>
    <t>ETWT14</t>
  </si>
  <si>
    <t>1.25 E</t>
  </si>
  <si>
    <t xml:space="preserve">E </t>
  </si>
  <si>
    <t>EKT14W K</t>
  </si>
  <si>
    <t>E 648</t>
  </si>
  <si>
    <t>ET14WW K</t>
  </si>
  <si>
    <t>E 699</t>
  </si>
  <si>
    <t>EK13</t>
  </si>
  <si>
    <t>1.33 E W2</t>
  </si>
  <si>
    <t>ETWT14 W2</t>
  </si>
  <si>
    <t>1.25 E W2</t>
  </si>
  <si>
    <t>ET14WW</t>
  </si>
  <si>
    <t>1.26 E W2</t>
  </si>
  <si>
    <t>EKT14WW</t>
  </si>
  <si>
    <t>1.39 E</t>
  </si>
  <si>
    <t>E prijs speciaal</t>
  </si>
  <si>
    <t>EBT14</t>
  </si>
  <si>
    <t>EB 514</t>
  </si>
  <si>
    <t>EBKT13</t>
  </si>
  <si>
    <t>EB 522</t>
  </si>
  <si>
    <t>EBKT14</t>
  </si>
  <si>
    <t>2.41 EB W2</t>
  </si>
  <si>
    <t>EBKT13/12W K</t>
  </si>
  <si>
    <t>EB 566</t>
  </si>
  <si>
    <t>EBT12</t>
  </si>
  <si>
    <t>2.03 EB</t>
  </si>
  <si>
    <t>EBT13/10W</t>
  </si>
  <si>
    <t>2.25 EB</t>
  </si>
  <si>
    <t>EBKT13/12W</t>
  </si>
  <si>
    <t>2.35 EB</t>
  </si>
  <si>
    <t>EBKT12</t>
  </si>
  <si>
    <t>2.31 EB</t>
  </si>
  <si>
    <t>EBKT15</t>
  </si>
  <si>
    <t>2.40 EB X5</t>
  </si>
  <si>
    <t>EB prijs speciaal</t>
  </si>
  <si>
    <t>BET14/12</t>
  </si>
  <si>
    <t>2.03 BE</t>
  </si>
  <si>
    <t>BEKT12</t>
  </si>
  <si>
    <t>2.31 BE</t>
  </si>
  <si>
    <t>BEKT13/12W</t>
  </si>
  <si>
    <t>2.35 BE</t>
  </si>
  <si>
    <t>BEKT15</t>
  </si>
  <si>
    <t>2.40 BE W7</t>
  </si>
  <si>
    <t>BEKT14/13 X4</t>
  </si>
  <si>
    <t>2.41 BE X4</t>
  </si>
  <si>
    <t>BE prijs speciaal</t>
  </si>
  <si>
    <t>EEKT14W K</t>
  </si>
  <si>
    <t>EE 165</t>
  </si>
  <si>
    <t>EEKT14</t>
  </si>
  <si>
    <t>EE 12212</t>
  </si>
  <si>
    <t>EET13 K</t>
  </si>
  <si>
    <t>EE 192</t>
  </si>
  <si>
    <t>EE prijs speciaal</t>
  </si>
  <si>
    <t>Voorwaarde Pro</t>
  </si>
  <si>
    <t xml:space="preserve">Plaatlengte korter dan </t>
  </si>
  <si>
    <t>extra per HQM</t>
  </si>
  <si>
    <t>Plaatlengte lager dan</t>
  </si>
  <si>
    <t>Voorwaarde Kappa</t>
  </si>
  <si>
    <t xml:space="preserve">Plaatlengte langer dan </t>
  </si>
  <si>
    <t>Toeslag plaat tussen Pro</t>
  </si>
  <si>
    <t xml:space="preserve">Selectie prijs </t>
  </si>
  <si>
    <t>QM</t>
  </si>
  <si>
    <t xml:space="preserve">Minimale </t>
  </si>
  <si>
    <t>Maximale</t>
  </si>
  <si>
    <t>Minimale</t>
  </si>
  <si>
    <t xml:space="preserve">Plano </t>
  </si>
  <si>
    <t>Plano</t>
  </si>
  <si>
    <t>platen &lt;</t>
  </si>
  <si>
    <t>Platen</t>
  </si>
  <si>
    <t>M2</t>
  </si>
  <si>
    <t>Materiaal tabel:</t>
  </si>
  <si>
    <t>Machine</t>
  </si>
  <si>
    <t>Percentage</t>
  </si>
  <si>
    <t>Geselecteerde prijs</t>
  </si>
  <si>
    <t>Maxi blauw</t>
  </si>
  <si>
    <t xml:space="preserve">Mini </t>
  </si>
  <si>
    <t>Taper</t>
  </si>
  <si>
    <t>Wookil</t>
  </si>
  <si>
    <t>Fefco op Mini</t>
  </si>
  <si>
    <t>Fefco op Maxi</t>
  </si>
  <si>
    <t>Benodigd</t>
  </si>
  <si>
    <t>Min. leverancier</t>
  </si>
  <si>
    <t>Maatvoering</t>
  </si>
  <si>
    <t>Afsnijden Emba</t>
  </si>
  <si>
    <t xml:space="preserve">Materiaal </t>
  </si>
  <si>
    <t xml:space="preserve">Verder nog in berekening verwerken. </t>
  </si>
  <si>
    <t>Minimaal stans</t>
  </si>
  <si>
    <t>Minimaal Materiaal</t>
  </si>
  <si>
    <t>Minimaal stans of materiaal</t>
  </si>
  <si>
    <t>Materiaal per product (zonder afval)</t>
  </si>
  <si>
    <t>Minimaal voor bedrukking</t>
  </si>
  <si>
    <t>m2</t>
  </si>
  <si>
    <t>Formaat gecorrigeerd naar minimaal</t>
  </si>
  <si>
    <t>Afvalrand</t>
  </si>
  <si>
    <t xml:space="preserve">Bedrukt </t>
  </si>
  <si>
    <t>Plaat lengte (incl lijmlip)</t>
  </si>
  <si>
    <t>m2 &gt;= gewenst</t>
  </si>
  <si>
    <t>Verschil met gewenst</t>
  </si>
  <si>
    <t>Kleiner</t>
  </si>
  <si>
    <t>groter</t>
  </si>
  <si>
    <t>Keuze stansmes</t>
  </si>
  <si>
    <t>Indeling stansmes</t>
  </si>
  <si>
    <t>Indeling plaatformaat (excl. afval)</t>
  </si>
  <si>
    <t>Voudig</t>
  </si>
  <si>
    <t>M2 karton</t>
  </si>
  <si>
    <t>Selectie 1</t>
  </si>
  <si>
    <t>Selectie 2</t>
  </si>
  <si>
    <t>Indeling  stansmes:</t>
  </si>
  <si>
    <t>Plaatformaat product</t>
  </si>
  <si>
    <t>Formaat klein naar groot</t>
  </si>
  <si>
    <t>Plaat formaat op stans</t>
  </si>
  <si>
    <t>Plaat formaat t.b.v. bedrukking</t>
  </si>
  <si>
    <t>Formaat op stans mogelijk</t>
  </si>
  <si>
    <t>L &gt; 2xB</t>
  </si>
  <si>
    <t>H &gt; L verplicht</t>
  </si>
  <si>
    <t>L &gt; 2xB verplicht</t>
  </si>
  <si>
    <t>Aangepast naar minimaal formaat</t>
  </si>
  <si>
    <t>Fefco mogelijk</t>
  </si>
  <si>
    <t>Totaal mogelijk</t>
  </si>
  <si>
    <t>Plaat mogelijk</t>
  </si>
  <si>
    <t>L x B min. mogelijk</t>
  </si>
  <si>
    <t>Min. in lengte</t>
  </si>
  <si>
    <t>Min. In breedte</t>
  </si>
  <si>
    <t>Aanpassing max. breedte</t>
  </si>
  <si>
    <t xml:space="preserve">Rolmessen ongebr. </t>
  </si>
  <si>
    <t xml:space="preserve">Min. </t>
  </si>
  <si>
    <t>Max. (alle rolmessen)</t>
  </si>
  <si>
    <t>Minimale maatvoering gecombineerd mogelijk</t>
  </si>
  <si>
    <t>Formaat plaat</t>
  </si>
  <si>
    <t>min. mogelijk</t>
  </si>
  <si>
    <t>Aantal per plaat</t>
  </si>
  <si>
    <t>Max in lengte</t>
  </si>
  <si>
    <t>Aantal boven elk.</t>
  </si>
  <si>
    <t>St. / plaat min.</t>
  </si>
  <si>
    <t>Roda mogelijk</t>
  </si>
  <si>
    <t>Machine keuze:</t>
  </si>
  <si>
    <t>Plaat op maat mogelijk:</t>
  </si>
  <si>
    <t>Vlakstans</t>
  </si>
  <si>
    <t>Mini mogelijk</t>
  </si>
  <si>
    <t>Minimale afslag</t>
  </si>
  <si>
    <t>Machine Formaat, fefco, mogelijk</t>
  </si>
  <si>
    <t xml:space="preserve">Breedte </t>
  </si>
  <si>
    <t xml:space="preserve">min </t>
  </si>
  <si>
    <t>max</t>
  </si>
  <si>
    <t>Min. hoogte aangepast</t>
  </si>
  <si>
    <t>Bewerking</t>
  </si>
  <si>
    <t>Geen stans</t>
  </si>
  <si>
    <t>bewerking</t>
  </si>
  <si>
    <t xml:space="preserve">Fefco is </t>
  </si>
  <si>
    <t>Fefco Mogelijk</t>
  </si>
  <si>
    <t>Bedrukking max.</t>
  </si>
  <si>
    <t>Calculatie route:</t>
  </si>
  <si>
    <t>Stapelen</t>
  </si>
  <si>
    <t>Bundelen</t>
  </si>
  <si>
    <t xml:space="preserve">Uitbreken </t>
  </si>
  <si>
    <t>Tapen</t>
  </si>
  <si>
    <t>Uitbreken</t>
  </si>
  <si>
    <t>Voorbewerking nodig bedrukking</t>
  </si>
  <si>
    <t>Handgreep</t>
  </si>
  <si>
    <t>Handgreep mogelijk</t>
  </si>
  <si>
    <t>per fefco</t>
  </si>
  <si>
    <t>Voorbew. mini</t>
  </si>
  <si>
    <t>Handgreep selctie</t>
  </si>
  <si>
    <t>Handgreep fefco</t>
  </si>
  <si>
    <t>Voorbewerking nodig formaat / handgreep</t>
  </si>
  <si>
    <t>Geen handgrepen</t>
  </si>
  <si>
    <t>Stapel/bundel</t>
  </si>
  <si>
    <t>Golfsoort</t>
  </si>
  <si>
    <t>Stapelen tot L+B</t>
  </si>
  <si>
    <t>Doorvoer</t>
  </si>
  <si>
    <t>Bundelen tot L+B</t>
  </si>
  <si>
    <t>Lengte + Breedte</t>
  </si>
  <si>
    <t>Stapelen / bundelen berekenen</t>
  </si>
  <si>
    <t>Doorvoer maat</t>
  </si>
  <si>
    <t>Score opgeteld</t>
  </si>
  <si>
    <t>Gekozen route</t>
  </si>
  <si>
    <t>Voorkeur machine groep bij gelijke punten</t>
  </si>
  <si>
    <t>Minimaal bewerking</t>
  </si>
  <si>
    <t>Keuze voorkeuren verschillende productgroepen</t>
  </si>
  <si>
    <t>Gekozen calcuatie route defenitief</t>
  </si>
  <si>
    <t>Aantal fases</t>
  </si>
  <si>
    <t>Leidend voor materiaal</t>
  </si>
  <si>
    <t>Productiefase</t>
  </si>
  <si>
    <t>Materiaal leidend</t>
  </si>
  <si>
    <t>Calculatie route berekend</t>
  </si>
  <si>
    <t>DK19X N1</t>
  </si>
  <si>
    <t>Totaal gewenst</t>
  </si>
  <si>
    <t>per product</t>
  </si>
  <si>
    <t xml:space="preserve">m2 </t>
  </si>
  <si>
    <t>Min boven elkaar</t>
  </si>
  <si>
    <t>Max boven elkaar</t>
  </si>
  <si>
    <t>Min achter elkaar</t>
  </si>
  <si>
    <t>Eindafval mini</t>
  </si>
  <si>
    <t>Zijfafval mini</t>
  </si>
  <si>
    <t>Tussenafval mini</t>
  </si>
  <si>
    <t>Afval rondom stans</t>
  </si>
  <si>
    <t>Eindafval roda</t>
  </si>
  <si>
    <t>Voorbewerking t.b.v. fase:</t>
  </si>
  <si>
    <t>Sectie</t>
  </si>
  <si>
    <t>Lijmlip berekenen voor plaat</t>
  </si>
  <si>
    <t>Lijmlip nodig</t>
  </si>
  <si>
    <t>(nog) niet in berekening</t>
  </si>
  <si>
    <t>Indeling via bereking vlakstans</t>
  </si>
  <si>
    <t>Voorbewerking lijmlip berekenen</t>
  </si>
  <si>
    <t xml:space="preserve">Min. boven elk. </t>
  </si>
  <si>
    <t>Max. boven elk.</t>
  </si>
  <si>
    <t>Max. achter elk.</t>
  </si>
  <si>
    <t>Min. achter elk.</t>
  </si>
  <si>
    <t>Hoofdfase</t>
  </si>
  <si>
    <t>PLAATINDELING EMBA 295 HOOFDBEWERKING EN VOORBEWERKING</t>
  </si>
  <si>
    <t>Plaat breedte / product</t>
  </si>
  <si>
    <t>Plaat lengte / product</t>
  </si>
  <si>
    <t>Max achter elkaar</t>
  </si>
  <si>
    <t>Aantal gewenst</t>
  </si>
  <si>
    <t>St. breedte</t>
  </si>
  <si>
    <t>St. lengte</t>
  </si>
  <si>
    <t>Aantal platen bij aantal gewenst</t>
  </si>
  <si>
    <t>Minimaal aantal platen</t>
  </si>
  <si>
    <t>Min. Aantal producten</t>
  </si>
  <si>
    <t>QM / plaat</t>
  </si>
  <si>
    <t>Totaal QM materiaal</t>
  </si>
  <si>
    <t>Prijs materiaal</t>
  </si>
  <si>
    <t>Materiaal</t>
  </si>
  <si>
    <t>Variatie inkoop</t>
  </si>
  <si>
    <t>Orderkosten</t>
  </si>
  <si>
    <t>Transport</t>
  </si>
  <si>
    <t>Marge</t>
  </si>
  <si>
    <t>Overige kosten (inkt/ tape/pallets)</t>
  </si>
  <si>
    <t>Totale productiekosten</t>
  </si>
  <si>
    <t>Totaal kosten overzicht:</t>
  </si>
  <si>
    <t>Totaal marge</t>
  </si>
  <si>
    <t>Variatie inkoop materiaal</t>
  </si>
  <si>
    <t>Totale kosten productie</t>
  </si>
  <si>
    <t>Totale kosten inclusief transport en marge</t>
  </si>
  <si>
    <t>Kosten per verpakking</t>
  </si>
  <si>
    <t xml:space="preserve">M2 groter dan </t>
  </si>
  <si>
    <t xml:space="preserve">M2 kleiner dan </t>
  </si>
  <si>
    <t>Variatie inkoop min.</t>
  </si>
  <si>
    <t xml:space="preserve">Variatie inkoop max. </t>
  </si>
  <si>
    <t>Verschil</t>
  </si>
  <si>
    <t>Afbouw</t>
  </si>
  <si>
    <t>Per stap</t>
  </si>
  <si>
    <t>Order kosten</t>
  </si>
  <si>
    <t>Minimale afname</t>
  </si>
  <si>
    <t>stuks</t>
  </si>
  <si>
    <t>Mini berekenen</t>
  </si>
  <si>
    <t>Maxi berekenen</t>
  </si>
  <si>
    <t>Emba 295 berekenen</t>
  </si>
  <si>
    <t>Emba 170 berekenen</t>
  </si>
  <si>
    <t>Vlakstans berekenen</t>
  </si>
  <si>
    <t>Roda berekeken</t>
  </si>
  <si>
    <t>Plaat op maat berekenen</t>
  </si>
  <si>
    <t>Taper berekenen</t>
  </si>
  <si>
    <t>Stapelen berekenen</t>
  </si>
  <si>
    <t>Bundelen berekenen</t>
  </si>
  <si>
    <t>Uitbreken berekenen</t>
  </si>
  <si>
    <t>Overige kosten</t>
  </si>
  <si>
    <t>Kosten totaal</t>
  </si>
  <si>
    <t>Emba 295 afstellen</t>
  </si>
  <si>
    <t>Stans afstellen</t>
  </si>
  <si>
    <t>Bedrukking afstellen</t>
  </si>
  <si>
    <t>Emba 295 per uur / minuut</t>
  </si>
  <si>
    <t>Actie:</t>
  </si>
  <si>
    <t>Tijd per actie</t>
  </si>
  <si>
    <t>Uitstellen bedrukking</t>
  </si>
  <si>
    <t>Minimale draaitijd</t>
  </si>
  <si>
    <t>min</t>
  </si>
  <si>
    <t>minuten</t>
  </si>
  <si>
    <t>Aantal kleuren inkt berekeken</t>
  </si>
  <si>
    <t>Bedrukking afsteltijd</t>
  </si>
  <si>
    <t>Twinfeed</t>
  </si>
  <si>
    <t>Normal feed</t>
  </si>
  <si>
    <t>Skipfeed machinebereik specs</t>
  </si>
  <si>
    <t>Stans uitstellen</t>
  </si>
  <si>
    <t>Min</t>
  </si>
  <si>
    <t>Kosten afstellen en uitstellen:</t>
  </si>
  <si>
    <t>Totaal instellen en uitstellen</t>
  </si>
  <si>
    <t>Factor materiaal uitval</t>
  </si>
  <si>
    <t>Factoren</t>
  </si>
  <si>
    <t>Factor bepalen</t>
  </si>
  <si>
    <t>Lengte / breedte</t>
  </si>
  <si>
    <t>Hoogte / lengte</t>
  </si>
  <si>
    <t>Factor lengte/ breedte tussen</t>
  </si>
  <si>
    <t>Factor lengte / hoogte</t>
  </si>
  <si>
    <t>Factor formaat</t>
  </si>
  <si>
    <t>Factor efficientie</t>
  </si>
  <si>
    <t>Factor totaal</t>
  </si>
  <si>
    <t>Snelheid</t>
  </si>
  <si>
    <t>st / min</t>
  </si>
  <si>
    <t>Aantal totaal</t>
  </si>
  <si>
    <t>Aantal halve snelheid</t>
  </si>
  <si>
    <t>Platen volle snelheid</t>
  </si>
  <si>
    <t>Totale draaitijd</t>
  </si>
  <si>
    <t>Tijd</t>
  </si>
  <si>
    <t>Kosten draaien</t>
  </si>
  <si>
    <t>Kosten draaitijd</t>
  </si>
  <si>
    <t>Dikte berekening</t>
  </si>
  <si>
    <t xml:space="preserve">Kwaliteit </t>
  </si>
  <si>
    <t>Roda Mogelijk</t>
  </si>
  <si>
    <t>Emba 170 per uur / minuut</t>
  </si>
  <si>
    <t>Emba 170 afstellen</t>
  </si>
  <si>
    <t>Tabel draaisnelheid:</t>
  </si>
  <si>
    <t>Handeling</t>
  </si>
  <si>
    <t>mm per stapel inleggen</t>
  </si>
  <si>
    <t>%</t>
  </si>
  <si>
    <t>Aantal /</t>
  </si>
  <si>
    <t>beweging</t>
  </si>
  <si>
    <t>Snelheid / min</t>
  </si>
  <si>
    <t>Voorbewerking</t>
  </si>
  <si>
    <t xml:space="preserve">Aantal boven </t>
  </si>
  <si>
    <t>elkaar</t>
  </si>
  <si>
    <t>achter elkaar</t>
  </si>
  <si>
    <t>Indeling als voorbewerking</t>
  </si>
  <si>
    <t>Calc. Compleet</t>
  </si>
  <si>
    <t>Instelling</t>
  </si>
  <si>
    <t xml:space="preserve">Instelling </t>
  </si>
  <si>
    <t>Tijd doorvoer</t>
  </si>
  <si>
    <t>sec / bewerking</t>
  </si>
  <si>
    <t>sec / m</t>
  </si>
  <si>
    <t>Invoer sec / plaat</t>
  </si>
  <si>
    <t>incl effecientie</t>
  </si>
  <si>
    <t xml:space="preserve">Bewerkingen </t>
  </si>
  <si>
    <t>Produkten achter</t>
  </si>
  <si>
    <t>Totaal bewerking</t>
  </si>
  <si>
    <t>Tijd (Sec.) per</t>
  </si>
  <si>
    <t xml:space="preserve">Lengte (m) </t>
  </si>
  <si>
    <t>Tijd (sec.)</t>
  </si>
  <si>
    <t>Stanssupport</t>
  </si>
  <si>
    <t>elkaar / plaat</t>
  </si>
  <si>
    <t>per plaat</t>
  </si>
  <si>
    <t>Plaat</t>
  </si>
  <si>
    <t>doorvoer plaat</t>
  </si>
  <si>
    <t xml:space="preserve">Invoer </t>
  </si>
  <si>
    <t>Fefco aangepast wanneer voorbewerking</t>
  </si>
  <si>
    <t>Min voor m2</t>
  </si>
  <si>
    <t>Aantal in breedte</t>
  </si>
  <si>
    <t>Aantal in lengte</t>
  </si>
  <si>
    <t>st</t>
  </si>
  <si>
    <t>Stanssuport</t>
  </si>
  <si>
    <t>Mini per uur / minuut</t>
  </si>
  <si>
    <t>Voorstapelen per uur / minuut</t>
  </si>
  <si>
    <t>Overige</t>
  </si>
  <si>
    <t>Mini afstellen</t>
  </si>
  <si>
    <t>Mini stans afstellen</t>
  </si>
  <si>
    <t>Mini stans uitstellen</t>
  </si>
  <si>
    <t>Totaal in en uitstellen</t>
  </si>
  <si>
    <t>sec / plaat</t>
  </si>
  <si>
    <t>Maxi als voorbewerking</t>
  </si>
  <si>
    <t>Extra doorvoer</t>
  </si>
  <si>
    <t>bij voorbewerking</t>
  </si>
  <si>
    <t>Maxi afstellen</t>
  </si>
  <si>
    <t>Maxi stans afstellen</t>
  </si>
  <si>
    <t>Maxi stans uitstellen</t>
  </si>
  <si>
    <t>Maxi bedrukking afstellen</t>
  </si>
  <si>
    <t>Maxi bedrukking uitstellen</t>
  </si>
  <si>
    <t>Eerste doorvoer</t>
  </si>
  <si>
    <t>Tweede doorvoer extra kleur</t>
  </si>
  <si>
    <t>2 kleur mogelijk</t>
  </si>
  <si>
    <t>Maxi per uur / minuut</t>
  </si>
  <si>
    <t>Aantal platen voor berekening</t>
  </si>
  <si>
    <t>Aantal platen berekend</t>
  </si>
  <si>
    <t>Aantal producten / plaat</t>
  </si>
  <si>
    <t>Aantal producten mogelijk</t>
  </si>
  <si>
    <t>Aantal producten gewenst</t>
  </si>
  <si>
    <t>Aantal platen benodigd</t>
  </si>
  <si>
    <t>Platen voor berekening</t>
  </si>
  <si>
    <t>Vlakstans per uur / minuut</t>
  </si>
  <si>
    <t>Vlakstans afstellen</t>
  </si>
  <si>
    <t>Aangepast naar indeling</t>
  </si>
  <si>
    <t>Vlakstans uitstellen</t>
  </si>
  <si>
    <t>Plaatmaat invoer breedte</t>
  </si>
  <si>
    <t>Plaatmaat invoer lengte</t>
  </si>
  <si>
    <t>Draaisnelheid</t>
  </si>
  <si>
    <t>st / uur</t>
  </si>
  <si>
    <t>Factor golf</t>
  </si>
  <si>
    <t>Draaisnelheid werkelijk bruto</t>
  </si>
  <si>
    <t>Factor draaitijd stans</t>
  </si>
  <si>
    <t>Efficientie factor</t>
  </si>
  <si>
    <t>Snelheid netto</t>
  </si>
  <si>
    <t xml:space="preserve">Minimale draaitijd </t>
  </si>
  <si>
    <t xml:space="preserve">Draaitijd </t>
  </si>
  <si>
    <t xml:space="preserve">min. </t>
  </si>
  <si>
    <t>Plaatlengte</t>
  </si>
  <si>
    <t>Voudigheid</t>
  </si>
  <si>
    <t>Factor</t>
  </si>
  <si>
    <t>Factor voudigheid</t>
  </si>
  <si>
    <t>Factor kartondikte</t>
  </si>
  <si>
    <t>Draaisnelheid dikte</t>
  </si>
  <si>
    <t>Bruto platen / uur</t>
  </si>
  <si>
    <t>Platen per uur</t>
  </si>
  <si>
    <t>Gemiddelde pallethoogte</t>
  </si>
  <si>
    <t>Aantal platen per pallet</t>
  </si>
  <si>
    <t>Aantal pallets indicatief</t>
  </si>
  <si>
    <t>pallets</t>
  </si>
  <si>
    <t>Tijd per pallet</t>
  </si>
  <si>
    <t>min / pallet</t>
  </si>
  <si>
    <t>Totale tijd</t>
  </si>
  <si>
    <t>Kosten handling pallets</t>
  </si>
  <si>
    <t>Altijd bundelen LZ + KZ &lt;=</t>
  </si>
  <si>
    <t>Tabel snelheid tapen Bahmuller</t>
  </si>
  <si>
    <t>Doorvoerlengte</t>
  </si>
  <si>
    <t>Tape lengte</t>
  </si>
  <si>
    <t>m</t>
  </si>
  <si>
    <t>Efficientiefactor</t>
  </si>
  <si>
    <t>Plaat lengte + breedte product</t>
  </si>
  <si>
    <t>Effecientiefactor</t>
  </si>
  <si>
    <t>Snelheid bruto</t>
  </si>
  <si>
    <t>Instellen</t>
  </si>
  <si>
    <t>Draaien</t>
  </si>
  <si>
    <t>Insteltijd</t>
  </si>
  <si>
    <t>Uitbreken per uur per minuut</t>
  </si>
  <si>
    <t>Instellen bundelen</t>
  </si>
  <si>
    <t>Stuks per uur</t>
  </si>
  <si>
    <t xml:space="preserve">Draaien </t>
  </si>
  <si>
    <t>Fefco 0110</t>
  </si>
  <si>
    <t>Kosten per meter</t>
  </si>
  <si>
    <t>Totale kosten Tape</t>
  </si>
  <si>
    <t>Totale kosten inkt</t>
  </si>
  <si>
    <t>Pallets berekenen</t>
  </si>
  <si>
    <t>Totaal kosten Pallets</t>
  </si>
  <si>
    <t>m2 bedr / doos</t>
  </si>
  <si>
    <t>Minimaal inkt</t>
  </si>
  <si>
    <t>Kosten inkt</t>
  </si>
  <si>
    <t>Roda per uur / minuut</t>
  </si>
  <si>
    <t>Doorvoermaat</t>
  </si>
  <si>
    <t>Lengte doorvoer</t>
  </si>
  <si>
    <t>Tussen ../..</t>
  </si>
  <si>
    <t>Snelheid ingesteld</t>
  </si>
  <si>
    <t>Aantal platen op elkaar</t>
  </si>
  <si>
    <t>Aantal platen voor doorvoeren</t>
  </si>
  <si>
    <t>Aantal slagen per plaat</t>
  </si>
  <si>
    <t xml:space="preserve">Efficientie </t>
  </si>
  <si>
    <t>Aantal slagen benodigd</t>
  </si>
  <si>
    <t>Slagen per min bruto en netto</t>
  </si>
  <si>
    <t>Factor naar slagen per minuut</t>
  </si>
  <si>
    <t>Aantal minuten draaien netto Roda</t>
  </si>
  <si>
    <t>Stapelen gemiddeld / min</t>
  </si>
  <si>
    <t>Factor stapelen</t>
  </si>
  <si>
    <t>Platen op elkaar Roda</t>
  </si>
  <si>
    <t>Factor stapelen Roda</t>
  </si>
  <si>
    <t>Stapelen netto per min</t>
  </si>
  <si>
    <t>Totale tijd stapelen gemiddeld</t>
  </si>
  <si>
    <t>Afstellen roda</t>
  </si>
  <si>
    <t xml:space="preserve">Kosten afstellen </t>
  </si>
  <si>
    <t xml:space="preserve">Kosten draaien </t>
  </si>
  <si>
    <t xml:space="preserve">Totaal </t>
  </si>
  <si>
    <t xml:space="preserve">Order bedrag </t>
  </si>
  <si>
    <t>Marge Emba</t>
  </si>
  <si>
    <t>Marge Overige</t>
  </si>
  <si>
    <t>Basis</t>
  </si>
  <si>
    <t xml:space="preserve">Correctie </t>
  </si>
  <si>
    <t xml:space="preserve">tussen </t>
  </si>
  <si>
    <t>marge</t>
  </si>
  <si>
    <t xml:space="preserve">Overige </t>
  </si>
  <si>
    <t>Extra marge</t>
  </si>
  <si>
    <t>Basis marge</t>
  </si>
  <si>
    <t>Kokerdoos</t>
  </si>
  <si>
    <t xml:space="preserve">Extra marge </t>
  </si>
  <si>
    <t>Kleine doos</t>
  </si>
  <si>
    <t>Plaatjes</t>
  </si>
  <si>
    <t>Mini / roda</t>
  </si>
  <si>
    <t>Kleine doos Emba 170</t>
  </si>
  <si>
    <t>Plaatlengte &lt; dan</t>
  </si>
  <si>
    <t>Plaathoogte &lt; dan</t>
  </si>
  <si>
    <t xml:space="preserve">Formaat </t>
  </si>
  <si>
    <t>Klein</t>
  </si>
  <si>
    <t>Breedte &lt; dan</t>
  </si>
  <si>
    <t xml:space="preserve">Productie </t>
  </si>
  <si>
    <t>Klein formaat</t>
  </si>
  <si>
    <t>Wellicht nog vullen</t>
  </si>
  <si>
    <t>bruin extra sterk</t>
  </si>
  <si>
    <t>Wit extra sterk</t>
  </si>
  <si>
    <t>Bruin extra sterk</t>
  </si>
  <si>
    <t>Plano formaat (ex lijmlip / afval rondom)</t>
  </si>
  <si>
    <t>Breedte transport</t>
  </si>
  <si>
    <t>Lengte transport</t>
  </si>
  <si>
    <t>Breedte product t.b.v. transport</t>
  </si>
  <si>
    <t>Lengte product t.b.v. transport</t>
  </si>
  <si>
    <t>Dikte materiaal</t>
  </si>
  <si>
    <t>Dikte product t.b.v. transport</t>
  </si>
  <si>
    <t>800x1200</t>
  </si>
  <si>
    <t>Pallet</t>
  </si>
  <si>
    <t xml:space="preserve">Pallet </t>
  </si>
  <si>
    <t>groep</t>
  </si>
  <si>
    <t>nummer</t>
  </si>
  <si>
    <t>lengte</t>
  </si>
  <si>
    <t>breedte</t>
  </si>
  <si>
    <t>1000x1200</t>
  </si>
  <si>
    <t>L over L</t>
  </si>
  <si>
    <t>B over B</t>
  </si>
  <si>
    <t>Afgerond</t>
  </si>
  <si>
    <t>B over L</t>
  </si>
  <si>
    <t>L over B</t>
  </si>
  <si>
    <t xml:space="preserve">Factor </t>
  </si>
  <si>
    <t>Oversteek</t>
  </si>
  <si>
    <t>L</t>
  </si>
  <si>
    <t xml:space="preserve">Max </t>
  </si>
  <si>
    <t>stapels</t>
  </si>
  <si>
    <t>Stapels</t>
  </si>
  <si>
    <t>M2 per product</t>
  </si>
  <si>
    <t xml:space="preserve">m2 per </t>
  </si>
  <si>
    <t>pallet</t>
  </si>
  <si>
    <t>m2 per</t>
  </si>
  <si>
    <t>karton</t>
  </si>
  <si>
    <t>vulling</t>
  </si>
  <si>
    <t>Pallet selectie</t>
  </si>
  <si>
    <t>Product</t>
  </si>
  <si>
    <t>Pallets</t>
  </si>
  <si>
    <t>Vulling</t>
  </si>
  <si>
    <t>Punten</t>
  </si>
  <si>
    <t>Kleinste</t>
  </si>
  <si>
    <t>Palletkeuze</t>
  </si>
  <si>
    <t>Palletformaat</t>
  </si>
  <si>
    <t>Stapel</t>
  </si>
  <si>
    <t>Colli</t>
  </si>
  <si>
    <t>Hoogte pallet</t>
  </si>
  <si>
    <t>Pallethoogte bewerking</t>
  </si>
  <si>
    <t>Pallethoogte gewenst</t>
  </si>
  <si>
    <t>Pallethoogte berekening</t>
  </si>
  <si>
    <t>Pallethoogte beschikbaar</t>
  </si>
  <si>
    <t>Aantal producten per stapel</t>
  </si>
  <si>
    <t>Per bundel</t>
  </si>
  <si>
    <t>Aantal per bundel</t>
  </si>
  <si>
    <t>Afgerond op bundels</t>
  </si>
  <si>
    <t>Aantal per stapel</t>
  </si>
  <si>
    <t>Bundelen van toepassing</t>
  </si>
  <si>
    <t>Aantal stapels per colli</t>
  </si>
  <si>
    <t>Aantal verpakking per collie</t>
  </si>
  <si>
    <t>Aantal verpakkingen gewenst</t>
  </si>
  <si>
    <t>Aantal colli voor verzending</t>
  </si>
  <si>
    <t>Colli hoogte maximaal 2 op elkaar</t>
  </si>
  <si>
    <t>Aantal colli op elkaar</t>
  </si>
  <si>
    <t>Laadmeter calculatie:</t>
  </si>
  <si>
    <t>LM</t>
  </si>
  <si>
    <t>Laadmeter berekening</t>
  </si>
  <si>
    <t>Maximaal tabel laadmeter</t>
  </si>
  <si>
    <t>Volle wagen (theorie)</t>
  </si>
  <si>
    <t>Rest LM</t>
  </si>
  <si>
    <t>Subtotaal</t>
  </si>
  <si>
    <t>Brandstoftoeslag</t>
  </si>
  <si>
    <t>Totaal transport</t>
  </si>
  <si>
    <t>Bedrag per verpakking</t>
  </si>
  <si>
    <t>Aantal pallets per colli</t>
  </si>
  <si>
    <t>Aantal pallets totaal</t>
  </si>
  <si>
    <t>Kosten per pallet</t>
  </si>
  <si>
    <t>Kosten pallets</t>
  </si>
  <si>
    <t>Aantal colli voor transport</t>
  </si>
  <si>
    <t>Formaat colli</t>
  </si>
  <si>
    <t>Palletstapeling indicatief:</t>
  </si>
  <si>
    <t>Hoogte bij benadering</t>
  </si>
  <si>
    <t>Minimaal Emba 170</t>
  </si>
  <si>
    <t>Minimaal Emba 295</t>
  </si>
  <si>
    <t>Pallethoogte (max. 2100 mm), niet verplicht vullen.</t>
  </si>
  <si>
    <t>Prijs per stuk, bij afname</t>
  </si>
  <si>
    <t>To do:</t>
  </si>
  <si>
    <t>Tape kosten per meter</t>
  </si>
  <si>
    <t>Gebruik:</t>
  </si>
  <si>
    <r>
      <t xml:space="preserve">Alle gele cellen vullen door deze te copieren uit verkoopprijsmodel. </t>
    </r>
    <r>
      <rPr>
        <u/>
        <sz val="9"/>
        <rFont val="Arial"/>
        <family val="2"/>
      </rPr>
      <t>Altijd plakken "waarde" gebruiken</t>
    </r>
  </si>
  <si>
    <t>Cellen kunnen t/m "ECT" in een keer worden gecopieerd. Daarna rij voor rij bekijken.</t>
  </si>
  <si>
    <t>2.60 BC N1</t>
  </si>
  <si>
    <t>Aantal per colli</t>
  </si>
  <si>
    <t xml:space="preserve">Aantal colli </t>
  </si>
  <si>
    <t>Overrule min. afname</t>
  </si>
  <si>
    <t>Berekening minimale afname</t>
  </si>
  <si>
    <t>0401</t>
  </si>
  <si>
    <t>0471</t>
  </si>
  <si>
    <t>H &lt; L</t>
  </si>
  <si>
    <t>Uitval percentage</t>
  </si>
  <si>
    <t>Totaal marge (marge + variatie inkoop)</t>
  </si>
  <si>
    <t>OP 0 GEZET VOOR VERGELIJKING</t>
  </si>
  <si>
    <t>Technisch mogelijk</t>
  </si>
  <si>
    <t>Voorkeur</t>
  </si>
  <si>
    <t>Effiecientie golf</t>
  </si>
  <si>
    <t>Factor draaitijd uitbreken</t>
  </si>
  <si>
    <t xml:space="preserve">Kleine stansdozen gaan snel naar 2 uit een plaat. Verschil met verkoopprijsmodel in berekening. </t>
  </si>
  <si>
    <t>0933</t>
  </si>
  <si>
    <t>0711</t>
  </si>
  <si>
    <t>Wordt niet berekend</t>
  </si>
  <si>
    <t>Palletstapeling berekenen</t>
  </si>
  <si>
    <t>Pallet berekenen</t>
  </si>
  <si>
    <t xml:space="preserve">Kokerdozen </t>
  </si>
  <si>
    <t>Tabel Kokerdoos Emba 295</t>
  </si>
  <si>
    <t>Selecte</t>
  </si>
  <si>
    <t xml:space="preserve">M2 </t>
  </si>
  <si>
    <t>Afval opruimen</t>
  </si>
  <si>
    <t>sec / product</t>
  </si>
  <si>
    <t>Afval boxm / product</t>
  </si>
  <si>
    <t>0,5</t>
  </si>
  <si>
    <t>0</t>
  </si>
  <si>
    <t>H</t>
  </si>
  <si>
    <t xml:space="preserve">Maatvoering </t>
  </si>
  <si>
    <t>geschikt</t>
  </si>
  <si>
    <t>Maatvoering  check:</t>
  </si>
  <si>
    <t>Overige voorwaarde</t>
  </si>
  <si>
    <t>H min 10% van L</t>
  </si>
  <si>
    <t xml:space="preserve">Palletaantallen alsof het een Emba doos is. Check of het een Emba doos is. </t>
  </si>
  <si>
    <t>Plaatformaat</t>
  </si>
  <si>
    <t>Koker / plaat bepalen</t>
  </si>
  <si>
    <t>Plaat t.b.v. extra marge</t>
  </si>
  <si>
    <t>selectie</t>
  </si>
  <si>
    <t>Efficientie correctie op plaatlengte</t>
  </si>
  <si>
    <t>Voor berekening</t>
  </si>
  <si>
    <t>Maximale snelheid</t>
  </si>
  <si>
    <t>Tabel</t>
  </si>
  <si>
    <t>Bedrukt</t>
  </si>
  <si>
    <t>Draaisnelheid calculatie</t>
  </si>
  <si>
    <t>Snelheid maximaal bedrukt</t>
  </si>
  <si>
    <t>Snelheid calc</t>
  </si>
  <si>
    <t>Efficientie</t>
  </si>
  <si>
    <t>Emba 295 als voorbewerking</t>
  </si>
  <si>
    <t>0,2</t>
  </si>
  <si>
    <t>Mini (stans) uitstellen</t>
  </si>
  <si>
    <t>Versie</t>
  </si>
  <si>
    <t>Datum</t>
  </si>
  <si>
    <t>Wie</t>
  </si>
  <si>
    <t>Wijziging</t>
  </si>
  <si>
    <t>Wijziging in tabbladen</t>
  </si>
  <si>
    <t>Voorstapelen:</t>
  </si>
  <si>
    <t>Hoogte stapel</t>
  </si>
  <si>
    <t>Hele stapels</t>
  </si>
  <si>
    <t>Resthoogte (mm)</t>
  </si>
  <si>
    <t>Tijd hele stapels</t>
  </si>
  <si>
    <t>Tijd rest</t>
  </si>
  <si>
    <t>Totaal voorstapelen</t>
  </si>
  <si>
    <t>uur</t>
  </si>
  <si>
    <t>Afname gewenst</t>
  </si>
  <si>
    <t>Voorstapelen</t>
  </si>
  <si>
    <t>Stapelhoogte mm</t>
  </si>
  <si>
    <t>Tijd in uur</t>
  </si>
  <si>
    <t>Efficientie/ fefco</t>
  </si>
  <si>
    <t>Maxi bedrukt</t>
  </si>
  <si>
    <t>Aantal uit een plaat</t>
  </si>
  <si>
    <t>Harde overrule aantal per plaat</t>
  </si>
  <si>
    <t>Extra persoon op  basis van plaatformaat (plaat op maat)</t>
  </si>
  <si>
    <t>Min. breedte</t>
  </si>
  <si>
    <t>Min. lengte</t>
  </si>
  <si>
    <t>Extra persoon benodigd</t>
  </si>
  <si>
    <t>Kosten draaien totaal</t>
  </si>
  <si>
    <t xml:space="preserve">Maxi draaien </t>
  </si>
  <si>
    <t>Extra persoon</t>
  </si>
  <si>
    <t>Per min</t>
  </si>
  <si>
    <t>Effecientie 295 / golf</t>
  </si>
  <si>
    <t>Taper (gemiddeld tarief)</t>
  </si>
  <si>
    <t>Bedrukking mogelijk</t>
  </si>
  <si>
    <t>Voorraad plaat</t>
  </si>
  <si>
    <t>Aantal verpakkingen</t>
  </si>
  <si>
    <t>Aantal platen</t>
  </si>
  <si>
    <t>Aantal palletwisselingen</t>
  </si>
  <si>
    <t>Aantal pallets per wissel</t>
  </si>
  <si>
    <t>Totale tijd pallets wegleggen</t>
  </si>
  <si>
    <t>Totale tijd stapen voor machine plaatsen</t>
  </si>
  <si>
    <t>Totaal extra per plaat</t>
  </si>
  <si>
    <t xml:space="preserve">Pallethoogte </t>
  </si>
  <si>
    <t>mm (zonder pallet)</t>
  </si>
  <si>
    <t>Stapelen pallets bij wissel</t>
  </si>
  <si>
    <t>sec / pallet</t>
  </si>
  <si>
    <t>Bandjes van pallet verwijderen en platen voor machine plaatsen</t>
  </si>
  <si>
    <t>sec / palletwissel</t>
  </si>
  <si>
    <t>Factor afstellen</t>
  </si>
  <si>
    <t>Boven elkaar</t>
  </si>
  <si>
    <t>Afvalverwerking</t>
  </si>
  <si>
    <t>0,4</t>
  </si>
  <si>
    <t>Hoofdbewerking gekozen:</t>
  </si>
  <si>
    <t xml:space="preserve">Alleen voor prijsvergelijking, niet gebruiken (wordt later weer verwijderd): </t>
  </si>
  <si>
    <t>Totaal productie</t>
  </si>
  <si>
    <t>Nummer</t>
  </si>
  <si>
    <t>Titel</t>
  </si>
  <si>
    <t>Omshrijving</t>
  </si>
  <si>
    <t>Kwaliteitscode</t>
  </si>
  <si>
    <t>B2 bij input toevoegen
kwaliteitsconversie aanpassen, selectie aanpassen naar kenmerk</t>
  </si>
  <si>
    <t>EET13K</t>
  </si>
  <si>
    <t>Extra rillen</t>
  </si>
  <si>
    <t>Nee</t>
  </si>
  <si>
    <t>Input</t>
  </si>
  <si>
    <t>FEFCO</t>
  </si>
  <si>
    <t>Verkoopprijs</t>
  </si>
  <si>
    <t>Karton</t>
  </si>
  <si>
    <t>Berekening</t>
  </si>
  <si>
    <t>Productformaat</t>
  </si>
  <si>
    <t>Planobreedte</t>
  </si>
  <si>
    <t>Planolengte</t>
  </si>
  <si>
    <t>M2 totaal</t>
  </si>
  <si>
    <t>Snijlengte</t>
  </si>
  <si>
    <t>Rillengte</t>
  </si>
  <si>
    <t>Seconden per verpakking</t>
  </si>
  <si>
    <t>Uurtarief</t>
  </si>
  <si>
    <t>Secondetarief</t>
  </si>
  <si>
    <t>Machinetarief</t>
  </si>
  <si>
    <t>Aantal lengte</t>
  </si>
  <si>
    <t>Aantal breedte</t>
  </si>
  <si>
    <t>Aantal per moederplaat</t>
  </si>
  <si>
    <t>Prijs per moederplaat</t>
  </si>
  <si>
    <t>Voorraad</t>
  </si>
  <si>
    <t>Op maat</t>
  </si>
  <si>
    <t>Materiaal per product</t>
  </si>
  <si>
    <t>Materiaalprijs</t>
  </si>
  <si>
    <t>Product lijmen/tapen</t>
  </si>
  <si>
    <t>Kosten lijmen/tapen vast</t>
  </si>
  <si>
    <t>Kosten lijmen/tapen variabel</t>
  </si>
  <si>
    <t>M2 prijs transport</t>
  </si>
  <si>
    <t>Aantal m2 transport</t>
  </si>
  <si>
    <t>Transport per stuk</t>
  </si>
  <si>
    <t>Totaalprijs</t>
  </si>
  <si>
    <t>Inkoop</t>
  </si>
  <si>
    <t>Marge Superdoos</t>
  </si>
  <si>
    <t>Verkoop</t>
  </si>
  <si>
    <t>Variabelen</t>
  </si>
  <si>
    <t>Transport per m2</t>
  </si>
  <si>
    <t>Machine uur tarief</t>
  </si>
  <si>
    <t>Uitbreken per stuk</t>
  </si>
  <si>
    <t>Lijmen tapen per mm</t>
  </si>
  <si>
    <t>Snelheidtabel</t>
  </si>
  <si>
    <t>rillen</t>
  </si>
  <si>
    <t>snijden</t>
  </si>
  <si>
    <t>Tarief klein</t>
  </si>
  <si>
    <t>Tarief middel</t>
  </si>
  <si>
    <t>Tarief groot</t>
  </si>
  <si>
    <t>Tapen vaste kosten</t>
  </si>
  <si>
    <t>Prijs per m2</t>
  </si>
  <si>
    <t>Lijmen/Tapen</t>
  </si>
  <si>
    <t>Snijmeters</t>
  </si>
  <si>
    <t>Rilmeters</t>
  </si>
  <si>
    <t>Ja</t>
  </si>
  <si>
    <t>Plot kopieren</t>
  </si>
  <si>
    <t xml:space="preserve">Plot kopieren </t>
  </si>
  <si>
    <t>Sheet reference verwijderen</t>
  </si>
  <si>
    <t>met ctrl+h de sheet reference verwijderen</t>
  </si>
  <si>
    <t>Benaming aanpassen bedrukking</t>
  </si>
  <si>
    <t>Benaming handgrepen aanpassen</t>
  </si>
  <si>
    <t>onbedrukt</t>
  </si>
  <si>
    <t>zwart</t>
  </si>
  <si>
    <t>1 kleur naar keuze</t>
  </si>
  <si>
    <t>2 kleuren naar keuze</t>
  </si>
  <si>
    <t>geen handgrepen / stansbewerking</t>
  </si>
  <si>
    <t>handgrepen half gestanst</t>
  </si>
  <si>
    <t>handgrepen volledig gestanst</t>
  </si>
  <si>
    <t>Rekenblad B112</t>
  </si>
  <si>
    <t>Kopie van groep maken</t>
  </si>
  <si>
    <t>Kopie 1 input aanpassen en verwijzen naar input, cellen doortrekken</t>
  </si>
  <si>
    <t>Aantal gevraagd</t>
  </si>
  <si>
    <t>Code actief voor staffel 1</t>
  </si>
  <si>
    <t>Tekst</t>
  </si>
  <si>
    <t>Stansdoos</t>
  </si>
  <si>
    <t>Alleen prijzen van van Plotter gebruiken</t>
  </si>
  <si>
    <t>Bedrukte doos</t>
  </si>
  <si>
    <t>Alleen prijzen van van Boxmaker gebruiken</t>
  </si>
  <si>
    <t>m2 per verpakking</t>
  </si>
  <si>
    <t>Snelle check</t>
  </si>
  <si>
    <t>Opmerking</t>
  </si>
  <si>
    <t>Doostype zonder prijs</t>
  </si>
  <si>
    <t>Direct code terug geven en geen berekening</t>
  </si>
  <si>
    <t>MustRequestQuote</t>
  </si>
  <si>
    <t>Bedrukte stansdoos</t>
  </si>
  <si>
    <t>Welk staffels mogen aangeboden worden?</t>
  </si>
  <si>
    <t>Staffel check</t>
  </si>
  <si>
    <t>Variabele 1</t>
  </si>
  <si>
    <t>Variabele 2</t>
  </si>
  <si>
    <t>Staffel 1</t>
  </si>
  <si>
    <t>Staffel 2</t>
  </si>
  <si>
    <t>Staffel 3</t>
  </si>
  <si>
    <t>Staffel 4</t>
  </si>
  <si>
    <t>Aantal m2</t>
  </si>
  <si>
    <t>Meer m2 dan X voor altijd offerte</t>
  </si>
  <si>
    <t>Meer m2 dan X voor vanaf prijs</t>
  </si>
  <si>
    <t>Vanaf prijs</t>
  </si>
  <si>
    <t>CanRequestBetterQuote</t>
  </si>
  <si>
    <t>Wel een prijs bij andere staffel</t>
  </si>
  <si>
    <t>OtherQtyHasPrice</t>
  </si>
  <si>
    <t xml:space="preserve">Meer m2 dan X en stansdoos </t>
  </si>
  <si>
    <t>Dit is een vanaf prijs, deze aantallen kunnen we voordeliger aanbieden met een andere productietechniek. Vraag een offerte aan voor een scherp aanbod.</t>
  </si>
  <si>
    <t>Minder dan X stuks</t>
  </si>
  <si>
    <t>Geen prijs</t>
  </si>
  <si>
    <t>NoPricePossible</t>
  </si>
  <si>
    <t>Geen prijs, alleen offerte</t>
  </si>
  <si>
    <t>Voor dit aantal maken we graag een speciale aanbieding, vraag een offerte aan en ontvang snel een mooi aanbod.</t>
  </si>
  <si>
    <t>Minder dan X m2 bedrukt</t>
  </si>
  <si>
    <t>Staffel verbergen</t>
  </si>
  <si>
    <t>Welk leveranciers mogen aangeboden worden?</t>
  </si>
  <si>
    <t>Diskwalificator</t>
  </si>
  <si>
    <t>Plotter prijzen gebruiken</t>
  </si>
  <si>
    <t>Boxmaker prijzen gebruiken</t>
  </si>
  <si>
    <t>Staffel tonen</t>
  </si>
  <si>
    <t>Niet maakbaar</t>
  </si>
  <si>
    <t>Plotter</t>
  </si>
  <si>
    <t>Prijs</t>
  </si>
  <si>
    <t>Te gebruiken</t>
  </si>
  <si>
    <t>Laagste prijs</t>
  </si>
  <si>
    <t>Alle prijzen 0</t>
  </si>
  <si>
    <t>RegularPrice</t>
  </si>
  <si>
    <t/>
  </si>
  <si>
    <t>Remarks en code</t>
  </si>
  <si>
    <t>Remark 2 bedrukking weergeven</t>
  </si>
  <si>
    <t>Eerste code beschikbaar</t>
  </si>
  <si>
    <t>Som snelle check</t>
  </si>
  <si>
    <t>Remark 1</t>
  </si>
  <si>
    <t>Stafel verborgen</t>
  </si>
  <si>
    <t>Remark 2 bedrukking</t>
  </si>
  <si>
    <t>Onbedrukte doos</t>
  </si>
  <si>
    <t>Gecombineerde remark</t>
  </si>
  <si>
    <t>Planobreedte (golfrichting)</t>
  </si>
  <si>
    <t>Aantal per pallet</t>
  </si>
  <si>
    <t>Gevraagd aantal</t>
  </si>
  <si>
    <t>Volgende pallet</t>
  </si>
  <si>
    <t>Inputblad uitbreiden</t>
  </si>
  <si>
    <t>voorwaarden tab</t>
  </si>
  <si>
    <t>Naamreeksen controleren</t>
  </si>
  <si>
    <t>Doostype wel/niet prijs</t>
  </si>
  <si>
    <t>Staffels</t>
  </si>
  <si>
    <t>Aantal minimale afname</t>
  </si>
  <si>
    <t>Afgerond op volle pallet</t>
  </si>
  <si>
    <t>Variabele</t>
  </si>
  <si>
    <t>Percentage van minimale afname</t>
  </si>
  <si>
    <t>Staffel</t>
  </si>
  <si>
    <t>200 m2 is x dozen</t>
  </si>
  <si>
    <t>Aantal x2 (bij grote aantallen afgerond op pallet)</t>
  </si>
  <si>
    <t>Staffel staat er dubbel in</t>
  </si>
  <si>
    <t>in inputveld verwijzen naar voorwaardensheet</t>
  </si>
  <si>
    <t>Aantal input aan staffels linken</t>
  </si>
  <si>
    <t>Staffel hoeveelheid</t>
  </si>
  <si>
    <t>Niet-stansdoos en niet maakbaar</t>
  </si>
  <si>
    <t>Dit is een vanaf prijs, deze aantallen kunnen we vaak nóg voordeliger aanbieden. Vraag een offerte aan voor een scherp aanbod.</t>
  </si>
  <si>
    <t>Levertijd</t>
  </si>
  <si>
    <t>tot</t>
  </si>
  <si>
    <t>van</t>
  </si>
  <si>
    <t>werkdagen</t>
  </si>
  <si>
    <t>Handgrepen</t>
  </si>
  <si>
    <t>Output</t>
  </si>
  <si>
    <t>per_price</t>
  </si>
  <si>
    <t>staffel2_qty</t>
  </si>
  <si>
    <t>staffel2_price</t>
  </si>
  <si>
    <t>staffel3_qty</t>
  </si>
  <si>
    <t>staffel3_price</t>
  </si>
  <si>
    <t>staffel4_qty</t>
  </si>
  <si>
    <t>staffel4_price</t>
  </si>
  <si>
    <t>pallet_qty</t>
  </si>
  <si>
    <t>status</t>
  </si>
  <si>
    <t>remark</t>
  </si>
  <si>
    <t>deliverytime_from</t>
  </si>
  <si>
    <t>deliverytime_to</t>
  </si>
  <si>
    <t>Rekenblad</t>
  </si>
  <si>
    <t>C617 op 0 gezet</t>
  </si>
  <si>
    <t>v2</t>
  </si>
  <si>
    <t>Plot naamreeks</t>
  </si>
  <si>
    <t>verticaal zoeken naamreeks eruit gehaald</t>
  </si>
  <si>
    <t>formule eruit</t>
  </si>
  <si>
    <t>AFRONDEN.BENEDEN.WISK eruit gehaald, INTEGER van gemaaKT</t>
  </si>
  <si>
    <t>110 uitgeschakeld</t>
  </si>
  <si>
    <t>rekent niet met juiste palletformaat</t>
  </si>
  <si>
    <t>naamreekse eruit</t>
  </si>
  <si>
    <t>naamreeks eruit</t>
  </si>
  <si>
    <t>plaatformaat moet er nog in gezet worden</t>
  </si>
  <si>
    <t>productie</t>
  </si>
  <si>
    <t>stapelen</t>
  </si>
  <si>
    <t>plaatopmaat</t>
  </si>
  <si>
    <t>roda</t>
  </si>
  <si>
    <t>vlakstans</t>
  </si>
  <si>
    <t>emba295</t>
  </si>
  <si>
    <t>mini</t>
  </si>
  <si>
    <t>maxi</t>
  </si>
  <si>
    <t>emba170</t>
  </si>
  <si>
    <t>C556 op 0 gezet</t>
  </si>
  <si>
    <t>Fefco 471</t>
  </si>
  <si>
    <t>Plot verwezen  naar de juiste tabel zodat de 471 past</t>
  </si>
  <si>
    <t>FEFCO 0110</t>
  </si>
  <si>
    <t>geactiveerd</t>
  </si>
  <si>
    <t>Basismarge</t>
  </si>
  <si>
    <t>fris -5 spd 12% en 20% bedrukt</t>
  </si>
  <si>
    <t>Oude instelling</t>
  </si>
  <si>
    <t>Instelling SD</t>
  </si>
  <si>
    <t>Extra marge kokerdozen afankelijk gemaakt van plaatlengte</t>
  </si>
  <si>
    <t>Tabel toegevoegd bij marge berekening</t>
  </si>
  <si>
    <t>A2 142024 A - V6 RHA</t>
  </si>
  <si>
    <t>RH</t>
  </si>
  <si>
    <t>Bij keine bedrukte dozen (plaat langer dan 1000 mm) wordt bij de machinekeuze "Maxi" gekozen i.p.v. "Emba".</t>
  </si>
  <si>
    <t xml:space="preserve">Maxi wordt uitgesloten wanneer een Emba mogelijk is. Bij "keuze voorkeuren verschillende productgroepen" de formule kolom D aangepast. </t>
  </si>
  <si>
    <t>Emba als voorbewerking</t>
  </si>
  <si>
    <t xml:space="preserve">Bij een voorbewerking mag de efficientiebeperking voor een lastig doosformaat niet worden meegerekend. </t>
  </si>
  <si>
    <t>Formule toegevoegd dat bij Emba 295 voorbewerking voor de snelheid alleen wordt gerekend met plaatformaat. Factor Lengte / breedte, hoogte / lengte staat altijd op 1 bij voorbewerking.</t>
  </si>
  <si>
    <t xml:space="preserve">Verwijzingen factoren t.b.v. efficientie bij Emba 170 verwezen naar tavel bij Emba 295 i.p.v. 170 </t>
  </si>
  <si>
    <t xml:space="preserve">Verwijzing aangepast. Inhoudelijk wellicht soms kleine verschillen geweest in de calculatie. </t>
  </si>
  <si>
    <t xml:space="preserve">Bij plaat (als voorbewerking) op mini werd bij 1 achter elkaar wel een bewerking berekend. Dit is wat aangepast. </t>
  </si>
  <si>
    <t>Aantal bewerkingen bij doorvoeren van een plaat is aantal achter elkaar -1 geworden.</t>
  </si>
  <si>
    <t>Alleen Boxm. mogelijk</t>
  </si>
  <si>
    <t>Voorkeur Mini t.o.v. Maxi bij bedrukking (beinvloeding min. bewerking)</t>
  </si>
  <si>
    <t>Bedrukking geselecteerd</t>
  </si>
  <si>
    <t>Plano breedte</t>
  </si>
  <si>
    <t>Plano Lengte</t>
  </si>
  <si>
    <t xml:space="preserve">Formaat geschikt </t>
  </si>
  <si>
    <t>Mini en Maxi mogelijk</t>
  </si>
  <si>
    <t>Gewenst aantal geschikt</t>
  </si>
  <si>
    <t>M2 per doos</t>
  </si>
  <si>
    <t>Min m2</t>
  </si>
  <si>
    <t>Min platen</t>
  </si>
  <si>
    <t>Dozen</t>
  </si>
  <si>
    <t>Min dozen</t>
  </si>
  <si>
    <t xml:space="preserve">Min. Bewerkingen + </t>
  </si>
  <si>
    <t>Beinvloeding minimaal aantal bewerkingen moeten beinvloed worden om bij bedrukte dozen bij boxmakers de juiste route te kiezen</t>
  </si>
  <si>
    <t>Bij keuze productie route is een beinvloeding toegevoegd.</t>
  </si>
  <si>
    <t>Aantal boven elkaar uit een plaat</t>
  </si>
  <si>
    <t>Definitieve keuze  materiaal</t>
  </si>
  <si>
    <t>A2 142024 A - V6 RHB</t>
  </si>
  <si>
    <t>Materiaal selectie geeft soms het zelfde aantal platen bij een andere plaatindeling 2-2 is goedkoper dan 1-4.</t>
  </si>
  <si>
    <t xml:space="preserve">Selectie van platen is zo aangepast dat er altijd wordt gekozen om zo veel mogelijk boven elkaar bij voorkeur te kiezen. </t>
  </si>
  <si>
    <t>Voorkeur bedrukking</t>
  </si>
  <si>
    <t>Voorkeur aantal</t>
  </si>
  <si>
    <t xml:space="preserve">Voorkeur Emba's aangepast zodat bij 2 kleuren indien mogelijk altijd Emba 295 wordt gekozen. </t>
  </si>
  <si>
    <t>Voorkeur tussen inliners</t>
  </si>
  <si>
    <t xml:space="preserve">"Voorkeur tussen inliners" aangepast zodat deze niet alleen op basis van aantal kiest maar ook bedrukking meeweegt. </t>
  </si>
  <si>
    <t>Voorbew. Bedrukking</t>
  </si>
  <si>
    <t>Voorbewerking Emba 295 mogelijk</t>
  </si>
  <si>
    <t>Breedte min</t>
  </si>
  <si>
    <t>Breedte max</t>
  </si>
  <si>
    <t>Lengte max</t>
  </si>
  <si>
    <t>A2 142024 A - V6 RHC</t>
  </si>
  <si>
    <t>Meer uit een plaat bij voorbewerking</t>
  </si>
  <si>
    <t>Bedrukte dozen op de mini hadden altijd Maxi als voorbewerking om te dukken. Nu is Emba 295 voorbewerking toegevoegd.</t>
  </si>
  <si>
    <t>Voorselectie bij "mini mogelijk" toegevoegd. Productieroute aangepast. Fase leidend voor materiaal aangepast.</t>
  </si>
  <si>
    <t>Max boven elkaar op mini</t>
  </si>
  <si>
    <t xml:space="preserve">Bij voorbewerking op Emba wordt aantal boven elkaar soms hger berekend dan de mini kan verwerken. </t>
  </si>
  <si>
    <t xml:space="preserve">Maximaal boven elkaar s bij voor bewerking afgegerendeld op basis van maximaal op mini. Berekening bij "emba mogelijk" aangepast met maximaal op mini mogelijk. </t>
  </si>
  <si>
    <t>Platen voor berekening als voorbewerking</t>
  </si>
  <si>
    <t>Aantal producten</t>
  </si>
  <si>
    <t xml:space="preserve">Voorwerking platen drukken op Maxi werden soms te veel platen berekend voor doorvoer. Minimalen afname materiaal. </t>
  </si>
  <si>
    <t>Er wordt nu een vergelijking gemaakt of alles van de minimale afname benodigd is. Anders worden alleen de benodigde platen verwerkt. Calculatie toegevoegd aan "maxi draaitijd berekenen"</t>
  </si>
  <si>
    <t xml:space="preserve">Bedrukte dozen op de mini worden in de praktijk nooit met meer dan 3 boven elkaar geproduceerd i.v.m. vouwen. </t>
  </si>
  <si>
    <t>Om calculatieverschillen te voorkomen worden bedrukte dozen op de mini waar mogelijk gemaximaliseerd op 3 boven elkaar.</t>
  </si>
  <si>
    <t>0701</t>
  </si>
  <si>
    <t>na nieuwesheet</t>
  </si>
  <si>
    <t>Vraag een offerte aan voor snel een aanbod, deze samenstelling kunnen we helaas nog niet uitrekenen</t>
  </si>
  <si>
    <t>H39 enzo controleren - ook PLOT D44</t>
  </si>
  <si>
    <t>Past in pakket</t>
  </si>
  <si>
    <t>Breedte past</t>
  </si>
  <si>
    <t>Hoogte past</t>
  </si>
  <si>
    <t>Lengte past</t>
  </si>
  <si>
    <t>Pakketpost</t>
  </si>
  <si>
    <t>pakketpost plot</t>
  </si>
  <si>
    <t>transporttarief fris</t>
  </si>
  <si>
    <t>Marge bedrag minimaal</t>
  </si>
  <si>
    <t>minimale marge plot</t>
  </si>
  <si>
    <t>Minimaal hoeveelheid bedrukt</t>
  </si>
  <si>
    <t>minimale hoeveelheid bedrukt staffel</t>
  </si>
  <si>
    <t>Lijmen/tapen</t>
  </si>
  <si>
    <t>lijmen tapen stond niet goed in plot</t>
  </si>
  <si>
    <t>BKT13 M</t>
  </si>
  <si>
    <t>B 20</t>
  </si>
  <si>
    <t>PLK 135</t>
  </si>
  <si>
    <t>TL 120</t>
  </si>
  <si>
    <t>Model</t>
  </si>
  <si>
    <t>BKT14 M</t>
  </si>
  <si>
    <t>B 31</t>
  </si>
  <si>
    <t>TL 160</t>
  </si>
  <si>
    <t>BKT14WS M</t>
  </si>
  <si>
    <t>B 65</t>
  </si>
  <si>
    <t>BKT19 M</t>
  </si>
  <si>
    <t>B 34</t>
  </si>
  <si>
    <t>KL 186</t>
  </si>
  <si>
    <t>BT12 M</t>
  </si>
  <si>
    <t>B 12</t>
  </si>
  <si>
    <t>DK19 M</t>
  </si>
  <si>
    <t>BC 55</t>
  </si>
  <si>
    <t>DK30 M</t>
  </si>
  <si>
    <t>BC 58</t>
  </si>
  <si>
    <t>HPF 135</t>
  </si>
  <si>
    <t>DKT13/12W M</t>
  </si>
  <si>
    <t>BC 61</t>
  </si>
  <si>
    <t>DKT14 M</t>
  </si>
  <si>
    <t>BC 20</t>
  </si>
  <si>
    <t>DKT14K M</t>
  </si>
  <si>
    <t>BC 32</t>
  </si>
  <si>
    <t>DKT19 M</t>
  </si>
  <si>
    <t>BC 34</t>
  </si>
  <si>
    <t>DT14 M</t>
  </si>
  <si>
    <t>BC 11</t>
  </si>
  <si>
    <t>EBKT13/12W M</t>
  </si>
  <si>
    <t>EB 60</t>
  </si>
  <si>
    <t>TL120</t>
  </si>
  <si>
    <t>EBKT14 M</t>
  </si>
  <si>
    <t>EB 20</t>
  </si>
  <si>
    <t>EBKT14S M</t>
  </si>
  <si>
    <t>EB 30</t>
  </si>
  <si>
    <t>KL 125</t>
  </si>
  <si>
    <t>EBKT15 M</t>
  </si>
  <si>
    <t>EB 34</t>
  </si>
  <si>
    <t>TLW 125</t>
  </si>
  <si>
    <t>EEKT14 M</t>
  </si>
  <si>
    <t>EE 20</t>
  </si>
  <si>
    <t>EET13 M</t>
  </si>
  <si>
    <t>EE 11</t>
  </si>
  <si>
    <t>BDUWT14 M</t>
  </si>
  <si>
    <t>B 61</t>
  </si>
  <si>
    <t>BKT14WW M</t>
  </si>
  <si>
    <t>B 73</t>
  </si>
  <si>
    <t>BTS12/11 M</t>
  </si>
  <si>
    <t>B 10</t>
  </si>
  <si>
    <t>DT10 M</t>
  </si>
  <si>
    <t>BC 10</t>
  </si>
  <si>
    <t>CT12 M</t>
  </si>
  <si>
    <t>C 11</t>
  </si>
  <si>
    <t>CT17 M</t>
  </si>
  <si>
    <t>C 15</t>
  </si>
  <si>
    <t>CKT14 M</t>
  </si>
  <si>
    <t>C 20</t>
  </si>
  <si>
    <t>CKT15 M</t>
  </si>
  <si>
    <t>C 31</t>
  </si>
  <si>
    <t>CKT19 M</t>
  </si>
  <si>
    <t>C 36</t>
  </si>
  <si>
    <t>ET10 M</t>
  </si>
  <si>
    <t>E 10</t>
  </si>
  <si>
    <t>ET12 M</t>
  </si>
  <si>
    <t>E 11</t>
  </si>
  <si>
    <t>EKT13 M</t>
  </si>
  <si>
    <t>E 20</t>
  </si>
  <si>
    <t>WS 120</t>
  </si>
  <si>
    <t>ETWT14 M</t>
  </si>
  <si>
    <t>E 62</t>
  </si>
  <si>
    <t>ET14WW M</t>
  </si>
  <si>
    <t>E 71</t>
  </si>
  <si>
    <t xml:space="preserve"> EKT14WW M</t>
  </si>
  <si>
    <t>E 72</t>
  </si>
  <si>
    <t>EBT14 M</t>
  </si>
  <si>
    <t>EB10</t>
  </si>
  <si>
    <t>EBT14S M</t>
  </si>
  <si>
    <t>EB12</t>
  </si>
  <si>
    <t>EEKT14W M</t>
  </si>
  <si>
    <t>EE 60</t>
  </si>
  <si>
    <t xml:space="preserve"> EEKT14WW M</t>
  </si>
  <si>
    <t>EE 71</t>
  </si>
  <si>
    <t>Inkoop Fris</t>
  </si>
  <si>
    <t>Inkoop Faes</t>
  </si>
  <si>
    <t>Aanschaf</t>
  </si>
  <si>
    <t>Afschrijving</t>
  </si>
  <si>
    <t>maanden</t>
  </si>
  <si>
    <t xml:space="preserve">Doos </t>
  </si>
  <si>
    <t>uren per maand</t>
  </si>
  <si>
    <t>Afschijving per maand</t>
  </si>
  <si>
    <t>Onderhoud per maand</t>
  </si>
  <si>
    <t>Kosten afschrijving plus onderhoud</t>
  </si>
  <si>
    <t>Kosten afschrijving plus onderhoud / uur</t>
  </si>
  <si>
    <t>m2/uur</t>
  </si>
  <si>
    <t>Inkt per maand</t>
  </si>
  <si>
    <t>(28 euro per liter)</t>
  </si>
  <si>
    <t>Prints per maand</t>
  </si>
  <si>
    <t>DPI</t>
  </si>
  <si>
    <t>Kost inkt per print</t>
  </si>
  <si>
    <t xml:space="preserve">Low </t>
  </si>
  <si>
    <t>200x600</t>
  </si>
  <si>
    <t>seconde per product</t>
  </si>
  <si>
    <t>Middle</t>
  </si>
  <si>
    <t>300x600</t>
  </si>
  <si>
    <t>Instel machine</t>
  </si>
  <si>
    <t>High</t>
  </si>
  <si>
    <t>600x600</t>
  </si>
  <si>
    <t>Per order kartoor</t>
  </si>
  <si>
    <t>euro</t>
  </si>
  <si>
    <t>Extra handling</t>
  </si>
  <si>
    <t>Tijd totale run</t>
  </si>
  <si>
    <t>Seconde</t>
  </si>
  <si>
    <t>Minuten</t>
  </si>
  <si>
    <t>Operator cost per dag</t>
  </si>
  <si>
    <t>Uren</t>
  </si>
  <si>
    <t>Bruto loon</t>
  </si>
  <si>
    <t>Bruto naar kosten</t>
  </si>
  <si>
    <t>Prijsopbouw</t>
  </si>
  <si>
    <t>Per stuk</t>
  </si>
  <si>
    <t>Totaal kosten</t>
  </si>
  <si>
    <t>per order</t>
  </si>
  <si>
    <t>Uren per maand</t>
  </si>
  <si>
    <t>Uur kosten</t>
  </si>
  <si>
    <t>per uur</t>
  </si>
  <si>
    <t>Tarief per uur</t>
  </si>
  <si>
    <t>Inkt kosten</t>
  </si>
  <si>
    <t>Marge op tarief</t>
  </si>
  <si>
    <t>Kosten 1* operator / uur</t>
  </si>
  <si>
    <t>Kosten 2* Operator / uur</t>
  </si>
  <si>
    <t>Totale extra kosten per stuk</t>
  </si>
  <si>
    <t>Huisvesting m2</t>
  </si>
  <si>
    <t>per m2</t>
  </si>
  <si>
    <t>Kosten Huisvesting per uur</t>
  </si>
  <si>
    <t>Stroom</t>
  </si>
  <si>
    <t>Kosten overzicht per order</t>
  </si>
  <si>
    <t>Machine instellen</t>
  </si>
  <si>
    <t>Kosten per uur</t>
  </si>
  <si>
    <t>Afschrijving / onderhoud</t>
  </si>
  <si>
    <t>Operator</t>
  </si>
  <si>
    <t>Huisvesting</t>
  </si>
  <si>
    <t>Kosten overzicht per print</t>
  </si>
  <si>
    <t>Inkt</t>
  </si>
  <si>
    <t>Full color (CMYK)</t>
  </si>
  <si>
    <t>Rekenen met onbedrukt en bedrukking apart</t>
  </si>
  <si>
    <t>Rekenen bedrukking</t>
  </si>
  <si>
    <t>Doostype</t>
  </si>
  <si>
    <t>Voorwaarde</t>
  </si>
  <si>
    <t>Toevoegen</t>
  </si>
  <si>
    <t>Prijs digitaaldruk</t>
  </si>
  <si>
    <t>200 stuks nog niet optimaal</t>
  </si>
  <si>
    <t>grote dozen te goedkoop</t>
  </si>
  <si>
    <t>Plano formaat</t>
  </si>
  <si>
    <t>Dozenlaten maken machine 2,5m breed</t>
  </si>
  <si>
    <t>Opmerking nog aanpassen</t>
  </si>
  <si>
    <t>Te groot</t>
  </si>
  <si>
    <t>Klein 427 bij doosopmaat in E golf te duur</t>
  </si>
  <si>
    <t>Pakketmaten</t>
  </si>
  <si>
    <t>LEVERTIJD</t>
  </si>
  <si>
    <t>meerdere naar elkaar stapelen pakketmaat</t>
  </si>
  <si>
    <t>Digitale druk</t>
  </si>
  <si>
    <t xml:space="preserve"> Voor dozen met flexo bedrukking is de prijs exclusief eenmalige cliche kosten, vanaf 300 euro per drukkleur, afhankelijk van het ontwerp. Selecteer Full Color voor bedrukking ZONDER opstartkosten</t>
  </si>
  <si>
    <t xml:space="preserve"> Voor dozen met flexo bedrukking is de prijs exclusief eenmalige cliche kosten, vanaf 300 euro per drukkleur, afhankelijk van het ontwerp. SUPERTIP: Selecteer Full Color voor bedrukking ZONDER opstartkosten</t>
  </si>
  <si>
    <t>Het gevraagde aantal kunnen we niet aanbieden. SUPERTIP: Selecteer de optie Full color voor direct een prijs in klein oplage. Of kijk hieronder voor het minimale bestelaantal voor deze bedrukte doos.</t>
  </si>
  <si>
    <t>afgerond</t>
  </si>
  <si>
    <t>Digitaal bedrukt en te groot</t>
  </si>
  <si>
    <t>Digitaal print per verpakking</t>
  </si>
  <si>
    <t>Te gebruiken prijs</t>
  </si>
  <si>
    <t xml:space="preserve">Marge </t>
  </si>
  <si>
    <t>Digtale druk marge</t>
  </si>
  <si>
    <t>Flexo marge</t>
  </si>
  <si>
    <t>Selecteer de optie Full color voor direct een prijs. Bij aantallen boven 3000 stuks vraag een speciale prijs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</si>
</sst>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 * #,##0.00_ ;_ * \-#,##0.00_ ;_ * &quot;-&quot;??_ ;_ @_ "/>
    <numFmt numFmtId="44" formatCode="_ &quot;€&quot;\ * #,##0.00_ ;_ &quot;€&quot;\ * \-#,##0.00_ ;_ &quot;€&quot;\ * &quot;-&quot;??_ ;_ @_ "/>
    <numFmt numFmtId="164" formatCode="0.000"/>
    <numFmt numFmtId="165" formatCode="0.0"/>
    <numFmt numFmtId="166" formatCode="0.0%"/>
    <numFmt numFmtId="167" formatCode="_(&quot;€&quot;* #,##0.00_);_(&quot;€&quot;* \(#,##0.00\);_(&quot;€&quot;* &quot;-&quot;??_);_(@_)"/>
    <numFmt numFmtId="168" formatCode="_(&quot;€&quot;* #,##0_);_(&quot;€&quot;* \(#,##0\);_(&quot;€&quot;* &quot;-&quot;_);_(@_)"/>
    <numFmt numFmtId="169" formatCode="#,##0_ ;\-#,##0\ "/>
    <numFmt numFmtId="170" formatCode="_-&quot;€&quot;\ * #,##0_-;_-&quot;€&quot;\ * #,##0\-;_-&quot;€&quot;\ * &quot;-&quot;??_-;_-@_-"/>
    <numFmt numFmtId="171" formatCode="0.000000%"/>
    <numFmt numFmtId="172" formatCode="_ &quot;€&quot;\ * #,##0.000_ ;_ &quot;€&quot;\ * \-#,##0.000_ ;_ &quot;€&quot;\ * &quot;-&quot;??_ ;_ @_ "/>
    <numFmt numFmtId="173" formatCode="#,##0.00_ ;\-#,##0.00\ "/>
    <numFmt numFmtId="174" formatCode="_ &quot;€&quot;\ * #,##0.0000_ ;_ &quot;€&quot;\ * \-#,##0.0000_ ;_ &quot;€&quot;\ * &quot;-&quot;??_ ;_ @_ "/>
    <numFmt numFmtId="175" formatCode="_ &quot;€&quot;\ * #,##0.00_ ;_ &quot;€&quot;\ * \-#,##0.00_ ;_ &quot;€&quot;\ * &quot;-&quot;????_ ;_ @_ "/>
    <numFmt numFmtId="176" formatCode="_ &quot;€&quot;\ * #,##0_ ;_ &quot;€&quot;\ * \-#,##0_ ;_ &quot;€&quot;\ * &quot;-&quot;??_ ;_ @_ "/>
    <numFmt numFmtId="177" formatCode="_ &quot;€&quot;\ * #,##0.000_ ;_ &quot;€&quot;\ * \-#,##0.000_ ;_ &quot;€&quot;\ * &quot;-&quot;???_ ;_ @_ "/>
    <numFmt numFmtId="178" formatCode="#,##0.0_ ;\-#,##0.0\ "/>
    <numFmt numFmtId="179" formatCode="_(&quot;€&quot;* #,##0.000_);_(&quot;€&quot;* \(#,##0.000\);_(&quot;€&quot;* &quot;-&quot;??_);_(@_)"/>
    <numFmt numFmtId="180" formatCode="_(&quot;€&quot;* #,##0.0000_);_(&quot;€&quot;* \(#,##0.0000\);_(&quot;€&quot;* &quot;-&quot;??_);_(@_)"/>
    <numFmt numFmtId="181" formatCode="&quot;€&quot;\ #,##0.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indexed="1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17"/>
      <name val="Arial"/>
      <family val="2"/>
    </font>
    <font>
      <sz val="9"/>
      <color indexed="10"/>
      <name val="Arial"/>
      <family val="2"/>
    </font>
    <font>
      <sz val="10"/>
      <name val="Times New Roman"/>
      <family val="1"/>
    </font>
    <font>
      <b/>
      <sz val="9"/>
      <color indexed="10"/>
      <name val="Arial"/>
      <family val="2"/>
    </font>
    <font>
      <b/>
      <sz val="9"/>
      <color indexed="12"/>
      <name val="Arial"/>
      <family val="2"/>
    </font>
    <font>
      <b/>
      <sz val="8"/>
      <color indexed="10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9"/>
      <name val="Arial"/>
      <family val="2"/>
    </font>
    <font>
      <sz val="10"/>
      <color rgb="FFC00000"/>
      <name val="Arial"/>
      <family val="2"/>
    </font>
    <font>
      <i/>
      <sz val="10"/>
      <color theme="1"/>
      <name val="Arial"/>
      <family val="2"/>
    </font>
    <font>
      <sz val="11"/>
      <color rgb="FF197B30"/>
      <name val="Calibri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1"/>
      <color rgb="FF197B30"/>
      <name val="Calibri"/>
      <family val="2"/>
    </font>
    <font>
      <sz val="11"/>
      <color rgb="FF1A3A7A"/>
      <name val="Calibri"/>
      <family val="2"/>
    </font>
    <font>
      <name val="Calibri"/>
      <sz val="11.0"/>
      <color rgb="197B30"/>
    </font>
    <font>
      <name val="Calibri"/>
      <sz val="11.0"/>
      <color rgb="1A3A7A"/>
    </font>
    <font>
      <name val="Calibri"/>
      <sz val="11.0"/>
      <color rgb="7A3A1A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2FF8E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196FF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none">
        <fgColor rgb="62FF8E"/>
      </patternFill>
    </fill>
    <fill>
      <patternFill patternType="none">
        <fgColor rgb="6196FF"/>
      </patternFill>
    </fill>
    <fill>
      <patternFill patternType="none">
        <fgColor rgb="FF9661"/>
      </patternFill>
    </fill>
    <fill>
      <patternFill patternType="solid">
        <fgColor rgb="FF9661"/>
      </patternFill>
    </fill>
  </fills>
  <borders count="1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rgb="FF197B30"/>
      </left>
      <right style="thin">
        <color rgb="FF197B30"/>
      </right>
      <top style="thin">
        <color rgb="FF197B30"/>
      </top>
      <bottom style="thin">
        <color rgb="FF197B3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1A3A7A"/>
      </left>
      <right style="thin">
        <color rgb="FF1A3A7A"/>
      </right>
      <top style="thin">
        <color rgb="FF1A3A7A"/>
      </top>
      <bottom style="thin">
        <color rgb="FF1A3A7A"/>
      </bottom>
      <diagonal/>
    </border>
    <border>
      <bottom style="thin"/>
    </border>
    <border>
      <bottom style="thin">
        <color rgb="197B30"/>
      </bottom>
    </border>
    <border>
      <left style="thin"/>
      <bottom style="thin">
        <color rgb="197B30"/>
      </bottom>
    </border>
    <border>
      <left style="thin">
        <color rgb="197B30"/>
      </left>
      <bottom style="thin">
        <color rgb="197B30"/>
      </bottom>
    </border>
    <border>
      <left style="thin">
        <color rgb="197B30"/>
      </left>
      <right style="thin"/>
      <bottom style="thin">
        <color rgb="197B30"/>
      </bottom>
    </border>
    <border>
      <left style="thin">
        <color rgb="197B30"/>
      </left>
      <right style="thin">
        <color rgb="197B30"/>
      </right>
      <bottom style="thin">
        <color rgb="197B30"/>
      </bottom>
    </border>
    <border>
      <left style="thin">
        <color rgb="197B30"/>
      </left>
      <right style="thin">
        <color rgb="197B30"/>
      </right>
      <top style="thin"/>
      <bottom style="thin">
        <color rgb="197B30"/>
      </bottom>
    </border>
    <border>
      <bottom style="thin">
        <color rgb="1A3A7A"/>
      </bottom>
    </border>
    <border>
      <left style="thin"/>
      <bottom style="thin">
        <color rgb="1A3A7A"/>
      </bottom>
    </border>
    <border>
      <left style="thin">
        <color rgb="1A3A7A"/>
      </left>
      <bottom style="thin">
        <color rgb="1A3A7A"/>
      </bottom>
    </border>
    <border>
      <left style="thin">
        <color rgb="1A3A7A"/>
      </left>
      <right style="thin"/>
      <bottom style="thin">
        <color rgb="1A3A7A"/>
      </bottom>
    </border>
    <border>
      <left style="thin">
        <color rgb="1A3A7A"/>
      </left>
      <right style="thin">
        <color rgb="1A3A7A"/>
      </right>
      <bottom style="thin">
        <color rgb="1A3A7A"/>
      </bottom>
    </border>
    <border>
      <left style="thin">
        <color rgb="1A3A7A"/>
      </left>
      <right style="thin">
        <color rgb="1A3A7A"/>
      </right>
      <top style="thin"/>
      <bottom style="thin">
        <color rgb="1A3A7A"/>
      </bottom>
    </border>
    <border>
      <bottom style="thin">
        <color rgb="7A3A1A"/>
      </bottom>
    </border>
    <border>
      <left style="thin"/>
      <bottom style="thin">
        <color rgb="7A3A1A"/>
      </bottom>
    </border>
    <border>
      <left style="thin">
        <color rgb="7A3A1A"/>
      </left>
      <bottom style="thin">
        <color rgb="7A3A1A"/>
      </bottom>
    </border>
    <border>
      <left style="thin">
        <color rgb="7A3A1A"/>
      </left>
      <right style="thin"/>
      <bottom style="thin">
        <color rgb="7A3A1A"/>
      </bottom>
    </border>
    <border>
      <left style="thin">
        <color rgb="7A3A1A"/>
      </left>
      <right style="thin">
        <color rgb="7A3A1A"/>
      </right>
      <bottom style="thin">
        <color rgb="7A3A1A"/>
      </bottom>
    </border>
    <border>
      <left style="thin">
        <color rgb="7A3A1A"/>
      </left>
      <right style="thin">
        <color rgb="7A3A1A"/>
      </right>
      <top style="thin"/>
      <bottom style="thin">
        <color rgb="7A3A1A"/>
      </bottom>
    </border>
    <border>
      <left style="thin">
        <color rgb="7A3A1A"/>
      </left>
      <right style="thin">
        <color rgb="7A3A1A"/>
      </right>
      <top style="thin">
        <color rgb="7A3A1A"/>
      </top>
      <bottom style="thin">
        <color rgb="7A3A1A"/>
      </bottom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8" fillId="0" borderId="0"/>
    <xf numFmtId="167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32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3" xfId="0" applyBorder="1"/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0" fontId="0" fillId="0" borderId="15" xfId="0" applyBorder="1" applyAlignment="1">
      <alignment horizontal="center"/>
    </xf>
    <xf numFmtId="49" fontId="0" fillId="0" borderId="5" xfId="0" applyNumberFormat="1" applyBorder="1"/>
    <xf numFmtId="0" fontId="0" fillId="2" borderId="2" xfId="0" applyFill="1" applyBorder="1" applyAlignment="1">
      <alignment horizontal="center"/>
    </xf>
    <xf numFmtId="0" fontId="0" fillId="0" borderId="3" xfId="0" applyBorder="1"/>
    <xf numFmtId="49" fontId="0" fillId="0" borderId="1" xfId="0" applyNumberFormat="1" applyBorder="1"/>
    <xf numFmtId="0" fontId="0" fillId="0" borderId="14" xfId="0" applyBorder="1"/>
    <xf numFmtId="0" fontId="0" fillId="0" borderId="15" xfId="0" applyBorder="1"/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2" borderId="8" xfId="0" applyFill="1" applyBorder="1"/>
    <xf numFmtId="0" fontId="0" fillId="2" borderId="10" xfId="0" applyFill="1" applyBorder="1"/>
    <xf numFmtId="0" fontId="0" fillId="2" borderId="9" xfId="0" applyFill="1" applyBorder="1"/>
    <xf numFmtId="0" fontId="0" fillId="2" borderId="12" xfId="0" applyFill="1" applyBorder="1"/>
    <xf numFmtId="49" fontId="0" fillId="0" borderId="14" xfId="0" applyNumberFormat="1" applyBorder="1"/>
    <xf numFmtId="49" fontId="0" fillId="0" borderId="14" xfId="0" applyNumberFormat="1" applyBorder="1" applyAlignment="1">
      <alignment horizontal="center"/>
    </xf>
    <xf numFmtId="0" fontId="0" fillId="0" borderId="0" xfId="0" applyAlignment="1">
      <alignment horizontal="left"/>
    </xf>
    <xf numFmtId="49" fontId="0" fillId="0" borderId="7" xfId="0" applyNumberFormat="1" applyBorder="1"/>
    <xf numFmtId="49" fontId="0" fillId="0" borderId="9" xfId="0" applyNumberFormat="1" applyBorder="1"/>
    <xf numFmtId="49" fontId="0" fillId="0" borderId="12" xfId="0" applyNumberFormat="1" applyBorder="1"/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4" fillId="0" borderId="24" xfId="0" applyFont="1" applyBorder="1"/>
    <xf numFmtId="0" fontId="4" fillId="0" borderId="24" xfId="0" applyFont="1" applyBorder="1" applyAlignment="1">
      <alignment horizontal="left"/>
    </xf>
    <xf numFmtId="0" fontId="4" fillId="0" borderId="24" xfId="0" applyFont="1" applyBorder="1" applyAlignment="1">
      <alignment horizontal="center"/>
    </xf>
    <xf numFmtId="0" fontId="4" fillId="0" borderId="25" xfId="0" applyFont="1" applyBorder="1"/>
    <xf numFmtId="0" fontId="4" fillId="0" borderId="25" xfId="0" applyFont="1" applyBorder="1" applyAlignment="1">
      <alignment horizontal="center"/>
    </xf>
    <xf numFmtId="0" fontId="4" fillId="0" borderId="26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/>
    <xf numFmtId="0" fontId="4" fillId="0" borderId="28" xfId="0" applyFont="1" applyBorder="1" applyAlignment="1">
      <alignment horizontal="center"/>
    </xf>
    <xf numFmtId="0" fontId="5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13" xfId="0" applyFont="1" applyBorder="1"/>
    <xf numFmtId="0" fontId="4" fillId="0" borderId="1" xfId="0" applyFont="1" applyBorder="1" applyAlignment="1">
      <alignment horizontal="center"/>
    </xf>
    <xf numFmtId="0" fontId="4" fillId="0" borderId="27" xfId="0" applyFont="1" applyBorder="1"/>
    <xf numFmtId="0" fontId="5" fillId="0" borderId="25" xfId="0" applyFont="1" applyBorder="1" applyAlignment="1">
      <alignment horizontal="left"/>
    </xf>
    <xf numFmtId="0" fontId="4" fillId="0" borderId="29" xfId="0" applyFont="1" applyBorder="1"/>
    <xf numFmtId="0" fontId="4" fillId="0" borderId="30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27" xfId="0" applyFont="1" applyBorder="1" applyAlignment="1">
      <alignment horizontal="left"/>
    </xf>
    <xf numFmtId="0" fontId="4" fillId="0" borderId="31" xfId="0" applyFont="1" applyBorder="1"/>
    <xf numFmtId="0" fontId="5" fillId="0" borderId="28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5" fillId="0" borderId="24" xfId="0" applyFont="1" applyBorder="1"/>
    <xf numFmtId="0" fontId="6" fillId="4" borderId="24" xfId="0" applyFont="1" applyFill="1" applyBorder="1" applyAlignment="1">
      <alignment horizontal="center"/>
    </xf>
    <xf numFmtId="2" fontId="5" fillId="0" borderId="24" xfId="0" applyNumberFormat="1" applyFont="1" applyBorder="1" applyAlignment="1">
      <alignment horizontal="center"/>
    </xf>
    <xf numFmtId="0" fontId="4" fillId="0" borderId="33" xfId="0" applyFont="1" applyBorder="1"/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/>
    <xf numFmtId="0" fontId="4" fillId="0" borderId="4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38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38" xfId="0" applyFont="1" applyBorder="1"/>
    <xf numFmtId="0" fontId="4" fillId="0" borderId="14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30" xfId="0" applyFont="1" applyBorder="1" applyAlignment="1">
      <alignment horizontal="left"/>
    </xf>
    <xf numFmtId="0" fontId="4" fillId="0" borderId="4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" fontId="4" fillId="2" borderId="46" xfId="0" applyNumberFormat="1" applyFont="1" applyFill="1" applyBorder="1" applyAlignment="1">
      <alignment horizontal="center"/>
    </xf>
    <xf numFmtId="1" fontId="4" fillId="2" borderId="47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0" fontId="4" fillId="0" borderId="32" xfId="0" applyFont="1" applyBorder="1" applyAlignment="1">
      <alignment horizontal="left"/>
    </xf>
    <xf numFmtId="0" fontId="4" fillId="0" borderId="48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1" fontId="8" fillId="2" borderId="11" xfId="0" applyNumberFormat="1" applyFont="1" applyFill="1" applyBorder="1" applyAlignment="1">
      <alignment horizontal="center"/>
    </xf>
    <xf numFmtId="1" fontId="8" fillId="2" borderId="4" xfId="0" applyNumberFormat="1" applyFont="1" applyFill="1" applyBorder="1" applyAlignment="1">
      <alignment horizontal="center"/>
    </xf>
    <xf numFmtId="1" fontId="8" fillId="2" borderId="49" xfId="0" applyNumberFormat="1" applyFont="1" applyFill="1" applyBorder="1" applyAlignment="1">
      <alignment horizontal="center"/>
    </xf>
    <xf numFmtId="1" fontId="4" fillId="2" borderId="12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1" fontId="8" fillId="2" borderId="5" xfId="0" applyNumberFormat="1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1" fontId="8" fillId="2" borderId="50" xfId="0" applyNumberFormat="1" applyFont="1" applyFill="1" applyBorder="1" applyAlignment="1">
      <alignment horizontal="center"/>
    </xf>
    <xf numFmtId="1" fontId="4" fillId="2" borderId="7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1" fontId="8" fillId="2" borderId="10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8" fillId="2" borderId="8" xfId="0" applyNumberFormat="1" applyFont="1" applyFill="1" applyBorder="1" applyAlignment="1">
      <alignment horizontal="center"/>
    </xf>
    <xf numFmtId="1" fontId="8" fillId="2" borderId="3" xfId="0" applyNumberFormat="1" applyFont="1" applyFill="1" applyBorder="1" applyAlignment="1">
      <alignment horizontal="center"/>
    </xf>
    <xf numFmtId="1" fontId="8" fillId="2" borderId="46" xfId="0" applyNumberFormat="1" applyFont="1" applyFill="1" applyBorder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8" fillId="2" borderId="0" xfId="0" applyNumberFormat="1" applyFont="1" applyFill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2" fontId="4" fillId="0" borderId="52" xfId="1" applyNumberFormat="1" applyFont="1" applyFill="1" applyBorder="1" applyAlignment="1">
      <alignment horizontal="center"/>
    </xf>
    <xf numFmtId="2" fontId="4" fillId="0" borderId="7" xfId="1" applyNumberFormat="1" applyFont="1" applyFill="1" applyBorder="1" applyAlignment="1">
      <alignment horizontal="center"/>
    </xf>
    <xf numFmtId="2" fontId="4" fillId="0" borderId="53" xfId="1" applyNumberFormat="1" applyFont="1" applyFill="1" applyBorder="1" applyAlignment="1">
      <alignment horizontal="center"/>
    </xf>
    <xf numFmtId="2" fontId="4" fillId="0" borderId="2" xfId="1" applyNumberFormat="1" applyFont="1" applyFill="1" applyBorder="1" applyAlignment="1">
      <alignment horizontal="center"/>
    </xf>
    <xf numFmtId="2" fontId="4" fillId="0" borderId="0" xfId="1" applyNumberFormat="1" applyFont="1" applyFill="1" applyBorder="1" applyAlignment="1">
      <alignment horizontal="center"/>
    </xf>
    <xf numFmtId="2" fontId="4" fillId="5" borderId="52" xfId="1" applyNumberFormat="1" applyFont="1" applyFill="1" applyBorder="1" applyAlignment="1">
      <alignment horizontal="center"/>
    </xf>
    <xf numFmtId="2" fontId="4" fillId="2" borderId="7" xfId="1" applyNumberFormat="1" applyFont="1" applyFill="1" applyBorder="1" applyAlignment="1">
      <alignment horizontal="center"/>
    </xf>
    <xf numFmtId="2" fontId="4" fillId="2" borderId="50" xfId="1" applyNumberFormat="1" applyFont="1" applyFill="1" applyBorder="1" applyAlignment="1">
      <alignment horizontal="center"/>
    </xf>
    <xf numFmtId="2" fontId="4" fillId="2" borderId="2" xfId="1" applyNumberFormat="1" applyFont="1" applyFill="1" applyBorder="1" applyAlignment="1">
      <alignment horizontal="center"/>
    </xf>
    <xf numFmtId="166" fontId="4" fillId="2" borderId="5" xfId="2" applyNumberFormat="1" applyFont="1" applyFill="1" applyBorder="1" applyAlignment="1">
      <alignment horizontal="center"/>
    </xf>
    <xf numFmtId="2" fontId="4" fillId="2" borderId="52" xfId="1" applyNumberFormat="1" applyFont="1" applyFill="1" applyBorder="1" applyAlignment="1">
      <alignment horizontal="center"/>
    </xf>
    <xf numFmtId="166" fontId="4" fillId="0" borderId="0" xfId="2" applyNumberFormat="1" applyFont="1" applyFill="1" applyBorder="1" applyAlignment="1">
      <alignment horizontal="center"/>
    </xf>
    <xf numFmtId="0" fontId="4" fillId="0" borderId="54" xfId="0" applyFont="1" applyBorder="1" applyAlignment="1">
      <alignment horizontal="left"/>
    </xf>
    <xf numFmtId="0" fontId="4" fillId="0" borderId="54" xfId="0" applyFont="1" applyBorder="1" applyAlignment="1">
      <alignment horizontal="center"/>
    </xf>
    <xf numFmtId="2" fontId="4" fillId="0" borderId="55" xfId="1" applyNumberFormat="1" applyFont="1" applyFill="1" applyBorder="1" applyAlignment="1">
      <alignment horizontal="center"/>
    </xf>
    <xf numFmtId="2" fontId="4" fillId="0" borderId="9" xfId="1" applyNumberFormat="1" applyFont="1" applyFill="1" applyBorder="1" applyAlignment="1">
      <alignment horizontal="center"/>
    </xf>
    <xf numFmtId="2" fontId="4" fillId="0" borderId="56" xfId="1" applyNumberFormat="1" applyFont="1" applyFill="1" applyBorder="1" applyAlignment="1">
      <alignment horizontal="center"/>
    </xf>
    <xf numFmtId="2" fontId="4" fillId="0" borderId="3" xfId="1" applyNumberFormat="1" applyFont="1" applyFill="1" applyBorder="1" applyAlignment="1">
      <alignment horizontal="center"/>
    </xf>
    <xf numFmtId="2" fontId="4" fillId="5" borderId="55" xfId="1" applyNumberFormat="1" applyFont="1" applyFill="1" applyBorder="1" applyAlignment="1">
      <alignment horizontal="center"/>
    </xf>
    <xf numFmtId="2" fontId="4" fillId="2" borderId="9" xfId="1" applyNumberFormat="1" applyFont="1" applyFill="1" applyBorder="1" applyAlignment="1">
      <alignment horizontal="center"/>
    </xf>
    <xf numFmtId="2" fontId="4" fillId="2" borderId="46" xfId="1" applyNumberFormat="1" applyFont="1" applyFill="1" applyBorder="1" applyAlignment="1">
      <alignment horizontal="center"/>
    </xf>
    <xf numFmtId="2" fontId="4" fillId="2" borderId="3" xfId="1" applyNumberFormat="1" applyFont="1" applyFill="1" applyBorder="1" applyAlignment="1">
      <alignment horizontal="center"/>
    </xf>
    <xf numFmtId="166" fontId="4" fillId="2" borderId="8" xfId="2" applyNumberFormat="1" applyFont="1" applyFill="1" applyBorder="1" applyAlignment="1">
      <alignment horizontal="center"/>
    </xf>
    <xf numFmtId="2" fontId="4" fillId="2" borderId="55" xfId="1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2" fontId="4" fillId="2" borderId="3" xfId="0" applyNumberFormat="1" applyFont="1" applyFill="1" applyBorder="1" applyAlignment="1">
      <alignment horizontal="center"/>
    </xf>
    <xf numFmtId="2" fontId="4" fillId="2" borderId="55" xfId="0" applyNumberFormat="1" applyFont="1" applyFill="1" applyBorder="1" applyAlignment="1">
      <alignment horizontal="center"/>
    </xf>
    <xf numFmtId="2" fontId="4" fillId="0" borderId="57" xfId="1" applyNumberFormat="1" applyFont="1" applyFill="1" applyBorder="1" applyAlignment="1">
      <alignment horizontal="center"/>
    </xf>
    <xf numFmtId="2" fontId="4" fillId="5" borderId="57" xfId="1" applyNumberFormat="1" applyFont="1" applyFill="1" applyBorder="1" applyAlignment="1">
      <alignment horizontal="center"/>
    </xf>
    <xf numFmtId="166" fontId="4" fillId="2" borderId="10" xfId="2" applyNumberFormat="1" applyFont="1" applyFill="1" applyBorder="1" applyAlignment="1">
      <alignment horizontal="center"/>
    </xf>
    <xf numFmtId="2" fontId="4" fillId="2" borderId="57" xfId="0" applyNumberFormat="1" applyFont="1" applyFill="1" applyBorder="1" applyAlignment="1">
      <alignment horizontal="center"/>
    </xf>
    <xf numFmtId="2" fontId="4" fillId="0" borderId="8" xfId="1" applyNumberFormat="1" applyFont="1" applyFill="1" applyBorder="1" applyAlignment="1">
      <alignment horizontal="center"/>
    </xf>
    <xf numFmtId="2" fontId="4" fillId="2" borderId="8" xfId="0" applyNumberFormat="1" applyFont="1" applyFill="1" applyBorder="1" applyAlignment="1">
      <alignment horizontal="center"/>
    </xf>
    <xf numFmtId="0" fontId="4" fillId="0" borderId="51" xfId="0" applyFont="1" applyBorder="1"/>
    <xf numFmtId="0" fontId="4" fillId="2" borderId="54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2" fontId="4" fillId="0" borderId="58" xfId="1" applyNumberFormat="1" applyFont="1" applyFill="1" applyBorder="1" applyAlignment="1">
      <alignment horizontal="center"/>
    </xf>
    <xf numFmtId="2" fontId="4" fillId="0" borderId="49" xfId="1" applyNumberFormat="1" applyFont="1" applyFill="1" applyBorder="1" applyAlignment="1">
      <alignment horizontal="center"/>
    </xf>
    <xf numFmtId="0" fontId="4" fillId="0" borderId="59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26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3" fillId="0" borderId="6" xfId="0" applyFont="1" applyBorder="1"/>
    <xf numFmtId="0" fontId="0" fillId="0" borderId="60" xfId="0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0" fillId="2" borderId="56" xfId="0" applyFill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0" fontId="0" fillId="0" borderId="60" xfId="0" applyBorder="1"/>
    <xf numFmtId="0" fontId="5" fillId="0" borderId="3" xfId="0" applyFont="1" applyBorder="1" applyAlignment="1">
      <alignment horizontal="center"/>
    </xf>
    <xf numFmtId="49" fontId="10" fillId="0" borderId="0" xfId="0" applyNumberFormat="1" applyFont="1"/>
    <xf numFmtId="0" fontId="0" fillId="0" borderId="38" xfId="0" applyBorder="1" applyAlignment="1">
      <alignment horizontal="center"/>
    </xf>
    <xf numFmtId="0" fontId="0" fillId="0" borderId="38" xfId="0" applyBorder="1"/>
    <xf numFmtId="49" fontId="0" fillId="0" borderId="2" xfId="0" applyNumberFormat="1" applyBorder="1" applyAlignment="1">
      <alignment horizontal="center"/>
    </xf>
    <xf numFmtId="0" fontId="0" fillId="2" borderId="38" xfId="0" applyFill="1" applyBorder="1" applyAlignment="1">
      <alignment horizontal="center"/>
    </xf>
    <xf numFmtId="49" fontId="0" fillId="0" borderId="60" xfId="0" applyNumberFormat="1" applyBorder="1"/>
    <xf numFmtId="49" fontId="0" fillId="0" borderId="38" xfId="0" applyNumberFormat="1" applyBorder="1"/>
    <xf numFmtId="0" fontId="0" fillId="0" borderId="52" xfId="0" applyBorder="1"/>
    <xf numFmtId="0" fontId="0" fillId="2" borderId="62" xfId="0" applyFill="1" applyBorder="1" applyAlignment="1">
      <alignment horizontal="center"/>
    </xf>
    <xf numFmtId="0" fontId="0" fillId="0" borderId="55" xfId="0" applyBorder="1"/>
    <xf numFmtId="0" fontId="4" fillId="0" borderId="10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/>
    <xf numFmtId="0" fontId="4" fillId="0" borderId="7" xfId="0" applyFont="1" applyBorder="1"/>
    <xf numFmtId="0" fontId="4" fillId="0" borderId="47" xfId="0" applyFon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1" fontId="0" fillId="0" borderId="65" xfId="0" applyNumberFormat="1" applyBorder="1" applyAlignment="1">
      <alignment horizontal="center"/>
    </xf>
    <xf numFmtId="1" fontId="0" fillId="0" borderId="64" xfId="0" applyNumberForma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3" xfId="0" applyBorder="1"/>
    <xf numFmtId="0" fontId="0" fillId="0" borderId="58" xfId="0" applyBorder="1"/>
    <xf numFmtId="0" fontId="0" fillId="0" borderId="5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2" borderId="47" xfId="0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0" fillId="0" borderId="68" xfId="0" applyBorder="1"/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53" xfId="0" applyFont="1" applyBorder="1"/>
    <xf numFmtId="0" fontId="4" fillId="2" borderId="9" xfId="0" applyFont="1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71" xfId="0" applyFill="1" applyBorder="1" applyAlignment="1">
      <alignment horizontal="center"/>
    </xf>
    <xf numFmtId="0" fontId="0" fillId="0" borderId="72" xfId="0" applyBorder="1"/>
    <xf numFmtId="0" fontId="0" fillId="0" borderId="50" xfId="0" applyBorder="1"/>
    <xf numFmtId="0" fontId="4" fillId="0" borderId="66" xfId="0" applyFont="1" applyBorder="1"/>
    <xf numFmtId="0" fontId="4" fillId="0" borderId="49" xfId="0" applyFont="1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2" borderId="43" xfId="0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66" xfId="0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68" xfId="0" applyFont="1" applyBorder="1"/>
    <xf numFmtId="0" fontId="8" fillId="0" borderId="11" xfId="0" applyFont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0" fillId="0" borderId="63" xfId="0" applyBorder="1" applyAlignment="1">
      <alignment horizontal="right"/>
    </xf>
    <xf numFmtId="0" fontId="0" fillId="0" borderId="75" xfId="0" applyBorder="1" applyAlignment="1">
      <alignment horizontal="right"/>
    </xf>
    <xf numFmtId="49" fontId="0" fillId="0" borderId="3" xfId="0" applyNumberFormat="1" applyBorder="1" applyAlignment="1">
      <alignment horizontal="center"/>
    </xf>
    <xf numFmtId="0" fontId="0" fillId="0" borderId="61" xfId="0" applyBorder="1" applyAlignment="1">
      <alignment horizontal="center"/>
    </xf>
    <xf numFmtId="49" fontId="0" fillId="0" borderId="6" xfId="0" applyNumberFormat="1" applyBorder="1"/>
    <xf numFmtId="49" fontId="0" fillId="2" borderId="38" xfId="0" applyNumberFormat="1" applyFill="1" applyBorder="1" applyAlignment="1">
      <alignment horizontal="center"/>
    </xf>
    <xf numFmtId="0" fontId="0" fillId="0" borderId="67" xfId="0" applyBorder="1"/>
    <xf numFmtId="0" fontId="0" fillId="0" borderId="70" xfId="0" applyBorder="1"/>
    <xf numFmtId="0" fontId="11" fillId="0" borderId="0" xfId="0" applyFont="1"/>
    <xf numFmtId="0" fontId="4" fillId="0" borderId="60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0" borderId="60" xfId="0" applyFont="1" applyBorder="1"/>
    <xf numFmtId="0" fontId="4" fillId="0" borderId="14" xfId="0" applyFont="1" applyBorder="1"/>
    <xf numFmtId="0" fontId="4" fillId="0" borderId="2" xfId="0" applyFont="1" applyBorder="1"/>
    <xf numFmtId="0" fontId="0" fillId="0" borderId="0" xfId="0" applyAlignment="1">
      <alignment vertical="center"/>
    </xf>
    <xf numFmtId="1" fontId="0" fillId="2" borderId="38" xfId="0" applyNumberForma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6" borderId="76" xfId="0" applyFont="1" applyFill="1" applyBorder="1"/>
    <xf numFmtId="1" fontId="15" fillId="6" borderId="76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165" fontId="15" fillId="0" borderId="0" xfId="0" applyNumberFormat="1" applyFont="1"/>
    <xf numFmtId="2" fontId="17" fillId="0" borderId="0" xfId="0" applyNumberFormat="1" applyFont="1" applyAlignment="1">
      <alignment horizontal="center"/>
    </xf>
    <xf numFmtId="1" fontId="15" fillId="0" borderId="0" xfId="0" applyNumberFormat="1" applyFont="1"/>
    <xf numFmtId="2" fontId="16" fillId="0" borderId="0" xfId="0" applyNumberFormat="1" applyFont="1"/>
    <xf numFmtId="0" fontId="14" fillId="0" borderId="82" xfId="0" applyFont="1" applyBorder="1"/>
    <xf numFmtId="0" fontId="15" fillId="4" borderId="87" xfId="0" applyFont="1" applyFill="1" applyBorder="1"/>
    <xf numFmtId="1" fontId="17" fillId="4" borderId="86" xfId="0" applyNumberFormat="1" applyFont="1" applyFill="1" applyBorder="1" applyAlignment="1">
      <alignment horizontal="center"/>
    </xf>
    <xf numFmtId="0" fontId="15" fillId="4" borderId="89" xfId="0" applyFont="1" applyFill="1" applyBorder="1"/>
    <xf numFmtId="1" fontId="19" fillId="4" borderId="86" xfId="0" applyNumberFormat="1" applyFont="1" applyFill="1" applyBorder="1" applyAlignment="1">
      <alignment horizontal="center"/>
    </xf>
    <xf numFmtId="0" fontId="14" fillId="0" borderId="0" xfId="0" applyFont="1"/>
    <xf numFmtId="1" fontId="15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5" fillId="2" borderId="0" xfId="0" applyFont="1" applyFill="1" applyAlignment="1">
      <alignment horizontal="center"/>
    </xf>
    <xf numFmtId="0" fontId="14" fillId="2" borderId="0" xfId="0" applyFont="1" applyFill="1"/>
    <xf numFmtId="2" fontId="15" fillId="2" borderId="0" xfId="0" applyNumberFormat="1" applyFont="1" applyFill="1" applyAlignment="1">
      <alignment horizontal="center"/>
    </xf>
    <xf numFmtId="1" fontId="17" fillId="4" borderId="85" xfId="0" applyNumberFormat="1" applyFont="1" applyFill="1" applyBorder="1" applyAlignment="1">
      <alignment horizontal="center"/>
    </xf>
    <xf numFmtId="1" fontId="17" fillId="4" borderId="44" xfId="0" applyNumberFormat="1" applyFont="1" applyFill="1" applyBorder="1" applyAlignment="1">
      <alignment horizontal="center"/>
    </xf>
    <xf numFmtId="1" fontId="17" fillId="4" borderId="90" xfId="0" applyNumberFormat="1" applyFont="1" applyFill="1" applyBorder="1" applyAlignment="1">
      <alignment horizontal="center"/>
    </xf>
    <xf numFmtId="2" fontId="15" fillId="2" borderId="91" xfId="0" applyNumberFormat="1" applyFont="1" applyFill="1" applyBorder="1" applyAlignment="1">
      <alignment horizontal="center"/>
    </xf>
    <xf numFmtId="0" fontId="0" fillId="0" borderId="91" xfId="0" applyBorder="1"/>
    <xf numFmtId="165" fontId="15" fillId="2" borderId="0" xfId="0" applyNumberFormat="1" applyFont="1" applyFill="1" applyAlignment="1">
      <alignment horizontal="center"/>
    </xf>
    <xf numFmtId="165" fontId="15" fillId="2" borderId="91" xfId="0" applyNumberFormat="1" applyFont="1" applyFill="1" applyBorder="1" applyAlignment="1">
      <alignment horizontal="center"/>
    </xf>
    <xf numFmtId="1" fontId="15" fillId="2" borderId="0" xfId="0" applyNumberFormat="1" applyFont="1" applyFill="1" applyAlignment="1">
      <alignment horizontal="center"/>
    </xf>
    <xf numFmtId="0" fontId="15" fillId="2" borderId="0" xfId="0" applyFont="1" applyFill="1"/>
    <xf numFmtId="1" fontId="15" fillId="2" borderId="91" xfId="0" applyNumberFormat="1" applyFont="1" applyFill="1" applyBorder="1" applyAlignment="1">
      <alignment horizontal="center"/>
    </xf>
    <xf numFmtId="0" fontId="15" fillId="2" borderId="91" xfId="0" applyFont="1" applyFill="1" applyBorder="1"/>
    <xf numFmtId="0" fontId="14" fillId="0" borderId="81" xfId="4" applyFont="1" applyBorder="1" applyAlignment="1">
      <alignment horizontal="center"/>
    </xf>
    <xf numFmtId="0" fontId="15" fillId="0" borderId="81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2" borderId="93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4" fillId="0" borderId="84" xfId="0" applyFont="1" applyBorder="1"/>
    <xf numFmtId="0" fontId="0" fillId="0" borderId="83" xfId="0" applyBorder="1" applyAlignment="1">
      <alignment horizontal="center"/>
    </xf>
    <xf numFmtId="2" fontId="0" fillId="2" borderId="83" xfId="0" applyNumberFormat="1" applyFill="1" applyBorder="1" applyAlignment="1">
      <alignment horizontal="center"/>
    </xf>
    <xf numFmtId="0" fontId="4" fillId="0" borderId="83" xfId="0" applyFont="1" applyBorder="1"/>
    <xf numFmtId="0" fontId="4" fillId="0" borderId="8" xfId="0" applyFont="1" applyBorder="1"/>
    <xf numFmtId="2" fontId="0" fillId="2" borderId="3" xfId="0" applyNumberFormat="1" applyFill="1" applyBorder="1" applyAlignment="1">
      <alignment horizontal="center"/>
    </xf>
    <xf numFmtId="0" fontId="4" fillId="0" borderId="3" xfId="0" applyFont="1" applyBorder="1"/>
    <xf numFmtId="2" fontId="0" fillId="0" borderId="3" xfId="0" applyNumberFormat="1" applyBorder="1" applyAlignment="1">
      <alignment horizontal="center"/>
    </xf>
    <xf numFmtId="0" fontId="4" fillId="0" borderId="4" xfId="0" applyFont="1" applyBorder="1"/>
    <xf numFmtId="2" fontId="0" fillId="0" borderId="4" xfId="0" applyNumberFormat="1" applyBorder="1" applyAlignment="1">
      <alignment horizontal="center"/>
    </xf>
    <xf numFmtId="0" fontId="0" fillId="0" borderId="91" xfId="0" applyBorder="1" applyAlignment="1">
      <alignment horizontal="center"/>
    </xf>
    <xf numFmtId="0" fontId="0" fillId="2" borderId="91" xfId="0" applyFill="1" applyBorder="1" applyAlignment="1">
      <alignment horizontal="center"/>
    </xf>
    <xf numFmtId="0" fontId="15" fillId="0" borderId="44" xfId="0" applyFont="1" applyBorder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1" fontId="15" fillId="4" borderId="77" xfId="0" applyNumberFormat="1" applyFont="1" applyFill="1" applyBorder="1" applyAlignment="1">
      <alignment horizontal="center"/>
    </xf>
    <xf numFmtId="1" fontId="15" fillId="4" borderId="78" xfId="0" applyNumberFormat="1" applyFont="1" applyFill="1" applyBorder="1" applyAlignment="1">
      <alignment horizontal="center"/>
    </xf>
    <xf numFmtId="1" fontId="15" fillId="4" borderId="79" xfId="0" applyNumberFormat="1" applyFont="1" applyFill="1" applyBorder="1" applyAlignment="1">
      <alignment horizontal="center"/>
    </xf>
    <xf numFmtId="1" fontId="15" fillId="4" borderId="80" xfId="0" applyNumberFormat="1" applyFont="1" applyFill="1" applyBorder="1" applyAlignment="1">
      <alignment horizontal="center"/>
    </xf>
    <xf numFmtId="1" fontId="19" fillId="4" borderId="98" xfId="0" applyNumberFormat="1" applyFont="1" applyFill="1" applyBorder="1" applyAlignment="1">
      <alignment horizontal="center"/>
    </xf>
    <xf numFmtId="1" fontId="19" fillId="4" borderId="99" xfId="0" applyNumberFormat="1" applyFont="1" applyFill="1" applyBorder="1" applyAlignment="1">
      <alignment horizontal="center"/>
    </xf>
    <xf numFmtId="1" fontId="19" fillId="0" borderId="100" xfId="0" applyNumberFormat="1" applyFont="1" applyBorder="1" applyAlignment="1">
      <alignment horizontal="center"/>
    </xf>
    <xf numFmtId="1" fontId="19" fillId="4" borderId="100" xfId="0" applyNumberFormat="1" applyFont="1" applyFill="1" applyBorder="1" applyAlignment="1">
      <alignment horizontal="center"/>
    </xf>
    <xf numFmtId="1" fontId="19" fillId="4" borderId="101" xfId="0" applyNumberFormat="1" applyFont="1" applyFill="1" applyBorder="1" applyAlignment="1">
      <alignment horizontal="center"/>
    </xf>
    <xf numFmtId="2" fontId="15" fillId="2" borderId="82" xfId="0" applyNumberFormat="1" applyFont="1" applyFill="1" applyBorder="1" applyAlignment="1">
      <alignment horizontal="center"/>
    </xf>
    <xf numFmtId="0" fontId="15" fillId="2" borderId="97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165" fontId="14" fillId="4" borderId="82" xfId="0" applyNumberFormat="1" applyFont="1" applyFill="1" applyBorder="1"/>
    <xf numFmtId="165" fontId="15" fillId="4" borderId="91" xfId="0" applyNumberFormat="1" applyFont="1" applyFill="1" applyBorder="1"/>
    <xf numFmtId="164" fontId="14" fillId="4" borderId="97" xfId="0" applyNumberFormat="1" applyFont="1" applyFill="1" applyBorder="1"/>
    <xf numFmtId="164" fontId="15" fillId="4" borderId="4" xfId="0" applyNumberFormat="1" applyFont="1" applyFill="1" applyBorder="1"/>
    <xf numFmtId="164" fontId="15" fillId="2" borderId="97" xfId="0" applyNumberFormat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2" fontId="15" fillId="2" borderId="92" xfId="0" applyNumberFormat="1" applyFont="1" applyFill="1" applyBorder="1" applyAlignment="1">
      <alignment horizontal="center"/>
    </xf>
    <xf numFmtId="2" fontId="15" fillId="2" borderId="76" xfId="0" applyNumberFormat="1" applyFont="1" applyFill="1" applyBorder="1" applyAlignment="1">
      <alignment horizontal="center"/>
    </xf>
    <xf numFmtId="2" fontId="14" fillId="4" borderId="86" xfId="0" applyNumberFormat="1" applyFont="1" applyFill="1" applyBorder="1"/>
    <xf numFmtId="2" fontId="19" fillId="4" borderId="86" xfId="0" applyNumberFormat="1" applyFont="1" applyFill="1" applyBorder="1" applyAlignment="1">
      <alignment horizontal="center"/>
    </xf>
    <xf numFmtId="1" fontId="15" fillId="0" borderId="15" xfId="0" applyNumberFormat="1" applyFont="1" applyBorder="1" applyAlignment="1">
      <alignment horizontal="center"/>
    </xf>
    <xf numFmtId="164" fontId="19" fillId="4" borderId="15" xfId="0" applyNumberFormat="1" applyFont="1" applyFill="1" applyBorder="1"/>
    <xf numFmtId="1" fontId="19" fillId="4" borderId="15" xfId="0" applyNumberFormat="1" applyFont="1" applyFill="1" applyBorder="1"/>
    <xf numFmtId="1" fontId="15" fillId="0" borderId="44" xfId="0" applyNumberFormat="1" applyFont="1" applyBorder="1" applyAlignment="1">
      <alignment horizontal="center"/>
    </xf>
    <xf numFmtId="164" fontId="19" fillId="4" borderId="44" xfId="0" applyNumberFormat="1" applyFont="1" applyFill="1" applyBorder="1"/>
    <xf numFmtId="1" fontId="19" fillId="4" borderId="44" xfId="0" applyNumberFormat="1" applyFont="1" applyFill="1" applyBorder="1"/>
    <xf numFmtId="0" fontId="15" fillId="2" borderId="9" xfId="0" applyFont="1" applyFill="1" applyBorder="1" applyAlignment="1">
      <alignment horizontal="center"/>
    </xf>
    <xf numFmtId="0" fontId="15" fillId="2" borderId="88" xfId="0" applyFont="1" applyFill="1" applyBorder="1" applyAlignment="1">
      <alignment horizontal="center"/>
    </xf>
    <xf numFmtId="0" fontId="15" fillId="2" borderId="89" xfId="0" applyFont="1" applyFill="1" applyBorder="1" applyAlignment="1">
      <alignment horizontal="center"/>
    </xf>
    <xf numFmtId="1" fontId="15" fillId="0" borderId="60" xfId="0" applyNumberFormat="1" applyFont="1" applyBorder="1" applyAlignment="1">
      <alignment horizontal="center"/>
    </xf>
    <xf numFmtId="164" fontId="19" fillId="4" borderId="60" xfId="0" applyNumberFormat="1" applyFont="1" applyFill="1" applyBorder="1"/>
    <xf numFmtId="1" fontId="15" fillId="0" borderId="86" xfId="0" applyNumberFormat="1" applyFont="1" applyBorder="1" applyAlignment="1">
      <alignment horizontal="center"/>
    </xf>
    <xf numFmtId="164" fontId="19" fillId="4" borderId="86" xfId="0" applyNumberFormat="1" applyFont="1" applyFill="1" applyBorder="1"/>
    <xf numFmtId="1" fontId="19" fillId="4" borderId="86" xfId="0" applyNumberFormat="1" applyFont="1" applyFill="1" applyBorder="1"/>
    <xf numFmtId="1" fontId="15" fillId="2" borderId="3" xfId="0" applyNumberFormat="1" applyFont="1" applyFill="1" applyBorder="1" applyAlignment="1">
      <alignment horizontal="center"/>
    </xf>
    <xf numFmtId="1" fontId="15" fillId="2" borderId="4" xfId="0" applyNumberFormat="1" applyFont="1" applyFill="1" applyBorder="1" applyAlignment="1">
      <alignment horizontal="center"/>
    </xf>
    <xf numFmtId="2" fontId="20" fillId="4" borderId="44" xfId="0" applyNumberFormat="1" applyFont="1" applyFill="1" applyBorder="1" applyAlignment="1">
      <alignment horizontal="center"/>
    </xf>
    <xf numFmtId="1" fontId="21" fillId="4" borderId="44" xfId="0" applyNumberFormat="1" applyFont="1" applyFill="1" applyBorder="1" applyAlignment="1">
      <alignment horizontal="center"/>
    </xf>
    <xf numFmtId="1" fontId="21" fillId="0" borderId="44" xfId="0" applyNumberFormat="1" applyFont="1" applyBorder="1" applyAlignment="1">
      <alignment horizontal="center"/>
    </xf>
    <xf numFmtId="1" fontId="4" fillId="2" borderId="3" xfId="3" applyNumberFormat="1" applyFont="1" applyFill="1" applyBorder="1" applyAlignment="1">
      <alignment horizontal="center"/>
    </xf>
    <xf numFmtId="2" fontId="15" fillId="2" borderId="3" xfId="0" applyNumberFormat="1" applyFont="1" applyFill="1" applyBorder="1" applyAlignment="1">
      <alignment horizontal="center"/>
    </xf>
    <xf numFmtId="2" fontId="15" fillId="2" borderId="4" xfId="0" applyNumberFormat="1" applyFont="1" applyFill="1" applyBorder="1" applyAlignment="1">
      <alignment horizontal="center"/>
    </xf>
    <xf numFmtId="0" fontId="15" fillId="2" borderId="3" xfId="0" applyFont="1" applyFill="1" applyBorder="1"/>
    <xf numFmtId="2" fontId="16" fillId="2" borderId="3" xfId="0" applyNumberFormat="1" applyFont="1" applyFill="1" applyBorder="1"/>
    <xf numFmtId="0" fontId="0" fillId="0" borderId="44" xfId="0" applyBorder="1"/>
    <xf numFmtId="0" fontId="0" fillId="0" borderId="86" xfId="0" applyBorder="1" applyAlignment="1">
      <alignment horizontal="center"/>
    </xf>
    <xf numFmtId="0" fontId="0" fillId="0" borderId="86" xfId="0" applyBorder="1"/>
    <xf numFmtId="0" fontId="4" fillId="0" borderId="97" xfId="0" applyFont="1" applyBorder="1" applyAlignment="1">
      <alignment horizontal="center"/>
    </xf>
    <xf numFmtId="0" fontId="4" fillId="0" borderId="88" xfId="0" applyFont="1" applyBorder="1" applyAlignment="1">
      <alignment horizontal="center"/>
    </xf>
    <xf numFmtId="0" fontId="4" fillId="0" borderId="91" xfId="0" applyFont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97" xfId="0" applyBorder="1"/>
    <xf numFmtId="0" fontId="4" fillId="0" borderId="97" xfId="0" applyFont="1" applyBorder="1"/>
    <xf numFmtId="0" fontId="4" fillId="0" borderId="82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44" fontId="4" fillId="0" borderId="0" xfId="3" applyFont="1" applyFill="1" applyBorder="1" applyAlignment="1" applyProtection="1">
      <alignment horizontal="center"/>
    </xf>
    <xf numFmtId="1" fontId="11" fillId="0" borderId="0" xfId="0" applyNumberFormat="1" applyFont="1"/>
    <xf numFmtId="0" fontId="4" fillId="0" borderId="93" xfId="0" applyFont="1" applyBorder="1" applyAlignment="1">
      <alignment horizontal="left"/>
    </xf>
    <xf numFmtId="0" fontId="4" fillId="0" borderId="93" xfId="0" applyFont="1" applyBorder="1"/>
    <xf numFmtId="0" fontId="0" fillId="0" borderId="82" xfId="0" applyBorder="1"/>
    <xf numFmtId="1" fontId="0" fillId="0" borderId="44" xfId="0" applyNumberFormat="1" applyBorder="1" applyAlignment="1">
      <alignment horizontal="center"/>
    </xf>
    <xf numFmtId="0" fontId="0" fillId="0" borderId="21" xfId="0" applyBorder="1"/>
    <xf numFmtId="0" fontId="0" fillId="0" borderId="88" xfId="0" applyBorder="1"/>
    <xf numFmtId="0" fontId="4" fillId="0" borderId="91" xfId="0" applyFont="1" applyBorder="1"/>
    <xf numFmtId="0" fontId="4" fillId="0" borderId="93" xfId="0" applyFont="1" applyBorder="1" applyAlignment="1">
      <alignment horizontal="center"/>
    </xf>
    <xf numFmtId="0" fontId="4" fillId="0" borderId="88" xfId="0" applyFont="1" applyBorder="1" applyAlignment="1">
      <alignment horizontal="left"/>
    </xf>
    <xf numFmtId="9" fontId="4" fillId="0" borderId="0" xfId="2" applyFont="1" applyFill="1" applyBorder="1" applyAlignment="1" applyProtection="1">
      <alignment horizontal="center"/>
    </xf>
    <xf numFmtId="0" fontId="23" fillId="0" borderId="0" xfId="0" applyFont="1"/>
    <xf numFmtId="167" fontId="4" fillId="0" borderId="0" xfId="0" applyNumberFormat="1" applyFont="1"/>
    <xf numFmtId="167" fontId="4" fillId="0" borderId="97" xfId="0" applyNumberFormat="1" applyFont="1" applyBorder="1"/>
    <xf numFmtId="0" fontId="4" fillId="0" borderId="94" xfId="0" applyFont="1" applyBorder="1" applyAlignment="1">
      <alignment horizontal="center"/>
    </xf>
    <xf numFmtId="0" fontId="4" fillId="0" borderId="89" xfId="0" applyFont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0" fontId="8" fillId="0" borderId="0" xfId="0" applyFont="1"/>
    <xf numFmtId="0" fontId="8" fillId="0" borderId="82" xfId="0" applyFont="1" applyBorder="1"/>
    <xf numFmtId="0" fontId="8" fillId="0" borderId="8" xfId="0" applyFont="1" applyBorder="1"/>
    <xf numFmtId="0" fontId="8" fillId="0" borderId="88" xfId="0" applyFont="1" applyBorder="1"/>
    <xf numFmtId="0" fontId="8" fillId="0" borderId="91" xfId="0" applyFont="1" applyBorder="1"/>
    <xf numFmtId="0" fontId="0" fillId="0" borderId="93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94" xfId="0" applyBorder="1"/>
    <xf numFmtId="0" fontId="0" fillId="0" borderId="89" xfId="0" applyBorder="1"/>
    <xf numFmtId="0" fontId="0" fillId="0" borderId="94" xfId="0" applyBorder="1" applyAlignment="1">
      <alignment horizontal="center"/>
    </xf>
    <xf numFmtId="0" fontId="0" fillId="0" borderId="89" xfId="0" applyBorder="1" applyAlignment="1">
      <alignment horizontal="center"/>
    </xf>
    <xf numFmtId="49" fontId="0" fillId="0" borderId="97" xfId="0" applyNumberFormat="1" applyBorder="1" applyAlignment="1">
      <alignment horizontal="center"/>
    </xf>
    <xf numFmtId="0" fontId="0" fillId="0" borderId="84" xfId="0" applyBorder="1"/>
    <xf numFmtId="49" fontId="0" fillId="0" borderId="84" xfId="0" applyNumberFormat="1" applyBorder="1" applyAlignment="1">
      <alignment horizontal="center"/>
    </xf>
    <xf numFmtId="0" fontId="0" fillId="0" borderId="84" xfId="0" applyBorder="1" applyAlignment="1">
      <alignment horizontal="center"/>
    </xf>
    <xf numFmtId="49" fontId="0" fillId="0" borderId="91" xfId="0" applyNumberFormat="1" applyBorder="1"/>
    <xf numFmtId="0" fontId="0" fillId="0" borderId="97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05" xfId="0" applyBorder="1" applyAlignment="1">
      <alignment horizontal="center"/>
    </xf>
    <xf numFmtId="49" fontId="0" fillId="0" borderId="86" xfId="0" applyNumberFormat="1" applyBorder="1"/>
    <xf numFmtId="0" fontId="0" fillId="0" borderId="106" xfId="0" applyBorder="1" applyAlignment="1">
      <alignment horizontal="center"/>
    </xf>
    <xf numFmtId="0" fontId="0" fillId="0" borderId="82" xfId="0" applyBorder="1" applyAlignment="1">
      <alignment horizontal="center"/>
    </xf>
    <xf numFmtId="2" fontId="0" fillId="0" borderId="0" xfId="0" applyNumberFormat="1"/>
    <xf numFmtId="2" fontId="0" fillId="0" borderId="97" xfId="0" applyNumberFormat="1" applyBorder="1" applyAlignment="1">
      <alignment horizontal="center"/>
    </xf>
    <xf numFmtId="2" fontId="0" fillId="0" borderId="4" xfId="0" applyNumberFormat="1" applyBorder="1"/>
    <xf numFmtId="2" fontId="0" fillId="0" borderId="3" xfId="0" applyNumberFormat="1" applyBorder="1"/>
    <xf numFmtId="0" fontId="0" fillId="2" borderId="44" xfId="0" applyFill="1" applyBorder="1" applyAlignment="1">
      <alignment horizontal="center"/>
    </xf>
    <xf numFmtId="10" fontId="0" fillId="0" borderId="0" xfId="0" applyNumberFormat="1"/>
    <xf numFmtId="164" fontId="0" fillId="0" borderId="0" xfId="0" applyNumberFormat="1"/>
    <xf numFmtId="171" fontId="0" fillId="0" borderId="0" xfId="0" applyNumberFormat="1"/>
    <xf numFmtId="49" fontId="0" fillId="0" borderId="22" xfId="0" applyNumberFormat="1" applyBorder="1"/>
    <xf numFmtId="9" fontId="0" fillId="0" borderId="0" xfId="0" applyNumberFormat="1" applyAlignment="1">
      <alignment horizontal="center"/>
    </xf>
    <xf numFmtId="0" fontId="0" fillId="0" borderId="107" xfId="0" applyBorder="1"/>
    <xf numFmtId="1" fontId="0" fillId="0" borderId="22" xfId="0" applyNumberFormat="1" applyBorder="1" applyAlignment="1">
      <alignment horizontal="center"/>
    </xf>
    <xf numFmtId="0" fontId="0" fillId="0" borderId="108" xfId="0" applyBorder="1"/>
    <xf numFmtId="1" fontId="0" fillId="2" borderId="109" xfId="0" applyNumberFormat="1" applyFill="1" applyBorder="1" applyAlignment="1">
      <alignment horizontal="center"/>
    </xf>
    <xf numFmtId="49" fontId="0" fillId="0" borderId="97" xfId="0" applyNumberFormat="1" applyBorder="1"/>
    <xf numFmtId="0" fontId="0" fillId="0" borderId="107" xfId="0" applyBorder="1" applyAlignment="1">
      <alignment horizontal="right"/>
    </xf>
    <xf numFmtId="49" fontId="0" fillId="0" borderId="44" xfId="0" applyNumberFormat="1" applyBorder="1"/>
    <xf numFmtId="0" fontId="0" fillId="0" borderId="96" xfId="0" applyBorder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94" xfId="0" applyNumberFormat="1" applyBorder="1"/>
    <xf numFmtId="1" fontId="0" fillId="0" borderId="84" xfId="0" applyNumberFormat="1" applyBorder="1" applyAlignment="1">
      <alignment horizontal="center"/>
    </xf>
    <xf numFmtId="1" fontId="0" fillId="0" borderId="94" xfId="0" applyNumberFormat="1" applyBorder="1" applyAlignment="1">
      <alignment horizontal="center"/>
    </xf>
    <xf numFmtId="0" fontId="0" fillId="0" borderId="81" xfId="0" applyBorder="1"/>
    <xf numFmtId="0" fontId="0" fillId="0" borderId="81" xfId="0" applyBorder="1" applyAlignment="1">
      <alignment horizontal="center"/>
    </xf>
    <xf numFmtId="0" fontId="0" fillId="2" borderId="4" xfId="0" applyFill="1" applyBorder="1"/>
    <xf numFmtId="0" fontId="0" fillId="0" borderId="17" xfId="0" applyBorder="1"/>
    <xf numFmtId="0" fontId="0" fillId="0" borderId="93" xfId="0" applyBorder="1"/>
    <xf numFmtId="1" fontId="0" fillId="0" borderId="9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9" fontId="0" fillId="0" borderId="0" xfId="2" applyFont="1" applyBorder="1" applyAlignment="1">
      <alignment horizontal="center"/>
    </xf>
    <xf numFmtId="164" fontId="0" fillId="0" borderId="81" xfId="0" applyNumberFormat="1" applyBorder="1" applyAlignment="1">
      <alignment horizontal="center"/>
    </xf>
    <xf numFmtId="2" fontId="0" fillId="0" borderId="95" xfId="0" applyNumberFormat="1" applyBorder="1" applyAlignment="1">
      <alignment horizontal="center"/>
    </xf>
    <xf numFmtId="0" fontId="0" fillId="0" borderId="104" xfId="0" applyBorder="1"/>
    <xf numFmtId="49" fontId="0" fillId="0" borderId="10" xfId="0" applyNumberFormat="1" applyBorder="1"/>
    <xf numFmtId="0" fontId="0" fillId="2" borderId="81" xfId="0" applyFill="1" applyBorder="1" applyAlignment="1">
      <alignment horizontal="center"/>
    </xf>
    <xf numFmtId="0" fontId="0" fillId="0" borderId="111" xfId="0" applyBorder="1" applyAlignment="1">
      <alignment horizontal="center"/>
    </xf>
    <xf numFmtId="0" fontId="0" fillId="2" borderId="97" xfId="0" applyFill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0" fillId="0" borderId="42" xfId="0" applyBorder="1"/>
    <xf numFmtId="0" fontId="4" fillId="0" borderId="81" xfId="0" applyFont="1" applyBorder="1" applyAlignment="1">
      <alignment horizontal="center"/>
    </xf>
    <xf numFmtId="0" fontId="0" fillId="2" borderId="89" xfId="0" applyFill="1" applyBorder="1" applyAlignment="1">
      <alignment horizontal="center"/>
    </xf>
    <xf numFmtId="0" fontId="0" fillId="7" borderId="81" xfId="0" applyFill="1" applyBorder="1" applyAlignment="1">
      <alignment horizontal="center"/>
    </xf>
    <xf numFmtId="0" fontId="0" fillId="8" borderId="81" xfId="0" applyFill="1" applyBorder="1" applyAlignment="1">
      <alignment horizontal="center"/>
    </xf>
    <xf numFmtId="0" fontId="0" fillId="8" borderId="97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4" fillId="0" borderId="9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0" fillId="2" borderId="112" xfId="0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112" xfId="0" applyBorder="1" applyAlignment="1">
      <alignment horizontal="center"/>
    </xf>
    <xf numFmtId="49" fontId="0" fillId="0" borderId="93" xfId="0" applyNumberForma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49" fontId="0" fillId="0" borderId="93" xfId="0" applyNumberFormat="1" applyBorder="1"/>
    <xf numFmtId="49" fontId="0" fillId="0" borderId="8" xfId="0" applyNumberFormat="1" applyBorder="1"/>
    <xf numFmtId="49" fontId="0" fillId="0" borderId="81" xfId="0" applyNumberFormat="1" applyBorder="1" applyAlignment="1">
      <alignment horizontal="center"/>
    </xf>
    <xf numFmtId="0" fontId="3" fillId="0" borderId="81" xfId="0" applyFont="1" applyBorder="1" applyAlignment="1">
      <alignment horizontal="center"/>
    </xf>
    <xf numFmtId="49" fontId="0" fillId="0" borderId="81" xfId="0" applyNumberFormat="1" applyBorder="1"/>
    <xf numFmtId="0" fontId="0" fillId="7" borderId="0" xfId="0" applyFill="1" applyAlignment="1">
      <alignment horizontal="center"/>
    </xf>
    <xf numFmtId="0" fontId="8" fillId="0" borderId="6" xfId="0" applyFont="1" applyBorder="1" applyAlignment="1">
      <alignment horizontal="center"/>
    </xf>
    <xf numFmtId="2" fontId="0" fillId="0" borderId="0" xfId="0" applyNumberFormat="1" applyAlignment="1">
      <alignment horizontal="right"/>
    </xf>
    <xf numFmtId="2" fontId="15" fillId="2" borderId="17" xfId="0" applyNumberFormat="1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82" xfId="0" applyFont="1" applyBorder="1"/>
    <xf numFmtId="0" fontId="4" fillId="0" borderId="81" xfId="0" applyFont="1" applyBorder="1"/>
    <xf numFmtId="49" fontId="0" fillId="0" borderId="21" xfId="0" applyNumberFormat="1" applyBorder="1"/>
    <xf numFmtId="0" fontId="0" fillId="0" borderId="95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114" xfId="0" applyBorder="1" applyAlignment="1">
      <alignment horizontal="center"/>
    </xf>
    <xf numFmtId="0" fontId="0" fillId="0" borderId="104" xfId="0" applyBorder="1" applyAlignment="1">
      <alignment horizontal="center"/>
    </xf>
    <xf numFmtId="0" fontId="0" fillId="2" borderId="106" xfId="0" applyFill="1" applyBorder="1" applyAlignment="1">
      <alignment horizontal="center"/>
    </xf>
    <xf numFmtId="0" fontId="0" fillId="2" borderId="85" xfId="0" applyFill="1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1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9" xfId="0" applyBorder="1" applyAlignment="1">
      <alignment horizontal="center"/>
    </xf>
    <xf numFmtId="0" fontId="0" fillId="2" borderId="117" xfId="0" applyFill="1" applyBorder="1" applyAlignment="1">
      <alignment horizontal="center"/>
    </xf>
    <xf numFmtId="0" fontId="0" fillId="2" borderId="118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20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49" fontId="0" fillId="0" borderId="116" xfId="0" applyNumberFormat="1" applyBorder="1"/>
    <xf numFmtId="0" fontId="0" fillId="0" borderId="121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1" fontId="0" fillId="0" borderId="97" xfId="0" applyNumberFormat="1" applyBorder="1" applyAlignment="1">
      <alignment horizontal="center"/>
    </xf>
    <xf numFmtId="1" fontId="0" fillId="0" borderId="53" xfId="0" applyNumberFormat="1" applyBorder="1" applyAlignment="1">
      <alignment horizontal="center"/>
    </xf>
    <xf numFmtId="0" fontId="9" fillId="0" borderId="3" xfId="0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81" xfId="0" applyNumberFormat="1" applyBorder="1" applyAlignment="1">
      <alignment horizontal="center"/>
    </xf>
    <xf numFmtId="1" fontId="0" fillId="0" borderId="81" xfId="0" applyNumberFormat="1" applyBorder="1" applyAlignment="1">
      <alignment horizontal="left"/>
    </xf>
    <xf numFmtId="0" fontId="24" fillId="0" borderId="97" xfId="0" applyFont="1" applyBorder="1"/>
    <xf numFmtId="0" fontId="24" fillId="0" borderId="3" xfId="0" applyFont="1" applyBorder="1"/>
    <xf numFmtId="1" fontId="0" fillId="0" borderId="0" xfId="0" applyNumberFormat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0" borderId="60" xfId="0" applyNumberFormat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24" fillId="2" borderId="97" xfId="0" applyNumberFormat="1" applyFont="1" applyFill="1" applyBorder="1" applyAlignment="1">
      <alignment horizontal="center"/>
    </xf>
    <xf numFmtId="1" fontId="24" fillId="2" borderId="3" xfId="0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24" xfId="0" applyNumberFormat="1" applyBorder="1"/>
    <xf numFmtId="1" fontId="0" fillId="0" borderId="0" xfId="0" applyNumberFormat="1"/>
    <xf numFmtId="1" fontId="0" fillId="2" borderId="91" xfId="0" applyNumberFormat="1" applyFill="1" applyBorder="1" applyAlignment="1">
      <alignment horizontal="center"/>
    </xf>
    <xf numFmtId="1" fontId="0" fillId="2" borderId="89" xfId="0" applyNumberFormat="1" applyFill="1" applyBorder="1" applyAlignment="1">
      <alignment horizontal="center"/>
    </xf>
    <xf numFmtId="0" fontId="0" fillId="2" borderId="94" xfId="0" applyFill="1" applyBorder="1" applyAlignment="1">
      <alignment horizontal="center"/>
    </xf>
    <xf numFmtId="0" fontId="4" fillId="0" borderId="81" xfId="0" applyFont="1" applyBorder="1" applyAlignment="1">
      <alignment horizontal="left"/>
    </xf>
    <xf numFmtId="0" fontId="0" fillId="0" borderId="93" xfId="0" applyBorder="1" applyAlignment="1">
      <alignment horizontal="left"/>
    </xf>
    <xf numFmtId="0" fontId="0" fillId="0" borderId="88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8" xfId="0" applyFont="1" applyBorder="1" applyAlignment="1">
      <alignment horizontal="left"/>
    </xf>
    <xf numFmtId="49" fontId="0" fillId="0" borderId="82" xfId="0" applyNumberFormat="1" applyBorder="1"/>
    <xf numFmtId="0" fontId="0" fillId="0" borderId="126" xfId="0" applyBorder="1" applyAlignment="1">
      <alignment horizontal="center"/>
    </xf>
    <xf numFmtId="0" fontId="0" fillId="0" borderId="127" xfId="0" applyBorder="1"/>
    <xf numFmtId="0" fontId="0" fillId="0" borderId="79" xfId="0" applyBorder="1"/>
    <xf numFmtId="0" fontId="0" fillId="0" borderId="128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129" xfId="0" applyBorder="1" applyAlignment="1">
      <alignment horizontal="center"/>
    </xf>
    <xf numFmtId="0" fontId="0" fillId="0" borderId="112" xfId="0" applyBorder="1"/>
    <xf numFmtId="0" fontId="4" fillId="0" borderId="88" xfId="0" applyFont="1" applyBorder="1"/>
    <xf numFmtId="0" fontId="0" fillId="0" borderId="78" xfId="0" applyBorder="1"/>
    <xf numFmtId="0" fontId="0" fillId="0" borderId="131" xfId="0" applyBorder="1" applyAlignment="1">
      <alignment horizontal="center"/>
    </xf>
    <xf numFmtId="0" fontId="0" fillId="0" borderId="132" xfId="0" applyBorder="1"/>
    <xf numFmtId="0" fontId="0" fillId="0" borderId="118" xfId="0" applyBorder="1" applyAlignment="1">
      <alignment horizontal="center"/>
    </xf>
    <xf numFmtId="164" fontId="0" fillId="0" borderId="133" xfId="0" applyNumberFormat="1" applyBorder="1" applyAlignment="1">
      <alignment horizontal="center"/>
    </xf>
    <xf numFmtId="0" fontId="0" fillId="0" borderId="92" xfId="0" applyBorder="1"/>
    <xf numFmtId="0" fontId="0" fillId="0" borderId="117" xfId="0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6" fontId="0" fillId="2" borderId="97" xfId="0" applyNumberForma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166" fontId="0" fillId="0" borderId="97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2" fontId="0" fillId="0" borderId="102" xfId="0" applyNumberFormat="1" applyBorder="1" applyAlignment="1">
      <alignment horizontal="center"/>
    </xf>
    <xf numFmtId="44" fontId="0" fillId="0" borderId="18" xfId="0" applyNumberFormat="1" applyBorder="1" applyAlignment="1">
      <alignment horizontal="center"/>
    </xf>
    <xf numFmtId="3" fontId="0" fillId="2" borderId="94" xfId="0" applyNumberFormat="1" applyFill="1" applyBorder="1" applyAlignment="1">
      <alignment horizontal="center"/>
    </xf>
    <xf numFmtId="3" fontId="0" fillId="2" borderId="97" xfId="3" applyNumberFormat="1" applyFont="1" applyFill="1" applyBorder="1" applyAlignment="1">
      <alignment horizontal="center"/>
    </xf>
    <xf numFmtId="3" fontId="0" fillId="2" borderId="97" xfId="0" applyNumberFormat="1" applyFill="1" applyBorder="1" applyAlignment="1">
      <alignment horizontal="center"/>
    </xf>
    <xf numFmtId="3" fontId="0" fillId="2" borderId="93" xfId="0" applyNumberFormat="1" applyFill="1" applyBorder="1" applyAlignment="1">
      <alignment horizontal="center"/>
    </xf>
    <xf numFmtId="3" fontId="0" fillId="2" borderId="134" xfId="0" applyNumberFormat="1" applyFill="1" applyBorder="1" applyAlignment="1">
      <alignment horizontal="center"/>
    </xf>
    <xf numFmtId="3" fontId="0" fillId="2" borderId="82" xfId="3" applyNumberFormat="1" applyFont="1" applyFill="1" applyBorder="1" applyAlignment="1">
      <alignment horizontal="center"/>
    </xf>
    <xf numFmtId="3" fontId="0" fillId="2" borderId="134" xfId="3" applyNumberFormat="1" applyFont="1" applyFill="1" applyBorder="1" applyAlignment="1">
      <alignment horizontal="center"/>
    </xf>
    <xf numFmtId="3" fontId="0" fillId="2" borderId="94" xfId="3" applyNumberFormat="1" applyFont="1" applyFill="1" applyBorder="1" applyAlignment="1">
      <alignment horizontal="center"/>
    </xf>
    <xf numFmtId="3" fontId="0" fillId="2" borderId="93" xfId="3" applyNumberFormat="1" applyFont="1" applyFill="1" applyBorder="1" applyAlignment="1">
      <alignment horizontal="center"/>
    </xf>
    <xf numFmtId="3" fontId="0" fillId="2" borderId="89" xfId="0" applyNumberFormat="1" applyFill="1" applyBorder="1" applyAlignment="1">
      <alignment horizontal="center"/>
    </xf>
    <xf numFmtId="3" fontId="0" fillId="2" borderId="91" xfId="3" applyNumberFormat="1" applyFont="1" applyFill="1" applyBorder="1" applyAlignment="1">
      <alignment horizontal="center"/>
    </xf>
    <xf numFmtId="3" fontId="0" fillId="2" borderId="4" xfId="3" applyNumberFormat="1" applyFont="1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88" xfId="0" applyNumberFormat="1" applyFill="1" applyBorder="1" applyAlignment="1">
      <alignment horizontal="center"/>
    </xf>
    <xf numFmtId="3" fontId="0" fillId="2" borderId="105" xfId="0" applyNumberFormat="1" applyFill="1" applyBorder="1" applyAlignment="1">
      <alignment horizontal="center"/>
    </xf>
    <xf numFmtId="3" fontId="0" fillId="2" borderId="105" xfId="3" applyNumberFormat="1" applyFont="1" applyFill="1" applyBorder="1" applyAlignment="1">
      <alignment horizontal="center"/>
    </xf>
    <xf numFmtId="3" fontId="0" fillId="2" borderId="89" xfId="3" applyNumberFormat="1" applyFont="1" applyFill="1" applyBorder="1" applyAlignment="1">
      <alignment horizontal="center"/>
    </xf>
    <xf numFmtId="3" fontId="0" fillId="2" borderId="88" xfId="3" applyNumberFormat="1" applyFont="1" applyFill="1" applyBorder="1" applyAlignment="1">
      <alignment horizontal="center"/>
    </xf>
    <xf numFmtId="9" fontId="0" fillId="2" borderId="52" xfId="2" applyFont="1" applyFill="1" applyBorder="1" applyAlignment="1">
      <alignment horizontal="center"/>
    </xf>
    <xf numFmtId="49" fontId="8" fillId="0" borderId="0" xfId="0" applyNumberFormat="1" applyFont="1"/>
    <xf numFmtId="49" fontId="8" fillId="0" borderId="81" xfId="0" applyNumberFormat="1" applyFont="1" applyBorder="1"/>
    <xf numFmtId="166" fontId="0" fillId="0" borderId="81" xfId="0" applyNumberFormat="1" applyBorder="1" applyAlignment="1">
      <alignment horizontal="center"/>
    </xf>
    <xf numFmtId="9" fontId="0" fillId="0" borderId="52" xfId="2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81" xfId="2" applyFont="1" applyBorder="1" applyAlignment="1">
      <alignment horizontal="center"/>
    </xf>
    <xf numFmtId="10" fontId="0" fillId="0" borderId="81" xfId="2" applyNumberFormat="1" applyFont="1" applyBorder="1" applyAlignment="1">
      <alignment horizontal="center"/>
    </xf>
    <xf numFmtId="10" fontId="0" fillId="0" borderId="113" xfId="2" applyNumberFormat="1" applyFont="1" applyBorder="1" applyAlignment="1">
      <alignment horizontal="center"/>
    </xf>
    <xf numFmtId="9" fontId="0" fillId="0" borderId="52" xfId="2" applyFont="1" applyBorder="1" applyAlignment="1">
      <alignment horizontal="center"/>
    </xf>
    <xf numFmtId="44" fontId="0" fillId="0" borderId="57" xfId="0" applyNumberFormat="1" applyBorder="1"/>
    <xf numFmtId="0" fontId="1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9" fontId="7" fillId="0" borderId="0" xfId="0" applyNumberFormat="1" applyFont="1"/>
    <xf numFmtId="0" fontId="8" fillId="0" borderId="81" xfId="0" applyFont="1" applyBorder="1"/>
    <xf numFmtId="44" fontId="8" fillId="0" borderId="81" xfId="0" applyNumberFormat="1" applyFont="1" applyBorder="1"/>
    <xf numFmtId="44" fontId="8" fillId="0" borderId="3" xfId="0" applyNumberFormat="1" applyFont="1" applyBorder="1"/>
    <xf numFmtId="44" fontId="8" fillId="0" borderId="61" xfId="0" applyNumberFormat="1" applyFont="1" applyBorder="1"/>
    <xf numFmtId="44" fontId="8" fillId="0" borderId="97" xfId="0" applyNumberFormat="1" applyFont="1" applyBorder="1"/>
    <xf numFmtId="44" fontId="8" fillId="0" borderId="81" xfId="3" applyFont="1" applyBorder="1"/>
    <xf numFmtId="0" fontId="8" fillId="0" borderId="81" xfId="0" applyFont="1" applyBorder="1" applyAlignment="1">
      <alignment horizontal="center"/>
    </xf>
    <xf numFmtId="44" fontId="8" fillId="0" borderId="0" xfId="3" applyFont="1"/>
    <xf numFmtId="44" fontId="8" fillId="0" borderId="0" xfId="3" applyFont="1" applyAlignment="1">
      <alignment horizontal="center"/>
    </xf>
    <xf numFmtId="0" fontId="8" fillId="2" borderId="81" xfId="0" applyFont="1" applyFill="1" applyBorder="1" applyAlignment="1">
      <alignment horizontal="center"/>
    </xf>
    <xf numFmtId="9" fontId="8" fillId="2" borderId="81" xfId="2" applyFont="1" applyFill="1" applyBorder="1" applyAlignment="1">
      <alignment horizontal="center"/>
    </xf>
    <xf numFmtId="9" fontId="0" fillId="2" borderId="3" xfId="2" applyFont="1" applyFill="1" applyBorder="1" applyAlignment="1">
      <alignment horizontal="center"/>
    </xf>
    <xf numFmtId="9" fontId="0" fillId="2" borderId="4" xfId="2" applyFont="1" applyFill="1" applyBorder="1" applyAlignment="1">
      <alignment horizontal="center"/>
    </xf>
    <xf numFmtId="49" fontId="7" fillId="0" borderId="21" xfId="0" applyNumberFormat="1" applyFont="1" applyBorder="1"/>
    <xf numFmtId="44" fontId="8" fillId="0" borderId="96" xfId="3" applyFont="1" applyBorder="1"/>
    <xf numFmtId="0" fontId="8" fillId="0" borderId="95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0" fillId="2" borderId="93" xfId="0" applyFill="1" applyBorder="1" applyAlignment="1">
      <alignment horizontal="center"/>
    </xf>
    <xf numFmtId="0" fontId="0" fillId="2" borderId="82" xfId="0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82" xfId="0" applyNumberFormat="1" applyFill="1" applyBorder="1" applyAlignment="1">
      <alignment horizontal="center"/>
    </xf>
    <xf numFmtId="0" fontId="0" fillId="2" borderId="88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8" fillId="0" borderId="91" xfId="0" applyFont="1" applyBorder="1" applyAlignment="1">
      <alignment horizontal="center"/>
    </xf>
    <xf numFmtId="0" fontId="8" fillId="0" borderId="60" xfId="0" applyFont="1" applyBorder="1"/>
    <xf numFmtId="0" fontId="8" fillId="0" borderId="14" xfId="0" applyFont="1" applyBorder="1"/>
    <xf numFmtId="0" fontId="8" fillId="0" borderId="15" xfId="0" applyFont="1" applyBorder="1"/>
    <xf numFmtId="9" fontId="0" fillId="2" borderId="53" xfId="0" applyNumberFormat="1" applyFill="1" applyBorder="1" applyAlignment="1">
      <alignment horizontal="center"/>
    </xf>
    <xf numFmtId="10" fontId="0" fillId="2" borderId="56" xfId="0" applyNumberFormat="1" applyFill="1" applyBorder="1" applyAlignment="1">
      <alignment horizontal="center"/>
    </xf>
    <xf numFmtId="10" fontId="0" fillId="2" borderId="58" xfId="0" applyNumberFormat="1" applyFill="1" applyBorder="1" applyAlignment="1">
      <alignment horizontal="center"/>
    </xf>
    <xf numFmtId="0" fontId="8" fillId="0" borderId="88" xfId="0" applyFont="1" applyBorder="1" applyAlignment="1">
      <alignment horizontal="center"/>
    </xf>
    <xf numFmtId="0" fontId="8" fillId="0" borderId="63" xfId="0" applyFont="1" applyBorder="1"/>
    <xf numFmtId="9" fontId="8" fillId="0" borderId="64" xfId="2" applyFont="1" applyBorder="1" applyAlignment="1">
      <alignment horizontal="center"/>
    </xf>
    <xf numFmtId="0" fontId="8" fillId="0" borderId="97" xfId="0" applyFont="1" applyBorder="1" applyAlignment="1">
      <alignment horizontal="center"/>
    </xf>
    <xf numFmtId="9" fontId="8" fillId="0" borderId="81" xfId="0" applyNumberFormat="1" applyFont="1" applyBorder="1" applyAlignment="1">
      <alignment horizontal="center"/>
    </xf>
    <xf numFmtId="0" fontId="8" fillId="0" borderId="9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165" fontId="8" fillId="0" borderId="14" xfId="0" applyNumberFormat="1" applyFont="1" applyBorder="1" applyAlignment="1">
      <alignment horizontal="center"/>
    </xf>
    <xf numFmtId="1" fontId="8" fillId="0" borderId="15" xfId="0" applyNumberFormat="1" applyFont="1" applyBorder="1" applyAlignment="1">
      <alignment horizontal="center"/>
    </xf>
    <xf numFmtId="165" fontId="8" fillId="0" borderId="81" xfId="0" applyNumberFormat="1" applyFont="1" applyBorder="1" applyAlignment="1">
      <alignment horizontal="center"/>
    </xf>
    <xf numFmtId="44" fontId="8" fillId="0" borderId="0" xfId="0" applyNumberFormat="1" applyFont="1"/>
    <xf numFmtId="0" fontId="4" fillId="0" borderId="116" xfId="0" applyFont="1" applyBorder="1"/>
    <xf numFmtId="0" fontId="0" fillId="0" borderId="110" xfId="0" applyBorder="1" applyAlignment="1">
      <alignment horizontal="center"/>
    </xf>
    <xf numFmtId="0" fontId="12" fillId="0" borderId="9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88" xfId="0" applyFont="1" applyBorder="1" applyAlignment="1">
      <alignment horizontal="center"/>
    </xf>
    <xf numFmtId="0" fontId="4" fillId="0" borderId="135" xfId="0" applyFont="1" applyBorder="1" applyAlignment="1">
      <alignment horizontal="center"/>
    </xf>
    <xf numFmtId="0" fontId="0" fillId="2" borderId="135" xfId="0" applyFill="1" applyBorder="1" applyAlignment="1">
      <alignment horizontal="center"/>
    </xf>
    <xf numFmtId="0" fontId="0" fillId="0" borderId="135" xfId="0" applyBorder="1" applyAlignment="1">
      <alignment horizontal="center"/>
    </xf>
    <xf numFmtId="49" fontId="8" fillId="0" borderId="91" xfId="0" applyNumberFormat="1" applyFont="1" applyBorder="1"/>
    <xf numFmtId="1" fontId="8" fillId="0" borderId="81" xfId="0" applyNumberFormat="1" applyFont="1" applyBorder="1" applyAlignment="1">
      <alignment horizontal="center"/>
    </xf>
    <xf numFmtId="0" fontId="0" fillId="0" borderId="102" xfId="0" applyBorder="1"/>
    <xf numFmtId="9" fontId="0" fillId="0" borderId="4" xfId="2" applyFont="1" applyFill="1" applyBorder="1" applyAlignment="1">
      <alignment horizontal="center"/>
    </xf>
    <xf numFmtId="0" fontId="0" fillId="0" borderId="23" xfId="0" applyBorder="1"/>
    <xf numFmtId="0" fontId="11" fillId="0" borderId="8" xfId="0" applyFont="1" applyBorder="1"/>
    <xf numFmtId="1" fontId="4" fillId="0" borderId="93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2" fontId="4" fillId="0" borderId="97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0" fillId="0" borderId="130" xfId="0" applyBorder="1" applyAlignment="1">
      <alignment horizontal="center"/>
    </xf>
    <xf numFmtId="49" fontId="0" fillId="0" borderId="89" xfId="0" applyNumberFormat="1" applyBorder="1"/>
    <xf numFmtId="0" fontId="8" fillId="2" borderId="3" xfId="0" applyFont="1" applyFill="1" applyBorder="1" applyAlignment="1">
      <alignment horizontal="center"/>
    </xf>
    <xf numFmtId="1" fontId="4" fillId="0" borderId="88" xfId="0" applyNumberFormat="1" applyFont="1" applyBorder="1" applyAlignment="1">
      <alignment horizontal="center"/>
    </xf>
    <xf numFmtId="165" fontId="4" fillId="0" borderId="93" xfId="0" applyNumberFormat="1" applyFont="1" applyBorder="1" applyAlignment="1">
      <alignment horizontal="center"/>
    </xf>
    <xf numFmtId="165" fontId="4" fillId="0" borderId="88" xfId="0" applyNumberFormat="1" applyFont="1" applyBorder="1" applyAlignment="1">
      <alignment horizontal="center"/>
    </xf>
    <xf numFmtId="2" fontId="4" fillId="0" borderId="93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88" xfId="0" applyNumberFormat="1" applyFont="1" applyBorder="1" applyAlignment="1">
      <alignment horizontal="center"/>
    </xf>
    <xf numFmtId="44" fontId="8" fillId="0" borderId="15" xfId="3" applyFont="1" applyBorder="1"/>
    <xf numFmtId="44" fontId="8" fillId="0" borderId="89" xfId="3" applyFont="1" applyBorder="1"/>
    <xf numFmtId="44" fontId="8" fillId="0" borderId="60" xfId="3" applyFont="1" applyBorder="1"/>
    <xf numFmtId="44" fontId="8" fillId="0" borderId="88" xfId="3" applyFont="1" applyBorder="1"/>
    <xf numFmtId="0" fontId="8" fillId="0" borderId="82" xfId="0" applyFont="1" applyBorder="1" applyAlignment="1">
      <alignment horizontal="center"/>
    </xf>
    <xf numFmtId="0" fontId="8" fillId="0" borderId="89" xfId="0" applyFont="1" applyBorder="1" applyAlignment="1">
      <alignment horizontal="center"/>
    </xf>
    <xf numFmtId="0" fontId="8" fillId="2" borderId="91" xfId="0" applyFont="1" applyFill="1" applyBorder="1" applyAlignment="1">
      <alignment horizontal="center"/>
    </xf>
    <xf numFmtId="44" fontId="8" fillId="0" borderId="0" xfId="3" applyFont="1" applyBorder="1"/>
    <xf numFmtId="0" fontId="8" fillId="2" borderId="81" xfId="3" applyNumberFormat="1" applyFont="1" applyFill="1" applyBorder="1" applyAlignment="1">
      <alignment horizontal="center"/>
    </xf>
    <xf numFmtId="49" fontId="0" fillId="0" borderId="88" xfId="0" applyNumberFormat="1" applyBorder="1"/>
    <xf numFmtId="0" fontId="8" fillId="2" borderId="0" xfId="0" applyFont="1" applyFill="1" applyAlignment="1">
      <alignment horizontal="center"/>
    </xf>
    <xf numFmtId="0" fontId="8" fillId="0" borderId="93" xfId="0" applyFont="1" applyBorder="1"/>
    <xf numFmtId="0" fontId="8" fillId="0" borderId="94" xfId="0" applyFont="1" applyBorder="1"/>
    <xf numFmtId="0" fontId="8" fillId="0" borderId="9" xfId="0" applyFont="1" applyBorder="1"/>
    <xf numFmtId="0" fontId="8" fillId="0" borderId="89" xfId="0" applyFont="1" applyBorder="1"/>
    <xf numFmtId="0" fontId="8" fillId="0" borderId="14" xfId="0" applyFont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0" fontId="4" fillId="0" borderId="134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8" fillId="0" borderId="113" xfId="0" applyFont="1" applyBorder="1" applyAlignment="1">
      <alignment horizontal="center"/>
    </xf>
    <xf numFmtId="0" fontId="8" fillId="0" borderId="97" xfId="0" applyFont="1" applyBorder="1"/>
    <xf numFmtId="0" fontId="8" fillId="0" borderId="62" xfId="0" applyFont="1" applyBorder="1" applyAlignment="1">
      <alignment horizontal="center"/>
    </xf>
    <xf numFmtId="0" fontId="8" fillId="0" borderId="134" xfId="0" applyFont="1" applyBorder="1" applyAlignment="1">
      <alignment horizontal="center"/>
    </xf>
    <xf numFmtId="0" fontId="8" fillId="0" borderId="105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2" fontId="4" fillId="0" borderId="60" xfId="0" applyNumberFormat="1" applyFont="1" applyBorder="1" applyAlignment="1">
      <alignment horizontal="center"/>
    </xf>
    <xf numFmtId="2" fontId="8" fillId="0" borderId="14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114" xfId="0" applyNumberFormat="1" applyFont="1" applyBorder="1" applyAlignment="1">
      <alignment horizontal="center"/>
    </xf>
    <xf numFmtId="2" fontId="8" fillId="0" borderId="81" xfId="0" applyNumberFormat="1" applyFont="1" applyBorder="1" applyAlignment="1">
      <alignment horizontal="center"/>
    </xf>
    <xf numFmtId="2" fontId="8" fillId="0" borderId="97" xfId="0" applyNumberFormat="1" applyFont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52" xfId="0" applyFont="1" applyBorder="1"/>
    <xf numFmtId="1" fontId="8" fillId="0" borderId="57" xfId="0" applyNumberFormat="1" applyFont="1" applyBorder="1" applyAlignment="1">
      <alignment horizontal="center"/>
    </xf>
    <xf numFmtId="0" fontId="8" fillId="0" borderId="0" xfId="3" applyNumberFormat="1" applyFont="1" applyFill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1" fontId="0" fillId="2" borderId="82" xfId="0" applyNumberFormat="1" applyFill="1" applyBorder="1" applyAlignment="1">
      <alignment horizontal="center" vertical="center"/>
    </xf>
    <xf numFmtId="1" fontId="0" fillId="2" borderId="94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9" xfId="0" applyNumberFormat="1" applyFill="1" applyBorder="1" applyAlignment="1">
      <alignment horizontal="center" vertical="center"/>
    </xf>
    <xf numFmtId="1" fontId="0" fillId="2" borderId="88" xfId="0" applyNumberFormat="1" applyFill="1" applyBorder="1" applyAlignment="1">
      <alignment horizontal="center" vertical="center"/>
    </xf>
    <xf numFmtId="1" fontId="0" fillId="2" borderId="91" xfId="0" applyNumberFormat="1" applyFill="1" applyBorder="1" applyAlignment="1">
      <alignment horizontal="center" vertical="center"/>
    </xf>
    <xf numFmtId="1" fontId="0" fillId="2" borderId="89" xfId="0" applyNumberFormat="1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1" fontId="0" fillId="2" borderId="88" xfId="0" applyNumberFormat="1" applyFill="1" applyBorder="1" applyAlignment="1">
      <alignment horizontal="center"/>
    </xf>
    <xf numFmtId="1" fontId="4" fillId="0" borderId="60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1" fontId="4" fillId="0" borderId="15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1" fontId="0" fillId="0" borderId="81" xfId="0" applyNumberForma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73" fontId="0" fillId="0" borderId="81" xfId="1" applyNumberFormat="1" applyFont="1" applyFill="1" applyBorder="1" applyAlignment="1">
      <alignment horizontal="center" vertical="center"/>
    </xf>
    <xf numFmtId="44" fontId="8" fillId="0" borderId="91" xfId="3" applyFont="1" applyBorder="1"/>
    <xf numFmtId="1" fontId="0" fillId="2" borderId="81" xfId="0" applyNumberFormat="1" applyFill="1" applyBorder="1" applyAlignment="1">
      <alignment horizontal="center" vertical="center"/>
    </xf>
    <xf numFmtId="1" fontId="0" fillId="2" borderId="97" xfId="0" applyNumberFormat="1" applyFill="1" applyBorder="1" applyAlignment="1">
      <alignment horizontal="center" vertical="center"/>
    </xf>
    <xf numFmtId="2" fontId="0" fillId="0" borderId="81" xfId="0" applyNumberFormat="1" applyBorder="1" applyAlignment="1">
      <alignment horizontal="center" vertical="center"/>
    </xf>
    <xf numFmtId="165" fontId="8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left"/>
    </xf>
    <xf numFmtId="1" fontId="8" fillId="0" borderId="0" xfId="0" applyNumberFormat="1" applyFont="1" applyAlignment="1">
      <alignment horizontal="left"/>
    </xf>
    <xf numFmtId="44" fontId="8" fillId="0" borderId="91" xfId="0" applyNumberFormat="1" applyFont="1" applyBorder="1"/>
    <xf numFmtId="0" fontId="8" fillId="0" borderId="93" xfId="0" applyFont="1" applyBorder="1" applyAlignment="1">
      <alignment horizontal="center"/>
    </xf>
    <xf numFmtId="0" fontId="8" fillId="0" borderId="60" xfId="0" applyFont="1" applyBorder="1" applyAlignment="1">
      <alignment horizontal="center"/>
    </xf>
    <xf numFmtId="49" fontId="8" fillId="0" borderId="82" xfId="0" applyNumberFormat="1" applyFont="1" applyBorder="1"/>
    <xf numFmtId="1" fontId="8" fillId="0" borderId="94" xfId="0" applyNumberFormat="1" applyFont="1" applyBorder="1" applyAlignment="1">
      <alignment horizontal="center"/>
    </xf>
    <xf numFmtId="165" fontId="8" fillId="2" borderId="93" xfId="0" applyNumberFormat="1" applyFont="1" applyFill="1" applyBorder="1" applyAlignment="1">
      <alignment horizontal="center"/>
    </xf>
    <xf numFmtId="165" fontId="8" fillId="2" borderId="82" xfId="0" applyNumberFormat="1" applyFont="1" applyFill="1" applyBorder="1" applyAlignment="1">
      <alignment horizontal="center"/>
    </xf>
    <xf numFmtId="165" fontId="8" fillId="2" borderId="94" xfId="0" applyNumberFormat="1" applyFont="1" applyFill="1" applyBorder="1" applyAlignment="1">
      <alignment horizontal="center"/>
    </xf>
    <xf numFmtId="165" fontId="8" fillId="2" borderId="8" xfId="0" applyNumberFormat="1" applyFont="1" applyFill="1" applyBorder="1" applyAlignment="1">
      <alignment horizontal="center"/>
    </xf>
    <xf numFmtId="165" fontId="8" fillId="2" borderId="0" xfId="0" applyNumberFormat="1" applyFont="1" applyFill="1" applyAlignment="1">
      <alignment horizontal="center"/>
    </xf>
    <xf numFmtId="165" fontId="8" fillId="2" borderId="9" xfId="0" applyNumberFormat="1" applyFont="1" applyFill="1" applyBorder="1" applyAlignment="1">
      <alignment horizontal="center"/>
    </xf>
    <xf numFmtId="0" fontId="4" fillId="0" borderId="94" xfId="0" applyFont="1" applyBorder="1"/>
    <xf numFmtId="0" fontId="4" fillId="0" borderId="9" xfId="0" applyFont="1" applyBorder="1"/>
    <xf numFmtId="0" fontId="4" fillId="0" borderId="89" xfId="0" applyFont="1" applyBorder="1"/>
    <xf numFmtId="2" fontId="8" fillId="2" borderId="82" xfId="0" applyNumberFormat="1" applyFont="1" applyFill="1" applyBorder="1" applyAlignment="1">
      <alignment horizontal="center"/>
    </xf>
    <xf numFmtId="2" fontId="8" fillId="2" borderId="94" xfId="0" applyNumberFormat="1" applyFont="1" applyFill="1" applyBorder="1" applyAlignment="1">
      <alignment horizontal="center"/>
    </xf>
    <xf numFmtId="2" fontId="8" fillId="2" borderId="0" xfId="0" applyNumberFormat="1" applyFont="1" applyFill="1" applyAlignment="1">
      <alignment horizontal="center"/>
    </xf>
    <xf numFmtId="2" fontId="8" fillId="2" borderId="9" xfId="0" applyNumberFormat="1" applyFont="1" applyFill="1" applyBorder="1" applyAlignment="1">
      <alignment horizontal="center"/>
    </xf>
    <xf numFmtId="2" fontId="8" fillId="2" borderId="91" xfId="0" applyNumberFormat="1" applyFont="1" applyFill="1" applyBorder="1" applyAlignment="1">
      <alignment horizontal="center"/>
    </xf>
    <xf numFmtId="2" fontId="8" fillId="2" borderId="89" xfId="0" applyNumberFormat="1" applyFont="1" applyFill="1" applyBorder="1" applyAlignment="1">
      <alignment horizontal="center"/>
    </xf>
    <xf numFmtId="2" fontId="8" fillId="2" borderId="97" xfId="0" applyNumberFormat="1" applyFont="1" applyFill="1" applyBorder="1" applyAlignment="1">
      <alignment horizontal="center"/>
    </xf>
    <xf numFmtId="2" fontId="8" fillId="2" borderId="3" xfId="0" applyNumberFormat="1" applyFont="1" applyFill="1" applyBorder="1" applyAlignment="1">
      <alignment horizontal="center"/>
    </xf>
    <xf numFmtId="2" fontId="8" fillId="2" borderId="4" xfId="0" applyNumberFormat="1" applyFont="1" applyFill="1" applyBorder="1" applyAlignment="1">
      <alignment horizontal="center"/>
    </xf>
    <xf numFmtId="0" fontId="0" fillId="2" borderId="0" xfId="0" applyFill="1"/>
    <xf numFmtId="1" fontId="8" fillId="0" borderId="91" xfId="0" applyNumberFormat="1" applyFont="1" applyBorder="1" applyAlignment="1">
      <alignment horizontal="center"/>
    </xf>
    <xf numFmtId="49" fontId="8" fillId="0" borderId="21" xfId="0" applyNumberFormat="1" applyFont="1" applyBorder="1"/>
    <xf numFmtId="175" fontId="8" fillId="0" borderId="23" xfId="0" applyNumberFormat="1" applyFont="1" applyBorder="1"/>
    <xf numFmtId="175" fontId="8" fillId="0" borderId="0" xfId="0" applyNumberFormat="1" applyFont="1"/>
    <xf numFmtId="44" fontId="0" fillId="2" borderId="81" xfId="3" applyFont="1" applyFill="1" applyBorder="1"/>
    <xf numFmtId="164" fontId="0" fillId="0" borderId="88" xfId="0" applyNumberFormat="1" applyBorder="1" applyAlignment="1">
      <alignment horizontal="center"/>
    </xf>
    <xf numFmtId="44" fontId="0" fillId="0" borderId="81" xfId="3" applyFont="1" applyBorder="1" applyAlignment="1">
      <alignment horizontal="center"/>
    </xf>
    <xf numFmtId="44" fontId="0" fillId="0" borderId="97" xfId="3" applyFont="1" applyBorder="1" applyAlignment="1">
      <alignment horizontal="center"/>
    </xf>
    <xf numFmtId="44" fontId="0" fillId="0" borderId="3" xfId="3" applyFont="1" applyBorder="1" applyAlignment="1">
      <alignment horizontal="center"/>
    </xf>
    <xf numFmtId="44" fontId="0" fillId="0" borderId="4" xfId="3" applyFont="1" applyBorder="1" applyAlignment="1">
      <alignment horizontal="center"/>
    </xf>
    <xf numFmtId="0" fontId="8" fillId="0" borderId="95" xfId="0" applyFont="1" applyBorder="1"/>
    <xf numFmtId="44" fontId="8" fillId="0" borderId="23" xfId="3" applyFont="1" applyBorder="1"/>
    <xf numFmtId="49" fontId="8" fillId="0" borderId="93" xfId="0" applyNumberFormat="1" applyFont="1" applyBorder="1"/>
    <xf numFmtId="49" fontId="8" fillId="0" borderId="88" xfId="0" applyNumberFormat="1" applyFont="1" applyBorder="1"/>
    <xf numFmtId="10" fontId="4" fillId="0" borderId="4" xfId="0" applyNumberFormat="1" applyFont="1" applyBorder="1" applyAlignment="1">
      <alignment horizontal="center"/>
    </xf>
    <xf numFmtId="10" fontId="4" fillId="0" borderId="93" xfId="0" applyNumberFormat="1" applyFont="1" applyBorder="1" applyAlignment="1">
      <alignment horizontal="center"/>
    </xf>
    <xf numFmtId="10" fontId="4" fillId="0" borderId="97" xfId="0" applyNumberFormat="1" applyFont="1" applyBorder="1" applyAlignment="1">
      <alignment horizontal="center"/>
    </xf>
    <xf numFmtId="166" fontId="0" fillId="2" borderId="97" xfId="2" applyNumberFormat="1" applyFont="1" applyFill="1" applyBorder="1" applyAlignment="1">
      <alignment horizontal="center"/>
    </xf>
    <xf numFmtId="10" fontId="4" fillId="0" borderId="8" xfId="0" applyNumberFormat="1" applyFont="1" applyBorder="1" applyAlignment="1">
      <alignment horizontal="center"/>
    </xf>
    <xf numFmtId="10" fontId="4" fillId="0" borderId="3" xfId="0" applyNumberFormat="1" applyFont="1" applyBorder="1" applyAlignment="1">
      <alignment horizontal="center"/>
    </xf>
    <xf numFmtId="166" fontId="0" fillId="2" borderId="8" xfId="2" applyNumberFormat="1" applyFont="1" applyFill="1" applyBorder="1" applyAlignment="1">
      <alignment horizontal="center"/>
    </xf>
    <xf numFmtId="166" fontId="0" fillId="2" borderId="88" xfId="2" applyNumberFormat="1" applyFont="1" applyFill="1" applyBorder="1" applyAlignment="1">
      <alignment horizontal="center"/>
    </xf>
    <xf numFmtId="10" fontId="4" fillId="0" borderId="88" xfId="0" applyNumberFormat="1" applyFont="1" applyBorder="1" applyAlignment="1">
      <alignment horizontal="center"/>
    </xf>
    <xf numFmtId="44" fontId="0" fillId="0" borderId="4" xfId="0" applyNumberFormat="1" applyBorder="1"/>
    <xf numFmtId="10" fontId="0" fillId="0" borderId="4" xfId="2" applyNumberFormat="1" applyFont="1" applyBorder="1" applyAlignment="1">
      <alignment horizontal="center"/>
    </xf>
    <xf numFmtId="10" fontId="0" fillId="2" borderId="81" xfId="2" applyNumberFormat="1" applyFont="1" applyFill="1" applyBorder="1" applyAlignment="1">
      <alignment horizontal="center"/>
    </xf>
    <xf numFmtId="44" fontId="0" fillId="0" borderId="81" xfId="0" applyNumberFormat="1" applyBorder="1" applyAlignment="1">
      <alignment horizontal="center"/>
    </xf>
    <xf numFmtId="0" fontId="0" fillId="2" borderId="60" xfId="0" applyFill="1" applyBorder="1"/>
    <xf numFmtId="44" fontId="0" fillId="0" borderId="60" xfId="0" applyNumberFormat="1" applyBorder="1" applyAlignment="1">
      <alignment horizontal="center"/>
    </xf>
    <xf numFmtId="0" fontId="0" fillId="0" borderId="134" xfId="0" applyBorder="1" applyAlignment="1">
      <alignment horizontal="center"/>
    </xf>
    <xf numFmtId="172" fontId="8" fillId="0" borderId="61" xfId="0" applyNumberFormat="1" applyFont="1" applyBorder="1"/>
    <xf numFmtId="10" fontId="0" fillId="0" borderId="4" xfId="0" applyNumberFormat="1" applyBorder="1"/>
    <xf numFmtId="0" fontId="0" fillId="2" borderId="82" xfId="0" applyFill="1" applyBorder="1"/>
    <xf numFmtId="0" fontId="0" fillId="2" borderId="94" xfId="0" applyFill="1" applyBorder="1"/>
    <xf numFmtId="0" fontId="0" fillId="2" borderId="91" xfId="0" applyFill="1" applyBorder="1"/>
    <xf numFmtId="0" fontId="0" fillId="2" borderId="89" xfId="0" applyFill="1" applyBorder="1"/>
    <xf numFmtId="168" fontId="4" fillId="2" borderId="3" xfId="0" applyNumberFormat="1" applyFont="1" applyFill="1" applyBorder="1" applyAlignment="1">
      <alignment horizontal="center"/>
    </xf>
    <xf numFmtId="44" fontId="8" fillId="0" borderId="0" xfId="3" applyFont="1" applyFill="1" applyBorder="1"/>
    <xf numFmtId="167" fontId="8" fillId="0" borderId="0" xfId="0" applyNumberFormat="1" applyFont="1"/>
    <xf numFmtId="1" fontId="11" fillId="0" borderId="0" xfId="0" applyNumberFormat="1" applyFont="1" applyAlignment="1">
      <alignment horizontal="center"/>
    </xf>
    <xf numFmtId="167" fontId="4" fillId="0" borderId="93" xfId="0" applyNumberFormat="1" applyFont="1" applyBorder="1"/>
    <xf numFmtId="0" fontId="8" fillId="0" borderId="9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8" fontId="4" fillId="0" borderId="0" xfId="0" applyNumberFormat="1" applyFont="1"/>
    <xf numFmtId="168" fontId="22" fillId="0" borderId="0" xfId="0" applyNumberFormat="1" applyFont="1"/>
    <xf numFmtId="170" fontId="4" fillId="0" borderId="0" xfId="3" applyNumberFormat="1" applyFont="1" applyFill="1" applyBorder="1" applyProtection="1"/>
    <xf numFmtId="168" fontId="8" fillId="2" borderId="97" xfId="3" applyNumberFormat="1" applyFont="1" applyFill="1" applyBorder="1" applyAlignment="1">
      <alignment horizontal="center" vertical="center"/>
    </xf>
    <xf numFmtId="168" fontId="8" fillId="2" borderId="3" xfId="3" applyNumberFormat="1" applyFont="1" applyFill="1" applyBorder="1" applyAlignment="1">
      <alignment horizontal="center" vertical="center"/>
    </xf>
    <xf numFmtId="176" fontId="4" fillId="2" borderId="3" xfId="3" applyNumberFormat="1" applyFont="1" applyFill="1" applyBorder="1" applyAlignment="1">
      <alignment horizontal="center"/>
    </xf>
    <xf numFmtId="176" fontId="4" fillId="2" borderId="81" xfId="3" applyNumberFormat="1" applyFont="1" applyFill="1" applyBorder="1"/>
    <xf numFmtId="3" fontId="0" fillId="2" borderId="0" xfId="0" applyNumberFormat="1" applyFill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2" borderId="3" xfId="0" applyNumberFormat="1" applyFill="1" applyBorder="1"/>
    <xf numFmtId="164" fontId="0" fillId="0" borderId="82" xfId="0" applyNumberFormat="1" applyBorder="1" applyAlignment="1">
      <alignment horizontal="center"/>
    </xf>
    <xf numFmtId="164" fontId="0" fillId="0" borderId="91" xfId="0" applyNumberFormat="1" applyBorder="1" applyAlignment="1">
      <alignment horizontal="center"/>
    </xf>
    <xf numFmtId="0" fontId="25" fillId="0" borderId="97" xfId="0" applyFont="1" applyBorder="1" applyAlignment="1">
      <alignment horizontal="center"/>
    </xf>
    <xf numFmtId="1" fontId="25" fillId="0" borderId="97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1" fontId="25" fillId="0" borderId="4" xfId="0" applyNumberFormat="1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1" fontId="25" fillId="2" borderId="3" xfId="0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0" borderId="94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89" xfId="0" applyFont="1" applyBorder="1" applyAlignment="1">
      <alignment horizontal="center"/>
    </xf>
    <xf numFmtId="0" fontId="25" fillId="2" borderId="97" xfId="0" applyFont="1" applyFill="1" applyBorder="1" applyAlignment="1">
      <alignment horizontal="center"/>
    </xf>
    <xf numFmtId="0" fontId="25" fillId="0" borderId="93" xfId="0" applyFont="1" applyBorder="1" applyAlignment="1">
      <alignment horizontal="center"/>
    </xf>
    <xf numFmtId="2" fontId="25" fillId="0" borderId="97" xfId="0" applyNumberFormat="1" applyFont="1" applyBorder="1" applyAlignment="1">
      <alignment horizontal="center"/>
    </xf>
    <xf numFmtId="2" fontId="25" fillId="0" borderId="3" xfId="0" applyNumberFormat="1" applyFont="1" applyBorder="1" applyAlignment="1">
      <alignment horizontal="center"/>
    </xf>
    <xf numFmtId="1" fontId="25" fillId="0" borderId="3" xfId="0" applyNumberFormat="1" applyFont="1" applyBorder="1" applyAlignment="1">
      <alignment horizontal="center"/>
    </xf>
    <xf numFmtId="2" fontId="25" fillId="0" borderId="4" xfId="0" applyNumberFormat="1" applyFont="1" applyBorder="1" applyAlignment="1">
      <alignment horizontal="center"/>
    </xf>
    <xf numFmtId="9" fontId="0" fillId="0" borderId="8" xfId="2" applyFont="1" applyBorder="1" applyAlignment="1">
      <alignment horizontal="center"/>
    </xf>
    <xf numFmtId="9" fontId="0" fillId="0" borderId="3" xfId="2" applyFont="1" applyBorder="1" applyAlignment="1">
      <alignment horizontal="center"/>
    </xf>
    <xf numFmtId="9" fontId="0" fillId="0" borderId="4" xfId="2" applyFont="1" applyBorder="1" applyAlignment="1">
      <alignment horizontal="center"/>
    </xf>
    <xf numFmtId="0" fontId="25" fillId="2" borderId="8" xfId="0" applyFont="1" applyFill="1" applyBorder="1" applyAlignment="1">
      <alignment horizontal="center"/>
    </xf>
    <xf numFmtId="0" fontId="25" fillId="2" borderId="88" xfId="0" applyFont="1" applyFill="1" applyBorder="1" applyAlignment="1">
      <alignment horizontal="center"/>
    </xf>
    <xf numFmtId="0" fontId="25" fillId="2" borderId="9" xfId="0" applyFont="1" applyFill="1" applyBorder="1" applyAlignment="1">
      <alignment horizontal="center"/>
    </xf>
    <xf numFmtId="0" fontId="25" fillId="2" borderId="89" xfId="0" applyFont="1" applyFill="1" applyBorder="1" applyAlignment="1">
      <alignment horizontal="center"/>
    </xf>
    <xf numFmtId="0" fontId="25" fillId="0" borderId="81" xfId="0" applyFont="1" applyBorder="1" applyAlignment="1">
      <alignment horizontal="center"/>
    </xf>
    <xf numFmtId="0" fontId="25" fillId="0" borderId="60" xfId="0" applyFont="1" applyBorder="1" applyAlignment="1">
      <alignment horizontal="center"/>
    </xf>
    <xf numFmtId="0" fontId="25" fillId="0" borderId="88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9" fontId="0" fillId="0" borderId="82" xfId="2" applyFont="1" applyBorder="1" applyAlignment="1">
      <alignment horizontal="center"/>
    </xf>
    <xf numFmtId="9" fontId="0" fillId="0" borderId="91" xfId="2" applyFont="1" applyBorder="1" applyAlignment="1">
      <alignment horizontal="center"/>
    </xf>
    <xf numFmtId="9" fontId="0" fillId="0" borderId="93" xfId="2" applyFont="1" applyBorder="1" applyAlignment="1">
      <alignment horizontal="center"/>
    </xf>
    <xf numFmtId="9" fontId="0" fillId="0" borderId="88" xfId="2" applyFont="1" applyBorder="1" applyAlignment="1">
      <alignment horizontal="center"/>
    </xf>
    <xf numFmtId="9" fontId="0" fillId="2" borderId="97" xfId="2" applyFont="1" applyFill="1" applyBorder="1" applyAlignment="1">
      <alignment horizontal="center"/>
    </xf>
    <xf numFmtId="1" fontId="0" fillId="2" borderId="97" xfId="2" applyNumberFormat="1" applyFont="1" applyFill="1" applyBorder="1" applyAlignment="1">
      <alignment horizontal="center"/>
    </xf>
    <xf numFmtId="9" fontId="0" fillId="0" borderId="82" xfId="2" applyFont="1" applyFill="1" applyBorder="1" applyAlignment="1">
      <alignment horizontal="center"/>
    </xf>
    <xf numFmtId="9" fontId="0" fillId="0" borderId="91" xfId="2" applyFont="1" applyFill="1" applyBorder="1" applyAlignment="1">
      <alignment horizontal="center"/>
    </xf>
    <xf numFmtId="1" fontId="0" fillId="0" borderId="97" xfId="0" applyNumberFormat="1" applyBorder="1"/>
    <xf numFmtId="1" fontId="0" fillId="0" borderId="3" xfId="0" applyNumberFormat="1" applyBorder="1"/>
    <xf numFmtId="2" fontId="0" fillId="0" borderId="81" xfId="0" applyNumberFormat="1" applyBorder="1" applyAlignment="1">
      <alignment horizontal="center"/>
    </xf>
    <xf numFmtId="0" fontId="0" fillId="2" borderId="97" xfId="0" applyFill="1" applyBorder="1"/>
    <xf numFmtId="0" fontId="0" fillId="0" borderId="136" xfId="0" applyBorder="1"/>
    <xf numFmtId="0" fontId="10" fillId="0" borderId="0" xfId="0" applyFont="1"/>
    <xf numFmtId="0" fontId="4" fillId="0" borderId="137" xfId="0" applyFont="1" applyBorder="1" applyAlignment="1">
      <alignment horizontal="center"/>
    </xf>
    <xf numFmtId="44" fontId="4" fillId="0" borderId="24" xfId="3" applyFont="1" applyBorder="1" applyAlignment="1">
      <alignment horizontal="left"/>
    </xf>
    <xf numFmtId="0" fontId="4" fillId="0" borderId="138" xfId="0" applyFont="1" applyBorder="1"/>
    <xf numFmtId="0" fontId="4" fillId="0" borderId="139" xfId="0" applyFont="1" applyBorder="1" applyAlignment="1">
      <alignment horizontal="left"/>
    </xf>
    <xf numFmtId="0" fontId="4" fillId="0" borderId="140" xfId="0" applyFont="1" applyBorder="1" applyAlignment="1">
      <alignment horizontal="left"/>
    </xf>
    <xf numFmtId="0" fontId="4" fillId="0" borderId="141" xfId="0" applyFont="1" applyBorder="1" applyAlignment="1">
      <alignment horizontal="center"/>
    </xf>
    <xf numFmtId="44" fontId="4" fillId="0" borderId="1" xfId="3" applyFont="1" applyBorder="1" applyAlignment="1">
      <alignment horizontal="center"/>
    </xf>
    <xf numFmtId="44" fontId="4" fillId="0" borderId="4" xfId="3" applyFont="1" applyBorder="1" applyAlignment="1">
      <alignment horizontal="center"/>
    </xf>
    <xf numFmtId="44" fontId="4" fillId="0" borderId="42" xfId="3" applyFont="1" applyBorder="1" applyAlignment="1">
      <alignment horizontal="center"/>
    </xf>
    <xf numFmtId="44" fontId="4" fillId="0" borderId="15" xfId="3" applyFont="1" applyBorder="1" applyAlignment="1">
      <alignment horizontal="center"/>
    </xf>
    <xf numFmtId="0" fontId="25" fillId="0" borderId="0" xfId="0" applyFont="1"/>
    <xf numFmtId="0" fontId="25" fillId="0" borderId="93" xfId="0" applyFont="1" applyBorder="1"/>
    <xf numFmtId="0" fontId="25" fillId="0" borderId="8" xfId="0" applyFont="1" applyBorder="1"/>
    <xf numFmtId="0" fontId="25" fillId="0" borderId="88" xfId="0" applyFont="1" applyBorder="1"/>
    <xf numFmtId="44" fontId="25" fillId="0" borderId="97" xfId="3" applyFont="1" applyBorder="1"/>
    <xf numFmtId="44" fontId="25" fillId="0" borderId="3" xfId="3" applyFont="1" applyBorder="1"/>
    <xf numFmtId="172" fontId="25" fillId="0" borderId="4" xfId="3" applyNumberFormat="1" applyFont="1" applyBorder="1"/>
    <xf numFmtId="2" fontId="8" fillId="0" borderId="61" xfId="0" applyNumberFormat="1" applyFont="1" applyBorder="1"/>
    <xf numFmtId="1" fontId="4" fillId="0" borderId="81" xfId="0" applyNumberFormat="1" applyFont="1" applyBorder="1" applyAlignment="1">
      <alignment horizontal="left"/>
    </xf>
    <xf numFmtId="44" fontId="4" fillId="2" borderId="81" xfId="3" applyFont="1" applyFill="1" applyBorder="1"/>
    <xf numFmtId="0" fontId="25" fillId="0" borderId="0" xfId="0" applyFont="1" applyAlignment="1">
      <alignment horizontal="center"/>
    </xf>
    <xf numFmtId="165" fontId="0" fillId="0" borderId="94" xfId="0" applyNumberFormat="1" applyBorder="1" applyAlignment="1">
      <alignment horizontal="center"/>
    </xf>
    <xf numFmtId="165" fontId="0" fillId="0" borderId="89" xfId="0" applyNumberFormat="1" applyBorder="1" applyAlignment="1">
      <alignment horizontal="center"/>
    </xf>
    <xf numFmtId="0" fontId="0" fillId="0" borderId="142" xfId="0" applyBorder="1"/>
    <xf numFmtId="0" fontId="3" fillId="0" borderId="93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172" fontId="0" fillId="0" borderId="60" xfId="0" applyNumberFormat="1" applyBorder="1"/>
    <xf numFmtId="3" fontId="0" fillId="0" borderId="14" xfId="0" applyNumberFormat="1" applyBorder="1" applyAlignment="1">
      <alignment horizontal="center"/>
    </xf>
    <xf numFmtId="169" fontId="0" fillId="0" borderId="14" xfId="0" applyNumberFormat="1" applyBorder="1" applyAlignment="1">
      <alignment horizontal="center"/>
    </xf>
    <xf numFmtId="0" fontId="0" fillId="0" borderId="143" xfId="0" applyBorder="1"/>
    <xf numFmtId="166" fontId="0" fillId="2" borderId="81" xfId="2" applyNumberFormat="1" applyFont="1" applyFill="1" applyBorder="1" applyAlignment="1">
      <alignment horizontal="center"/>
    </xf>
    <xf numFmtId="174" fontId="8" fillId="2" borderId="81" xfId="3" applyNumberFormat="1" applyFont="1" applyFill="1" applyBorder="1"/>
    <xf numFmtId="174" fontId="8" fillId="0" borderId="97" xfId="3" applyNumberFormat="1" applyFont="1" applyFill="1" applyBorder="1"/>
    <xf numFmtId="165" fontId="15" fillId="2" borderId="102" xfId="0" applyNumberFormat="1" applyFont="1" applyFill="1" applyBorder="1" applyAlignment="1">
      <alignment horizontal="center"/>
    </xf>
    <xf numFmtId="2" fontId="15" fillId="2" borderId="103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left"/>
    </xf>
    <xf numFmtId="165" fontId="15" fillId="2" borderId="16" xfId="0" applyNumberFormat="1" applyFont="1" applyFill="1" applyBorder="1" applyAlignment="1">
      <alignment horizontal="center"/>
    </xf>
    <xf numFmtId="2" fontId="14" fillId="2" borderId="0" xfId="0" applyNumberFormat="1" applyFont="1" applyFill="1" applyAlignment="1">
      <alignment horizontal="left"/>
    </xf>
    <xf numFmtId="165" fontId="15" fillId="2" borderId="20" xfId="0" applyNumberFormat="1" applyFont="1" applyFill="1" applyBorder="1" applyAlignment="1">
      <alignment horizontal="center"/>
    </xf>
    <xf numFmtId="2" fontId="15" fillId="2" borderId="104" xfId="0" applyNumberFormat="1" applyFont="1" applyFill="1" applyBorder="1" applyAlignment="1">
      <alignment horizontal="center"/>
    </xf>
    <xf numFmtId="2" fontId="14" fillId="2" borderId="91" xfId="0" applyNumberFormat="1" applyFont="1" applyFill="1" applyBorder="1" applyAlignment="1">
      <alignment horizontal="left"/>
    </xf>
    <xf numFmtId="165" fontId="15" fillId="2" borderId="18" xfId="0" applyNumberFormat="1" applyFont="1" applyFill="1" applyBorder="1" applyAlignment="1">
      <alignment horizontal="center"/>
    </xf>
    <xf numFmtId="2" fontId="15" fillId="2" borderId="19" xfId="0" applyNumberFormat="1" applyFont="1" applyFill="1" applyBorder="1" applyAlignment="1">
      <alignment horizontal="center"/>
    </xf>
    <xf numFmtId="0" fontId="15" fillId="0" borderId="145" xfId="0" applyFont="1" applyBorder="1" applyAlignment="1">
      <alignment horizontal="center"/>
    </xf>
    <xf numFmtId="0" fontId="14" fillId="0" borderId="147" xfId="0" applyFont="1" applyBorder="1" applyAlignment="1">
      <alignment horizontal="center"/>
    </xf>
    <xf numFmtId="0" fontId="15" fillId="0" borderId="147" xfId="0" applyFont="1" applyBorder="1" applyAlignment="1">
      <alignment horizontal="center"/>
    </xf>
    <xf numFmtId="0" fontId="15" fillId="0" borderId="148" xfId="0" applyFont="1" applyBorder="1" applyAlignment="1">
      <alignment horizontal="center"/>
    </xf>
    <xf numFmtId="0" fontId="15" fillId="0" borderId="8" xfId="0" applyFont="1" applyBorder="1"/>
    <xf numFmtId="0" fontId="15" fillId="0" borderId="9" xfId="0" applyFont="1" applyBorder="1" applyAlignment="1">
      <alignment horizontal="center"/>
    </xf>
    <xf numFmtId="0" fontId="15" fillId="0" borderId="9" xfId="0" applyFont="1" applyBorder="1"/>
    <xf numFmtId="0" fontId="15" fillId="0" borderId="88" xfId="0" applyFont="1" applyBorder="1"/>
    <xf numFmtId="0" fontId="15" fillId="0" borderId="143" xfId="0" applyFont="1" applyBorder="1" applyAlignment="1">
      <alignment horizontal="center"/>
    </xf>
    <xf numFmtId="0" fontId="15" fillId="0" borderId="143" xfId="0" applyFont="1" applyBorder="1"/>
    <xf numFmtId="0" fontId="15" fillId="0" borderId="142" xfId="0" applyFont="1" applyBorder="1"/>
    <xf numFmtId="0" fontId="14" fillId="0" borderId="146" xfId="0" applyFont="1" applyBorder="1"/>
    <xf numFmtId="0" fontId="0" fillId="0" borderId="149" xfId="0" applyBorder="1"/>
    <xf numFmtId="0" fontId="0" fillId="0" borderId="146" xfId="0" applyBorder="1" applyAlignment="1">
      <alignment horizontal="center"/>
    </xf>
    <xf numFmtId="0" fontId="0" fillId="0" borderId="147" xfId="0" applyBorder="1"/>
    <xf numFmtId="0" fontId="0" fillId="0" borderId="148" xfId="0" applyBorder="1"/>
    <xf numFmtId="49" fontId="0" fillId="0" borderId="79" xfId="0" applyNumberFormat="1" applyBorder="1"/>
    <xf numFmtId="0" fontId="0" fillId="0" borderId="79" xfId="0" applyBorder="1" applyAlignment="1">
      <alignment horizontal="center"/>
    </xf>
    <xf numFmtId="0" fontId="0" fillId="0" borderId="150" xfId="0" applyBorder="1"/>
    <xf numFmtId="0" fontId="0" fillId="0" borderId="145" xfId="0" applyBorder="1" applyAlignment="1">
      <alignment horizontal="center"/>
    </xf>
    <xf numFmtId="0" fontId="0" fillId="2" borderId="145" xfId="0" applyFill="1" applyBorder="1" applyAlignment="1">
      <alignment horizontal="center"/>
    </xf>
    <xf numFmtId="0" fontId="0" fillId="2" borderId="151" xfId="0" applyFill="1" applyBorder="1" applyAlignment="1">
      <alignment horizontal="center"/>
    </xf>
    <xf numFmtId="3" fontId="0" fillId="0" borderId="0" xfId="0" applyNumberFormat="1"/>
    <xf numFmtId="9" fontId="0" fillId="0" borderId="0" xfId="2" applyFont="1"/>
    <xf numFmtId="0" fontId="3" fillId="2" borderId="81" xfId="0" applyFont="1" applyFill="1" applyBorder="1" applyAlignment="1">
      <alignment horizontal="center"/>
    </xf>
    <xf numFmtId="172" fontId="8" fillId="0" borderId="0" xfId="0" applyNumberFormat="1" applyFont="1"/>
    <xf numFmtId="172" fontId="0" fillId="0" borderId="0" xfId="0" applyNumberFormat="1"/>
    <xf numFmtId="0" fontId="0" fillId="0" borderId="145" xfId="0" applyBorder="1"/>
    <xf numFmtId="166" fontId="0" fillId="2" borderId="14" xfId="0" applyNumberFormat="1" applyFill="1" applyBorder="1" applyAlignment="1">
      <alignment horizontal="center"/>
    </xf>
    <xf numFmtId="166" fontId="0" fillId="0" borderId="145" xfId="0" applyNumberFormat="1" applyBorder="1" applyAlignment="1">
      <alignment horizontal="center"/>
    </xf>
    <xf numFmtId="166" fontId="0" fillId="2" borderId="145" xfId="0" applyNumberFormat="1" applyFill="1" applyBorder="1" applyAlignment="1">
      <alignment horizontal="center"/>
    </xf>
    <xf numFmtId="2" fontId="0" fillId="0" borderId="57" xfId="2" applyNumberFormat="1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0" fillId="0" borderId="143" xfId="0" applyBorder="1" applyAlignment="1">
      <alignment horizontal="center"/>
    </xf>
    <xf numFmtId="0" fontId="0" fillId="0" borderId="142" xfId="0" applyBorder="1" applyAlignment="1">
      <alignment horizontal="center"/>
    </xf>
    <xf numFmtId="0" fontId="0" fillId="2" borderId="3" xfId="0" applyFill="1" applyBorder="1"/>
    <xf numFmtId="9" fontId="0" fillId="2" borderId="97" xfId="0" applyNumberFormat="1" applyFill="1" applyBorder="1" applyAlignment="1">
      <alignment horizontal="center"/>
    </xf>
    <xf numFmtId="9" fontId="0" fillId="2" borderId="3" xfId="0" applyNumberFormat="1" applyFill="1" applyBorder="1" applyAlignment="1">
      <alignment horizontal="center"/>
    </xf>
    <xf numFmtId="9" fontId="0" fillId="2" borderId="4" xfId="0" applyNumberFormat="1" applyFill="1" applyBorder="1" applyAlignment="1">
      <alignment horizontal="center"/>
    </xf>
    <xf numFmtId="9" fontId="8" fillId="0" borderId="145" xfId="0" applyNumberFormat="1" applyFont="1" applyBorder="1" applyAlignment="1">
      <alignment horizontal="center"/>
    </xf>
    <xf numFmtId="9" fontId="8" fillId="0" borderId="0" xfId="0" applyNumberFormat="1" applyFont="1"/>
    <xf numFmtId="9" fontId="13" fillId="2" borderId="81" xfId="2" applyFont="1" applyFill="1" applyBorder="1" applyAlignment="1">
      <alignment horizontal="center"/>
    </xf>
    <xf numFmtId="0" fontId="13" fillId="0" borderId="81" xfId="0" applyFont="1" applyBorder="1" applyAlignment="1">
      <alignment horizontal="center"/>
    </xf>
    <xf numFmtId="1" fontId="13" fillId="0" borderId="81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82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88" xfId="0" applyNumberFormat="1" applyBorder="1" applyAlignment="1">
      <alignment horizontal="center" vertical="center"/>
    </xf>
    <xf numFmtId="2" fontId="0" fillId="0" borderId="61" xfId="0" applyNumberFormat="1" applyBorder="1" applyAlignment="1">
      <alignment horizontal="center" vertical="center"/>
    </xf>
    <xf numFmtId="2" fontId="0" fillId="0" borderId="61" xfId="0" applyNumberFormat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0" fillId="0" borderId="143" xfId="0" applyNumberFormat="1" applyBorder="1" applyAlignment="1">
      <alignment horizontal="center" vertical="center"/>
    </xf>
    <xf numFmtId="1" fontId="0" fillId="0" borderId="142" xfId="0" applyNumberFormat="1" applyBorder="1" applyAlignment="1">
      <alignment horizontal="center" vertical="center"/>
    </xf>
    <xf numFmtId="1" fontId="3" fillId="0" borderId="60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2" borderId="8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88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7" fillId="0" borderId="0" xfId="0" applyFont="1"/>
    <xf numFmtId="0" fontId="24" fillId="2" borderId="8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164" fontId="24" fillId="0" borderId="8" xfId="0" applyNumberFormat="1" applyFont="1" applyBorder="1" applyAlignment="1">
      <alignment horizontal="center"/>
    </xf>
    <xf numFmtId="165" fontId="24" fillId="0" borderId="9" xfId="0" applyNumberFormat="1" applyFont="1" applyBorder="1" applyAlignment="1">
      <alignment horizontal="center"/>
    </xf>
    <xf numFmtId="0" fontId="24" fillId="0" borderId="0" xfId="0" applyFont="1"/>
    <xf numFmtId="0" fontId="0" fillId="0" borderId="150" xfId="0" applyBorder="1" applyAlignment="1">
      <alignment horizontal="center"/>
    </xf>
    <xf numFmtId="166" fontId="24" fillId="2" borderId="8" xfId="2" applyNumberFormat="1" applyFont="1" applyFill="1" applyBorder="1" applyAlignment="1">
      <alignment horizontal="center"/>
    </xf>
    <xf numFmtId="0" fontId="0" fillId="0" borderId="151" xfId="0" applyBorder="1" applyAlignment="1">
      <alignment horizontal="center"/>
    </xf>
    <xf numFmtId="0" fontId="0" fillId="0" borderId="82" xfId="3" applyNumberFormat="1" applyFont="1" applyBorder="1" applyAlignment="1">
      <alignment horizontal="center"/>
    </xf>
    <xf numFmtId="0" fontId="0" fillId="0" borderId="94" xfId="3" applyNumberFormat="1" applyFont="1" applyBorder="1" applyAlignment="1">
      <alignment horizontal="center"/>
    </xf>
    <xf numFmtId="0" fontId="0" fillId="0" borderId="143" xfId="3" applyNumberFormat="1" applyFont="1" applyBorder="1" applyAlignment="1">
      <alignment horizontal="center"/>
    </xf>
    <xf numFmtId="0" fontId="0" fillId="0" borderId="142" xfId="3" applyNumberFormat="1" applyFont="1" applyBorder="1" applyAlignment="1">
      <alignment horizontal="center"/>
    </xf>
    <xf numFmtId="0" fontId="0" fillId="0" borderId="97" xfId="0" applyBorder="1" applyAlignment="1">
      <alignment horizontal="center" vertical="center"/>
    </xf>
    <xf numFmtId="9" fontId="0" fillId="2" borderId="0" xfId="0" applyNumberFormat="1" applyFill="1" applyAlignment="1">
      <alignment horizontal="center"/>
    </xf>
    <xf numFmtId="9" fontId="0" fillId="2" borderId="0" xfId="3" applyNumberFormat="1" applyFont="1" applyFill="1" applyBorder="1" applyAlignment="1">
      <alignment horizontal="center"/>
    </xf>
    <xf numFmtId="9" fontId="0" fillId="2" borderId="9" xfId="3" applyNumberFormat="1" applyFont="1" applyFill="1" applyBorder="1" applyAlignment="1">
      <alignment horizontal="center"/>
    </xf>
    <xf numFmtId="9" fontId="0" fillId="0" borderId="150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0" fillId="0" borderId="151" xfId="0" applyNumberFormat="1" applyBorder="1" applyAlignment="1">
      <alignment horizontal="center"/>
    </xf>
    <xf numFmtId="0" fontId="4" fillId="0" borderId="145" xfId="0" applyFont="1" applyBorder="1"/>
    <xf numFmtId="0" fontId="4" fillId="0" borderId="145" xfId="0" applyFont="1" applyBorder="1" applyAlignment="1">
      <alignment horizontal="center"/>
    </xf>
    <xf numFmtId="0" fontId="0" fillId="0" borderId="97" xfId="3" applyNumberFormat="1" applyFont="1" applyBorder="1" applyAlignment="1">
      <alignment horizontal="center"/>
    </xf>
    <xf numFmtId="0" fontId="0" fillId="0" borderId="4" xfId="3" applyNumberFormat="1" applyFont="1" applyBorder="1" applyAlignment="1">
      <alignment horizontal="center"/>
    </xf>
    <xf numFmtId="1" fontId="0" fillId="0" borderId="145" xfId="0" applyNumberFormat="1" applyBorder="1" applyAlignment="1">
      <alignment horizontal="center"/>
    </xf>
    <xf numFmtId="9" fontId="4" fillId="2" borderId="145" xfId="2" applyFont="1" applyFill="1" applyBorder="1" applyAlignment="1">
      <alignment horizontal="center"/>
    </xf>
    <xf numFmtId="9" fontId="0" fillId="2" borderId="145" xfId="2" applyFont="1" applyFill="1" applyBorder="1" applyAlignment="1">
      <alignment horizontal="center"/>
    </xf>
    <xf numFmtId="0" fontId="0" fillId="0" borderId="0" xfId="3" applyNumberFormat="1" applyFont="1" applyFill="1" applyBorder="1" applyAlignment="1">
      <alignment horizontal="center"/>
    </xf>
    <xf numFmtId="9" fontId="4" fillId="0" borderId="96" xfId="2" applyFont="1" applyFill="1" applyBorder="1" applyAlignment="1">
      <alignment horizontal="center"/>
    </xf>
    <xf numFmtId="9" fontId="0" fillId="0" borderId="145" xfId="2" applyFont="1" applyBorder="1" applyAlignment="1">
      <alignment horizontal="center"/>
    </xf>
    <xf numFmtId="9" fontId="0" fillId="0" borderId="97" xfId="0" applyNumberFormat="1" applyBorder="1" applyAlignment="1">
      <alignment horizontal="center"/>
    </xf>
    <xf numFmtId="9" fontId="0" fillId="0" borderId="61" xfId="0" applyNumberFormat="1" applyBorder="1" applyAlignment="1">
      <alignment horizontal="center"/>
    </xf>
    <xf numFmtId="9" fontId="0" fillId="0" borderId="81" xfId="0" applyNumberFormat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178" fontId="8" fillId="0" borderId="145" xfId="3" applyNumberFormat="1" applyFont="1" applyBorder="1" applyAlignment="1">
      <alignment horizontal="center"/>
    </xf>
    <xf numFmtId="0" fontId="0" fillId="2" borderId="145" xfId="0" applyFill="1" applyBorder="1"/>
    <xf numFmtId="0" fontId="0" fillId="2" borderId="14" xfId="0" applyFill="1" applyBorder="1"/>
    <xf numFmtId="0" fontId="0" fillId="0" borderId="152" xfId="0" applyBorder="1"/>
    <xf numFmtId="44" fontId="0" fillId="0" borderId="153" xfId="0" applyNumberFormat="1" applyBorder="1"/>
    <xf numFmtId="0" fontId="0" fillId="2" borderId="143" xfId="0" applyFill="1" applyBorder="1" applyAlignment="1">
      <alignment horizontal="center"/>
    </xf>
    <xf numFmtId="0" fontId="0" fillId="0" borderId="154" xfId="0" applyBorder="1"/>
    <xf numFmtId="9" fontId="0" fillId="2" borderId="93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2" borderId="88" xfId="0" applyNumberFormat="1" applyFill="1" applyBorder="1" applyAlignment="1">
      <alignment horizontal="center"/>
    </xf>
    <xf numFmtId="0" fontId="0" fillId="2" borderId="88" xfId="0" applyFill="1" applyBorder="1"/>
    <xf numFmtId="0" fontId="8" fillId="0" borderId="143" xfId="0" applyFont="1" applyBorder="1" applyAlignment="1">
      <alignment horizontal="center"/>
    </xf>
    <xf numFmtId="9" fontId="8" fillId="2" borderId="145" xfId="2" applyFont="1" applyFill="1" applyBorder="1" applyAlignment="1">
      <alignment horizontal="center"/>
    </xf>
    <xf numFmtId="0" fontId="8" fillId="0" borderId="145" xfId="0" applyFont="1" applyBorder="1" applyAlignment="1">
      <alignment horizontal="center"/>
    </xf>
    <xf numFmtId="9" fontId="8" fillId="0" borderId="145" xfId="2" applyFont="1" applyBorder="1" applyAlignment="1">
      <alignment horizontal="center"/>
    </xf>
    <xf numFmtId="9" fontId="0" fillId="0" borderId="112" xfId="2" applyFont="1" applyFill="1" applyBorder="1" applyAlignment="1">
      <alignment horizontal="center"/>
    </xf>
    <xf numFmtId="0" fontId="0" fillId="0" borderId="155" xfId="0" applyBorder="1" applyAlignment="1">
      <alignment horizontal="center"/>
    </xf>
    <xf numFmtId="0" fontId="0" fillId="0" borderId="156" xfId="0" applyBorder="1" applyAlignment="1">
      <alignment horizontal="center"/>
    </xf>
    <xf numFmtId="0" fontId="0" fillId="0" borderId="157" xfId="0" applyBorder="1" applyAlignment="1">
      <alignment horizontal="center"/>
    </xf>
    <xf numFmtId="0" fontId="0" fillId="2" borderId="155" xfId="0" applyFill="1" applyBorder="1" applyAlignment="1">
      <alignment horizontal="center"/>
    </xf>
    <xf numFmtId="0" fontId="0" fillId="2" borderId="156" xfId="0" applyFill="1" applyBorder="1" applyAlignment="1">
      <alignment horizontal="center"/>
    </xf>
    <xf numFmtId="1" fontId="0" fillId="2" borderId="156" xfId="0" applyNumberFormat="1" applyFill="1" applyBorder="1" applyAlignment="1">
      <alignment horizontal="center"/>
    </xf>
    <xf numFmtId="0" fontId="0" fillId="2" borderId="157" xfId="0" applyFill="1" applyBorder="1" applyAlignment="1">
      <alignment horizontal="center"/>
    </xf>
    <xf numFmtId="0" fontId="0" fillId="2" borderId="142" xfId="0" applyFill="1" applyBorder="1" applyAlignment="1">
      <alignment horizontal="center"/>
    </xf>
    <xf numFmtId="9" fontId="13" fillId="2" borderId="61" xfId="2" applyFont="1" applyFill="1" applyBorder="1" applyAlignment="1">
      <alignment horizontal="center"/>
    </xf>
    <xf numFmtId="0" fontId="4" fillId="2" borderId="145" xfId="0" applyFont="1" applyFill="1" applyBorder="1" applyAlignment="1">
      <alignment horizontal="center"/>
    </xf>
    <xf numFmtId="0" fontId="0" fillId="2" borderId="145" xfId="3" applyNumberFormat="1" applyFont="1" applyFill="1" applyBorder="1" applyAlignment="1">
      <alignment horizontal="center"/>
    </xf>
    <xf numFmtId="0" fontId="4" fillId="0" borderId="149" xfId="0" applyFont="1" applyBorder="1" applyAlignment="1">
      <alignment horizontal="center"/>
    </xf>
    <xf numFmtId="0" fontId="0" fillId="0" borderId="149" xfId="0" applyBorder="1" applyAlignment="1">
      <alignment horizontal="center"/>
    </xf>
    <xf numFmtId="0" fontId="0" fillId="0" borderId="149" xfId="3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0" fontId="0" fillId="2" borderId="145" xfId="2" applyNumberFormat="1" applyFont="1" applyFill="1" applyBorder="1" applyAlignment="1">
      <alignment horizontal="center"/>
    </xf>
    <xf numFmtId="10" fontId="0" fillId="0" borderId="60" xfId="2" applyNumberFormat="1" applyFont="1" applyFill="1" applyBorder="1" applyAlignment="1">
      <alignment horizontal="center"/>
    </xf>
    <xf numFmtId="9" fontId="0" fillId="0" borderId="0" xfId="0" applyNumberFormat="1"/>
    <xf numFmtId="49" fontId="0" fillId="0" borderId="149" xfId="0" applyNumberFormat="1" applyBorder="1" applyAlignment="1">
      <alignment horizontal="center"/>
    </xf>
    <xf numFmtId="9" fontId="4" fillId="0" borderId="4" xfId="0" applyNumberFormat="1" applyFont="1" applyBorder="1"/>
    <xf numFmtId="49" fontId="0" fillId="0" borderId="4" xfId="0" applyNumberFormat="1" applyBorder="1" applyAlignment="1">
      <alignment horizontal="center"/>
    </xf>
    <xf numFmtId="49" fontId="0" fillId="0" borderId="94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42" xfId="0" applyNumberFormat="1" applyBorder="1" applyAlignment="1">
      <alignment horizontal="center"/>
    </xf>
    <xf numFmtId="9" fontId="0" fillId="2" borderId="149" xfId="0" applyNumberFormat="1" applyFill="1" applyBorder="1" applyAlignment="1">
      <alignment horizontal="center"/>
    </xf>
    <xf numFmtId="0" fontId="4" fillId="0" borderId="143" xfId="0" applyFont="1" applyBorder="1" applyAlignment="1">
      <alignment horizontal="center"/>
    </xf>
    <xf numFmtId="0" fontId="4" fillId="0" borderId="142" xfId="0" applyFont="1" applyBorder="1" applyAlignment="1">
      <alignment horizontal="center"/>
    </xf>
    <xf numFmtId="0" fontId="4" fillId="0" borderId="150" xfId="0" applyFont="1" applyBorder="1" applyAlignment="1">
      <alignment horizontal="center"/>
    </xf>
    <xf numFmtId="0" fontId="5" fillId="0" borderId="3" xfId="0" applyFont="1" applyBorder="1" applyAlignment="1">
      <alignment horizontal="center" vertical="top" wrapText="1"/>
    </xf>
    <xf numFmtId="14" fontId="5" fillId="0" borderId="3" xfId="0" applyNumberFormat="1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1" fontId="4" fillId="0" borderId="0" xfId="0" applyNumberFormat="1" applyFont="1"/>
    <xf numFmtId="0" fontId="4" fillId="0" borderId="158" xfId="0" applyFont="1" applyBorder="1" applyAlignment="1">
      <alignment horizontal="center"/>
    </xf>
    <xf numFmtId="0" fontId="4" fillId="0" borderId="149" xfId="0" applyFont="1" applyBorder="1"/>
    <xf numFmtId="0" fontId="0" fillId="2" borderId="158" xfId="0" applyFill="1" applyBorder="1" applyAlignment="1">
      <alignment horizontal="center"/>
    </xf>
    <xf numFmtId="9" fontId="0" fillId="0" borderId="81" xfId="2" applyFont="1" applyFill="1" applyBorder="1" applyAlignment="1">
      <alignment horizontal="center"/>
    </xf>
    <xf numFmtId="9" fontId="8" fillId="0" borderId="81" xfId="2" applyFont="1" applyFill="1" applyBorder="1" applyAlignment="1">
      <alignment horizontal="center"/>
    </xf>
    <xf numFmtId="1" fontId="4" fillId="0" borderId="145" xfId="0" applyNumberFormat="1" applyFont="1" applyBorder="1" applyAlignment="1">
      <alignment horizontal="center"/>
    </xf>
    <xf numFmtId="1" fontId="4" fillId="0" borderId="158" xfId="0" applyNumberFormat="1" applyFont="1" applyBorder="1" applyAlignment="1">
      <alignment horizontal="center"/>
    </xf>
    <xf numFmtId="0" fontId="4" fillId="0" borderId="88" xfId="0" applyFont="1" applyBorder="1" applyAlignment="1">
      <alignment horizontal="right"/>
    </xf>
    <xf numFmtId="0" fontId="4" fillId="0" borderId="21" xfId="0" applyFont="1" applyBorder="1"/>
    <xf numFmtId="0" fontId="0" fillId="0" borderId="22" xfId="0" applyBorder="1"/>
    <xf numFmtId="0" fontId="0" fillId="0" borderId="121" xfId="0" applyBorder="1"/>
    <xf numFmtId="44" fontId="0" fillId="0" borderId="110" xfId="3" applyFont="1" applyBorder="1"/>
    <xf numFmtId="9" fontId="0" fillId="0" borderId="96" xfId="2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8" fillId="0" borderId="0" xfId="2" applyFont="1" applyFill="1" applyBorder="1" applyAlignment="1">
      <alignment horizontal="center"/>
    </xf>
    <xf numFmtId="9" fontId="8" fillId="0" borderId="145" xfId="2" applyFont="1" applyFill="1" applyBorder="1" applyAlignment="1">
      <alignment horizontal="center"/>
    </xf>
    <xf numFmtId="1" fontId="0" fillId="0" borderId="145" xfId="2" applyNumberFormat="1" applyFont="1" applyBorder="1" applyAlignment="1">
      <alignment horizontal="center"/>
    </xf>
    <xf numFmtId="0" fontId="0" fillId="2" borderId="149" xfId="0" applyFill="1" applyBorder="1" applyAlignment="1">
      <alignment horizontal="center"/>
    </xf>
    <xf numFmtId="0" fontId="8" fillId="2" borderId="149" xfId="0" applyFont="1" applyFill="1" applyBorder="1" applyAlignment="1">
      <alignment horizontal="center"/>
    </xf>
    <xf numFmtId="0" fontId="4" fillId="2" borderId="145" xfId="0" applyFont="1" applyFill="1" applyBorder="1"/>
    <xf numFmtId="2" fontId="0" fillId="0" borderId="145" xfId="0" applyNumberFormat="1" applyBorder="1" applyAlignment="1">
      <alignment horizontal="center"/>
    </xf>
    <xf numFmtId="0" fontId="8" fillId="0" borderId="150" xfId="0" applyFont="1" applyBorder="1"/>
    <xf numFmtId="0" fontId="8" fillId="0" borderId="145" xfId="0" applyFont="1" applyBorder="1"/>
    <xf numFmtId="0" fontId="8" fillId="0" borderId="150" xfId="0" applyFont="1" applyBorder="1" applyAlignment="1">
      <alignment horizontal="center"/>
    </xf>
    <xf numFmtId="9" fontId="27" fillId="2" borderId="3" xfId="2" applyFont="1" applyFill="1" applyBorder="1" applyAlignment="1">
      <alignment horizontal="center"/>
    </xf>
    <xf numFmtId="9" fontId="27" fillId="2" borderId="4" xfId="2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49" fontId="28" fillId="0" borderId="5" xfId="0" applyNumberFormat="1" applyFont="1" applyBorder="1"/>
    <xf numFmtId="0" fontId="24" fillId="0" borderId="82" xfId="0" applyFont="1" applyBorder="1"/>
    <xf numFmtId="172" fontId="24" fillId="0" borderId="82" xfId="0" applyNumberFormat="1" applyFont="1" applyBorder="1"/>
    <xf numFmtId="0" fontId="24" fillId="0" borderId="94" xfId="0" applyFont="1" applyBorder="1"/>
    <xf numFmtId="49" fontId="28" fillId="0" borderId="8" xfId="0" applyNumberFormat="1" applyFont="1" applyBorder="1"/>
    <xf numFmtId="172" fontId="24" fillId="0" borderId="0" xfId="0" applyNumberFormat="1" applyFont="1"/>
    <xf numFmtId="0" fontId="24" fillId="0" borderId="9" xfId="0" applyFont="1" applyBorder="1"/>
    <xf numFmtId="0" fontId="24" fillId="0" borderId="8" xfId="0" applyFont="1" applyBorder="1"/>
    <xf numFmtId="0" fontId="24" fillId="0" borderId="145" xfId="0" applyFont="1" applyBorder="1" applyAlignment="1">
      <alignment horizontal="center"/>
    </xf>
    <xf numFmtId="0" fontId="24" fillId="0" borderId="158" xfId="0" applyFont="1" applyBorder="1" applyAlignment="1">
      <alignment horizontal="center"/>
    </xf>
    <xf numFmtId="49" fontId="28" fillId="0" borderId="88" xfId="0" applyNumberFormat="1" applyFont="1" applyBorder="1"/>
    <xf numFmtId="0" fontId="24" fillId="0" borderId="143" xfId="0" applyFont="1" applyBorder="1"/>
    <xf numFmtId="172" fontId="24" fillId="0" borderId="143" xfId="0" applyNumberFormat="1" applyFont="1" applyBorder="1"/>
    <xf numFmtId="0" fontId="24" fillId="0" borderId="142" xfId="0" applyFont="1" applyBorder="1"/>
    <xf numFmtId="0" fontId="24" fillId="0" borderId="5" xfId="0" applyFont="1" applyBorder="1"/>
    <xf numFmtId="0" fontId="0" fillId="0" borderId="0" xfId="0" applyAlignment="1">
      <alignment wrapText="1"/>
    </xf>
    <xf numFmtId="1" fontId="23" fillId="0" borderId="0" xfId="0" applyNumberFormat="1" applyFont="1" applyAlignment="1">
      <alignment wrapText="1"/>
    </xf>
    <xf numFmtId="0" fontId="0" fillId="2" borderId="5" xfId="0" applyFill="1" applyBorder="1" applyAlignment="1">
      <alignment horizontal="center"/>
    </xf>
    <xf numFmtId="0" fontId="29" fillId="9" borderId="159" xfId="0" applyFont="1" applyFill="1" applyBorder="1"/>
    <xf numFmtId="0" fontId="0" fillId="5" borderId="0" xfId="0" applyFill="1" applyAlignment="1">
      <alignment horizontal="center"/>
    </xf>
    <xf numFmtId="0" fontId="8" fillId="0" borderId="0" xfId="5"/>
    <xf numFmtId="0" fontId="8" fillId="2" borderId="0" xfId="5" quotePrefix="1" applyFill="1"/>
    <xf numFmtId="172" fontId="8" fillId="7" borderId="0" xfId="5" applyNumberFormat="1" applyFill="1"/>
    <xf numFmtId="0" fontId="8" fillId="5" borderId="0" xfId="5" applyFill="1"/>
    <xf numFmtId="0" fontId="8" fillId="2" borderId="0" xfId="5" applyFill="1"/>
    <xf numFmtId="1" fontId="8" fillId="2" borderId="0" xfId="5" applyNumberFormat="1" applyFill="1"/>
    <xf numFmtId="1" fontId="8" fillId="5" borderId="0" xfId="5" applyNumberFormat="1" applyFill="1"/>
    <xf numFmtId="3" fontId="8" fillId="2" borderId="0" xfId="5" applyNumberFormat="1" applyFill="1"/>
    <xf numFmtId="3" fontId="8" fillId="5" borderId="0" xfId="5" applyNumberFormat="1" applyFill="1"/>
    <xf numFmtId="2" fontId="8" fillId="0" borderId="0" xfId="5" applyNumberFormat="1"/>
    <xf numFmtId="1" fontId="8" fillId="0" borderId="0" xfId="5" applyNumberFormat="1"/>
    <xf numFmtId="165" fontId="8" fillId="0" borderId="0" xfId="5" applyNumberFormat="1"/>
    <xf numFmtId="167" fontId="0" fillId="0" borderId="0" xfId="6" applyFont="1"/>
    <xf numFmtId="179" fontId="0" fillId="0" borderId="0" xfId="6" applyNumberFormat="1" applyFont="1"/>
    <xf numFmtId="172" fontId="0" fillId="0" borderId="0" xfId="6" applyNumberFormat="1" applyFont="1"/>
    <xf numFmtId="172" fontId="0" fillId="0" borderId="0" xfId="6" applyNumberFormat="1" applyFont="1" applyFill="1"/>
    <xf numFmtId="177" fontId="8" fillId="0" borderId="0" xfId="5" applyNumberFormat="1"/>
    <xf numFmtId="164" fontId="8" fillId="0" borderId="0" xfId="5" applyNumberFormat="1"/>
    <xf numFmtId="167" fontId="0" fillId="0" borderId="0" xfId="6" applyFont="1" applyFill="1"/>
    <xf numFmtId="172" fontId="8" fillId="0" borderId="0" xfId="5" applyNumberFormat="1"/>
    <xf numFmtId="9" fontId="0" fillId="2" borderId="0" xfId="7" applyFont="1" applyFill="1"/>
    <xf numFmtId="167" fontId="8" fillId="0" borderId="0" xfId="5" applyNumberFormat="1"/>
    <xf numFmtId="9" fontId="0" fillId="5" borderId="0" xfId="7" applyFont="1" applyFill="1"/>
    <xf numFmtId="0" fontId="0" fillId="0" borderId="0" xfId="6" applyNumberFormat="1" applyFont="1"/>
    <xf numFmtId="167" fontId="0" fillId="2" borderId="0" xfId="6" applyFont="1" applyFill="1"/>
    <xf numFmtId="180" fontId="0" fillId="2" borderId="0" xfId="6" applyNumberFormat="1" applyFont="1" applyFill="1"/>
    <xf numFmtId="0" fontId="7" fillId="0" borderId="0" xfId="5" applyFont="1"/>
    <xf numFmtId="0" fontId="8" fillId="0" borderId="0" xfId="5" applyAlignment="1">
      <alignment horizontal="center"/>
    </xf>
    <xf numFmtId="0" fontId="8" fillId="0" borderId="0" xfId="5" quotePrefix="1"/>
    <xf numFmtId="49" fontId="0" fillId="0" borderId="142" xfId="0" applyNumberFormat="1" applyBorder="1"/>
    <xf numFmtId="0" fontId="0" fillId="5" borderId="0" xfId="0" applyFill="1"/>
    <xf numFmtId="0" fontId="10" fillId="0" borderId="82" xfId="0" applyFont="1" applyBorder="1"/>
    <xf numFmtId="44" fontId="0" fillId="2" borderId="0" xfId="3" applyFont="1" applyFill="1"/>
    <xf numFmtId="44" fontId="0" fillId="0" borderId="0" xfId="3" applyFont="1" applyFill="1"/>
    <xf numFmtId="44" fontId="0" fillId="7" borderId="0" xfId="3" applyFont="1" applyFill="1"/>
    <xf numFmtId="0" fontId="0" fillId="0" borderId="0" xfId="0" quotePrefix="1"/>
    <xf numFmtId="0" fontId="0" fillId="7" borderId="0" xfId="0" applyFill="1"/>
    <xf numFmtId="0" fontId="8" fillId="10" borderId="0" xfId="5" quotePrefix="1" applyFill="1"/>
    <xf numFmtId="3" fontId="0" fillId="2" borderId="0" xfId="0" applyNumberFormat="1" applyFill="1"/>
    <xf numFmtId="165" fontId="0" fillId="0" borderId="0" xfId="0" applyNumberFormat="1"/>
    <xf numFmtId="2" fontId="0" fillId="2" borderId="0" xfId="0" applyNumberFormat="1" applyFill="1"/>
    <xf numFmtId="1" fontId="0" fillId="7" borderId="0" xfId="0" applyNumberFormat="1" applyFill="1"/>
    <xf numFmtId="0" fontId="0" fillId="10" borderId="0" xfId="0" applyFill="1"/>
    <xf numFmtId="44" fontId="0" fillId="0" borderId="0" xfId="0" applyNumberFormat="1"/>
    <xf numFmtId="0" fontId="10" fillId="2" borderId="0" xfId="0" applyFont="1" applyFill="1"/>
    <xf numFmtId="44" fontId="8" fillId="11" borderId="81" xfId="0" applyNumberFormat="1" applyFont="1" applyFill="1" applyBorder="1"/>
    <xf numFmtId="44" fontId="8" fillId="11" borderId="3" xfId="0" applyNumberFormat="1" applyFont="1" applyFill="1" applyBorder="1"/>
    <xf numFmtId="44" fontId="8" fillId="0" borderId="96" xfId="3" applyFont="1" applyFill="1" applyBorder="1"/>
    <xf numFmtId="44" fontId="8" fillId="0" borderId="81" xfId="3" applyFont="1" applyFill="1" applyBorder="1"/>
    <xf numFmtId="44" fontId="8" fillId="10" borderId="0" xfId="3" applyFont="1" applyFill="1"/>
    <xf numFmtId="44" fontId="8" fillId="0" borderId="0" xfId="3" applyFont="1" applyFill="1"/>
    <xf numFmtId="167" fontId="0" fillId="7" borderId="0" xfId="6" applyFont="1" applyFill="1"/>
    <xf numFmtId="44" fontId="4" fillId="0" borderId="81" xfId="0" applyNumberFormat="1" applyFont="1" applyBorder="1"/>
    <xf numFmtId="0" fontId="8" fillId="10" borderId="0" xfId="0" applyFont="1" applyFill="1"/>
    <xf numFmtId="0" fontId="8" fillId="0" borderId="0" xfId="0" quotePrefix="1" applyFont="1"/>
    <xf numFmtId="44" fontId="8" fillId="0" borderId="0" xfId="3" applyFont="1" applyFill="1" applyAlignment="1">
      <alignment horizontal="center"/>
    </xf>
    <xf numFmtId="9" fontId="0" fillId="0" borderId="150" xfId="2" applyFont="1" applyBorder="1" applyAlignment="1">
      <alignment horizontal="center"/>
    </xf>
    <xf numFmtId="0" fontId="0" fillId="0" borderId="158" xfId="0" applyBorder="1" applyAlignment="1">
      <alignment horizontal="center"/>
    </xf>
    <xf numFmtId="9" fontId="0" fillId="0" borderId="151" xfId="2" applyFont="1" applyBorder="1" applyAlignment="1">
      <alignment horizontal="center"/>
    </xf>
    <xf numFmtId="0" fontId="0" fillId="0" borderId="145" xfId="3" applyNumberFormat="1" applyFont="1" applyBorder="1" applyAlignment="1">
      <alignment horizontal="center"/>
    </xf>
    <xf numFmtId="9" fontId="0" fillId="2" borderId="145" xfId="3" applyNumberFormat="1" applyFont="1" applyFill="1" applyBorder="1" applyAlignment="1">
      <alignment horizontal="center"/>
    </xf>
    <xf numFmtId="10" fontId="0" fillId="2" borderId="82" xfId="0" applyNumberForma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143" xfId="0" applyNumberFormat="1" applyFill="1" applyBorder="1" applyAlignment="1">
      <alignment horizontal="center"/>
    </xf>
    <xf numFmtId="0" fontId="30" fillId="0" borderId="116" xfId="0" applyFont="1" applyBorder="1" applyAlignment="1">
      <alignment horizontal="center" vertical="top" wrapText="1"/>
    </xf>
    <xf numFmtId="0" fontId="30" fillId="0" borderId="95" xfId="0" applyFont="1" applyBorder="1" applyAlignment="1">
      <alignment horizontal="center" vertical="top" wrapText="1"/>
    </xf>
    <xf numFmtId="0" fontId="30" fillId="0" borderId="96" xfId="0" applyFont="1" applyBorder="1" applyAlignment="1">
      <alignment horizontal="center" vertical="top" wrapText="1"/>
    </xf>
    <xf numFmtId="0" fontId="31" fillId="0" borderId="3" xfId="0" applyFont="1" applyBorder="1"/>
    <xf numFmtId="0" fontId="31" fillId="0" borderId="3" xfId="0" applyFont="1" applyBorder="1" applyAlignment="1">
      <alignment horizontal="center"/>
    </xf>
    <xf numFmtId="14" fontId="31" fillId="0" borderId="3" xfId="0" applyNumberFormat="1" applyFont="1" applyBorder="1" applyAlignment="1">
      <alignment horizontal="center"/>
    </xf>
    <xf numFmtId="0" fontId="8" fillId="0" borderId="120" xfId="0" applyFont="1" applyBorder="1"/>
    <xf numFmtId="0" fontId="8" fillId="0" borderId="119" xfId="0" applyFont="1" applyBorder="1"/>
    <xf numFmtId="0" fontId="8" fillId="0" borderId="160" xfId="0" applyFont="1" applyBorder="1"/>
    <xf numFmtId="0" fontId="8" fillId="2" borderId="160" xfId="0" applyFont="1" applyFill="1" applyBorder="1" applyAlignment="1">
      <alignment horizontal="center"/>
    </xf>
    <xf numFmtId="0" fontId="8" fillId="0" borderId="160" xfId="0" applyFont="1" applyBorder="1" applyAlignment="1">
      <alignment horizontal="center"/>
    </xf>
    <xf numFmtId="0" fontId="0" fillId="0" borderId="158" xfId="0" applyBorder="1"/>
    <xf numFmtId="2" fontId="0" fillId="0" borderId="151" xfId="0" applyNumberFormat="1" applyBorder="1" applyAlignment="1">
      <alignment horizontal="center"/>
    </xf>
    <xf numFmtId="1" fontId="0" fillId="0" borderId="158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50" xfId="0" applyNumberFormat="1" applyBorder="1" applyAlignment="1">
      <alignment horizontal="center"/>
    </xf>
    <xf numFmtId="1" fontId="0" fillId="0" borderId="151" xfId="0" applyNumberFormat="1" applyBorder="1" applyAlignment="1">
      <alignment horizontal="center"/>
    </xf>
    <xf numFmtId="9" fontId="8" fillId="0" borderId="0" xfId="2" applyFont="1" applyAlignment="1">
      <alignment horizontal="center"/>
    </xf>
    <xf numFmtId="44" fontId="8" fillId="0" borderId="0" xfId="5" applyNumberFormat="1"/>
    <xf numFmtId="167" fontId="0" fillId="10" borderId="0" xfId="6" applyFont="1" applyFill="1"/>
    <xf numFmtId="2" fontId="0" fillId="10" borderId="0" xfId="6" applyNumberFormat="1" applyFont="1" applyFill="1"/>
    <xf numFmtId="0" fontId="8" fillId="0" borderId="102" xfId="5" applyBorder="1"/>
    <xf numFmtId="0" fontId="8" fillId="0" borderId="103" xfId="5" applyBorder="1"/>
    <xf numFmtId="0" fontId="8" fillId="0" borderId="16" xfId="5" applyBorder="1"/>
    <xf numFmtId="0" fontId="8" fillId="0" borderId="17" xfId="5" applyBorder="1"/>
    <xf numFmtId="0" fontId="8" fillId="0" borderId="18" xfId="5" applyBorder="1"/>
    <xf numFmtId="0" fontId="8" fillId="0" borderId="19" xfId="5" applyBorder="1"/>
    <xf numFmtId="0" fontId="8" fillId="0" borderId="52" xfId="5" applyBorder="1"/>
    <xf numFmtId="0" fontId="8" fillId="0" borderId="55" xfId="5" applyBorder="1"/>
    <xf numFmtId="0" fontId="8" fillId="0" borderId="57" xfId="5" applyBorder="1"/>
    <xf numFmtId="44" fontId="8" fillId="2" borderId="0" xfId="3" applyFont="1" applyFill="1"/>
    <xf numFmtId="9" fontId="8" fillId="0" borderId="0" xfId="2" applyFont="1"/>
    <xf numFmtId="0" fontId="32" fillId="9" borderId="159" xfId="0" applyFont="1" applyFill="1" applyBorder="1"/>
    <xf numFmtId="0" fontId="33" fillId="12" borderId="161" xfId="0" applyFont="1" applyFill="1" applyBorder="1"/>
    <xf numFmtId="172" fontId="0" fillId="0" borderId="0" xfId="3" applyNumberFormat="1" applyFont="1"/>
    <xf numFmtId="0" fontId="10" fillId="13" borderId="0" xfId="8" applyFont="1" applyFill="1"/>
    <xf numFmtId="0" fontId="1" fillId="13" borderId="0" xfId="8" applyFill="1"/>
    <xf numFmtId="0" fontId="1" fillId="0" borderId="0" xfId="8"/>
    <xf numFmtId="176" fontId="1" fillId="2" borderId="61" xfId="3" applyNumberFormat="1" applyFill="1" applyBorder="1"/>
    <xf numFmtId="0" fontId="1" fillId="2" borderId="61" xfId="8" applyFill="1" applyBorder="1"/>
    <xf numFmtId="0" fontId="1" fillId="5" borderId="0" xfId="8" applyFill="1"/>
    <xf numFmtId="176" fontId="0" fillId="5" borderId="0" xfId="9" applyNumberFormat="1" applyFont="1" applyFill="1"/>
    <xf numFmtId="0" fontId="10" fillId="0" borderId="0" xfId="8" applyFont="1"/>
    <xf numFmtId="44" fontId="0" fillId="5" borderId="0" xfId="9" applyFont="1" applyFill="1"/>
    <xf numFmtId="176" fontId="1" fillId="0" borderId="0" xfId="8" applyNumberFormat="1"/>
    <xf numFmtId="164" fontId="1" fillId="0" borderId="0" xfId="8" applyNumberFormat="1"/>
    <xf numFmtId="172" fontId="1" fillId="0" borderId="0" xfId="8" applyNumberFormat="1"/>
    <xf numFmtId="44" fontId="0" fillId="0" borderId="0" xfId="9" applyFont="1"/>
    <xf numFmtId="176" fontId="0" fillId="2" borderId="61" xfId="9" applyNumberFormat="1" applyFont="1" applyFill="1" applyBorder="1"/>
    <xf numFmtId="44" fontId="1" fillId="0" borderId="0" xfId="8" applyNumberFormat="1"/>
    <xf numFmtId="172" fontId="0" fillId="5" borderId="0" xfId="9" applyNumberFormat="1" applyFont="1" applyFill="1"/>
    <xf numFmtId="0" fontId="1" fillId="0" borderId="52" xfId="8" applyBorder="1"/>
    <xf numFmtId="0" fontId="1" fillId="0" borderId="61" xfId="8" applyBorder="1"/>
    <xf numFmtId="0" fontId="1" fillId="10" borderId="61" xfId="8" applyFill="1" applyBorder="1"/>
    <xf numFmtId="2" fontId="1" fillId="5" borderId="23" xfId="8" applyNumberFormat="1" applyFill="1" applyBorder="1"/>
    <xf numFmtId="0" fontId="1" fillId="0" borderId="0" xfId="8" quotePrefix="1" applyAlignment="1">
      <alignment horizontal="right"/>
    </xf>
    <xf numFmtId="1" fontId="0" fillId="2" borderId="61" xfId="9" applyNumberFormat="1" applyFont="1" applyFill="1" applyBorder="1"/>
    <xf numFmtId="176" fontId="1" fillId="5" borderId="0" xfId="8" applyNumberFormat="1" applyFill="1"/>
    <xf numFmtId="2" fontId="1" fillId="5" borderId="0" xfId="8" applyNumberFormat="1" applyFill="1"/>
    <xf numFmtId="164" fontId="1" fillId="5" borderId="0" xfId="8" applyNumberFormat="1" applyFill="1"/>
    <xf numFmtId="9" fontId="0" fillId="2" borderId="61" xfId="9" applyNumberFormat="1" applyFont="1" applyFill="1" applyBorder="1"/>
    <xf numFmtId="44" fontId="1" fillId="5" borderId="0" xfId="8" applyNumberFormat="1" applyFill="1"/>
    <xf numFmtId="172" fontId="1" fillId="5" borderId="0" xfId="8" applyNumberFormat="1" applyFill="1"/>
    <xf numFmtId="9" fontId="1" fillId="2" borderId="61" xfId="8" applyNumberFormat="1" applyFill="1" applyBorder="1"/>
    <xf numFmtId="177" fontId="1" fillId="0" borderId="0" xfId="8" applyNumberFormat="1"/>
    <xf numFmtId="9" fontId="0" fillId="5" borderId="0" xfId="0" applyNumberFormat="1" applyFill="1"/>
    <xf numFmtId="172" fontId="1" fillId="5" borderId="61" xfId="8" applyNumberFormat="1" applyFill="1" applyBorder="1"/>
    <xf numFmtId="44" fontId="1" fillId="2" borderId="61" xfId="3" applyFill="1" applyBorder="1"/>
    <xf numFmtId="181" fontId="1" fillId="5" borderId="0" xfId="8" applyNumberFormat="1" applyFill="1"/>
    <xf numFmtId="181" fontId="1" fillId="2" borderId="0" xfId="8" applyNumberFormat="1" applyFill="1"/>
    <xf numFmtId="0" fontId="0" fillId="13" borderId="0" xfId="0" applyFill="1"/>
    <xf numFmtId="44" fontId="0" fillId="5" borderId="0" xfId="0" applyNumberFormat="1" applyFill="1"/>
    <xf numFmtId="44" fontId="1" fillId="13" borderId="0" xfId="8" applyNumberFormat="1" applyFill="1"/>
    <xf numFmtId="172" fontId="0" fillId="5" borderId="0" xfId="0" applyNumberFormat="1" applyFill="1"/>
    <xf numFmtId="0" fontId="12" fillId="0" borderId="21" xfId="0" applyFont="1" applyBorder="1"/>
    <xf numFmtId="0" fontId="12" fillId="0" borderId="23" xfId="0" applyFont="1" applyBorder="1"/>
    <xf numFmtId="44" fontId="0" fillId="0" borderId="0" xfId="3" applyFont="1"/>
    <xf numFmtId="177" fontId="0" fillId="2" borderId="0" xfId="0" applyNumberFormat="1" applyFill="1"/>
    <xf numFmtId="0" fontId="24" fillId="0" borderId="0" xfId="0" applyFont="1" applyAlignment="1">
      <alignment horizontal="center"/>
    </xf>
    <xf numFmtId="1" fontId="1" fillId="5" borderId="0" xfId="8" applyNumberFormat="1" applyFill="1"/>
    <xf numFmtId="44" fontId="33" fillId="12" borderId="161" xfId="0" applyNumberFormat="1" applyFont="1" applyFill="1" applyBorder="1"/>
    <xf numFmtId="0" fontId="10" fillId="0" borderId="60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77" fontId="24" fillId="0" borderId="149" xfId="0" applyNumberFormat="1" applyFont="1" applyBorder="1" applyAlignment="1">
      <alignment horizontal="center" vertical="center"/>
    </xf>
    <xf numFmtId="177" fontId="24" fillId="0" borderId="4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94" xfId="0" applyFont="1" applyBorder="1" applyAlignment="1">
      <alignment horizontal="center" vertical="center"/>
    </xf>
    <xf numFmtId="0" fontId="24" fillId="0" borderId="88" xfId="0" applyFont="1" applyBorder="1" applyAlignment="1">
      <alignment horizontal="center" vertical="center"/>
    </xf>
    <xf numFmtId="0" fontId="24" fillId="0" borderId="142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7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9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" fontId="0" fillId="0" borderId="122" xfId="0" applyNumberFormat="1" applyBorder="1" applyAlignment="1">
      <alignment horizontal="center"/>
    </xf>
    <xf numFmtId="1" fontId="0" fillId="0" borderId="123" xfId="0" applyNumberFormat="1" applyBorder="1" applyAlignment="1">
      <alignment horizontal="center"/>
    </xf>
    <xf numFmtId="1" fontId="0" fillId="0" borderId="124" xfId="0" applyNumberFormat="1" applyBorder="1" applyAlignment="1">
      <alignment horizontal="center"/>
    </xf>
    <xf numFmtId="1" fontId="0" fillId="0" borderId="125" xfId="0" applyNumberForma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0" fillId="0" borderId="94" xfId="0" applyBorder="1" applyAlignment="1">
      <alignment horizontal="center"/>
    </xf>
    <xf numFmtId="0" fontId="4" fillId="0" borderId="9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2" xfId="0" applyFont="1" applyBorder="1" applyAlignment="1">
      <alignment horizontal="center" vertical="center"/>
    </xf>
    <xf numFmtId="0" fontId="0" fillId="0" borderId="9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2" xfId="0" applyBorder="1" applyAlignment="1">
      <alignment horizontal="center"/>
    </xf>
    <xf numFmtId="0" fontId="4" fillId="0" borderId="150" xfId="0" applyFont="1" applyBorder="1" applyAlignment="1">
      <alignment horizontal="center"/>
    </xf>
    <xf numFmtId="0" fontId="0" fillId="0" borderId="151" xfId="0" applyBorder="1" applyAlignment="1">
      <alignment horizontal="center"/>
    </xf>
    <xf numFmtId="0" fontId="4" fillId="0" borderId="82" xfId="0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0" fontId="4" fillId="0" borderId="91" xfId="0" applyFont="1" applyBorder="1" applyAlignment="1">
      <alignment horizontal="center"/>
    </xf>
    <xf numFmtId="0" fontId="4" fillId="0" borderId="89" xfId="0" applyFont="1" applyBorder="1" applyAlignment="1">
      <alignment horizontal="center"/>
    </xf>
    <xf numFmtId="0" fontId="0" fillId="0" borderId="91" xfId="0" applyBorder="1" applyAlignment="1">
      <alignment horizontal="center"/>
    </xf>
    <xf numFmtId="0" fontId="0" fillId="14" borderId="0" xfId="0" applyFill="1"/>
    <xf numFmtId="0" fontId="0" fillId="15" borderId="0" xfId="0" applyFill="1"/>
    <xf numFmtId="9" fontId="8" fillId="0" borderId="0" xfId="2" applyFont="1" applyFill="1"/>
    <xf numFmtId="0" fontId="34" fillId="9" borderId="159" xfId="0" applyFont="true" applyBorder="true" applyFill="true"/>
    <xf numFmtId="0" fontId="35" fillId="12" borderId="161" xfId="0" applyFont="true" applyBorder="true" applyFill="true"/>
    <xf numFmtId="0" fontId="36" fillId="19" borderId="181" xfId="0" applyFont="true" applyBorder="true" applyFill="true"/>
  </cellXfs>
  <cellStyles count="10">
    <cellStyle name="Komma" xfId="1" builtinId="3"/>
    <cellStyle name="Normal_voorcal-proef toon" xfId="4" xr:uid="{190B04FF-3773-4C0E-95AA-CEF12B4D3F73}"/>
    <cellStyle name="Procent" xfId="2" builtinId="5"/>
    <cellStyle name="Procent 2" xfId="7" xr:uid="{41611CE7-7733-4EE3-BA56-D4DC8B38684D}"/>
    <cellStyle name="Standaard" xfId="0" builtinId="0"/>
    <cellStyle name="Standaard 2" xfId="5" xr:uid="{D347CE4E-BFEB-4BEC-A934-4148580DE764}"/>
    <cellStyle name="Standaard 7" xfId="8" xr:uid="{43F610A4-20B4-424E-9723-C7617A32E4D9}"/>
    <cellStyle name="Valuta" xfId="3" builtinId="4"/>
    <cellStyle name="Valuta 2" xfId="6" xr:uid="{A7DD6E4C-32EE-4588-8DD0-66989EBBAECB}"/>
    <cellStyle name="Valuta 4" xfId="9" xr:uid="{4F7B431A-9218-43A4-8DA7-4A7188DD2D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theme/theme1.xml" Type="http://schemas.openxmlformats.org/officeDocument/2006/relationships/theme"/><Relationship Id="rId4" Target="worksheets/sheet4.xml" Type="http://schemas.openxmlformats.org/officeDocument/2006/relationships/worksheet"/><Relationship Id="rId40" Target="styles.xml" Type="http://schemas.openxmlformats.org/officeDocument/2006/relationships/styles"/><Relationship Id="rId41" Target="sharedStrings.xml" Type="http://schemas.openxmlformats.org/officeDocument/2006/relationships/sharedStrings"/><Relationship Id="rId42" Target="metadata.xml" Type="http://schemas.openxmlformats.org/officeDocument/2006/relationships/sheetMetadata"/><Relationship Id="rId43" Target="calcChain.xml" Type="http://schemas.openxmlformats.org/officeDocument/2006/relationships/calcChain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drawings/vmlDrawing4.vml" Type="http://schemas.openxmlformats.org/officeDocument/2006/relationships/vmlDrawing"/><Relationship Id="rId2" Target="../comments4.xml" Type="http://schemas.openxmlformats.org/officeDocument/2006/relationships/comment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drawings/vmlDrawing5.vml" Type="http://schemas.openxmlformats.org/officeDocument/2006/relationships/vmlDrawing"/><Relationship Id="rId2" Target="../comments5.xml" Type="http://schemas.openxmlformats.org/officeDocument/2006/relationships/comment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8092-3C14-4E52-A674-BF2354DAEA5A}">
  <dimension ref="A1:N18"/>
  <sheetViews>
    <sheetView tabSelected="1" workbookViewId="0">
      <selection activeCell="B16" sqref="B16"/>
    </sheetView>
  </sheetViews>
  <sheetFormatPr defaultRowHeight="15" x14ac:dyDescent="0.25"/>
  <cols>
    <col min="1" max="1" customWidth="true" width="19.42578125"/>
    <col min="2" max="2" customWidth="true" width="45.28515625"/>
    <col min="5" max="5" customWidth="true" width="28.140625"/>
    <col min="6" max="6" customWidth="true" width="35.42578125"/>
    <col min="7" max="7" customWidth="true" width="25.85546875"/>
    <col min="8" max="8" bestFit="true" customWidth="true" width="14.7109375"/>
    <col min="9" max="9" bestFit="true" customWidth="true" width="12.28515625"/>
  </cols>
  <sheetData>
    <row r="1" spans="1:14" x14ac:dyDescent="0.25">
      <c r="A1" s="1173" t="s">
        <v>1090</v>
      </c>
      <c r="B1" s="789"/>
      <c r="C1" s="789"/>
      <c r="D1" s="789"/>
      <c r="E1" s="1173" t="s">
        <v>1243</v>
      </c>
      <c r="F1" s="789"/>
      <c r="K1" t="s">
        <v>1519</v>
      </c>
    </row>
    <row r="2" spans="1:14" x14ac:dyDescent="0.25">
      <c r="A2" t="s">
        <v>1091</v>
      </c>
      <c r="B2" s="1325" t="s">
        <v>8</v>
      </c>
      <c r="C2">
        <v>500</v>
      </c>
      <c r="E2" t="s">
        <v>1244</v>
      </c>
      <c r="F2" s="1326">
        <f>Mastersheet!K43</f>
        <v>0.85</v>
      </c>
      <c r="K2" t="s">
        <v>1518</v>
      </c>
      <c r="N2" s="1172"/>
    </row>
    <row r="3" spans="1:14" x14ac:dyDescent="0.25">
      <c r="A3" t="s">
        <v>9</v>
      </c>
      <c r="B3" s="1325">
        <v>300</v>
      </c>
      <c r="E3" t="s">
        <v>1245</v>
      </c>
      <c r="F3" s="1326">
        <f>Mastersheet!L44</f>
        <v>1800</v>
      </c>
      <c r="K3" t="s">
        <v>1511</v>
      </c>
    </row>
    <row r="4" spans="1:14" x14ac:dyDescent="0.25">
      <c r="A4" t="s">
        <v>18</v>
      </c>
      <c r="B4" s="1325">
        <v>250</v>
      </c>
      <c r="E4" t="s">
        <v>1246</v>
      </c>
      <c r="F4" s="1326">
        <f>Mastersheet!K44</f>
        <v>0</v>
      </c>
      <c r="K4" t="s">
        <v>1512</v>
      </c>
    </row>
    <row r="5" spans="1:14" x14ac:dyDescent="0.25">
      <c r="A5" t="s">
        <v>19</v>
      </c>
      <c r="B5" s="1325">
        <v>100</v>
      </c>
      <c r="E5" t="s">
        <v>1247</v>
      </c>
      <c r="F5" s="1326">
        <f>Mastersheet!L45</f>
        <v>1800</v>
      </c>
      <c r="K5" t="s">
        <v>1520</v>
      </c>
    </row>
    <row r="6" spans="1:14" x14ac:dyDescent="0.25">
      <c r="A6" t="s">
        <v>1</v>
      </c>
      <c r="B6" s="1325">
        <v>10010</v>
      </c>
      <c r="E6" t="s">
        <v>1248</v>
      </c>
      <c r="F6" s="1326">
        <f>Mastersheet!K45</f>
        <v>0.42</v>
      </c>
      <c r="K6" t="s">
        <v>1514</v>
      </c>
    </row>
    <row r="7" spans="1:14" x14ac:dyDescent="0.25">
      <c r="A7" t="s">
        <v>80</v>
      </c>
      <c r="B7" s="1325" t="s">
        <v>1146</v>
      </c>
      <c r="E7" t="s">
        <v>1249</v>
      </c>
      <c r="F7" s="1326">
        <f>Mastersheet!L46</f>
        <v>490</v>
      </c>
    </row>
    <row r="8" spans="1:14" x14ac:dyDescent="0.25">
      <c r="A8" t="s">
        <v>1242</v>
      </c>
      <c r="B8" s="1325" t="s">
        <v>1150</v>
      </c>
      <c r="E8" t="s">
        <v>1250</v>
      </c>
      <c r="F8" s="1326">
        <f>Mastersheet!K46</f>
        <v>0.7</v>
      </c>
      <c r="K8" t="s">
        <v>1515</v>
      </c>
    </row>
    <row r="9" spans="1:14" x14ac:dyDescent="0.25">
      <c r="A9" t="s">
        <v>61</v>
      </c>
      <c r="B9" s="1325">
        <v>400</v>
      </c>
      <c r="E9" t="s">
        <v>1251</v>
      </c>
      <c r="F9" s="1326">
        <f>Mastersheet!C88</f>
        <v>1800</v>
      </c>
      <c r="K9" t="s">
        <v>1517</v>
      </c>
    </row>
    <row r="10" spans="1:14" x14ac:dyDescent="0.25">
      <c r="E10" t="s">
        <v>1252</v>
      </c>
      <c r="F10" s="1326" t="str">
        <f>Mastersheet!M53</f>
        <v>RegularPrice</v>
      </c>
    </row>
    <row r="11" spans="1:14" ht="15.75" thickBot="1" x14ac:dyDescent="0.3">
      <c r="E11" t="s">
        <v>1253</v>
      </c>
      <c r="F11" s="1326" t="str">
        <f>Mastersheet!M58</f>
        <v/>
      </c>
    </row>
    <row r="12" spans="1:14" ht="15.75" thickBot="1" x14ac:dyDescent="0.3">
      <c r="A12" s="1267" t="s">
        <v>1506</v>
      </c>
      <c r="B12" s="1268" t="str">
        <f>IF(B7="Full color (CMYK)","onbedrukt",B7)</f>
        <v>onbedrukt</v>
      </c>
      <c r="E12" t="s">
        <v>1254</v>
      </c>
      <c r="F12" s="1326">
        <f>Mastersheet!B100</f>
        <v>8</v>
      </c>
    </row>
    <row r="13" spans="1:14" x14ac:dyDescent="0.25">
      <c r="E13" t="s">
        <v>1255</v>
      </c>
      <c r="F13" s="1326">
        <f>Mastersheet!B101</f>
        <v>12</v>
      </c>
    </row>
    <row r="17" spans="5:6" x14ac:dyDescent="0.25">
      <c r="E17" t="s">
        <v>1444</v>
      </c>
      <c r="F17" s="1227">
        <f>Input!B23</f>
        <v>0.72166404570170006</v>
      </c>
    </row>
    <row r="18" spans="5:6" x14ac:dyDescent="0.25">
      <c r="E18" t="s">
        <v>1445</v>
      </c>
      <c r="F18" s="1227">
        <f>Plot!D55</f>
        <v>1.2092968714616401</v>
      </c>
    </row>
  </sheetData>
  <dataConsolidate/>
  <pageMargins left="0.7" right="0.7" top="0.75" bottom="0.75" header="0.3" footer="0.3"/>
  <drawing r:id="rId3"/>
  <legacyDrawing r:id="rId1"/>
  <extLst>
    <ext uri="{CCE6A557-97BC-4b89-ADB6-D9C93CAAB3DF}">
      <x14:dataValidations xmlns:xm="http://schemas.microsoft.com/office/excel/2006/main" count="3">
        <x14:dataValidation type="list" allowBlank="1" showInputMessage="1" showErrorMessage="1" xr:uid="{D02F7DF6-40E1-463D-AAA9-D637BCE1AEB6}">
          <x14:formula1>
            <xm:f>Rekenblad!$B$86:$B$107</xm:f>
          </x14:formula1>
          <xm:sqref>B2</xm:sqref>
        </x14:dataValidation>
        <x14:dataValidation type="list" allowBlank="1" showInputMessage="1" showErrorMessage="1" xr:uid="{D18C28D6-2ECE-492F-880A-77DB06BB8C72}">
          <x14:formula1>
            <xm:f>Rekenblad!$B$133:$B$136</xm:f>
          </x14:formula1>
          <xm:sqref>B8</xm:sqref>
        </x14:dataValidation>
        <x14:dataValidation type="list" allowBlank="1" showInputMessage="1" showErrorMessage="1" xr:uid="{9DE79A60-90D6-46BF-A938-86D35DFA44BA}">
          <x14:formula1>
            <xm:f>Mastersheet!$A$110:$A$114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85E6-3B47-4882-A91D-724CFBAB1579}">
  <dimension ref="A1:O114"/>
  <sheetViews>
    <sheetView topLeftCell="A10" workbookViewId="0">
      <selection activeCell="B29" sqref="B29"/>
    </sheetView>
  </sheetViews>
  <sheetFormatPr defaultRowHeight="15" x14ac:dyDescent="0.25"/>
  <cols>
    <col min="1" max="1" customWidth="true" width="48.85546875"/>
    <col min="2" max="3" customWidth="true" width="16.5703125"/>
    <col min="6" max="6" customWidth="true" width="12.42578125"/>
    <col min="8" max="8" customWidth="true" width="19.5703125"/>
    <col min="9" max="9" customWidth="true" width="10.5703125"/>
    <col min="10" max="10" bestFit="true" customWidth="true" width="10.0"/>
    <col min="11" max="11" customWidth="true" width="20.28515625"/>
    <col min="12" max="12" customWidth="true" width="38.7109375"/>
    <col min="13" max="13" customWidth="true" width="26.140625"/>
    <col min="14" max="14" customWidth="true" width="26.85546875"/>
    <col min="15" max="15" customWidth="true" width="93.85546875"/>
  </cols>
  <sheetData>
    <row r="1" spans="1:15" x14ac:dyDescent="0.25">
      <c r="A1" t="s">
        <v>1156</v>
      </c>
      <c r="D1" s="1167">
        <f>Input!B17</f>
        <v>400</v>
      </c>
      <c r="M1" s="1159" t="s">
        <v>1157</v>
      </c>
      <c r="N1" s="1159" t="s">
        <v>29</v>
      </c>
      <c r="O1" s="1159" t="s">
        <v>1158</v>
      </c>
    </row>
    <row r="3" spans="1:15" x14ac:dyDescent="0.25">
      <c r="A3" t="s">
        <v>1159</v>
      </c>
      <c r="D3" s="789">
        <f>VLOOKUP(Input!B6,Plot!FEFCO_plot,9,0)</f>
        <v>0</v>
      </c>
      <c r="L3" t="s">
        <v>1160</v>
      </c>
    </row>
    <row r="4" spans="1:15" x14ac:dyDescent="0.25">
      <c r="A4" t="s">
        <v>1161</v>
      </c>
      <c r="D4" s="789">
        <f>IF(Input!B11="onbedrukt",0,1)</f>
        <v>0</v>
      </c>
      <c r="L4" t="s">
        <v>1162</v>
      </c>
      <c r="O4" t="s">
        <v>1523</v>
      </c>
    </row>
    <row r="5" spans="1:15" x14ac:dyDescent="0.25">
      <c r="A5" t="s">
        <v>1521</v>
      </c>
      <c r="D5" s="789">
        <f>IF(BLO!B7="Full color (CMYK)",1,0)</f>
        <v>0</v>
      </c>
    </row>
    <row r="6" spans="1:15" x14ac:dyDescent="0.25">
      <c r="A6" t="s">
        <v>1163</v>
      </c>
      <c r="D6" s="1169">
        <f>Rekenblad!H108</f>
        <v>0.40215400000000001</v>
      </c>
    </row>
    <row r="7" spans="1:15" x14ac:dyDescent="0.25">
      <c r="A7" t="s">
        <v>1230</v>
      </c>
      <c r="D7">
        <f>CEILING(200/D6, 10)</f>
        <v>500</v>
      </c>
    </row>
    <row r="8" spans="1:15" s="1159" customFormat="1" x14ac:dyDescent="0.25">
      <c r="A8" s="1159" t="s">
        <v>1164</v>
      </c>
      <c r="L8" s="1159" t="s">
        <v>1165</v>
      </c>
    </row>
    <row r="9" spans="1:15" x14ac:dyDescent="0.25">
      <c r="A9" t="s">
        <v>1166</v>
      </c>
      <c r="D9">
        <f>VLOOKUP(Input!B6,A65:B78,2,0)</f>
        <v>0</v>
      </c>
      <c r="L9" t="s">
        <v>1167</v>
      </c>
      <c r="M9">
        <f>D9</f>
        <v>0</v>
      </c>
      <c r="N9" s="426" t="s">
        <v>1168</v>
      </c>
      <c r="O9" t="s">
        <v>1345</v>
      </c>
    </row>
    <row r="10" spans="1:15" x14ac:dyDescent="0.25">
      <c r="A10" t="s">
        <v>1169</v>
      </c>
      <c r="D10">
        <f>IF(AND(D4=1, D3=1), 1, 0)</f>
        <v>0</v>
      </c>
      <c r="L10" t="s">
        <v>1167</v>
      </c>
      <c r="M10">
        <f>D10</f>
        <v>0</v>
      </c>
      <c r="N10" s="426" t="s">
        <v>1168</v>
      </c>
      <c r="O10" t="s">
        <v>1532</v>
      </c>
    </row>
    <row r="11" spans="1:15" x14ac:dyDescent="0.25">
      <c r="A11" t="s">
        <v>1236</v>
      </c>
      <c r="D11">
        <f>IF(D3=1, 0, IF(Rekenblad!J1075=1, 0, 1))</f>
        <v>0</v>
      </c>
      <c r="L11" t="s">
        <v>1167</v>
      </c>
      <c r="M11">
        <f>D11</f>
        <v>0</v>
      </c>
      <c r="N11" s="426" t="s">
        <v>1168</v>
      </c>
      <c r="O11" t="s">
        <v>1345</v>
      </c>
    </row>
    <row r="12" spans="1:15" x14ac:dyDescent="0.25">
      <c r="N12" s="426"/>
    </row>
    <row r="13" spans="1:15" s="1159" customFormat="1" x14ac:dyDescent="0.25">
      <c r="A13" s="1159" t="s">
        <v>1170</v>
      </c>
      <c r="L13" s="1159" t="s">
        <v>1165</v>
      </c>
    </row>
    <row r="14" spans="1:15" x14ac:dyDescent="0.25">
      <c r="A14" t="s">
        <v>1171</v>
      </c>
      <c r="D14" t="s">
        <v>1172</v>
      </c>
      <c r="F14" t="s">
        <v>1173</v>
      </c>
      <c r="G14" t="s">
        <v>1174</v>
      </c>
      <c r="H14" t="s">
        <v>1175</v>
      </c>
      <c r="I14" t="s">
        <v>1176</v>
      </c>
      <c r="J14" t="s">
        <v>1177</v>
      </c>
    </row>
    <row r="15" spans="1:15" x14ac:dyDescent="0.25">
      <c r="A15" t="s">
        <v>61</v>
      </c>
      <c r="G15" s="789">
        <f>VLOOKUP(1,B85:C91,2,0)</f>
        <v>400</v>
      </c>
      <c r="H15" s="789">
        <f>VLOOKUP(2,B85:C91,2,0)</f>
        <v>1800</v>
      </c>
      <c r="I15" s="789">
        <f>VLOOKUP(3,B85:C91,2,0)</f>
        <v>1800</v>
      </c>
      <c r="J15" s="789">
        <f>VLOOKUP(4,B85:C91,2,0)</f>
        <v>490</v>
      </c>
      <c r="K15" s="789"/>
    </row>
    <row r="16" spans="1:15" x14ac:dyDescent="0.25">
      <c r="A16" t="s">
        <v>1178</v>
      </c>
      <c r="G16" s="1168">
        <f>G15*D6</f>
        <v>160.86160000000001</v>
      </c>
      <c r="H16" s="1168">
        <f>H15*D6</f>
        <v>723.87720000000002</v>
      </c>
      <c r="I16" s="1168">
        <f>I15*D6</f>
        <v>723.87720000000002</v>
      </c>
      <c r="J16" s="1168">
        <f>D6*J15</f>
        <v>197.05546000000001</v>
      </c>
      <c r="K16" s="1168"/>
      <c r="L16" t="s">
        <v>1179</v>
      </c>
      <c r="M16">
        <f>M22</f>
        <v>0</v>
      </c>
      <c r="N16" t="str">
        <f>N22</f>
        <v>MustRequestQuote</v>
      </c>
      <c r="O16" t="str">
        <f>O22</f>
        <v>Voor dit aantal maken we graag een speciale aanbieding, vraag een offerte aan en ontvang snel een mooi aanbod.</v>
      </c>
    </row>
    <row r="17" spans="1:15" x14ac:dyDescent="0.25">
      <c r="A17" t="s">
        <v>1180</v>
      </c>
      <c r="B17" t="s">
        <v>486</v>
      </c>
      <c r="D17">
        <v>3500</v>
      </c>
      <c r="G17">
        <f>IF(G16&gt;$D$17,1,0)</f>
        <v>0</v>
      </c>
      <c r="H17">
        <f t="shared" ref="H17:J17" si="0">IF(H16&gt;$D$17,1,0)</f>
        <v>0</v>
      </c>
      <c r="I17">
        <f t="shared" si="0"/>
        <v>0</v>
      </c>
      <c r="J17">
        <f t="shared" si="0"/>
        <v>0</v>
      </c>
      <c r="L17" t="s">
        <v>1181</v>
      </c>
      <c r="M17">
        <f>G17</f>
        <v>0</v>
      </c>
      <c r="N17" s="426" t="s">
        <v>1182</v>
      </c>
      <c r="O17" t="s">
        <v>1237</v>
      </c>
    </row>
    <row r="18" spans="1:15" x14ac:dyDescent="0.25">
      <c r="N18" s="426"/>
    </row>
    <row r="19" spans="1:15" x14ac:dyDescent="0.25">
      <c r="L19" t="s">
        <v>1183</v>
      </c>
      <c r="M19">
        <f>IF(AND(J43=0, J47&gt;0), 1, 0)</f>
        <v>0</v>
      </c>
      <c r="N19" t="s">
        <v>1184</v>
      </c>
      <c r="O19" t="s">
        <v>1524</v>
      </c>
    </row>
    <row r="20" spans="1:15" x14ac:dyDescent="0.25">
      <c r="A20" t="s">
        <v>1185</v>
      </c>
      <c r="B20" t="s">
        <v>486</v>
      </c>
      <c r="D20">
        <v>1000</v>
      </c>
      <c r="E20" t="s">
        <v>1159</v>
      </c>
      <c r="F20">
        <f>D3</f>
        <v>0</v>
      </c>
      <c r="G20">
        <f>IF(G16&gt;$D$20,1,0)*F20</f>
        <v>0</v>
      </c>
      <c r="H20">
        <f>IF(H16&gt;$D$20,1,0)*F20</f>
        <v>0</v>
      </c>
      <c r="I20">
        <f>IF(I16&gt;$D$20,1,0)*F20</f>
        <v>0</v>
      </c>
      <c r="J20">
        <f>IF(J16&gt;$D$20,1,0)*F20</f>
        <v>0</v>
      </c>
      <c r="L20" t="s">
        <v>1181</v>
      </c>
      <c r="M20">
        <f t="shared" ref="M20" si="1">G20</f>
        <v>0</v>
      </c>
      <c r="N20" s="426" t="s">
        <v>1182</v>
      </c>
      <c r="O20" t="s">
        <v>1186</v>
      </c>
    </row>
    <row r="21" spans="1:15" x14ac:dyDescent="0.25">
      <c r="A21" t="s">
        <v>1187</v>
      </c>
      <c r="B21" t="s">
        <v>26</v>
      </c>
      <c r="D21">
        <v>10</v>
      </c>
      <c r="G21">
        <f>IF(G15&lt;$D$21,1,0)</f>
        <v>0</v>
      </c>
      <c r="H21">
        <f>IF(H15&lt;$D$21,1,0)</f>
        <v>0</v>
      </c>
      <c r="I21">
        <f>IF(I15&lt;$D$21,1,0)</f>
        <v>0</v>
      </c>
      <c r="J21">
        <f>IF(J15&lt;$D$21,1,0)</f>
        <v>0</v>
      </c>
      <c r="L21" t="s">
        <v>1188</v>
      </c>
      <c r="M21">
        <f>G21</f>
        <v>0</v>
      </c>
      <c r="N21" s="426" t="s">
        <v>1189</v>
      </c>
    </row>
    <row r="22" spans="1:15" x14ac:dyDescent="0.25">
      <c r="A22" t="s">
        <v>1179</v>
      </c>
      <c r="B22" t="s">
        <v>486</v>
      </c>
      <c r="D22">
        <v>8000</v>
      </c>
      <c r="G22">
        <f>IF(G16&gt;$D$22,1,0)</f>
        <v>0</v>
      </c>
      <c r="H22">
        <f>IF(H16&gt;$D$22,1,0)</f>
        <v>0</v>
      </c>
      <c r="I22">
        <f>IF(I16&gt;$D$22,1,0)</f>
        <v>0</v>
      </c>
      <c r="J22">
        <f>IF(J16&gt;$D$22,1,0)</f>
        <v>0</v>
      </c>
      <c r="L22" t="s">
        <v>1190</v>
      </c>
      <c r="M22">
        <f>G22</f>
        <v>0</v>
      </c>
      <c r="N22" s="426" t="s">
        <v>1168</v>
      </c>
      <c r="O22" t="s">
        <v>1191</v>
      </c>
    </row>
    <row r="23" spans="1:15" x14ac:dyDescent="0.25">
      <c r="A23" t="s">
        <v>1192</v>
      </c>
      <c r="B23" t="s">
        <v>486</v>
      </c>
      <c r="D23">
        <v>300</v>
      </c>
      <c r="E23" t="s">
        <v>1021</v>
      </c>
      <c r="F23">
        <f>D4</f>
        <v>0</v>
      </c>
      <c r="G23">
        <f>IF(G16&lt;$D$23,1,0)*F23</f>
        <v>0</v>
      </c>
      <c r="H23">
        <f>IF(H16&lt;$D$23,1,0)*F23</f>
        <v>0</v>
      </c>
      <c r="I23">
        <f>IF(I16&lt;$D$23,1,0)*F23</f>
        <v>0</v>
      </c>
      <c r="J23">
        <f>IF(J16&lt;$D$23,1,0)*F23</f>
        <v>0</v>
      </c>
      <c r="L23" t="s">
        <v>1188</v>
      </c>
      <c r="M23">
        <f>G23</f>
        <v>0</v>
      </c>
      <c r="N23" s="426" t="s">
        <v>1189</v>
      </c>
    </row>
    <row r="24" spans="1:15" x14ac:dyDescent="0.25">
      <c r="A24" t="s">
        <v>1232</v>
      </c>
      <c r="H24">
        <f>IF(OR(H15=G15, H15=I15, H15=J15), 1, 0)</f>
        <v>1</v>
      </c>
      <c r="N24" s="426"/>
    </row>
    <row r="25" spans="1:15" x14ac:dyDescent="0.25">
      <c r="A25" t="s">
        <v>1193</v>
      </c>
      <c r="G25" s="1160">
        <f>IF(SUM(G21:G24) &gt;= 1, 1, 0)</f>
        <v>0</v>
      </c>
      <c r="H25" s="1160">
        <f>IF(SUM(H20:H24) &gt;= 1, 1, 0)</f>
        <v>1</v>
      </c>
      <c r="I25" s="1160">
        <f>IF(SUM(I20:I24) &gt;= 1, 1, 0)</f>
        <v>0</v>
      </c>
      <c r="J25" s="1160">
        <f>IF(SUM(J20:J24) &gt;= 1, 1, 0)</f>
        <v>0</v>
      </c>
      <c r="K25" s="888"/>
    </row>
    <row r="27" spans="1:15" s="1159" customFormat="1" x14ac:dyDescent="0.25">
      <c r="A27" s="1159" t="s">
        <v>1194</v>
      </c>
    </row>
    <row r="28" spans="1:15" x14ac:dyDescent="0.25">
      <c r="E28" t="s">
        <v>1195</v>
      </c>
    </row>
    <row r="29" spans="1:15" x14ac:dyDescent="0.25">
      <c r="A29" t="s">
        <v>1196</v>
      </c>
      <c r="B29" t="s">
        <v>1159</v>
      </c>
      <c r="D29">
        <f>D3</f>
        <v>0</v>
      </c>
      <c r="E29" s="1271">
        <v>1</v>
      </c>
    </row>
    <row r="30" spans="1:15" x14ac:dyDescent="0.25">
      <c r="B30" t="s">
        <v>1021</v>
      </c>
      <c r="D30">
        <f>D4</f>
        <v>0</v>
      </c>
      <c r="E30" s="2">
        <f>IF(D30=1,0,1)</f>
        <v>1</v>
      </c>
    </row>
    <row r="31" spans="1:15" x14ac:dyDescent="0.25">
      <c r="B31" t="s">
        <v>1526</v>
      </c>
      <c r="D31">
        <f>Digitaaldruk!J3</f>
        <v>0</v>
      </c>
      <c r="E31" s="2">
        <f>IF(AND(D5=1,D31=1),"0",1)</f>
        <v>1</v>
      </c>
    </row>
    <row r="32" spans="1:15" x14ac:dyDescent="0.25">
      <c r="E32">
        <f>E30*E29*E31</f>
        <v>1</v>
      </c>
      <c r="F32" t="str">
        <f>IF(E32=0,"niet gebruiken","prijs gebruiken")</f>
        <v>prijs gebruiken</v>
      </c>
    </row>
    <row r="34" spans="1:14" x14ac:dyDescent="0.25">
      <c r="A34" t="s">
        <v>1197</v>
      </c>
      <c r="B34" t="s">
        <v>1159</v>
      </c>
      <c r="D34">
        <f>D3</f>
        <v>0</v>
      </c>
      <c r="E34">
        <f>IF(D34=1,0,1)</f>
        <v>1</v>
      </c>
    </row>
    <row r="35" spans="1:14" x14ac:dyDescent="0.25">
      <c r="B35" t="s">
        <v>1021</v>
      </c>
      <c r="D35">
        <f>D4</f>
        <v>0</v>
      </c>
      <c r="E35" s="1005">
        <v>1</v>
      </c>
    </row>
    <row r="36" spans="1:14" x14ac:dyDescent="0.25">
      <c r="B36" t="s">
        <v>1526</v>
      </c>
      <c r="D36">
        <f>Digitaaldruk!J3</f>
        <v>0</v>
      </c>
      <c r="E36" s="1005">
        <f>IF(AND(D5=1,D36=1),"0",1)</f>
        <v>1</v>
      </c>
    </row>
    <row r="37" spans="1:14" x14ac:dyDescent="0.25">
      <c r="E37">
        <f>E35*E34*E36</f>
        <v>1</v>
      </c>
      <c r="F37" t="str">
        <f>IF(E37=0,"niet gebruiken","prijs gebruiken")</f>
        <v>prijs gebruiken</v>
      </c>
    </row>
    <row r="38" spans="1:14" x14ac:dyDescent="0.25">
      <c r="B38" t="s">
        <v>1529</v>
      </c>
      <c r="E38">
        <f>IF(D4=1,E41,IF(D5=1,E40,E39))</f>
        <v>1.18</v>
      </c>
    </row>
    <row r="39" spans="1:14" x14ac:dyDescent="0.25">
      <c r="B39" t="s">
        <v>1282</v>
      </c>
      <c r="E39">
        <v>1.18</v>
      </c>
    </row>
    <row r="40" spans="1:14" x14ac:dyDescent="0.25">
      <c r="B40" t="s">
        <v>1530</v>
      </c>
      <c r="E40">
        <v>1.35</v>
      </c>
    </row>
    <row r="41" spans="1:14" x14ac:dyDescent="0.25">
      <c r="B41" t="s">
        <v>1531</v>
      </c>
      <c r="E41">
        <v>1.22</v>
      </c>
    </row>
    <row r="42" spans="1:14" x14ac:dyDescent="0.25">
      <c r="B42" t="s">
        <v>1198</v>
      </c>
      <c r="C42" t="s">
        <v>1199</v>
      </c>
      <c r="D42" s="1322" t="s">
        <v>1200</v>
      </c>
      <c r="E42" s="1322" t="s">
        <v>1201</v>
      </c>
      <c r="F42" s="1322" t="s">
        <v>1202</v>
      </c>
      <c r="G42" s="1323" t="s">
        <v>50</v>
      </c>
      <c r="H42" s="1323" t="s">
        <v>1201</v>
      </c>
      <c r="I42" s="1323" t="s">
        <v>1202</v>
      </c>
      <c r="J42" t="s">
        <v>1203</v>
      </c>
      <c r="K42" t="s">
        <v>907</v>
      </c>
      <c r="L42" t="s">
        <v>1235</v>
      </c>
    </row>
    <row r="43" spans="1:14" x14ac:dyDescent="0.25">
      <c r="A43" t="s">
        <v>1174</v>
      </c>
      <c r="B43">
        <f>IF(G25=1,0,1)</f>
        <v>1</v>
      </c>
      <c r="C43">
        <f>IF(D11=1,0,1)</f>
        <v>1</v>
      </c>
      <c r="D43">
        <f>E32</f>
        <v>1</v>
      </c>
      <c r="E43" s="1161">
        <f>IFERROR(Plot!F1, 0)</f>
        <v>1.5720859329001322</v>
      </c>
      <c r="F43" s="1162">
        <f>E43*D43*B43*C43</f>
        <v>1.5720859329001322</v>
      </c>
      <c r="G43">
        <f>E37</f>
        <v>1</v>
      </c>
      <c r="H43" s="1161">
        <f>IFERROR(Input!B23*E38, 0)</f>
        <v>0.85156357392800608</v>
      </c>
      <c r="I43" s="1162">
        <f>H43*G43*B43*C43</f>
        <v>0.85156357392800608</v>
      </c>
      <c r="J43" s="1162">
        <f>IF(AND(F43=0,I43=0),0,IF(F43=0,I43,IF(I43=0,F43,MIN(F43,I43))))</f>
        <v>0.85156357392800608</v>
      </c>
      <c r="K43" s="1163">
        <f>ROUND(J43,2)</f>
        <v>0.85</v>
      </c>
      <c r="L43" s="1170">
        <f>G15</f>
        <v>400</v>
      </c>
    </row>
    <row r="44" spans="1:14" x14ac:dyDescent="0.25">
      <c r="A44" t="s">
        <v>1175</v>
      </c>
      <c r="B44">
        <f>IF(H25=1,0,1)</f>
        <v>0</v>
      </c>
      <c r="C44">
        <f>IF(D11=1,0,1)</f>
        <v>1</v>
      </c>
      <c r="D44">
        <f>E32</f>
        <v>1</v>
      </c>
      <c r="E44" s="1161">
        <f>IFERROR(Plot!R1, 0)</f>
        <v>1.2568627401437991</v>
      </c>
      <c r="F44" s="1162">
        <f t="shared" ref="F44:F46" si="2">E44*D44*B44*C44</f>
        <v>0</v>
      </c>
      <c r="G44">
        <f>E37</f>
        <v>1</v>
      </c>
      <c r="H44" s="1161">
        <f>IFERROR('Input (2)'!B23*E38, 0)</f>
        <v>0.42205111518017696</v>
      </c>
      <c r="I44" s="1162">
        <f t="shared" ref="I44:I46" si="3">H44*G44*B44*C44</f>
        <v>0</v>
      </c>
      <c r="J44" s="1162">
        <f>IF(AND(F44=0,I44=0),0,IF(F44=0,I44,IF(I44=0,F44,MIN(F44,I44))))</f>
        <v>0</v>
      </c>
      <c r="K44" s="1163">
        <f>ROUND(J44,2)</f>
        <v>0</v>
      </c>
      <c r="L44" s="1170">
        <f>H15</f>
        <v>1800</v>
      </c>
    </row>
    <row r="45" spans="1:14" x14ac:dyDescent="0.25">
      <c r="A45" t="s">
        <v>1176</v>
      </c>
      <c r="B45">
        <f>IF(I25=1,0,1)</f>
        <v>1</v>
      </c>
      <c r="C45">
        <f>IF(D11=1,0,1)</f>
        <v>1</v>
      </c>
      <c r="D45">
        <f>E32</f>
        <v>1</v>
      </c>
      <c r="E45" s="1161">
        <f>IFERROR(Plot!AB1, 0)</f>
        <v>1.2568627401437991</v>
      </c>
      <c r="F45" s="1162">
        <f t="shared" si="2"/>
        <v>1.2568627401437991</v>
      </c>
      <c r="G45">
        <f>E37</f>
        <v>1</v>
      </c>
      <c r="H45" s="1161">
        <f>IFERROR('Input (3)'!B23*E38, 0)</f>
        <v>0.42205111518017696</v>
      </c>
      <c r="I45" s="1162">
        <f t="shared" si="3"/>
        <v>0.42205111518017696</v>
      </c>
      <c r="J45" s="1162">
        <f>IF(AND(F45=0,I45=0),0,IF(F45=0,I45,IF(I45=0,F45,MIN(F45,I45))))</f>
        <v>0.42205111518017696</v>
      </c>
      <c r="K45" s="1163">
        <f>ROUND(J45,2)</f>
        <v>0.42</v>
      </c>
      <c r="L45" s="1170">
        <f>I15</f>
        <v>1800</v>
      </c>
    </row>
    <row r="46" spans="1:14" x14ac:dyDescent="0.25">
      <c r="A46" t="s">
        <v>1177</v>
      </c>
      <c r="B46">
        <f>IF(J25=1,0,1)</f>
        <v>1</v>
      </c>
      <c r="C46">
        <f>IF(D11=1,0,1)</f>
        <v>1</v>
      </c>
      <c r="D46">
        <f>E32</f>
        <v>1</v>
      </c>
      <c r="E46" s="1161">
        <f>IFERROR(Plot!AL1, 0)</f>
        <v>1.5092759001322751</v>
      </c>
      <c r="F46" s="1162">
        <f t="shared" si="2"/>
        <v>1.5092759001322751</v>
      </c>
      <c r="G46">
        <f>E37</f>
        <v>1</v>
      </c>
      <c r="H46" s="1161">
        <f>IFERROR('Input (4)'!B23*E38, 0)</f>
        <v>0.69956716261279195</v>
      </c>
      <c r="I46" s="1162">
        <f t="shared" si="3"/>
        <v>0.69956716261279195</v>
      </c>
      <c r="J46" s="1162">
        <f>IF(AND(F46=0,I46=0),0,IF(F46=0,I46,IF(I46=0,F46,MIN(F46,I46))))</f>
        <v>0.69956716261279195</v>
      </c>
      <c r="K46" s="1163">
        <f>ROUND(J46,2)</f>
        <v>0.7</v>
      </c>
      <c r="L46" s="1170">
        <f>J15</f>
        <v>490</v>
      </c>
    </row>
    <row r="47" spans="1:14" x14ac:dyDescent="0.25">
      <c r="J47">
        <f>SUM(J43:J46)</f>
        <v>1.9731818517209749</v>
      </c>
      <c r="L47" t="s">
        <v>1204</v>
      </c>
      <c r="M47">
        <f>IF(J47=0,1,0)</f>
        <v>0</v>
      </c>
      <c r="N47" s="426" t="s">
        <v>1168</v>
      </c>
    </row>
    <row r="49" spans="1:15" x14ac:dyDescent="0.25">
      <c r="M49">
        <v>1</v>
      </c>
      <c r="N49" s="426" t="s">
        <v>1205</v>
      </c>
      <c r="O49" s="1164" t="s">
        <v>1206</v>
      </c>
    </row>
    <row r="51" spans="1:15" s="1159" customFormat="1" x14ac:dyDescent="0.25">
      <c r="A51" s="1159" t="s">
        <v>1207</v>
      </c>
    </row>
    <row r="53" spans="1:15" x14ac:dyDescent="0.25">
      <c r="A53" s="888" t="s">
        <v>1208</v>
      </c>
      <c r="B53" t="s">
        <v>1522</v>
      </c>
      <c r="L53" t="s">
        <v>1209</v>
      </c>
      <c r="M53" s="1165" t="str">
        <f>VLOOKUP(1,M9:O51,2,0)</f>
        <v>RegularPrice</v>
      </c>
    </row>
    <row r="54" spans="1:15" x14ac:dyDescent="0.25">
      <c r="A54" t="s">
        <v>1210</v>
      </c>
      <c r="B54">
        <f>SUM(M9:M11)</f>
        <v>0</v>
      </c>
      <c r="L54" t="s">
        <v>1211</v>
      </c>
      <c r="M54" t="str">
        <f>VLOOKUP(1,M9:O52,3,0)</f>
        <v/>
      </c>
    </row>
    <row r="55" spans="1:15" x14ac:dyDescent="0.25">
      <c r="A55" t="s">
        <v>1212</v>
      </c>
      <c r="B55">
        <f>G25</f>
        <v>0</v>
      </c>
      <c r="L55" t="s">
        <v>1213</v>
      </c>
      <c r="M55" t="str">
        <f>IF(B57&gt;0,"", B53)</f>
        <v/>
      </c>
    </row>
    <row r="56" spans="1:15" x14ac:dyDescent="0.25">
      <c r="A56" t="s">
        <v>1214</v>
      </c>
      <c r="B56">
        <f>IF(D4=1,0,1)</f>
        <v>1</v>
      </c>
    </row>
    <row r="57" spans="1:15" x14ac:dyDescent="0.25">
      <c r="B57" s="888">
        <f>SUM(B54:B56)</f>
        <v>1</v>
      </c>
    </row>
    <row r="58" spans="1:15" x14ac:dyDescent="0.25">
      <c r="L58" t="s">
        <v>1215</v>
      </c>
      <c r="M58" s="1165" t="str">
        <f>M54</f>
        <v/>
      </c>
    </row>
    <row r="63" spans="1:15" s="1159" customFormat="1" x14ac:dyDescent="0.25">
      <c r="A63" s="1159" t="s">
        <v>1223</v>
      </c>
    </row>
    <row r="64" spans="1:15" x14ac:dyDescent="0.25">
      <c r="A64" t="s">
        <v>1091</v>
      </c>
      <c r="B64" t="s">
        <v>1188</v>
      </c>
    </row>
    <row r="65" spans="1:2" x14ac:dyDescent="0.25">
      <c r="A65" s="1157" t="s">
        <v>16</v>
      </c>
      <c r="B65">
        <v>0</v>
      </c>
    </row>
    <row r="66" spans="1:2" x14ac:dyDescent="0.25">
      <c r="A66" s="1157" t="s">
        <v>15</v>
      </c>
      <c r="B66">
        <v>0</v>
      </c>
    </row>
    <row r="67" spans="1:2" x14ac:dyDescent="0.25">
      <c r="A67" s="1157" t="s">
        <v>13</v>
      </c>
      <c r="B67">
        <v>0</v>
      </c>
    </row>
    <row r="68" spans="1:2" x14ac:dyDescent="0.25">
      <c r="A68" s="1157" t="s">
        <v>71</v>
      </c>
      <c r="B68">
        <v>0</v>
      </c>
    </row>
    <row r="69" spans="1:2" x14ac:dyDescent="0.25">
      <c r="A69" s="1157" t="s">
        <v>60</v>
      </c>
      <c r="B69">
        <v>0</v>
      </c>
    </row>
    <row r="70" spans="1:2" x14ac:dyDescent="0.25">
      <c r="A70" s="1157" t="s">
        <v>8</v>
      </c>
      <c r="B70">
        <v>0</v>
      </c>
    </row>
    <row r="71" spans="1:2" x14ac:dyDescent="0.25">
      <c r="A71" s="1157" t="s">
        <v>14</v>
      </c>
      <c r="B71">
        <v>0</v>
      </c>
    </row>
    <row r="72" spans="1:2" x14ac:dyDescent="0.25">
      <c r="A72" s="1157" t="s">
        <v>12</v>
      </c>
      <c r="B72">
        <v>0</v>
      </c>
    </row>
    <row r="73" spans="1:2" x14ac:dyDescent="0.25">
      <c r="A73" s="1157" t="s">
        <v>981</v>
      </c>
      <c r="B73">
        <v>1</v>
      </c>
    </row>
    <row r="74" spans="1:2" x14ac:dyDescent="0.25">
      <c r="A74" s="1157" t="s">
        <v>17</v>
      </c>
      <c r="B74">
        <v>0</v>
      </c>
    </row>
    <row r="75" spans="1:2" x14ac:dyDescent="0.25">
      <c r="A75" s="1157" t="s">
        <v>982</v>
      </c>
      <c r="B75">
        <v>0</v>
      </c>
    </row>
    <row r="76" spans="1:2" x14ac:dyDescent="0.25">
      <c r="A76" s="1157" t="s">
        <v>981</v>
      </c>
      <c r="B76">
        <v>0</v>
      </c>
    </row>
    <row r="77" spans="1:2" x14ac:dyDescent="0.25">
      <c r="A77" s="1157" t="s">
        <v>1343</v>
      </c>
      <c r="B77">
        <v>1</v>
      </c>
    </row>
    <row r="78" spans="1:2" x14ac:dyDescent="0.25">
      <c r="A78" s="1157" t="s">
        <v>992</v>
      </c>
      <c r="B78">
        <v>1</v>
      </c>
    </row>
    <row r="79" spans="1:2" x14ac:dyDescent="0.25">
      <c r="A79" s="1157"/>
    </row>
    <row r="83" spans="1:5" s="1159" customFormat="1" x14ac:dyDescent="0.25">
      <c r="A83" s="1159" t="s">
        <v>1224</v>
      </c>
    </row>
    <row r="84" spans="1:5" x14ac:dyDescent="0.25">
      <c r="B84" t="s">
        <v>1229</v>
      </c>
      <c r="D84" t="s">
        <v>1227</v>
      </c>
      <c r="E84" t="s">
        <v>163</v>
      </c>
    </row>
    <row r="85" spans="1:5" x14ac:dyDescent="0.25">
      <c r="A85" t="s">
        <v>1218</v>
      </c>
      <c r="B85">
        <v>1</v>
      </c>
      <c r="C85" s="954">
        <f>Input!B17</f>
        <v>400</v>
      </c>
    </row>
    <row r="86" spans="1:5" x14ac:dyDescent="0.25">
      <c r="A86" t="s">
        <v>1231</v>
      </c>
      <c r="B86">
        <v>2</v>
      </c>
      <c r="C86">
        <f>IF(C85 &lt; E86 * C87, C85 * 2, CEILING(C85 * 2, C88))</f>
        <v>1800</v>
      </c>
      <c r="D86" t="s">
        <v>1228</v>
      </c>
      <c r="E86" s="955">
        <v>0.4</v>
      </c>
    </row>
    <row r="87" spans="1:5" x14ac:dyDescent="0.25">
      <c r="A87" t="s">
        <v>1225</v>
      </c>
      <c r="B87">
        <f>IF(OR(C85&gt;C87, B91=4), 0, 4)</f>
        <v>4</v>
      </c>
      <c r="C87">
        <f>IF(AND(ISNUMBER(Input!C21)), Input!C21, D7)</f>
        <v>490</v>
      </c>
    </row>
    <row r="88" spans="1:5" x14ac:dyDescent="0.25">
      <c r="A88" t="s">
        <v>1217</v>
      </c>
      <c r="C88" s="1165">
        <f>IF(OR(Input!B31="", ISNUMBER(Input!B31)=FALSE), 0, Input!B31)</f>
        <v>1800</v>
      </c>
    </row>
    <row r="89" spans="1:5" x14ac:dyDescent="0.25">
      <c r="A89" t="s">
        <v>1226</v>
      </c>
      <c r="B89">
        <v>3</v>
      </c>
      <c r="C89">
        <f>IF(C85&lt;C88,C88,MROUND(C85,C88))</f>
        <v>1800</v>
      </c>
    </row>
    <row r="90" spans="1:5" x14ac:dyDescent="0.25">
      <c r="A90" t="s">
        <v>1219</v>
      </c>
      <c r="B90">
        <f>IF(OR(C85&lt;=C87, B91=4), 0, 4)</f>
        <v>0</v>
      </c>
      <c r="C90">
        <f>C89+C88</f>
        <v>3600</v>
      </c>
    </row>
    <row r="91" spans="1:5" x14ac:dyDescent="0.25">
      <c r="A91" t="s">
        <v>1356</v>
      </c>
      <c r="B91">
        <f>IF(AND(C85&lt;C91, D4=1), 4, 0)</f>
        <v>0</v>
      </c>
      <c r="C91">
        <f>CEILING(D23/D6, 5)</f>
        <v>750</v>
      </c>
    </row>
    <row r="99" spans="1:3" s="1159" customFormat="1" x14ac:dyDescent="0.25">
      <c r="A99" s="1159" t="s">
        <v>1238</v>
      </c>
    </row>
    <row r="100" spans="1:3" x14ac:dyDescent="0.25">
      <c r="A100" t="s">
        <v>1240</v>
      </c>
      <c r="B100" s="1165">
        <v>8</v>
      </c>
      <c r="C100" t="s">
        <v>1241</v>
      </c>
    </row>
    <row r="101" spans="1:3" x14ac:dyDescent="0.25">
      <c r="A101" t="s">
        <v>1239</v>
      </c>
      <c r="B101" s="1165">
        <f>IF(OR(D4=1,D5=1),B103,B102)</f>
        <v>12</v>
      </c>
      <c r="C101" t="s">
        <v>1241</v>
      </c>
    </row>
    <row r="102" spans="1:3" x14ac:dyDescent="0.25">
      <c r="A102" t="s">
        <v>81</v>
      </c>
      <c r="B102">
        <v>12</v>
      </c>
    </row>
    <row r="103" spans="1:3" x14ac:dyDescent="0.25">
      <c r="A103" t="s">
        <v>1021</v>
      </c>
      <c r="B103">
        <v>16</v>
      </c>
    </row>
    <row r="107" spans="1:3" s="1159" customFormat="1" x14ac:dyDescent="0.25">
      <c r="A107" s="1159" t="s">
        <v>80</v>
      </c>
    </row>
    <row r="108" spans="1:3" x14ac:dyDescent="0.25">
      <c r="A108" t="s">
        <v>1505</v>
      </c>
      <c r="B108" t="s">
        <v>1504</v>
      </c>
    </row>
    <row r="110" spans="1:3" x14ac:dyDescent="0.25">
      <c r="A110" s="1" t="s">
        <v>1146</v>
      </c>
    </row>
    <row r="111" spans="1:3" x14ac:dyDescent="0.25">
      <c r="A111" s="1" t="s">
        <v>1147</v>
      </c>
    </row>
    <row r="112" spans="1:3" x14ac:dyDescent="0.25">
      <c r="A112" s="1" t="s">
        <v>1148</v>
      </c>
    </row>
    <row r="113" spans="1:1" x14ac:dyDescent="0.25">
      <c r="A113" s="1" t="s">
        <v>1149</v>
      </c>
    </row>
    <row r="114" spans="1:1" x14ac:dyDescent="0.25">
      <c r="A114" t="s">
        <v>1504</v>
      </c>
    </row>
  </sheetData>
  <pageMargins left="0.7" right="0.7" top="0.75" bottom="0.75" header="0.3" footer="0.3"/>
  <pageSetup paperSize="9" orientation="portrait" r:id="rId1"/>
  <ignoredErrors>
    <ignoredError sqref="A65:A76 A7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3388-5E41-411D-9375-61D020684E9F}">
  <sheetPr codeName="Blad12"/>
  <dimension ref="A1:O68"/>
  <sheetViews>
    <sheetView zoomScale="115" zoomScaleNormal="115" workbookViewId="0">
      <selection activeCell="D17" sqref="D17"/>
    </sheetView>
  </sheetViews>
  <sheetFormatPr defaultRowHeight="15" x14ac:dyDescent="0.25"/>
  <cols>
    <col min="1" max="1" customWidth="true" width="38.28515625"/>
    <col min="2" max="2" customWidth="true" width="30.5703125"/>
    <col min="3" max="3" customWidth="true" width="20.140625"/>
    <col min="4" max="4" customWidth="true" width="14.85546875"/>
    <col min="5" max="5" customWidth="true" width="13.7109375"/>
    <col min="6" max="6" customWidth="true" width="12.42578125"/>
    <col min="7" max="7" customWidth="true" width="9.7109375"/>
    <col min="12" max="12" customWidth="true" width="29.140625"/>
    <col min="13" max="13" customWidth="true" width="17.5703125"/>
    <col min="14" max="14" customWidth="true" width="35.7109375"/>
    <col min="15" max="15" customWidth="true" width="33.140625"/>
  </cols>
  <sheetData>
    <row r="1" spans="1:15" ht="15.75" thickBot="1" x14ac:dyDescent="0.3">
      <c r="A1" s="1228"/>
      <c r="B1" s="1229"/>
      <c r="C1" s="1229"/>
      <c r="D1" s="1229"/>
      <c r="E1" s="1229"/>
      <c r="F1" s="1229"/>
      <c r="G1" s="1229"/>
      <c r="H1" s="1229"/>
      <c r="I1" s="1229"/>
      <c r="J1" s="1229"/>
    </row>
    <row r="2" spans="1:15" ht="15.75" thickBot="1" x14ac:dyDescent="0.3">
      <c r="A2" s="1230" t="s">
        <v>1446</v>
      </c>
      <c r="B2" s="1231">
        <v>200000</v>
      </c>
      <c r="C2" s="1230"/>
      <c r="J2" s="1230"/>
    </row>
    <row r="3" spans="1:15" ht="15.75" thickBot="1" x14ac:dyDescent="0.3">
      <c r="A3" s="1230" t="s">
        <v>1447</v>
      </c>
      <c r="B3" s="1232">
        <v>60</v>
      </c>
      <c r="C3" s="1230" t="s">
        <v>1448</v>
      </c>
      <c r="D3" s="1230" t="s">
        <v>1449</v>
      </c>
      <c r="E3" s="1233">
        <f>BLO!B3</f>
        <v>300</v>
      </c>
      <c r="F3" s="1233">
        <f>BLO!B4</f>
        <v>250</v>
      </c>
      <c r="G3" s="1233">
        <f>BLO!B5</f>
        <v>100</v>
      </c>
      <c r="I3" s="414" t="s">
        <v>1516</v>
      </c>
      <c r="J3" s="682">
        <f>IF(AND(E46&gt;2500,E47&gt;2500),1,0)</f>
        <v>0</v>
      </c>
    </row>
    <row r="4" spans="1:15" ht="15.75" thickBot="1" x14ac:dyDescent="0.3">
      <c r="A4" s="1230"/>
      <c r="B4" s="1232">
        <v>80</v>
      </c>
      <c r="C4" s="1230" t="s">
        <v>1450</v>
      </c>
      <c r="F4" s="1230"/>
      <c r="G4" s="1230"/>
    </row>
    <row r="5" spans="1:15" x14ac:dyDescent="0.25">
      <c r="A5" s="1230" t="s">
        <v>1451</v>
      </c>
      <c r="B5" s="1234">
        <f>B2/B3</f>
        <v>3333.3333333333335</v>
      </c>
      <c r="C5" s="1230"/>
      <c r="D5" s="1230"/>
      <c r="E5" s="1230"/>
      <c r="F5" s="1230"/>
    </row>
    <row r="6" spans="1:15" x14ac:dyDescent="0.25">
      <c r="A6" s="1230" t="s">
        <v>1452</v>
      </c>
      <c r="B6" s="1234">
        <f>(B2*0.1)/12</f>
        <v>1666.6666666666667</v>
      </c>
      <c r="C6" s="1230"/>
      <c r="D6" s="1230" t="s">
        <v>483</v>
      </c>
      <c r="E6" s="1230" t="s">
        <v>483</v>
      </c>
      <c r="F6" s="1230"/>
    </row>
    <row r="7" spans="1:15" x14ac:dyDescent="0.25">
      <c r="A7" s="1230" t="s">
        <v>1453</v>
      </c>
      <c r="B7" s="1234">
        <f>B5+B6</f>
        <v>5000</v>
      </c>
      <c r="C7" s="1230"/>
      <c r="D7" s="1230" t="s">
        <v>18</v>
      </c>
      <c r="E7" s="1230" t="s">
        <v>9</v>
      </c>
      <c r="F7" s="1230" t="s">
        <v>486</v>
      </c>
    </row>
    <row r="8" spans="1:15" x14ac:dyDescent="0.25">
      <c r="A8" s="1235" t="s">
        <v>1454</v>
      </c>
      <c r="B8" s="1236">
        <f>B7/B4</f>
        <v>62.5</v>
      </c>
      <c r="C8" s="1237"/>
      <c r="D8" s="1233">
        <f>Plot!G9</f>
        <v>361</v>
      </c>
      <c r="E8" s="1233">
        <f>Plot!G10</f>
        <v>1114</v>
      </c>
      <c r="F8" s="1230">
        <f>D8*E8</f>
        <v>402154</v>
      </c>
      <c r="J8" s="1230"/>
      <c r="K8" s="1238"/>
      <c r="L8" s="1238"/>
      <c r="M8" s="1238"/>
      <c r="N8" s="1238"/>
      <c r="O8" s="1230"/>
    </row>
    <row r="9" spans="1:15" ht="15.75" thickBot="1" x14ac:dyDescent="0.3">
      <c r="A9" s="1235"/>
      <c r="B9" s="1239"/>
      <c r="C9" s="1240"/>
      <c r="G9" s="1230"/>
      <c r="J9" s="1230"/>
      <c r="K9" s="1238"/>
      <c r="L9" s="1238"/>
      <c r="M9" s="1238"/>
      <c r="N9" s="1238"/>
      <c r="O9" s="1230"/>
    </row>
    <row r="10" spans="1:15" ht="15.75" thickBot="1" x14ac:dyDescent="0.3">
      <c r="D10" s="1232">
        <v>600</v>
      </c>
      <c r="E10" s="1230" t="s">
        <v>1455</v>
      </c>
      <c r="F10" s="1230"/>
      <c r="G10" s="1230"/>
      <c r="J10" s="1230"/>
      <c r="K10" s="1230"/>
      <c r="L10" s="1230"/>
      <c r="M10" s="1230"/>
      <c r="N10" s="1230"/>
      <c r="O10" s="1230"/>
    </row>
    <row r="11" spans="1:15" ht="15.75" thickBot="1" x14ac:dyDescent="0.3">
      <c r="A11" s="1230" t="s">
        <v>1456</v>
      </c>
      <c r="B11" s="1241">
        <v>300</v>
      </c>
      <c r="C11" s="1230" t="s">
        <v>1457</v>
      </c>
      <c r="F11" s="1230"/>
      <c r="G11" s="1230"/>
      <c r="H11" s="1230"/>
      <c r="I11" s="1230"/>
      <c r="J11" s="1230"/>
      <c r="K11" s="1230"/>
    </row>
    <row r="12" spans="1:15" ht="15.75" thickBot="1" x14ac:dyDescent="0.3">
      <c r="A12" s="1230" t="s">
        <v>1458</v>
      </c>
      <c r="B12" s="1232">
        <v>20000</v>
      </c>
      <c r="D12" s="1230"/>
      <c r="E12" s="1230" t="s">
        <v>1459</v>
      </c>
      <c r="F12" s="1230"/>
      <c r="G12" s="1230"/>
      <c r="H12" s="1242"/>
      <c r="I12" s="1230"/>
      <c r="J12" s="1230"/>
      <c r="K12" s="1230"/>
    </row>
    <row r="13" spans="1:15" ht="15.75" thickBot="1" x14ac:dyDescent="0.3">
      <c r="A13" s="1230" t="s">
        <v>1460</v>
      </c>
      <c r="B13" s="1243">
        <f>B11/B12</f>
        <v>1.4999999999999999E-2</v>
      </c>
      <c r="C13" s="1230"/>
      <c r="D13" s="1244" t="s">
        <v>1461</v>
      </c>
      <c r="E13" s="1245" t="s">
        <v>1462</v>
      </c>
      <c r="F13" s="1246"/>
      <c r="G13" s="1247" t="e">
        <f>E8/F13/1000</f>
        <v>#DIV/0!</v>
      </c>
      <c r="H13" s="1230" t="s">
        <v>1463</v>
      </c>
      <c r="I13" s="1230"/>
      <c r="J13" s="1230"/>
      <c r="K13" s="1242"/>
    </row>
    <row r="14" spans="1:15" ht="15.75" thickBot="1" x14ac:dyDescent="0.3">
      <c r="A14" s="1230"/>
      <c r="B14" s="1230"/>
      <c r="C14" s="1230"/>
      <c r="D14" s="1244" t="s">
        <v>1464</v>
      </c>
      <c r="E14" s="1245" t="s">
        <v>1465</v>
      </c>
      <c r="F14" s="1246"/>
      <c r="G14" s="1247" t="e">
        <f>E8/F14/1000</f>
        <v>#DIV/0!</v>
      </c>
      <c r="H14" s="1230" t="s">
        <v>1463</v>
      </c>
      <c r="I14" s="1230"/>
      <c r="J14" s="1230"/>
      <c r="K14" s="1248"/>
    </row>
    <row r="15" spans="1:15" ht="15.75" thickBot="1" x14ac:dyDescent="0.3">
      <c r="A15" s="1230" t="s">
        <v>1466</v>
      </c>
      <c r="B15" s="1249">
        <v>20</v>
      </c>
      <c r="C15" s="1230" t="s">
        <v>684</v>
      </c>
      <c r="D15" s="1245" t="s">
        <v>1467</v>
      </c>
      <c r="E15" s="1245" t="s">
        <v>1468</v>
      </c>
      <c r="F15" s="1232">
        <v>1</v>
      </c>
      <c r="G15" s="1247">
        <f>E8/F15/1000</f>
        <v>1.1140000000000001</v>
      </c>
      <c r="H15" s="1230" t="s">
        <v>1463</v>
      </c>
      <c r="I15" s="1230"/>
      <c r="J15" s="1230"/>
      <c r="K15" s="1230"/>
    </row>
    <row r="16" spans="1:15" ht="15.75" thickBot="1" x14ac:dyDescent="0.3">
      <c r="A16" s="1230" t="s">
        <v>1469</v>
      </c>
      <c r="B16" s="1241">
        <v>25</v>
      </c>
      <c r="C16" s="1230" t="s">
        <v>1470</v>
      </c>
      <c r="D16" s="1230"/>
      <c r="E16" s="1230"/>
      <c r="F16" s="1230"/>
      <c r="G16" s="1230"/>
      <c r="H16" s="1230"/>
      <c r="I16" s="1230"/>
      <c r="J16" s="1230"/>
      <c r="K16" s="1230"/>
    </row>
    <row r="17" spans="1:15" ht="15.75" thickBot="1" x14ac:dyDescent="0.3">
      <c r="A17" s="1230" t="s">
        <v>1471</v>
      </c>
      <c r="B17" s="1241">
        <v>10</v>
      </c>
      <c r="C17" s="1230"/>
      <c r="D17" s="1230" t="s">
        <v>1472</v>
      </c>
      <c r="F17" s="1230" t="s">
        <v>1473</v>
      </c>
      <c r="G17" s="1233">
        <f>G15*G21</f>
        <v>445.6</v>
      </c>
      <c r="H17" s="1233">
        <f>G15*H21</f>
        <v>2005.2000000000003</v>
      </c>
      <c r="I17" s="1233">
        <f>G15*I21</f>
        <v>2005.2000000000003</v>
      </c>
      <c r="J17" s="1233">
        <f>G15*J21</f>
        <v>545.86</v>
      </c>
      <c r="K17" s="1230"/>
    </row>
    <row r="18" spans="1:15" x14ac:dyDescent="0.25">
      <c r="A18" s="1230"/>
      <c r="B18" s="1250">
        <f>SUM(B16:B17)</f>
        <v>35</v>
      </c>
      <c r="C18" s="1230"/>
      <c r="F18" s="1230" t="s">
        <v>1474</v>
      </c>
      <c r="G18" s="1251">
        <f>G17/60</f>
        <v>7.4266666666666667</v>
      </c>
      <c r="H18" s="1251">
        <f>H17/60</f>
        <v>33.42</v>
      </c>
      <c r="I18" s="1251">
        <f t="shared" ref="I18:J19" si="0">I17/60</f>
        <v>33.42</v>
      </c>
      <c r="J18" s="1251">
        <f t="shared" si="0"/>
        <v>9.097666666666667</v>
      </c>
      <c r="K18" s="1230"/>
    </row>
    <row r="19" spans="1:15" ht="15.75" thickBot="1" x14ac:dyDescent="0.3">
      <c r="A19" s="1230" t="s">
        <v>1475</v>
      </c>
      <c r="B19" s="1230"/>
      <c r="C19" s="1230"/>
      <c r="F19" s="1230" t="s">
        <v>1476</v>
      </c>
      <c r="G19" s="1252">
        <f>G18/60</f>
        <v>0.12377777777777778</v>
      </c>
      <c r="H19" s="1252">
        <f t="shared" ref="H19" si="1">H18/60</f>
        <v>0.55700000000000005</v>
      </c>
      <c r="I19" s="1252">
        <f t="shared" si="0"/>
        <v>0.55700000000000005</v>
      </c>
      <c r="J19" s="1252">
        <f t="shared" si="0"/>
        <v>0.15162777777777778</v>
      </c>
      <c r="K19" s="1230"/>
    </row>
    <row r="20" spans="1:15" ht="15.75" thickBot="1" x14ac:dyDescent="0.3">
      <c r="A20" s="1230" t="s">
        <v>1477</v>
      </c>
      <c r="B20" s="1232">
        <v>4000</v>
      </c>
      <c r="C20" s="1230"/>
      <c r="H20" s="1230"/>
      <c r="I20" s="1230"/>
      <c r="J20" s="1230"/>
      <c r="K20" s="1230"/>
    </row>
    <row r="21" spans="1:15" ht="15.75" thickBot="1" x14ac:dyDescent="0.3">
      <c r="A21" s="1230" t="s">
        <v>1478</v>
      </c>
      <c r="B21" s="1253">
        <v>0.63</v>
      </c>
      <c r="C21" s="1230"/>
      <c r="D21" s="1230" t="s">
        <v>1479</v>
      </c>
      <c r="F21" s="1230" t="s">
        <v>61</v>
      </c>
      <c r="G21" s="1233">
        <f>BLO!B9</f>
        <v>400</v>
      </c>
      <c r="H21" s="1272">
        <f>Mastersheet!L44</f>
        <v>1800</v>
      </c>
      <c r="I21" s="1272">
        <f>Mastersheet!L45</f>
        <v>1800</v>
      </c>
      <c r="J21" s="1272">
        <f>Mastersheet!L46</f>
        <v>490</v>
      </c>
      <c r="K21" s="1230"/>
    </row>
    <row r="22" spans="1:15" x14ac:dyDescent="0.25">
      <c r="A22" s="1230"/>
      <c r="B22" s="1233">
        <f>B21*B20</f>
        <v>2520</v>
      </c>
      <c r="C22" s="1230"/>
      <c r="E22" s="1230"/>
      <c r="F22" s="1230"/>
      <c r="G22" s="1230" t="s">
        <v>1480</v>
      </c>
      <c r="H22" s="1230"/>
      <c r="I22" s="1230"/>
      <c r="J22" s="1230"/>
      <c r="K22" s="1230"/>
    </row>
    <row r="23" spans="1:15" ht="15.75" thickBot="1" x14ac:dyDescent="0.3">
      <c r="A23" s="1230" t="s">
        <v>1481</v>
      </c>
      <c r="B23" s="1233">
        <f>B20+B22</f>
        <v>6520</v>
      </c>
      <c r="C23" s="1230"/>
      <c r="D23" s="1230" t="s">
        <v>659</v>
      </c>
      <c r="E23" s="1254">
        <f>B44</f>
        <v>91.336616161616149</v>
      </c>
      <c r="F23" s="1230" t="s">
        <v>1482</v>
      </c>
      <c r="G23" s="1255">
        <f>$E$23/G21</f>
        <v>0.22834154040404037</v>
      </c>
      <c r="H23" s="1255">
        <f t="shared" ref="H23:J23" si="2">$E$23/H21</f>
        <v>5.0742564534231191E-2</v>
      </c>
      <c r="I23" s="1255">
        <f t="shared" si="2"/>
        <v>5.0742564534231191E-2</v>
      </c>
      <c r="J23" s="1255">
        <f t="shared" si="2"/>
        <v>0.18640125747268602</v>
      </c>
      <c r="K23" s="1230"/>
    </row>
    <row r="24" spans="1:15" ht="15.75" thickBot="1" x14ac:dyDescent="0.3">
      <c r="A24" s="1230" t="s">
        <v>1483</v>
      </c>
      <c r="B24" s="1232">
        <v>165</v>
      </c>
      <c r="C24" s="1230"/>
      <c r="D24" s="1230" t="s">
        <v>1484</v>
      </c>
      <c r="E24" s="1254">
        <f>B57</f>
        <v>169.00984848484848</v>
      </c>
      <c r="F24" s="1230" t="s">
        <v>1485</v>
      </c>
      <c r="G24" s="1255">
        <f>G19*$E$24/G21</f>
        <v>5.2299158670033673E-2</v>
      </c>
      <c r="H24" s="1255">
        <f t="shared" ref="H24:J24" si="3">H19*$E$24/H21</f>
        <v>5.2299158670033673E-2</v>
      </c>
      <c r="I24" s="1255">
        <f t="shared" si="3"/>
        <v>5.2299158670033673E-2</v>
      </c>
      <c r="J24" s="1255">
        <f t="shared" si="3"/>
        <v>5.2299158670033666E-2</v>
      </c>
      <c r="K24" s="1230"/>
    </row>
    <row r="25" spans="1:15" ht="15.75" thickBot="1" x14ac:dyDescent="0.3">
      <c r="A25" s="1230" t="s">
        <v>1486</v>
      </c>
      <c r="B25" s="1254">
        <f>B23/165</f>
        <v>39.515151515151516</v>
      </c>
      <c r="C25" s="1230"/>
      <c r="D25" s="1230" t="s">
        <v>1487</v>
      </c>
      <c r="E25" s="1230"/>
      <c r="F25" s="1230"/>
      <c r="G25" s="1255">
        <f>$B$59</f>
        <v>1.4999999999999999E-2</v>
      </c>
      <c r="H25" s="1255">
        <f t="shared" ref="H25:J25" si="4">$B$59</f>
        <v>1.4999999999999999E-2</v>
      </c>
      <c r="I25" s="1255">
        <f t="shared" si="4"/>
        <v>1.4999999999999999E-2</v>
      </c>
      <c r="J25" s="1255">
        <f t="shared" si="4"/>
        <v>1.4999999999999999E-2</v>
      </c>
      <c r="K25" s="1230"/>
    </row>
    <row r="26" spans="1:15" ht="15.75" thickBot="1" x14ac:dyDescent="0.3">
      <c r="A26" s="1230" t="s">
        <v>1488</v>
      </c>
      <c r="B26" s="1256">
        <v>0.15</v>
      </c>
      <c r="C26" s="1257"/>
      <c r="D26" s="1230" t="s">
        <v>871</v>
      </c>
      <c r="E26" s="1258">
        <v>0.2</v>
      </c>
      <c r="G26" s="1270">
        <f>SUM(G23:G25)*$E$26</f>
        <v>5.9128139814814809E-2</v>
      </c>
      <c r="H26" s="1270">
        <f t="shared" ref="H26:J26" si="5">SUM(H23:H25)*$E$26</f>
        <v>2.3608344640852971E-2</v>
      </c>
      <c r="I26" s="1270">
        <f t="shared" si="5"/>
        <v>2.3608344640852971E-2</v>
      </c>
      <c r="J26" s="1270">
        <f t="shared" si="5"/>
        <v>5.0740083228543946E-2</v>
      </c>
      <c r="K26" s="1230"/>
    </row>
    <row r="27" spans="1:15" ht="15.75" thickBot="1" x14ac:dyDescent="0.3">
      <c r="A27" s="1230" t="s">
        <v>1489</v>
      </c>
      <c r="B27" s="1254">
        <f>B25+B25*B26</f>
        <v>45.442424242424245</v>
      </c>
      <c r="C27" s="1230"/>
      <c r="H27" s="1230"/>
      <c r="I27" s="1230"/>
      <c r="J27" s="1230"/>
      <c r="K27" s="1230"/>
    </row>
    <row r="28" spans="1:15" ht="15.75" thickBot="1" x14ac:dyDescent="0.3">
      <c r="A28" s="1235" t="s">
        <v>1490</v>
      </c>
      <c r="B28" s="1254">
        <f>B27*2</f>
        <v>90.88484848484849</v>
      </c>
      <c r="C28" s="1230"/>
      <c r="D28" s="1235" t="s">
        <v>1491</v>
      </c>
      <c r="E28" s="1230"/>
      <c r="F28" s="1230"/>
      <c r="G28" s="1259">
        <f>SUM(G23:G26)</f>
        <v>0.35476883888888883</v>
      </c>
      <c r="H28" s="1259">
        <f t="shared" ref="H28:J28" si="6">SUM(H23:H26)</f>
        <v>0.14165006784511783</v>
      </c>
      <c r="I28" s="1259">
        <f t="shared" si="6"/>
        <v>0.14165006784511783</v>
      </c>
      <c r="J28" s="1259">
        <f t="shared" si="6"/>
        <v>0.30444049937126366</v>
      </c>
      <c r="K28" s="1230"/>
    </row>
    <row r="29" spans="1:15" ht="15.75" thickBot="1" x14ac:dyDescent="0.3">
      <c r="A29" s="1230"/>
      <c r="B29" s="1230"/>
      <c r="C29" s="1230"/>
      <c r="D29" s="1230"/>
      <c r="E29" s="1230"/>
      <c r="F29" s="1230" t="s">
        <v>1525</v>
      </c>
      <c r="G29" s="1239">
        <f>ROUND(G28,2)</f>
        <v>0.35</v>
      </c>
      <c r="H29" s="1239">
        <f t="shared" ref="H29:J29" si="7">ROUND(H28,2)</f>
        <v>0.14000000000000001</v>
      </c>
      <c r="I29" s="1239">
        <f t="shared" si="7"/>
        <v>0.14000000000000001</v>
      </c>
      <c r="J29" s="1239">
        <f t="shared" si="7"/>
        <v>0.3</v>
      </c>
      <c r="K29" s="1230"/>
    </row>
    <row r="30" spans="1:15" ht="15.75" thickBot="1" x14ac:dyDescent="0.3">
      <c r="A30" s="1230" t="s">
        <v>1492</v>
      </c>
      <c r="B30" s="1260">
        <v>300</v>
      </c>
      <c r="C30" s="1230" t="s">
        <v>1493</v>
      </c>
      <c r="D30" s="1230"/>
      <c r="E30" s="1230" t="s">
        <v>1135</v>
      </c>
      <c r="F30" s="1230"/>
      <c r="G30" s="1257">
        <f>(G28-G23)/F8*1000000</f>
        <v>0.31437533503296861</v>
      </c>
      <c r="H30" s="1257">
        <f>(H28-H23)/F8*1000000</f>
        <v>0.22605147110531448</v>
      </c>
      <c r="I30" s="1257">
        <f>(I28-I23)/F8*1000000</f>
        <v>0.22605147110531448</v>
      </c>
      <c r="J30" s="1257">
        <f>(J28-J23)/F8*1000000</f>
        <v>0.2935175129392662</v>
      </c>
      <c r="K30" s="1230"/>
    </row>
    <row r="31" spans="1:15" x14ac:dyDescent="0.25">
      <c r="A31" s="1235" t="s">
        <v>1494</v>
      </c>
      <c r="B31" s="1261">
        <f>((B30*50)/(B4*12))</f>
        <v>15.625</v>
      </c>
      <c r="C31" s="1230"/>
      <c r="D31" s="1230"/>
      <c r="E31" s="1230"/>
      <c r="F31" s="1230"/>
      <c r="G31" s="1230"/>
      <c r="H31" s="1230"/>
      <c r="I31" s="1230"/>
      <c r="J31" s="1230"/>
      <c r="K31" s="1230"/>
    </row>
    <row r="32" spans="1:15" x14ac:dyDescent="0.25">
      <c r="A32" s="1230"/>
      <c r="B32" s="1230"/>
      <c r="C32" s="1230"/>
      <c r="D32" s="1230"/>
      <c r="E32" s="1230"/>
      <c r="F32" s="1230"/>
      <c r="G32" s="1230"/>
      <c r="H32" s="1230"/>
      <c r="I32" s="1230"/>
      <c r="J32" s="1230"/>
      <c r="K32" s="1230"/>
      <c r="L32" s="1230"/>
      <c r="M32" s="1230"/>
      <c r="N32" s="1230"/>
      <c r="O32" s="1230"/>
    </row>
    <row r="33" spans="1:15" x14ac:dyDescent="0.25">
      <c r="A33" s="1235" t="s">
        <v>1495</v>
      </c>
      <c r="B33" s="1262">
        <v>3</v>
      </c>
      <c r="C33" s="1230"/>
      <c r="D33" s="1230"/>
      <c r="E33" s="1230"/>
      <c r="F33" s="1230"/>
      <c r="G33" s="1230"/>
      <c r="H33" s="1230"/>
      <c r="I33" s="1230"/>
      <c r="J33" s="1230"/>
      <c r="K33" s="1230"/>
      <c r="L33" s="1230"/>
      <c r="M33" s="1230"/>
      <c r="N33" s="1230"/>
      <c r="O33" s="1230"/>
    </row>
    <row r="34" spans="1:15" x14ac:dyDescent="0.25">
      <c r="D34" t="s">
        <v>1510</v>
      </c>
      <c r="F34" s="1230"/>
      <c r="G34" s="1269">
        <f>Digitaaldruk!G28</f>
        <v>0.35476883888888883</v>
      </c>
      <c r="H34" s="1269">
        <f>Digitaaldruk!H28</f>
        <v>0.14165006784511783</v>
      </c>
      <c r="I34" s="1269">
        <f>Digitaaldruk!I28</f>
        <v>0.14165006784511783</v>
      </c>
      <c r="J34" s="1269">
        <f>Digitaaldruk!J28</f>
        <v>0.30444049937126366</v>
      </c>
      <c r="K34" s="1230"/>
      <c r="L34" s="1230"/>
      <c r="M34" s="1230"/>
      <c r="N34" s="1230"/>
      <c r="O34" s="1230"/>
    </row>
    <row r="35" spans="1:15" x14ac:dyDescent="0.25">
      <c r="F35" s="1230"/>
      <c r="H35" s="1230"/>
      <c r="I35" s="1230"/>
      <c r="J35" s="1230"/>
      <c r="K35" s="1230"/>
      <c r="L35" s="1230"/>
      <c r="M35" s="1230"/>
      <c r="N35" s="1230"/>
      <c r="O35" s="1230"/>
    </row>
    <row r="36" spans="1:15" x14ac:dyDescent="0.25">
      <c r="A36" s="1263" t="s">
        <v>1496</v>
      </c>
      <c r="B36" s="1263"/>
      <c r="F36" s="1230"/>
      <c r="H36" s="1230"/>
      <c r="I36" s="1230"/>
      <c r="J36" s="1230"/>
      <c r="K36" s="1230"/>
      <c r="L36" s="1230"/>
      <c r="M36" s="1230"/>
      <c r="N36" s="1230"/>
      <c r="O36" s="1230"/>
    </row>
    <row r="37" spans="1:15" x14ac:dyDescent="0.25">
      <c r="A37" t="s">
        <v>659</v>
      </c>
      <c r="B37" s="1264">
        <f>B18</f>
        <v>35</v>
      </c>
      <c r="F37" s="1230"/>
      <c r="G37" s="1172"/>
      <c r="H37" s="1172"/>
      <c r="I37" s="1172"/>
      <c r="J37" s="1172"/>
      <c r="K37" s="1230"/>
      <c r="L37" s="1230"/>
      <c r="M37" s="1230"/>
      <c r="N37" s="1230"/>
      <c r="O37" s="1230"/>
    </row>
    <row r="38" spans="1:15" x14ac:dyDescent="0.25">
      <c r="A38" t="s">
        <v>1497</v>
      </c>
      <c r="B38" s="1264">
        <f>B15*B57/60</f>
        <v>56.336616161616156</v>
      </c>
      <c r="F38" s="1230"/>
      <c r="G38" s="1172"/>
      <c r="H38" s="1172"/>
      <c r="I38" s="1172"/>
      <c r="J38" s="1172"/>
      <c r="K38" s="1230"/>
      <c r="L38" s="1230"/>
      <c r="M38" s="1230"/>
      <c r="N38" s="1230"/>
      <c r="O38" s="1230"/>
    </row>
    <row r="39" spans="1:15" x14ac:dyDescent="0.25">
      <c r="D39" t="s">
        <v>1119</v>
      </c>
      <c r="F39" s="1230"/>
      <c r="G39" s="1172">
        <f>SUM(G34)</f>
        <v>0.35476883888888883</v>
      </c>
      <c r="H39" s="1172">
        <f t="shared" ref="H39:J39" si="8">SUM(H34)</f>
        <v>0.14165006784511783</v>
      </c>
      <c r="I39" s="1172">
        <f t="shared" si="8"/>
        <v>0.14165006784511783</v>
      </c>
      <c r="J39" s="1172">
        <f t="shared" si="8"/>
        <v>0.30444049937126366</v>
      </c>
      <c r="K39" s="1230"/>
      <c r="L39" s="1230"/>
      <c r="M39" s="1230"/>
      <c r="N39" s="1230"/>
      <c r="O39" s="1230"/>
    </row>
    <row r="40" spans="1:15" x14ac:dyDescent="0.25">
      <c r="D40" s="1230" t="s">
        <v>1528</v>
      </c>
      <c r="E40" s="1230"/>
      <c r="F40" s="1230"/>
      <c r="G40" s="1242">
        <f>Mastersheet!$D$5*Digitaaldruk!G39</f>
        <v>0</v>
      </c>
      <c r="H40" s="1242">
        <f>Mastersheet!$D$5*Digitaaldruk!H39</f>
        <v>0</v>
      </c>
      <c r="I40" s="1242">
        <f>Mastersheet!$D$5*Digitaaldruk!I39</f>
        <v>0</v>
      </c>
      <c r="J40" s="1242">
        <f>Mastersheet!$D$5*Digitaaldruk!J39</f>
        <v>0</v>
      </c>
      <c r="K40" s="1230"/>
      <c r="L40" s="1230"/>
      <c r="M40" s="1230"/>
      <c r="N40" s="1230"/>
      <c r="O40" s="1230"/>
    </row>
    <row r="41" spans="1:15" x14ac:dyDescent="0.25">
      <c r="D41" s="1230"/>
      <c r="E41" s="1230"/>
      <c r="F41" s="1230"/>
      <c r="G41" s="1230"/>
      <c r="H41" s="1230"/>
      <c r="I41" s="1230"/>
      <c r="J41" s="1230"/>
      <c r="K41" s="1230"/>
      <c r="L41" s="1230"/>
      <c r="M41" s="1230"/>
      <c r="N41" s="1230"/>
      <c r="O41" s="1230"/>
    </row>
    <row r="42" spans="1:15" x14ac:dyDescent="0.25">
      <c r="D42" s="789" t="s">
        <v>871</v>
      </c>
      <c r="E42" s="789" t="s">
        <v>163</v>
      </c>
      <c r="F42" s="789" t="s">
        <v>1508</v>
      </c>
      <c r="G42" s="789" t="s">
        <v>643</v>
      </c>
      <c r="H42" s="789" t="s">
        <v>1509</v>
      </c>
      <c r="I42" s="1230"/>
      <c r="J42" s="1230"/>
      <c r="K42" s="1230"/>
      <c r="L42" s="1230"/>
      <c r="M42" s="1230"/>
      <c r="N42" s="1230"/>
      <c r="O42" s="1230"/>
    </row>
    <row r="43" spans="1:15" x14ac:dyDescent="0.25">
      <c r="D43" t="s">
        <v>1507</v>
      </c>
      <c r="E43" t="str">
        <f>BLO!B2</f>
        <v>0201</v>
      </c>
      <c r="F43" s="1164" t="s">
        <v>8</v>
      </c>
      <c r="G43" s="955">
        <v>0.04</v>
      </c>
      <c r="H43" s="955">
        <f>IF(E43=F43,G43,0)</f>
        <v>0.04</v>
      </c>
      <c r="I43" s="1230"/>
      <c r="J43" s="1230"/>
      <c r="K43" s="1230"/>
      <c r="L43" s="1230"/>
      <c r="M43" s="1230"/>
      <c r="N43" s="1230"/>
      <c r="O43" s="1230"/>
    </row>
    <row r="44" spans="1:15" x14ac:dyDescent="0.25">
      <c r="A44" t="s">
        <v>177</v>
      </c>
      <c r="B44" s="1264">
        <f>SUM(B37:B43)</f>
        <v>91.336616161616149</v>
      </c>
      <c r="D44" t="s">
        <v>108</v>
      </c>
      <c r="E44">
        <f>BLO!B3*BLO!B4*BLO!B5</f>
        <v>7500000</v>
      </c>
      <c r="F44">
        <v>100000000</v>
      </c>
      <c r="G44" s="955">
        <v>0.05</v>
      </c>
      <c r="H44" s="955">
        <f>IF(E44&gt;F44,G44,0)</f>
        <v>0</v>
      </c>
      <c r="I44" s="1230"/>
      <c r="J44" s="1230"/>
      <c r="K44" s="1230"/>
      <c r="L44" s="1230"/>
      <c r="M44" s="1230"/>
      <c r="N44" s="1230"/>
      <c r="O44" s="1230"/>
    </row>
    <row r="45" spans="1:15" x14ac:dyDescent="0.25">
      <c r="A45" s="1229" t="s">
        <v>1498</v>
      </c>
      <c r="B45" s="1265"/>
      <c r="C45" s="1230"/>
      <c r="D45" t="s">
        <v>108</v>
      </c>
      <c r="E45">
        <f>BLO!B3*BLO!B4*BLO!B5</f>
        <v>7500000</v>
      </c>
      <c r="F45">
        <v>200000000</v>
      </c>
      <c r="G45" s="955">
        <v>0</v>
      </c>
      <c r="H45" s="955">
        <f>IF(E45&gt;F45,G45,0)</f>
        <v>0</v>
      </c>
      <c r="I45" s="1230"/>
      <c r="J45" s="1230"/>
      <c r="K45" s="1230"/>
      <c r="L45" s="1230"/>
      <c r="M45" s="1230"/>
      <c r="N45" s="1230"/>
      <c r="O45" s="1230"/>
    </row>
    <row r="46" spans="1:15" x14ac:dyDescent="0.25">
      <c r="A46" s="1230" t="s">
        <v>1499</v>
      </c>
      <c r="B46" s="1254">
        <f>B8</f>
        <v>62.5</v>
      </c>
      <c r="C46" s="1230"/>
      <c r="D46" t="s">
        <v>1513</v>
      </c>
      <c r="E46">
        <f>Plot!G9</f>
        <v>361</v>
      </c>
      <c r="I46" s="1230"/>
      <c r="J46" s="1230"/>
      <c r="K46" s="1230"/>
      <c r="L46" s="1230"/>
      <c r="M46" s="1230"/>
      <c r="N46" s="1230"/>
      <c r="O46" s="1230"/>
    </row>
    <row r="47" spans="1:15" x14ac:dyDescent="0.25">
      <c r="A47" s="1230" t="s">
        <v>1500</v>
      </c>
      <c r="B47" s="1254">
        <f>B28</f>
        <v>90.88484848484849</v>
      </c>
      <c r="C47" s="1230"/>
      <c r="D47" t="s">
        <v>1513</v>
      </c>
      <c r="E47">
        <f>Plot!G10</f>
        <v>1114</v>
      </c>
      <c r="F47">
        <v>2550</v>
      </c>
      <c r="G47" s="955">
        <v>0.1</v>
      </c>
      <c r="H47" s="955">
        <f>IF(E47&gt;F47,G47,0)</f>
        <v>0</v>
      </c>
      <c r="I47" s="1230"/>
      <c r="J47" s="1230"/>
      <c r="K47" s="1230"/>
      <c r="L47" s="1230"/>
      <c r="M47" s="1230"/>
      <c r="N47" s="1230"/>
      <c r="O47" s="1230"/>
    </row>
    <row r="48" spans="1:15" x14ac:dyDescent="0.25">
      <c r="A48" s="1230" t="s">
        <v>1501</v>
      </c>
      <c r="B48" s="1254">
        <f>B31</f>
        <v>15.625</v>
      </c>
      <c r="C48" s="1230"/>
      <c r="F48" s="1164"/>
      <c r="G48" s="955"/>
      <c r="H48" s="955"/>
      <c r="I48" s="1230"/>
      <c r="J48" s="1230"/>
      <c r="K48" s="1230"/>
      <c r="L48" s="1230"/>
      <c r="M48" s="1230"/>
      <c r="N48" s="1230"/>
      <c r="O48" s="1230"/>
    </row>
    <row r="49" spans="1:15" x14ac:dyDescent="0.25">
      <c r="A49" s="1230"/>
      <c r="B49" s="1242"/>
      <c r="C49" s="1230"/>
      <c r="H49" s="1172"/>
      <c r="I49" s="1230"/>
      <c r="J49" s="1230"/>
      <c r="K49" s="1230"/>
      <c r="L49" s="1230"/>
      <c r="M49" s="1230"/>
      <c r="N49" s="1230"/>
      <c r="O49" s="1230"/>
    </row>
    <row r="50" spans="1:15" x14ac:dyDescent="0.25">
      <c r="A50" s="1230"/>
      <c r="B50" s="1242"/>
      <c r="C50" s="1230"/>
      <c r="I50" s="1230"/>
      <c r="J50" s="1230"/>
      <c r="K50" s="1230"/>
      <c r="L50" s="1230"/>
      <c r="M50" s="1230"/>
      <c r="N50" s="1230"/>
      <c r="O50" s="1230"/>
    </row>
    <row r="51" spans="1:15" x14ac:dyDescent="0.25">
      <c r="A51" s="1230"/>
      <c r="B51" s="1242"/>
      <c r="C51" s="1230"/>
      <c r="H51" s="955">
        <f>SUM(H43:H50)</f>
        <v>0.04</v>
      </c>
      <c r="I51" s="1230"/>
      <c r="J51" s="1230"/>
      <c r="K51" s="1230"/>
      <c r="L51" s="1230"/>
      <c r="M51" s="1230"/>
      <c r="N51" s="1230"/>
      <c r="O51" s="1230"/>
    </row>
    <row r="52" spans="1:15" x14ac:dyDescent="0.25">
      <c r="A52" s="1230"/>
      <c r="B52" s="1242"/>
      <c r="C52" s="1230"/>
      <c r="E52" s="1230"/>
      <c r="F52" s="1230"/>
      <c r="G52" s="1230"/>
      <c r="H52" s="1230"/>
      <c r="I52" s="1230"/>
      <c r="J52" s="1230"/>
      <c r="K52" s="1230"/>
      <c r="L52" s="1230"/>
      <c r="M52" s="1230"/>
      <c r="N52" s="1230"/>
      <c r="O52" s="1230"/>
    </row>
    <row r="53" spans="1:15" x14ac:dyDescent="0.25">
      <c r="A53" s="1230"/>
      <c r="B53" s="1242"/>
      <c r="C53" s="1230"/>
      <c r="E53" s="1230"/>
      <c r="F53" s="1230"/>
      <c r="G53" s="1230"/>
      <c r="H53" s="1230"/>
      <c r="I53" s="1230"/>
      <c r="J53" s="1230"/>
      <c r="K53" s="1230"/>
      <c r="L53" s="1230"/>
      <c r="M53" s="1230"/>
      <c r="N53" s="1230"/>
      <c r="O53" s="1230"/>
    </row>
    <row r="54" spans="1:15" x14ac:dyDescent="0.25">
      <c r="C54" s="1230"/>
      <c r="D54" s="1230"/>
      <c r="E54" s="1230"/>
      <c r="F54" s="1230"/>
      <c r="G54" s="1230"/>
      <c r="H54" s="1230"/>
      <c r="I54" s="1230"/>
      <c r="J54" s="1230"/>
      <c r="K54" s="1230"/>
      <c r="L54" s="1230"/>
      <c r="M54" s="1230"/>
      <c r="N54" s="1230"/>
      <c r="O54" s="1230"/>
    </row>
    <row r="55" spans="1:15" x14ac:dyDescent="0.25">
      <c r="A55" s="1230"/>
      <c r="B55" s="1242"/>
      <c r="C55" s="1230"/>
      <c r="D55" s="1230"/>
      <c r="E55" s="1230"/>
      <c r="F55" s="1230"/>
      <c r="G55" s="1230"/>
      <c r="H55" s="1230"/>
      <c r="I55" s="1230"/>
      <c r="J55" s="1230"/>
      <c r="K55" s="1230"/>
      <c r="L55" s="1230"/>
      <c r="M55" s="1230"/>
      <c r="N55" s="1230"/>
      <c r="O55" s="1230"/>
    </row>
    <row r="56" spans="1:15" x14ac:dyDescent="0.25">
      <c r="A56" s="1230"/>
      <c r="B56" s="1242"/>
      <c r="C56" s="1230"/>
      <c r="D56" s="1230"/>
      <c r="E56" s="1230"/>
      <c r="F56" s="1230"/>
      <c r="G56" s="1230"/>
      <c r="H56" s="1230"/>
      <c r="I56" s="1230"/>
      <c r="J56" s="1230"/>
      <c r="K56" s="1230"/>
      <c r="L56" s="1230"/>
      <c r="M56" s="1230"/>
      <c r="N56" s="1230"/>
      <c r="O56" s="1230"/>
    </row>
    <row r="57" spans="1:15" x14ac:dyDescent="0.25">
      <c r="A57" s="1230" t="s">
        <v>177</v>
      </c>
      <c r="B57" s="1254">
        <f>SUM(B46:B53)</f>
        <v>169.00984848484848</v>
      </c>
      <c r="C57" s="1230"/>
      <c r="D57" s="1230"/>
      <c r="E57" s="1230"/>
      <c r="F57" s="1230"/>
      <c r="G57" s="1230"/>
      <c r="H57" s="1230"/>
      <c r="I57" s="1230"/>
      <c r="J57" s="1230"/>
      <c r="K57" s="1230"/>
      <c r="L57" s="1230"/>
      <c r="M57" s="1230"/>
      <c r="N57" s="1230"/>
      <c r="O57" s="1230"/>
    </row>
    <row r="58" spans="1:15" x14ac:dyDescent="0.25">
      <c r="A58" s="1263" t="s">
        <v>1502</v>
      </c>
      <c r="B58" s="1263"/>
      <c r="C58" s="1230"/>
      <c r="D58" s="1230"/>
      <c r="E58" s="1230"/>
      <c r="F58" s="1230"/>
      <c r="G58" s="1230"/>
      <c r="H58" s="1230"/>
      <c r="I58" s="1230"/>
      <c r="J58" s="1230"/>
      <c r="K58" s="1230"/>
      <c r="L58" s="1230"/>
      <c r="M58" s="1230"/>
      <c r="N58" s="1230"/>
      <c r="O58" s="1230"/>
    </row>
    <row r="59" spans="1:15" x14ac:dyDescent="0.25">
      <c r="A59" t="s">
        <v>1503</v>
      </c>
      <c r="B59" s="1266">
        <f>B13</f>
        <v>1.4999999999999999E-2</v>
      </c>
      <c r="C59" s="1230"/>
      <c r="D59" s="1230"/>
      <c r="E59" s="1230"/>
      <c r="F59" s="1230"/>
      <c r="G59" s="1230"/>
      <c r="H59" s="1230"/>
      <c r="I59" s="1230"/>
      <c r="J59" s="1230"/>
      <c r="K59" s="1230"/>
      <c r="L59" s="1230"/>
      <c r="M59" s="1230"/>
      <c r="N59" s="1230"/>
      <c r="O59" s="1230"/>
    </row>
    <row r="60" spans="1:15" x14ac:dyDescent="0.25">
      <c r="D60" s="1230"/>
      <c r="E60" s="1230"/>
      <c r="F60" s="1230"/>
      <c r="G60" s="1230"/>
      <c r="H60" s="1230"/>
      <c r="I60" s="1230"/>
      <c r="J60" s="1230"/>
      <c r="K60" s="1230"/>
      <c r="L60" s="1230"/>
      <c r="M60" s="1230"/>
      <c r="N60" s="1230"/>
      <c r="O60" s="1230"/>
    </row>
    <row r="61" spans="1:15" x14ac:dyDescent="0.25">
      <c r="D61" s="1230"/>
      <c r="E61" s="1230"/>
      <c r="F61" s="1230"/>
      <c r="G61" s="1230"/>
      <c r="H61" s="1230"/>
      <c r="I61" s="1230"/>
      <c r="J61" s="1230"/>
      <c r="K61" s="1230"/>
      <c r="L61" s="1230"/>
      <c r="M61" s="1230"/>
      <c r="N61" s="1230"/>
      <c r="O61" s="1230"/>
    </row>
    <row r="62" spans="1:15" x14ac:dyDescent="0.25">
      <c r="D62" s="1230"/>
      <c r="E62" s="1230"/>
      <c r="F62" s="1230"/>
      <c r="G62" s="1230"/>
      <c r="H62" s="1230"/>
      <c r="I62" s="1230"/>
      <c r="J62" s="1230"/>
      <c r="K62" s="1230"/>
      <c r="L62" s="1230"/>
      <c r="M62" s="1230"/>
      <c r="N62" s="1230"/>
      <c r="O62" s="1230"/>
    </row>
    <row r="63" spans="1:15" x14ac:dyDescent="0.25">
      <c r="D63" s="1230"/>
      <c r="E63" s="1230"/>
      <c r="F63" s="1230"/>
      <c r="G63" s="1230"/>
      <c r="H63" s="1230"/>
      <c r="I63" s="1230"/>
      <c r="J63" s="1230"/>
      <c r="K63" s="1230"/>
      <c r="L63" s="1230"/>
      <c r="M63" s="1230"/>
      <c r="N63" s="1230"/>
      <c r="O63" s="1230"/>
    </row>
    <row r="64" spans="1:15" x14ac:dyDescent="0.25">
      <c r="D64" s="1230"/>
      <c r="E64" s="1230"/>
      <c r="F64" s="1230"/>
      <c r="G64" s="1230"/>
      <c r="H64" s="1230"/>
      <c r="I64" s="1230"/>
      <c r="J64" s="1230"/>
      <c r="K64" s="1230"/>
      <c r="L64" s="1230"/>
      <c r="M64" s="1230"/>
      <c r="N64" s="1230"/>
      <c r="O64" s="1230"/>
    </row>
    <row r="65" spans="1:15" x14ac:dyDescent="0.25">
      <c r="A65" t="s">
        <v>177</v>
      </c>
      <c r="B65" s="1266">
        <f>SUM(B58:B64)</f>
        <v>1.4999999999999999E-2</v>
      </c>
      <c r="D65" s="1230"/>
      <c r="E65" s="1230"/>
      <c r="F65" s="1230"/>
      <c r="G65" s="1230"/>
      <c r="H65" s="1230"/>
      <c r="I65" s="1230"/>
      <c r="J65" s="1230"/>
      <c r="K65" s="1230"/>
      <c r="L65" s="1230"/>
      <c r="M65" s="1230"/>
      <c r="N65" s="1230"/>
      <c r="O65" s="1230"/>
    </row>
    <row r="66" spans="1:15" x14ac:dyDescent="0.25">
      <c r="D66" s="1230"/>
      <c r="E66" s="1230"/>
      <c r="F66" s="1230"/>
      <c r="G66" s="1230"/>
      <c r="H66" s="1230"/>
      <c r="I66" s="1230"/>
      <c r="J66" s="1230"/>
      <c r="K66" s="1230"/>
      <c r="L66" s="1230"/>
      <c r="M66" s="1230"/>
      <c r="N66" s="1230"/>
      <c r="O66" s="1230"/>
    </row>
    <row r="67" spans="1:15" x14ac:dyDescent="0.25">
      <c r="D67" s="1230"/>
      <c r="E67" s="1230"/>
      <c r="F67" s="1230"/>
      <c r="G67" s="1230"/>
      <c r="H67" s="1230"/>
      <c r="I67" s="1230"/>
      <c r="J67" s="1230"/>
      <c r="K67" s="1230"/>
      <c r="L67" s="1230"/>
      <c r="M67" s="1230"/>
      <c r="N67" s="1230"/>
      <c r="O67" s="1230"/>
    </row>
    <row r="68" spans="1:15" x14ac:dyDescent="0.25">
      <c r="D68" s="1230"/>
      <c r="E68" s="1230"/>
      <c r="F68" s="1230"/>
      <c r="G68" s="1230"/>
      <c r="H68" s="1230"/>
      <c r="I68" s="1230"/>
      <c r="J68" s="1230"/>
      <c r="K68" s="1230"/>
      <c r="L68" s="1230"/>
      <c r="M68" s="1230"/>
      <c r="N68" s="1230"/>
      <c r="O68" s="12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8074-27C6-46EC-8643-066582C82CA5}">
  <dimension ref="A1:AO162"/>
  <sheetViews>
    <sheetView workbookViewId="0">
      <selection activeCell="F5" sqref="F5"/>
    </sheetView>
  </sheetViews>
  <sheetFormatPr defaultColWidth="8.7109375" defaultRowHeight="12.75" x14ac:dyDescent="0.2"/>
  <cols>
    <col min="1" max="1" customWidth="true" style="1129" width="15.7109375"/>
    <col min="2" max="2" customWidth="true" style="1129" width="20.28515625"/>
    <col min="3" max="3" bestFit="true" customWidth="true" style="1129" width="11.85546875"/>
    <col min="4" max="4" customWidth="true" style="1129" width="16.85546875"/>
    <col min="5" max="5" customWidth="true" style="1129" width="12.140625"/>
    <col min="6" max="6" bestFit="true" customWidth="true" style="1129" width="10.0"/>
    <col min="7" max="7" style="1129" width="8.7109375"/>
    <col min="8" max="8" bestFit="true" customWidth="true" style="1129" width="11.140625"/>
    <col min="9" max="9" customWidth="true" style="1129" width="11.140625"/>
    <col min="10" max="13" style="1129" width="8.7109375"/>
    <col min="14" max="14" bestFit="true" customWidth="true" style="1129" width="11.140625"/>
    <col min="15" max="15" style="1129" width="8.7109375"/>
    <col min="16" max="16" customWidth="true" style="1129" width="12.140625"/>
    <col min="17" max="17" style="1129" width="8.7109375"/>
    <col min="18" max="18" customWidth="true" style="1129" width="12.0"/>
    <col min="19" max="27" style="1129" width="8.7109375"/>
    <col min="28" max="28" customWidth="true" style="1129" width="14.85546875"/>
    <col min="29" max="37" style="1129" width="8.7109375"/>
    <col min="38" max="38" customWidth="true" style="1129" width="10.85546875"/>
    <col min="39" max="16384" style="1129" width="8.7109375"/>
  </cols>
  <sheetData>
    <row r="1" spans="1:41" x14ac:dyDescent="0.2">
      <c r="A1" s="1129" t="s">
        <v>1090</v>
      </c>
      <c r="B1" s="1129" t="s">
        <v>1091</v>
      </c>
      <c r="C1" s="1130" t="str">
        <f>Input!B6</f>
        <v>0201</v>
      </c>
      <c r="E1" s="1129" t="s">
        <v>1092</v>
      </c>
      <c r="F1" s="1131">
        <f>D59+Digitaaldruk!G40</f>
        <v>1.5720859329001322</v>
      </c>
      <c r="M1" s="1129" t="s">
        <v>1090</v>
      </c>
      <c r="N1" s="1129" t="s">
        <v>1091</v>
      </c>
      <c r="O1" s="1132" t="str">
        <f>$C$1</f>
        <v>0201</v>
      </c>
      <c r="Q1" s="1129" t="s">
        <v>1092</v>
      </c>
      <c r="R1" s="1131">
        <f>P59+Digitaaldruk!H40</f>
        <v>1.2568627401437991</v>
      </c>
      <c r="W1" s="1129" t="s">
        <v>1090</v>
      </c>
      <c r="X1" s="1129" t="s">
        <v>1091</v>
      </c>
      <c r="Y1" s="1132" t="str">
        <f>$C$1</f>
        <v>0201</v>
      </c>
      <c r="AA1" s="1129" t="s">
        <v>1092</v>
      </c>
      <c r="AB1" s="1131">
        <f>Z59+Digitaaldruk!I40</f>
        <v>1.2568627401437991</v>
      </c>
      <c r="AG1" s="1129" t="s">
        <v>1090</v>
      </c>
      <c r="AH1" s="1129" t="s">
        <v>1091</v>
      </c>
      <c r="AI1" s="1132" t="str">
        <f>$C$1</f>
        <v>0201</v>
      </c>
      <c r="AK1" s="1129" t="s">
        <v>1092</v>
      </c>
      <c r="AL1" s="1131">
        <f>AJ59+Digitaaldruk!J40</f>
        <v>1.5092759001322751</v>
      </c>
    </row>
    <row r="2" spans="1:41" x14ac:dyDescent="0.2">
      <c r="B2" s="1129" t="s">
        <v>9</v>
      </c>
      <c r="C2" s="1133">
        <f>Input!B7</f>
        <v>300</v>
      </c>
      <c r="N2" s="1129" t="s">
        <v>9</v>
      </c>
      <c r="O2" s="1132">
        <f>$C$2</f>
        <v>300</v>
      </c>
      <c r="X2" s="1129" t="s">
        <v>9</v>
      </c>
      <c r="Y2" s="1132">
        <f>$C$2</f>
        <v>300</v>
      </c>
      <c r="AH2" s="1129" t="s">
        <v>9</v>
      </c>
      <c r="AI2" s="1132">
        <f>$C$2</f>
        <v>300</v>
      </c>
    </row>
    <row r="3" spans="1:41" x14ac:dyDescent="0.2">
      <c r="B3" s="1129" t="s">
        <v>18</v>
      </c>
      <c r="C3" s="1133">
        <f>Input!B8</f>
        <v>250</v>
      </c>
      <c r="N3" s="1129" t="s">
        <v>18</v>
      </c>
      <c r="O3" s="1132">
        <f>$C$3</f>
        <v>250</v>
      </c>
      <c r="X3" s="1129" t="s">
        <v>18</v>
      </c>
      <c r="Y3" s="1132">
        <f>$C$3</f>
        <v>250</v>
      </c>
      <c r="AH3" s="1129" t="s">
        <v>18</v>
      </c>
      <c r="AI3" s="1132">
        <f>$C$3</f>
        <v>250</v>
      </c>
    </row>
    <row r="4" spans="1:41" x14ac:dyDescent="0.2">
      <c r="B4" s="1129" t="s">
        <v>19</v>
      </c>
      <c r="C4" s="1133">
        <f>Input!B9</f>
        <v>100</v>
      </c>
      <c r="N4" s="1129" t="s">
        <v>19</v>
      </c>
      <c r="O4" s="1132">
        <f>$C$4</f>
        <v>100</v>
      </c>
      <c r="X4" s="1129" t="s">
        <v>19</v>
      </c>
      <c r="Y4" s="1132">
        <f>$C$4</f>
        <v>100</v>
      </c>
      <c r="AH4" s="1129" t="s">
        <v>19</v>
      </c>
      <c r="AI4" s="1132">
        <f>$C$4</f>
        <v>100</v>
      </c>
    </row>
    <row r="5" spans="1:41" x14ac:dyDescent="0.2">
      <c r="B5" s="1129" t="s">
        <v>1093</v>
      </c>
      <c r="C5" s="1134">
        <f>Input!B2</f>
        <v>10010</v>
      </c>
      <c r="N5" s="1129" t="s">
        <v>1093</v>
      </c>
      <c r="O5" s="1135">
        <f>$C$5</f>
        <v>10010</v>
      </c>
      <c r="X5" s="1129" t="s">
        <v>1093</v>
      </c>
      <c r="Y5" s="1135">
        <f>$C$5</f>
        <v>10010</v>
      </c>
      <c r="AH5" s="1129" t="s">
        <v>1093</v>
      </c>
      <c r="AI5" s="1135">
        <f>$C$5</f>
        <v>10010</v>
      </c>
    </row>
    <row r="6" spans="1:41" x14ac:dyDescent="0.2">
      <c r="B6" s="1129" t="s">
        <v>61</v>
      </c>
      <c r="C6" s="1136">
        <f>Input!B17</f>
        <v>400</v>
      </c>
      <c r="N6" s="1129" t="s">
        <v>61</v>
      </c>
      <c r="O6" s="1137">
        <f>Mastersheet!H15</f>
        <v>1800</v>
      </c>
      <c r="X6" s="1129" t="s">
        <v>61</v>
      </c>
      <c r="Y6" s="1137">
        <f>Mastersheet!I15</f>
        <v>1800</v>
      </c>
      <c r="AH6" s="1129" t="s">
        <v>61</v>
      </c>
      <c r="AI6" s="1137">
        <f>Mastersheet!J15</f>
        <v>490</v>
      </c>
    </row>
    <row r="8" spans="1:41" x14ac:dyDescent="0.2">
      <c r="A8" s="1129" t="s">
        <v>1094</v>
      </c>
      <c r="C8" s="1129" t="s">
        <v>9</v>
      </c>
      <c r="D8" s="1129" t="s">
        <v>18</v>
      </c>
      <c r="E8" s="1129" t="s">
        <v>19</v>
      </c>
      <c r="F8" s="1129" t="s">
        <v>22</v>
      </c>
      <c r="G8" s="1129" t="s">
        <v>177</v>
      </c>
      <c r="I8" s="1129" t="s">
        <v>1095</v>
      </c>
      <c r="M8" s="1129" t="s">
        <v>1094</v>
      </c>
      <c r="O8" s="1129" t="s">
        <v>9</v>
      </c>
      <c r="P8" s="1129" t="s">
        <v>18</v>
      </c>
      <c r="Q8" s="1129" t="s">
        <v>19</v>
      </c>
      <c r="R8" s="1129" t="s">
        <v>22</v>
      </c>
      <c r="S8" s="1129" t="s">
        <v>177</v>
      </c>
      <c r="U8" s="1129" t="s">
        <v>1095</v>
      </c>
      <c r="W8" s="1129" t="s">
        <v>1094</v>
      </c>
      <c r="Y8" s="1129" t="s">
        <v>9</v>
      </c>
      <c r="Z8" s="1129" t="s">
        <v>18</v>
      </c>
      <c r="AA8" s="1129" t="s">
        <v>19</v>
      </c>
      <c r="AB8" s="1129" t="s">
        <v>22</v>
      </c>
      <c r="AC8" s="1129" t="s">
        <v>177</v>
      </c>
      <c r="AE8" s="1129" t="s">
        <v>1095</v>
      </c>
      <c r="AG8" s="1129" t="s">
        <v>1094</v>
      </c>
      <c r="AI8" s="1129" t="s">
        <v>9</v>
      </c>
      <c r="AJ8" s="1129" t="s">
        <v>18</v>
      </c>
      <c r="AK8" s="1129" t="s">
        <v>19</v>
      </c>
      <c r="AL8" s="1129" t="s">
        <v>22</v>
      </c>
      <c r="AM8" s="1129" t="s">
        <v>177</v>
      </c>
      <c r="AO8" s="1129" t="s">
        <v>1095</v>
      </c>
    </row>
    <row r="9" spans="1:41" x14ac:dyDescent="0.2">
      <c r="B9" s="1129" t="s">
        <v>1216</v>
      </c>
      <c r="G9" s="1129">
        <f>VLOOKUP($C$1,Rekenblad!B74:G107,2,0)</f>
        <v>361</v>
      </c>
      <c r="I9" s="1129">
        <f>VLOOKUP($C$1,Rekenblad!B74:G107,5,0)</f>
        <v>361</v>
      </c>
      <c r="S9" s="1129">
        <f>G9</f>
        <v>361</v>
      </c>
      <c r="U9" s="1129">
        <f>I9</f>
        <v>361</v>
      </c>
      <c r="X9" s="1129" t="s">
        <v>1096</v>
      </c>
      <c r="AC9" s="1129">
        <f>S9</f>
        <v>361</v>
      </c>
      <c r="AE9" s="1129">
        <f>U9</f>
        <v>361</v>
      </c>
      <c r="AH9" s="1129" t="s">
        <v>1096</v>
      </c>
      <c r="AM9" s="1129">
        <f>AC9</f>
        <v>361</v>
      </c>
      <c r="AO9" s="1129">
        <f>AE9</f>
        <v>361</v>
      </c>
    </row>
    <row r="10" spans="1:41" x14ac:dyDescent="0.2">
      <c r="B10" s="1129" t="s">
        <v>1097</v>
      </c>
      <c r="G10" s="1129">
        <f>VLOOKUP($C$1,Rekenblad!B74:G107,3,0)</f>
        <v>1114</v>
      </c>
      <c r="I10" s="1129">
        <f>VLOOKUP($C$1,Rekenblad!B74:G107,6,0)</f>
        <v>557</v>
      </c>
      <c r="S10" s="1129">
        <f>G10</f>
        <v>1114</v>
      </c>
      <c r="U10" s="1129">
        <f>I10</f>
        <v>557</v>
      </c>
      <c r="X10" s="1129" t="s">
        <v>1097</v>
      </c>
      <c r="AC10" s="1129">
        <f>S10</f>
        <v>1114</v>
      </c>
      <c r="AE10" s="1129">
        <f>U10</f>
        <v>557</v>
      </c>
      <c r="AH10" s="1129" t="s">
        <v>1097</v>
      </c>
      <c r="AM10" s="1129">
        <f>AC10</f>
        <v>1114</v>
      </c>
      <c r="AO10" s="1129">
        <f>AE10</f>
        <v>557</v>
      </c>
    </row>
    <row r="11" spans="1:41" x14ac:dyDescent="0.2">
      <c r="B11" s="1129" t="s">
        <v>486</v>
      </c>
      <c r="C11" s="1138">
        <f>G9*G10/1000000</f>
        <v>0.40215400000000001</v>
      </c>
      <c r="N11" s="1129" t="s">
        <v>486</v>
      </c>
      <c r="O11" s="1138">
        <f>S9*S10/1000000</f>
        <v>0.40215400000000001</v>
      </c>
      <c r="X11" s="1129" t="s">
        <v>486</v>
      </c>
      <c r="Y11" s="1138">
        <f>AC9*AC10/1000000</f>
        <v>0.40215400000000001</v>
      </c>
      <c r="AH11" s="1129" t="s">
        <v>486</v>
      </c>
      <c r="AI11" s="1138">
        <f>AM9*AM10/1000000</f>
        <v>0.40215400000000001</v>
      </c>
    </row>
    <row r="12" spans="1:41" x14ac:dyDescent="0.2">
      <c r="B12" s="1129" t="s">
        <v>1098</v>
      </c>
      <c r="C12" s="1140">
        <f>C11*C6</f>
        <v>160.86160000000001</v>
      </c>
      <c r="N12" s="1129" t="s">
        <v>1098</v>
      </c>
      <c r="O12" s="1139">
        <f>O11*O6</f>
        <v>723.87720000000002</v>
      </c>
      <c r="X12" s="1129" t="s">
        <v>1098</v>
      </c>
      <c r="Y12" s="1139">
        <f>Y11*Y6</f>
        <v>723.87720000000002</v>
      </c>
      <c r="AH12" s="1129" t="s">
        <v>1098</v>
      </c>
      <c r="AI12" s="1139">
        <f>AI11*AI6</f>
        <v>197.05546000000001</v>
      </c>
    </row>
    <row r="13" spans="1:41" x14ac:dyDescent="0.2">
      <c r="C13" s="1139"/>
      <c r="O13" s="1139"/>
      <c r="Y13" s="1139"/>
      <c r="AI13" s="1139"/>
    </row>
    <row r="14" spans="1:41" x14ac:dyDescent="0.2">
      <c r="C14" s="1129" t="s">
        <v>9</v>
      </c>
      <c r="D14" s="1129" t="s">
        <v>18</v>
      </c>
      <c r="E14" s="1129" t="s">
        <v>19</v>
      </c>
      <c r="F14" s="1129" t="s">
        <v>177</v>
      </c>
      <c r="G14" s="1129" t="s">
        <v>704</v>
      </c>
      <c r="O14" s="1129" t="s">
        <v>9</v>
      </c>
      <c r="P14" s="1129" t="s">
        <v>18</v>
      </c>
      <c r="Q14" s="1129" t="s">
        <v>19</v>
      </c>
      <c r="R14" s="1129" t="s">
        <v>177</v>
      </c>
      <c r="S14" s="1129" t="s">
        <v>704</v>
      </c>
      <c r="Y14" s="1129" t="s">
        <v>9</v>
      </c>
      <c r="Z14" s="1129" t="s">
        <v>18</v>
      </c>
      <c r="AA14" s="1129" t="s">
        <v>19</v>
      </c>
      <c r="AB14" s="1129" t="s">
        <v>177</v>
      </c>
      <c r="AC14" s="1129" t="s">
        <v>704</v>
      </c>
      <c r="AI14" s="1129" t="s">
        <v>9</v>
      </c>
      <c r="AJ14" s="1129" t="s">
        <v>18</v>
      </c>
      <c r="AK14" s="1129" t="s">
        <v>19</v>
      </c>
      <c r="AL14" s="1129" t="s">
        <v>177</v>
      </c>
      <c r="AM14" s="1129" t="s">
        <v>704</v>
      </c>
    </row>
    <row r="15" spans="1:41" x14ac:dyDescent="0.2">
      <c r="B15" s="1129" t="s">
        <v>1099</v>
      </c>
      <c r="C15" s="1129">
        <f>VLOOKUP($C$1,FEFCO_plot,3,0)</f>
        <v>4</v>
      </c>
      <c r="D15" s="1129">
        <f>VLOOKUP($C$1,FEFCO_plot,4,0)</f>
        <v>12</v>
      </c>
      <c r="E15" s="1129">
        <f>VLOOKUP($C$1,FEFCO_plot,5,0)</f>
        <v>2</v>
      </c>
      <c r="F15" s="1129">
        <f>C15*C2+D15*C3+E15*C4</f>
        <v>4400</v>
      </c>
      <c r="G15" s="1129">
        <f>VLOOKUP(C11,Snelheid_plot,3,1)</f>
        <v>300</v>
      </c>
      <c r="N15" s="1129" t="s">
        <v>1099</v>
      </c>
      <c r="O15" s="1129">
        <f>VLOOKUP($C$1,FEFCO_plot,3,0)</f>
        <v>4</v>
      </c>
      <c r="P15" s="1129">
        <f>VLOOKUP($C$1,FEFCO_plot,4,0)</f>
        <v>12</v>
      </c>
      <c r="Q15" s="1129">
        <f>VLOOKUP($C$1,FEFCO_plot,5,0)</f>
        <v>2</v>
      </c>
      <c r="R15" s="1129">
        <f>O15*O2+P15*O3+Q15*O4</f>
        <v>4400</v>
      </c>
      <c r="S15" s="1129">
        <f>VLOOKUP(O11,Snelheid_plot,3,1)</f>
        <v>300</v>
      </c>
      <c r="X15" s="1129" t="s">
        <v>1099</v>
      </c>
      <c r="Y15" s="1129">
        <f>VLOOKUP($C$1,FEFCO_plot,3,0)</f>
        <v>4</v>
      </c>
      <c r="Z15" s="1129">
        <f>VLOOKUP($C$1,FEFCO_plot,4,0)</f>
        <v>12</v>
      </c>
      <c r="AA15" s="1129">
        <f>VLOOKUP($C$1,FEFCO_plot,5,0)</f>
        <v>2</v>
      </c>
      <c r="AB15" s="1129">
        <f>Y15*Y2+Z15*Y3+AA15*Y4</f>
        <v>4400</v>
      </c>
      <c r="AC15" s="1129">
        <f>VLOOKUP(Y11,Snelheid_plot,3,1)</f>
        <v>300</v>
      </c>
      <c r="AH15" s="1129" t="s">
        <v>1099</v>
      </c>
      <c r="AI15" s="1129">
        <f>VLOOKUP($C$1,FEFCO_plot,3,0)</f>
        <v>4</v>
      </c>
      <c r="AJ15" s="1129">
        <f>VLOOKUP($C$1,FEFCO_plot,4,0)</f>
        <v>12</v>
      </c>
      <c r="AK15" s="1129">
        <f>VLOOKUP($C$1,FEFCO_plot,5,0)</f>
        <v>2</v>
      </c>
      <c r="AL15" s="1129">
        <f>AI15*AI2+AJ15*AI3+AK15*AI4</f>
        <v>4400</v>
      </c>
      <c r="AM15" s="1129">
        <f>VLOOKUP(AI11,Snelheid_plot,3,1)</f>
        <v>300</v>
      </c>
    </row>
    <row r="16" spans="1:41" x14ac:dyDescent="0.2">
      <c r="B16" s="1129" t="s">
        <v>1100</v>
      </c>
      <c r="C16" s="1129">
        <f>VLOOKUP($C$1,FEFCO_plot,6,0)</f>
        <v>4</v>
      </c>
      <c r="D16" s="1129">
        <f>VLOOKUP($C$1,FEFCO_plot,7,0)</f>
        <v>4</v>
      </c>
      <c r="E16" s="1129">
        <f>VLOOKUP($C$1,FEFCO_plot,8,0)</f>
        <v>4</v>
      </c>
      <c r="F16" s="1129">
        <f>C16*C2+D16*C3+E16*C4</f>
        <v>2600</v>
      </c>
      <c r="G16" s="1129">
        <f>VLOOKUP(C11,Snelheid_plot,2,1)</f>
        <v>700</v>
      </c>
      <c r="N16" s="1129" t="s">
        <v>1100</v>
      </c>
      <c r="O16" s="1129">
        <f>VLOOKUP($C$1,FEFCO_plot,6,0)</f>
        <v>4</v>
      </c>
      <c r="P16" s="1129">
        <f>VLOOKUP($C$1,FEFCO_plot,7,0)</f>
        <v>4</v>
      </c>
      <c r="Q16" s="1129">
        <f>VLOOKUP($C$1,FEFCO_plot,8,0)</f>
        <v>4</v>
      </c>
      <c r="R16" s="1129">
        <f>O16*O2+P16*O3+Q16*O4</f>
        <v>2600</v>
      </c>
      <c r="S16" s="1129">
        <f>VLOOKUP(O11,Snelheid_plot,2,1)</f>
        <v>700</v>
      </c>
      <c r="X16" s="1129" t="s">
        <v>1100</v>
      </c>
      <c r="Y16" s="1129">
        <f>VLOOKUP($C$1,FEFCO_plot,6,0)</f>
        <v>4</v>
      </c>
      <c r="Z16" s="1129">
        <f>VLOOKUP($C$1,FEFCO_plot,7,0)</f>
        <v>4</v>
      </c>
      <c r="AA16" s="1129">
        <f>VLOOKUP($C$1,FEFCO_plot,8,0)</f>
        <v>4</v>
      </c>
      <c r="AB16" s="1129">
        <f>Y16*Y2+Z16*Y3+AA16*Y4</f>
        <v>2600</v>
      </c>
      <c r="AC16" s="1129">
        <f>VLOOKUP(Y11,Snelheid_plot,2,1)</f>
        <v>700</v>
      </c>
      <c r="AH16" s="1129" t="s">
        <v>1100</v>
      </c>
      <c r="AI16" s="1129">
        <f>VLOOKUP($C$1,FEFCO_plot,6,0)</f>
        <v>4</v>
      </c>
      <c r="AJ16" s="1129">
        <f>VLOOKUP($C$1,FEFCO_plot,7,0)</f>
        <v>4</v>
      </c>
      <c r="AK16" s="1129">
        <f>VLOOKUP($C$1,FEFCO_plot,8,0)</f>
        <v>4</v>
      </c>
      <c r="AL16" s="1129">
        <f>AI16*AI2+AJ16*AI3+AK16*AI4</f>
        <v>2600</v>
      </c>
      <c r="AM16" s="1129">
        <f>VLOOKUP(AI11,Snelheid_plot,2,1)</f>
        <v>700</v>
      </c>
    </row>
    <row r="18" spans="2:38" x14ac:dyDescent="0.2">
      <c r="B18" s="1129" t="s">
        <v>1101</v>
      </c>
      <c r="D18" s="1140">
        <f>F15/G15+F16/G16</f>
        <v>18.38095238095238</v>
      </c>
      <c r="N18" s="1129" t="s">
        <v>1101</v>
      </c>
      <c r="P18" s="1140">
        <f>R15/S15+R16/S16</f>
        <v>18.38095238095238</v>
      </c>
      <c r="X18" s="1129" t="s">
        <v>1101</v>
      </c>
      <c r="Z18" s="1140">
        <f>AB15/AC15+AB16/AC16</f>
        <v>18.38095238095238</v>
      </c>
      <c r="AH18" s="1129" t="s">
        <v>1101</v>
      </c>
      <c r="AJ18" s="1140">
        <f>AL15/AM15+AL16/AM16</f>
        <v>18.38095238095238</v>
      </c>
    </row>
    <row r="19" spans="2:38" ht="15" x14ac:dyDescent="0.25">
      <c r="B19" s="1129" t="s">
        <v>1102</v>
      </c>
      <c r="D19" s="1141">
        <f>Plot!C64</f>
        <v>65</v>
      </c>
      <c r="N19" s="1129" t="s">
        <v>1102</v>
      </c>
      <c r="P19" s="1141">
        <f>Plot!$C$64</f>
        <v>65</v>
      </c>
      <c r="X19" s="1129" t="s">
        <v>1102</v>
      </c>
      <c r="Z19" s="1141">
        <f>Plot!$C$64</f>
        <v>65</v>
      </c>
      <c r="AH19" s="1129" t="s">
        <v>1102</v>
      </c>
      <c r="AJ19" s="1141">
        <f>Plot!$C$64</f>
        <v>65</v>
      </c>
    </row>
    <row r="20" spans="2:38" ht="15" x14ac:dyDescent="0.25">
      <c r="B20" s="1129" t="s">
        <v>1103</v>
      </c>
      <c r="D20" s="1142">
        <f>D19/3600</f>
        <v>1.8055555555555554E-2</v>
      </c>
      <c r="N20" s="1129" t="s">
        <v>1103</v>
      </c>
      <c r="P20" s="1142">
        <f>P19/3600</f>
        <v>1.8055555555555554E-2</v>
      </c>
      <c r="X20" s="1129" t="s">
        <v>1103</v>
      </c>
      <c r="Z20" s="1142">
        <f>Z19/3600</f>
        <v>1.8055555555555554E-2</v>
      </c>
      <c r="AH20" s="1129" t="s">
        <v>1103</v>
      </c>
      <c r="AJ20" s="1142">
        <f>AJ19/3600</f>
        <v>1.8055555555555554E-2</v>
      </c>
    </row>
    <row r="21" spans="2:38" ht="15" x14ac:dyDescent="0.25">
      <c r="B21" s="1129" t="s">
        <v>1104</v>
      </c>
      <c r="D21" s="1143">
        <f>D20*D18</f>
        <v>0.33187830687830683</v>
      </c>
      <c r="N21" s="1129" t="s">
        <v>1104</v>
      </c>
      <c r="P21" s="1143">
        <f>P20*P18</f>
        <v>0.33187830687830683</v>
      </c>
      <c r="X21" s="1129" t="s">
        <v>1104</v>
      </c>
      <c r="Z21" s="1143">
        <f>Z20*Z18</f>
        <v>0.33187830687830683</v>
      </c>
      <c r="AH21" s="1129" t="s">
        <v>1104</v>
      </c>
      <c r="AJ21" s="1143">
        <f>AJ20*AJ18</f>
        <v>0.33187830687830683</v>
      </c>
    </row>
    <row r="23" spans="2:38" x14ac:dyDescent="0.2">
      <c r="B23" s="1129" t="s">
        <v>545</v>
      </c>
      <c r="D23" s="1133">
        <v>3000</v>
      </c>
      <c r="E23" s="1133">
        <v>2200</v>
      </c>
      <c r="N23" s="1129" t="s">
        <v>545</v>
      </c>
      <c r="P23" s="1132">
        <f>$D$23</f>
        <v>3000</v>
      </c>
      <c r="Q23" s="1132">
        <f>$E$23</f>
        <v>2200</v>
      </c>
      <c r="X23" s="1129" t="s">
        <v>545</v>
      </c>
      <c r="Z23" s="1132">
        <f>$D$23</f>
        <v>3000</v>
      </c>
      <c r="AA23" s="1132">
        <f>$E$23</f>
        <v>2200</v>
      </c>
      <c r="AH23" s="1129" t="s">
        <v>545</v>
      </c>
      <c r="AJ23" s="1132">
        <f>$D$23</f>
        <v>3000</v>
      </c>
      <c r="AK23" s="1132">
        <f>$E$23</f>
        <v>2200</v>
      </c>
    </row>
    <row r="24" spans="2:38" x14ac:dyDescent="0.2">
      <c r="B24" s="1129" t="s">
        <v>1105</v>
      </c>
      <c r="D24" s="1138">
        <f>D23/G10</f>
        <v>2.6929982046678638</v>
      </c>
      <c r="E24" s="1138"/>
      <c r="N24" s="1129" t="s">
        <v>1105</v>
      </c>
      <c r="P24" s="1138">
        <f>P23/S10</f>
        <v>2.6929982046678638</v>
      </c>
      <c r="Q24" s="1138"/>
      <c r="X24" s="1129" t="s">
        <v>1105</v>
      </c>
      <c r="Z24" s="1138">
        <f>Z23/AC10</f>
        <v>2.6929982046678638</v>
      </c>
      <c r="AA24" s="1138"/>
      <c r="AH24" s="1129" t="s">
        <v>1105</v>
      </c>
      <c r="AJ24" s="1138">
        <f>AJ23/AM10</f>
        <v>2.6929982046678638</v>
      </c>
      <c r="AK24" s="1138"/>
    </row>
    <row r="25" spans="2:38" x14ac:dyDescent="0.2">
      <c r="B25" s="1129" t="s">
        <v>1106</v>
      </c>
      <c r="D25" s="1138"/>
      <c r="E25" s="1138">
        <f>E23/G9</f>
        <v>6.094182825484765</v>
      </c>
      <c r="N25" s="1129" t="s">
        <v>1106</v>
      </c>
      <c r="P25" s="1138"/>
      <c r="Q25" s="1138">
        <f>Q23/S9</f>
        <v>6.094182825484765</v>
      </c>
      <c r="X25" s="1129" t="s">
        <v>1106</v>
      </c>
      <c r="Z25" s="1138"/>
      <c r="AA25" s="1138">
        <f>AA23/AC9</f>
        <v>6.094182825484765</v>
      </c>
      <c r="AH25" s="1129" t="s">
        <v>1106</v>
      </c>
      <c r="AJ25" s="1138"/>
      <c r="AK25" s="1138">
        <f>AK23/AM9</f>
        <v>6.094182825484765</v>
      </c>
    </row>
    <row r="27" spans="2:38" x14ac:dyDescent="0.2">
      <c r="B27" s="1129" t="s">
        <v>1107</v>
      </c>
      <c r="D27" s="1138">
        <f>INT(D24)</f>
        <v>2</v>
      </c>
      <c r="E27" s="1138">
        <f>INT(E25)</f>
        <v>6</v>
      </c>
      <c r="F27" s="1129">
        <f>E27*D27</f>
        <v>12</v>
      </c>
      <c r="N27" s="1129" t="s">
        <v>1107</v>
      </c>
      <c r="P27" s="1138">
        <f>INT(P24)</f>
        <v>2</v>
      </c>
      <c r="Q27" s="1138">
        <f>INT(Q25)</f>
        <v>6</v>
      </c>
      <c r="R27" s="1129">
        <f>Q27*P27</f>
        <v>12</v>
      </c>
      <c r="X27" s="1129" t="s">
        <v>1107</v>
      </c>
      <c r="Z27" s="1138">
        <f>INT(Z24)</f>
        <v>2</v>
      </c>
      <c r="AA27" s="1138">
        <f>INT(AA25)</f>
        <v>6</v>
      </c>
      <c r="AB27" s="1129">
        <f>AA27*Z27</f>
        <v>12</v>
      </c>
      <c r="AH27" s="1129" t="s">
        <v>1107</v>
      </c>
      <c r="AJ27" s="1138">
        <f>INT(AJ24)</f>
        <v>2</v>
      </c>
      <c r="AK27" s="1138">
        <f>INT(AK25)</f>
        <v>6</v>
      </c>
      <c r="AL27" s="1129">
        <f>AK27*AJ27</f>
        <v>12</v>
      </c>
    </row>
    <row r="29" spans="2:38" ht="15" x14ac:dyDescent="0.25">
      <c r="B29" s="1129" t="s">
        <v>1108</v>
      </c>
      <c r="D29" s="1144">
        <f>VLOOKUP(C5,B100:E130,4,0)</f>
        <v>0.5097600000000001</v>
      </c>
      <c r="E29" s="1129" t="s">
        <v>508</v>
      </c>
      <c r="F29" s="1145">
        <f>D23*E23/1000000*D29</f>
        <v>3.3644160000000003</v>
      </c>
      <c r="N29" s="1129" t="s">
        <v>1108</v>
      </c>
      <c r="P29" s="1144">
        <f>VLOOKUP(C5,B100:E130,4,0)</f>
        <v>0.5097600000000001</v>
      </c>
      <c r="Q29" s="1129" t="s">
        <v>508</v>
      </c>
      <c r="R29" s="1145">
        <f>P23*Q23/1000000*P29</f>
        <v>3.3644160000000003</v>
      </c>
      <c r="X29" s="1129" t="s">
        <v>1108</v>
      </c>
      <c r="Z29" s="1144">
        <f>VLOOKUP(C5,B100:E130,4,0)</f>
        <v>0.5097600000000001</v>
      </c>
      <c r="AA29" s="1129" t="s">
        <v>508</v>
      </c>
      <c r="AB29" s="1145">
        <f>Z23*AA23/1000000*Z29</f>
        <v>3.3644160000000003</v>
      </c>
      <c r="AH29" s="1129" t="s">
        <v>1108</v>
      </c>
      <c r="AJ29" s="1144">
        <f>VLOOKUP(C5,B100:E130,4,0)</f>
        <v>0.5097600000000001</v>
      </c>
      <c r="AK29" s="1129" t="s">
        <v>508</v>
      </c>
      <c r="AL29" s="1145">
        <f>AJ23*AK23/1000000*AJ29</f>
        <v>3.3644160000000003</v>
      </c>
    </row>
    <row r="30" spans="2:38" x14ac:dyDescent="0.2">
      <c r="F30" s="1145"/>
      <c r="R30" s="1145"/>
      <c r="AB30" s="1145"/>
      <c r="AL30" s="1145"/>
    </row>
    <row r="31" spans="2:38" ht="15" x14ac:dyDescent="0.25">
      <c r="D31" s="1141" t="s">
        <v>1109</v>
      </c>
      <c r="E31" s="1129" t="s">
        <v>1110</v>
      </c>
      <c r="P31" s="1141" t="s">
        <v>1109</v>
      </c>
      <c r="Q31" s="1129" t="s">
        <v>1110</v>
      </c>
      <c r="Z31" s="1141" t="s">
        <v>1109</v>
      </c>
      <c r="AA31" s="1129" t="s">
        <v>1110</v>
      </c>
      <c r="AJ31" s="1141" t="s">
        <v>1109</v>
      </c>
      <c r="AK31" s="1129" t="s">
        <v>1110</v>
      </c>
    </row>
    <row r="32" spans="2:38" ht="15" x14ac:dyDescent="0.25">
      <c r="B32" s="1129" t="s">
        <v>1111</v>
      </c>
      <c r="D32" s="1143">
        <f>F29/F27</f>
        <v>0.28036800000000001</v>
      </c>
      <c r="E32" s="1145">
        <f>C11*D29</f>
        <v>0.20500202304000004</v>
      </c>
      <c r="F32" s="1145"/>
      <c r="N32" s="1129" t="s">
        <v>1111</v>
      </c>
      <c r="P32" s="1143">
        <f>R29/R27</f>
        <v>0.28036800000000001</v>
      </c>
      <c r="Q32" s="1145">
        <f>O11*P29</f>
        <v>0.20500202304000004</v>
      </c>
      <c r="X32" s="1129" t="s">
        <v>1111</v>
      </c>
      <c r="Z32" s="1143">
        <f>AB29/AB27</f>
        <v>0.28036800000000001</v>
      </c>
      <c r="AA32" s="1145">
        <f>Y11*Z29</f>
        <v>0.20500202304000004</v>
      </c>
      <c r="AH32" s="1129" t="s">
        <v>1111</v>
      </c>
      <c r="AJ32" s="1143">
        <f>AL29/AL27</f>
        <v>0.28036800000000001</v>
      </c>
      <c r="AK32" s="1145">
        <f>AI11*AJ29</f>
        <v>0.20500202304000004</v>
      </c>
    </row>
    <row r="33" spans="2:37" x14ac:dyDescent="0.2">
      <c r="B33" s="1129" t="s">
        <v>1112</v>
      </c>
      <c r="D33" s="1146">
        <f>IF(AND(C12&gt;300, C6&gt;=250), E32, D32)</f>
        <v>0.28036800000000001</v>
      </c>
      <c r="N33" s="1129" t="s">
        <v>1112</v>
      </c>
      <c r="P33" s="1146">
        <f>IF(AND(O12&gt;300, O6&gt;=250), Q32, P32)</f>
        <v>0.20500202304000004</v>
      </c>
      <c r="X33" s="1129" t="s">
        <v>1112</v>
      </c>
      <c r="Z33" s="1146">
        <f>IF(AND(Y12&gt;300, Y6&gt;=250), AA32, Z32)</f>
        <v>0.20500202304000004</v>
      </c>
      <c r="AH33" s="1129" t="s">
        <v>1112</v>
      </c>
      <c r="AJ33" s="1146">
        <f>IF(AND(AI12&gt;300, AI6&gt;=250), AK32, AJ32)</f>
        <v>0.28036800000000001</v>
      </c>
    </row>
    <row r="34" spans="2:37" x14ac:dyDescent="0.2">
      <c r="B34" s="1129" t="s">
        <v>79</v>
      </c>
      <c r="D34" s="1129">
        <v>2100</v>
      </c>
      <c r="N34" s="1129" t="s">
        <v>79</v>
      </c>
      <c r="P34" s="1129">
        <v>2100</v>
      </c>
      <c r="X34" s="1129" t="s">
        <v>79</v>
      </c>
      <c r="Z34" s="1129">
        <v>2100</v>
      </c>
      <c r="AH34" s="1129" t="s">
        <v>79</v>
      </c>
      <c r="AJ34" s="1129">
        <v>2100</v>
      </c>
    </row>
    <row r="35" spans="2:37" x14ac:dyDescent="0.2">
      <c r="B35" s="1129" t="s">
        <v>1113</v>
      </c>
      <c r="D35" s="1129" t="str">
        <f>VLOOKUP(C1,FEFCO_plot,2,0)</f>
        <v>Ja</v>
      </c>
      <c r="N35" s="1129" t="s">
        <v>1113</v>
      </c>
      <c r="P35" s="1129" t="str">
        <f>VLOOKUP(O1,FEFCO_plot,2,0)</f>
        <v>Ja</v>
      </c>
      <c r="X35" s="1129" t="s">
        <v>1113</v>
      </c>
      <c r="Z35" s="1129" t="str">
        <f>VLOOKUP(Y1,FEFCO_plot,2,0)</f>
        <v>Ja</v>
      </c>
      <c r="AH35" s="1129" t="s">
        <v>1113</v>
      </c>
      <c r="AJ35" s="1129" t="str">
        <f>VLOOKUP(AI1,FEFCO_plot,2,0)</f>
        <v>Ja</v>
      </c>
    </row>
    <row r="36" spans="2:37" ht="15" x14ac:dyDescent="0.25">
      <c r="B36" s="1129" t="s">
        <v>1114</v>
      </c>
      <c r="D36" s="1141">
        <f>IF(D35="Nee",0,E36)</f>
        <v>0.27333333333333337</v>
      </c>
      <c r="E36" s="1141" cm="1">
        <f t="array" ref="E36">IF(COUNTIF(Tape_aantal_plot,"&gt;="&amp;C6)&gt;0,
VLOOKUP(C6,Tapen_plot,2,TRUE) +
    (C6 - VLOOKUP(C6,Tape_aantal_plot,1,TRUE)) *
    (INDEX(Tape_prijs_plot, MATCH(TRUE, Tape_aantal_plot &gt; C6, 0)) - VLOOKUP(C6,Tapen_plot,2,TRUE)) /
    (INDEX(Tape_aantal_plot, MATCH(TRUE, Tape_aantal_plot &gt; C6, 0)) - VLOOKUP(C6,Tape_aantal_plot,1,TRUE)),
VLOOKUP(C6,Tapen_plot,2,TRUE)
)</f>
        <v>0.27333333333333337</v>
      </c>
      <c r="N36" s="1129" t="s">
        <v>1114</v>
      </c>
      <c r="P36" s="1141">
        <f>IF(P35="Nee",0,Q36)</f>
        <v>0.26</v>
      </c>
      <c r="Q36" s="1141" cm="1">
        <f t="array" ref="Q36">IF(COUNTIF(Tape_aantal_plot,"&gt;="&amp;O6)&gt;0,
VLOOKUP(O6,Tapen_plot,2,TRUE) +
    (O6 - VLOOKUP(O6,Tape_aantal_plot,1,TRUE)) *
    (INDEX(Tape_prijs_plot, MATCH(TRUE, Tape_aantal_plot &gt; O6, 0)) - VLOOKUP(O6,Tapen_plot,2,TRUE)) /
    (INDEX(Tape_aantal_plot, MATCH(TRUE, Tape_aantal_plot &gt; O6, 0)) - VLOOKUP(O6,Tape_aantal_plot,1,TRUE)),
VLOOKUP(O6,Tapen_plot,2,TRUE)
)</f>
        <v>0.26</v>
      </c>
      <c r="X36" s="1129" t="s">
        <v>1114</v>
      </c>
      <c r="Z36" s="1141">
        <f>IF(Z35="Nee",0,AA36)</f>
        <v>0.26</v>
      </c>
      <c r="AA36" s="1141" cm="1">
        <f t="array" ref="AA36">IF(COUNTIF(Tape_aantal_plot,"&gt;="&amp;Y6)&gt;0,
VLOOKUP(Y6,Tapen_plot,2,TRUE) +
    (Y6 - VLOOKUP(Y6,Tape_aantal_plot,1,TRUE)) *
    (INDEX(Tape_prijs_plot, MATCH(TRUE, Tape_aantal_plot &gt; Y6, 0)) - VLOOKUP(Y6,Tapen_plot,2,TRUE)) /
    (INDEX(Tape_aantal_plot, MATCH(TRUE, Tape_aantal_plot &gt; Y6, 0)) - VLOOKUP(Y6,Tape_aantal_plot,1,TRUE)),
VLOOKUP(Y6,Tapen_plot,2,TRUE)
)</f>
        <v>0.26</v>
      </c>
      <c r="AH36" s="1129" t="s">
        <v>1114</v>
      </c>
      <c r="AJ36" s="1141">
        <f>IF(AJ35="Nee",0,AK36)</f>
        <v>0.26133333333333336</v>
      </c>
      <c r="AK36" s="1141" cm="1">
        <f t="array" ref="AK36">IF(COUNTIF(Tape_aantal_plot,"&gt;="&amp;AI6)&gt;0,
VLOOKUP(AI6,Tapen_plot,2,TRUE) +
    (AI6 - VLOOKUP(AI6,Tape_aantal_plot,1,TRUE)) *
    (INDEX(Tape_prijs_plot, MATCH(TRUE, Tape_aantal_plot &gt; AI6, 0)) - VLOOKUP(AI6,Tapen_plot,2,TRUE)) /
    (INDEX(Tape_aantal_plot, MATCH(TRUE, Tape_aantal_plot &gt; AI6, 0)) - VLOOKUP(AI6,Tape_aantal_plot,1,TRUE)),
VLOOKUP(AI6,Tapen_plot,2,TRUE)
)</f>
        <v>0.26133333333333336</v>
      </c>
    </row>
    <row r="37" spans="2:37" ht="15" x14ac:dyDescent="0.25">
      <c r="B37" s="1129" t="s">
        <v>1115</v>
      </c>
      <c r="D37" s="1142">
        <f>IF(D35="Ja",C4*Plot!C67,0)</f>
        <v>2.6000000000000002E-2</v>
      </c>
      <c r="N37" s="1129" t="s">
        <v>1115</v>
      </c>
      <c r="P37" s="1142">
        <f>IF(P35="Ja",O4*Plot!C67,0)</f>
        <v>2.6000000000000002E-2</v>
      </c>
      <c r="X37" s="1129" t="s">
        <v>1115</v>
      </c>
      <c r="Z37" s="1142">
        <f>IF(Z35="Ja",Y4*Plot!C67,0)</f>
        <v>2.6000000000000002E-2</v>
      </c>
      <c r="AH37" s="1129" t="s">
        <v>1115</v>
      </c>
      <c r="AJ37" s="1142">
        <f>IF(AJ35="Ja",AI4*Plot!C67,0)</f>
        <v>2.6000000000000002E-2</v>
      </c>
    </row>
    <row r="39" spans="2:37" x14ac:dyDescent="0.2">
      <c r="B39" s="1129" t="s">
        <v>1217</v>
      </c>
      <c r="D39" s="1139">
        <f>Input!B31</f>
        <v>1800</v>
      </c>
      <c r="N39" s="1129" t="s">
        <v>1217</v>
      </c>
      <c r="P39" s="1139">
        <f>D39</f>
        <v>1800</v>
      </c>
      <c r="X39" s="1129" t="s">
        <v>1217</v>
      </c>
      <c r="Z39" s="1139">
        <f>P39</f>
        <v>1800</v>
      </c>
      <c r="AH39" s="1129" t="s">
        <v>1217</v>
      </c>
      <c r="AJ39" s="1139">
        <f>Z39</f>
        <v>1800</v>
      </c>
    </row>
    <row r="41" spans="2:37" x14ac:dyDescent="0.2">
      <c r="D41" s="1138"/>
      <c r="P41" s="1138"/>
      <c r="Z41" s="1138"/>
      <c r="AJ41" s="1138"/>
    </row>
    <row r="42" spans="2:37" ht="15" x14ac:dyDescent="0.25">
      <c r="B42" s="1129" t="s">
        <v>1116</v>
      </c>
      <c r="D42" s="1212">
        <f>Plot!C63</f>
        <v>50</v>
      </c>
      <c r="F42" s="1211"/>
      <c r="N42" s="1129" t="s">
        <v>1116</v>
      </c>
      <c r="P42" s="1212">
        <f>Plot!$C$63</f>
        <v>50</v>
      </c>
      <c r="X42" s="1129" t="s">
        <v>1116</v>
      </c>
      <c r="Z42" s="1212">
        <f>Plot!$C$63</f>
        <v>50</v>
      </c>
      <c r="AH42" s="1129" t="s">
        <v>1116</v>
      </c>
      <c r="AJ42" s="1212">
        <f>Plot!$C$63</f>
        <v>50</v>
      </c>
    </row>
    <row r="43" spans="2:37" ht="15" x14ac:dyDescent="0.25">
      <c r="B43" s="1129" t="s">
        <v>1117</v>
      </c>
      <c r="D43" s="1213">
        <f>('Pallet en transport'!D151*'Pallet en transport'!E151)/1000000</f>
        <v>1.2996000000000001</v>
      </c>
      <c r="G43" s="1211"/>
      <c r="N43" s="1129" t="s">
        <v>1117</v>
      </c>
      <c r="P43" s="1213">
        <f>D43</f>
        <v>1.2996000000000001</v>
      </c>
      <c r="X43" s="1129" t="s">
        <v>1117</v>
      </c>
      <c r="Z43" s="1213">
        <f>P43</f>
        <v>1.2996000000000001</v>
      </c>
      <c r="AH43" s="1129" t="s">
        <v>1117</v>
      </c>
      <c r="AJ43" s="1213">
        <f>Z43</f>
        <v>1.2996000000000001</v>
      </c>
    </row>
    <row r="44" spans="2:37" ht="15" x14ac:dyDescent="0.25">
      <c r="B44" s="1129" t="s">
        <v>1118</v>
      </c>
      <c r="D44" s="1141">
        <f>IF(D45=0, 'Pallet en transport'!E196*E44, C68/C6)</f>
        <v>0.19771723125000001</v>
      </c>
      <c r="E44" s="1133">
        <v>1.05</v>
      </c>
      <c r="N44" s="1129" t="s">
        <v>1118</v>
      </c>
      <c r="P44" s="1141">
        <f>IF(P45=0, 'Pallet en transport (2)'!E196*Q44, C68/O6)</f>
        <v>4.3937162500000002E-2</v>
      </c>
      <c r="Q44" s="1129">
        <f>E44</f>
        <v>1.05</v>
      </c>
      <c r="X44" s="1129" t="s">
        <v>1118</v>
      </c>
      <c r="Z44" s="1141">
        <f>IF(Z45=0, 'Pallet en transport (3)'!E196*AA44, C68/Y6)</f>
        <v>4.3937162500000002E-2</v>
      </c>
      <c r="AA44" s="1129">
        <f>Q44</f>
        <v>1.05</v>
      </c>
      <c r="AH44" s="1129" t="s">
        <v>1118</v>
      </c>
      <c r="AJ44" s="1141">
        <f>IF(AJ45=0, 'Pallet en transport (4)'!E196*AK44, C68/AI6)</f>
        <v>0.16140182142857146</v>
      </c>
      <c r="AK44" s="1129">
        <f>AA44</f>
        <v>1.05</v>
      </c>
    </row>
    <row r="45" spans="2:37" ht="15" x14ac:dyDescent="0.25">
      <c r="B45" s="1129" t="s">
        <v>1351</v>
      </c>
      <c r="D45" s="1129">
        <f>I162</f>
        <v>0</v>
      </c>
      <c r="N45" s="1129" t="s">
        <v>1351</v>
      </c>
      <c r="P45" s="1152">
        <f>K162</f>
        <v>0</v>
      </c>
      <c r="X45" s="1129" t="s">
        <v>1351</v>
      </c>
      <c r="Z45" s="1152">
        <f>M162</f>
        <v>0</v>
      </c>
      <c r="AH45" s="1129" t="s">
        <v>1351</v>
      </c>
      <c r="AJ45" s="1152">
        <f>O162</f>
        <v>0</v>
      </c>
    </row>
    <row r="46" spans="2:37" ht="15" x14ac:dyDescent="0.25">
      <c r="B46" s="1129" t="s">
        <v>641</v>
      </c>
      <c r="D46" s="1147">
        <f>Plot!C66</f>
        <v>0</v>
      </c>
      <c r="N46" s="1129" t="s">
        <v>641</v>
      </c>
      <c r="P46" s="1147">
        <f>Plot!$C$66</f>
        <v>0</v>
      </c>
      <c r="X46" s="1129" t="s">
        <v>641</v>
      </c>
      <c r="Z46" s="1147">
        <f>Plot!$C$66</f>
        <v>0</v>
      </c>
      <c r="AH46" s="1129" t="s">
        <v>641</v>
      </c>
      <c r="AJ46" s="1147">
        <f>Plot!$C$66</f>
        <v>0</v>
      </c>
    </row>
    <row r="48" spans="2:37" x14ac:dyDescent="0.2">
      <c r="B48" s="1129" t="s">
        <v>1119</v>
      </c>
      <c r="N48" s="1129" t="s">
        <v>1119</v>
      </c>
      <c r="X48" s="1129" t="s">
        <v>1119</v>
      </c>
      <c r="AH48" s="1129" t="s">
        <v>1119</v>
      </c>
    </row>
    <row r="49" spans="1:39" ht="15" x14ac:dyDescent="0.25">
      <c r="B49" s="1129" t="s">
        <v>573</v>
      </c>
      <c r="D49" s="1180">
        <f>Plot!C65</f>
        <v>0.1</v>
      </c>
      <c r="N49" s="1129" t="s">
        <v>573</v>
      </c>
      <c r="P49" s="1141">
        <f>Plot!$C$65</f>
        <v>0.1</v>
      </c>
      <c r="X49" s="1129" t="s">
        <v>573</v>
      </c>
      <c r="Z49" s="1141">
        <f>Plot!$C$65</f>
        <v>0.1</v>
      </c>
      <c r="AH49" s="1129" t="s">
        <v>573</v>
      </c>
      <c r="AJ49" s="1141">
        <f>Plot!$C$65</f>
        <v>0.1</v>
      </c>
    </row>
    <row r="50" spans="1:39" x14ac:dyDescent="0.2">
      <c r="B50" s="1129" t="s">
        <v>488</v>
      </c>
      <c r="D50" s="1131">
        <f>D21</f>
        <v>0.33187830687830683</v>
      </c>
      <c r="N50" s="1129" t="s">
        <v>488</v>
      </c>
      <c r="P50" s="1148">
        <f>P21</f>
        <v>0.33187830687830683</v>
      </c>
      <c r="X50" s="1129" t="s">
        <v>488</v>
      </c>
      <c r="Z50" s="1148">
        <f>Z21</f>
        <v>0.33187830687830683</v>
      </c>
      <c r="AH50" s="1129" t="s">
        <v>488</v>
      </c>
      <c r="AJ50" s="1148">
        <f>AJ21</f>
        <v>0.33187830687830683</v>
      </c>
    </row>
    <row r="51" spans="1:39" ht="15" x14ac:dyDescent="0.25">
      <c r="B51" s="1129" t="s">
        <v>1358</v>
      </c>
      <c r="D51" s="1131">
        <f>D37+D36</f>
        <v>0.2993333333333334</v>
      </c>
      <c r="N51" s="1129" t="s">
        <v>1358</v>
      </c>
      <c r="P51" s="1141">
        <f>P37+P36</f>
        <v>0.28600000000000003</v>
      </c>
      <c r="X51" s="1129" t="s">
        <v>1358</v>
      </c>
      <c r="Z51" s="1141">
        <f>Z37+Z36</f>
        <v>0.28600000000000003</v>
      </c>
      <c r="AH51" s="1129" t="s">
        <v>1358</v>
      </c>
      <c r="AJ51" s="1141">
        <f>AJ37+AJ36</f>
        <v>0.28733333333333338</v>
      </c>
    </row>
    <row r="52" spans="1:39" x14ac:dyDescent="0.2">
      <c r="B52" s="1129" t="s">
        <v>639</v>
      </c>
      <c r="D52" s="1131">
        <f>D33</f>
        <v>0.28036800000000001</v>
      </c>
      <c r="N52" s="1129" t="s">
        <v>639</v>
      </c>
      <c r="P52" s="1148">
        <f>P33</f>
        <v>0.20500202304000004</v>
      </c>
      <c r="X52" s="1129" t="s">
        <v>639</v>
      </c>
      <c r="Z52" s="1148">
        <f>Z33</f>
        <v>0.20500202304000004</v>
      </c>
      <c r="AH52" s="1129" t="s">
        <v>639</v>
      </c>
      <c r="AJ52" s="1148">
        <f>AJ33</f>
        <v>0.28036800000000001</v>
      </c>
    </row>
    <row r="53" spans="1:39" ht="15" x14ac:dyDescent="0.25">
      <c r="B53" s="1129" t="s">
        <v>642</v>
      </c>
      <c r="D53" s="1143">
        <f>D44</f>
        <v>0.19771723125000001</v>
      </c>
      <c r="N53" s="1129" t="s">
        <v>642</v>
      </c>
      <c r="P53" s="1143">
        <f>P44</f>
        <v>4.3937162500000002E-2</v>
      </c>
      <c r="X53" s="1129" t="s">
        <v>642</v>
      </c>
      <c r="Z53" s="1143">
        <f>Z44</f>
        <v>4.3937162500000002E-2</v>
      </c>
      <c r="AH53" s="1129" t="s">
        <v>642</v>
      </c>
      <c r="AJ53" s="1143">
        <f>AJ44</f>
        <v>0.16140182142857146</v>
      </c>
    </row>
    <row r="54" spans="1:39" x14ac:dyDescent="0.2">
      <c r="B54" s="1129" t="s">
        <v>659</v>
      </c>
      <c r="D54" s="1148">
        <f>D46/C6</f>
        <v>0</v>
      </c>
      <c r="N54" s="1129" t="s">
        <v>659</v>
      </c>
      <c r="P54" s="1148">
        <f>P46/O6</f>
        <v>0</v>
      </c>
      <c r="X54" s="1129" t="s">
        <v>659</v>
      </c>
      <c r="Z54" s="1148">
        <f>Z46/Y6</f>
        <v>0</v>
      </c>
      <c r="AH54" s="1129" t="s">
        <v>659</v>
      </c>
      <c r="AJ54" s="1148">
        <f>AJ46/AI6</f>
        <v>0</v>
      </c>
    </row>
    <row r="55" spans="1:39" x14ac:dyDescent="0.2">
      <c r="B55" s="1129" t="s">
        <v>1120</v>
      </c>
      <c r="D55" s="1148">
        <f>SUM(D49:D54)</f>
        <v>1.2092968714616401</v>
      </c>
      <c r="N55" s="1129" t="s">
        <v>1120</v>
      </c>
      <c r="P55" s="1148">
        <f>SUM(P49:P54)</f>
        <v>0.96681749241830695</v>
      </c>
      <c r="X55" s="1129" t="s">
        <v>1120</v>
      </c>
      <c r="Z55" s="1148">
        <f>SUM(Z49:Z54)</f>
        <v>0.96681749241830695</v>
      </c>
      <c r="AH55" s="1129" t="s">
        <v>1120</v>
      </c>
      <c r="AJ55" s="1148">
        <f>SUM(AJ49:AJ54)</f>
        <v>1.1609814616402117</v>
      </c>
    </row>
    <row r="56" spans="1:39" x14ac:dyDescent="0.2">
      <c r="D56" s="1148"/>
      <c r="P56" s="1148"/>
      <c r="Z56" s="1148"/>
      <c r="AJ56" s="1148"/>
    </row>
    <row r="57" spans="1:39" ht="15" x14ac:dyDescent="0.25">
      <c r="B57" s="1129" t="s">
        <v>1121</v>
      </c>
      <c r="C57" s="1149">
        <f>VLOOKUP(C1,B136:K150,10,0)</f>
        <v>0.3</v>
      </c>
      <c r="D57" s="1150">
        <f>IF(F57&lt;$C$69, G57, E57)</f>
        <v>0.36278906143849204</v>
      </c>
      <c r="E57" s="1211">
        <f>SUM(D49:D54)*C57</f>
        <v>0.36278906143849204</v>
      </c>
      <c r="F57" s="1211">
        <f>E57*C6</f>
        <v>145.11562457539682</v>
      </c>
      <c r="G57" s="635">
        <f>$C$69/C6</f>
        <v>7.4999999999999997E-2</v>
      </c>
      <c r="N57" s="1129" t="s">
        <v>1121</v>
      </c>
      <c r="O57" s="1151">
        <f>$C$57</f>
        <v>0.3</v>
      </c>
      <c r="P57" s="1150">
        <f>IF(R57&lt;$C$69, S57, Q57)</f>
        <v>0.29004524772549206</v>
      </c>
      <c r="Q57" s="1211">
        <f>SUM(P49:P54)*O57</f>
        <v>0.29004524772549206</v>
      </c>
      <c r="R57" s="1211">
        <f>Q57*O6</f>
        <v>522.08144590588574</v>
      </c>
      <c r="S57" s="635">
        <f>$C$69/O6</f>
        <v>1.6666666666666666E-2</v>
      </c>
      <c r="X57" s="1129" t="s">
        <v>1121</v>
      </c>
      <c r="Y57" s="1151">
        <f>$C$57</f>
        <v>0.3</v>
      </c>
      <c r="Z57" s="1150">
        <f>IF(AB57&lt;$C$69, AC57, AA57)</f>
        <v>0.29004524772549206</v>
      </c>
      <c r="AA57" s="1211">
        <f>SUM(Z49:Z54)*Y57</f>
        <v>0.29004524772549206</v>
      </c>
      <c r="AB57" s="1211">
        <f>AA57*Y6</f>
        <v>522.08144590588574</v>
      </c>
      <c r="AC57" s="635">
        <f>$C$69/Y6</f>
        <v>1.6666666666666666E-2</v>
      </c>
      <c r="AH57" s="1129" t="s">
        <v>1121</v>
      </c>
      <c r="AI57" s="1151">
        <f>$C$57</f>
        <v>0.3</v>
      </c>
      <c r="AJ57" s="1150">
        <f>IF(AL57&lt;$C$69, AM57, AK57)</f>
        <v>0.34829443849206349</v>
      </c>
      <c r="AK57" s="1211">
        <f>SUM(AJ49:AJ54)*AI57</f>
        <v>0.34829443849206349</v>
      </c>
      <c r="AL57" s="1211">
        <f>AK57*AI6</f>
        <v>170.6642748611111</v>
      </c>
      <c r="AM57" s="635">
        <f>$C$69/AI6</f>
        <v>6.1224489795918366E-2</v>
      </c>
    </row>
    <row r="58" spans="1:39" ht="15" x14ac:dyDescent="0.25">
      <c r="B58" s="1129" t="s">
        <v>81</v>
      </c>
      <c r="D58" s="1152">
        <f>IF(Input!$B$11="onbedrukt",1,0)</f>
        <v>1</v>
      </c>
      <c r="N58" s="1129" t="s">
        <v>81</v>
      </c>
      <c r="P58" s="1152">
        <f>IF(Input!$B$11="onbedrukt",1,0)</f>
        <v>1</v>
      </c>
      <c r="X58" s="1129" t="s">
        <v>81</v>
      </c>
      <c r="Z58" s="1152">
        <f>IF(Input!$B$11="onbedrukt",1,0)</f>
        <v>1</v>
      </c>
      <c r="AH58" s="1129" t="s">
        <v>81</v>
      </c>
      <c r="AJ58" s="1152">
        <f>IF(Input!$B$11="onbedrukt",1,0)</f>
        <v>1</v>
      </c>
    </row>
    <row r="59" spans="1:39" x14ac:dyDescent="0.2">
      <c r="B59" s="1129" t="s">
        <v>1122</v>
      </c>
      <c r="D59" s="1131">
        <f>D55+D57</f>
        <v>1.5720859329001322</v>
      </c>
      <c r="N59" s="1129" t="s">
        <v>1122</v>
      </c>
      <c r="P59" s="1131">
        <f>P55+P57</f>
        <v>1.2568627401437991</v>
      </c>
      <c r="X59" s="1129" t="s">
        <v>1122</v>
      </c>
      <c r="Z59" s="1131">
        <f>Z55+Z57</f>
        <v>1.2568627401437991</v>
      </c>
      <c r="AH59" s="1129" t="s">
        <v>1122</v>
      </c>
      <c r="AJ59" s="1131">
        <f>AJ55+AJ57</f>
        <v>1.5092759001322751</v>
      </c>
    </row>
    <row r="62" spans="1:39" x14ac:dyDescent="0.2">
      <c r="A62" s="1129" t="s">
        <v>1123</v>
      </c>
    </row>
    <row r="63" spans="1:39" ht="15" x14ac:dyDescent="0.25">
      <c r="B63" s="1129" t="s">
        <v>1124</v>
      </c>
      <c r="C63" s="1153">
        <v>50</v>
      </c>
      <c r="D63" s="1145"/>
    </row>
    <row r="64" spans="1:39" ht="15" x14ac:dyDescent="0.25">
      <c r="B64" s="1129" t="s">
        <v>1125</v>
      </c>
      <c r="C64" s="1153">
        <v>65</v>
      </c>
    </row>
    <row r="65" spans="2:5" ht="15" x14ac:dyDescent="0.25">
      <c r="B65" s="1129" t="s">
        <v>1126</v>
      </c>
      <c r="C65" s="1153">
        <v>0.1</v>
      </c>
      <c r="D65" s="1145"/>
    </row>
    <row r="66" spans="2:5" ht="15" x14ac:dyDescent="0.25">
      <c r="B66" s="1129" t="s">
        <v>659</v>
      </c>
      <c r="C66" s="1153">
        <v>0</v>
      </c>
    </row>
    <row r="67" spans="2:5" ht="15" x14ac:dyDescent="0.25">
      <c r="B67" s="1129" t="s">
        <v>1127</v>
      </c>
      <c r="C67" s="1154">
        <f>0.26/1000</f>
        <v>2.6000000000000003E-4</v>
      </c>
    </row>
    <row r="68" spans="2:5" ht="15" x14ac:dyDescent="0.25">
      <c r="B68" s="1129" t="s">
        <v>1351</v>
      </c>
      <c r="C68" s="1161">
        <v>40</v>
      </c>
    </row>
    <row r="69" spans="2:5" x14ac:dyDescent="0.2">
      <c r="B69" s="1129" t="s">
        <v>1354</v>
      </c>
      <c r="C69" s="1223">
        <v>30</v>
      </c>
    </row>
    <row r="71" spans="2:5" x14ac:dyDescent="0.2">
      <c r="B71" s="1155" t="s">
        <v>1128</v>
      </c>
      <c r="C71" s="1129" t="s">
        <v>508</v>
      </c>
      <c r="D71" s="1156" t="s">
        <v>1129</v>
      </c>
      <c r="E71" s="1156" t="s">
        <v>1130</v>
      </c>
    </row>
    <row r="72" spans="2:5" x14ac:dyDescent="0.2">
      <c r="B72" s="1129" t="s">
        <v>1131</v>
      </c>
      <c r="C72" s="1129">
        <v>0</v>
      </c>
      <c r="D72" s="1156">
        <v>700</v>
      </c>
      <c r="E72" s="1156">
        <v>300</v>
      </c>
    </row>
    <row r="73" spans="2:5" x14ac:dyDescent="0.2">
      <c r="B73" s="1129" t="s">
        <v>1132</v>
      </c>
      <c r="C73" s="1129">
        <v>1.2</v>
      </c>
      <c r="D73" s="1156">
        <v>875</v>
      </c>
      <c r="E73" s="1156">
        <v>425</v>
      </c>
    </row>
    <row r="74" spans="2:5" x14ac:dyDescent="0.2">
      <c r="B74" s="1129" t="s">
        <v>1133</v>
      </c>
      <c r="C74" s="1129">
        <v>1.8</v>
      </c>
      <c r="D74" s="1156">
        <v>1000</v>
      </c>
      <c r="E74" s="1156">
        <v>500</v>
      </c>
    </row>
    <row r="77" spans="2:5" x14ac:dyDescent="0.2">
      <c r="B77" s="1155" t="s">
        <v>1134</v>
      </c>
    </row>
    <row r="78" spans="2:5" ht="15" x14ac:dyDescent="0.25">
      <c r="B78" s="1129">
        <v>1</v>
      </c>
      <c r="C78" s="1153">
        <v>25</v>
      </c>
    </row>
    <row r="79" spans="2:5" ht="15" x14ac:dyDescent="0.25">
      <c r="B79" s="1129">
        <v>3</v>
      </c>
      <c r="C79" s="1153">
        <v>8</v>
      </c>
    </row>
    <row r="80" spans="2:5" ht="15" x14ac:dyDescent="0.25">
      <c r="B80" s="1129">
        <v>10</v>
      </c>
      <c r="C80" s="1153">
        <v>2.5</v>
      </c>
    </row>
    <row r="81" spans="2:4" ht="15" x14ac:dyDescent="0.25">
      <c r="B81" s="1129">
        <v>20</v>
      </c>
      <c r="C81" s="1153">
        <v>1.5</v>
      </c>
    </row>
    <row r="82" spans="2:4" ht="15" x14ac:dyDescent="0.25">
      <c r="B82" s="1129">
        <v>50</v>
      </c>
      <c r="C82" s="1153">
        <v>0.8</v>
      </c>
    </row>
    <row r="83" spans="2:4" ht="15" x14ac:dyDescent="0.25">
      <c r="B83" s="1129">
        <v>60</v>
      </c>
      <c r="C83" s="1153">
        <v>0.75</v>
      </c>
    </row>
    <row r="84" spans="2:4" ht="15" x14ac:dyDescent="0.25">
      <c r="B84" s="1129">
        <v>70</v>
      </c>
      <c r="C84" s="1153">
        <v>0.65</v>
      </c>
    </row>
    <row r="85" spans="2:4" ht="15" x14ac:dyDescent="0.25">
      <c r="B85" s="1129">
        <v>80</v>
      </c>
      <c r="C85" s="1153">
        <v>0.6</v>
      </c>
      <c r="D85" s="1211"/>
    </row>
    <row r="86" spans="2:4" ht="15" x14ac:dyDescent="0.25">
      <c r="B86" s="1129">
        <v>90</v>
      </c>
      <c r="C86" s="1153">
        <v>0.5</v>
      </c>
    </row>
    <row r="87" spans="2:4" ht="15" x14ac:dyDescent="0.25">
      <c r="B87" s="1129">
        <v>100</v>
      </c>
      <c r="C87" s="1153">
        <v>0.45</v>
      </c>
    </row>
    <row r="88" spans="2:4" ht="15" x14ac:dyDescent="0.25">
      <c r="B88" s="1129">
        <v>150</v>
      </c>
      <c r="C88" s="1153">
        <v>0.4</v>
      </c>
    </row>
    <row r="89" spans="2:4" ht="15" x14ac:dyDescent="0.25">
      <c r="B89" s="1129">
        <v>200</v>
      </c>
      <c r="C89" s="1153">
        <v>0.32</v>
      </c>
    </row>
    <row r="90" spans="2:4" ht="15" x14ac:dyDescent="0.25">
      <c r="B90" s="1129">
        <v>350</v>
      </c>
      <c r="C90" s="1153">
        <v>0.28000000000000003</v>
      </c>
    </row>
    <row r="91" spans="2:4" ht="15" x14ac:dyDescent="0.25">
      <c r="B91" s="1129">
        <v>500</v>
      </c>
      <c r="C91" s="1153">
        <v>0.26</v>
      </c>
    </row>
    <row r="92" spans="2:4" ht="15" x14ac:dyDescent="0.25">
      <c r="B92" s="1129">
        <v>100000</v>
      </c>
      <c r="C92" s="1153">
        <v>0.26</v>
      </c>
    </row>
    <row r="99" spans="1:5" x14ac:dyDescent="0.2">
      <c r="B99" s="1155" t="s">
        <v>1</v>
      </c>
      <c r="C99" s="1129" t="s">
        <v>0</v>
      </c>
      <c r="D99" s="1129" t="s">
        <v>47</v>
      </c>
      <c r="E99" s="1129" t="s">
        <v>1135</v>
      </c>
    </row>
    <row r="100" spans="1:5" ht="15" x14ac:dyDescent="0.25">
      <c r="A100" s="823" t="s">
        <v>410</v>
      </c>
      <c r="B100" s="1125">
        <v>10095</v>
      </c>
      <c r="C100" s="1126" t="s">
        <v>30</v>
      </c>
      <c r="D100" s="1129">
        <v>1.5</v>
      </c>
      <c r="E100" s="1153">
        <f>VLOOKUP(A100,('Prijs karton'!C:G),5,0)/100*1.08</f>
        <v>0.28728000000000004</v>
      </c>
    </row>
    <row r="101" spans="1:5" ht="15" x14ac:dyDescent="0.25">
      <c r="A101" s="55" t="s">
        <v>413</v>
      </c>
      <c r="B101" s="1125">
        <v>10097</v>
      </c>
      <c r="C101" s="29" t="s">
        <v>30</v>
      </c>
      <c r="D101" s="1129">
        <v>1.5</v>
      </c>
      <c r="E101" s="1153">
        <f>VLOOKUP(A101,('Prijs karton'!C:G),5,0)/100*1.08</f>
        <v>0.33912000000000003</v>
      </c>
    </row>
    <row r="102" spans="1:5" ht="15" x14ac:dyDescent="0.25">
      <c r="A102" s="55" t="s">
        <v>424</v>
      </c>
      <c r="B102" s="1125">
        <v>10134</v>
      </c>
      <c r="C102" s="29" t="s">
        <v>30</v>
      </c>
      <c r="D102" s="1129">
        <v>1.5</v>
      </c>
      <c r="E102" s="1153">
        <f>VLOOKUP(A102,('Prijs karton'!C:G),5,0)/100*1.08</f>
        <v>0.47303999999999996</v>
      </c>
    </row>
    <row r="103" spans="1:5" ht="15" x14ac:dyDescent="0.25">
      <c r="A103" s="55" t="s">
        <v>417</v>
      </c>
      <c r="B103" s="1125">
        <v>10099</v>
      </c>
      <c r="C103" s="29" t="s">
        <v>30</v>
      </c>
      <c r="D103" s="1129">
        <v>1.5</v>
      </c>
      <c r="E103" s="1153">
        <f>VLOOKUP(A103,('Prijs karton'!C:G),5,0)/100*1.08</f>
        <v>0.36612</v>
      </c>
    </row>
    <row r="104" spans="1:5" ht="15" x14ac:dyDescent="0.25">
      <c r="A104" s="55" t="s">
        <v>426</v>
      </c>
      <c r="B104" s="1125">
        <v>10131</v>
      </c>
      <c r="C104" s="29" t="s">
        <v>30</v>
      </c>
      <c r="D104" s="1129">
        <v>1.5</v>
      </c>
      <c r="E104" s="1153">
        <f>VLOOKUP(A104,('Prijs karton'!C:G),5,0)/100*1.08</f>
        <v>0.37908000000000008</v>
      </c>
    </row>
    <row r="105" spans="1:5" ht="15" x14ac:dyDescent="0.25">
      <c r="A105" s="55" t="s">
        <v>278</v>
      </c>
      <c r="B105" s="1125">
        <v>10326</v>
      </c>
      <c r="C105" s="29" t="s">
        <v>31</v>
      </c>
      <c r="D105" s="1129">
        <v>3</v>
      </c>
      <c r="E105" s="1153">
        <f>VLOOKUP(A105,('Prijs karton'!C:G),5,0)/100*1.08</f>
        <v>0.36612</v>
      </c>
    </row>
    <row r="106" spans="1:5" ht="15" x14ac:dyDescent="0.25">
      <c r="A106" s="55" t="s">
        <v>43</v>
      </c>
      <c r="B106" s="1125">
        <v>10005</v>
      </c>
      <c r="C106" s="29" t="s">
        <v>31</v>
      </c>
      <c r="D106" s="1129">
        <v>3</v>
      </c>
      <c r="E106" s="1153">
        <f>VLOOKUP(A106,('Prijs karton'!C:G),5,0)/100*1.08</f>
        <v>0.42552000000000001</v>
      </c>
    </row>
    <row r="107" spans="1:5" ht="15" x14ac:dyDescent="0.25">
      <c r="A107" s="55" t="s">
        <v>44</v>
      </c>
      <c r="B107" s="1125">
        <v>10017</v>
      </c>
      <c r="C107" s="29" t="s">
        <v>31</v>
      </c>
      <c r="D107" s="1129">
        <v>3</v>
      </c>
      <c r="E107" s="1153">
        <f>VLOOKUP(A107,('Prijs karton'!C:G),5,0)/100*1.08</f>
        <v>0.56700000000000006</v>
      </c>
    </row>
    <row r="108" spans="1:5" ht="15" x14ac:dyDescent="0.25">
      <c r="A108" s="55" t="s">
        <v>45</v>
      </c>
      <c r="B108" s="1125">
        <v>10002</v>
      </c>
      <c r="C108" s="29" t="s">
        <v>31</v>
      </c>
      <c r="D108" s="1129">
        <v>3</v>
      </c>
      <c r="E108" s="1153">
        <f>VLOOKUP(A108,('Prijs karton'!C:G),5,0)/100*1.08</f>
        <v>0.42443999999999998</v>
      </c>
    </row>
    <row r="109" spans="1:5" ht="15" x14ac:dyDescent="0.25">
      <c r="A109" s="55" t="s">
        <v>46</v>
      </c>
      <c r="B109" s="1125">
        <v>10010</v>
      </c>
      <c r="C109" s="29" t="s">
        <v>31</v>
      </c>
      <c r="D109" s="1129">
        <v>3</v>
      </c>
      <c r="E109" s="1153">
        <f>VLOOKUP(A109,('Prijs karton'!C:G),5,0)/100*1.08</f>
        <v>0.5097600000000001</v>
      </c>
    </row>
    <row r="110" spans="1:5" ht="15" x14ac:dyDescent="0.25">
      <c r="A110" s="55" t="s">
        <v>371</v>
      </c>
      <c r="B110" s="1125">
        <v>10053</v>
      </c>
      <c r="C110" s="29" t="s">
        <v>32</v>
      </c>
      <c r="D110" s="1129">
        <v>4</v>
      </c>
      <c r="E110" s="1153">
        <f>VLOOKUP(A110,('Prijs karton'!C:G),5,0)/100*1.08</f>
        <v>0.36071999999999999</v>
      </c>
    </row>
    <row r="111" spans="1:5" ht="15" x14ac:dyDescent="0.25">
      <c r="A111" s="55" t="s">
        <v>379</v>
      </c>
      <c r="B111" s="1125">
        <v>10193</v>
      </c>
      <c r="C111" s="29" t="s">
        <v>32</v>
      </c>
      <c r="D111" s="1129">
        <v>4</v>
      </c>
      <c r="E111" s="1153">
        <f>VLOOKUP(A111,('Prijs karton'!C:G),5,0)/100*1.08</f>
        <v>0.50760000000000005</v>
      </c>
    </row>
    <row r="112" spans="1:5" ht="15" x14ac:dyDescent="0.25">
      <c r="A112" s="55" t="s">
        <v>385</v>
      </c>
      <c r="B112" s="1125">
        <v>10050</v>
      </c>
      <c r="C112" s="29" t="s">
        <v>32</v>
      </c>
      <c r="D112" s="1129">
        <v>4</v>
      </c>
      <c r="E112" s="1153">
        <f>VLOOKUP(A112,('Prijs karton'!C:G),5,0)/100*1.08</f>
        <v>0.59400000000000008</v>
      </c>
    </row>
    <row r="113" spans="1:5" ht="15" x14ac:dyDescent="0.25">
      <c r="A113" s="55" t="s">
        <v>390</v>
      </c>
      <c r="B113" s="1125">
        <v>10221</v>
      </c>
      <c r="C113" s="29" t="s">
        <v>32</v>
      </c>
      <c r="D113" s="1129">
        <v>4</v>
      </c>
      <c r="E113" s="1153">
        <f>VLOOKUP(A113,('Prijs karton'!C:G),5,0)/100*1.08</f>
        <v>0.55620000000000003</v>
      </c>
    </row>
    <row r="114" spans="1:5" ht="15" x14ac:dyDescent="0.25">
      <c r="A114" s="55" t="s">
        <v>467</v>
      </c>
      <c r="B114" s="1125">
        <v>10339</v>
      </c>
      <c r="C114" s="29" t="s">
        <v>34</v>
      </c>
      <c r="D114" s="1129">
        <v>4</v>
      </c>
      <c r="E114" s="1153">
        <f>VLOOKUP(A114,('Prijs karton'!C:G),5,0)/100*1.08</f>
        <v>0.65664</v>
      </c>
    </row>
    <row r="115" spans="1:5" ht="15" x14ac:dyDescent="0.25">
      <c r="A115" s="55" t="s">
        <v>441</v>
      </c>
      <c r="B115" s="1125">
        <v>10335</v>
      </c>
      <c r="C115" s="29" t="s">
        <v>33</v>
      </c>
      <c r="D115" s="1129">
        <v>4</v>
      </c>
      <c r="E115" s="1153">
        <f>VLOOKUP(A115,('Prijs karton'!C:G),5,0)/100*1.08</f>
        <v>0.47412000000000004</v>
      </c>
    </row>
    <row r="116" spans="1:5" ht="15" x14ac:dyDescent="0.25">
      <c r="A116" s="55" t="s">
        <v>449</v>
      </c>
      <c r="B116" s="1125">
        <v>10368</v>
      </c>
      <c r="C116" s="29" t="s">
        <v>33</v>
      </c>
      <c r="D116" s="1129">
        <v>4</v>
      </c>
      <c r="E116" s="1153">
        <f>VLOOKUP(A116,('Prijs karton'!C:G),5,0)/100*1.08</f>
        <v>0.60048000000000012</v>
      </c>
    </row>
    <row r="117" spans="1:5" ht="15" x14ac:dyDescent="0.25">
      <c r="A117" s="55" t="s">
        <v>443</v>
      </c>
      <c r="B117" s="1125">
        <v>10136</v>
      </c>
      <c r="C117" s="29" t="s">
        <v>33</v>
      </c>
      <c r="D117" s="1129">
        <v>4</v>
      </c>
      <c r="E117" s="1153">
        <f>VLOOKUP(A117,('Prijs karton'!C:G),5,0)/100*1.08</f>
        <v>0.59076000000000006</v>
      </c>
    </row>
    <row r="118" spans="1:5" ht="15" x14ac:dyDescent="0.25">
      <c r="A118" s="55" t="s">
        <v>445</v>
      </c>
      <c r="B118" s="1125">
        <v>10140</v>
      </c>
      <c r="C118" s="29" t="s">
        <v>33</v>
      </c>
      <c r="D118" s="1129">
        <v>4</v>
      </c>
      <c r="E118" s="1153">
        <f>VLOOKUP(A118,('Prijs karton'!C:G),5,0)/100*1.08</f>
        <v>0.60156000000000009</v>
      </c>
    </row>
    <row r="119" spans="1:5" ht="15" x14ac:dyDescent="0.25">
      <c r="A119" s="55" t="s">
        <v>452</v>
      </c>
      <c r="B119" s="1125">
        <v>10197</v>
      </c>
      <c r="C119" s="29" t="s">
        <v>35</v>
      </c>
      <c r="D119" s="1129">
        <v>4</v>
      </c>
      <c r="E119" s="1153">
        <f>VLOOKUP(A119,('Prijs karton'!C:G),5,0)/100*1.08</f>
        <v>0.4719600000000001</v>
      </c>
    </row>
    <row r="120" spans="1:5" ht="15" x14ac:dyDescent="0.25">
      <c r="A120" s="55" t="s">
        <v>454</v>
      </c>
      <c r="B120" s="1125">
        <v>10199</v>
      </c>
      <c r="C120" s="29" t="s">
        <v>35</v>
      </c>
      <c r="D120" s="1129">
        <v>4</v>
      </c>
      <c r="E120" s="1153">
        <f>VLOOKUP(A120,('Prijs karton'!C:G),5,0)/100*1.08</f>
        <v>0.53783999999999998</v>
      </c>
    </row>
    <row r="121" spans="1:5" ht="15" x14ac:dyDescent="0.25">
      <c r="A121" s="55" t="s">
        <v>456</v>
      </c>
      <c r="B121" s="1125">
        <v>10200</v>
      </c>
      <c r="C121" s="29" t="s">
        <v>35</v>
      </c>
      <c r="D121" s="1129">
        <v>4</v>
      </c>
      <c r="E121" s="1153">
        <f>VLOOKUP(A121,('Prijs karton'!C:G),5,0)/100*1.08</f>
        <v>0.59940000000000004</v>
      </c>
    </row>
    <row r="122" spans="1:5" ht="15" x14ac:dyDescent="0.25">
      <c r="A122" s="55" t="s">
        <v>327</v>
      </c>
      <c r="B122" s="1125">
        <v>10178</v>
      </c>
      <c r="C122" s="29" t="s">
        <v>36</v>
      </c>
      <c r="D122" s="1129">
        <v>6</v>
      </c>
      <c r="E122" s="1153">
        <f>VLOOKUP(A122,('Prijs karton'!C:G),5,0)/100*1.08</f>
        <v>0.51192000000000004</v>
      </c>
    </row>
    <row r="123" spans="1:5" ht="15" x14ac:dyDescent="0.25">
      <c r="A123" s="55" t="s">
        <v>336</v>
      </c>
      <c r="B123" s="1125">
        <v>10158</v>
      </c>
      <c r="C123" s="29" t="s">
        <v>36</v>
      </c>
      <c r="D123" s="1129">
        <v>6</v>
      </c>
      <c r="E123" s="1153">
        <f>VLOOKUP(A123,('Prijs karton'!C:G),5,0)/100*1.08</f>
        <v>0.60911999999999999</v>
      </c>
    </row>
    <row r="124" spans="1:5" ht="15" x14ac:dyDescent="0.25">
      <c r="A124" s="55" t="s">
        <v>347</v>
      </c>
      <c r="B124" s="1125">
        <v>10183</v>
      </c>
      <c r="C124" s="29" t="s">
        <v>36</v>
      </c>
      <c r="D124" s="1129">
        <v>6</v>
      </c>
      <c r="E124" s="1153">
        <f>VLOOKUP(A124,('Prijs karton'!C:G),5,0)/100*1.08</f>
        <v>0.72036000000000011</v>
      </c>
    </row>
    <row r="125" spans="1:5" ht="15" x14ac:dyDescent="0.25">
      <c r="A125" s="55" t="s">
        <v>332</v>
      </c>
      <c r="B125" s="1125">
        <v>10181</v>
      </c>
      <c r="C125" s="29" t="s">
        <v>36</v>
      </c>
      <c r="D125" s="1129">
        <v>6</v>
      </c>
      <c r="E125" s="1153">
        <f>VLOOKUP(A125,('Prijs karton'!C:G),5,0)/100*1.08</f>
        <v>0.64151999999999998</v>
      </c>
    </row>
    <row r="126" spans="1:5" ht="15" x14ac:dyDescent="0.25">
      <c r="A126" s="55" t="s">
        <v>393</v>
      </c>
      <c r="B126" s="1125">
        <v>10214</v>
      </c>
      <c r="C126" s="29" t="s">
        <v>37</v>
      </c>
      <c r="D126" s="1129">
        <v>7</v>
      </c>
      <c r="E126" s="1153">
        <f>VLOOKUP(A126,('Prijs karton'!C:G),5,0)/100*1.08</f>
        <v>1.6092000000000002</v>
      </c>
    </row>
    <row r="127" spans="1:5" ht="15" x14ac:dyDescent="0.25">
      <c r="A127" s="55" t="s">
        <v>395</v>
      </c>
      <c r="B127" s="1125">
        <v>10215</v>
      </c>
      <c r="C127" s="29" t="s">
        <v>37</v>
      </c>
      <c r="D127" s="1129">
        <v>7</v>
      </c>
      <c r="E127" s="1153">
        <f>VLOOKUP(A127,('Prijs karton'!C:G),5,0)/100*1.08</f>
        <v>1.7658</v>
      </c>
    </row>
    <row r="128" spans="1:5" ht="15" x14ac:dyDescent="0.25">
      <c r="A128" s="55" t="s">
        <v>400</v>
      </c>
      <c r="B128" s="1125">
        <v>10216</v>
      </c>
      <c r="C128" s="29" t="s">
        <v>38</v>
      </c>
      <c r="D128" s="1129">
        <v>9</v>
      </c>
      <c r="E128" s="1153">
        <f>VLOOKUP(A128,('Prijs karton'!C:G),5,0)/100*1.08</f>
        <v>1.3381200000000002</v>
      </c>
    </row>
    <row r="129" spans="1:11" ht="15" x14ac:dyDescent="0.25">
      <c r="A129" s="55" t="s">
        <v>404</v>
      </c>
      <c r="B129" s="1125">
        <v>10218</v>
      </c>
      <c r="C129" s="29" t="s">
        <v>38</v>
      </c>
      <c r="D129" s="1129">
        <v>9</v>
      </c>
      <c r="E129" s="1153">
        <f>VLOOKUP(A129,('Prijs karton'!C:G),5,0)/100*1.08</f>
        <v>1.7409600000000001</v>
      </c>
    </row>
    <row r="130" spans="1:11" ht="15" x14ac:dyDescent="0.25">
      <c r="A130" s="55" t="s">
        <v>408</v>
      </c>
      <c r="B130" s="1125">
        <v>10220</v>
      </c>
      <c r="C130" s="29" t="s">
        <v>38</v>
      </c>
      <c r="D130" s="1129">
        <v>9</v>
      </c>
      <c r="E130" s="1153">
        <f>VLOOKUP(A130,('Prijs karton'!C:G),5,0)/100*1.08</f>
        <v>2.3295600000000003</v>
      </c>
    </row>
    <row r="131" spans="1:11" ht="15" x14ac:dyDescent="0.25">
      <c r="E131" s="1153"/>
    </row>
    <row r="135" spans="1:11" x14ac:dyDescent="0.2">
      <c r="C135" s="1129" t="s">
        <v>1136</v>
      </c>
      <c r="D135" s="1129" t="s">
        <v>1137</v>
      </c>
      <c r="G135" s="1129" t="s">
        <v>1138</v>
      </c>
    </row>
    <row r="136" spans="1:11" x14ac:dyDescent="0.2">
      <c r="B136" s="1129" t="s">
        <v>1091</v>
      </c>
      <c r="D136" s="1129" t="s">
        <v>9</v>
      </c>
      <c r="E136" s="1129" t="s">
        <v>18</v>
      </c>
      <c r="F136" s="1129" t="s">
        <v>19</v>
      </c>
      <c r="G136" s="1129" t="s">
        <v>9</v>
      </c>
      <c r="H136" s="1129" t="s">
        <v>18</v>
      </c>
      <c r="I136" s="1129" t="s">
        <v>19</v>
      </c>
      <c r="J136" s="1129" t="s">
        <v>1159</v>
      </c>
      <c r="K136" s="1129" t="s">
        <v>643</v>
      </c>
    </row>
    <row r="137" spans="1:11" x14ac:dyDescent="0.2">
      <c r="B137" s="1157" t="s">
        <v>16</v>
      </c>
      <c r="C137" s="1129" t="s">
        <v>1089</v>
      </c>
      <c r="D137" s="1129">
        <v>2</v>
      </c>
      <c r="E137" s="1129">
        <v>8</v>
      </c>
      <c r="F137" s="1129">
        <v>20</v>
      </c>
      <c r="G137" s="1129">
        <v>4</v>
      </c>
      <c r="H137" s="1129">
        <v>8</v>
      </c>
      <c r="I137" s="1129">
        <v>6</v>
      </c>
      <c r="J137" s="1129">
        <v>1</v>
      </c>
      <c r="K137" s="1224">
        <v>0.3</v>
      </c>
    </row>
    <row r="138" spans="1:11" x14ac:dyDescent="0.2">
      <c r="B138" s="1157" t="s">
        <v>15</v>
      </c>
      <c r="C138" s="1129" t="s">
        <v>1089</v>
      </c>
      <c r="D138" s="1129">
        <v>2</v>
      </c>
      <c r="E138" s="1129">
        <v>4</v>
      </c>
      <c r="F138" s="1129">
        <v>26</v>
      </c>
      <c r="G138" s="1129">
        <v>4</v>
      </c>
      <c r="H138" s="1129">
        <v>4</v>
      </c>
      <c r="I138" s="1129">
        <v>6</v>
      </c>
      <c r="J138" s="1129">
        <v>0</v>
      </c>
      <c r="K138" s="1224">
        <v>0.3</v>
      </c>
    </row>
    <row r="139" spans="1:11" x14ac:dyDescent="0.2">
      <c r="B139" s="1157" t="s">
        <v>13</v>
      </c>
      <c r="C139" s="1129" t="s">
        <v>1139</v>
      </c>
      <c r="D139" s="1129">
        <v>4</v>
      </c>
      <c r="E139" s="1129">
        <v>8</v>
      </c>
      <c r="F139" s="1129">
        <v>2</v>
      </c>
      <c r="G139" s="1129">
        <v>2</v>
      </c>
      <c r="H139" s="1129">
        <v>2</v>
      </c>
      <c r="I139" s="1129">
        <v>4</v>
      </c>
      <c r="J139" s="1129">
        <v>0</v>
      </c>
      <c r="K139" s="1224">
        <v>0.3</v>
      </c>
    </row>
    <row r="140" spans="1:11" x14ac:dyDescent="0.2">
      <c r="B140" s="1157" t="s">
        <v>71</v>
      </c>
      <c r="C140" s="1129" t="s">
        <v>1089</v>
      </c>
      <c r="D140" s="1129">
        <v>2</v>
      </c>
      <c r="E140" s="1129">
        <v>2</v>
      </c>
      <c r="F140" s="1129">
        <v>16</v>
      </c>
      <c r="G140" s="1129">
        <v>2</v>
      </c>
      <c r="H140" s="1129">
        <v>2</v>
      </c>
      <c r="I140" s="1129">
        <v>4</v>
      </c>
      <c r="J140" s="1129">
        <v>0</v>
      </c>
      <c r="K140" s="1224">
        <v>0.3</v>
      </c>
    </row>
    <row r="141" spans="1:11" x14ac:dyDescent="0.2">
      <c r="B141" s="1157" t="s">
        <v>60</v>
      </c>
      <c r="C141" s="1129" t="s">
        <v>1089</v>
      </c>
      <c r="D141" s="1129">
        <v>2</v>
      </c>
      <c r="E141" s="1129">
        <v>2</v>
      </c>
      <c r="F141" s="1129">
        <v>28</v>
      </c>
      <c r="G141" s="1129">
        <v>2</v>
      </c>
      <c r="H141" s="1129">
        <v>6</v>
      </c>
      <c r="I141" s="1129">
        <v>4</v>
      </c>
      <c r="J141" s="1129">
        <v>1</v>
      </c>
      <c r="K141" s="1224">
        <v>0.3</v>
      </c>
    </row>
    <row r="142" spans="1:11" x14ac:dyDescent="0.2">
      <c r="B142" s="1157" t="s">
        <v>8</v>
      </c>
      <c r="C142" s="1129" t="s">
        <v>1139</v>
      </c>
      <c r="D142" s="1129">
        <v>4</v>
      </c>
      <c r="E142" s="1129">
        <v>12</v>
      </c>
      <c r="F142" s="1129">
        <v>2</v>
      </c>
      <c r="G142" s="1129">
        <v>4</v>
      </c>
      <c r="H142" s="1129">
        <v>4</v>
      </c>
      <c r="I142" s="1129">
        <v>4</v>
      </c>
      <c r="J142" s="1129">
        <v>0</v>
      </c>
      <c r="K142" s="1324">
        <v>0.3</v>
      </c>
    </row>
    <row r="143" spans="1:11" x14ac:dyDescent="0.2">
      <c r="B143" s="1157" t="s">
        <v>14</v>
      </c>
      <c r="C143" s="1129" t="s">
        <v>1139</v>
      </c>
      <c r="D143" s="1129">
        <v>4</v>
      </c>
      <c r="E143" s="1129">
        <v>20</v>
      </c>
      <c r="F143" s="1129">
        <v>2</v>
      </c>
      <c r="G143" s="1129">
        <v>4</v>
      </c>
      <c r="H143" s="1129">
        <v>4</v>
      </c>
      <c r="I143" s="1129">
        <v>4</v>
      </c>
      <c r="J143" s="1129">
        <v>0</v>
      </c>
      <c r="K143" s="1224">
        <v>0.3</v>
      </c>
    </row>
    <row r="144" spans="1:11" x14ac:dyDescent="0.2">
      <c r="B144" s="1157" t="s">
        <v>12</v>
      </c>
      <c r="C144" s="1129" t="s">
        <v>1089</v>
      </c>
      <c r="D144" s="1129">
        <v>2</v>
      </c>
      <c r="E144" s="1129">
        <v>2</v>
      </c>
      <c r="F144" s="1129">
        <v>0</v>
      </c>
      <c r="G144" s="1129">
        <v>0</v>
      </c>
      <c r="H144" s="1129">
        <v>0</v>
      </c>
      <c r="I144" s="1129">
        <v>0</v>
      </c>
      <c r="J144" s="1129">
        <v>0</v>
      </c>
      <c r="K144" s="1224">
        <v>0.3</v>
      </c>
    </row>
    <row r="145" spans="1:15" x14ac:dyDescent="0.2">
      <c r="B145" s="1157" t="s">
        <v>981</v>
      </c>
      <c r="C145" s="1129" t="s">
        <v>1089</v>
      </c>
      <c r="D145" s="1129">
        <v>2</v>
      </c>
      <c r="E145" s="1129">
        <v>6</v>
      </c>
      <c r="F145" s="1129">
        <v>8</v>
      </c>
      <c r="G145" s="1129">
        <v>4</v>
      </c>
      <c r="H145" s="1129">
        <v>4</v>
      </c>
      <c r="I145" s="1129">
        <v>0</v>
      </c>
      <c r="J145" s="1129">
        <v>0</v>
      </c>
      <c r="K145" s="1224">
        <v>0.3</v>
      </c>
    </row>
    <row r="146" spans="1:15" x14ac:dyDescent="0.2">
      <c r="B146" s="1157" t="s">
        <v>17</v>
      </c>
      <c r="C146" s="1129" t="s">
        <v>1089</v>
      </c>
      <c r="D146" s="1129">
        <v>3</v>
      </c>
      <c r="E146" s="1129">
        <v>5</v>
      </c>
      <c r="F146" s="1129">
        <v>17</v>
      </c>
      <c r="G146" s="1129">
        <v>4</v>
      </c>
      <c r="H146" s="1129">
        <v>6</v>
      </c>
      <c r="I146" s="1129">
        <v>4</v>
      </c>
      <c r="J146" s="1129">
        <v>1</v>
      </c>
      <c r="K146" s="1224">
        <v>0.3</v>
      </c>
    </row>
    <row r="147" spans="1:15" x14ac:dyDescent="0.2">
      <c r="B147" s="1166" t="s">
        <v>982</v>
      </c>
      <c r="C147" s="1129" t="s">
        <v>1089</v>
      </c>
      <c r="D147" s="1129">
        <v>3</v>
      </c>
      <c r="E147" s="1129">
        <v>13</v>
      </c>
      <c r="F147" s="1129">
        <v>10</v>
      </c>
      <c r="G147" s="1129">
        <v>4</v>
      </c>
      <c r="H147" s="1129">
        <v>6</v>
      </c>
      <c r="I147" s="1129">
        <v>6</v>
      </c>
      <c r="J147" s="1129">
        <v>1</v>
      </c>
      <c r="K147" s="1224">
        <v>0.3</v>
      </c>
    </row>
    <row r="148" spans="1:15" x14ac:dyDescent="0.2">
      <c r="B148" s="1166" t="s">
        <v>981</v>
      </c>
      <c r="C148" s="1129" t="s">
        <v>1089</v>
      </c>
      <c r="J148" s="1129">
        <v>0</v>
      </c>
      <c r="K148" s="1224">
        <v>0.3</v>
      </c>
    </row>
    <row r="149" spans="1:15" x14ac:dyDescent="0.2">
      <c r="B149" s="1157" t="s">
        <v>992</v>
      </c>
      <c r="J149" s="1129">
        <v>0</v>
      </c>
      <c r="K149" s="1224">
        <v>0.3</v>
      </c>
    </row>
    <row r="150" spans="1:15" x14ac:dyDescent="0.2">
      <c r="B150" s="1157" t="s">
        <v>1343</v>
      </c>
      <c r="J150" s="1129">
        <v>0</v>
      </c>
      <c r="K150" s="1224">
        <v>0.3</v>
      </c>
    </row>
    <row r="155" spans="1:15" ht="13.5" thickBot="1" x14ac:dyDescent="0.25">
      <c r="A155" s="1133"/>
      <c r="B155" s="1133"/>
      <c r="C155" s="1133"/>
      <c r="D155" s="1133"/>
      <c r="E155" s="1133"/>
      <c r="F155" s="1133"/>
      <c r="G155" s="1133"/>
      <c r="H155" s="1133"/>
      <c r="I155" s="1133"/>
      <c r="J155" s="1133"/>
    </row>
    <row r="156" spans="1:15" x14ac:dyDescent="0.2">
      <c r="I156" s="1220" t="s">
        <v>1174</v>
      </c>
      <c r="J156" s="1214" t="s">
        <v>1175</v>
      </c>
      <c r="K156" s="1215"/>
      <c r="L156" s="1214" t="s">
        <v>1176</v>
      </c>
      <c r="M156" s="1215"/>
      <c r="N156" s="1214" t="s">
        <v>1177</v>
      </c>
      <c r="O156" s="1215"/>
    </row>
    <row r="157" spans="1:15" x14ac:dyDescent="0.2">
      <c r="D157" s="1129" t="s">
        <v>18</v>
      </c>
      <c r="E157" s="1129" t="s">
        <v>9</v>
      </c>
      <c r="G157" s="1129" t="s">
        <v>1348</v>
      </c>
      <c r="H157" s="1129" t="s">
        <v>1350</v>
      </c>
      <c r="I157" s="1221" t="s">
        <v>1349</v>
      </c>
      <c r="J157" s="1216"/>
      <c r="K157" s="1217"/>
      <c r="L157" s="1216"/>
      <c r="M157" s="1217"/>
      <c r="N157" s="1216"/>
      <c r="O157" s="1217"/>
    </row>
    <row r="158" spans="1:15" x14ac:dyDescent="0.2">
      <c r="D158" s="1129">
        <f>I9</f>
        <v>361</v>
      </c>
      <c r="E158" s="1129">
        <f>I10</f>
        <v>557</v>
      </c>
      <c r="I158" s="1221">
        <f>C6*'Pallet en transport'!D147</f>
        <v>2400</v>
      </c>
      <c r="J158" s="1216">
        <f>O6*'Pallet en transport'!D147</f>
        <v>10800</v>
      </c>
      <c r="K158" s="1217"/>
      <c r="L158" s="1216">
        <f>Y6*'Pallet en transport'!D147</f>
        <v>10800</v>
      </c>
      <c r="M158" s="1217"/>
      <c r="N158" s="1216">
        <f>AI6*'Pallet en transport'!D147</f>
        <v>2940</v>
      </c>
      <c r="O158" s="1217"/>
    </row>
    <row r="159" spans="1:15" x14ac:dyDescent="0.2">
      <c r="A159" s="1129" t="s">
        <v>1347</v>
      </c>
      <c r="B159" s="1129" t="s">
        <v>9</v>
      </c>
      <c r="C159" s="1129">
        <v>780</v>
      </c>
      <c r="G159" s="1129">
        <f>IF(D158&lt;C159,1,0)</f>
        <v>1</v>
      </c>
      <c r="H159" s="1129">
        <f>IF(E158&lt;C159,1,0)</f>
        <v>1</v>
      </c>
      <c r="I159" s="1221">
        <f>H159+G159</f>
        <v>2</v>
      </c>
      <c r="J159" s="1216"/>
      <c r="K159" s="1217">
        <f>I159</f>
        <v>2</v>
      </c>
      <c r="L159" s="1216"/>
      <c r="M159" s="1217">
        <f>I159</f>
        <v>2</v>
      </c>
      <c r="N159" s="1216"/>
      <c r="O159" s="1217">
        <f>I159</f>
        <v>2</v>
      </c>
    </row>
    <row r="160" spans="1:15" x14ac:dyDescent="0.2">
      <c r="B160" s="1129" t="s">
        <v>18</v>
      </c>
      <c r="C160" s="1129">
        <v>450</v>
      </c>
      <c r="G160" s="1129">
        <f>IF(D158&lt;C160,1,0)</f>
        <v>1</v>
      </c>
      <c r="H160" s="1129">
        <f>IF(E158&lt;C160,1,0)</f>
        <v>0</v>
      </c>
      <c r="I160" s="1221">
        <f>H160+G160</f>
        <v>1</v>
      </c>
      <c r="J160" s="1216"/>
      <c r="K160" s="1217">
        <f>I160</f>
        <v>1</v>
      </c>
      <c r="L160" s="1216"/>
      <c r="M160" s="1217">
        <f>I160</f>
        <v>1</v>
      </c>
      <c r="N160" s="1216"/>
      <c r="O160" s="1217">
        <f>I160</f>
        <v>1</v>
      </c>
    </row>
    <row r="161" spans="2:15" x14ac:dyDescent="0.2">
      <c r="B161" s="1129" t="s">
        <v>19</v>
      </c>
      <c r="C161" s="1129">
        <v>400</v>
      </c>
      <c r="I161" s="1221">
        <f>IF(I158&lt;C161,1,0)</f>
        <v>0</v>
      </c>
      <c r="J161" s="1216"/>
      <c r="K161" s="1217">
        <f>IF(J158&lt;C161,1,0)</f>
        <v>0</v>
      </c>
      <c r="L161" s="1216"/>
      <c r="M161" s="1217">
        <f>IF(L158&lt;C161,1,0)</f>
        <v>0</v>
      </c>
      <c r="N161" s="1216"/>
      <c r="O161" s="1217">
        <f>IF(N158&lt;C161,1,0)</f>
        <v>0</v>
      </c>
    </row>
    <row r="162" spans="2:15" ht="13.5" thickBot="1" x14ac:dyDescent="0.25">
      <c r="I162" s="1222">
        <f>I161*I160*I159</f>
        <v>0</v>
      </c>
      <c r="J162" s="1218"/>
      <c r="K162" s="1219">
        <f>K161*K160*K159</f>
        <v>0</v>
      </c>
      <c r="L162" s="1218"/>
      <c r="M162" s="1219">
        <f>M161*M160*M159</f>
        <v>0</v>
      </c>
      <c r="N162" s="1218"/>
      <c r="O162" s="1219">
        <f>O161*O160*O159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291C-2AA7-49F9-AECF-E89B0930F9D9}">
  <sheetPr codeName="Blad1"/>
  <dimension ref="A2:T33"/>
  <sheetViews>
    <sheetView workbookViewId="0">
      <selection activeCell="B23" sqref="B23"/>
    </sheetView>
  </sheetViews>
  <sheetFormatPr defaultRowHeight="15" x14ac:dyDescent="0.25"/>
  <cols>
    <col min="1" max="1" customWidth="true" width="50.42578125"/>
    <col min="2" max="2" customWidth="true" width="27.42578125"/>
    <col min="3" max="3" customWidth="true" width="15.0"/>
    <col min="8" max="8" customWidth="true" width="13.140625"/>
    <col min="10" max="10" customWidth="true" width="11.28515625"/>
    <col min="14" max="14" customWidth="true" width="9.85546875"/>
    <col min="15" max="15" customWidth="true" width="13.7109375"/>
  </cols>
  <sheetData>
    <row r="2" spans="1:20" x14ac:dyDescent="0.25">
      <c r="A2" t="s">
        <v>1085</v>
      </c>
      <c r="B2" s="1127">
        <f>BLO!B6</f>
        <v>10010</v>
      </c>
      <c r="I2" s="14" t="s">
        <v>971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33"/>
    </row>
    <row r="3" spans="1:20" x14ac:dyDescent="0.25">
      <c r="A3" t="s">
        <v>0</v>
      </c>
      <c r="B3" s="1128" t="str">
        <f>'Kwaliteit conversie'!B4</f>
        <v>B</v>
      </c>
      <c r="I3" s="6" t="s">
        <v>1012</v>
      </c>
      <c r="T3" s="7"/>
    </row>
    <row r="4" spans="1:20" x14ac:dyDescent="0.25">
      <c r="A4" t="s">
        <v>1</v>
      </c>
      <c r="B4" s="1128" t="str">
        <f>'Kwaliteit conversie'!C4</f>
        <v>Wit extra sterk</v>
      </c>
      <c r="I4" s="6" t="s">
        <v>991</v>
      </c>
      <c r="T4" s="7"/>
    </row>
    <row r="5" spans="1:20" x14ac:dyDescent="0.25">
      <c r="I5" s="6"/>
      <c r="T5" s="7"/>
    </row>
    <row r="6" spans="1:20" x14ac:dyDescent="0.25">
      <c r="A6" t="s">
        <v>2</v>
      </c>
      <c r="B6" s="22" t="str">
        <f>BLO!B2</f>
        <v>0201</v>
      </c>
      <c r="I6" s="6"/>
      <c r="T6" s="7"/>
    </row>
    <row r="7" spans="1:20" x14ac:dyDescent="0.25">
      <c r="A7" t="s">
        <v>9</v>
      </c>
      <c r="B7" s="22">
        <f>BLO!B3</f>
        <v>300</v>
      </c>
      <c r="C7" t="s">
        <v>25</v>
      </c>
      <c r="I7" s="6"/>
      <c r="T7" s="7"/>
    </row>
    <row r="8" spans="1:20" x14ac:dyDescent="0.25">
      <c r="A8" t="s">
        <v>18</v>
      </c>
      <c r="B8" s="22">
        <f>BLO!B4</f>
        <v>250</v>
      </c>
      <c r="C8" t="s">
        <v>25</v>
      </c>
      <c r="I8" s="6"/>
      <c r="T8" s="7"/>
    </row>
    <row r="9" spans="1:20" x14ac:dyDescent="0.25">
      <c r="A9" t="s">
        <v>19</v>
      </c>
      <c r="B9" s="22">
        <f>BLO!B5</f>
        <v>100</v>
      </c>
      <c r="C9" t="s">
        <v>25</v>
      </c>
      <c r="I9" s="6"/>
      <c r="T9" s="7"/>
    </row>
    <row r="10" spans="1:20" x14ac:dyDescent="0.25">
      <c r="I10" s="6"/>
      <c r="T10" s="7"/>
    </row>
    <row r="11" spans="1:20" x14ac:dyDescent="0.25">
      <c r="A11" t="s">
        <v>3</v>
      </c>
      <c r="B11" s="22" t="str">
        <f>BLO!B12</f>
        <v>onbedrukt</v>
      </c>
      <c r="I11" s="6"/>
      <c r="T11" s="7"/>
    </row>
    <row r="12" spans="1:20" x14ac:dyDescent="0.25">
      <c r="A12" t="s">
        <v>4</v>
      </c>
      <c r="B12" s="22" t="s">
        <v>84</v>
      </c>
      <c r="I12" s="6"/>
      <c r="T12" s="7"/>
    </row>
    <row r="13" spans="1:20" x14ac:dyDescent="0.25">
      <c r="A13" t="s">
        <v>5</v>
      </c>
      <c r="B13" s="22" t="str">
        <f>BLO!B8</f>
        <v>geen handgrepen / stansbewerking</v>
      </c>
      <c r="I13" s="6"/>
      <c r="T13" s="7"/>
    </row>
    <row r="14" spans="1:20" x14ac:dyDescent="0.25">
      <c r="A14" t="s">
        <v>1088</v>
      </c>
      <c r="B14" s="22" t="s">
        <v>1089</v>
      </c>
      <c r="I14" s="6"/>
      <c r="T14" s="7"/>
    </row>
    <row r="15" spans="1:20" x14ac:dyDescent="0.25">
      <c r="A15" t="s">
        <v>969</v>
      </c>
      <c r="B15" s="22"/>
      <c r="C15" t="s">
        <v>25</v>
      </c>
      <c r="I15" s="415"/>
      <c r="J15" s="918"/>
      <c r="K15" s="918"/>
      <c r="L15" s="918"/>
      <c r="M15" s="918"/>
      <c r="N15" s="918"/>
      <c r="O15" s="918"/>
      <c r="P15" s="918"/>
      <c r="Q15" s="918"/>
      <c r="R15" s="918"/>
      <c r="S15" s="918"/>
      <c r="T15" s="912"/>
    </row>
    <row r="17" spans="1:19" x14ac:dyDescent="0.25">
      <c r="A17" t="s">
        <v>6</v>
      </c>
      <c r="B17" s="840">
        <f>BLO!B9</f>
        <v>400</v>
      </c>
      <c r="C17" t="s">
        <v>26</v>
      </c>
      <c r="I17" s="1005" t="s">
        <v>1080</v>
      </c>
      <c r="J17" s="1005"/>
      <c r="K17" s="1005"/>
      <c r="L17" s="1005"/>
      <c r="M17" s="1005"/>
      <c r="N17" s="1005"/>
      <c r="O17" s="1005"/>
    </row>
    <row r="18" spans="1:19" x14ac:dyDescent="0.25">
      <c r="I18" s="1109" t="s">
        <v>639</v>
      </c>
      <c r="J18" s="1110"/>
      <c r="K18" s="1110"/>
      <c r="L18" s="1111">
        <f>Rekenblad!E1081</f>
        <v>0.24320433542000003</v>
      </c>
      <c r="M18" s="1110"/>
      <c r="N18" s="1110"/>
      <c r="O18" s="1112"/>
    </row>
    <row r="19" spans="1:19" x14ac:dyDescent="0.25">
      <c r="I19" s="1113" t="s">
        <v>645</v>
      </c>
      <c r="J19" s="1005"/>
      <c r="K19" s="1005"/>
      <c r="L19" s="1114">
        <f>Rekenblad!E1083</f>
        <v>0.17499999999999999</v>
      </c>
      <c r="M19" s="1277">
        <f>L19+L20</f>
        <v>0.185</v>
      </c>
      <c r="N19" s="1279" t="s">
        <v>1081</v>
      </c>
      <c r="O19" s="1280"/>
      <c r="P19" s="615"/>
      <c r="S19" s="958"/>
    </row>
    <row r="20" spans="1:19" x14ac:dyDescent="0.25">
      <c r="I20" s="1113" t="s">
        <v>644</v>
      </c>
      <c r="J20" s="1005"/>
      <c r="K20" s="1005"/>
      <c r="L20" s="1114">
        <f>Rekenblad!E1082</f>
        <v>0.01</v>
      </c>
      <c r="M20" s="1278"/>
      <c r="N20" s="1281"/>
      <c r="O20" s="1282"/>
      <c r="P20" s="615"/>
      <c r="S20" s="958"/>
    </row>
    <row r="21" spans="1:19" x14ac:dyDescent="0.25">
      <c r="A21" s="213" t="s">
        <v>660</v>
      </c>
      <c r="B21" s="213"/>
      <c r="C21" s="917">
        <f>IF(Rekenblad!I445=0," ",CEILING(Rekenblad!I445,10))</f>
        <v>490</v>
      </c>
      <c r="D21" s="44" t="s">
        <v>26</v>
      </c>
      <c r="I21" s="1113" t="s">
        <v>641</v>
      </c>
      <c r="J21" s="1005"/>
      <c r="K21" s="1005"/>
      <c r="L21" s="1114">
        <f>Rekenblad!E1084</f>
        <v>0.05</v>
      </c>
      <c r="M21" s="1005"/>
      <c r="N21" s="1005"/>
      <c r="O21" s="1115"/>
      <c r="P21" s="615"/>
      <c r="S21" s="958"/>
    </row>
    <row r="22" spans="1:19" x14ac:dyDescent="0.25">
      <c r="I22" s="1119" t="s">
        <v>642</v>
      </c>
      <c r="J22" s="1120"/>
      <c r="K22" s="1120"/>
      <c r="L22" s="1121">
        <f>Rekenblad!E1091</f>
        <v>0.18830212500000001</v>
      </c>
      <c r="M22" s="1120"/>
      <c r="N22" s="1120"/>
      <c r="O22" s="1122"/>
    </row>
    <row r="23" spans="1:19" x14ac:dyDescent="0.25">
      <c r="A23" s="213" t="s">
        <v>970</v>
      </c>
      <c r="B23" s="915">
        <f>Rekenblad!C1094</f>
        <v>0.72166404570170006</v>
      </c>
      <c r="C23" s="916">
        <f>B17</f>
        <v>400</v>
      </c>
      <c r="D23" s="44" t="s">
        <v>661</v>
      </c>
      <c r="I23" s="1109"/>
      <c r="J23" s="1110"/>
      <c r="K23" s="1110"/>
      <c r="L23" s="1111"/>
      <c r="M23" s="1110"/>
      <c r="N23" s="1110"/>
      <c r="O23" s="1112"/>
    </row>
    <row r="24" spans="1:19" x14ac:dyDescent="0.25">
      <c r="I24" s="1119" t="s">
        <v>985</v>
      </c>
      <c r="J24" s="1120"/>
      <c r="K24" s="1120"/>
      <c r="L24" s="1121">
        <f>Rekenblad!E1089</f>
        <v>5.5157585281699999E-2</v>
      </c>
      <c r="M24" s="1120"/>
      <c r="N24" s="1120"/>
      <c r="O24" s="1122"/>
    </row>
    <row r="25" spans="1:19" x14ac:dyDescent="0.25">
      <c r="I25" s="1123"/>
      <c r="J25" s="1110"/>
      <c r="K25" s="1110"/>
      <c r="L25" s="1110"/>
      <c r="M25" s="1110"/>
      <c r="N25" s="1110"/>
      <c r="O25" s="1112"/>
    </row>
    <row r="26" spans="1:19" x14ac:dyDescent="0.25">
      <c r="I26" s="1119" t="s">
        <v>651</v>
      </c>
      <c r="J26" s="1120"/>
      <c r="K26" s="1120"/>
      <c r="L26" s="1121">
        <f>Rekenblad!E1093</f>
        <v>0.72166404570170006</v>
      </c>
      <c r="M26" s="1120"/>
      <c r="N26" s="1120"/>
      <c r="O26" s="1122"/>
    </row>
    <row r="27" spans="1:19" x14ac:dyDescent="0.25">
      <c r="A27" s="1274" t="s">
        <v>965</v>
      </c>
      <c r="B27" s="1275"/>
      <c r="C27" s="1275"/>
      <c r="D27" s="1276"/>
      <c r="I27" s="1113"/>
      <c r="J27" s="1005"/>
      <c r="K27" s="1005"/>
      <c r="L27" s="1114"/>
      <c r="M27" s="1005"/>
      <c r="N27" s="1005"/>
      <c r="O27" s="1115"/>
    </row>
    <row r="28" spans="1:19" x14ac:dyDescent="0.25">
      <c r="A28" s="944" t="s">
        <v>964</v>
      </c>
      <c r="B28" s="945" t="str">
        <f>IF(Rekenblad!AV46=1,'Pallet en transport'!D151&amp; " x "&amp;'Pallet en transport'!E151," ")</f>
        <v>1083 x 1200</v>
      </c>
      <c r="C28" s="946" t="s">
        <v>25</v>
      </c>
      <c r="D28" s="947"/>
      <c r="I28" s="1116"/>
      <c r="J28" s="1005"/>
      <c r="K28" s="1005"/>
      <c r="L28" s="1005"/>
      <c r="M28" s="1005"/>
      <c r="N28" s="1005"/>
      <c r="O28" s="1115"/>
    </row>
    <row r="29" spans="1:19" x14ac:dyDescent="0.25">
      <c r="A29" s="41" t="s">
        <v>939</v>
      </c>
      <c r="B29" s="26">
        <f>IF(Rekenblad!AV46=1,IF('Pallet en transport'!D165=0,0,'Pallet en transport'!D166)," ")</f>
        <v>25</v>
      </c>
      <c r="C29" t="s">
        <v>661</v>
      </c>
      <c r="D29" s="7"/>
      <c r="I29" s="1113"/>
      <c r="J29" s="1005"/>
      <c r="K29" s="1005"/>
      <c r="L29" s="1114"/>
      <c r="M29" s="1005"/>
      <c r="N29" s="1005"/>
      <c r="O29" s="1115"/>
    </row>
    <row r="30" spans="1:19" x14ac:dyDescent="0.25">
      <c r="A30" s="41" t="s">
        <v>943</v>
      </c>
      <c r="B30" s="26">
        <f>IF(Rekenblad!AV46=1,'Pallet en transport'!D170," ")</f>
        <v>6</v>
      </c>
      <c r="C30" t="s">
        <v>661</v>
      </c>
      <c r="D30" s="7"/>
      <c r="I30" s="1116" t="s">
        <v>1079</v>
      </c>
      <c r="J30" s="1005"/>
      <c r="K30" s="1005"/>
      <c r="L30" s="1005"/>
      <c r="M30" s="1005"/>
      <c r="N30" s="1005"/>
      <c r="O30" s="1115"/>
    </row>
    <row r="31" spans="1:19" x14ac:dyDescent="0.25">
      <c r="A31" s="41" t="s">
        <v>977</v>
      </c>
      <c r="B31" s="26">
        <f>IF(Rekenblad!AV46=1,'Pallet en transport'!D171," ")</f>
        <v>1800</v>
      </c>
      <c r="C31" t="s">
        <v>661</v>
      </c>
      <c r="D31" s="7"/>
      <c r="I31" s="1117">
        <f>Rekenblad!C362</f>
        <v>0</v>
      </c>
      <c r="J31" s="1117">
        <f>Rekenblad!D362</f>
        <v>0</v>
      </c>
      <c r="K31" s="1117">
        <f>Rekenblad!E362</f>
        <v>1</v>
      </c>
      <c r="L31" s="1117">
        <f>Rekenblad!F362</f>
        <v>0</v>
      </c>
      <c r="M31" s="1117">
        <f>Rekenblad!G362</f>
        <v>0</v>
      </c>
      <c r="N31" s="1117">
        <f>Rekenblad!H362</f>
        <v>0</v>
      </c>
      <c r="O31" s="1117">
        <f>Rekenblad!I362</f>
        <v>0</v>
      </c>
    </row>
    <row r="32" spans="1:19" x14ac:dyDescent="0.25">
      <c r="A32" s="41" t="s">
        <v>966</v>
      </c>
      <c r="B32" s="26">
        <f>IF(Rekenblad!AV46=1,'Pallet en transport'!D160," ")</f>
        <v>1950</v>
      </c>
      <c r="C32" t="s">
        <v>25</v>
      </c>
      <c r="D32" s="7"/>
      <c r="I32" s="1117" t="s">
        <v>66</v>
      </c>
      <c r="J32" s="1117" t="s">
        <v>65</v>
      </c>
      <c r="K32" s="1117" t="s">
        <v>63</v>
      </c>
      <c r="L32" s="1118" t="s">
        <v>64</v>
      </c>
      <c r="M32" s="1117" t="s">
        <v>554</v>
      </c>
      <c r="N32" s="1118" t="s">
        <v>54</v>
      </c>
      <c r="O32" s="1117" t="s">
        <v>67</v>
      </c>
    </row>
    <row r="33" spans="1:4" x14ac:dyDescent="0.25">
      <c r="A33" s="52" t="s">
        <v>978</v>
      </c>
      <c r="B33" s="432">
        <f>IF(Rekenblad!AV46=1,'Pallet en transport'!D174," ")</f>
        <v>1</v>
      </c>
      <c r="C33" s="918" t="s">
        <v>661</v>
      </c>
      <c r="D33" s="912"/>
    </row>
  </sheetData>
  <mergeCells count="3">
    <mergeCell ref="A27:D27"/>
    <mergeCell ref="M19:M20"/>
    <mergeCell ref="N19:O20"/>
  </mergeCells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4">
        <x14:dataValidation type="list" allowBlank="1" showInputMessage="1" showErrorMessage="1" xr:uid="{22968C69-2720-4E86-85B0-A4B4E03BACF8}">
          <x14:formula1>
            <xm:f>Rekenblad!$B$86:$B$107</xm:f>
          </x14:formula1>
          <xm:sqref>B6</xm:sqref>
        </x14:dataValidation>
        <x14:dataValidation type="list" allowBlank="1" showInputMessage="1" showErrorMessage="1" xr:uid="{6572A4CC-BA72-4CB0-A7CB-6BADD67EC5C6}">
          <x14:formula1>
            <xm:f>Rekenblad!$B$113:$B$116</xm:f>
          </x14:formula1>
          <xm:sqref>B11</xm:sqref>
        </x14:dataValidation>
        <x14:dataValidation type="list" allowBlank="1" showInputMessage="1" showErrorMessage="1" xr:uid="{E5BCB8CB-D8C6-4CB2-B4C5-444AA3C3B97B}">
          <x14:formula1>
            <xm:f>Rekenblad!$B$121:$B$128</xm:f>
          </x14:formula1>
          <xm:sqref>B12</xm:sqref>
        </x14:dataValidation>
        <x14:dataValidation type="list" allowBlank="1" showInputMessage="1" showErrorMessage="1" xr:uid="{B2EC54A9-8E97-4442-ABD0-157848F51189}">
          <x14:formula1>
            <xm:f>Rekenblad!$B$133:$B$136</xm:f>
          </x14:formula1>
          <xm:sqref>B13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2E11-E4A7-4550-927C-24BC020132EF}">
  <sheetPr codeName="Blad3"/>
  <dimension ref="A2:BD1572"/>
  <sheetViews>
    <sheetView topLeftCell="A1066" workbookViewId="0">
      <selection activeCell="C1097" sqref="C1097"/>
    </sheetView>
  </sheetViews>
  <sheetFormatPr defaultRowHeight="15" x14ac:dyDescent="0.25"/>
  <cols>
    <col min="1" max="1" customWidth="true" width="17.5703125"/>
    <col min="2" max="2" customWidth="true" style="1" width="44.28515625"/>
    <col min="3" max="3" customWidth="true" width="32.85546875"/>
    <col min="4" max="4" customWidth="true" width="24.7109375"/>
    <col min="5" max="5" customWidth="true" width="19.7109375"/>
    <col min="6" max="6" customWidth="true" width="16.28515625"/>
    <col min="7" max="7" customWidth="true" width="20.5703125"/>
    <col min="8" max="8" customWidth="true" width="25.0"/>
    <col min="9" max="9" customWidth="true" width="23.140625"/>
    <col min="10" max="10" customWidth="true" width="21.7109375"/>
    <col min="11" max="11" customWidth="true" width="20.28515625"/>
    <col min="12" max="12" customWidth="true" width="25.7109375"/>
    <col min="13" max="13" customWidth="true" width="18.7109375"/>
    <col min="14" max="14" customWidth="true" width="19.85546875"/>
    <col min="15" max="15" customWidth="true" width="20.0"/>
    <col min="16" max="16" customWidth="true" width="21.85546875"/>
    <col min="17" max="17" customWidth="true" width="16.42578125"/>
    <col min="18" max="18" customWidth="true" width="22.7109375"/>
    <col min="19" max="19" customWidth="true" width="20.7109375"/>
    <col min="20" max="20" customWidth="true" width="22.7109375"/>
    <col min="21" max="21" customWidth="true" width="16.42578125"/>
    <col min="22" max="22" customWidth="true" width="16.85546875"/>
    <col min="23" max="23" customWidth="true" width="16.0"/>
    <col min="24" max="24" customWidth="true" width="12.5703125"/>
    <col min="25" max="25" bestFit="true" customWidth="true" style="2" width="9.28515625"/>
    <col min="26" max="26" bestFit="true" customWidth="true" width="9.28515625"/>
    <col min="27" max="27" customWidth="true" width="38.0"/>
    <col min="28" max="28" customWidth="true" width="15.7109375"/>
    <col min="29" max="29" customWidth="true" width="11.85546875"/>
    <col min="32" max="32" customWidth="true" width="13.28515625"/>
    <col min="39" max="39" customWidth="true" width="17.0"/>
    <col min="40" max="40" customWidth="true" width="16.85546875"/>
    <col min="43" max="43" customWidth="true" width="10.0"/>
    <col min="44" max="44" customWidth="true" width="13.5703125"/>
    <col min="46" max="46" customWidth="true" width="11.85546875"/>
    <col min="47" max="47" customWidth="true" width="11.7109375"/>
    <col min="48" max="48" customWidth="true" width="16.7109375"/>
    <col min="49" max="49" customWidth="true" width="21.42578125"/>
    <col min="50" max="50" customWidth="true" width="17.0"/>
    <col min="51" max="51" customWidth="true" width="16.85546875"/>
    <col min="52" max="52" customWidth="true" width="20.7109375"/>
  </cols>
  <sheetData>
    <row r="2" spans="2:5" x14ac:dyDescent="0.25">
      <c r="B2" s="1" t="s">
        <v>77</v>
      </c>
      <c r="C2" s="2" t="str">
        <f>Input!B6</f>
        <v>0201</v>
      </c>
    </row>
    <row r="3" spans="2:5" x14ac:dyDescent="0.25">
      <c r="B3" s="1" t="s">
        <v>61</v>
      </c>
      <c r="C3" s="2">
        <f>Input!B17</f>
        <v>400</v>
      </c>
    </row>
    <row r="4" spans="2:5" x14ac:dyDescent="0.25">
      <c r="B4" s="1" t="s">
        <v>584</v>
      </c>
      <c r="C4" s="2" t="str">
        <f>'Kwaliteit conversie'!B4</f>
        <v>B</v>
      </c>
    </row>
    <row r="5" spans="2:5" x14ac:dyDescent="0.25">
      <c r="C5" s="2"/>
    </row>
    <row r="6" spans="2:5" x14ac:dyDescent="0.25">
      <c r="B6" s="1" t="s">
        <v>9</v>
      </c>
      <c r="C6" s="2">
        <f>Input!B7</f>
        <v>300</v>
      </c>
    </row>
    <row r="7" spans="2:5" x14ac:dyDescent="0.25">
      <c r="B7" s="1" t="s">
        <v>10</v>
      </c>
      <c r="C7" s="2">
        <f>Input!B8</f>
        <v>250</v>
      </c>
    </row>
    <row r="8" spans="2:5" x14ac:dyDescent="0.25">
      <c r="B8" s="1" t="s">
        <v>11</v>
      </c>
      <c r="C8" s="2">
        <f>Input!B9</f>
        <v>100</v>
      </c>
    </row>
    <row r="9" spans="2:5" x14ac:dyDescent="0.25">
      <c r="B9" s="1" t="s">
        <v>152</v>
      </c>
      <c r="C9" s="2">
        <f>IF(SUM(D1072:D1074)=3,1,0)</f>
        <v>1</v>
      </c>
    </row>
    <row r="10" spans="2:5" x14ac:dyDescent="0.25">
      <c r="B10" s="1" t="s">
        <v>156</v>
      </c>
      <c r="C10" s="2">
        <f>IF(AND(E1071=1,C6&gt;=C7),1,IF(E1071=0,1,0))</f>
        <v>1</v>
      </c>
      <c r="D10" s="2"/>
      <c r="E10" s="2"/>
    </row>
    <row r="11" spans="2:5" x14ac:dyDescent="0.25">
      <c r="C11" s="2"/>
      <c r="D11" s="2"/>
      <c r="E11" s="2"/>
    </row>
    <row r="12" spans="2:5" x14ac:dyDescent="0.25">
      <c r="B12" s="1" t="s">
        <v>7</v>
      </c>
      <c r="C12" s="2">
        <f>E145</f>
        <v>2</v>
      </c>
    </row>
    <row r="13" spans="2:5" x14ac:dyDescent="0.25">
      <c r="B13" s="1" t="s">
        <v>47</v>
      </c>
      <c r="C13" s="2">
        <f>F145</f>
        <v>3</v>
      </c>
    </row>
    <row r="14" spans="2:5" x14ac:dyDescent="0.25">
      <c r="B14" s="1" t="s">
        <v>80</v>
      </c>
      <c r="C14" s="2" t="str">
        <f>Input!B11</f>
        <v>onbedrukt</v>
      </c>
    </row>
    <row r="15" spans="2:5" x14ac:dyDescent="0.25">
      <c r="B15" s="1" t="s">
        <v>83</v>
      </c>
      <c r="C15" s="59" t="str">
        <f>Input!B12</f>
        <v>Onbedrukt / minder dan 10%</v>
      </c>
    </row>
    <row r="16" spans="2:5" x14ac:dyDescent="0.25">
      <c r="B16" s="1" t="s">
        <v>94</v>
      </c>
      <c r="C16" s="59" t="str">
        <f>Input!B13</f>
        <v>geen handgrepen / stansbewerking</v>
      </c>
    </row>
    <row r="17" spans="1:13" x14ac:dyDescent="0.25">
      <c r="B17" s="1" t="s">
        <v>79</v>
      </c>
      <c r="C17" s="2">
        <f>IF(AND(Input!B15&gt;0,Input!B15&lt;2100),Input!B15,2100)</f>
        <v>2100</v>
      </c>
      <c r="D17" t="s">
        <v>25</v>
      </c>
    </row>
    <row r="18" spans="1:13" x14ac:dyDescent="0.25">
      <c r="C18" s="2"/>
    </row>
    <row r="19" spans="1:13" x14ac:dyDescent="0.25">
      <c r="B19" s="286" t="s">
        <v>205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3" x14ac:dyDescent="0.25">
      <c r="B20" s="208">
        <f>IF(AND($C$6&gt;B21,$C$6&lt;=B22),1,0)</f>
        <v>0</v>
      </c>
      <c r="C20" s="208">
        <f t="shared" ref="C20:L20" si="0">IF(AND($C$6&gt;C21,$C$6&lt;=C22),1,0)</f>
        <v>0</v>
      </c>
      <c r="D20" s="208">
        <f t="shared" si="0"/>
        <v>1</v>
      </c>
      <c r="E20" s="208">
        <f t="shared" si="0"/>
        <v>0</v>
      </c>
      <c r="F20" s="208">
        <f t="shared" si="0"/>
        <v>0</v>
      </c>
      <c r="G20" s="208">
        <f t="shared" si="0"/>
        <v>0</v>
      </c>
      <c r="H20" s="208">
        <f t="shared" si="0"/>
        <v>0</v>
      </c>
      <c r="I20" s="208">
        <f t="shared" si="0"/>
        <v>0</v>
      </c>
      <c r="J20" s="208">
        <f t="shared" si="0"/>
        <v>0</v>
      </c>
      <c r="K20" s="208">
        <f t="shared" si="0"/>
        <v>0</v>
      </c>
      <c r="L20" s="216">
        <f t="shared" si="0"/>
        <v>0</v>
      </c>
    </row>
    <row r="21" spans="1:13" x14ac:dyDescent="0.25">
      <c r="B21" s="40">
        <v>0</v>
      </c>
      <c r="C21" s="40">
        <v>200</v>
      </c>
      <c r="D21" s="40">
        <v>250</v>
      </c>
      <c r="E21" s="40">
        <v>300</v>
      </c>
      <c r="F21" s="40">
        <v>350</v>
      </c>
      <c r="G21" s="40">
        <v>400</v>
      </c>
      <c r="H21" s="40">
        <v>500</v>
      </c>
      <c r="I21" s="40">
        <v>600</v>
      </c>
      <c r="J21" s="40">
        <v>750</v>
      </c>
      <c r="K21" s="40">
        <v>1000</v>
      </c>
      <c r="L21" s="40">
        <v>1250</v>
      </c>
    </row>
    <row r="22" spans="1:13" x14ac:dyDescent="0.25">
      <c r="B22" s="34">
        <v>200</v>
      </c>
      <c r="C22" s="34">
        <v>250</v>
      </c>
      <c r="D22" s="34">
        <v>300</v>
      </c>
      <c r="E22" s="34">
        <v>350</v>
      </c>
      <c r="F22" s="34">
        <v>400</v>
      </c>
      <c r="G22" s="34">
        <v>500</v>
      </c>
      <c r="H22" s="34">
        <v>600</v>
      </c>
      <c r="I22" s="34">
        <v>750</v>
      </c>
      <c r="J22" s="34">
        <v>1000</v>
      </c>
      <c r="K22" s="34">
        <v>1250</v>
      </c>
      <c r="L22" s="34">
        <v>99999</v>
      </c>
    </row>
    <row r="23" spans="1:13" x14ac:dyDescent="0.25">
      <c r="A23" t="s">
        <v>202</v>
      </c>
      <c r="B23" s="219">
        <v>60</v>
      </c>
      <c r="C23" s="219">
        <v>65</v>
      </c>
      <c r="D23" s="219">
        <v>70</v>
      </c>
      <c r="E23" s="219">
        <v>75</v>
      </c>
      <c r="F23" s="219">
        <v>80</v>
      </c>
      <c r="G23" s="219">
        <v>85</v>
      </c>
      <c r="H23" s="219">
        <v>90</v>
      </c>
      <c r="I23" s="219">
        <v>95</v>
      </c>
      <c r="J23" s="219">
        <v>100</v>
      </c>
      <c r="K23" s="219">
        <v>105</v>
      </c>
      <c r="L23" s="219">
        <v>110</v>
      </c>
      <c r="M23" s="216">
        <f>HLOOKUP(1,B20:L24,4,FALSE)</f>
        <v>70</v>
      </c>
    </row>
    <row r="24" spans="1:13" x14ac:dyDescent="0.25">
      <c r="A24" t="s">
        <v>203</v>
      </c>
      <c r="B24" s="283" t="s">
        <v>204</v>
      </c>
      <c r="C24" s="219">
        <v>40</v>
      </c>
      <c r="D24" s="219">
        <v>40</v>
      </c>
      <c r="E24" s="219">
        <v>40</v>
      </c>
      <c r="F24" s="219">
        <v>40</v>
      </c>
      <c r="G24" s="219">
        <v>40</v>
      </c>
      <c r="H24" s="219">
        <v>40</v>
      </c>
      <c r="I24" s="219">
        <v>40</v>
      </c>
      <c r="J24" s="219">
        <v>50</v>
      </c>
      <c r="K24" s="219">
        <v>50</v>
      </c>
      <c r="L24" s="219">
        <v>60</v>
      </c>
      <c r="M24" s="13">
        <f>HLOOKUP(1,B20:L24,5,FALSE)</f>
        <v>40</v>
      </c>
    </row>
    <row r="25" spans="1:13" x14ac:dyDescent="0.25">
      <c r="C25" s="2"/>
    </row>
    <row r="26" spans="1:13" x14ac:dyDescent="0.25">
      <c r="B26" s="215" t="s">
        <v>208</v>
      </c>
      <c r="C26" s="2"/>
    </row>
    <row r="27" spans="1:13" x14ac:dyDescent="0.25">
      <c r="B27" s="291"/>
      <c r="C27" s="1283" t="s">
        <v>206</v>
      </c>
      <c r="D27" s="1284"/>
      <c r="E27" s="105" t="s">
        <v>207</v>
      </c>
    </row>
    <row r="28" spans="1:13" x14ac:dyDescent="0.25">
      <c r="B28" s="156">
        <f>IF(AND($C$6&gt;C28,$C$6&lt;=D28),1,0)</f>
        <v>1</v>
      </c>
      <c r="C28" s="27">
        <v>0</v>
      </c>
      <c r="D28" s="288">
        <v>400</v>
      </c>
      <c r="E28" s="40">
        <v>37</v>
      </c>
    </row>
    <row r="29" spans="1:13" x14ac:dyDescent="0.25">
      <c r="B29" s="120">
        <f t="shared" ref="B29:B39" si="1">IF(AND($C$6&gt;C29,$C$6&lt;=D29),1,0)</f>
        <v>0</v>
      </c>
      <c r="C29" s="22">
        <v>400</v>
      </c>
      <c r="D29" s="261">
        <v>450</v>
      </c>
      <c r="E29" s="28">
        <v>40</v>
      </c>
    </row>
    <row r="30" spans="1:13" x14ac:dyDescent="0.25">
      <c r="B30" s="120">
        <f t="shared" si="1"/>
        <v>0</v>
      </c>
      <c r="C30" s="22">
        <v>450</v>
      </c>
      <c r="D30" s="261">
        <v>500</v>
      </c>
      <c r="E30" s="28">
        <v>43</v>
      </c>
    </row>
    <row r="31" spans="1:13" x14ac:dyDescent="0.25">
      <c r="B31" s="120">
        <f t="shared" si="1"/>
        <v>0</v>
      </c>
      <c r="C31" s="22">
        <v>500</v>
      </c>
      <c r="D31" s="261">
        <v>550</v>
      </c>
      <c r="E31" s="28">
        <v>47</v>
      </c>
    </row>
    <row r="32" spans="1:13" x14ac:dyDescent="0.25">
      <c r="B32" s="120">
        <f t="shared" si="1"/>
        <v>0</v>
      </c>
      <c r="C32" s="22">
        <v>550</v>
      </c>
      <c r="D32" s="261">
        <v>600</v>
      </c>
      <c r="E32" s="28">
        <v>50</v>
      </c>
    </row>
    <row r="33" spans="1:52" x14ac:dyDescent="0.25">
      <c r="B33" s="120">
        <f t="shared" si="1"/>
        <v>0</v>
      </c>
      <c r="C33" s="22">
        <v>600</v>
      </c>
      <c r="D33" s="261">
        <v>650</v>
      </c>
      <c r="E33" s="28">
        <v>54</v>
      </c>
    </row>
    <row r="34" spans="1:52" x14ac:dyDescent="0.25">
      <c r="B34" s="120">
        <f t="shared" si="1"/>
        <v>0</v>
      </c>
      <c r="C34" s="22">
        <v>650</v>
      </c>
      <c r="D34" s="261">
        <v>700</v>
      </c>
      <c r="E34" s="28">
        <v>57</v>
      </c>
    </row>
    <row r="35" spans="1:52" x14ac:dyDescent="0.25">
      <c r="B35" s="120">
        <f t="shared" si="1"/>
        <v>0</v>
      </c>
      <c r="C35" s="22">
        <v>700</v>
      </c>
      <c r="D35" s="261">
        <v>850</v>
      </c>
      <c r="E35" s="28">
        <v>60</v>
      </c>
    </row>
    <row r="36" spans="1:52" x14ac:dyDescent="0.25">
      <c r="B36" s="120">
        <f t="shared" si="1"/>
        <v>0</v>
      </c>
      <c r="C36" s="22">
        <v>850</v>
      </c>
      <c r="D36" s="261">
        <v>1000</v>
      </c>
      <c r="E36" s="28">
        <v>70</v>
      </c>
    </row>
    <row r="37" spans="1:52" x14ac:dyDescent="0.25">
      <c r="B37" s="120">
        <f t="shared" si="1"/>
        <v>0</v>
      </c>
      <c r="C37" s="22">
        <v>1000</v>
      </c>
      <c r="D37" s="261">
        <v>1200</v>
      </c>
      <c r="E37" s="28">
        <v>80</v>
      </c>
    </row>
    <row r="38" spans="1:52" x14ac:dyDescent="0.25">
      <c r="B38" s="120">
        <f t="shared" si="1"/>
        <v>0</v>
      </c>
      <c r="C38" s="22">
        <v>1200</v>
      </c>
      <c r="D38" s="261">
        <v>2000</v>
      </c>
      <c r="E38" s="28">
        <v>95</v>
      </c>
    </row>
    <row r="39" spans="1:52" x14ac:dyDescent="0.25">
      <c r="B39" s="202">
        <f t="shared" si="1"/>
        <v>0</v>
      </c>
      <c r="C39" s="32">
        <v>2000</v>
      </c>
      <c r="D39" s="229">
        <v>9999</v>
      </c>
      <c r="E39" s="34">
        <v>110</v>
      </c>
    </row>
    <row r="40" spans="1:52" x14ac:dyDescent="0.25">
      <c r="B40" s="77"/>
      <c r="C40" s="2"/>
      <c r="D40" s="77"/>
    </row>
    <row r="41" spans="1:52" x14ac:dyDescent="0.25">
      <c r="B41" s="289" t="s">
        <v>106</v>
      </c>
      <c r="C41" s="23"/>
      <c r="D41" s="290"/>
      <c r="E41" s="216">
        <f>VLOOKUP(1,B28:E39,4,FALSE)</f>
        <v>37</v>
      </c>
    </row>
    <row r="42" spans="1:52" x14ac:dyDescent="0.25">
      <c r="C42" s="2"/>
    </row>
    <row r="43" spans="1:52" x14ac:dyDescent="0.25">
      <c r="C43" s="2"/>
    </row>
    <row r="44" spans="1:52" x14ac:dyDescent="0.25">
      <c r="A44" s="213"/>
      <c r="B44" s="57"/>
      <c r="C44" s="2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23"/>
      <c r="Z44" s="43"/>
      <c r="AA44" s="43"/>
      <c r="AB44" s="43"/>
      <c r="AC44" s="43"/>
      <c r="AD44" s="43"/>
      <c r="AE44" s="43"/>
      <c r="AF44" s="44"/>
      <c r="AG44" s="1285" t="s">
        <v>159</v>
      </c>
      <c r="AH44" s="1286"/>
      <c r="AI44" s="1286"/>
      <c r="AJ44" s="1286"/>
      <c r="AK44" s="1286"/>
      <c r="AL44" s="1286"/>
      <c r="AM44" s="1286"/>
      <c r="AN44" s="217"/>
      <c r="AO44" s="1285" t="s">
        <v>159</v>
      </c>
      <c r="AP44" s="1286"/>
      <c r="AQ44" s="472"/>
      <c r="AR44" s="472"/>
      <c r="AS44" s="472"/>
      <c r="AT44" s="472"/>
      <c r="AU44" s="950"/>
      <c r="AV44" s="404"/>
      <c r="AW44" s="404"/>
      <c r="AX44" s="404"/>
      <c r="AY44" s="944"/>
      <c r="AZ44" s="944"/>
    </row>
    <row r="45" spans="1:52" s="2" customFormat="1" x14ac:dyDescent="0.25">
      <c r="A45" s="24"/>
      <c r="B45" s="58" t="s">
        <v>78</v>
      </c>
      <c r="C45" s="23">
        <v>3</v>
      </c>
      <c r="D45" s="23">
        <v>4</v>
      </c>
      <c r="E45" s="23">
        <v>5</v>
      </c>
      <c r="F45" s="23">
        <v>6</v>
      </c>
      <c r="G45" s="23">
        <v>7</v>
      </c>
      <c r="H45" s="23">
        <v>8</v>
      </c>
      <c r="I45" s="23">
        <v>9</v>
      </c>
      <c r="J45" s="23">
        <v>10</v>
      </c>
      <c r="K45" s="23">
        <v>11</v>
      </c>
      <c r="L45" s="23">
        <v>12</v>
      </c>
      <c r="M45" s="23">
        <v>13</v>
      </c>
      <c r="N45" s="23">
        <v>14</v>
      </c>
      <c r="O45" s="23">
        <v>15</v>
      </c>
      <c r="P45" s="23">
        <v>16</v>
      </c>
      <c r="Q45" s="23">
        <v>17</v>
      </c>
      <c r="R45" s="23">
        <v>18</v>
      </c>
      <c r="S45" s="23">
        <v>19</v>
      </c>
      <c r="T45" s="4">
        <v>20</v>
      </c>
      <c r="U45" s="4">
        <v>21</v>
      </c>
      <c r="V45" s="4">
        <v>22</v>
      </c>
      <c r="W45" s="4">
        <v>23</v>
      </c>
      <c r="X45" s="4">
        <v>24</v>
      </c>
      <c r="Y45" s="23">
        <v>25</v>
      </c>
      <c r="Z45" s="23">
        <v>26</v>
      </c>
      <c r="AA45" s="23">
        <v>27</v>
      </c>
      <c r="AB45" s="23">
        <v>28</v>
      </c>
      <c r="AC45" s="23">
        <v>29</v>
      </c>
      <c r="AD45" s="23">
        <v>30</v>
      </c>
      <c r="AE45" s="23">
        <v>31</v>
      </c>
      <c r="AF45" s="23">
        <v>32</v>
      </c>
      <c r="AG45" s="4">
        <v>33</v>
      </c>
      <c r="AH45" s="4">
        <v>34</v>
      </c>
      <c r="AI45" s="23">
        <v>35</v>
      </c>
      <c r="AJ45" s="23">
        <v>36</v>
      </c>
      <c r="AK45" s="23">
        <v>37</v>
      </c>
      <c r="AL45" s="23">
        <v>38</v>
      </c>
      <c r="AM45" s="23">
        <v>39</v>
      </c>
      <c r="AN45" s="2">
        <v>40</v>
      </c>
      <c r="AO45" s="2">
        <v>41</v>
      </c>
      <c r="AP45" s="2">
        <v>42</v>
      </c>
      <c r="AQ45" s="2">
        <v>43</v>
      </c>
      <c r="AR45" s="2">
        <v>44</v>
      </c>
      <c r="AS45" s="2">
        <v>45</v>
      </c>
      <c r="AT45" s="2">
        <v>46</v>
      </c>
      <c r="AU45" s="2">
        <v>47</v>
      </c>
      <c r="AV45" s="442">
        <v>48</v>
      </c>
      <c r="AW45" s="951">
        <v>49</v>
      </c>
      <c r="AX45" s="951">
        <v>50</v>
      </c>
      <c r="AY45" s="951">
        <v>51</v>
      </c>
      <c r="AZ45" s="951">
        <v>52</v>
      </c>
    </row>
    <row r="46" spans="1:52" x14ac:dyDescent="0.25">
      <c r="A46" s="17"/>
      <c r="B46" s="42"/>
      <c r="C46" s="24">
        <f>C6</f>
        <v>300</v>
      </c>
      <c r="D46" s="23">
        <f>C7</f>
        <v>250</v>
      </c>
      <c r="E46" s="23">
        <f>C8</f>
        <v>100</v>
      </c>
      <c r="F46" s="23">
        <f>C13</f>
        <v>3</v>
      </c>
      <c r="G46" s="23"/>
      <c r="H46" s="23"/>
      <c r="I46" s="23">
        <f>C12</f>
        <v>2</v>
      </c>
      <c r="J46" s="38"/>
      <c r="K46" s="24">
        <f>C6</f>
        <v>300</v>
      </c>
      <c r="L46" s="23">
        <f>C7</f>
        <v>250</v>
      </c>
      <c r="M46" s="23">
        <f>C8</f>
        <v>100</v>
      </c>
      <c r="N46" s="23">
        <f>C13</f>
        <v>3</v>
      </c>
      <c r="O46" s="23"/>
      <c r="P46" s="23"/>
      <c r="Q46" s="23">
        <f>C12</f>
        <v>2</v>
      </c>
      <c r="R46" s="38"/>
      <c r="S46" s="24"/>
      <c r="T46" s="208">
        <f>VLOOKUP(1,50:70,T45,FALSE)</f>
        <v>1</v>
      </c>
      <c r="U46" s="23">
        <f>VLOOKUP(1,50:70,U45,FALSE)</f>
        <v>1</v>
      </c>
      <c r="V46" s="23">
        <f>VLOOKUP(1,50:70,V45,FALSE)</f>
        <v>0</v>
      </c>
      <c r="W46" s="23">
        <f>VLOOKUP(1,50:70,W45,FALSE)</f>
        <v>0</v>
      </c>
      <c r="X46" s="38">
        <f>VLOOKUP(1,50:70,X45,FALSE)</f>
        <v>0</v>
      </c>
      <c r="Y46" s="43"/>
      <c r="Z46" s="38"/>
      <c r="AA46" s="38">
        <f t="shared" ref="AA46:AQ46" si="2">VLOOKUP(1,50:70,AA45,FALSE)</f>
        <v>1</v>
      </c>
      <c r="AB46" s="38">
        <f t="shared" si="2"/>
        <v>1</v>
      </c>
      <c r="AC46" s="24">
        <f t="shared" si="2"/>
        <v>0</v>
      </c>
      <c r="AD46" s="24">
        <f t="shared" si="2"/>
        <v>127</v>
      </c>
      <c r="AE46" s="19">
        <f t="shared" si="2"/>
        <v>127</v>
      </c>
      <c r="AF46" s="18">
        <f t="shared" si="2"/>
        <v>107</v>
      </c>
      <c r="AG46" s="208">
        <f t="shared" si="2"/>
        <v>100</v>
      </c>
      <c r="AH46" s="38">
        <f t="shared" si="2"/>
        <v>2000</v>
      </c>
      <c r="AI46" s="19">
        <f t="shared" si="2"/>
        <v>70</v>
      </c>
      <c r="AJ46" s="19">
        <f t="shared" si="2"/>
        <v>1000</v>
      </c>
      <c r="AK46" s="18">
        <f t="shared" si="2"/>
        <v>37</v>
      </c>
      <c r="AL46" s="20">
        <f t="shared" si="2"/>
        <v>1200</v>
      </c>
      <c r="AM46" s="208">
        <f t="shared" si="2"/>
        <v>1</v>
      </c>
      <c r="AN46" s="208">
        <f t="shared" si="2"/>
        <v>4</v>
      </c>
      <c r="AO46" s="208">
        <f t="shared" si="2"/>
        <v>0</v>
      </c>
      <c r="AP46" s="208">
        <f t="shared" si="2"/>
        <v>0</v>
      </c>
      <c r="AQ46" s="208">
        <f t="shared" si="2"/>
        <v>1</v>
      </c>
      <c r="AR46" s="208">
        <f t="shared" ref="AR46:AS46" si="3">VLOOKUP(1,50:70,AR45,FALSE)</f>
        <v>1</v>
      </c>
      <c r="AS46" s="208">
        <f t="shared" si="3"/>
        <v>1</v>
      </c>
      <c r="AT46" s="208">
        <f t="shared" ref="AT46:AU46" si="4">VLOOKUP(1,50:70,AT45,FALSE)</f>
        <v>0</v>
      </c>
      <c r="AU46" s="1006">
        <f t="shared" si="4"/>
        <v>0</v>
      </c>
      <c r="AV46" s="951">
        <f>VLOOKUP(1,50:70,AV45,FALSE)</f>
        <v>1</v>
      </c>
      <c r="AW46" s="951" t="str">
        <f>VLOOKUP(1,50:70,AW45,FALSE)</f>
        <v>0,2</v>
      </c>
      <c r="AX46" s="951">
        <f>VLOOKUP(1,50:70,AX45,FALSE)</f>
        <v>1</v>
      </c>
      <c r="AY46" s="1029">
        <f>VLOOKUP(1,50:70,AY45,FALSE)</f>
        <v>0.9</v>
      </c>
      <c r="AZ46" s="1098">
        <f>VLOOKUP(1,50:70,AZ45,FALSE)</f>
        <v>1</v>
      </c>
    </row>
    <row r="47" spans="1:52" x14ac:dyDescent="0.25">
      <c r="A47" s="17"/>
      <c r="B47" s="39"/>
      <c r="C47" s="16" t="s">
        <v>23</v>
      </c>
      <c r="D47" s="43"/>
      <c r="E47" s="43"/>
      <c r="F47" s="43"/>
      <c r="G47" s="43"/>
      <c r="H47" s="43"/>
      <c r="I47" s="43"/>
      <c r="J47" s="44"/>
      <c r="K47" s="16" t="s">
        <v>24</v>
      </c>
      <c r="L47" s="43"/>
      <c r="M47" s="43"/>
      <c r="N47" s="43"/>
      <c r="O47" s="43"/>
      <c r="P47" s="43"/>
      <c r="Q47" s="43"/>
      <c r="R47" s="44"/>
      <c r="S47" s="24" t="s">
        <v>48</v>
      </c>
      <c r="T47" s="6" t="s">
        <v>53</v>
      </c>
      <c r="X47" s="7"/>
      <c r="Y47" s="43"/>
      <c r="Z47" s="38"/>
      <c r="AA47" s="13" t="s">
        <v>68</v>
      </c>
      <c r="AB47" s="13" t="s">
        <v>72</v>
      </c>
      <c r="AC47" s="51" t="s">
        <v>74</v>
      </c>
      <c r="AD47" s="1290" t="s">
        <v>117</v>
      </c>
      <c r="AE47" s="1291"/>
      <c r="AF47" s="21" t="s">
        <v>116</v>
      </c>
      <c r="AG47" s="18" t="s">
        <v>9</v>
      </c>
      <c r="AH47" s="10"/>
      <c r="AI47" s="16" t="s">
        <v>18</v>
      </c>
      <c r="AJ47" s="44"/>
      <c r="AK47" s="16" t="s">
        <v>19</v>
      </c>
      <c r="AL47" s="44"/>
      <c r="AM47" s="18" t="s">
        <v>154</v>
      </c>
      <c r="AN47" s="217" t="s">
        <v>165</v>
      </c>
      <c r="AO47" s="473" t="s">
        <v>983</v>
      </c>
      <c r="AP47" s="213" t="s">
        <v>530</v>
      </c>
      <c r="AQ47" s="473" t="s">
        <v>575</v>
      </c>
      <c r="AR47" s="473" t="s">
        <v>583</v>
      </c>
      <c r="AS47" s="473" t="s">
        <v>695</v>
      </c>
      <c r="AT47" s="473" t="s">
        <v>755</v>
      </c>
      <c r="AU47" s="1006" t="s">
        <v>871</v>
      </c>
      <c r="AV47" s="959"/>
      <c r="AW47" s="959"/>
      <c r="AX47" s="13" t="s">
        <v>1011</v>
      </c>
      <c r="AY47" s="52"/>
      <c r="AZ47" s="52"/>
    </row>
    <row r="48" spans="1:52" x14ac:dyDescent="0.25">
      <c r="A48" s="51"/>
      <c r="B48" s="35" t="s">
        <v>2</v>
      </c>
      <c r="C48" s="3" t="s">
        <v>9</v>
      </c>
      <c r="D48" s="4" t="s">
        <v>18</v>
      </c>
      <c r="E48" s="4" t="s">
        <v>19</v>
      </c>
      <c r="F48" s="4" t="s">
        <v>21</v>
      </c>
      <c r="G48" s="4" t="s">
        <v>22</v>
      </c>
      <c r="H48" s="4" t="s">
        <v>55</v>
      </c>
      <c r="I48" s="4" t="s">
        <v>20</v>
      </c>
      <c r="J48" s="11" t="s">
        <v>57</v>
      </c>
      <c r="K48" s="3" t="s">
        <v>9</v>
      </c>
      <c r="L48" s="4" t="s">
        <v>18</v>
      </c>
      <c r="M48" s="4" t="s">
        <v>19</v>
      </c>
      <c r="N48" s="4" t="s">
        <v>21</v>
      </c>
      <c r="O48" s="4" t="s">
        <v>22</v>
      </c>
      <c r="P48" s="4" t="s">
        <v>55</v>
      </c>
      <c r="Q48" s="4" t="s">
        <v>20</v>
      </c>
      <c r="R48" s="11" t="s">
        <v>58</v>
      </c>
      <c r="S48" s="11"/>
      <c r="T48" s="3" t="s">
        <v>50</v>
      </c>
      <c r="U48" s="4" t="s">
        <v>51</v>
      </c>
      <c r="V48" s="4" t="s">
        <v>52</v>
      </c>
      <c r="W48" s="4" t="s">
        <v>54</v>
      </c>
      <c r="X48" s="5" t="s">
        <v>67</v>
      </c>
      <c r="Y48" s="3" t="s">
        <v>59</v>
      </c>
      <c r="Z48" s="5" t="s">
        <v>62</v>
      </c>
      <c r="AA48" s="11" t="s">
        <v>69</v>
      </c>
      <c r="AB48" s="3" t="s">
        <v>69</v>
      </c>
      <c r="AC48" s="11" t="s">
        <v>69</v>
      </c>
      <c r="AD48" s="11" t="s">
        <v>75</v>
      </c>
      <c r="AE48" s="3" t="s">
        <v>76</v>
      </c>
      <c r="AF48" s="12"/>
      <c r="AG48" s="3" t="s">
        <v>113</v>
      </c>
      <c r="AH48" s="11" t="s">
        <v>112</v>
      </c>
      <c r="AI48" s="3" t="s">
        <v>111</v>
      </c>
      <c r="AJ48" s="11" t="s">
        <v>110</v>
      </c>
      <c r="AK48" s="4" t="s">
        <v>149</v>
      </c>
      <c r="AL48" s="11" t="s">
        <v>110</v>
      </c>
      <c r="AM48" s="3" t="s">
        <v>155</v>
      </c>
      <c r="AN48" s="12" t="s">
        <v>66</v>
      </c>
      <c r="AO48" s="41"/>
      <c r="AP48" s="6"/>
      <c r="AQ48" s="12" t="s">
        <v>187</v>
      </c>
      <c r="AR48" s="12" t="s">
        <v>178</v>
      </c>
      <c r="AS48" s="12" t="s">
        <v>51</v>
      </c>
      <c r="AT48" s="12" t="s">
        <v>50</v>
      </c>
      <c r="AU48" s="26" t="s">
        <v>2</v>
      </c>
      <c r="AV48" s="404" t="s">
        <v>996</v>
      </c>
      <c r="AW48" s="12" t="s">
        <v>1003</v>
      </c>
      <c r="AX48" s="41"/>
      <c r="AY48" s="1062" t="s">
        <v>1046</v>
      </c>
      <c r="AZ48" s="41" t="s">
        <v>1060</v>
      </c>
    </row>
    <row r="49" spans="1:56" x14ac:dyDescent="0.25">
      <c r="A49" s="41"/>
      <c r="B49" s="36"/>
      <c r="C49" s="6"/>
      <c r="J49" s="41"/>
      <c r="K49" s="6"/>
      <c r="R49" s="41"/>
      <c r="S49" s="12"/>
      <c r="T49" s="6"/>
      <c r="X49" s="7"/>
      <c r="Y49" s="26"/>
      <c r="Z49" s="25"/>
      <c r="AA49" s="41"/>
      <c r="AB49" s="6"/>
      <c r="AC49" s="41"/>
      <c r="AD49" s="41"/>
      <c r="AE49" s="6"/>
      <c r="AF49" s="12"/>
      <c r="AG49" s="6"/>
      <c r="AH49" s="41"/>
      <c r="AI49" s="6"/>
      <c r="AJ49" s="41"/>
      <c r="AL49" s="41"/>
      <c r="AM49" s="6"/>
      <c r="AN49" s="41"/>
      <c r="AO49" s="41"/>
      <c r="AP49" s="6"/>
      <c r="AQ49" s="41"/>
      <c r="AR49" s="41"/>
      <c r="AS49" s="41"/>
      <c r="AT49" s="41"/>
      <c r="AU49" s="6"/>
      <c r="AV49" s="41"/>
      <c r="AW49" s="41"/>
      <c r="AX49" s="41"/>
      <c r="AY49" s="41"/>
      <c r="AZ49" s="41"/>
    </row>
    <row r="50" spans="1:56" x14ac:dyDescent="0.25">
      <c r="A50" s="12" t="str">
        <f>IF($C$2=B50,1," ")</f>
        <v xml:space="preserve"> </v>
      </c>
      <c r="B50" s="36" t="s">
        <v>12</v>
      </c>
      <c r="C50" s="29">
        <v>1</v>
      </c>
      <c r="D50" s="22"/>
      <c r="E50" s="22"/>
      <c r="F50" s="22"/>
      <c r="G50" s="22"/>
      <c r="H50" s="45"/>
      <c r="I50" s="22"/>
      <c r="J50" s="12">
        <f>(C50*$C$46)+(D50*$D$46)+(E50*$E$46)+(F50*$F$46)+(I50*$I$46)+(G50*H50)</f>
        <v>300</v>
      </c>
      <c r="K50" s="29"/>
      <c r="L50" s="22">
        <v>1</v>
      </c>
      <c r="M50" s="22"/>
      <c r="N50" s="22"/>
      <c r="O50" s="22"/>
      <c r="P50" s="45"/>
      <c r="Q50" s="22"/>
      <c r="R50" s="12">
        <f>(K50*$K$46)+(L50*$L$46)+(M50*$M$46)+(N50*$N$46)+(Q50*$Q$46)+(O50*P50)</f>
        <v>250</v>
      </c>
      <c r="S50" s="28">
        <v>1</v>
      </c>
      <c r="T50" s="29">
        <v>1</v>
      </c>
      <c r="U50" s="22">
        <v>1</v>
      </c>
      <c r="V50" s="22"/>
      <c r="W50" s="22">
        <v>1</v>
      </c>
      <c r="X50" s="30">
        <v>1</v>
      </c>
      <c r="Y50" s="47">
        <f t="shared" ref="Y50:Y70" si="5">(J50/1000)*(R50/1000)</f>
        <v>7.4999999999999997E-2</v>
      </c>
      <c r="Z50" s="49">
        <f>Y50*$C$3</f>
        <v>30</v>
      </c>
      <c r="AA50" s="28">
        <v>0</v>
      </c>
      <c r="AB50" s="29">
        <v>0</v>
      </c>
      <c r="AC50" s="28">
        <v>0</v>
      </c>
      <c r="AD50" s="28"/>
      <c r="AE50" s="29"/>
      <c r="AF50" s="12"/>
      <c r="AG50" s="29">
        <v>65</v>
      </c>
      <c r="AH50" s="28">
        <v>2000</v>
      </c>
      <c r="AI50" s="29">
        <v>65</v>
      </c>
      <c r="AJ50" s="28">
        <v>5000</v>
      </c>
      <c r="AK50" s="22">
        <v>0</v>
      </c>
      <c r="AL50" s="28">
        <v>0</v>
      </c>
      <c r="AM50" s="29">
        <v>0</v>
      </c>
      <c r="AN50" s="28">
        <v>4</v>
      </c>
      <c r="AO50" s="28">
        <v>0</v>
      </c>
      <c r="AP50" s="29">
        <v>0</v>
      </c>
      <c r="AQ50" s="28">
        <v>0</v>
      </c>
      <c r="AR50" s="28">
        <v>0</v>
      </c>
      <c r="AS50" s="28">
        <v>0</v>
      </c>
      <c r="AT50" s="28">
        <v>0</v>
      </c>
      <c r="AU50" s="810">
        <v>0</v>
      </c>
      <c r="AV50" s="28">
        <v>1</v>
      </c>
      <c r="AW50" s="1033" t="s">
        <v>1027</v>
      </c>
      <c r="AX50" s="28">
        <v>0</v>
      </c>
      <c r="AY50" s="639">
        <v>0.9</v>
      </c>
      <c r="AZ50" s="557">
        <v>0</v>
      </c>
      <c r="BD50" s="1" t="s">
        <v>12</v>
      </c>
    </row>
    <row r="51" spans="1:56" x14ac:dyDescent="0.25">
      <c r="A51" s="12" t="str">
        <f t="shared" ref="A51:A70" si="6">IF($C$2=B51,1," ")</f>
        <v xml:space="preserve"> </v>
      </c>
      <c r="B51" s="36" t="s">
        <v>13</v>
      </c>
      <c r="C51" s="29"/>
      <c r="D51" s="22">
        <v>0.5</v>
      </c>
      <c r="E51" s="22">
        <v>1</v>
      </c>
      <c r="F51" s="22">
        <v>1</v>
      </c>
      <c r="G51" s="22"/>
      <c r="H51" s="45"/>
      <c r="I51" s="22">
        <v>2</v>
      </c>
      <c r="J51" s="12">
        <f t="shared" ref="J51:J70" si="7">(C51*$C$46)+(D51*$D$46)+(E51*$E$46)+(F51*$F$46)+(I51*$I$46)+(G51*H51)</f>
        <v>232</v>
      </c>
      <c r="K51" s="29">
        <v>2</v>
      </c>
      <c r="L51" s="22">
        <v>2</v>
      </c>
      <c r="M51" s="22"/>
      <c r="N51" s="22"/>
      <c r="O51" s="22"/>
      <c r="P51" s="45"/>
      <c r="Q51" s="22">
        <v>7</v>
      </c>
      <c r="R51" s="12">
        <f t="shared" ref="R51:R70" si="8">(K51*$K$46)+(L51*$L$46)+(M51*$M$46)+(N51*$N$46)+(Q51*$Q$46)+(O51*P51)</f>
        <v>1114</v>
      </c>
      <c r="S51" s="28">
        <v>3</v>
      </c>
      <c r="T51" s="29">
        <v>1</v>
      </c>
      <c r="U51" s="22">
        <v>1</v>
      </c>
      <c r="V51" s="22"/>
      <c r="W51" s="22"/>
      <c r="X51" s="55"/>
      <c r="Y51" s="47">
        <f t="shared" si="5"/>
        <v>0.25844800000000001</v>
      </c>
      <c r="Z51" s="49">
        <f t="shared" ref="Z51:Z70" si="9">Y51*$C$3</f>
        <v>103.3792</v>
      </c>
      <c r="AA51" s="28">
        <v>1</v>
      </c>
      <c r="AB51" s="29">
        <v>1</v>
      </c>
      <c r="AC51" s="28">
        <v>0</v>
      </c>
      <c r="AD51" s="12">
        <f>(0.5*D46)+I46</f>
        <v>127</v>
      </c>
      <c r="AE51" s="26">
        <v>0</v>
      </c>
      <c r="AF51" s="12">
        <f>J51-AD51-AE51</f>
        <v>105</v>
      </c>
      <c r="AG51" s="29">
        <v>100</v>
      </c>
      <c r="AH51" s="28">
        <v>2000</v>
      </c>
      <c r="AI51" s="26">
        <f>M23</f>
        <v>70</v>
      </c>
      <c r="AJ51" s="28">
        <v>1000</v>
      </c>
      <c r="AK51" s="2">
        <f>E41</f>
        <v>37</v>
      </c>
      <c r="AL51" s="28">
        <v>1200</v>
      </c>
      <c r="AM51" s="29">
        <v>1</v>
      </c>
      <c r="AN51" s="28">
        <v>4</v>
      </c>
      <c r="AO51" s="28">
        <v>0</v>
      </c>
      <c r="AP51" s="29">
        <v>0</v>
      </c>
      <c r="AQ51" s="28">
        <v>1</v>
      </c>
      <c r="AR51" s="28">
        <v>1</v>
      </c>
      <c r="AS51" s="28">
        <v>1</v>
      </c>
      <c r="AT51" s="28">
        <v>0</v>
      </c>
      <c r="AU51" s="810">
        <v>0</v>
      </c>
      <c r="AV51" s="28">
        <v>1</v>
      </c>
      <c r="AW51" s="1033" t="s">
        <v>1027</v>
      </c>
      <c r="AX51" s="28">
        <v>1</v>
      </c>
      <c r="AY51" s="639">
        <v>0.9</v>
      </c>
      <c r="AZ51" s="557">
        <v>1</v>
      </c>
      <c r="BD51" s="1" t="s">
        <v>13</v>
      </c>
    </row>
    <row r="52" spans="1:56" x14ac:dyDescent="0.25">
      <c r="A52" s="12">
        <f t="shared" si="6"/>
        <v>1</v>
      </c>
      <c r="B52" s="36" t="s">
        <v>8</v>
      </c>
      <c r="C52" s="29"/>
      <c r="D52" s="22">
        <v>1</v>
      </c>
      <c r="E52" s="22">
        <v>1</v>
      </c>
      <c r="F52" s="22">
        <v>1</v>
      </c>
      <c r="G52" s="22"/>
      <c r="H52" s="45"/>
      <c r="I52" s="22">
        <v>4</v>
      </c>
      <c r="J52" s="12">
        <f t="shared" si="7"/>
        <v>361</v>
      </c>
      <c r="K52" s="29">
        <v>2</v>
      </c>
      <c r="L52" s="22">
        <v>2</v>
      </c>
      <c r="M52" s="22"/>
      <c r="N52" s="22"/>
      <c r="O52" s="22"/>
      <c r="P52" s="45"/>
      <c r="Q52" s="22">
        <v>7</v>
      </c>
      <c r="R52" s="12">
        <f t="shared" si="8"/>
        <v>1114</v>
      </c>
      <c r="S52" s="28">
        <v>3</v>
      </c>
      <c r="T52" s="29">
        <v>1</v>
      </c>
      <c r="U52" s="22">
        <v>1</v>
      </c>
      <c r="V52" s="22"/>
      <c r="W52" s="22"/>
      <c r="X52" s="55"/>
      <c r="Y52" s="47">
        <f t="shared" si="5"/>
        <v>0.40215400000000001</v>
      </c>
      <c r="Z52" s="49">
        <f t="shared" si="9"/>
        <v>160.86160000000001</v>
      </c>
      <c r="AA52" s="28">
        <v>1</v>
      </c>
      <c r="AB52" s="29">
        <v>1</v>
      </c>
      <c r="AC52" s="28">
        <v>0</v>
      </c>
      <c r="AD52" s="12">
        <f>(0.5*D46)+I46</f>
        <v>127</v>
      </c>
      <c r="AE52" s="26">
        <f>(0.5*D46)+I46</f>
        <v>127</v>
      </c>
      <c r="AF52" s="12">
        <f>J52-AD52-AE52</f>
        <v>107</v>
      </c>
      <c r="AG52" s="29">
        <v>100</v>
      </c>
      <c r="AH52" s="28">
        <v>2000</v>
      </c>
      <c r="AI52" s="26">
        <f>M23</f>
        <v>70</v>
      </c>
      <c r="AJ52" s="28">
        <v>1000</v>
      </c>
      <c r="AK52" s="2">
        <f>E41</f>
        <v>37</v>
      </c>
      <c r="AL52" s="28">
        <v>1200</v>
      </c>
      <c r="AM52" s="29">
        <v>1</v>
      </c>
      <c r="AN52" s="28">
        <v>4</v>
      </c>
      <c r="AO52" s="28">
        <v>0</v>
      </c>
      <c r="AP52" s="29">
        <v>0</v>
      </c>
      <c r="AQ52" s="28">
        <v>1</v>
      </c>
      <c r="AR52" s="28">
        <v>1</v>
      </c>
      <c r="AS52" s="28">
        <v>1</v>
      </c>
      <c r="AT52" s="28">
        <v>0</v>
      </c>
      <c r="AU52" s="810">
        <v>0</v>
      </c>
      <c r="AV52" s="28">
        <v>1</v>
      </c>
      <c r="AW52" s="1033" t="s">
        <v>1027</v>
      </c>
      <c r="AX52" s="28">
        <v>1</v>
      </c>
      <c r="AY52" s="639">
        <v>0.9</v>
      </c>
      <c r="AZ52" s="557">
        <v>1</v>
      </c>
      <c r="BD52" s="1" t="s">
        <v>8</v>
      </c>
    </row>
    <row r="53" spans="1:56" x14ac:dyDescent="0.25">
      <c r="A53" s="12" t="str">
        <f t="shared" si="6"/>
        <v xml:space="preserve"> </v>
      </c>
      <c r="B53" s="36" t="s">
        <v>14</v>
      </c>
      <c r="C53" s="29"/>
      <c r="D53" s="22">
        <v>2</v>
      </c>
      <c r="E53" s="22">
        <v>1</v>
      </c>
      <c r="F53" s="22">
        <v>2</v>
      </c>
      <c r="G53" s="22"/>
      <c r="H53" s="45"/>
      <c r="I53" s="22">
        <v>4</v>
      </c>
      <c r="J53" s="12">
        <f t="shared" si="7"/>
        <v>614</v>
      </c>
      <c r="K53" s="29">
        <v>2</v>
      </c>
      <c r="L53" s="22">
        <v>2</v>
      </c>
      <c r="M53" s="22"/>
      <c r="N53" s="22"/>
      <c r="O53" s="22"/>
      <c r="P53" s="45"/>
      <c r="Q53" s="22">
        <v>7</v>
      </c>
      <c r="R53" s="12">
        <f t="shared" si="8"/>
        <v>1114</v>
      </c>
      <c r="S53" s="28">
        <v>3</v>
      </c>
      <c r="T53" s="29">
        <v>1</v>
      </c>
      <c r="U53" s="22">
        <v>1</v>
      </c>
      <c r="V53" s="22"/>
      <c r="W53" s="22"/>
      <c r="X53" s="55"/>
      <c r="Y53" s="47">
        <f t="shared" si="5"/>
        <v>0.68399600000000005</v>
      </c>
      <c r="Z53" s="49">
        <f t="shared" si="9"/>
        <v>273.59840000000003</v>
      </c>
      <c r="AA53" s="28">
        <v>1</v>
      </c>
      <c r="AB53" s="29">
        <v>1</v>
      </c>
      <c r="AC53" s="28">
        <v>0</v>
      </c>
      <c r="AD53" s="12">
        <f>D46+I46</f>
        <v>252</v>
      </c>
      <c r="AE53" s="26">
        <f>D46+I46</f>
        <v>252</v>
      </c>
      <c r="AF53" s="12">
        <f>J53-AD53-AE53</f>
        <v>110</v>
      </c>
      <c r="AG53" s="29">
        <v>100</v>
      </c>
      <c r="AH53" s="28">
        <v>2000</v>
      </c>
      <c r="AI53" s="26">
        <f>M24</f>
        <v>40</v>
      </c>
      <c r="AJ53" s="28">
        <v>1000</v>
      </c>
      <c r="AK53" s="2">
        <f>E41</f>
        <v>37</v>
      </c>
      <c r="AL53" s="28">
        <v>1200</v>
      </c>
      <c r="AM53" s="29">
        <v>1</v>
      </c>
      <c r="AN53" s="28">
        <v>4</v>
      </c>
      <c r="AO53" s="28">
        <v>0</v>
      </c>
      <c r="AP53" s="29">
        <v>1</v>
      </c>
      <c r="AQ53" s="28">
        <v>1</v>
      </c>
      <c r="AR53" s="28">
        <v>1</v>
      </c>
      <c r="AS53" s="28">
        <v>1</v>
      </c>
      <c r="AT53" s="28">
        <v>0</v>
      </c>
      <c r="AU53" s="810">
        <v>0</v>
      </c>
      <c r="AV53" s="28">
        <v>1</v>
      </c>
      <c r="AW53" s="1033" t="s">
        <v>1027</v>
      </c>
      <c r="AX53" s="28">
        <v>1</v>
      </c>
      <c r="AY53" s="639">
        <v>0.9</v>
      </c>
      <c r="AZ53" s="557">
        <v>1</v>
      </c>
      <c r="BD53" s="1" t="s">
        <v>14</v>
      </c>
    </row>
    <row r="54" spans="1:56" x14ac:dyDescent="0.25">
      <c r="A54" s="12" t="str">
        <f t="shared" si="6"/>
        <v xml:space="preserve"> </v>
      </c>
      <c r="B54" s="36" t="s">
        <v>15</v>
      </c>
      <c r="C54" s="29">
        <v>1</v>
      </c>
      <c r="D54" s="22"/>
      <c r="E54" s="22">
        <v>2</v>
      </c>
      <c r="F54" s="22">
        <v>2</v>
      </c>
      <c r="G54" s="22"/>
      <c r="H54" s="45"/>
      <c r="I54" s="22">
        <v>4</v>
      </c>
      <c r="J54" s="12">
        <f t="shared" si="7"/>
        <v>514</v>
      </c>
      <c r="K54" s="29"/>
      <c r="L54" s="22">
        <v>2</v>
      </c>
      <c r="M54" s="22">
        <v>3</v>
      </c>
      <c r="N54" s="22">
        <v>1</v>
      </c>
      <c r="O54" s="22"/>
      <c r="P54" s="45"/>
      <c r="Q54" s="22">
        <v>8</v>
      </c>
      <c r="R54" s="12">
        <f t="shared" si="8"/>
        <v>819</v>
      </c>
      <c r="S54" s="28">
        <v>4</v>
      </c>
      <c r="T54" s="29">
        <v>1</v>
      </c>
      <c r="U54" s="22"/>
      <c r="V54" s="22"/>
      <c r="W54" s="22"/>
      <c r="X54" s="55"/>
      <c r="Y54" s="47">
        <f t="shared" si="5"/>
        <v>0.42096600000000001</v>
      </c>
      <c r="Z54" s="49">
        <f t="shared" si="9"/>
        <v>168.38640000000001</v>
      </c>
      <c r="AA54" s="28">
        <v>0</v>
      </c>
      <c r="AB54" s="29">
        <v>0</v>
      </c>
      <c r="AC54" s="28">
        <v>0</v>
      </c>
      <c r="AD54" s="12">
        <f>E46+I46</f>
        <v>102</v>
      </c>
      <c r="AE54" s="26">
        <f>E46+I46</f>
        <v>102</v>
      </c>
      <c r="AF54" s="12"/>
      <c r="AG54" s="29">
        <v>200</v>
      </c>
      <c r="AH54" s="28">
        <v>2000</v>
      </c>
      <c r="AI54" s="29">
        <v>100</v>
      </c>
      <c r="AJ54" s="28">
        <v>1200</v>
      </c>
      <c r="AK54" s="22">
        <v>40</v>
      </c>
      <c r="AL54" s="28">
        <v>200</v>
      </c>
      <c r="AM54" s="29">
        <v>1</v>
      </c>
      <c r="AN54" s="28">
        <v>4</v>
      </c>
      <c r="AO54" s="28">
        <v>0</v>
      </c>
      <c r="AP54" s="29">
        <v>0</v>
      </c>
      <c r="AQ54" s="28">
        <v>0</v>
      </c>
      <c r="AR54" s="28">
        <v>0</v>
      </c>
      <c r="AS54" s="28">
        <v>0</v>
      </c>
      <c r="AT54" s="28">
        <v>0</v>
      </c>
      <c r="AU54" s="810">
        <v>0</v>
      </c>
      <c r="AV54" s="28">
        <v>1</v>
      </c>
      <c r="AW54" s="1033" t="s">
        <v>1027</v>
      </c>
      <c r="AX54" s="28">
        <v>0</v>
      </c>
      <c r="AY54" s="639">
        <v>0.9</v>
      </c>
      <c r="AZ54" s="557">
        <v>0</v>
      </c>
      <c r="BD54" s="1" t="s">
        <v>15</v>
      </c>
    </row>
    <row r="55" spans="1:56" x14ac:dyDescent="0.25">
      <c r="A55" s="12" t="str">
        <f t="shared" si="6"/>
        <v xml:space="preserve"> </v>
      </c>
      <c r="B55" s="36" t="s">
        <v>49</v>
      </c>
      <c r="C55" s="29">
        <v>1</v>
      </c>
      <c r="D55" s="22"/>
      <c r="E55" s="22">
        <v>2</v>
      </c>
      <c r="F55" s="22">
        <v>2</v>
      </c>
      <c r="G55" s="22"/>
      <c r="H55" s="45"/>
      <c r="I55" s="22">
        <v>4</v>
      </c>
      <c r="J55" s="12">
        <f t="shared" si="7"/>
        <v>514</v>
      </c>
      <c r="K55" s="29"/>
      <c r="L55" s="22">
        <v>2</v>
      </c>
      <c r="M55" s="22">
        <v>3</v>
      </c>
      <c r="N55" s="22">
        <v>1</v>
      </c>
      <c r="O55" s="22"/>
      <c r="P55" s="45"/>
      <c r="Q55" s="22">
        <v>8</v>
      </c>
      <c r="R55" s="12">
        <f t="shared" si="8"/>
        <v>819</v>
      </c>
      <c r="S55" s="28">
        <v>4</v>
      </c>
      <c r="T55" s="29">
        <v>1</v>
      </c>
      <c r="U55" s="22"/>
      <c r="V55" s="22"/>
      <c r="W55" s="22"/>
      <c r="X55" s="55"/>
      <c r="Y55" s="47">
        <f t="shared" si="5"/>
        <v>0.42096600000000001</v>
      </c>
      <c r="Z55" s="49">
        <f t="shared" si="9"/>
        <v>168.38640000000001</v>
      </c>
      <c r="AA55" s="28">
        <v>0</v>
      </c>
      <c r="AB55" s="29">
        <v>0</v>
      </c>
      <c r="AC55" s="28">
        <v>0</v>
      </c>
      <c r="AD55" s="12">
        <f>E46+I46</f>
        <v>102</v>
      </c>
      <c r="AE55" s="26">
        <f>E46+I46</f>
        <v>102</v>
      </c>
      <c r="AF55" s="12"/>
      <c r="AG55" s="29">
        <v>200</v>
      </c>
      <c r="AH55" s="28">
        <v>2000</v>
      </c>
      <c r="AI55" s="29">
        <v>100</v>
      </c>
      <c r="AJ55" s="28">
        <v>1200</v>
      </c>
      <c r="AK55" s="22">
        <v>40</v>
      </c>
      <c r="AL55" s="28">
        <v>200</v>
      </c>
      <c r="AM55" s="29">
        <v>1</v>
      </c>
      <c r="AN55" s="28">
        <v>4</v>
      </c>
      <c r="AO55" s="28">
        <v>0</v>
      </c>
      <c r="AP55" s="29">
        <v>0</v>
      </c>
      <c r="AQ55" s="28">
        <v>0</v>
      </c>
      <c r="AR55" s="28">
        <v>0</v>
      </c>
      <c r="AS55" s="28">
        <v>0</v>
      </c>
      <c r="AT55" s="12">
        <f>C8+C12</f>
        <v>102</v>
      </c>
      <c r="AU55" s="810">
        <v>0.04</v>
      </c>
      <c r="AV55" s="28">
        <v>1</v>
      </c>
      <c r="AW55" s="1033" t="s">
        <v>1004</v>
      </c>
      <c r="AX55" s="28">
        <v>0</v>
      </c>
      <c r="AY55" s="639">
        <v>0.85</v>
      </c>
      <c r="AZ55" s="557">
        <v>0</v>
      </c>
      <c r="BD55" s="1" t="s">
        <v>49</v>
      </c>
    </row>
    <row r="56" spans="1:56" x14ac:dyDescent="0.25">
      <c r="A56" s="12" t="str">
        <f t="shared" si="6"/>
        <v xml:space="preserve"> </v>
      </c>
      <c r="B56" s="36" t="s">
        <v>56</v>
      </c>
      <c r="C56" s="29"/>
      <c r="D56" s="22">
        <v>3</v>
      </c>
      <c r="E56" s="22">
        <v>2</v>
      </c>
      <c r="F56" s="22">
        <v>4</v>
      </c>
      <c r="G56" s="22"/>
      <c r="H56" s="45"/>
      <c r="I56" s="22">
        <v>8</v>
      </c>
      <c r="J56" s="12">
        <f t="shared" si="7"/>
        <v>978</v>
      </c>
      <c r="K56" s="29">
        <v>1</v>
      </c>
      <c r="L56" s="22"/>
      <c r="M56" s="22">
        <v>2</v>
      </c>
      <c r="N56" s="22"/>
      <c r="O56" s="22">
        <v>2</v>
      </c>
      <c r="P56" s="45">
        <v>50</v>
      </c>
      <c r="Q56" s="22">
        <v>8</v>
      </c>
      <c r="R56" s="12">
        <f t="shared" si="8"/>
        <v>616</v>
      </c>
      <c r="S56" s="28">
        <v>4</v>
      </c>
      <c r="T56" s="29">
        <v>1</v>
      </c>
      <c r="U56" s="22"/>
      <c r="V56" s="22"/>
      <c r="W56" s="22"/>
      <c r="X56" s="55"/>
      <c r="Y56" s="47">
        <f t="shared" si="5"/>
        <v>0.60244799999999998</v>
      </c>
      <c r="Z56" s="49">
        <f t="shared" si="9"/>
        <v>240.97919999999999</v>
      </c>
      <c r="AA56" s="28">
        <v>0</v>
      </c>
      <c r="AB56" s="29">
        <v>0</v>
      </c>
      <c r="AC56" s="28">
        <v>1</v>
      </c>
      <c r="AD56" s="28"/>
      <c r="AE56" s="29"/>
      <c r="AF56" s="12"/>
      <c r="AG56" s="29">
        <v>300</v>
      </c>
      <c r="AH56" s="28">
        <v>2000</v>
      </c>
      <c r="AI56" s="29">
        <v>100</v>
      </c>
      <c r="AJ56" s="28">
        <v>500</v>
      </c>
      <c r="AK56" s="22">
        <v>80</v>
      </c>
      <c r="AL56" s="28">
        <v>200</v>
      </c>
      <c r="AM56" s="29">
        <v>1</v>
      </c>
      <c r="AN56" s="28">
        <v>2</v>
      </c>
      <c r="AO56" s="28">
        <v>0</v>
      </c>
      <c r="AP56" s="29">
        <v>0</v>
      </c>
      <c r="AQ56" s="28">
        <v>0</v>
      </c>
      <c r="AR56" s="28">
        <v>0</v>
      </c>
      <c r="AS56" s="28">
        <v>0</v>
      </c>
      <c r="AT56" s="12">
        <f>(P56+C12)</f>
        <v>52</v>
      </c>
      <c r="AU56" s="810">
        <v>0.04</v>
      </c>
      <c r="AV56" s="28">
        <v>1</v>
      </c>
      <c r="AW56" s="1033" t="s">
        <v>1078</v>
      </c>
      <c r="AX56" s="28">
        <v>0</v>
      </c>
      <c r="AY56" s="639">
        <v>0.82</v>
      </c>
      <c r="AZ56" s="557">
        <v>0</v>
      </c>
      <c r="BD56" s="1" t="s">
        <v>56</v>
      </c>
    </row>
    <row r="57" spans="1:56" x14ac:dyDescent="0.25">
      <c r="A57" s="12" t="str">
        <f t="shared" si="6"/>
        <v xml:space="preserve"> </v>
      </c>
      <c r="B57" s="36" t="s">
        <v>16</v>
      </c>
      <c r="C57" s="29">
        <v>1</v>
      </c>
      <c r="D57" s="22"/>
      <c r="E57" s="22">
        <v>4</v>
      </c>
      <c r="F57" s="22">
        <v>12</v>
      </c>
      <c r="G57" s="22"/>
      <c r="H57" s="45"/>
      <c r="I57" s="22">
        <v>12</v>
      </c>
      <c r="J57" s="12">
        <f t="shared" si="7"/>
        <v>760</v>
      </c>
      <c r="K57" s="29"/>
      <c r="L57" s="22">
        <v>2</v>
      </c>
      <c r="M57" s="22">
        <v>3</v>
      </c>
      <c r="N57" s="22">
        <v>1</v>
      </c>
      <c r="O57" s="22"/>
      <c r="P57" s="45"/>
      <c r="Q57" s="22">
        <v>8</v>
      </c>
      <c r="R57" s="12">
        <f t="shared" si="8"/>
        <v>819</v>
      </c>
      <c r="S57" s="28"/>
      <c r="T57" s="29"/>
      <c r="U57" s="22"/>
      <c r="V57" s="22">
        <v>0</v>
      </c>
      <c r="W57" s="22"/>
      <c r="X57" s="55"/>
      <c r="Y57" s="47">
        <f t="shared" si="5"/>
        <v>0.62243999999999999</v>
      </c>
      <c r="Z57" s="49">
        <f t="shared" si="9"/>
        <v>248.976</v>
      </c>
      <c r="AA57" s="28">
        <v>0</v>
      </c>
      <c r="AB57" s="29">
        <v>0</v>
      </c>
      <c r="AC57" s="28">
        <v>0</v>
      </c>
      <c r="AD57" s="28"/>
      <c r="AE57" s="29"/>
      <c r="AF57" s="12"/>
      <c r="AG57" s="29">
        <v>80</v>
      </c>
      <c r="AH57" s="28">
        <v>1400</v>
      </c>
      <c r="AI57" s="29">
        <v>50</v>
      </c>
      <c r="AJ57" s="28">
        <v>550</v>
      </c>
      <c r="AK57" s="22">
        <v>23</v>
      </c>
      <c r="AL57" s="28">
        <v>200</v>
      </c>
      <c r="AM57" s="29">
        <v>0</v>
      </c>
      <c r="AN57" s="28">
        <v>0</v>
      </c>
      <c r="AO57" s="28">
        <v>1</v>
      </c>
      <c r="AP57" s="29">
        <v>0</v>
      </c>
      <c r="AQ57" s="28">
        <v>0</v>
      </c>
      <c r="AR57" s="28">
        <v>0</v>
      </c>
      <c r="AS57" s="28">
        <v>0</v>
      </c>
      <c r="AT57" s="28">
        <v>0</v>
      </c>
      <c r="AU57" s="810">
        <v>0.02</v>
      </c>
      <c r="AV57" s="28">
        <v>1</v>
      </c>
      <c r="AW57" s="1033" t="s">
        <v>1005</v>
      </c>
      <c r="AX57" s="28">
        <v>0</v>
      </c>
      <c r="AY57" s="639">
        <v>0.9</v>
      </c>
      <c r="AZ57" s="557"/>
      <c r="BD57" s="1" t="s">
        <v>16</v>
      </c>
    </row>
    <row r="58" spans="1:56" x14ac:dyDescent="0.25">
      <c r="A58" s="12" t="str">
        <f t="shared" si="6"/>
        <v xml:space="preserve"> </v>
      </c>
      <c r="B58" s="36" t="s">
        <v>17</v>
      </c>
      <c r="C58" s="29">
        <v>1</v>
      </c>
      <c r="D58" s="22"/>
      <c r="E58" s="22">
        <v>4</v>
      </c>
      <c r="F58" s="22">
        <v>8</v>
      </c>
      <c r="G58" s="22"/>
      <c r="H58" s="45"/>
      <c r="I58" s="22">
        <v>12</v>
      </c>
      <c r="J58" s="12">
        <f t="shared" si="7"/>
        <v>748</v>
      </c>
      <c r="K58" s="29"/>
      <c r="L58" s="22">
        <v>2</v>
      </c>
      <c r="M58" s="22">
        <v>2</v>
      </c>
      <c r="N58" s="22">
        <v>1</v>
      </c>
      <c r="O58" s="22">
        <v>1</v>
      </c>
      <c r="P58" s="45">
        <v>30</v>
      </c>
      <c r="Q58" s="22">
        <v>4</v>
      </c>
      <c r="R58" s="12">
        <f t="shared" si="8"/>
        <v>741</v>
      </c>
      <c r="S58" s="28"/>
      <c r="T58" s="29"/>
      <c r="U58" s="22"/>
      <c r="V58" s="22">
        <v>0</v>
      </c>
      <c r="W58" s="22"/>
      <c r="X58" s="55"/>
      <c r="Y58" s="47">
        <f t="shared" si="5"/>
        <v>0.55426799999999998</v>
      </c>
      <c r="Z58" s="49">
        <f t="shared" si="9"/>
        <v>221.7072</v>
      </c>
      <c r="AA58" s="28">
        <v>0</v>
      </c>
      <c r="AB58" s="29">
        <v>0</v>
      </c>
      <c r="AC58" s="28">
        <v>0</v>
      </c>
      <c r="AD58" s="28"/>
      <c r="AE58" s="29"/>
      <c r="AF58" s="12"/>
      <c r="AG58" s="29">
        <v>80</v>
      </c>
      <c r="AH58" s="28">
        <v>1400</v>
      </c>
      <c r="AI58" s="29">
        <v>50</v>
      </c>
      <c r="AJ58" s="28">
        <v>550</v>
      </c>
      <c r="AK58" s="22">
        <v>23</v>
      </c>
      <c r="AL58" s="28">
        <v>200</v>
      </c>
      <c r="AM58" s="29">
        <v>0</v>
      </c>
      <c r="AN58" s="28">
        <v>0</v>
      </c>
      <c r="AO58" s="28">
        <v>1</v>
      </c>
      <c r="AP58" s="29">
        <v>0</v>
      </c>
      <c r="AQ58" s="28">
        <v>0</v>
      </c>
      <c r="AR58" s="28">
        <v>0</v>
      </c>
      <c r="AS58" s="28">
        <v>0</v>
      </c>
      <c r="AT58" s="28">
        <v>0</v>
      </c>
      <c r="AU58" s="810">
        <v>0.02</v>
      </c>
      <c r="AV58" s="28">
        <v>1</v>
      </c>
      <c r="AW58" s="1033" t="s">
        <v>1005</v>
      </c>
      <c r="AX58" s="28">
        <v>0</v>
      </c>
      <c r="AY58" s="639">
        <v>0.9</v>
      </c>
      <c r="AZ58" s="557"/>
      <c r="BD58" s="1" t="s">
        <v>17</v>
      </c>
    </row>
    <row r="59" spans="1:56" x14ac:dyDescent="0.25">
      <c r="A59" s="12" t="str">
        <f t="shared" si="6"/>
        <v xml:space="preserve"> </v>
      </c>
      <c r="B59" s="36" t="s">
        <v>60</v>
      </c>
      <c r="C59" s="29">
        <v>1</v>
      </c>
      <c r="D59" s="22"/>
      <c r="E59" s="22">
        <v>4</v>
      </c>
      <c r="F59" s="22">
        <v>8</v>
      </c>
      <c r="G59" s="22"/>
      <c r="H59" s="45"/>
      <c r="I59" s="22">
        <v>12</v>
      </c>
      <c r="J59" s="12">
        <f t="shared" si="7"/>
        <v>748</v>
      </c>
      <c r="K59" s="29"/>
      <c r="L59" s="22">
        <v>1</v>
      </c>
      <c r="M59" s="22">
        <v>2</v>
      </c>
      <c r="N59" s="22"/>
      <c r="O59" s="22"/>
      <c r="P59" s="45"/>
      <c r="Q59" s="22">
        <v>4</v>
      </c>
      <c r="R59" s="12">
        <f t="shared" si="8"/>
        <v>458</v>
      </c>
      <c r="S59" s="28"/>
      <c r="T59" s="29"/>
      <c r="U59" s="22"/>
      <c r="V59" s="22">
        <v>0</v>
      </c>
      <c r="W59" s="22"/>
      <c r="X59" s="55"/>
      <c r="Y59" s="47">
        <f t="shared" si="5"/>
        <v>0.342584</v>
      </c>
      <c r="Z59" s="49">
        <f t="shared" si="9"/>
        <v>137.03360000000001</v>
      </c>
      <c r="AA59" s="28">
        <v>0</v>
      </c>
      <c r="AB59" s="29">
        <v>0</v>
      </c>
      <c r="AC59" s="28">
        <v>0</v>
      </c>
      <c r="AD59" s="28"/>
      <c r="AE59" s="29"/>
      <c r="AF59" s="12"/>
      <c r="AG59" s="29">
        <v>100</v>
      </c>
      <c r="AH59" s="28">
        <v>1400</v>
      </c>
      <c r="AI59" s="29">
        <v>50</v>
      </c>
      <c r="AJ59" s="28">
        <v>800</v>
      </c>
      <c r="AK59" s="22">
        <v>30</v>
      </c>
      <c r="AL59" s="28">
        <v>200</v>
      </c>
      <c r="AM59" s="29">
        <v>0</v>
      </c>
      <c r="AN59" s="28">
        <v>0</v>
      </c>
      <c r="AO59" s="28">
        <v>1</v>
      </c>
      <c r="AP59" s="29">
        <v>0</v>
      </c>
      <c r="AQ59" s="28">
        <v>0</v>
      </c>
      <c r="AR59" s="28">
        <v>0</v>
      </c>
      <c r="AS59" s="28">
        <v>0</v>
      </c>
      <c r="AT59" s="28">
        <v>0</v>
      </c>
      <c r="AU59" s="810">
        <v>0.02</v>
      </c>
      <c r="AV59" s="28">
        <v>1</v>
      </c>
      <c r="AW59" s="1033" t="s">
        <v>1005</v>
      </c>
      <c r="AX59" s="28">
        <v>0</v>
      </c>
      <c r="AY59" s="639">
        <v>0.9</v>
      </c>
      <c r="AZ59" s="557"/>
      <c r="BD59" s="1" t="s">
        <v>60</v>
      </c>
    </row>
    <row r="60" spans="1:56" x14ac:dyDescent="0.25">
      <c r="A60" s="12" t="str">
        <f t="shared" si="6"/>
        <v xml:space="preserve"> </v>
      </c>
      <c r="B60" s="36" t="s">
        <v>71</v>
      </c>
      <c r="C60" s="29"/>
      <c r="D60" s="22">
        <v>1</v>
      </c>
      <c r="E60" s="22">
        <v>2</v>
      </c>
      <c r="F60" s="22">
        <v>2</v>
      </c>
      <c r="G60" s="22"/>
      <c r="H60" s="45"/>
      <c r="I60" s="22">
        <v>4</v>
      </c>
      <c r="J60" s="12">
        <f t="shared" si="7"/>
        <v>464</v>
      </c>
      <c r="K60" s="29">
        <v>1</v>
      </c>
      <c r="L60" s="22"/>
      <c r="M60" s="22">
        <v>2</v>
      </c>
      <c r="N60" s="22"/>
      <c r="O60" s="22"/>
      <c r="P60" s="45"/>
      <c r="Q60" s="22">
        <v>4</v>
      </c>
      <c r="R60" s="12">
        <f t="shared" si="8"/>
        <v>508</v>
      </c>
      <c r="S60" s="28">
        <v>2</v>
      </c>
      <c r="T60" s="29">
        <v>1</v>
      </c>
      <c r="U60" s="22"/>
      <c r="V60" s="22"/>
      <c r="W60" s="22"/>
      <c r="X60" s="55"/>
      <c r="Y60" s="47">
        <f t="shared" si="5"/>
        <v>0.235712</v>
      </c>
      <c r="Z60" s="49">
        <f t="shared" si="9"/>
        <v>94.284800000000004</v>
      </c>
      <c r="AA60" s="28">
        <v>0</v>
      </c>
      <c r="AB60" s="29">
        <v>0</v>
      </c>
      <c r="AC60" s="28">
        <v>0</v>
      </c>
      <c r="AD60" s="12">
        <f>E46+I46</f>
        <v>102</v>
      </c>
      <c r="AE60" s="26">
        <f>E46+I46</f>
        <v>102</v>
      </c>
      <c r="AF60" s="12"/>
      <c r="AG60" s="29">
        <v>150</v>
      </c>
      <c r="AH60" s="28">
        <v>2000</v>
      </c>
      <c r="AI60" s="29">
        <v>100</v>
      </c>
      <c r="AJ60" s="28">
        <v>1200</v>
      </c>
      <c r="AK60" s="22">
        <v>45</v>
      </c>
      <c r="AL60" s="28">
        <v>400</v>
      </c>
      <c r="AM60" s="29">
        <v>1</v>
      </c>
      <c r="AN60" s="28">
        <v>4</v>
      </c>
      <c r="AO60" s="28">
        <v>0</v>
      </c>
      <c r="AP60" s="29">
        <v>0</v>
      </c>
      <c r="AQ60" s="28">
        <v>0</v>
      </c>
      <c r="AR60" s="28">
        <v>0</v>
      </c>
      <c r="AS60" s="28">
        <v>0</v>
      </c>
      <c r="AT60" s="28">
        <v>0</v>
      </c>
      <c r="AU60" s="810">
        <v>0</v>
      </c>
      <c r="AV60" s="28">
        <v>1</v>
      </c>
      <c r="AW60" s="1033" t="s">
        <v>1027</v>
      </c>
      <c r="AX60" s="28">
        <v>0</v>
      </c>
      <c r="AY60" s="639">
        <v>0.9</v>
      </c>
      <c r="AZ60" s="557"/>
      <c r="BD60" s="1" t="s">
        <v>71</v>
      </c>
    </row>
    <row r="61" spans="1:56" x14ac:dyDescent="0.25">
      <c r="A61" s="12" t="str">
        <f t="shared" si="6"/>
        <v xml:space="preserve"> </v>
      </c>
      <c r="B61" s="36" t="s">
        <v>70</v>
      </c>
      <c r="C61" s="29"/>
      <c r="D61" s="22"/>
      <c r="E61" s="22">
        <v>1</v>
      </c>
      <c r="F61" s="22"/>
      <c r="G61" s="22"/>
      <c r="H61" s="45"/>
      <c r="I61" s="22">
        <v>0</v>
      </c>
      <c r="J61" s="12">
        <f t="shared" si="7"/>
        <v>100</v>
      </c>
      <c r="K61" s="29">
        <v>2</v>
      </c>
      <c r="L61" s="22">
        <v>2</v>
      </c>
      <c r="M61" s="22"/>
      <c r="N61" s="22"/>
      <c r="O61" s="22"/>
      <c r="P61" s="45"/>
      <c r="Q61" s="22">
        <v>7</v>
      </c>
      <c r="R61" s="12">
        <f t="shared" si="8"/>
        <v>1114</v>
      </c>
      <c r="S61" s="28">
        <v>4</v>
      </c>
      <c r="T61" s="29">
        <v>1</v>
      </c>
      <c r="U61" s="22">
        <v>1</v>
      </c>
      <c r="V61" s="22"/>
      <c r="W61" s="22"/>
      <c r="X61" s="55"/>
      <c r="Y61" s="47">
        <f t="shared" si="5"/>
        <v>0.11140000000000001</v>
      </c>
      <c r="Z61" s="49">
        <f t="shared" si="9"/>
        <v>44.56</v>
      </c>
      <c r="AA61" s="28">
        <v>1</v>
      </c>
      <c r="AB61" s="29">
        <v>1</v>
      </c>
      <c r="AC61" s="28">
        <v>0</v>
      </c>
      <c r="AD61" s="28"/>
      <c r="AE61" s="29"/>
      <c r="AF61" s="12"/>
      <c r="AG61" s="29">
        <v>100</v>
      </c>
      <c r="AH61" s="28">
        <v>2000</v>
      </c>
      <c r="AI61" s="26">
        <f>M24</f>
        <v>40</v>
      </c>
      <c r="AJ61" s="28">
        <v>1000</v>
      </c>
      <c r="AK61" s="22">
        <v>100</v>
      </c>
      <c r="AL61" s="28">
        <v>1200</v>
      </c>
      <c r="AM61" s="29">
        <v>1</v>
      </c>
      <c r="AN61" s="28">
        <v>4</v>
      </c>
      <c r="AO61" s="28">
        <v>0</v>
      </c>
      <c r="AP61" s="29">
        <v>0</v>
      </c>
      <c r="AQ61" s="28">
        <v>1</v>
      </c>
      <c r="AR61" s="28">
        <v>1</v>
      </c>
      <c r="AS61" s="28">
        <v>1</v>
      </c>
      <c r="AT61" s="28">
        <v>0</v>
      </c>
      <c r="AU61" s="810">
        <v>0</v>
      </c>
      <c r="AV61" s="28">
        <v>1</v>
      </c>
      <c r="AW61" s="1033" t="s">
        <v>1005</v>
      </c>
      <c r="AX61" s="28">
        <v>1</v>
      </c>
      <c r="AY61" s="639">
        <v>0.9</v>
      </c>
      <c r="AZ61" s="557">
        <v>1</v>
      </c>
      <c r="BD61" s="1" t="s">
        <v>70</v>
      </c>
    </row>
    <row r="62" spans="1:56" x14ac:dyDescent="0.25">
      <c r="A62" s="12" t="str">
        <f t="shared" si="6"/>
        <v xml:space="preserve"> </v>
      </c>
      <c r="B62" s="36" t="s">
        <v>981</v>
      </c>
      <c r="C62" s="29"/>
      <c r="D62" s="22">
        <v>2</v>
      </c>
      <c r="E62" s="22">
        <v>2</v>
      </c>
      <c r="F62" s="22">
        <v>2</v>
      </c>
      <c r="G62" s="22"/>
      <c r="H62" s="45"/>
      <c r="I62" s="22">
        <v>8</v>
      </c>
      <c r="J62" s="12">
        <f t="shared" si="7"/>
        <v>722</v>
      </c>
      <c r="K62" s="29">
        <v>1</v>
      </c>
      <c r="L62" s="22"/>
      <c r="M62" s="22">
        <v>2</v>
      </c>
      <c r="N62" s="22"/>
      <c r="O62" s="22">
        <v>2</v>
      </c>
      <c r="P62" s="45">
        <v>50</v>
      </c>
      <c r="Q62" s="22">
        <v>8</v>
      </c>
      <c r="R62" s="12">
        <f t="shared" si="8"/>
        <v>616</v>
      </c>
      <c r="S62" s="28">
        <v>4</v>
      </c>
      <c r="T62" s="29">
        <v>1</v>
      </c>
      <c r="U62" s="22"/>
      <c r="V62" s="22"/>
      <c r="W62" s="22"/>
      <c r="X62" s="55"/>
      <c r="Y62" s="47">
        <f t="shared" si="5"/>
        <v>0.44475199999999998</v>
      </c>
      <c r="Z62" s="49">
        <f t="shared" si="9"/>
        <v>177.9008</v>
      </c>
      <c r="AA62" s="28">
        <v>0</v>
      </c>
      <c r="AB62" s="29">
        <v>0</v>
      </c>
      <c r="AC62" s="28">
        <v>1</v>
      </c>
      <c r="AD62" s="12">
        <f>(0.5*D46)+E46+(3*I46)+F46</f>
        <v>234</v>
      </c>
      <c r="AE62" s="26">
        <f>(0.5*D46)+E46+(3*I46)+F46</f>
        <v>234</v>
      </c>
      <c r="AF62" s="12"/>
      <c r="AG62" s="29">
        <v>200</v>
      </c>
      <c r="AH62" s="28">
        <v>2000</v>
      </c>
      <c r="AI62" s="29">
        <v>100</v>
      </c>
      <c r="AJ62" s="28">
        <v>800</v>
      </c>
      <c r="AK62" s="22">
        <v>20</v>
      </c>
      <c r="AL62" s="28">
        <v>80</v>
      </c>
      <c r="AM62" s="29">
        <v>1</v>
      </c>
      <c r="AN62" s="12">
        <f>IF(J62+C166&gt;=I183,1,2)</f>
        <v>1</v>
      </c>
      <c r="AO62" s="28">
        <v>0</v>
      </c>
      <c r="AP62" s="29">
        <v>0</v>
      </c>
      <c r="AQ62" s="28">
        <v>0</v>
      </c>
      <c r="AR62" s="28">
        <v>0</v>
      </c>
      <c r="AS62" s="28">
        <v>0</v>
      </c>
      <c r="AT62" s="12">
        <f>(P62+(C12*3)+C8)</f>
        <v>156</v>
      </c>
      <c r="AU62" s="810">
        <v>0.04</v>
      </c>
      <c r="AV62" s="28">
        <v>1</v>
      </c>
      <c r="AW62" s="28">
        <v>2</v>
      </c>
      <c r="AX62" s="28">
        <v>0</v>
      </c>
      <c r="AY62" s="639">
        <v>0.82</v>
      </c>
      <c r="AZ62" s="557"/>
      <c r="BD62" s="1" t="s">
        <v>981</v>
      </c>
    </row>
    <row r="63" spans="1:56" x14ac:dyDescent="0.25">
      <c r="A63" s="12" t="str">
        <f t="shared" si="6"/>
        <v xml:space="preserve"> </v>
      </c>
      <c r="B63" s="36" t="s">
        <v>982</v>
      </c>
      <c r="C63" s="29"/>
      <c r="D63" s="22">
        <v>2</v>
      </c>
      <c r="E63" s="22">
        <v>3</v>
      </c>
      <c r="F63" s="22">
        <v>2</v>
      </c>
      <c r="G63" s="22"/>
      <c r="H63" s="45"/>
      <c r="I63" s="22">
        <v>8</v>
      </c>
      <c r="J63" s="12">
        <f t="shared" si="7"/>
        <v>822</v>
      </c>
      <c r="K63" s="29">
        <v>1</v>
      </c>
      <c r="L63" s="22">
        <v>2</v>
      </c>
      <c r="M63" s="22"/>
      <c r="N63" s="22">
        <v>6</v>
      </c>
      <c r="O63" s="22"/>
      <c r="P63" s="45"/>
      <c r="Q63" s="22">
        <v>4</v>
      </c>
      <c r="R63" s="12">
        <f t="shared" si="8"/>
        <v>826</v>
      </c>
      <c r="S63" s="28"/>
      <c r="T63" s="29"/>
      <c r="U63" s="22"/>
      <c r="V63" s="22">
        <v>0</v>
      </c>
      <c r="W63" s="22"/>
      <c r="X63" s="55"/>
      <c r="Y63" s="47">
        <f t="shared" si="5"/>
        <v>0.67897199999999991</v>
      </c>
      <c r="Z63" s="49">
        <f t="shared" si="9"/>
        <v>271.58879999999999</v>
      </c>
      <c r="AA63" s="28">
        <v>0</v>
      </c>
      <c r="AB63" s="29">
        <v>0</v>
      </c>
      <c r="AC63" s="28">
        <v>0</v>
      </c>
      <c r="AD63" s="28"/>
      <c r="AE63" s="29"/>
      <c r="AF63" s="12"/>
      <c r="AG63" s="29">
        <v>180</v>
      </c>
      <c r="AH63" s="28">
        <v>1400</v>
      </c>
      <c r="AI63" s="29">
        <v>80</v>
      </c>
      <c r="AJ63" s="28">
        <v>600</v>
      </c>
      <c r="AK63" s="22">
        <v>60</v>
      </c>
      <c r="AL63" s="28">
        <v>400</v>
      </c>
      <c r="AM63" s="29">
        <v>1</v>
      </c>
      <c r="AN63" s="28">
        <v>0</v>
      </c>
      <c r="AO63" s="28">
        <v>1</v>
      </c>
      <c r="AP63" s="29">
        <v>0</v>
      </c>
      <c r="AQ63" s="28">
        <v>0</v>
      </c>
      <c r="AR63" s="28">
        <v>0</v>
      </c>
      <c r="AS63" s="28">
        <v>0</v>
      </c>
      <c r="AT63" s="28">
        <v>0</v>
      </c>
      <c r="AU63" s="810">
        <v>0.02</v>
      </c>
      <c r="AV63" s="28">
        <v>1</v>
      </c>
      <c r="AW63" s="28">
        <v>0</v>
      </c>
      <c r="AX63" s="28">
        <v>0</v>
      </c>
      <c r="AY63" s="639">
        <v>0.9</v>
      </c>
      <c r="AZ63" s="557"/>
      <c r="BD63" s="1" t="s">
        <v>982</v>
      </c>
    </row>
    <row r="64" spans="1:56" x14ac:dyDescent="0.25">
      <c r="A64" s="12" t="str">
        <f t="shared" si="6"/>
        <v xml:space="preserve"> </v>
      </c>
      <c r="B64" s="36" t="s">
        <v>992</v>
      </c>
      <c r="C64" s="997">
        <v>1</v>
      </c>
      <c r="D64" s="998">
        <v>1</v>
      </c>
      <c r="E64" s="998">
        <v>1</v>
      </c>
      <c r="F64" s="998">
        <v>1</v>
      </c>
      <c r="G64" s="998"/>
      <c r="H64" s="999"/>
      <c r="I64" s="998"/>
      <c r="J64" s="1000">
        <f t="shared" si="7"/>
        <v>653</v>
      </c>
      <c r="K64" s="997">
        <v>1</v>
      </c>
      <c r="L64" s="998">
        <v>1</v>
      </c>
      <c r="M64" s="998">
        <v>1</v>
      </c>
      <c r="N64" s="998">
        <v>1</v>
      </c>
      <c r="O64" s="998">
        <v>1</v>
      </c>
      <c r="P64" s="999"/>
      <c r="Q64" s="998"/>
      <c r="R64" s="1000">
        <f t="shared" si="8"/>
        <v>653</v>
      </c>
      <c r="S64" s="1001"/>
      <c r="T64" s="997">
        <v>0</v>
      </c>
      <c r="U64" s="998">
        <v>0</v>
      </c>
      <c r="V64" s="998">
        <v>0</v>
      </c>
      <c r="W64" s="998">
        <v>0</v>
      </c>
      <c r="X64" s="1002">
        <v>0</v>
      </c>
      <c r="Y64" s="1003">
        <f t="shared" si="5"/>
        <v>0.42640900000000004</v>
      </c>
      <c r="Z64" s="1004">
        <f t="shared" si="9"/>
        <v>170.56360000000001</v>
      </c>
      <c r="AA64" s="1001">
        <v>0</v>
      </c>
      <c r="AB64" s="997">
        <v>0</v>
      </c>
      <c r="AC64" s="1001">
        <v>0</v>
      </c>
      <c r="AD64" s="1001"/>
      <c r="AE64" s="997"/>
      <c r="AF64" s="1000"/>
      <c r="AG64" s="997">
        <v>99</v>
      </c>
      <c r="AH64" s="1001">
        <v>9999</v>
      </c>
      <c r="AI64" s="997">
        <v>99</v>
      </c>
      <c r="AJ64" s="1001">
        <v>9999</v>
      </c>
      <c r="AK64" s="998">
        <v>99</v>
      </c>
      <c r="AL64" s="1001">
        <v>9999</v>
      </c>
      <c r="AM64" s="997">
        <v>0</v>
      </c>
      <c r="AN64" s="1001">
        <v>0</v>
      </c>
      <c r="AO64" s="1001">
        <v>0</v>
      </c>
      <c r="AP64" s="997">
        <v>0</v>
      </c>
      <c r="AQ64" s="1001">
        <v>0</v>
      </c>
      <c r="AR64" s="1001">
        <v>0</v>
      </c>
      <c r="AS64" s="1001">
        <v>0</v>
      </c>
      <c r="AT64" s="1001">
        <v>0</v>
      </c>
      <c r="AU64" s="1007">
        <v>0</v>
      </c>
      <c r="AV64" s="1001">
        <v>0</v>
      </c>
      <c r="AW64" s="1001">
        <v>0</v>
      </c>
      <c r="AX64" s="28">
        <v>0</v>
      </c>
      <c r="AY64" s="639">
        <v>0.9</v>
      </c>
      <c r="AZ64" s="561"/>
      <c r="BA64" s="1005" t="s">
        <v>994</v>
      </c>
      <c r="BD64" s="1" t="s">
        <v>992</v>
      </c>
    </row>
    <row r="65" spans="1:56" x14ac:dyDescent="0.25">
      <c r="A65" s="12" t="str">
        <f t="shared" si="6"/>
        <v xml:space="preserve"> </v>
      </c>
      <c r="B65" s="36" t="s">
        <v>1343</v>
      </c>
      <c r="C65" s="997">
        <v>1</v>
      </c>
      <c r="D65" s="998">
        <v>1</v>
      </c>
      <c r="E65" s="998">
        <v>1</v>
      </c>
      <c r="F65" s="998">
        <v>1</v>
      </c>
      <c r="G65" s="998"/>
      <c r="H65" s="999"/>
      <c r="I65" s="998"/>
      <c r="J65" s="1000">
        <f t="shared" si="7"/>
        <v>653</v>
      </c>
      <c r="K65" s="997">
        <v>1</v>
      </c>
      <c r="L65" s="998">
        <v>1</v>
      </c>
      <c r="M65" s="998">
        <v>1</v>
      </c>
      <c r="N65" s="998">
        <v>1</v>
      </c>
      <c r="O65" s="998">
        <v>1</v>
      </c>
      <c r="P65" s="999"/>
      <c r="Q65" s="998"/>
      <c r="R65" s="1000">
        <f t="shared" si="8"/>
        <v>653</v>
      </c>
      <c r="S65" s="1001"/>
      <c r="T65" s="997">
        <v>0</v>
      </c>
      <c r="U65" s="998">
        <v>0</v>
      </c>
      <c r="V65" s="998">
        <v>0</v>
      </c>
      <c r="W65" s="998">
        <v>0</v>
      </c>
      <c r="X65" s="1002">
        <v>0</v>
      </c>
      <c r="Y65" s="1003">
        <f t="shared" si="5"/>
        <v>0.42640900000000004</v>
      </c>
      <c r="Z65" s="1004">
        <f t="shared" si="9"/>
        <v>170.56360000000001</v>
      </c>
      <c r="AA65" s="1001">
        <v>0</v>
      </c>
      <c r="AB65" s="997">
        <v>0</v>
      </c>
      <c r="AC65" s="1001">
        <v>0</v>
      </c>
      <c r="AD65" s="1001"/>
      <c r="AE65" s="997"/>
      <c r="AF65" s="1000"/>
      <c r="AG65" s="997">
        <v>99</v>
      </c>
      <c r="AH65" s="1001">
        <v>9999</v>
      </c>
      <c r="AI65" s="997">
        <v>99</v>
      </c>
      <c r="AJ65" s="1001">
        <v>9999</v>
      </c>
      <c r="AK65" s="998">
        <v>99</v>
      </c>
      <c r="AL65" s="1001">
        <v>9999</v>
      </c>
      <c r="AM65" s="997">
        <v>0</v>
      </c>
      <c r="AN65" s="1001">
        <v>0</v>
      </c>
      <c r="AO65" s="1001">
        <v>0</v>
      </c>
      <c r="AP65" s="997">
        <v>0</v>
      </c>
      <c r="AQ65" s="1001">
        <v>0</v>
      </c>
      <c r="AR65" s="1001">
        <v>0</v>
      </c>
      <c r="AS65" s="1001">
        <v>0</v>
      </c>
      <c r="AT65" s="1001">
        <v>0</v>
      </c>
      <c r="AU65" s="1007">
        <v>0</v>
      </c>
      <c r="AV65" s="1001">
        <v>0</v>
      </c>
      <c r="AW65" s="1001">
        <v>0</v>
      </c>
      <c r="AX65" s="28">
        <v>0</v>
      </c>
      <c r="AY65" s="639">
        <v>0.9</v>
      </c>
      <c r="AZ65" s="561"/>
      <c r="BA65" s="1005" t="s">
        <v>994</v>
      </c>
      <c r="BD65" s="1" t="s">
        <v>993</v>
      </c>
    </row>
    <row r="66" spans="1:56" x14ac:dyDescent="0.25">
      <c r="A66" s="12" t="str">
        <f t="shared" si="6"/>
        <v xml:space="preserve"> </v>
      </c>
      <c r="B66" s="36"/>
      <c r="C66" s="29"/>
      <c r="D66" s="22"/>
      <c r="E66" s="22"/>
      <c r="F66" s="22"/>
      <c r="G66" s="22"/>
      <c r="H66" s="45"/>
      <c r="I66" s="22"/>
      <c r="J66" s="12">
        <f t="shared" si="7"/>
        <v>0</v>
      </c>
      <c r="K66" s="29"/>
      <c r="L66" s="22"/>
      <c r="M66" s="22"/>
      <c r="N66" s="22"/>
      <c r="O66" s="22"/>
      <c r="P66" s="45"/>
      <c r="Q66" s="22"/>
      <c r="R66" s="12">
        <f t="shared" si="8"/>
        <v>0</v>
      </c>
      <c r="S66" s="28"/>
      <c r="T66" s="29"/>
      <c r="U66" s="22"/>
      <c r="V66" s="22"/>
      <c r="W66" s="22"/>
      <c r="X66" s="55"/>
      <c r="Y66" s="47">
        <f t="shared" si="5"/>
        <v>0</v>
      </c>
      <c r="Z66" s="49">
        <f t="shared" si="9"/>
        <v>0</v>
      </c>
      <c r="AA66" s="28"/>
      <c r="AB66" s="53"/>
      <c r="AC66" s="28"/>
      <c r="AD66" s="28"/>
      <c r="AE66" s="29"/>
      <c r="AF66" s="12"/>
      <c r="AG66" s="29"/>
      <c r="AH66" s="28"/>
      <c r="AI66" s="29"/>
      <c r="AJ66" s="28"/>
      <c r="AK66" s="22"/>
      <c r="AL66" s="28"/>
      <c r="AM66" s="29"/>
      <c r="AN66" s="28"/>
      <c r="AO66" s="28"/>
      <c r="AP66" s="29"/>
      <c r="AQ66" s="28"/>
      <c r="AR66" s="28"/>
      <c r="AS66" s="28"/>
      <c r="AT66" s="28"/>
      <c r="AU66" s="810"/>
      <c r="AV66" s="967"/>
      <c r="AW66" s="28"/>
      <c r="AX66" s="28"/>
      <c r="AY66" s="639"/>
      <c r="AZ66" s="557"/>
    </row>
    <row r="67" spans="1:56" x14ac:dyDescent="0.25">
      <c r="A67" s="12" t="str">
        <f t="shared" si="6"/>
        <v xml:space="preserve"> </v>
      </c>
      <c r="B67" s="36"/>
      <c r="C67" s="29"/>
      <c r="D67" s="22"/>
      <c r="E67" s="22"/>
      <c r="F67" s="22"/>
      <c r="G67" s="22"/>
      <c r="H67" s="45"/>
      <c r="I67" s="22"/>
      <c r="J67" s="12">
        <f t="shared" si="7"/>
        <v>0</v>
      </c>
      <c r="K67" s="29"/>
      <c r="L67" s="22"/>
      <c r="M67" s="22"/>
      <c r="N67" s="22"/>
      <c r="O67" s="22"/>
      <c r="P67" s="45"/>
      <c r="Q67" s="22"/>
      <c r="R67" s="12">
        <f t="shared" si="8"/>
        <v>0</v>
      </c>
      <c r="S67" s="28"/>
      <c r="T67" s="29"/>
      <c r="U67" s="22"/>
      <c r="V67" s="22"/>
      <c r="W67" s="22"/>
      <c r="X67" s="55"/>
      <c r="Y67" s="47">
        <f t="shared" si="5"/>
        <v>0</v>
      </c>
      <c r="Z67" s="49">
        <f t="shared" si="9"/>
        <v>0</v>
      </c>
      <c r="AA67" s="28"/>
      <c r="AB67" s="53"/>
      <c r="AC67" s="28"/>
      <c r="AD67" s="28"/>
      <c r="AE67" s="29"/>
      <c r="AF67" s="12"/>
      <c r="AG67" s="29"/>
      <c r="AH67" s="28"/>
      <c r="AI67" s="29"/>
      <c r="AJ67" s="28"/>
      <c r="AK67" s="22"/>
      <c r="AL67" s="28"/>
      <c r="AM67" s="29"/>
      <c r="AN67" s="28"/>
      <c r="AO67" s="28"/>
      <c r="AP67" s="29"/>
      <c r="AQ67" s="28"/>
      <c r="AR67" s="28"/>
      <c r="AS67" s="28"/>
      <c r="AT67" s="28"/>
      <c r="AU67" s="810"/>
      <c r="AV67" s="967"/>
      <c r="AW67" s="28"/>
      <c r="AX67" s="28"/>
      <c r="AY67" s="639"/>
      <c r="AZ67" s="557"/>
    </row>
    <row r="68" spans="1:56" x14ac:dyDescent="0.25">
      <c r="A68" s="12" t="str">
        <f t="shared" si="6"/>
        <v xml:space="preserve"> </v>
      </c>
      <c r="B68" s="36"/>
      <c r="C68" s="29"/>
      <c r="D68" s="22"/>
      <c r="E68" s="22"/>
      <c r="F68" s="22"/>
      <c r="G68" s="22"/>
      <c r="H68" s="45"/>
      <c r="I68" s="22"/>
      <c r="J68" s="12">
        <f t="shared" si="7"/>
        <v>0</v>
      </c>
      <c r="K68" s="29"/>
      <c r="L68" s="22"/>
      <c r="M68" s="22"/>
      <c r="N68" s="22"/>
      <c r="O68" s="22"/>
      <c r="P68" s="45"/>
      <c r="Q68" s="22"/>
      <c r="R68" s="12">
        <f t="shared" si="8"/>
        <v>0</v>
      </c>
      <c r="S68" s="28"/>
      <c r="T68" s="29"/>
      <c r="U68" s="22"/>
      <c r="V68" s="22"/>
      <c r="W68" s="22"/>
      <c r="X68" s="55"/>
      <c r="Y68" s="47">
        <f t="shared" si="5"/>
        <v>0</v>
      </c>
      <c r="Z68" s="49">
        <f t="shared" si="9"/>
        <v>0</v>
      </c>
      <c r="AA68" s="28"/>
      <c r="AB68" s="53"/>
      <c r="AC68" s="28"/>
      <c r="AD68" s="28"/>
      <c r="AE68" s="29"/>
      <c r="AF68" s="12"/>
      <c r="AG68" s="29"/>
      <c r="AH68" s="28"/>
      <c r="AI68" s="29"/>
      <c r="AJ68" s="28"/>
      <c r="AK68" s="22"/>
      <c r="AL68" s="28"/>
      <c r="AM68" s="29"/>
      <c r="AN68" s="28"/>
      <c r="AO68" s="28"/>
      <c r="AP68" s="29"/>
      <c r="AQ68" s="28"/>
      <c r="AR68" s="28"/>
      <c r="AS68" s="28"/>
      <c r="AT68" s="28"/>
      <c r="AU68" s="810"/>
      <c r="AV68" s="967"/>
      <c r="AW68" s="28"/>
      <c r="AX68" s="28"/>
      <c r="AY68" s="639"/>
      <c r="AZ68" s="557"/>
    </row>
    <row r="69" spans="1:56" x14ac:dyDescent="0.25">
      <c r="A69" s="12" t="str">
        <f t="shared" si="6"/>
        <v xml:space="preserve"> </v>
      </c>
      <c r="B69" s="36"/>
      <c r="C69" s="29"/>
      <c r="D69" s="22"/>
      <c r="E69" s="22"/>
      <c r="F69" s="22"/>
      <c r="G69" s="22"/>
      <c r="H69" s="45"/>
      <c r="I69" s="22"/>
      <c r="J69" s="12">
        <f t="shared" si="7"/>
        <v>0</v>
      </c>
      <c r="K69" s="29"/>
      <c r="L69" s="22"/>
      <c r="M69" s="22"/>
      <c r="N69" s="22"/>
      <c r="O69" s="22"/>
      <c r="P69" s="45"/>
      <c r="Q69" s="22"/>
      <c r="R69" s="12">
        <f t="shared" si="8"/>
        <v>0</v>
      </c>
      <c r="S69" s="28"/>
      <c r="T69" s="29"/>
      <c r="U69" s="22"/>
      <c r="V69" s="22"/>
      <c r="W69" s="22"/>
      <c r="X69" s="55"/>
      <c r="Y69" s="47">
        <f t="shared" si="5"/>
        <v>0</v>
      </c>
      <c r="Z69" s="49">
        <f t="shared" si="9"/>
        <v>0</v>
      </c>
      <c r="AA69" s="28"/>
      <c r="AB69" s="53"/>
      <c r="AC69" s="28"/>
      <c r="AD69" s="28"/>
      <c r="AE69" s="29"/>
      <c r="AF69" s="12"/>
      <c r="AG69" s="29"/>
      <c r="AH69" s="28"/>
      <c r="AI69" s="29"/>
      <c r="AJ69" s="28"/>
      <c r="AK69" s="22"/>
      <c r="AL69" s="28"/>
      <c r="AM69" s="29"/>
      <c r="AN69" s="28"/>
      <c r="AO69" s="28"/>
      <c r="AP69" s="29"/>
      <c r="AQ69" s="28"/>
      <c r="AR69" s="28"/>
      <c r="AS69" s="28"/>
      <c r="AT69" s="28"/>
      <c r="AU69" s="810"/>
      <c r="AV69" s="967"/>
      <c r="AW69" s="28"/>
      <c r="AX69" s="28"/>
      <c r="AY69" s="639"/>
      <c r="AZ69" s="557"/>
    </row>
    <row r="70" spans="1:56" x14ac:dyDescent="0.25">
      <c r="A70" s="13" t="str">
        <f t="shared" si="6"/>
        <v xml:space="preserve"> </v>
      </c>
      <c r="B70" s="37"/>
      <c r="C70" s="31"/>
      <c r="D70" s="32"/>
      <c r="E70" s="32"/>
      <c r="F70" s="32"/>
      <c r="G70" s="32"/>
      <c r="H70" s="46"/>
      <c r="I70" s="32"/>
      <c r="J70" s="13">
        <f t="shared" si="7"/>
        <v>0</v>
      </c>
      <c r="K70" s="31"/>
      <c r="L70" s="32"/>
      <c r="M70" s="32"/>
      <c r="N70" s="32"/>
      <c r="O70" s="32"/>
      <c r="P70" s="46"/>
      <c r="Q70" s="32"/>
      <c r="R70" s="13">
        <f t="shared" si="8"/>
        <v>0</v>
      </c>
      <c r="S70" s="34"/>
      <c r="T70" s="31"/>
      <c r="U70" s="32"/>
      <c r="V70" s="32"/>
      <c r="W70" s="32"/>
      <c r="X70" s="56"/>
      <c r="Y70" s="48">
        <f t="shared" si="5"/>
        <v>0</v>
      </c>
      <c r="Z70" s="50">
        <f t="shared" si="9"/>
        <v>0</v>
      </c>
      <c r="AA70" s="34"/>
      <c r="AB70" s="54"/>
      <c r="AC70" s="34"/>
      <c r="AD70" s="34"/>
      <c r="AE70" s="31"/>
      <c r="AF70" s="13"/>
      <c r="AG70" s="31"/>
      <c r="AH70" s="34"/>
      <c r="AI70" s="31"/>
      <c r="AJ70" s="34"/>
      <c r="AK70" s="32"/>
      <c r="AL70" s="34"/>
      <c r="AM70" s="31"/>
      <c r="AN70" s="34"/>
      <c r="AO70" s="34"/>
      <c r="AP70" s="31"/>
      <c r="AQ70" s="34"/>
      <c r="AR70" s="34"/>
      <c r="AS70" s="34"/>
      <c r="AT70" s="34"/>
      <c r="AU70" s="811"/>
      <c r="AV70" s="474"/>
      <c r="AW70" s="34"/>
      <c r="AX70" s="34"/>
      <c r="AY70" s="640"/>
      <c r="AZ70" s="559"/>
    </row>
    <row r="73" spans="1:56" x14ac:dyDescent="0.25">
      <c r="B73" t="s">
        <v>1009</v>
      </c>
    </row>
    <row r="74" spans="1:56" x14ac:dyDescent="0.25">
      <c r="B74"/>
    </row>
    <row r="75" spans="1:56" x14ac:dyDescent="0.25">
      <c r="B75" s="404"/>
      <c r="C75" s="412"/>
      <c r="D75" s="404"/>
      <c r="E75" s="1313" t="s">
        <v>9</v>
      </c>
      <c r="F75" s="1303"/>
      <c r="G75" s="1313" t="s">
        <v>18</v>
      </c>
      <c r="H75" s="1303"/>
      <c r="I75" s="1314" t="s">
        <v>19</v>
      </c>
      <c r="J75" s="1303"/>
      <c r="K75" s="1285" t="s">
        <v>1010</v>
      </c>
      <c r="L75" s="1286"/>
      <c r="M75" s="1286"/>
      <c r="N75" s="1286"/>
      <c r="O75" s="1286"/>
      <c r="P75" s="1284"/>
      <c r="Q75" s="442" t="s">
        <v>1007</v>
      </c>
    </row>
    <row r="76" spans="1:56" x14ac:dyDescent="0.25">
      <c r="B76" s="12" t="s">
        <v>912</v>
      </c>
      <c r="C76" s="2" t="s">
        <v>31</v>
      </c>
      <c r="D76" s="12" t="s">
        <v>1006</v>
      </c>
      <c r="E76" s="26" t="s">
        <v>150</v>
      </c>
      <c r="F76" s="25" t="s">
        <v>151</v>
      </c>
      <c r="G76" s="26" t="s">
        <v>691</v>
      </c>
      <c r="H76" s="25" t="s">
        <v>151</v>
      </c>
      <c r="I76" s="2" t="s">
        <v>691</v>
      </c>
      <c r="J76" s="25" t="s">
        <v>151</v>
      </c>
      <c r="K76" s="26" t="s">
        <v>983</v>
      </c>
      <c r="L76" s="442" t="s">
        <v>530</v>
      </c>
      <c r="M76" s="2" t="s">
        <v>1011</v>
      </c>
      <c r="N76" s="404"/>
      <c r="P76" s="404"/>
      <c r="Q76" s="12" t="s">
        <v>1008</v>
      </c>
    </row>
    <row r="77" spans="1:56" x14ac:dyDescent="0.25">
      <c r="B77" s="951"/>
      <c r="C77" s="23"/>
      <c r="D77" s="951"/>
      <c r="E77" s="208">
        <f>AG46</f>
        <v>100</v>
      </c>
      <c r="F77" s="208">
        <f t="shared" ref="F77:J77" si="10">AH46</f>
        <v>2000</v>
      </c>
      <c r="G77" s="208">
        <f t="shared" si="10"/>
        <v>70</v>
      </c>
      <c r="H77" s="208">
        <f t="shared" si="10"/>
        <v>1000</v>
      </c>
      <c r="I77" s="208">
        <f t="shared" si="10"/>
        <v>37</v>
      </c>
      <c r="J77" s="951">
        <f t="shared" si="10"/>
        <v>1200</v>
      </c>
      <c r="K77" s="208">
        <f>AO46</f>
        <v>0</v>
      </c>
      <c r="L77" s="951">
        <f>AP46</f>
        <v>0</v>
      </c>
      <c r="M77" s="23">
        <f>AX46</f>
        <v>1</v>
      </c>
      <c r="N77" s="959"/>
      <c r="O77" s="43"/>
      <c r="P77" s="959"/>
      <c r="Q77" s="952">
        <v>9</v>
      </c>
    </row>
    <row r="78" spans="1:56" x14ac:dyDescent="0.25">
      <c r="B78" s="951">
        <f>C6</f>
        <v>300</v>
      </c>
      <c r="C78" s="23">
        <f>C7</f>
        <v>250</v>
      </c>
      <c r="D78" s="951">
        <f>C8</f>
        <v>100</v>
      </c>
      <c r="E78" s="951">
        <f>IF(B78&gt;=E77,1,0)</f>
        <v>1</v>
      </c>
      <c r="F78" s="38">
        <f>IF(B78&lt;=F77,1,0)</f>
        <v>1</v>
      </c>
      <c r="G78" s="951">
        <f>IF(C78&gt;=G77,1,0)</f>
        <v>1</v>
      </c>
      <c r="H78" s="38">
        <f>IF(C78&lt;=H77,1,0)</f>
        <v>1</v>
      </c>
      <c r="I78" s="951">
        <f>IF(D78&gt;=I77,1,0)</f>
        <v>1</v>
      </c>
      <c r="J78" s="38">
        <f>IF(D78&lt;=J77,1,0)</f>
        <v>1</v>
      </c>
      <c r="K78" s="432">
        <f>IF(K77=0,1,IF(AND(K77=1,C8&lt;=C6),1,0))</f>
        <v>1</v>
      </c>
      <c r="L78" s="13">
        <f>IF(L77=0,1,IF(AND(L77=1,C6&gt;=(C7*2)),1,0))</f>
        <v>1</v>
      </c>
      <c r="M78" s="965">
        <f>IF(M77=0,1,IF(AND(M77=1,C8&gt;=(C6*0.1)),1,0))</f>
        <v>1</v>
      </c>
      <c r="N78" s="52"/>
      <c r="O78" s="918"/>
      <c r="P78" s="52"/>
      <c r="Q78" s="13">
        <f>IF(SUM(E78:P78)=Q77,1,0)</f>
        <v>1</v>
      </c>
    </row>
    <row r="79" spans="1:56" x14ac:dyDescent="0.25">
      <c r="B79"/>
    </row>
    <row r="80" spans="1:56" x14ac:dyDescent="0.25">
      <c r="B80"/>
    </row>
    <row r="81" spans="1:7" x14ac:dyDescent="0.25">
      <c r="B81"/>
    </row>
    <row r="82" spans="1:7" x14ac:dyDescent="0.25">
      <c r="B82"/>
    </row>
    <row r="84" spans="1:7" x14ac:dyDescent="0.25">
      <c r="B84" s="1" t="s">
        <v>890</v>
      </c>
    </row>
    <row r="85" spans="1:7" x14ac:dyDescent="0.25">
      <c r="A85" s="17"/>
      <c r="B85" s="42" t="s">
        <v>2</v>
      </c>
      <c r="C85" s="21" t="s">
        <v>57</v>
      </c>
      <c r="D85" s="21" t="s">
        <v>58</v>
      </c>
      <c r="E85" s="473" t="s">
        <v>854</v>
      </c>
      <c r="F85" s="208" t="s">
        <v>891</v>
      </c>
      <c r="G85" s="473" t="s">
        <v>892</v>
      </c>
    </row>
    <row r="86" spans="1:7" x14ac:dyDescent="0.25">
      <c r="A86" s="11"/>
      <c r="B86" s="35"/>
      <c r="C86" s="51"/>
      <c r="D86" s="51"/>
      <c r="E86" s="841"/>
      <c r="F86" s="404"/>
      <c r="G86" s="404"/>
    </row>
    <row r="87" spans="1:7" x14ac:dyDescent="0.25">
      <c r="A87" s="12" t="str">
        <f t="shared" ref="A87:B107" si="11">A50</f>
        <v xml:space="preserve"> </v>
      </c>
      <c r="B87" s="36" t="str">
        <f t="shared" si="11"/>
        <v>0110</v>
      </c>
      <c r="C87" s="12">
        <f t="shared" ref="C87:C107" si="12">J50</f>
        <v>300</v>
      </c>
      <c r="D87" s="12">
        <f t="shared" ref="D87:D107" si="13">R50</f>
        <v>250</v>
      </c>
      <c r="E87" s="557">
        <v>1</v>
      </c>
      <c r="F87" s="12">
        <f>C87</f>
        <v>300</v>
      </c>
      <c r="G87" s="12">
        <f>D87</f>
        <v>250</v>
      </c>
    </row>
    <row r="88" spans="1:7" x14ac:dyDescent="0.25">
      <c r="A88" s="12" t="str">
        <f t="shared" si="11"/>
        <v xml:space="preserve"> </v>
      </c>
      <c r="B88" s="36" t="str">
        <f t="shared" si="11"/>
        <v>0200</v>
      </c>
      <c r="C88" s="12">
        <f t="shared" si="12"/>
        <v>232</v>
      </c>
      <c r="D88" s="12">
        <f t="shared" si="13"/>
        <v>1114</v>
      </c>
      <c r="E88" s="557">
        <v>2</v>
      </c>
      <c r="F88" s="12">
        <f t="shared" ref="F88:F98" si="14">C88</f>
        <v>232</v>
      </c>
      <c r="G88" s="12">
        <f>D88/E88</f>
        <v>557</v>
      </c>
    </row>
    <row r="89" spans="1:7" x14ac:dyDescent="0.25">
      <c r="A89" s="12">
        <f t="shared" si="11"/>
        <v>1</v>
      </c>
      <c r="B89" s="36" t="str">
        <f t="shared" si="11"/>
        <v>0201</v>
      </c>
      <c r="C89" s="12">
        <f t="shared" si="12"/>
        <v>361</v>
      </c>
      <c r="D89" s="12">
        <f t="shared" si="13"/>
        <v>1114</v>
      </c>
      <c r="E89" s="557">
        <v>2</v>
      </c>
      <c r="F89" s="12">
        <f t="shared" si="14"/>
        <v>361</v>
      </c>
      <c r="G89" s="12">
        <f t="shared" ref="G89:G90" si="15">D89/E89</f>
        <v>557</v>
      </c>
    </row>
    <row r="90" spans="1:7" x14ac:dyDescent="0.25">
      <c r="A90" s="12" t="str">
        <f t="shared" si="11"/>
        <v xml:space="preserve"> </v>
      </c>
      <c r="B90" s="36" t="str">
        <f t="shared" si="11"/>
        <v>0203</v>
      </c>
      <c r="C90" s="12">
        <f t="shared" si="12"/>
        <v>614</v>
      </c>
      <c r="D90" s="12">
        <f t="shared" si="13"/>
        <v>1114</v>
      </c>
      <c r="E90" s="557">
        <v>2</v>
      </c>
      <c r="F90" s="12">
        <f t="shared" si="14"/>
        <v>614</v>
      </c>
      <c r="G90" s="12">
        <f t="shared" si="15"/>
        <v>557</v>
      </c>
    </row>
    <row r="91" spans="1:7" x14ac:dyDescent="0.25">
      <c r="A91" s="12" t="str">
        <f t="shared" si="11"/>
        <v xml:space="preserve"> </v>
      </c>
      <c r="B91" s="36" t="str">
        <f t="shared" si="11"/>
        <v>0409</v>
      </c>
      <c r="C91" s="12">
        <f t="shared" si="12"/>
        <v>514</v>
      </c>
      <c r="D91" s="12">
        <f t="shared" si="13"/>
        <v>819</v>
      </c>
      <c r="E91" s="557">
        <v>1</v>
      </c>
      <c r="F91" s="12">
        <f t="shared" si="14"/>
        <v>514</v>
      </c>
      <c r="G91" s="12">
        <f t="shared" ref="G91:G97" si="16">D91</f>
        <v>819</v>
      </c>
    </row>
    <row r="92" spans="1:7" x14ac:dyDescent="0.25">
      <c r="A92" s="12" t="str">
        <f t="shared" si="11"/>
        <v xml:space="preserve"> </v>
      </c>
      <c r="B92" s="36" t="str">
        <f t="shared" si="11"/>
        <v>0410</v>
      </c>
      <c r="C92" s="12">
        <f t="shared" si="12"/>
        <v>514</v>
      </c>
      <c r="D92" s="12">
        <f t="shared" si="13"/>
        <v>819</v>
      </c>
      <c r="E92" s="557">
        <v>1</v>
      </c>
      <c r="F92" s="12">
        <f t="shared" si="14"/>
        <v>514</v>
      </c>
      <c r="G92" s="12">
        <f t="shared" si="16"/>
        <v>819</v>
      </c>
    </row>
    <row r="93" spans="1:7" x14ac:dyDescent="0.25">
      <c r="A93" s="12" t="str">
        <f t="shared" si="11"/>
        <v xml:space="preserve"> </v>
      </c>
      <c r="B93" s="36" t="str">
        <f t="shared" si="11"/>
        <v>0412</v>
      </c>
      <c r="C93" s="12">
        <f t="shared" si="12"/>
        <v>978</v>
      </c>
      <c r="D93" s="12">
        <f t="shared" si="13"/>
        <v>616</v>
      </c>
      <c r="E93" s="557">
        <v>1</v>
      </c>
      <c r="F93" s="12">
        <f t="shared" si="14"/>
        <v>978</v>
      </c>
      <c r="G93" s="12">
        <f t="shared" si="16"/>
        <v>616</v>
      </c>
    </row>
    <row r="94" spans="1:7" x14ac:dyDescent="0.25">
      <c r="A94" s="12" t="str">
        <f t="shared" si="11"/>
        <v xml:space="preserve"> </v>
      </c>
      <c r="B94" s="36" t="str">
        <f t="shared" si="11"/>
        <v>0427</v>
      </c>
      <c r="C94" s="12">
        <f t="shared" si="12"/>
        <v>760</v>
      </c>
      <c r="D94" s="12">
        <f t="shared" si="13"/>
        <v>819</v>
      </c>
      <c r="E94" s="557">
        <v>1</v>
      </c>
      <c r="F94" s="12">
        <f t="shared" si="14"/>
        <v>760</v>
      </c>
      <c r="G94" s="12">
        <f t="shared" si="16"/>
        <v>819</v>
      </c>
    </row>
    <row r="95" spans="1:7" x14ac:dyDescent="0.25">
      <c r="A95" s="12" t="str">
        <f t="shared" si="11"/>
        <v xml:space="preserve"> </v>
      </c>
      <c r="B95" s="36" t="str">
        <f t="shared" si="11"/>
        <v>0421</v>
      </c>
      <c r="C95" s="12">
        <f t="shared" si="12"/>
        <v>748</v>
      </c>
      <c r="D95" s="12">
        <f t="shared" si="13"/>
        <v>741</v>
      </c>
      <c r="E95" s="557">
        <v>1</v>
      </c>
      <c r="F95" s="12">
        <f t="shared" si="14"/>
        <v>748</v>
      </c>
      <c r="G95" s="12">
        <f t="shared" si="16"/>
        <v>741</v>
      </c>
    </row>
    <row r="96" spans="1:7" x14ac:dyDescent="0.25">
      <c r="A96" s="12" t="str">
        <f t="shared" si="11"/>
        <v xml:space="preserve"> </v>
      </c>
      <c r="B96" s="36" t="str">
        <f t="shared" si="11"/>
        <v>0422</v>
      </c>
      <c r="C96" s="12">
        <f t="shared" si="12"/>
        <v>748</v>
      </c>
      <c r="D96" s="12">
        <f t="shared" si="13"/>
        <v>458</v>
      </c>
      <c r="E96" s="557">
        <v>1</v>
      </c>
      <c r="F96" s="12">
        <f t="shared" si="14"/>
        <v>748</v>
      </c>
      <c r="G96" s="12">
        <f t="shared" si="16"/>
        <v>458</v>
      </c>
    </row>
    <row r="97" spans="1:9" x14ac:dyDescent="0.25">
      <c r="A97" s="12" t="str">
        <f t="shared" si="11"/>
        <v xml:space="preserve"> </v>
      </c>
      <c r="B97" s="36" t="str">
        <f t="shared" si="11"/>
        <v>0452</v>
      </c>
      <c r="C97" s="12">
        <f t="shared" si="12"/>
        <v>464</v>
      </c>
      <c r="D97" s="12">
        <f t="shared" si="13"/>
        <v>508</v>
      </c>
      <c r="E97" s="557">
        <v>1</v>
      </c>
      <c r="F97" s="12">
        <f t="shared" si="14"/>
        <v>464</v>
      </c>
      <c r="G97" s="12">
        <f t="shared" si="16"/>
        <v>508</v>
      </c>
    </row>
    <row r="98" spans="1:9" x14ac:dyDescent="0.25">
      <c r="A98" s="12" t="str">
        <f t="shared" si="11"/>
        <v xml:space="preserve"> </v>
      </c>
      <c r="B98" s="36" t="str">
        <f t="shared" si="11"/>
        <v>0501</v>
      </c>
      <c r="C98" s="12">
        <f t="shared" si="12"/>
        <v>100</v>
      </c>
      <c r="D98" s="12">
        <f t="shared" si="13"/>
        <v>1114</v>
      </c>
      <c r="E98" s="557">
        <v>2</v>
      </c>
      <c r="F98" s="12">
        <f t="shared" si="14"/>
        <v>100</v>
      </c>
      <c r="G98" s="12">
        <f>D98/E98</f>
        <v>557</v>
      </c>
    </row>
    <row r="99" spans="1:9" x14ac:dyDescent="0.25">
      <c r="A99" s="12" t="str">
        <f t="shared" si="11"/>
        <v xml:space="preserve"> </v>
      </c>
      <c r="B99" s="36" t="str">
        <f t="shared" si="11"/>
        <v>0401</v>
      </c>
      <c r="C99" s="12">
        <f t="shared" si="12"/>
        <v>722</v>
      </c>
      <c r="D99" s="12">
        <f t="shared" si="13"/>
        <v>616</v>
      </c>
      <c r="E99" s="557">
        <v>1</v>
      </c>
      <c r="F99" s="12">
        <f t="shared" ref="F99:F107" si="17">C99</f>
        <v>722</v>
      </c>
      <c r="G99" s="12">
        <f t="shared" ref="G99:G107" si="18">D99</f>
        <v>616</v>
      </c>
    </row>
    <row r="100" spans="1:9" x14ac:dyDescent="0.25">
      <c r="A100" s="12" t="str">
        <f t="shared" si="11"/>
        <v xml:space="preserve"> </v>
      </c>
      <c r="B100" s="36" t="str">
        <f t="shared" si="11"/>
        <v>0471</v>
      </c>
      <c r="C100" s="12">
        <f t="shared" si="12"/>
        <v>822</v>
      </c>
      <c r="D100" s="12">
        <f t="shared" si="13"/>
        <v>826</v>
      </c>
      <c r="E100" s="557">
        <v>1</v>
      </c>
      <c r="F100" s="12">
        <f t="shared" si="17"/>
        <v>822</v>
      </c>
      <c r="G100" s="12">
        <f t="shared" si="18"/>
        <v>826</v>
      </c>
    </row>
    <row r="101" spans="1:9" x14ac:dyDescent="0.25">
      <c r="A101" s="12" t="str">
        <f t="shared" si="11"/>
        <v xml:space="preserve"> </v>
      </c>
      <c r="B101" s="36" t="str">
        <f t="shared" si="11"/>
        <v>0933</v>
      </c>
      <c r="C101" s="12">
        <f t="shared" si="12"/>
        <v>653</v>
      </c>
      <c r="D101" s="12">
        <f t="shared" si="13"/>
        <v>653</v>
      </c>
      <c r="E101" s="557">
        <v>1</v>
      </c>
      <c r="F101" s="12">
        <f t="shared" si="17"/>
        <v>653</v>
      </c>
      <c r="G101" s="12">
        <f t="shared" si="18"/>
        <v>653</v>
      </c>
    </row>
    <row r="102" spans="1:9" x14ac:dyDescent="0.25">
      <c r="A102" s="12" t="str">
        <f t="shared" si="11"/>
        <v xml:space="preserve"> </v>
      </c>
      <c r="B102" s="36" t="str">
        <f t="shared" si="11"/>
        <v>0701</v>
      </c>
      <c r="C102" s="12">
        <f t="shared" si="12"/>
        <v>653</v>
      </c>
      <c r="D102" s="12">
        <f t="shared" si="13"/>
        <v>653</v>
      </c>
      <c r="E102" s="557">
        <v>1</v>
      </c>
      <c r="F102" s="12">
        <f t="shared" si="17"/>
        <v>653</v>
      </c>
      <c r="G102" s="12">
        <f t="shared" si="18"/>
        <v>653</v>
      </c>
    </row>
    <row r="103" spans="1:9" x14ac:dyDescent="0.25">
      <c r="A103" s="12" t="str">
        <f t="shared" si="11"/>
        <v xml:space="preserve"> </v>
      </c>
      <c r="B103" s="36">
        <f t="shared" si="11"/>
        <v>0</v>
      </c>
      <c r="C103" s="12">
        <f t="shared" si="12"/>
        <v>0</v>
      </c>
      <c r="D103" s="12">
        <f t="shared" si="13"/>
        <v>0</v>
      </c>
      <c r="E103" s="557"/>
      <c r="F103" s="12">
        <f t="shared" si="17"/>
        <v>0</v>
      </c>
      <c r="G103" s="12">
        <f t="shared" si="18"/>
        <v>0</v>
      </c>
    </row>
    <row r="104" spans="1:9" x14ac:dyDescent="0.25">
      <c r="A104" s="12" t="str">
        <f t="shared" si="11"/>
        <v xml:space="preserve"> </v>
      </c>
      <c r="B104" s="36">
        <f t="shared" si="11"/>
        <v>0</v>
      </c>
      <c r="C104" s="12">
        <f t="shared" si="12"/>
        <v>0</v>
      </c>
      <c r="D104" s="12">
        <f t="shared" si="13"/>
        <v>0</v>
      </c>
      <c r="E104" s="557"/>
      <c r="F104" s="12">
        <f t="shared" si="17"/>
        <v>0</v>
      </c>
      <c r="G104" s="12">
        <f t="shared" si="18"/>
        <v>0</v>
      </c>
    </row>
    <row r="105" spans="1:9" x14ac:dyDescent="0.25">
      <c r="A105" s="12" t="str">
        <f t="shared" si="11"/>
        <v xml:space="preserve"> </v>
      </c>
      <c r="B105" s="36">
        <f t="shared" si="11"/>
        <v>0</v>
      </c>
      <c r="C105" s="12">
        <f t="shared" si="12"/>
        <v>0</v>
      </c>
      <c r="D105" s="12">
        <f t="shared" si="13"/>
        <v>0</v>
      </c>
      <c r="E105" s="557"/>
      <c r="F105" s="12">
        <f t="shared" si="17"/>
        <v>0</v>
      </c>
      <c r="G105" s="12">
        <f t="shared" si="18"/>
        <v>0</v>
      </c>
    </row>
    <row r="106" spans="1:9" x14ac:dyDescent="0.25">
      <c r="A106" s="12" t="str">
        <f t="shared" si="11"/>
        <v xml:space="preserve"> </v>
      </c>
      <c r="B106" s="36">
        <f t="shared" si="11"/>
        <v>0</v>
      </c>
      <c r="C106" s="12">
        <f t="shared" si="12"/>
        <v>0</v>
      </c>
      <c r="D106" s="12">
        <f t="shared" si="13"/>
        <v>0</v>
      </c>
      <c r="E106" s="842"/>
      <c r="F106" s="12">
        <f t="shared" si="17"/>
        <v>0</v>
      </c>
      <c r="G106" s="12">
        <f t="shared" si="18"/>
        <v>0</v>
      </c>
      <c r="H106" s="843" t="s">
        <v>508</v>
      </c>
      <c r="I106" s="404" t="s">
        <v>605</v>
      </c>
    </row>
    <row r="107" spans="1:9" x14ac:dyDescent="0.25">
      <c r="A107" s="13" t="str">
        <f t="shared" si="11"/>
        <v xml:space="preserve"> </v>
      </c>
      <c r="B107" s="37">
        <f t="shared" si="11"/>
        <v>0</v>
      </c>
      <c r="C107" s="13">
        <f t="shared" si="12"/>
        <v>0</v>
      </c>
      <c r="D107" s="13">
        <f t="shared" si="13"/>
        <v>0</v>
      </c>
      <c r="E107" s="842"/>
      <c r="F107" s="12">
        <f t="shared" si="17"/>
        <v>0</v>
      </c>
      <c r="G107" s="12">
        <f t="shared" si="18"/>
        <v>0</v>
      </c>
      <c r="H107" s="844" t="s">
        <v>604</v>
      </c>
      <c r="I107" s="52" t="s">
        <v>603</v>
      </c>
    </row>
    <row r="108" spans="1:9" x14ac:dyDescent="0.25">
      <c r="A108" s="16"/>
      <c r="B108" s="57" t="s">
        <v>92</v>
      </c>
      <c r="C108" s="21">
        <f>VLOOKUP(1,A87:G107,3,FALSE)</f>
        <v>361</v>
      </c>
      <c r="D108" s="38">
        <f>VLOOKUP(1,A87:G107,4,FALSE)</f>
        <v>1114</v>
      </c>
      <c r="E108" s="473">
        <f>VLOOKUP(1,A87:G107,5,FALSE)</f>
        <v>2</v>
      </c>
      <c r="F108" s="473">
        <f>VLOOKUP(1,A87:G107,6,FALSE)</f>
        <v>361</v>
      </c>
      <c r="G108" s="473">
        <f>VLOOKUP(1,A87:G107,7,FALSE)</f>
        <v>557</v>
      </c>
      <c r="H108" s="844">
        <f>(C108/1000)*(D108/1000)</f>
        <v>0.40215400000000001</v>
      </c>
      <c r="I108" s="545">
        <f>H108*C3</f>
        <v>160.86160000000001</v>
      </c>
    </row>
    <row r="111" spans="1:9" x14ac:dyDescent="0.25">
      <c r="B111" s="1" t="s">
        <v>82</v>
      </c>
      <c r="C111" s="21">
        <f>VLOOKUP(1,A113:C116,3,FALSE)</f>
        <v>0</v>
      </c>
      <c r="D111" s="21">
        <f>VLOOKUP(1,A113:D116,4,FALSE)</f>
        <v>0</v>
      </c>
    </row>
    <row r="112" spans="1:9" x14ac:dyDescent="0.25">
      <c r="A112" s="16"/>
      <c r="B112" s="42" t="s">
        <v>39</v>
      </c>
      <c r="C112" s="38" t="s">
        <v>95</v>
      </c>
      <c r="D112" s="13" t="s">
        <v>838</v>
      </c>
    </row>
    <row r="113" spans="1:5" x14ac:dyDescent="0.25">
      <c r="A113" s="11">
        <f>IF($C$14=B113,1," ")</f>
        <v>1</v>
      </c>
      <c r="B113" s="469" t="s">
        <v>1146</v>
      </c>
      <c r="C113" s="40">
        <v>0</v>
      </c>
      <c r="D113" s="486">
        <v>0</v>
      </c>
    </row>
    <row r="114" spans="1:5" x14ac:dyDescent="0.25">
      <c r="A114" s="12" t="str">
        <f t="shared" ref="A114:A116" si="19">IF($C$14=B114,1," ")</f>
        <v xml:space="preserve"> </v>
      </c>
      <c r="B114" s="61" t="s">
        <v>1147</v>
      </c>
      <c r="C114" s="28">
        <v>1</v>
      </c>
      <c r="D114" s="28">
        <v>30</v>
      </c>
    </row>
    <row r="115" spans="1:5" x14ac:dyDescent="0.25">
      <c r="A115" s="12" t="str">
        <f t="shared" si="19"/>
        <v xml:space="preserve"> </v>
      </c>
      <c r="B115" s="61" t="s">
        <v>1148</v>
      </c>
      <c r="C115" s="28">
        <v>1</v>
      </c>
      <c r="D115" s="28">
        <v>40</v>
      </c>
    </row>
    <row r="116" spans="1:5" x14ac:dyDescent="0.25">
      <c r="A116" s="13" t="str">
        <f t="shared" si="19"/>
        <v xml:space="preserve"> </v>
      </c>
      <c r="B116" s="1158" t="s">
        <v>1149</v>
      </c>
      <c r="C116" s="34">
        <v>2</v>
      </c>
      <c r="D116" s="34">
        <v>80</v>
      </c>
    </row>
    <row r="118" spans="1:5" x14ac:dyDescent="0.25">
      <c r="E118" s="794">
        <v>0.06</v>
      </c>
    </row>
    <row r="119" spans="1:5" x14ac:dyDescent="0.25">
      <c r="C119" s="620">
        <f>VLOOKUP(1,A121:C128,3,FALSE)</f>
        <v>0.05</v>
      </c>
      <c r="D119" s="480">
        <f>VLOOKUP(1,A121:D128,4,FALSE)</f>
        <v>2.0107700000000003E-2</v>
      </c>
      <c r="E119" s="796">
        <f>IF(VLOOKUP(1,A121:E128,5,FALSE)&lt;=D111,D111,VLOOKUP(1,A121:E128,5,FALSE))</f>
        <v>0.48258480000000009</v>
      </c>
    </row>
    <row r="120" spans="1:5" x14ac:dyDescent="0.25">
      <c r="A120" s="16"/>
      <c r="B120" s="42" t="s">
        <v>39</v>
      </c>
      <c r="C120" s="473" t="s">
        <v>489</v>
      </c>
      <c r="D120" s="473" t="s">
        <v>837</v>
      </c>
      <c r="E120" s="442" t="s">
        <v>839</v>
      </c>
    </row>
    <row r="121" spans="1:5" x14ac:dyDescent="0.25">
      <c r="A121" s="11">
        <f>IF($C$15=B121,1," ")</f>
        <v>1</v>
      </c>
      <c r="B121" s="60" t="s">
        <v>84</v>
      </c>
      <c r="C121" s="639">
        <v>0.05</v>
      </c>
      <c r="D121" s="47">
        <f t="shared" ref="D121:D128" si="20">C121*$H$108</f>
        <v>2.0107700000000003E-2</v>
      </c>
      <c r="E121" s="797">
        <f t="shared" ref="E121:E128" si="21">(D121*$C$3)*$E$118</f>
        <v>0.48258480000000009</v>
      </c>
    </row>
    <row r="122" spans="1:5" x14ac:dyDescent="0.25">
      <c r="A122" s="12" t="str">
        <f t="shared" ref="A122:A128" si="22">IF($C$15=B122,1," ")</f>
        <v xml:space="preserve"> </v>
      </c>
      <c r="B122" s="61" t="s">
        <v>85</v>
      </c>
      <c r="C122" s="639">
        <v>0.1</v>
      </c>
      <c r="D122" s="47">
        <f t="shared" si="20"/>
        <v>4.0215400000000005E-2</v>
      </c>
      <c r="E122" s="798">
        <f t="shared" si="21"/>
        <v>0.96516960000000018</v>
      </c>
    </row>
    <row r="123" spans="1:5" x14ac:dyDescent="0.25">
      <c r="A123" s="12" t="str">
        <f t="shared" si="22"/>
        <v xml:space="preserve"> </v>
      </c>
      <c r="B123" s="61" t="s">
        <v>86</v>
      </c>
      <c r="C123" s="639">
        <v>0.2</v>
      </c>
      <c r="D123" s="47">
        <f t="shared" si="20"/>
        <v>8.0430800000000011E-2</v>
      </c>
      <c r="E123" s="798">
        <f t="shared" si="21"/>
        <v>1.9303392000000004</v>
      </c>
    </row>
    <row r="124" spans="1:5" x14ac:dyDescent="0.25">
      <c r="A124" s="12" t="str">
        <f t="shared" si="22"/>
        <v xml:space="preserve"> </v>
      </c>
      <c r="B124" s="61" t="s">
        <v>87</v>
      </c>
      <c r="C124" s="639">
        <v>0.3</v>
      </c>
      <c r="D124" s="47">
        <f t="shared" si="20"/>
        <v>0.1206462</v>
      </c>
      <c r="E124" s="798">
        <f t="shared" si="21"/>
        <v>2.8955088</v>
      </c>
    </row>
    <row r="125" spans="1:5" x14ac:dyDescent="0.25">
      <c r="A125" s="12" t="str">
        <f t="shared" si="22"/>
        <v xml:space="preserve"> </v>
      </c>
      <c r="B125" s="61" t="s">
        <v>88</v>
      </c>
      <c r="C125" s="639">
        <v>0.4</v>
      </c>
      <c r="D125" s="47">
        <f t="shared" si="20"/>
        <v>0.16086160000000002</v>
      </c>
      <c r="E125" s="798">
        <f t="shared" si="21"/>
        <v>3.8606784000000007</v>
      </c>
    </row>
    <row r="126" spans="1:5" x14ac:dyDescent="0.25">
      <c r="A126" s="12" t="str">
        <f t="shared" si="22"/>
        <v xml:space="preserve"> </v>
      </c>
      <c r="B126" s="61" t="s">
        <v>89</v>
      </c>
      <c r="C126" s="639">
        <v>0.6</v>
      </c>
      <c r="D126" s="47">
        <f t="shared" si="20"/>
        <v>0.24129239999999999</v>
      </c>
      <c r="E126" s="798">
        <f t="shared" si="21"/>
        <v>5.7910176</v>
      </c>
    </row>
    <row r="127" spans="1:5" x14ac:dyDescent="0.25">
      <c r="A127" s="12" t="str">
        <f t="shared" si="22"/>
        <v xml:space="preserve"> </v>
      </c>
      <c r="B127" s="61" t="s">
        <v>90</v>
      </c>
      <c r="C127" s="639">
        <v>0.8</v>
      </c>
      <c r="D127" s="47">
        <f t="shared" si="20"/>
        <v>0.32172320000000004</v>
      </c>
      <c r="E127" s="798">
        <f t="shared" si="21"/>
        <v>7.7213568000000015</v>
      </c>
    </row>
    <row r="128" spans="1:5" x14ac:dyDescent="0.25">
      <c r="A128" s="13" t="str">
        <f t="shared" si="22"/>
        <v xml:space="preserve"> </v>
      </c>
      <c r="B128" s="62" t="s">
        <v>91</v>
      </c>
      <c r="C128" s="640">
        <v>1</v>
      </c>
      <c r="D128" s="795">
        <f t="shared" si="20"/>
        <v>0.40215400000000001</v>
      </c>
      <c r="E128" s="799">
        <f t="shared" si="21"/>
        <v>9.6516959999999994</v>
      </c>
    </row>
    <row r="131" spans="1:25" x14ac:dyDescent="0.25">
      <c r="B131" s="1" t="s">
        <v>93</v>
      </c>
      <c r="C131" s="21">
        <f>VLOOKUP(1,A133:C136,3,FALSE)</f>
        <v>0</v>
      </c>
    </row>
    <row r="132" spans="1:25" x14ac:dyDescent="0.25">
      <c r="A132" s="213"/>
      <c r="B132" s="509" t="s">
        <v>39</v>
      </c>
      <c r="C132" s="473" t="s">
        <v>562</v>
      </c>
    </row>
    <row r="133" spans="1:25" x14ac:dyDescent="0.25">
      <c r="A133" s="442">
        <f>IF($C$16=B133,1," ")</f>
        <v>1</v>
      </c>
      <c r="B133" s="36" t="s">
        <v>1150</v>
      </c>
      <c r="C133" s="28">
        <v>0</v>
      </c>
    </row>
    <row r="134" spans="1:25" x14ac:dyDescent="0.25">
      <c r="A134" s="12" t="str">
        <f>IF($C$16=B134,1," ")</f>
        <v xml:space="preserve"> </v>
      </c>
      <c r="B134" s="36" t="s">
        <v>1151</v>
      </c>
      <c r="C134" s="28">
        <v>2</v>
      </c>
    </row>
    <row r="135" spans="1:25" x14ac:dyDescent="0.25">
      <c r="A135" s="12" t="str">
        <f>IF($C$16=B135,1," ")</f>
        <v xml:space="preserve"> </v>
      </c>
      <c r="B135" s="36" t="s">
        <v>1152</v>
      </c>
      <c r="C135" s="28">
        <v>2</v>
      </c>
    </row>
    <row r="136" spans="1:25" x14ac:dyDescent="0.25">
      <c r="A136" s="13" t="str">
        <f>IF($C$16=B136,1," ")</f>
        <v xml:space="preserve"> </v>
      </c>
      <c r="B136" s="37"/>
      <c r="C136" s="474"/>
    </row>
    <row r="138" spans="1:25" s="320" customFormat="1" x14ac:dyDescent="0.25">
      <c r="Y138" s="343"/>
    </row>
    <row r="139" spans="1:25" x14ac:dyDescent="0.25">
      <c r="B139"/>
    </row>
    <row r="140" spans="1:25" x14ac:dyDescent="0.25">
      <c r="B140" t="s">
        <v>589</v>
      </c>
      <c r="C140" s="473">
        <f>AR46</f>
        <v>1</v>
      </c>
      <c r="E140" t="s">
        <v>815</v>
      </c>
      <c r="G140" s="484">
        <v>300</v>
      </c>
      <c r="H140" s="473">
        <f>IF(AND(C140=1,C141&lt;=G140),1,0)</f>
        <v>0</v>
      </c>
    </row>
    <row r="141" spans="1:25" x14ac:dyDescent="0.25">
      <c r="B141" t="s">
        <v>588</v>
      </c>
      <c r="C141" s="473">
        <f>C6+C7</f>
        <v>550</v>
      </c>
      <c r="D141" t="s">
        <v>25</v>
      </c>
    </row>
    <row r="142" spans="1:25" x14ac:dyDescent="0.25">
      <c r="B142" t="s">
        <v>590</v>
      </c>
      <c r="C142" s="473">
        <f>C108</f>
        <v>361</v>
      </c>
      <c r="D142" t="s">
        <v>25</v>
      </c>
    </row>
    <row r="143" spans="1:25" x14ac:dyDescent="0.25">
      <c r="B143"/>
    </row>
    <row r="144" spans="1:25" ht="15.75" thickBot="1" x14ac:dyDescent="0.3">
      <c r="B144" s="2">
        <v>2</v>
      </c>
      <c r="C144" s="2">
        <v>3</v>
      </c>
      <c r="D144" s="2">
        <v>4</v>
      </c>
      <c r="E144" s="2">
        <v>5</v>
      </c>
      <c r="F144" s="2">
        <v>6</v>
      </c>
      <c r="G144" s="2">
        <v>7</v>
      </c>
      <c r="H144" s="2">
        <v>8</v>
      </c>
      <c r="I144" s="2">
        <v>9</v>
      </c>
      <c r="J144" s="2">
        <v>10</v>
      </c>
      <c r="K144" s="2">
        <v>11</v>
      </c>
      <c r="L144" s="2">
        <v>12</v>
      </c>
      <c r="M144" s="2">
        <v>13</v>
      </c>
      <c r="N144" s="2">
        <v>14</v>
      </c>
      <c r="O144" s="2"/>
    </row>
    <row r="145" spans="1:25" ht="15.75" thickBot="1" x14ac:dyDescent="0.3">
      <c r="A145" s="670"/>
      <c r="B145" s="671" t="s">
        <v>28</v>
      </c>
      <c r="C145" s="519">
        <f>IF(H140=1,0,IF(AND(C141&lt;=C157,C142&lt;=D158),1,IF(C142&lt;=C158,1,0)))*C140</f>
        <v>0</v>
      </c>
      <c r="D145" s="519">
        <f>IF(H140=1,1,IF(AND(C141&lt;=D157,C142&gt;=D158),1,0))*C140</f>
        <v>0</v>
      </c>
      <c r="E145" s="519">
        <f t="shared" ref="E145:N145" si="23">VLOOKUP(1,148:158,E144,FALSE)</f>
        <v>2</v>
      </c>
      <c r="F145" s="467">
        <f t="shared" si="23"/>
        <v>3</v>
      </c>
      <c r="G145" s="467">
        <f t="shared" si="23"/>
        <v>0.95</v>
      </c>
      <c r="H145" s="467">
        <f t="shared" si="23"/>
        <v>0.8</v>
      </c>
      <c r="I145" s="467">
        <f t="shared" si="23"/>
        <v>3</v>
      </c>
      <c r="J145" s="467">
        <f t="shared" si="23"/>
        <v>0.8</v>
      </c>
      <c r="K145" s="467">
        <f t="shared" si="23"/>
        <v>25</v>
      </c>
      <c r="L145" s="467">
        <f t="shared" si="23"/>
        <v>300</v>
      </c>
      <c r="M145" s="467">
        <f t="shared" si="23"/>
        <v>300</v>
      </c>
      <c r="N145" s="1094">
        <f t="shared" si="23"/>
        <v>1</v>
      </c>
      <c r="O145" s="281"/>
    </row>
    <row r="146" spans="1:25" x14ac:dyDescent="0.25">
      <c r="A146" s="339"/>
      <c r="B146" s="7"/>
      <c r="C146" s="120"/>
      <c r="D146" s="41"/>
      <c r="E146" s="41"/>
      <c r="F146" s="41"/>
      <c r="G146" s="41"/>
      <c r="H146" s="41"/>
      <c r="I146" s="41"/>
      <c r="J146" s="41"/>
      <c r="K146" s="887"/>
      <c r="L146" s="887"/>
      <c r="M146" s="887"/>
      <c r="N146" s="1040"/>
      <c r="O146" s="41"/>
    </row>
    <row r="147" spans="1:25" x14ac:dyDescent="0.25">
      <c r="A147" s="341"/>
      <c r="B147" s="434"/>
      <c r="C147" s="202" t="s">
        <v>585</v>
      </c>
      <c r="D147" s="13" t="s">
        <v>587</v>
      </c>
      <c r="E147" s="13" t="s">
        <v>20</v>
      </c>
      <c r="F147" s="13" t="s">
        <v>713</v>
      </c>
      <c r="G147" s="13" t="s">
        <v>793</v>
      </c>
      <c r="H147" s="13" t="s">
        <v>990</v>
      </c>
      <c r="I147" s="13" t="s">
        <v>855</v>
      </c>
      <c r="J147" s="13" t="s">
        <v>856</v>
      </c>
      <c r="K147" s="12" t="s">
        <v>938</v>
      </c>
      <c r="L147" s="12" t="s">
        <v>967</v>
      </c>
      <c r="M147" s="12" t="s">
        <v>968</v>
      </c>
      <c r="N147" s="432" t="s">
        <v>1058</v>
      </c>
      <c r="O147" s="12"/>
    </row>
    <row r="148" spans="1:25" x14ac:dyDescent="0.25">
      <c r="A148" s="442" t="str">
        <f t="shared" ref="A148:A157" si="24">IF($C$4=B148,1," ")</f>
        <v xml:space="preserve"> </v>
      </c>
      <c r="B148" s="516" t="s">
        <v>30</v>
      </c>
      <c r="C148" s="486">
        <v>390</v>
      </c>
      <c r="D148" s="486">
        <v>390</v>
      </c>
      <c r="E148" s="28">
        <v>1</v>
      </c>
      <c r="F148" s="28">
        <v>1.5</v>
      </c>
      <c r="G148" s="969">
        <v>1</v>
      </c>
      <c r="H148" s="969">
        <v>1</v>
      </c>
      <c r="I148" s="28">
        <v>4</v>
      </c>
      <c r="J148" s="28">
        <v>1</v>
      </c>
      <c r="K148" s="486">
        <v>50</v>
      </c>
      <c r="L148" s="486">
        <v>600</v>
      </c>
      <c r="M148" s="486">
        <v>600</v>
      </c>
      <c r="N148" s="1041">
        <v>1</v>
      </c>
      <c r="O148" s="968"/>
    </row>
    <row r="149" spans="1:25" x14ac:dyDescent="0.25">
      <c r="A149" s="12">
        <f t="shared" si="24"/>
        <v>1</v>
      </c>
      <c r="B149" s="77" t="s">
        <v>31</v>
      </c>
      <c r="C149" s="28">
        <v>400</v>
      </c>
      <c r="D149" s="28">
        <v>400</v>
      </c>
      <c r="E149" s="28">
        <v>2</v>
      </c>
      <c r="F149" s="28">
        <v>3</v>
      </c>
      <c r="G149" s="969">
        <v>0.95</v>
      </c>
      <c r="H149" s="969">
        <v>0.8</v>
      </c>
      <c r="I149" s="28">
        <v>3</v>
      </c>
      <c r="J149" s="28">
        <v>0.8</v>
      </c>
      <c r="K149" s="28">
        <v>25</v>
      </c>
      <c r="L149" s="28">
        <v>300</v>
      </c>
      <c r="M149" s="28">
        <v>300</v>
      </c>
      <c r="N149" s="1042">
        <v>1</v>
      </c>
      <c r="O149" s="969"/>
    </row>
    <row r="150" spans="1:25" x14ac:dyDescent="0.25">
      <c r="A150" s="13" t="str">
        <f t="shared" si="24"/>
        <v xml:space="preserve"> </v>
      </c>
      <c r="B150" s="416" t="s">
        <v>32</v>
      </c>
      <c r="C150" s="34">
        <v>405</v>
      </c>
      <c r="D150" s="34">
        <v>405</v>
      </c>
      <c r="E150" s="28">
        <v>3</v>
      </c>
      <c r="F150" s="28">
        <v>4</v>
      </c>
      <c r="G150" s="969">
        <v>0.9</v>
      </c>
      <c r="H150" s="969">
        <v>0.75</v>
      </c>
      <c r="I150" s="28">
        <v>2</v>
      </c>
      <c r="J150" s="28">
        <v>0.6</v>
      </c>
      <c r="K150" s="34">
        <v>20</v>
      </c>
      <c r="L150" s="34">
        <v>250</v>
      </c>
      <c r="M150" s="34">
        <v>250</v>
      </c>
      <c r="N150" s="1043">
        <v>1</v>
      </c>
      <c r="O150" s="970"/>
    </row>
    <row r="151" spans="1:25" x14ac:dyDescent="0.25">
      <c r="A151" s="12" t="str">
        <f t="shared" si="24"/>
        <v xml:space="preserve"> </v>
      </c>
      <c r="B151" s="77" t="s">
        <v>36</v>
      </c>
      <c r="C151" s="28">
        <v>600</v>
      </c>
      <c r="D151" s="486">
        <v>500</v>
      </c>
      <c r="E151" s="486">
        <v>4</v>
      </c>
      <c r="F151" s="486">
        <v>6</v>
      </c>
      <c r="G151" s="968">
        <v>0.65</v>
      </c>
      <c r="H151" s="968">
        <v>0.6</v>
      </c>
      <c r="I151" s="486">
        <v>1</v>
      </c>
      <c r="J151" s="486">
        <v>0.4</v>
      </c>
      <c r="K151" s="486">
        <v>15</v>
      </c>
      <c r="L151" s="486">
        <v>200</v>
      </c>
      <c r="M151" s="486">
        <v>200</v>
      </c>
      <c r="N151" s="1041">
        <v>1</v>
      </c>
      <c r="O151" s="968"/>
    </row>
    <row r="152" spans="1:25" x14ac:dyDescent="0.25">
      <c r="A152" s="12" t="str">
        <f t="shared" si="24"/>
        <v xml:space="preserve"> </v>
      </c>
      <c r="B152" s="77" t="s">
        <v>34</v>
      </c>
      <c r="C152" s="28">
        <v>410</v>
      </c>
      <c r="D152" s="28">
        <v>410</v>
      </c>
      <c r="E152" s="28">
        <v>2</v>
      </c>
      <c r="F152" s="28">
        <v>3</v>
      </c>
      <c r="G152" s="969">
        <v>1</v>
      </c>
      <c r="H152" s="969">
        <v>0.7</v>
      </c>
      <c r="I152" s="28">
        <v>3</v>
      </c>
      <c r="J152" s="28">
        <v>0.8</v>
      </c>
      <c r="K152" s="28">
        <v>25</v>
      </c>
      <c r="L152" s="28">
        <v>300</v>
      </c>
      <c r="M152" s="28">
        <v>300</v>
      </c>
      <c r="N152" s="1042">
        <v>1</v>
      </c>
      <c r="O152" s="969"/>
    </row>
    <row r="153" spans="1:25" x14ac:dyDescent="0.25">
      <c r="A153" s="12" t="str">
        <f t="shared" si="24"/>
        <v xml:space="preserve"> </v>
      </c>
      <c r="B153" s="77" t="s">
        <v>33</v>
      </c>
      <c r="C153" s="28">
        <v>500</v>
      </c>
      <c r="D153" s="28">
        <v>450</v>
      </c>
      <c r="E153" s="28">
        <v>3</v>
      </c>
      <c r="F153" s="28">
        <v>4</v>
      </c>
      <c r="G153" s="969">
        <v>0.85</v>
      </c>
      <c r="H153" s="969">
        <v>0.7</v>
      </c>
      <c r="I153" s="28">
        <v>2</v>
      </c>
      <c r="J153" s="28">
        <v>0.6</v>
      </c>
      <c r="K153" s="28">
        <v>20</v>
      </c>
      <c r="L153" s="28">
        <v>250</v>
      </c>
      <c r="M153" s="28">
        <v>250</v>
      </c>
      <c r="N153" s="1042">
        <v>1</v>
      </c>
      <c r="O153" s="969"/>
    </row>
    <row r="154" spans="1:25" x14ac:dyDescent="0.25">
      <c r="A154" s="12" t="str">
        <f t="shared" si="24"/>
        <v xml:space="preserve"> </v>
      </c>
      <c r="B154" s="77" t="s">
        <v>35</v>
      </c>
      <c r="C154" s="28">
        <v>500</v>
      </c>
      <c r="D154" s="28">
        <v>450</v>
      </c>
      <c r="E154" s="28">
        <v>3</v>
      </c>
      <c r="F154" s="28">
        <v>3.5</v>
      </c>
      <c r="G154" s="969">
        <v>0.85</v>
      </c>
      <c r="H154" s="969">
        <v>0.7</v>
      </c>
      <c r="I154" s="28">
        <v>2</v>
      </c>
      <c r="J154" s="28">
        <v>0.6</v>
      </c>
      <c r="K154" s="28">
        <v>20</v>
      </c>
      <c r="L154" s="28">
        <v>250</v>
      </c>
      <c r="M154" s="28">
        <v>250</v>
      </c>
      <c r="N154" s="1042">
        <v>1</v>
      </c>
      <c r="O154" s="969"/>
    </row>
    <row r="155" spans="1:25" x14ac:dyDescent="0.25">
      <c r="A155" s="515" t="str">
        <f t="shared" si="24"/>
        <v xml:space="preserve"> </v>
      </c>
      <c r="B155" s="77" t="s">
        <v>37</v>
      </c>
      <c r="C155" s="28">
        <v>600</v>
      </c>
      <c r="D155" s="28">
        <v>500</v>
      </c>
      <c r="E155" s="28">
        <v>6</v>
      </c>
      <c r="F155" s="28">
        <v>9</v>
      </c>
      <c r="G155" s="969">
        <v>0.65</v>
      </c>
      <c r="H155" s="969">
        <v>0.35</v>
      </c>
      <c r="I155" s="28">
        <v>1</v>
      </c>
      <c r="J155" s="28">
        <v>0.2</v>
      </c>
      <c r="K155" s="28">
        <v>1</v>
      </c>
      <c r="L155" s="28">
        <v>1</v>
      </c>
      <c r="M155" s="28">
        <v>1</v>
      </c>
      <c r="N155" s="1042">
        <v>1</v>
      </c>
      <c r="O155" s="969"/>
    </row>
    <row r="156" spans="1:25" x14ac:dyDescent="0.25">
      <c r="A156" s="13" t="str">
        <f t="shared" si="24"/>
        <v xml:space="preserve"> </v>
      </c>
      <c r="B156" s="416" t="s">
        <v>38</v>
      </c>
      <c r="C156" s="34">
        <v>700</v>
      </c>
      <c r="D156" s="34">
        <v>600</v>
      </c>
      <c r="E156" s="34">
        <v>9</v>
      </c>
      <c r="F156" s="34">
        <v>13</v>
      </c>
      <c r="G156" s="970">
        <v>0.5</v>
      </c>
      <c r="H156" s="970">
        <v>0.35</v>
      </c>
      <c r="I156" s="34">
        <v>1</v>
      </c>
      <c r="J156" s="34">
        <v>0.1</v>
      </c>
      <c r="K156" s="28">
        <v>1</v>
      </c>
      <c r="L156" s="28">
        <v>1</v>
      </c>
      <c r="M156" s="28">
        <v>1</v>
      </c>
      <c r="N156" s="1043">
        <v>1</v>
      </c>
      <c r="O156" s="970"/>
    </row>
    <row r="157" spans="1:25" x14ac:dyDescent="0.25">
      <c r="A157" s="411" t="str">
        <f t="shared" si="24"/>
        <v xml:space="preserve"> </v>
      </c>
      <c r="B157" s="405" t="s">
        <v>28</v>
      </c>
      <c r="C157" s="473">
        <f>VLOOKUP(1,A148:C156,3,FALSE)</f>
        <v>400</v>
      </c>
      <c r="D157" s="473">
        <f>VLOOKUP(1,A148:D156,4,FALSE)</f>
        <v>400</v>
      </c>
      <c r="E157" s="486"/>
      <c r="F157" s="486"/>
      <c r="G157" s="486"/>
      <c r="H157" s="486"/>
      <c r="I157" s="486"/>
      <c r="J157" s="486"/>
      <c r="K157" s="886"/>
      <c r="L157" s="886"/>
      <c r="M157" s="886"/>
      <c r="N157" s="53"/>
      <c r="O157" s="967"/>
    </row>
    <row r="158" spans="1:25" x14ac:dyDescent="0.25">
      <c r="A158" s="8"/>
      <c r="B158" s="341" t="s">
        <v>586</v>
      </c>
      <c r="C158" s="484">
        <v>325</v>
      </c>
      <c r="D158" s="34">
        <v>1100</v>
      </c>
      <c r="E158" s="34"/>
      <c r="F158" s="34"/>
      <c r="G158" s="34"/>
      <c r="H158" s="34"/>
      <c r="I158" s="34"/>
      <c r="J158" s="34"/>
      <c r="K158" s="474"/>
      <c r="L158" s="474"/>
      <c r="M158" s="474"/>
      <c r="N158" s="1044"/>
      <c r="O158" s="474"/>
    </row>
    <row r="159" spans="1:25" x14ac:dyDescent="0.25">
      <c r="B159"/>
    </row>
    <row r="160" spans="1:25" s="320" customFormat="1" x14ac:dyDescent="0.25">
      <c r="B160" s="441"/>
      <c r="Y160" s="343"/>
    </row>
    <row r="162" spans="1:10" x14ac:dyDescent="0.25">
      <c r="B162" s="215" t="s">
        <v>194</v>
      </c>
    </row>
    <row r="163" spans="1:10" x14ac:dyDescent="0.25">
      <c r="C163" s="2"/>
    </row>
    <row r="164" spans="1:10" x14ac:dyDescent="0.25">
      <c r="A164" s="2" t="s">
        <v>176</v>
      </c>
      <c r="C164" s="2" t="s">
        <v>168</v>
      </c>
      <c r="D164" s="2" t="s">
        <v>169</v>
      </c>
      <c r="E164" s="2" t="s">
        <v>170</v>
      </c>
      <c r="H164" s="59" t="s">
        <v>1326</v>
      </c>
    </row>
    <row r="165" spans="1:10" x14ac:dyDescent="0.25">
      <c r="A165" s="216">
        <f>IF(SUM(D165:E165)&gt;0,1,0)</f>
        <v>0</v>
      </c>
      <c r="B165" s="221" t="s">
        <v>166</v>
      </c>
      <c r="C165" s="219">
        <v>70</v>
      </c>
      <c r="D165" s="208">
        <f>AC46</f>
        <v>0</v>
      </c>
      <c r="E165" s="216">
        <f>E175</f>
        <v>0</v>
      </c>
      <c r="H165" s="14"/>
      <c r="I165" s="412"/>
      <c r="J165" s="486">
        <v>3</v>
      </c>
    </row>
    <row r="166" spans="1:10" x14ac:dyDescent="0.25">
      <c r="A166" s="13">
        <f>IF(SUM(D166:E166)&gt;0,1,0)</f>
        <v>0</v>
      </c>
      <c r="B166" s="37" t="s">
        <v>167</v>
      </c>
      <c r="C166" s="219">
        <v>50</v>
      </c>
      <c r="D166" s="18">
        <f>AC46</f>
        <v>0</v>
      </c>
      <c r="E166" s="34">
        <v>0</v>
      </c>
      <c r="H166" s="14" t="s">
        <v>1327</v>
      </c>
      <c r="I166" s="547">
        <f>E238</f>
        <v>320</v>
      </c>
      <c r="J166" s="442">
        <f>IF(OR(C184&gt;=I166,C185&gt;=I166,C186&gt;=I166,C187&gt;=I166),1,0)</f>
        <v>1</v>
      </c>
    </row>
    <row r="167" spans="1:10" x14ac:dyDescent="0.25">
      <c r="H167" s="6" t="s">
        <v>1328</v>
      </c>
      <c r="I167" s="556">
        <f>D242</f>
        <v>1400</v>
      </c>
      <c r="J167" s="12">
        <f>IF(OR(C184&lt;=I167,C185&lt;=I167,C186&lt;=I167,C187&lt;=I167),1,0)</f>
        <v>1</v>
      </c>
    </row>
    <row r="168" spans="1:10" x14ac:dyDescent="0.25">
      <c r="H168" s="570" t="s">
        <v>1329</v>
      </c>
      <c r="I168" s="443">
        <f>F242</f>
        <v>1580</v>
      </c>
      <c r="J168" s="13">
        <f>IF(E183&lt;=I168,1,0)</f>
        <v>1</v>
      </c>
    </row>
    <row r="169" spans="1:10" x14ac:dyDescent="0.25">
      <c r="B169" s="221"/>
      <c r="C169" s="216" t="s">
        <v>75</v>
      </c>
      <c r="D169" s="216" t="s">
        <v>76</v>
      </c>
      <c r="E169" s="38" t="s">
        <v>173</v>
      </c>
      <c r="H169" s="950" t="s">
        <v>1292</v>
      </c>
      <c r="I169" s="1204"/>
      <c r="J169" s="951">
        <f>IF(SUM(J166:J168)=J165,1,0)</f>
        <v>1</v>
      </c>
    </row>
    <row r="170" spans="1:10" x14ac:dyDescent="0.25">
      <c r="B170" s="37" t="s">
        <v>172</v>
      </c>
      <c r="C170" s="13">
        <f>AD46</f>
        <v>127</v>
      </c>
      <c r="D170" s="13">
        <f>AE46</f>
        <v>127</v>
      </c>
      <c r="E170" s="20">
        <f>SUM(C170:D170)</f>
        <v>254</v>
      </c>
    </row>
    <row r="171" spans="1:10" x14ac:dyDescent="0.25">
      <c r="C171" s="2"/>
      <c r="D171" s="2"/>
      <c r="E171" s="2"/>
    </row>
    <row r="173" spans="1:10" x14ac:dyDescent="0.25">
      <c r="B173" s="35"/>
      <c r="C173" s="11">
        <v>51</v>
      </c>
      <c r="D173" s="11">
        <v>76</v>
      </c>
      <c r="E173" s="11" t="s">
        <v>174</v>
      </c>
    </row>
    <row r="174" spans="1:10" x14ac:dyDescent="0.25">
      <c r="B174" s="37"/>
      <c r="C174" s="13">
        <v>74</v>
      </c>
      <c r="D174" s="13">
        <v>93</v>
      </c>
      <c r="E174" s="13" t="s">
        <v>175</v>
      </c>
    </row>
    <row r="175" spans="1:10" x14ac:dyDescent="0.25">
      <c r="B175" s="220" t="s">
        <v>171</v>
      </c>
      <c r="C175" s="216">
        <f>IF(AND(E170&gt;=C173,E170&lt;=C174),1,0)</f>
        <v>0</v>
      </c>
      <c r="D175" s="38">
        <f>IF(AND(E170&gt;=D173,E170&lt;=D174),1,0)</f>
        <v>0</v>
      </c>
      <c r="E175" s="216">
        <f>IF(SUM(C175:D175)&gt;0,1,0)</f>
        <v>0</v>
      </c>
    </row>
    <row r="178" spans="1:23" ht="15.75" thickBot="1" x14ac:dyDescent="0.3">
      <c r="S178" s="1285" t="s">
        <v>729</v>
      </c>
      <c r="T178" s="1286"/>
      <c r="U178" s="1286"/>
      <c r="V178" s="1284"/>
    </row>
    <row r="179" spans="1:23" x14ac:dyDescent="0.25">
      <c r="A179" s="243"/>
      <c r="B179" s="278" t="s">
        <v>166</v>
      </c>
      <c r="C179" s="241">
        <f>A165*C165</f>
        <v>0</v>
      </c>
      <c r="D179" s="70">
        <v>2</v>
      </c>
      <c r="E179" s="260"/>
      <c r="F179" s="15"/>
      <c r="G179" s="4"/>
      <c r="H179" s="264"/>
      <c r="I179" s="265"/>
      <c r="J179" s="15"/>
      <c r="K179" s="51"/>
      <c r="L179" s="511" t="s">
        <v>188</v>
      </c>
      <c r="M179" s="438"/>
      <c r="N179" s="476"/>
      <c r="O179" s="431" t="s">
        <v>1325</v>
      </c>
      <c r="P179" s="431" t="s">
        <v>28</v>
      </c>
      <c r="Q179" s="476"/>
      <c r="R179" s="501" t="s">
        <v>555</v>
      </c>
      <c r="S179" s="433"/>
      <c r="T179" s="404"/>
      <c r="U179" s="404"/>
      <c r="V179" s="404"/>
    </row>
    <row r="180" spans="1:23" ht="15.75" thickBot="1" x14ac:dyDescent="0.3">
      <c r="A180" s="244"/>
      <c r="B180" s="279" t="s">
        <v>167</v>
      </c>
      <c r="C180" s="241">
        <f>A166*C166</f>
        <v>0</v>
      </c>
      <c r="D180" s="33">
        <v>40</v>
      </c>
      <c r="E180" s="244"/>
      <c r="F180" s="9"/>
      <c r="G180" s="9"/>
      <c r="H180" s="266"/>
      <c r="I180" s="267"/>
      <c r="J180" s="9"/>
      <c r="K180" s="13"/>
      <c r="L180" s="276">
        <f>AA46</f>
        <v>1</v>
      </c>
      <c r="M180" s="415"/>
      <c r="N180" s="8"/>
      <c r="O180" s="18">
        <f>IF(C111&gt;0,1,0)</f>
        <v>0</v>
      </c>
      <c r="P180" s="18">
        <f>IF(C131=0,0,1)</f>
        <v>0</v>
      </c>
      <c r="Q180" s="415"/>
      <c r="R180" s="445">
        <f>IF(SUM(R184:R187)&gt;0,1,0)</f>
        <v>1</v>
      </c>
      <c r="S180" s="434"/>
      <c r="T180" s="13"/>
      <c r="U180" s="13"/>
      <c r="V180" s="13"/>
      <c r="W180" s="2"/>
    </row>
    <row r="181" spans="1:23" ht="15.75" thickTop="1" x14ac:dyDescent="0.25">
      <c r="A181" s="6"/>
      <c r="B181" s="274" t="s">
        <v>61</v>
      </c>
      <c r="C181" s="256" t="s">
        <v>18</v>
      </c>
      <c r="D181" s="226" t="s">
        <v>24</v>
      </c>
      <c r="E181" s="3" t="s">
        <v>184</v>
      </c>
      <c r="F181" s="248" t="s">
        <v>186</v>
      </c>
      <c r="G181" s="3" t="s">
        <v>184</v>
      </c>
      <c r="H181" s="1287" t="s">
        <v>99</v>
      </c>
      <c r="I181" s="1288"/>
      <c r="J181" s="226" t="s">
        <v>100</v>
      </c>
      <c r="K181" s="137" t="s">
        <v>164</v>
      </c>
      <c r="L181" s="292" t="s">
        <v>189</v>
      </c>
      <c r="M181" s="439" t="s">
        <v>495</v>
      </c>
      <c r="N181" s="476" t="s">
        <v>556</v>
      </c>
      <c r="O181" s="476" t="s">
        <v>567</v>
      </c>
      <c r="P181" s="431" t="s">
        <v>576</v>
      </c>
      <c r="Q181" s="239" t="s">
        <v>714</v>
      </c>
      <c r="R181" s="269" t="s">
        <v>191</v>
      </c>
      <c r="S181" s="235" t="s">
        <v>192</v>
      </c>
      <c r="T181" s="442" t="s">
        <v>726</v>
      </c>
      <c r="U181" s="661" t="s">
        <v>149</v>
      </c>
      <c r="V181" s="661" t="s">
        <v>110</v>
      </c>
      <c r="W181" s="2"/>
    </row>
    <row r="182" spans="1:23" x14ac:dyDescent="0.25">
      <c r="A182" s="6"/>
      <c r="B182" s="256" t="s">
        <v>180</v>
      </c>
      <c r="C182" s="256" t="s">
        <v>109</v>
      </c>
      <c r="D182" s="228" t="s">
        <v>182</v>
      </c>
      <c r="E182" s="26" t="s">
        <v>185</v>
      </c>
      <c r="F182" s="249" t="s">
        <v>181</v>
      </c>
      <c r="G182" s="26" t="s">
        <v>185</v>
      </c>
      <c r="H182" s="268" t="s">
        <v>181</v>
      </c>
      <c r="I182" s="269" t="s">
        <v>182</v>
      </c>
      <c r="J182" s="228" t="s">
        <v>187</v>
      </c>
      <c r="K182" s="120" t="s">
        <v>180</v>
      </c>
      <c r="L182" s="78" t="s">
        <v>190</v>
      </c>
      <c r="M182" s="26" t="s">
        <v>96</v>
      </c>
      <c r="N182" s="8"/>
      <c r="O182" s="227" t="s">
        <v>774</v>
      </c>
      <c r="P182" s="26" t="s">
        <v>577</v>
      </c>
      <c r="Q182" s="242" t="s">
        <v>96</v>
      </c>
      <c r="R182" s="675" t="s">
        <v>96</v>
      </c>
      <c r="S182" s="277" t="s">
        <v>193</v>
      </c>
      <c r="T182" s="120" t="s">
        <v>727</v>
      </c>
      <c r="U182" s="120" t="s">
        <v>728</v>
      </c>
      <c r="V182" s="120" t="s">
        <v>728</v>
      </c>
    </row>
    <row r="183" spans="1:23" x14ac:dyDescent="0.25">
      <c r="A183" s="8"/>
      <c r="B183" s="275"/>
      <c r="C183" s="257" t="s">
        <v>183</v>
      </c>
      <c r="D183" s="70">
        <v>1000</v>
      </c>
      <c r="E183" s="208">
        <f>D108</f>
        <v>1114</v>
      </c>
      <c r="F183" s="250">
        <v>4000</v>
      </c>
      <c r="G183" s="208">
        <f>D108</f>
        <v>1114</v>
      </c>
      <c r="H183" s="263">
        <v>1400</v>
      </c>
      <c r="I183" s="270">
        <v>530</v>
      </c>
      <c r="J183" s="20"/>
      <c r="K183" s="216">
        <f>AN46</f>
        <v>4</v>
      </c>
      <c r="L183" s="262">
        <v>95</v>
      </c>
      <c r="M183" s="213"/>
      <c r="N183" s="31">
        <v>200</v>
      </c>
      <c r="O183" s="473">
        <f>IF(OR(C111=0,C111=1,C111=2),1,0)</f>
        <v>1</v>
      </c>
      <c r="P183" s="208">
        <f>AQ46</f>
        <v>1</v>
      </c>
      <c r="Q183" s="241">
        <f>'Prijs karton'!AD16</f>
        <v>1</v>
      </c>
      <c r="R183" s="676">
        <v>10</v>
      </c>
      <c r="S183" s="230">
        <v>6</v>
      </c>
      <c r="T183" s="41"/>
      <c r="U183" s="52"/>
      <c r="V183" s="52"/>
    </row>
    <row r="184" spans="1:23" x14ac:dyDescent="0.25">
      <c r="A184" s="26" t="str">
        <f>IF(R184=1,B184," ")</f>
        <v xml:space="preserve"> </v>
      </c>
      <c r="B184" s="258">
        <v>1</v>
      </c>
      <c r="C184" s="258">
        <f>(C108*B184)+(2*C180)</f>
        <v>361</v>
      </c>
      <c r="D184" s="251">
        <f>IF(E184&lt;=$D$179,E184*$E$183,IF(E184&gt;$D$179,(E184*$E$183)+$D$180))</f>
        <v>1114</v>
      </c>
      <c r="E184" s="3">
        <f>CEILING(D183/E183,1)</f>
        <v>1</v>
      </c>
      <c r="F184" s="236">
        <f>IF(G184&lt;=$D$179,G184*$G$183,IF(G184&gt;$D$179,(G184*$G$183)+$D$180))</f>
        <v>3382</v>
      </c>
      <c r="G184" s="4">
        <f>IF((F183/G183)&gt;D179,FLOOR((F183-D180)/G183,1),IF((F183/G183)&lt;=D179,FLOOR((F183/G183),1)))</f>
        <v>3</v>
      </c>
      <c r="H184" s="271">
        <f>IF(C184&lt;=$H$183,1,0)</f>
        <v>1</v>
      </c>
      <c r="I184" s="239">
        <f>IF(C184&gt;=$I$183,1,0)</f>
        <v>0</v>
      </c>
      <c r="J184" s="25">
        <f>IF(AND(E184&gt;0,G184&gt;0),1,0)</f>
        <v>1</v>
      </c>
      <c r="K184" s="11">
        <f>IF(B184&lt;=$K$183,1,0)</f>
        <v>1</v>
      </c>
      <c r="L184" s="3">
        <f>IF(L180=0,1,IF(AND(L180=1,C8&gt;=L183),1,IF(AND(L180=1,C8&lt;L183),0)))</f>
        <v>1</v>
      </c>
      <c r="M184" s="26">
        <f>T46</f>
        <v>1</v>
      </c>
      <c r="N184" s="26">
        <f>IF($E$183&gt;=$N$183,1,0)</f>
        <v>1</v>
      </c>
      <c r="O184" s="26">
        <f>$O$183</f>
        <v>1</v>
      </c>
      <c r="P184" s="431">
        <f>IF($P$180=0,1,IF(AND($P$180=1,$P$183=1),1,IF(AND($P$180=1,$P$183=0),0)))</f>
        <v>1</v>
      </c>
      <c r="Q184" s="240">
        <f>$Q$183</f>
        <v>1</v>
      </c>
      <c r="R184" s="485">
        <f>IF(SUM(H184:Q184)=$R$183,1,0)</f>
        <v>0</v>
      </c>
      <c r="S184" s="271">
        <f>IF(SUM(H184:K184)+M184+Q184=$S$183,1,0)</f>
        <v>0</v>
      </c>
      <c r="T184" s="442" t="str">
        <f>IF(S184=1,B184," ")</f>
        <v xml:space="preserve"> </v>
      </c>
      <c r="U184" s="442" t="str">
        <f>IF(S184=1,E184," ")</f>
        <v xml:space="preserve"> </v>
      </c>
      <c r="V184" s="12" t="str">
        <f>IF(S184=1,G184," ")</f>
        <v xml:space="preserve"> </v>
      </c>
    </row>
    <row r="185" spans="1:23" x14ac:dyDescent="0.25">
      <c r="A185" s="26">
        <f>IF(R185=1,B185," ")</f>
        <v>2</v>
      </c>
      <c r="B185" s="259">
        <v>2</v>
      </c>
      <c r="C185" s="259">
        <f>(C108*B185)+(2*C180)+(B184*C179)</f>
        <v>722</v>
      </c>
      <c r="D185" s="252">
        <f>IF(E185&lt;=$D$179,E185*$E$183,IF(E185&gt;$D$179,(E185*$E$183)+$D$180))</f>
        <v>1114</v>
      </c>
      <c r="E185" s="26">
        <f>CEILING(D183/E183,1)</f>
        <v>1</v>
      </c>
      <c r="F185" s="237">
        <f>IF(G185&lt;=$D$179,G185*$G$183,IF(G185&gt;$D$179,(G185*$G$183)+$D$180))</f>
        <v>3382</v>
      </c>
      <c r="G185" s="2">
        <f>IF((F183/G183)&gt;D179,FLOOR((F183-D180)/G183,1),IF((F183/G183)&lt;=D179,FLOOR((F183/G183),1)))</f>
        <v>3</v>
      </c>
      <c r="H185" s="272">
        <f>IF(C185&lt;=$H$183,1,0)</f>
        <v>1</v>
      </c>
      <c r="I185" s="240">
        <f t="shared" ref="I185:I187" si="25">IF(C185&gt;=$I$183,1,0)</f>
        <v>1</v>
      </c>
      <c r="J185" s="25">
        <f>IF(AND(E185&gt;0,G185&gt;0),1,0)</f>
        <v>1</v>
      </c>
      <c r="K185" s="12">
        <f>IF(B185&lt;=$K$183,1,0)</f>
        <v>1</v>
      </c>
      <c r="L185" s="26">
        <f>IF(L180=0,1,IF(AND(L180=1,C8&gt;=L183),1,IF(AND(L180=1,C8&lt;L183),0)))</f>
        <v>1</v>
      </c>
      <c r="M185" s="26">
        <f>T46</f>
        <v>1</v>
      </c>
      <c r="N185" s="26">
        <f>IF($E$183&gt;=$N$183,1,0)</f>
        <v>1</v>
      </c>
      <c r="O185" s="26">
        <f>$O$183</f>
        <v>1</v>
      </c>
      <c r="P185" s="26">
        <f>IF($P$180=0,1,IF(AND($P$180=1,$P$183=1),1,IF(AND($P$180=1,$P$183=0),0)))</f>
        <v>1</v>
      </c>
      <c r="Q185" s="240">
        <f t="shared" ref="Q185:Q187" si="26">$Q$183</f>
        <v>1</v>
      </c>
      <c r="R185" s="246">
        <f t="shared" ref="R185:R187" si="27">IF(SUM(H185:Q185)=$R$183,1,0)</f>
        <v>1</v>
      </c>
      <c r="S185" s="272">
        <f t="shared" ref="S185:S187" si="28">IF(SUM(H185:K185)+M185+Q185=$S$183,1,0)</f>
        <v>1</v>
      </c>
      <c r="T185" s="12">
        <f>IF(S185=1,B185," ")</f>
        <v>2</v>
      </c>
      <c r="U185" s="12">
        <f>IF(S185=1,E185," ")</f>
        <v>1</v>
      </c>
      <c r="V185" s="12">
        <f>IF(S185=1,G185," ")</f>
        <v>3</v>
      </c>
    </row>
    <row r="186" spans="1:23" x14ac:dyDescent="0.25">
      <c r="A186" s="26">
        <f>IF(R186=1,B186," ")</f>
        <v>3</v>
      </c>
      <c r="B186" s="259">
        <v>3</v>
      </c>
      <c r="C186" s="259">
        <f>(C108*B186)+(2*C180)+(B185*C179)</f>
        <v>1083</v>
      </c>
      <c r="D186" s="252">
        <f>IF(E186&lt;=$D$179,E186*$E$183,IF(E186&gt;$D$179,(E186*$E$183)+$D$180))</f>
        <v>1114</v>
      </c>
      <c r="E186" s="26">
        <f>CEILING(D183/E183,1)</f>
        <v>1</v>
      </c>
      <c r="F186" s="237">
        <f>IF(G186&lt;=$D$179,G186*$G$183,IF(G186&gt;$D$179,(G186*$G$183)+$D$180))</f>
        <v>3382</v>
      </c>
      <c r="G186" s="2">
        <f>IF((F183/G183)&gt;D179,FLOOR((F183-D180)/G183,1),IF((F183/G183)&lt;=D179,FLOOR((F183/G183),1)))</f>
        <v>3</v>
      </c>
      <c r="H186" s="272">
        <f>IF(C186&lt;=$H$183,1,0)</f>
        <v>1</v>
      </c>
      <c r="I186" s="240">
        <f t="shared" si="25"/>
        <v>1</v>
      </c>
      <c r="J186" s="25">
        <f>IF(AND(E186&gt;0,G186&gt;0),1,0)</f>
        <v>1</v>
      </c>
      <c r="K186" s="12">
        <f>IF(B186&lt;=$K$183,1,0)</f>
        <v>1</v>
      </c>
      <c r="L186" s="26">
        <f>IF(L180=0,1,IF(AND(L180=1,C8&gt;=L183),1,IF(AND(L180=1,C8&lt;L183),0)))</f>
        <v>1</v>
      </c>
      <c r="M186" s="26">
        <f>T46</f>
        <v>1</v>
      </c>
      <c r="N186" s="26">
        <f>IF($E$183&gt;=$N$183,1,0)</f>
        <v>1</v>
      </c>
      <c r="O186" s="26">
        <f>$O$183</f>
        <v>1</v>
      </c>
      <c r="P186" s="26">
        <f>IF($P$180=0,1,IF(AND($P$180=1,$P$183=1),1,IF(AND($P$180=1,$P$183=0),0)))</f>
        <v>1</v>
      </c>
      <c r="Q186" s="240">
        <f t="shared" si="26"/>
        <v>1</v>
      </c>
      <c r="R186" s="246">
        <f t="shared" si="27"/>
        <v>1</v>
      </c>
      <c r="S186" s="272">
        <f t="shared" si="28"/>
        <v>1</v>
      </c>
      <c r="T186" s="12">
        <f>IF(S186=1,B186," ")</f>
        <v>3</v>
      </c>
      <c r="U186" s="12">
        <f>IF(S186=1,E186," ")</f>
        <v>1</v>
      </c>
      <c r="V186" s="12">
        <f>IF(S186=1,G186," ")</f>
        <v>3</v>
      </c>
    </row>
    <row r="187" spans="1:23" x14ac:dyDescent="0.25">
      <c r="A187" s="18" t="str">
        <f>IF(R187=1,B187," ")</f>
        <v xml:space="preserve"> </v>
      </c>
      <c r="B187" s="255">
        <v>4</v>
      </c>
      <c r="C187" s="255">
        <f>(C108*B187)+(2*C180)+(B186*C179)</f>
        <v>1444</v>
      </c>
      <c r="D187" s="253">
        <f>IF(E187&lt;=$D$179,E187*$E$183,IF(E187&gt;$D$179,(E187*$E$183)+$D$180))</f>
        <v>1114</v>
      </c>
      <c r="E187" s="18">
        <f>CEILING(D183/E183,1)</f>
        <v>1</v>
      </c>
      <c r="F187" s="238">
        <f>IF(G187&lt;=$D$179,G187*$G$183,IF(G187&gt;$D$179,(G187*$G$183)+$D$180))</f>
        <v>3382</v>
      </c>
      <c r="G187" s="19">
        <f>IF((F183/G183)&gt;D179,FLOOR((F183-D180)/G183,1),IF((F183/G183)&lt;=D179,FLOOR((F183/G183),1)))</f>
        <v>3</v>
      </c>
      <c r="H187" s="273">
        <f>IF(C187&lt;=$H$183,1,0)</f>
        <v>0</v>
      </c>
      <c r="I187" s="242">
        <f t="shared" si="25"/>
        <v>1</v>
      </c>
      <c r="J187" s="20">
        <f>IF(AND(E187&gt;0,G187&gt;0),1,0)</f>
        <v>1</v>
      </c>
      <c r="K187" s="13">
        <f>IF(B187&lt;=$K$183,1,0)</f>
        <v>1</v>
      </c>
      <c r="L187" s="18">
        <f>IF(L180=0,1,IF(AND(L180=1,C8&gt;=L183),1,IF(AND(L180=1,C8&lt;L183),0)))</f>
        <v>1</v>
      </c>
      <c r="M187" s="18">
        <f>T46</f>
        <v>1</v>
      </c>
      <c r="N187" s="18">
        <f>IF($E$183&gt;=$N$183,1,0)</f>
        <v>1</v>
      </c>
      <c r="O187" s="18">
        <f>$O$183</f>
        <v>1</v>
      </c>
      <c r="P187" s="432">
        <f>IF($P$180=0,1,IF(AND($P$180=1,$P$183=1),1,IF(AND($P$180=1,$P$183=0),0)))</f>
        <v>1</v>
      </c>
      <c r="Q187" s="242">
        <f t="shared" si="26"/>
        <v>1</v>
      </c>
      <c r="R187" s="677">
        <f t="shared" si="27"/>
        <v>0</v>
      </c>
      <c r="S187" s="273">
        <f t="shared" si="28"/>
        <v>0</v>
      </c>
      <c r="T187" s="13" t="str">
        <f>IF(S187=1,B187," ")</f>
        <v xml:space="preserve"> </v>
      </c>
      <c r="U187" s="13" t="str">
        <f>IF(S187=1,E187," ")</f>
        <v xml:space="preserve"> </v>
      </c>
      <c r="V187" s="13" t="str">
        <f>IF(S187=1,G187," ")</f>
        <v xml:space="preserve"> </v>
      </c>
    </row>
    <row r="188" spans="1:23" x14ac:dyDescent="0.25">
      <c r="M188" s="2"/>
    </row>
    <row r="189" spans="1:23" x14ac:dyDescent="0.25">
      <c r="E189" t="s">
        <v>725</v>
      </c>
      <c r="F189" s="407">
        <f>IF(AND(B402&lt;&gt;"mini",C402="mini"),1,IF(AND(B402&lt;&gt;"mini",C402="Emba 295"),1,0))</f>
        <v>0</v>
      </c>
    </row>
    <row r="190" spans="1:23" x14ac:dyDescent="0.25">
      <c r="A190" s="3" t="s">
        <v>195</v>
      </c>
      <c r="B190" s="218" t="s">
        <v>196</v>
      </c>
      <c r="C190" s="5" t="s">
        <v>197</v>
      </c>
      <c r="E190" s="3" t="s">
        <v>195</v>
      </c>
      <c r="F190" s="218" t="s">
        <v>196</v>
      </c>
      <c r="G190" s="5" t="s">
        <v>197</v>
      </c>
    </row>
    <row r="191" spans="1:23" x14ac:dyDescent="0.25">
      <c r="A191" s="18">
        <f>MIN(A184:A187)</f>
        <v>2</v>
      </c>
      <c r="B191" s="13">
        <f>IF(SUM(A184:A187)&gt;0,VLOOKUP(A191,$A$184:$S$187,5,FALSE),0)</f>
        <v>1</v>
      </c>
      <c r="C191" s="20">
        <f>IF(SUM(A184:A187)&gt;0,VLOOKUP(A191,$A$184:$S$187,7,FALSE),0)</f>
        <v>3</v>
      </c>
      <c r="E191" s="18">
        <f>MIN(T184:T187)</f>
        <v>2</v>
      </c>
      <c r="F191" s="13">
        <f>IF(SUM(S184:S187)&gt;0,VLOOKUP(E191,T184:V187,2,FALSE),0)</f>
        <v>1</v>
      </c>
      <c r="G191" s="20">
        <f>IF(SUM(S184:S187)&gt;0,VLOOKUP(E191,T184:V187,3,FALSE),0)</f>
        <v>3</v>
      </c>
    </row>
    <row r="192" spans="1:23" x14ac:dyDescent="0.25">
      <c r="A192" s="26" t="s">
        <v>165</v>
      </c>
      <c r="B192" s="280" t="s">
        <v>196</v>
      </c>
      <c r="C192" s="25" t="s">
        <v>197</v>
      </c>
      <c r="E192" s="26" t="s">
        <v>165</v>
      </c>
      <c r="F192" s="280" t="s">
        <v>196</v>
      </c>
      <c r="G192" s="25" t="s">
        <v>197</v>
      </c>
    </row>
    <row r="193" spans="1:25" x14ac:dyDescent="0.25">
      <c r="A193" s="18">
        <f>IF(AND(MAX(A184:A187)=4,A191&lt;4,O180=1),MAX(A184:A187)-1,MAX(A184:A187))</f>
        <v>3</v>
      </c>
      <c r="B193" s="13">
        <f>IF(SUM(A184:A187)&gt;0,VLOOKUP(A193,$A$184:$S$187,5,FALSE),0)</f>
        <v>1</v>
      </c>
      <c r="C193" s="20">
        <f>IF(SUM(A184:A187)&gt;0,VLOOKUP(A193,$A$184:$S$187,7,FALSE),0)</f>
        <v>3</v>
      </c>
      <c r="E193" s="18">
        <f>MAX(T184:T187)</f>
        <v>3</v>
      </c>
      <c r="F193" s="13">
        <f>IF(SUM(S184:S187)&gt;0,VLOOKUP(E193,T184:V187,2,FALSE),0)</f>
        <v>1</v>
      </c>
      <c r="G193" s="20">
        <f>IF(SUM(S184:S187)&gt;0,VLOOKUP(E193,T184:V187,3,FALSE),0)</f>
        <v>3</v>
      </c>
    </row>
    <row r="195" spans="1:25" s="320" customFormat="1" x14ac:dyDescent="0.25">
      <c r="B195" s="441"/>
      <c r="Y195" s="343"/>
    </row>
    <row r="196" spans="1:25" x14ac:dyDescent="0.25">
      <c r="L196" s="292"/>
    </row>
    <row r="197" spans="1:25" x14ac:dyDescent="0.25">
      <c r="B197" s="215" t="s">
        <v>199</v>
      </c>
    </row>
    <row r="198" spans="1:25" x14ac:dyDescent="0.25">
      <c r="B198" s="215"/>
    </row>
    <row r="200" spans="1:25" x14ac:dyDescent="0.25">
      <c r="A200" s="14"/>
      <c r="B200" s="282"/>
      <c r="C200" s="15"/>
      <c r="D200" s="15"/>
      <c r="E200" s="15"/>
      <c r="F200" s="15"/>
      <c r="G200" s="15"/>
      <c r="H200" s="1099">
        <v>1000</v>
      </c>
      <c r="I200" s="137" t="s">
        <v>188</v>
      </c>
      <c r="J200" s="14"/>
      <c r="K200" s="15"/>
      <c r="L200" s="412"/>
      <c r="M200" s="404"/>
      <c r="N200" s="442" t="s">
        <v>28</v>
      </c>
      <c r="O200" s="404"/>
      <c r="P200" s="433"/>
    </row>
    <row r="201" spans="1:25" x14ac:dyDescent="0.25">
      <c r="A201" s="8"/>
      <c r="B201" s="9"/>
      <c r="C201" s="9"/>
      <c r="D201" s="9"/>
      <c r="E201" s="9"/>
      <c r="F201" s="9"/>
      <c r="G201" s="9"/>
      <c r="H201" s="34">
        <v>820</v>
      </c>
      <c r="I201" s="145">
        <f>AA46</f>
        <v>1</v>
      </c>
      <c r="J201" s="8"/>
      <c r="K201" s="9"/>
      <c r="L201" s="320"/>
      <c r="M201" s="41"/>
      <c r="N201" s="13">
        <f>IF(C131=0,0,1)</f>
        <v>0</v>
      </c>
      <c r="O201" s="52"/>
      <c r="P201" s="70">
        <v>11</v>
      </c>
    </row>
    <row r="202" spans="1:25" x14ac:dyDescent="0.25">
      <c r="A202" s="14"/>
      <c r="B202" s="35" t="s">
        <v>61</v>
      </c>
      <c r="C202" s="156" t="s">
        <v>18</v>
      </c>
      <c r="D202" s="156" t="s">
        <v>9</v>
      </c>
      <c r="E202" s="231" t="s">
        <v>99</v>
      </c>
      <c r="F202" s="232"/>
      <c r="G202" s="233" t="s">
        <v>100</v>
      </c>
      <c r="H202" s="234"/>
      <c r="I202" s="2" t="s">
        <v>189</v>
      </c>
      <c r="J202" s="156" t="s">
        <v>210</v>
      </c>
      <c r="K202" s="156" t="s">
        <v>209</v>
      </c>
      <c r="L202" s="417" t="s">
        <v>211</v>
      </c>
      <c r="M202" s="437" t="s">
        <v>496</v>
      </c>
      <c r="N202" s="442" t="s">
        <v>576</v>
      </c>
      <c r="O202" s="399" t="s">
        <v>1</v>
      </c>
      <c r="P202" s="423" t="s">
        <v>108</v>
      </c>
    </row>
    <row r="203" spans="1:25" ht="15.75" thickBot="1" x14ac:dyDescent="0.3">
      <c r="A203" s="6"/>
      <c r="B203" s="36" t="s">
        <v>180</v>
      </c>
      <c r="C203" s="120" t="s">
        <v>109</v>
      </c>
      <c r="D203" s="120" t="s">
        <v>109</v>
      </c>
      <c r="E203" s="227" t="s">
        <v>110</v>
      </c>
      <c r="F203" s="228" t="s">
        <v>111</v>
      </c>
      <c r="G203" s="227" t="s">
        <v>110</v>
      </c>
      <c r="H203" s="228" t="s">
        <v>111</v>
      </c>
      <c r="I203" s="78" t="s">
        <v>190</v>
      </c>
      <c r="J203" s="202" t="s">
        <v>180</v>
      </c>
      <c r="K203" s="202" t="s">
        <v>180</v>
      </c>
      <c r="L203" s="227" t="s">
        <v>212</v>
      </c>
      <c r="M203" s="12" t="s">
        <v>96</v>
      </c>
      <c r="N203" s="12" t="s">
        <v>577</v>
      </c>
      <c r="O203" s="202" t="s">
        <v>96</v>
      </c>
      <c r="P203" s="228" t="s">
        <v>96</v>
      </c>
    </row>
    <row r="204" spans="1:25" ht="15.75" thickBot="1" x14ac:dyDescent="0.3">
      <c r="A204" s="225"/>
      <c r="B204" s="37"/>
      <c r="C204" s="52"/>
      <c r="D204" s="41"/>
      <c r="E204" s="262">
        <v>2400</v>
      </c>
      <c r="F204" s="484">
        <v>450</v>
      </c>
      <c r="G204" s="262">
        <v>5960</v>
      </c>
      <c r="H204" s="473">
        <f>IF(OR(C111&gt;0,AT46&gt;0,C131&gt;0),H200,H201)</f>
        <v>820</v>
      </c>
      <c r="I204" s="219">
        <v>95</v>
      </c>
      <c r="J204" s="219">
        <v>800</v>
      </c>
      <c r="K204" s="293">
        <v>4500</v>
      </c>
      <c r="L204" s="208">
        <f>J388</f>
        <v>500</v>
      </c>
      <c r="M204" s="208"/>
      <c r="N204" s="431">
        <f>AQ46</f>
        <v>1</v>
      </c>
      <c r="O204" s="208">
        <f>'Prijs karton'!AE16</f>
        <v>1</v>
      </c>
      <c r="P204" s="281">
        <f>IF(SUM(P205:P206)&gt;0,1,0)</f>
        <v>1</v>
      </c>
    </row>
    <row r="205" spans="1:25" x14ac:dyDescent="0.25">
      <c r="A205" s="156" t="str">
        <f>IF(P205=1,B205," ")</f>
        <v xml:space="preserve"> </v>
      </c>
      <c r="B205" s="12">
        <v>1</v>
      </c>
      <c r="C205" s="11">
        <f>C108</f>
        <v>361</v>
      </c>
      <c r="D205" s="11">
        <f>D108</f>
        <v>1114</v>
      </c>
      <c r="E205" s="2">
        <f>IF(C205&lt;=E204,1,0)</f>
        <v>1</v>
      </c>
      <c r="F205" s="11">
        <f>IF(C205&gt;=F204,1,0)</f>
        <v>0</v>
      </c>
      <c r="G205" s="26">
        <f>IF(D205&lt;=G204,1,0)</f>
        <v>1</v>
      </c>
      <c r="H205" s="11">
        <f>IF(D205&gt;=H204,1,0)</f>
        <v>1</v>
      </c>
      <c r="I205" s="4">
        <f>IF(AND(I201=1,C8&gt;=I204),1,IF(I201=0,1,0))</f>
        <v>1</v>
      </c>
      <c r="J205" s="40">
        <v>1</v>
      </c>
      <c r="K205" s="40">
        <v>1</v>
      </c>
      <c r="L205" s="431">
        <f>IF(D205&gt;=L204,1,0)</f>
        <v>1</v>
      </c>
      <c r="M205" s="26">
        <f>T46</f>
        <v>1</v>
      </c>
      <c r="N205" s="431">
        <f>IF($N$201=0,1,IF(AND($N$201=1,$N$204=1),1,IF(AND($P$180=1,$N$204=0),0)))</f>
        <v>1</v>
      </c>
      <c r="O205" s="12">
        <f>O204</f>
        <v>1</v>
      </c>
      <c r="P205" s="25">
        <f>IF(SUM(E205:O205)=P201,1,0)</f>
        <v>0</v>
      </c>
    </row>
    <row r="206" spans="1:25" x14ac:dyDescent="0.25">
      <c r="A206" s="202">
        <f>IF(P206=1,B206," ")</f>
        <v>2</v>
      </c>
      <c r="B206" s="13">
        <v>2</v>
      </c>
      <c r="C206" s="13">
        <f>B206*C108</f>
        <v>722</v>
      </c>
      <c r="D206" s="13">
        <f>D108</f>
        <v>1114</v>
      </c>
      <c r="E206" s="19">
        <f>IF(C206&lt;=E204,1,0)</f>
        <v>1</v>
      </c>
      <c r="F206" s="13">
        <f>IF(C206&gt;=F204,1,0)</f>
        <v>1</v>
      </c>
      <c r="G206" s="18">
        <f>IF(D206&lt;=G204,1,0)</f>
        <v>1</v>
      </c>
      <c r="H206" s="13">
        <f>IF(D206&gt;=H204,1,0)</f>
        <v>1</v>
      </c>
      <c r="I206" s="19">
        <f>IF(AND(I201=1,C8&gt;=I204),1,IF(I201=0,1,0))</f>
        <v>1</v>
      </c>
      <c r="J206" s="13">
        <f>IF(C205&lt;=J204,1,0)</f>
        <v>1</v>
      </c>
      <c r="K206" s="13">
        <f>IF(D205&lt;=K204,1,0)</f>
        <v>1</v>
      </c>
      <c r="L206" s="432">
        <f>IF(D206&gt;=L204,1,0)</f>
        <v>1</v>
      </c>
      <c r="M206" s="18">
        <f>T46</f>
        <v>1</v>
      </c>
      <c r="N206" s="432">
        <f>IF($N$201=0,1,IF(AND($N$201=1,$N$204=1),1,IF(AND($P$180=1,$N$204=0),0)))</f>
        <v>1</v>
      </c>
      <c r="O206" s="13">
        <f>O204</f>
        <v>1</v>
      </c>
      <c r="P206" s="436">
        <f>IF(SUM(E206:O206)=P201,1,0)</f>
        <v>1</v>
      </c>
    </row>
    <row r="208" spans="1:25" x14ac:dyDescent="0.25">
      <c r="A208" t="s">
        <v>195</v>
      </c>
      <c r="B208" s="216">
        <f>MIN(A205:A206)</f>
        <v>2</v>
      </c>
    </row>
    <row r="209" spans="1:25" x14ac:dyDescent="0.25">
      <c r="A209" t="s">
        <v>165</v>
      </c>
      <c r="B209" s="13">
        <f>MAX(A205:A206)</f>
        <v>2</v>
      </c>
    </row>
    <row r="211" spans="1:25" s="320" customFormat="1" x14ac:dyDescent="0.25">
      <c r="B211" s="441"/>
      <c r="Y211" s="343"/>
    </row>
    <row r="213" spans="1:25" x14ac:dyDescent="0.25">
      <c r="B213" s="215" t="s">
        <v>198</v>
      </c>
    </row>
    <row r="215" spans="1:25" ht="15.75" thickBot="1" x14ac:dyDescent="0.3">
      <c r="B215" s="1" t="s">
        <v>158</v>
      </c>
    </row>
    <row r="216" spans="1:25" x14ac:dyDescent="0.25">
      <c r="A216" s="220" t="s">
        <v>499</v>
      </c>
      <c r="B216" s="403" t="s">
        <v>500</v>
      </c>
      <c r="C216" s="396" t="s">
        <v>497</v>
      </c>
      <c r="D216" s="398" t="s">
        <v>498</v>
      </c>
      <c r="E216" s="444" t="s">
        <v>501</v>
      </c>
    </row>
    <row r="217" spans="1:25" x14ac:dyDescent="0.25">
      <c r="A217" s="447" t="s">
        <v>99</v>
      </c>
      <c r="B217" s="396"/>
      <c r="C217" s="413">
        <f>B228</f>
        <v>361</v>
      </c>
      <c r="D217" s="448">
        <f>H388</f>
        <v>250</v>
      </c>
      <c r="E217" s="446" t="s">
        <v>96</v>
      </c>
    </row>
    <row r="218" spans="1:25" ht="15.75" thickBot="1" x14ac:dyDescent="0.3">
      <c r="A218" s="441" t="s">
        <v>100</v>
      </c>
      <c r="B218" s="34">
        <v>50</v>
      </c>
      <c r="C218" s="443">
        <f>C228</f>
        <v>1150</v>
      </c>
      <c r="D218" s="343">
        <f>J388</f>
        <v>500</v>
      </c>
      <c r="E218" s="445">
        <f>IF(AND(C217&gt;=D217,(C218+B218)&gt;D218),     1,0)</f>
        <v>1</v>
      </c>
      <c r="F218" t="s">
        <v>502</v>
      </c>
    </row>
    <row r="221" spans="1:25" x14ac:dyDescent="0.25">
      <c r="T221" s="442" t="s">
        <v>578</v>
      </c>
    </row>
    <row r="222" spans="1:25" x14ac:dyDescent="0.25">
      <c r="T222" s="473">
        <f>IF(AND(T227=1,T224=1),1,0)</f>
        <v>0</v>
      </c>
    </row>
    <row r="223" spans="1:25" x14ac:dyDescent="0.25">
      <c r="Q223" s="294" t="s">
        <v>163</v>
      </c>
      <c r="T223" s="442" t="s">
        <v>579</v>
      </c>
    </row>
    <row r="224" spans="1:25" ht="15.75" thickBot="1" x14ac:dyDescent="0.3">
      <c r="Q224" s="295">
        <f>C8/C7</f>
        <v>0.4</v>
      </c>
      <c r="T224" s="473">
        <f>IF(C131=0,0,1)</f>
        <v>0</v>
      </c>
    </row>
    <row r="225" spans="2:25" x14ac:dyDescent="0.25">
      <c r="B225" s="63" t="s">
        <v>18</v>
      </c>
      <c r="C225" s="209" t="s">
        <v>9</v>
      </c>
      <c r="D225" s="1294" t="s">
        <v>99</v>
      </c>
      <c r="E225" s="1295"/>
      <c r="F225" s="1296" t="s">
        <v>100</v>
      </c>
      <c r="G225" s="1297"/>
      <c r="H225" s="64" t="s">
        <v>101</v>
      </c>
      <c r="I225" s="63" t="s">
        <v>102</v>
      </c>
      <c r="J225" s="205" t="s">
        <v>103</v>
      </c>
      <c r="K225" s="206"/>
      <c r="L225" s="205" t="s">
        <v>104</v>
      </c>
      <c r="M225" s="206"/>
      <c r="N225" s="205" t="s">
        <v>105</v>
      </c>
      <c r="O225" s="207"/>
      <c r="P225" s="63" t="s">
        <v>106</v>
      </c>
      <c r="Q225" s="63" t="s">
        <v>107</v>
      </c>
      <c r="R225" s="63" t="s">
        <v>161</v>
      </c>
      <c r="S225" s="502" t="s">
        <v>162</v>
      </c>
      <c r="T225" s="431" t="s">
        <v>580</v>
      </c>
      <c r="U225" s="913" t="s">
        <v>660</v>
      </c>
      <c r="V225" s="503" t="s">
        <v>108</v>
      </c>
    </row>
    <row r="226" spans="2:25" x14ac:dyDescent="0.25">
      <c r="B226" s="65" t="s">
        <v>109</v>
      </c>
      <c r="C226" s="210" t="s">
        <v>115</v>
      </c>
      <c r="D226" s="68" t="s">
        <v>110</v>
      </c>
      <c r="E226" s="67" t="s">
        <v>111</v>
      </c>
      <c r="F226" s="66" t="s">
        <v>110</v>
      </c>
      <c r="G226" s="67" t="s">
        <v>111</v>
      </c>
      <c r="H226" s="66" t="s">
        <v>112</v>
      </c>
      <c r="I226" s="65" t="s">
        <v>110</v>
      </c>
      <c r="J226" s="66" t="s">
        <v>111</v>
      </c>
      <c r="K226" s="65" t="s">
        <v>110</v>
      </c>
      <c r="L226" s="41"/>
      <c r="M226" s="41"/>
      <c r="N226" s="68" t="s">
        <v>111</v>
      </c>
      <c r="O226" s="68" t="s">
        <v>110</v>
      </c>
      <c r="P226" s="65"/>
      <c r="Q226" s="65" t="s">
        <v>114</v>
      </c>
      <c r="R226" s="41"/>
      <c r="S226" s="26" t="s">
        <v>96</v>
      </c>
      <c r="T226" s="26"/>
      <c r="U226" s="415"/>
      <c r="V226" s="504" t="s">
        <v>96</v>
      </c>
    </row>
    <row r="227" spans="2:25" x14ac:dyDescent="0.25">
      <c r="B227" s="52"/>
      <c r="C227" s="211">
        <v>36</v>
      </c>
      <c r="D227" s="19">
        <f>IF(C111=0,800,600)</f>
        <v>800</v>
      </c>
      <c r="E227" s="33">
        <v>180</v>
      </c>
      <c r="F227" s="31">
        <v>1700</v>
      </c>
      <c r="G227" s="33">
        <v>440</v>
      </c>
      <c r="H227" s="31">
        <v>200</v>
      </c>
      <c r="I227" s="34">
        <v>370</v>
      </c>
      <c r="J227" s="31">
        <v>50</v>
      </c>
      <c r="K227" s="34">
        <v>740</v>
      </c>
      <c r="L227" s="31">
        <v>50</v>
      </c>
      <c r="M227" s="34">
        <v>740</v>
      </c>
      <c r="N227" s="32">
        <v>180</v>
      </c>
      <c r="O227" s="32">
        <v>840</v>
      </c>
      <c r="P227" s="34">
        <v>50</v>
      </c>
      <c r="Q227" s="34">
        <v>7</v>
      </c>
      <c r="R227" s="52"/>
      <c r="S227" s="18"/>
      <c r="T227" s="208">
        <f>AQ46</f>
        <v>1</v>
      </c>
      <c r="U227" s="26">
        <f>IF(M348=0,L145,M349)</f>
        <v>300</v>
      </c>
      <c r="V227" s="223">
        <v>18</v>
      </c>
    </row>
    <row r="228" spans="2:25" ht="15.75" thickBot="1" x14ac:dyDescent="0.3">
      <c r="B228" s="69">
        <f>C108</f>
        <v>361</v>
      </c>
      <c r="C228" s="212">
        <f>D108+C227</f>
        <v>1150</v>
      </c>
      <c r="D228" s="19">
        <f>IF(B228&lt;=D227,1,0)</f>
        <v>1</v>
      </c>
      <c r="E228" s="21">
        <f>IF(B228&gt;=E227,1,0)</f>
        <v>1</v>
      </c>
      <c r="F228" s="18">
        <f>IF(C228&lt;=F227,1,0)</f>
        <v>1</v>
      </c>
      <c r="G228" s="21">
        <f>IF(C228&gt;=G227,1,0)</f>
        <v>1</v>
      </c>
      <c r="H228" s="18">
        <f>IF(MAX(AD46:AE46)&gt;H227,0,1)</f>
        <v>1</v>
      </c>
      <c r="I228" s="13">
        <f>IF(AF46&lt;=I227,1,0)</f>
        <v>1</v>
      </c>
      <c r="J228" s="18">
        <f>IF(D46&gt;=J227,1,0)</f>
        <v>1</v>
      </c>
      <c r="K228" s="13">
        <f>IF(D46&lt;=K227,1,0)</f>
        <v>1</v>
      </c>
      <c r="L228" s="18">
        <f>IF(C46&gt;=L227,1,0)</f>
        <v>1</v>
      </c>
      <c r="M228" s="13">
        <f>IF(C46&lt;=M227,1,0)</f>
        <v>1</v>
      </c>
      <c r="N228" s="18">
        <f>IF(C46+D46&gt;=N227,1,0)</f>
        <v>1</v>
      </c>
      <c r="O228" s="21">
        <f>IF(C46+D46&lt;=O227,1,0)</f>
        <v>1</v>
      </c>
      <c r="P228" s="13">
        <f>IF(E46&gt;=P227,1,0)</f>
        <v>1</v>
      </c>
      <c r="Q228" s="13">
        <f>IF(Q224&lt;=Q227,1,0)</f>
        <v>1</v>
      </c>
      <c r="R228" s="216">
        <f>'Prijs karton'!AF16</f>
        <v>1</v>
      </c>
      <c r="S228" s="208">
        <f>U46</f>
        <v>1</v>
      </c>
      <c r="T228" s="208">
        <f>IF($T$224=0,1,IF(AND($T$224=1,$T$227=1),1,IF(AND($P$180=1,$T$227=0),0)))</f>
        <v>1</v>
      </c>
      <c r="U228" s="208">
        <f>IF(C3&gt;=U227,1,0)</f>
        <v>1</v>
      </c>
      <c r="V228" s="500">
        <f>IF(SUM(D228:U228)=V227,1,0)</f>
        <v>1</v>
      </c>
    </row>
    <row r="230" spans="2:25" s="320" customFormat="1" x14ac:dyDescent="0.25">
      <c r="B230" s="441"/>
      <c r="Y230" s="343"/>
    </row>
    <row r="233" spans="2:25" x14ac:dyDescent="0.25">
      <c r="B233" s="215" t="s">
        <v>73</v>
      </c>
      <c r="F233" s="484">
        <v>2900</v>
      </c>
    </row>
    <row r="234" spans="2:25" x14ac:dyDescent="0.25">
      <c r="C234" s="473" t="s">
        <v>617</v>
      </c>
      <c r="F234" s="442" t="s">
        <v>831</v>
      </c>
      <c r="Q234" s="216" t="s">
        <v>163</v>
      </c>
      <c r="T234" s="442" t="s">
        <v>579</v>
      </c>
    </row>
    <row r="235" spans="2:25" ht="15.75" thickBot="1" x14ac:dyDescent="0.3">
      <c r="C235" s="473">
        <f>AB46</f>
        <v>1</v>
      </c>
      <c r="F235" s="473">
        <f>IF(C2=B50,1,0)</f>
        <v>0</v>
      </c>
      <c r="P235" s="2"/>
      <c r="Q235" s="473">
        <f>C8/C7</f>
        <v>0.4</v>
      </c>
      <c r="T235" s="473">
        <f>IF(C131=0,0,1)</f>
        <v>0</v>
      </c>
    </row>
    <row r="236" spans="2:25" x14ac:dyDescent="0.25">
      <c r="B236" s="63" t="s">
        <v>18</v>
      </c>
      <c r="C236" s="209" t="s">
        <v>9</v>
      </c>
      <c r="D236" s="1294" t="s">
        <v>99</v>
      </c>
      <c r="E236" s="1295"/>
      <c r="F236" s="1296" t="s">
        <v>512</v>
      </c>
      <c r="G236" s="1297"/>
      <c r="H236" s="64" t="s">
        <v>101</v>
      </c>
      <c r="I236" s="63" t="s">
        <v>102</v>
      </c>
      <c r="J236" s="205" t="s">
        <v>103</v>
      </c>
      <c r="K236" s="206"/>
      <c r="L236" s="205" t="s">
        <v>104</v>
      </c>
      <c r="M236" s="206"/>
      <c r="N236" s="205" t="s">
        <v>105</v>
      </c>
      <c r="O236" s="207"/>
      <c r="P236" s="508" t="s">
        <v>561</v>
      </c>
      <c r="Q236" s="63" t="s">
        <v>107</v>
      </c>
      <c r="R236" s="63" t="s">
        <v>161</v>
      </c>
      <c r="S236" s="502" t="s">
        <v>162</v>
      </c>
      <c r="T236" s="431" t="s">
        <v>580</v>
      </c>
      <c r="U236" s="913" t="s">
        <v>660</v>
      </c>
      <c r="V236" s="503" t="s">
        <v>108</v>
      </c>
    </row>
    <row r="237" spans="2:25" x14ac:dyDescent="0.25">
      <c r="B237" s="65" t="s">
        <v>109</v>
      </c>
      <c r="C237" s="210" t="s">
        <v>115</v>
      </c>
      <c r="D237" s="68" t="s">
        <v>110</v>
      </c>
      <c r="E237" s="67" t="s">
        <v>111</v>
      </c>
      <c r="F237" s="66" t="s">
        <v>110</v>
      </c>
      <c r="G237" s="67" t="s">
        <v>111</v>
      </c>
      <c r="H237" s="66" t="s">
        <v>112</v>
      </c>
      <c r="I237" s="214" t="s">
        <v>160</v>
      </c>
      <c r="J237" s="66" t="s">
        <v>111</v>
      </c>
      <c r="K237" s="65" t="s">
        <v>110</v>
      </c>
      <c r="L237" s="41"/>
      <c r="M237" s="41"/>
      <c r="N237" s="68" t="s">
        <v>111</v>
      </c>
      <c r="O237" s="68" t="s">
        <v>110</v>
      </c>
      <c r="P237" s="507" t="s">
        <v>12</v>
      </c>
      <c r="Q237" s="65" t="s">
        <v>114</v>
      </c>
      <c r="R237" s="41"/>
      <c r="S237" s="26" t="s">
        <v>96</v>
      </c>
      <c r="T237" s="26"/>
      <c r="U237" s="415"/>
      <c r="V237" s="504" t="s">
        <v>96</v>
      </c>
    </row>
    <row r="238" spans="2:25" x14ac:dyDescent="0.25">
      <c r="B238" s="52"/>
      <c r="C238" s="211">
        <f>36</f>
        <v>36</v>
      </c>
      <c r="D238" s="19">
        <f>IF(C111=0,1400,1115)</f>
        <v>1400</v>
      </c>
      <c r="E238" s="33">
        <f>320</f>
        <v>320</v>
      </c>
      <c r="F238" s="18">
        <f>IF(F235=1,F242,F233)</f>
        <v>2900</v>
      </c>
      <c r="G238" s="33">
        <v>740</v>
      </c>
      <c r="H238" s="31">
        <v>386</v>
      </c>
      <c r="I238" s="34"/>
      <c r="J238" s="31">
        <v>135</v>
      </c>
      <c r="K238" s="34">
        <v>1040</v>
      </c>
      <c r="L238" s="31">
        <v>130</v>
      </c>
      <c r="M238" s="34">
        <v>1040</v>
      </c>
      <c r="N238" s="32">
        <v>355</v>
      </c>
      <c r="O238" s="32">
        <v>1440</v>
      </c>
      <c r="P238" s="13">
        <f>IF(C2=P237,0,50)</f>
        <v>50</v>
      </c>
      <c r="Q238" s="34">
        <v>10</v>
      </c>
      <c r="R238" s="52"/>
      <c r="S238" s="18"/>
      <c r="T238" s="208">
        <f>AQ46</f>
        <v>1</v>
      </c>
      <c r="U238" s="26">
        <f>IF(N348=0,M145,N349)</f>
        <v>300</v>
      </c>
      <c r="V238" s="223">
        <v>17</v>
      </c>
    </row>
    <row r="239" spans="2:25" ht="15.75" thickBot="1" x14ac:dyDescent="0.3">
      <c r="B239" s="547">
        <f>C108</f>
        <v>361</v>
      </c>
      <c r="C239" s="548">
        <f>D108+(C238*C235)</f>
        <v>1150</v>
      </c>
      <c r="D239" s="2">
        <f>IF(B239&lt;=D238,1,0)</f>
        <v>1</v>
      </c>
      <c r="E239" s="442">
        <f>IF(B239&gt;=E238,1,0)</f>
        <v>1</v>
      </c>
      <c r="F239" s="26">
        <f>IF(C239&lt;=F238,1,0)</f>
        <v>1</v>
      </c>
      <c r="G239" s="442">
        <f>IF(C239&gt;=G238,1,0)</f>
        <v>1</v>
      </c>
      <c r="H239" s="26">
        <f>IF(MAX(AD67:AE67)&gt;H238,0,1)</f>
        <v>1</v>
      </c>
      <c r="I239" s="549"/>
      <c r="J239" s="26">
        <f>IF(D46&gt;=J238,1,0)</f>
        <v>1</v>
      </c>
      <c r="K239" s="12">
        <f>IF(D46&lt;=K238,1,0)</f>
        <v>1</v>
      </c>
      <c r="L239" s="26">
        <f>IF(C46&gt;=L238,1,0)</f>
        <v>1</v>
      </c>
      <c r="M239" s="12">
        <f>IF(C46&lt;=M238,1,0)</f>
        <v>1</v>
      </c>
      <c r="N239" s="26">
        <f>IF(C46+D46&gt;=N238,1,0)</f>
        <v>1</v>
      </c>
      <c r="O239" s="442">
        <f>IF(C46+D46&lt;=O238,1,0)</f>
        <v>1</v>
      </c>
      <c r="P239" s="12">
        <f>IF(E46&gt;=P238,1,0)</f>
        <v>1</v>
      </c>
      <c r="Q239" s="12">
        <f>IF(Q235&lt;=Q238,1,0)</f>
        <v>1</v>
      </c>
      <c r="R239" s="442">
        <f>'Prijs karton'!AG16</f>
        <v>1</v>
      </c>
      <c r="S239" s="431">
        <f>U46</f>
        <v>1</v>
      </c>
      <c r="T239" s="431">
        <f>IF($T$235=0,1,IF(AND($T$235=1,$T$238=1),1,IF(AND($P$180=1,$T$238=0),0)))</f>
        <v>1</v>
      </c>
      <c r="U239" s="914">
        <f>IF(C3&gt;=U238,1,0)</f>
        <v>1</v>
      </c>
      <c r="V239" s="500">
        <f>IF(SUM(D239:U239)=V238,1,0)</f>
        <v>1</v>
      </c>
    </row>
    <row r="240" spans="2:25" ht="15.75" thickTop="1" x14ac:dyDescent="0.25">
      <c r="B240" s="1298" t="s">
        <v>626</v>
      </c>
      <c r="C240" s="1299"/>
      <c r="D240" s="1299"/>
      <c r="E240" s="1299"/>
      <c r="F240" s="1300"/>
      <c r="G240" s="1301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4"/>
    </row>
    <row r="241" spans="1:25" x14ac:dyDescent="0.25">
      <c r="B241" s="547">
        <f>C108*C247</f>
        <v>0</v>
      </c>
      <c r="C241" s="1207">
        <f>(D108+(C238*C235*C248))*C247</f>
        <v>0</v>
      </c>
      <c r="D241" s="208">
        <f>IF(AND(B241=0,C246=0,C247=0),0,IF(C246=1,1,IF(AND(C246=0,C247=1,FLOOR(D242/B241,1)&lt;=C242),FLOOR(D242/B241,1),C242)))</f>
        <v>0</v>
      </c>
      <c r="E241" s="562">
        <f>IF(C246=1,1,IF(AND(C246=0,C247=1),CEILING(E242/B241,1),0))</f>
        <v>0</v>
      </c>
      <c r="F241" s="208">
        <f>IF(C246=1,1,IF(AND(C246=0,C247=1),FLOOR(F242/C241,1),0))</f>
        <v>0</v>
      </c>
      <c r="G241" s="550">
        <f>IF(C246=1,1,IF(AND(C246=0,C247=1),CEILING(G242/C241,1),0))</f>
        <v>0</v>
      </c>
      <c r="H241" s="2"/>
      <c r="I241" s="54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5" x14ac:dyDescent="0.25">
      <c r="B242" s="1208" t="s">
        <v>1334</v>
      </c>
      <c r="C242" s="1209">
        <f>IF(AND(C246=0,C247=1),MAX(A184:A187),0)</f>
        <v>0</v>
      </c>
      <c r="D242" s="1206">
        <f>D238</f>
        <v>1400</v>
      </c>
      <c r="E242" s="550">
        <f>E238</f>
        <v>320</v>
      </c>
      <c r="F242" s="565">
        <v>1580</v>
      </c>
      <c r="G242" s="566">
        <v>710</v>
      </c>
      <c r="H242" s="407"/>
      <c r="I242" s="407"/>
      <c r="J242" s="407"/>
      <c r="K242" s="407"/>
      <c r="L242" s="407"/>
      <c r="M242" s="407"/>
      <c r="N242" s="407"/>
      <c r="O242" s="407"/>
      <c r="P242" s="407"/>
      <c r="Q242" s="407"/>
      <c r="R242" s="407"/>
      <c r="S242" s="407"/>
      <c r="T242" s="407"/>
      <c r="U242" s="407"/>
    </row>
    <row r="243" spans="1:25" x14ac:dyDescent="0.25">
      <c r="B243" s="407"/>
      <c r="C243" s="407"/>
      <c r="D243" s="558" t="s">
        <v>622</v>
      </c>
      <c r="E243" s="562" t="s">
        <v>621</v>
      </c>
      <c r="F243" s="558" t="s">
        <v>623</v>
      </c>
      <c r="G243" s="550" t="s">
        <v>624</v>
      </c>
      <c r="H243" s="407"/>
      <c r="I243" s="407"/>
      <c r="J243" s="407"/>
      <c r="K243" s="407"/>
      <c r="L243" s="407"/>
      <c r="M243" s="407"/>
      <c r="N243" s="407"/>
      <c r="O243" s="407"/>
      <c r="P243" s="407"/>
      <c r="Q243" s="407"/>
      <c r="R243" s="407"/>
      <c r="S243" s="407"/>
      <c r="T243" s="407"/>
      <c r="U243" s="407"/>
    </row>
    <row r="244" spans="1:25" x14ac:dyDescent="0.25">
      <c r="B244" s="407"/>
      <c r="C244" s="407"/>
      <c r="E244" s="407"/>
      <c r="F244" s="407"/>
      <c r="G244" s="407"/>
      <c r="H244" s="407"/>
      <c r="I244" s="407"/>
      <c r="J244" s="407"/>
      <c r="K244" s="407"/>
      <c r="L244" s="407"/>
      <c r="M244" s="407"/>
      <c r="N244" s="407"/>
      <c r="O244" s="407"/>
      <c r="P244" s="407"/>
      <c r="Q244" s="407"/>
      <c r="R244" s="407"/>
      <c r="S244" s="407"/>
      <c r="T244" s="407"/>
      <c r="U244" s="407"/>
    </row>
    <row r="245" spans="1:25" x14ac:dyDescent="0.25">
      <c r="B245" s="555"/>
      <c r="C245" s="407"/>
      <c r="D245" s="407"/>
      <c r="F245" s="407"/>
      <c r="G245" s="407"/>
      <c r="H245" s="407"/>
      <c r="I245" s="407"/>
      <c r="J245" s="407"/>
      <c r="K245" s="407"/>
      <c r="L245" s="407"/>
      <c r="M245" s="407"/>
      <c r="N245" s="407"/>
      <c r="O245" s="407"/>
      <c r="P245" s="407"/>
      <c r="Q245" s="407"/>
      <c r="R245" s="407"/>
      <c r="S245" s="407"/>
      <c r="T245" s="407"/>
      <c r="U245" s="407"/>
    </row>
    <row r="246" spans="1:25" x14ac:dyDescent="0.25">
      <c r="A246" s="2" t="s">
        <v>64</v>
      </c>
      <c r="B246" s="555" t="s">
        <v>625</v>
      </c>
      <c r="C246" s="551">
        <f>IF(SUM(C362:I362)&gt;0,IF(B402=A246,1,0))</f>
        <v>0</v>
      </c>
      <c r="D246" s="407"/>
      <c r="E246" s="407"/>
      <c r="F246" s="407"/>
      <c r="G246" s="407"/>
      <c r="H246" s="407"/>
      <c r="I246" s="407"/>
      <c r="J246" s="407"/>
      <c r="K246" s="407"/>
      <c r="L246" s="407"/>
      <c r="M246" s="407"/>
      <c r="N246" s="407"/>
      <c r="O246" s="407"/>
      <c r="P246" s="407"/>
      <c r="Q246" s="407"/>
      <c r="R246" s="407"/>
      <c r="S246" s="407"/>
      <c r="T246" s="407"/>
      <c r="U246" s="407"/>
    </row>
    <row r="247" spans="1:25" x14ac:dyDescent="0.25">
      <c r="A247" s="2" t="s">
        <v>64</v>
      </c>
      <c r="B247" s="555" t="s">
        <v>600</v>
      </c>
      <c r="C247" s="551">
        <f>IF(SUM(C362:I362)&gt;0,IF(C402=A247,1,0),0)</f>
        <v>0</v>
      </c>
      <c r="D247" s="407"/>
      <c r="E247" s="407"/>
      <c r="F247" s="407"/>
      <c r="G247" s="407"/>
      <c r="H247" s="407"/>
      <c r="I247" s="407"/>
      <c r="J247" s="407"/>
      <c r="K247" s="407"/>
      <c r="L247" s="407"/>
      <c r="M247" s="407"/>
      <c r="N247" s="407"/>
      <c r="O247" s="407"/>
      <c r="P247" s="407"/>
      <c r="Q247" s="407"/>
      <c r="R247" s="407"/>
      <c r="S247" s="407"/>
      <c r="T247" s="407"/>
      <c r="U247" s="407"/>
    </row>
    <row r="248" spans="1:25" x14ac:dyDescent="0.25">
      <c r="A248" s="2" t="s">
        <v>64</v>
      </c>
      <c r="B248" s="555" t="s">
        <v>620</v>
      </c>
      <c r="C248" s="551">
        <f>IF(SUM(A250:A254)&gt;0,VLOOKUP(1,A250:C254,3,FALSE),0)</f>
        <v>0</v>
      </c>
      <c r="D248" s="407"/>
      <c r="E248" s="407"/>
      <c r="F248" s="407"/>
      <c r="G248" s="407"/>
      <c r="H248" s="407"/>
      <c r="I248" s="407"/>
      <c r="J248" s="407"/>
      <c r="K248" s="407"/>
      <c r="L248" s="407"/>
      <c r="M248" s="407"/>
      <c r="N248" s="407"/>
      <c r="O248" s="407"/>
      <c r="P248" s="407"/>
      <c r="Q248" s="407"/>
      <c r="R248" s="407"/>
      <c r="S248" s="407"/>
      <c r="T248" s="407"/>
      <c r="U248" s="407"/>
    </row>
    <row r="249" spans="1:25" x14ac:dyDescent="0.25">
      <c r="A249" s="208" t="s">
        <v>615</v>
      </c>
      <c r="B249" s="552" t="s">
        <v>614</v>
      </c>
      <c r="C249" s="551" t="s">
        <v>616</v>
      </c>
      <c r="D249" s="407"/>
      <c r="E249" s="407"/>
      <c r="F249" s="407"/>
      <c r="G249" s="407"/>
      <c r="H249" s="407"/>
      <c r="I249" s="407"/>
      <c r="J249" s="407"/>
      <c r="K249" s="407"/>
      <c r="L249" s="407"/>
      <c r="M249" s="407"/>
      <c r="N249" s="407"/>
      <c r="O249" s="407"/>
      <c r="P249" s="407"/>
      <c r="Q249" s="407"/>
      <c r="R249" s="407"/>
      <c r="S249" s="407"/>
      <c r="T249" s="407"/>
      <c r="U249" s="407"/>
    </row>
    <row r="250" spans="1:25" x14ac:dyDescent="0.25">
      <c r="A250" s="442" t="b">
        <f>IF(SUM(C362:I362)&gt;0,IF(HLOOKUP(1,$C$362:$I$374,2,FALSE)=B250,1),0)</f>
        <v>0</v>
      </c>
      <c r="B250" s="553" t="s">
        <v>65</v>
      </c>
      <c r="C250" s="560">
        <v>0</v>
      </c>
      <c r="D250" s="555" t="s">
        <v>618</v>
      </c>
      <c r="E250" s="407"/>
      <c r="F250" s="407"/>
      <c r="G250" s="407"/>
      <c r="H250" s="407"/>
      <c r="I250" s="407"/>
      <c r="J250" s="407"/>
      <c r="K250" s="407"/>
      <c r="L250" s="407"/>
      <c r="M250" s="407"/>
      <c r="N250" s="407"/>
      <c r="O250" s="407"/>
      <c r="P250" s="407"/>
      <c r="Q250" s="407"/>
      <c r="R250" s="407"/>
      <c r="S250" s="407"/>
      <c r="T250" s="407"/>
      <c r="U250" s="407"/>
    </row>
    <row r="251" spans="1:25" x14ac:dyDescent="0.25">
      <c r="A251" s="12" t="b">
        <f>IF(SUM(C362:I362)&gt;0,IF(HLOOKUP(1,$C$362:$I$374,2,FALSE)=B251,1),0)</f>
        <v>0</v>
      </c>
      <c r="B251" s="554" t="s">
        <v>66</v>
      </c>
      <c r="C251" s="561">
        <v>0</v>
      </c>
      <c r="D251" s="555" t="s">
        <v>618</v>
      </c>
      <c r="E251" s="407"/>
      <c r="F251" s="407"/>
      <c r="G251" s="407"/>
      <c r="H251" s="407"/>
      <c r="I251" s="407"/>
      <c r="J251" s="407"/>
      <c r="K251" s="407"/>
      <c r="L251" s="407"/>
      <c r="M251" s="407"/>
      <c r="N251" s="407"/>
      <c r="O251" s="407"/>
      <c r="P251" s="407"/>
      <c r="Q251" s="407"/>
      <c r="R251" s="407"/>
      <c r="S251" s="407"/>
      <c r="T251" s="407"/>
      <c r="U251" s="407"/>
    </row>
    <row r="252" spans="1:25" x14ac:dyDescent="0.25">
      <c r="A252" s="28">
        <v>0</v>
      </c>
      <c r="B252" s="41" t="s">
        <v>64</v>
      </c>
      <c r="C252" s="557">
        <v>0</v>
      </c>
      <c r="D252" s="407"/>
      <c r="E252" s="407"/>
      <c r="F252" s="407"/>
      <c r="G252" s="407"/>
      <c r="H252" s="407"/>
      <c r="I252" s="407"/>
      <c r="J252" s="407"/>
      <c r="K252" s="407"/>
      <c r="L252" s="407"/>
      <c r="M252" s="407"/>
      <c r="N252" s="407"/>
      <c r="O252" s="407"/>
      <c r="P252" s="407"/>
      <c r="Q252" s="407"/>
      <c r="R252" s="407"/>
      <c r="S252" s="407"/>
      <c r="T252" s="407"/>
      <c r="U252" s="407"/>
    </row>
    <row r="253" spans="1:25" x14ac:dyDescent="0.25">
      <c r="A253" s="12">
        <f>IF(SUM(C362:I362)&gt;0,IF(HLOOKUP(1,$C$362:$I$374,2,FALSE)=B253,1),0)</f>
        <v>1</v>
      </c>
      <c r="B253" s="41" t="s">
        <v>63</v>
      </c>
      <c r="C253" s="556">
        <f>IF(A253=1,C247,0)</f>
        <v>0</v>
      </c>
      <c r="D253" s="407"/>
      <c r="E253" s="407"/>
      <c r="F253" s="407"/>
      <c r="G253" s="407"/>
      <c r="H253" s="407"/>
      <c r="I253" s="407"/>
      <c r="J253" s="407"/>
      <c r="K253" s="407"/>
      <c r="L253" s="407"/>
      <c r="M253" s="407"/>
      <c r="N253" s="407"/>
      <c r="O253" s="407"/>
      <c r="P253" s="407"/>
      <c r="Q253" s="407"/>
      <c r="R253" s="407"/>
      <c r="S253" s="407"/>
      <c r="T253" s="407"/>
      <c r="U253" s="407"/>
    </row>
    <row r="254" spans="1:25" x14ac:dyDescent="0.25">
      <c r="A254" s="34">
        <v>0</v>
      </c>
      <c r="B254" s="52" t="s">
        <v>554</v>
      </c>
      <c r="C254" s="559">
        <v>0</v>
      </c>
      <c r="D254" s="555" t="s">
        <v>619</v>
      </c>
      <c r="E254" s="407"/>
      <c r="F254" s="407"/>
      <c r="G254" s="407"/>
      <c r="H254" s="407"/>
      <c r="I254" s="407"/>
      <c r="J254" s="407"/>
      <c r="K254" s="407"/>
      <c r="L254" s="407"/>
      <c r="M254" s="407"/>
      <c r="N254" s="407"/>
      <c r="O254" s="407"/>
      <c r="P254" s="407"/>
      <c r="Q254" s="407"/>
      <c r="R254" s="407"/>
      <c r="S254" s="407"/>
      <c r="T254" s="407"/>
      <c r="U254" s="407"/>
    </row>
    <row r="255" spans="1:25" x14ac:dyDescent="0.25">
      <c r="B255" s="407"/>
      <c r="C255" s="407"/>
      <c r="D255" s="407"/>
      <c r="E255" s="407"/>
      <c r="F255" s="407"/>
      <c r="G255" s="407"/>
      <c r="H255" s="407"/>
      <c r="I255" s="407"/>
      <c r="J255" s="407"/>
      <c r="K255" s="407"/>
      <c r="L255" s="407"/>
      <c r="M255" s="407"/>
      <c r="N255" s="407"/>
      <c r="O255" s="407"/>
      <c r="P255" s="407"/>
      <c r="Q255" s="407"/>
      <c r="R255" s="407"/>
      <c r="S255" s="407"/>
      <c r="T255" s="407"/>
      <c r="U255" s="407"/>
    </row>
    <row r="256" spans="1:25" s="320" customFormat="1" x14ac:dyDescent="0.25">
      <c r="B256" s="441"/>
      <c r="Y256" s="343"/>
    </row>
    <row r="258" spans="1:12" x14ac:dyDescent="0.25">
      <c r="B258" s="215" t="s">
        <v>200</v>
      </c>
    </row>
    <row r="259" spans="1:12" x14ac:dyDescent="0.25">
      <c r="B259"/>
      <c r="C259" s="215"/>
    </row>
    <row r="260" spans="1:12" x14ac:dyDescent="0.25">
      <c r="B260" s="440" t="s">
        <v>511</v>
      </c>
      <c r="C260" s="464"/>
      <c r="D260" s="449" t="s">
        <v>18</v>
      </c>
      <c r="E260" s="442" t="s">
        <v>9</v>
      </c>
      <c r="F260" s="442" t="s">
        <v>508</v>
      </c>
      <c r="G260" s="2"/>
    </row>
    <row r="261" spans="1:12" x14ac:dyDescent="0.25">
      <c r="B261" s="438"/>
      <c r="C261" s="464" t="s">
        <v>506</v>
      </c>
      <c r="D261" s="449">
        <f>C108</f>
        <v>361</v>
      </c>
      <c r="E261" s="442">
        <f>D108</f>
        <v>1114</v>
      </c>
      <c r="F261" s="451">
        <f>(D261/1000)*(E261/1000)</f>
        <v>0.40215400000000001</v>
      </c>
      <c r="G261" s="479"/>
      <c r="H261" s="450"/>
    </row>
    <row r="262" spans="1:12" ht="15.75" thickBot="1" x14ac:dyDescent="0.3">
      <c r="B262" s="462"/>
      <c r="C262" s="465" t="s">
        <v>510</v>
      </c>
      <c r="D262" s="463">
        <v>40</v>
      </c>
      <c r="E262" s="460"/>
      <c r="F262" s="460"/>
    </row>
    <row r="263" spans="1:12" ht="15.75" thickTop="1" x14ac:dyDescent="0.25">
      <c r="B263" s="6"/>
      <c r="C263" s="36" t="s">
        <v>503</v>
      </c>
      <c r="D263" s="344">
        <v>500</v>
      </c>
      <c r="E263" s="34">
        <v>500</v>
      </c>
      <c r="F263" s="340"/>
      <c r="G263" s="2"/>
      <c r="H263" s="455"/>
    </row>
    <row r="264" spans="1:12" x14ac:dyDescent="0.25">
      <c r="B264" s="6"/>
      <c r="C264" s="36" t="s">
        <v>504</v>
      </c>
      <c r="D264" s="2">
        <f>H388</f>
        <v>250</v>
      </c>
      <c r="E264" s="12">
        <f>J388</f>
        <v>500</v>
      </c>
      <c r="F264" s="453"/>
      <c r="G264" s="2"/>
    </row>
    <row r="265" spans="1:12" x14ac:dyDescent="0.25">
      <c r="B265" s="6"/>
      <c r="C265" s="36"/>
      <c r="E265" s="41"/>
      <c r="F265" s="452"/>
      <c r="G265" s="459"/>
      <c r="H265" s="456"/>
    </row>
    <row r="266" spans="1:12" x14ac:dyDescent="0.25">
      <c r="B266" s="213"/>
      <c r="C266" s="466" t="s">
        <v>505</v>
      </c>
      <c r="D266" s="397">
        <f>MAX(D263:D264)</f>
        <v>500</v>
      </c>
      <c r="E266" s="403">
        <f>MAX(E263:E264)</f>
        <v>500</v>
      </c>
      <c r="F266" s="480">
        <f>(D266/1000)*(E266/1000)</f>
        <v>0.25</v>
      </c>
      <c r="G266" s="2"/>
      <c r="H266" s="457"/>
    </row>
    <row r="267" spans="1:12" ht="15.75" thickBot="1" x14ac:dyDescent="0.3">
      <c r="B267" s="440">
        <f>C111</f>
        <v>0</v>
      </c>
      <c r="C267" s="464" t="s">
        <v>507</v>
      </c>
      <c r="D267" s="449">
        <f>IF(B267&gt;0,E238,0)</f>
        <v>0</v>
      </c>
      <c r="E267" s="442">
        <f>IF(B267&gt;0,G238-D262,0)</f>
        <v>0</v>
      </c>
      <c r="F267" s="451">
        <f>(D267/1000)*(E267/1000)</f>
        <v>0</v>
      </c>
      <c r="G267" s="2"/>
    </row>
    <row r="268" spans="1:12" ht="15.75" thickBot="1" x14ac:dyDescent="0.3">
      <c r="B268" s="414"/>
      <c r="C268" s="458" t="s">
        <v>509</v>
      </c>
      <c r="D268" s="461">
        <f>MAX(D267,D266)-D262</f>
        <v>460</v>
      </c>
      <c r="E268" s="461">
        <f>MAX(E267,E266)-D262</f>
        <v>460</v>
      </c>
      <c r="F268" s="481">
        <f>(D268/1000)*(E268/1000)</f>
        <v>0.21160000000000001</v>
      </c>
      <c r="G268" s="2"/>
    </row>
    <row r="269" spans="1:12" x14ac:dyDescent="0.25">
      <c r="B269"/>
      <c r="C269" s="1"/>
      <c r="D269" s="407"/>
      <c r="E269" s="407"/>
      <c r="F269" s="468"/>
      <c r="G269" s="2"/>
    </row>
    <row r="270" spans="1:12" x14ac:dyDescent="0.25">
      <c r="B270"/>
      <c r="C270" s="1"/>
      <c r="D270" s="407"/>
      <c r="E270" s="407"/>
      <c r="F270" s="468"/>
      <c r="G270" s="2"/>
    </row>
    <row r="271" spans="1:12" x14ac:dyDescent="0.25">
      <c r="A271" t="s">
        <v>524</v>
      </c>
      <c r="B271" s="2"/>
      <c r="C271" s="1"/>
      <c r="D271" s="407"/>
      <c r="E271" s="407"/>
      <c r="F271" s="468"/>
      <c r="H271" s="2"/>
      <c r="I271" s="951">
        <f>MIN(I274:I275)</f>
        <v>0.190554</v>
      </c>
      <c r="K271" s="403">
        <f>MIN(K274:K275)</f>
        <v>0</v>
      </c>
    </row>
    <row r="272" spans="1:12" x14ac:dyDescent="0.25">
      <c r="A272" s="404"/>
      <c r="B272" s="440"/>
      <c r="C272" s="469"/>
      <c r="D272" s="470"/>
      <c r="E272" s="471"/>
      <c r="F272" s="451"/>
      <c r="G272" s="404"/>
      <c r="H272" s="404"/>
      <c r="I272" s="442" t="s">
        <v>516</v>
      </c>
      <c r="J272" s="404"/>
      <c r="K272" s="442" t="s">
        <v>515</v>
      </c>
      <c r="L272" s="404"/>
    </row>
    <row r="273" spans="1:12" x14ac:dyDescent="0.25">
      <c r="A273" s="13" t="s">
        <v>517</v>
      </c>
      <c r="B273" s="1292" t="s">
        <v>518</v>
      </c>
      <c r="C273" s="1293"/>
      <c r="D273" s="1292" t="s">
        <v>519</v>
      </c>
      <c r="E273" s="1293"/>
      <c r="F273" s="13" t="s">
        <v>520</v>
      </c>
      <c r="G273" s="13" t="s">
        <v>521</v>
      </c>
      <c r="H273" s="52" t="s">
        <v>513</v>
      </c>
      <c r="I273" s="41" t="s">
        <v>514</v>
      </c>
      <c r="J273" s="12" t="s">
        <v>522</v>
      </c>
      <c r="K273" s="41" t="s">
        <v>514</v>
      </c>
      <c r="L273" s="12" t="s">
        <v>523</v>
      </c>
    </row>
    <row r="274" spans="1:12" x14ac:dyDescent="0.25">
      <c r="A274" s="403">
        <f>IF(SUM(L274:L275)=0,1,IF(SUM(L274:L275)=2,1,L274))</f>
        <v>1</v>
      </c>
      <c r="B274" s="208">
        <f>IF(ROUND(D268/D261,0)=0,1,ROUND(D268/D261,0))</f>
        <v>1</v>
      </c>
      <c r="C274" s="38">
        <f>IF(ROUND(E268/E261,0)=0,1,ROUND(E268/E261,0))</f>
        <v>1</v>
      </c>
      <c r="D274" s="208">
        <f>B274*D261</f>
        <v>361</v>
      </c>
      <c r="E274" s="38">
        <f>C274*E261</f>
        <v>1114</v>
      </c>
      <c r="F274" s="403">
        <f>C274*B274</f>
        <v>1</v>
      </c>
      <c r="G274" s="402">
        <f>(D274/1000)*(E274/1000)</f>
        <v>0.40215400000000001</v>
      </c>
      <c r="H274" s="403">
        <f>IF((G274)&gt;=F268,1,0)</f>
        <v>1</v>
      </c>
      <c r="I274" s="403">
        <f>IF(SUM(H274:H275)=2,G274-F268,0)</f>
        <v>0.190554</v>
      </c>
      <c r="J274" s="403">
        <f>IF(AND(H274=1,I274=I271),1,0)</f>
        <v>1</v>
      </c>
      <c r="K274" s="403">
        <f>IF(SUM(H274:H275)=0,F268-G274,0)</f>
        <v>0</v>
      </c>
      <c r="L274" s="403">
        <f>IF(AND(SUM(J274:J275)=0,K274=K271,),1,J274)</f>
        <v>1</v>
      </c>
    </row>
    <row r="275" spans="1:12" x14ac:dyDescent="0.25">
      <c r="A275" s="403">
        <f>IF(SUM(L274:L275)=2,0,L275)</f>
        <v>0</v>
      </c>
      <c r="B275" s="432">
        <f>IF(ROUND(E268/D261,0)=0,1,ROUND(E268/D261,0))</f>
        <v>1</v>
      </c>
      <c r="C275" s="436">
        <f>IF(ROUND(D268/E261,0)=0,1,ROUND(D268/E261,0))</f>
        <v>1</v>
      </c>
      <c r="D275" s="432">
        <f>B275*D261</f>
        <v>361</v>
      </c>
      <c r="E275" s="436">
        <f>C275*E261</f>
        <v>1114</v>
      </c>
      <c r="F275" s="473">
        <f>B275*C275</f>
        <v>1</v>
      </c>
      <c r="G275" s="342">
        <f>(D275/1000)*(E275/1000)</f>
        <v>0.40215400000000001</v>
      </c>
      <c r="H275" s="13">
        <f>IF(G275&gt;=F268,1,0)</f>
        <v>1</v>
      </c>
      <c r="I275" s="13">
        <f>IF(SUM(H274:H275)=2,G275-F268,0)</f>
        <v>0.190554</v>
      </c>
      <c r="J275" s="13">
        <f>IF(AND(H275=1,I275=I271),1,0)</f>
        <v>1</v>
      </c>
      <c r="K275" s="13">
        <f>IF(SUM(H274:H275)=0,F268-G275,0)</f>
        <v>0</v>
      </c>
      <c r="L275" s="13">
        <f>IF(AND(SUM(J274:J275)=0,K275=K271,),1,J275)</f>
        <v>1</v>
      </c>
    </row>
    <row r="276" spans="1:12" x14ac:dyDescent="0.25">
      <c r="A276" s="2"/>
      <c r="B276" s="2"/>
      <c r="C276" s="59" t="s">
        <v>39</v>
      </c>
      <c r="D276" s="477">
        <f>VLOOKUP(1,A274:L275,4,FALSE)</f>
        <v>361</v>
      </c>
      <c r="E276" s="471">
        <f>VLOOKUP(1,A274:L275,5,FALSE)</f>
        <v>1114</v>
      </c>
      <c r="F276" s="2"/>
      <c r="G276" s="2"/>
      <c r="H276" s="2"/>
      <c r="I276" s="2"/>
      <c r="J276" s="2"/>
      <c r="K276" s="2"/>
      <c r="L276" s="2"/>
    </row>
    <row r="277" spans="1:12" ht="15.75" thickBot="1" x14ac:dyDescent="0.3">
      <c r="A277" s="2"/>
      <c r="B277" s="2"/>
      <c r="C277" s="59" t="s">
        <v>533</v>
      </c>
      <c r="D277" s="477">
        <f>MAX(D268,D276)</f>
        <v>460</v>
      </c>
      <c r="E277" s="471">
        <f>MAX(E268,E276)</f>
        <v>1114</v>
      </c>
      <c r="F277" s="2"/>
      <c r="G277" s="2"/>
      <c r="H277" s="2"/>
      <c r="I277" s="2"/>
      <c r="J277" s="2"/>
      <c r="K277" s="2"/>
      <c r="L277" s="2"/>
    </row>
    <row r="278" spans="1:12" ht="15.75" thickBot="1" x14ac:dyDescent="0.3">
      <c r="A278" s="2"/>
      <c r="B278" s="2"/>
      <c r="C278" s="59" t="s">
        <v>785</v>
      </c>
      <c r="D278" s="478">
        <f>D277/VLOOKUP(1,A274:C275,2,FALSE)</f>
        <v>460</v>
      </c>
      <c r="E278" s="738">
        <f>E277/VLOOKUP(1,A274:C275,3,FALSE)</f>
        <v>1114</v>
      </c>
      <c r="F278" s="2"/>
      <c r="G278" s="2"/>
      <c r="H278" s="2"/>
      <c r="I278" s="2"/>
      <c r="J278" s="2"/>
      <c r="K278" s="2"/>
      <c r="L278" s="2"/>
    </row>
    <row r="279" spans="1:12" x14ac:dyDescent="0.25">
      <c r="C279" s="459"/>
    </row>
    <row r="280" spans="1:12" x14ac:dyDescent="0.25">
      <c r="C280" s="2" t="s">
        <v>18</v>
      </c>
      <c r="D280" s="2" t="s">
        <v>9</v>
      </c>
    </row>
    <row r="281" spans="1:12" x14ac:dyDescent="0.25">
      <c r="B281" s="1" t="s">
        <v>525</v>
      </c>
      <c r="C281" s="407">
        <f>D277+D262</f>
        <v>500</v>
      </c>
      <c r="D281" s="407">
        <f>E277+D262</f>
        <v>1154</v>
      </c>
    </row>
    <row r="282" spans="1:12" x14ac:dyDescent="0.25">
      <c r="B282" s="1" t="s">
        <v>526</v>
      </c>
      <c r="C282" s="407">
        <f>MIN(C281:D281)</f>
        <v>500</v>
      </c>
      <c r="D282" s="407">
        <f>MAX(C281:D281)</f>
        <v>1154</v>
      </c>
    </row>
    <row r="284" spans="1:12" x14ac:dyDescent="0.25">
      <c r="B284" s="1" t="s">
        <v>527</v>
      </c>
      <c r="C284" s="454">
        <v>1200</v>
      </c>
      <c r="D284" s="454">
        <v>1690</v>
      </c>
      <c r="E284" s="403" t="s">
        <v>187</v>
      </c>
    </row>
    <row r="285" spans="1:12" x14ac:dyDescent="0.25">
      <c r="B285" s="1" t="s">
        <v>152</v>
      </c>
      <c r="C285" s="208">
        <f>IF(C282&lt;=C284,1,0)</f>
        <v>1</v>
      </c>
      <c r="D285" s="403">
        <f>IF(D282&lt;=D284,1,0)</f>
        <v>1</v>
      </c>
      <c r="E285" s="403">
        <f>IF(SUM(C285:D285)=2,1,0)</f>
        <v>1</v>
      </c>
    </row>
    <row r="287" spans="1:12" x14ac:dyDescent="0.25">
      <c r="B287" s="1" t="s">
        <v>528</v>
      </c>
      <c r="C287" s="208">
        <f>C284</f>
        <v>1200</v>
      </c>
      <c r="D287" s="403">
        <f>D284</f>
        <v>1690</v>
      </c>
      <c r="E287" s="403" t="s">
        <v>187</v>
      </c>
    </row>
    <row r="288" spans="1:12" x14ac:dyDescent="0.25">
      <c r="C288" s="208">
        <f>IF(C282&lt;=C287,1,0)</f>
        <v>1</v>
      </c>
      <c r="D288" s="403">
        <f>IF(D282&lt;=D287,1,0)</f>
        <v>1</v>
      </c>
      <c r="E288" s="403">
        <f>IF(SUM(C288:D288)=2,1,0)</f>
        <v>1</v>
      </c>
    </row>
    <row r="289" spans="2:25" x14ac:dyDescent="0.25">
      <c r="C289" s="2"/>
      <c r="D289" s="2"/>
      <c r="E289" s="2"/>
      <c r="L289" s="512"/>
    </row>
    <row r="290" spans="2:25" ht="15.75" thickBot="1" x14ac:dyDescent="0.3">
      <c r="C290" s="2"/>
      <c r="D290" s="2"/>
      <c r="E290" s="2"/>
    </row>
    <row r="291" spans="2:25" x14ac:dyDescent="0.25">
      <c r="C291" s="2"/>
      <c r="D291" s="2"/>
      <c r="F291" s="498">
        <v>3</v>
      </c>
      <c r="L291" s="450"/>
    </row>
    <row r="292" spans="2:25" x14ac:dyDescent="0.25">
      <c r="B292" s="220"/>
      <c r="C292" s="473" t="s">
        <v>152</v>
      </c>
      <c r="D292" s="208" t="s">
        <v>534</v>
      </c>
      <c r="E292" s="476" t="s">
        <v>161</v>
      </c>
      <c r="F292" s="499" t="s">
        <v>535</v>
      </c>
    </row>
    <row r="293" spans="2:25" ht="15.75" thickBot="1" x14ac:dyDescent="0.3">
      <c r="B293" s="483" t="s">
        <v>529</v>
      </c>
      <c r="C293" s="13">
        <f>IF(SUM(E285,E288)=2,1,0)</f>
        <v>1</v>
      </c>
      <c r="D293" s="18">
        <f>V46</f>
        <v>0</v>
      </c>
      <c r="E293" s="208">
        <f>'Prijs karton'!AH16</f>
        <v>1</v>
      </c>
      <c r="F293" s="500">
        <f>IF(SUM(C293:E293)=F291,1,0)</f>
        <v>0</v>
      </c>
    </row>
    <row r="295" spans="2:25" s="320" customFormat="1" x14ac:dyDescent="0.25">
      <c r="B295" s="441"/>
      <c r="Y295" s="343"/>
    </row>
    <row r="297" spans="2:25" x14ac:dyDescent="0.25">
      <c r="B297" s="215" t="s">
        <v>201</v>
      </c>
    </row>
    <row r="298" spans="2:25" x14ac:dyDescent="0.25">
      <c r="B298" s="215"/>
    </row>
    <row r="299" spans="2:25" ht="15.75" thickBot="1" x14ac:dyDescent="0.3">
      <c r="B299" s="77" t="s">
        <v>544</v>
      </c>
    </row>
    <row r="300" spans="2:25" ht="15.75" thickBot="1" x14ac:dyDescent="0.3">
      <c r="B300" s="484">
        <v>80</v>
      </c>
      <c r="C300" s="262">
        <v>150</v>
      </c>
      <c r="D300" s="281">
        <f>IF(SUM(D301:D302)&gt;0,1,0)</f>
        <v>1</v>
      </c>
    </row>
    <row r="301" spans="2:25" x14ac:dyDescent="0.25">
      <c r="B301" s="399">
        <f>IF(C307&gt;=B300,1,0)</f>
        <v>1</v>
      </c>
      <c r="C301" s="431">
        <f>IF(E307&gt;=C300,1,0)</f>
        <v>1</v>
      </c>
      <c r="D301" s="12">
        <f>IF(SUM(B301:C301)=2,1,0)</f>
        <v>1</v>
      </c>
    </row>
    <row r="302" spans="2:25" x14ac:dyDescent="0.25">
      <c r="B302" s="202">
        <f>IF(C315&gt;=B300,1,0)</f>
        <v>1</v>
      </c>
      <c r="C302" s="18">
        <f>IF(E315&gt;=C300,1,0)</f>
        <v>1</v>
      </c>
      <c r="D302" s="13">
        <f>IF(SUM(B302:C302)=2,1,0)</f>
        <v>1</v>
      </c>
    </row>
    <row r="304" spans="2:25" x14ac:dyDescent="0.25">
      <c r="B304"/>
    </row>
    <row r="305" spans="1:21" x14ac:dyDescent="0.25">
      <c r="A305" s="473" t="s">
        <v>549</v>
      </c>
      <c r="B305" s="399" t="s">
        <v>61</v>
      </c>
      <c r="C305" s="411"/>
      <c r="D305" s="486">
        <v>400</v>
      </c>
      <c r="E305" s="103"/>
      <c r="F305" s="956">
        <v>1000</v>
      </c>
      <c r="G305" s="486">
        <v>2400</v>
      </c>
      <c r="H305" s="488"/>
      <c r="I305" s="43"/>
      <c r="J305" s="417" t="s">
        <v>18</v>
      </c>
      <c r="K305" s="423"/>
      <c r="L305" s="496" t="s">
        <v>9</v>
      </c>
      <c r="M305" s="497"/>
      <c r="N305" s="399" t="s">
        <v>537</v>
      </c>
      <c r="O305" s="431" t="s">
        <v>545</v>
      </c>
      <c r="P305" s="442" t="s">
        <v>566</v>
      </c>
      <c r="Q305" s="435" t="s">
        <v>81</v>
      </c>
      <c r="R305" s="442" t="s">
        <v>582</v>
      </c>
      <c r="S305" s="442" t="s">
        <v>536</v>
      </c>
      <c r="T305" s="399" t="s">
        <v>547</v>
      </c>
      <c r="U305" s="399" t="s">
        <v>547</v>
      </c>
    </row>
    <row r="306" spans="1:21" x14ac:dyDescent="0.25">
      <c r="A306" s="491">
        <f>IF(SUM(S308:S314)=0,0,IF(AND(SUM(S308:S314)&gt;0,A307=1),0,IF(AND(SUM(S308:S314)&gt;0,A307=0),1)))</f>
        <v>0</v>
      </c>
      <c r="B306" s="120" t="s">
        <v>180</v>
      </c>
      <c r="C306" s="287" t="s">
        <v>18</v>
      </c>
      <c r="D306" s="473" t="s">
        <v>539</v>
      </c>
      <c r="E306" s="103" t="s">
        <v>9</v>
      </c>
      <c r="F306" s="489" t="s">
        <v>538</v>
      </c>
      <c r="G306" s="489" t="s">
        <v>548</v>
      </c>
      <c r="H306" s="487" t="s">
        <v>541</v>
      </c>
      <c r="I306" s="401" t="s">
        <v>540</v>
      </c>
      <c r="J306" s="489" t="s">
        <v>542</v>
      </c>
      <c r="K306" s="489" t="s">
        <v>543</v>
      </c>
      <c r="L306" s="489" t="s">
        <v>542</v>
      </c>
      <c r="M306" s="489" t="s">
        <v>181</v>
      </c>
      <c r="N306" s="228"/>
      <c r="O306" s="204" t="s">
        <v>546</v>
      </c>
      <c r="P306" s="41"/>
      <c r="Q306" s="7"/>
      <c r="R306" s="52"/>
      <c r="S306" s="202"/>
      <c r="T306" s="120" t="s">
        <v>113</v>
      </c>
      <c r="U306" s="120" t="s">
        <v>112</v>
      </c>
    </row>
    <row r="307" spans="1:21" x14ac:dyDescent="0.25">
      <c r="A307" s="492">
        <f>IF(SUM(S316:S322)=0,0,IF(SUM(S316:S322)&gt;0,1))</f>
        <v>0</v>
      </c>
      <c r="B307" s="341"/>
      <c r="C307" s="913">
        <f>C6</f>
        <v>300</v>
      </c>
      <c r="D307" s="41"/>
      <c r="E307" s="38">
        <f>C7</f>
        <v>250</v>
      </c>
      <c r="F307" s="473"/>
      <c r="G307" s="41"/>
      <c r="H307" s="241"/>
      <c r="I307" s="70">
        <v>55</v>
      </c>
      <c r="J307" s="34">
        <v>60</v>
      </c>
      <c r="K307" s="490">
        <v>1300</v>
      </c>
      <c r="L307" s="28">
        <v>65</v>
      </c>
      <c r="M307" s="28">
        <v>600</v>
      </c>
      <c r="N307" s="442"/>
      <c r="O307" s="213"/>
      <c r="P307" s="473">
        <f>W46</f>
        <v>0</v>
      </c>
      <c r="Q307" s="473">
        <f>IF(C111=0,1,0)</f>
        <v>1</v>
      </c>
      <c r="R307" s="473">
        <f>IF(C131=0,1,0)</f>
        <v>1</v>
      </c>
      <c r="S307" s="484">
        <v>9</v>
      </c>
      <c r="T307" s="442"/>
      <c r="U307" s="404"/>
    </row>
    <row r="308" spans="1:21" x14ac:dyDescent="0.25">
      <c r="A308" s="510" t="str">
        <f t="shared" ref="A308:A314" si="29">IF(AND($A$306=1,S308=1),B308," ")</f>
        <v xml:space="preserve"> </v>
      </c>
      <c r="B308" s="431">
        <v>1</v>
      </c>
      <c r="C308" s="442">
        <f>B308*$C$307</f>
        <v>300</v>
      </c>
      <c r="D308" s="435">
        <f>CEILING($D$305/$C$307,1)</f>
        <v>2</v>
      </c>
      <c r="E308" s="2">
        <f t="shared" ref="E308:E314" si="30">$E$307</f>
        <v>250</v>
      </c>
      <c r="F308" s="431">
        <f t="shared" ref="F308:F314" si="31">CEILING($F$305/$E$307,1)</f>
        <v>4</v>
      </c>
      <c r="G308" s="442">
        <f>FLOOR($G$305/$E$307,1)</f>
        <v>9</v>
      </c>
      <c r="H308" s="485">
        <v>6</v>
      </c>
      <c r="I308" s="2">
        <f t="shared" ref="I308:I314" si="32">$I$307*H308</f>
        <v>330</v>
      </c>
      <c r="J308" s="442">
        <f t="shared" ref="J308:J314" si="33">IF($C$307&gt;=$J$307,1,0)</f>
        <v>1</v>
      </c>
      <c r="K308" s="449">
        <f t="shared" ref="K308:K314" si="34">IF(C308&lt;=$K$307-I308,1,0)</f>
        <v>1</v>
      </c>
      <c r="L308" s="431">
        <f t="shared" ref="L308:L314" si="35">IF(E308&gt;=$L$307,1,0)</f>
        <v>1</v>
      </c>
      <c r="M308" s="431">
        <f t="shared" ref="M308:M314" si="36">IF(E308&lt;=$M$307,1,0)</f>
        <v>1</v>
      </c>
      <c r="N308" s="442">
        <f>$D$300</f>
        <v>1</v>
      </c>
      <c r="O308" s="2">
        <f t="shared" ref="O308:O314" si="37">IF(B308&gt;=D308,1,0)</f>
        <v>0</v>
      </c>
      <c r="P308" s="442">
        <f>$P$307</f>
        <v>0</v>
      </c>
      <c r="Q308" s="2">
        <f>$Q$307</f>
        <v>1</v>
      </c>
      <c r="R308" s="442">
        <f t="shared" ref="R308:R314" si="38">$R$307</f>
        <v>1</v>
      </c>
      <c r="S308" s="431">
        <f t="shared" ref="S308:S314" si="39">IF(SUM(J308:R308)=$S$307,1,0)</f>
        <v>0</v>
      </c>
      <c r="T308" s="431">
        <f t="shared" ref="T308:T314" si="40">S308*B308*F308</f>
        <v>0</v>
      </c>
      <c r="U308" s="442">
        <f t="shared" ref="U308:U314" si="41">S308*B308*G308</f>
        <v>0</v>
      </c>
    </row>
    <row r="309" spans="1:21" x14ac:dyDescent="0.25">
      <c r="A309" s="510" t="str">
        <f t="shared" si="29"/>
        <v xml:space="preserve"> </v>
      </c>
      <c r="B309" s="26">
        <v>2</v>
      </c>
      <c r="C309" s="12">
        <f t="shared" ref="C309:C314" si="42">B309*$C$307</f>
        <v>600</v>
      </c>
      <c r="D309" s="25">
        <f t="shared" ref="D309:D314" si="43">CEILING($D$305/$C$307,1)</f>
        <v>2</v>
      </c>
      <c r="E309" s="2">
        <f t="shared" si="30"/>
        <v>250</v>
      </c>
      <c r="F309" s="26">
        <f t="shared" si="31"/>
        <v>4</v>
      </c>
      <c r="G309" s="12">
        <f t="shared" ref="G309:G314" si="44">FLOOR($G$305/$E$307,1)</f>
        <v>9</v>
      </c>
      <c r="H309" s="246">
        <v>5</v>
      </c>
      <c r="I309" s="2">
        <f t="shared" si="32"/>
        <v>275</v>
      </c>
      <c r="J309" s="12">
        <f t="shared" si="33"/>
        <v>1</v>
      </c>
      <c r="K309" s="2">
        <f t="shared" si="34"/>
        <v>1</v>
      </c>
      <c r="L309" s="26">
        <f t="shared" si="35"/>
        <v>1</v>
      </c>
      <c r="M309" s="26">
        <f t="shared" si="36"/>
        <v>1</v>
      </c>
      <c r="N309" s="12">
        <f t="shared" ref="N309:N314" si="45">$D$300</f>
        <v>1</v>
      </c>
      <c r="O309" s="2">
        <f t="shared" si="37"/>
        <v>1</v>
      </c>
      <c r="P309" s="12">
        <f>$P$307</f>
        <v>0</v>
      </c>
      <c r="Q309" s="2">
        <f>$Q$307</f>
        <v>1</v>
      </c>
      <c r="R309" s="12">
        <f t="shared" si="38"/>
        <v>1</v>
      </c>
      <c r="S309" s="26">
        <f t="shared" si="39"/>
        <v>0</v>
      </c>
      <c r="T309" s="26">
        <f t="shared" si="40"/>
        <v>0</v>
      </c>
      <c r="U309" s="12">
        <f t="shared" si="41"/>
        <v>0</v>
      </c>
    </row>
    <row r="310" spans="1:21" x14ac:dyDescent="0.25">
      <c r="A310" s="510" t="str">
        <f t="shared" si="29"/>
        <v xml:space="preserve"> </v>
      </c>
      <c r="B310" s="26">
        <v>3</v>
      </c>
      <c r="C310" s="12">
        <f t="shared" si="42"/>
        <v>900</v>
      </c>
      <c r="D310" s="25">
        <f t="shared" si="43"/>
        <v>2</v>
      </c>
      <c r="E310" s="2">
        <f t="shared" si="30"/>
        <v>250</v>
      </c>
      <c r="F310" s="26">
        <f t="shared" si="31"/>
        <v>4</v>
      </c>
      <c r="G310" s="12">
        <f t="shared" si="44"/>
        <v>9</v>
      </c>
      <c r="H310" s="246">
        <v>4</v>
      </c>
      <c r="I310" s="2">
        <f t="shared" si="32"/>
        <v>220</v>
      </c>
      <c r="J310" s="12">
        <f t="shared" si="33"/>
        <v>1</v>
      </c>
      <c r="K310" s="2">
        <f t="shared" si="34"/>
        <v>1</v>
      </c>
      <c r="L310" s="26">
        <f t="shared" si="35"/>
        <v>1</v>
      </c>
      <c r="M310" s="26">
        <f t="shared" si="36"/>
        <v>1</v>
      </c>
      <c r="N310" s="12">
        <f t="shared" si="45"/>
        <v>1</v>
      </c>
      <c r="O310" s="2">
        <f t="shared" si="37"/>
        <v>1</v>
      </c>
      <c r="P310" s="12">
        <f t="shared" ref="P310:P314" si="46">$P$307</f>
        <v>0</v>
      </c>
      <c r="Q310" s="2">
        <f t="shared" ref="Q310:Q314" si="47">$Q$307</f>
        <v>1</v>
      </c>
      <c r="R310" s="12">
        <f t="shared" si="38"/>
        <v>1</v>
      </c>
      <c r="S310" s="26">
        <f t="shared" si="39"/>
        <v>0</v>
      </c>
      <c r="T310" s="26">
        <f t="shared" si="40"/>
        <v>0</v>
      </c>
      <c r="U310" s="12">
        <f t="shared" si="41"/>
        <v>0</v>
      </c>
    </row>
    <row r="311" spans="1:21" x14ac:dyDescent="0.25">
      <c r="A311" s="510" t="str">
        <f t="shared" si="29"/>
        <v xml:space="preserve"> </v>
      </c>
      <c r="B311" s="26">
        <v>4</v>
      </c>
      <c r="C311" s="12">
        <f t="shared" si="42"/>
        <v>1200</v>
      </c>
      <c r="D311" s="25">
        <f t="shared" si="43"/>
        <v>2</v>
      </c>
      <c r="E311" s="2">
        <f t="shared" si="30"/>
        <v>250</v>
      </c>
      <c r="F311" s="26">
        <f t="shared" si="31"/>
        <v>4</v>
      </c>
      <c r="G311" s="12">
        <f t="shared" si="44"/>
        <v>9</v>
      </c>
      <c r="H311" s="246">
        <v>3</v>
      </c>
      <c r="I311" s="2">
        <f t="shared" si="32"/>
        <v>165</v>
      </c>
      <c r="J311" s="12">
        <f t="shared" si="33"/>
        <v>1</v>
      </c>
      <c r="K311" s="2">
        <f t="shared" si="34"/>
        <v>0</v>
      </c>
      <c r="L311" s="26">
        <f t="shared" si="35"/>
        <v>1</v>
      </c>
      <c r="M311" s="26">
        <f t="shared" si="36"/>
        <v>1</v>
      </c>
      <c r="N311" s="12">
        <f t="shared" si="45"/>
        <v>1</v>
      </c>
      <c r="O311" s="2">
        <f t="shared" si="37"/>
        <v>1</v>
      </c>
      <c r="P311" s="12">
        <f t="shared" si="46"/>
        <v>0</v>
      </c>
      <c r="Q311" s="2">
        <f t="shared" si="47"/>
        <v>1</v>
      </c>
      <c r="R311" s="12">
        <f t="shared" si="38"/>
        <v>1</v>
      </c>
      <c r="S311" s="26">
        <f t="shared" si="39"/>
        <v>0</v>
      </c>
      <c r="T311" s="26">
        <f t="shared" si="40"/>
        <v>0</v>
      </c>
      <c r="U311" s="12">
        <f t="shared" si="41"/>
        <v>0</v>
      </c>
    </row>
    <row r="312" spans="1:21" x14ac:dyDescent="0.25">
      <c r="A312" s="510" t="str">
        <f t="shared" si="29"/>
        <v xml:space="preserve"> </v>
      </c>
      <c r="B312" s="26">
        <v>5</v>
      </c>
      <c r="C312" s="12">
        <f t="shared" si="42"/>
        <v>1500</v>
      </c>
      <c r="D312" s="25">
        <f t="shared" si="43"/>
        <v>2</v>
      </c>
      <c r="E312" s="2">
        <f t="shared" si="30"/>
        <v>250</v>
      </c>
      <c r="F312" s="26">
        <f t="shared" si="31"/>
        <v>4</v>
      </c>
      <c r="G312" s="12">
        <f t="shared" si="44"/>
        <v>9</v>
      </c>
      <c r="H312" s="246">
        <v>2</v>
      </c>
      <c r="I312" s="2">
        <f t="shared" si="32"/>
        <v>110</v>
      </c>
      <c r="J312" s="12">
        <f t="shared" si="33"/>
        <v>1</v>
      </c>
      <c r="K312" s="2">
        <f t="shared" si="34"/>
        <v>0</v>
      </c>
      <c r="L312" s="26">
        <f t="shared" si="35"/>
        <v>1</v>
      </c>
      <c r="M312" s="26">
        <f t="shared" si="36"/>
        <v>1</v>
      </c>
      <c r="N312" s="12">
        <f t="shared" si="45"/>
        <v>1</v>
      </c>
      <c r="O312" s="2">
        <f t="shared" si="37"/>
        <v>1</v>
      </c>
      <c r="P312" s="12">
        <f t="shared" si="46"/>
        <v>0</v>
      </c>
      <c r="Q312" s="2">
        <f t="shared" si="47"/>
        <v>1</v>
      </c>
      <c r="R312" s="12">
        <f t="shared" si="38"/>
        <v>1</v>
      </c>
      <c r="S312" s="26">
        <f t="shared" si="39"/>
        <v>0</v>
      </c>
      <c r="T312" s="26">
        <f t="shared" si="40"/>
        <v>0</v>
      </c>
      <c r="U312" s="12">
        <f t="shared" si="41"/>
        <v>0</v>
      </c>
    </row>
    <row r="313" spans="1:21" x14ac:dyDescent="0.25">
      <c r="A313" s="510" t="str">
        <f t="shared" si="29"/>
        <v xml:space="preserve"> </v>
      </c>
      <c r="B313" s="26">
        <v>6</v>
      </c>
      <c r="C313" s="12">
        <f t="shared" si="42"/>
        <v>1800</v>
      </c>
      <c r="D313" s="25">
        <f t="shared" si="43"/>
        <v>2</v>
      </c>
      <c r="E313" s="2">
        <f t="shared" si="30"/>
        <v>250</v>
      </c>
      <c r="F313" s="26">
        <f t="shared" si="31"/>
        <v>4</v>
      </c>
      <c r="G313" s="12">
        <f t="shared" si="44"/>
        <v>9</v>
      </c>
      <c r="H313" s="246">
        <v>1</v>
      </c>
      <c r="I313" s="2">
        <f t="shared" si="32"/>
        <v>55</v>
      </c>
      <c r="J313" s="12">
        <f t="shared" si="33"/>
        <v>1</v>
      </c>
      <c r="K313" s="2">
        <f t="shared" si="34"/>
        <v>0</v>
      </c>
      <c r="L313" s="26">
        <f t="shared" si="35"/>
        <v>1</v>
      </c>
      <c r="M313" s="26">
        <f t="shared" si="36"/>
        <v>1</v>
      </c>
      <c r="N313" s="12">
        <f t="shared" si="45"/>
        <v>1</v>
      </c>
      <c r="O313" s="2">
        <f t="shared" si="37"/>
        <v>1</v>
      </c>
      <c r="P313" s="12">
        <f t="shared" si="46"/>
        <v>0</v>
      </c>
      <c r="Q313" s="2">
        <f t="shared" si="47"/>
        <v>1</v>
      </c>
      <c r="R313" s="12">
        <f t="shared" si="38"/>
        <v>1</v>
      </c>
      <c r="S313" s="26">
        <f t="shared" si="39"/>
        <v>0</v>
      </c>
      <c r="T313" s="26">
        <f t="shared" si="40"/>
        <v>0</v>
      </c>
      <c r="U313" s="12">
        <f t="shared" si="41"/>
        <v>0</v>
      </c>
    </row>
    <row r="314" spans="1:21" x14ac:dyDescent="0.25">
      <c r="A314" s="510" t="str">
        <f t="shared" si="29"/>
        <v xml:space="preserve"> </v>
      </c>
      <c r="B314" s="18">
        <v>7</v>
      </c>
      <c r="C314" s="13">
        <f t="shared" si="42"/>
        <v>2100</v>
      </c>
      <c r="D314" s="436">
        <f t="shared" si="43"/>
        <v>2</v>
      </c>
      <c r="E314" s="2">
        <f t="shared" si="30"/>
        <v>250</v>
      </c>
      <c r="F314" s="18">
        <f t="shared" si="31"/>
        <v>4</v>
      </c>
      <c r="G314" s="13">
        <f t="shared" si="44"/>
        <v>9</v>
      </c>
      <c r="H314" s="247">
        <v>0</v>
      </c>
      <c r="I314" s="2">
        <f t="shared" si="32"/>
        <v>0</v>
      </c>
      <c r="J314" s="12">
        <f t="shared" si="33"/>
        <v>1</v>
      </c>
      <c r="K314" s="2">
        <f t="shared" si="34"/>
        <v>0</v>
      </c>
      <c r="L314" s="18">
        <f t="shared" si="35"/>
        <v>1</v>
      </c>
      <c r="M314" s="18">
        <f t="shared" si="36"/>
        <v>1</v>
      </c>
      <c r="N314" s="13">
        <f t="shared" si="45"/>
        <v>1</v>
      </c>
      <c r="O314" s="2">
        <f t="shared" si="37"/>
        <v>1</v>
      </c>
      <c r="P314" s="12">
        <f t="shared" si="46"/>
        <v>0</v>
      </c>
      <c r="Q314" s="2">
        <f t="shared" si="47"/>
        <v>1</v>
      </c>
      <c r="R314" s="12">
        <f t="shared" si="38"/>
        <v>1</v>
      </c>
      <c r="S314" s="26">
        <f t="shared" si="39"/>
        <v>0</v>
      </c>
      <c r="T314" s="18">
        <f t="shared" si="40"/>
        <v>0</v>
      </c>
      <c r="U314" s="13">
        <f t="shared" si="41"/>
        <v>0</v>
      </c>
    </row>
    <row r="315" spans="1:21" x14ac:dyDescent="0.25">
      <c r="A315" s="472"/>
      <c r="B315" s="12"/>
      <c r="C315" s="26">
        <f>E307</f>
        <v>250</v>
      </c>
      <c r="D315" s="41"/>
      <c r="E315" s="38">
        <f>C307</f>
        <v>300</v>
      </c>
      <c r="F315" s="12"/>
      <c r="G315" s="41"/>
      <c r="H315" s="488"/>
      <c r="I315" s="44"/>
      <c r="J315" s="473"/>
      <c r="K315" s="473"/>
      <c r="L315" s="12"/>
      <c r="M315" s="12"/>
      <c r="N315" s="436"/>
      <c r="O315" s="213"/>
      <c r="P315" s="472"/>
      <c r="Q315" s="43"/>
      <c r="R315" s="473"/>
      <c r="S315" s="442"/>
      <c r="T315" s="12"/>
      <c r="U315" s="52"/>
    </row>
    <row r="316" spans="1:21" x14ac:dyDescent="0.25">
      <c r="A316" s="493" t="str">
        <f t="shared" ref="A316:A322" si="48">IF(AND($A$307=1,S316=1),B316," ")</f>
        <v xml:space="preserve"> </v>
      </c>
      <c r="B316" s="449">
        <v>1</v>
      </c>
      <c r="C316" s="442">
        <f>B316*$C$315</f>
        <v>250</v>
      </c>
      <c r="D316" s="435">
        <f>CEILING($D$305/$C$315,1)</f>
        <v>2</v>
      </c>
      <c r="E316" s="435">
        <f t="shared" ref="E316:E322" si="49">$E$315</f>
        <v>300</v>
      </c>
      <c r="F316" s="431">
        <f t="shared" ref="F316:F322" si="50">CEILING($F$305/$E$315,1)</f>
        <v>4</v>
      </c>
      <c r="G316" s="442">
        <f>FLOOR($G$305/$E$315,1)</f>
        <v>8</v>
      </c>
      <c r="H316" s="485">
        <v>0</v>
      </c>
      <c r="I316" s="435">
        <f t="shared" ref="I316:I322" si="51">$I$307*H316</f>
        <v>0</v>
      </c>
      <c r="J316" s="442">
        <f t="shared" ref="J316:J322" si="52">IF($C$315&gt;=$J$307,1,0)</f>
        <v>1</v>
      </c>
      <c r="K316" s="431">
        <f t="shared" ref="K316:K322" si="53">IF(C316&lt;=$K$307-I316,1,0)</f>
        <v>1</v>
      </c>
      <c r="L316" s="431">
        <f t="shared" ref="L316:L322" si="54">IF(E316&gt;=$L$307,1,0)</f>
        <v>1</v>
      </c>
      <c r="M316" s="442">
        <f t="shared" ref="M316:M322" si="55">IF(E316&lt;=$M$307,1,0)</f>
        <v>1</v>
      </c>
      <c r="N316" s="442">
        <f>$D$300</f>
        <v>1</v>
      </c>
      <c r="O316" s="431">
        <f t="shared" ref="O316:O322" si="56">IF(B316&gt;=D316,1,0)</f>
        <v>0</v>
      </c>
      <c r="P316" s="442">
        <f>$P$307</f>
        <v>0</v>
      </c>
      <c r="Q316" s="431">
        <f>$Q$307</f>
        <v>1</v>
      </c>
      <c r="R316" s="12">
        <f t="shared" ref="R316:R322" si="57">$R$307</f>
        <v>1</v>
      </c>
      <c r="S316" s="442">
        <f t="shared" ref="S316:S322" si="58">IF(SUM(J316:R316)=$S$307,1,0)</f>
        <v>0</v>
      </c>
      <c r="T316" s="442">
        <f t="shared" ref="T316:T322" si="59">S316*B316*F316</f>
        <v>0</v>
      </c>
      <c r="U316" s="442">
        <f t="shared" ref="U316:U322" si="60">S316*B316*G316</f>
        <v>0</v>
      </c>
    </row>
    <row r="317" spans="1:21" x14ac:dyDescent="0.25">
      <c r="A317" s="494" t="str">
        <f t="shared" si="48"/>
        <v xml:space="preserve"> </v>
      </c>
      <c r="B317" s="2">
        <v>2</v>
      </c>
      <c r="C317" s="12">
        <f t="shared" ref="C317:C322" si="61">B317*$C$315</f>
        <v>500</v>
      </c>
      <c r="D317" s="25">
        <f t="shared" ref="D317:D322" si="62">CEILING($D$305/$C$315,1)</f>
        <v>2</v>
      </c>
      <c r="E317" s="25">
        <f t="shared" si="49"/>
        <v>300</v>
      </c>
      <c r="F317" s="26">
        <f t="shared" si="50"/>
        <v>4</v>
      </c>
      <c r="G317" s="12">
        <f t="shared" ref="G317:G322" si="63">FLOOR($G$305/$E$315,1)</f>
        <v>8</v>
      </c>
      <c r="H317" s="246">
        <v>1</v>
      </c>
      <c r="I317" s="25">
        <f t="shared" si="51"/>
        <v>55</v>
      </c>
      <c r="J317" s="12">
        <f t="shared" si="52"/>
        <v>1</v>
      </c>
      <c r="K317" s="26">
        <f t="shared" si="53"/>
        <v>1</v>
      </c>
      <c r="L317" s="26">
        <f t="shared" si="54"/>
        <v>1</v>
      </c>
      <c r="M317" s="12">
        <f t="shared" si="55"/>
        <v>1</v>
      </c>
      <c r="N317" s="12">
        <f t="shared" ref="N317:N322" si="64">$D$300</f>
        <v>1</v>
      </c>
      <c r="O317" s="26">
        <f t="shared" si="56"/>
        <v>1</v>
      </c>
      <c r="P317" s="12">
        <f>$P$307</f>
        <v>0</v>
      </c>
      <c r="Q317" s="26">
        <f>$Q$307</f>
        <v>1</v>
      </c>
      <c r="R317" s="12">
        <f t="shared" si="57"/>
        <v>1</v>
      </c>
      <c r="S317" s="12">
        <f t="shared" si="58"/>
        <v>0</v>
      </c>
      <c r="T317" s="12">
        <f t="shared" si="59"/>
        <v>0</v>
      </c>
      <c r="U317" s="12">
        <f t="shared" si="60"/>
        <v>0</v>
      </c>
    </row>
    <row r="318" spans="1:21" x14ac:dyDescent="0.25">
      <c r="A318" s="494" t="str">
        <f t="shared" si="48"/>
        <v xml:space="preserve"> </v>
      </c>
      <c r="B318" s="2">
        <v>3</v>
      </c>
      <c r="C318" s="12">
        <f t="shared" si="61"/>
        <v>750</v>
      </c>
      <c r="D318" s="25">
        <f t="shared" si="62"/>
        <v>2</v>
      </c>
      <c r="E318" s="25">
        <f t="shared" si="49"/>
        <v>300</v>
      </c>
      <c r="F318" s="26">
        <f t="shared" si="50"/>
        <v>4</v>
      </c>
      <c r="G318" s="12">
        <f t="shared" si="63"/>
        <v>8</v>
      </c>
      <c r="H318" s="246">
        <v>2</v>
      </c>
      <c r="I318" s="25">
        <f t="shared" si="51"/>
        <v>110</v>
      </c>
      <c r="J318" s="12">
        <f t="shared" si="52"/>
        <v>1</v>
      </c>
      <c r="K318" s="26">
        <f t="shared" si="53"/>
        <v>1</v>
      </c>
      <c r="L318" s="26">
        <f t="shared" si="54"/>
        <v>1</v>
      </c>
      <c r="M318" s="12">
        <f t="shared" si="55"/>
        <v>1</v>
      </c>
      <c r="N318" s="12">
        <f t="shared" si="64"/>
        <v>1</v>
      </c>
      <c r="O318" s="26">
        <f t="shared" si="56"/>
        <v>1</v>
      </c>
      <c r="P318" s="12">
        <f t="shared" ref="P318:P322" si="65">$P$307</f>
        <v>0</v>
      </c>
      <c r="Q318" s="26">
        <f t="shared" ref="Q318:Q322" si="66">$Q$307</f>
        <v>1</v>
      </c>
      <c r="R318" s="12">
        <f t="shared" si="57"/>
        <v>1</v>
      </c>
      <c r="S318" s="12">
        <f t="shared" si="58"/>
        <v>0</v>
      </c>
      <c r="T318" s="12">
        <f t="shared" si="59"/>
        <v>0</v>
      </c>
      <c r="U318" s="12">
        <f t="shared" si="60"/>
        <v>0</v>
      </c>
    </row>
    <row r="319" spans="1:21" x14ac:dyDescent="0.25">
      <c r="A319" s="494" t="str">
        <f t="shared" si="48"/>
        <v xml:space="preserve"> </v>
      </c>
      <c r="B319" s="2">
        <v>4</v>
      </c>
      <c r="C319" s="12">
        <f t="shared" si="61"/>
        <v>1000</v>
      </c>
      <c r="D319" s="25">
        <f t="shared" si="62"/>
        <v>2</v>
      </c>
      <c r="E319" s="25">
        <f t="shared" si="49"/>
        <v>300</v>
      </c>
      <c r="F319" s="26">
        <f t="shared" si="50"/>
        <v>4</v>
      </c>
      <c r="G319" s="12">
        <f t="shared" si="63"/>
        <v>8</v>
      </c>
      <c r="H319" s="246">
        <v>3</v>
      </c>
      <c r="I319" s="25">
        <f t="shared" si="51"/>
        <v>165</v>
      </c>
      <c r="J319" s="12">
        <f t="shared" si="52"/>
        <v>1</v>
      </c>
      <c r="K319" s="26">
        <f t="shared" si="53"/>
        <v>1</v>
      </c>
      <c r="L319" s="26">
        <f t="shared" si="54"/>
        <v>1</v>
      </c>
      <c r="M319" s="12">
        <f t="shared" si="55"/>
        <v>1</v>
      </c>
      <c r="N319" s="12">
        <f t="shared" si="64"/>
        <v>1</v>
      </c>
      <c r="O319" s="26">
        <f t="shared" si="56"/>
        <v>1</v>
      </c>
      <c r="P319" s="12">
        <f t="shared" si="65"/>
        <v>0</v>
      </c>
      <c r="Q319" s="26">
        <f t="shared" si="66"/>
        <v>1</v>
      </c>
      <c r="R319" s="12">
        <f t="shared" si="57"/>
        <v>1</v>
      </c>
      <c r="S319" s="12">
        <f t="shared" si="58"/>
        <v>0</v>
      </c>
      <c r="T319" s="12">
        <f t="shared" si="59"/>
        <v>0</v>
      </c>
      <c r="U319" s="12">
        <f t="shared" si="60"/>
        <v>0</v>
      </c>
    </row>
    <row r="320" spans="1:21" x14ac:dyDescent="0.25">
      <c r="A320" s="494" t="str">
        <f t="shared" si="48"/>
        <v xml:space="preserve"> </v>
      </c>
      <c r="B320" s="2">
        <v>5</v>
      </c>
      <c r="C320" s="12">
        <f t="shared" si="61"/>
        <v>1250</v>
      </c>
      <c r="D320" s="25">
        <f t="shared" si="62"/>
        <v>2</v>
      </c>
      <c r="E320" s="25">
        <f t="shared" si="49"/>
        <v>300</v>
      </c>
      <c r="F320" s="26">
        <f t="shared" si="50"/>
        <v>4</v>
      </c>
      <c r="G320" s="12">
        <f t="shared" si="63"/>
        <v>8</v>
      </c>
      <c r="H320" s="246">
        <v>4</v>
      </c>
      <c r="I320" s="25">
        <f t="shared" si="51"/>
        <v>220</v>
      </c>
      <c r="J320" s="12">
        <f t="shared" si="52"/>
        <v>1</v>
      </c>
      <c r="K320" s="26">
        <f t="shared" si="53"/>
        <v>0</v>
      </c>
      <c r="L320" s="26">
        <f t="shared" si="54"/>
        <v>1</v>
      </c>
      <c r="M320" s="12">
        <f t="shared" si="55"/>
        <v>1</v>
      </c>
      <c r="N320" s="12">
        <f t="shared" si="64"/>
        <v>1</v>
      </c>
      <c r="O320" s="26">
        <f t="shared" si="56"/>
        <v>1</v>
      </c>
      <c r="P320" s="12">
        <f t="shared" si="65"/>
        <v>0</v>
      </c>
      <c r="Q320" s="26">
        <f t="shared" si="66"/>
        <v>1</v>
      </c>
      <c r="R320" s="12">
        <f t="shared" si="57"/>
        <v>1</v>
      </c>
      <c r="S320" s="12">
        <f t="shared" si="58"/>
        <v>0</v>
      </c>
      <c r="T320" s="12">
        <f t="shared" si="59"/>
        <v>0</v>
      </c>
      <c r="U320" s="12">
        <f t="shared" si="60"/>
        <v>0</v>
      </c>
    </row>
    <row r="321" spans="1:25" x14ac:dyDescent="0.25">
      <c r="A321" s="494" t="str">
        <f t="shared" si="48"/>
        <v xml:space="preserve"> </v>
      </c>
      <c r="B321" s="2">
        <v>6</v>
      </c>
      <c r="C321" s="12">
        <f t="shared" si="61"/>
        <v>1500</v>
      </c>
      <c r="D321" s="25">
        <f t="shared" si="62"/>
        <v>2</v>
      </c>
      <c r="E321" s="25">
        <f t="shared" si="49"/>
        <v>300</v>
      </c>
      <c r="F321" s="26">
        <f t="shared" si="50"/>
        <v>4</v>
      </c>
      <c r="G321" s="12">
        <f t="shared" si="63"/>
        <v>8</v>
      </c>
      <c r="H321" s="246">
        <v>5</v>
      </c>
      <c r="I321" s="25">
        <f t="shared" si="51"/>
        <v>275</v>
      </c>
      <c r="J321" s="12">
        <f t="shared" si="52"/>
        <v>1</v>
      </c>
      <c r="K321" s="26">
        <f t="shared" si="53"/>
        <v>0</v>
      </c>
      <c r="L321" s="26">
        <f t="shared" si="54"/>
        <v>1</v>
      </c>
      <c r="M321" s="12">
        <f t="shared" si="55"/>
        <v>1</v>
      </c>
      <c r="N321" s="12">
        <f t="shared" si="64"/>
        <v>1</v>
      </c>
      <c r="O321" s="26">
        <f t="shared" si="56"/>
        <v>1</v>
      </c>
      <c r="P321" s="12">
        <f t="shared" si="65"/>
        <v>0</v>
      </c>
      <c r="Q321" s="26">
        <f t="shared" si="66"/>
        <v>1</v>
      </c>
      <c r="R321" s="12">
        <f t="shared" si="57"/>
        <v>1</v>
      </c>
      <c r="S321" s="12">
        <f t="shared" si="58"/>
        <v>0</v>
      </c>
      <c r="T321" s="12">
        <f t="shared" si="59"/>
        <v>0</v>
      </c>
      <c r="U321" s="12">
        <f t="shared" si="60"/>
        <v>0</v>
      </c>
    </row>
    <row r="322" spans="1:25" x14ac:dyDescent="0.25">
      <c r="A322" s="495" t="str">
        <f t="shared" si="48"/>
        <v xml:space="preserve"> </v>
      </c>
      <c r="B322" s="343">
        <v>7</v>
      </c>
      <c r="C322" s="13">
        <f t="shared" si="61"/>
        <v>1750</v>
      </c>
      <c r="D322" s="436">
        <f t="shared" si="62"/>
        <v>2</v>
      </c>
      <c r="E322" s="436">
        <f t="shared" si="49"/>
        <v>300</v>
      </c>
      <c r="F322" s="18">
        <f t="shared" si="50"/>
        <v>4</v>
      </c>
      <c r="G322" s="13">
        <f t="shared" si="63"/>
        <v>8</v>
      </c>
      <c r="H322" s="247">
        <v>6</v>
      </c>
      <c r="I322" s="436">
        <f t="shared" si="51"/>
        <v>330</v>
      </c>
      <c r="J322" s="13">
        <f t="shared" si="52"/>
        <v>1</v>
      </c>
      <c r="K322" s="18">
        <f t="shared" si="53"/>
        <v>0</v>
      </c>
      <c r="L322" s="18">
        <f t="shared" si="54"/>
        <v>1</v>
      </c>
      <c r="M322" s="13">
        <f t="shared" si="55"/>
        <v>1</v>
      </c>
      <c r="N322" s="13">
        <f t="shared" si="64"/>
        <v>1</v>
      </c>
      <c r="O322" s="18">
        <f t="shared" si="56"/>
        <v>1</v>
      </c>
      <c r="P322" s="13">
        <f t="shared" si="65"/>
        <v>0</v>
      </c>
      <c r="Q322" s="18">
        <f t="shared" si="66"/>
        <v>1</v>
      </c>
      <c r="R322" s="13">
        <f t="shared" si="57"/>
        <v>1</v>
      </c>
      <c r="S322" s="13">
        <f t="shared" si="58"/>
        <v>0</v>
      </c>
      <c r="T322" s="13">
        <f t="shared" si="59"/>
        <v>0</v>
      </c>
      <c r="U322" s="13">
        <f t="shared" si="60"/>
        <v>0</v>
      </c>
    </row>
    <row r="323" spans="1:2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2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5" x14ac:dyDescent="0.25">
      <c r="A325" s="2"/>
      <c r="B325" s="2"/>
      <c r="C325" s="2"/>
      <c r="D325" s="486">
        <v>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5" x14ac:dyDescent="0.25">
      <c r="A326" s="213"/>
      <c r="B326" s="473" t="s">
        <v>108</v>
      </c>
      <c r="C326" s="23" t="s">
        <v>1</v>
      </c>
      <c r="D326" s="44" t="s">
        <v>715</v>
      </c>
    </row>
    <row r="327" spans="1:25" x14ac:dyDescent="0.25">
      <c r="A327" s="415" t="s">
        <v>551</v>
      </c>
      <c r="B327" s="13">
        <f>IF(SUM(A308:A322)&gt;0,1,0)</f>
        <v>0</v>
      </c>
      <c r="C327" s="343">
        <f>'Prijs karton'!AH16</f>
        <v>1</v>
      </c>
      <c r="D327" s="13">
        <f>IF(SUM(B327:C327)=D325,1,0)</f>
        <v>0</v>
      </c>
    </row>
    <row r="328" spans="1:25" x14ac:dyDescent="0.25">
      <c r="B328" s="2"/>
    </row>
    <row r="330" spans="1:25" x14ac:dyDescent="0.25">
      <c r="A330" s="3" t="s">
        <v>195</v>
      </c>
      <c r="B330" s="218" t="s">
        <v>550</v>
      </c>
      <c r="C330" s="218" t="s">
        <v>550</v>
      </c>
      <c r="D330" s="404" t="s">
        <v>196</v>
      </c>
    </row>
    <row r="331" spans="1:25" x14ac:dyDescent="0.25">
      <c r="A331" s="18">
        <f>MIN(A308:A322)</f>
        <v>0</v>
      </c>
      <c r="B331" s="13">
        <f>IF(SUM(A308:A322)&gt;0,VLOOKUP(A331,A308:U322,20,FALSE),0)</f>
        <v>0</v>
      </c>
      <c r="C331" s="20">
        <f>IF(SUM(A308:A322)&gt;0,VLOOKUP(A331,A308:U322,21,FALSE),0)</f>
        <v>0</v>
      </c>
      <c r="D331" s="13">
        <f>IF(SUM(A308:A322)&gt;0,VLOOKUP(A331,A308:G322,6,FALSE),0)</f>
        <v>0</v>
      </c>
    </row>
    <row r="332" spans="1:25" x14ac:dyDescent="0.25">
      <c r="A332" s="26" t="s">
        <v>165</v>
      </c>
      <c r="B332" s="218" t="s">
        <v>550</v>
      </c>
      <c r="C332" s="218" t="s">
        <v>550</v>
      </c>
      <c r="D332" s="41" t="s">
        <v>197</v>
      </c>
    </row>
    <row r="333" spans="1:25" x14ac:dyDescent="0.25">
      <c r="A333" s="18">
        <f>MAX(A308:A322)</f>
        <v>0</v>
      </c>
      <c r="B333" s="13">
        <f>IF(SUM(A308:A322)&gt;0,VLOOKUP(A333,A308:U322,20,FALSE),0)</f>
        <v>0</v>
      </c>
      <c r="C333" s="20">
        <f>IF(SUM(A308:A322)&gt;0,VLOOKUP(A333,A308:U322,21,FALSE),0)</f>
        <v>0</v>
      </c>
      <c r="D333" s="13">
        <f>IF(SUM(A308:A322)&gt;0,VLOOKUP(A331,A308:G322,7,FALSE),0)</f>
        <v>0</v>
      </c>
    </row>
    <row r="335" spans="1:25" s="320" customFormat="1" x14ac:dyDescent="0.25">
      <c r="B335" s="441"/>
      <c r="Y335" s="343"/>
    </row>
    <row r="337" spans="2:25" x14ac:dyDescent="0.25">
      <c r="B337" s="215" t="s">
        <v>553</v>
      </c>
    </row>
    <row r="338" spans="2:25" ht="15.75" thickBot="1" x14ac:dyDescent="0.3"/>
    <row r="339" spans="2:25" x14ac:dyDescent="0.25">
      <c r="B339" s="505"/>
      <c r="C339" s="476"/>
      <c r="D339" s="433"/>
      <c r="E339" s="1312" t="s">
        <v>558</v>
      </c>
      <c r="F339" s="1303"/>
      <c r="G339" s="1312" t="s">
        <v>9</v>
      </c>
      <c r="H339" s="1303"/>
      <c r="I339" s="442" t="s">
        <v>565</v>
      </c>
      <c r="J339" s="442" t="s">
        <v>81</v>
      </c>
      <c r="K339" s="431" t="s">
        <v>563</v>
      </c>
      <c r="L339" s="444" t="s">
        <v>535</v>
      </c>
    </row>
    <row r="340" spans="2:25" x14ac:dyDescent="0.25">
      <c r="B340" s="506"/>
      <c r="C340" s="26" t="s">
        <v>18</v>
      </c>
      <c r="D340" s="25" t="s">
        <v>9</v>
      </c>
      <c r="E340" s="442" t="s">
        <v>559</v>
      </c>
      <c r="F340" s="442" t="s">
        <v>560</v>
      </c>
      <c r="G340" s="442" t="s">
        <v>559</v>
      </c>
      <c r="H340" s="442" t="s">
        <v>151</v>
      </c>
      <c r="I340" s="280" t="s">
        <v>12</v>
      </c>
      <c r="J340" s="41"/>
      <c r="K340" s="26" t="s">
        <v>564</v>
      </c>
      <c r="L340" s="224"/>
    </row>
    <row r="341" spans="2:25" x14ac:dyDescent="0.25">
      <c r="B341" s="483"/>
      <c r="C341" s="213"/>
      <c r="D341" s="44"/>
      <c r="E341" s="473">
        <f>H388</f>
        <v>250</v>
      </c>
      <c r="F341" s="473">
        <f>I388</f>
        <v>2450</v>
      </c>
      <c r="G341" s="473">
        <f>J388</f>
        <v>500</v>
      </c>
      <c r="H341" s="473">
        <f>K388</f>
        <v>6000</v>
      </c>
      <c r="I341" s="52"/>
      <c r="J341" s="52"/>
      <c r="K341" s="8"/>
      <c r="L341" s="223">
        <v>7</v>
      </c>
    </row>
    <row r="342" spans="2:25" ht="15.75" thickBot="1" x14ac:dyDescent="0.3">
      <c r="B342" s="220" t="s">
        <v>67</v>
      </c>
      <c r="C342" s="208">
        <f>C6</f>
        <v>300</v>
      </c>
      <c r="D342" s="38">
        <f>C7</f>
        <v>250</v>
      </c>
      <c r="E342" s="473">
        <f>IF(C342&gt;=E341,1,0)</f>
        <v>1</v>
      </c>
      <c r="F342" s="473">
        <f>IF(C342&lt;=F341,1,0)</f>
        <v>1</v>
      </c>
      <c r="G342" s="473">
        <f>IF(D342&gt;=G341,1,0)</f>
        <v>0</v>
      </c>
      <c r="H342" s="473">
        <f>IF(D342&lt;=H341,1,0)</f>
        <v>1</v>
      </c>
      <c r="I342" s="473">
        <f>IF(I340=C2,1,0)</f>
        <v>0</v>
      </c>
      <c r="J342" s="473">
        <f>IF(C111=0,1,0)</f>
        <v>1</v>
      </c>
      <c r="K342" s="208">
        <f>IF(C131=0,1,0)</f>
        <v>1</v>
      </c>
      <c r="L342" s="500">
        <f>IF(SUM(E342:K342)=L341,1,0)</f>
        <v>0</v>
      </c>
    </row>
    <row r="344" spans="2:25" s="320" customFormat="1" x14ac:dyDescent="0.25">
      <c r="B344" s="441"/>
      <c r="Y344" s="343"/>
    </row>
    <row r="346" spans="2:25" ht="15.75" thickBot="1" x14ac:dyDescent="0.3">
      <c r="B346" s="215" t="s">
        <v>552</v>
      </c>
      <c r="P346" t="s">
        <v>1323</v>
      </c>
      <c r="T346" t="s">
        <v>1300</v>
      </c>
    </row>
    <row r="347" spans="2:25" ht="15.75" thickBot="1" x14ac:dyDescent="0.3">
      <c r="B347" s="518" t="s">
        <v>596</v>
      </c>
      <c r="C347" s="519">
        <f>IF(AND(SUM(C348:I348)=0,J358&gt;0,C358=J358),1,IF(SUM(C348:I348)&gt;0,C348,0))</f>
        <v>0</v>
      </c>
      <c r="D347" s="519">
        <f>IF(AND(SUM(C348:I348)=0,J358&gt;0,D358=J358),1,IF(SUM(C348:I348)&gt;0,D348,0))</f>
        <v>0</v>
      </c>
      <c r="E347" s="519">
        <f>IF(AND(SUM(C348:I348)=0,J358&gt;0,E358=J358),1,IF(SUM(C348:I348)&gt;0,E348,0))</f>
        <v>1</v>
      </c>
      <c r="F347" s="519">
        <f>IF(AND(SUM(C348:I348)=0,J358&gt;0,F358=J358),1,IF(SUM(C348:I348)&gt;0,F348,0))</f>
        <v>0</v>
      </c>
      <c r="G347" s="519">
        <f>IF(AND(SUM(C348:I348)=0,J358&gt;0,G358=J358),1,IF(SUM(C348:I348)&gt;0,G348,0))</f>
        <v>0</v>
      </c>
      <c r="H347" s="519">
        <f>IF(AND(SUM(C348:I348)=0,J358&gt;0,H358=J358),1,IF(SUM(C348:I348)&gt;0,H348,0))</f>
        <v>0</v>
      </c>
      <c r="I347" s="467">
        <f>IF(AND(SUM(C348:I348)=0,J358&gt;0,I358=J358),1,IF(SUM(C348:I348)&gt;0,I348,0))</f>
        <v>0</v>
      </c>
      <c r="L347" s="950"/>
      <c r="M347" s="951" t="s">
        <v>63</v>
      </c>
      <c r="N347" s="951" t="s">
        <v>64</v>
      </c>
      <c r="P347" s="952">
        <v>800</v>
      </c>
      <c r="Q347" s="951" t="s">
        <v>63</v>
      </c>
      <c r="R347" s="951" t="s">
        <v>64</v>
      </c>
      <c r="T347" t="s">
        <v>1301</v>
      </c>
      <c r="U347" s="442">
        <f>IF(C111&gt;0,1,0)</f>
        <v>0</v>
      </c>
    </row>
    <row r="348" spans="2:25" ht="15.75" thickBot="1" x14ac:dyDescent="0.3">
      <c r="B348" s="543" t="s">
        <v>595</v>
      </c>
      <c r="C348" s="544">
        <f>IF(AND(SUM(C358:I358)=J358,C358=J358),1,IF(AND(SUM(C358:I358)&gt;J358,C358=J358,C349=1),1,0))</f>
        <v>0</v>
      </c>
      <c r="D348" s="519">
        <f>IF(SUM(E348:F348)&gt;0,0,IF(AND(SUM(C358:I358)=J358,D358=J358),1,IF(AND(SUM(C358:I358)&gt;J358,D358=J358,D349=1),1,0)))</f>
        <v>0</v>
      </c>
      <c r="E348" s="530">
        <f>IF(AND(SUM(C358:I358)=J358,E358=J358),1,IF(AND(SUM(C358:I358)&gt;J358,E358=J358,E349=1),1,0))</f>
        <v>1</v>
      </c>
      <c r="F348" s="519">
        <f>IF(AND(SUM(C358:I358)=J358,F358=J358),1,IF(AND(SUM(C358:I358)&gt;J358,F358=J358,F349=1),1,0))</f>
        <v>0</v>
      </c>
      <c r="G348" s="530">
        <f>IF(AND(SUM(C358:I358)=J358,G358=J358),1,IF(AND(SUM(C358:I358)&gt;J358,G358=J358,G349=1),1,0))</f>
        <v>0</v>
      </c>
      <c r="H348" s="519">
        <f>IF(AND(SUM(C358:I358)=J358,H358=J358),1,IF(AND(SUM(C358:I358)&gt;J358,H358=J358,H349=1),1,0))</f>
        <v>0</v>
      </c>
      <c r="I348" s="531">
        <f>IF(AND(SUM(C358:I358)=J358,I358=J358),1,IF(AND(SUM(C358:I358)&gt;J358,I358=J358,I349=1),1,0))</f>
        <v>0</v>
      </c>
      <c r="L348" s="415" t="s">
        <v>979</v>
      </c>
      <c r="M348" s="13">
        <f>IF(C359+D359+G359+I359=0,1,0)</f>
        <v>0</v>
      </c>
      <c r="N348" s="13">
        <f>IF(C359+D359+G359+H359+I359=0,1,0)</f>
        <v>0</v>
      </c>
      <c r="P348" s="415" t="s">
        <v>987</v>
      </c>
      <c r="Q348" s="951">
        <f>V228</f>
        <v>1</v>
      </c>
      <c r="R348" s="951">
        <f>V239</f>
        <v>1</v>
      </c>
      <c r="T348" t="s">
        <v>1299</v>
      </c>
      <c r="U348" s="951">
        <f>IF(AND(SUM(C358:D358)&gt;0,SUM(E358:I358)=0),1,0)</f>
        <v>0</v>
      </c>
    </row>
    <row r="349" spans="2:25" ht="15.75" thickBot="1" x14ac:dyDescent="0.3">
      <c r="B349" s="518" t="s">
        <v>593</v>
      </c>
      <c r="C349" s="540">
        <f>IF(AND(C351=1,D351=1,C358&lt;=D358),1,IF(AND(C351=1,H351=1),0,0))</f>
        <v>1</v>
      </c>
      <c r="D349" s="531">
        <f>IF(AND(C351=1,D351=1,D358&lt;C358),1,0)</f>
        <v>0</v>
      </c>
      <c r="E349" s="540">
        <f>IF(AND(E351=1,F351=1,E358&lt;F358),1,IF(AND(E351=1,F351=0,E358&lt;F358),1,0))</f>
        <v>1</v>
      </c>
      <c r="F349" s="531">
        <f>IF(AND(E351=1,F351=1),1,IF(AND(E351=0,F351=1),1,0))</f>
        <v>0</v>
      </c>
      <c r="G349" s="541">
        <v>0</v>
      </c>
      <c r="H349" s="540">
        <f>IF(AND(H351=1,C351=1),1,0)</f>
        <v>0</v>
      </c>
      <c r="I349" s="542">
        <v>0</v>
      </c>
      <c r="L349" s="950" t="s">
        <v>163</v>
      </c>
      <c r="M349" s="952">
        <v>1</v>
      </c>
      <c r="N349" s="953">
        <v>1</v>
      </c>
      <c r="P349" s="950" t="s">
        <v>1320</v>
      </c>
      <c r="Q349" s="951">
        <f>IF(AND(Q348=1,C111&lt;=1),1,IF(AND(Q348=1,R348=0,C111=2),1,0))</f>
        <v>1</v>
      </c>
      <c r="R349" s="953">
        <v>1</v>
      </c>
      <c r="T349" t="s">
        <v>1305</v>
      </c>
      <c r="U349" s="951">
        <f>IF(AND(SUM(C351:C357)&gt;0,SUM(D351:D357)&gt;0),1,0)</f>
        <v>1</v>
      </c>
    </row>
    <row r="350" spans="2:25" x14ac:dyDescent="0.25">
      <c r="B350" s="483"/>
      <c r="C350" s="521" t="s">
        <v>66</v>
      </c>
      <c r="D350" s="522" t="s">
        <v>65</v>
      </c>
      <c r="E350" s="521" t="s">
        <v>63</v>
      </c>
      <c r="F350" s="522" t="s">
        <v>64</v>
      </c>
      <c r="G350" s="446" t="s">
        <v>554</v>
      </c>
      <c r="H350" s="532" t="s">
        <v>54</v>
      </c>
      <c r="I350" s="533" t="s">
        <v>67</v>
      </c>
      <c r="P350" s="959" t="s">
        <v>1321</v>
      </c>
      <c r="Q350" s="951">
        <f>IF(AND(SUM(Q348:R348)=1,Q348=1),1,IF(AND(SUM(Q348:R348)=2,Q348=1,$C$3&lt;P347),1,0))</f>
        <v>1</v>
      </c>
      <c r="R350" s="951">
        <f>IF(AND(SUM(Q348:R348)=1,R348=1),1,IF(AND(SUM(Q348:R348)=2,Q348=1,$C$3&gt;=P347),1,0))</f>
        <v>0</v>
      </c>
      <c r="T350" t="s">
        <v>1304</v>
      </c>
      <c r="U350" s="951">
        <f>IF(X356=1,1,IF(AND(W355&gt;0,W356&gt;0,W355*W356&gt;=2,W356&gt;=2),1,0))</f>
        <v>1</v>
      </c>
      <c r="V350" s="2"/>
      <c r="W350" s="2">
        <f>IF(X356=1,1,IF(AND(W355&gt;0,W356&gt;0,W355*W356&gt;2),1,0))</f>
        <v>1</v>
      </c>
    </row>
    <row r="351" spans="2:25" ht="15.75" thickBot="1" x14ac:dyDescent="0.3">
      <c r="B351" s="483" t="s">
        <v>557</v>
      </c>
      <c r="C351" s="521">
        <f>IF(I351=1,0,R180*Q78)</f>
        <v>1</v>
      </c>
      <c r="D351" s="522">
        <f>IF(I351=1,0,P204*Q78)</f>
        <v>1</v>
      </c>
      <c r="E351" s="521">
        <f>IF(I351=1,0,Q351*Q78)</f>
        <v>1</v>
      </c>
      <c r="F351" s="522">
        <f>IF(I351=1,0,R351*Q78)</f>
        <v>0</v>
      </c>
      <c r="G351" s="446">
        <f>IF(I351=1,0,F293*Q78)</f>
        <v>0</v>
      </c>
      <c r="H351" s="532">
        <f>IF(I351=1,0,D327*Q78)</f>
        <v>0</v>
      </c>
      <c r="I351" s="533">
        <f>L342*Q78</f>
        <v>0</v>
      </c>
      <c r="P351" s="950" t="s">
        <v>988</v>
      </c>
      <c r="Q351" s="951">
        <f>IF(AND(SUM(Q348:R348)&lt;2,Q348=1),1,IF(AND(SUM(Q348:R348)=2,SUM(R349:R350)&lt;SUM(Q349:Q350)),1,0))</f>
        <v>1</v>
      </c>
      <c r="R351" s="951">
        <f>IF(AND(SUM(Q348:R348)&lt;2,R348=1),1,IF(AND(SUM(Q348:R348)=2,SUM(R349:R350)&gt;=SUM(Q349:Q350)),1,0))</f>
        <v>0</v>
      </c>
      <c r="T351" t="s">
        <v>1306</v>
      </c>
      <c r="U351" s="442">
        <f>IF(C3&gt;=(V361),1,0)</f>
        <v>0</v>
      </c>
    </row>
    <row r="352" spans="2:25" ht="15.75" thickBot="1" x14ac:dyDescent="0.3">
      <c r="B352" s="220" t="s">
        <v>574</v>
      </c>
      <c r="C352" s="520">
        <f>IF(C351=1,O180,0)</f>
        <v>0</v>
      </c>
      <c r="D352" s="523">
        <v>0</v>
      </c>
      <c r="E352" s="520">
        <f>IF(AND(E351=1,C111&gt;=2),1,0)</f>
        <v>0</v>
      </c>
      <c r="F352" s="523">
        <v>0</v>
      </c>
      <c r="G352" s="499">
        <f>IF(AND(G351=1,C111&gt;0),1,0)</f>
        <v>0</v>
      </c>
      <c r="H352" s="534">
        <v>0</v>
      </c>
      <c r="I352" s="535">
        <v>0</v>
      </c>
      <c r="T352" t="s">
        <v>1312</v>
      </c>
      <c r="U352" s="281">
        <f>IF(SUM(U347:U351)=V352,1,0)</f>
        <v>0</v>
      </c>
      <c r="V352" s="953">
        <v>5</v>
      </c>
    </row>
    <row r="353" spans="1:24" x14ac:dyDescent="0.25">
      <c r="B353" s="220" t="s">
        <v>581</v>
      </c>
      <c r="C353" s="524">
        <v>0</v>
      </c>
      <c r="D353" s="523">
        <v>0</v>
      </c>
      <c r="E353" s="520">
        <f>IF(AND(E351=1,E218=0),1,IF(AND(E351=1,T222=1),1,0))</f>
        <v>0</v>
      </c>
      <c r="F353" s="523">
        <v>0</v>
      </c>
      <c r="G353" s="223">
        <v>0</v>
      </c>
      <c r="H353" s="534">
        <v>0</v>
      </c>
      <c r="I353" s="535">
        <v>0</v>
      </c>
      <c r="Q353" s="2"/>
    </row>
    <row r="354" spans="1:24" x14ac:dyDescent="0.25">
      <c r="B354" s="220" t="s">
        <v>572</v>
      </c>
      <c r="C354" s="520">
        <f>IF(C351=1,AA46,0)</f>
        <v>1</v>
      </c>
      <c r="D354" s="448">
        <f>IF(D351=1,AA46,0)</f>
        <v>1</v>
      </c>
      <c r="E354" s="524">
        <v>0</v>
      </c>
      <c r="F354" s="523">
        <v>0</v>
      </c>
      <c r="G354" s="223">
        <v>0</v>
      </c>
      <c r="H354" s="534">
        <v>0</v>
      </c>
      <c r="I354" s="535">
        <v>0</v>
      </c>
      <c r="T354" t="s">
        <v>1331</v>
      </c>
    </row>
    <row r="355" spans="1:24" x14ac:dyDescent="0.25">
      <c r="B355" s="506" t="s">
        <v>569</v>
      </c>
      <c r="C355" s="525">
        <f>IF(AND(C351=1,C356=1),0,IF(C351=1,C145,0))</f>
        <v>0</v>
      </c>
      <c r="D355" s="526">
        <f>IF(AND(D351=1,D356=1),0,IF(D351=1,C145,0))</f>
        <v>0</v>
      </c>
      <c r="E355" s="527">
        <v>0</v>
      </c>
      <c r="F355" s="528">
        <v>0</v>
      </c>
      <c r="G355" s="538">
        <v>0</v>
      </c>
      <c r="H355" s="536">
        <v>0</v>
      </c>
      <c r="I355" s="537">
        <v>0</v>
      </c>
      <c r="T355" t="s">
        <v>1302</v>
      </c>
      <c r="U355" s="951">
        <f>C108</f>
        <v>361</v>
      </c>
      <c r="V355" s="951">
        <f>H183</f>
        <v>1400</v>
      </c>
      <c r="W355" s="951">
        <f>FLOOR(V355/U355,1)</f>
        <v>3</v>
      </c>
      <c r="X355" s="442" t="s">
        <v>64</v>
      </c>
    </row>
    <row r="356" spans="1:24" x14ac:dyDescent="0.25">
      <c r="B356" s="220" t="s">
        <v>570</v>
      </c>
      <c r="C356" s="520">
        <f>IF(C351=1,D145,0)</f>
        <v>0</v>
      </c>
      <c r="D356" s="448">
        <f>IF(D351=1,D145,0)</f>
        <v>0</v>
      </c>
      <c r="E356" s="524">
        <v>0</v>
      </c>
      <c r="F356" s="523">
        <v>0</v>
      </c>
      <c r="G356" s="223">
        <v>0</v>
      </c>
      <c r="H356" s="534">
        <v>0</v>
      </c>
      <c r="I356" s="535">
        <v>0</v>
      </c>
      <c r="T356" t="s">
        <v>1303</v>
      </c>
      <c r="U356" s="951">
        <f>D108</f>
        <v>1114</v>
      </c>
      <c r="V356" s="13">
        <f>F183</f>
        <v>4000</v>
      </c>
      <c r="W356" s="13">
        <f>FLOOR(V356/U356,1)</f>
        <v>3</v>
      </c>
      <c r="X356" s="951">
        <f>J169</f>
        <v>1</v>
      </c>
    </row>
    <row r="357" spans="1:24" ht="15.75" thickBot="1" x14ac:dyDescent="0.3">
      <c r="B357" s="506" t="s">
        <v>573</v>
      </c>
      <c r="C357" s="527">
        <v>0</v>
      </c>
      <c r="D357" s="528">
        <v>0</v>
      </c>
      <c r="E357" s="527">
        <v>0</v>
      </c>
      <c r="F357" s="528">
        <v>0</v>
      </c>
      <c r="G357" s="539">
        <f>IF(G351=1,1,0)</f>
        <v>0</v>
      </c>
      <c r="H357" s="536">
        <v>0</v>
      </c>
      <c r="I357" s="537">
        <v>0</v>
      </c>
      <c r="J357" s="2" t="s">
        <v>594</v>
      </c>
    </row>
    <row r="358" spans="1:24" ht="15.75" thickBot="1" x14ac:dyDescent="0.3">
      <c r="B358" s="518" t="s">
        <v>591</v>
      </c>
      <c r="C358" s="529">
        <f>IF(SUM(C351:C357)=0," ",SUM(C351:C357))</f>
        <v>2</v>
      </c>
      <c r="D358" s="467">
        <f t="shared" ref="D358:I358" si="67">IF(SUM(D351:D357)=0," ",SUM(D351:D357))</f>
        <v>2</v>
      </c>
      <c r="E358" s="529">
        <f t="shared" si="67"/>
        <v>1</v>
      </c>
      <c r="F358" s="467" t="str">
        <f t="shared" si="67"/>
        <v xml:space="preserve"> </v>
      </c>
      <c r="G358" s="281" t="str">
        <f t="shared" si="67"/>
        <v xml:space="preserve"> </v>
      </c>
      <c r="H358" s="529" t="str">
        <f t="shared" si="67"/>
        <v xml:space="preserve"> </v>
      </c>
      <c r="I358" s="467" t="str">
        <f t="shared" si="67"/>
        <v xml:space="preserve"> </v>
      </c>
      <c r="J358" s="531">
        <f>MIN(C358:I358)+U352</f>
        <v>1</v>
      </c>
      <c r="T358" s="950" t="s">
        <v>1307</v>
      </c>
      <c r="U358" s="1205">
        <f>(U356/1000)*(U355/1000)</f>
        <v>0.40215400000000001</v>
      </c>
      <c r="V358" s="442" t="s">
        <v>1310</v>
      </c>
    </row>
    <row r="359" spans="1:24" x14ac:dyDescent="0.25">
      <c r="B359" s="948" t="s">
        <v>980</v>
      </c>
      <c r="C359" s="949">
        <f>SUM(C351:C357)</f>
        <v>2</v>
      </c>
      <c r="D359" s="949">
        <f t="shared" ref="D359:I359" si="68">SUM(D351:D357)</f>
        <v>2</v>
      </c>
      <c r="E359" s="949">
        <f t="shared" si="68"/>
        <v>1</v>
      </c>
      <c r="F359" s="949">
        <f t="shared" si="68"/>
        <v>0</v>
      </c>
      <c r="G359" s="949">
        <f t="shared" si="68"/>
        <v>0</v>
      </c>
      <c r="H359" s="949">
        <f t="shared" si="68"/>
        <v>0</v>
      </c>
      <c r="I359" s="949">
        <f t="shared" si="68"/>
        <v>0</v>
      </c>
      <c r="T359" s="14" t="s">
        <v>1308</v>
      </c>
      <c r="U359" s="449">
        <f>N388</f>
        <v>200</v>
      </c>
      <c r="V359" s="442">
        <f>CEILING(U359/U358,1)</f>
        <v>498</v>
      </c>
    </row>
    <row r="360" spans="1:24" x14ac:dyDescent="0.25">
      <c r="B360"/>
      <c r="T360" s="6" t="s">
        <v>1309</v>
      </c>
      <c r="U360" s="2">
        <f>M388</f>
        <v>240</v>
      </c>
      <c r="V360" s="12">
        <f>IF(U355&gt;=L387,U360,U360*2)</f>
        <v>480</v>
      </c>
    </row>
    <row r="361" spans="1:24" x14ac:dyDescent="0.25">
      <c r="B361" t="s">
        <v>568</v>
      </c>
      <c r="T361" s="950" t="s">
        <v>1311</v>
      </c>
      <c r="U361" s="1204"/>
      <c r="V361" s="951">
        <f>MAX(V359:V360)</f>
        <v>498</v>
      </c>
    </row>
    <row r="362" spans="1:24" x14ac:dyDescent="0.25">
      <c r="A362" s="404"/>
      <c r="B362" s="213" t="s">
        <v>592</v>
      </c>
      <c r="C362" s="473">
        <f t="shared" ref="C362:I362" si="69">C347</f>
        <v>0</v>
      </c>
      <c r="D362" s="473">
        <f t="shared" si="69"/>
        <v>0</v>
      </c>
      <c r="E362" s="473">
        <f t="shared" si="69"/>
        <v>1</v>
      </c>
      <c r="F362" s="23">
        <f t="shared" si="69"/>
        <v>0</v>
      </c>
      <c r="G362" s="473">
        <f t="shared" si="69"/>
        <v>0</v>
      </c>
      <c r="H362" s="23">
        <f t="shared" si="69"/>
        <v>0</v>
      </c>
      <c r="I362" s="473">
        <f t="shared" si="69"/>
        <v>0</v>
      </c>
      <c r="J362" s="473" t="s">
        <v>597</v>
      </c>
      <c r="K362" s="473">
        <f>IF(J363&gt;0,VLOOKUP(J363,A364:K374,11,FALSE),K375)</f>
        <v>1950</v>
      </c>
    </row>
    <row r="363" spans="1:24" x14ac:dyDescent="0.25">
      <c r="A363" s="52"/>
      <c r="B363" s="213"/>
      <c r="C363" s="473" t="s">
        <v>66</v>
      </c>
      <c r="D363" s="473" t="s">
        <v>65</v>
      </c>
      <c r="E363" s="473" t="s">
        <v>63</v>
      </c>
      <c r="F363" s="23" t="s">
        <v>64</v>
      </c>
      <c r="G363" s="473" t="s">
        <v>554</v>
      </c>
      <c r="H363" s="23" t="s">
        <v>54</v>
      </c>
      <c r="I363" s="473" t="s">
        <v>67</v>
      </c>
      <c r="J363" s="13">
        <f>SUM(J364:J374)</f>
        <v>1</v>
      </c>
      <c r="K363" s="13" t="s">
        <v>79</v>
      </c>
      <c r="M363" s="2"/>
    </row>
    <row r="364" spans="1:24" x14ac:dyDescent="0.25">
      <c r="A364" s="442" t="str">
        <f>IF(J364&gt;0,1," ")</f>
        <v xml:space="preserve"> </v>
      </c>
      <c r="B364" s="6" t="s">
        <v>65</v>
      </c>
      <c r="C364" s="12">
        <f>IF(AND(C352=1,J169=0),1,0)</f>
        <v>0</v>
      </c>
      <c r="D364" s="12">
        <f>D351</f>
        <v>1</v>
      </c>
      <c r="E364" s="28">
        <v>0</v>
      </c>
      <c r="F364" s="22">
        <v>0</v>
      </c>
      <c r="G364" s="28">
        <v>0</v>
      </c>
      <c r="H364" s="22">
        <v>0</v>
      </c>
      <c r="I364" s="28">
        <v>0</v>
      </c>
      <c r="J364" s="442">
        <f>IF(SUM(C362:I362)&gt;0,HLOOKUP(1,$C$362:$I$374,3,FALSE),0)</f>
        <v>0</v>
      </c>
      <c r="K364" s="486">
        <v>1600</v>
      </c>
      <c r="M364" s="2"/>
    </row>
    <row r="365" spans="1:24" x14ac:dyDescent="0.25">
      <c r="A365" s="12" t="str">
        <f>IF(J365&gt;0,SUM(J364:J365)," ")</f>
        <v xml:space="preserve"> </v>
      </c>
      <c r="B365" s="6" t="s">
        <v>66</v>
      </c>
      <c r="C365" s="12">
        <f>C351</f>
        <v>1</v>
      </c>
      <c r="D365" s="28">
        <v>0</v>
      </c>
      <c r="E365" s="12">
        <f>IF(E353=1,1,IF(E352=1,1,0))</f>
        <v>0</v>
      </c>
      <c r="F365" s="22">
        <v>0</v>
      </c>
      <c r="G365" s="28">
        <v>0</v>
      </c>
      <c r="H365" s="22">
        <v>0</v>
      </c>
      <c r="I365" s="28">
        <v>0</v>
      </c>
      <c r="J365" s="12">
        <f>IF(SUM(C362:I362)&gt;0,HLOOKUP(1,$C$362:$I$374,4,FALSE),0)</f>
        <v>0</v>
      </c>
      <c r="K365" s="28">
        <v>2000</v>
      </c>
      <c r="M365" s="2"/>
    </row>
    <row r="366" spans="1:24" x14ac:dyDescent="0.25">
      <c r="A366" s="12" t="str">
        <f>IF(J366&gt;0,SUM(J364:J366)," ")</f>
        <v xml:space="preserve"> </v>
      </c>
      <c r="B366" s="6" t="s">
        <v>64</v>
      </c>
      <c r="C366" s="12">
        <f>IF(AND(C352=1,J169=1),1,0)</f>
        <v>0</v>
      </c>
      <c r="D366" s="28">
        <v>0</v>
      </c>
      <c r="E366" s="12">
        <f>E352</f>
        <v>0</v>
      </c>
      <c r="F366" s="2">
        <f>F351</f>
        <v>0</v>
      </c>
      <c r="G366" s="12">
        <f>G352</f>
        <v>0</v>
      </c>
      <c r="H366" s="22">
        <v>0</v>
      </c>
      <c r="I366" s="28">
        <v>0</v>
      </c>
      <c r="J366" s="12">
        <f>IF(SUM(C362:I362)&gt;0,HLOOKUP(1,$C$362:$I$374,5,FALSE),0)</f>
        <v>0</v>
      </c>
      <c r="K366" s="28">
        <v>1950</v>
      </c>
      <c r="M366" s="2"/>
    </row>
    <row r="367" spans="1:24" x14ac:dyDescent="0.25">
      <c r="A367" s="12">
        <f>IF(J367&gt;0,SUM(J364:J367)," ")</f>
        <v>1</v>
      </c>
      <c r="B367" s="6" t="s">
        <v>63</v>
      </c>
      <c r="C367" s="28">
        <v>0</v>
      </c>
      <c r="D367" s="28">
        <v>0</v>
      </c>
      <c r="E367" s="12">
        <f>E351</f>
        <v>1</v>
      </c>
      <c r="F367" s="22">
        <v>0</v>
      </c>
      <c r="G367" s="28">
        <v>0</v>
      </c>
      <c r="H367" s="22">
        <v>0</v>
      </c>
      <c r="I367" s="28">
        <v>0</v>
      </c>
      <c r="J367" s="12">
        <f>IF(SUM(C362:I362)&gt;0,HLOOKUP(1,$C$362:$I$374,6,FALSE),0)</f>
        <v>1</v>
      </c>
      <c r="K367" s="28">
        <v>1950</v>
      </c>
      <c r="M367" s="2"/>
    </row>
    <row r="368" spans="1:24" x14ac:dyDescent="0.25">
      <c r="A368" s="12" t="str">
        <f>IF(J368&gt;0,SUM(J364:J368)," ")</f>
        <v xml:space="preserve"> </v>
      </c>
      <c r="B368" s="6" t="str">
        <f>G350</f>
        <v>Vlakstans</v>
      </c>
      <c r="C368" s="28">
        <v>0</v>
      </c>
      <c r="D368" s="28">
        <v>0</v>
      </c>
      <c r="E368" s="28">
        <v>0</v>
      </c>
      <c r="F368" s="22">
        <v>0</v>
      </c>
      <c r="G368" s="12">
        <f>G351</f>
        <v>0</v>
      </c>
      <c r="H368" s="22">
        <v>0</v>
      </c>
      <c r="I368" s="28">
        <v>0</v>
      </c>
      <c r="J368" s="12">
        <f>IF(SUM(C362:I362)&gt;0,HLOOKUP(1,$C$362:$I$374,7,FALSE),0)</f>
        <v>0</v>
      </c>
      <c r="K368" s="28">
        <v>2100</v>
      </c>
      <c r="M368" s="2"/>
    </row>
    <row r="369" spans="1:25" x14ac:dyDescent="0.25">
      <c r="A369" s="12" t="str">
        <f>IF(J369&gt;0,SUM(J364:J369)," ")</f>
        <v xml:space="preserve"> </v>
      </c>
      <c r="B369" s="6" t="str">
        <f>H350</f>
        <v>Roda</v>
      </c>
      <c r="C369" s="28">
        <v>0</v>
      </c>
      <c r="D369" s="28">
        <v>0</v>
      </c>
      <c r="E369" s="28">
        <v>0</v>
      </c>
      <c r="F369" s="22">
        <v>0</v>
      </c>
      <c r="G369" s="28">
        <v>0</v>
      </c>
      <c r="H369" s="2">
        <f>H351</f>
        <v>0</v>
      </c>
      <c r="I369" s="28">
        <v>0</v>
      </c>
      <c r="J369" s="12">
        <f>IF(SUM(C362:I362)&gt;0,HLOOKUP(1,$C$362:$I$374,8,FALSE),0)</f>
        <v>0</v>
      </c>
      <c r="K369" s="28">
        <v>1800</v>
      </c>
      <c r="M369" s="2"/>
    </row>
    <row r="370" spans="1:25" x14ac:dyDescent="0.25">
      <c r="A370" s="12" t="str">
        <f>IF(J370&gt;0,SUM(J364:J370)," ")</f>
        <v xml:space="preserve"> </v>
      </c>
      <c r="B370" s="6" t="str">
        <f>I350</f>
        <v>Plaat op maat</v>
      </c>
      <c r="C370" s="28">
        <v>0</v>
      </c>
      <c r="D370" s="28">
        <v>0</v>
      </c>
      <c r="E370" s="28">
        <v>0</v>
      </c>
      <c r="F370" s="22">
        <v>0</v>
      </c>
      <c r="G370" s="28">
        <v>0</v>
      </c>
      <c r="H370" s="22">
        <v>0</v>
      </c>
      <c r="I370" s="12">
        <f>I351</f>
        <v>0</v>
      </c>
      <c r="J370" s="12">
        <f>IF(SUM(C362:I362)&gt;0,HLOOKUP(1,$C$362:$I$374,9,FALSE),0)</f>
        <v>0</v>
      </c>
      <c r="K370" s="28">
        <v>1800</v>
      </c>
      <c r="M370" s="2"/>
    </row>
    <row r="371" spans="1:25" x14ac:dyDescent="0.25">
      <c r="A371" s="12" t="str">
        <f>IF(J371&gt;0,SUM(J364:J371)," ")</f>
        <v xml:space="preserve"> </v>
      </c>
      <c r="B371" s="6" t="s">
        <v>493</v>
      </c>
      <c r="C371" s="12">
        <f t="shared" ref="C371:D373" si="70">C354</f>
        <v>1</v>
      </c>
      <c r="D371" s="12">
        <f t="shared" si="70"/>
        <v>1</v>
      </c>
      <c r="E371" s="28">
        <v>0</v>
      </c>
      <c r="F371" s="22">
        <v>0</v>
      </c>
      <c r="G371" s="28">
        <v>0</v>
      </c>
      <c r="H371" s="22">
        <v>0</v>
      </c>
      <c r="I371" s="28">
        <v>0</v>
      </c>
      <c r="J371" s="12">
        <f>IF(SUM(C362:I362)&gt;0,HLOOKUP(1,$C$362:$I$374,10,FALSE),0)</f>
        <v>0</v>
      </c>
      <c r="K371" s="28">
        <v>1900</v>
      </c>
      <c r="M371" s="2"/>
    </row>
    <row r="372" spans="1:25" x14ac:dyDescent="0.25">
      <c r="A372" s="12" t="str">
        <f>IF(J372&gt;0,SUM(J364:J372)," ")</f>
        <v xml:space="preserve"> </v>
      </c>
      <c r="B372" s="6" t="s">
        <v>569</v>
      </c>
      <c r="C372" s="12">
        <f t="shared" si="70"/>
        <v>0</v>
      </c>
      <c r="D372" s="12">
        <f t="shared" si="70"/>
        <v>0</v>
      </c>
      <c r="E372" s="28">
        <v>0</v>
      </c>
      <c r="F372" s="22">
        <v>0</v>
      </c>
      <c r="G372" s="28">
        <v>0</v>
      </c>
      <c r="H372" s="22">
        <v>0</v>
      </c>
      <c r="I372" s="28">
        <v>0</v>
      </c>
      <c r="J372" s="12">
        <f>IF(SUM(C362:I362)&gt;0,HLOOKUP(1,$C$362:$I$374,11,FALSE),0)</f>
        <v>0</v>
      </c>
      <c r="K372" s="28">
        <v>2000</v>
      </c>
      <c r="M372" s="2"/>
    </row>
    <row r="373" spans="1:25" x14ac:dyDescent="0.25">
      <c r="A373" s="12" t="str">
        <f>IF(J373&gt;0,SUM(J364:J373)," ")</f>
        <v xml:space="preserve"> </v>
      </c>
      <c r="B373" s="6" t="s">
        <v>570</v>
      </c>
      <c r="C373" s="12">
        <f t="shared" si="70"/>
        <v>0</v>
      </c>
      <c r="D373" s="12">
        <f t="shared" si="70"/>
        <v>0</v>
      </c>
      <c r="E373" s="28">
        <v>0</v>
      </c>
      <c r="F373" s="22">
        <v>0</v>
      </c>
      <c r="G373" s="28">
        <v>0</v>
      </c>
      <c r="H373" s="22">
        <v>0</v>
      </c>
      <c r="I373" s="28">
        <v>0</v>
      </c>
      <c r="J373" s="12">
        <f>IF(SUM(C362:I362)&gt;0,HLOOKUP(1,$C$362:$I$374,12,FALSE),0)</f>
        <v>0</v>
      </c>
      <c r="K373" s="28">
        <v>2000</v>
      </c>
      <c r="M373" s="2"/>
    </row>
    <row r="374" spans="1:25" x14ac:dyDescent="0.25">
      <c r="A374" s="13" t="str">
        <f>IF(J374&gt;0,SUM(J364:J374)," ")</f>
        <v xml:space="preserve"> </v>
      </c>
      <c r="B374" s="8" t="s">
        <v>571</v>
      </c>
      <c r="C374" s="34">
        <v>0</v>
      </c>
      <c r="D374" s="34">
        <v>0</v>
      </c>
      <c r="E374" s="34">
        <v>0</v>
      </c>
      <c r="F374" s="344">
        <v>0</v>
      </c>
      <c r="G374" s="13">
        <f>G357</f>
        <v>0</v>
      </c>
      <c r="H374" s="344">
        <v>0</v>
      </c>
      <c r="I374" s="34">
        <v>0</v>
      </c>
      <c r="J374" s="13">
        <f>IF(SUM(C362:I362)&gt;0,HLOOKUP(1,$C$362:$I$374,13,FALSE),0)</f>
        <v>0</v>
      </c>
      <c r="K374" s="34">
        <v>2000</v>
      </c>
      <c r="M374" s="2"/>
    </row>
    <row r="375" spans="1:25" x14ac:dyDescent="0.25">
      <c r="A375" s="472"/>
      <c r="B375" s="472" t="s">
        <v>598</v>
      </c>
      <c r="C375" s="473" t="str">
        <f>IF(AND(C362=1,C366=1),F363,C363)</f>
        <v>Mini</v>
      </c>
      <c r="D375" s="473" t="str">
        <f>D363</f>
        <v>Maxi</v>
      </c>
      <c r="E375" s="473" t="str">
        <f>IF(SUM(E365:E366)=0,E363,IF(AND(E367=1,E365=1,E366=0),C363,IF(AND(SUM(E365:E367)=3,E353=0),F363,IF(AND(SUM(E365:E367)=3,E353=1),F363))))</f>
        <v>Emba 170</v>
      </c>
      <c r="F375" s="473" t="str">
        <f>F363</f>
        <v>Emba 295</v>
      </c>
      <c r="G375" s="473" t="str">
        <f>G363</f>
        <v>Vlakstans</v>
      </c>
      <c r="H375" s="473" t="str">
        <f>H363</f>
        <v>Roda</v>
      </c>
      <c r="I375" s="473" t="str">
        <f>I363</f>
        <v>Plaat op maat</v>
      </c>
      <c r="J375" s="472"/>
      <c r="K375" s="952">
        <v>1900</v>
      </c>
      <c r="M375" s="2"/>
    </row>
    <row r="376" spans="1:25" x14ac:dyDescent="0.25">
      <c r="A376" s="476"/>
      <c r="B376" s="404" t="s">
        <v>655</v>
      </c>
      <c r="C376" s="590">
        <v>0.04</v>
      </c>
      <c r="D376" s="590">
        <v>0.04</v>
      </c>
      <c r="E376" s="590">
        <v>0.04</v>
      </c>
      <c r="F376" s="590">
        <v>0.04</v>
      </c>
      <c r="G376" s="590">
        <v>0.04</v>
      </c>
      <c r="H376" s="590">
        <v>0.04</v>
      </c>
      <c r="I376" s="590">
        <v>0.04</v>
      </c>
      <c r="J376" s="592">
        <f>IF(SUM(C362:I362)&gt;0,HLOOKUP(1,C362:I377,15,FALSE),MAX(C376:I376))</f>
        <v>0.04</v>
      </c>
      <c r="M376" s="2"/>
    </row>
    <row r="377" spans="1:25" x14ac:dyDescent="0.25">
      <c r="A377" s="415"/>
      <c r="B377" s="52" t="s">
        <v>654</v>
      </c>
      <c r="C377" s="591">
        <v>0.04</v>
      </c>
      <c r="D377" s="591">
        <v>0.04</v>
      </c>
      <c r="E377" s="591">
        <v>0.04</v>
      </c>
      <c r="F377" s="591">
        <v>0.04</v>
      </c>
      <c r="G377" s="591">
        <v>0.04</v>
      </c>
      <c r="H377" s="591">
        <v>0.04</v>
      </c>
      <c r="I377" s="591">
        <v>0.04</v>
      </c>
      <c r="J377" s="593">
        <f>IF(SUM(C362:I362)&gt;0,HLOOKUP(1,C362:I377,16,FALSE),MAX(C377:I377))</f>
        <v>0.04</v>
      </c>
    </row>
    <row r="378" spans="1:25" x14ac:dyDescent="0.25">
      <c r="A378" s="950"/>
      <c r="B378" s="959" t="s">
        <v>984</v>
      </c>
      <c r="C378" s="960">
        <v>0.03</v>
      </c>
      <c r="D378" s="962">
        <v>0.03</v>
      </c>
      <c r="E378" s="960">
        <v>0.03</v>
      </c>
      <c r="F378" s="962">
        <v>0.03</v>
      </c>
      <c r="G378" s="960">
        <v>0.03</v>
      </c>
      <c r="H378" s="962">
        <v>0.03</v>
      </c>
      <c r="I378" s="960">
        <v>0.01</v>
      </c>
      <c r="J378" s="961">
        <f>IF(SUM(C362:I362)&gt;0,HLOOKUP(1,C362:I378,17,FALSE),MAX(C378:I378))</f>
        <v>0.03</v>
      </c>
    </row>
    <row r="379" spans="1:25" x14ac:dyDescent="0.25">
      <c r="B379"/>
    </row>
    <row r="380" spans="1:25" s="320" customFormat="1" x14ac:dyDescent="0.25">
      <c r="Y380" s="343"/>
    </row>
    <row r="381" spans="1:25" x14ac:dyDescent="0.25">
      <c r="B381"/>
    </row>
    <row r="382" spans="1:25" x14ac:dyDescent="0.25">
      <c r="B382"/>
    </row>
    <row r="383" spans="1:25" x14ac:dyDescent="0.25">
      <c r="B383" s="215" t="s">
        <v>487</v>
      </c>
    </row>
    <row r="384" spans="1:25" x14ac:dyDescent="0.25">
      <c r="A384" s="289" t="s">
        <v>477</v>
      </c>
      <c r="B384" s="396"/>
      <c r="C384" s="397">
        <f>IF(AND(J445&gt;=C386,J445&lt;C387),1,0)</f>
        <v>1</v>
      </c>
      <c r="D384" s="397">
        <f>IF(AND(J445&gt;=D386,J445&lt;D387),1,0)</f>
        <v>0</v>
      </c>
      <c r="E384" s="397">
        <f>IF(AND(J445&gt;=E386,J445&lt;E387),1,0)</f>
        <v>0</v>
      </c>
      <c r="F384" s="397">
        <f>IF(AND(J445&gt;=F386,J445&lt;F387),1,0)</f>
        <v>0</v>
      </c>
      <c r="G384" s="397">
        <f>IF(AND(J445&gt;=G386,J445&lt;G387),1,0)</f>
        <v>0</v>
      </c>
      <c r="H384" s="398"/>
      <c r="I384" s="398"/>
      <c r="J384" s="398"/>
      <c r="K384" s="398"/>
      <c r="L384" s="398"/>
      <c r="M384" s="398"/>
      <c r="N384" s="44"/>
    </row>
    <row r="385" spans="1:15" x14ac:dyDescent="0.25">
      <c r="A385" s="396" t="str">
        <f>VLOOKUP("x",'Prijs karton'!19:254,20,FALSE)</f>
        <v>Pro</v>
      </c>
      <c r="B385" s="41"/>
      <c r="C385" s="120" t="s">
        <v>478</v>
      </c>
      <c r="D385" s="120" t="s">
        <v>478</v>
      </c>
      <c r="E385" s="120" t="s">
        <v>478</v>
      </c>
      <c r="F385" s="120" t="s">
        <v>478</v>
      </c>
      <c r="G385" s="399" t="s">
        <v>478</v>
      </c>
      <c r="H385" s="120" t="s">
        <v>479</v>
      </c>
      <c r="I385" s="227" t="s">
        <v>480</v>
      </c>
      <c r="J385" s="120" t="s">
        <v>481</v>
      </c>
      <c r="K385" s="78" t="s">
        <v>480</v>
      </c>
      <c r="L385" s="120" t="s">
        <v>111</v>
      </c>
      <c r="M385" s="78" t="s">
        <v>149</v>
      </c>
      <c r="N385" s="120" t="s">
        <v>149</v>
      </c>
      <c r="O385" s="2"/>
    </row>
    <row r="386" spans="1:15" x14ac:dyDescent="0.25">
      <c r="A386" s="41"/>
      <c r="B386" s="41"/>
      <c r="C386" s="12">
        <v>200</v>
      </c>
      <c r="D386" s="12">
        <v>500</v>
      </c>
      <c r="E386" s="12">
        <v>1000</v>
      </c>
      <c r="F386" s="12">
        <v>2000</v>
      </c>
      <c r="G386" s="120">
        <v>5000</v>
      </c>
      <c r="H386" s="120" t="s">
        <v>482</v>
      </c>
      <c r="I386" s="227" t="s">
        <v>482</v>
      </c>
      <c r="J386" s="120" t="s">
        <v>483</v>
      </c>
      <c r="K386" s="78" t="s">
        <v>482</v>
      </c>
      <c r="L386" s="120" t="s">
        <v>484</v>
      </c>
      <c r="M386" s="78" t="s">
        <v>485</v>
      </c>
      <c r="N386" s="120" t="s">
        <v>486</v>
      </c>
    </row>
    <row r="387" spans="1:15" x14ac:dyDescent="0.25">
      <c r="A387" s="341" t="s">
        <v>1</v>
      </c>
      <c r="B387" s="341" t="s">
        <v>0</v>
      </c>
      <c r="C387" s="443">
        <v>500</v>
      </c>
      <c r="D387" s="443">
        <v>1000</v>
      </c>
      <c r="E387" s="443">
        <v>2000</v>
      </c>
      <c r="F387" s="443">
        <v>5000</v>
      </c>
      <c r="G387" s="12">
        <v>999999999</v>
      </c>
      <c r="H387" s="202" t="s">
        <v>18</v>
      </c>
      <c r="I387" s="400" t="s">
        <v>18</v>
      </c>
      <c r="J387" s="202" t="s">
        <v>9</v>
      </c>
      <c r="K387" s="401" t="s">
        <v>9</v>
      </c>
      <c r="L387" s="964">
        <v>550</v>
      </c>
      <c r="M387" s="343"/>
      <c r="N387" s="13"/>
    </row>
    <row r="388" spans="1:15" x14ac:dyDescent="0.25">
      <c r="A388" s="52" t="str">
        <f>VLOOKUP("X",'Prijs karton'!19:254,3,FALSE)</f>
        <v>BKT14WS</v>
      </c>
      <c r="B388" s="41" t="str">
        <f>VLOOKUP("X",'Prijs karton'!19:254,2,FALSE)</f>
        <v>B</v>
      </c>
      <c r="C388" s="342">
        <f>VLOOKUP("X",'Prijs karton'!19:254,7,FALSE)</f>
        <v>47.2</v>
      </c>
      <c r="D388" s="340">
        <f>VLOOKUP("X",'Prijs karton'!19:254,8,FALSE)</f>
        <v>44.2</v>
      </c>
      <c r="E388" s="342">
        <f>VLOOKUP("X",'Prijs karton'!19:254,9,FALSE)</f>
        <v>43.7</v>
      </c>
      <c r="F388" s="340">
        <f>VLOOKUP("X",'Prijs karton'!19:254,10,FALSE)</f>
        <v>43.7</v>
      </c>
      <c r="G388" s="402">
        <f>VLOOKUP("X",'Prijs karton'!19:254,11,FALSE)</f>
        <v>43.2</v>
      </c>
      <c r="H388" s="403">
        <f>VLOOKUP("X",'Prijs karton'!19:254,21,FALSE)</f>
        <v>250</v>
      </c>
      <c r="I388" s="403">
        <f>VLOOKUP("X",'Prijs karton'!19:254,22,FALSE)</f>
        <v>2450</v>
      </c>
      <c r="J388" s="403">
        <f>VLOOKUP("X",'Prijs karton'!19:254,23,FALSE)</f>
        <v>500</v>
      </c>
      <c r="K388" s="403">
        <f>VLOOKUP("X",'Prijs karton'!19:254,24,FALSE)</f>
        <v>6000</v>
      </c>
      <c r="L388" s="403">
        <f>VLOOKUP("X",'Prijs karton'!19:254,25,FALSE)</f>
        <v>480</v>
      </c>
      <c r="M388" s="403">
        <f>VLOOKUP("X",'Prijs karton'!19:254,26,FALSE)</f>
        <v>240</v>
      </c>
      <c r="N388" s="473">
        <f>VLOOKUP("X",'Prijs karton'!19:254,27,FALSE)</f>
        <v>200</v>
      </c>
      <c r="O388" s="2"/>
    </row>
    <row r="389" spans="1:15" x14ac:dyDescent="0.25">
      <c r="A389" s="442">
        <f>IF(F445&lt;C389,1,0)</f>
        <v>0</v>
      </c>
      <c r="B389" s="405" t="str">
        <f>IF($A$385="pro",'Prijs karton'!N4,IF($A$385="kappa",'Prijs karton'!T4," "))</f>
        <v xml:space="preserve">Plaatlengte korter dan </v>
      </c>
      <c r="C389" s="405">
        <f>IF($A$385="pro",'Prijs karton'!O4,IF($A$385="kappa",'Prijs karton'!U4," "))</f>
        <v>600</v>
      </c>
      <c r="D389" s="399">
        <f>IF($A$385="pro",'Prijs karton'!P4,IF($A$385="kappa",'Prijs karton'!V4," "))</f>
        <v>4</v>
      </c>
      <c r="E389" s="411" t="str">
        <f>IF($A$385="pro",'Prijs karton'!Q4,IF($A$385="kappa",'Prijs karton'!W4," "))</f>
        <v>extra per HQM</v>
      </c>
      <c r="F389" s="442">
        <f>D389*A389</f>
        <v>0</v>
      </c>
    </row>
    <row r="390" spans="1:15" x14ac:dyDescent="0.25">
      <c r="A390" s="12">
        <f>IF(AND(F445&lt;C390,F445&gt;=C389),1,0)</f>
        <v>0</v>
      </c>
      <c r="B390" s="339" t="str">
        <f>IF($A$385="pro",'Prijs karton'!N5,IF($A$385="kappa",'Prijs karton'!T5," "))</f>
        <v xml:space="preserve">Plaatlengte korter dan </v>
      </c>
      <c r="C390" s="339">
        <f>IF($A$385="pro",'Prijs karton'!O5,IF($A$385="kappa",'Prijs karton'!U5," "))</f>
        <v>700</v>
      </c>
      <c r="D390" s="120">
        <f>IF($A$385="pro",'Prijs karton'!P5,IF($A$385="kappa",'Prijs karton'!V5," "))</f>
        <v>2</v>
      </c>
      <c r="E390" s="337" t="str">
        <f>IF($A$385="pro",'Prijs karton'!Q5,IF($A$385="kappa",'Prijs karton'!W5," "))</f>
        <v>extra per HQM</v>
      </c>
      <c r="F390" s="12">
        <f>D390*A390</f>
        <v>0</v>
      </c>
    </row>
    <row r="391" spans="1:15" x14ac:dyDescent="0.25">
      <c r="A391" s="12">
        <f>IF(F445&gt;C391,1,0)</f>
        <v>0</v>
      </c>
      <c r="B391" s="339" t="str">
        <f>IF($A$385="pro",'Prijs karton'!N6,IF($A$385="kappa",'Prijs karton'!T6," "))</f>
        <v>Plaatlengte lager dan</v>
      </c>
      <c r="C391" s="339">
        <f>IF($A$385="pro",'Prijs karton'!O6,IF($A$385="kappa",'Prijs karton'!U6," "))</f>
        <v>5000</v>
      </c>
      <c r="D391" s="120">
        <f>IF($A$385="pro",'Prijs karton'!P6,IF($A$385="kappa",'Prijs karton'!V6," "))</f>
        <v>0</v>
      </c>
      <c r="E391" s="337" t="str">
        <f>IF($A$385="pro",'Prijs karton'!Q6,IF($A$385="kappa",'Prijs karton'!W6," "))</f>
        <v>extra per HQM</v>
      </c>
      <c r="F391" s="12">
        <f>D391*A391</f>
        <v>0</v>
      </c>
    </row>
    <row r="392" spans="1:15" x14ac:dyDescent="0.25">
      <c r="A392" s="41"/>
      <c r="B392" s="339" t="str">
        <f>IF($A$385="pro",'Prijs karton'!N7,IF($A$385="kappa",'Prijs karton'!T7," "))</f>
        <v xml:space="preserve"> </v>
      </c>
      <c r="C392" s="339" t="str">
        <f>IF($A$385="pro",'Prijs karton'!O7,IF($A$385="kappa",'Prijs karton'!U7," "))</f>
        <v xml:space="preserve"> </v>
      </c>
      <c r="D392" s="120" t="str">
        <f>IF($A$385="pro",'Prijs karton'!P7,IF($A$385="kappa",'Prijs karton'!V7," "))</f>
        <v xml:space="preserve"> </v>
      </c>
      <c r="E392" s="337" t="str">
        <f>IF($A$385="pro",'Prijs karton'!Q7,IF($A$385="kappa",'Prijs karton'!W7," "))</f>
        <v xml:space="preserve"> </v>
      </c>
      <c r="F392" s="41"/>
      <c r="G392" s="77"/>
    </row>
    <row r="393" spans="1:15" x14ac:dyDescent="0.25">
      <c r="A393" s="41"/>
      <c r="B393" s="339" t="str">
        <f>IF($A$385="pro",'Prijs karton'!N8,IF($A$385="kappa",'Prijs karton'!T8," "))</f>
        <v xml:space="preserve"> </v>
      </c>
      <c r="C393" s="339" t="str">
        <f>IF($A$385="pro",'Prijs karton'!O8,IF($A$385="kappa",'Prijs karton'!U8," "))</f>
        <v xml:space="preserve"> </v>
      </c>
      <c r="D393" s="120" t="str">
        <f>IF($A$385="pro",'Prijs karton'!P8,IF($A$385="kappa",'Prijs karton'!V8," "))</f>
        <v xml:space="preserve"> </v>
      </c>
      <c r="E393" s="337" t="str">
        <f>IF($A$385="pro",'Prijs karton'!Q8,IF($A$385="kappa",'Prijs karton'!W8," "))</f>
        <v xml:space="preserve"> </v>
      </c>
      <c r="F393" s="556"/>
      <c r="G393" s="407"/>
    </row>
    <row r="394" spans="1:15" x14ac:dyDescent="0.25">
      <c r="A394" s="41"/>
      <c r="B394" s="339" t="str">
        <f>IF($A$385="pro",'Prijs karton'!N9,IF($A$385="kappa",'Prijs karton'!T9," "))</f>
        <v xml:space="preserve"> </v>
      </c>
      <c r="C394" s="339" t="str">
        <f>IF($A$385="pro",'Prijs karton'!O9,IF($A$385="kappa",'Prijs karton'!U9," "))</f>
        <v xml:space="preserve"> </v>
      </c>
      <c r="D394" s="120" t="str">
        <f>IF($A$385="pro",'Prijs karton'!P9,IF($A$385="kappa",'Prijs karton'!V9," "))</f>
        <v xml:space="preserve"> </v>
      </c>
      <c r="E394" s="337" t="str">
        <f>IF($A$385="pro",'Prijs karton'!Q9,IF($A$385="kappa",'Prijs karton'!W9," "))</f>
        <v xml:space="preserve"> </v>
      </c>
      <c r="F394" s="41"/>
      <c r="G394" s="77"/>
    </row>
    <row r="395" spans="1:15" x14ac:dyDescent="0.25">
      <c r="A395" s="41"/>
      <c r="B395" s="339" t="str">
        <f>IF($A$385="pro",'Prijs karton'!N10,IF($A$385="kappa",'Prijs karton'!T10," "))</f>
        <v xml:space="preserve"> </v>
      </c>
      <c r="C395" s="339" t="str">
        <f>IF($A$385="pro",'Prijs karton'!O10,IF($A$385="kappa",'Prijs karton'!U10," "))</f>
        <v xml:space="preserve"> </v>
      </c>
      <c r="D395" s="120" t="str">
        <f>IF($A$385="pro",'Prijs karton'!P10,IF($A$385="kappa",'Prijs karton'!V10," "))</f>
        <v xml:space="preserve"> </v>
      </c>
      <c r="E395" s="337" t="str">
        <f>IF($A$385="pro",'Prijs karton'!Q10,IF($A$385="kappa",'Prijs karton'!W10," "))</f>
        <v xml:space="preserve"> </v>
      </c>
      <c r="F395" s="41"/>
      <c r="G395" s="77"/>
    </row>
    <row r="396" spans="1:15" x14ac:dyDescent="0.25">
      <c r="A396" s="41"/>
      <c r="B396" s="339" t="str">
        <f>IF($A$385="pro",'Prijs karton'!N11,IF($A$385="kappa",'Prijs karton'!T11," "))</f>
        <v xml:space="preserve"> </v>
      </c>
      <c r="C396" s="339" t="str">
        <f>IF($A$385="pro",'Prijs karton'!O11,IF($A$385="kappa",'Prijs karton'!U11," "))</f>
        <v xml:space="preserve"> </v>
      </c>
      <c r="D396" s="120" t="str">
        <f>IF($A$385="pro",'Prijs karton'!P11,IF($A$385="kappa",'Prijs karton'!V11," "))</f>
        <v xml:space="preserve"> </v>
      </c>
      <c r="E396" s="337" t="str">
        <f>IF($A$385="pro",'Prijs karton'!Q11,IF($A$385="kappa",'Prijs karton'!W11," "))</f>
        <v xml:space="preserve"> </v>
      </c>
      <c r="F396" s="41"/>
    </row>
    <row r="397" spans="1:15" x14ac:dyDescent="0.25">
      <c r="A397" s="41"/>
      <c r="B397" s="339" t="str">
        <f>IF($A$385="pro",'Prijs karton'!N12,IF($A$385="kappa",'Prijs karton'!T12," "))</f>
        <v xml:space="preserve"> </v>
      </c>
      <c r="C397" s="339" t="str">
        <f>IF($A$385="pro",'Prijs karton'!O12,IF($A$385="kappa",'Prijs karton'!U12," "))</f>
        <v xml:space="preserve"> </v>
      </c>
      <c r="D397" s="120" t="str">
        <f>IF($A$385="pro",'Prijs karton'!P12,IF($A$385="kappa",'Prijs karton'!V12," "))</f>
        <v xml:space="preserve"> </v>
      </c>
      <c r="E397" s="337" t="str">
        <f>IF($A$385="pro",'Prijs karton'!Q12,IF($A$385="kappa",'Prijs karton'!W12," "))</f>
        <v xml:space="preserve"> </v>
      </c>
      <c r="F397" s="41"/>
    </row>
    <row r="398" spans="1:15" x14ac:dyDescent="0.25">
      <c r="A398" s="52"/>
      <c r="B398" s="341" t="str">
        <f>IF($A$385="pro",'Prijs karton'!N13,IF($A$385="kappa",'Prijs karton'!T13," "))</f>
        <v xml:space="preserve"> </v>
      </c>
      <c r="C398" s="341" t="str">
        <f>IF($A$385="pro",'Prijs karton'!O13,IF($A$385="kappa",'Prijs karton'!U13," "))</f>
        <v xml:space="preserve"> </v>
      </c>
      <c r="D398" s="202" t="str">
        <f>IF($A$385="pro",'Prijs karton'!P13,IF($A$385="kappa",'Prijs karton'!V13," "))</f>
        <v xml:space="preserve"> </v>
      </c>
      <c r="E398" s="581" t="str">
        <f>IF($A$385="pro",'Prijs karton'!Q13,IF($A$385="kappa",'Prijs karton'!W13," "))</f>
        <v xml:space="preserve"> </v>
      </c>
      <c r="F398" s="52"/>
    </row>
    <row r="399" spans="1:15" x14ac:dyDescent="0.25">
      <c r="B399" s="77"/>
      <c r="C399" s="77"/>
      <c r="D399" s="77"/>
      <c r="E399" s="77"/>
    </row>
    <row r="400" spans="1:15" x14ac:dyDescent="0.25">
      <c r="B400" s="1" t="s">
        <v>1049</v>
      </c>
      <c r="C400" s="77"/>
    </row>
    <row r="401" spans="1:13" x14ac:dyDescent="0.25">
      <c r="B401" s="489" t="s">
        <v>599</v>
      </c>
      <c r="C401" s="103" t="s">
        <v>600</v>
      </c>
      <c r="D401" s="103" t="s">
        <v>1026</v>
      </c>
      <c r="E401" s="103" t="s">
        <v>547</v>
      </c>
      <c r="F401" s="1077" t="s">
        <v>1047</v>
      </c>
      <c r="G401" s="1021" t="s">
        <v>1048</v>
      </c>
    </row>
    <row r="402" spans="1:13" x14ac:dyDescent="0.25">
      <c r="B402" s="202" t="str">
        <f>IF(SUM(C362:I362)&gt;0,HLOOKUP(1,C362:I375,2,FALSE),0)</f>
        <v>Emba 170</v>
      </c>
      <c r="C402" s="424" t="str">
        <f>IF(SUM(C362:I362)&gt;0,HLOOKUP(1,C362:I375,14,FALSE),0)</f>
        <v>Emba 170</v>
      </c>
      <c r="D402" s="951">
        <f>IF(AND(C402="Emba 295",B402&lt;&gt;"Emba 295"),1,0)</f>
        <v>0</v>
      </c>
      <c r="E402" s="951">
        <f>IF(D402=1,C445*D445,1)</f>
        <v>1</v>
      </c>
      <c r="F402" s="432">
        <f>IF(AND(B402="Maxi",C402="Maxi",C111&gt;0),1,0)</f>
        <v>0</v>
      </c>
      <c r="G402" s="34">
        <v>1</v>
      </c>
    </row>
    <row r="405" spans="1:13" x14ac:dyDescent="0.25">
      <c r="A405" s="404"/>
      <c r="B405" s="437" t="s">
        <v>78</v>
      </c>
      <c r="C405" s="287">
        <v>3</v>
      </c>
      <c r="D405" s="489">
        <v>4</v>
      </c>
      <c r="E405" s="473">
        <v>5</v>
      </c>
      <c r="F405" s="473">
        <v>6</v>
      </c>
      <c r="G405" s="473">
        <v>7</v>
      </c>
      <c r="H405" s="473">
        <v>8</v>
      </c>
      <c r="I405" s="38">
        <v>9</v>
      </c>
      <c r="J405" s="473">
        <v>10</v>
      </c>
      <c r="K405" s="38">
        <v>11</v>
      </c>
      <c r="L405" s="442">
        <v>12</v>
      </c>
      <c r="M405" s="435">
        <v>13</v>
      </c>
    </row>
    <row r="406" spans="1:13" x14ac:dyDescent="0.25">
      <c r="A406" s="41"/>
      <c r="B406" s="36"/>
      <c r="C406" s="208" t="s">
        <v>606</v>
      </c>
      <c r="D406" s="473" t="s">
        <v>607</v>
      </c>
      <c r="E406" s="473" t="s">
        <v>608</v>
      </c>
      <c r="F406" s="38" t="s">
        <v>197</v>
      </c>
      <c r="G406" s="287" t="s">
        <v>611</v>
      </c>
      <c r="H406" s="489" t="s">
        <v>610</v>
      </c>
      <c r="I406" s="103" t="s">
        <v>609</v>
      </c>
      <c r="J406" s="120" t="s">
        <v>612</v>
      </c>
      <c r="K406" s="103" t="s">
        <v>613</v>
      </c>
      <c r="L406" s="489" t="s">
        <v>627</v>
      </c>
      <c r="M406" s="103" t="s">
        <v>628</v>
      </c>
    </row>
    <row r="407" spans="1:13" x14ac:dyDescent="0.25">
      <c r="A407" s="52"/>
      <c r="B407" s="37"/>
      <c r="C407" s="289"/>
      <c r="D407" s="517"/>
      <c r="E407" s="472"/>
      <c r="F407" s="43"/>
      <c r="G407" s="472"/>
      <c r="H407" s="472"/>
      <c r="I407" s="44"/>
      <c r="J407" s="472"/>
      <c r="K407" s="44"/>
      <c r="L407" s="52"/>
      <c r="M407" s="434"/>
    </row>
    <row r="408" spans="1:13" x14ac:dyDescent="0.25">
      <c r="A408" s="442">
        <f>IF($C$402=B408,1,0)</f>
        <v>0</v>
      </c>
      <c r="B408" s="404" t="s">
        <v>66</v>
      </c>
      <c r="C408" s="442">
        <f>IF(F189=0,A191,E191)</f>
        <v>2</v>
      </c>
      <c r="D408" s="442">
        <f>IF(F189=0,A193,E193)</f>
        <v>3</v>
      </c>
      <c r="E408" s="449">
        <f>IF(F189=0,B191,F191)</f>
        <v>1</v>
      </c>
      <c r="F408" s="442">
        <f>IF(F189=0,C191,G191)</f>
        <v>3</v>
      </c>
      <c r="G408" s="449">
        <f>C179</f>
        <v>0</v>
      </c>
      <c r="H408" s="442">
        <f>C180</f>
        <v>0</v>
      </c>
      <c r="I408" s="449">
        <f>IF(F408&gt;2,D180,0)</f>
        <v>40</v>
      </c>
      <c r="J408" s="486">
        <v>0</v>
      </c>
      <c r="K408" s="567">
        <v>0</v>
      </c>
      <c r="L408" s="442">
        <f>IF(B402=B408,C108,IF(AND(C402=B408,B402=B410),B228,0))</f>
        <v>0</v>
      </c>
      <c r="M408" s="442">
        <f>IF(B402=B408,D108,IF(AND(C402=B408,B402=B410),C228,0))</f>
        <v>0</v>
      </c>
    </row>
    <row r="409" spans="1:13" x14ac:dyDescent="0.25">
      <c r="A409" s="12">
        <f t="shared" ref="A409:A414" si="71">IF($C$402=B409,1,0)</f>
        <v>0</v>
      </c>
      <c r="B409" s="41" t="s">
        <v>65</v>
      </c>
      <c r="C409" s="12">
        <f>B208</f>
        <v>2</v>
      </c>
      <c r="D409" s="12">
        <f>B209</f>
        <v>2</v>
      </c>
      <c r="E409" s="22">
        <v>1</v>
      </c>
      <c r="F409" s="28">
        <v>1</v>
      </c>
      <c r="G409" s="22">
        <v>0</v>
      </c>
      <c r="H409" s="28">
        <v>0</v>
      </c>
      <c r="I409" s="22">
        <v>0</v>
      </c>
      <c r="J409" s="28">
        <v>0</v>
      </c>
      <c r="K409" s="30">
        <v>0</v>
      </c>
      <c r="L409" s="12">
        <f>IF(B409=B402,C108,0)</f>
        <v>0</v>
      </c>
      <c r="M409" s="12">
        <f>IF(B409=B402,D108,0)</f>
        <v>0</v>
      </c>
    </row>
    <row r="410" spans="1:13" x14ac:dyDescent="0.25">
      <c r="A410" s="12">
        <f t="shared" si="71"/>
        <v>1</v>
      </c>
      <c r="B410" s="41" t="s">
        <v>63</v>
      </c>
      <c r="C410" s="28">
        <v>1</v>
      </c>
      <c r="D410" s="28">
        <v>1</v>
      </c>
      <c r="E410" s="22">
        <v>1</v>
      </c>
      <c r="F410" s="28">
        <v>1</v>
      </c>
      <c r="G410" s="22">
        <v>0</v>
      </c>
      <c r="H410" s="28">
        <v>0</v>
      </c>
      <c r="I410" s="22">
        <v>0</v>
      </c>
      <c r="J410" s="28">
        <v>0</v>
      </c>
      <c r="K410" s="30">
        <v>0</v>
      </c>
      <c r="L410" s="12">
        <f>IF(C402=B410,B228,0)</f>
        <v>361</v>
      </c>
      <c r="M410" s="12">
        <f>IF(C402=B410,C228,0)</f>
        <v>1150</v>
      </c>
    </row>
    <row r="411" spans="1:13" x14ac:dyDescent="0.25">
      <c r="A411" s="12">
        <f t="shared" si="71"/>
        <v>0</v>
      </c>
      <c r="B411" s="41" t="s">
        <v>64</v>
      </c>
      <c r="C411" s="556">
        <f>E241</f>
        <v>0</v>
      </c>
      <c r="D411" s="12">
        <f>D241</f>
        <v>0</v>
      </c>
      <c r="E411" s="407">
        <f>G241</f>
        <v>0</v>
      </c>
      <c r="F411" s="12">
        <f>F241</f>
        <v>0</v>
      </c>
      <c r="G411" s="22">
        <v>0</v>
      </c>
      <c r="H411" s="28">
        <v>0</v>
      </c>
      <c r="I411" s="22">
        <v>0</v>
      </c>
      <c r="J411" s="28">
        <v>0</v>
      </c>
      <c r="K411" s="30">
        <v>0</v>
      </c>
      <c r="L411" s="12">
        <f>IF(B411=B402,B239,B241)</f>
        <v>0</v>
      </c>
      <c r="M411" s="12">
        <f>IF(B411=B402,C239,C241)</f>
        <v>0</v>
      </c>
    </row>
    <row r="412" spans="1:13" x14ac:dyDescent="0.25">
      <c r="A412" s="12">
        <f t="shared" si="71"/>
        <v>0</v>
      </c>
      <c r="B412" s="41" t="s">
        <v>554</v>
      </c>
      <c r="C412" s="12">
        <f>IF(SUM(A274:A275)&gt;0,VLOOKUP(1,A274:C275,2,FALSE),0)</f>
        <v>1</v>
      </c>
      <c r="D412" s="12">
        <f>IF(SUM(A274:A275)&gt;0,VLOOKUP(1,A274:C275,2,FALSE),0)</f>
        <v>1</v>
      </c>
      <c r="E412" s="2">
        <f>IF(SUM(A274:A275)&gt;0,VLOOKUP(1,A274:C275,3,FALSE),0)</f>
        <v>1</v>
      </c>
      <c r="F412" s="12">
        <f>IF(SUM(A274:A275)&gt;0,VLOOKUP(1,A274:C275,3,FALSE),0)</f>
        <v>1</v>
      </c>
      <c r="G412" s="22">
        <v>0</v>
      </c>
      <c r="H412" s="28">
        <v>0</v>
      </c>
      <c r="I412" s="22">
        <v>0</v>
      </c>
      <c r="J412" s="28">
        <v>20</v>
      </c>
      <c r="K412" s="30">
        <v>0</v>
      </c>
      <c r="L412" s="556">
        <f>IF(B412=B402,D278,0)</f>
        <v>0</v>
      </c>
      <c r="M412" s="556">
        <f>IF(B412=B402,E278,0)</f>
        <v>0</v>
      </c>
    </row>
    <row r="413" spans="1:13" x14ac:dyDescent="0.25">
      <c r="A413" s="12">
        <f t="shared" si="71"/>
        <v>0</v>
      </c>
      <c r="B413" s="41" t="s">
        <v>54</v>
      </c>
      <c r="C413" s="12">
        <f>A331</f>
        <v>0</v>
      </c>
      <c r="D413" s="12">
        <f>A333</f>
        <v>0</v>
      </c>
      <c r="E413" s="2">
        <f>D331</f>
        <v>0</v>
      </c>
      <c r="F413" s="12">
        <f>D333</f>
        <v>0</v>
      </c>
      <c r="G413" s="22">
        <v>0</v>
      </c>
      <c r="H413" s="28">
        <v>0</v>
      </c>
      <c r="I413" s="22">
        <v>0</v>
      </c>
      <c r="J413" s="28">
        <v>0</v>
      </c>
      <c r="K413" s="30">
        <v>80</v>
      </c>
      <c r="L413" s="12">
        <f>IF(B413=B402,C108,0)</f>
        <v>0</v>
      </c>
      <c r="M413" s="12">
        <f>IF(B413=B402,D108,0)</f>
        <v>0</v>
      </c>
    </row>
    <row r="414" spans="1:13" x14ac:dyDescent="0.25">
      <c r="A414" s="13">
        <f t="shared" si="71"/>
        <v>0</v>
      </c>
      <c r="B414" s="52" t="s">
        <v>67</v>
      </c>
      <c r="C414" s="34">
        <v>1</v>
      </c>
      <c r="D414" s="34">
        <v>1</v>
      </c>
      <c r="E414" s="344">
        <v>1</v>
      </c>
      <c r="F414" s="34">
        <v>1</v>
      </c>
      <c r="G414" s="344">
        <v>0</v>
      </c>
      <c r="H414" s="34">
        <v>0</v>
      </c>
      <c r="I414" s="344">
        <v>0</v>
      </c>
      <c r="J414" s="34">
        <v>0</v>
      </c>
      <c r="K414" s="490">
        <v>0</v>
      </c>
      <c r="L414" s="13">
        <f>IF(B414=B402,C108,0)</f>
        <v>0</v>
      </c>
      <c r="M414" s="13">
        <f>IF(B414=B402,D108,0)</f>
        <v>0</v>
      </c>
    </row>
    <row r="415" spans="1:13" x14ac:dyDescent="0.25">
      <c r="B415"/>
    </row>
    <row r="416" spans="1:13" x14ac:dyDescent="0.25">
      <c r="B416"/>
    </row>
    <row r="417" spans="2:37" x14ac:dyDescent="0.25">
      <c r="B417" s="569" t="s">
        <v>18</v>
      </c>
      <c r="C417" s="442">
        <f>IF(SUM($A$408:$A$414)&gt;0,VLOOKUP(1,$A$408:$M$414,L405,FALSE),0)</f>
        <v>361</v>
      </c>
    </row>
    <row r="418" spans="2:37" x14ac:dyDescent="0.25">
      <c r="B418" s="570" t="s">
        <v>9</v>
      </c>
      <c r="C418" s="12">
        <f>IF(SUM($A$408:$A$414)&gt;0,VLOOKUP(1,$A$408:$M$414,M405,FALSE),0)</f>
        <v>1150</v>
      </c>
    </row>
    <row r="419" spans="2:37" x14ac:dyDescent="0.25">
      <c r="B419" s="569" t="s">
        <v>606</v>
      </c>
      <c r="C419" s="442">
        <f>IF(SUM($A$408:$A$414)&gt;0,VLOOKUP(1,$A$408:$M$414,C405,FALSE),0)</f>
        <v>1</v>
      </c>
    </row>
    <row r="420" spans="2:37" x14ac:dyDescent="0.25">
      <c r="B420" s="571" t="s">
        <v>607</v>
      </c>
      <c r="C420" s="12">
        <f>IF(F402=1,G402,IF(SUM($A$408:$A$414)&gt;0,VLOOKUP(1,$A$408:$M$414,D405,FALSE),0))</f>
        <v>1</v>
      </c>
    </row>
    <row r="421" spans="2:37" x14ac:dyDescent="0.25">
      <c r="B421" s="569" t="s">
        <v>608</v>
      </c>
      <c r="C421" s="442">
        <f>IF(SUM($A$408:$A$414)&gt;0,VLOOKUP(1,$A$408:$M$414,E405,FALSE),0)</f>
        <v>1</v>
      </c>
    </row>
    <row r="422" spans="2:37" x14ac:dyDescent="0.25">
      <c r="B422" s="570" t="s">
        <v>629</v>
      </c>
      <c r="C422" s="13">
        <f>IF(SUM($A$408:$A$414)&gt;0,VLOOKUP(1,$A$408:$M$414,F405,FALSE),0)</f>
        <v>1</v>
      </c>
    </row>
    <row r="423" spans="2:37" x14ac:dyDescent="0.25">
      <c r="B423" s="410" t="s">
        <v>611</v>
      </c>
      <c r="C423" s="442">
        <f>IF(SUM($A$408:$A$414)&gt;0,VLOOKUP(1,$A$408:$M$414,G405,FALSE),0)</f>
        <v>0</v>
      </c>
    </row>
    <row r="424" spans="2:37" x14ac:dyDescent="0.25">
      <c r="B424" s="572" t="s">
        <v>610</v>
      </c>
      <c r="C424" s="12">
        <f>IF(SUM($A$408:$A$414)&gt;0,VLOOKUP(1,$A$408:$M$414,H405,FALSE),0)</f>
        <v>0</v>
      </c>
    </row>
    <row r="425" spans="2:37" x14ac:dyDescent="0.25">
      <c r="B425" s="418" t="s">
        <v>609</v>
      </c>
      <c r="C425" s="13">
        <f>IF(SUM($A$408:$A$414)&gt;0,VLOOKUP(1,$A$408:$M$414,I405,FALSE),0)</f>
        <v>0</v>
      </c>
    </row>
    <row r="426" spans="2:37" x14ac:dyDescent="0.25">
      <c r="B426" s="568" t="s">
        <v>612</v>
      </c>
      <c r="C426" s="13">
        <f>IF(SUM($A$408:$A$414)&gt;0,VLOOKUP(1,$A$408:$M$414,J405,FALSE),0)</f>
        <v>0</v>
      </c>
    </row>
    <row r="427" spans="2:37" x14ac:dyDescent="0.25">
      <c r="B427" s="153" t="str">
        <f>K406</f>
        <v>Eindafval roda</v>
      </c>
      <c r="C427" s="13">
        <f>IF(SUM($A$408:$A$414)&gt;0,VLOOKUP(1,$A$408:$M$414,K405,FALSE),0)</f>
        <v>0</v>
      </c>
    </row>
    <row r="428" spans="2:37" x14ac:dyDescent="0.25">
      <c r="B428" s="143"/>
      <c r="C428" s="2"/>
    </row>
    <row r="429" spans="2:37" x14ac:dyDescent="0.25">
      <c r="B429" s="143"/>
      <c r="C429" s="2"/>
    </row>
    <row r="430" spans="2:37" x14ac:dyDescent="0.25">
      <c r="B430" s="625" t="s">
        <v>640</v>
      </c>
      <c r="C430" s="2"/>
    </row>
    <row r="431" spans="2:37" x14ac:dyDescent="0.25">
      <c r="B431" s="616" t="s">
        <v>110</v>
      </c>
      <c r="C431" s="617">
        <f>J376</f>
        <v>0.04</v>
      </c>
    </row>
    <row r="432" spans="2:37" ht="15.75" thickBot="1" x14ac:dyDescent="0.3">
      <c r="B432" s="153" t="s">
        <v>149</v>
      </c>
      <c r="C432" s="593">
        <f>J377</f>
        <v>0.04</v>
      </c>
      <c r="AI432" s="619">
        <f>C437-J437</f>
        <v>0</v>
      </c>
      <c r="AJ432" s="619">
        <f>J437-X437</f>
        <v>0</v>
      </c>
      <c r="AK432" s="619">
        <f>X437-AH437</f>
        <v>0</v>
      </c>
    </row>
    <row r="433" spans="2:37" x14ac:dyDescent="0.25">
      <c r="B433" s="616" t="s">
        <v>656</v>
      </c>
      <c r="C433" s="617">
        <f>C431-C432</f>
        <v>0</v>
      </c>
      <c r="J433" s="614">
        <v>0.15</v>
      </c>
      <c r="X433" s="614">
        <v>0.35</v>
      </c>
      <c r="AH433" s="618">
        <f>1-J433-X433</f>
        <v>0.5</v>
      </c>
      <c r="AI433" s="514">
        <v>7</v>
      </c>
      <c r="AJ433" s="484">
        <v>14</v>
      </c>
      <c r="AK433" s="70">
        <v>11</v>
      </c>
    </row>
    <row r="434" spans="2:37" x14ac:dyDescent="0.25">
      <c r="B434" s="472"/>
      <c r="C434" s="473">
        <f t="shared" ref="C434:AH434" si="72">IF(AND($J$445&gt;=C435,$J$445&lt;C436),1," ")</f>
        <v>1</v>
      </c>
      <c r="D434" s="473" t="str">
        <f t="shared" si="72"/>
        <v xml:space="preserve"> </v>
      </c>
      <c r="E434" s="473" t="str">
        <f t="shared" si="72"/>
        <v xml:space="preserve"> </v>
      </c>
      <c r="F434" s="473" t="str">
        <f t="shared" si="72"/>
        <v xml:space="preserve"> </v>
      </c>
      <c r="G434" s="473" t="str">
        <f t="shared" si="72"/>
        <v xml:space="preserve"> </v>
      </c>
      <c r="H434" s="473" t="str">
        <f t="shared" si="72"/>
        <v xml:space="preserve"> </v>
      </c>
      <c r="I434" s="208" t="str">
        <f t="shared" si="72"/>
        <v xml:space="preserve"> </v>
      </c>
      <c r="J434" s="499" t="str">
        <f t="shared" si="72"/>
        <v xml:space="preserve"> </v>
      </c>
      <c r="K434" s="38" t="str">
        <f t="shared" si="72"/>
        <v xml:space="preserve"> </v>
      </c>
      <c r="L434" s="473" t="str">
        <f t="shared" si="72"/>
        <v xml:space="preserve"> </v>
      </c>
      <c r="M434" s="473" t="str">
        <f t="shared" si="72"/>
        <v xml:space="preserve"> </v>
      </c>
      <c r="N434" s="473" t="str">
        <f t="shared" si="72"/>
        <v xml:space="preserve"> </v>
      </c>
      <c r="O434" s="473" t="str">
        <f t="shared" si="72"/>
        <v xml:space="preserve"> </v>
      </c>
      <c r="P434" s="473" t="str">
        <f t="shared" si="72"/>
        <v xml:space="preserve"> </v>
      </c>
      <c r="Q434" s="473" t="str">
        <f t="shared" si="72"/>
        <v xml:space="preserve"> </v>
      </c>
      <c r="R434" s="473" t="str">
        <f t="shared" si="72"/>
        <v xml:space="preserve"> </v>
      </c>
      <c r="S434" s="473" t="str">
        <f t="shared" si="72"/>
        <v xml:space="preserve"> </v>
      </c>
      <c r="T434" s="473" t="str">
        <f t="shared" si="72"/>
        <v xml:space="preserve"> </v>
      </c>
      <c r="U434" s="473" t="str">
        <f t="shared" si="72"/>
        <v xml:space="preserve"> </v>
      </c>
      <c r="V434" s="473" t="str">
        <f t="shared" si="72"/>
        <v xml:space="preserve"> </v>
      </c>
      <c r="W434" s="208" t="str">
        <f t="shared" si="72"/>
        <v xml:space="preserve"> </v>
      </c>
      <c r="X434" s="499" t="str">
        <f t="shared" si="72"/>
        <v xml:space="preserve"> </v>
      </c>
      <c r="Y434" s="38" t="str">
        <f t="shared" si="72"/>
        <v xml:space="preserve"> </v>
      </c>
      <c r="Z434" s="473" t="str">
        <f t="shared" si="72"/>
        <v xml:space="preserve"> </v>
      </c>
      <c r="AA434" s="473" t="str">
        <f t="shared" si="72"/>
        <v xml:space="preserve"> </v>
      </c>
      <c r="AB434" s="473" t="str">
        <f t="shared" si="72"/>
        <v xml:space="preserve"> </v>
      </c>
      <c r="AC434" s="473" t="str">
        <f t="shared" si="72"/>
        <v xml:space="preserve"> </v>
      </c>
      <c r="AD434" s="473" t="str">
        <f t="shared" si="72"/>
        <v xml:space="preserve"> </v>
      </c>
      <c r="AE434" s="473" t="str">
        <f t="shared" si="72"/>
        <v xml:space="preserve"> </v>
      </c>
      <c r="AF434" s="473" t="str">
        <f t="shared" si="72"/>
        <v xml:space="preserve"> </v>
      </c>
      <c r="AG434" s="208" t="str">
        <f t="shared" si="72"/>
        <v xml:space="preserve"> </v>
      </c>
      <c r="AH434" s="499" t="str">
        <f t="shared" si="72"/>
        <v xml:space="preserve"> </v>
      </c>
      <c r="AI434" s="412" t="s">
        <v>657</v>
      </c>
      <c r="AJ434" s="404" t="s">
        <v>657</v>
      </c>
      <c r="AK434" s="433" t="s">
        <v>657</v>
      </c>
    </row>
    <row r="435" spans="2:37" x14ac:dyDescent="0.25">
      <c r="B435" s="411" t="s">
        <v>652</v>
      </c>
      <c r="C435" s="598">
        <v>0</v>
      </c>
      <c r="D435" s="596">
        <v>800</v>
      </c>
      <c r="E435" s="601">
        <v>1000</v>
      </c>
      <c r="F435" s="597">
        <v>1200</v>
      </c>
      <c r="G435" s="597">
        <v>1400</v>
      </c>
      <c r="H435" s="598">
        <v>1600</v>
      </c>
      <c r="I435" s="599">
        <v>1800</v>
      </c>
      <c r="J435" s="600">
        <v>2000</v>
      </c>
      <c r="K435" s="596">
        <v>2200</v>
      </c>
      <c r="L435" s="598">
        <v>2400</v>
      </c>
      <c r="M435" s="598">
        <v>2600</v>
      </c>
      <c r="N435" s="598">
        <v>2800</v>
      </c>
      <c r="O435" s="598">
        <v>3000</v>
      </c>
      <c r="P435" s="598">
        <v>3200</v>
      </c>
      <c r="Q435" s="598">
        <v>3400</v>
      </c>
      <c r="R435" s="598">
        <v>3600</v>
      </c>
      <c r="S435" s="598">
        <v>3800</v>
      </c>
      <c r="T435" s="597">
        <v>4000</v>
      </c>
      <c r="U435" s="601">
        <v>4200</v>
      </c>
      <c r="V435" s="597">
        <v>4400</v>
      </c>
      <c r="W435" s="601">
        <v>4600</v>
      </c>
      <c r="X435" s="602">
        <v>4800</v>
      </c>
      <c r="Y435" s="603">
        <v>5000</v>
      </c>
      <c r="Z435" s="597">
        <v>6000</v>
      </c>
      <c r="AA435" s="597">
        <v>7000</v>
      </c>
      <c r="AB435" s="597">
        <v>8000</v>
      </c>
      <c r="AC435" s="597">
        <v>9000</v>
      </c>
      <c r="AD435" s="597">
        <v>10000</v>
      </c>
      <c r="AE435" s="597">
        <v>11000</v>
      </c>
      <c r="AF435" s="597">
        <v>12000</v>
      </c>
      <c r="AG435" s="604">
        <v>13000</v>
      </c>
      <c r="AH435" s="602">
        <v>14000</v>
      </c>
      <c r="AI435" t="s">
        <v>658</v>
      </c>
      <c r="AJ435" s="41" t="s">
        <v>658</v>
      </c>
      <c r="AK435" s="7" t="s">
        <v>658</v>
      </c>
    </row>
    <row r="436" spans="2:37" x14ac:dyDescent="0.25">
      <c r="B436" s="581" t="s">
        <v>653</v>
      </c>
      <c r="C436" s="608">
        <v>800</v>
      </c>
      <c r="D436" s="605">
        <v>1000</v>
      </c>
      <c r="E436" s="606">
        <v>1200</v>
      </c>
      <c r="F436" s="607">
        <v>1400</v>
      </c>
      <c r="G436" s="607">
        <v>1600</v>
      </c>
      <c r="H436" s="608">
        <v>1800</v>
      </c>
      <c r="I436" s="609">
        <v>2000</v>
      </c>
      <c r="J436" s="610">
        <v>2200</v>
      </c>
      <c r="K436" s="605">
        <v>2400</v>
      </c>
      <c r="L436" s="608">
        <v>2600</v>
      </c>
      <c r="M436" s="608">
        <v>2800</v>
      </c>
      <c r="N436" s="608">
        <v>3000</v>
      </c>
      <c r="O436" s="608">
        <v>3200</v>
      </c>
      <c r="P436" s="608">
        <v>3400</v>
      </c>
      <c r="Q436" s="608">
        <v>3600</v>
      </c>
      <c r="R436" s="608">
        <v>3800</v>
      </c>
      <c r="S436" s="608">
        <v>4000</v>
      </c>
      <c r="T436" s="607">
        <v>4200</v>
      </c>
      <c r="U436" s="606">
        <v>4400</v>
      </c>
      <c r="V436" s="607">
        <v>4600</v>
      </c>
      <c r="W436" s="606">
        <v>4800</v>
      </c>
      <c r="X436" s="611">
        <v>5000</v>
      </c>
      <c r="Y436" s="612">
        <v>6000</v>
      </c>
      <c r="Z436" s="607">
        <v>7000</v>
      </c>
      <c r="AA436" s="607">
        <v>8000</v>
      </c>
      <c r="AB436" s="607">
        <v>9000</v>
      </c>
      <c r="AC436" s="607">
        <v>10000</v>
      </c>
      <c r="AD436" s="607">
        <v>11000</v>
      </c>
      <c r="AE436" s="607">
        <v>12000</v>
      </c>
      <c r="AF436" s="607">
        <v>13000</v>
      </c>
      <c r="AG436" s="613">
        <v>14000</v>
      </c>
      <c r="AH436" s="611">
        <v>1000000</v>
      </c>
      <c r="AI436" s="320"/>
      <c r="AJ436" s="52"/>
      <c r="AK436" s="434"/>
    </row>
    <row r="437" spans="2:37" ht="15.75" thickBot="1" x14ac:dyDescent="0.3">
      <c r="B437" s="472"/>
      <c r="C437" s="621">
        <f>C431</f>
        <v>0.04</v>
      </c>
      <c r="D437" s="621">
        <f t="shared" ref="D437:I437" si="73">C437-$AI$437</f>
        <v>0.04</v>
      </c>
      <c r="E437" s="621">
        <f t="shared" si="73"/>
        <v>0.04</v>
      </c>
      <c r="F437" s="621">
        <f t="shared" si="73"/>
        <v>0.04</v>
      </c>
      <c r="G437" s="621">
        <f t="shared" si="73"/>
        <v>0.04</v>
      </c>
      <c r="H437" s="621">
        <f t="shared" si="73"/>
        <v>0.04</v>
      </c>
      <c r="I437" s="621">
        <f t="shared" si="73"/>
        <v>0.04</v>
      </c>
      <c r="J437" s="622">
        <f>C437-(J433*C433)</f>
        <v>0.04</v>
      </c>
      <c r="K437" s="621">
        <f t="shared" ref="K437:W437" si="74">J437-$AJ$437</f>
        <v>0.04</v>
      </c>
      <c r="L437" s="621">
        <f t="shared" si="74"/>
        <v>0.04</v>
      </c>
      <c r="M437" s="621">
        <f t="shared" si="74"/>
        <v>0.04</v>
      </c>
      <c r="N437" s="621">
        <f t="shared" si="74"/>
        <v>0.04</v>
      </c>
      <c r="O437" s="621">
        <f t="shared" si="74"/>
        <v>0.04</v>
      </c>
      <c r="P437" s="621">
        <f t="shared" si="74"/>
        <v>0.04</v>
      </c>
      <c r="Q437" s="621">
        <f t="shared" si="74"/>
        <v>0.04</v>
      </c>
      <c r="R437" s="621">
        <f t="shared" si="74"/>
        <v>0.04</v>
      </c>
      <c r="S437" s="621">
        <f t="shared" si="74"/>
        <v>0.04</v>
      </c>
      <c r="T437" s="621">
        <f t="shared" si="74"/>
        <v>0.04</v>
      </c>
      <c r="U437" s="621">
        <f t="shared" si="74"/>
        <v>0.04</v>
      </c>
      <c r="V437" s="621">
        <f t="shared" si="74"/>
        <v>0.04</v>
      </c>
      <c r="W437" s="621">
        <f t="shared" si="74"/>
        <v>0.04</v>
      </c>
      <c r="X437" s="622">
        <f>C437-((J433+X433)*C433)</f>
        <v>0.04</v>
      </c>
      <c r="Y437" s="621">
        <f t="shared" ref="Y437:AG437" si="75">X437-$AK$437</f>
        <v>0.04</v>
      </c>
      <c r="Z437" s="621">
        <f t="shared" si="75"/>
        <v>0.04</v>
      </c>
      <c r="AA437" s="621">
        <f t="shared" si="75"/>
        <v>0.04</v>
      </c>
      <c r="AB437" s="621">
        <f t="shared" si="75"/>
        <v>0.04</v>
      </c>
      <c r="AC437" s="621">
        <f t="shared" si="75"/>
        <v>0.04</v>
      </c>
      <c r="AD437" s="621">
        <f t="shared" si="75"/>
        <v>0.04</v>
      </c>
      <c r="AE437" s="621">
        <f t="shared" si="75"/>
        <v>0.04</v>
      </c>
      <c r="AF437" s="621">
        <f t="shared" si="75"/>
        <v>0.04</v>
      </c>
      <c r="AG437" s="621">
        <f t="shared" si="75"/>
        <v>0.04</v>
      </c>
      <c r="AH437" s="622">
        <f>C437-((J433+X433+AH433)*C433)</f>
        <v>0.04</v>
      </c>
      <c r="AI437" s="43">
        <f>AI432/AI433</f>
        <v>0</v>
      </c>
      <c r="AJ437" s="472">
        <f>AJ432/AJ433</f>
        <v>0</v>
      </c>
      <c r="AK437" s="44">
        <f>AK432/AK433</f>
        <v>0</v>
      </c>
    </row>
    <row r="438" spans="2:37" x14ac:dyDescent="0.25">
      <c r="B438"/>
    </row>
    <row r="439" spans="2:37" x14ac:dyDescent="0.25">
      <c r="B439"/>
    </row>
    <row r="440" spans="2:37" ht="15.75" thickBot="1" x14ac:dyDescent="0.3">
      <c r="B440" s="143" t="s">
        <v>630</v>
      </c>
      <c r="C440" s="473">
        <f>C3</f>
        <v>400</v>
      </c>
    </row>
    <row r="441" spans="2:37" x14ac:dyDescent="0.25">
      <c r="H441" s="501" t="s">
        <v>751</v>
      </c>
      <c r="J441" s="501" t="s">
        <v>694</v>
      </c>
      <c r="K441" s="450"/>
    </row>
    <row r="442" spans="2:37" ht="15.75" thickBot="1" x14ac:dyDescent="0.3">
      <c r="B442"/>
      <c r="H442" s="445">
        <f>IF(G445&gt;0,CEILING(N388/G445,1),0)</f>
        <v>482</v>
      </c>
      <c r="J442" s="963">
        <f>J378+1</f>
        <v>1.03</v>
      </c>
    </row>
    <row r="443" spans="2:37" x14ac:dyDescent="0.25">
      <c r="B443" s="580"/>
      <c r="C443" s="574">
        <f>AR495</f>
        <v>0</v>
      </c>
      <c r="D443" s="575"/>
      <c r="E443" s="576"/>
      <c r="F443" s="582"/>
      <c r="G443" s="584"/>
      <c r="H443" s="688">
        <f>IF(E445&gt;=L387,M388,L388)</f>
        <v>480</v>
      </c>
      <c r="I443" s="587"/>
      <c r="J443" s="680"/>
      <c r="K443" s="594">
        <f>J445/100</f>
        <v>2.06105369</v>
      </c>
      <c r="L443" s="623">
        <f>IF(SUM(C434:AH434)&gt;0,HLOOKUP(1,C434:AH437,4,FALSE),0)</f>
        <v>0.04</v>
      </c>
    </row>
    <row r="444" spans="2:37" x14ac:dyDescent="0.25">
      <c r="B444" s="499" t="s">
        <v>633</v>
      </c>
      <c r="C444" s="520" t="s">
        <v>631</v>
      </c>
      <c r="D444" s="23" t="s">
        <v>632</v>
      </c>
      <c r="E444" s="473" t="s">
        <v>99</v>
      </c>
      <c r="F444" s="23" t="s">
        <v>100</v>
      </c>
      <c r="G444" s="585" t="s">
        <v>636</v>
      </c>
      <c r="H444" s="38" t="s">
        <v>634</v>
      </c>
      <c r="I444" s="213" t="s">
        <v>635</v>
      </c>
      <c r="J444" s="588" t="s">
        <v>637</v>
      </c>
      <c r="K444" s="588" t="s">
        <v>638</v>
      </c>
      <c r="L444" s="499" t="s">
        <v>640</v>
      </c>
    </row>
    <row r="445" spans="2:37" ht="15.75" thickBot="1" x14ac:dyDescent="0.3">
      <c r="B445" s="445">
        <f>MIN(D453:AQ492)</f>
        <v>0</v>
      </c>
      <c r="C445" s="577">
        <f>IF(C443=0,B453,HLOOKUP(C443,D449:AR493,45,FALSE))</f>
        <v>1</v>
      </c>
      <c r="D445" s="578">
        <f>IF(C443=0,D451,HLOOKUP(C443,D449:AR493,3,FALSE))</f>
        <v>1</v>
      </c>
      <c r="E445" s="579">
        <f>IF(C443=0,C453,VLOOKUP(C445,B453:C492,2,FALSE))</f>
        <v>361</v>
      </c>
      <c r="F445" s="578">
        <f>IF(C443=0,D452,HLOOKUP(C443,D449:AR493,4,FALSE))</f>
        <v>1150</v>
      </c>
      <c r="G445" s="586">
        <f>(E445/1000)*(F445/1000)</f>
        <v>0.41514999999999996</v>
      </c>
      <c r="H445" s="583">
        <f>IF(H442&gt;=H443,H442,H443)</f>
        <v>482</v>
      </c>
      <c r="I445" s="578">
        <f>IF(C443=0,H445*C445*D445,0)</f>
        <v>482</v>
      </c>
      <c r="J445" s="589">
        <f>IF(AND(B445&gt;0,B445&gt;=H442),B445*G445*J442, IF(AND(B445&gt;0,B445&lt;H442),H442*G445*J442,H445*G445*J442))</f>
        <v>206.105369</v>
      </c>
      <c r="K445" s="595">
        <f>IF(SUM(C384:G384)&gt;0,K443*(HLOOKUP(1,C384:G388,5,FALSE)+SUM(F389:F398)),0)</f>
        <v>97.281734168000014</v>
      </c>
      <c r="L445" s="624">
        <f>K445*L443</f>
        <v>3.8912693667200005</v>
      </c>
    </row>
    <row r="446" spans="2:37" x14ac:dyDescent="0.25">
      <c r="B446"/>
      <c r="C446" s="2"/>
    </row>
    <row r="447" spans="2:37" x14ac:dyDescent="0.25">
      <c r="B447"/>
      <c r="C447" s="2"/>
    </row>
    <row r="448" spans="2:37" x14ac:dyDescent="0.25">
      <c r="B448" t="s">
        <v>487</v>
      </c>
    </row>
    <row r="449" spans="1:44" x14ac:dyDescent="0.25">
      <c r="A449" s="476"/>
      <c r="B449" s="573"/>
      <c r="C449" s="433"/>
      <c r="D449" s="23" t="str">
        <f>IF(D493&gt;0,D450," ")</f>
        <v xml:space="preserve"> </v>
      </c>
      <c r="E449" s="23" t="str">
        <f t="shared" ref="E449:AR449" si="76">IF(E493&gt;0,E450," ")</f>
        <v xml:space="preserve"> </v>
      </c>
      <c r="F449" s="23" t="str">
        <f t="shared" si="76"/>
        <v xml:space="preserve"> </v>
      </c>
      <c r="G449" s="23" t="str">
        <f t="shared" si="76"/>
        <v xml:space="preserve"> </v>
      </c>
      <c r="H449" s="23" t="str">
        <f t="shared" si="76"/>
        <v xml:space="preserve"> </v>
      </c>
      <c r="I449" s="23" t="str">
        <f t="shared" si="76"/>
        <v xml:space="preserve"> </v>
      </c>
      <c r="J449" s="23" t="str">
        <f t="shared" si="76"/>
        <v xml:space="preserve"> </v>
      </c>
      <c r="K449" s="23" t="str">
        <f t="shared" si="76"/>
        <v xml:space="preserve"> </v>
      </c>
      <c r="L449" s="23" t="str">
        <f t="shared" si="76"/>
        <v xml:space="preserve"> </v>
      </c>
      <c r="M449" s="23" t="str">
        <f t="shared" si="76"/>
        <v xml:space="preserve"> </v>
      </c>
      <c r="N449" s="23" t="str">
        <f t="shared" si="76"/>
        <v xml:space="preserve"> </v>
      </c>
      <c r="O449" s="23" t="str">
        <f t="shared" si="76"/>
        <v xml:space="preserve"> </v>
      </c>
      <c r="P449" s="23" t="str">
        <f t="shared" si="76"/>
        <v xml:space="preserve"> </v>
      </c>
      <c r="Q449" s="23" t="str">
        <f t="shared" si="76"/>
        <v xml:space="preserve"> </v>
      </c>
      <c r="R449" s="23" t="str">
        <f t="shared" si="76"/>
        <v xml:space="preserve"> </v>
      </c>
      <c r="S449" s="23" t="str">
        <f t="shared" si="76"/>
        <v xml:space="preserve"> </v>
      </c>
      <c r="T449" s="23" t="str">
        <f t="shared" si="76"/>
        <v xml:space="preserve"> </v>
      </c>
      <c r="U449" s="23" t="str">
        <f t="shared" si="76"/>
        <v xml:space="preserve"> </v>
      </c>
      <c r="V449" s="23" t="str">
        <f t="shared" si="76"/>
        <v xml:space="preserve"> </v>
      </c>
      <c r="W449" s="23" t="str">
        <f t="shared" si="76"/>
        <v xml:space="preserve"> </v>
      </c>
      <c r="X449" s="23" t="str">
        <f t="shared" si="76"/>
        <v xml:space="preserve"> </v>
      </c>
      <c r="Y449" s="23" t="str">
        <f t="shared" si="76"/>
        <v xml:space="preserve"> </v>
      </c>
      <c r="Z449" s="23" t="str">
        <f t="shared" si="76"/>
        <v xml:space="preserve"> </v>
      </c>
      <c r="AA449" s="23" t="str">
        <f t="shared" si="76"/>
        <v xml:space="preserve"> </v>
      </c>
      <c r="AB449" s="23" t="str">
        <f t="shared" si="76"/>
        <v xml:space="preserve"> </v>
      </c>
      <c r="AC449" s="23" t="str">
        <f t="shared" si="76"/>
        <v xml:space="preserve"> </v>
      </c>
      <c r="AD449" s="23" t="str">
        <f t="shared" si="76"/>
        <v xml:space="preserve"> </v>
      </c>
      <c r="AE449" s="23" t="str">
        <f t="shared" si="76"/>
        <v xml:space="preserve"> </v>
      </c>
      <c r="AF449" s="23" t="str">
        <f t="shared" si="76"/>
        <v xml:space="preserve"> </v>
      </c>
      <c r="AG449" s="23" t="str">
        <f t="shared" si="76"/>
        <v xml:space="preserve"> </v>
      </c>
      <c r="AH449" s="23" t="str">
        <f t="shared" si="76"/>
        <v xml:space="preserve"> </v>
      </c>
      <c r="AI449" s="23" t="str">
        <f t="shared" si="76"/>
        <v xml:space="preserve"> </v>
      </c>
      <c r="AJ449" s="23" t="str">
        <f t="shared" si="76"/>
        <v xml:space="preserve"> </v>
      </c>
      <c r="AK449" s="23" t="str">
        <f t="shared" si="76"/>
        <v xml:space="preserve"> </v>
      </c>
      <c r="AL449" s="23" t="str">
        <f t="shared" si="76"/>
        <v xml:space="preserve"> </v>
      </c>
      <c r="AM449" s="23" t="str">
        <f t="shared" si="76"/>
        <v xml:space="preserve"> </v>
      </c>
      <c r="AN449" s="23" t="str">
        <f t="shared" si="76"/>
        <v xml:space="preserve"> </v>
      </c>
      <c r="AO449" s="23" t="str">
        <f t="shared" si="76"/>
        <v xml:space="preserve"> </v>
      </c>
      <c r="AP449" s="23" t="str">
        <f t="shared" si="76"/>
        <v xml:space="preserve"> </v>
      </c>
      <c r="AQ449" s="23" t="str">
        <f t="shared" si="76"/>
        <v xml:space="preserve"> </v>
      </c>
      <c r="AR449" s="23" t="str">
        <f t="shared" si="76"/>
        <v xml:space="preserve"> </v>
      </c>
    </row>
    <row r="450" spans="1:44" x14ac:dyDescent="0.25">
      <c r="A450" s="6"/>
      <c r="B450"/>
      <c r="C450" s="7"/>
      <c r="D450" s="23">
        <v>41</v>
      </c>
      <c r="E450" s="23">
        <v>40</v>
      </c>
      <c r="F450" s="23">
        <v>39</v>
      </c>
      <c r="G450" s="23">
        <v>38</v>
      </c>
      <c r="H450" s="23">
        <v>37</v>
      </c>
      <c r="I450" s="23">
        <v>36</v>
      </c>
      <c r="J450" s="23">
        <v>35</v>
      </c>
      <c r="K450" s="23">
        <v>34</v>
      </c>
      <c r="L450" s="23">
        <v>33</v>
      </c>
      <c r="M450" s="23">
        <v>32</v>
      </c>
      <c r="N450" s="23">
        <v>31</v>
      </c>
      <c r="O450" s="23">
        <v>30</v>
      </c>
      <c r="P450" s="23">
        <v>29</v>
      </c>
      <c r="Q450" s="23">
        <v>28</v>
      </c>
      <c r="R450" s="23">
        <v>27</v>
      </c>
      <c r="S450" s="23">
        <v>26</v>
      </c>
      <c r="T450" s="23">
        <v>25</v>
      </c>
      <c r="U450" s="23">
        <v>24</v>
      </c>
      <c r="V450" s="23">
        <v>23</v>
      </c>
      <c r="W450" s="23">
        <v>22</v>
      </c>
      <c r="X450" s="23">
        <v>21</v>
      </c>
      <c r="Y450" s="23">
        <v>20</v>
      </c>
      <c r="Z450" s="23">
        <v>19</v>
      </c>
      <c r="AA450" s="23">
        <v>18</v>
      </c>
      <c r="AB450" s="23">
        <v>17</v>
      </c>
      <c r="AC450" s="23">
        <v>16</v>
      </c>
      <c r="AD450" s="23">
        <v>15</v>
      </c>
      <c r="AE450" s="23">
        <v>14</v>
      </c>
      <c r="AF450" s="23">
        <v>13</v>
      </c>
      <c r="AG450" s="23">
        <v>12</v>
      </c>
      <c r="AH450" s="23">
        <v>11</v>
      </c>
      <c r="AI450" s="23">
        <v>10</v>
      </c>
      <c r="AJ450" s="23">
        <v>9</v>
      </c>
      <c r="AK450" s="23">
        <v>8</v>
      </c>
      <c r="AL450" s="23">
        <v>7</v>
      </c>
      <c r="AM450" s="23">
        <v>6</v>
      </c>
      <c r="AN450" s="23">
        <v>5</v>
      </c>
      <c r="AO450" s="23">
        <v>4</v>
      </c>
      <c r="AP450" s="23">
        <v>3</v>
      </c>
      <c r="AQ450" s="23">
        <v>2</v>
      </c>
      <c r="AR450" s="38"/>
    </row>
    <row r="451" spans="1:44" x14ac:dyDescent="0.25">
      <c r="A451" s="6"/>
      <c r="B451"/>
      <c r="C451" s="7"/>
      <c r="D451" s="23">
        <f>C421</f>
        <v>1</v>
      </c>
      <c r="E451" s="23">
        <f>IF(C422&gt;C421,C421+1,0)</f>
        <v>0</v>
      </c>
      <c r="F451" s="23">
        <f>IF(AND($C$422&gt;$C$421,($E$451+1)&lt;=$C$422),$C$421+2,0)</f>
        <v>0</v>
      </c>
      <c r="G451" s="23">
        <f>IF(AND($C$422&gt;$C$421,($E$451+2)&lt;=$C$422),$C$421+3,0)</f>
        <v>0</v>
      </c>
      <c r="H451" s="23">
        <f>IF(AND($C$422&gt;$C$421,($E$451+3)&lt;=$C$422),$C$421+4,0)</f>
        <v>0</v>
      </c>
      <c r="I451" s="23">
        <f>IF(AND($C$422&gt;$C$421,($E$451+4)&lt;=$C$422),$C$421+5,0)</f>
        <v>0</v>
      </c>
      <c r="J451" s="23">
        <f>IF(AND($C$422&gt;$C$421,($E$451+5)&lt;=$C$422),$C$421+6,0)</f>
        <v>0</v>
      </c>
      <c r="K451" s="23">
        <f>IF(AND($C$422&gt;$C$421,($E$451+6)&lt;=$C$422),$C$421+7,0)</f>
        <v>0</v>
      </c>
      <c r="L451" s="23">
        <f>IF(AND($C$422&gt;$C$421,($E$451+8)&lt;=$C$422),$C$421+9,0)</f>
        <v>0</v>
      </c>
      <c r="M451" s="23">
        <f>IF(AND($C$422&gt;$C$421,($E$451+9)&lt;=$C$422),$C$421+10,0)</f>
        <v>0</v>
      </c>
      <c r="N451" s="23">
        <f>IF(AND($C$422&gt;$C$421,($E$451+10)&lt;=$C$422),$C$421+11,0)</f>
        <v>0</v>
      </c>
      <c r="O451" s="23">
        <f>IF(AND($C$422&gt;$C$421,($E$451+11)&lt;=$C$422),$C$421+12,0)</f>
        <v>0</v>
      </c>
      <c r="P451" s="23">
        <f>IF(AND($C$422&gt;$C$421,($E$451+12)&lt;=$C$422),$C$421+13,0)</f>
        <v>0</v>
      </c>
      <c r="Q451" s="23">
        <f>IF(AND($C$422&gt;$C$421,($E$451+13)&lt;=$C$422),$C$421+14,0)</f>
        <v>0</v>
      </c>
      <c r="R451" s="23">
        <f>IF(AND($C$422&gt;$C$421,($E$451+14)&lt;=$C$422),$C$421+15,0)</f>
        <v>0</v>
      </c>
      <c r="S451" s="23">
        <f>IF(AND($C$422&gt;$C$421,($E$451+15)&lt;=$C$422),$C$421+16,0)</f>
        <v>0</v>
      </c>
      <c r="T451" s="23">
        <f>IF(AND($C$422&gt;$C$421,($E$451+16)&lt;=$C$422),$C$421+17,0)</f>
        <v>0</v>
      </c>
      <c r="U451" s="23">
        <f>IF(AND($C$422&gt;$C$421,($E$451+17)&lt;=$C$422),$C$421+18,0)</f>
        <v>0</v>
      </c>
      <c r="V451" s="23">
        <f>IF(AND($C$422&gt;$C$421,($E$451+18)&lt;=$C$422),$C$421+19,0)</f>
        <v>0</v>
      </c>
      <c r="W451" s="23">
        <f>IF(AND($C$422&gt;$C$421,($E$451+19)&lt;=$C$422),$C$421+20,0)</f>
        <v>0</v>
      </c>
      <c r="X451" s="23">
        <f>IF(AND($C$422&gt;$C$421,($E$451+20)&lt;=$C$422),$C$421+21,0)</f>
        <v>0</v>
      </c>
      <c r="Y451" s="23">
        <f>IF(AND($C$422&gt;$C$421,($E$451+21)&lt;=$C$422),$C$421+22,0)</f>
        <v>0</v>
      </c>
      <c r="Z451" s="23">
        <f>IF(AND($C$422&gt;$C$421,($E$451+22)&lt;=$C$422),$C$421+23,0)</f>
        <v>0</v>
      </c>
      <c r="AA451" s="23">
        <f>IF(AND($C$422&gt;$C$421,($E$451+23)&lt;=$C$422),$C$421+24,0)</f>
        <v>0</v>
      </c>
      <c r="AB451" s="23">
        <f>IF(AND($C$422&gt;$C$421,($E$451+24)&lt;=$C$422),$C$421+25,0)</f>
        <v>0</v>
      </c>
      <c r="AC451" s="23">
        <f>IF(AND($C$422&gt;$C$421,($E$451+25)&lt;=$C$422),$C$421+26,0)</f>
        <v>0</v>
      </c>
      <c r="AD451" s="23">
        <f>IF(AND($C$422&gt;$C$421,($E$451+26)&lt;=$C$422),$C$421+27,0)</f>
        <v>0</v>
      </c>
      <c r="AE451" s="23">
        <f>IF(AND($C$422&gt;$C$421,($E$451+27)&lt;=$C$422),$C$421+28,0)</f>
        <v>0</v>
      </c>
      <c r="AF451" s="23">
        <f>IF(AND($C$422&gt;$C$421,($E$451+28)&lt;=$C$422),$C$421+29,0)</f>
        <v>0</v>
      </c>
      <c r="AG451" s="23">
        <f>IF(AND($C$422&gt;$C$421,($E$451+29)&lt;=$C$422),$C$421+30,0)</f>
        <v>0</v>
      </c>
      <c r="AH451" s="23">
        <f>IF(AND($C$422&gt;$C$421,($E$451+30)&lt;=$C$422),$C$421+31,0)</f>
        <v>0</v>
      </c>
      <c r="AI451" s="23">
        <f>IF(AND($C$422&gt;$C$421,($E$451+31)&lt;=$C$422),$C$421+32,0)</f>
        <v>0</v>
      </c>
      <c r="AJ451" s="23">
        <f>IF(AND($C$422&gt;$C$421,($E$451+32)&lt;=$C$422),$C$421+33,0)</f>
        <v>0</v>
      </c>
      <c r="AK451" s="23">
        <f>IF(AND($C$422&gt;$C$421,($E$451+33)&lt;=$C$422),$C$421+34,0)</f>
        <v>0</v>
      </c>
      <c r="AL451" s="23">
        <f>IF(AND($C$422&gt;$C$421,($E$451+34)&lt;=$C$422),$C$421+35,0)</f>
        <v>0</v>
      </c>
      <c r="AM451" s="23">
        <f>IF(AND($C$422&gt;$C$421,($E$451+35)&lt;=$C$422),$C$421+36,0)</f>
        <v>0</v>
      </c>
      <c r="AN451" s="23">
        <f>IF(AND($C$422&gt;$C$421,($E$451+36)&lt;=$C$422),$C$421+37,0)</f>
        <v>0</v>
      </c>
      <c r="AO451" s="23">
        <f>IF(AND($C$422&gt;$C$421,($E$451+37)&lt;=$C$422),$C$421+38,0)</f>
        <v>0</v>
      </c>
      <c r="AP451" s="23">
        <f>IF(AND($C$422&gt;$C$421,($E$451+38)&lt;=$C$422),$C$421+39,0)</f>
        <v>0</v>
      </c>
      <c r="AQ451" s="38">
        <f>IF(AND($C$422&gt;$C$421,($E$451+39)&lt;=$C$422),$C$421+40,0)</f>
        <v>0</v>
      </c>
      <c r="AR451" s="472"/>
    </row>
    <row r="452" spans="1:44" x14ac:dyDescent="0.25">
      <c r="A452" s="415"/>
      <c r="B452" s="320"/>
      <c r="C452" s="951">
        <f>MIN(D453:AQ492)</f>
        <v>0</v>
      </c>
      <c r="D452" s="23">
        <f>IF(D451&gt;0,(D451*$C$418)+(1*$C$425)+(1*$C$427)+(2*$C$426),0)</f>
        <v>1150</v>
      </c>
      <c r="E452" s="23">
        <f>IF(E451&gt;0,(E451*$C$418)+(1*$C$425)+(1*$C$427)+(2*$C$426),0)</f>
        <v>0</v>
      </c>
      <c r="F452" s="23">
        <f t="shared" ref="F452:AQ452" si="77">IF(F451&gt;0,(F451*$C$418)+(1*$C$425)+(1*$C$427)+(2*$C$426),0)</f>
        <v>0</v>
      </c>
      <c r="G452" s="23">
        <f t="shared" si="77"/>
        <v>0</v>
      </c>
      <c r="H452" s="23">
        <f t="shared" si="77"/>
        <v>0</v>
      </c>
      <c r="I452" s="23">
        <f t="shared" si="77"/>
        <v>0</v>
      </c>
      <c r="J452" s="23">
        <f t="shared" si="77"/>
        <v>0</v>
      </c>
      <c r="K452" s="23">
        <f t="shared" si="77"/>
        <v>0</v>
      </c>
      <c r="L452" s="23">
        <f t="shared" si="77"/>
        <v>0</v>
      </c>
      <c r="M452" s="23">
        <f t="shared" si="77"/>
        <v>0</v>
      </c>
      <c r="N452" s="23">
        <f t="shared" si="77"/>
        <v>0</v>
      </c>
      <c r="O452" s="23">
        <f t="shared" si="77"/>
        <v>0</v>
      </c>
      <c r="P452" s="23">
        <f t="shared" si="77"/>
        <v>0</v>
      </c>
      <c r="Q452" s="23">
        <f t="shared" si="77"/>
        <v>0</v>
      </c>
      <c r="R452" s="23">
        <f t="shared" si="77"/>
        <v>0</v>
      </c>
      <c r="S452" s="23">
        <f t="shared" si="77"/>
        <v>0</v>
      </c>
      <c r="T452" s="23">
        <f t="shared" si="77"/>
        <v>0</v>
      </c>
      <c r="U452" s="23">
        <f t="shared" si="77"/>
        <v>0</v>
      </c>
      <c r="V452" s="23">
        <f t="shared" si="77"/>
        <v>0</v>
      </c>
      <c r="W452" s="23">
        <f t="shared" si="77"/>
        <v>0</v>
      </c>
      <c r="X452" s="23">
        <f t="shared" si="77"/>
        <v>0</v>
      </c>
      <c r="Y452" s="23">
        <f t="shared" si="77"/>
        <v>0</v>
      </c>
      <c r="Z452" s="23">
        <f t="shared" si="77"/>
        <v>0</v>
      </c>
      <c r="AA452" s="23">
        <f t="shared" si="77"/>
        <v>0</v>
      </c>
      <c r="AB452" s="23">
        <f t="shared" si="77"/>
        <v>0</v>
      </c>
      <c r="AC452" s="23">
        <f t="shared" si="77"/>
        <v>0</v>
      </c>
      <c r="AD452" s="23">
        <f t="shared" si="77"/>
        <v>0</v>
      </c>
      <c r="AE452" s="23">
        <f t="shared" si="77"/>
        <v>0</v>
      </c>
      <c r="AF452" s="23">
        <f t="shared" si="77"/>
        <v>0</v>
      </c>
      <c r="AG452" s="23">
        <f t="shared" si="77"/>
        <v>0</v>
      </c>
      <c r="AH452" s="23">
        <f t="shared" si="77"/>
        <v>0</v>
      </c>
      <c r="AI452" s="23">
        <f t="shared" si="77"/>
        <v>0</v>
      </c>
      <c r="AJ452" s="23">
        <f t="shared" si="77"/>
        <v>0</v>
      </c>
      <c r="AK452" s="23">
        <f t="shared" si="77"/>
        <v>0</v>
      </c>
      <c r="AL452" s="23">
        <f t="shared" si="77"/>
        <v>0</v>
      </c>
      <c r="AM452" s="23">
        <f t="shared" si="77"/>
        <v>0</v>
      </c>
      <c r="AN452" s="23">
        <f t="shared" si="77"/>
        <v>0</v>
      </c>
      <c r="AO452" s="23">
        <f t="shared" si="77"/>
        <v>0</v>
      </c>
      <c r="AP452" s="23">
        <f t="shared" si="77"/>
        <v>0</v>
      </c>
      <c r="AQ452" s="23">
        <f t="shared" si="77"/>
        <v>0</v>
      </c>
      <c r="AR452" s="52"/>
    </row>
    <row r="453" spans="1:44" x14ac:dyDescent="0.25">
      <c r="A453" s="12">
        <f>IF(C453=0,0,IF(C453&lt;$L$387,$L$388,$M$388))</f>
        <v>480</v>
      </c>
      <c r="B453" s="12">
        <f>C419</f>
        <v>1</v>
      </c>
      <c r="C453" s="26">
        <f>IF(B453&gt;0,(B453*$C$417)+((B453-1)*$C$423)+(2*$C$424)+(2*$C$426),0)</f>
        <v>361</v>
      </c>
      <c r="D453" s="431" t="str">
        <f t="shared" ref="D453:M462" si="78">IF(OR($A453=0,D$451=0)," ",IF(AND($B453&gt;0,D$451&gt;0,FLOOR($C$440/(D$451*$B453),1)&gt;=$A453),FLOOR($C$440/(D$451*$B453),1)," "))</f>
        <v xml:space="preserve"> </v>
      </c>
      <c r="E453" s="449" t="str">
        <f t="shared" si="78"/>
        <v xml:space="preserve"> </v>
      </c>
      <c r="F453" s="449" t="str">
        <f t="shared" si="78"/>
        <v xml:space="preserve"> </v>
      </c>
      <c r="G453" s="449" t="str">
        <f t="shared" si="78"/>
        <v xml:space="preserve"> </v>
      </c>
      <c r="H453" s="449" t="str">
        <f t="shared" si="78"/>
        <v xml:space="preserve"> </v>
      </c>
      <c r="I453" s="449" t="str">
        <f t="shared" si="78"/>
        <v xml:space="preserve"> </v>
      </c>
      <c r="J453" s="449" t="str">
        <f t="shared" si="78"/>
        <v xml:space="preserve"> </v>
      </c>
      <c r="K453" s="449" t="str">
        <f t="shared" si="78"/>
        <v xml:space="preserve"> </v>
      </c>
      <c r="L453" s="449" t="str">
        <f t="shared" si="78"/>
        <v xml:space="preserve"> </v>
      </c>
      <c r="M453" s="449" t="str">
        <f t="shared" si="78"/>
        <v xml:space="preserve"> </v>
      </c>
      <c r="N453" s="449" t="str">
        <f t="shared" ref="N453:W462" si="79">IF(OR($A453=0,N$451=0)," ",IF(AND($B453&gt;0,N$451&gt;0,FLOOR($C$440/(N$451*$B453),1)&gt;=$A453),FLOOR($C$440/(N$451*$B453),1)," "))</f>
        <v xml:space="preserve"> </v>
      </c>
      <c r="O453" s="449" t="str">
        <f t="shared" si="79"/>
        <v xml:space="preserve"> </v>
      </c>
      <c r="P453" s="449" t="str">
        <f t="shared" si="79"/>
        <v xml:space="preserve"> </v>
      </c>
      <c r="Q453" s="449" t="str">
        <f t="shared" si="79"/>
        <v xml:space="preserve"> </v>
      </c>
      <c r="R453" s="449" t="str">
        <f t="shared" si="79"/>
        <v xml:space="preserve"> </v>
      </c>
      <c r="S453" s="449" t="str">
        <f t="shared" si="79"/>
        <v xml:space="preserve"> </v>
      </c>
      <c r="T453" s="449" t="str">
        <f t="shared" si="79"/>
        <v xml:space="preserve"> </v>
      </c>
      <c r="U453" s="449" t="str">
        <f t="shared" si="79"/>
        <v xml:space="preserve"> </v>
      </c>
      <c r="V453" s="449" t="str">
        <f t="shared" si="79"/>
        <v xml:space="preserve"> </v>
      </c>
      <c r="W453" s="449" t="str">
        <f t="shared" si="79"/>
        <v xml:space="preserve"> </v>
      </c>
      <c r="X453" s="449" t="str">
        <f t="shared" ref="X453:AG462" si="80">IF(OR($A453=0,X$451=0)," ",IF(AND($B453&gt;0,X$451&gt;0,FLOOR($C$440/(X$451*$B453),1)&gt;=$A453),FLOOR($C$440/(X$451*$B453),1)," "))</f>
        <v xml:space="preserve"> </v>
      </c>
      <c r="Y453" s="449" t="str">
        <f t="shared" si="80"/>
        <v xml:space="preserve"> </v>
      </c>
      <c r="Z453" s="449" t="str">
        <f t="shared" si="80"/>
        <v xml:space="preserve"> </v>
      </c>
      <c r="AA453" s="449" t="str">
        <f t="shared" si="80"/>
        <v xml:space="preserve"> </v>
      </c>
      <c r="AB453" s="449" t="str">
        <f t="shared" si="80"/>
        <v xml:space="preserve"> </v>
      </c>
      <c r="AC453" s="449" t="str">
        <f t="shared" si="80"/>
        <v xml:space="preserve"> </v>
      </c>
      <c r="AD453" s="449" t="str">
        <f t="shared" si="80"/>
        <v xml:space="preserve"> </v>
      </c>
      <c r="AE453" s="449" t="str">
        <f t="shared" si="80"/>
        <v xml:space="preserve"> </v>
      </c>
      <c r="AF453" s="449" t="str">
        <f t="shared" si="80"/>
        <v xml:space="preserve"> </v>
      </c>
      <c r="AG453" s="449" t="str">
        <f t="shared" si="80"/>
        <v xml:space="preserve"> </v>
      </c>
      <c r="AH453" s="449" t="str">
        <f t="shared" ref="AH453:AQ462" si="81">IF(OR($A453=0,AH$451=0)," ",IF(AND($B453&gt;0,AH$451&gt;0,FLOOR($C$440/(AH$451*$B453),1)&gt;=$A453),FLOOR($C$440/(AH$451*$B453),1)," "))</f>
        <v xml:space="preserve"> </v>
      </c>
      <c r="AI453" s="449" t="str">
        <f t="shared" si="81"/>
        <v xml:space="preserve"> </v>
      </c>
      <c r="AJ453" s="449" t="str">
        <f t="shared" si="81"/>
        <v xml:space="preserve"> </v>
      </c>
      <c r="AK453" s="449" t="str">
        <f t="shared" si="81"/>
        <v xml:space="preserve"> </v>
      </c>
      <c r="AL453" s="449" t="str">
        <f t="shared" si="81"/>
        <v xml:space="preserve"> </v>
      </c>
      <c r="AM453" s="449" t="str">
        <f t="shared" si="81"/>
        <v xml:space="preserve"> </v>
      </c>
      <c r="AN453" s="449" t="str">
        <f t="shared" si="81"/>
        <v xml:space="preserve"> </v>
      </c>
      <c r="AO453" s="449" t="str">
        <f t="shared" si="81"/>
        <v xml:space="preserve"> </v>
      </c>
      <c r="AP453" s="449" t="str">
        <f t="shared" si="81"/>
        <v xml:space="preserve"> </v>
      </c>
      <c r="AQ453" s="435" t="str">
        <f t="shared" si="81"/>
        <v xml:space="preserve"> </v>
      </c>
      <c r="AR453" s="442">
        <f>B453</f>
        <v>1</v>
      </c>
    </row>
    <row r="454" spans="1:44" x14ac:dyDescent="0.25">
      <c r="A454" s="12">
        <f t="shared" ref="A454:A492" si="82">IF(C454=0,0,IF(C454&lt;$L$387,$L$388,$M$388))</f>
        <v>0</v>
      </c>
      <c r="B454" s="12">
        <f>IF(C420&gt;C419,C419+1,0)</f>
        <v>0</v>
      </c>
      <c r="C454" s="26">
        <f>IF(B454&gt;0,(B454*$C$417)+((B454-1)*$C$423)+(2*$C$424)+(2*$C$426),0)</f>
        <v>0</v>
      </c>
      <c r="D454" s="26" t="str">
        <f t="shared" si="78"/>
        <v xml:space="preserve"> </v>
      </c>
      <c r="E454" s="2" t="str">
        <f t="shared" si="78"/>
        <v xml:space="preserve"> </v>
      </c>
      <c r="F454" s="2" t="str">
        <f t="shared" si="78"/>
        <v xml:space="preserve"> </v>
      </c>
      <c r="G454" s="2" t="str">
        <f t="shared" si="78"/>
        <v xml:space="preserve"> </v>
      </c>
      <c r="H454" s="2" t="str">
        <f t="shared" si="78"/>
        <v xml:space="preserve"> </v>
      </c>
      <c r="I454" s="2" t="str">
        <f t="shared" si="78"/>
        <v xml:space="preserve"> </v>
      </c>
      <c r="J454" s="2" t="str">
        <f t="shared" si="78"/>
        <v xml:space="preserve"> </v>
      </c>
      <c r="K454" s="2" t="str">
        <f t="shared" si="78"/>
        <v xml:space="preserve"> </v>
      </c>
      <c r="L454" s="2" t="str">
        <f t="shared" si="78"/>
        <v xml:space="preserve"> </v>
      </c>
      <c r="M454" s="2" t="str">
        <f t="shared" si="78"/>
        <v xml:space="preserve"> </v>
      </c>
      <c r="N454" s="2" t="str">
        <f t="shared" si="79"/>
        <v xml:space="preserve"> </v>
      </c>
      <c r="O454" s="2" t="str">
        <f t="shared" si="79"/>
        <v xml:space="preserve"> </v>
      </c>
      <c r="P454" s="2" t="str">
        <f t="shared" si="79"/>
        <v xml:space="preserve"> </v>
      </c>
      <c r="Q454" s="2" t="str">
        <f t="shared" si="79"/>
        <v xml:space="preserve"> </v>
      </c>
      <c r="R454" s="2" t="str">
        <f t="shared" si="79"/>
        <v xml:space="preserve"> </v>
      </c>
      <c r="S454" s="2" t="str">
        <f t="shared" si="79"/>
        <v xml:space="preserve"> </v>
      </c>
      <c r="T454" s="2" t="str">
        <f t="shared" si="79"/>
        <v xml:space="preserve"> </v>
      </c>
      <c r="U454" s="2" t="str">
        <f t="shared" si="79"/>
        <v xml:space="preserve"> </v>
      </c>
      <c r="V454" s="2" t="str">
        <f t="shared" si="79"/>
        <v xml:space="preserve"> </v>
      </c>
      <c r="W454" s="2" t="str">
        <f t="shared" si="79"/>
        <v xml:space="preserve"> </v>
      </c>
      <c r="X454" s="2" t="str">
        <f t="shared" si="80"/>
        <v xml:space="preserve"> </v>
      </c>
      <c r="Y454" s="2" t="str">
        <f t="shared" si="80"/>
        <v xml:space="preserve"> </v>
      </c>
      <c r="Z454" s="2" t="str">
        <f t="shared" si="80"/>
        <v xml:space="preserve"> </v>
      </c>
      <c r="AA454" s="2" t="str">
        <f t="shared" si="80"/>
        <v xml:space="preserve"> </v>
      </c>
      <c r="AB454" s="2" t="str">
        <f t="shared" si="80"/>
        <v xml:space="preserve"> </v>
      </c>
      <c r="AC454" s="2" t="str">
        <f t="shared" si="80"/>
        <v xml:space="preserve"> </v>
      </c>
      <c r="AD454" s="2" t="str">
        <f t="shared" si="80"/>
        <v xml:space="preserve"> </v>
      </c>
      <c r="AE454" s="2" t="str">
        <f t="shared" si="80"/>
        <v xml:space="preserve"> </v>
      </c>
      <c r="AF454" s="2" t="str">
        <f t="shared" si="80"/>
        <v xml:space="preserve"> </v>
      </c>
      <c r="AG454" s="2" t="str">
        <f t="shared" si="80"/>
        <v xml:space="preserve"> </v>
      </c>
      <c r="AH454" s="2" t="str">
        <f t="shared" si="81"/>
        <v xml:space="preserve"> </v>
      </c>
      <c r="AI454" s="2" t="str">
        <f t="shared" si="81"/>
        <v xml:space="preserve"> </v>
      </c>
      <c r="AJ454" s="2" t="str">
        <f t="shared" si="81"/>
        <v xml:space="preserve"> </v>
      </c>
      <c r="AK454" s="2" t="str">
        <f t="shared" si="81"/>
        <v xml:space="preserve"> </v>
      </c>
      <c r="AL454" s="2" t="str">
        <f t="shared" si="81"/>
        <v xml:space="preserve"> </v>
      </c>
      <c r="AM454" s="2" t="str">
        <f t="shared" si="81"/>
        <v xml:space="preserve"> </v>
      </c>
      <c r="AN454" s="2" t="str">
        <f t="shared" si="81"/>
        <v xml:space="preserve"> </v>
      </c>
      <c r="AO454" s="2" t="str">
        <f t="shared" si="81"/>
        <v xml:space="preserve"> </v>
      </c>
      <c r="AP454" s="2" t="str">
        <f t="shared" si="81"/>
        <v xml:space="preserve"> </v>
      </c>
      <c r="AQ454" s="25" t="str">
        <f t="shared" si="81"/>
        <v xml:space="preserve"> </v>
      </c>
      <c r="AR454" s="12">
        <f t="shared" ref="AR454:AR492" si="83">B454</f>
        <v>0</v>
      </c>
    </row>
    <row r="455" spans="1:44" x14ac:dyDescent="0.25">
      <c r="A455" s="12">
        <f t="shared" si="82"/>
        <v>0</v>
      </c>
      <c r="B455" s="12">
        <f>IF(AND($C$420&gt;$C$419,($B$454+1)&lt;=$C$420),$C$419+2,0)</f>
        <v>0</v>
      </c>
      <c r="C455" s="26">
        <f>IF(B455&gt;0,(B455*$C$417)+((B455-1)*$C$423)+(2*$C$424)+(2*$C$426),0)</f>
        <v>0</v>
      </c>
      <c r="D455" s="26" t="str">
        <f t="shared" si="78"/>
        <v xml:space="preserve"> </v>
      </c>
      <c r="E455" s="2" t="str">
        <f t="shared" si="78"/>
        <v xml:space="preserve"> </v>
      </c>
      <c r="F455" s="2" t="str">
        <f t="shared" si="78"/>
        <v xml:space="preserve"> </v>
      </c>
      <c r="G455" s="2" t="str">
        <f t="shared" si="78"/>
        <v xml:space="preserve"> </v>
      </c>
      <c r="H455" s="2" t="str">
        <f t="shared" si="78"/>
        <v xml:space="preserve"> </v>
      </c>
      <c r="I455" s="2" t="str">
        <f t="shared" si="78"/>
        <v xml:space="preserve"> </v>
      </c>
      <c r="J455" s="2" t="str">
        <f t="shared" si="78"/>
        <v xml:space="preserve"> </v>
      </c>
      <c r="K455" s="2" t="str">
        <f t="shared" si="78"/>
        <v xml:space="preserve"> </v>
      </c>
      <c r="L455" s="2" t="str">
        <f t="shared" si="78"/>
        <v xml:space="preserve"> </v>
      </c>
      <c r="M455" s="2" t="str">
        <f t="shared" si="78"/>
        <v xml:space="preserve"> </v>
      </c>
      <c r="N455" s="2" t="str">
        <f t="shared" si="79"/>
        <v xml:space="preserve"> </v>
      </c>
      <c r="O455" s="2" t="str">
        <f t="shared" si="79"/>
        <v xml:space="preserve"> </v>
      </c>
      <c r="P455" s="2" t="str">
        <f t="shared" si="79"/>
        <v xml:space="preserve"> </v>
      </c>
      <c r="Q455" s="2" t="str">
        <f t="shared" si="79"/>
        <v xml:space="preserve"> </v>
      </c>
      <c r="R455" s="2" t="str">
        <f t="shared" si="79"/>
        <v xml:space="preserve"> </v>
      </c>
      <c r="S455" s="2" t="str">
        <f t="shared" si="79"/>
        <v xml:space="preserve"> </v>
      </c>
      <c r="T455" s="2" t="str">
        <f t="shared" si="79"/>
        <v xml:space="preserve"> </v>
      </c>
      <c r="U455" s="2" t="str">
        <f t="shared" si="79"/>
        <v xml:space="preserve"> </v>
      </c>
      <c r="V455" s="2" t="str">
        <f t="shared" si="79"/>
        <v xml:space="preserve"> </v>
      </c>
      <c r="W455" s="2" t="str">
        <f t="shared" si="79"/>
        <v xml:space="preserve"> </v>
      </c>
      <c r="X455" s="2" t="str">
        <f t="shared" si="80"/>
        <v xml:space="preserve"> </v>
      </c>
      <c r="Y455" s="2" t="str">
        <f t="shared" si="80"/>
        <v xml:space="preserve"> </v>
      </c>
      <c r="Z455" s="2" t="str">
        <f t="shared" si="80"/>
        <v xml:space="preserve"> </v>
      </c>
      <c r="AA455" s="2" t="str">
        <f t="shared" si="80"/>
        <v xml:space="preserve"> </v>
      </c>
      <c r="AB455" s="2" t="str">
        <f t="shared" si="80"/>
        <v xml:space="preserve"> </v>
      </c>
      <c r="AC455" s="2" t="str">
        <f t="shared" si="80"/>
        <v xml:space="preserve"> </v>
      </c>
      <c r="AD455" s="2" t="str">
        <f t="shared" si="80"/>
        <v xml:space="preserve"> </v>
      </c>
      <c r="AE455" s="2" t="str">
        <f t="shared" si="80"/>
        <v xml:space="preserve"> </v>
      </c>
      <c r="AF455" s="2" t="str">
        <f t="shared" si="80"/>
        <v xml:space="preserve"> </v>
      </c>
      <c r="AG455" s="2" t="str">
        <f t="shared" si="80"/>
        <v xml:space="preserve"> </v>
      </c>
      <c r="AH455" s="2" t="str">
        <f t="shared" si="81"/>
        <v xml:space="preserve"> </v>
      </c>
      <c r="AI455" s="2" t="str">
        <f t="shared" si="81"/>
        <v xml:space="preserve"> </v>
      </c>
      <c r="AJ455" s="2" t="str">
        <f t="shared" si="81"/>
        <v xml:space="preserve"> </v>
      </c>
      <c r="AK455" s="2" t="str">
        <f t="shared" si="81"/>
        <v xml:space="preserve"> </v>
      </c>
      <c r="AL455" s="2" t="str">
        <f t="shared" si="81"/>
        <v xml:space="preserve"> </v>
      </c>
      <c r="AM455" s="2" t="str">
        <f t="shared" si="81"/>
        <v xml:space="preserve"> </v>
      </c>
      <c r="AN455" s="2" t="str">
        <f t="shared" si="81"/>
        <v xml:space="preserve"> </v>
      </c>
      <c r="AO455" s="2" t="str">
        <f t="shared" si="81"/>
        <v xml:space="preserve"> </v>
      </c>
      <c r="AP455" s="2" t="str">
        <f t="shared" si="81"/>
        <v xml:space="preserve"> </v>
      </c>
      <c r="AQ455" s="25" t="str">
        <f t="shared" si="81"/>
        <v xml:space="preserve"> </v>
      </c>
      <c r="AR455" s="12">
        <f t="shared" si="83"/>
        <v>0</v>
      </c>
    </row>
    <row r="456" spans="1:44" x14ac:dyDescent="0.25">
      <c r="A456" s="12">
        <f t="shared" si="82"/>
        <v>0</v>
      </c>
      <c r="B456" s="12">
        <f>IF(AND($C$420&gt;$C$419,($B$454+2)&lt;=$C$420),$C$419+3,0)</f>
        <v>0</v>
      </c>
      <c r="C456" s="26">
        <f>IF(B456&gt;0,(B456*$C$417)+((B456-1)*$C$423)+(2*$C$424)+(2*$C$426),0)</f>
        <v>0</v>
      </c>
      <c r="D456" s="26" t="str">
        <f t="shared" si="78"/>
        <v xml:space="preserve"> </v>
      </c>
      <c r="E456" s="2" t="str">
        <f t="shared" si="78"/>
        <v xml:space="preserve"> </v>
      </c>
      <c r="F456" s="2" t="str">
        <f t="shared" si="78"/>
        <v xml:space="preserve"> </v>
      </c>
      <c r="G456" s="2" t="str">
        <f t="shared" si="78"/>
        <v xml:space="preserve"> </v>
      </c>
      <c r="H456" s="2" t="str">
        <f t="shared" si="78"/>
        <v xml:space="preserve"> </v>
      </c>
      <c r="I456" s="2" t="str">
        <f t="shared" si="78"/>
        <v xml:space="preserve"> </v>
      </c>
      <c r="J456" s="2" t="str">
        <f t="shared" si="78"/>
        <v xml:space="preserve"> </v>
      </c>
      <c r="K456" s="2" t="str">
        <f t="shared" si="78"/>
        <v xml:space="preserve"> </v>
      </c>
      <c r="L456" s="2" t="str">
        <f t="shared" si="78"/>
        <v xml:space="preserve"> </v>
      </c>
      <c r="M456" s="2" t="str">
        <f t="shared" si="78"/>
        <v xml:space="preserve"> </v>
      </c>
      <c r="N456" s="2" t="str">
        <f t="shared" si="79"/>
        <v xml:space="preserve"> </v>
      </c>
      <c r="O456" s="2" t="str">
        <f t="shared" si="79"/>
        <v xml:space="preserve"> </v>
      </c>
      <c r="P456" s="2" t="str">
        <f t="shared" si="79"/>
        <v xml:space="preserve"> </v>
      </c>
      <c r="Q456" s="2" t="str">
        <f t="shared" si="79"/>
        <v xml:space="preserve"> </v>
      </c>
      <c r="R456" s="2" t="str">
        <f t="shared" si="79"/>
        <v xml:space="preserve"> </v>
      </c>
      <c r="S456" s="2" t="str">
        <f t="shared" si="79"/>
        <v xml:space="preserve"> </v>
      </c>
      <c r="T456" s="2" t="str">
        <f t="shared" si="79"/>
        <v xml:space="preserve"> </v>
      </c>
      <c r="U456" s="2" t="str">
        <f t="shared" si="79"/>
        <v xml:space="preserve"> </v>
      </c>
      <c r="V456" s="2" t="str">
        <f t="shared" si="79"/>
        <v xml:space="preserve"> </v>
      </c>
      <c r="W456" s="2" t="str">
        <f t="shared" si="79"/>
        <v xml:space="preserve"> </v>
      </c>
      <c r="X456" s="2" t="str">
        <f t="shared" si="80"/>
        <v xml:space="preserve"> </v>
      </c>
      <c r="Y456" s="2" t="str">
        <f t="shared" si="80"/>
        <v xml:space="preserve"> </v>
      </c>
      <c r="Z456" s="2" t="str">
        <f t="shared" si="80"/>
        <v xml:space="preserve"> </v>
      </c>
      <c r="AA456" s="2" t="str">
        <f t="shared" si="80"/>
        <v xml:space="preserve"> </v>
      </c>
      <c r="AB456" s="2" t="str">
        <f t="shared" si="80"/>
        <v xml:space="preserve"> </v>
      </c>
      <c r="AC456" s="2" t="str">
        <f t="shared" si="80"/>
        <v xml:space="preserve"> </v>
      </c>
      <c r="AD456" s="2" t="str">
        <f t="shared" si="80"/>
        <v xml:space="preserve"> </v>
      </c>
      <c r="AE456" s="2" t="str">
        <f t="shared" si="80"/>
        <v xml:space="preserve"> </v>
      </c>
      <c r="AF456" s="2" t="str">
        <f t="shared" si="80"/>
        <v xml:space="preserve"> </v>
      </c>
      <c r="AG456" s="2" t="str">
        <f t="shared" si="80"/>
        <v xml:space="preserve"> </v>
      </c>
      <c r="AH456" s="2" t="str">
        <f t="shared" si="81"/>
        <v xml:space="preserve"> </v>
      </c>
      <c r="AI456" s="2" t="str">
        <f t="shared" si="81"/>
        <v xml:space="preserve"> </v>
      </c>
      <c r="AJ456" s="2" t="str">
        <f t="shared" si="81"/>
        <v xml:space="preserve"> </v>
      </c>
      <c r="AK456" s="2" t="str">
        <f t="shared" si="81"/>
        <v xml:space="preserve"> </v>
      </c>
      <c r="AL456" s="2" t="str">
        <f t="shared" si="81"/>
        <v xml:space="preserve"> </v>
      </c>
      <c r="AM456" s="2" t="str">
        <f t="shared" si="81"/>
        <v xml:space="preserve"> </v>
      </c>
      <c r="AN456" s="2" t="str">
        <f t="shared" si="81"/>
        <v xml:space="preserve"> </v>
      </c>
      <c r="AO456" s="2" t="str">
        <f t="shared" si="81"/>
        <v xml:space="preserve"> </v>
      </c>
      <c r="AP456" s="2" t="str">
        <f t="shared" si="81"/>
        <v xml:space="preserve"> </v>
      </c>
      <c r="AQ456" s="25" t="str">
        <f t="shared" si="81"/>
        <v xml:space="preserve"> </v>
      </c>
      <c r="AR456" s="12">
        <f t="shared" si="83"/>
        <v>0</v>
      </c>
    </row>
    <row r="457" spans="1:44" x14ac:dyDescent="0.25">
      <c r="A457" s="12">
        <f t="shared" si="82"/>
        <v>0</v>
      </c>
      <c r="B457" s="12">
        <f>IF(AND($C$420&gt;$C$419,($B$454+3)&lt;=$C$420),$C$419+4,0)</f>
        <v>0</v>
      </c>
      <c r="C457" s="26">
        <f t="shared" ref="C457:C492" si="84">IF(B457&gt;0,(B457*$C$417)+((B457-1)*$C$423)+(2*$C$424)+(2*$C$426),0)</f>
        <v>0</v>
      </c>
      <c r="D457" s="26" t="str">
        <f t="shared" si="78"/>
        <v xml:space="preserve"> </v>
      </c>
      <c r="E457" s="2" t="str">
        <f t="shared" si="78"/>
        <v xml:space="preserve"> </v>
      </c>
      <c r="F457" s="2" t="str">
        <f t="shared" si="78"/>
        <v xml:space="preserve"> </v>
      </c>
      <c r="G457" s="2" t="str">
        <f t="shared" si="78"/>
        <v xml:space="preserve"> </v>
      </c>
      <c r="H457" s="2" t="str">
        <f t="shared" si="78"/>
        <v xml:space="preserve"> </v>
      </c>
      <c r="I457" s="2" t="str">
        <f t="shared" si="78"/>
        <v xml:space="preserve"> </v>
      </c>
      <c r="J457" s="2" t="str">
        <f t="shared" si="78"/>
        <v xml:space="preserve"> </v>
      </c>
      <c r="K457" s="2" t="str">
        <f t="shared" si="78"/>
        <v xml:space="preserve"> </v>
      </c>
      <c r="L457" s="2" t="str">
        <f t="shared" si="78"/>
        <v xml:space="preserve"> </v>
      </c>
      <c r="M457" s="2" t="str">
        <f t="shared" si="78"/>
        <v xml:space="preserve"> </v>
      </c>
      <c r="N457" s="2" t="str">
        <f t="shared" si="79"/>
        <v xml:space="preserve"> </v>
      </c>
      <c r="O457" s="2" t="str">
        <f t="shared" si="79"/>
        <v xml:space="preserve"> </v>
      </c>
      <c r="P457" s="2" t="str">
        <f t="shared" si="79"/>
        <v xml:space="preserve"> </v>
      </c>
      <c r="Q457" s="2" t="str">
        <f t="shared" si="79"/>
        <v xml:space="preserve"> </v>
      </c>
      <c r="R457" s="2" t="str">
        <f t="shared" si="79"/>
        <v xml:space="preserve"> </v>
      </c>
      <c r="S457" s="2" t="str">
        <f t="shared" si="79"/>
        <v xml:space="preserve"> </v>
      </c>
      <c r="T457" s="2" t="str">
        <f t="shared" si="79"/>
        <v xml:space="preserve"> </v>
      </c>
      <c r="U457" s="2" t="str">
        <f t="shared" si="79"/>
        <v xml:space="preserve"> </v>
      </c>
      <c r="V457" s="2" t="str">
        <f t="shared" si="79"/>
        <v xml:space="preserve"> </v>
      </c>
      <c r="W457" s="2" t="str">
        <f t="shared" si="79"/>
        <v xml:space="preserve"> </v>
      </c>
      <c r="X457" s="2" t="str">
        <f t="shared" si="80"/>
        <v xml:space="preserve"> </v>
      </c>
      <c r="Y457" s="2" t="str">
        <f t="shared" si="80"/>
        <v xml:space="preserve"> </v>
      </c>
      <c r="Z457" s="2" t="str">
        <f t="shared" si="80"/>
        <v xml:space="preserve"> </v>
      </c>
      <c r="AA457" s="2" t="str">
        <f t="shared" si="80"/>
        <v xml:space="preserve"> </v>
      </c>
      <c r="AB457" s="2" t="str">
        <f t="shared" si="80"/>
        <v xml:space="preserve"> </v>
      </c>
      <c r="AC457" s="2" t="str">
        <f t="shared" si="80"/>
        <v xml:space="preserve"> </v>
      </c>
      <c r="AD457" s="2" t="str">
        <f t="shared" si="80"/>
        <v xml:space="preserve"> </v>
      </c>
      <c r="AE457" s="2" t="str">
        <f t="shared" si="80"/>
        <v xml:space="preserve"> </v>
      </c>
      <c r="AF457" s="2" t="str">
        <f t="shared" si="80"/>
        <v xml:space="preserve"> </v>
      </c>
      <c r="AG457" s="2" t="str">
        <f t="shared" si="80"/>
        <v xml:space="preserve"> </v>
      </c>
      <c r="AH457" s="2" t="str">
        <f t="shared" si="81"/>
        <v xml:space="preserve"> </v>
      </c>
      <c r="AI457" s="2" t="str">
        <f t="shared" si="81"/>
        <v xml:space="preserve"> </v>
      </c>
      <c r="AJ457" s="2" t="str">
        <f t="shared" si="81"/>
        <v xml:space="preserve"> </v>
      </c>
      <c r="AK457" s="2" t="str">
        <f t="shared" si="81"/>
        <v xml:space="preserve"> </v>
      </c>
      <c r="AL457" s="2" t="str">
        <f t="shared" si="81"/>
        <v xml:space="preserve"> </v>
      </c>
      <c r="AM457" s="2" t="str">
        <f t="shared" si="81"/>
        <v xml:space="preserve"> </v>
      </c>
      <c r="AN457" s="2" t="str">
        <f t="shared" si="81"/>
        <v xml:space="preserve"> </v>
      </c>
      <c r="AO457" s="2" t="str">
        <f t="shared" si="81"/>
        <v xml:space="preserve"> </v>
      </c>
      <c r="AP457" s="2" t="str">
        <f t="shared" si="81"/>
        <v xml:space="preserve"> </v>
      </c>
      <c r="AQ457" s="25" t="str">
        <f t="shared" si="81"/>
        <v xml:space="preserve"> </v>
      </c>
      <c r="AR457" s="12">
        <f t="shared" si="83"/>
        <v>0</v>
      </c>
    </row>
    <row r="458" spans="1:44" x14ac:dyDescent="0.25">
      <c r="A458" s="12">
        <f t="shared" si="82"/>
        <v>0</v>
      </c>
      <c r="B458" s="12">
        <f>IF(AND($C$420&gt;$C$419,($B$454+4)&lt;=$C$420),$C$419+5,0)</f>
        <v>0</v>
      </c>
      <c r="C458" s="26">
        <f t="shared" si="84"/>
        <v>0</v>
      </c>
      <c r="D458" s="26" t="str">
        <f t="shared" si="78"/>
        <v xml:space="preserve"> </v>
      </c>
      <c r="E458" s="2" t="str">
        <f t="shared" si="78"/>
        <v xml:space="preserve"> </v>
      </c>
      <c r="F458" s="2" t="str">
        <f t="shared" si="78"/>
        <v xml:space="preserve"> </v>
      </c>
      <c r="G458" s="2" t="str">
        <f t="shared" si="78"/>
        <v xml:space="preserve"> </v>
      </c>
      <c r="H458" s="2" t="str">
        <f t="shared" si="78"/>
        <v xml:space="preserve"> </v>
      </c>
      <c r="I458" s="2" t="str">
        <f t="shared" si="78"/>
        <v xml:space="preserve"> </v>
      </c>
      <c r="J458" s="2" t="str">
        <f t="shared" si="78"/>
        <v xml:space="preserve"> </v>
      </c>
      <c r="K458" s="2" t="str">
        <f t="shared" si="78"/>
        <v xml:space="preserve"> </v>
      </c>
      <c r="L458" s="2" t="str">
        <f t="shared" si="78"/>
        <v xml:space="preserve"> </v>
      </c>
      <c r="M458" s="2" t="str">
        <f t="shared" si="78"/>
        <v xml:space="preserve"> </v>
      </c>
      <c r="N458" s="2" t="str">
        <f t="shared" si="79"/>
        <v xml:space="preserve"> </v>
      </c>
      <c r="O458" s="2" t="str">
        <f t="shared" si="79"/>
        <v xml:space="preserve"> </v>
      </c>
      <c r="P458" s="2" t="str">
        <f t="shared" si="79"/>
        <v xml:space="preserve"> </v>
      </c>
      <c r="Q458" s="2" t="str">
        <f t="shared" si="79"/>
        <v xml:space="preserve"> </v>
      </c>
      <c r="R458" s="2" t="str">
        <f t="shared" si="79"/>
        <v xml:space="preserve"> </v>
      </c>
      <c r="S458" s="2" t="str">
        <f t="shared" si="79"/>
        <v xml:space="preserve"> </v>
      </c>
      <c r="T458" s="2" t="str">
        <f t="shared" si="79"/>
        <v xml:space="preserve"> </v>
      </c>
      <c r="U458" s="2" t="str">
        <f t="shared" si="79"/>
        <v xml:space="preserve"> </v>
      </c>
      <c r="V458" s="2" t="str">
        <f t="shared" si="79"/>
        <v xml:space="preserve"> </v>
      </c>
      <c r="W458" s="2" t="str">
        <f t="shared" si="79"/>
        <v xml:space="preserve"> </v>
      </c>
      <c r="X458" s="2" t="str">
        <f t="shared" si="80"/>
        <v xml:space="preserve"> </v>
      </c>
      <c r="Y458" s="2" t="str">
        <f t="shared" si="80"/>
        <v xml:space="preserve"> </v>
      </c>
      <c r="Z458" s="2" t="str">
        <f t="shared" si="80"/>
        <v xml:space="preserve"> </v>
      </c>
      <c r="AA458" s="2" t="str">
        <f t="shared" si="80"/>
        <v xml:space="preserve"> </v>
      </c>
      <c r="AB458" s="2" t="str">
        <f t="shared" si="80"/>
        <v xml:space="preserve"> </v>
      </c>
      <c r="AC458" s="2" t="str">
        <f t="shared" si="80"/>
        <v xml:space="preserve"> </v>
      </c>
      <c r="AD458" s="2" t="str">
        <f t="shared" si="80"/>
        <v xml:space="preserve"> </v>
      </c>
      <c r="AE458" s="2" t="str">
        <f t="shared" si="80"/>
        <v xml:space="preserve"> </v>
      </c>
      <c r="AF458" s="2" t="str">
        <f t="shared" si="80"/>
        <v xml:space="preserve"> </v>
      </c>
      <c r="AG458" s="2" t="str">
        <f t="shared" si="80"/>
        <v xml:space="preserve"> </v>
      </c>
      <c r="AH458" s="2" t="str">
        <f t="shared" si="81"/>
        <v xml:space="preserve"> </v>
      </c>
      <c r="AI458" s="2" t="str">
        <f t="shared" si="81"/>
        <v xml:space="preserve"> </v>
      </c>
      <c r="AJ458" s="2" t="str">
        <f t="shared" si="81"/>
        <v xml:space="preserve"> </v>
      </c>
      <c r="AK458" s="2" t="str">
        <f t="shared" si="81"/>
        <v xml:space="preserve"> </v>
      </c>
      <c r="AL458" s="2" t="str">
        <f t="shared" si="81"/>
        <v xml:space="preserve"> </v>
      </c>
      <c r="AM458" s="2" t="str">
        <f t="shared" si="81"/>
        <v xml:space="preserve"> </v>
      </c>
      <c r="AN458" s="2" t="str">
        <f t="shared" si="81"/>
        <v xml:space="preserve"> </v>
      </c>
      <c r="AO458" s="2" t="str">
        <f t="shared" si="81"/>
        <v xml:space="preserve"> </v>
      </c>
      <c r="AP458" s="2" t="str">
        <f t="shared" si="81"/>
        <v xml:space="preserve"> </v>
      </c>
      <c r="AQ458" s="25" t="str">
        <f t="shared" si="81"/>
        <v xml:space="preserve"> </v>
      </c>
      <c r="AR458" s="12">
        <f t="shared" si="83"/>
        <v>0</v>
      </c>
    </row>
    <row r="459" spans="1:44" x14ac:dyDescent="0.25">
      <c r="A459" s="12">
        <f t="shared" si="82"/>
        <v>0</v>
      </c>
      <c r="B459" s="12">
        <f>IF(AND($C$420&gt;$C$419,($B$454+5)&lt;=$C$420),$C$419+6,0)</f>
        <v>0</v>
      </c>
      <c r="C459" s="26">
        <f t="shared" si="84"/>
        <v>0</v>
      </c>
      <c r="D459" s="26" t="str">
        <f t="shared" si="78"/>
        <v xml:space="preserve"> </v>
      </c>
      <c r="E459" s="2" t="str">
        <f t="shared" si="78"/>
        <v xml:space="preserve"> </v>
      </c>
      <c r="F459" s="2" t="str">
        <f t="shared" si="78"/>
        <v xml:space="preserve"> </v>
      </c>
      <c r="G459" s="2" t="str">
        <f t="shared" si="78"/>
        <v xml:space="preserve"> </v>
      </c>
      <c r="H459" s="2" t="str">
        <f t="shared" si="78"/>
        <v xml:space="preserve"> </v>
      </c>
      <c r="I459" s="2" t="str">
        <f t="shared" si="78"/>
        <v xml:space="preserve"> </v>
      </c>
      <c r="J459" s="2" t="str">
        <f t="shared" si="78"/>
        <v xml:space="preserve"> </v>
      </c>
      <c r="K459" s="2" t="str">
        <f t="shared" si="78"/>
        <v xml:space="preserve"> </v>
      </c>
      <c r="L459" s="2" t="str">
        <f t="shared" si="78"/>
        <v xml:space="preserve"> </v>
      </c>
      <c r="M459" s="2" t="str">
        <f t="shared" si="78"/>
        <v xml:space="preserve"> </v>
      </c>
      <c r="N459" s="2" t="str">
        <f t="shared" si="79"/>
        <v xml:space="preserve"> </v>
      </c>
      <c r="O459" s="2" t="str">
        <f t="shared" si="79"/>
        <v xml:space="preserve"> </v>
      </c>
      <c r="P459" s="2" t="str">
        <f t="shared" si="79"/>
        <v xml:space="preserve"> </v>
      </c>
      <c r="Q459" s="2" t="str">
        <f t="shared" si="79"/>
        <v xml:space="preserve"> </v>
      </c>
      <c r="R459" s="2" t="str">
        <f t="shared" si="79"/>
        <v xml:space="preserve"> </v>
      </c>
      <c r="S459" s="2" t="str">
        <f t="shared" si="79"/>
        <v xml:space="preserve"> </v>
      </c>
      <c r="T459" s="2" t="str">
        <f t="shared" si="79"/>
        <v xml:space="preserve"> </v>
      </c>
      <c r="U459" s="2" t="str">
        <f t="shared" si="79"/>
        <v xml:space="preserve"> </v>
      </c>
      <c r="V459" s="2" t="str">
        <f t="shared" si="79"/>
        <v xml:space="preserve"> </v>
      </c>
      <c r="W459" s="2" t="str">
        <f t="shared" si="79"/>
        <v xml:space="preserve"> </v>
      </c>
      <c r="X459" s="2" t="str">
        <f t="shared" si="80"/>
        <v xml:space="preserve"> </v>
      </c>
      <c r="Y459" s="2" t="str">
        <f t="shared" si="80"/>
        <v xml:space="preserve"> </v>
      </c>
      <c r="Z459" s="2" t="str">
        <f t="shared" si="80"/>
        <v xml:space="preserve"> </v>
      </c>
      <c r="AA459" s="2" t="str">
        <f t="shared" si="80"/>
        <v xml:space="preserve"> </v>
      </c>
      <c r="AB459" s="2" t="str">
        <f t="shared" si="80"/>
        <v xml:space="preserve"> </v>
      </c>
      <c r="AC459" s="2" t="str">
        <f t="shared" si="80"/>
        <v xml:space="preserve"> </v>
      </c>
      <c r="AD459" s="2" t="str">
        <f t="shared" si="80"/>
        <v xml:space="preserve"> </v>
      </c>
      <c r="AE459" s="2" t="str">
        <f t="shared" si="80"/>
        <v xml:space="preserve"> </v>
      </c>
      <c r="AF459" s="2" t="str">
        <f t="shared" si="80"/>
        <v xml:space="preserve"> </v>
      </c>
      <c r="AG459" s="2" t="str">
        <f t="shared" si="80"/>
        <v xml:space="preserve"> </v>
      </c>
      <c r="AH459" s="2" t="str">
        <f t="shared" si="81"/>
        <v xml:space="preserve"> </v>
      </c>
      <c r="AI459" s="2" t="str">
        <f t="shared" si="81"/>
        <v xml:space="preserve"> </v>
      </c>
      <c r="AJ459" s="2" t="str">
        <f t="shared" si="81"/>
        <v xml:space="preserve"> </v>
      </c>
      <c r="AK459" s="2" t="str">
        <f t="shared" si="81"/>
        <v xml:space="preserve"> </v>
      </c>
      <c r="AL459" s="2" t="str">
        <f t="shared" si="81"/>
        <v xml:space="preserve"> </v>
      </c>
      <c r="AM459" s="2" t="str">
        <f t="shared" si="81"/>
        <v xml:space="preserve"> </v>
      </c>
      <c r="AN459" s="2" t="str">
        <f t="shared" si="81"/>
        <v xml:space="preserve"> </v>
      </c>
      <c r="AO459" s="2" t="str">
        <f t="shared" si="81"/>
        <v xml:space="preserve"> </v>
      </c>
      <c r="AP459" s="2" t="str">
        <f t="shared" si="81"/>
        <v xml:space="preserve"> </v>
      </c>
      <c r="AQ459" s="25" t="str">
        <f t="shared" si="81"/>
        <v xml:space="preserve"> </v>
      </c>
      <c r="AR459" s="12">
        <f t="shared" si="83"/>
        <v>0</v>
      </c>
    </row>
    <row r="460" spans="1:44" x14ac:dyDescent="0.25">
      <c r="A460" s="12">
        <f t="shared" si="82"/>
        <v>0</v>
      </c>
      <c r="B460" s="12">
        <f>IF(AND($C$420&gt;$C$419,($B$454+6)&lt;=$C$420),$C$419+7,0)</f>
        <v>0</v>
      </c>
      <c r="C460" s="26">
        <f t="shared" si="84"/>
        <v>0</v>
      </c>
      <c r="D460" s="26" t="str">
        <f t="shared" si="78"/>
        <v xml:space="preserve"> </v>
      </c>
      <c r="E460" s="2" t="str">
        <f t="shared" si="78"/>
        <v xml:space="preserve"> </v>
      </c>
      <c r="F460" s="2" t="str">
        <f t="shared" si="78"/>
        <v xml:space="preserve"> </v>
      </c>
      <c r="G460" s="2" t="str">
        <f t="shared" si="78"/>
        <v xml:space="preserve"> </v>
      </c>
      <c r="H460" s="2" t="str">
        <f t="shared" si="78"/>
        <v xml:space="preserve"> </v>
      </c>
      <c r="I460" s="2" t="str">
        <f t="shared" si="78"/>
        <v xml:space="preserve"> </v>
      </c>
      <c r="J460" s="2" t="str">
        <f t="shared" si="78"/>
        <v xml:space="preserve"> </v>
      </c>
      <c r="K460" s="2" t="str">
        <f t="shared" si="78"/>
        <v xml:space="preserve"> </v>
      </c>
      <c r="L460" s="2" t="str">
        <f t="shared" si="78"/>
        <v xml:space="preserve"> </v>
      </c>
      <c r="M460" s="2" t="str">
        <f t="shared" si="78"/>
        <v xml:space="preserve"> </v>
      </c>
      <c r="N460" s="2" t="str">
        <f t="shared" si="79"/>
        <v xml:space="preserve"> </v>
      </c>
      <c r="O460" s="2" t="str">
        <f t="shared" si="79"/>
        <v xml:space="preserve"> </v>
      </c>
      <c r="P460" s="2" t="str">
        <f t="shared" si="79"/>
        <v xml:space="preserve"> </v>
      </c>
      <c r="Q460" s="2" t="str">
        <f t="shared" si="79"/>
        <v xml:space="preserve"> </v>
      </c>
      <c r="R460" s="2" t="str">
        <f t="shared" si="79"/>
        <v xml:space="preserve"> </v>
      </c>
      <c r="S460" s="2" t="str">
        <f t="shared" si="79"/>
        <v xml:space="preserve"> </v>
      </c>
      <c r="T460" s="2" t="str">
        <f t="shared" si="79"/>
        <v xml:space="preserve"> </v>
      </c>
      <c r="U460" s="2" t="str">
        <f t="shared" si="79"/>
        <v xml:space="preserve"> </v>
      </c>
      <c r="V460" s="2" t="str">
        <f t="shared" si="79"/>
        <v xml:space="preserve"> </v>
      </c>
      <c r="W460" s="2" t="str">
        <f t="shared" si="79"/>
        <v xml:space="preserve"> </v>
      </c>
      <c r="X460" s="2" t="str">
        <f t="shared" si="80"/>
        <v xml:space="preserve"> </v>
      </c>
      <c r="Y460" s="2" t="str">
        <f t="shared" si="80"/>
        <v xml:space="preserve"> </v>
      </c>
      <c r="Z460" s="2" t="str">
        <f t="shared" si="80"/>
        <v xml:space="preserve"> </v>
      </c>
      <c r="AA460" s="2" t="str">
        <f t="shared" si="80"/>
        <v xml:space="preserve"> </v>
      </c>
      <c r="AB460" s="2" t="str">
        <f t="shared" si="80"/>
        <v xml:space="preserve"> </v>
      </c>
      <c r="AC460" s="2" t="str">
        <f t="shared" si="80"/>
        <v xml:space="preserve"> </v>
      </c>
      <c r="AD460" s="2" t="str">
        <f t="shared" si="80"/>
        <v xml:space="preserve"> </v>
      </c>
      <c r="AE460" s="2" t="str">
        <f t="shared" si="80"/>
        <v xml:space="preserve"> </v>
      </c>
      <c r="AF460" s="2" t="str">
        <f t="shared" si="80"/>
        <v xml:space="preserve"> </v>
      </c>
      <c r="AG460" s="2" t="str">
        <f t="shared" si="80"/>
        <v xml:space="preserve"> </v>
      </c>
      <c r="AH460" s="2" t="str">
        <f t="shared" si="81"/>
        <v xml:space="preserve"> </v>
      </c>
      <c r="AI460" s="2" t="str">
        <f t="shared" si="81"/>
        <v xml:space="preserve"> </v>
      </c>
      <c r="AJ460" s="2" t="str">
        <f t="shared" si="81"/>
        <v xml:space="preserve"> </v>
      </c>
      <c r="AK460" s="2" t="str">
        <f t="shared" si="81"/>
        <v xml:space="preserve"> </v>
      </c>
      <c r="AL460" s="2" t="str">
        <f t="shared" si="81"/>
        <v xml:space="preserve"> </v>
      </c>
      <c r="AM460" s="2" t="str">
        <f t="shared" si="81"/>
        <v xml:space="preserve"> </v>
      </c>
      <c r="AN460" s="2" t="str">
        <f t="shared" si="81"/>
        <v xml:space="preserve"> </v>
      </c>
      <c r="AO460" s="2" t="str">
        <f t="shared" si="81"/>
        <v xml:space="preserve"> </v>
      </c>
      <c r="AP460" s="2" t="str">
        <f t="shared" si="81"/>
        <v xml:space="preserve"> </v>
      </c>
      <c r="AQ460" s="25" t="str">
        <f t="shared" si="81"/>
        <v xml:space="preserve"> </v>
      </c>
      <c r="AR460" s="12">
        <f t="shared" si="83"/>
        <v>0</v>
      </c>
    </row>
    <row r="461" spans="1:44" x14ac:dyDescent="0.25">
      <c r="A461" s="12">
        <f t="shared" si="82"/>
        <v>0</v>
      </c>
      <c r="B461" s="12">
        <f>IF(AND($C$420&gt;$C$419,($B$454+7)&lt;=$C$420),$C$419+8,0)</f>
        <v>0</v>
      </c>
      <c r="C461" s="26">
        <f t="shared" si="84"/>
        <v>0</v>
      </c>
      <c r="D461" s="26" t="str">
        <f t="shared" si="78"/>
        <v xml:space="preserve"> </v>
      </c>
      <c r="E461" s="2" t="str">
        <f t="shared" si="78"/>
        <v xml:space="preserve"> </v>
      </c>
      <c r="F461" s="2" t="str">
        <f t="shared" si="78"/>
        <v xml:space="preserve"> </v>
      </c>
      <c r="G461" s="2" t="str">
        <f t="shared" si="78"/>
        <v xml:space="preserve"> </v>
      </c>
      <c r="H461" s="2" t="str">
        <f t="shared" si="78"/>
        <v xml:space="preserve"> </v>
      </c>
      <c r="I461" s="2" t="str">
        <f t="shared" si="78"/>
        <v xml:space="preserve"> </v>
      </c>
      <c r="J461" s="2" t="str">
        <f t="shared" si="78"/>
        <v xml:space="preserve"> </v>
      </c>
      <c r="K461" s="2" t="str">
        <f t="shared" si="78"/>
        <v xml:space="preserve"> </v>
      </c>
      <c r="L461" s="2" t="str">
        <f t="shared" si="78"/>
        <v xml:space="preserve"> </v>
      </c>
      <c r="M461" s="2" t="str">
        <f t="shared" si="78"/>
        <v xml:space="preserve"> </v>
      </c>
      <c r="N461" s="2" t="str">
        <f t="shared" si="79"/>
        <v xml:space="preserve"> </v>
      </c>
      <c r="O461" s="2" t="str">
        <f t="shared" si="79"/>
        <v xml:space="preserve"> </v>
      </c>
      <c r="P461" s="2" t="str">
        <f t="shared" si="79"/>
        <v xml:space="preserve"> </v>
      </c>
      <c r="Q461" s="2" t="str">
        <f t="shared" si="79"/>
        <v xml:space="preserve"> </v>
      </c>
      <c r="R461" s="2" t="str">
        <f t="shared" si="79"/>
        <v xml:space="preserve"> </v>
      </c>
      <c r="S461" s="2" t="str">
        <f t="shared" si="79"/>
        <v xml:space="preserve"> </v>
      </c>
      <c r="T461" s="2" t="str">
        <f t="shared" si="79"/>
        <v xml:space="preserve"> </v>
      </c>
      <c r="U461" s="2" t="str">
        <f t="shared" si="79"/>
        <v xml:space="preserve"> </v>
      </c>
      <c r="V461" s="2" t="str">
        <f t="shared" si="79"/>
        <v xml:space="preserve"> </v>
      </c>
      <c r="W461" s="2" t="str">
        <f t="shared" si="79"/>
        <v xml:space="preserve"> </v>
      </c>
      <c r="X461" s="2" t="str">
        <f t="shared" si="80"/>
        <v xml:space="preserve"> </v>
      </c>
      <c r="Y461" s="2" t="str">
        <f t="shared" si="80"/>
        <v xml:space="preserve"> </v>
      </c>
      <c r="Z461" s="2" t="str">
        <f t="shared" si="80"/>
        <v xml:space="preserve"> </v>
      </c>
      <c r="AA461" s="2" t="str">
        <f t="shared" si="80"/>
        <v xml:space="preserve"> </v>
      </c>
      <c r="AB461" s="2" t="str">
        <f t="shared" si="80"/>
        <v xml:space="preserve"> </v>
      </c>
      <c r="AC461" s="2" t="str">
        <f t="shared" si="80"/>
        <v xml:space="preserve"> </v>
      </c>
      <c r="AD461" s="2" t="str">
        <f t="shared" si="80"/>
        <v xml:space="preserve"> </v>
      </c>
      <c r="AE461" s="2" t="str">
        <f t="shared" si="80"/>
        <v xml:space="preserve"> </v>
      </c>
      <c r="AF461" s="2" t="str">
        <f t="shared" si="80"/>
        <v xml:space="preserve"> </v>
      </c>
      <c r="AG461" s="2" t="str">
        <f t="shared" si="80"/>
        <v xml:space="preserve"> </v>
      </c>
      <c r="AH461" s="2" t="str">
        <f t="shared" si="81"/>
        <v xml:space="preserve"> </v>
      </c>
      <c r="AI461" s="2" t="str">
        <f t="shared" si="81"/>
        <v xml:space="preserve"> </v>
      </c>
      <c r="AJ461" s="2" t="str">
        <f t="shared" si="81"/>
        <v xml:space="preserve"> </v>
      </c>
      <c r="AK461" s="2" t="str">
        <f t="shared" si="81"/>
        <v xml:space="preserve"> </v>
      </c>
      <c r="AL461" s="2" t="str">
        <f t="shared" si="81"/>
        <v xml:space="preserve"> </v>
      </c>
      <c r="AM461" s="2" t="str">
        <f t="shared" si="81"/>
        <v xml:space="preserve"> </v>
      </c>
      <c r="AN461" s="2" t="str">
        <f t="shared" si="81"/>
        <v xml:space="preserve"> </v>
      </c>
      <c r="AO461" s="2" t="str">
        <f t="shared" si="81"/>
        <v xml:space="preserve"> </v>
      </c>
      <c r="AP461" s="2" t="str">
        <f t="shared" si="81"/>
        <v xml:space="preserve"> </v>
      </c>
      <c r="AQ461" s="25" t="str">
        <f t="shared" si="81"/>
        <v xml:space="preserve"> </v>
      </c>
      <c r="AR461" s="12">
        <f t="shared" si="83"/>
        <v>0</v>
      </c>
    </row>
    <row r="462" spans="1:44" x14ac:dyDescent="0.25">
      <c r="A462" s="12">
        <f t="shared" si="82"/>
        <v>0</v>
      </c>
      <c r="B462" s="12">
        <f>IF(AND($C$420&gt;$C$419,($B$454+8)&lt;=$C$420),$C$419+9,0)</f>
        <v>0</v>
      </c>
      <c r="C462" s="26">
        <f t="shared" si="84"/>
        <v>0</v>
      </c>
      <c r="D462" s="26" t="str">
        <f t="shared" si="78"/>
        <v xml:space="preserve"> </v>
      </c>
      <c r="E462" s="2" t="str">
        <f t="shared" si="78"/>
        <v xml:space="preserve"> </v>
      </c>
      <c r="F462" s="2" t="str">
        <f t="shared" si="78"/>
        <v xml:space="preserve"> </v>
      </c>
      <c r="G462" s="2" t="str">
        <f t="shared" si="78"/>
        <v xml:space="preserve"> </v>
      </c>
      <c r="H462" s="2" t="str">
        <f t="shared" si="78"/>
        <v xml:space="preserve"> </v>
      </c>
      <c r="I462" s="2" t="str">
        <f t="shared" si="78"/>
        <v xml:space="preserve"> </v>
      </c>
      <c r="J462" s="2" t="str">
        <f t="shared" si="78"/>
        <v xml:space="preserve"> </v>
      </c>
      <c r="K462" s="2" t="str">
        <f t="shared" si="78"/>
        <v xml:space="preserve"> </v>
      </c>
      <c r="L462" s="2" t="str">
        <f t="shared" si="78"/>
        <v xml:space="preserve"> </v>
      </c>
      <c r="M462" s="2" t="str">
        <f t="shared" si="78"/>
        <v xml:space="preserve"> </v>
      </c>
      <c r="N462" s="2" t="str">
        <f t="shared" si="79"/>
        <v xml:space="preserve"> </v>
      </c>
      <c r="O462" s="2" t="str">
        <f t="shared" si="79"/>
        <v xml:space="preserve"> </v>
      </c>
      <c r="P462" s="2" t="str">
        <f t="shared" si="79"/>
        <v xml:space="preserve"> </v>
      </c>
      <c r="Q462" s="2" t="str">
        <f t="shared" si="79"/>
        <v xml:space="preserve"> </v>
      </c>
      <c r="R462" s="2" t="str">
        <f t="shared" si="79"/>
        <v xml:space="preserve"> </v>
      </c>
      <c r="S462" s="2" t="str">
        <f t="shared" si="79"/>
        <v xml:space="preserve"> </v>
      </c>
      <c r="T462" s="2" t="str">
        <f t="shared" si="79"/>
        <v xml:space="preserve"> </v>
      </c>
      <c r="U462" s="2" t="str">
        <f t="shared" si="79"/>
        <v xml:space="preserve"> </v>
      </c>
      <c r="V462" s="2" t="str">
        <f t="shared" si="79"/>
        <v xml:space="preserve"> </v>
      </c>
      <c r="W462" s="2" t="str">
        <f t="shared" si="79"/>
        <v xml:space="preserve"> </v>
      </c>
      <c r="X462" s="2" t="str">
        <f t="shared" si="80"/>
        <v xml:space="preserve"> </v>
      </c>
      <c r="Y462" s="2" t="str">
        <f t="shared" si="80"/>
        <v xml:space="preserve"> </v>
      </c>
      <c r="Z462" s="2" t="str">
        <f t="shared" si="80"/>
        <v xml:space="preserve"> </v>
      </c>
      <c r="AA462" s="2" t="str">
        <f t="shared" si="80"/>
        <v xml:space="preserve"> </v>
      </c>
      <c r="AB462" s="2" t="str">
        <f t="shared" si="80"/>
        <v xml:space="preserve"> </v>
      </c>
      <c r="AC462" s="2" t="str">
        <f t="shared" si="80"/>
        <v xml:space="preserve"> </v>
      </c>
      <c r="AD462" s="2" t="str">
        <f t="shared" si="80"/>
        <v xml:space="preserve"> </v>
      </c>
      <c r="AE462" s="2" t="str">
        <f t="shared" si="80"/>
        <v xml:space="preserve"> </v>
      </c>
      <c r="AF462" s="2" t="str">
        <f t="shared" si="80"/>
        <v xml:space="preserve"> </v>
      </c>
      <c r="AG462" s="2" t="str">
        <f t="shared" si="80"/>
        <v xml:space="preserve"> </v>
      </c>
      <c r="AH462" s="2" t="str">
        <f t="shared" si="81"/>
        <v xml:space="preserve"> </v>
      </c>
      <c r="AI462" s="2" t="str">
        <f t="shared" si="81"/>
        <v xml:space="preserve"> </v>
      </c>
      <c r="AJ462" s="2" t="str">
        <f t="shared" si="81"/>
        <v xml:space="preserve"> </v>
      </c>
      <c r="AK462" s="2" t="str">
        <f t="shared" si="81"/>
        <v xml:space="preserve"> </v>
      </c>
      <c r="AL462" s="2" t="str">
        <f t="shared" si="81"/>
        <v xml:space="preserve"> </v>
      </c>
      <c r="AM462" s="2" t="str">
        <f t="shared" si="81"/>
        <v xml:space="preserve"> </v>
      </c>
      <c r="AN462" s="2" t="str">
        <f t="shared" si="81"/>
        <v xml:space="preserve"> </v>
      </c>
      <c r="AO462" s="2" t="str">
        <f t="shared" si="81"/>
        <v xml:space="preserve"> </v>
      </c>
      <c r="AP462" s="2" t="str">
        <f t="shared" si="81"/>
        <v xml:space="preserve"> </v>
      </c>
      <c r="AQ462" s="25" t="str">
        <f t="shared" si="81"/>
        <v xml:space="preserve"> </v>
      </c>
      <c r="AR462" s="12">
        <f t="shared" si="83"/>
        <v>0</v>
      </c>
    </row>
    <row r="463" spans="1:44" x14ac:dyDescent="0.25">
      <c r="A463" s="12">
        <f t="shared" si="82"/>
        <v>0</v>
      </c>
      <c r="B463" s="12">
        <f>IF(AND($C$420&gt;$C$419,($B$454+9)&lt;=$C$420),$C$419+10,0)</f>
        <v>0</v>
      </c>
      <c r="C463" s="26">
        <f t="shared" si="84"/>
        <v>0</v>
      </c>
      <c r="D463" s="26" t="str">
        <f t="shared" ref="D463:M472" si="85">IF(OR($A463=0,D$451=0)," ",IF(AND($B463&gt;0,D$451&gt;0,FLOOR($C$440/(D$451*$B463),1)&gt;=$A463),FLOOR($C$440/(D$451*$B463),1)," "))</f>
        <v xml:space="preserve"> </v>
      </c>
      <c r="E463" s="2" t="str">
        <f t="shared" si="85"/>
        <v xml:space="preserve"> </v>
      </c>
      <c r="F463" s="2" t="str">
        <f t="shared" si="85"/>
        <v xml:space="preserve"> </v>
      </c>
      <c r="G463" s="2" t="str">
        <f t="shared" si="85"/>
        <v xml:space="preserve"> </v>
      </c>
      <c r="H463" s="2" t="str">
        <f t="shared" si="85"/>
        <v xml:space="preserve"> </v>
      </c>
      <c r="I463" s="2" t="str">
        <f t="shared" si="85"/>
        <v xml:space="preserve"> </v>
      </c>
      <c r="J463" s="2" t="str">
        <f t="shared" si="85"/>
        <v xml:space="preserve"> </v>
      </c>
      <c r="K463" s="2" t="str">
        <f t="shared" si="85"/>
        <v xml:space="preserve"> </v>
      </c>
      <c r="L463" s="2" t="str">
        <f t="shared" si="85"/>
        <v xml:space="preserve"> </v>
      </c>
      <c r="M463" s="2" t="str">
        <f t="shared" si="85"/>
        <v xml:space="preserve"> </v>
      </c>
      <c r="N463" s="2" t="str">
        <f t="shared" ref="N463:W472" si="86">IF(OR($A463=0,N$451=0)," ",IF(AND($B463&gt;0,N$451&gt;0,FLOOR($C$440/(N$451*$B463),1)&gt;=$A463),FLOOR($C$440/(N$451*$B463),1)," "))</f>
        <v xml:space="preserve"> </v>
      </c>
      <c r="O463" s="2" t="str">
        <f t="shared" si="86"/>
        <v xml:space="preserve"> </v>
      </c>
      <c r="P463" s="2" t="str">
        <f t="shared" si="86"/>
        <v xml:space="preserve"> </v>
      </c>
      <c r="Q463" s="2" t="str">
        <f t="shared" si="86"/>
        <v xml:space="preserve"> </v>
      </c>
      <c r="R463" s="2" t="str">
        <f t="shared" si="86"/>
        <v xml:space="preserve"> </v>
      </c>
      <c r="S463" s="2" t="str">
        <f t="shared" si="86"/>
        <v xml:space="preserve"> </v>
      </c>
      <c r="T463" s="2" t="str">
        <f t="shared" si="86"/>
        <v xml:space="preserve"> </v>
      </c>
      <c r="U463" s="2" t="str">
        <f t="shared" si="86"/>
        <v xml:space="preserve"> </v>
      </c>
      <c r="V463" s="2" t="str">
        <f t="shared" si="86"/>
        <v xml:space="preserve"> </v>
      </c>
      <c r="W463" s="2" t="str">
        <f t="shared" si="86"/>
        <v xml:space="preserve"> </v>
      </c>
      <c r="X463" s="2" t="str">
        <f t="shared" ref="X463:AG472" si="87">IF(OR($A463=0,X$451=0)," ",IF(AND($B463&gt;0,X$451&gt;0,FLOOR($C$440/(X$451*$B463),1)&gt;=$A463),FLOOR($C$440/(X$451*$B463),1)," "))</f>
        <v xml:space="preserve"> </v>
      </c>
      <c r="Y463" s="2" t="str">
        <f t="shared" si="87"/>
        <v xml:space="preserve"> </v>
      </c>
      <c r="Z463" s="2" t="str">
        <f t="shared" si="87"/>
        <v xml:space="preserve"> </v>
      </c>
      <c r="AA463" s="2" t="str">
        <f t="shared" si="87"/>
        <v xml:space="preserve"> </v>
      </c>
      <c r="AB463" s="2" t="str">
        <f t="shared" si="87"/>
        <v xml:space="preserve"> </v>
      </c>
      <c r="AC463" s="2" t="str">
        <f t="shared" si="87"/>
        <v xml:space="preserve"> </v>
      </c>
      <c r="AD463" s="2" t="str">
        <f t="shared" si="87"/>
        <v xml:space="preserve"> </v>
      </c>
      <c r="AE463" s="2" t="str">
        <f t="shared" si="87"/>
        <v xml:space="preserve"> </v>
      </c>
      <c r="AF463" s="2" t="str">
        <f t="shared" si="87"/>
        <v xml:space="preserve"> </v>
      </c>
      <c r="AG463" s="2" t="str">
        <f t="shared" si="87"/>
        <v xml:space="preserve"> </v>
      </c>
      <c r="AH463" s="2" t="str">
        <f t="shared" ref="AH463:AQ472" si="88">IF(OR($A463=0,AH$451=0)," ",IF(AND($B463&gt;0,AH$451&gt;0,FLOOR($C$440/(AH$451*$B463),1)&gt;=$A463),FLOOR($C$440/(AH$451*$B463),1)," "))</f>
        <v xml:space="preserve"> </v>
      </c>
      <c r="AI463" s="2" t="str">
        <f t="shared" si="88"/>
        <v xml:space="preserve"> </v>
      </c>
      <c r="AJ463" s="2" t="str">
        <f t="shared" si="88"/>
        <v xml:space="preserve"> </v>
      </c>
      <c r="AK463" s="2" t="str">
        <f t="shared" si="88"/>
        <v xml:space="preserve"> </v>
      </c>
      <c r="AL463" s="2" t="str">
        <f t="shared" si="88"/>
        <v xml:space="preserve"> </v>
      </c>
      <c r="AM463" s="2" t="str">
        <f t="shared" si="88"/>
        <v xml:space="preserve"> </v>
      </c>
      <c r="AN463" s="2" t="str">
        <f t="shared" si="88"/>
        <v xml:space="preserve"> </v>
      </c>
      <c r="AO463" s="2" t="str">
        <f t="shared" si="88"/>
        <v xml:space="preserve"> </v>
      </c>
      <c r="AP463" s="2" t="str">
        <f t="shared" si="88"/>
        <v xml:space="preserve"> </v>
      </c>
      <c r="AQ463" s="25" t="str">
        <f t="shared" si="88"/>
        <v xml:space="preserve"> </v>
      </c>
      <c r="AR463" s="12">
        <f t="shared" si="83"/>
        <v>0</v>
      </c>
    </row>
    <row r="464" spans="1:44" x14ac:dyDescent="0.25">
      <c r="A464" s="12">
        <f t="shared" si="82"/>
        <v>0</v>
      </c>
      <c r="B464" s="12">
        <f>IF(AND($C$420&gt;$C$419,($B$454+10)&lt;=$C$420),$C$419+11,0)</f>
        <v>0</v>
      </c>
      <c r="C464" s="26">
        <f t="shared" si="84"/>
        <v>0</v>
      </c>
      <c r="D464" s="26" t="str">
        <f t="shared" si="85"/>
        <v xml:space="preserve"> </v>
      </c>
      <c r="E464" s="2" t="str">
        <f t="shared" si="85"/>
        <v xml:space="preserve"> </v>
      </c>
      <c r="F464" s="2" t="str">
        <f t="shared" si="85"/>
        <v xml:space="preserve"> </v>
      </c>
      <c r="G464" s="2" t="str">
        <f t="shared" si="85"/>
        <v xml:space="preserve"> </v>
      </c>
      <c r="H464" s="2" t="str">
        <f t="shared" si="85"/>
        <v xml:space="preserve"> </v>
      </c>
      <c r="I464" s="2" t="str">
        <f t="shared" si="85"/>
        <v xml:space="preserve"> </v>
      </c>
      <c r="J464" s="2" t="str">
        <f t="shared" si="85"/>
        <v xml:space="preserve"> </v>
      </c>
      <c r="K464" s="2" t="str">
        <f t="shared" si="85"/>
        <v xml:space="preserve"> </v>
      </c>
      <c r="L464" s="2" t="str">
        <f t="shared" si="85"/>
        <v xml:space="preserve"> </v>
      </c>
      <c r="M464" s="2" t="str">
        <f t="shared" si="85"/>
        <v xml:space="preserve"> </v>
      </c>
      <c r="N464" s="2" t="str">
        <f t="shared" si="86"/>
        <v xml:space="preserve"> </v>
      </c>
      <c r="O464" s="2" t="str">
        <f t="shared" si="86"/>
        <v xml:space="preserve"> </v>
      </c>
      <c r="P464" s="2" t="str">
        <f t="shared" si="86"/>
        <v xml:space="preserve"> </v>
      </c>
      <c r="Q464" s="2" t="str">
        <f t="shared" si="86"/>
        <v xml:space="preserve"> </v>
      </c>
      <c r="R464" s="2" t="str">
        <f t="shared" si="86"/>
        <v xml:space="preserve"> </v>
      </c>
      <c r="S464" s="2" t="str">
        <f t="shared" si="86"/>
        <v xml:space="preserve"> </v>
      </c>
      <c r="T464" s="2" t="str">
        <f t="shared" si="86"/>
        <v xml:space="preserve"> </v>
      </c>
      <c r="U464" s="2" t="str">
        <f t="shared" si="86"/>
        <v xml:space="preserve"> </v>
      </c>
      <c r="V464" s="2" t="str">
        <f t="shared" si="86"/>
        <v xml:space="preserve"> </v>
      </c>
      <c r="W464" s="2" t="str">
        <f t="shared" si="86"/>
        <v xml:space="preserve"> </v>
      </c>
      <c r="X464" s="2" t="str">
        <f t="shared" si="87"/>
        <v xml:space="preserve"> </v>
      </c>
      <c r="Y464" s="2" t="str">
        <f t="shared" si="87"/>
        <v xml:space="preserve"> </v>
      </c>
      <c r="Z464" s="2" t="str">
        <f t="shared" si="87"/>
        <v xml:space="preserve"> </v>
      </c>
      <c r="AA464" s="2" t="str">
        <f t="shared" si="87"/>
        <v xml:space="preserve"> </v>
      </c>
      <c r="AB464" s="2" t="str">
        <f t="shared" si="87"/>
        <v xml:space="preserve"> </v>
      </c>
      <c r="AC464" s="2" t="str">
        <f t="shared" si="87"/>
        <v xml:space="preserve"> </v>
      </c>
      <c r="AD464" s="2" t="str">
        <f t="shared" si="87"/>
        <v xml:space="preserve"> </v>
      </c>
      <c r="AE464" s="2" t="str">
        <f t="shared" si="87"/>
        <v xml:space="preserve"> </v>
      </c>
      <c r="AF464" s="2" t="str">
        <f t="shared" si="87"/>
        <v xml:space="preserve"> </v>
      </c>
      <c r="AG464" s="2" t="str">
        <f t="shared" si="87"/>
        <v xml:space="preserve"> </v>
      </c>
      <c r="AH464" s="2" t="str">
        <f t="shared" si="88"/>
        <v xml:space="preserve"> </v>
      </c>
      <c r="AI464" s="2" t="str">
        <f t="shared" si="88"/>
        <v xml:space="preserve"> </v>
      </c>
      <c r="AJ464" s="2" t="str">
        <f t="shared" si="88"/>
        <v xml:space="preserve"> </v>
      </c>
      <c r="AK464" s="2" t="str">
        <f t="shared" si="88"/>
        <v xml:space="preserve"> </v>
      </c>
      <c r="AL464" s="2" t="str">
        <f t="shared" si="88"/>
        <v xml:space="preserve"> </v>
      </c>
      <c r="AM464" s="2" t="str">
        <f t="shared" si="88"/>
        <v xml:space="preserve"> </v>
      </c>
      <c r="AN464" s="2" t="str">
        <f t="shared" si="88"/>
        <v xml:space="preserve"> </v>
      </c>
      <c r="AO464" s="2" t="str">
        <f t="shared" si="88"/>
        <v xml:space="preserve"> </v>
      </c>
      <c r="AP464" s="2" t="str">
        <f t="shared" si="88"/>
        <v xml:space="preserve"> </v>
      </c>
      <c r="AQ464" s="25" t="str">
        <f t="shared" si="88"/>
        <v xml:space="preserve"> </v>
      </c>
      <c r="AR464" s="12">
        <f t="shared" si="83"/>
        <v>0</v>
      </c>
    </row>
    <row r="465" spans="1:44" x14ac:dyDescent="0.25">
      <c r="A465" s="12">
        <f t="shared" si="82"/>
        <v>0</v>
      </c>
      <c r="B465" s="12">
        <f>IF(AND($C$420&gt;$C$419,($B$454+11)&lt;=$C$420),$C$419+12,0)</f>
        <v>0</v>
      </c>
      <c r="C465" s="26">
        <f t="shared" si="84"/>
        <v>0</v>
      </c>
      <c r="D465" s="26" t="str">
        <f t="shared" si="85"/>
        <v xml:space="preserve"> </v>
      </c>
      <c r="E465" s="2" t="str">
        <f t="shared" si="85"/>
        <v xml:space="preserve"> </v>
      </c>
      <c r="F465" s="2" t="str">
        <f t="shared" si="85"/>
        <v xml:space="preserve"> </v>
      </c>
      <c r="G465" s="2" t="str">
        <f t="shared" si="85"/>
        <v xml:space="preserve"> </v>
      </c>
      <c r="H465" s="2" t="str">
        <f t="shared" si="85"/>
        <v xml:space="preserve"> </v>
      </c>
      <c r="I465" s="2" t="str">
        <f t="shared" si="85"/>
        <v xml:space="preserve"> </v>
      </c>
      <c r="J465" s="2" t="str">
        <f t="shared" si="85"/>
        <v xml:space="preserve"> </v>
      </c>
      <c r="K465" s="2" t="str">
        <f t="shared" si="85"/>
        <v xml:space="preserve"> </v>
      </c>
      <c r="L465" s="2" t="str">
        <f t="shared" si="85"/>
        <v xml:space="preserve"> </v>
      </c>
      <c r="M465" s="2" t="str">
        <f t="shared" si="85"/>
        <v xml:space="preserve"> </v>
      </c>
      <c r="N465" s="2" t="str">
        <f t="shared" si="86"/>
        <v xml:space="preserve"> </v>
      </c>
      <c r="O465" s="2" t="str">
        <f t="shared" si="86"/>
        <v xml:space="preserve"> </v>
      </c>
      <c r="P465" s="2" t="str">
        <f t="shared" si="86"/>
        <v xml:space="preserve"> </v>
      </c>
      <c r="Q465" s="2" t="str">
        <f t="shared" si="86"/>
        <v xml:space="preserve"> </v>
      </c>
      <c r="R465" s="2" t="str">
        <f t="shared" si="86"/>
        <v xml:space="preserve"> </v>
      </c>
      <c r="S465" s="2" t="str">
        <f t="shared" si="86"/>
        <v xml:space="preserve"> </v>
      </c>
      <c r="T465" s="2" t="str">
        <f t="shared" si="86"/>
        <v xml:space="preserve"> </v>
      </c>
      <c r="U465" s="2" t="str">
        <f t="shared" si="86"/>
        <v xml:space="preserve"> </v>
      </c>
      <c r="V465" s="2" t="str">
        <f t="shared" si="86"/>
        <v xml:space="preserve"> </v>
      </c>
      <c r="W465" s="2" t="str">
        <f t="shared" si="86"/>
        <v xml:space="preserve"> </v>
      </c>
      <c r="X465" s="2" t="str">
        <f t="shared" si="87"/>
        <v xml:space="preserve"> </v>
      </c>
      <c r="Y465" s="2" t="str">
        <f t="shared" si="87"/>
        <v xml:space="preserve"> </v>
      </c>
      <c r="Z465" s="2" t="str">
        <f t="shared" si="87"/>
        <v xml:space="preserve"> </v>
      </c>
      <c r="AA465" s="2" t="str">
        <f t="shared" si="87"/>
        <v xml:space="preserve"> </v>
      </c>
      <c r="AB465" s="2" t="str">
        <f t="shared" si="87"/>
        <v xml:space="preserve"> </v>
      </c>
      <c r="AC465" s="2" t="str">
        <f t="shared" si="87"/>
        <v xml:space="preserve"> </v>
      </c>
      <c r="AD465" s="2" t="str">
        <f t="shared" si="87"/>
        <v xml:space="preserve"> </v>
      </c>
      <c r="AE465" s="2" t="str">
        <f t="shared" si="87"/>
        <v xml:space="preserve"> </v>
      </c>
      <c r="AF465" s="2" t="str">
        <f t="shared" si="87"/>
        <v xml:space="preserve"> </v>
      </c>
      <c r="AG465" s="2" t="str">
        <f t="shared" si="87"/>
        <v xml:space="preserve"> </v>
      </c>
      <c r="AH465" s="2" t="str">
        <f t="shared" si="88"/>
        <v xml:space="preserve"> </v>
      </c>
      <c r="AI465" s="2" t="str">
        <f t="shared" si="88"/>
        <v xml:space="preserve"> </v>
      </c>
      <c r="AJ465" s="2" t="str">
        <f t="shared" si="88"/>
        <v xml:space="preserve"> </v>
      </c>
      <c r="AK465" s="2" t="str">
        <f t="shared" si="88"/>
        <v xml:space="preserve"> </v>
      </c>
      <c r="AL465" s="2" t="str">
        <f t="shared" si="88"/>
        <v xml:space="preserve"> </v>
      </c>
      <c r="AM465" s="2" t="str">
        <f t="shared" si="88"/>
        <v xml:space="preserve"> </v>
      </c>
      <c r="AN465" s="2" t="str">
        <f t="shared" si="88"/>
        <v xml:space="preserve"> </v>
      </c>
      <c r="AO465" s="2" t="str">
        <f t="shared" si="88"/>
        <v xml:space="preserve"> </v>
      </c>
      <c r="AP465" s="2" t="str">
        <f t="shared" si="88"/>
        <v xml:space="preserve"> </v>
      </c>
      <c r="AQ465" s="25" t="str">
        <f t="shared" si="88"/>
        <v xml:space="preserve"> </v>
      </c>
      <c r="AR465" s="12">
        <f t="shared" si="83"/>
        <v>0</v>
      </c>
    </row>
    <row r="466" spans="1:44" x14ac:dyDescent="0.25">
      <c r="A466" s="12">
        <f t="shared" si="82"/>
        <v>0</v>
      </c>
      <c r="B466" s="12">
        <f>IF(AND($C$420&gt;$C$419,($B$454+12)&lt;=$C$420),$C$419+13,0)</f>
        <v>0</v>
      </c>
      <c r="C466" s="26">
        <f t="shared" si="84"/>
        <v>0</v>
      </c>
      <c r="D466" s="26" t="str">
        <f t="shared" si="85"/>
        <v xml:space="preserve"> </v>
      </c>
      <c r="E466" s="2" t="str">
        <f t="shared" si="85"/>
        <v xml:space="preserve"> </v>
      </c>
      <c r="F466" s="2" t="str">
        <f t="shared" si="85"/>
        <v xml:space="preserve"> </v>
      </c>
      <c r="G466" s="2" t="str">
        <f t="shared" si="85"/>
        <v xml:space="preserve"> </v>
      </c>
      <c r="H466" s="2" t="str">
        <f t="shared" si="85"/>
        <v xml:space="preserve"> </v>
      </c>
      <c r="I466" s="2" t="str">
        <f t="shared" si="85"/>
        <v xml:space="preserve"> </v>
      </c>
      <c r="J466" s="2" t="str">
        <f t="shared" si="85"/>
        <v xml:space="preserve"> </v>
      </c>
      <c r="K466" s="2" t="str">
        <f t="shared" si="85"/>
        <v xml:space="preserve"> </v>
      </c>
      <c r="L466" s="2" t="str">
        <f t="shared" si="85"/>
        <v xml:space="preserve"> </v>
      </c>
      <c r="M466" s="2" t="str">
        <f t="shared" si="85"/>
        <v xml:space="preserve"> </v>
      </c>
      <c r="N466" s="2" t="str">
        <f t="shared" si="86"/>
        <v xml:space="preserve"> </v>
      </c>
      <c r="O466" s="2" t="str">
        <f t="shared" si="86"/>
        <v xml:space="preserve"> </v>
      </c>
      <c r="P466" s="2" t="str">
        <f t="shared" si="86"/>
        <v xml:space="preserve"> </v>
      </c>
      <c r="Q466" s="2" t="str">
        <f t="shared" si="86"/>
        <v xml:space="preserve"> </v>
      </c>
      <c r="R466" s="2" t="str">
        <f t="shared" si="86"/>
        <v xml:space="preserve"> </v>
      </c>
      <c r="S466" s="2" t="str">
        <f t="shared" si="86"/>
        <v xml:space="preserve"> </v>
      </c>
      <c r="T466" s="2" t="str">
        <f t="shared" si="86"/>
        <v xml:space="preserve"> </v>
      </c>
      <c r="U466" s="2" t="str">
        <f t="shared" si="86"/>
        <v xml:space="preserve"> </v>
      </c>
      <c r="V466" s="2" t="str">
        <f t="shared" si="86"/>
        <v xml:space="preserve"> </v>
      </c>
      <c r="W466" s="2" t="str">
        <f t="shared" si="86"/>
        <v xml:space="preserve"> </v>
      </c>
      <c r="X466" s="2" t="str">
        <f t="shared" si="87"/>
        <v xml:space="preserve"> </v>
      </c>
      <c r="Y466" s="2" t="str">
        <f t="shared" si="87"/>
        <v xml:space="preserve"> </v>
      </c>
      <c r="Z466" s="2" t="str">
        <f t="shared" si="87"/>
        <v xml:space="preserve"> </v>
      </c>
      <c r="AA466" s="2" t="str">
        <f t="shared" si="87"/>
        <v xml:space="preserve"> </v>
      </c>
      <c r="AB466" s="2" t="str">
        <f t="shared" si="87"/>
        <v xml:space="preserve"> </v>
      </c>
      <c r="AC466" s="2" t="str">
        <f t="shared" si="87"/>
        <v xml:space="preserve"> </v>
      </c>
      <c r="AD466" s="2" t="str">
        <f t="shared" si="87"/>
        <v xml:space="preserve"> </v>
      </c>
      <c r="AE466" s="2" t="str">
        <f t="shared" si="87"/>
        <v xml:space="preserve"> </v>
      </c>
      <c r="AF466" s="2" t="str">
        <f t="shared" si="87"/>
        <v xml:space="preserve"> </v>
      </c>
      <c r="AG466" s="2" t="str">
        <f t="shared" si="87"/>
        <v xml:space="preserve"> </v>
      </c>
      <c r="AH466" s="2" t="str">
        <f t="shared" si="88"/>
        <v xml:space="preserve"> </v>
      </c>
      <c r="AI466" s="2" t="str">
        <f t="shared" si="88"/>
        <v xml:space="preserve"> </v>
      </c>
      <c r="AJ466" s="2" t="str">
        <f t="shared" si="88"/>
        <v xml:space="preserve"> </v>
      </c>
      <c r="AK466" s="2" t="str">
        <f t="shared" si="88"/>
        <v xml:space="preserve"> </v>
      </c>
      <c r="AL466" s="2" t="str">
        <f t="shared" si="88"/>
        <v xml:space="preserve"> </v>
      </c>
      <c r="AM466" s="2" t="str">
        <f t="shared" si="88"/>
        <v xml:space="preserve"> </v>
      </c>
      <c r="AN466" s="2" t="str">
        <f t="shared" si="88"/>
        <v xml:space="preserve"> </v>
      </c>
      <c r="AO466" s="2" t="str">
        <f t="shared" si="88"/>
        <v xml:space="preserve"> </v>
      </c>
      <c r="AP466" s="2" t="str">
        <f t="shared" si="88"/>
        <v xml:space="preserve"> </v>
      </c>
      <c r="AQ466" s="25" t="str">
        <f t="shared" si="88"/>
        <v xml:space="preserve"> </v>
      </c>
      <c r="AR466" s="12">
        <f t="shared" si="83"/>
        <v>0</v>
      </c>
    </row>
    <row r="467" spans="1:44" x14ac:dyDescent="0.25">
      <c r="A467" s="12">
        <f t="shared" si="82"/>
        <v>0</v>
      </c>
      <c r="B467" s="12">
        <f>IF(AND($C$420&gt;$C$419,($B$454+13)&lt;=$C$420),$C$419+14,0)</f>
        <v>0</v>
      </c>
      <c r="C467" s="26">
        <f t="shared" si="84"/>
        <v>0</v>
      </c>
      <c r="D467" s="26" t="str">
        <f t="shared" si="85"/>
        <v xml:space="preserve"> </v>
      </c>
      <c r="E467" s="2" t="str">
        <f t="shared" si="85"/>
        <v xml:space="preserve"> </v>
      </c>
      <c r="F467" s="2" t="str">
        <f t="shared" si="85"/>
        <v xml:space="preserve"> </v>
      </c>
      <c r="G467" s="2" t="str">
        <f t="shared" si="85"/>
        <v xml:space="preserve"> </v>
      </c>
      <c r="H467" s="2" t="str">
        <f t="shared" si="85"/>
        <v xml:space="preserve"> </v>
      </c>
      <c r="I467" s="2" t="str">
        <f t="shared" si="85"/>
        <v xml:space="preserve"> </v>
      </c>
      <c r="J467" s="2" t="str">
        <f t="shared" si="85"/>
        <v xml:space="preserve"> </v>
      </c>
      <c r="K467" s="2" t="str">
        <f t="shared" si="85"/>
        <v xml:space="preserve"> </v>
      </c>
      <c r="L467" s="2" t="str">
        <f t="shared" si="85"/>
        <v xml:space="preserve"> </v>
      </c>
      <c r="M467" s="2" t="str">
        <f t="shared" si="85"/>
        <v xml:space="preserve"> </v>
      </c>
      <c r="N467" s="2" t="str">
        <f t="shared" si="86"/>
        <v xml:space="preserve"> </v>
      </c>
      <c r="O467" s="2" t="str">
        <f t="shared" si="86"/>
        <v xml:space="preserve"> </v>
      </c>
      <c r="P467" s="2" t="str">
        <f t="shared" si="86"/>
        <v xml:space="preserve"> </v>
      </c>
      <c r="Q467" s="2" t="str">
        <f t="shared" si="86"/>
        <v xml:space="preserve"> </v>
      </c>
      <c r="R467" s="2" t="str">
        <f t="shared" si="86"/>
        <v xml:space="preserve"> </v>
      </c>
      <c r="S467" s="2" t="str">
        <f t="shared" si="86"/>
        <v xml:space="preserve"> </v>
      </c>
      <c r="T467" s="2" t="str">
        <f t="shared" si="86"/>
        <v xml:space="preserve"> </v>
      </c>
      <c r="U467" s="2" t="str">
        <f t="shared" si="86"/>
        <v xml:space="preserve"> </v>
      </c>
      <c r="V467" s="2" t="str">
        <f t="shared" si="86"/>
        <v xml:space="preserve"> </v>
      </c>
      <c r="W467" s="2" t="str">
        <f t="shared" si="86"/>
        <v xml:space="preserve"> </v>
      </c>
      <c r="X467" s="2" t="str">
        <f t="shared" si="87"/>
        <v xml:space="preserve"> </v>
      </c>
      <c r="Y467" s="2" t="str">
        <f t="shared" si="87"/>
        <v xml:space="preserve"> </v>
      </c>
      <c r="Z467" s="2" t="str">
        <f t="shared" si="87"/>
        <v xml:space="preserve"> </v>
      </c>
      <c r="AA467" s="2" t="str">
        <f t="shared" si="87"/>
        <v xml:space="preserve"> </v>
      </c>
      <c r="AB467" s="2" t="str">
        <f t="shared" si="87"/>
        <v xml:space="preserve"> </v>
      </c>
      <c r="AC467" s="2" t="str">
        <f t="shared" si="87"/>
        <v xml:space="preserve"> </v>
      </c>
      <c r="AD467" s="2" t="str">
        <f t="shared" si="87"/>
        <v xml:space="preserve"> </v>
      </c>
      <c r="AE467" s="2" t="str">
        <f t="shared" si="87"/>
        <v xml:space="preserve"> </v>
      </c>
      <c r="AF467" s="2" t="str">
        <f t="shared" si="87"/>
        <v xml:space="preserve"> </v>
      </c>
      <c r="AG467" s="2" t="str">
        <f t="shared" si="87"/>
        <v xml:space="preserve"> </v>
      </c>
      <c r="AH467" s="2" t="str">
        <f t="shared" si="88"/>
        <v xml:space="preserve"> </v>
      </c>
      <c r="AI467" s="2" t="str">
        <f t="shared" si="88"/>
        <v xml:space="preserve"> </v>
      </c>
      <c r="AJ467" s="2" t="str">
        <f t="shared" si="88"/>
        <v xml:space="preserve"> </v>
      </c>
      <c r="AK467" s="2" t="str">
        <f t="shared" si="88"/>
        <v xml:space="preserve"> </v>
      </c>
      <c r="AL467" s="2" t="str">
        <f t="shared" si="88"/>
        <v xml:space="preserve"> </v>
      </c>
      <c r="AM467" s="2" t="str">
        <f t="shared" si="88"/>
        <v xml:space="preserve"> </v>
      </c>
      <c r="AN467" s="2" t="str">
        <f t="shared" si="88"/>
        <v xml:space="preserve"> </v>
      </c>
      <c r="AO467" s="2" t="str">
        <f t="shared" si="88"/>
        <v xml:space="preserve"> </v>
      </c>
      <c r="AP467" s="2" t="str">
        <f t="shared" si="88"/>
        <v xml:space="preserve"> </v>
      </c>
      <c r="AQ467" s="25" t="str">
        <f t="shared" si="88"/>
        <v xml:space="preserve"> </v>
      </c>
      <c r="AR467" s="12">
        <f t="shared" si="83"/>
        <v>0</v>
      </c>
    </row>
    <row r="468" spans="1:44" x14ac:dyDescent="0.25">
      <c r="A468" s="12">
        <f t="shared" si="82"/>
        <v>0</v>
      </c>
      <c r="B468" s="12">
        <f>IF(AND($C$420&gt;$C$419,($B$454+14)&lt;=$C$420),$C$419+15,0)</f>
        <v>0</v>
      </c>
      <c r="C468" s="26">
        <f t="shared" si="84"/>
        <v>0</v>
      </c>
      <c r="D468" s="26" t="str">
        <f t="shared" si="85"/>
        <v xml:space="preserve"> </v>
      </c>
      <c r="E468" s="2" t="str">
        <f t="shared" si="85"/>
        <v xml:space="preserve"> </v>
      </c>
      <c r="F468" s="2" t="str">
        <f t="shared" si="85"/>
        <v xml:space="preserve"> </v>
      </c>
      <c r="G468" s="2" t="str">
        <f t="shared" si="85"/>
        <v xml:space="preserve"> </v>
      </c>
      <c r="H468" s="2" t="str">
        <f t="shared" si="85"/>
        <v xml:space="preserve"> </v>
      </c>
      <c r="I468" s="2" t="str">
        <f t="shared" si="85"/>
        <v xml:space="preserve"> </v>
      </c>
      <c r="J468" s="2" t="str">
        <f t="shared" si="85"/>
        <v xml:space="preserve"> </v>
      </c>
      <c r="K468" s="2" t="str">
        <f t="shared" si="85"/>
        <v xml:space="preserve"> </v>
      </c>
      <c r="L468" s="2" t="str">
        <f t="shared" si="85"/>
        <v xml:space="preserve"> </v>
      </c>
      <c r="M468" s="2" t="str">
        <f t="shared" si="85"/>
        <v xml:space="preserve"> </v>
      </c>
      <c r="N468" s="2" t="str">
        <f t="shared" si="86"/>
        <v xml:space="preserve"> </v>
      </c>
      <c r="O468" s="2" t="str">
        <f t="shared" si="86"/>
        <v xml:space="preserve"> </v>
      </c>
      <c r="P468" s="2" t="str">
        <f t="shared" si="86"/>
        <v xml:space="preserve"> </v>
      </c>
      <c r="Q468" s="2" t="str">
        <f t="shared" si="86"/>
        <v xml:space="preserve"> </v>
      </c>
      <c r="R468" s="2" t="str">
        <f t="shared" si="86"/>
        <v xml:space="preserve"> </v>
      </c>
      <c r="S468" s="2" t="str">
        <f t="shared" si="86"/>
        <v xml:space="preserve"> </v>
      </c>
      <c r="T468" s="2" t="str">
        <f t="shared" si="86"/>
        <v xml:space="preserve"> </v>
      </c>
      <c r="U468" s="2" t="str">
        <f t="shared" si="86"/>
        <v xml:space="preserve"> </v>
      </c>
      <c r="V468" s="2" t="str">
        <f t="shared" si="86"/>
        <v xml:space="preserve"> </v>
      </c>
      <c r="W468" s="2" t="str">
        <f t="shared" si="86"/>
        <v xml:space="preserve"> </v>
      </c>
      <c r="X468" s="2" t="str">
        <f t="shared" si="87"/>
        <v xml:space="preserve"> </v>
      </c>
      <c r="Y468" s="2" t="str">
        <f t="shared" si="87"/>
        <v xml:space="preserve"> </v>
      </c>
      <c r="Z468" s="2" t="str">
        <f t="shared" si="87"/>
        <v xml:space="preserve"> </v>
      </c>
      <c r="AA468" s="2" t="str">
        <f t="shared" si="87"/>
        <v xml:space="preserve"> </v>
      </c>
      <c r="AB468" s="2" t="str">
        <f t="shared" si="87"/>
        <v xml:space="preserve"> </v>
      </c>
      <c r="AC468" s="2" t="str">
        <f t="shared" si="87"/>
        <v xml:space="preserve"> </v>
      </c>
      <c r="AD468" s="2" t="str">
        <f t="shared" si="87"/>
        <v xml:space="preserve"> </v>
      </c>
      <c r="AE468" s="2" t="str">
        <f t="shared" si="87"/>
        <v xml:space="preserve"> </v>
      </c>
      <c r="AF468" s="2" t="str">
        <f t="shared" si="87"/>
        <v xml:space="preserve"> </v>
      </c>
      <c r="AG468" s="2" t="str">
        <f t="shared" si="87"/>
        <v xml:space="preserve"> </v>
      </c>
      <c r="AH468" s="2" t="str">
        <f t="shared" si="88"/>
        <v xml:space="preserve"> </v>
      </c>
      <c r="AI468" s="2" t="str">
        <f t="shared" si="88"/>
        <v xml:space="preserve"> </v>
      </c>
      <c r="AJ468" s="2" t="str">
        <f t="shared" si="88"/>
        <v xml:space="preserve"> </v>
      </c>
      <c r="AK468" s="2" t="str">
        <f t="shared" si="88"/>
        <v xml:space="preserve"> </v>
      </c>
      <c r="AL468" s="2" t="str">
        <f t="shared" si="88"/>
        <v xml:space="preserve"> </v>
      </c>
      <c r="AM468" s="2" t="str">
        <f t="shared" si="88"/>
        <v xml:space="preserve"> </v>
      </c>
      <c r="AN468" s="2" t="str">
        <f t="shared" si="88"/>
        <v xml:space="preserve"> </v>
      </c>
      <c r="AO468" s="2" t="str">
        <f t="shared" si="88"/>
        <v xml:space="preserve"> </v>
      </c>
      <c r="AP468" s="2" t="str">
        <f t="shared" si="88"/>
        <v xml:space="preserve"> </v>
      </c>
      <c r="AQ468" s="25" t="str">
        <f t="shared" si="88"/>
        <v xml:space="preserve"> </v>
      </c>
      <c r="AR468" s="12">
        <f t="shared" si="83"/>
        <v>0</v>
      </c>
    </row>
    <row r="469" spans="1:44" x14ac:dyDescent="0.25">
      <c r="A469" s="12">
        <f t="shared" si="82"/>
        <v>0</v>
      </c>
      <c r="B469" s="12">
        <f>IF(AND($C$420&gt;$C$419,($B$454+15)&lt;=$C$420),$C$419+16,0)</f>
        <v>0</v>
      </c>
      <c r="C469" s="26">
        <f t="shared" si="84"/>
        <v>0</v>
      </c>
      <c r="D469" s="26" t="str">
        <f t="shared" si="85"/>
        <v xml:space="preserve"> </v>
      </c>
      <c r="E469" s="2" t="str">
        <f t="shared" si="85"/>
        <v xml:space="preserve"> </v>
      </c>
      <c r="F469" s="2" t="str">
        <f t="shared" si="85"/>
        <v xml:space="preserve"> </v>
      </c>
      <c r="G469" s="2" t="str">
        <f t="shared" si="85"/>
        <v xml:space="preserve"> </v>
      </c>
      <c r="H469" s="2" t="str">
        <f t="shared" si="85"/>
        <v xml:space="preserve"> </v>
      </c>
      <c r="I469" s="2" t="str">
        <f t="shared" si="85"/>
        <v xml:space="preserve"> </v>
      </c>
      <c r="J469" s="2" t="str">
        <f t="shared" si="85"/>
        <v xml:space="preserve"> </v>
      </c>
      <c r="K469" s="2" t="str">
        <f t="shared" si="85"/>
        <v xml:space="preserve"> </v>
      </c>
      <c r="L469" s="2" t="str">
        <f t="shared" si="85"/>
        <v xml:space="preserve"> </v>
      </c>
      <c r="M469" s="2" t="str">
        <f t="shared" si="85"/>
        <v xml:space="preserve"> </v>
      </c>
      <c r="N469" s="2" t="str">
        <f t="shared" si="86"/>
        <v xml:space="preserve"> </v>
      </c>
      <c r="O469" s="2" t="str">
        <f t="shared" si="86"/>
        <v xml:space="preserve"> </v>
      </c>
      <c r="P469" s="2" t="str">
        <f t="shared" si="86"/>
        <v xml:space="preserve"> </v>
      </c>
      <c r="Q469" s="2" t="str">
        <f t="shared" si="86"/>
        <v xml:space="preserve"> </v>
      </c>
      <c r="R469" s="2" t="str">
        <f t="shared" si="86"/>
        <v xml:space="preserve"> </v>
      </c>
      <c r="S469" s="2" t="str">
        <f t="shared" si="86"/>
        <v xml:space="preserve"> </v>
      </c>
      <c r="T469" s="2" t="str">
        <f t="shared" si="86"/>
        <v xml:space="preserve"> </v>
      </c>
      <c r="U469" s="2" t="str">
        <f t="shared" si="86"/>
        <v xml:space="preserve"> </v>
      </c>
      <c r="V469" s="2" t="str">
        <f t="shared" si="86"/>
        <v xml:space="preserve"> </v>
      </c>
      <c r="W469" s="2" t="str">
        <f t="shared" si="86"/>
        <v xml:space="preserve"> </v>
      </c>
      <c r="X469" s="2" t="str">
        <f t="shared" si="87"/>
        <v xml:space="preserve"> </v>
      </c>
      <c r="Y469" s="2" t="str">
        <f t="shared" si="87"/>
        <v xml:space="preserve"> </v>
      </c>
      <c r="Z469" s="2" t="str">
        <f t="shared" si="87"/>
        <v xml:space="preserve"> </v>
      </c>
      <c r="AA469" s="2" t="str">
        <f t="shared" si="87"/>
        <v xml:space="preserve"> </v>
      </c>
      <c r="AB469" s="2" t="str">
        <f t="shared" si="87"/>
        <v xml:space="preserve"> </v>
      </c>
      <c r="AC469" s="2" t="str">
        <f t="shared" si="87"/>
        <v xml:space="preserve"> </v>
      </c>
      <c r="AD469" s="2" t="str">
        <f t="shared" si="87"/>
        <v xml:space="preserve"> </v>
      </c>
      <c r="AE469" s="2" t="str">
        <f t="shared" si="87"/>
        <v xml:space="preserve"> </v>
      </c>
      <c r="AF469" s="2" t="str">
        <f t="shared" si="87"/>
        <v xml:space="preserve"> </v>
      </c>
      <c r="AG469" s="2" t="str">
        <f t="shared" si="87"/>
        <v xml:space="preserve"> </v>
      </c>
      <c r="AH469" s="2" t="str">
        <f t="shared" si="88"/>
        <v xml:space="preserve"> </v>
      </c>
      <c r="AI469" s="2" t="str">
        <f t="shared" si="88"/>
        <v xml:space="preserve"> </v>
      </c>
      <c r="AJ469" s="2" t="str">
        <f t="shared" si="88"/>
        <v xml:space="preserve"> </v>
      </c>
      <c r="AK469" s="2" t="str">
        <f t="shared" si="88"/>
        <v xml:space="preserve"> </v>
      </c>
      <c r="AL469" s="2" t="str">
        <f t="shared" si="88"/>
        <v xml:space="preserve"> </v>
      </c>
      <c r="AM469" s="2" t="str">
        <f t="shared" si="88"/>
        <v xml:space="preserve"> </v>
      </c>
      <c r="AN469" s="2" t="str">
        <f t="shared" si="88"/>
        <v xml:space="preserve"> </v>
      </c>
      <c r="AO469" s="2" t="str">
        <f t="shared" si="88"/>
        <v xml:space="preserve"> </v>
      </c>
      <c r="AP469" s="2" t="str">
        <f t="shared" si="88"/>
        <v xml:space="preserve"> </v>
      </c>
      <c r="AQ469" s="25" t="str">
        <f t="shared" si="88"/>
        <v xml:space="preserve"> </v>
      </c>
      <c r="AR469" s="12">
        <f t="shared" si="83"/>
        <v>0</v>
      </c>
    </row>
    <row r="470" spans="1:44" x14ac:dyDescent="0.25">
      <c r="A470" s="12">
        <f t="shared" si="82"/>
        <v>0</v>
      </c>
      <c r="B470" s="12">
        <f>IF(AND($C$420&gt;$C$419,($B$454+16)&lt;=$C$420),$C$419+17,0)</f>
        <v>0</v>
      </c>
      <c r="C470" s="26">
        <f t="shared" si="84"/>
        <v>0</v>
      </c>
      <c r="D470" s="26" t="str">
        <f t="shared" si="85"/>
        <v xml:space="preserve"> </v>
      </c>
      <c r="E470" s="2" t="str">
        <f t="shared" si="85"/>
        <v xml:space="preserve"> </v>
      </c>
      <c r="F470" s="2" t="str">
        <f t="shared" si="85"/>
        <v xml:space="preserve"> </v>
      </c>
      <c r="G470" s="2" t="str">
        <f t="shared" si="85"/>
        <v xml:space="preserve"> </v>
      </c>
      <c r="H470" s="2" t="str">
        <f t="shared" si="85"/>
        <v xml:space="preserve"> </v>
      </c>
      <c r="I470" s="2" t="str">
        <f t="shared" si="85"/>
        <v xml:space="preserve"> </v>
      </c>
      <c r="J470" s="2" t="str">
        <f t="shared" si="85"/>
        <v xml:space="preserve"> </v>
      </c>
      <c r="K470" s="2" t="str">
        <f t="shared" si="85"/>
        <v xml:space="preserve"> </v>
      </c>
      <c r="L470" s="2" t="str">
        <f t="shared" si="85"/>
        <v xml:space="preserve"> </v>
      </c>
      <c r="M470" s="2" t="str">
        <f t="shared" si="85"/>
        <v xml:space="preserve"> </v>
      </c>
      <c r="N470" s="2" t="str">
        <f t="shared" si="86"/>
        <v xml:space="preserve"> </v>
      </c>
      <c r="O470" s="2" t="str">
        <f t="shared" si="86"/>
        <v xml:space="preserve"> </v>
      </c>
      <c r="P470" s="2" t="str">
        <f t="shared" si="86"/>
        <v xml:space="preserve"> </v>
      </c>
      <c r="Q470" s="2" t="str">
        <f t="shared" si="86"/>
        <v xml:space="preserve"> </v>
      </c>
      <c r="R470" s="2" t="str">
        <f t="shared" si="86"/>
        <v xml:space="preserve"> </v>
      </c>
      <c r="S470" s="2" t="str">
        <f t="shared" si="86"/>
        <v xml:space="preserve"> </v>
      </c>
      <c r="T470" s="2" t="str">
        <f t="shared" si="86"/>
        <v xml:space="preserve"> </v>
      </c>
      <c r="U470" s="2" t="str">
        <f t="shared" si="86"/>
        <v xml:space="preserve"> </v>
      </c>
      <c r="V470" s="2" t="str">
        <f t="shared" si="86"/>
        <v xml:space="preserve"> </v>
      </c>
      <c r="W470" s="2" t="str">
        <f t="shared" si="86"/>
        <v xml:space="preserve"> </v>
      </c>
      <c r="X470" s="2" t="str">
        <f t="shared" si="87"/>
        <v xml:space="preserve"> </v>
      </c>
      <c r="Y470" s="2" t="str">
        <f t="shared" si="87"/>
        <v xml:space="preserve"> </v>
      </c>
      <c r="Z470" s="2" t="str">
        <f t="shared" si="87"/>
        <v xml:space="preserve"> </v>
      </c>
      <c r="AA470" s="2" t="str">
        <f t="shared" si="87"/>
        <v xml:space="preserve"> </v>
      </c>
      <c r="AB470" s="2" t="str">
        <f t="shared" si="87"/>
        <v xml:space="preserve"> </v>
      </c>
      <c r="AC470" s="2" t="str">
        <f t="shared" si="87"/>
        <v xml:space="preserve"> </v>
      </c>
      <c r="AD470" s="2" t="str">
        <f t="shared" si="87"/>
        <v xml:space="preserve"> </v>
      </c>
      <c r="AE470" s="2" t="str">
        <f t="shared" si="87"/>
        <v xml:space="preserve"> </v>
      </c>
      <c r="AF470" s="2" t="str">
        <f t="shared" si="87"/>
        <v xml:space="preserve"> </v>
      </c>
      <c r="AG470" s="2" t="str">
        <f t="shared" si="87"/>
        <v xml:space="preserve"> </v>
      </c>
      <c r="AH470" s="2" t="str">
        <f t="shared" si="88"/>
        <v xml:space="preserve"> </v>
      </c>
      <c r="AI470" s="2" t="str">
        <f t="shared" si="88"/>
        <v xml:space="preserve"> </v>
      </c>
      <c r="AJ470" s="2" t="str">
        <f t="shared" si="88"/>
        <v xml:space="preserve"> </v>
      </c>
      <c r="AK470" s="2" t="str">
        <f t="shared" si="88"/>
        <v xml:space="preserve"> </v>
      </c>
      <c r="AL470" s="2" t="str">
        <f t="shared" si="88"/>
        <v xml:space="preserve"> </v>
      </c>
      <c r="AM470" s="2" t="str">
        <f t="shared" si="88"/>
        <v xml:space="preserve"> </v>
      </c>
      <c r="AN470" s="2" t="str">
        <f t="shared" si="88"/>
        <v xml:space="preserve"> </v>
      </c>
      <c r="AO470" s="2" t="str">
        <f t="shared" si="88"/>
        <v xml:space="preserve"> </v>
      </c>
      <c r="AP470" s="2" t="str">
        <f t="shared" si="88"/>
        <v xml:space="preserve"> </v>
      </c>
      <c r="AQ470" s="25" t="str">
        <f t="shared" si="88"/>
        <v xml:space="preserve"> </v>
      </c>
      <c r="AR470" s="12">
        <f t="shared" si="83"/>
        <v>0</v>
      </c>
    </row>
    <row r="471" spans="1:44" x14ac:dyDescent="0.25">
      <c r="A471" s="12">
        <f t="shared" si="82"/>
        <v>0</v>
      </c>
      <c r="B471" s="12">
        <f>IF(AND($C$420&gt;$C$419,($B$454+17)&lt;=$C$420),$C$419+18,0)</f>
        <v>0</v>
      </c>
      <c r="C471" s="26">
        <f t="shared" si="84"/>
        <v>0</v>
      </c>
      <c r="D471" s="26" t="str">
        <f t="shared" si="85"/>
        <v xml:space="preserve"> </v>
      </c>
      <c r="E471" s="2" t="str">
        <f t="shared" si="85"/>
        <v xml:space="preserve"> </v>
      </c>
      <c r="F471" s="2" t="str">
        <f t="shared" si="85"/>
        <v xml:space="preserve"> </v>
      </c>
      <c r="G471" s="2" t="str">
        <f t="shared" si="85"/>
        <v xml:space="preserve"> </v>
      </c>
      <c r="H471" s="2" t="str">
        <f t="shared" si="85"/>
        <v xml:space="preserve"> </v>
      </c>
      <c r="I471" s="2" t="str">
        <f t="shared" si="85"/>
        <v xml:space="preserve"> </v>
      </c>
      <c r="J471" s="2" t="str">
        <f t="shared" si="85"/>
        <v xml:space="preserve"> </v>
      </c>
      <c r="K471" s="2" t="str">
        <f t="shared" si="85"/>
        <v xml:space="preserve"> </v>
      </c>
      <c r="L471" s="2" t="str">
        <f t="shared" si="85"/>
        <v xml:space="preserve"> </v>
      </c>
      <c r="M471" s="2" t="str">
        <f t="shared" si="85"/>
        <v xml:space="preserve"> </v>
      </c>
      <c r="N471" s="2" t="str">
        <f t="shared" si="86"/>
        <v xml:space="preserve"> </v>
      </c>
      <c r="O471" s="2" t="str">
        <f t="shared" si="86"/>
        <v xml:space="preserve"> </v>
      </c>
      <c r="P471" s="2" t="str">
        <f t="shared" si="86"/>
        <v xml:space="preserve"> </v>
      </c>
      <c r="Q471" s="2" t="str">
        <f t="shared" si="86"/>
        <v xml:space="preserve"> </v>
      </c>
      <c r="R471" s="2" t="str">
        <f t="shared" si="86"/>
        <v xml:space="preserve"> </v>
      </c>
      <c r="S471" s="2" t="str">
        <f t="shared" si="86"/>
        <v xml:space="preserve"> </v>
      </c>
      <c r="T471" s="2" t="str">
        <f t="shared" si="86"/>
        <v xml:space="preserve"> </v>
      </c>
      <c r="U471" s="2" t="str">
        <f t="shared" si="86"/>
        <v xml:space="preserve"> </v>
      </c>
      <c r="V471" s="2" t="str">
        <f t="shared" si="86"/>
        <v xml:space="preserve"> </v>
      </c>
      <c r="W471" s="2" t="str">
        <f t="shared" si="86"/>
        <v xml:space="preserve"> </v>
      </c>
      <c r="X471" s="2" t="str">
        <f t="shared" si="87"/>
        <v xml:space="preserve"> </v>
      </c>
      <c r="Y471" s="2" t="str">
        <f t="shared" si="87"/>
        <v xml:space="preserve"> </v>
      </c>
      <c r="Z471" s="2" t="str">
        <f t="shared" si="87"/>
        <v xml:space="preserve"> </v>
      </c>
      <c r="AA471" s="2" t="str">
        <f t="shared" si="87"/>
        <v xml:space="preserve"> </v>
      </c>
      <c r="AB471" s="2" t="str">
        <f t="shared" si="87"/>
        <v xml:space="preserve"> </v>
      </c>
      <c r="AC471" s="2" t="str">
        <f t="shared" si="87"/>
        <v xml:space="preserve"> </v>
      </c>
      <c r="AD471" s="2" t="str">
        <f t="shared" si="87"/>
        <v xml:space="preserve"> </v>
      </c>
      <c r="AE471" s="2" t="str">
        <f t="shared" si="87"/>
        <v xml:space="preserve"> </v>
      </c>
      <c r="AF471" s="2" t="str">
        <f t="shared" si="87"/>
        <v xml:space="preserve"> </v>
      </c>
      <c r="AG471" s="2" t="str">
        <f t="shared" si="87"/>
        <v xml:space="preserve"> </v>
      </c>
      <c r="AH471" s="2" t="str">
        <f t="shared" si="88"/>
        <v xml:space="preserve"> </v>
      </c>
      <c r="AI471" s="2" t="str">
        <f t="shared" si="88"/>
        <v xml:space="preserve"> </v>
      </c>
      <c r="AJ471" s="2" t="str">
        <f t="shared" si="88"/>
        <v xml:space="preserve"> </v>
      </c>
      <c r="AK471" s="2" t="str">
        <f t="shared" si="88"/>
        <v xml:space="preserve"> </v>
      </c>
      <c r="AL471" s="2" t="str">
        <f t="shared" si="88"/>
        <v xml:space="preserve"> </v>
      </c>
      <c r="AM471" s="2" t="str">
        <f t="shared" si="88"/>
        <v xml:space="preserve"> </v>
      </c>
      <c r="AN471" s="2" t="str">
        <f t="shared" si="88"/>
        <v xml:space="preserve"> </v>
      </c>
      <c r="AO471" s="2" t="str">
        <f t="shared" si="88"/>
        <v xml:space="preserve"> </v>
      </c>
      <c r="AP471" s="2" t="str">
        <f t="shared" si="88"/>
        <v xml:space="preserve"> </v>
      </c>
      <c r="AQ471" s="25" t="str">
        <f t="shared" si="88"/>
        <v xml:space="preserve"> </v>
      </c>
      <c r="AR471" s="12">
        <f t="shared" si="83"/>
        <v>0</v>
      </c>
    </row>
    <row r="472" spans="1:44" x14ac:dyDescent="0.25">
      <c r="A472" s="12">
        <f t="shared" si="82"/>
        <v>0</v>
      </c>
      <c r="B472" s="12">
        <f>IF(AND($C$420&gt;$C$419,($B$454+18)&lt;=$C$420),$C$419+19,0)</f>
        <v>0</v>
      </c>
      <c r="C472" s="26">
        <f t="shared" si="84"/>
        <v>0</v>
      </c>
      <c r="D472" s="26" t="str">
        <f t="shared" si="85"/>
        <v xml:space="preserve"> </v>
      </c>
      <c r="E472" s="2" t="str">
        <f t="shared" si="85"/>
        <v xml:space="preserve"> </v>
      </c>
      <c r="F472" s="2" t="str">
        <f t="shared" si="85"/>
        <v xml:space="preserve"> </v>
      </c>
      <c r="G472" s="2" t="str">
        <f t="shared" si="85"/>
        <v xml:space="preserve"> </v>
      </c>
      <c r="H472" s="2" t="str">
        <f t="shared" si="85"/>
        <v xml:space="preserve"> </v>
      </c>
      <c r="I472" s="2" t="str">
        <f t="shared" si="85"/>
        <v xml:space="preserve"> </v>
      </c>
      <c r="J472" s="2" t="str">
        <f t="shared" si="85"/>
        <v xml:space="preserve"> </v>
      </c>
      <c r="K472" s="2" t="str">
        <f t="shared" si="85"/>
        <v xml:space="preserve"> </v>
      </c>
      <c r="L472" s="2" t="str">
        <f t="shared" si="85"/>
        <v xml:space="preserve"> </v>
      </c>
      <c r="M472" s="2" t="str">
        <f t="shared" si="85"/>
        <v xml:space="preserve"> </v>
      </c>
      <c r="N472" s="2" t="str">
        <f t="shared" si="86"/>
        <v xml:space="preserve"> </v>
      </c>
      <c r="O472" s="2" t="str">
        <f t="shared" si="86"/>
        <v xml:space="preserve"> </v>
      </c>
      <c r="P472" s="2" t="str">
        <f t="shared" si="86"/>
        <v xml:space="preserve"> </v>
      </c>
      <c r="Q472" s="2" t="str">
        <f t="shared" si="86"/>
        <v xml:space="preserve"> </v>
      </c>
      <c r="R472" s="2" t="str">
        <f t="shared" si="86"/>
        <v xml:space="preserve"> </v>
      </c>
      <c r="S472" s="2" t="str">
        <f t="shared" si="86"/>
        <v xml:space="preserve"> </v>
      </c>
      <c r="T472" s="2" t="str">
        <f t="shared" si="86"/>
        <v xml:space="preserve"> </v>
      </c>
      <c r="U472" s="2" t="str">
        <f t="shared" si="86"/>
        <v xml:space="preserve"> </v>
      </c>
      <c r="V472" s="2" t="str">
        <f t="shared" si="86"/>
        <v xml:space="preserve"> </v>
      </c>
      <c r="W472" s="2" t="str">
        <f t="shared" si="86"/>
        <v xml:space="preserve"> </v>
      </c>
      <c r="X472" s="2" t="str">
        <f t="shared" si="87"/>
        <v xml:space="preserve"> </v>
      </c>
      <c r="Y472" s="2" t="str">
        <f t="shared" si="87"/>
        <v xml:space="preserve"> </v>
      </c>
      <c r="Z472" s="2" t="str">
        <f t="shared" si="87"/>
        <v xml:space="preserve"> </v>
      </c>
      <c r="AA472" s="2" t="str">
        <f t="shared" si="87"/>
        <v xml:space="preserve"> </v>
      </c>
      <c r="AB472" s="2" t="str">
        <f t="shared" si="87"/>
        <v xml:space="preserve"> </v>
      </c>
      <c r="AC472" s="2" t="str">
        <f t="shared" si="87"/>
        <v xml:space="preserve"> </v>
      </c>
      <c r="AD472" s="2" t="str">
        <f t="shared" si="87"/>
        <v xml:space="preserve"> </v>
      </c>
      <c r="AE472" s="2" t="str">
        <f t="shared" si="87"/>
        <v xml:space="preserve"> </v>
      </c>
      <c r="AF472" s="2" t="str">
        <f t="shared" si="87"/>
        <v xml:space="preserve"> </v>
      </c>
      <c r="AG472" s="2" t="str">
        <f t="shared" si="87"/>
        <v xml:space="preserve"> </v>
      </c>
      <c r="AH472" s="2" t="str">
        <f t="shared" si="88"/>
        <v xml:space="preserve"> </v>
      </c>
      <c r="AI472" s="2" t="str">
        <f t="shared" si="88"/>
        <v xml:space="preserve"> </v>
      </c>
      <c r="AJ472" s="2" t="str">
        <f t="shared" si="88"/>
        <v xml:space="preserve"> </v>
      </c>
      <c r="AK472" s="2" t="str">
        <f t="shared" si="88"/>
        <v xml:space="preserve"> </v>
      </c>
      <c r="AL472" s="2" t="str">
        <f t="shared" si="88"/>
        <v xml:space="preserve"> </v>
      </c>
      <c r="AM472" s="2" t="str">
        <f t="shared" si="88"/>
        <v xml:space="preserve"> </v>
      </c>
      <c r="AN472" s="2" t="str">
        <f t="shared" si="88"/>
        <v xml:space="preserve"> </v>
      </c>
      <c r="AO472" s="2" t="str">
        <f t="shared" si="88"/>
        <v xml:space="preserve"> </v>
      </c>
      <c r="AP472" s="2" t="str">
        <f t="shared" si="88"/>
        <v xml:space="preserve"> </v>
      </c>
      <c r="AQ472" s="25" t="str">
        <f t="shared" si="88"/>
        <v xml:space="preserve"> </v>
      </c>
      <c r="AR472" s="12">
        <f t="shared" si="83"/>
        <v>0</v>
      </c>
    </row>
    <row r="473" spans="1:44" x14ac:dyDescent="0.25">
      <c r="A473" s="12">
        <f t="shared" si="82"/>
        <v>0</v>
      </c>
      <c r="B473" s="12">
        <f>IF(AND($C$420&gt;$C$419,($B$454+19)&lt;=$C$420),$C$419+20,0)</f>
        <v>0</v>
      </c>
      <c r="C473" s="26">
        <f t="shared" si="84"/>
        <v>0</v>
      </c>
      <c r="D473" s="26" t="str">
        <f t="shared" ref="D473:M482" si="89">IF(OR($A473=0,D$451=0)," ",IF(AND($B473&gt;0,D$451&gt;0,FLOOR($C$440/(D$451*$B473),1)&gt;=$A473),FLOOR($C$440/(D$451*$B473),1)," "))</f>
        <v xml:space="preserve"> </v>
      </c>
      <c r="E473" s="2" t="str">
        <f t="shared" si="89"/>
        <v xml:space="preserve"> </v>
      </c>
      <c r="F473" s="2" t="str">
        <f t="shared" si="89"/>
        <v xml:space="preserve"> </v>
      </c>
      <c r="G473" s="2" t="str">
        <f t="shared" si="89"/>
        <v xml:space="preserve"> </v>
      </c>
      <c r="H473" s="2" t="str">
        <f t="shared" si="89"/>
        <v xml:space="preserve"> </v>
      </c>
      <c r="I473" s="2" t="str">
        <f t="shared" si="89"/>
        <v xml:space="preserve"> </v>
      </c>
      <c r="J473" s="2" t="str">
        <f t="shared" si="89"/>
        <v xml:space="preserve"> </v>
      </c>
      <c r="K473" s="2" t="str">
        <f t="shared" si="89"/>
        <v xml:space="preserve"> </v>
      </c>
      <c r="L473" s="2" t="str">
        <f t="shared" si="89"/>
        <v xml:space="preserve"> </v>
      </c>
      <c r="M473" s="2" t="str">
        <f t="shared" si="89"/>
        <v xml:space="preserve"> </v>
      </c>
      <c r="N473" s="2" t="str">
        <f t="shared" ref="N473:W482" si="90">IF(OR($A473=0,N$451=0)," ",IF(AND($B473&gt;0,N$451&gt;0,FLOOR($C$440/(N$451*$B473),1)&gt;=$A473),FLOOR($C$440/(N$451*$B473),1)," "))</f>
        <v xml:space="preserve"> </v>
      </c>
      <c r="O473" s="2" t="str">
        <f t="shared" si="90"/>
        <v xml:space="preserve"> </v>
      </c>
      <c r="P473" s="2" t="str">
        <f t="shared" si="90"/>
        <v xml:space="preserve"> </v>
      </c>
      <c r="Q473" s="2" t="str">
        <f t="shared" si="90"/>
        <v xml:space="preserve"> </v>
      </c>
      <c r="R473" s="2" t="str">
        <f t="shared" si="90"/>
        <v xml:space="preserve"> </v>
      </c>
      <c r="S473" s="2" t="str">
        <f t="shared" si="90"/>
        <v xml:space="preserve"> </v>
      </c>
      <c r="T473" s="2" t="str">
        <f t="shared" si="90"/>
        <v xml:space="preserve"> </v>
      </c>
      <c r="U473" s="2" t="str">
        <f t="shared" si="90"/>
        <v xml:space="preserve"> </v>
      </c>
      <c r="V473" s="2" t="str">
        <f t="shared" si="90"/>
        <v xml:space="preserve"> </v>
      </c>
      <c r="W473" s="2" t="str">
        <f t="shared" si="90"/>
        <v xml:space="preserve"> </v>
      </c>
      <c r="X473" s="2" t="str">
        <f t="shared" ref="X473:AG482" si="91">IF(OR($A473=0,X$451=0)," ",IF(AND($B473&gt;0,X$451&gt;0,FLOOR($C$440/(X$451*$B473),1)&gt;=$A473),FLOOR($C$440/(X$451*$B473),1)," "))</f>
        <v xml:space="preserve"> </v>
      </c>
      <c r="Y473" s="2" t="str">
        <f t="shared" si="91"/>
        <v xml:space="preserve"> </v>
      </c>
      <c r="Z473" s="2" t="str">
        <f t="shared" si="91"/>
        <v xml:space="preserve"> </v>
      </c>
      <c r="AA473" s="2" t="str">
        <f t="shared" si="91"/>
        <v xml:space="preserve"> </v>
      </c>
      <c r="AB473" s="2" t="str">
        <f t="shared" si="91"/>
        <v xml:space="preserve"> </v>
      </c>
      <c r="AC473" s="2" t="str">
        <f t="shared" si="91"/>
        <v xml:space="preserve"> </v>
      </c>
      <c r="AD473" s="2" t="str">
        <f t="shared" si="91"/>
        <v xml:space="preserve"> </v>
      </c>
      <c r="AE473" s="2" t="str">
        <f t="shared" si="91"/>
        <v xml:space="preserve"> </v>
      </c>
      <c r="AF473" s="2" t="str">
        <f t="shared" si="91"/>
        <v xml:space="preserve"> </v>
      </c>
      <c r="AG473" s="2" t="str">
        <f t="shared" si="91"/>
        <v xml:space="preserve"> </v>
      </c>
      <c r="AH473" s="2" t="str">
        <f t="shared" ref="AH473:AQ482" si="92">IF(OR($A473=0,AH$451=0)," ",IF(AND($B473&gt;0,AH$451&gt;0,FLOOR($C$440/(AH$451*$B473),1)&gt;=$A473),FLOOR($C$440/(AH$451*$B473),1)," "))</f>
        <v xml:space="preserve"> </v>
      </c>
      <c r="AI473" s="2" t="str">
        <f t="shared" si="92"/>
        <v xml:space="preserve"> </v>
      </c>
      <c r="AJ473" s="2" t="str">
        <f t="shared" si="92"/>
        <v xml:space="preserve"> </v>
      </c>
      <c r="AK473" s="2" t="str">
        <f t="shared" si="92"/>
        <v xml:space="preserve"> </v>
      </c>
      <c r="AL473" s="2" t="str">
        <f t="shared" si="92"/>
        <v xml:space="preserve"> </v>
      </c>
      <c r="AM473" s="2" t="str">
        <f t="shared" si="92"/>
        <v xml:space="preserve"> </v>
      </c>
      <c r="AN473" s="2" t="str">
        <f t="shared" si="92"/>
        <v xml:space="preserve"> </v>
      </c>
      <c r="AO473" s="2" t="str">
        <f t="shared" si="92"/>
        <v xml:space="preserve"> </v>
      </c>
      <c r="AP473" s="2" t="str">
        <f t="shared" si="92"/>
        <v xml:space="preserve"> </v>
      </c>
      <c r="AQ473" s="25" t="str">
        <f t="shared" si="92"/>
        <v xml:space="preserve"> </v>
      </c>
      <c r="AR473" s="12">
        <f t="shared" si="83"/>
        <v>0</v>
      </c>
    </row>
    <row r="474" spans="1:44" x14ac:dyDescent="0.25">
      <c r="A474" s="12">
        <f t="shared" si="82"/>
        <v>0</v>
      </c>
      <c r="B474" s="12">
        <f>IF(AND($C$420&gt;$C$419,($B$454+20)&lt;=$C$420),$C$419+21,0)</f>
        <v>0</v>
      </c>
      <c r="C474" s="26">
        <f t="shared" si="84"/>
        <v>0</v>
      </c>
      <c r="D474" s="26" t="str">
        <f t="shared" si="89"/>
        <v xml:space="preserve"> </v>
      </c>
      <c r="E474" s="2" t="str">
        <f t="shared" si="89"/>
        <v xml:space="preserve"> </v>
      </c>
      <c r="F474" s="2" t="str">
        <f t="shared" si="89"/>
        <v xml:space="preserve"> </v>
      </c>
      <c r="G474" s="2" t="str">
        <f t="shared" si="89"/>
        <v xml:space="preserve"> </v>
      </c>
      <c r="H474" s="2" t="str">
        <f t="shared" si="89"/>
        <v xml:space="preserve"> </v>
      </c>
      <c r="I474" s="2" t="str">
        <f t="shared" si="89"/>
        <v xml:space="preserve"> </v>
      </c>
      <c r="J474" s="2" t="str">
        <f t="shared" si="89"/>
        <v xml:space="preserve"> </v>
      </c>
      <c r="K474" s="2" t="str">
        <f t="shared" si="89"/>
        <v xml:space="preserve"> </v>
      </c>
      <c r="L474" s="2" t="str">
        <f t="shared" si="89"/>
        <v xml:space="preserve"> </v>
      </c>
      <c r="M474" s="2" t="str">
        <f t="shared" si="89"/>
        <v xml:space="preserve"> </v>
      </c>
      <c r="N474" s="2" t="str">
        <f t="shared" si="90"/>
        <v xml:space="preserve"> </v>
      </c>
      <c r="O474" s="2" t="str">
        <f t="shared" si="90"/>
        <v xml:space="preserve"> </v>
      </c>
      <c r="P474" s="2" t="str">
        <f t="shared" si="90"/>
        <v xml:space="preserve"> </v>
      </c>
      <c r="Q474" s="2" t="str">
        <f t="shared" si="90"/>
        <v xml:space="preserve"> </v>
      </c>
      <c r="R474" s="2" t="str">
        <f t="shared" si="90"/>
        <v xml:space="preserve"> </v>
      </c>
      <c r="S474" s="2" t="str">
        <f t="shared" si="90"/>
        <v xml:space="preserve"> </v>
      </c>
      <c r="T474" s="2" t="str">
        <f t="shared" si="90"/>
        <v xml:space="preserve"> </v>
      </c>
      <c r="U474" s="2" t="str">
        <f t="shared" si="90"/>
        <v xml:space="preserve"> </v>
      </c>
      <c r="V474" s="2" t="str">
        <f t="shared" si="90"/>
        <v xml:space="preserve"> </v>
      </c>
      <c r="W474" s="2" t="str">
        <f t="shared" si="90"/>
        <v xml:space="preserve"> </v>
      </c>
      <c r="X474" s="2" t="str">
        <f t="shared" si="91"/>
        <v xml:space="preserve"> </v>
      </c>
      <c r="Y474" s="2" t="str">
        <f t="shared" si="91"/>
        <v xml:space="preserve"> </v>
      </c>
      <c r="Z474" s="2" t="str">
        <f t="shared" si="91"/>
        <v xml:space="preserve"> </v>
      </c>
      <c r="AA474" s="2" t="str">
        <f t="shared" si="91"/>
        <v xml:space="preserve"> </v>
      </c>
      <c r="AB474" s="2" t="str">
        <f t="shared" si="91"/>
        <v xml:space="preserve"> </v>
      </c>
      <c r="AC474" s="2" t="str">
        <f t="shared" si="91"/>
        <v xml:space="preserve"> </v>
      </c>
      <c r="AD474" s="2" t="str">
        <f t="shared" si="91"/>
        <v xml:space="preserve"> </v>
      </c>
      <c r="AE474" s="2" t="str">
        <f t="shared" si="91"/>
        <v xml:space="preserve"> </v>
      </c>
      <c r="AF474" s="2" t="str">
        <f t="shared" si="91"/>
        <v xml:space="preserve"> </v>
      </c>
      <c r="AG474" s="2" t="str">
        <f t="shared" si="91"/>
        <v xml:space="preserve"> </v>
      </c>
      <c r="AH474" s="2" t="str">
        <f t="shared" si="92"/>
        <v xml:space="preserve"> </v>
      </c>
      <c r="AI474" s="2" t="str">
        <f t="shared" si="92"/>
        <v xml:space="preserve"> </v>
      </c>
      <c r="AJ474" s="2" t="str">
        <f t="shared" si="92"/>
        <v xml:space="preserve"> </v>
      </c>
      <c r="AK474" s="2" t="str">
        <f t="shared" si="92"/>
        <v xml:space="preserve"> </v>
      </c>
      <c r="AL474" s="2" t="str">
        <f t="shared" si="92"/>
        <v xml:space="preserve"> </v>
      </c>
      <c r="AM474" s="2" t="str">
        <f t="shared" si="92"/>
        <v xml:space="preserve"> </v>
      </c>
      <c r="AN474" s="2" t="str">
        <f t="shared" si="92"/>
        <v xml:space="preserve"> </v>
      </c>
      <c r="AO474" s="2" t="str">
        <f t="shared" si="92"/>
        <v xml:space="preserve"> </v>
      </c>
      <c r="AP474" s="2" t="str">
        <f t="shared" si="92"/>
        <v xml:space="preserve"> </v>
      </c>
      <c r="AQ474" s="25" t="str">
        <f t="shared" si="92"/>
        <v xml:space="preserve"> </v>
      </c>
      <c r="AR474" s="12">
        <f t="shared" si="83"/>
        <v>0</v>
      </c>
    </row>
    <row r="475" spans="1:44" x14ac:dyDescent="0.25">
      <c r="A475" s="12">
        <f t="shared" si="82"/>
        <v>0</v>
      </c>
      <c r="B475" s="12">
        <f>IF(AND($C$420&gt;$C$419,($B$454+21)&lt;=$C$420),$C$419+22,0)</f>
        <v>0</v>
      </c>
      <c r="C475" s="26">
        <f t="shared" si="84"/>
        <v>0</v>
      </c>
      <c r="D475" s="26" t="str">
        <f t="shared" si="89"/>
        <v xml:space="preserve"> </v>
      </c>
      <c r="E475" s="2" t="str">
        <f t="shared" si="89"/>
        <v xml:space="preserve"> </v>
      </c>
      <c r="F475" s="2" t="str">
        <f t="shared" si="89"/>
        <v xml:space="preserve"> </v>
      </c>
      <c r="G475" s="2" t="str">
        <f t="shared" si="89"/>
        <v xml:space="preserve"> </v>
      </c>
      <c r="H475" s="2" t="str">
        <f t="shared" si="89"/>
        <v xml:space="preserve"> </v>
      </c>
      <c r="I475" s="2" t="str">
        <f t="shared" si="89"/>
        <v xml:space="preserve"> </v>
      </c>
      <c r="J475" s="2" t="str">
        <f t="shared" si="89"/>
        <v xml:space="preserve"> </v>
      </c>
      <c r="K475" s="2" t="str">
        <f t="shared" si="89"/>
        <v xml:space="preserve"> </v>
      </c>
      <c r="L475" s="2" t="str">
        <f t="shared" si="89"/>
        <v xml:space="preserve"> </v>
      </c>
      <c r="M475" s="2" t="str">
        <f t="shared" si="89"/>
        <v xml:space="preserve"> </v>
      </c>
      <c r="N475" s="2" t="str">
        <f t="shared" si="90"/>
        <v xml:space="preserve"> </v>
      </c>
      <c r="O475" s="2" t="str">
        <f t="shared" si="90"/>
        <v xml:space="preserve"> </v>
      </c>
      <c r="P475" s="2" t="str">
        <f t="shared" si="90"/>
        <v xml:space="preserve"> </v>
      </c>
      <c r="Q475" s="2" t="str">
        <f t="shared" si="90"/>
        <v xml:space="preserve"> </v>
      </c>
      <c r="R475" s="2" t="str">
        <f t="shared" si="90"/>
        <v xml:space="preserve"> </v>
      </c>
      <c r="S475" s="2" t="str">
        <f t="shared" si="90"/>
        <v xml:space="preserve"> </v>
      </c>
      <c r="T475" s="2" t="str">
        <f t="shared" si="90"/>
        <v xml:space="preserve"> </v>
      </c>
      <c r="U475" s="2" t="str">
        <f t="shared" si="90"/>
        <v xml:space="preserve"> </v>
      </c>
      <c r="V475" s="2" t="str">
        <f t="shared" si="90"/>
        <v xml:space="preserve"> </v>
      </c>
      <c r="W475" s="2" t="str">
        <f t="shared" si="90"/>
        <v xml:space="preserve"> </v>
      </c>
      <c r="X475" s="2" t="str">
        <f t="shared" si="91"/>
        <v xml:space="preserve"> </v>
      </c>
      <c r="Y475" s="2" t="str">
        <f t="shared" si="91"/>
        <v xml:space="preserve"> </v>
      </c>
      <c r="Z475" s="2" t="str">
        <f t="shared" si="91"/>
        <v xml:space="preserve"> </v>
      </c>
      <c r="AA475" s="2" t="str">
        <f t="shared" si="91"/>
        <v xml:space="preserve"> </v>
      </c>
      <c r="AB475" s="2" t="str">
        <f t="shared" si="91"/>
        <v xml:space="preserve"> </v>
      </c>
      <c r="AC475" s="2" t="str">
        <f t="shared" si="91"/>
        <v xml:space="preserve"> </v>
      </c>
      <c r="AD475" s="2" t="str">
        <f t="shared" si="91"/>
        <v xml:space="preserve"> </v>
      </c>
      <c r="AE475" s="2" t="str">
        <f t="shared" si="91"/>
        <v xml:space="preserve"> </v>
      </c>
      <c r="AF475" s="2" t="str">
        <f t="shared" si="91"/>
        <v xml:space="preserve"> </v>
      </c>
      <c r="AG475" s="2" t="str">
        <f t="shared" si="91"/>
        <v xml:space="preserve"> </v>
      </c>
      <c r="AH475" s="2" t="str">
        <f t="shared" si="92"/>
        <v xml:space="preserve"> </v>
      </c>
      <c r="AI475" s="2" t="str">
        <f t="shared" si="92"/>
        <v xml:space="preserve"> </v>
      </c>
      <c r="AJ475" s="2" t="str">
        <f t="shared" si="92"/>
        <v xml:space="preserve"> </v>
      </c>
      <c r="AK475" s="2" t="str">
        <f t="shared" si="92"/>
        <v xml:space="preserve"> </v>
      </c>
      <c r="AL475" s="2" t="str">
        <f t="shared" si="92"/>
        <v xml:space="preserve"> </v>
      </c>
      <c r="AM475" s="2" t="str">
        <f t="shared" si="92"/>
        <v xml:space="preserve"> </v>
      </c>
      <c r="AN475" s="2" t="str">
        <f t="shared" si="92"/>
        <v xml:space="preserve"> </v>
      </c>
      <c r="AO475" s="2" t="str">
        <f t="shared" si="92"/>
        <v xml:space="preserve"> </v>
      </c>
      <c r="AP475" s="2" t="str">
        <f t="shared" si="92"/>
        <v xml:space="preserve"> </v>
      </c>
      <c r="AQ475" s="25" t="str">
        <f t="shared" si="92"/>
        <v xml:space="preserve"> </v>
      </c>
      <c r="AR475" s="12">
        <f t="shared" si="83"/>
        <v>0</v>
      </c>
    </row>
    <row r="476" spans="1:44" x14ac:dyDescent="0.25">
      <c r="A476" s="12">
        <f t="shared" si="82"/>
        <v>0</v>
      </c>
      <c r="B476" s="12">
        <f>IF(AND($C$420&gt;$C$419,($B$454+22)&lt;=$C$420),$C$419+23,0)</f>
        <v>0</v>
      </c>
      <c r="C476" s="26">
        <f t="shared" si="84"/>
        <v>0</v>
      </c>
      <c r="D476" s="26" t="str">
        <f t="shared" si="89"/>
        <v xml:space="preserve"> </v>
      </c>
      <c r="E476" s="2" t="str">
        <f t="shared" si="89"/>
        <v xml:space="preserve"> </v>
      </c>
      <c r="F476" s="2" t="str">
        <f t="shared" si="89"/>
        <v xml:space="preserve"> </v>
      </c>
      <c r="G476" s="2" t="str">
        <f t="shared" si="89"/>
        <v xml:space="preserve"> </v>
      </c>
      <c r="H476" s="2" t="str">
        <f t="shared" si="89"/>
        <v xml:space="preserve"> </v>
      </c>
      <c r="I476" s="2" t="str">
        <f t="shared" si="89"/>
        <v xml:space="preserve"> </v>
      </c>
      <c r="J476" s="2" t="str">
        <f t="shared" si="89"/>
        <v xml:space="preserve"> </v>
      </c>
      <c r="K476" s="2" t="str">
        <f t="shared" si="89"/>
        <v xml:space="preserve"> </v>
      </c>
      <c r="L476" s="2" t="str">
        <f t="shared" si="89"/>
        <v xml:space="preserve"> </v>
      </c>
      <c r="M476" s="2" t="str">
        <f t="shared" si="89"/>
        <v xml:space="preserve"> </v>
      </c>
      <c r="N476" s="2" t="str">
        <f t="shared" si="90"/>
        <v xml:space="preserve"> </v>
      </c>
      <c r="O476" s="2" t="str">
        <f t="shared" si="90"/>
        <v xml:space="preserve"> </v>
      </c>
      <c r="P476" s="2" t="str">
        <f t="shared" si="90"/>
        <v xml:space="preserve"> </v>
      </c>
      <c r="Q476" s="2" t="str">
        <f t="shared" si="90"/>
        <v xml:space="preserve"> </v>
      </c>
      <c r="R476" s="2" t="str">
        <f t="shared" si="90"/>
        <v xml:space="preserve"> </v>
      </c>
      <c r="S476" s="2" t="str">
        <f t="shared" si="90"/>
        <v xml:space="preserve"> </v>
      </c>
      <c r="T476" s="2" t="str">
        <f t="shared" si="90"/>
        <v xml:space="preserve"> </v>
      </c>
      <c r="U476" s="2" t="str">
        <f t="shared" si="90"/>
        <v xml:space="preserve"> </v>
      </c>
      <c r="V476" s="2" t="str">
        <f t="shared" si="90"/>
        <v xml:space="preserve"> </v>
      </c>
      <c r="W476" s="2" t="str">
        <f t="shared" si="90"/>
        <v xml:space="preserve"> </v>
      </c>
      <c r="X476" s="2" t="str">
        <f t="shared" si="91"/>
        <v xml:space="preserve"> </v>
      </c>
      <c r="Y476" s="2" t="str">
        <f t="shared" si="91"/>
        <v xml:space="preserve"> </v>
      </c>
      <c r="Z476" s="2" t="str">
        <f t="shared" si="91"/>
        <v xml:space="preserve"> </v>
      </c>
      <c r="AA476" s="2" t="str">
        <f t="shared" si="91"/>
        <v xml:space="preserve"> </v>
      </c>
      <c r="AB476" s="2" t="str">
        <f t="shared" si="91"/>
        <v xml:space="preserve"> </v>
      </c>
      <c r="AC476" s="2" t="str">
        <f t="shared" si="91"/>
        <v xml:space="preserve"> </v>
      </c>
      <c r="AD476" s="2" t="str">
        <f t="shared" si="91"/>
        <v xml:space="preserve"> </v>
      </c>
      <c r="AE476" s="2" t="str">
        <f t="shared" si="91"/>
        <v xml:space="preserve"> </v>
      </c>
      <c r="AF476" s="2" t="str">
        <f t="shared" si="91"/>
        <v xml:space="preserve"> </v>
      </c>
      <c r="AG476" s="2" t="str">
        <f t="shared" si="91"/>
        <v xml:space="preserve"> </v>
      </c>
      <c r="AH476" s="2" t="str">
        <f t="shared" si="92"/>
        <v xml:space="preserve"> </v>
      </c>
      <c r="AI476" s="2" t="str">
        <f t="shared" si="92"/>
        <v xml:space="preserve"> </v>
      </c>
      <c r="AJ476" s="2" t="str">
        <f t="shared" si="92"/>
        <v xml:space="preserve"> </v>
      </c>
      <c r="AK476" s="2" t="str">
        <f t="shared" si="92"/>
        <v xml:space="preserve"> </v>
      </c>
      <c r="AL476" s="2" t="str">
        <f t="shared" si="92"/>
        <v xml:space="preserve"> </v>
      </c>
      <c r="AM476" s="2" t="str">
        <f t="shared" si="92"/>
        <v xml:space="preserve"> </v>
      </c>
      <c r="AN476" s="2" t="str">
        <f t="shared" si="92"/>
        <v xml:space="preserve"> </v>
      </c>
      <c r="AO476" s="2" t="str">
        <f t="shared" si="92"/>
        <v xml:space="preserve"> </v>
      </c>
      <c r="AP476" s="2" t="str">
        <f t="shared" si="92"/>
        <v xml:space="preserve"> </v>
      </c>
      <c r="AQ476" s="25" t="str">
        <f t="shared" si="92"/>
        <v xml:space="preserve"> </v>
      </c>
      <c r="AR476" s="12">
        <f t="shared" si="83"/>
        <v>0</v>
      </c>
    </row>
    <row r="477" spans="1:44" x14ac:dyDescent="0.25">
      <c r="A477" s="12">
        <f t="shared" si="82"/>
        <v>0</v>
      </c>
      <c r="B477" s="12">
        <f>IF(AND($C$420&gt;$C$419,($B$454+23)&lt;=$C$420),$C$419+24,0)</f>
        <v>0</v>
      </c>
      <c r="C477" s="26">
        <f t="shared" si="84"/>
        <v>0</v>
      </c>
      <c r="D477" s="26" t="str">
        <f t="shared" si="89"/>
        <v xml:space="preserve"> </v>
      </c>
      <c r="E477" s="2" t="str">
        <f t="shared" si="89"/>
        <v xml:space="preserve"> </v>
      </c>
      <c r="F477" s="2" t="str">
        <f t="shared" si="89"/>
        <v xml:space="preserve"> </v>
      </c>
      <c r="G477" s="2" t="str">
        <f t="shared" si="89"/>
        <v xml:space="preserve"> </v>
      </c>
      <c r="H477" s="2" t="str">
        <f t="shared" si="89"/>
        <v xml:space="preserve"> </v>
      </c>
      <c r="I477" s="2" t="str">
        <f t="shared" si="89"/>
        <v xml:space="preserve"> </v>
      </c>
      <c r="J477" s="2" t="str">
        <f t="shared" si="89"/>
        <v xml:space="preserve"> </v>
      </c>
      <c r="K477" s="2" t="str">
        <f t="shared" si="89"/>
        <v xml:space="preserve"> </v>
      </c>
      <c r="L477" s="2" t="str">
        <f t="shared" si="89"/>
        <v xml:space="preserve"> </v>
      </c>
      <c r="M477" s="2" t="str">
        <f t="shared" si="89"/>
        <v xml:space="preserve"> </v>
      </c>
      <c r="N477" s="2" t="str">
        <f t="shared" si="90"/>
        <v xml:space="preserve"> </v>
      </c>
      <c r="O477" s="2" t="str">
        <f t="shared" si="90"/>
        <v xml:space="preserve"> </v>
      </c>
      <c r="P477" s="2" t="str">
        <f t="shared" si="90"/>
        <v xml:space="preserve"> </v>
      </c>
      <c r="Q477" s="2" t="str">
        <f t="shared" si="90"/>
        <v xml:space="preserve"> </v>
      </c>
      <c r="R477" s="2" t="str">
        <f t="shared" si="90"/>
        <v xml:space="preserve"> </v>
      </c>
      <c r="S477" s="2" t="str">
        <f t="shared" si="90"/>
        <v xml:space="preserve"> </v>
      </c>
      <c r="T477" s="2" t="str">
        <f t="shared" si="90"/>
        <v xml:space="preserve"> </v>
      </c>
      <c r="U477" s="2" t="str">
        <f t="shared" si="90"/>
        <v xml:space="preserve"> </v>
      </c>
      <c r="V477" s="2" t="str">
        <f t="shared" si="90"/>
        <v xml:space="preserve"> </v>
      </c>
      <c r="W477" s="2" t="str">
        <f t="shared" si="90"/>
        <v xml:space="preserve"> </v>
      </c>
      <c r="X477" s="2" t="str">
        <f t="shared" si="91"/>
        <v xml:space="preserve"> </v>
      </c>
      <c r="Y477" s="2" t="str">
        <f t="shared" si="91"/>
        <v xml:space="preserve"> </v>
      </c>
      <c r="Z477" s="2" t="str">
        <f t="shared" si="91"/>
        <v xml:space="preserve"> </v>
      </c>
      <c r="AA477" s="2" t="str">
        <f t="shared" si="91"/>
        <v xml:space="preserve"> </v>
      </c>
      <c r="AB477" s="2" t="str">
        <f t="shared" si="91"/>
        <v xml:space="preserve"> </v>
      </c>
      <c r="AC477" s="2" t="str">
        <f t="shared" si="91"/>
        <v xml:space="preserve"> </v>
      </c>
      <c r="AD477" s="2" t="str">
        <f t="shared" si="91"/>
        <v xml:space="preserve"> </v>
      </c>
      <c r="AE477" s="2" t="str">
        <f t="shared" si="91"/>
        <v xml:space="preserve"> </v>
      </c>
      <c r="AF477" s="2" t="str">
        <f t="shared" si="91"/>
        <v xml:space="preserve"> </v>
      </c>
      <c r="AG477" s="2" t="str">
        <f t="shared" si="91"/>
        <v xml:space="preserve"> </v>
      </c>
      <c r="AH477" s="2" t="str">
        <f t="shared" si="92"/>
        <v xml:space="preserve"> </v>
      </c>
      <c r="AI477" s="2" t="str">
        <f t="shared" si="92"/>
        <v xml:space="preserve"> </v>
      </c>
      <c r="AJ477" s="2" t="str">
        <f t="shared" si="92"/>
        <v xml:space="preserve"> </v>
      </c>
      <c r="AK477" s="2" t="str">
        <f t="shared" si="92"/>
        <v xml:space="preserve"> </v>
      </c>
      <c r="AL477" s="2" t="str">
        <f t="shared" si="92"/>
        <v xml:space="preserve"> </v>
      </c>
      <c r="AM477" s="2" t="str">
        <f t="shared" si="92"/>
        <v xml:space="preserve"> </v>
      </c>
      <c r="AN477" s="2" t="str">
        <f t="shared" si="92"/>
        <v xml:space="preserve"> </v>
      </c>
      <c r="AO477" s="2" t="str">
        <f t="shared" si="92"/>
        <v xml:space="preserve"> </v>
      </c>
      <c r="AP477" s="2" t="str">
        <f t="shared" si="92"/>
        <v xml:space="preserve"> </v>
      </c>
      <c r="AQ477" s="25" t="str">
        <f t="shared" si="92"/>
        <v xml:space="preserve"> </v>
      </c>
      <c r="AR477" s="12">
        <f t="shared" si="83"/>
        <v>0</v>
      </c>
    </row>
    <row r="478" spans="1:44" x14ac:dyDescent="0.25">
      <c r="A478" s="12">
        <f t="shared" si="82"/>
        <v>0</v>
      </c>
      <c r="B478" s="12">
        <f>IF(AND($C$420&gt;$C$419,($B$454+24)&lt;=$C$420),$C$419+25,0)</f>
        <v>0</v>
      </c>
      <c r="C478" s="26">
        <f t="shared" si="84"/>
        <v>0</v>
      </c>
      <c r="D478" s="26" t="str">
        <f t="shared" si="89"/>
        <v xml:space="preserve"> </v>
      </c>
      <c r="E478" s="2" t="str">
        <f t="shared" si="89"/>
        <v xml:space="preserve"> </v>
      </c>
      <c r="F478" s="2" t="str">
        <f t="shared" si="89"/>
        <v xml:space="preserve"> </v>
      </c>
      <c r="G478" s="2" t="str">
        <f t="shared" si="89"/>
        <v xml:space="preserve"> </v>
      </c>
      <c r="H478" s="2" t="str">
        <f t="shared" si="89"/>
        <v xml:space="preserve"> </v>
      </c>
      <c r="I478" s="2" t="str">
        <f t="shared" si="89"/>
        <v xml:space="preserve"> </v>
      </c>
      <c r="J478" s="2" t="str">
        <f t="shared" si="89"/>
        <v xml:space="preserve"> </v>
      </c>
      <c r="K478" s="2" t="str">
        <f t="shared" si="89"/>
        <v xml:space="preserve"> </v>
      </c>
      <c r="L478" s="2" t="str">
        <f t="shared" si="89"/>
        <v xml:space="preserve"> </v>
      </c>
      <c r="M478" s="2" t="str">
        <f t="shared" si="89"/>
        <v xml:space="preserve"> </v>
      </c>
      <c r="N478" s="2" t="str">
        <f t="shared" si="90"/>
        <v xml:space="preserve"> </v>
      </c>
      <c r="O478" s="2" t="str">
        <f t="shared" si="90"/>
        <v xml:space="preserve"> </v>
      </c>
      <c r="P478" s="2" t="str">
        <f t="shared" si="90"/>
        <v xml:space="preserve"> </v>
      </c>
      <c r="Q478" s="2" t="str">
        <f t="shared" si="90"/>
        <v xml:space="preserve"> </v>
      </c>
      <c r="R478" s="2" t="str">
        <f t="shared" si="90"/>
        <v xml:space="preserve"> </v>
      </c>
      <c r="S478" s="2" t="str">
        <f t="shared" si="90"/>
        <v xml:space="preserve"> </v>
      </c>
      <c r="T478" s="2" t="str">
        <f t="shared" si="90"/>
        <v xml:space="preserve"> </v>
      </c>
      <c r="U478" s="2" t="str">
        <f t="shared" si="90"/>
        <v xml:space="preserve"> </v>
      </c>
      <c r="V478" s="2" t="str">
        <f t="shared" si="90"/>
        <v xml:space="preserve"> </v>
      </c>
      <c r="W478" s="2" t="str">
        <f t="shared" si="90"/>
        <v xml:space="preserve"> </v>
      </c>
      <c r="X478" s="2" t="str">
        <f t="shared" si="91"/>
        <v xml:space="preserve"> </v>
      </c>
      <c r="Y478" s="2" t="str">
        <f t="shared" si="91"/>
        <v xml:space="preserve"> </v>
      </c>
      <c r="Z478" s="2" t="str">
        <f t="shared" si="91"/>
        <v xml:space="preserve"> </v>
      </c>
      <c r="AA478" s="2" t="str">
        <f t="shared" si="91"/>
        <v xml:space="preserve"> </v>
      </c>
      <c r="AB478" s="2" t="str">
        <f t="shared" si="91"/>
        <v xml:space="preserve"> </v>
      </c>
      <c r="AC478" s="2" t="str">
        <f t="shared" si="91"/>
        <v xml:space="preserve"> </v>
      </c>
      <c r="AD478" s="2" t="str">
        <f t="shared" si="91"/>
        <v xml:space="preserve"> </v>
      </c>
      <c r="AE478" s="2" t="str">
        <f t="shared" si="91"/>
        <v xml:space="preserve"> </v>
      </c>
      <c r="AF478" s="2" t="str">
        <f t="shared" si="91"/>
        <v xml:space="preserve"> </v>
      </c>
      <c r="AG478" s="2" t="str">
        <f t="shared" si="91"/>
        <v xml:space="preserve"> </v>
      </c>
      <c r="AH478" s="2" t="str">
        <f t="shared" si="92"/>
        <v xml:space="preserve"> </v>
      </c>
      <c r="AI478" s="2" t="str">
        <f t="shared" si="92"/>
        <v xml:space="preserve"> </v>
      </c>
      <c r="AJ478" s="2" t="str">
        <f t="shared" si="92"/>
        <v xml:space="preserve"> </v>
      </c>
      <c r="AK478" s="2" t="str">
        <f t="shared" si="92"/>
        <v xml:space="preserve"> </v>
      </c>
      <c r="AL478" s="2" t="str">
        <f t="shared" si="92"/>
        <v xml:space="preserve"> </v>
      </c>
      <c r="AM478" s="2" t="str">
        <f t="shared" si="92"/>
        <v xml:space="preserve"> </v>
      </c>
      <c r="AN478" s="2" t="str">
        <f t="shared" si="92"/>
        <v xml:space="preserve"> </v>
      </c>
      <c r="AO478" s="2" t="str">
        <f t="shared" si="92"/>
        <v xml:space="preserve"> </v>
      </c>
      <c r="AP478" s="2" t="str">
        <f t="shared" si="92"/>
        <v xml:space="preserve"> </v>
      </c>
      <c r="AQ478" s="25" t="str">
        <f t="shared" si="92"/>
        <v xml:space="preserve"> </v>
      </c>
      <c r="AR478" s="12">
        <f t="shared" si="83"/>
        <v>0</v>
      </c>
    </row>
    <row r="479" spans="1:44" x14ac:dyDescent="0.25">
      <c r="A479" s="12">
        <f t="shared" si="82"/>
        <v>0</v>
      </c>
      <c r="B479" s="12">
        <f>IF(AND($C$420&gt;$C$419,($B$454+25)&lt;=$C$420),$C$419+26,0)</f>
        <v>0</v>
      </c>
      <c r="C479" s="26">
        <f t="shared" si="84"/>
        <v>0</v>
      </c>
      <c r="D479" s="26" t="str">
        <f t="shared" si="89"/>
        <v xml:space="preserve"> </v>
      </c>
      <c r="E479" s="2" t="str">
        <f t="shared" si="89"/>
        <v xml:space="preserve"> </v>
      </c>
      <c r="F479" s="2" t="str">
        <f t="shared" si="89"/>
        <v xml:space="preserve"> </v>
      </c>
      <c r="G479" s="2" t="str">
        <f t="shared" si="89"/>
        <v xml:space="preserve"> </v>
      </c>
      <c r="H479" s="2" t="str">
        <f t="shared" si="89"/>
        <v xml:space="preserve"> </v>
      </c>
      <c r="I479" s="2" t="str">
        <f t="shared" si="89"/>
        <v xml:space="preserve"> </v>
      </c>
      <c r="J479" s="2" t="str">
        <f t="shared" si="89"/>
        <v xml:space="preserve"> </v>
      </c>
      <c r="K479" s="2" t="str">
        <f t="shared" si="89"/>
        <v xml:space="preserve"> </v>
      </c>
      <c r="L479" s="2" t="str">
        <f t="shared" si="89"/>
        <v xml:space="preserve"> </v>
      </c>
      <c r="M479" s="2" t="str">
        <f t="shared" si="89"/>
        <v xml:space="preserve"> </v>
      </c>
      <c r="N479" s="2" t="str">
        <f t="shared" si="90"/>
        <v xml:space="preserve"> </v>
      </c>
      <c r="O479" s="2" t="str">
        <f t="shared" si="90"/>
        <v xml:space="preserve"> </v>
      </c>
      <c r="P479" s="2" t="str">
        <f t="shared" si="90"/>
        <v xml:space="preserve"> </v>
      </c>
      <c r="Q479" s="2" t="str">
        <f t="shared" si="90"/>
        <v xml:space="preserve"> </v>
      </c>
      <c r="R479" s="2" t="str">
        <f t="shared" si="90"/>
        <v xml:space="preserve"> </v>
      </c>
      <c r="S479" s="2" t="str">
        <f t="shared" si="90"/>
        <v xml:space="preserve"> </v>
      </c>
      <c r="T479" s="2" t="str">
        <f t="shared" si="90"/>
        <v xml:space="preserve"> </v>
      </c>
      <c r="U479" s="2" t="str">
        <f t="shared" si="90"/>
        <v xml:space="preserve"> </v>
      </c>
      <c r="V479" s="2" t="str">
        <f t="shared" si="90"/>
        <v xml:space="preserve"> </v>
      </c>
      <c r="W479" s="2" t="str">
        <f t="shared" si="90"/>
        <v xml:space="preserve"> </v>
      </c>
      <c r="X479" s="2" t="str">
        <f t="shared" si="91"/>
        <v xml:space="preserve"> </v>
      </c>
      <c r="Y479" s="2" t="str">
        <f t="shared" si="91"/>
        <v xml:space="preserve"> </v>
      </c>
      <c r="Z479" s="2" t="str">
        <f t="shared" si="91"/>
        <v xml:space="preserve"> </v>
      </c>
      <c r="AA479" s="2" t="str">
        <f t="shared" si="91"/>
        <v xml:space="preserve"> </v>
      </c>
      <c r="AB479" s="2" t="str">
        <f t="shared" si="91"/>
        <v xml:space="preserve"> </v>
      </c>
      <c r="AC479" s="2" t="str">
        <f t="shared" si="91"/>
        <v xml:space="preserve"> </v>
      </c>
      <c r="AD479" s="2" t="str">
        <f t="shared" si="91"/>
        <v xml:space="preserve"> </v>
      </c>
      <c r="AE479" s="2" t="str">
        <f t="shared" si="91"/>
        <v xml:space="preserve"> </v>
      </c>
      <c r="AF479" s="2" t="str">
        <f t="shared" si="91"/>
        <v xml:space="preserve"> </v>
      </c>
      <c r="AG479" s="2" t="str">
        <f t="shared" si="91"/>
        <v xml:space="preserve"> </v>
      </c>
      <c r="AH479" s="2" t="str">
        <f t="shared" si="92"/>
        <v xml:space="preserve"> </v>
      </c>
      <c r="AI479" s="2" t="str">
        <f t="shared" si="92"/>
        <v xml:space="preserve"> </v>
      </c>
      <c r="AJ479" s="2" t="str">
        <f t="shared" si="92"/>
        <v xml:space="preserve"> </v>
      </c>
      <c r="AK479" s="2" t="str">
        <f t="shared" si="92"/>
        <v xml:space="preserve"> </v>
      </c>
      <c r="AL479" s="2" t="str">
        <f t="shared" si="92"/>
        <v xml:space="preserve"> </v>
      </c>
      <c r="AM479" s="2" t="str">
        <f t="shared" si="92"/>
        <v xml:space="preserve"> </v>
      </c>
      <c r="AN479" s="2" t="str">
        <f t="shared" si="92"/>
        <v xml:space="preserve"> </v>
      </c>
      <c r="AO479" s="2" t="str">
        <f t="shared" si="92"/>
        <v xml:space="preserve"> </v>
      </c>
      <c r="AP479" s="2" t="str">
        <f t="shared" si="92"/>
        <v xml:space="preserve"> </v>
      </c>
      <c r="AQ479" s="25" t="str">
        <f t="shared" si="92"/>
        <v xml:space="preserve"> </v>
      </c>
      <c r="AR479" s="12">
        <f t="shared" si="83"/>
        <v>0</v>
      </c>
    </row>
    <row r="480" spans="1:44" x14ac:dyDescent="0.25">
      <c r="A480" s="12">
        <f t="shared" si="82"/>
        <v>0</v>
      </c>
      <c r="B480" s="12">
        <f>IF(AND($C$420&gt;$C$419,($B$454+26)&lt;=$C$420),$C$419+27,0)</f>
        <v>0</v>
      </c>
      <c r="C480" s="26">
        <f t="shared" si="84"/>
        <v>0</v>
      </c>
      <c r="D480" s="26" t="str">
        <f t="shared" si="89"/>
        <v xml:space="preserve"> </v>
      </c>
      <c r="E480" s="2" t="str">
        <f t="shared" si="89"/>
        <v xml:space="preserve"> </v>
      </c>
      <c r="F480" s="2" t="str">
        <f t="shared" si="89"/>
        <v xml:space="preserve"> </v>
      </c>
      <c r="G480" s="2" t="str">
        <f t="shared" si="89"/>
        <v xml:space="preserve"> </v>
      </c>
      <c r="H480" s="2" t="str">
        <f t="shared" si="89"/>
        <v xml:space="preserve"> </v>
      </c>
      <c r="I480" s="2" t="str">
        <f t="shared" si="89"/>
        <v xml:space="preserve"> </v>
      </c>
      <c r="J480" s="2" t="str">
        <f t="shared" si="89"/>
        <v xml:space="preserve"> </v>
      </c>
      <c r="K480" s="2" t="str">
        <f t="shared" si="89"/>
        <v xml:space="preserve"> </v>
      </c>
      <c r="L480" s="2" t="str">
        <f t="shared" si="89"/>
        <v xml:space="preserve"> </v>
      </c>
      <c r="M480" s="2" t="str">
        <f t="shared" si="89"/>
        <v xml:space="preserve"> </v>
      </c>
      <c r="N480" s="2" t="str">
        <f t="shared" si="90"/>
        <v xml:space="preserve"> </v>
      </c>
      <c r="O480" s="2" t="str">
        <f t="shared" si="90"/>
        <v xml:space="preserve"> </v>
      </c>
      <c r="P480" s="2" t="str">
        <f t="shared" si="90"/>
        <v xml:space="preserve"> </v>
      </c>
      <c r="Q480" s="2" t="str">
        <f t="shared" si="90"/>
        <v xml:space="preserve"> </v>
      </c>
      <c r="R480" s="2" t="str">
        <f t="shared" si="90"/>
        <v xml:space="preserve"> </v>
      </c>
      <c r="S480" s="2" t="str">
        <f t="shared" si="90"/>
        <v xml:space="preserve"> </v>
      </c>
      <c r="T480" s="2" t="str">
        <f t="shared" si="90"/>
        <v xml:space="preserve"> </v>
      </c>
      <c r="U480" s="2" t="str">
        <f t="shared" si="90"/>
        <v xml:space="preserve"> </v>
      </c>
      <c r="V480" s="2" t="str">
        <f t="shared" si="90"/>
        <v xml:space="preserve"> </v>
      </c>
      <c r="W480" s="2" t="str">
        <f t="shared" si="90"/>
        <v xml:space="preserve"> </v>
      </c>
      <c r="X480" s="2" t="str">
        <f t="shared" si="91"/>
        <v xml:space="preserve"> </v>
      </c>
      <c r="Y480" s="2" t="str">
        <f t="shared" si="91"/>
        <v xml:space="preserve"> </v>
      </c>
      <c r="Z480" s="2" t="str">
        <f t="shared" si="91"/>
        <v xml:space="preserve"> </v>
      </c>
      <c r="AA480" s="2" t="str">
        <f t="shared" si="91"/>
        <v xml:space="preserve"> </v>
      </c>
      <c r="AB480" s="2" t="str">
        <f t="shared" si="91"/>
        <v xml:space="preserve"> </v>
      </c>
      <c r="AC480" s="2" t="str">
        <f t="shared" si="91"/>
        <v xml:space="preserve"> </v>
      </c>
      <c r="AD480" s="2" t="str">
        <f t="shared" si="91"/>
        <v xml:space="preserve"> </v>
      </c>
      <c r="AE480" s="2" t="str">
        <f t="shared" si="91"/>
        <v xml:space="preserve"> </v>
      </c>
      <c r="AF480" s="2" t="str">
        <f t="shared" si="91"/>
        <v xml:space="preserve"> </v>
      </c>
      <c r="AG480" s="2" t="str">
        <f t="shared" si="91"/>
        <v xml:space="preserve"> </v>
      </c>
      <c r="AH480" s="2" t="str">
        <f t="shared" si="92"/>
        <v xml:space="preserve"> </v>
      </c>
      <c r="AI480" s="2" t="str">
        <f t="shared" si="92"/>
        <v xml:space="preserve"> </v>
      </c>
      <c r="AJ480" s="2" t="str">
        <f t="shared" si="92"/>
        <v xml:space="preserve"> </v>
      </c>
      <c r="AK480" s="2" t="str">
        <f t="shared" si="92"/>
        <v xml:space="preserve"> </v>
      </c>
      <c r="AL480" s="2" t="str">
        <f t="shared" si="92"/>
        <v xml:space="preserve"> </v>
      </c>
      <c r="AM480" s="2" t="str">
        <f t="shared" si="92"/>
        <v xml:space="preserve"> </v>
      </c>
      <c r="AN480" s="2" t="str">
        <f t="shared" si="92"/>
        <v xml:space="preserve"> </v>
      </c>
      <c r="AO480" s="2" t="str">
        <f t="shared" si="92"/>
        <v xml:space="preserve"> </v>
      </c>
      <c r="AP480" s="2" t="str">
        <f t="shared" si="92"/>
        <v xml:space="preserve"> </v>
      </c>
      <c r="AQ480" s="25" t="str">
        <f t="shared" si="92"/>
        <v xml:space="preserve"> </v>
      </c>
      <c r="AR480" s="12">
        <f t="shared" si="83"/>
        <v>0</v>
      </c>
    </row>
    <row r="481" spans="1:44" x14ac:dyDescent="0.25">
      <c r="A481" s="12">
        <f t="shared" si="82"/>
        <v>0</v>
      </c>
      <c r="B481" s="12">
        <f>IF(AND($C$420&gt;$C$419,($B$454+27)&lt;=$C$420),$C$419+28,0)</f>
        <v>0</v>
      </c>
      <c r="C481" s="26">
        <f t="shared" si="84"/>
        <v>0</v>
      </c>
      <c r="D481" s="26" t="str">
        <f t="shared" si="89"/>
        <v xml:space="preserve"> </v>
      </c>
      <c r="E481" s="2" t="str">
        <f t="shared" si="89"/>
        <v xml:space="preserve"> </v>
      </c>
      <c r="F481" s="2" t="str">
        <f t="shared" si="89"/>
        <v xml:space="preserve"> </v>
      </c>
      <c r="G481" s="2" t="str">
        <f t="shared" si="89"/>
        <v xml:space="preserve"> </v>
      </c>
      <c r="H481" s="2" t="str">
        <f t="shared" si="89"/>
        <v xml:space="preserve"> </v>
      </c>
      <c r="I481" s="2" t="str">
        <f t="shared" si="89"/>
        <v xml:space="preserve"> </v>
      </c>
      <c r="J481" s="2" t="str">
        <f t="shared" si="89"/>
        <v xml:space="preserve"> </v>
      </c>
      <c r="K481" s="2" t="str">
        <f t="shared" si="89"/>
        <v xml:space="preserve"> </v>
      </c>
      <c r="L481" s="2" t="str">
        <f t="shared" si="89"/>
        <v xml:space="preserve"> </v>
      </c>
      <c r="M481" s="2" t="str">
        <f t="shared" si="89"/>
        <v xml:space="preserve"> </v>
      </c>
      <c r="N481" s="2" t="str">
        <f t="shared" si="90"/>
        <v xml:space="preserve"> </v>
      </c>
      <c r="O481" s="2" t="str">
        <f t="shared" si="90"/>
        <v xml:space="preserve"> </v>
      </c>
      <c r="P481" s="2" t="str">
        <f t="shared" si="90"/>
        <v xml:space="preserve"> </v>
      </c>
      <c r="Q481" s="2" t="str">
        <f t="shared" si="90"/>
        <v xml:space="preserve"> </v>
      </c>
      <c r="R481" s="2" t="str">
        <f t="shared" si="90"/>
        <v xml:space="preserve"> </v>
      </c>
      <c r="S481" s="2" t="str">
        <f t="shared" si="90"/>
        <v xml:space="preserve"> </v>
      </c>
      <c r="T481" s="2" t="str">
        <f t="shared" si="90"/>
        <v xml:space="preserve"> </v>
      </c>
      <c r="U481" s="2" t="str">
        <f t="shared" si="90"/>
        <v xml:space="preserve"> </v>
      </c>
      <c r="V481" s="2" t="str">
        <f t="shared" si="90"/>
        <v xml:space="preserve"> </v>
      </c>
      <c r="W481" s="2" t="str">
        <f t="shared" si="90"/>
        <v xml:space="preserve"> </v>
      </c>
      <c r="X481" s="2" t="str">
        <f t="shared" si="91"/>
        <v xml:space="preserve"> </v>
      </c>
      <c r="Y481" s="2" t="str">
        <f t="shared" si="91"/>
        <v xml:space="preserve"> </v>
      </c>
      <c r="Z481" s="2" t="str">
        <f t="shared" si="91"/>
        <v xml:space="preserve"> </v>
      </c>
      <c r="AA481" s="2" t="str">
        <f t="shared" si="91"/>
        <v xml:space="preserve"> </v>
      </c>
      <c r="AB481" s="2" t="str">
        <f t="shared" si="91"/>
        <v xml:space="preserve"> </v>
      </c>
      <c r="AC481" s="2" t="str">
        <f t="shared" si="91"/>
        <v xml:space="preserve"> </v>
      </c>
      <c r="AD481" s="2" t="str">
        <f t="shared" si="91"/>
        <v xml:space="preserve"> </v>
      </c>
      <c r="AE481" s="2" t="str">
        <f t="shared" si="91"/>
        <v xml:space="preserve"> </v>
      </c>
      <c r="AF481" s="2" t="str">
        <f t="shared" si="91"/>
        <v xml:space="preserve"> </v>
      </c>
      <c r="AG481" s="2" t="str">
        <f t="shared" si="91"/>
        <v xml:space="preserve"> </v>
      </c>
      <c r="AH481" s="2" t="str">
        <f t="shared" si="92"/>
        <v xml:space="preserve"> </v>
      </c>
      <c r="AI481" s="2" t="str">
        <f t="shared" si="92"/>
        <v xml:space="preserve"> </v>
      </c>
      <c r="AJ481" s="2" t="str">
        <f t="shared" si="92"/>
        <v xml:space="preserve"> </v>
      </c>
      <c r="AK481" s="2" t="str">
        <f t="shared" si="92"/>
        <v xml:space="preserve"> </v>
      </c>
      <c r="AL481" s="2" t="str">
        <f t="shared" si="92"/>
        <v xml:space="preserve"> </v>
      </c>
      <c r="AM481" s="2" t="str">
        <f t="shared" si="92"/>
        <v xml:space="preserve"> </v>
      </c>
      <c r="AN481" s="2" t="str">
        <f t="shared" si="92"/>
        <v xml:space="preserve"> </v>
      </c>
      <c r="AO481" s="2" t="str">
        <f t="shared" si="92"/>
        <v xml:space="preserve"> </v>
      </c>
      <c r="AP481" s="2" t="str">
        <f t="shared" si="92"/>
        <v xml:space="preserve"> </v>
      </c>
      <c r="AQ481" s="25" t="str">
        <f t="shared" si="92"/>
        <v xml:space="preserve"> </v>
      </c>
      <c r="AR481" s="12">
        <f t="shared" si="83"/>
        <v>0</v>
      </c>
    </row>
    <row r="482" spans="1:44" x14ac:dyDescent="0.25">
      <c r="A482" s="12">
        <f t="shared" si="82"/>
        <v>0</v>
      </c>
      <c r="B482" s="12">
        <f>IF(AND($C$420&gt;$C$419,($B$454+28)&lt;=$C$420),$C$419+29,0)</f>
        <v>0</v>
      </c>
      <c r="C482" s="26">
        <f t="shared" si="84"/>
        <v>0</v>
      </c>
      <c r="D482" s="26" t="str">
        <f t="shared" si="89"/>
        <v xml:space="preserve"> </v>
      </c>
      <c r="E482" s="2" t="str">
        <f t="shared" si="89"/>
        <v xml:space="preserve"> </v>
      </c>
      <c r="F482" s="2" t="str">
        <f t="shared" si="89"/>
        <v xml:space="preserve"> </v>
      </c>
      <c r="G482" s="2" t="str">
        <f t="shared" si="89"/>
        <v xml:space="preserve"> </v>
      </c>
      <c r="H482" s="2" t="str">
        <f t="shared" si="89"/>
        <v xml:space="preserve"> </v>
      </c>
      <c r="I482" s="2" t="str">
        <f t="shared" si="89"/>
        <v xml:space="preserve"> </v>
      </c>
      <c r="J482" s="2" t="str">
        <f t="shared" si="89"/>
        <v xml:space="preserve"> </v>
      </c>
      <c r="K482" s="2" t="str">
        <f t="shared" si="89"/>
        <v xml:space="preserve"> </v>
      </c>
      <c r="L482" s="2" t="str">
        <f t="shared" si="89"/>
        <v xml:space="preserve"> </v>
      </c>
      <c r="M482" s="2" t="str">
        <f t="shared" si="89"/>
        <v xml:space="preserve"> </v>
      </c>
      <c r="N482" s="2" t="str">
        <f t="shared" si="90"/>
        <v xml:space="preserve"> </v>
      </c>
      <c r="O482" s="2" t="str">
        <f t="shared" si="90"/>
        <v xml:space="preserve"> </v>
      </c>
      <c r="P482" s="2" t="str">
        <f t="shared" si="90"/>
        <v xml:space="preserve"> </v>
      </c>
      <c r="Q482" s="2" t="str">
        <f t="shared" si="90"/>
        <v xml:space="preserve"> </v>
      </c>
      <c r="R482" s="2" t="str">
        <f t="shared" si="90"/>
        <v xml:space="preserve"> </v>
      </c>
      <c r="S482" s="2" t="str">
        <f t="shared" si="90"/>
        <v xml:space="preserve"> </v>
      </c>
      <c r="T482" s="2" t="str">
        <f t="shared" si="90"/>
        <v xml:space="preserve"> </v>
      </c>
      <c r="U482" s="2" t="str">
        <f t="shared" si="90"/>
        <v xml:space="preserve"> </v>
      </c>
      <c r="V482" s="2" t="str">
        <f t="shared" si="90"/>
        <v xml:space="preserve"> </v>
      </c>
      <c r="W482" s="2" t="str">
        <f t="shared" si="90"/>
        <v xml:space="preserve"> </v>
      </c>
      <c r="X482" s="2" t="str">
        <f t="shared" si="91"/>
        <v xml:space="preserve"> </v>
      </c>
      <c r="Y482" s="2" t="str">
        <f t="shared" si="91"/>
        <v xml:space="preserve"> </v>
      </c>
      <c r="Z482" s="2" t="str">
        <f t="shared" si="91"/>
        <v xml:space="preserve"> </v>
      </c>
      <c r="AA482" s="2" t="str">
        <f t="shared" si="91"/>
        <v xml:space="preserve"> </v>
      </c>
      <c r="AB482" s="2" t="str">
        <f t="shared" si="91"/>
        <v xml:space="preserve"> </v>
      </c>
      <c r="AC482" s="2" t="str">
        <f t="shared" si="91"/>
        <v xml:space="preserve"> </v>
      </c>
      <c r="AD482" s="2" t="str">
        <f t="shared" si="91"/>
        <v xml:space="preserve"> </v>
      </c>
      <c r="AE482" s="2" t="str">
        <f t="shared" si="91"/>
        <v xml:space="preserve"> </v>
      </c>
      <c r="AF482" s="2" t="str">
        <f t="shared" si="91"/>
        <v xml:space="preserve"> </v>
      </c>
      <c r="AG482" s="2" t="str">
        <f t="shared" si="91"/>
        <v xml:space="preserve"> </v>
      </c>
      <c r="AH482" s="2" t="str">
        <f t="shared" si="92"/>
        <v xml:space="preserve"> </v>
      </c>
      <c r="AI482" s="2" t="str">
        <f t="shared" si="92"/>
        <v xml:space="preserve"> </v>
      </c>
      <c r="AJ482" s="2" t="str">
        <f t="shared" si="92"/>
        <v xml:space="preserve"> </v>
      </c>
      <c r="AK482" s="2" t="str">
        <f t="shared" si="92"/>
        <v xml:space="preserve"> </v>
      </c>
      <c r="AL482" s="2" t="str">
        <f t="shared" si="92"/>
        <v xml:space="preserve"> </v>
      </c>
      <c r="AM482" s="2" t="str">
        <f t="shared" si="92"/>
        <v xml:space="preserve"> </v>
      </c>
      <c r="AN482" s="2" t="str">
        <f t="shared" si="92"/>
        <v xml:space="preserve"> </v>
      </c>
      <c r="AO482" s="2" t="str">
        <f t="shared" si="92"/>
        <v xml:space="preserve"> </v>
      </c>
      <c r="AP482" s="2" t="str">
        <f t="shared" si="92"/>
        <v xml:space="preserve"> </v>
      </c>
      <c r="AQ482" s="25" t="str">
        <f t="shared" si="92"/>
        <v xml:space="preserve"> </v>
      </c>
      <c r="AR482" s="12">
        <f t="shared" si="83"/>
        <v>0</v>
      </c>
    </row>
    <row r="483" spans="1:44" x14ac:dyDescent="0.25">
      <c r="A483" s="12">
        <f t="shared" si="82"/>
        <v>0</v>
      </c>
      <c r="B483" s="12">
        <f>IF(AND($C$420&gt;$C$419,($B$454+29)&lt;=$C$420),$C$419+30,0)</f>
        <v>0</v>
      </c>
      <c r="C483" s="26">
        <f t="shared" si="84"/>
        <v>0</v>
      </c>
      <c r="D483" s="26" t="str">
        <f t="shared" ref="D483:M492" si="93">IF(OR($A483=0,D$451=0)," ",IF(AND($B483&gt;0,D$451&gt;0,FLOOR($C$440/(D$451*$B483),1)&gt;=$A483),FLOOR($C$440/(D$451*$B483),1)," "))</f>
        <v xml:space="preserve"> </v>
      </c>
      <c r="E483" s="2" t="str">
        <f t="shared" si="93"/>
        <v xml:space="preserve"> </v>
      </c>
      <c r="F483" s="2" t="str">
        <f t="shared" si="93"/>
        <v xml:space="preserve"> </v>
      </c>
      <c r="G483" s="2" t="str">
        <f t="shared" si="93"/>
        <v xml:space="preserve"> </v>
      </c>
      <c r="H483" s="2" t="str">
        <f t="shared" si="93"/>
        <v xml:space="preserve"> </v>
      </c>
      <c r="I483" s="2" t="str">
        <f t="shared" si="93"/>
        <v xml:space="preserve"> </v>
      </c>
      <c r="J483" s="2" t="str">
        <f t="shared" si="93"/>
        <v xml:space="preserve"> </v>
      </c>
      <c r="K483" s="2" t="str">
        <f t="shared" si="93"/>
        <v xml:space="preserve"> </v>
      </c>
      <c r="L483" s="2" t="str">
        <f t="shared" si="93"/>
        <v xml:space="preserve"> </v>
      </c>
      <c r="M483" s="2" t="str">
        <f t="shared" si="93"/>
        <v xml:space="preserve"> </v>
      </c>
      <c r="N483" s="2" t="str">
        <f t="shared" ref="N483:W492" si="94">IF(OR($A483=0,N$451=0)," ",IF(AND($B483&gt;0,N$451&gt;0,FLOOR($C$440/(N$451*$B483),1)&gt;=$A483),FLOOR($C$440/(N$451*$B483),1)," "))</f>
        <v xml:space="preserve"> </v>
      </c>
      <c r="O483" s="2" t="str">
        <f t="shared" si="94"/>
        <v xml:space="preserve"> </v>
      </c>
      <c r="P483" s="2" t="str">
        <f t="shared" si="94"/>
        <v xml:space="preserve"> </v>
      </c>
      <c r="Q483" s="2" t="str">
        <f t="shared" si="94"/>
        <v xml:space="preserve"> </v>
      </c>
      <c r="R483" s="2" t="str">
        <f t="shared" si="94"/>
        <v xml:space="preserve"> </v>
      </c>
      <c r="S483" s="2" t="str">
        <f t="shared" si="94"/>
        <v xml:space="preserve"> </v>
      </c>
      <c r="T483" s="2" t="str">
        <f t="shared" si="94"/>
        <v xml:space="preserve"> </v>
      </c>
      <c r="U483" s="2" t="str">
        <f t="shared" si="94"/>
        <v xml:space="preserve"> </v>
      </c>
      <c r="V483" s="2" t="str">
        <f t="shared" si="94"/>
        <v xml:space="preserve"> </v>
      </c>
      <c r="W483" s="2" t="str">
        <f t="shared" si="94"/>
        <v xml:space="preserve"> </v>
      </c>
      <c r="X483" s="2" t="str">
        <f t="shared" ref="X483:AG492" si="95">IF(OR($A483=0,X$451=0)," ",IF(AND($B483&gt;0,X$451&gt;0,FLOOR($C$440/(X$451*$B483),1)&gt;=$A483),FLOOR($C$440/(X$451*$B483),1)," "))</f>
        <v xml:space="preserve"> </v>
      </c>
      <c r="Y483" s="2" t="str">
        <f t="shared" si="95"/>
        <v xml:space="preserve"> </v>
      </c>
      <c r="Z483" s="2" t="str">
        <f t="shared" si="95"/>
        <v xml:space="preserve"> </v>
      </c>
      <c r="AA483" s="2" t="str">
        <f t="shared" si="95"/>
        <v xml:space="preserve"> </v>
      </c>
      <c r="AB483" s="2" t="str">
        <f t="shared" si="95"/>
        <v xml:space="preserve"> </v>
      </c>
      <c r="AC483" s="2" t="str">
        <f t="shared" si="95"/>
        <v xml:space="preserve"> </v>
      </c>
      <c r="AD483" s="2" t="str">
        <f t="shared" si="95"/>
        <v xml:space="preserve"> </v>
      </c>
      <c r="AE483" s="2" t="str">
        <f t="shared" si="95"/>
        <v xml:space="preserve"> </v>
      </c>
      <c r="AF483" s="2" t="str">
        <f t="shared" si="95"/>
        <v xml:space="preserve"> </v>
      </c>
      <c r="AG483" s="2" t="str">
        <f t="shared" si="95"/>
        <v xml:space="preserve"> </v>
      </c>
      <c r="AH483" s="2" t="str">
        <f t="shared" ref="AH483:AQ492" si="96">IF(OR($A483=0,AH$451=0)," ",IF(AND($B483&gt;0,AH$451&gt;0,FLOOR($C$440/(AH$451*$B483),1)&gt;=$A483),FLOOR($C$440/(AH$451*$B483),1)," "))</f>
        <v xml:space="preserve"> </v>
      </c>
      <c r="AI483" s="2" t="str">
        <f t="shared" si="96"/>
        <v xml:space="preserve"> </v>
      </c>
      <c r="AJ483" s="2" t="str">
        <f t="shared" si="96"/>
        <v xml:space="preserve"> </v>
      </c>
      <c r="AK483" s="2" t="str">
        <f t="shared" si="96"/>
        <v xml:space="preserve"> </v>
      </c>
      <c r="AL483" s="2" t="str">
        <f t="shared" si="96"/>
        <v xml:space="preserve"> </v>
      </c>
      <c r="AM483" s="2" t="str">
        <f t="shared" si="96"/>
        <v xml:space="preserve"> </v>
      </c>
      <c r="AN483" s="2" t="str">
        <f t="shared" si="96"/>
        <v xml:space="preserve"> </v>
      </c>
      <c r="AO483" s="2" t="str">
        <f t="shared" si="96"/>
        <v xml:space="preserve"> </v>
      </c>
      <c r="AP483" s="2" t="str">
        <f t="shared" si="96"/>
        <v xml:space="preserve"> </v>
      </c>
      <c r="AQ483" s="25" t="str">
        <f t="shared" si="96"/>
        <v xml:space="preserve"> </v>
      </c>
      <c r="AR483" s="12">
        <f t="shared" si="83"/>
        <v>0</v>
      </c>
    </row>
    <row r="484" spans="1:44" x14ac:dyDescent="0.25">
      <c r="A484" s="12">
        <f t="shared" si="82"/>
        <v>0</v>
      </c>
      <c r="B484" s="12">
        <f>IF(AND($C$420&gt;$C$419,($B$454+30)&lt;=$C$420),$C$419+31,0)</f>
        <v>0</v>
      </c>
      <c r="C484" s="26">
        <f t="shared" si="84"/>
        <v>0</v>
      </c>
      <c r="D484" s="26" t="str">
        <f t="shared" si="93"/>
        <v xml:space="preserve"> </v>
      </c>
      <c r="E484" s="2" t="str">
        <f t="shared" si="93"/>
        <v xml:space="preserve"> </v>
      </c>
      <c r="F484" s="2" t="str">
        <f t="shared" si="93"/>
        <v xml:space="preserve"> </v>
      </c>
      <c r="G484" s="2" t="str">
        <f t="shared" si="93"/>
        <v xml:space="preserve"> </v>
      </c>
      <c r="H484" s="2" t="str">
        <f t="shared" si="93"/>
        <v xml:space="preserve"> </v>
      </c>
      <c r="I484" s="2" t="str">
        <f t="shared" si="93"/>
        <v xml:space="preserve"> </v>
      </c>
      <c r="J484" s="2" t="str">
        <f t="shared" si="93"/>
        <v xml:space="preserve"> </v>
      </c>
      <c r="K484" s="2" t="str">
        <f t="shared" si="93"/>
        <v xml:space="preserve"> </v>
      </c>
      <c r="L484" s="2" t="str">
        <f t="shared" si="93"/>
        <v xml:space="preserve"> </v>
      </c>
      <c r="M484" s="2" t="str">
        <f t="shared" si="93"/>
        <v xml:space="preserve"> </v>
      </c>
      <c r="N484" s="2" t="str">
        <f t="shared" si="94"/>
        <v xml:space="preserve"> </v>
      </c>
      <c r="O484" s="2" t="str">
        <f t="shared" si="94"/>
        <v xml:space="preserve"> </v>
      </c>
      <c r="P484" s="2" t="str">
        <f t="shared" si="94"/>
        <v xml:space="preserve"> </v>
      </c>
      <c r="Q484" s="2" t="str">
        <f t="shared" si="94"/>
        <v xml:space="preserve"> </v>
      </c>
      <c r="R484" s="2" t="str">
        <f t="shared" si="94"/>
        <v xml:space="preserve"> </v>
      </c>
      <c r="S484" s="2" t="str">
        <f t="shared" si="94"/>
        <v xml:space="preserve"> </v>
      </c>
      <c r="T484" s="2" t="str">
        <f t="shared" si="94"/>
        <v xml:space="preserve"> </v>
      </c>
      <c r="U484" s="2" t="str">
        <f t="shared" si="94"/>
        <v xml:space="preserve"> </v>
      </c>
      <c r="V484" s="2" t="str">
        <f t="shared" si="94"/>
        <v xml:space="preserve"> </v>
      </c>
      <c r="W484" s="2" t="str">
        <f t="shared" si="94"/>
        <v xml:space="preserve"> </v>
      </c>
      <c r="X484" s="2" t="str">
        <f t="shared" si="95"/>
        <v xml:space="preserve"> </v>
      </c>
      <c r="Y484" s="2" t="str">
        <f t="shared" si="95"/>
        <v xml:space="preserve"> </v>
      </c>
      <c r="Z484" s="2" t="str">
        <f t="shared" si="95"/>
        <v xml:space="preserve"> </v>
      </c>
      <c r="AA484" s="2" t="str">
        <f t="shared" si="95"/>
        <v xml:space="preserve"> </v>
      </c>
      <c r="AB484" s="2" t="str">
        <f t="shared" si="95"/>
        <v xml:space="preserve"> </v>
      </c>
      <c r="AC484" s="2" t="str">
        <f t="shared" si="95"/>
        <v xml:space="preserve"> </v>
      </c>
      <c r="AD484" s="2" t="str">
        <f t="shared" si="95"/>
        <v xml:space="preserve"> </v>
      </c>
      <c r="AE484" s="2" t="str">
        <f t="shared" si="95"/>
        <v xml:space="preserve"> </v>
      </c>
      <c r="AF484" s="2" t="str">
        <f t="shared" si="95"/>
        <v xml:space="preserve"> </v>
      </c>
      <c r="AG484" s="2" t="str">
        <f t="shared" si="95"/>
        <v xml:space="preserve"> </v>
      </c>
      <c r="AH484" s="2" t="str">
        <f t="shared" si="96"/>
        <v xml:space="preserve"> </v>
      </c>
      <c r="AI484" s="2" t="str">
        <f t="shared" si="96"/>
        <v xml:space="preserve"> </v>
      </c>
      <c r="AJ484" s="2" t="str">
        <f t="shared" si="96"/>
        <v xml:space="preserve"> </v>
      </c>
      <c r="AK484" s="2" t="str">
        <f t="shared" si="96"/>
        <v xml:space="preserve"> </v>
      </c>
      <c r="AL484" s="2" t="str">
        <f t="shared" si="96"/>
        <v xml:space="preserve"> </v>
      </c>
      <c r="AM484" s="2" t="str">
        <f t="shared" si="96"/>
        <v xml:space="preserve"> </v>
      </c>
      <c r="AN484" s="2" t="str">
        <f t="shared" si="96"/>
        <v xml:space="preserve"> </v>
      </c>
      <c r="AO484" s="2" t="str">
        <f t="shared" si="96"/>
        <v xml:space="preserve"> </v>
      </c>
      <c r="AP484" s="2" t="str">
        <f t="shared" si="96"/>
        <v xml:space="preserve"> </v>
      </c>
      <c r="AQ484" s="25" t="str">
        <f t="shared" si="96"/>
        <v xml:space="preserve"> </v>
      </c>
      <c r="AR484" s="12">
        <f t="shared" si="83"/>
        <v>0</v>
      </c>
    </row>
    <row r="485" spans="1:44" x14ac:dyDescent="0.25">
      <c r="A485" s="12">
        <f t="shared" si="82"/>
        <v>0</v>
      </c>
      <c r="B485" s="12">
        <f>IF(AND($C$420&gt;$C$419,($B$454+31)&lt;=$C$420),$C$419+32,0)</f>
        <v>0</v>
      </c>
      <c r="C485" s="26">
        <f t="shared" si="84"/>
        <v>0</v>
      </c>
      <c r="D485" s="26" t="str">
        <f t="shared" si="93"/>
        <v xml:space="preserve"> </v>
      </c>
      <c r="E485" s="2" t="str">
        <f t="shared" si="93"/>
        <v xml:space="preserve"> </v>
      </c>
      <c r="F485" s="2" t="str">
        <f t="shared" si="93"/>
        <v xml:space="preserve"> </v>
      </c>
      <c r="G485" s="2" t="str">
        <f t="shared" si="93"/>
        <v xml:space="preserve"> </v>
      </c>
      <c r="H485" s="2" t="str">
        <f t="shared" si="93"/>
        <v xml:space="preserve"> </v>
      </c>
      <c r="I485" s="2" t="str">
        <f t="shared" si="93"/>
        <v xml:space="preserve"> </v>
      </c>
      <c r="J485" s="2" t="str">
        <f t="shared" si="93"/>
        <v xml:space="preserve"> </v>
      </c>
      <c r="K485" s="2" t="str">
        <f t="shared" si="93"/>
        <v xml:space="preserve"> </v>
      </c>
      <c r="L485" s="2" t="str">
        <f t="shared" si="93"/>
        <v xml:space="preserve"> </v>
      </c>
      <c r="M485" s="2" t="str">
        <f t="shared" si="93"/>
        <v xml:space="preserve"> </v>
      </c>
      <c r="N485" s="2" t="str">
        <f t="shared" si="94"/>
        <v xml:space="preserve"> </v>
      </c>
      <c r="O485" s="2" t="str">
        <f t="shared" si="94"/>
        <v xml:space="preserve"> </v>
      </c>
      <c r="P485" s="2" t="str">
        <f t="shared" si="94"/>
        <v xml:space="preserve"> </v>
      </c>
      <c r="Q485" s="2" t="str">
        <f t="shared" si="94"/>
        <v xml:space="preserve"> </v>
      </c>
      <c r="R485" s="2" t="str">
        <f t="shared" si="94"/>
        <v xml:space="preserve"> </v>
      </c>
      <c r="S485" s="2" t="str">
        <f t="shared" si="94"/>
        <v xml:space="preserve"> </v>
      </c>
      <c r="T485" s="2" t="str">
        <f t="shared" si="94"/>
        <v xml:space="preserve"> </v>
      </c>
      <c r="U485" s="2" t="str">
        <f t="shared" si="94"/>
        <v xml:space="preserve"> </v>
      </c>
      <c r="V485" s="2" t="str">
        <f t="shared" si="94"/>
        <v xml:space="preserve"> </v>
      </c>
      <c r="W485" s="2" t="str">
        <f t="shared" si="94"/>
        <v xml:space="preserve"> </v>
      </c>
      <c r="X485" s="2" t="str">
        <f t="shared" si="95"/>
        <v xml:space="preserve"> </v>
      </c>
      <c r="Y485" s="2" t="str">
        <f t="shared" si="95"/>
        <v xml:space="preserve"> </v>
      </c>
      <c r="Z485" s="2" t="str">
        <f t="shared" si="95"/>
        <v xml:space="preserve"> </v>
      </c>
      <c r="AA485" s="2" t="str">
        <f t="shared" si="95"/>
        <v xml:space="preserve"> </v>
      </c>
      <c r="AB485" s="2" t="str">
        <f t="shared" si="95"/>
        <v xml:space="preserve"> </v>
      </c>
      <c r="AC485" s="2" t="str">
        <f t="shared" si="95"/>
        <v xml:space="preserve"> </v>
      </c>
      <c r="AD485" s="2" t="str">
        <f t="shared" si="95"/>
        <v xml:space="preserve"> </v>
      </c>
      <c r="AE485" s="2" t="str">
        <f t="shared" si="95"/>
        <v xml:space="preserve"> </v>
      </c>
      <c r="AF485" s="2" t="str">
        <f t="shared" si="95"/>
        <v xml:space="preserve"> </v>
      </c>
      <c r="AG485" s="2" t="str">
        <f t="shared" si="95"/>
        <v xml:space="preserve"> </v>
      </c>
      <c r="AH485" s="2" t="str">
        <f t="shared" si="96"/>
        <v xml:space="preserve"> </v>
      </c>
      <c r="AI485" s="2" t="str">
        <f t="shared" si="96"/>
        <v xml:space="preserve"> </v>
      </c>
      <c r="AJ485" s="2" t="str">
        <f t="shared" si="96"/>
        <v xml:space="preserve"> </v>
      </c>
      <c r="AK485" s="2" t="str">
        <f t="shared" si="96"/>
        <v xml:space="preserve"> </v>
      </c>
      <c r="AL485" s="2" t="str">
        <f t="shared" si="96"/>
        <v xml:space="preserve"> </v>
      </c>
      <c r="AM485" s="2" t="str">
        <f t="shared" si="96"/>
        <v xml:space="preserve"> </v>
      </c>
      <c r="AN485" s="2" t="str">
        <f t="shared" si="96"/>
        <v xml:space="preserve"> </v>
      </c>
      <c r="AO485" s="2" t="str">
        <f t="shared" si="96"/>
        <v xml:space="preserve"> </v>
      </c>
      <c r="AP485" s="2" t="str">
        <f t="shared" si="96"/>
        <v xml:space="preserve"> </v>
      </c>
      <c r="AQ485" s="25" t="str">
        <f t="shared" si="96"/>
        <v xml:space="preserve"> </v>
      </c>
      <c r="AR485" s="12">
        <f t="shared" si="83"/>
        <v>0</v>
      </c>
    </row>
    <row r="486" spans="1:44" x14ac:dyDescent="0.25">
      <c r="A486" s="12">
        <f t="shared" si="82"/>
        <v>0</v>
      </c>
      <c r="B486" s="12">
        <f>IF(AND($C$420&gt;$C$419,($B$454+32)&lt;=$C$420),$C$419+33,0)</f>
        <v>0</v>
      </c>
      <c r="C486" s="26">
        <f t="shared" si="84"/>
        <v>0</v>
      </c>
      <c r="D486" s="26" t="str">
        <f t="shared" si="93"/>
        <v xml:space="preserve"> </v>
      </c>
      <c r="E486" s="2" t="str">
        <f t="shared" si="93"/>
        <v xml:space="preserve"> </v>
      </c>
      <c r="F486" s="2" t="str">
        <f t="shared" si="93"/>
        <v xml:space="preserve"> </v>
      </c>
      <c r="G486" s="2" t="str">
        <f t="shared" si="93"/>
        <v xml:space="preserve"> </v>
      </c>
      <c r="H486" s="2" t="str">
        <f t="shared" si="93"/>
        <v xml:space="preserve"> </v>
      </c>
      <c r="I486" s="2" t="str">
        <f t="shared" si="93"/>
        <v xml:space="preserve"> </v>
      </c>
      <c r="J486" s="2" t="str">
        <f t="shared" si="93"/>
        <v xml:space="preserve"> </v>
      </c>
      <c r="K486" s="2" t="str">
        <f t="shared" si="93"/>
        <v xml:space="preserve"> </v>
      </c>
      <c r="L486" s="2" t="str">
        <f t="shared" si="93"/>
        <v xml:space="preserve"> </v>
      </c>
      <c r="M486" s="2" t="str">
        <f t="shared" si="93"/>
        <v xml:space="preserve"> </v>
      </c>
      <c r="N486" s="2" t="str">
        <f t="shared" si="94"/>
        <v xml:space="preserve"> </v>
      </c>
      <c r="O486" s="2" t="str">
        <f t="shared" si="94"/>
        <v xml:space="preserve"> </v>
      </c>
      <c r="P486" s="2" t="str">
        <f t="shared" si="94"/>
        <v xml:space="preserve"> </v>
      </c>
      <c r="Q486" s="2" t="str">
        <f t="shared" si="94"/>
        <v xml:space="preserve"> </v>
      </c>
      <c r="R486" s="2" t="str">
        <f t="shared" si="94"/>
        <v xml:space="preserve"> </v>
      </c>
      <c r="S486" s="2" t="str">
        <f t="shared" si="94"/>
        <v xml:space="preserve"> </v>
      </c>
      <c r="T486" s="2" t="str">
        <f t="shared" si="94"/>
        <v xml:space="preserve"> </v>
      </c>
      <c r="U486" s="2" t="str">
        <f t="shared" si="94"/>
        <v xml:space="preserve"> </v>
      </c>
      <c r="V486" s="2" t="str">
        <f t="shared" si="94"/>
        <v xml:space="preserve"> </v>
      </c>
      <c r="W486" s="2" t="str">
        <f t="shared" si="94"/>
        <v xml:space="preserve"> </v>
      </c>
      <c r="X486" s="2" t="str">
        <f t="shared" si="95"/>
        <v xml:space="preserve"> </v>
      </c>
      <c r="Y486" s="2" t="str">
        <f t="shared" si="95"/>
        <v xml:space="preserve"> </v>
      </c>
      <c r="Z486" s="2" t="str">
        <f t="shared" si="95"/>
        <v xml:space="preserve"> </v>
      </c>
      <c r="AA486" s="2" t="str">
        <f t="shared" si="95"/>
        <v xml:space="preserve"> </v>
      </c>
      <c r="AB486" s="2" t="str">
        <f t="shared" si="95"/>
        <v xml:space="preserve"> </v>
      </c>
      <c r="AC486" s="2" t="str">
        <f t="shared" si="95"/>
        <v xml:space="preserve"> </v>
      </c>
      <c r="AD486" s="2" t="str">
        <f t="shared" si="95"/>
        <v xml:space="preserve"> </v>
      </c>
      <c r="AE486" s="2" t="str">
        <f t="shared" si="95"/>
        <v xml:space="preserve"> </v>
      </c>
      <c r="AF486" s="2" t="str">
        <f t="shared" si="95"/>
        <v xml:space="preserve"> </v>
      </c>
      <c r="AG486" s="2" t="str">
        <f t="shared" si="95"/>
        <v xml:space="preserve"> </v>
      </c>
      <c r="AH486" s="2" t="str">
        <f t="shared" si="96"/>
        <v xml:space="preserve"> </v>
      </c>
      <c r="AI486" s="2" t="str">
        <f t="shared" si="96"/>
        <v xml:space="preserve"> </v>
      </c>
      <c r="AJ486" s="2" t="str">
        <f t="shared" si="96"/>
        <v xml:space="preserve"> </v>
      </c>
      <c r="AK486" s="2" t="str">
        <f t="shared" si="96"/>
        <v xml:space="preserve"> </v>
      </c>
      <c r="AL486" s="2" t="str">
        <f t="shared" si="96"/>
        <v xml:space="preserve"> </v>
      </c>
      <c r="AM486" s="2" t="str">
        <f t="shared" si="96"/>
        <v xml:space="preserve"> </v>
      </c>
      <c r="AN486" s="2" t="str">
        <f t="shared" si="96"/>
        <v xml:space="preserve"> </v>
      </c>
      <c r="AO486" s="2" t="str">
        <f t="shared" si="96"/>
        <v xml:space="preserve"> </v>
      </c>
      <c r="AP486" s="2" t="str">
        <f t="shared" si="96"/>
        <v xml:space="preserve"> </v>
      </c>
      <c r="AQ486" s="25" t="str">
        <f t="shared" si="96"/>
        <v xml:space="preserve"> </v>
      </c>
      <c r="AR486" s="12">
        <f t="shared" si="83"/>
        <v>0</v>
      </c>
    </row>
    <row r="487" spans="1:44" x14ac:dyDescent="0.25">
      <c r="A487" s="12">
        <f t="shared" si="82"/>
        <v>0</v>
      </c>
      <c r="B487" s="12">
        <f>IF(AND($C$420&gt;$C$419,($B$454+33)&lt;=$C$420),$C$419+34,0)</f>
        <v>0</v>
      </c>
      <c r="C487" s="26">
        <f t="shared" si="84"/>
        <v>0</v>
      </c>
      <c r="D487" s="26" t="str">
        <f t="shared" si="93"/>
        <v xml:space="preserve"> </v>
      </c>
      <c r="E487" s="2" t="str">
        <f t="shared" si="93"/>
        <v xml:space="preserve"> </v>
      </c>
      <c r="F487" s="2" t="str">
        <f t="shared" si="93"/>
        <v xml:space="preserve"> </v>
      </c>
      <c r="G487" s="2" t="str">
        <f t="shared" si="93"/>
        <v xml:space="preserve"> </v>
      </c>
      <c r="H487" s="2" t="str">
        <f t="shared" si="93"/>
        <v xml:space="preserve"> </v>
      </c>
      <c r="I487" s="2" t="str">
        <f t="shared" si="93"/>
        <v xml:space="preserve"> </v>
      </c>
      <c r="J487" s="2" t="str">
        <f t="shared" si="93"/>
        <v xml:space="preserve"> </v>
      </c>
      <c r="K487" s="2" t="str">
        <f t="shared" si="93"/>
        <v xml:space="preserve"> </v>
      </c>
      <c r="L487" s="2" t="str">
        <f t="shared" si="93"/>
        <v xml:space="preserve"> </v>
      </c>
      <c r="M487" s="2" t="str">
        <f t="shared" si="93"/>
        <v xml:space="preserve"> </v>
      </c>
      <c r="N487" s="2" t="str">
        <f t="shared" si="94"/>
        <v xml:space="preserve"> </v>
      </c>
      <c r="O487" s="2" t="str">
        <f t="shared" si="94"/>
        <v xml:space="preserve"> </v>
      </c>
      <c r="P487" s="2" t="str">
        <f t="shared" si="94"/>
        <v xml:space="preserve"> </v>
      </c>
      <c r="Q487" s="2" t="str">
        <f t="shared" si="94"/>
        <v xml:space="preserve"> </v>
      </c>
      <c r="R487" s="2" t="str">
        <f t="shared" si="94"/>
        <v xml:space="preserve"> </v>
      </c>
      <c r="S487" s="2" t="str">
        <f t="shared" si="94"/>
        <v xml:space="preserve"> </v>
      </c>
      <c r="T487" s="2" t="str">
        <f t="shared" si="94"/>
        <v xml:space="preserve"> </v>
      </c>
      <c r="U487" s="2" t="str">
        <f t="shared" si="94"/>
        <v xml:space="preserve"> </v>
      </c>
      <c r="V487" s="2" t="str">
        <f t="shared" si="94"/>
        <v xml:space="preserve"> </v>
      </c>
      <c r="W487" s="2" t="str">
        <f t="shared" si="94"/>
        <v xml:space="preserve"> </v>
      </c>
      <c r="X487" s="2" t="str">
        <f t="shared" si="95"/>
        <v xml:space="preserve"> </v>
      </c>
      <c r="Y487" s="2" t="str">
        <f t="shared" si="95"/>
        <v xml:space="preserve"> </v>
      </c>
      <c r="Z487" s="2" t="str">
        <f t="shared" si="95"/>
        <v xml:space="preserve"> </v>
      </c>
      <c r="AA487" s="2" t="str">
        <f t="shared" si="95"/>
        <v xml:space="preserve"> </v>
      </c>
      <c r="AB487" s="2" t="str">
        <f t="shared" si="95"/>
        <v xml:space="preserve"> </v>
      </c>
      <c r="AC487" s="2" t="str">
        <f t="shared" si="95"/>
        <v xml:space="preserve"> </v>
      </c>
      <c r="AD487" s="2" t="str">
        <f t="shared" si="95"/>
        <v xml:space="preserve"> </v>
      </c>
      <c r="AE487" s="2" t="str">
        <f t="shared" si="95"/>
        <v xml:space="preserve"> </v>
      </c>
      <c r="AF487" s="2" t="str">
        <f t="shared" si="95"/>
        <v xml:space="preserve"> </v>
      </c>
      <c r="AG487" s="2" t="str">
        <f t="shared" si="95"/>
        <v xml:space="preserve"> </v>
      </c>
      <c r="AH487" s="2" t="str">
        <f t="shared" si="96"/>
        <v xml:space="preserve"> </v>
      </c>
      <c r="AI487" s="2" t="str">
        <f t="shared" si="96"/>
        <v xml:space="preserve"> </v>
      </c>
      <c r="AJ487" s="2" t="str">
        <f t="shared" si="96"/>
        <v xml:space="preserve"> </v>
      </c>
      <c r="AK487" s="2" t="str">
        <f t="shared" si="96"/>
        <v xml:space="preserve"> </v>
      </c>
      <c r="AL487" s="2" t="str">
        <f t="shared" si="96"/>
        <v xml:space="preserve"> </v>
      </c>
      <c r="AM487" s="2" t="str">
        <f t="shared" si="96"/>
        <v xml:space="preserve"> </v>
      </c>
      <c r="AN487" s="2" t="str">
        <f t="shared" si="96"/>
        <v xml:space="preserve"> </v>
      </c>
      <c r="AO487" s="2" t="str">
        <f t="shared" si="96"/>
        <v xml:space="preserve"> </v>
      </c>
      <c r="AP487" s="2" t="str">
        <f t="shared" si="96"/>
        <v xml:space="preserve"> </v>
      </c>
      <c r="AQ487" s="25" t="str">
        <f t="shared" si="96"/>
        <v xml:space="preserve"> </v>
      </c>
      <c r="AR487" s="12">
        <f t="shared" si="83"/>
        <v>0</v>
      </c>
    </row>
    <row r="488" spans="1:44" x14ac:dyDescent="0.25">
      <c r="A488" s="12">
        <f t="shared" si="82"/>
        <v>0</v>
      </c>
      <c r="B488" s="12">
        <f>IF(AND($C$420&gt;$C$419,($B$454+34)&lt;=$C$420),$C$419+35,0)</f>
        <v>0</v>
      </c>
      <c r="C488" s="26">
        <f t="shared" si="84"/>
        <v>0</v>
      </c>
      <c r="D488" s="26" t="str">
        <f t="shared" si="93"/>
        <v xml:space="preserve"> </v>
      </c>
      <c r="E488" s="2" t="str">
        <f t="shared" si="93"/>
        <v xml:space="preserve"> </v>
      </c>
      <c r="F488" s="2" t="str">
        <f t="shared" si="93"/>
        <v xml:space="preserve"> </v>
      </c>
      <c r="G488" s="2" t="str">
        <f t="shared" si="93"/>
        <v xml:space="preserve"> </v>
      </c>
      <c r="H488" s="2" t="str">
        <f t="shared" si="93"/>
        <v xml:space="preserve"> </v>
      </c>
      <c r="I488" s="2" t="str">
        <f t="shared" si="93"/>
        <v xml:space="preserve"> </v>
      </c>
      <c r="J488" s="2" t="str">
        <f t="shared" si="93"/>
        <v xml:space="preserve"> </v>
      </c>
      <c r="K488" s="2" t="str">
        <f t="shared" si="93"/>
        <v xml:space="preserve"> </v>
      </c>
      <c r="L488" s="2" t="str">
        <f t="shared" si="93"/>
        <v xml:space="preserve"> </v>
      </c>
      <c r="M488" s="2" t="str">
        <f t="shared" si="93"/>
        <v xml:space="preserve"> </v>
      </c>
      <c r="N488" s="2" t="str">
        <f t="shared" si="94"/>
        <v xml:space="preserve"> </v>
      </c>
      <c r="O488" s="2" t="str">
        <f t="shared" si="94"/>
        <v xml:space="preserve"> </v>
      </c>
      <c r="P488" s="2" t="str">
        <f t="shared" si="94"/>
        <v xml:space="preserve"> </v>
      </c>
      <c r="Q488" s="2" t="str">
        <f t="shared" si="94"/>
        <v xml:space="preserve"> </v>
      </c>
      <c r="R488" s="2" t="str">
        <f t="shared" si="94"/>
        <v xml:space="preserve"> </v>
      </c>
      <c r="S488" s="2" t="str">
        <f t="shared" si="94"/>
        <v xml:space="preserve"> </v>
      </c>
      <c r="T488" s="2" t="str">
        <f t="shared" si="94"/>
        <v xml:space="preserve"> </v>
      </c>
      <c r="U488" s="2" t="str">
        <f t="shared" si="94"/>
        <v xml:space="preserve"> </v>
      </c>
      <c r="V488" s="2" t="str">
        <f t="shared" si="94"/>
        <v xml:space="preserve"> </v>
      </c>
      <c r="W488" s="2" t="str">
        <f t="shared" si="94"/>
        <v xml:space="preserve"> </v>
      </c>
      <c r="X488" s="2" t="str">
        <f t="shared" si="95"/>
        <v xml:space="preserve"> </v>
      </c>
      <c r="Y488" s="2" t="str">
        <f t="shared" si="95"/>
        <v xml:space="preserve"> </v>
      </c>
      <c r="Z488" s="2" t="str">
        <f t="shared" si="95"/>
        <v xml:space="preserve"> </v>
      </c>
      <c r="AA488" s="2" t="str">
        <f t="shared" si="95"/>
        <v xml:space="preserve"> </v>
      </c>
      <c r="AB488" s="2" t="str">
        <f t="shared" si="95"/>
        <v xml:space="preserve"> </v>
      </c>
      <c r="AC488" s="2" t="str">
        <f t="shared" si="95"/>
        <v xml:space="preserve"> </v>
      </c>
      <c r="AD488" s="2" t="str">
        <f t="shared" si="95"/>
        <v xml:space="preserve"> </v>
      </c>
      <c r="AE488" s="2" t="str">
        <f t="shared" si="95"/>
        <v xml:space="preserve"> </v>
      </c>
      <c r="AF488" s="2" t="str">
        <f t="shared" si="95"/>
        <v xml:space="preserve"> </v>
      </c>
      <c r="AG488" s="2" t="str">
        <f t="shared" si="95"/>
        <v xml:space="preserve"> </v>
      </c>
      <c r="AH488" s="2" t="str">
        <f t="shared" si="96"/>
        <v xml:space="preserve"> </v>
      </c>
      <c r="AI488" s="2" t="str">
        <f t="shared" si="96"/>
        <v xml:space="preserve"> </v>
      </c>
      <c r="AJ488" s="2" t="str">
        <f t="shared" si="96"/>
        <v xml:space="preserve"> </v>
      </c>
      <c r="AK488" s="2" t="str">
        <f t="shared" si="96"/>
        <v xml:space="preserve"> </v>
      </c>
      <c r="AL488" s="2" t="str">
        <f t="shared" si="96"/>
        <v xml:space="preserve"> </v>
      </c>
      <c r="AM488" s="2" t="str">
        <f t="shared" si="96"/>
        <v xml:space="preserve"> </v>
      </c>
      <c r="AN488" s="2" t="str">
        <f t="shared" si="96"/>
        <v xml:space="preserve"> </v>
      </c>
      <c r="AO488" s="2" t="str">
        <f t="shared" si="96"/>
        <v xml:space="preserve"> </v>
      </c>
      <c r="AP488" s="2" t="str">
        <f t="shared" si="96"/>
        <v xml:space="preserve"> </v>
      </c>
      <c r="AQ488" s="25" t="str">
        <f t="shared" si="96"/>
        <v xml:space="preserve"> </v>
      </c>
      <c r="AR488" s="12">
        <f t="shared" si="83"/>
        <v>0</v>
      </c>
    </row>
    <row r="489" spans="1:44" x14ac:dyDescent="0.25">
      <c r="A489" s="12">
        <f t="shared" si="82"/>
        <v>0</v>
      </c>
      <c r="B489" s="12">
        <f>IF(AND($C$420&gt;$C$419,($B$454+35)&lt;=$C$420),$C$419+36,0)</f>
        <v>0</v>
      </c>
      <c r="C489" s="26">
        <f t="shared" si="84"/>
        <v>0</v>
      </c>
      <c r="D489" s="26" t="str">
        <f t="shared" si="93"/>
        <v xml:space="preserve"> </v>
      </c>
      <c r="E489" s="2" t="str">
        <f t="shared" si="93"/>
        <v xml:space="preserve"> </v>
      </c>
      <c r="F489" s="2" t="str">
        <f t="shared" si="93"/>
        <v xml:space="preserve"> </v>
      </c>
      <c r="G489" s="2" t="str">
        <f t="shared" si="93"/>
        <v xml:space="preserve"> </v>
      </c>
      <c r="H489" s="2" t="str">
        <f t="shared" si="93"/>
        <v xml:space="preserve"> </v>
      </c>
      <c r="I489" s="2" t="str">
        <f t="shared" si="93"/>
        <v xml:space="preserve"> </v>
      </c>
      <c r="J489" s="2" t="str">
        <f t="shared" si="93"/>
        <v xml:space="preserve"> </v>
      </c>
      <c r="K489" s="2" t="str">
        <f t="shared" si="93"/>
        <v xml:space="preserve"> </v>
      </c>
      <c r="L489" s="2" t="str">
        <f t="shared" si="93"/>
        <v xml:space="preserve"> </v>
      </c>
      <c r="M489" s="2" t="str">
        <f t="shared" si="93"/>
        <v xml:space="preserve"> </v>
      </c>
      <c r="N489" s="2" t="str">
        <f t="shared" si="94"/>
        <v xml:space="preserve"> </v>
      </c>
      <c r="O489" s="2" t="str">
        <f t="shared" si="94"/>
        <v xml:space="preserve"> </v>
      </c>
      <c r="P489" s="2" t="str">
        <f t="shared" si="94"/>
        <v xml:space="preserve"> </v>
      </c>
      <c r="Q489" s="2" t="str">
        <f t="shared" si="94"/>
        <v xml:space="preserve"> </v>
      </c>
      <c r="R489" s="2" t="str">
        <f t="shared" si="94"/>
        <v xml:space="preserve"> </v>
      </c>
      <c r="S489" s="2" t="str">
        <f t="shared" si="94"/>
        <v xml:space="preserve"> </v>
      </c>
      <c r="T489" s="2" t="str">
        <f t="shared" si="94"/>
        <v xml:space="preserve"> </v>
      </c>
      <c r="U489" s="2" t="str">
        <f t="shared" si="94"/>
        <v xml:space="preserve"> </v>
      </c>
      <c r="V489" s="2" t="str">
        <f t="shared" si="94"/>
        <v xml:space="preserve"> </v>
      </c>
      <c r="W489" s="2" t="str">
        <f t="shared" si="94"/>
        <v xml:space="preserve"> </v>
      </c>
      <c r="X489" s="2" t="str">
        <f t="shared" si="95"/>
        <v xml:space="preserve"> </v>
      </c>
      <c r="Y489" s="2" t="str">
        <f t="shared" si="95"/>
        <v xml:space="preserve"> </v>
      </c>
      <c r="Z489" s="2" t="str">
        <f t="shared" si="95"/>
        <v xml:space="preserve"> </v>
      </c>
      <c r="AA489" s="2" t="str">
        <f t="shared" si="95"/>
        <v xml:space="preserve"> </v>
      </c>
      <c r="AB489" s="2" t="str">
        <f t="shared" si="95"/>
        <v xml:space="preserve"> </v>
      </c>
      <c r="AC489" s="2" t="str">
        <f t="shared" si="95"/>
        <v xml:space="preserve"> </v>
      </c>
      <c r="AD489" s="2" t="str">
        <f t="shared" si="95"/>
        <v xml:space="preserve"> </v>
      </c>
      <c r="AE489" s="2" t="str">
        <f t="shared" si="95"/>
        <v xml:space="preserve"> </v>
      </c>
      <c r="AF489" s="2" t="str">
        <f t="shared" si="95"/>
        <v xml:space="preserve"> </v>
      </c>
      <c r="AG489" s="2" t="str">
        <f t="shared" si="95"/>
        <v xml:space="preserve"> </v>
      </c>
      <c r="AH489" s="2" t="str">
        <f t="shared" si="96"/>
        <v xml:space="preserve"> </v>
      </c>
      <c r="AI489" s="2" t="str">
        <f t="shared" si="96"/>
        <v xml:space="preserve"> </v>
      </c>
      <c r="AJ489" s="2" t="str">
        <f t="shared" si="96"/>
        <v xml:space="preserve"> </v>
      </c>
      <c r="AK489" s="2" t="str">
        <f t="shared" si="96"/>
        <v xml:space="preserve"> </v>
      </c>
      <c r="AL489" s="2" t="str">
        <f t="shared" si="96"/>
        <v xml:space="preserve"> </v>
      </c>
      <c r="AM489" s="2" t="str">
        <f t="shared" si="96"/>
        <v xml:space="preserve"> </v>
      </c>
      <c r="AN489" s="2" t="str">
        <f t="shared" si="96"/>
        <v xml:space="preserve"> </v>
      </c>
      <c r="AO489" s="2" t="str">
        <f t="shared" si="96"/>
        <v xml:space="preserve"> </v>
      </c>
      <c r="AP489" s="2" t="str">
        <f t="shared" si="96"/>
        <v xml:space="preserve"> </v>
      </c>
      <c r="AQ489" s="25" t="str">
        <f t="shared" si="96"/>
        <v xml:space="preserve"> </v>
      </c>
      <c r="AR489" s="12">
        <f t="shared" si="83"/>
        <v>0</v>
      </c>
    </row>
    <row r="490" spans="1:44" x14ac:dyDescent="0.25">
      <c r="A490" s="12">
        <f t="shared" si="82"/>
        <v>0</v>
      </c>
      <c r="B490" s="12">
        <f>IF(AND($C$420&gt;$C$419,($B$454+36)&lt;=$C$420),$C$419+37,0)</f>
        <v>0</v>
      </c>
      <c r="C490" s="26">
        <f t="shared" si="84"/>
        <v>0</v>
      </c>
      <c r="D490" s="26" t="str">
        <f t="shared" si="93"/>
        <v xml:space="preserve"> </v>
      </c>
      <c r="E490" s="2" t="str">
        <f t="shared" si="93"/>
        <v xml:space="preserve"> </v>
      </c>
      <c r="F490" s="2" t="str">
        <f t="shared" si="93"/>
        <v xml:space="preserve"> </v>
      </c>
      <c r="G490" s="2" t="str">
        <f t="shared" si="93"/>
        <v xml:space="preserve"> </v>
      </c>
      <c r="H490" s="2" t="str">
        <f t="shared" si="93"/>
        <v xml:space="preserve"> </v>
      </c>
      <c r="I490" s="2" t="str">
        <f t="shared" si="93"/>
        <v xml:space="preserve"> </v>
      </c>
      <c r="J490" s="2" t="str">
        <f t="shared" si="93"/>
        <v xml:space="preserve"> </v>
      </c>
      <c r="K490" s="2" t="str">
        <f t="shared" si="93"/>
        <v xml:space="preserve"> </v>
      </c>
      <c r="L490" s="2" t="str">
        <f t="shared" si="93"/>
        <v xml:space="preserve"> </v>
      </c>
      <c r="M490" s="2" t="str">
        <f t="shared" si="93"/>
        <v xml:space="preserve"> </v>
      </c>
      <c r="N490" s="2" t="str">
        <f t="shared" si="94"/>
        <v xml:space="preserve"> </v>
      </c>
      <c r="O490" s="2" t="str">
        <f t="shared" si="94"/>
        <v xml:space="preserve"> </v>
      </c>
      <c r="P490" s="2" t="str">
        <f t="shared" si="94"/>
        <v xml:space="preserve"> </v>
      </c>
      <c r="Q490" s="2" t="str">
        <f t="shared" si="94"/>
        <v xml:space="preserve"> </v>
      </c>
      <c r="R490" s="2" t="str">
        <f t="shared" si="94"/>
        <v xml:space="preserve"> </v>
      </c>
      <c r="S490" s="2" t="str">
        <f t="shared" si="94"/>
        <v xml:space="preserve"> </v>
      </c>
      <c r="T490" s="2" t="str">
        <f t="shared" si="94"/>
        <v xml:space="preserve"> </v>
      </c>
      <c r="U490" s="2" t="str">
        <f t="shared" si="94"/>
        <v xml:space="preserve"> </v>
      </c>
      <c r="V490" s="2" t="str">
        <f t="shared" si="94"/>
        <v xml:space="preserve"> </v>
      </c>
      <c r="W490" s="2" t="str">
        <f t="shared" si="94"/>
        <v xml:space="preserve"> </v>
      </c>
      <c r="X490" s="2" t="str">
        <f t="shared" si="95"/>
        <v xml:space="preserve"> </v>
      </c>
      <c r="Y490" s="2" t="str">
        <f t="shared" si="95"/>
        <v xml:space="preserve"> </v>
      </c>
      <c r="Z490" s="2" t="str">
        <f t="shared" si="95"/>
        <v xml:space="preserve"> </v>
      </c>
      <c r="AA490" s="2" t="str">
        <f t="shared" si="95"/>
        <v xml:space="preserve"> </v>
      </c>
      <c r="AB490" s="2" t="str">
        <f t="shared" si="95"/>
        <v xml:space="preserve"> </v>
      </c>
      <c r="AC490" s="2" t="str">
        <f t="shared" si="95"/>
        <v xml:space="preserve"> </v>
      </c>
      <c r="AD490" s="2" t="str">
        <f t="shared" si="95"/>
        <v xml:space="preserve"> </v>
      </c>
      <c r="AE490" s="2" t="str">
        <f t="shared" si="95"/>
        <v xml:space="preserve"> </v>
      </c>
      <c r="AF490" s="2" t="str">
        <f t="shared" si="95"/>
        <v xml:space="preserve"> </v>
      </c>
      <c r="AG490" s="2" t="str">
        <f t="shared" si="95"/>
        <v xml:space="preserve"> </v>
      </c>
      <c r="AH490" s="2" t="str">
        <f t="shared" si="96"/>
        <v xml:space="preserve"> </v>
      </c>
      <c r="AI490" s="2" t="str">
        <f t="shared" si="96"/>
        <v xml:space="preserve"> </v>
      </c>
      <c r="AJ490" s="2" t="str">
        <f t="shared" si="96"/>
        <v xml:space="preserve"> </v>
      </c>
      <c r="AK490" s="2" t="str">
        <f t="shared" si="96"/>
        <v xml:space="preserve"> </v>
      </c>
      <c r="AL490" s="2" t="str">
        <f t="shared" si="96"/>
        <v xml:space="preserve"> </v>
      </c>
      <c r="AM490" s="2" t="str">
        <f t="shared" si="96"/>
        <v xml:space="preserve"> </v>
      </c>
      <c r="AN490" s="2" t="str">
        <f t="shared" si="96"/>
        <v xml:space="preserve"> </v>
      </c>
      <c r="AO490" s="2" t="str">
        <f t="shared" si="96"/>
        <v xml:space="preserve"> </v>
      </c>
      <c r="AP490" s="2" t="str">
        <f t="shared" si="96"/>
        <v xml:space="preserve"> </v>
      </c>
      <c r="AQ490" s="25" t="str">
        <f t="shared" si="96"/>
        <v xml:space="preserve"> </v>
      </c>
      <c r="AR490" s="12">
        <f t="shared" si="83"/>
        <v>0</v>
      </c>
    </row>
    <row r="491" spans="1:44" x14ac:dyDescent="0.25">
      <c r="A491" s="12">
        <f t="shared" si="82"/>
        <v>0</v>
      </c>
      <c r="B491" s="12">
        <f>IF(AND($C$420&gt;$C$419,($B$454+37)&lt;=$C$420),$C$419+38,0)</f>
        <v>0</v>
      </c>
      <c r="C491" s="26">
        <f t="shared" si="84"/>
        <v>0</v>
      </c>
      <c r="D491" s="26" t="str">
        <f t="shared" si="93"/>
        <v xml:space="preserve"> </v>
      </c>
      <c r="E491" s="2" t="str">
        <f t="shared" si="93"/>
        <v xml:space="preserve"> </v>
      </c>
      <c r="F491" s="2" t="str">
        <f t="shared" si="93"/>
        <v xml:space="preserve"> </v>
      </c>
      <c r="G491" s="2" t="str">
        <f t="shared" si="93"/>
        <v xml:space="preserve"> </v>
      </c>
      <c r="H491" s="2" t="str">
        <f t="shared" si="93"/>
        <v xml:space="preserve"> </v>
      </c>
      <c r="I491" s="2" t="str">
        <f t="shared" si="93"/>
        <v xml:space="preserve"> </v>
      </c>
      <c r="J491" s="2" t="str">
        <f t="shared" si="93"/>
        <v xml:space="preserve"> </v>
      </c>
      <c r="K491" s="2" t="str">
        <f t="shared" si="93"/>
        <v xml:space="preserve"> </v>
      </c>
      <c r="L491" s="2" t="str">
        <f t="shared" si="93"/>
        <v xml:space="preserve"> </v>
      </c>
      <c r="M491" s="2" t="str">
        <f t="shared" si="93"/>
        <v xml:space="preserve"> </v>
      </c>
      <c r="N491" s="2" t="str">
        <f t="shared" si="94"/>
        <v xml:space="preserve"> </v>
      </c>
      <c r="O491" s="2" t="str">
        <f t="shared" si="94"/>
        <v xml:space="preserve"> </v>
      </c>
      <c r="P491" s="2" t="str">
        <f t="shared" si="94"/>
        <v xml:space="preserve"> </v>
      </c>
      <c r="Q491" s="2" t="str">
        <f t="shared" si="94"/>
        <v xml:space="preserve"> </v>
      </c>
      <c r="R491" s="2" t="str">
        <f t="shared" si="94"/>
        <v xml:space="preserve"> </v>
      </c>
      <c r="S491" s="2" t="str">
        <f t="shared" si="94"/>
        <v xml:space="preserve"> </v>
      </c>
      <c r="T491" s="2" t="str">
        <f t="shared" si="94"/>
        <v xml:space="preserve"> </v>
      </c>
      <c r="U491" s="2" t="str">
        <f t="shared" si="94"/>
        <v xml:space="preserve"> </v>
      </c>
      <c r="V491" s="2" t="str">
        <f t="shared" si="94"/>
        <v xml:space="preserve"> </v>
      </c>
      <c r="W491" s="2" t="str">
        <f t="shared" si="94"/>
        <v xml:space="preserve"> </v>
      </c>
      <c r="X491" s="2" t="str">
        <f t="shared" si="95"/>
        <v xml:space="preserve"> </v>
      </c>
      <c r="Y491" s="2" t="str">
        <f t="shared" si="95"/>
        <v xml:space="preserve"> </v>
      </c>
      <c r="Z491" s="2" t="str">
        <f t="shared" si="95"/>
        <v xml:space="preserve"> </v>
      </c>
      <c r="AA491" s="2" t="str">
        <f t="shared" si="95"/>
        <v xml:space="preserve"> </v>
      </c>
      <c r="AB491" s="2" t="str">
        <f t="shared" si="95"/>
        <v xml:space="preserve"> </v>
      </c>
      <c r="AC491" s="2" t="str">
        <f t="shared" si="95"/>
        <v xml:space="preserve"> </v>
      </c>
      <c r="AD491" s="2" t="str">
        <f t="shared" si="95"/>
        <v xml:space="preserve"> </v>
      </c>
      <c r="AE491" s="2" t="str">
        <f t="shared" si="95"/>
        <v xml:space="preserve"> </v>
      </c>
      <c r="AF491" s="2" t="str">
        <f t="shared" si="95"/>
        <v xml:space="preserve"> </v>
      </c>
      <c r="AG491" s="2" t="str">
        <f t="shared" si="95"/>
        <v xml:space="preserve"> </v>
      </c>
      <c r="AH491" s="2" t="str">
        <f t="shared" si="96"/>
        <v xml:space="preserve"> </v>
      </c>
      <c r="AI491" s="2" t="str">
        <f t="shared" si="96"/>
        <v xml:space="preserve"> </v>
      </c>
      <c r="AJ491" s="2" t="str">
        <f t="shared" si="96"/>
        <v xml:space="preserve"> </v>
      </c>
      <c r="AK491" s="2" t="str">
        <f t="shared" si="96"/>
        <v xml:space="preserve"> </v>
      </c>
      <c r="AL491" s="2" t="str">
        <f t="shared" si="96"/>
        <v xml:space="preserve"> </v>
      </c>
      <c r="AM491" s="2" t="str">
        <f t="shared" si="96"/>
        <v xml:space="preserve"> </v>
      </c>
      <c r="AN491" s="2" t="str">
        <f t="shared" si="96"/>
        <v xml:space="preserve"> </v>
      </c>
      <c r="AO491" s="2" t="str">
        <f t="shared" si="96"/>
        <v xml:space="preserve"> </v>
      </c>
      <c r="AP491" s="2" t="str">
        <f t="shared" si="96"/>
        <v xml:space="preserve"> </v>
      </c>
      <c r="AQ491" s="25" t="str">
        <f t="shared" si="96"/>
        <v xml:space="preserve"> </v>
      </c>
      <c r="AR491" s="12">
        <f t="shared" si="83"/>
        <v>0</v>
      </c>
    </row>
    <row r="492" spans="1:44" x14ac:dyDescent="0.25">
      <c r="A492" s="13">
        <f t="shared" si="82"/>
        <v>0</v>
      </c>
      <c r="B492" s="13">
        <f>IF(AND($C$420&gt;$C$419,($B$454+38)&lt;=$C$420),$C$419+39,0)</f>
        <v>0</v>
      </c>
      <c r="C492" s="432">
        <f t="shared" si="84"/>
        <v>0</v>
      </c>
      <c r="D492" s="432" t="str">
        <f t="shared" si="93"/>
        <v xml:space="preserve"> </v>
      </c>
      <c r="E492" s="343" t="str">
        <f t="shared" si="93"/>
        <v xml:space="preserve"> </v>
      </c>
      <c r="F492" s="343" t="str">
        <f t="shared" si="93"/>
        <v xml:space="preserve"> </v>
      </c>
      <c r="G492" s="343" t="str">
        <f t="shared" si="93"/>
        <v xml:space="preserve"> </v>
      </c>
      <c r="H492" s="343" t="str">
        <f t="shared" si="93"/>
        <v xml:space="preserve"> </v>
      </c>
      <c r="I492" s="343" t="str">
        <f t="shared" si="93"/>
        <v xml:space="preserve"> </v>
      </c>
      <c r="J492" s="343" t="str">
        <f t="shared" si="93"/>
        <v xml:space="preserve"> </v>
      </c>
      <c r="K492" s="343" t="str">
        <f t="shared" si="93"/>
        <v xml:space="preserve"> </v>
      </c>
      <c r="L492" s="343" t="str">
        <f t="shared" si="93"/>
        <v xml:space="preserve"> </v>
      </c>
      <c r="M492" s="343" t="str">
        <f t="shared" si="93"/>
        <v xml:space="preserve"> </v>
      </c>
      <c r="N492" s="343" t="str">
        <f t="shared" si="94"/>
        <v xml:space="preserve"> </v>
      </c>
      <c r="O492" s="343" t="str">
        <f t="shared" si="94"/>
        <v xml:space="preserve"> </v>
      </c>
      <c r="P492" s="343" t="str">
        <f t="shared" si="94"/>
        <v xml:space="preserve"> </v>
      </c>
      <c r="Q492" s="343" t="str">
        <f t="shared" si="94"/>
        <v xml:space="preserve"> </v>
      </c>
      <c r="R492" s="343" t="str">
        <f t="shared" si="94"/>
        <v xml:space="preserve"> </v>
      </c>
      <c r="S492" s="343" t="str">
        <f t="shared" si="94"/>
        <v xml:space="preserve"> </v>
      </c>
      <c r="T492" s="343" t="str">
        <f t="shared" si="94"/>
        <v xml:space="preserve"> </v>
      </c>
      <c r="U492" s="343" t="str">
        <f t="shared" si="94"/>
        <v xml:space="preserve"> </v>
      </c>
      <c r="V492" s="343" t="str">
        <f t="shared" si="94"/>
        <v xml:space="preserve"> </v>
      </c>
      <c r="W492" s="343" t="str">
        <f t="shared" si="94"/>
        <v xml:space="preserve"> </v>
      </c>
      <c r="X492" s="343" t="str">
        <f t="shared" si="95"/>
        <v xml:space="preserve"> </v>
      </c>
      <c r="Y492" s="343" t="str">
        <f t="shared" si="95"/>
        <v xml:space="preserve"> </v>
      </c>
      <c r="Z492" s="343" t="str">
        <f t="shared" si="95"/>
        <v xml:space="preserve"> </v>
      </c>
      <c r="AA492" s="343" t="str">
        <f t="shared" si="95"/>
        <v xml:space="preserve"> </v>
      </c>
      <c r="AB492" s="343" t="str">
        <f t="shared" si="95"/>
        <v xml:space="preserve"> </v>
      </c>
      <c r="AC492" s="343" t="str">
        <f t="shared" si="95"/>
        <v xml:space="preserve"> </v>
      </c>
      <c r="AD492" s="343" t="str">
        <f t="shared" si="95"/>
        <v xml:space="preserve"> </v>
      </c>
      <c r="AE492" s="343" t="str">
        <f t="shared" si="95"/>
        <v xml:space="preserve"> </v>
      </c>
      <c r="AF492" s="343" t="str">
        <f t="shared" si="95"/>
        <v xml:space="preserve"> </v>
      </c>
      <c r="AG492" s="343" t="str">
        <f t="shared" si="95"/>
        <v xml:space="preserve"> </v>
      </c>
      <c r="AH492" s="343" t="str">
        <f t="shared" si="96"/>
        <v xml:space="preserve"> </v>
      </c>
      <c r="AI492" s="343" t="str">
        <f t="shared" si="96"/>
        <v xml:space="preserve"> </v>
      </c>
      <c r="AJ492" s="343" t="str">
        <f t="shared" si="96"/>
        <v xml:space="preserve"> </v>
      </c>
      <c r="AK492" s="343" t="str">
        <f t="shared" si="96"/>
        <v xml:space="preserve"> </v>
      </c>
      <c r="AL492" s="343" t="str">
        <f t="shared" si="96"/>
        <v xml:space="preserve"> </v>
      </c>
      <c r="AM492" s="343" t="str">
        <f t="shared" si="96"/>
        <v xml:space="preserve"> </v>
      </c>
      <c r="AN492" s="343" t="str">
        <f t="shared" si="96"/>
        <v xml:space="preserve"> </v>
      </c>
      <c r="AO492" s="343" t="str">
        <f t="shared" si="96"/>
        <v xml:space="preserve"> </v>
      </c>
      <c r="AP492" s="343" t="str">
        <f t="shared" si="96"/>
        <v xml:space="preserve"> </v>
      </c>
      <c r="AQ492" s="436" t="str">
        <f t="shared" si="96"/>
        <v xml:space="preserve"> </v>
      </c>
      <c r="AR492" s="13">
        <f t="shared" si="83"/>
        <v>0</v>
      </c>
    </row>
    <row r="493" spans="1:44" x14ac:dyDescent="0.25">
      <c r="D493" s="208">
        <f t="shared" ref="D493:AQ493" si="97">IFERROR(VLOOKUP($B$445,D$453:AR$492,D450,FALSE),0)</f>
        <v>0</v>
      </c>
      <c r="E493" s="208">
        <f t="shared" si="97"/>
        <v>0</v>
      </c>
      <c r="F493" s="208">
        <f t="shared" si="97"/>
        <v>0</v>
      </c>
      <c r="G493" s="208">
        <f t="shared" si="97"/>
        <v>0</v>
      </c>
      <c r="H493" s="208">
        <f t="shared" si="97"/>
        <v>0</v>
      </c>
      <c r="I493" s="208">
        <f t="shared" si="97"/>
        <v>0</v>
      </c>
      <c r="J493" s="208">
        <f t="shared" si="97"/>
        <v>0</v>
      </c>
      <c r="K493" s="208">
        <f t="shared" si="97"/>
        <v>0</v>
      </c>
      <c r="L493" s="208">
        <f t="shared" si="97"/>
        <v>0</v>
      </c>
      <c r="M493" s="208">
        <f t="shared" si="97"/>
        <v>0</v>
      </c>
      <c r="N493" s="208">
        <f t="shared" si="97"/>
        <v>0</v>
      </c>
      <c r="O493" s="208">
        <f t="shared" si="97"/>
        <v>0</v>
      </c>
      <c r="P493" s="208">
        <f t="shared" si="97"/>
        <v>0</v>
      </c>
      <c r="Q493" s="208">
        <f t="shared" si="97"/>
        <v>0</v>
      </c>
      <c r="R493" s="208">
        <f t="shared" si="97"/>
        <v>0</v>
      </c>
      <c r="S493" s="208">
        <f t="shared" si="97"/>
        <v>0</v>
      </c>
      <c r="T493" s="208">
        <f t="shared" si="97"/>
        <v>0</v>
      </c>
      <c r="U493" s="208">
        <f t="shared" si="97"/>
        <v>0</v>
      </c>
      <c r="V493" s="208">
        <f t="shared" si="97"/>
        <v>0</v>
      </c>
      <c r="W493" s="208">
        <f t="shared" si="97"/>
        <v>0</v>
      </c>
      <c r="X493" s="208">
        <f t="shared" si="97"/>
        <v>0</v>
      </c>
      <c r="Y493" s="208">
        <f t="shared" si="97"/>
        <v>0</v>
      </c>
      <c r="Z493" s="208">
        <f t="shared" si="97"/>
        <v>0</v>
      </c>
      <c r="AA493" s="208">
        <f t="shared" si="97"/>
        <v>0</v>
      </c>
      <c r="AB493" s="208">
        <f t="shared" si="97"/>
        <v>0</v>
      </c>
      <c r="AC493" s="208">
        <f t="shared" si="97"/>
        <v>0</v>
      </c>
      <c r="AD493" s="208">
        <f t="shared" si="97"/>
        <v>0</v>
      </c>
      <c r="AE493" s="208">
        <f t="shared" si="97"/>
        <v>0</v>
      </c>
      <c r="AF493" s="208">
        <f t="shared" si="97"/>
        <v>0</v>
      </c>
      <c r="AG493" s="208">
        <f t="shared" si="97"/>
        <v>0</v>
      </c>
      <c r="AH493" s="208">
        <f t="shared" si="97"/>
        <v>0</v>
      </c>
      <c r="AI493" s="208">
        <f t="shared" si="97"/>
        <v>0</v>
      </c>
      <c r="AJ493" s="208">
        <f t="shared" si="97"/>
        <v>0</v>
      </c>
      <c r="AK493" s="208">
        <f t="shared" si="97"/>
        <v>0</v>
      </c>
      <c r="AL493" s="208">
        <f t="shared" si="97"/>
        <v>0</v>
      </c>
      <c r="AM493" s="208">
        <f t="shared" si="97"/>
        <v>0</v>
      </c>
      <c r="AN493" s="208">
        <f t="shared" si="97"/>
        <v>0</v>
      </c>
      <c r="AO493" s="208">
        <f t="shared" si="97"/>
        <v>0</v>
      </c>
      <c r="AP493" s="208">
        <f t="shared" si="97"/>
        <v>0</v>
      </c>
      <c r="AQ493" s="208">
        <f t="shared" si="97"/>
        <v>0</v>
      </c>
      <c r="AR493" s="472"/>
    </row>
    <row r="494" spans="1:44" x14ac:dyDescent="0.25">
      <c r="C494" t="s">
        <v>1315</v>
      </c>
      <c r="D494" s="951" t="str">
        <f>IF(D449&lt;&gt;" ",VLOOKUP($C$452,D$453:$AR$492,D449,FALSE)," ")</f>
        <v xml:space="preserve"> </v>
      </c>
      <c r="E494" s="951" t="str">
        <f>IF(E449&lt;&gt;" ",VLOOKUP($C$452,E$453:$AR$492,E449,FALSE)," ")</f>
        <v xml:space="preserve"> </v>
      </c>
      <c r="F494" s="951" t="str">
        <f>IF(F449&lt;&gt;" ",VLOOKUP($C$452,F$453:$AR$492,F449,FALSE)," ")</f>
        <v xml:space="preserve"> </v>
      </c>
      <c r="G494" s="951" t="str">
        <f>IF(G449&lt;&gt;" ",VLOOKUP($C$452,G$453:$AR$492,G449,FALSE)," ")</f>
        <v xml:space="preserve"> </v>
      </c>
      <c r="H494" s="951" t="str">
        <f>IF(H449&lt;&gt;" ",VLOOKUP($C$452,H$453:$AR$492,H449,FALSE)," ")</f>
        <v xml:space="preserve"> </v>
      </c>
      <c r="I494" s="951" t="str">
        <f>IF(I449&lt;&gt;" ",VLOOKUP($C$452,I$453:$AR$492,I449,FALSE)," ")</f>
        <v xml:space="preserve"> </v>
      </c>
      <c r="J494" s="951" t="str">
        <f>IF(J449&lt;&gt;" ",VLOOKUP($C$452,J$453:$AR$492,J449,FALSE)," ")</f>
        <v xml:space="preserve"> </v>
      </c>
      <c r="K494" s="951" t="str">
        <f>IF(K449&lt;&gt;" ",VLOOKUP($C$452,K$453:$AR$492,K449,FALSE)," ")</f>
        <v xml:space="preserve"> </v>
      </c>
      <c r="L494" s="951" t="str">
        <f>IF(L449&lt;&gt;" ",VLOOKUP($C$452,L$453:$AR$492,L449,FALSE)," ")</f>
        <v xml:space="preserve"> </v>
      </c>
      <c r="M494" s="951" t="str">
        <f>IF(M449&lt;&gt;" ",VLOOKUP($C$452,M$453:$AR$492,M449,FALSE)," ")</f>
        <v xml:space="preserve"> </v>
      </c>
      <c r="N494" s="951" t="str">
        <f>IF(N449&lt;&gt;" ",VLOOKUP($C$452,N$453:$AR$492,N449,FALSE)," ")</f>
        <v xml:space="preserve"> </v>
      </c>
      <c r="O494" s="951" t="str">
        <f>IF(O449&lt;&gt;" ",VLOOKUP($C$452,O$453:$AR$492,O449,FALSE)," ")</f>
        <v xml:space="preserve"> </v>
      </c>
      <c r="P494" s="951" t="str">
        <f>IF(P449&lt;&gt;" ",VLOOKUP($C$452,P$453:$AR$492,P449,FALSE)," ")</f>
        <v xml:space="preserve"> </v>
      </c>
      <c r="Q494" s="951" t="str">
        <f>IF(Q449&lt;&gt;" ",VLOOKUP($C$452,Q$453:$AR$492,Q449,FALSE)," ")</f>
        <v xml:space="preserve"> </v>
      </c>
      <c r="R494" s="951" t="str">
        <f>IF(R449&lt;&gt;" ",VLOOKUP($C$452,R$453:$AR$492,R449,FALSE)," ")</f>
        <v xml:space="preserve"> </v>
      </c>
      <c r="S494" s="951" t="str">
        <f>IF(S449&lt;&gt;" ",VLOOKUP($C$452,S$453:$AR$492,S449,FALSE)," ")</f>
        <v xml:space="preserve"> </v>
      </c>
      <c r="T494" s="951" t="str">
        <f>IF(T449&lt;&gt;" ",VLOOKUP($C$452,T$453:$AR$492,T449,FALSE)," ")</f>
        <v xml:space="preserve"> </v>
      </c>
      <c r="U494" s="951" t="str">
        <f>IF(U449&lt;&gt;" ",VLOOKUP($C$452,U$453:$AR$492,U449,FALSE)," ")</f>
        <v xml:space="preserve"> </v>
      </c>
      <c r="V494" s="951" t="str">
        <f>IF(V449&lt;&gt;" ",VLOOKUP($C$452,V$453:$AR$492,V449,FALSE)," ")</f>
        <v xml:space="preserve"> </v>
      </c>
      <c r="W494" s="951" t="str">
        <f>IF(W449&lt;&gt;" ",VLOOKUP($C$452,W$453:$AR$492,W449,FALSE)," ")</f>
        <v xml:space="preserve"> </v>
      </c>
      <c r="X494" s="951" t="str">
        <f>IF(X449&lt;&gt;" ",VLOOKUP($C$452,X$453:$AR$492,X449,FALSE)," ")</f>
        <v xml:space="preserve"> </v>
      </c>
      <c r="Y494" s="951" t="str">
        <f>IF(Y449&lt;&gt;" ",VLOOKUP($C$452,Y$453:$AR$492,Y449,FALSE)," ")</f>
        <v xml:space="preserve"> </v>
      </c>
      <c r="Z494" s="951" t="str">
        <f>IF(Z449&lt;&gt;" ",VLOOKUP($C$452,Z$453:$AR$492,Z449,FALSE)," ")</f>
        <v xml:space="preserve"> </v>
      </c>
      <c r="AA494" s="951" t="str">
        <f>IF(AA449&lt;&gt;" ",VLOOKUP($C$452,AA$453:$AR$492,AA449,FALSE)," ")</f>
        <v xml:space="preserve"> </v>
      </c>
      <c r="AB494" s="951" t="str">
        <f>IF(AB449&lt;&gt;" ",VLOOKUP($C$452,AB$453:$AR$492,AB449,FALSE)," ")</f>
        <v xml:space="preserve"> </v>
      </c>
      <c r="AC494" s="951" t="str">
        <f>IF(AC449&lt;&gt;" ",VLOOKUP($C$452,AC$453:$AR$492,AC449,FALSE)," ")</f>
        <v xml:space="preserve"> </v>
      </c>
      <c r="AD494" s="951" t="str">
        <f>IF(AD449&lt;&gt;" ",VLOOKUP($C$452,AD$453:$AR$492,AD449,FALSE)," ")</f>
        <v xml:space="preserve"> </v>
      </c>
      <c r="AE494" s="951" t="str">
        <f>IF(AE449&lt;&gt;" ",VLOOKUP($C$452,AE$453:$AR$492,AE449,FALSE)," ")</f>
        <v xml:space="preserve"> </v>
      </c>
      <c r="AF494" s="951" t="str">
        <f>IF(AF449&lt;&gt;" ",VLOOKUP($C$452,AF$453:$AR$492,AF449,FALSE)," ")</f>
        <v xml:space="preserve"> </v>
      </c>
      <c r="AG494" s="951" t="str">
        <f>IF(AG449&lt;&gt;" ",VLOOKUP($C$452,AG$453:$AR$492,AG449,FALSE)," ")</f>
        <v xml:space="preserve"> </v>
      </c>
      <c r="AH494" s="951" t="str">
        <f>IF(AH449&lt;&gt;" ",VLOOKUP($C$452,AH$453:$AR$492,AH449,FALSE)," ")</f>
        <v xml:space="preserve"> </v>
      </c>
      <c r="AI494" s="951" t="str">
        <f>IF(AI449&lt;&gt;" ",VLOOKUP($C$452,AI$453:$AR$492,AI449,FALSE)," ")</f>
        <v xml:space="preserve"> </v>
      </c>
      <c r="AJ494" s="951" t="str">
        <f>IF(AJ449&lt;&gt;" ",VLOOKUP($C$452,AJ$453:$AR$492,AJ449,FALSE)," ")</f>
        <v xml:space="preserve"> </v>
      </c>
      <c r="AK494" s="951" t="str">
        <f>IF(AK449&lt;&gt;" ",VLOOKUP($C$452,AK$453:$AR$492,AK449,FALSE)," ")</f>
        <v xml:space="preserve"> </v>
      </c>
      <c r="AL494" s="951" t="str">
        <f>IF(AL449&lt;&gt;" ",VLOOKUP($C$452,AL$453:$AR$492,AL449,FALSE)," ")</f>
        <v xml:space="preserve"> </v>
      </c>
      <c r="AM494" s="951" t="str">
        <f>IF(AM449&lt;&gt;" ",VLOOKUP($C$452,AM$453:$AR$492,AM449,FALSE)," ")</f>
        <v xml:space="preserve"> </v>
      </c>
      <c r="AN494" s="951" t="str">
        <f>IF(AN449&lt;&gt;" ",VLOOKUP($C$452,AN$453:$AR$492,AN449,FALSE)," ")</f>
        <v xml:space="preserve"> </v>
      </c>
      <c r="AO494" s="951" t="str">
        <f>IF(AO449&lt;&gt;" ",VLOOKUP($C$452,AO$453:$AR$492,AO449,FALSE)," ")</f>
        <v xml:space="preserve"> </v>
      </c>
      <c r="AP494" s="951" t="str">
        <f>IF(AP449&lt;&gt;" ",VLOOKUP($C$452,AP$453:$AR$492,AP449,FALSE)," ")</f>
        <v xml:space="preserve"> </v>
      </c>
      <c r="AQ494" s="951" t="str">
        <f>IF(AQ449&lt;&gt;" ",VLOOKUP($C$452,AQ$453:$AR$492,AQ449,FALSE)," ")</f>
        <v xml:space="preserve"> </v>
      </c>
      <c r="AR494" s="951">
        <f>MAX(D494:AQ494)</f>
        <v>0</v>
      </c>
    </row>
    <row r="495" spans="1:44" x14ac:dyDescent="0.25">
      <c r="C495" t="s">
        <v>1316</v>
      </c>
      <c r="D495" s="951" t="str">
        <f>IF(D494=$AR$494,D449," ")</f>
        <v xml:space="preserve"> </v>
      </c>
      <c r="E495" s="951" t="str">
        <f t="shared" ref="E495:AQ495" si="98">IF(E494=$AR$494,E449," ")</f>
        <v xml:space="preserve"> </v>
      </c>
      <c r="F495" s="951" t="str">
        <f t="shared" si="98"/>
        <v xml:space="preserve"> </v>
      </c>
      <c r="G495" s="951" t="str">
        <f t="shared" si="98"/>
        <v xml:space="preserve"> </v>
      </c>
      <c r="H495" s="951" t="str">
        <f t="shared" si="98"/>
        <v xml:space="preserve"> </v>
      </c>
      <c r="I495" s="951" t="str">
        <f t="shared" si="98"/>
        <v xml:space="preserve"> </v>
      </c>
      <c r="J495" s="951" t="str">
        <f t="shared" si="98"/>
        <v xml:space="preserve"> </v>
      </c>
      <c r="K495" s="951" t="str">
        <f t="shared" si="98"/>
        <v xml:space="preserve"> </v>
      </c>
      <c r="L495" s="951" t="str">
        <f t="shared" si="98"/>
        <v xml:space="preserve"> </v>
      </c>
      <c r="M495" s="951" t="str">
        <f t="shared" si="98"/>
        <v xml:space="preserve"> </v>
      </c>
      <c r="N495" s="951" t="str">
        <f t="shared" si="98"/>
        <v xml:space="preserve"> </v>
      </c>
      <c r="O495" s="951" t="str">
        <f t="shared" si="98"/>
        <v xml:space="preserve"> </v>
      </c>
      <c r="P495" s="951" t="str">
        <f t="shared" si="98"/>
        <v xml:space="preserve"> </v>
      </c>
      <c r="Q495" s="951" t="str">
        <f t="shared" si="98"/>
        <v xml:space="preserve"> </v>
      </c>
      <c r="R495" s="951" t="str">
        <f t="shared" si="98"/>
        <v xml:space="preserve"> </v>
      </c>
      <c r="S495" s="951" t="str">
        <f t="shared" si="98"/>
        <v xml:space="preserve"> </v>
      </c>
      <c r="T495" s="951" t="str">
        <f t="shared" si="98"/>
        <v xml:space="preserve"> </v>
      </c>
      <c r="U495" s="951" t="str">
        <f t="shared" si="98"/>
        <v xml:space="preserve"> </v>
      </c>
      <c r="V495" s="951" t="str">
        <f t="shared" si="98"/>
        <v xml:space="preserve"> </v>
      </c>
      <c r="W495" s="951" t="str">
        <f t="shared" si="98"/>
        <v xml:space="preserve"> </v>
      </c>
      <c r="X495" s="951" t="str">
        <f t="shared" si="98"/>
        <v xml:space="preserve"> </v>
      </c>
      <c r="Y495" s="951" t="str">
        <f t="shared" si="98"/>
        <v xml:space="preserve"> </v>
      </c>
      <c r="Z495" s="951" t="str">
        <f t="shared" si="98"/>
        <v xml:space="preserve"> </v>
      </c>
      <c r="AA495" s="951" t="str">
        <f t="shared" si="98"/>
        <v xml:space="preserve"> </v>
      </c>
      <c r="AB495" s="951" t="str">
        <f t="shared" si="98"/>
        <v xml:space="preserve"> </v>
      </c>
      <c r="AC495" s="951" t="str">
        <f t="shared" si="98"/>
        <v xml:space="preserve"> </v>
      </c>
      <c r="AD495" s="951" t="str">
        <f t="shared" si="98"/>
        <v xml:space="preserve"> </v>
      </c>
      <c r="AE495" s="951" t="str">
        <f t="shared" si="98"/>
        <v xml:space="preserve"> </v>
      </c>
      <c r="AF495" s="951" t="str">
        <f t="shared" si="98"/>
        <v xml:space="preserve"> </v>
      </c>
      <c r="AG495" s="951" t="str">
        <f t="shared" si="98"/>
        <v xml:space="preserve"> </v>
      </c>
      <c r="AH495" s="951" t="str">
        <f t="shared" si="98"/>
        <v xml:space="preserve"> </v>
      </c>
      <c r="AI495" s="951" t="str">
        <f t="shared" si="98"/>
        <v xml:space="preserve"> </v>
      </c>
      <c r="AJ495" s="951" t="str">
        <f t="shared" si="98"/>
        <v xml:space="preserve"> </v>
      </c>
      <c r="AK495" s="951" t="str">
        <f t="shared" si="98"/>
        <v xml:space="preserve"> </v>
      </c>
      <c r="AL495" s="951" t="str">
        <f t="shared" si="98"/>
        <v xml:space="preserve"> </v>
      </c>
      <c r="AM495" s="951" t="str">
        <f t="shared" si="98"/>
        <v xml:space="preserve"> </v>
      </c>
      <c r="AN495" s="951" t="str">
        <f t="shared" si="98"/>
        <v xml:space="preserve"> </v>
      </c>
      <c r="AO495" s="951" t="str">
        <f t="shared" si="98"/>
        <v xml:space="preserve"> </v>
      </c>
      <c r="AP495" s="951" t="str">
        <f t="shared" si="98"/>
        <v xml:space="preserve"> </v>
      </c>
      <c r="AQ495" s="951" t="str">
        <f t="shared" si="98"/>
        <v xml:space="preserve"> </v>
      </c>
      <c r="AR495" s="951">
        <f>MIN(D495:AQ495)</f>
        <v>0</v>
      </c>
    </row>
    <row r="497" spans="1:29" s="320" customFormat="1" x14ac:dyDescent="0.25">
      <c r="B497" s="441"/>
      <c r="Y497" s="343"/>
    </row>
    <row r="499" spans="1:29" s="426" customFormat="1" ht="13.5" thickBot="1" x14ac:dyDescent="0.25">
      <c r="B499" s="615"/>
      <c r="D499" s="626" t="s">
        <v>674</v>
      </c>
      <c r="Y499" s="626"/>
    </row>
    <row r="500" spans="1:29" s="426" customFormat="1" ht="15.75" thickBot="1" x14ac:dyDescent="0.3">
      <c r="B500" s="641" t="s">
        <v>663</v>
      </c>
      <c r="C500" s="643">
        <f>J364</f>
        <v>0</v>
      </c>
      <c r="D500" s="642">
        <f>IF(C500=1,C559+C563,0)</f>
        <v>0</v>
      </c>
      <c r="Q500" s="77" t="s">
        <v>1050</v>
      </c>
      <c r="R500"/>
      <c r="S500"/>
      <c r="T500"/>
      <c r="U500"/>
      <c r="V500"/>
      <c r="W500"/>
      <c r="Y500" s="626"/>
      <c r="AA500" s="77" t="s">
        <v>1069</v>
      </c>
      <c r="AB500" s="1101">
        <v>1200</v>
      </c>
      <c r="AC500" s="77" t="s">
        <v>1070</v>
      </c>
    </row>
    <row r="501" spans="1:29" s="426" customFormat="1" x14ac:dyDescent="0.25">
      <c r="B501" s="615"/>
      <c r="Q501" s="944"/>
      <c r="R501" s="944"/>
      <c r="S501" s="1087">
        <f>C516</f>
        <v>361</v>
      </c>
      <c r="T501" s="1088">
        <f>C517</f>
        <v>1150</v>
      </c>
      <c r="U501" s="14"/>
      <c r="V501" s="433"/>
      <c r="W501" s="433"/>
      <c r="Y501" s="626"/>
      <c r="AA501" t="s">
        <v>1071</v>
      </c>
      <c r="AB501" s="1035">
        <v>20</v>
      </c>
      <c r="AC501" t="s">
        <v>1072</v>
      </c>
    </row>
    <row r="502" spans="1:29" s="426" customFormat="1" x14ac:dyDescent="0.25">
      <c r="B502" s="426" t="s">
        <v>775</v>
      </c>
      <c r="C502" s="699">
        <f>Tarieven!C7</f>
        <v>190</v>
      </c>
      <c r="D502" s="697">
        <f>C502/60</f>
        <v>3.1666666666666665</v>
      </c>
      <c r="Q502" s="41"/>
      <c r="R502" s="339" t="s">
        <v>0</v>
      </c>
      <c r="S502" s="400" t="s">
        <v>1051</v>
      </c>
      <c r="T502" s="1075" t="s">
        <v>1052</v>
      </c>
      <c r="U502" s="1089" t="s">
        <v>903</v>
      </c>
      <c r="V502" s="1076" t="s">
        <v>902</v>
      </c>
      <c r="W502" s="912"/>
      <c r="Y502" s="626"/>
      <c r="AA502" t="s">
        <v>1073</v>
      </c>
      <c r="AB502" s="1035">
        <v>180</v>
      </c>
      <c r="AC502" t="s">
        <v>1074</v>
      </c>
    </row>
    <row r="503" spans="1:29" s="426" customFormat="1" x14ac:dyDescent="0.25">
      <c r="B503" s="615"/>
      <c r="Q503" s="1062" t="str">
        <f>IF($C$4=R503,1," ")</f>
        <v xml:space="preserve"> </v>
      </c>
      <c r="R503" s="777" t="s">
        <v>30</v>
      </c>
      <c r="S503" s="22">
        <v>1000</v>
      </c>
      <c r="T503" s="22">
        <v>2000</v>
      </c>
      <c r="U503" s="26">
        <f>IF($S$501&gt;=S503,1,0)</f>
        <v>0</v>
      </c>
      <c r="V503" s="25">
        <f>IF($T$501&gt;=T503,1,0)</f>
        <v>0</v>
      </c>
      <c r="W503" s="25">
        <f>IF(AND(Q503=1,SUM(U503:V503)&lt;2),1,0)</f>
        <v>0</v>
      </c>
      <c r="Y503" s="626"/>
    </row>
    <row r="504" spans="1:29" s="426" customFormat="1" x14ac:dyDescent="0.25">
      <c r="A504" s="426" t="s">
        <v>61</v>
      </c>
      <c r="B504" s="426" t="s">
        <v>679</v>
      </c>
      <c r="C504" s="636" t="s">
        <v>680</v>
      </c>
      <c r="D504" s="635"/>
      <c r="G504" s="638">
        <v>0.15</v>
      </c>
      <c r="L504" s="426" t="s">
        <v>1017</v>
      </c>
      <c r="N504" s="652" t="s">
        <v>866</v>
      </c>
      <c r="O504" s="971">
        <f>AY46</f>
        <v>0.9</v>
      </c>
      <c r="Q504" s="12">
        <f t="shared" ref="Q504:Q511" si="99">IF($C$4=R504,1," ")</f>
        <v>1</v>
      </c>
      <c r="R504" s="778" t="s">
        <v>31</v>
      </c>
      <c r="S504" s="22">
        <v>720</v>
      </c>
      <c r="T504" s="22">
        <v>1800</v>
      </c>
      <c r="U504" s="26">
        <f t="shared" ref="U504:U511" si="100">IF($S$501&gt;=S504,1,0)</f>
        <v>0</v>
      </c>
      <c r="V504" s="25">
        <f t="shared" ref="V504:V511" si="101">IF($T$501&gt;=T504,1,0)</f>
        <v>0</v>
      </c>
      <c r="W504" s="25">
        <f t="shared" ref="W504:W511" si="102">IF(AND(Q504=1,SUM(U504:V504)&lt;2),1,0)</f>
        <v>1</v>
      </c>
      <c r="Y504" s="626"/>
      <c r="AA504" s="944"/>
      <c r="AB504" s="944" t="s">
        <v>1061</v>
      </c>
    </row>
    <row r="505" spans="1:29" s="426" customFormat="1" x14ac:dyDescent="0.25">
      <c r="A505" s="626">
        <f>IF(AND(C500=1,C512=0),1,IF(AND(C500=1,C512=1),0.5,0))</f>
        <v>0</v>
      </c>
      <c r="B505" s="426" t="s">
        <v>767</v>
      </c>
      <c r="C505" s="637">
        <v>10</v>
      </c>
      <c r="D505" s="426" t="s">
        <v>683</v>
      </c>
      <c r="G505" s="708" t="s">
        <v>777</v>
      </c>
      <c r="H505" s="719" t="s">
        <v>778</v>
      </c>
      <c r="I505" s="719" t="s">
        <v>779</v>
      </c>
      <c r="Q505" s="12" t="str">
        <f t="shared" si="99"/>
        <v xml:space="preserve"> </v>
      </c>
      <c r="R505" s="778" t="s">
        <v>32</v>
      </c>
      <c r="S505" s="22">
        <v>720</v>
      </c>
      <c r="T505" s="22">
        <v>1800</v>
      </c>
      <c r="U505" s="26">
        <f t="shared" si="100"/>
        <v>0</v>
      </c>
      <c r="V505" s="25">
        <f t="shared" si="101"/>
        <v>0</v>
      </c>
      <c r="W505" s="25">
        <f t="shared" si="102"/>
        <v>0</v>
      </c>
      <c r="Y505" s="626"/>
      <c r="AA505" s="52"/>
      <c r="AB505" s="52"/>
    </row>
    <row r="506" spans="1:29" s="426" customFormat="1" ht="15.75" thickBot="1" x14ac:dyDescent="0.3">
      <c r="A506" s="626">
        <f>C111</f>
        <v>0</v>
      </c>
      <c r="B506" s="426" t="s">
        <v>770</v>
      </c>
      <c r="C506" s="637">
        <v>15</v>
      </c>
      <c r="D506" s="426" t="s">
        <v>683</v>
      </c>
      <c r="G506" s="725">
        <f>MAX(B445,H445)</f>
        <v>482</v>
      </c>
      <c r="H506" s="145">
        <f>C514*C515</f>
        <v>1</v>
      </c>
      <c r="I506" s="145">
        <f>H506*G506</f>
        <v>482</v>
      </c>
      <c r="L506" s="768">
        <f>IF(AND($C$517&gt;L507,$C$517&lt;=L508),1,0)</f>
        <v>1</v>
      </c>
      <c r="M506" s="768">
        <f t="shared" ref="M506:O506" si="103">IF(AND($C$517&gt;M507,$C$517&lt;=M508),1,0)</f>
        <v>0</v>
      </c>
      <c r="N506" s="768">
        <f t="shared" si="103"/>
        <v>0</v>
      </c>
      <c r="O506" s="1047">
        <f t="shared" si="103"/>
        <v>0</v>
      </c>
      <c r="Q506" s="12" t="str">
        <f t="shared" si="99"/>
        <v xml:space="preserve"> </v>
      </c>
      <c r="R506" s="778" t="s">
        <v>36</v>
      </c>
      <c r="S506" s="22">
        <v>560</v>
      </c>
      <c r="T506" s="22">
        <v>1500</v>
      </c>
      <c r="U506" s="26">
        <f t="shared" si="100"/>
        <v>0</v>
      </c>
      <c r="V506" s="25">
        <f t="shared" si="101"/>
        <v>0</v>
      </c>
      <c r="W506" s="25">
        <f t="shared" si="102"/>
        <v>0</v>
      </c>
      <c r="Y506" s="626"/>
      <c r="AA506" s="944" t="s">
        <v>1062</v>
      </c>
      <c r="AB506" s="25">
        <f>C3</f>
        <v>400</v>
      </c>
    </row>
    <row r="507" spans="1:29" s="426" customFormat="1" x14ac:dyDescent="0.25">
      <c r="A507" s="626">
        <f>C111</f>
        <v>0</v>
      </c>
      <c r="B507" s="426" t="s">
        <v>771</v>
      </c>
      <c r="C507" s="637">
        <v>10</v>
      </c>
      <c r="D507" s="426" t="s">
        <v>683</v>
      </c>
      <c r="G507" s="735" t="s">
        <v>782</v>
      </c>
      <c r="H507" s="710" t="s">
        <v>781</v>
      </c>
      <c r="I507" s="713" t="s">
        <v>780</v>
      </c>
      <c r="L507" s="725">
        <v>0</v>
      </c>
      <c r="M507" s="150">
        <v>3000</v>
      </c>
      <c r="N507" s="626">
        <v>4000</v>
      </c>
      <c r="O507" s="150">
        <v>5000</v>
      </c>
      <c r="Q507" s="12" t="str">
        <f t="shared" si="99"/>
        <v xml:space="preserve"> </v>
      </c>
      <c r="R507" s="778" t="s">
        <v>34</v>
      </c>
      <c r="S507" s="22">
        <v>660</v>
      </c>
      <c r="T507" s="22">
        <v>1600</v>
      </c>
      <c r="U507" s="26">
        <f t="shared" si="100"/>
        <v>0</v>
      </c>
      <c r="V507" s="25">
        <f t="shared" si="101"/>
        <v>0</v>
      </c>
      <c r="W507" s="25">
        <f t="shared" si="102"/>
        <v>0</v>
      </c>
      <c r="Y507" s="626"/>
      <c r="AA507" s="41" t="s">
        <v>1063</v>
      </c>
      <c r="AB507" s="252">
        <f>C518</f>
        <v>460</v>
      </c>
    </row>
    <row r="508" spans="1:29" s="426" customFormat="1" ht="15.75" thickBot="1" x14ac:dyDescent="0.3">
      <c r="A508" s="626">
        <f>IF(AND(C500=1,SUM(D525:E525)&gt;0,C512=0),1,0)</f>
        <v>0</v>
      </c>
      <c r="B508" s="426" t="s">
        <v>768</v>
      </c>
      <c r="C508" s="705">
        <v>7</v>
      </c>
      <c r="D508" s="426" t="s">
        <v>683</v>
      </c>
      <c r="G508" s="736">
        <f>IF(CEILING((H508*G504)+H508,1)&lt;=G506,CEILING((H508*G504)+H508,1),G506)</f>
        <v>460</v>
      </c>
      <c r="H508" s="702">
        <f>CEILING(I508/H506,1)</f>
        <v>400</v>
      </c>
      <c r="I508" s="145">
        <f>C3</f>
        <v>400</v>
      </c>
      <c r="L508" s="658">
        <v>3000</v>
      </c>
      <c r="M508" s="145">
        <v>4000</v>
      </c>
      <c r="N508" s="1045">
        <v>5000</v>
      </c>
      <c r="O508" s="145">
        <v>9999</v>
      </c>
      <c r="Q508" s="12" t="str">
        <f t="shared" si="99"/>
        <v xml:space="preserve"> </v>
      </c>
      <c r="R508" s="778" t="s">
        <v>33</v>
      </c>
      <c r="S508" s="22">
        <v>660</v>
      </c>
      <c r="T508" s="22">
        <v>1500</v>
      </c>
      <c r="U508" s="26">
        <f t="shared" si="100"/>
        <v>0</v>
      </c>
      <c r="V508" s="25">
        <f t="shared" si="101"/>
        <v>0</v>
      </c>
      <c r="W508" s="25">
        <f t="shared" si="102"/>
        <v>0</v>
      </c>
      <c r="Y508" s="626"/>
      <c r="AA508" s="41" t="s">
        <v>895</v>
      </c>
      <c r="AB508" s="25">
        <f>F145</f>
        <v>3</v>
      </c>
    </row>
    <row r="509" spans="1:29" s="426" customFormat="1" x14ac:dyDescent="0.25">
      <c r="A509" s="626">
        <f>IF(AND(C500=1,SUM(D525:E525)&gt;0,C512=0),1,0)</f>
        <v>0</v>
      </c>
      <c r="B509" s="426" t="s">
        <v>769</v>
      </c>
      <c r="C509" s="705">
        <v>5</v>
      </c>
      <c r="D509" s="426" t="s">
        <v>683</v>
      </c>
      <c r="L509" s="1046">
        <v>1</v>
      </c>
      <c r="M509" s="1046">
        <v>0.98</v>
      </c>
      <c r="N509" s="1046">
        <v>0.97</v>
      </c>
      <c r="O509" s="1046">
        <v>0.96</v>
      </c>
      <c r="Q509" s="12" t="str">
        <f t="shared" si="99"/>
        <v xml:space="preserve"> </v>
      </c>
      <c r="R509" s="778" t="s">
        <v>35</v>
      </c>
      <c r="S509" s="22">
        <v>660</v>
      </c>
      <c r="T509" s="22">
        <v>1500</v>
      </c>
      <c r="U509" s="26">
        <f t="shared" si="100"/>
        <v>0</v>
      </c>
      <c r="V509" s="25">
        <f t="shared" si="101"/>
        <v>0</v>
      </c>
      <c r="W509" s="25">
        <f t="shared" si="102"/>
        <v>0</v>
      </c>
      <c r="Y509" s="626"/>
      <c r="AA509" s="41" t="s">
        <v>1064</v>
      </c>
      <c r="AB509" s="25">
        <f>CEILING((AB507*AB508)/AB500,1)</f>
        <v>2</v>
      </c>
    </row>
    <row r="510" spans="1:29" s="426" customFormat="1" ht="15.75" thickBot="1" x14ac:dyDescent="0.3">
      <c r="B510" s="426" t="s">
        <v>1001</v>
      </c>
      <c r="C510" s="1034" t="str">
        <f>AW46</f>
        <v>0,2</v>
      </c>
      <c r="D510" s="704" t="s">
        <v>1002</v>
      </c>
      <c r="G510" s="426" t="s">
        <v>1337</v>
      </c>
      <c r="Q510" s="12" t="str">
        <f t="shared" si="99"/>
        <v xml:space="preserve"> </v>
      </c>
      <c r="R510" s="778" t="s">
        <v>37</v>
      </c>
      <c r="S510" s="22">
        <v>500</v>
      </c>
      <c r="T510" s="22">
        <v>1200</v>
      </c>
      <c r="U510" s="26">
        <f t="shared" si="100"/>
        <v>0</v>
      </c>
      <c r="V510" s="25">
        <f t="shared" si="101"/>
        <v>0</v>
      </c>
      <c r="W510" s="25">
        <f t="shared" si="102"/>
        <v>0</v>
      </c>
      <c r="Y510" s="626"/>
      <c r="AA510" s="41" t="s">
        <v>1065</v>
      </c>
      <c r="AB510" s="30">
        <v>2</v>
      </c>
    </row>
    <row r="511" spans="1:29" s="426" customFormat="1" ht="15.75" thickBot="1" x14ac:dyDescent="0.3">
      <c r="B511" s="615"/>
      <c r="G511" s="1108" t="s">
        <v>1338</v>
      </c>
      <c r="H511" s="1108" t="s">
        <v>547</v>
      </c>
      <c r="I511" s="735" t="s">
        <v>782</v>
      </c>
      <c r="N511" s="652" t="s">
        <v>1018</v>
      </c>
      <c r="O511" s="1048">
        <f>O504*HLOOKUP(1,L506:O509,4,FALSE)</f>
        <v>0.9</v>
      </c>
      <c r="Q511" s="12" t="str">
        <f t="shared" si="99"/>
        <v xml:space="preserve"> </v>
      </c>
      <c r="R511" s="778" t="s">
        <v>38</v>
      </c>
      <c r="S511" s="22">
        <v>500</v>
      </c>
      <c r="T511" s="22">
        <v>1200</v>
      </c>
      <c r="U511" s="26">
        <f t="shared" si="100"/>
        <v>0</v>
      </c>
      <c r="V511" s="25">
        <f t="shared" si="101"/>
        <v>0</v>
      </c>
      <c r="W511" s="25">
        <f t="shared" si="102"/>
        <v>0</v>
      </c>
      <c r="Y511" s="626"/>
      <c r="AA511" s="41" t="s">
        <v>1066</v>
      </c>
      <c r="AB511" s="25">
        <f>AB510*AB509*AB501</f>
        <v>80</v>
      </c>
    </row>
    <row r="512" spans="1:29" s="426" customFormat="1" ht="15.75" thickBot="1" x14ac:dyDescent="0.3">
      <c r="B512" s="615" t="s">
        <v>764</v>
      </c>
      <c r="C512" s="626">
        <f>IF(AND(J364=1,J365=1),1,0)</f>
        <v>0</v>
      </c>
      <c r="G512" s="658">
        <f>C3</f>
        <v>400</v>
      </c>
      <c r="H512" s="658">
        <f>C445*D445</f>
        <v>1</v>
      </c>
      <c r="I512" s="736">
        <f>CEILING((G512/H512)+(G512/H512*G504),1)</f>
        <v>460</v>
      </c>
      <c r="Q512" s="1090" t="s">
        <v>1053</v>
      </c>
      <c r="R512" s="1091"/>
      <c r="S512" s="1092" t="s">
        <v>1057</v>
      </c>
      <c r="T512" s="1093">
        <f>Tarieven!C12/60</f>
        <v>0.6166666666666667</v>
      </c>
      <c r="U512" s="1091"/>
      <c r="V512" s="1091"/>
      <c r="W512" s="281">
        <f>VLOOKUP(1,Q503:W511,7,FALSE)</f>
        <v>1</v>
      </c>
      <c r="Y512" s="626"/>
      <c r="AA512" s="41" t="s">
        <v>1067</v>
      </c>
      <c r="AB512" s="25">
        <f>AB509*AB502</f>
        <v>360</v>
      </c>
    </row>
    <row r="513" spans="1:28" s="426" customFormat="1" x14ac:dyDescent="0.25">
      <c r="B513" s="615" t="s">
        <v>750</v>
      </c>
      <c r="C513" s="626" t="str">
        <f>IF(C512=1,"0110",C2)</f>
        <v>0201</v>
      </c>
      <c r="Y513" s="626"/>
      <c r="AA513" s="950" t="s">
        <v>1068</v>
      </c>
      <c r="AB513" s="1102">
        <f>IF(AB507&gt;0,ROUND(((AB511+AB512)/AB507)*1.5,1),0)</f>
        <v>1.4</v>
      </c>
    </row>
    <row r="514" spans="1:28" s="426" customFormat="1" ht="12.75" x14ac:dyDescent="0.2">
      <c r="B514" s="615" t="s">
        <v>752</v>
      </c>
      <c r="C514" s="626">
        <f>IF(C512=1,1,C445)</f>
        <v>1</v>
      </c>
      <c r="D514" s="426" t="s">
        <v>754</v>
      </c>
      <c r="Y514" s="626"/>
    </row>
    <row r="515" spans="1:28" s="426" customFormat="1" ht="12.75" x14ac:dyDescent="0.2">
      <c r="B515" s="615" t="s">
        <v>753</v>
      </c>
      <c r="C515" s="626">
        <f>D445</f>
        <v>1</v>
      </c>
      <c r="D515" s="426" t="s">
        <v>754</v>
      </c>
      <c r="Y515" s="626"/>
    </row>
    <row r="516" spans="1:28" s="426" customFormat="1" ht="12.75" x14ac:dyDescent="0.2">
      <c r="B516" s="615" t="s">
        <v>99</v>
      </c>
      <c r="C516" s="626">
        <f>E445</f>
        <v>361</v>
      </c>
      <c r="D516" s="426" t="s">
        <v>25</v>
      </c>
      <c r="Y516" s="626"/>
    </row>
    <row r="517" spans="1:28" s="426" customFormat="1" ht="12.75" x14ac:dyDescent="0.2">
      <c r="B517" s="615" t="s">
        <v>100</v>
      </c>
      <c r="C517" s="626">
        <f>F445</f>
        <v>1150</v>
      </c>
      <c r="D517" s="426" t="s">
        <v>25</v>
      </c>
      <c r="Y517" s="626"/>
    </row>
    <row r="518" spans="1:28" s="426" customFormat="1" ht="12.75" x14ac:dyDescent="0.2">
      <c r="B518" s="615" t="s">
        <v>776</v>
      </c>
      <c r="C518" s="134">
        <f>IF(AND(C512=1,I512&gt;0,I512&lt;=G508),I512,G508)</f>
        <v>460</v>
      </c>
      <c r="D518" s="426" t="s">
        <v>754</v>
      </c>
      <c r="Y518" s="626"/>
    </row>
    <row r="519" spans="1:28" s="426" customFormat="1" ht="12.75" x14ac:dyDescent="0.2">
      <c r="B519" s="615"/>
      <c r="C519" s="626"/>
      <c r="Y519" s="626"/>
    </row>
    <row r="520" spans="1:28" s="426" customFormat="1" ht="12.75" x14ac:dyDescent="0.2">
      <c r="B520" s="615"/>
      <c r="Y520" s="626"/>
    </row>
    <row r="521" spans="1:28" s="426" customFormat="1" ht="12.75" x14ac:dyDescent="0.2">
      <c r="L521" s="1100">
        <v>9</v>
      </c>
      <c r="O521" s="652" t="s">
        <v>773</v>
      </c>
      <c r="P521" s="653"/>
      <c r="Q521" s="634">
        <f>IF(AND(C500=1,A506=2),1,0)</f>
        <v>0</v>
      </c>
      <c r="Y521" s="626"/>
    </row>
    <row r="522" spans="1:28" s="426" customFormat="1" ht="12.75" x14ac:dyDescent="0.2">
      <c r="L522" s="644">
        <v>5.5</v>
      </c>
      <c r="O522" s="428"/>
      <c r="Y522" s="626"/>
    </row>
    <row r="523" spans="1:28" s="426" customFormat="1" x14ac:dyDescent="0.25">
      <c r="A523" s="286"/>
      <c r="B523" s="77"/>
      <c r="C523"/>
      <c r="D523"/>
      <c r="E523" s="484">
        <v>100</v>
      </c>
      <c r="F523"/>
      <c r="G523"/>
      <c r="H523"/>
      <c r="I523" s="78" t="s">
        <v>731</v>
      </c>
      <c r="J523" s="2" t="s">
        <v>765</v>
      </c>
      <c r="K523" s="78" t="s">
        <v>731</v>
      </c>
      <c r="L523" s="78" t="s">
        <v>732</v>
      </c>
      <c r="N523" s="78" t="s">
        <v>733</v>
      </c>
      <c r="O523" s="725" t="s">
        <v>765</v>
      </c>
      <c r="P523" s="78" t="s">
        <v>731</v>
      </c>
      <c r="Q523" s="78" t="s">
        <v>732</v>
      </c>
      <c r="S523" s="78" t="s">
        <v>733</v>
      </c>
      <c r="Y523" s="626"/>
    </row>
    <row r="524" spans="1:28" s="426" customFormat="1" ht="15.75" thickBot="1" x14ac:dyDescent="0.3">
      <c r="A524" s="286"/>
      <c r="E524" s="473">
        <f>AT46</f>
        <v>0</v>
      </c>
      <c r="F524"/>
      <c r="G524" s="2"/>
      <c r="H524"/>
      <c r="I524" s="78" t="s">
        <v>734</v>
      </c>
      <c r="J524" s="2" t="s">
        <v>766</v>
      </c>
      <c r="K524" s="78" t="s">
        <v>735</v>
      </c>
      <c r="L524" s="78" t="s">
        <v>736</v>
      </c>
      <c r="N524" s="78" t="s">
        <v>737</v>
      </c>
      <c r="O524" s="658" t="s">
        <v>766</v>
      </c>
      <c r="P524" s="401" t="s">
        <v>735</v>
      </c>
      <c r="Q524" s="401" t="s">
        <v>736</v>
      </c>
      <c r="S524" s="78" t="s">
        <v>737</v>
      </c>
      <c r="Y524" s="626"/>
    </row>
    <row r="525" spans="1:28" s="426" customFormat="1" x14ac:dyDescent="0.25">
      <c r="A525" s="683"/>
      <c r="B525" s="426" t="s">
        <v>772</v>
      </c>
      <c r="C525" s="77"/>
      <c r="D525" s="473">
        <f>C131</f>
        <v>0</v>
      </c>
      <c r="E525" s="13">
        <f>CEILING(E524/E523,1)</f>
        <v>0</v>
      </c>
      <c r="F525"/>
      <c r="G525"/>
      <c r="H525"/>
      <c r="I525" s="484">
        <v>1.1000000000000001</v>
      </c>
      <c r="J525" s="484">
        <v>1</v>
      </c>
      <c r="K525" s="484">
        <v>1.25</v>
      </c>
      <c r="L525" s="208">
        <f>IF(W512=1,L522,L521)</f>
        <v>5.5</v>
      </c>
      <c r="M525" s="1202">
        <v>5</v>
      </c>
      <c r="N525" s="1049">
        <f>O511</f>
        <v>0.9</v>
      </c>
      <c r="O525" s="703">
        <v>1</v>
      </c>
      <c r="P525" s="34">
        <v>1.25</v>
      </c>
      <c r="Q525" s="432">
        <f>L525</f>
        <v>5.5</v>
      </c>
      <c r="R525" s="1202">
        <v>5</v>
      </c>
      <c r="S525" s="1049">
        <f>O511</f>
        <v>0.9</v>
      </c>
      <c r="Y525" s="626"/>
    </row>
    <row r="526" spans="1:28" s="426" customFormat="1" x14ac:dyDescent="0.25">
      <c r="A526" s="404"/>
      <c r="B526" s="404"/>
      <c r="C526" s="399" t="s">
        <v>562</v>
      </c>
      <c r="D526" s="417" t="s">
        <v>562</v>
      </c>
      <c r="E526" s="399" t="s">
        <v>562</v>
      </c>
      <c r="F526" s="423" t="s">
        <v>738</v>
      </c>
      <c r="G526" s="399" t="s">
        <v>739</v>
      </c>
      <c r="H526" s="406" t="s">
        <v>740</v>
      </c>
      <c r="I526" s="399" t="s">
        <v>741</v>
      </c>
      <c r="J526" s="399" t="s">
        <v>742</v>
      </c>
      <c r="K526" s="399" t="s">
        <v>741</v>
      </c>
      <c r="L526" s="417" t="s">
        <v>743</v>
      </c>
      <c r="M526" s="1201"/>
      <c r="N526" s="715"/>
      <c r="O526" s="701" t="s">
        <v>742</v>
      </c>
      <c r="P526" s="399" t="s">
        <v>741</v>
      </c>
      <c r="Q526" s="417" t="s">
        <v>743</v>
      </c>
      <c r="R526" s="1201"/>
      <c r="S526" s="715"/>
      <c r="Y526" s="626"/>
    </row>
    <row r="527" spans="1:28" s="426" customFormat="1" x14ac:dyDescent="0.25">
      <c r="A527" s="339" t="s">
        <v>28</v>
      </c>
      <c r="B527" s="341" t="s">
        <v>2</v>
      </c>
      <c r="C527" s="120" t="s">
        <v>577</v>
      </c>
      <c r="D527" s="400" t="s">
        <v>575</v>
      </c>
      <c r="E527" s="202" t="s">
        <v>744</v>
      </c>
      <c r="F527" s="424" t="s">
        <v>604</v>
      </c>
      <c r="G527" s="120" t="s">
        <v>745</v>
      </c>
      <c r="H527" s="78" t="s">
        <v>746</v>
      </c>
      <c r="I527" s="120" t="s">
        <v>562</v>
      </c>
      <c r="J527" s="120" t="s">
        <v>747</v>
      </c>
      <c r="K527" s="120" t="s">
        <v>748</v>
      </c>
      <c r="L527" s="227" t="s">
        <v>749</v>
      </c>
      <c r="M527" s="1199"/>
      <c r="N527" s="539"/>
      <c r="O527" s="651" t="s">
        <v>747</v>
      </c>
      <c r="P527" s="120" t="s">
        <v>748</v>
      </c>
      <c r="Q527" s="227" t="s">
        <v>749</v>
      </c>
      <c r="R527" s="1199"/>
      <c r="S527" s="539"/>
      <c r="Y527" s="626"/>
    </row>
    <row r="528" spans="1:28" s="426" customFormat="1" x14ac:dyDescent="0.25">
      <c r="A528" s="473">
        <f>IF($C$513=B528,1,0)</f>
        <v>0</v>
      </c>
      <c r="B528" s="220" t="str">
        <f t="shared" ref="B528:B548" si="104">B50</f>
        <v>0110</v>
      </c>
      <c r="C528" s="473">
        <f>IF(C512=1,0,S50)</f>
        <v>1</v>
      </c>
      <c r="D528" s="514">
        <v>0</v>
      </c>
      <c r="E528" s="484">
        <v>0</v>
      </c>
      <c r="F528" s="23" t="str">
        <f t="shared" ref="F528:F548" si="105">IF(A528=1,SUM(C528:E528)," ")</f>
        <v xml:space="preserve"> </v>
      </c>
      <c r="G528" s="489" t="str">
        <f>IF(A528=1,$C$515," ")</f>
        <v xml:space="preserve"> </v>
      </c>
      <c r="H528" s="115" t="str">
        <f>IF(A528=1,F528*G528," ")</f>
        <v xml:space="preserve"> </v>
      </c>
      <c r="I528" s="287" t="str">
        <f>IF(A528=1,$I$525*H528," ")</f>
        <v xml:space="preserve"> </v>
      </c>
      <c r="J528" s="726" t="str">
        <f>IF(AND(A528=1,C512=1),($C$517/1000)*J525,IF(AND(A528=1,C512=0),($C$517/1000)," "))</f>
        <v xml:space="preserve"> </v>
      </c>
      <c r="K528" s="726" t="str">
        <f>IF(A528=1,J528*$K$525," ")</f>
        <v xml:space="preserve"> </v>
      </c>
      <c r="L528" s="287" t="str">
        <f>IF(A528=1,$L$525," ")</f>
        <v xml:space="preserve"> </v>
      </c>
      <c r="M528" s="1203">
        <f>IF(AND(C512=1,A528=1),M525*(C515-1),0)</f>
        <v>0</v>
      </c>
      <c r="N528" s="716" t="str">
        <f>IF(A528=1,CEILING((I528+K528+L528+M528)/$N$525,1)," ")</f>
        <v xml:space="preserve"> </v>
      </c>
      <c r="O528" s="727" t="str">
        <f>IF(AND(A528=1,C512=1,Q521=1),($C$517/1000)*O525,IF(AND(A528=1,C512=0,Q521=1),($C$517/1000)," "))</f>
        <v xml:space="preserve"> </v>
      </c>
      <c r="P528" s="730" t="str">
        <f t="shared" ref="P528:P548" si="106">IF(AND(A528=1,$Q$521=1),O528*$P$525," ")</f>
        <v xml:space="preserve"> </v>
      </c>
      <c r="Q528" s="712" t="str">
        <f t="shared" ref="Q528:Q548" si="107">IF(AND(A528=1,$Q$521=1),$Q$525," ")</f>
        <v xml:space="preserve"> </v>
      </c>
      <c r="R528" s="1203">
        <f>IF(AND(C512=1,A528=1,Q521=1),R525*(C515-1),0)</f>
        <v>0</v>
      </c>
      <c r="S528" s="720" t="str">
        <f>IF(AND(A528=1,$Q$521=1),CEILING((P528+Q528+R528)/$S$525,1)," ")</f>
        <v xml:space="preserve"> </v>
      </c>
      <c r="Y528" s="626"/>
    </row>
    <row r="529" spans="1:25" s="426" customFormat="1" x14ac:dyDescent="0.25">
      <c r="A529" s="12">
        <f t="shared" ref="A529:A548" si="108">IF($C$513=B529,1,0)</f>
        <v>0</v>
      </c>
      <c r="B529" s="506" t="str">
        <f t="shared" si="104"/>
        <v>0200</v>
      </c>
      <c r="C529" s="12">
        <f t="shared" ref="C529:C548" si="109">S51</f>
        <v>3</v>
      </c>
      <c r="D529" s="2">
        <f>D525</f>
        <v>0</v>
      </c>
      <c r="E529" s="28">
        <v>0</v>
      </c>
      <c r="F529" s="2" t="str">
        <f t="shared" si="105"/>
        <v xml:space="preserve"> </v>
      </c>
      <c r="G529" s="120" t="str">
        <f t="shared" ref="G529:G548" si="110">IF(A529=1,$C$515," ")</f>
        <v xml:space="preserve"> </v>
      </c>
      <c r="H529" s="78" t="str">
        <f t="shared" ref="H529:H548" si="111">IF(A529=1,F529*G529," ")</f>
        <v xml:space="preserve"> </v>
      </c>
      <c r="I529" s="227" t="str">
        <f t="shared" ref="I529:I548" si="112">IF(A529=1,$I$525*H529," ")</f>
        <v xml:space="preserve"> </v>
      </c>
      <c r="J529" s="695" t="str">
        <f t="shared" ref="J529:J548" si="113">IF(A529=1,($C$517/1000)," ")</f>
        <v xml:space="preserve"> </v>
      </c>
      <c r="K529" s="695" t="str">
        <f t="shared" ref="K529:K548" si="114">IF(A529=1,J529*$K$525," ")</f>
        <v xml:space="preserve"> </v>
      </c>
      <c r="L529" s="227" t="str">
        <f t="shared" ref="L529:L548" si="115">IF(A529=1,$L$525," ")</f>
        <v xml:space="preserve"> </v>
      </c>
      <c r="M529" s="1201"/>
      <c r="N529" s="717" t="str">
        <f t="shared" ref="N529:N548" si="116">IF(A529=1,CEILING((I529+K529+L529)/$N$525,1)," ")</f>
        <v xml:space="preserve"> </v>
      </c>
      <c r="O529" s="728" t="str">
        <f t="shared" ref="O529:O548" si="117">IF(AND(A529=1,$Q$521=1),($C$517/1000)," ")</f>
        <v xml:space="preserve"> </v>
      </c>
      <c r="P529" s="731" t="str">
        <f t="shared" si="106"/>
        <v xml:space="preserve"> </v>
      </c>
      <c r="Q529" s="701" t="str">
        <f t="shared" si="107"/>
        <v xml:space="preserve"> </v>
      </c>
      <c r="R529" s="1201"/>
      <c r="S529" s="721" t="str">
        <f t="shared" ref="S529:S548" si="118">IF(AND(A529=1,$Q$521=1),CEILING((P529+Q529)/$S$525,1)," ")</f>
        <v xml:space="preserve"> </v>
      </c>
      <c r="Y529" s="626"/>
    </row>
    <row r="530" spans="1:25" s="426" customFormat="1" x14ac:dyDescent="0.25">
      <c r="A530" s="12">
        <f t="shared" si="108"/>
        <v>1</v>
      </c>
      <c r="B530" s="506" t="str">
        <f t="shared" si="104"/>
        <v>0201</v>
      </c>
      <c r="C530" s="12">
        <f t="shared" si="109"/>
        <v>3</v>
      </c>
      <c r="D530" s="2">
        <f>D525</f>
        <v>0</v>
      </c>
      <c r="E530" s="28">
        <v>0</v>
      </c>
      <c r="F530" s="2">
        <f t="shared" si="105"/>
        <v>3</v>
      </c>
      <c r="G530" s="120">
        <f t="shared" si="110"/>
        <v>1</v>
      </c>
      <c r="H530" s="78">
        <f t="shared" si="111"/>
        <v>3</v>
      </c>
      <c r="I530" s="227">
        <f t="shared" si="112"/>
        <v>3.3000000000000003</v>
      </c>
      <c r="J530" s="695">
        <f t="shared" si="113"/>
        <v>1.1499999999999999</v>
      </c>
      <c r="K530" s="695">
        <f t="shared" si="114"/>
        <v>1.4375</v>
      </c>
      <c r="L530" s="227">
        <f t="shared" si="115"/>
        <v>5.5</v>
      </c>
      <c r="M530" s="1199"/>
      <c r="N530" s="717">
        <f t="shared" si="116"/>
        <v>12</v>
      </c>
      <c r="O530" s="728" t="str">
        <f t="shared" si="117"/>
        <v xml:space="preserve"> </v>
      </c>
      <c r="P530" s="732" t="str">
        <f t="shared" si="106"/>
        <v xml:space="preserve"> </v>
      </c>
      <c r="Q530" s="626" t="str">
        <f t="shared" si="107"/>
        <v xml:space="preserve"> </v>
      </c>
      <c r="R530" s="1199"/>
      <c r="S530" s="723" t="str">
        <f t="shared" si="118"/>
        <v xml:space="preserve"> </v>
      </c>
      <c r="Y530" s="626"/>
    </row>
    <row r="531" spans="1:25" s="426" customFormat="1" x14ac:dyDescent="0.25">
      <c r="A531" s="12">
        <f t="shared" si="108"/>
        <v>0</v>
      </c>
      <c r="B531" s="506" t="str">
        <f t="shared" si="104"/>
        <v>0203</v>
      </c>
      <c r="C531" s="12">
        <f t="shared" si="109"/>
        <v>3</v>
      </c>
      <c r="D531" s="2">
        <f>D525</f>
        <v>0</v>
      </c>
      <c r="E531" s="28">
        <v>0</v>
      </c>
      <c r="F531" s="2" t="str">
        <f t="shared" si="105"/>
        <v xml:space="preserve"> </v>
      </c>
      <c r="G531" s="120" t="str">
        <f t="shared" si="110"/>
        <v xml:space="preserve"> </v>
      </c>
      <c r="H531" s="78" t="str">
        <f t="shared" si="111"/>
        <v xml:space="preserve"> </v>
      </c>
      <c r="I531" s="227" t="str">
        <f t="shared" si="112"/>
        <v xml:space="preserve"> </v>
      </c>
      <c r="J531" s="695" t="str">
        <f t="shared" si="113"/>
        <v xml:space="preserve"> </v>
      </c>
      <c r="K531" s="695" t="str">
        <f t="shared" si="114"/>
        <v xml:space="preserve"> </v>
      </c>
      <c r="L531" s="227" t="str">
        <f t="shared" si="115"/>
        <v xml:space="preserve"> </v>
      </c>
      <c r="M531" s="1199"/>
      <c r="N531" s="717" t="str">
        <f t="shared" si="116"/>
        <v xml:space="preserve"> </v>
      </c>
      <c r="O531" s="728" t="str">
        <f t="shared" si="117"/>
        <v xml:space="preserve"> </v>
      </c>
      <c r="P531" s="732" t="str">
        <f t="shared" si="106"/>
        <v xml:space="preserve"> </v>
      </c>
      <c r="Q531" s="626" t="str">
        <f t="shared" si="107"/>
        <v xml:space="preserve"> </v>
      </c>
      <c r="R531" s="1199"/>
      <c r="S531" s="723" t="str">
        <f t="shared" si="118"/>
        <v xml:space="preserve"> </v>
      </c>
      <c r="Y531" s="626"/>
    </row>
    <row r="532" spans="1:25" s="426" customFormat="1" x14ac:dyDescent="0.25">
      <c r="A532" s="12">
        <f t="shared" si="108"/>
        <v>0</v>
      </c>
      <c r="B532" s="506" t="str">
        <f t="shared" si="104"/>
        <v>0409</v>
      </c>
      <c r="C532" s="12">
        <f t="shared" si="109"/>
        <v>4</v>
      </c>
      <c r="D532" s="22">
        <v>0</v>
      </c>
      <c r="E532" s="28">
        <v>0</v>
      </c>
      <c r="F532" s="2" t="str">
        <f t="shared" si="105"/>
        <v xml:space="preserve"> </v>
      </c>
      <c r="G532" s="120" t="str">
        <f t="shared" si="110"/>
        <v xml:space="preserve"> </v>
      </c>
      <c r="H532" s="78" t="str">
        <f t="shared" si="111"/>
        <v xml:space="preserve"> </v>
      </c>
      <c r="I532" s="227" t="str">
        <f t="shared" si="112"/>
        <v xml:space="preserve"> </v>
      </c>
      <c r="J532" s="695" t="str">
        <f t="shared" si="113"/>
        <v xml:space="preserve"> </v>
      </c>
      <c r="K532" s="695" t="str">
        <f t="shared" si="114"/>
        <v xml:space="preserve"> </v>
      </c>
      <c r="L532" s="227" t="str">
        <f t="shared" si="115"/>
        <v xml:space="preserve"> </v>
      </c>
      <c r="M532" s="1199"/>
      <c r="N532" s="717" t="str">
        <f t="shared" si="116"/>
        <v xml:space="preserve"> </v>
      </c>
      <c r="O532" s="728" t="str">
        <f t="shared" si="117"/>
        <v xml:space="preserve"> </v>
      </c>
      <c r="P532" s="732" t="str">
        <f t="shared" si="106"/>
        <v xml:space="preserve"> </v>
      </c>
      <c r="Q532" s="626" t="str">
        <f t="shared" si="107"/>
        <v xml:space="preserve"> </v>
      </c>
      <c r="R532" s="1199"/>
      <c r="S532" s="723" t="str">
        <f t="shared" si="118"/>
        <v xml:space="preserve"> </v>
      </c>
      <c r="Y532" s="626"/>
    </row>
    <row r="533" spans="1:25" s="426" customFormat="1" x14ac:dyDescent="0.25">
      <c r="A533" s="12">
        <f t="shared" si="108"/>
        <v>0</v>
      </c>
      <c r="B533" s="506" t="str">
        <f t="shared" si="104"/>
        <v>0410</v>
      </c>
      <c r="C533" s="12">
        <f t="shared" si="109"/>
        <v>4</v>
      </c>
      <c r="D533" s="22">
        <v>0</v>
      </c>
      <c r="E533" s="12">
        <f>E525</f>
        <v>0</v>
      </c>
      <c r="F533" s="2" t="str">
        <f t="shared" si="105"/>
        <v xml:space="preserve"> </v>
      </c>
      <c r="G533" s="120" t="str">
        <f t="shared" si="110"/>
        <v xml:space="preserve"> </v>
      </c>
      <c r="H533" s="78" t="str">
        <f t="shared" si="111"/>
        <v xml:space="preserve"> </v>
      </c>
      <c r="I533" s="227" t="str">
        <f t="shared" si="112"/>
        <v xml:space="preserve"> </v>
      </c>
      <c r="J533" s="695" t="str">
        <f t="shared" si="113"/>
        <v xml:space="preserve"> </v>
      </c>
      <c r="K533" s="695" t="str">
        <f t="shared" si="114"/>
        <v xml:space="preserve"> </v>
      </c>
      <c r="L533" s="227" t="str">
        <f t="shared" si="115"/>
        <v xml:space="preserve"> </v>
      </c>
      <c r="M533" s="1199"/>
      <c r="N533" s="717" t="str">
        <f t="shared" si="116"/>
        <v xml:space="preserve"> </v>
      </c>
      <c r="O533" s="728" t="str">
        <f t="shared" si="117"/>
        <v xml:space="preserve"> </v>
      </c>
      <c r="P533" s="732" t="str">
        <f t="shared" si="106"/>
        <v xml:space="preserve"> </v>
      </c>
      <c r="Q533" s="626" t="str">
        <f t="shared" si="107"/>
        <v xml:space="preserve"> </v>
      </c>
      <c r="R533" s="1199"/>
      <c r="S533" s="723" t="str">
        <f t="shared" si="118"/>
        <v xml:space="preserve"> </v>
      </c>
      <c r="Y533" s="626"/>
    </row>
    <row r="534" spans="1:25" s="426" customFormat="1" x14ac:dyDescent="0.25">
      <c r="A534" s="12">
        <f t="shared" si="108"/>
        <v>0</v>
      </c>
      <c r="B534" s="506" t="str">
        <f t="shared" si="104"/>
        <v>0412</v>
      </c>
      <c r="C534" s="12">
        <f t="shared" si="109"/>
        <v>4</v>
      </c>
      <c r="D534" s="22">
        <v>0</v>
      </c>
      <c r="E534" s="12">
        <f>E525*2</f>
        <v>0</v>
      </c>
      <c r="F534" s="2" t="str">
        <f t="shared" si="105"/>
        <v xml:space="preserve"> </v>
      </c>
      <c r="G534" s="120" t="str">
        <f t="shared" si="110"/>
        <v xml:space="preserve"> </v>
      </c>
      <c r="H534" s="78" t="str">
        <f t="shared" si="111"/>
        <v xml:space="preserve"> </v>
      </c>
      <c r="I534" s="227" t="str">
        <f t="shared" si="112"/>
        <v xml:space="preserve"> </v>
      </c>
      <c r="J534" s="695" t="str">
        <f t="shared" si="113"/>
        <v xml:space="preserve"> </v>
      </c>
      <c r="K534" s="695" t="str">
        <f t="shared" si="114"/>
        <v xml:space="preserve"> </v>
      </c>
      <c r="L534" s="227" t="str">
        <f t="shared" si="115"/>
        <v xml:space="preserve"> </v>
      </c>
      <c r="M534" s="1199"/>
      <c r="N534" s="717" t="str">
        <f t="shared" si="116"/>
        <v xml:space="preserve"> </v>
      </c>
      <c r="O534" s="728" t="str">
        <f t="shared" si="117"/>
        <v xml:space="preserve"> </v>
      </c>
      <c r="P534" s="732" t="str">
        <f t="shared" si="106"/>
        <v xml:space="preserve"> </v>
      </c>
      <c r="Q534" s="626" t="str">
        <f t="shared" si="107"/>
        <v xml:space="preserve"> </v>
      </c>
      <c r="R534" s="1199"/>
      <c r="S534" s="723" t="str">
        <f t="shared" si="118"/>
        <v xml:space="preserve"> </v>
      </c>
      <c r="Y534" s="626"/>
    </row>
    <row r="535" spans="1:25" s="426" customFormat="1" x14ac:dyDescent="0.25">
      <c r="A535" s="28">
        <v>0</v>
      </c>
      <c r="B535" s="506" t="str">
        <f t="shared" si="104"/>
        <v>0427</v>
      </c>
      <c r="C535" s="12">
        <f t="shared" si="109"/>
        <v>0</v>
      </c>
      <c r="D535" s="22">
        <v>0</v>
      </c>
      <c r="E535" s="28">
        <v>0</v>
      </c>
      <c r="F535" s="2" t="str">
        <f t="shared" si="105"/>
        <v xml:space="preserve"> </v>
      </c>
      <c r="G535" s="120" t="str">
        <f t="shared" si="110"/>
        <v xml:space="preserve"> </v>
      </c>
      <c r="H535" s="78" t="str">
        <f t="shared" si="111"/>
        <v xml:space="preserve"> </v>
      </c>
      <c r="I535" s="227" t="str">
        <f t="shared" si="112"/>
        <v xml:space="preserve"> </v>
      </c>
      <c r="J535" s="695" t="str">
        <f t="shared" si="113"/>
        <v xml:space="preserve"> </v>
      </c>
      <c r="K535" s="695" t="str">
        <f t="shared" si="114"/>
        <v xml:space="preserve"> </v>
      </c>
      <c r="L535" s="227" t="str">
        <f t="shared" si="115"/>
        <v xml:space="preserve"> </v>
      </c>
      <c r="M535" s="1199"/>
      <c r="N535" s="717" t="str">
        <f t="shared" si="116"/>
        <v xml:space="preserve"> </v>
      </c>
      <c r="O535" s="728" t="str">
        <f t="shared" si="117"/>
        <v xml:space="preserve"> </v>
      </c>
      <c r="P535" s="732" t="str">
        <f t="shared" si="106"/>
        <v xml:space="preserve"> </v>
      </c>
      <c r="Q535" s="626" t="str">
        <f t="shared" si="107"/>
        <v xml:space="preserve"> </v>
      </c>
      <c r="R535" s="1199"/>
      <c r="S535" s="723" t="str">
        <f t="shared" si="118"/>
        <v xml:space="preserve"> </v>
      </c>
      <c r="Y535" s="626"/>
    </row>
    <row r="536" spans="1:25" s="426" customFormat="1" x14ac:dyDescent="0.25">
      <c r="A536" s="28">
        <v>0</v>
      </c>
      <c r="B536" s="506" t="str">
        <f t="shared" si="104"/>
        <v>0421</v>
      </c>
      <c r="C536" s="12">
        <f t="shared" si="109"/>
        <v>0</v>
      </c>
      <c r="D536" s="22">
        <v>0</v>
      </c>
      <c r="E536" s="28">
        <v>0</v>
      </c>
      <c r="F536" s="2" t="str">
        <f t="shared" si="105"/>
        <v xml:space="preserve"> </v>
      </c>
      <c r="G536" s="120" t="str">
        <f t="shared" si="110"/>
        <v xml:space="preserve"> </v>
      </c>
      <c r="H536" s="78" t="str">
        <f t="shared" si="111"/>
        <v xml:space="preserve"> </v>
      </c>
      <c r="I536" s="227" t="str">
        <f t="shared" si="112"/>
        <v xml:space="preserve"> </v>
      </c>
      <c r="J536" s="695" t="str">
        <f t="shared" si="113"/>
        <v xml:space="preserve"> </v>
      </c>
      <c r="K536" s="695" t="str">
        <f t="shared" si="114"/>
        <v xml:space="preserve"> </v>
      </c>
      <c r="L536" s="227" t="str">
        <f t="shared" si="115"/>
        <v xml:space="preserve"> </v>
      </c>
      <c r="M536" s="1199"/>
      <c r="N536" s="717" t="str">
        <f t="shared" si="116"/>
        <v xml:space="preserve"> </v>
      </c>
      <c r="O536" s="728" t="str">
        <f t="shared" si="117"/>
        <v xml:space="preserve"> </v>
      </c>
      <c r="P536" s="732" t="str">
        <f t="shared" si="106"/>
        <v xml:space="preserve"> </v>
      </c>
      <c r="Q536" s="626" t="str">
        <f t="shared" si="107"/>
        <v xml:space="preserve"> </v>
      </c>
      <c r="R536" s="1199"/>
      <c r="S536" s="723" t="str">
        <f t="shared" si="118"/>
        <v xml:space="preserve"> </v>
      </c>
      <c r="Y536" s="626"/>
    </row>
    <row r="537" spans="1:25" s="426" customFormat="1" x14ac:dyDescent="0.25">
      <c r="A537" s="28">
        <v>0</v>
      </c>
      <c r="B537" s="506" t="str">
        <f t="shared" si="104"/>
        <v>0422</v>
      </c>
      <c r="C537" s="12">
        <f t="shared" si="109"/>
        <v>0</v>
      </c>
      <c r="D537" s="22">
        <v>0</v>
      </c>
      <c r="E537" s="28">
        <v>0</v>
      </c>
      <c r="F537" s="2" t="str">
        <f t="shared" si="105"/>
        <v xml:space="preserve"> </v>
      </c>
      <c r="G537" s="120" t="str">
        <f t="shared" si="110"/>
        <v xml:space="preserve"> </v>
      </c>
      <c r="H537" s="78" t="str">
        <f t="shared" si="111"/>
        <v xml:space="preserve"> </v>
      </c>
      <c r="I537" s="227" t="str">
        <f t="shared" si="112"/>
        <v xml:space="preserve"> </v>
      </c>
      <c r="J537" s="695" t="str">
        <f t="shared" si="113"/>
        <v xml:space="preserve"> </v>
      </c>
      <c r="K537" s="695" t="str">
        <f t="shared" si="114"/>
        <v xml:space="preserve"> </v>
      </c>
      <c r="L537" s="227" t="str">
        <f t="shared" si="115"/>
        <v xml:space="preserve"> </v>
      </c>
      <c r="M537" s="1199"/>
      <c r="N537" s="717" t="str">
        <f t="shared" si="116"/>
        <v xml:space="preserve"> </v>
      </c>
      <c r="O537" s="728" t="str">
        <f t="shared" si="117"/>
        <v xml:space="preserve"> </v>
      </c>
      <c r="P537" s="732" t="str">
        <f t="shared" si="106"/>
        <v xml:space="preserve"> </v>
      </c>
      <c r="Q537" s="626" t="str">
        <f t="shared" si="107"/>
        <v xml:space="preserve"> </v>
      </c>
      <c r="R537" s="1199"/>
      <c r="S537" s="723" t="str">
        <f t="shared" si="118"/>
        <v xml:space="preserve"> </v>
      </c>
      <c r="Y537" s="626"/>
    </row>
    <row r="538" spans="1:25" s="426" customFormat="1" x14ac:dyDescent="0.25">
      <c r="A538" s="12">
        <f t="shared" si="108"/>
        <v>0</v>
      </c>
      <c r="B538" s="506" t="str">
        <f t="shared" si="104"/>
        <v>0452</v>
      </c>
      <c r="C538" s="12">
        <f t="shared" si="109"/>
        <v>2</v>
      </c>
      <c r="D538" s="22">
        <v>0</v>
      </c>
      <c r="E538" s="28">
        <v>0</v>
      </c>
      <c r="F538" s="2" t="str">
        <f t="shared" si="105"/>
        <v xml:space="preserve"> </v>
      </c>
      <c r="G538" s="120" t="str">
        <f t="shared" si="110"/>
        <v xml:space="preserve"> </v>
      </c>
      <c r="H538" s="78" t="str">
        <f t="shared" si="111"/>
        <v xml:space="preserve"> </v>
      </c>
      <c r="I538" s="227" t="str">
        <f t="shared" si="112"/>
        <v xml:space="preserve"> </v>
      </c>
      <c r="J538" s="695" t="str">
        <f t="shared" si="113"/>
        <v xml:space="preserve"> </v>
      </c>
      <c r="K538" s="695" t="str">
        <f t="shared" si="114"/>
        <v xml:space="preserve"> </v>
      </c>
      <c r="L538" s="227" t="str">
        <f t="shared" si="115"/>
        <v xml:space="preserve"> </v>
      </c>
      <c r="M538" s="1199"/>
      <c r="N538" s="717" t="str">
        <f t="shared" si="116"/>
        <v xml:space="preserve"> </v>
      </c>
      <c r="O538" s="728" t="str">
        <f t="shared" si="117"/>
        <v xml:space="preserve"> </v>
      </c>
      <c r="P538" s="732" t="str">
        <f t="shared" si="106"/>
        <v xml:space="preserve"> </v>
      </c>
      <c r="Q538" s="626" t="str">
        <f t="shared" si="107"/>
        <v xml:space="preserve"> </v>
      </c>
      <c r="R538" s="1199"/>
      <c r="S538" s="723" t="str">
        <f t="shared" si="118"/>
        <v xml:space="preserve"> </v>
      </c>
      <c r="Y538" s="626"/>
    </row>
    <row r="539" spans="1:25" s="426" customFormat="1" x14ac:dyDescent="0.25">
      <c r="A539" s="12">
        <f t="shared" si="108"/>
        <v>0</v>
      </c>
      <c r="B539" s="506" t="str">
        <f t="shared" si="104"/>
        <v>0501</v>
      </c>
      <c r="C539" s="12">
        <f t="shared" si="109"/>
        <v>4</v>
      </c>
      <c r="D539" s="2">
        <f>D525</f>
        <v>0</v>
      </c>
      <c r="E539" s="28">
        <v>0</v>
      </c>
      <c r="F539" s="2" t="str">
        <f t="shared" si="105"/>
        <v xml:space="preserve"> </v>
      </c>
      <c r="G539" s="120" t="str">
        <f t="shared" si="110"/>
        <v xml:space="preserve"> </v>
      </c>
      <c r="H539" s="78" t="str">
        <f t="shared" si="111"/>
        <v xml:space="preserve"> </v>
      </c>
      <c r="I539" s="227" t="str">
        <f t="shared" si="112"/>
        <v xml:space="preserve"> </v>
      </c>
      <c r="J539" s="695" t="str">
        <f t="shared" si="113"/>
        <v xml:space="preserve"> </v>
      </c>
      <c r="K539" s="695" t="str">
        <f t="shared" si="114"/>
        <v xml:space="preserve"> </v>
      </c>
      <c r="L539" s="227" t="str">
        <f t="shared" si="115"/>
        <v xml:space="preserve"> </v>
      </c>
      <c r="M539" s="1199"/>
      <c r="N539" s="717" t="str">
        <f t="shared" si="116"/>
        <v xml:space="preserve"> </v>
      </c>
      <c r="O539" s="728" t="str">
        <f t="shared" si="117"/>
        <v xml:space="preserve"> </v>
      </c>
      <c r="P539" s="732" t="str">
        <f t="shared" si="106"/>
        <v xml:space="preserve"> </v>
      </c>
      <c r="Q539" s="626" t="str">
        <f t="shared" si="107"/>
        <v xml:space="preserve"> </v>
      </c>
      <c r="R539" s="1199"/>
      <c r="S539" s="723" t="str">
        <f t="shared" si="118"/>
        <v xml:space="preserve"> </v>
      </c>
      <c r="Y539" s="626"/>
    </row>
    <row r="540" spans="1:25" s="426" customFormat="1" x14ac:dyDescent="0.25">
      <c r="A540" s="12">
        <f t="shared" si="108"/>
        <v>0</v>
      </c>
      <c r="B540" s="506" t="str">
        <f t="shared" si="104"/>
        <v>0401</v>
      </c>
      <c r="C540" s="12">
        <f t="shared" si="109"/>
        <v>4</v>
      </c>
      <c r="D540" s="22">
        <v>0</v>
      </c>
      <c r="E540" s="12">
        <f>E525*2</f>
        <v>0</v>
      </c>
      <c r="F540" s="2" t="str">
        <f t="shared" si="105"/>
        <v xml:space="preserve"> </v>
      </c>
      <c r="G540" s="120" t="str">
        <f t="shared" si="110"/>
        <v xml:space="preserve"> </v>
      </c>
      <c r="H540" s="78" t="str">
        <f t="shared" si="111"/>
        <v xml:space="preserve"> </v>
      </c>
      <c r="I540" s="227" t="str">
        <f t="shared" si="112"/>
        <v xml:space="preserve"> </v>
      </c>
      <c r="J540" s="695" t="str">
        <f t="shared" si="113"/>
        <v xml:space="preserve"> </v>
      </c>
      <c r="K540" s="695" t="str">
        <f t="shared" si="114"/>
        <v xml:space="preserve"> </v>
      </c>
      <c r="L540" s="227" t="str">
        <f t="shared" si="115"/>
        <v xml:space="preserve"> </v>
      </c>
      <c r="M540" s="1199"/>
      <c r="N540" s="717" t="str">
        <f t="shared" si="116"/>
        <v xml:space="preserve"> </v>
      </c>
      <c r="O540" s="728" t="str">
        <f t="shared" si="117"/>
        <v xml:space="preserve"> </v>
      </c>
      <c r="P540" s="732" t="str">
        <f t="shared" si="106"/>
        <v xml:space="preserve"> </v>
      </c>
      <c r="Q540" s="626" t="str">
        <f t="shared" si="107"/>
        <v xml:space="preserve"> </v>
      </c>
      <c r="R540" s="1199"/>
      <c r="S540" s="723" t="str">
        <f t="shared" si="118"/>
        <v xml:space="preserve"> </v>
      </c>
      <c r="Y540" s="626"/>
    </row>
    <row r="541" spans="1:25" s="426" customFormat="1" x14ac:dyDescent="0.25">
      <c r="A541" s="12">
        <f t="shared" si="108"/>
        <v>0</v>
      </c>
      <c r="B541" s="506" t="str">
        <f t="shared" si="104"/>
        <v>0471</v>
      </c>
      <c r="C541" s="12">
        <f t="shared" si="109"/>
        <v>0</v>
      </c>
      <c r="D541" s="22">
        <v>0</v>
      </c>
      <c r="E541" s="28">
        <v>0</v>
      </c>
      <c r="F541" s="2" t="str">
        <f t="shared" si="105"/>
        <v xml:space="preserve"> </v>
      </c>
      <c r="G541" s="120" t="str">
        <f t="shared" si="110"/>
        <v xml:space="preserve"> </v>
      </c>
      <c r="H541" s="78" t="str">
        <f t="shared" si="111"/>
        <v xml:space="preserve"> </v>
      </c>
      <c r="I541" s="227" t="str">
        <f t="shared" si="112"/>
        <v xml:space="preserve"> </v>
      </c>
      <c r="J541" s="695" t="str">
        <f t="shared" si="113"/>
        <v xml:space="preserve"> </v>
      </c>
      <c r="K541" s="695" t="str">
        <f t="shared" si="114"/>
        <v xml:space="preserve"> </v>
      </c>
      <c r="L541" s="227" t="str">
        <f t="shared" si="115"/>
        <v xml:space="preserve"> </v>
      </c>
      <c r="M541" s="1199"/>
      <c r="N541" s="717" t="str">
        <f t="shared" si="116"/>
        <v xml:space="preserve"> </v>
      </c>
      <c r="O541" s="728" t="str">
        <f t="shared" si="117"/>
        <v xml:space="preserve"> </v>
      </c>
      <c r="P541" s="732" t="str">
        <f t="shared" si="106"/>
        <v xml:space="preserve"> </v>
      </c>
      <c r="Q541" s="626" t="str">
        <f t="shared" si="107"/>
        <v xml:space="preserve"> </v>
      </c>
      <c r="R541" s="1199"/>
      <c r="S541" s="723" t="str">
        <f t="shared" si="118"/>
        <v xml:space="preserve"> </v>
      </c>
      <c r="Y541" s="626"/>
    </row>
    <row r="542" spans="1:25" s="426" customFormat="1" x14ac:dyDescent="0.25">
      <c r="A542" s="12">
        <f t="shared" si="108"/>
        <v>0</v>
      </c>
      <c r="B542" s="506" t="str">
        <f t="shared" si="104"/>
        <v>0933</v>
      </c>
      <c r="C542" s="12">
        <f t="shared" si="109"/>
        <v>0</v>
      </c>
      <c r="D542" s="707">
        <v>0</v>
      </c>
      <c r="E542" s="690">
        <v>0</v>
      </c>
      <c r="F542" s="426" t="str">
        <f t="shared" si="105"/>
        <v xml:space="preserve"> </v>
      </c>
      <c r="G542" s="120" t="str">
        <f t="shared" si="110"/>
        <v xml:space="preserve"> </v>
      </c>
      <c r="H542" s="78" t="str">
        <f t="shared" si="111"/>
        <v xml:space="preserve"> </v>
      </c>
      <c r="I542" s="227" t="str">
        <f t="shared" si="112"/>
        <v xml:space="preserve"> </v>
      </c>
      <c r="J542" s="695" t="str">
        <f t="shared" si="113"/>
        <v xml:space="preserve"> </v>
      </c>
      <c r="K542" s="695" t="str">
        <f t="shared" si="114"/>
        <v xml:space="preserve"> </v>
      </c>
      <c r="L542" s="227" t="str">
        <f t="shared" si="115"/>
        <v xml:space="preserve"> </v>
      </c>
      <c r="M542" s="1199"/>
      <c r="N542" s="717" t="str">
        <f t="shared" si="116"/>
        <v xml:space="preserve"> </v>
      </c>
      <c r="O542" s="728" t="str">
        <f t="shared" si="117"/>
        <v xml:space="preserve"> </v>
      </c>
      <c r="P542" s="732" t="str">
        <f t="shared" si="106"/>
        <v xml:space="preserve"> </v>
      </c>
      <c r="Q542" s="626" t="str">
        <f t="shared" si="107"/>
        <v xml:space="preserve"> </v>
      </c>
      <c r="R542" s="1199"/>
      <c r="S542" s="723" t="str">
        <f t="shared" si="118"/>
        <v xml:space="preserve"> </v>
      </c>
      <c r="Y542" s="626"/>
    </row>
    <row r="543" spans="1:25" s="426" customFormat="1" x14ac:dyDescent="0.25">
      <c r="A543" s="12">
        <f t="shared" si="108"/>
        <v>0</v>
      </c>
      <c r="B543" s="506" t="str">
        <f t="shared" si="104"/>
        <v>0701</v>
      </c>
      <c r="C543" s="12">
        <f t="shared" si="109"/>
        <v>0</v>
      </c>
      <c r="D543" s="707">
        <v>0</v>
      </c>
      <c r="E543" s="690">
        <v>0</v>
      </c>
      <c r="F543" s="426" t="str">
        <f t="shared" si="105"/>
        <v xml:space="preserve"> </v>
      </c>
      <c r="G543" s="120" t="str">
        <f t="shared" si="110"/>
        <v xml:space="preserve"> </v>
      </c>
      <c r="H543" s="78" t="str">
        <f t="shared" si="111"/>
        <v xml:space="preserve"> </v>
      </c>
      <c r="I543" s="227" t="str">
        <f t="shared" si="112"/>
        <v xml:space="preserve"> </v>
      </c>
      <c r="J543" s="695" t="str">
        <f t="shared" si="113"/>
        <v xml:space="preserve"> </v>
      </c>
      <c r="K543" s="695" t="str">
        <f t="shared" si="114"/>
        <v xml:space="preserve"> </v>
      </c>
      <c r="L543" s="227" t="str">
        <f t="shared" si="115"/>
        <v xml:space="preserve"> </v>
      </c>
      <c r="M543" s="1199"/>
      <c r="N543" s="717" t="str">
        <f t="shared" si="116"/>
        <v xml:space="preserve"> </v>
      </c>
      <c r="O543" s="728" t="str">
        <f t="shared" si="117"/>
        <v xml:space="preserve"> </v>
      </c>
      <c r="P543" s="732" t="str">
        <f t="shared" si="106"/>
        <v xml:space="preserve"> </v>
      </c>
      <c r="Q543" s="626" t="str">
        <f t="shared" si="107"/>
        <v xml:space="preserve"> </v>
      </c>
      <c r="R543" s="1199"/>
      <c r="S543" s="723" t="str">
        <f t="shared" si="118"/>
        <v xml:space="preserve"> </v>
      </c>
      <c r="Y543" s="626"/>
    </row>
    <row r="544" spans="1:25" s="426" customFormat="1" x14ac:dyDescent="0.25">
      <c r="A544" s="12">
        <f t="shared" si="108"/>
        <v>0</v>
      </c>
      <c r="B544" s="506">
        <f t="shared" si="104"/>
        <v>0</v>
      </c>
      <c r="C544" s="12">
        <f t="shared" si="109"/>
        <v>0</v>
      </c>
      <c r="D544" s="707">
        <v>0</v>
      </c>
      <c r="E544" s="690">
        <v>0</v>
      </c>
      <c r="F544" s="426" t="str">
        <f t="shared" si="105"/>
        <v xml:space="preserve"> </v>
      </c>
      <c r="G544" s="120" t="str">
        <f t="shared" si="110"/>
        <v xml:space="preserve"> </v>
      </c>
      <c r="H544" s="78" t="str">
        <f t="shared" si="111"/>
        <v xml:space="preserve"> </v>
      </c>
      <c r="I544" s="227" t="str">
        <f t="shared" si="112"/>
        <v xml:space="preserve"> </v>
      </c>
      <c r="J544" s="695" t="str">
        <f t="shared" si="113"/>
        <v xml:space="preserve"> </v>
      </c>
      <c r="K544" s="695" t="str">
        <f t="shared" si="114"/>
        <v xml:space="preserve"> </v>
      </c>
      <c r="L544" s="227" t="str">
        <f t="shared" si="115"/>
        <v xml:space="preserve"> </v>
      </c>
      <c r="M544" s="1199"/>
      <c r="N544" s="717" t="str">
        <f t="shared" si="116"/>
        <v xml:space="preserve"> </v>
      </c>
      <c r="O544" s="728" t="str">
        <f t="shared" si="117"/>
        <v xml:space="preserve"> </v>
      </c>
      <c r="P544" s="732" t="str">
        <f t="shared" si="106"/>
        <v xml:space="preserve"> </v>
      </c>
      <c r="Q544" s="626" t="str">
        <f t="shared" si="107"/>
        <v xml:space="preserve"> </v>
      </c>
      <c r="R544" s="1199"/>
      <c r="S544" s="723" t="str">
        <f t="shared" si="118"/>
        <v xml:space="preserve"> </v>
      </c>
      <c r="Y544" s="626"/>
    </row>
    <row r="545" spans="1:25" s="426" customFormat="1" x14ac:dyDescent="0.25">
      <c r="A545" s="12">
        <f t="shared" si="108"/>
        <v>0</v>
      </c>
      <c r="B545" s="506">
        <f t="shared" si="104"/>
        <v>0</v>
      </c>
      <c r="C545" s="12">
        <f t="shared" si="109"/>
        <v>0</v>
      </c>
      <c r="D545" s="707">
        <v>0</v>
      </c>
      <c r="E545" s="690">
        <v>0</v>
      </c>
      <c r="F545" s="426" t="str">
        <f t="shared" si="105"/>
        <v xml:space="preserve"> </v>
      </c>
      <c r="G545" s="120" t="str">
        <f t="shared" si="110"/>
        <v xml:space="preserve"> </v>
      </c>
      <c r="H545" s="78" t="str">
        <f t="shared" si="111"/>
        <v xml:space="preserve"> </v>
      </c>
      <c r="I545" s="227" t="str">
        <f t="shared" si="112"/>
        <v xml:space="preserve"> </v>
      </c>
      <c r="J545" s="695" t="str">
        <f t="shared" si="113"/>
        <v xml:space="preserve"> </v>
      </c>
      <c r="K545" s="695" t="str">
        <f t="shared" si="114"/>
        <v xml:space="preserve"> </v>
      </c>
      <c r="L545" s="227" t="str">
        <f t="shared" si="115"/>
        <v xml:space="preserve"> </v>
      </c>
      <c r="M545" s="1199"/>
      <c r="N545" s="717" t="str">
        <f t="shared" si="116"/>
        <v xml:space="preserve"> </v>
      </c>
      <c r="O545" s="728" t="str">
        <f t="shared" si="117"/>
        <v xml:space="preserve"> </v>
      </c>
      <c r="P545" s="732" t="str">
        <f t="shared" si="106"/>
        <v xml:space="preserve"> </v>
      </c>
      <c r="Q545" s="626" t="str">
        <f t="shared" si="107"/>
        <v xml:space="preserve"> </v>
      </c>
      <c r="R545" s="1199"/>
      <c r="S545" s="723" t="str">
        <f t="shared" si="118"/>
        <v xml:space="preserve"> </v>
      </c>
      <c r="Y545" s="626"/>
    </row>
    <row r="546" spans="1:25" s="426" customFormat="1" x14ac:dyDescent="0.25">
      <c r="A546" s="12">
        <f t="shared" si="108"/>
        <v>0</v>
      </c>
      <c r="B546" s="506">
        <f t="shared" si="104"/>
        <v>0</v>
      </c>
      <c r="C546" s="12">
        <f t="shared" si="109"/>
        <v>0</v>
      </c>
      <c r="D546" s="707">
        <v>0</v>
      </c>
      <c r="E546" s="690">
        <v>0</v>
      </c>
      <c r="F546" s="426" t="str">
        <f t="shared" si="105"/>
        <v xml:space="preserve"> </v>
      </c>
      <c r="G546" s="120" t="str">
        <f t="shared" si="110"/>
        <v xml:space="preserve"> </v>
      </c>
      <c r="H546" s="78" t="str">
        <f t="shared" si="111"/>
        <v xml:space="preserve"> </v>
      </c>
      <c r="I546" s="227" t="str">
        <f t="shared" si="112"/>
        <v xml:space="preserve"> </v>
      </c>
      <c r="J546" s="695" t="str">
        <f t="shared" si="113"/>
        <v xml:space="preserve"> </v>
      </c>
      <c r="K546" s="695" t="str">
        <f t="shared" si="114"/>
        <v xml:space="preserve"> </v>
      </c>
      <c r="L546" s="227" t="str">
        <f t="shared" si="115"/>
        <v xml:space="preserve"> </v>
      </c>
      <c r="M546" s="1199"/>
      <c r="N546" s="717" t="str">
        <f t="shared" si="116"/>
        <v xml:space="preserve"> </v>
      </c>
      <c r="O546" s="728" t="str">
        <f t="shared" si="117"/>
        <v xml:space="preserve"> </v>
      </c>
      <c r="P546" s="732" t="str">
        <f t="shared" si="106"/>
        <v xml:space="preserve"> </v>
      </c>
      <c r="Q546" s="626" t="str">
        <f t="shared" si="107"/>
        <v xml:space="preserve"> </v>
      </c>
      <c r="R546" s="1199"/>
      <c r="S546" s="723" t="str">
        <f t="shared" si="118"/>
        <v xml:space="preserve"> </v>
      </c>
      <c r="Y546" s="626"/>
    </row>
    <row r="547" spans="1:25" s="426" customFormat="1" x14ac:dyDescent="0.25">
      <c r="A547" s="12">
        <f t="shared" si="108"/>
        <v>0</v>
      </c>
      <c r="B547" s="506">
        <f t="shared" si="104"/>
        <v>0</v>
      </c>
      <c r="C547" s="12">
        <f t="shared" si="109"/>
        <v>0</v>
      </c>
      <c r="D547" s="707">
        <v>0</v>
      </c>
      <c r="E547" s="690">
        <v>0</v>
      </c>
      <c r="F547" s="426" t="str">
        <f t="shared" si="105"/>
        <v xml:space="preserve"> </v>
      </c>
      <c r="G547" s="120" t="str">
        <f t="shared" si="110"/>
        <v xml:space="preserve"> </v>
      </c>
      <c r="H547" s="78" t="str">
        <f t="shared" si="111"/>
        <v xml:space="preserve"> </v>
      </c>
      <c r="I547" s="227" t="str">
        <f t="shared" si="112"/>
        <v xml:space="preserve"> </v>
      </c>
      <c r="J547" s="695" t="str">
        <f t="shared" si="113"/>
        <v xml:space="preserve"> </v>
      </c>
      <c r="K547" s="695" t="str">
        <f t="shared" si="114"/>
        <v xml:space="preserve"> </v>
      </c>
      <c r="L547" s="227" t="str">
        <f t="shared" si="115"/>
        <v xml:space="preserve"> </v>
      </c>
      <c r="M547" s="1199"/>
      <c r="N547" s="717" t="str">
        <f t="shared" si="116"/>
        <v xml:space="preserve"> </v>
      </c>
      <c r="O547" s="728" t="str">
        <f t="shared" si="117"/>
        <v xml:space="preserve"> </v>
      </c>
      <c r="P547" s="732" t="str">
        <f t="shared" si="106"/>
        <v xml:space="preserve"> </v>
      </c>
      <c r="Q547" s="626" t="str">
        <f t="shared" si="107"/>
        <v xml:space="preserve"> </v>
      </c>
      <c r="R547" s="1199"/>
      <c r="S547" s="723" t="str">
        <f t="shared" si="118"/>
        <v xml:space="preserve"> </v>
      </c>
      <c r="Y547" s="626"/>
    </row>
    <row r="548" spans="1:25" s="426" customFormat="1" x14ac:dyDescent="0.25">
      <c r="A548" s="13">
        <f t="shared" si="108"/>
        <v>0</v>
      </c>
      <c r="B548" s="706">
        <f t="shared" si="104"/>
        <v>0</v>
      </c>
      <c r="C548" s="13">
        <f t="shared" si="109"/>
        <v>0</v>
      </c>
      <c r="D548" s="703">
        <v>0</v>
      </c>
      <c r="E548" s="644">
        <v>0</v>
      </c>
      <c r="F548" s="430" t="str">
        <f t="shared" si="105"/>
        <v xml:space="preserve"> </v>
      </c>
      <c r="G548" s="202" t="str">
        <f t="shared" si="110"/>
        <v xml:space="preserve"> </v>
      </c>
      <c r="H548" s="401" t="str">
        <f t="shared" si="111"/>
        <v xml:space="preserve"> </v>
      </c>
      <c r="I548" s="400" t="str">
        <f t="shared" si="112"/>
        <v xml:space="preserve"> </v>
      </c>
      <c r="J548" s="696" t="str">
        <f t="shared" si="113"/>
        <v xml:space="preserve"> </v>
      </c>
      <c r="K548" s="696" t="str">
        <f t="shared" si="114"/>
        <v xml:space="preserve"> </v>
      </c>
      <c r="L548" s="400" t="str">
        <f t="shared" si="115"/>
        <v xml:space="preserve"> </v>
      </c>
      <c r="M548" s="1200"/>
      <c r="N548" s="717" t="str">
        <f t="shared" si="116"/>
        <v xml:space="preserve"> </v>
      </c>
      <c r="O548" s="729" t="str">
        <f t="shared" si="117"/>
        <v xml:space="preserve"> </v>
      </c>
      <c r="P548" s="733" t="str">
        <f t="shared" si="106"/>
        <v xml:space="preserve"> </v>
      </c>
      <c r="Q548" s="651" t="str">
        <f t="shared" si="107"/>
        <v xml:space="preserve"> </v>
      </c>
      <c r="R548" s="1200"/>
      <c r="S548" s="722" t="str">
        <f t="shared" si="118"/>
        <v xml:space="preserve"> </v>
      </c>
      <c r="Y548" s="626"/>
    </row>
    <row r="549" spans="1:25" s="426" customFormat="1" ht="15.75" thickBot="1" x14ac:dyDescent="0.3">
      <c r="B549" s="2"/>
      <c r="L549" s="426" t="s">
        <v>763</v>
      </c>
      <c r="N549" s="718">
        <f>IF(SUM(A528:A548)&gt;0,VLOOKUP(1,A528:S548,14,FALSE)+AB513,0)</f>
        <v>13.4</v>
      </c>
      <c r="Q549" s="426" t="s">
        <v>763</v>
      </c>
      <c r="S549" s="724">
        <f>IF(AND(SUM(A528:A548)&gt;0,Q521=1),VLOOKUP(1,A528:S548,19,FALSE)+AB513,0)</f>
        <v>0</v>
      </c>
      <c r="Y549" s="626"/>
    </row>
    <row r="550" spans="1:25" s="426" customFormat="1" ht="12.75" x14ac:dyDescent="0.2">
      <c r="Y550" s="626"/>
    </row>
    <row r="551" spans="1:25" s="426" customFormat="1" ht="12.75" x14ac:dyDescent="0.2">
      <c r="Y551" s="626"/>
    </row>
    <row r="552" spans="1:25" s="426" customFormat="1" ht="12.75" x14ac:dyDescent="0.2">
      <c r="A552" s="626"/>
      <c r="B552" s="626"/>
      <c r="Y552" s="626"/>
    </row>
    <row r="553" spans="1:25" s="426" customFormat="1" ht="12.75" x14ac:dyDescent="0.2">
      <c r="A553" s="626">
        <f>A505</f>
        <v>0</v>
      </c>
      <c r="B553" s="426" t="s">
        <v>767</v>
      </c>
      <c r="C553" s="1179">
        <f>IF(A553&gt;0,A553*C505*D502,0)</f>
        <v>0</v>
      </c>
      <c r="Y553" s="626"/>
    </row>
    <row r="554" spans="1:25" s="426" customFormat="1" ht="12.75" x14ac:dyDescent="0.2">
      <c r="A554" s="626">
        <f>A506</f>
        <v>0</v>
      </c>
      <c r="B554" s="426" t="s">
        <v>770</v>
      </c>
      <c r="C554" s="635">
        <f>IF(A554&gt;0,A554*C506*D502,0)</f>
        <v>0</v>
      </c>
      <c r="Y554" s="626"/>
    </row>
    <row r="555" spans="1:25" s="426" customFormat="1" ht="12.75" x14ac:dyDescent="0.2">
      <c r="A555" s="626">
        <f>A507</f>
        <v>0</v>
      </c>
      <c r="B555" s="426" t="s">
        <v>771</v>
      </c>
      <c r="C555" s="635">
        <f>IF(A555&gt;0,A555*C507*D502,0)</f>
        <v>0</v>
      </c>
      <c r="Y555" s="626"/>
    </row>
    <row r="556" spans="1:25" s="426" customFormat="1" ht="12.75" x14ac:dyDescent="0.2">
      <c r="A556" s="626">
        <f>A508</f>
        <v>0</v>
      </c>
      <c r="B556" s="426" t="s">
        <v>768</v>
      </c>
      <c r="C556" s="635">
        <f>IF(A556&gt;0,A556*C508*D502,0)</f>
        <v>0</v>
      </c>
      <c r="Y556" s="626"/>
    </row>
    <row r="557" spans="1:25" s="426" customFormat="1" ht="12.75" x14ac:dyDescent="0.2">
      <c r="A557" s="626">
        <f>A509</f>
        <v>0</v>
      </c>
      <c r="B557" s="426" t="s">
        <v>769</v>
      </c>
      <c r="C557" s="635">
        <f>IF(A557&gt;0,A557*C509*D502,0)</f>
        <v>0</v>
      </c>
      <c r="Y557" s="626"/>
    </row>
    <row r="558" spans="1:25" s="426" customFormat="1" ht="12.75" x14ac:dyDescent="0.2">
      <c r="A558" s="626">
        <f>A553</f>
        <v>0</v>
      </c>
      <c r="B558" s="426" t="s">
        <v>1077</v>
      </c>
      <c r="C558" s="1178">
        <v>0</v>
      </c>
      <c r="D558" s="1182">
        <f>IF(A558=1,((C3*C510)/60)*D502,0)</f>
        <v>0</v>
      </c>
      <c r="Y558" s="626"/>
    </row>
    <row r="559" spans="1:25" s="426" customFormat="1" ht="12.75" x14ac:dyDescent="0.2">
      <c r="B559" s="615" t="s">
        <v>762</v>
      </c>
      <c r="C559" s="629">
        <f>SUM(C553:C558)</f>
        <v>0</v>
      </c>
      <c r="Y559" s="626"/>
    </row>
    <row r="560" spans="1:25" s="426" customFormat="1" ht="12.75" x14ac:dyDescent="0.2">
      <c r="Y560" s="626"/>
    </row>
    <row r="561" spans="1:25" s="426" customFormat="1" ht="12.75" x14ac:dyDescent="0.2">
      <c r="A561" s="626">
        <f>IF(C500=1,1,0)</f>
        <v>0</v>
      </c>
      <c r="B561" s="426" t="s">
        <v>1055</v>
      </c>
      <c r="C561" s="635">
        <f>IF(A561=1,(((N549+S549)*C518)/60)*D502,0)</f>
        <v>0</v>
      </c>
      <c r="Y561" s="626"/>
    </row>
    <row r="562" spans="1:25" s="426" customFormat="1" ht="12.75" x14ac:dyDescent="0.2">
      <c r="A562" s="626">
        <f>IF(AND(C500=1,W512=1),1,0)</f>
        <v>0</v>
      </c>
      <c r="B562" s="426" t="s">
        <v>1056</v>
      </c>
      <c r="C562" s="635">
        <f>IF(A562=1,(((N549+S549)*C518)/60)*T512,0)</f>
        <v>0</v>
      </c>
      <c r="Y562" s="626"/>
    </row>
    <row r="563" spans="1:25" s="426" customFormat="1" ht="12.75" x14ac:dyDescent="0.2">
      <c r="A563" s="626">
        <f>IF(SUM(A561:A562)&gt;0,1,0)</f>
        <v>0</v>
      </c>
      <c r="B563" s="615" t="s">
        <v>1054</v>
      </c>
      <c r="C563" s="1177">
        <f>IF(A563=1,SUM(C561:C562),0)</f>
        <v>0</v>
      </c>
      <c r="Y563" s="626"/>
    </row>
    <row r="564" spans="1:25" s="426" customFormat="1" ht="12.75" x14ac:dyDescent="0.2">
      <c r="Y564" s="626"/>
    </row>
    <row r="565" spans="1:25" s="430" customFormat="1" ht="12.75" x14ac:dyDescent="0.2">
      <c r="B565" s="678"/>
      <c r="Y565" s="651"/>
    </row>
    <row r="566" spans="1:25" s="426" customFormat="1" ht="12.75" x14ac:dyDescent="0.2">
      <c r="B566" s="615"/>
      <c r="Y566" s="626"/>
    </row>
    <row r="567" spans="1:25" s="426" customFormat="1" ht="13.5" thickBot="1" x14ac:dyDescent="0.25">
      <c r="B567" s="615"/>
      <c r="D567" s="626" t="s">
        <v>674</v>
      </c>
      <c r="Y567" s="626"/>
    </row>
    <row r="568" spans="1:25" s="426" customFormat="1" ht="13.5" thickBot="1" x14ac:dyDescent="0.25">
      <c r="B568" s="641" t="s">
        <v>662</v>
      </c>
      <c r="C568" s="643">
        <f>J365</f>
        <v>0</v>
      </c>
      <c r="D568" s="1176">
        <f>IF(C568=1,C621+C624,0)</f>
        <v>0</v>
      </c>
      <c r="Y568" s="626"/>
    </row>
    <row r="569" spans="1:25" s="426" customFormat="1" ht="12.75" x14ac:dyDescent="0.2">
      <c r="B569" s="615"/>
      <c r="M569" s="996"/>
      <c r="Y569" s="626"/>
    </row>
    <row r="570" spans="1:25" s="426" customFormat="1" ht="12.75" x14ac:dyDescent="0.2">
      <c r="B570" s="426" t="s">
        <v>756</v>
      </c>
      <c r="C570" s="699">
        <f>Tarieven!C8</f>
        <v>125</v>
      </c>
      <c r="D570" s="697">
        <f>C570/60</f>
        <v>2.0833333333333335</v>
      </c>
      <c r="Y570" s="626"/>
    </row>
    <row r="571" spans="1:25" s="426" customFormat="1" x14ac:dyDescent="0.25">
      <c r="B571" s="426" t="s">
        <v>757</v>
      </c>
      <c r="C571" s="700">
        <f>Tarieven!C12</f>
        <v>37</v>
      </c>
      <c r="D571" s="698">
        <f>C571/60</f>
        <v>0.6166666666666667</v>
      </c>
      <c r="L571" s="77" t="s">
        <v>1034</v>
      </c>
      <c r="M571"/>
      <c r="N571"/>
      <c r="O571"/>
      <c r="P571"/>
      <c r="Q571"/>
      <c r="R571"/>
      <c r="S571"/>
      <c r="U571" s="426" t="s">
        <v>1075</v>
      </c>
      <c r="Y571" s="626"/>
    </row>
    <row r="572" spans="1:25" s="426" customFormat="1" x14ac:dyDescent="0.25">
      <c r="C572" s="704"/>
      <c r="D572" s="704"/>
      <c r="L572"/>
      <c r="M572"/>
      <c r="N572"/>
      <c r="O572"/>
      <c r="P572"/>
      <c r="Q572"/>
      <c r="R572"/>
      <c r="S572"/>
      <c r="U572" s="1103"/>
      <c r="V572" s="1047" t="s">
        <v>1076</v>
      </c>
      <c r="W572" s="1047" t="s">
        <v>801</v>
      </c>
      <c r="Y572" s="626"/>
    </row>
    <row r="573" spans="1:25" s="426" customFormat="1" x14ac:dyDescent="0.25">
      <c r="C573" s="704"/>
      <c r="D573" s="704"/>
      <c r="L573" s="77" t="s">
        <v>1035</v>
      </c>
      <c r="M573" s="1035">
        <v>1000</v>
      </c>
      <c r="N573" s="77" t="s">
        <v>25</v>
      </c>
      <c r="O573"/>
      <c r="P573"/>
      <c r="Q573"/>
      <c r="R573"/>
      <c r="S573"/>
      <c r="U573" s="1108">
        <f>IF($C$582=V573,1," ")</f>
        <v>1</v>
      </c>
      <c r="V573" s="150">
        <v>1</v>
      </c>
      <c r="W573" s="1106">
        <v>1</v>
      </c>
      <c r="Y573" s="626"/>
    </row>
    <row r="574" spans="1:25" s="426" customFormat="1" x14ac:dyDescent="0.25">
      <c r="A574" s="426" t="s">
        <v>61</v>
      </c>
      <c r="B574" s="426" t="s">
        <v>679</v>
      </c>
      <c r="C574" s="636" t="s">
        <v>680</v>
      </c>
      <c r="D574" s="635"/>
      <c r="G574" s="638">
        <v>0.15</v>
      </c>
      <c r="L574" s="77" t="s">
        <v>941</v>
      </c>
      <c r="M574" s="1081">
        <f>CEILING(M573/M575,1)</f>
        <v>334</v>
      </c>
      <c r="N574" s="77" t="s">
        <v>26</v>
      </c>
      <c r="O574"/>
      <c r="P574"/>
      <c r="Q574"/>
      <c r="R574"/>
      <c r="S574"/>
      <c r="U574" s="725" t="str">
        <f t="shared" ref="U574:U576" si="119">IF($C$582=V574,1," ")</f>
        <v xml:space="preserve"> </v>
      </c>
      <c r="V574" s="150">
        <v>2</v>
      </c>
      <c r="W574" s="1106">
        <v>1.4</v>
      </c>
      <c r="Y574" s="626"/>
    </row>
    <row r="575" spans="1:25" s="426" customFormat="1" x14ac:dyDescent="0.25">
      <c r="A575" s="626">
        <f>IF(C568=1,1,0)</f>
        <v>0</v>
      </c>
      <c r="B575" s="426" t="s">
        <v>759</v>
      </c>
      <c r="C575" s="637">
        <v>7</v>
      </c>
      <c r="D575" s="426" t="s">
        <v>683</v>
      </c>
      <c r="G575" s="708" t="s">
        <v>777</v>
      </c>
      <c r="H575" s="719" t="s">
        <v>778</v>
      </c>
      <c r="I575" s="719" t="s">
        <v>779</v>
      </c>
      <c r="L575" s="77" t="s">
        <v>895</v>
      </c>
      <c r="M575">
        <f>F145</f>
        <v>3</v>
      </c>
      <c r="N575"/>
      <c r="O575"/>
      <c r="P575"/>
      <c r="Q575"/>
      <c r="R575"/>
      <c r="S575"/>
      <c r="U575" s="725" t="str">
        <f t="shared" si="119"/>
        <v xml:space="preserve"> </v>
      </c>
      <c r="V575" s="150">
        <v>3</v>
      </c>
      <c r="W575" s="1106">
        <v>1.75</v>
      </c>
      <c r="Y575" s="626"/>
    </row>
    <row r="576" spans="1:25" s="426" customFormat="1" ht="15.75" thickBot="1" x14ac:dyDescent="0.3">
      <c r="A576" s="626">
        <f>IF(AND(C568=1,SUM(D591:E591)&gt;0),1,0)</f>
        <v>0</v>
      </c>
      <c r="B576" s="426" t="s">
        <v>760</v>
      </c>
      <c r="C576" s="705">
        <v>10</v>
      </c>
      <c r="D576" s="426" t="s">
        <v>683</v>
      </c>
      <c r="G576" s="725">
        <f>MAX(B445,H445)</f>
        <v>482</v>
      </c>
      <c r="H576" s="145">
        <f>C582*C583</f>
        <v>1</v>
      </c>
      <c r="I576" s="145">
        <f>H576*G576</f>
        <v>482</v>
      </c>
      <c r="L576"/>
      <c r="M576"/>
      <c r="N576"/>
      <c r="O576"/>
      <c r="P576"/>
      <c r="Q576"/>
      <c r="R576"/>
      <c r="S576"/>
      <c r="U576" s="658" t="str">
        <f t="shared" si="119"/>
        <v xml:space="preserve"> </v>
      </c>
      <c r="V576" s="145">
        <v>4</v>
      </c>
      <c r="W576" s="1107">
        <v>2.25</v>
      </c>
      <c r="Y576" s="626"/>
    </row>
    <row r="577" spans="1:25" s="426" customFormat="1" x14ac:dyDescent="0.25">
      <c r="A577" s="626">
        <f>IF(AND(C568=1,SUM(D591:E591)&gt;0),1,0)</f>
        <v>0</v>
      </c>
      <c r="B577" s="426" t="s">
        <v>761</v>
      </c>
      <c r="C577" s="705">
        <v>5</v>
      </c>
      <c r="D577" s="426" t="s">
        <v>683</v>
      </c>
      <c r="G577" s="735" t="s">
        <v>782</v>
      </c>
      <c r="H577" s="710" t="s">
        <v>781</v>
      </c>
      <c r="I577" s="713" t="s">
        <v>780</v>
      </c>
      <c r="L577" s="1020"/>
      <c r="M577" s="1082" t="s">
        <v>26</v>
      </c>
      <c r="N577" s="1021" t="s">
        <v>1036</v>
      </c>
      <c r="O577" s="1082" t="s">
        <v>1037</v>
      </c>
      <c r="P577" s="1021" t="s">
        <v>1038</v>
      </c>
      <c r="Q577" s="1082" t="s">
        <v>1039</v>
      </c>
      <c r="R577" s="1021" t="s">
        <v>1040</v>
      </c>
      <c r="S577"/>
      <c r="U577" s="1105"/>
      <c r="V577" s="1104"/>
      <c r="W577" s="1048">
        <f>VLOOKUP(1,U573:W576,3,FALSE)</f>
        <v>1</v>
      </c>
      <c r="Y577" s="626"/>
    </row>
    <row r="578" spans="1:25" s="426" customFormat="1" ht="15.75" thickBot="1" x14ac:dyDescent="0.3">
      <c r="B578" s="426" t="s">
        <v>1001</v>
      </c>
      <c r="C578" s="1034" t="str">
        <f>AW46</f>
        <v>0,2</v>
      </c>
      <c r="D578" s="704" t="s">
        <v>1002</v>
      </c>
      <c r="G578" s="736">
        <f>IF(CEILING((H578*G574)+H578,1)&lt;=G576,CEILING((H578*G574)+H578,1),G576)</f>
        <v>460</v>
      </c>
      <c r="H578" s="702">
        <f>CEILING(I578/H576,1)</f>
        <v>400</v>
      </c>
      <c r="I578" s="145">
        <f>C3</f>
        <v>400</v>
      </c>
      <c r="L578" s="339" t="s">
        <v>1043</v>
      </c>
      <c r="M578" s="407">
        <f>C586</f>
        <v>460</v>
      </c>
      <c r="N578" s="12">
        <f>FLOOR(M578/M574,1)</f>
        <v>1</v>
      </c>
      <c r="O578" s="2">
        <f>IF(N578=0,M578*M575,(M578-(N578*M574))*M575)</f>
        <v>378</v>
      </c>
      <c r="P578" s="12">
        <f>N578*Q583</f>
        <v>0.14000000000000001</v>
      </c>
      <c r="Q578" s="2">
        <f>IF(O578=0,0,HLOOKUP(1,M582:Q583,2,FALSE))</f>
        <v>0.08</v>
      </c>
      <c r="R578" s="12">
        <f>SUM(P578:Q578)</f>
        <v>0.22000000000000003</v>
      </c>
      <c r="S578" s="77" t="s">
        <v>1041</v>
      </c>
      <c r="Y578" s="626"/>
    </row>
    <row r="579" spans="1:25" s="426" customFormat="1" x14ac:dyDescent="0.25">
      <c r="C579" s="737"/>
      <c r="L579" s="341"/>
      <c r="M579" s="965"/>
      <c r="N579" s="13"/>
      <c r="O579" s="965"/>
      <c r="P579" s="52"/>
      <c r="Q579" s="965"/>
      <c r="R579" s="13"/>
      <c r="S579" s="77"/>
      <c r="Y579" s="626"/>
    </row>
    <row r="580" spans="1:25" s="426" customFormat="1" ht="12.75" x14ac:dyDescent="0.2">
      <c r="B580" s="615"/>
      <c r="Y580" s="626"/>
    </row>
    <row r="581" spans="1:25" s="426" customFormat="1" x14ac:dyDescent="0.25">
      <c r="B581" s="615" t="s">
        <v>750</v>
      </c>
      <c r="C581" s="626" t="str">
        <f>IF(F189=0,C2,"0110")</f>
        <v>0201</v>
      </c>
      <c r="L581" s="1083" t="s">
        <v>1044</v>
      </c>
      <c r="M581" s="1062">
        <v>200</v>
      </c>
      <c r="N581" s="449">
        <v>400</v>
      </c>
      <c r="O581" s="1062">
        <v>600</v>
      </c>
      <c r="P581" s="449">
        <v>800</v>
      </c>
      <c r="Q581" s="1062">
        <v>1000</v>
      </c>
      <c r="Y581" s="626"/>
    </row>
    <row r="582" spans="1:25" s="426" customFormat="1" x14ac:dyDescent="0.25">
      <c r="B582" s="615" t="s">
        <v>752</v>
      </c>
      <c r="C582" s="626">
        <f>C445</f>
        <v>1</v>
      </c>
      <c r="D582" s="426" t="s">
        <v>754</v>
      </c>
      <c r="L582" s="339" t="s">
        <v>1042</v>
      </c>
      <c r="M582" s="12">
        <f>IF(O578&lt;=M581,1,0)</f>
        <v>0</v>
      </c>
      <c r="N582" s="2">
        <f>IF(AND(O578&gt;M581,O578&lt;=N581),1,0)</f>
        <v>1</v>
      </c>
      <c r="O582" s="12">
        <f>IF(AND(O578&gt;N581,O578&lt;=O581),1,0)</f>
        <v>0</v>
      </c>
      <c r="P582" s="2">
        <f>IF(AND(O578&gt;O581,O578&lt;=P581),1,0)</f>
        <v>0</v>
      </c>
      <c r="Q582" s="12">
        <f>IF(AND(O578&gt;P581,O578&lt;=Q581),1,0)</f>
        <v>0</v>
      </c>
      <c r="Y582" s="626"/>
    </row>
    <row r="583" spans="1:25" s="426" customFormat="1" x14ac:dyDescent="0.25">
      <c r="B583" s="615" t="s">
        <v>753</v>
      </c>
      <c r="C583" s="626">
        <f>D445</f>
        <v>1</v>
      </c>
      <c r="D583" s="426" t="s">
        <v>754</v>
      </c>
      <c r="L583" s="1020" t="s">
        <v>1045</v>
      </c>
      <c r="M583" s="952">
        <f>0.02*2</f>
        <v>0.04</v>
      </c>
      <c r="N583" s="1084">
        <f>0.04*2</f>
        <v>0.08</v>
      </c>
      <c r="O583" s="952">
        <f>0.05*2</f>
        <v>0.1</v>
      </c>
      <c r="P583" s="1084">
        <f>0.06*2</f>
        <v>0.12</v>
      </c>
      <c r="Q583" s="952">
        <v>0.14000000000000001</v>
      </c>
      <c r="Y583" s="626"/>
    </row>
    <row r="584" spans="1:25" s="426" customFormat="1" x14ac:dyDescent="0.25">
      <c r="B584" s="615" t="s">
        <v>99</v>
      </c>
      <c r="C584" s="626">
        <f>E445</f>
        <v>361</v>
      </c>
      <c r="D584" s="426" t="s">
        <v>25</v>
      </c>
      <c r="L584"/>
      <c r="M584"/>
      <c r="N584"/>
      <c r="O584"/>
      <c r="P584"/>
      <c r="Q584"/>
      <c r="Y584" s="626"/>
    </row>
    <row r="585" spans="1:25" s="426" customFormat="1" ht="12.75" x14ac:dyDescent="0.2">
      <c r="B585" s="615" t="s">
        <v>100</v>
      </c>
      <c r="C585" s="626">
        <f>F445</f>
        <v>1150</v>
      </c>
      <c r="D585" s="426" t="s">
        <v>25</v>
      </c>
      <c r="Y585" s="626"/>
    </row>
    <row r="586" spans="1:25" s="426" customFormat="1" ht="12.75" x14ac:dyDescent="0.2">
      <c r="B586" s="615" t="s">
        <v>776</v>
      </c>
      <c r="C586" s="134">
        <f>G578</f>
        <v>460</v>
      </c>
      <c r="D586" s="426" t="s">
        <v>754</v>
      </c>
      <c r="Y586" s="626"/>
    </row>
    <row r="587" spans="1:25" s="426" customFormat="1" ht="12.75" x14ac:dyDescent="0.2">
      <c r="B587" s="615"/>
      <c r="Y587" s="626"/>
    </row>
    <row r="588" spans="1:25" s="426" customFormat="1" x14ac:dyDescent="0.25">
      <c r="A588" s="286"/>
      <c r="F588"/>
      <c r="G588"/>
      <c r="H588"/>
      <c r="Y588" s="626"/>
    </row>
    <row r="589" spans="1:25" s="426" customFormat="1" x14ac:dyDescent="0.25">
      <c r="A589" s="286"/>
      <c r="B589" s="77"/>
      <c r="C589"/>
      <c r="D589"/>
      <c r="E589" s="484">
        <v>100</v>
      </c>
      <c r="F589"/>
      <c r="G589"/>
      <c r="H589"/>
      <c r="I589" s="78" t="s">
        <v>731</v>
      </c>
      <c r="J589"/>
      <c r="K589" s="78" t="s">
        <v>731</v>
      </c>
      <c r="L589" s="78" t="s">
        <v>732</v>
      </c>
      <c r="M589" s="78" t="s">
        <v>733</v>
      </c>
      <c r="Y589" s="626"/>
    </row>
    <row r="590" spans="1:25" s="426" customFormat="1" x14ac:dyDescent="0.25">
      <c r="A590" s="286"/>
      <c r="E590" s="473">
        <f>AT46</f>
        <v>0</v>
      </c>
      <c r="F590"/>
      <c r="G590" s="2"/>
      <c r="H590"/>
      <c r="I590" s="78" t="s">
        <v>734</v>
      </c>
      <c r="J590"/>
      <c r="K590" s="78" t="s">
        <v>735</v>
      </c>
      <c r="L590" s="78" t="s">
        <v>736</v>
      </c>
      <c r="M590" s="78" t="s">
        <v>737</v>
      </c>
      <c r="Y590" s="626"/>
    </row>
    <row r="591" spans="1:25" s="426" customFormat="1" x14ac:dyDescent="0.25">
      <c r="A591" s="683"/>
      <c r="C591" s="77"/>
      <c r="D591" s="473">
        <f>C131</f>
        <v>0</v>
      </c>
      <c r="E591" s="13">
        <f>CEILING(E590/E589,1)</f>
        <v>0</v>
      </c>
      <c r="F591"/>
      <c r="G591"/>
      <c r="H591"/>
      <c r="I591" s="484">
        <v>0.8</v>
      </c>
      <c r="J591" s="2"/>
      <c r="K591" s="484">
        <v>1.25</v>
      </c>
      <c r="L591" s="484">
        <v>5</v>
      </c>
      <c r="M591" s="1085">
        <f>AY46</f>
        <v>0.9</v>
      </c>
      <c r="Y591" s="626"/>
    </row>
    <row r="592" spans="1:25" s="426" customFormat="1" x14ac:dyDescent="0.25">
      <c r="A592" s="404"/>
      <c r="B592" s="404"/>
      <c r="C592" s="399" t="s">
        <v>562</v>
      </c>
      <c r="D592" s="417" t="s">
        <v>562</v>
      </c>
      <c r="E592" s="399" t="s">
        <v>562</v>
      </c>
      <c r="F592" s="423" t="s">
        <v>738</v>
      </c>
      <c r="G592" s="399" t="s">
        <v>739</v>
      </c>
      <c r="H592" s="406" t="s">
        <v>740</v>
      </c>
      <c r="I592" s="399" t="s">
        <v>741</v>
      </c>
      <c r="J592" s="399" t="s">
        <v>742</v>
      </c>
      <c r="K592" s="399" t="s">
        <v>741</v>
      </c>
      <c r="L592" s="399" t="s">
        <v>743</v>
      </c>
      <c r="M592" s="399"/>
      <c r="Y592" s="626"/>
    </row>
    <row r="593" spans="1:25" s="426" customFormat="1" x14ac:dyDescent="0.25">
      <c r="A593" s="339" t="s">
        <v>28</v>
      </c>
      <c r="B593" s="341" t="s">
        <v>2</v>
      </c>
      <c r="C593" s="202" t="s">
        <v>577</v>
      </c>
      <c r="D593" s="400" t="s">
        <v>575</v>
      </c>
      <c r="E593" s="202" t="s">
        <v>744</v>
      </c>
      <c r="F593" s="424" t="s">
        <v>604</v>
      </c>
      <c r="G593" s="120" t="s">
        <v>745</v>
      </c>
      <c r="H593" s="78" t="s">
        <v>746</v>
      </c>
      <c r="I593" s="120" t="s">
        <v>562</v>
      </c>
      <c r="J593" s="120" t="s">
        <v>747</v>
      </c>
      <c r="K593" s="120" t="s">
        <v>748</v>
      </c>
      <c r="L593" s="120" t="s">
        <v>749</v>
      </c>
      <c r="M593" s="12"/>
      <c r="Y593" s="626"/>
    </row>
    <row r="594" spans="1:25" s="426" customFormat="1" x14ac:dyDescent="0.25">
      <c r="A594" s="442">
        <f>IF($C$581=B594,1,0)</f>
        <v>0</v>
      </c>
      <c r="B594" s="61" t="str">
        <f t="shared" ref="B594:B614" si="120">B50</f>
        <v>0110</v>
      </c>
      <c r="C594" s="442">
        <f>S50</f>
        <v>1</v>
      </c>
      <c r="D594" s="645">
        <v>0</v>
      </c>
      <c r="E594" s="486">
        <v>0</v>
      </c>
      <c r="F594" s="449" t="str">
        <f t="shared" ref="F594:F614" si="121">IF(A594=1,SUM(C594:E594)," ")</f>
        <v xml:space="preserve"> </v>
      </c>
      <c r="G594" s="684" t="str">
        <f>IF(A594=1,$C$583," ")</f>
        <v xml:space="preserve"> </v>
      </c>
      <c r="H594" s="684" t="str">
        <f>IF(A594=1,(F594*G594)-1," ")</f>
        <v xml:space="preserve"> </v>
      </c>
      <c r="I594" s="692" t="str">
        <f>IF(A594=1,$I$591*H594," ")</f>
        <v xml:space="preserve"> </v>
      </c>
      <c r="J594" s="694" t="str">
        <f>IF(A594=1,($C$585/1000)," ")</f>
        <v xml:space="preserve"> </v>
      </c>
      <c r="K594" s="694" t="str">
        <f>IF(A594=1,J594*$K$591," ")</f>
        <v xml:space="preserve"> </v>
      </c>
      <c r="L594" s="694" t="str">
        <f>IF(A594=1,$L$591," ")</f>
        <v xml:space="preserve"> </v>
      </c>
      <c r="M594" s="686" t="str">
        <f>IF(A594=1,CEILING((I594+K594+L594)/$M$591,1)," ")</f>
        <v xml:space="preserve"> </v>
      </c>
      <c r="Y594" s="626"/>
    </row>
    <row r="595" spans="1:25" s="426" customFormat="1" x14ac:dyDescent="0.25">
      <c r="A595" s="12">
        <f>IF($C$581=B595,1,0)</f>
        <v>0</v>
      </c>
      <c r="B595" s="61" t="str">
        <f t="shared" si="120"/>
        <v>0200</v>
      </c>
      <c r="C595" s="12">
        <f>S51</f>
        <v>3</v>
      </c>
      <c r="D595" s="26">
        <f>D591</f>
        <v>0</v>
      </c>
      <c r="E595" s="28">
        <v>0</v>
      </c>
      <c r="F595" s="2" t="str">
        <f t="shared" si="121"/>
        <v xml:space="preserve"> </v>
      </c>
      <c r="G595" s="685" t="str">
        <f t="shared" ref="G595:G614" si="122">IF(A595=1,$C$583," ")</f>
        <v xml:space="preserve"> </v>
      </c>
      <c r="H595" s="685" t="str">
        <f t="shared" ref="H595:H600" si="123">IF(A595=1,(F595*G595)+G595," ")</f>
        <v xml:space="preserve"> </v>
      </c>
      <c r="I595" s="157" t="str">
        <f t="shared" ref="I595:I614" si="124">IF(A595=1,$I$591*H595," ")</f>
        <v xml:space="preserve"> </v>
      </c>
      <c r="J595" s="695" t="str">
        <f t="shared" ref="J595:J613" si="125">IF(A595=1,($C$585/1000)," ")</f>
        <v xml:space="preserve"> </v>
      </c>
      <c r="K595" s="695" t="str">
        <f t="shared" ref="K595:K614" si="126">IF(A595=1,J595*$K$591," ")</f>
        <v xml:space="preserve"> </v>
      </c>
      <c r="L595" s="695" t="str">
        <f t="shared" ref="L595:L614" si="127">IF(A595=1,$L$591," ")</f>
        <v xml:space="preserve"> </v>
      </c>
      <c r="M595" s="687" t="str">
        <f t="shared" ref="M595:M614" si="128">IF(A595=1,CEILING((I595+K595+L595)/$M$591,1)," ")</f>
        <v xml:space="preserve"> </v>
      </c>
      <c r="Y595" s="626"/>
    </row>
    <row r="596" spans="1:25" s="426" customFormat="1" x14ac:dyDescent="0.25">
      <c r="A596" s="12">
        <f>IF($C$581=B596,1,0)</f>
        <v>1</v>
      </c>
      <c r="B596" s="61" t="str">
        <f t="shared" si="120"/>
        <v>0201</v>
      </c>
      <c r="C596" s="12">
        <f>S52</f>
        <v>3</v>
      </c>
      <c r="D596" s="26">
        <f>D591</f>
        <v>0</v>
      </c>
      <c r="E596" s="28">
        <v>0</v>
      </c>
      <c r="F596" s="2">
        <f t="shared" si="121"/>
        <v>3</v>
      </c>
      <c r="G596" s="685">
        <f t="shared" si="122"/>
        <v>1</v>
      </c>
      <c r="H596" s="685">
        <f t="shared" si="123"/>
        <v>4</v>
      </c>
      <c r="I596" s="157">
        <f t="shared" si="124"/>
        <v>3.2</v>
      </c>
      <c r="J596" s="695">
        <f t="shared" si="125"/>
        <v>1.1499999999999999</v>
      </c>
      <c r="K596" s="695">
        <f t="shared" si="126"/>
        <v>1.4375</v>
      </c>
      <c r="L596" s="695">
        <f t="shared" si="127"/>
        <v>5</v>
      </c>
      <c r="M596" s="687">
        <f>IF(A596=1,CEILING((I596+K596+L596)/$M$591,1)," ")</f>
        <v>11</v>
      </c>
      <c r="Y596" s="626"/>
    </row>
    <row r="597" spans="1:25" s="426" customFormat="1" x14ac:dyDescent="0.25">
      <c r="A597" s="12">
        <f t="shared" ref="A597:A600" si="129">IF($C$581=B597,1,0)</f>
        <v>0</v>
      </c>
      <c r="B597" s="61" t="str">
        <f t="shared" si="120"/>
        <v>0203</v>
      </c>
      <c r="C597" s="12">
        <f>S53</f>
        <v>3</v>
      </c>
      <c r="D597" s="26">
        <f>D591</f>
        <v>0</v>
      </c>
      <c r="E597" s="28">
        <v>0</v>
      </c>
      <c r="F597" s="2" t="str">
        <f t="shared" si="121"/>
        <v xml:space="preserve"> </v>
      </c>
      <c r="G597" s="685" t="str">
        <f t="shared" si="122"/>
        <v xml:space="preserve"> </v>
      </c>
      <c r="H597" s="685" t="str">
        <f t="shared" si="123"/>
        <v xml:space="preserve"> </v>
      </c>
      <c r="I597" s="157" t="str">
        <f t="shared" si="124"/>
        <v xml:space="preserve"> </v>
      </c>
      <c r="J597" s="695" t="str">
        <f t="shared" si="125"/>
        <v xml:space="preserve"> </v>
      </c>
      <c r="K597" s="695" t="str">
        <f t="shared" si="126"/>
        <v xml:space="preserve"> </v>
      </c>
      <c r="L597" s="695" t="str">
        <f t="shared" si="127"/>
        <v xml:space="preserve"> </v>
      </c>
      <c r="M597" s="687" t="str">
        <f t="shared" si="128"/>
        <v xml:space="preserve"> </v>
      </c>
      <c r="Y597" s="626"/>
    </row>
    <row r="598" spans="1:25" s="426" customFormat="1" x14ac:dyDescent="0.25">
      <c r="A598" s="12">
        <f t="shared" si="129"/>
        <v>0</v>
      </c>
      <c r="B598" s="61" t="str">
        <f t="shared" si="120"/>
        <v>0409</v>
      </c>
      <c r="C598" s="12">
        <f>S54</f>
        <v>4</v>
      </c>
      <c r="D598" s="29">
        <v>0</v>
      </c>
      <c r="E598" s="28">
        <v>0</v>
      </c>
      <c r="F598" s="2" t="str">
        <f t="shared" si="121"/>
        <v xml:space="preserve"> </v>
      </c>
      <c r="G598" s="685" t="str">
        <f t="shared" si="122"/>
        <v xml:space="preserve"> </v>
      </c>
      <c r="H598" s="685" t="str">
        <f t="shared" si="123"/>
        <v xml:space="preserve"> </v>
      </c>
      <c r="I598" s="157" t="str">
        <f t="shared" si="124"/>
        <v xml:space="preserve"> </v>
      </c>
      <c r="J598" s="695" t="str">
        <f t="shared" si="125"/>
        <v xml:space="preserve"> </v>
      </c>
      <c r="K598" s="695" t="str">
        <f t="shared" si="126"/>
        <v xml:space="preserve"> </v>
      </c>
      <c r="L598" s="695" t="str">
        <f t="shared" si="127"/>
        <v xml:space="preserve"> </v>
      </c>
      <c r="M598" s="687" t="str">
        <f t="shared" si="128"/>
        <v xml:space="preserve"> </v>
      </c>
      <c r="Y598" s="626"/>
    </row>
    <row r="599" spans="1:25" s="426" customFormat="1" x14ac:dyDescent="0.25">
      <c r="A599" s="12">
        <f t="shared" si="129"/>
        <v>0</v>
      </c>
      <c r="B599" s="61" t="str">
        <f t="shared" si="120"/>
        <v>0410</v>
      </c>
      <c r="C599" s="12">
        <v>4</v>
      </c>
      <c r="D599" s="29">
        <v>0</v>
      </c>
      <c r="E599" s="12">
        <f>E591</f>
        <v>0</v>
      </c>
      <c r="F599" s="2" t="str">
        <f t="shared" si="121"/>
        <v xml:space="preserve"> </v>
      </c>
      <c r="G599" s="685" t="str">
        <f t="shared" si="122"/>
        <v xml:space="preserve"> </v>
      </c>
      <c r="H599" s="685" t="str">
        <f t="shared" si="123"/>
        <v xml:space="preserve"> </v>
      </c>
      <c r="I599" s="157" t="str">
        <f t="shared" si="124"/>
        <v xml:space="preserve"> </v>
      </c>
      <c r="J599" s="695" t="str">
        <f t="shared" si="125"/>
        <v xml:space="preserve"> </v>
      </c>
      <c r="K599" s="695" t="str">
        <f t="shared" si="126"/>
        <v xml:space="preserve"> </v>
      </c>
      <c r="L599" s="695" t="str">
        <f t="shared" si="127"/>
        <v xml:space="preserve"> </v>
      </c>
      <c r="M599" s="687" t="str">
        <f t="shared" si="128"/>
        <v xml:space="preserve"> </v>
      </c>
      <c r="Y599" s="626"/>
    </row>
    <row r="600" spans="1:25" s="426" customFormat="1" x14ac:dyDescent="0.25">
      <c r="A600" s="12">
        <f t="shared" si="129"/>
        <v>0</v>
      </c>
      <c r="B600" s="61" t="str">
        <f t="shared" si="120"/>
        <v>0412</v>
      </c>
      <c r="C600" s="12">
        <f t="shared" ref="C600:C614" si="130">S56</f>
        <v>4</v>
      </c>
      <c r="D600" s="29">
        <v>0</v>
      </c>
      <c r="E600" s="12">
        <f>E591*2</f>
        <v>0</v>
      </c>
      <c r="F600" s="2" t="str">
        <f t="shared" si="121"/>
        <v xml:space="preserve"> </v>
      </c>
      <c r="G600" s="685" t="str">
        <f t="shared" si="122"/>
        <v xml:space="preserve"> </v>
      </c>
      <c r="H600" s="685" t="str">
        <f t="shared" si="123"/>
        <v xml:space="preserve"> </v>
      </c>
      <c r="I600" s="157" t="str">
        <f t="shared" si="124"/>
        <v xml:space="preserve"> </v>
      </c>
      <c r="J600" s="695" t="str">
        <f t="shared" si="125"/>
        <v xml:space="preserve"> </v>
      </c>
      <c r="K600" s="695" t="str">
        <f t="shared" si="126"/>
        <v xml:space="preserve"> </v>
      </c>
      <c r="L600" s="695" t="str">
        <f t="shared" si="127"/>
        <v xml:space="preserve"> </v>
      </c>
      <c r="M600" s="687" t="str">
        <f t="shared" si="128"/>
        <v xml:space="preserve"> </v>
      </c>
      <c r="Y600" s="626"/>
    </row>
    <row r="601" spans="1:25" s="426" customFormat="1" x14ac:dyDescent="0.25">
      <c r="A601" s="28">
        <v>0</v>
      </c>
      <c r="B601" s="61" t="str">
        <f t="shared" si="120"/>
        <v>0427</v>
      </c>
      <c r="C601" s="12">
        <f t="shared" si="130"/>
        <v>0</v>
      </c>
      <c r="D601" s="29">
        <v>0</v>
      </c>
      <c r="E601" s="28">
        <v>0</v>
      </c>
      <c r="F601" s="2" t="str">
        <f t="shared" si="121"/>
        <v xml:space="preserve"> </v>
      </c>
      <c r="G601" s="685" t="str">
        <f t="shared" si="122"/>
        <v xml:space="preserve"> </v>
      </c>
      <c r="H601" s="685" t="str">
        <f t="shared" ref="H601:H614" si="131">IF(A601=1,F601*G601," ")</f>
        <v xml:space="preserve"> </v>
      </c>
      <c r="I601" s="157" t="str">
        <f t="shared" si="124"/>
        <v xml:space="preserve"> </v>
      </c>
      <c r="J601" s="695" t="str">
        <f t="shared" si="125"/>
        <v xml:space="preserve"> </v>
      </c>
      <c r="K601" s="695" t="str">
        <f t="shared" si="126"/>
        <v xml:space="preserve"> </v>
      </c>
      <c r="L601" s="695" t="str">
        <f t="shared" si="127"/>
        <v xml:space="preserve"> </v>
      </c>
      <c r="M601" s="687" t="str">
        <f t="shared" si="128"/>
        <v xml:space="preserve"> </v>
      </c>
      <c r="Y601" s="626"/>
    </row>
    <row r="602" spans="1:25" s="426" customFormat="1" x14ac:dyDescent="0.25">
      <c r="A602" s="28">
        <v>0</v>
      </c>
      <c r="B602" s="61" t="str">
        <f t="shared" si="120"/>
        <v>0421</v>
      </c>
      <c r="C602" s="12">
        <f t="shared" si="130"/>
        <v>0</v>
      </c>
      <c r="D602" s="29">
        <v>0</v>
      </c>
      <c r="E602" s="28">
        <v>0</v>
      </c>
      <c r="F602" s="2" t="str">
        <f t="shared" si="121"/>
        <v xml:space="preserve"> </v>
      </c>
      <c r="G602" s="685" t="str">
        <f t="shared" si="122"/>
        <v xml:space="preserve"> </v>
      </c>
      <c r="H602" s="685" t="str">
        <f t="shared" si="131"/>
        <v xml:space="preserve"> </v>
      </c>
      <c r="I602" s="157" t="str">
        <f t="shared" si="124"/>
        <v xml:space="preserve"> </v>
      </c>
      <c r="J602" s="695" t="str">
        <f t="shared" si="125"/>
        <v xml:space="preserve"> </v>
      </c>
      <c r="K602" s="695" t="str">
        <f t="shared" si="126"/>
        <v xml:space="preserve"> </v>
      </c>
      <c r="L602" s="695" t="str">
        <f t="shared" si="127"/>
        <v xml:space="preserve"> </v>
      </c>
      <c r="M602" s="687" t="str">
        <f t="shared" si="128"/>
        <v xml:space="preserve"> </v>
      </c>
      <c r="Y602" s="626"/>
    </row>
    <row r="603" spans="1:25" s="426" customFormat="1" x14ac:dyDescent="0.25">
      <c r="A603" s="28">
        <v>0</v>
      </c>
      <c r="B603" s="61" t="str">
        <f t="shared" si="120"/>
        <v>0422</v>
      </c>
      <c r="C603" s="12">
        <f t="shared" si="130"/>
        <v>0</v>
      </c>
      <c r="D603" s="29">
        <v>0</v>
      </c>
      <c r="E603" s="28">
        <v>0</v>
      </c>
      <c r="F603" s="2" t="str">
        <f t="shared" si="121"/>
        <v xml:space="preserve"> </v>
      </c>
      <c r="G603" s="685" t="str">
        <f t="shared" si="122"/>
        <v xml:space="preserve"> </v>
      </c>
      <c r="H603" s="685" t="str">
        <f t="shared" si="131"/>
        <v xml:space="preserve"> </v>
      </c>
      <c r="I603" s="157" t="str">
        <f t="shared" si="124"/>
        <v xml:space="preserve"> </v>
      </c>
      <c r="J603" s="695" t="str">
        <f t="shared" si="125"/>
        <v xml:space="preserve"> </v>
      </c>
      <c r="K603" s="695" t="str">
        <f t="shared" si="126"/>
        <v xml:space="preserve"> </v>
      </c>
      <c r="L603" s="695" t="str">
        <f t="shared" si="127"/>
        <v xml:space="preserve"> </v>
      </c>
      <c r="M603" s="687" t="str">
        <f t="shared" si="128"/>
        <v xml:space="preserve"> </v>
      </c>
      <c r="Y603" s="626"/>
    </row>
    <row r="604" spans="1:25" s="426" customFormat="1" x14ac:dyDescent="0.25">
      <c r="A604" s="12">
        <f>IF($C$581=B604,1,0)</f>
        <v>0</v>
      </c>
      <c r="B604" s="61" t="str">
        <f t="shared" si="120"/>
        <v>0452</v>
      </c>
      <c r="C604" s="12">
        <f t="shared" si="130"/>
        <v>2</v>
      </c>
      <c r="D604" s="29">
        <v>0</v>
      </c>
      <c r="E604" s="28">
        <v>0</v>
      </c>
      <c r="F604" s="2" t="str">
        <f t="shared" si="121"/>
        <v xml:space="preserve"> </v>
      </c>
      <c r="G604" s="685" t="str">
        <f t="shared" si="122"/>
        <v xml:space="preserve"> </v>
      </c>
      <c r="H604" s="685" t="str">
        <f>IF(A604=1,(F604*G604)+G604," ")</f>
        <v xml:space="preserve"> </v>
      </c>
      <c r="I604" s="157" t="str">
        <f t="shared" si="124"/>
        <v xml:space="preserve"> </v>
      </c>
      <c r="J604" s="695" t="str">
        <f t="shared" si="125"/>
        <v xml:space="preserve"> </v>
      </c>
      <c r="K604" s="695" t="str">
        <f t="shared" si="126"/>
        <v xml:space="preserve"> </v>
      </c>
      <c r="L604" s="695" t="str">
        <f t="shared" si="127"/>
        <v xml:space="preserve"> </v>
      </c>
      <c r="M604" s="687" t="str">
        <f t="shared" si="128"/>
        <v xml:space="preserve"> </v>
      </c>
      <c r="Y604" s="626"/>
    </row>
    <row r="605" spans="1:25" s="426" customFormat="1" x14ac:dyDescent="0.25">
      <c r="A605" s="12">
        <f t="shared" ref="A605:A614" si="132">IF($C$581=B605,1,0)</f>
        <v>0</v>
      </c>
      <c r="B605" s="61" t="str">
        <f t="shared" si="120"/>
        <v>0501</v>
      </c>
      <c r="C605" s="12">
        <f t="shared" si="130"/>
        <v>4</v>
      </c>
      <c r="D605" s="26">
        <f>D591</f>
        <v>0</v>
      </c>
      <c r="E605" s="28">
        <v>0</v>
      </c>
      <c r="F605" s="2" t="str">
        <f t="shared" si="121"/>
        <v xml:space="preserve"> </v>
      </c>
      <c r="G605" s="685" t="str">
        <f t="shared" si="122"/>
        <v xml:space="preserve"> </v>
      </c>
      <c r="H605" s="685" t="str">
        <f>IF(A605=1,(F605*G605)+G605," ")</f>
        <v xml:space="preserve"> </v>
      </c>
      <c r="I605" s="157" t="str">
        <f t="shared" si="124"/>
        <v xml:space="preserve"> </v>
      </c>
      <c r="J605" s="695" t="str">
        <f t="shared" si="125"/>
        <v xml:space="preserve"> </v>
      </c>
      <c r="K605" s="695" t="str">
        <f t="shared" si="126"/>
        <v xml:space="preserve"> </v>
      </c>
      <c r="L605" s="695" t="str">
        <f t="shared" si="127"/>
        <v xml:space="preserve"> </v>
      </c>
      <c r="M605" s="687" t="str">
        <f t="shared" si="128"/>
        <v xml:space="preserve"> </v>
      </c>
      <c r="Y605" s="626"/>
    </row>
    <row r="606" spans="1:25" s="426" customFormat="1" x14ac:dyDescent="0.25">
      <c r="A606" s="12">
        <f t="shared" si="132"/>
        <v>0</v>
      </c>
      <c r="B606" s="61" t="str">
        <f t="shared" si="120"/>
        <v>0401</v>
      </c>
      <c r="C606" s="12">
        <f t="shared" si="130"/>
        <v>4</v>
      </c>
      <c r="D606" s="29">
        <v>0</v>
      </c>
      <c r="E606" s="12">
        <f>E591*2</f>
        <v>0</v>
      </c>
      <c r="F606" s="2" t="str">
        <f t="shared" si="121"/>
        <v xml:space="preserve"> </v>
      </c>
      <c r="G606" s="685" t="str">
        <f t="shared" si="122"/>
        <v xml:space="preserve"> </v>
      </c>
      <c r="H606" s="685" t="str">
        <f>IF(A606=1,(F606*G606)+G606," ")</f>
        <v xml:space="preserve"> </v>
      </c>
      <c r="I606" s="157" t="str">
        <f t="shared" si="124"/>
        <v xml:space="preserve"> </v>
      </c>
      <c r="J606" s="695" t="str">
        <f t="shared" si="125"/>
        <v xml:space="preserve"> </v>
      </c>
      <c r="K606" s="695" t="str">
        <f t="shared" si="126"/>
        <v xml:space="preserve"> </v>
      </c>
      <c r="L606" s="695" t="str">
        <f t="shared" si="127"/>
        <v xml:space="preserve"> </v>
      </c>
      <c r="M606" s="687" t="str">
        <f t="shared" si="128"/>
        <v xml:space="preserve"> </v>
      </c>
      <c r="Y606" s="626"/>
    </row>
    <row r="607" spans="1:25" s="426" customFormat="1" x14ac:dyDescent="0.25">
      <c r="A607" s="28">
        <v>0</v>
      </c>
      <c r="B607" s="61" t="str">
        <f t="shared" si="120"/>
        <v>0471</v>
      </c>
      <c r="C607" s="12">
        <f t="shared" si="130"/>
        <v>0</v>
      </c>
      <c r="D607" s="29">
        <v>0</v>
      </c>
      <c r="E607" s="28">
        <v>0</v>
      </c>
      <c r="F607" s="2" t="str">
        <f t="shared" si="121"/>
        <v xml:space="preserve"> </v>
      </c>
      <c r="G607" s="685" t="str">
        <f t="shared" si="122"/>
        <v xml:space="preserve"> </v>
      </c>
      <c r="H607" s="685" t="str">
        <f t="shared" si="131"/>
        <v xml:space="preserve"> </v>
      </c>
      <c r="I607" s="157" t="str">
        <f t="shared" si="124"/>
        <v xml:space="preserve"> </v>
      </c>
      <c r="J607" s="695" t="str">
        <f t="shared" si="125"/>
        <v xml:space="preserve"> </v>
      </c>
      <c r="K607" s="695" t="str">
        <f t="shared" si="126"/>
        <v xml:space="preserve"> </v>
      </c>
      <c r="L607" s="695" t="str">
        <f t="shared" si="127"/>
        <v xml:space="preserve"> </v>
      </c>
      <c r="M607" s="687" t="str">
        <f t="shared" si="128"/>
        <v xml:space="preserve"> </v>
      </c>
      <c r="Y607" s="626"/>
    </row>
    <row r="608" spans="1:25" s="426" customFormat="1" x14ac:dyDescent="0.25">
      <c r="A608" s="28">
        <v>0</v>
      </c>
      <c r="B608" s="61" t="str">
        <f t="shared" si="120"/>
        <v>0933</v>
      </c>
      <c r="C608" s="12">
        <f t="shared" si="130"/>
        <v>0</v>
      </c>
      <c r="D608" s="992">
        <v>0</v>
      </c>
      <c r="E608" s="993">
        <v>0</v>
      </c>
      <c r="F608" s="426" t="str">
        <f t="shared" si="121"/>
        <v xml:space="preserve"> </v>
      </c>
      <c r="G608" s="685" t="str">
        <f t="shared" si="122"/>
        <v xml:space="preserve"> </v>
      </c>
      <c r="H608" s="685" t="str">
        <f t="shared" si="131"/>
        <v xml:space="preserve"> </v>
      </c>
      <c r="I608" s="157" t="str">
        <f t="shared" si="124"/>
        <v xml:space="preserve"> </v>
      </c>
      <c r="J608" s="695" t="str">
        <f t="shared" si="125"/>
        <v xml:space="preserve"> </v>
      </c>
      <c r="K608" s="695" t="str">
        <f t="shared" si="126"/>
        <v xml:space="preserve"> </v>
      </c>
      <c r="L608" s="695" t="str">
        <f t="shared" si="127"/>
        <v xml:space="preserve"> </v>
      </c>
      <c r="M608" s="687" t="str">
        <f t="shared" si="128"/>
        <v xml:space="preserve"> </v>
      </c>
      <c r="Y608" s="626"/>
    </row>
    <row r="609" spans="1:25" s="426" customFormat="1" x14ac:dyDescent="0.25">
      <c r="A609" s="28">
        <v>0</v>
      </c>
      <c r="B609" s="61" t="str">
        <f t="shared" si="120"/>
        <v>0701</v>
      </c>
      <c r="C609" s="12">
        <f t="shared" si="130"/>
        <v>0</v>
      </c>
      <c r="D609" s="992">
        <v>0</v>
      </c>
      <c r="E609" s="993">
        <v>0</v>
      </c>
      <c r="F609" s="426" t="str">
        <f t="shared" si="121"/>
        <v xml:space="preserve"> </v>
      </c>
      <c r="G609" s="685" t="str">
        <f t="shared" si="122"/>
        <v xml:space="preserve"> </v>
      </c>
      <c r="H609" s="685" t="str">
        <f t="shared" si="131"/>
        <v xml:space="preserve"> </v>
      </c>
      <c r="I609" s="157" t="str">
        <f t="shared" si="124"/>
        <v xml:space="preserve"> </v>
      </c>
      <c r="J609" s="695" t="str">
        <f t="shared" si="125"/>
        <v xml:space="preserve"> </v>
      </c>
      <c r="K609" s="695" t="str">
        <f t="shared" si="126"/>
        <v xml:space="preserve"> </v>
      </c>
      <c r="L609" s="695" t="str">
        <f t="shared" si="127"/>
        <v xml:space="preserve"> </v>
      </c>
      <c r="M609" s="687" t="str">
        <f t="shared" si="128"/>
        <v xml:space="preserve"> </v>
      </c>
      <c r="Y609" s="626"/>
    </row>
    <row r="610" spans="1:25" s="426" customFormat="1" x14ac:dyDescent="0.25">
      <c r="A610" s="12">
        <f t="shared" si="132"/>
        <v>0</v>
      </c>
      <c r="B610" s="61">
        <f t="shared" si="120"/>
        <v>0</v>
      </c>
      <c r="C610" s="12">
        <f t="shared" si="130"/>
        <v>0</v>
      </c>
      <c r="D610" s="992">
        <v>0</v>
      </c>
      <c r="E610" s="993">
        <v>0</v>
      </c>
      <c r="F610" s="426" t="str">
        <f t="shared" si="121"/>
        <v xml:space="preserve"> </v>
      </c>
      <c r="G610" s="685" t="str">
        <f t="shared" si="122"/>
        <v xml:space="preserve"> </v>
      </c>
      <c r="H610" s="685" t="str">
        <f t="shared" si="131"/>
        <v xml:space="preserve"> </v>
      </c>
      <c r="I610" s="157" t="str">
        <f t="shared" si="124"/>
        <v xml:space="preserve"> </v>
      </c>
      <c r="J610" s="695" t="str">
        <f t="shared" si="125"/>
        <v xml:space="preserve"> </v>
      </c>
      <c r="K610" s="695" t="str">
        <f t="shared" si="126"/>
        <v xml:space="preserve"> </v>
      </c>
      <c r="L610" s="695" t="str">
        <f t="shared" si="127"/>
        <v xml:space="preserve"> </v>
      </c>
      <c r="M610" s="687" t="str">
        <f t="shared" si="128"/>
        <v xml:space="preserve"> </v>
      </c>
      <c r="Y610" s="626"/>
    </row>
    <row r="611" spans="1:25" s="426" customFormat="1" x14ac:dyDescent="0.25">
      <c r="A611" s="12">
        <f t="shared" si="132"/>
        <v>0</v>
      </c>
      <c r="B611" s="61">
        <f t="shared" si="120"/>
        <v>0</v>
      </c>
      <c r="C611" s="12">
        <f t="shared" si="130"/>
        <v>0</v>
      </c>
      <c r="D611" s="992">
        <v>0</v>
      </c>
      <c r="E611" s="993">
        <v>0</v>
      </c>
      <c r="F611" s="426" t="str">
        <f t="shared" si="121"/>
        <v xml:space="preserve"> </v>
      </c>
      <c r="G611" s="685" t="str">
        <f t="shared" si="122"/>
        <v xml:space="preserve"> </v>
      </c>
      <c r="H611" s="685" t="str">
        <f t="shared" si="131"/>
        <v xml:space="preserve"> </v>
      </c>
      <c r="I611" s="157" t="str">
        <f t="shared" si="124"/>
        <v xml:space="preserve"> </v>
      </c>
      <c r="J611" s="695" t="str">
        <f t="shared" si="125"/>
        <v xml:space="preserve"> </v>
      </c>
      <c r="K611" s="695" t="str">
        <f t="shared" si="126"/>
        <v xml:space="preserve"> </v>
      </c>
      <c r="L611" s="695" t="str">
        <f t="shared" si="127"/>
        <v xml:space="preserve"> </v>
      </c>
      <c r="M611" s="687" t="str">
        <f t="shared" si="128"/>
        <v xml:space="preserve"> </v>
      </c>
      <c r="Y611" s="626"/>
    </row>
    <row r="612" spans="1:25" s="426" customFormat="1" x14ac:dyDescent="0.25">
      <c r="A612" s="12">
        <f t="shared" si="132"/>
        <v>0</v>
      </c>
      <c r="B612" s="61">
        <f t="shared" si="120"/>
        <v>0</v>
      </c>
      <c r="C612" s="12">
        <f t="shared" si="130"/>
        <v>0</v>
      </c>
      <c r="D612" s="992">
        <v>0</v>
      </c>
      <c r="E612" s="993">
        <v>0</v>
      </c>
      <c r="F612" s="426" t="str">
        <f t="shared" si="121"/>
        <v xml:space="preserve"> </v>
      </c>
      <c r="G612" s="685" t="str">
        <f t="shared" si="122"/>
        <v xml:space="preserve"> </v>
      </c>
      <c r="H612" s="685" t="str">
        <f t="shared" si="131"/>
        <v xml:space="preserve"> </v>
      </c>
      <c r="I612" s="157" t="str">
        <f t="shared" si="124"/>
        <v xml:space="preserve"> </v>
      </c>
      <c r="J612" s="695" t="str">
        <f t="shared" si="125"/>
        <v xml:space="preserve"> </v>
      </c>
      <c r="K612" s="695" t="str">
        <f t="shared" si="126"/>
        <v xml:space="preserve"> </v>
      </c>
      <c r="L612" s="695" t="str">
        <f t="shared" si="127"/>
        <v xml:space="preserve"> </v>
      </c>
      <c r="M612" s="687" t="str">
        <f t="shared" si="128"/>
        <v xml:space="preserve"> </v>
      </c>
      <c r="Y612" s="626"/>
    </row>
    <row r="613" spans="1:25" s="426" customFormat="1" x14ac:dyDescent="0.25">
      <c r="A613" s="12">
        <f t="shared" si="132"/>
        <v>0</v>
      </c>
      <c r="B613" s="61">
        <f t="shared" si="120"/>
        <v>0</v>
      </c>
      <c r="C613" s="12">
        <f t="shared" si="130"/>
        <v>0</v>
      </c>
      <c r="D613" s="992">
        <v>0</v>
      </c>
      <c r="E613" s="993">
        <v>0</v>
      </c>
      <c r="F613" s="426" t="str">
        <f t="shared" si="121"/>
        <v xml:space="preserve"> </v>
      </c>
      <c r="G613" s="685" t="str">
        <f t="shared" si="122"/>
        <v xml:space="preserve"> </v>
      </c>
      <c r="H613" s="685" t="str">
        <f t="shared" si="131"/>
        <v xml:space="preserve"> </v>
      </c>
      <c r="I613" s="157" t="str">
        <f t="shared" si="124"/>
        <v xml:space="preserve"> </v>
      </c>
      <c r="J613" s="695" t="str">
        <f t="shared" si="125"/>
        <v xml:space="preserve"> </v>
      </c>
      <c r="K613" s="695" t="str">
        <f t="shared" si="126"/>
        <v xml:space="preserve"> </v>
      </c>
      <c r="L613" s="695" t="str">
        <f t="shared" si="127"/>
        <v xml:space="preserve"> </v>
      </c>
      <c r="M613" s="687" t="str">
        <f t="shared" si="128"/>
        <v xml:space="preserve"> </v>
      </c>
      <c r="Y613" s="626"/>
    </row>
    <row r="614" spans="1:25" s="426" customFormat="1" x14ac:dyDescent="0.25">
      <c r="A614" s="13">
        <f t="shared" si="132"/>
        <v>0</v>
      </c>
      <c r="B614" s="689">
        <f t="shared" si="120"/>
        <v>0</v>
      </c>
      <c r="C614" s="13">
        <f t="shared" si="130"/>
        <v>0</v>
      </c>
      <c r="D614" s="994">
        <v>0</v>
      </c>
      <c r="E614" s="995">
        <v>0</v>
      </c>
      <c r="F614" s="430" t="str">
        <f t="shared" si="121"/>
        <v xml:space="preserve"> </v>
      </c>
      <c r="G614" s="691" t="str">
        <f t="shared" si="122"/>
        <v xml:space="preserve"> </v>
      </c>
      <c r="H614" s="691" t="str">
        <f t="shared" si="131"/>
        <v xml:space="preserve"> </v>
      </c>
      <c r="I614" s="693" t="str">
        <f t="shared" si="124"/>
        <v xml:space="preserve"> </v>
      </c>
      <c r="J614" s="696" t="str">
        <f>IF(A614=1,($C$585/1000)," ")</f>
        <v xml:space="preserve"> </v>
      </c>
      <c r="K614" s="696" t="str">
        <f t="shared" si="126"/>
        <v xml:space="preserve"> </v>
      </c>
      <c r="L614" s="696" t="str">
        <f t="shared" si="127"/>
        <v xml:space="preserve"> </v>
      </c>
      <c r="M614" s="197" t="str">
        <f t="shared" si="128"/>
        <v xml:space="preserve"> </v>
      </c>
      <c r="Y614" s="626"/>
    </row>
    <row r="615" spans="1:25" s="426" customFormat="1" x14ac:dyDescent="0.25">
      <c r="B615" s="407"/>
      <c r="L615" s="426" t="s">
        <v>763</v>
      </c>
      <c r="M615" s="634">
        <f>IF(SUM(A594:A614)&gt;0,VLOOKUP(1,A594:M614,13,FALSE),0)</f>
        <v>11</v>
      </c>
      <c r="Y615" s="626"/>
    </row>
    <row r="616" spans="1:25" s="426" customFormat="1" x14ac:dyDescent="0.25">
      <c r="B616" s="407"/>
      <c r="Y616" s="626"/>
    </row>
    <row r="617" spans="1:25" s="426" customFormat="1" ht="12.75" x14ac:dyDescent="0.2">
      <c r="A617" s="426">
        <f>A575</f>
        <v>0</v>
      </c>
      <c r="B617" s="426" t="s">
        <v>759</v>
      </c>
      <c r="C617" s="1179">
        <f>IF(A617=1,C575*D570*W577,0)</f>
        <v>0</v>
      </c>
      <c r="Y617" s="626"/>
    </row>
    <row r="618" spans="1:25" s="426" customFormat="1" ht="12.75" x14ac:dyDescent="0.2">
      <c r="A618" s="426">
        <f>A576</f>
        <v>0</v>
      </c>
      <c r="B618" s="426" t="s">
        <v>760</v>
      </c>
      <c r="C618" s="635">
        <f>IF(A618=1,C576*D570*W577,0)</f>
        <v>0</v>
      </c>
      <c r="Y618" s="626"/>
    </row>
    <row r="619" spans="1:25" s="426" customFormat="1" ht="12.75" x14ac:dyDescent="0.2">
      <c r="A619" s="426">
        <f>A577</f>
        <v>0</v>
      </c>
      <c r="B619" s="426" t="s">
        <v>1028</v>
      </c>
      <c r="C619" s="1178">
        <v>0</v>
      </c>
      <c r="D619" s="426">
        <f>IF(A619=1,(C577*D570)+((C3*C578)/60)*D570,IF(A619=0,((C3*C578)/60)*D570))</f>
        <v>2.7777777777777777</v>
      </c>
      <c r="Y619" s="626"/>
    </row>
    <row r="620" spans="1:25" s="426" customFormat="1" ht="12.75" x14ac:dyDescent="0.2">
      <c r="A620" s="426">
        <f>A617</f>
        <v>0</v>
      </c>
      <c r="B620" s="426" t="s">
        <v>1043</v>
      </c>
      <c r="C620" s="635">
        <f>R578*C571</f>
        <v>8.14</v>
      </c>
      <c r="Y620" s="626"/>
    </row>
    <row r="621" spans="1:25" s="426" customFormat="1" ht="12.75" x14ac:dyDescent="0.2">
      <c r="B621" s="615" t="s">
        <v>762</v>
      </c>
      <c r="C621" s="629">
        <f>SUM(C617:C620)</f>
        <v>8.14</v>
      </c>
      <c r="D621" s="669"/>
      <c r="Y621" s="626"/>
    </row>
    <row r="622" spans="1:25" s="426" customFormat="1" ht="12.75" x14ac:dyDescent="0.2">
      <c r="B622" s="615"/>
      <c r="Y622" s="626"/>
    </row>
    <row r="623" spans="1:25" s="426" customFormat="1" ht="12.75" x14ac:dyDescent="0.2">
      <c r="B623" s="615"/>
      <c r="Y623" s="626"/>
    </row>
    <row r="624" spans="1:25" s="426" customFormat="1" ht="12.75" x14ac:dyDescent="0.2">
      <c r="A624" s="426">
        <f>IF(C568=1,1,0)</f>
        <v>0</v>
      </c>
      <c r="B624" s="615" t="s">
        <v>711</v>
      </c>
      <c r="C624" s="1177">
        <f>IF(A624=1,((M615*C586)/60)*D570,0)</f>
        <v>0</v>
      </c>
      <c r="Y624" s="626"/>
    </row>
    <row r="625" spans="1:25" s="426" customFormat="1" ht="12.75" x14ac:dyDescent="0.2">
      <c r="B625" s="615"/>
      <c r="Y625" s="626"/>
    </row>
    <row r="626" spans="1:25" s="430" customFormat="1" ht="12.75" x14ac:dyDescent="0.2">
      <c r="B626" s="678"/>
      <c r="Y626" s="651"/>
    </row>
    <row r="627" spans="1:25" s="426" customFormat="1" ht="12.75" x14ac:dyDescent="0.2">
      <c r="B627" s="615"/>
      <c r="Y627" s="626"/>
    </row>
    <row r="628" spans="1:25" s="426" customFormat="1" ht="13.5" thickBot="1" x14ac:dyDescent="0.25">
      <c r="B628" s="615"/>
      <c r="D628" s="626" t="s">
        <v>674</v>
      </c>
      <c r="Y628" s="626"/>
    </row>
    <row r="629" spans="1:25" s="426" customFormat="1" ht="13.5" thickBot="1" x14ac:dyDescent="0.25">
      <c r="B629" s="641" t="s">
        <v>664</v>
      </c>
      <c r="C629" s="643">
        <f>J366</f>
        <v>0</v>
      </c>
      <c r="D629" s="642">
        <f>IF(C629=1,D698+D710,0)</f>
        <v>0</v>
      </c>
      <c r="Y629" s="626"/>
    </row>
    <row r="630" spans="1:25" s="426" customFormat="1" x14ac:dyDescent="0.25">
      <c r="K630" s="77" t="s">
        <v>4</v>
      </c>
      <c r="L630"/>
      <c r="M630"/>
      <c r="Y630" s="626"/>
    </row>
    <row r="631" spans="1:25" s="426" customFormat="1" x14ac:dyDescent="0.25">
      <c r="K631" s="1062" t="str">
        <f>IF(AND(VLOOKUP(1,$A$113:$C$116,3,FALSE)&gt;0,$C$15=L631),1," ")</f>
        <v xml:space="preserve"> </v>
      </c>
      <c r="L631" s="1071" t="str">
        <f t="shared" ref="L631:L638" si="133">B121</f>
        <v>Onbedrukt / minder dan 10%</v>
      </c>
      <c r="M631" s="567">
        <v>200</v>
      </c>
      <c r="Y631" s="626"/>
    </row>
    <row r="632" spans="1:25" s="426" customFormat="1" x14ac:dyDescent="0.25">
      <c r="B632" s="426" t="s">
        <v>678</v>
      </c>
      <c r="C632" s="633">
        <f>Tarieven!C5</f>
        <v>550</v>
      </c>
      <c r="D632" s="633">
        <f>C632/60</f>
        <v>9.1666666666666661</v>
      </c>
      <c r="K632" s="12" t="str">
        <f t="shared" ref="K632:K638" si="134">IF(AND(VLOOKUP(1,$A$113:$C$116,3,FALSE)&gt;0,$C$15=L632),1," ")</f>
        <v xml:space="preserve"> </v>
      </c>
      <c r="L632" s="1072" t="str">
        <f t="shared" si="133"/>
        <v>10%</v>
      </c>
      <c r="M632" s="30">
        <v>180</v>
      </c>
      <c r="Y632" s="626"/>
    </row>
    <row r="633" spans="1:25" s="426" customFormat="1" x14ac:dyDescent="0.25">
      <c r="C633" s="635"/>
      <c r="D633" s="635"/>
      <c r="K633" s="12" t="str">
        <f t="shared" si="134"/>
        <v xml:space="preserve"> </v>
      </c>
      <c r="L633" s="1072" t="str">
        <f t="shared" si="133"/>
        <v>20%</v>
      </c>
      <c r="M633" s="30">
        <v>170</v>
      </c>
      <c r="Y633" s="626"/>
    </row>
    <row r="634" spans="1:25" s="426" customFormat="1" x14ac:dyDescent="0.25">
      <c r="A634" s="426" t="s">
        <v>61</v>
      </c>
      <c r="B634" s="426" t="s">
        <v>679</v>
      </c>
      <c r="C634" s="636" t="s">
        <v>680</v>
      </c>
      <c r="D634" s="635"/>
      <c r="K634" s="12" t="str">
        <f t="shared" si="134"/>
        <v xml:space="preserve"> </v>
      </c>
      <c r="L634" s="1072" t="str">
        <f t="shared" si="133"/>
        <v>30%</v>
      </c>
      <c r="M634" s="30">
        <v>160</v>
      </c>
      <c r="Y634" s="626"/>
    </row>
    <row r="635" spans="1:25" s="426" customFormat="1" x14ac:dyDescent="0.25">
      <c r="A635" s="626">
        <f>IF(C629=1,1,0)</f>
        <v>0</v>
      </c>
      <c r="B635" s="426" t="s">
        <v>675</v>
      </c>
      <c r="C635" s="637">
        <v>8</v>
      </c>
      <c r="D635" s="426" t="s">
        <v>683</v>
      </c>
      <c r="F635" s="426" t="s">
        <v>686</v>
      </c>
      <c r="H635" s="626"/>
      <c r="K635" s="12" t="str">
        <f t="shared" si="134"/>
        <v xml:space="preserve"> </v>
      </c>
      <c r="L635" s="1072" t="str">
        <f t="shared" si="133"/>
        <v>40%</v>
      </c>
      <c r="M635" s="30">
        <v>140</v>
      </c>
      <c r="Y635" s="626"/>
    </row>
    <row r="636" spans="1:25" s="426" customFormat="1" x14ac:dyDescent="0.25">
      <c r="A636" s="626">
        <f>IF(AND(C629=1,C131&gt;0),1,0)</f>
        <v>0</v>
      </c>
      <c r="B636" s="426" t="s">
        <v>676</v>
      </c>
      <c r="C636" s="637">
        <v>5</v>
      </c>
      <c r="D636" s="426" t="s">
        <v>683</v>
      </c>
      <c r="F636" s="634">
        <v>1</v>
      </c>
      <c r="G636" s="634">
        <v>2</v>
      </c>
      <c r="H636" s="626"/>
      <c r="K636" s="12" t="str">
        <f t="shared" si="134"/>
        <v xml:space="preserve"> </v>
      </c>
      <c r="L636" s="1072" t="str">
        <f t="shared" si="133"/>
        <v>60%</v>
      </c>
      <c r="M636" s="30">
        <v>100</v>
      </c>
      <c r="Y636" s="626"/>
    </row>
    <row r="637" spans="1:25" s="426" customFormat="1" x14ac:dyDescent="0.25">
      <c r="A637" s="626">
        <f>IF(AND(C629=1,C111&gt;0),C111,0)</f>
        <v>0</v>
      </c>
      <c r="B637" s="426" t="s">
        <v>677</v>
      </c>
      <c r="C637" s="634">
        <f>IF(A637&gt;0,HLOOKUP(A637,F636:G637,2,FALSE),0)</f>
        <v>0</v>
      </c>
      <c r="D637" s="426" t="s">
        <v>683</v>
      </c>
      <c r="F637" s="644">
        <v>2</v>
      </c>
      <c r="G637" s="644">
        <v>3</v>
      </c>
      <c r="K637" s="12" t="str">
        <f t="shared" si="134"/>
        <v xml:space="preserve"> </v>
      </c>
      <c r="L637" s="1072" t="str">
        <f t="shared" si="133"/>
        <v>80%</v>
      </c>
      <c r="M637" s="30">
        <v>80</v>
      </c>
      <c r="Y637" s="626"/>
    </row>
    <row r="638" spans="1:25" s="426" customFormat="1" x14ac:dyDescent="0.25">
      <c r="A638" s="626">
        <f>IF(AND(C629=1,C111&gt;0),C111,0)</f>
        <v>0</v>
      </c>
      <c r="B638" s="426" t="s">
        <v>681</v>
      </c>
      <c r="C638" s="637">
        <v>3</v>
      </c>
      <c r="D638" s="426" t="s">
        <v>683</v>
      </c>
      <c r="K638" s="13" t="str">
        <f t="shared" si="134"/>
        <v xml:space="preserve"> </v>
      </c>
      <c r="L638" s="1073" t="str">
        <f t="shared" si="133"/>
        <v>100%</v>
      </c>
      <c r="M638" s="30">
        <v>80</v>
      </c>
      <c r="Y638" s="626"/>
    </row>
    <row r="639" spans="1:25" s="426" customFormat="1" x14ac:dyDescent="0.25">
      <c r="A639" s="626">
        <f>IF(AND(C629=1,C131&gt;0),1,0)</f>
        <v>0</v>
      </c>
      <c r="B639" s="426" t="s">
        <v>690</v>
      </c>
      <c r="C639" s="637">
        <v>3</v>
      </c>
      <c r="D639" s="426" t="s">
        <v>691</v>
      </c>
      <c r="K639" s="415"/>
      <c r="L639" s="1069" t="s">
        <v>1019</v>
      </c>
      <c r="M639" s="1008">
        <f>IF(SUM(K631:K638)&gt;0,VLOOKUP(1,K631:M638,3,FALSE),9999)</f>
        <v>9999</v>
      </c>
      <c r="Y639" s="626"/>
    </row>
    <row r="640" spans="1:25" s="426" customFormat="1" x14ac:dyDescent="0.25">
      <c r="K640" s="2"/>
      <c r="L640" s="1067"/>
      <c r="M640" s="2"/>
      <c r="Y640" s="626"/>
    </row>
    <row r="641" spans="1:25" s="426" customFormat="1" x14ac:dyDescent="0.25">
      <c r="B641" s="426" t="s">
        <v>682</v>
      </c>
      <c r="C641" s="637">
        <v>6</v>
      </c>
      <c r="D641" s="426" t="s">
        <v>684</v>
      </c>
      <c r="I641" s="972"/>
      <c r="K641" s="2"/>
      <c r="L641" s="1067"/>
      <c r="M641" s="2"/>
      <c r="Y641" s="626"/>
    </row>
    <row r="642" spans="1:25" s="426" customFormat="1" x14ac:dyDescent="0.25">
      <c r="K642" s="2"/>
      <c r="L642" s="1067"/>
      <c r="M642" s="2"/>
      <c r="Y642" s="626"/>
    </row>
    <row r="643" spans="1:25" s="426" customFormat="1" x14ac:dyDescent="0.25">
      <c r="B643" s="426" t="s">
        <v>1292</v>
      </c>
      <c r="C643" s="1047">
        <f>D402</f>
        <v>0</v>
      </c>
      <c r="K643" s="2"/>
      <c r="L643" s="1067"/>
      <c r="M643" s="2"/>
      <c r="Y643" s="626"/>
    </row>
    <row r="644" spans="1:25" s="426" customFormat="1" x14ac:dyDescent="0.25">
      <c r="K644" s="2"/>
      <c r="L644" s="1067"/>
      <c r="M644" s="2"/>
      <c r="Y644" s="626"/>
    </row>
    <row r="645" spans="1:25" s="426" customFormat="1" ht="12.75" x14ac:dyDescent="0.2">
      <c r="B645" s="426" t="s">
        <v>99</v>
      </c>
      <c r="C645" s="628">
        <f>E445</f>
        <v>361</v>
      </c>
      <c r="D645" s="426" t="s">
        <v>25</v>
      </c>
      <c r="Y645" s="626"/>
    </row>
    <row r="646" spans="1:25" s="426" customFormat="1" ht="12.75" x14ac:dyDescent="0.2">
      <c r="B646" s="426" t="s">
        <v>100</v>
      </c>
      <c r="C646" s="628">
        <f>F445</f>
        <v>1150</v>
      </c>
      <c r="D646" s="426" t="s">
        <v>25</v>
      </c>
      <c r="Y646" s="626"/>
    </row>
    <row r="647" spans="1:25" s="426" customFormat="1" ht="12.75" x14ac:dyDescent="0.2">
      <c r="Y647" s="626"/>
    </row>
    <row r="648" spans="1:25" s="426" customFormat="1" ht="12.75" x14ac:dyDescent="0.2">
      <c r="Y648" s="626"/>
    </row>
    <row r="649" spans="1:25" s="426" customFormat="1" ht="12.75" x14ac:dyDescent="0.2">
      <c r="A649" s="652"/>
      <c r="B649" s="653"/>
      <c r="C649" s="628"/>
      <c r="D649" s="628" t="s">
        <v>697</v>
      </c>
      <c r="E649" s="652" t="s">
        <v>698</v>
      </c>
      <c r="F649" s="659" t="s">
        <v>701</v>
      </c>
      <c r="G649" s="634" t="s">
        <v>702</v>
      </c>
      <c r="H649" s="661" t="s">
        <v>989</v>
      </c>
      <c r="I649" s="661" t="s">
        <v>703</v>
      </c>
      <c r="Y649" s="626"/>
    </row>
    <row r="650" spans="1:25" s="426" customFormat="1" ht="12.75" x14ac:dyDescent="0.2">
      <c r="A650" s="429"/>
      <c r="B650" s="430" t="s">
        <v>696</v>
      </c>
      <c r="C650" s="145">
        <f>AS46</f>
        <v>1</v>
      </c>
      <c r="D650" s="145">
        <f>IF(C643=1,1,(C6/C7)*C650)</f>
        <v>1.2</v>
      </c>
      <c r="E650" s="658">
        <f>IF(C643=1,1,C650*(C8/C6))</f>
        <v>0.33333333333333331</v>
      </c>
      <c r="F650" s="660">
        <f>VLOOKUP(1,A655:D660,4,FALSE)*VLOOKUP(1,E655:H660,4,FALSE)</f>
        <v>1</v>
      </c>
      <c r="G650" s="1086">
        <f>AY46</f>
        <v>0.9</v>
      </c>
      <c r="H650" s="971">
        <f>VLOOKUP(1,A148:N156,N145,FALSE)</f>
        <v>1</v>
      </c>
      <c r="I650" s="662">
        <f>F650*G650*H650</f>
        <v>0.9</v>
      </c>
      <c r="Y650" s="626"/>
    </row>
    <row r="651" spans="1:25" s="426" customFormat="1" ht="12.75" x14ac:dyDescent="0.2">
      <c r="C651" s="626"/>
      <c r="Y651" s="626"/>
    </row>
    <row r="652" spans="1:25" s="426" customFormat="1" ht="12.75" x14ac:dyDescent="0.2">
      <c r="C652" s="626"/>
      <c r="Y652" s="626"/>
    </row>
    <row r="653" spans="1:25" s="426" customFormat="1" x14ac:dyDescent="0.25">
      <c r="A653" s="405"/>
      <c r="B653" s="1302" t="s">
        <v>699</v>
      </c>
      <c r="C653" s="1303"/>
      <c r="D653" s="243"/>
      <c r="E653" s="433"/>
      <c r="F653" s="1302" t="s">
        <v>700</v>
      </c>
      <c r="G653" s="1303"/>
      <c r="H653" s="442"/>
      <c r="Y653" s="626"/>
    </row>
    <row r="654" spans="1:25" s="426" customFormat="1" x14ac:dyDescent="0.25">
      <c r="A654" s="339"/>
      <c r="B654" s="1292"/>
      <c r="C654" s="1293"/>
      <c r="D654" s="244"/>
      <c r="E654" s="7"/>
      <c r="F654" s="432"/>
      <c r="G654" s="436"/>
      <c r="H654" s="13"/>
      <c r="Y654" s="626"/>
    </row>
    <row r="655" spans="1:25" s="426" customFormat="1" x14ac:dyDescent="0.25">
      <c r="A655" s="399">
        <f t="shared" ref="A655:A660" si="135">IF(AND($D$650&gt;=B655,$D$650&lt;C655),1,0)</f>
        <v>1</v>
      </c>
      <c r="B655" s="567">
        <v>0</v>
      </c>
      <c r="C655" s="567">
        <v>2.5</v>
      </c>
      <c r="D655" s="655">
        <v>1</v>
      </c>
      <c r="E655" s="423">
        <f>IF(AND($E$650&gt;=F655,$E$650&lt;G655),1,0)</f>
        <v>1</v>
      </c>
      <c r="F655" s="567">
        <v>0</v>
      </c>
      <c r="G655" s="486">
        <v>2</v>
      </c>
      <c r="H655" s="655">
        <v>1</v>
      </c>
      <c r="Y655" s="626"/>
    </row>
    <row r="656" spans="1:25" s="426" customFormat="1" x14ac:dyDescent="0.25">
      <c r="A656" s="120">
        <f t="shared" si="135"/>
        <v>0</v>
      </c>
      <c r="B656" s="30">
        <v>2.5</v>
      </c>
      <c r="C656" s="30">
        <v>3</v>
      </c>
      <c r="D656" s="656">
        <v>0.95</v>
      </c>
      <c r="E656" s="228">
        <f t="shared" ref="E656:E660" si="136">IF(AND($E$650&gt;=F656,$E$650&lt;G656),1,0)</f>
        <v>0</v>
      </c>
      <c r="F656" s="30">
        <v>2</v>
      </c>
      <c r="G656" s="28">
        <v>2.5</v>
      </c>
      <c r="H656" s="656">
        <v>0.95</v>
      </c>
      <c r="Y656" s="626"/>
    </row>
    <row r="657" spans="1:55" s="426" customFormat="1" x14ac:dyDescent="0.25">
      <c r="A657" s="120">
        <f t="shared" si="135"/>
        <v>0</v>
      </c>
      <c r="B657" s="30">
        <v>3</v>
      </c>
      <c r="C657" s="30">
        <v>3.5</v>
      </c>
      <c r="D657" s="656">
        <v>0.9</v>
      </c>
      <c r="E657" s="228">
        <f t="shared" si="136"/>
        <v>0</v>
      </c>
      <c r="F657" s="30">
        <v>2.5</v>
      </c>
      <c r="G657" s="28">
        <v>3.5</v>
      </c>
      <c r="H657" s="656">
        <v>0.9</v>
      </c>
      <c r="Y657" s="626"/>
    </row>
    <row r="658" spans="1:55" s="426" customFormat="1" x14ac:dyDescent="0.25">
      <c r="A658" s="120">
        <f t="shared" si="135"/>
        <v>0</v>
      </c>
      <c r="B658" s="30">
        <v>3.5</v>
      </c>
      <c r="C658" s="30">
        <v>4</v>
      </c>
      <c r="D658" s="656">
        <v>0.8</v>
      </c>
      <c r="E658" s="228">
        <f t="shared" si="136"/>
        <v>0</v>
      </c>
      <c r="F658" s="30">
        <v>3.5</v>
      </c>
      <c r="G658" s="28">
        <v>4</v>
      </c>
      <c r="H658" s="656">
        <v>0.85</v>
      </c>
      <c r="Y658" s="626"/>
    </row>
    <row r="659" spans="1:55" s="426" customFormat="1" x14ac:dyDescent="0.25">
      <c r="A659" s="120">
        <f t="shared" si="135"/>
        <v>0</v>
      </c>
      <c r="B659" s="30">
        <v>4</v>
      </c>
      <c r="C659" s="30">
        <v>5</v>
      </c>
      <c r="D659" s="656">
        <v>0.75</v>
      </c>
      <c r="E659" s="228">
        <f t="shared" si="136"/>
        <v>0</v>
      </c>
      <c r="F659" s="30">
        <v>4</v>
      </c>
      <c r="G659" s="28">
        <v>5.5</v>
      </c>
      <c r="H659" s="656">
        <v>0.8</v>
      </c>
      <c r="Y659" s="626"/>
    </row>
    <row r="660" spans="1:55" s="426" customFormat="1" x14ac:dyDescent="0.25">
      <c r="A660" s="202">
        <f t="shared" si="135"/>
        <v>0</v>
      </c>
      <c r="B660" s="490">
        <v>5</v>
      </c>
      <c r="C660" s="490">
        <v>99</v>
      </c>
      <c r="D660" s="657">
        <v>0.7</v>
      </c>
      <c r="E660" s="424">
        <f t="shared" si="136"/>
        <v>0</v>
      </c>
      <c r="F660" s="490">
        <v>5.5</v>
      </c>
      <c r="G660" s="34">
        <v>99</v>
      </c>
      <c r="H660" s="657">
        <v>0.75</v>
      </c>
      <c r="Y660" s="626"/>
    </row>
    <row r="661" spans="1:55" s="426" customFormat="1" ht="12.75" x14ac:dyDescent="0.2">
      <c r="C661" s="626"/>
      <c r="Y661" s="626"/>
    </row>
    <row r="662" spans="1:55" s="426" customFormat="1" ht="12.75" x14ac:dyDescent="0.2">
      <c r="Y662" s="626"/>
    </row>
    <row r="663" spans="1:55" s="426" customFormat="1" x14ac:dyDescent="0.25">
      <c r="A663"/>
      <c r="B663" s="2"/>
      <c r="C663" s="2"/>
      <c r="D663" s="431">
        <v>4</v>
      </c>
      <c r="E663" s="449">
        <v>5</v>
      </c>
      <c r="F663" s="449">
        <v>6</v>
      </c>
      <c r="G663" s="449">
        <v>7</v>
      </c>
      <c r="H663" s="449">
        <v>8</v>
      </c>
      <c r="I663" s="449">
        <v>9</v>
      </c>
      <c r="J663" s="449">
        <v>10</v>
      </c>
      <c r="K663" s="449">
        <v>11</v>
      </c>
      <c r="L663" s="449">
        <v>12</v>
      </c>
      <c r="M663" s="449">
        <v>13</v>
      </c>
      <c r="N663" s="449">
        <v>14</v>
      </c>
      <c r="O663" s="449">
        <v>15</v>
      </c>
      <c r="P663" s="449">
        <v>16</v>
      </c>
      <c r="Q663" s="449">
        <v>17</v>
      </c>
      <c r="R663" s="449">
        <v>18</v>
      </c>
      <c r="S663" s="449">
        <v>19</v>
      </c>
      <c r="T663" s="449">
        <v>20</v>
      </c>
      <c r="U663" s="449">
        <v>21</v>
      </c>
      <c r="V663" s="449">
        <v>22</v>
      </c>
      <c r="W663" s="449">
        <v>23</v>
      </c>
      <c r="X663" s="449">
        <v>24</v>
      </c>
      <c r="Y663" s="449">
        <v>25</v>
      </c>
      <c r="Z663" s="435">
        <v>26</v>
      </c>
      <c r="AA663"/>
    </row>
    <row r="664" spans="1:55" s="426" customFormat="1" x14ac:dyDescent="0.25">
      <c r="A664" s="405"/>
      <c r="B664" s="449"/>
      <c r="C664" s="449"/>
      <c r="D664" s="208">
        <f>IF(AND($C$646&gt;=D665,$C$646&lt;D666),1,0)</f>
        <v>0</v>
      </c>
      <c r="E664" s="23">
        <f t="shared" ref="E664:Z664" si="137">IF(AND($C$646&gt;=E665,$C$646&lt;E666),1,0)</f>
        <v>0</v>
      </c>
      <c r="F664" s="23">
        <f t="shared" si="137"/>
        <v>0</v>
      </c>
      <c r="G664" s="23">
        <f t="shared" si="137"/>
        <v>0</v>
      </c>
      <c r="H664" s="23">
        <f t="shared" si="137"/>
        <v>0</v>
      </c>
      <c r="I664" s="23">
        <f t="shared" si="137"/>
        <v>1</v>
      </c>
      <c r="J664" s="23">
        <f t="shared" si="137"/>
        <v>0</v>
      </c>
      <c r="K664" s="23">
        <f t="shared" si="137"/>
        <v>0</v>
      </c>
      <c r="L664" s="23">
        <f t="shared" si="137"/>
        <v>0</v>
      </c>
      <c r="M664" s="23">
        <f t="shared" si="137"/>
        <v>0</v>
      </c>
      <c r="N664" s="23">
        <f t="shared" si="137"/>
        <v>0</v>
      </c>
      <c r="O664" s="23">
        <f t="shared" si="137"/>
        <v>0</v>
      </c>
      <c r="P664" s="23">
        <f t="shared" si="137"/>
        <v>0</v>
      </c>
      <c r="Q664" s="23">
        <f t="shared" si="137"/>
        <v>0</v>
      </c>
      <c r="R664" s="23">
        <f t="shared" si="137"/>
        <v>0</v>
      </c>
      <c r="S664" s="23">
        <f t="shared" si="137"/>
        <v>0</v>
      </c>
      <c r="T664" s="23">
        <f t="shared" si="137"/>
        <v>0</v>
      </c>
      <c r="U664" s="23">
        <f t="shared" si="137"/>
        <v>0</v>
      </c>
      <c r="V664" s="23">
        <f t="shared" si="137"/>
        <v>0</v>
      </c>
      <c r="W664" s="23">
        <f t="shared" si="137"/>
        <v>0</v>
      </c>
      <c r="X664" s="23">
        <f t="shared" si="137"/>
        <v>0</v>
      </c>
      <c r="Y664" s="23">
        <f t="shared" si="137"/>
        <v>0</v>
      </c>
      <c r="Z664" s="38">
        <f t="shared" si="137"/>
        <v>0</v>
      </c>
      <c r="AA664"/>
      <c r="AD664" s="719"/>
      <c r="AE664" s="3"/>
      <c r="AF664" s="435"/>
      <c r="AG664" s="208">
        <f>IF(AND($C$646&gt;=AG665,$C$646&lt;AG666),1,0)</f>
        <v>0</v>
      </c>
      <c r="AH664" s="23">
        <f t="shared" ref="AH664:BC664" si="138">IF(AND($C$646&gt;=AH665,$C$646&lt;AH666),1,0)</f>
        <v>0</v>
      </c>
      <c r="AI664" s="23">
        <f t="shared" si="138"/>
        <v>0</v>
      </c>
      <c r="AJ664" s="23">
        <f t="shared" si="138"/>
        <v>0</v>
      </c>
      <c r="AK664" s="23">
        <f t="shared" si="138"/>
        <v>0</v>
      </c>
      <c r="AL664" s="23">
        <f t="shared" si="138"/>
        <v>1</v>
      </c>
      <c r="AM664" s="23">
        <f t="shared" si="138"/>
        <v>0</v>
      </c>
      <c r="AN664" s="23">
        <f t="shared" si="138"/>
        <v>0</v>
      </c>
      <c r="AO664" s="23">
        <f t="shared" si="138"/>
        <v>0</v>
      </c>
      <c r="AP664" s="23">
        <f t="shared" si="138"/>
        <v>0</v>
      </c>
      <c r="AQ664" s="23">
        <f t="shared" si="138"/>
        <v>0</v>
      </c>
      <c r="AR664" s="23">
        <f t="shared" si="138"/>
        <v>0</v>
      </c>
      <c r="AS664" s="23">
        <f t="shared" si="138"/>
        <v>0</v>
      </c>
      <c r="AT664" s="23">
        <f t="shared" si="138"/>
        <v>0</v>
      </c>
      <c r="AU664" s="23">
        <f t="shared" si="138"/>
        <v>0</v>
      </c>
      <c r="AV664" s="23">
        <f t="shared" si="138"/>
        <v>0</v>
      </c>
      <c r="AW664" s="23">
        <f t="shared" si="138"/>
        <v>0</v>
      </c>
      <c r="AX664" s="23">
        <f t="shared" si="138"/>
        <v>0</v>
      </c>
      <c r="AY664" s="23">
        <f t="shared" si="138"/>
        <v>0</v>
      </c>
      <c r="AZ664" s="23">
        <f t="shared" si="138"/>
        <v>0</v>
      </c>
      <c r="BA664" s="23">
        <f t="shared" si="138"/>
        <v>0</v>
      </c>
      <c r="BB664" s="23">
        <f t="shared" si="138"/>
        <v>0</v>
      </c>
      <c r="BC664" s="38">
        <f t="shared" si="138"/>
        <v>0</v>
      </c>
    </row>
    <row r="665" spans="1:55" s="426" customFormat="1" x14ac:dyDescent="0.25">
      <c r="A665" s="339"/>
      <c r="B665" s="2"/>
      <c r="C665" s="25"/>
      <c r="D665" s="2">
        <v>600</v>
      </c>
      <c r="E665" s="2">
        <v>700</v>
      </c>
      <c r="F665" s="2">
        <v>800</v>
      </c>
      <c r="G665" s="2">
        <v>900</v>
      </c>
      <c r="H665" s="2">
        <v>1000</v>
      </c>
      <c r="I665" s="2">
        <v>1100</v>
      </c>
      <c r="J665" s="2">
        <v>1200</v>
      </c>
      <c r="K665" s="2">
        <v>1300</v>
      </c>
      <c r="L665" s="2">
        <v>1400</v>
      </c>
      <c r="M665" s="2">
        <v>1500</v>
      </c>
      <c r="N665" s="2">
        <v>1600</v>
      </c>
      <c r="O665" s="2">
        <v>1700</v>
      </c>
      <c r="P665" s="2">
        <v>1800</v>
      </c>
      <c r="Q665" s="2">
        <v>1900</v>
      </c>
      <c r="R665" s="2">
        <v>2000</v>
      </c>
      <c r="S665" s="2">
        <v>2100</v>
      </c>
      <c r="T665" s="2">
        <v>2200</v>
      </c>
      <c r="U665" s="2">
        <v>2300</v>
      </c>
      <c r="V665" s="2">
        <v>2400</v>
      </c>
      <c r="W665" s="2">
        <v>2500</v>
      </c>
      <c r="X665" s="2">
        <v>2600</v>
      </c>
      <c r="Y665" s="2">
        <v>2700</v>
      </c>
      <c r="Z665" s="25">
        <v>2800</v>
      </c>
      <c r="AA665"/>
      <c r="AD665" s="713"/>
      <c r="AE665" s="26"/>
      <c r="AF665" s="25"/>
      <c r="AG665" s="2">
        <v>600</v>
      </c>
      <c r="AH665" s="2">
        <v>700</v>
      </c>
      <c r="AI665" s="2">
        <v>800</v>
      </c>
      <c r="AJ665" s="2">
        <v>900</v>
      </c>
      <c r="AK665" s="2">
        <v>1000</v>
      </c>
      <c r="AL665" s="2">
        <v>1100</v>
      </c>
      <c r="AM665" s="2">
        <v>1200</v>
      </c>
      <c r="AN665" s="2">
        <v>1300</v>
      </c>
      <c r="AO665" s="2">
        <v>1400</v>
      </c>
      <c r="AP665" s="2">
        <v>1500</v>
      </c>
      <c r="AQ665" s="2">
        <v>1600</v>
      </c>
      <c r="AR665" s="2">
        <v>1700</v>
      </c>
      <c r="AS665" s="2">
        <v>1800</v>
      </c>
      <c r="AT665" s="2">
        <v>1900</v>
      </c>
      <c r="AU665" s="2">
        <v>2000</v>
      </c>
      <c r="AV665" s="2">
        <v>2100</v>
      </c>
      <c r="AW665" s="2">
        <v>2200</v>
      </c>
      <c r="AX665" s="2">
        <v>2300</v>
      </c>
      <c r="AY665" s="2">
        <v>2400</v>
      </c>
      <c r="AZ665" s="2">
        <v>2500</v>
      </c>
      <c r="BA665" s="2">
        <v>2600</v>
      </c>
      <c r="BB665" s="2">
        <v>2700</v>
      </c>
      <c r="BC665" s="25">
        <v>2800</v>
      </c>
    </row>
    <row r="666" spans="1:55" s="426" customFormat="1" ht="15.75" thickBot="1" x14ac:dyDescent="0.3">
      <c r="A666" s="650"/>
      <c r="B666" s="343"/>
      <c r="C666" s="436"/>
      <c r="D666" s="2">
        <v>700</v>
      </c>
      <c r="E666" s="2">
        <v>800</v>
      </c>
      <c r="F666" s="2">
        <v>900</v>
      </c>
      <c r="G666" s="2">
        <v>1000</v>
      </c>
      <c r="H666" s="2">
        <v>1100</v>
      </c>
      <c r="I666" s="2">
        <v>1200</v>
      </c>
      <c r="J666" s="2">
        <v>1300</v>
      </c>
      <c r="K666" s="2">
        <v>1400</v>
      </c>
      <c r="L666" s="2">
        <v>1500</v>
      </c>
      <c r="M666" s="2">
        <v>1600</v>
      </c>
      <c r="N666" s="2">
        <v>1700</v>
      </c>
      <c r="O666" s="2">
        <v>1800</v>
      </c>
      <c r="P666" s="2">
        <v>1900</v>
      </c>
      <c r="Q666" s="2">
        <v>2000</v>
      </c>
      <c r="R666" s="2">
        <v>2100</v>
      </c>
      <c r="S666" s="2">
        <v>2200</v>
      </c>
      <c r="T666" s="2">
        <v>2300</v>
      </c>
      <c r="U666" s="2">
        <v>2400</v>
      </c>
      <c r="V666" s="2">
        <v>2500</v>
      </c>
      <c r="W666" s="2">
        <v>2600</v>
      </c>
      <c r="X666" s="2">
        <v>2700</v>
      </c>
      <c r="Y666" s="2">
        <v>2800</v>
      </c>
      <c r="Z666" s="25">
        <v>3000</v>
      </c>
      <c r="AA666"/>
      <c r="AD666" s="713"/>
      <c r="AE666" s="432"/>
      <c r="AF666" s="966"/>
      <c r="AG666" s="343">
        <v>700</v>
      </c>
      <c r="AH666" s="343">
        <v>800</v>
      </c>
      <c r="AI666" s="343">
        <v>900</v>
      </c>
      <c r="AJ666" s="343">
        <v>1000</v>
      </c>
      <c r="AK666" s="343">
        <v>1100</v>
      </c>
      <c r="AL666" s="343">
        <v>1200</v>
      </c>
      <c r="AM666" s="343">
        <v>1300</v>
      </c>
      <c r="AN666" s="343">
        <v>1400</v>
      </c>
      <c r="AO666" s="343">
        <v>1500</v>
      </c>
      <c r="AP666" s="343">
        <v>1600</v>
      </c>
      <c r="AQ666" s="343">
        <v>1700</v>
      </c>
      <c r="AR666" s="343">
        <v>1800</v>
      </c>
      <c r="AS666" s="343">
        <v>1900</v>
      </c>
      <c r="AT666" s="343">
        <v>2000</v>
      </c>
      <c r="AU666" s="343">
        <v>2100</v>
      </c>
      <c r="AV666" s="343">
        <v>2200</v>
      </c>
      <c r="AW666" s="343">
        <v>2300</v>
      </c>
      <c r="AX666" s="343">
        <v>2400</v>
      </c>
      <c r="AY666" s="343">
        <v>2500</v>
      </c>
      <c r="AZ666" s="343">
        <v>2600</v>
      </c>
      <c r="BA666" s="343">
        <v>2700</v>
      </c>
      <c r="BB666" s="343">
        <v>2800</v>
      </c>
      <c r="BC666" s="436">
        <v>3000</v>
      </c>
    </row>
    <row r="667" spans="1:55" s="426" customFormat="1" ht="15.75" thickBot="1" x14ac:dyDescent="0.3">
      <c r="A667" s="404">
        <f>IF(AND($C$645&gt;=B667,$C$645&lt;C667),1,0)</f>
        <v>0</v>
      </c>
      <c r="B667" s="2">
        <v>300</v>
      </c>
      <c r="C667" s="2">
        <v>350</v>
      </c>
      <c r="D667" s="3">
        <f>FLOOR($AD$667*AG667,1)</f>
        <v>281</v>
      </c>
      <c r="E667" s="449">
        <f t="shared" ref="E667:Z671" si="139">FLOOR($AD$667*AH667,1)</f>
        <v>280</v>
      </c>
      <c r="F667" s="449">
        <f t="shared" si="139"/>
        <v>277</v>
      </c>
      <c r="G667" s="449">
        <f t="shared" si="139"/>
        <v>276</v>
      </c>
      <c r="H667" s="449">
        <f t="shared" si="139"/>
        <v>274</v>
      </c>
      <c r="I667" s="449">
        <f t="shared" si="139"/>
        <v>273</v>
      </c>
      <c r="J667" s="449">
        <f t="shared" si="139"/>
        <v>272</v>
      </c>
      <c r="K667" s="449">
        <f t="shared" si="139"/>
        <v>270</v>
      </c>
      <c r="L667" s="449">
        <f t="shared" si="139"/>
        <v>268</v>
      </c>
      <c r="M667" s="449">
        <f t="shared" si="139"/>
        <v>267</v>
      </c>
      <c r="N667" s="449">
        <f t="shared" si="139"/>
        <v>265</v>
      </c>
      <c r="O667" s="449">
        <f t="shared" si="139"/>
        <v>264</v>
      </c>
      <c r="P667" s="449">
        <f t="shared" si="139"/>
        <v>262</v>
      </c>
      <c r="Q667" s="449">
        <f t="shared" si="139"/>
        <v>260</v>
      </c>
      <c r="R667" s="449">
        <f t="shared" si="139"/>
        <v>259</v>
      </c>
      <c r="S667" s="449">
        <f t="shared" si="139"/>
        <v>258</v>
      </c>
      <c r="T667" s="449">
        <f t="shared" si="139"/>
        <v>256</v>
      </c>
      <c r="U667" s="449">
        <f t="shared" si="139"/>
        <v>255</v>
      </c>
      <c r="V667" s="449">
        <f t="shared" si="139"/>
        <v>253</v>
      </c>
      <c r="W667" s="449">
        <f t="shared" si="139"/>
        <v>252</v>
      </c>
      <c r="X667" s="449">
        <f t="shared" si="139"/>
        <v>250</v>
      </c>
      <c r="Y667" s="449">
        <f t="shared" si="139"/>
        <v>248</v>
      </c>
      <c r="Z667" s="435">
        <f t="shared" si="139"/>
        <v>248</v>
      </c>
      <c r="AA667" s="1304" t="s">
        <v>687</v>
      </c>
      <c r="AD667" s="1058">
        <v>0.8</v>
      </c>
      <c r="AE667" s="2">
        <v>300</v>
      </c>
      <c r="AF667" s="25">
        <v>350</v>
      </c>
      <c r="AG667" s="645">
        <v>352</v>
      </c>
      <c r="AH667" s="646">
        <v>350</v>
      </c>
      <c r="AI667" s="646">
        <v>347</v>
      </c>
      <c r="AJ667" s="646">
        <v>345</v>
      </c>
      <c r="AK667" s="646">
        <v>343</v>
      </c>
      <c r="AL667" s="646">
        <v>342</v>
      </c>
      <c r="AM667" s="646">
        <v>340</v>
      </c>
      <c r="AN667" s="646">
        <v>338</v>
      </c>
      <c r="AO667" s="646">
        <v>336</v>
      </c>
      <c r="AP667" s="646">
        <v>334</v>
      </c>
      <c r="AQ667" s="646">
        <v>332</v>
      </c>
      <c r="AR667" s="646">
        <v>330</v>
      </c>
      <c r="AS667" s="646">
        <v>328</v>
      </c>
      <c r="AT667" s="646">
        <v>326</v>
      </c>
      <c r="AU667" s="646">
        <v>324</v>
      </c>
      <c r="AV667" s="646">
        <v>323</v>
      </c>
      <c r="AW667" s="646">
        <v>321</v>
      </c>
      <c r="AX667" s="22">
        <v>319</v>
      </c>
      <c r="AY667" s="22">
        <v>317</v>
      </c>
      <c r="AZ667" s="22">
        <v>315</v>
      </c>
      <c r="BA667" s="647">
        <v>313</v>
      </c>
      <c r="BB667" s="647">
        <v>311</v>
      </c>
      <c r="BC667" s="567">
        <v>311</v>
      </c>
    </row>
    <row r="668" spans="1:55" s="426" customFormat="1" x14ac:dyDescent="0.25">
      <c r="A668" s="41">
        <f t="shared" ref="A668:A688" si="140">IF(AND($C$645&gt;=B668,$C$645&lt;C668),1,0)</f>
        <v>1</v>
      </c>
      <c r="B668" s="2">
        <v>350</v>
      </c>
      <c r="C668" s="2">
        <v>400</v>
      </c>
      <c r="D668" s="26">
        <f t="shared" ref="D668:D671" si="141">FLOOR($AD$667*AG668,1)</f>
        <v>279</v>
      </c>
      <c r="E668" s="2">
        <f t="shared" si="139"/>
        <v>277</v>
      </c>
      <c r="F668" s="2">
        <f t="shared" si="139"/>
        <v>276</v>
      </c>
      <c r="G668" s="2">
        <f t="shared" si="139"/>
        <v>274</v>
      </c>
      <c r="H668" s="2">
        <f t="shared" si="139"/>
        <v>273</v>
      </c>
      <c r="I668" s="2">
        <f t="shared" si="139"/>
        <v>272</v>
      </c>
      <c r="J668" s="2">
        <f t="shared" si="139"/>
        <v>270</v>
      </c>
      <c r="K668" s="2">
        <f t="shared" si="139"/>
        <v>268</v>
      </c>
      <c r="L668" s="2">
        <f t="shared" si="139"/>
        <v>267</v>
      </c>
      <c r="M668" s="2">
        <f t="shared" si="139"/>
        <v>265</v>
      </c>
      <c r="N668" s="2">
        <f t="shared" si="139"/>
        <v>264</v>
      </c>
      <c r="O668" s="2">
        <f t="shared" si="139"/>
        <v>262</v>
      </c>
      <c r="P668" s="2">
        <f t="shared" si="139"/>
        <v>260</v>
      </c>
      <c r="Q668" s="2">
        <f t="shared" si="139"/>
        <v>259</v>
      </c>
      <c r="R668" s="2">
        <f t="shared" si="139"/>
        <v>258</v>
      </c>
      <c r="S668" s="2">
        <f t="shared" si="139"/>
        <v>256</v>
      </c>
      <c r="T668" s="2">
        <f t="shared" si="139"/>
        <v>255</v>
      </c>
      <c r="U668" s="2">
        <f t="shared" si="139"/>
        <v>253</v>
      </c>
      <c r="V668" s="2">
        <f t="shared" si="139"/>
        <v>252</v>
      </c>
      <c r="W668" s="2">
        <f t="shared" si="139"/>
        <v>250</v>
      </c>
      <c r="X668" s="2">
        <f t="shared" si="139"/>
        <v>180</v>
      </c>
      <c r="Y668" s="2">
        <f t="shared" si="139"/>
        <v>247</v>
      </c>
      <c r="Z668" s="25">
        <f t="shared" si="139"/>
        <v>247</v>
      </c>
      <c r="AA668" s="1305"/>
      <c r="AD668" s="713"/>
      <c r="AE668" s="26">
        <v>350</v>
      </c>
      <c r="AF668" s="25">
        <v>400</v>
      </c>
      <c r="AG668" s="29">
        <v>349</v>
      </c>
      <c r="AH668" s="22">
        <v>347</v>
      </c>
      <c r="AI668" s="22">
        <v>345</v>
      </c>
      <c r="AJ668" s="22">
        <v>343</v>
      </c>
      <c r="AK668" s="22">
        <v>342</v>
      </c>
      <c r="AL668" s="22">
        <v>340</v>
      </c>
      <c r="AM668" s="22">
        <v>338</v>
      </c>
      <c r="AN668" s="22">
        <v>336</v>
      </c>
      <c r="AO668" s="22">
        <v>334</v>
      </c>
      <c r="AP668" s="22">
        <v>332</v>
      </c>
      <c r="AQ668" s="22">
        <v>330</v>
      </c>
      <c r="AR668" s="22">
        <v>328</v>
      </c>
      <c r="AS668" s="22">
        <v>326</v>
      </c>
      <c r="AT668" s="22">
        <v>324</v>
      </c>
      <c r="AU668" s="22">
        <v>323</v>
      </c>
      <c r="AV668" s="22">
        <v>321</v>
      </c>
      <c r="AW668" s="22">
        <v>319</v>
      </c>
      <c r="AX668" s="22">
        <v>317</v>
      </c>
      <c r="AY668" s="22">
        <v>315</v>
      </c>
      <c r="AZ668" s="22">
        <v>313</v>
      </c>
      <c r="BA668" s="647">
        <v>226</v>
      </c>
      <c r="BB668" s="647">
        <v>309</v>
      </c>
      <c r="BC668" s="30">
        <v>309</v>
      </c>
    </row>
    <row r="669" spans="1:55" s="426" customFormat="1" x14ac:dyDescent="0.25">
      <c r="A669" s="41">
        <f t="shared" si="140"/>
        <v>0</v>
      </c>
      <c r="B669" s="2">
        <v>400</v>
      </c>
      <c r="C669" s="2">
        <v>450</v>
      </c>
      <c r="D669" s="26">
        <f t="shared" si="141"/>
        <v>276</v>
      </c>
      <c r="E669" s="2">
        <f t="shared" si="139"/>
        <v>275</v>
      </c>
      <c r="F669" s="2">
        <f t="shared" si="139"/>
        <v>273</v>
      </c>
      <c r="G669" s="2">
        <f t="shared" si="139"/>
        <v>272</v>
      </c>
      <c r="H669" s="2">
        <f t="shared" si="139"/>
        <v>271</v>
      </c>
      <c r="I669" s="2">
        <f t="shared" si="139"/>
        <v>269</v>
      </c>
      <c r="J669" s="2">
        <f t="shared" si="139"/>
        <v>268</v>
      </c>
      <c r="K669" s="2">
        <f t="shared" si="139"/>
        <v>266</v>
      </c>
      <c r="L669" s="2">
        <f t="shared" si="139"/>
        <v>264</v>
      </c>
      <c r="M669" s="2">
        <f t="shared" si="139"/>
        <v>263</v>
      </c>
      <c r="N669" s="2">
        <f t="shared" si="139"/>
        <v>261</v>
      </c>
      <c r="O669" s="2">
        <f t="shared" si="139"/>
        <v>260</v>
      </c>
      <c r="P669" s="2">
        <f t="shared" si="139"/>
        <v>258</v>
      </c>
      <c r="Q669" s="2">
        <f t="shared" si="139"/>
        <v>257</v>
      </c>
      <c r="R669" s="2">
        <f t="shared" si="139"/>
        <v>256</v>
      </c>
      <c r="S669" s="2">
        <f t="shared" si="139"/>
        <v>254</v>
      </c>
      <c r="T669" s="2">
        <f t="shared" si="139"/>
        <v>252</v>
      </c>
      <c r="U669" s="2">
        <f t="shared" si="139"/>
        <v>251</v>
      </c>
      <c r="V669" s="2">
        <f t="shared" si="139"/>
        <v>249</v>
      </c>
      <c r="W669" s="2">
        <f t="shared" si="139"/>
        <v>248</v>
      </c>
      <c r="X669" s="2">
        <f t="shared" si="139"/>
        <v>246</v>
      </c>
      <c r="Y669" s="2">
        <f t="shared" si="139"/>
        <v>244</v>
      </c>
      <c r="Z669" s="25">
        <f t="shared" si="139"/>
        <v>243</v>
      </c>
      <c r="AA669" s="1305"/>
      <c r="AD669" s="713"/>
      <c r="AE669" s="26">
        <v>400</v>
      </c>
      <c r="AF669" s="25">
        <v>450</v>
      </c>
      <c r="AG669" s="29">
        <v>346</v>
      </c>
      <c r="AH669" s="22">
        <v>344</v>
      </c>
      <c r="AI669" s="22">
        <v>342</v>
      </c>
      <c r="AJ669" s="22">
        <v>341</v>
      </c>
      <c r="AK669" s="22">
        <v>339</v>
      </c>
      <c r="AL669" s="22">
        <v>337</v>
      </c>
      <c r="AM669" s="22">
        <v>335</v>
      </c>
      <c r="AN669" s="22">
        <v>333</v>
      </c>
      <c r="AO669" s="22">
        <v>331</v>
      </c>
      <c r="AP669" s="22">
        <v>329</v>
      </c>
      <c r="AQ669" s="22">
        <v>327</v>
      </c>
      <c r="AR669" s="22">
        <v>325</v>
      </c>
      <c r="AS669" s="22">
        <v>323</v>
      </c>
      <c r="AT669" s="22">
        <v>322</v>
      </c>
      <c r="AU669" s="22">
        <v>320</v>
      </c>
      <c r="AV669" s="22">
        <v>318</v>
      </c>
      <c r="AW669" s="22">
        <v>316</v>
      </c>
      <c r="AX669" s="22">
        <v>314</v>
      </c>
      <c r="AY669" s="22">
        <v>312</v>
      </c>
      <c r="AZ669" s="22">
        <v>310</v>
      </c>
      <c r="BA669" s="647">
        <v>308</v>
      </c>
      <c r="BB669" s="647">
        <v>306</v>
      </c>
      <c r="BC669" s="30">
        <v>304</v>
      </c>
    </row>
    <row r="670" spans="1:55" s="426" customFormat="1" x14ac:dyDescent="0.25">
      <c r="A670" s="41">
        <f t="shared" si="140"/>
        <v>0</v>
      </c>
      <c r="B670" s="2">
        <v>450</v>
      </c>
      <c r="C670" s="2">
        <v>500</v>
      </c>
      <c r="D670" s="26">
        <f t="shared" si="141"/>
        <v>274</v>
      </c>
      <c r="E670" s="2">
        <f t="shared" si="139"/>
        <v>273</v>
      </c>
      <c r="F670" s="2">
        <f t="shared" si="139"/>
        <v>273</v>
      </c>
      <c r="G670" s="2">
        <f t="shared" si="139"/>
        <v>272</v>
      </c>
      <c r="H670" s="2">
        <f t="shared" si="139"/>
        <v>270</v>
      </c>
      <c r="I670" s="2">
        <f t="shared" si="139"/>
        <v>268</v>
      </c>
      <c r="J670" s="2">
        <f t="shared" si="139"/>
        <v>267</v>
      </c>
      <c r="K670" s="2">
        <f t="shared" si="139"/>
        <v>265</v>
      </c>
      <c r="L670" s="2">
        <f t="shared" si="139"/>
        <v>264</v>
      </c>
      <c r="M670" s="2">
        <f t="shared" si="139"/>
        <v>262</v>
      </c>
      <c r="N670" s="2">
        <f t="shared" si="139"/>
        <v>260</v>
      </c>
      <c r="O670" s="2">
        <f t="shared" si="139"/>
        <v>259</v>
      </c>
      <c r="P670" s="2">
        <f t="shared" si="139"/>
        <v>258</v>
      </c>
      <c r="Q670" s="2">
        <f t="shared" si="139"/>
        <v>256</v>
      </c>
      <c r="R670" s="2">
        <f t="shared" si="139"/>
        <v>255</v>
      </c>
      <c r="S670" s="2">
        <f t="shared" si="139"/>
        <v>253</v>
      </c>
      <c r="T670" s="2">
        <f t="shared" si="139"/>
        <v>252</v>
      </c>
      <c r="U670" s="2">
        <f t="shared" si="139"/>
        <v>250</v>
      </c>
      <c r="V670" s="2">
        <f t="shared" si="139"/>
        <v>248</v>
      </c>
      <c r="W670" s="2">
        <f t="shared" si="139"/>
        <v>247</v>
      </c>
      <c r="X670" s="2">
        <f t="shared" si="139"/>
        <v>245</v>
      </c>
      <c r="Y670" s="2">
        <f t="shared" si="139"/>
        <v>244</v>
      </c>
      <c r="Z670" s="25">
        <f t="shared" si="139"/>
        <v>241</v>
      </c>
      <c r="AA670" s="1305"/>
      <c r="AD670" s="713"/>
      <c r="AE670" s="26">
        <v>450</v>
      </c>
      <c r="AF670" s="25">
        <v>500</v>
      </c>
      <c r="AG670" s="29">
        <v>343</v>
      </c>
      <c r="AH670" s="22">
        <v>342</v>
      </c>
      <c r="AI670" s="22">
        <v>342</v>
      </c>
      <c r="AJ670" s="22">
        <v>340</v>
      </c>
      <c r="AK670" s="22">
        <v>338</v>
      </c>
      <c r="AL670" s="22">
        <v>336</v>
      </c>
      <c r="AM670" s="22">
        <v>334</v>
      </c>
      <c r="AN670" s="22">
        <v>332</v>
      </c>
      <c r="AO670" s="22">
        <v>330</v>
      </c>
      <c r="AP670" s="22">
        <v>328</v>
      </c>
      <c r="AQ670" s="22">
        <v>326</v>
      </c>
      <c r="AR670" s="22">
        <v>324</v>
      </c>
      <c r="AS670" s="22">
        <v>323</v>
      </c>
      <c r="AT670" s="22">
        <v>321</v>
      </c>
      <c r="AU670" s="22">
        <v>319</v>
      </c>
      <c r="AV670" s="22">
        <v>317</v>
      </c>
      <c r="AW670" s="22">
        <v>315</v>
      </c>
      <c r="AX670" s="22">
        <v>313</v>
      </c>
      <c r="AY670" s="22">
        <v>311</v>
      </c>
      <c r="AZ670" s="22">
        <v>309</v>
      </c>
      <c r="BA670" s="647">
        <v>307</v>
      </c>
      <c r="BB670" s="647">
        <v>305</v>
      </c>
      <c r="BC670" s="30">
        <v>302</v>
      </c>
    </row>
    <row r="671" spans="1:55" s="426" customFormat="1" ht="15.75" thickBot="1" x14ac:dyDescent="0.3">
      <c r="A671" s="52">
        <f t="shared" si="140"/>
        <v>0</v>
      </c>
      <c r="B671" s="2">
        <v>500</v>
      </c>
      <c r="C671" s="2">
        <v>575</v>
      </c>
      <c r="D671" s="26">
        <f t="shared" si="141"/>
        <v>272</v>
      </c>
      <c r="E671" s="2">
        <f t="shared" si="139"/>
        <v>272</v>
      </c>
      <c r="F671" s="2">
        <f t="shared" si="139"/>
        <v>271</v>
      </c>
      <c r="G671" s="2">
        <f t="shared" si="139"/>
        <v>270</v>
      </c>
      <c r="H671" s="2">
        <f t="shared" si="139"/>
        <v>269</v>
      </c>
      <c r="I671" s="2">
        <f t="shared" si="139"/>
        <v>267</v>
      </c>
      <c r="J671" s="2">
        <f t="shared" si="139"/>
        <v>264</v>
      </c>
      <c r="K671" s="2">
        <f t="shared" si="139"/>
        <v>262</v>
      </c>
      <c r="L671" s="2">
        <f t="shared" si="139"/>
        <v>260</v>
      </c>
      <c r="M671" s="2">
        <f t="shared" si="139"/>
        <v>258</v>
      </c>
      <c r="N671" s="2">
        <f t="shared" si="139"/>
        <v>257</v>
      </c>
      <c r="O671" s="2">
        <f t="shared" si="139"/>
        <v>256</v>
      </c>
      <c r="P671" s="2">
        <f t="shared" si="139"/>
        <v>256</v>
      </c>
      <c r="Q671" s="2">
        <f t="shared" si="139"/>
        <v>255</v>
      </c>
      <c r="R671" s="2">
        <f t="shared" si="139"/>
        <v>253</v>
      </c>
      <c r="S671" s="2">
        <f t="shared" si="139"/>
        <v>252</v>
      </c>
      <c r="T671" s="2">
        <f t="shared" si="139"/>
        <v>250</v>
      </c>
      <c r="U671" s="2">
        <f t="shared" si="139"/>
        <v>248</v>
      </c>
      <c r="V671" s="2">
        <f t="shared" si="139"/>
        <v>247</v>
      </c>
      <c r="W671" s="2">
        <f t="shared" si="139"/>
        <v>245</v>
      </c>
      <c r="X671" s="2">
        <f t="shared" si="139"/>
        <v>243</v>
      </c>
      <c r="Y671" s="2">
        <f t="shared" si="139"/>
        <v>242</v>
      </c>
      <c r="Z671" s="25">
        <f t="shared" si="139"/>
        <v>238</v>
      </c>
      <c r="AA671" s="1306"/>
      <c r="AD671" s="713"/>
      <c r="AE671" s="26">
        <v>500</v>
      </c>
      <c r="AF671" s="25">
        <v>575</v>
      </c>
      <c r="AG671" s="29">
        <v>341</v>
      </c>
      <c r="AH671" s="22">
        <v>340</v>
      </c>
      <c r="AI671" s="22">
        <v>339</v>
      </c>
      <c r="AJ671" s="22">
        <v>338</v>
      </c>
      <c r="AK671" s="22">
        <v>337</v>
      </c>
      <c r="AL671" s="22">
        <v>334</v>
      </c>
      <c r="AM671" s="22">
        <v>331</v>
      </c>
      <c r="AN671" s="22">
        <v>328</v>
      </c>
      <c r="AO671" s="22">
        <v>325</v>
      </c>
      <c r="AP671" s="22">
        <v>323</v>
      </c>
      <c r="AQ671" s="22">
        <v>322</v>
      </c>
      <c r="AR671" s="22">
        <v>321</v>
      </c>
      <c r="AS671" s="22">
        <v>320</v>
      </c>
      <c r="AT671" s="22">
        <v>319</v>
      </c>
      <c r="AU671" s="22">
        <v>317</v>
      </c>
      <c r="AV671" s="22">
        <v>315</v>
      </c>
      <c r="AW671" s="22">
        <v>313</v>
      </c>
      <c r="AX671" s="22">
        <v>311</v>
      </c>
      <c r="AY671" s="22">
        <v>309</v>
      </c>
      <c r="AZ671" s="22">
        <v>307</v>
      </c>
      <c r="BA671" s="647">
        <v>304</v>
      </c>
      <c r="BB671" s="647">
        <v>303</v>
      </c>
      <c r="BC671" s="30">
        <v>298</v>
      </c>
    </row>
    <row r="672" spans="1:55" s="426" customFormat="1" ht="15.75" thickBot="1" x14ac:dyDescent="0.3">
      <c r="A672" s="404">
        <f t="shared" si="140"/>
        <v>0</v>
      </c>
      <c r="B672" s="449">
        <v>575</v>
      </c>
      <c r="C672" s="449">
        <v>600</v>
      </c>
      <c r="D672" s="3">
        <f>FLOOR($AD$672*AG672,1)</f>
        <v>191</v>
      </c>
      <c r="E672" s="449">
        <f t="shared" ref="E672:Z683" si="142">FLOOR($AD$672*AH672,1)</f>
        <v>188</v>
      </c>
      <c r="F672" s="449">
        <f t="shared" si="142"/>
        <v>186</v>
      </c>
      <c r="G672" s="449">
        <f t="shared" si="142"/>
        <v>184</v>
      </c>
      <c r="H672" s="449">
        <f t="shared" si="142"/>
        <v>181</v>
      </c>
      <c r="I672" s="449">
        <f t="shared" si="142"/>
        <v>179</v>
      </c>
      <c r="J672" s="449">
        <f t="shared" si="142"/>
        <v>177</v>
      </c>
      <c r="K672" s="449">
        <f t="shared" si="142"/>
        <v>174</v>
      </c>
      <c r="L672" s="449">
        <f t="shared" si="142"/>
        <v>172</v>
      </c>
      <c r="M672" s="449">
        <f t="shared" si="142"/>
        <v>170</v>
      </c>
      <c r="N672" s="449">
        <f t="shared" si="142"/>
        <v>167</v>
      </c>
      <c r="O672" s="449">
        <f t="shared" si="142"/>
        <v>166</v>
      </c>
      <c r="P672" s="449">
        <f t="shared" si="142"/>
        <v>163</v>
      </c>
      <c r="Q672" s="449">
        <f t="shared" si="142"/>
        <v>161</v>
      </c>
      <c r="R672" s="449">
        <f t="shared" si="142"/>
        <v>158</v>
      </c>
      <c r="S672" s="449">
        <f t="shared" si="142"/>
        <v>156</v>
      </c>
      <c r="T672" s="449">
        <f t="shared" si="142"/>
        <v>153</v>
      </c>
      <c r="U672" s="449">
        <f t="shared" si="142"/>
        <v>151</v>
      </c>
      <c r="V672" s="449">
        <f t="shared" si="142"/>
        <v>148</v>
      </c>
      <c r="W672" s="449">
        <f t="shared" si="142"/>
        <v>146</v>
      </c>
      <c r="X672" s="449">
        <f t="shared" si="142"/>
        <v>144</v>
      </c>
      <c r="Y672" s="449">
        <f t="shared" si="142"/>
        <v>141</v>
      </c>
      <c r="Z672" s="435">
        <f t="shared" si="142"/>
        <v>140</v>
      </c>
      <c r="AA672" s="1307" t="s">
        <v>688</v>
      </c>
      <c r="AD672" s="1058">
        <v>0.78</v>
      </c>
      <c r="AE672" s="449">
        <v>575</v>
      </c>
      <c r="AF672" s="435">
        <v>600</v>
      </c>
      <c r="AG672" s="645">
        <v>245</v>
      </c>
      <c r="AH672" s="646">
        <v>242</v>
      </c>
      <c r="AI672" s="646">
        <v>239</v>
      </c>
      <c r="AJ672" s="646">
        <v>236</v>
      </c>
      <c r="AK672" s="646">
        <v>233</v>
      </c>
      <c r="AL672" s="646">
        <v>230</v>
      </c>
      <c r="AM672" s="646">
        <v>227</v>
      </c>
      <c r="AN672" s="646">
        <v>224</v>
      </c>
      <c r="AO672" s="646">
        <v>221</v>
      </c>
      <c r="AP672" s="646">
        <v>218</v>
      </c>
      <c r="AQ672" s="646">
        <v>215</v>
      </c>
      <c r="AR672" s="646">
        <v>213</v>
      </c>
      <c r="AS672" s="646">
        <v>210</v>
      </c>
      <c r="AT672" s="646">
        <v>207</v>
      </c>
      <c r="AU672" s="646">
        <v>203</v>
      </c>
      <c r="AV672" s="646">
        <v>200</v>
      </c>
      <c r="AW672" s="646">
        <v>197</v>
      </c>
      <c r="AX672" s="646">
        <v>194</v>
      </c>
      <c r="AY672" s="646">
        <v>191</v>
      </c>
      <c r="AZ672" s="646">
        <v>188</v>
      </c>
      <c r="BA672" s="648">
        <v>185</v>
      </c>
      <c r="BB672" s="648">
        <v>182</v>
      </c>
      <c r="BC672" s="567">
        <v>180</v>
      </c>
    </row>
    <row r="673" spans="1:55" s="426" customFormat="1" x14ac:dyDescent="0.25">
      <c r="A673" s="41">
        <f t="shared" si="140"/>
        <v>0</v>
      </c>
      <c r="B673" s="2">
        <v>600</v>
      </c>
      <c r="C673" s="2">
        <v>650</v>
      </c>
      <c r="D673" s="26">
        <f t="shared" ref="D673:D684" si="143">FLOOR($AD$672*AG673,1)</f>
        <v>187</v>
      </c>
      <c r="E673" s="2">
        <f t="shared" si="142"/>
        <v>185</v>
      </c>
      <c r="F673" s="2">
        <f t="shared" si="142"/>
        <v>183</v>
      </c>
      <c r="G673" s="2">
        <f t="shared" si="142"/>
        <v>180</v>
      </c>
      <c r="H673" s="2">
        <f t="shared" si="142"/>
        <v>178</v>
      </c>
      <c r="I673" s="2">
        <f t="shared" si="142"/>
        <v>176</v>
      </c>
      <c r="J673" s="2">
        <f t="shared" si="142"/>
        <v>173</v>
      </c>
      <c r="K673" s="2">
        <f t="shared" si="142"/>
        <v>171</v>
      </c>
      <c r="L673" s="2">
        <f t="shared" si="142"/>
        <v>169</v>
      </c>
      <c r="M673" s="2">
        <f t="shared" si="142"/>
        <v>166</v>
      </c>
      <c r="N673" s="2">
        <f t="shared" si="142"/>
        <v>164</v>
      </c>
      <c r="O673" s="2">
        <f t="shared" si="142"/>
        <v>163</v>
      </c>
      <c r="P673" s="2">
        <f t="shared" si="142"/>
        <v>160</v>
      </c>
      <c r="Q673" s="2">
        <f t="shared" si="142"/>
        <v>158</v>
      </c>
      <c r="R673" s="2">
        <f t="shared" si="142"/>
        <v>155</v>
      </c>
      <c r="S673" s="2">
        <f t="shared" si="142"/>
        <v>152</v>
      </c>
      <c r="T673" s="2">
        <f t="shared" si="142"/>
        <v>151</v>
      </c>
      <c r="U673" s="2">
        <f t="shared" si="142"/>
        <v>148</v>
      </c>
      <c r="V673" s="2">
        <f t="shared" si="142"/>
        <v>145</v>
      </c>
      <c r="W673" s="2">
        <f t="shared" si="142"/>
        <v>143</v>
      </c>
      <c r="X673" s="2">
        <f t="shared" si="142"/>
        <v>141</v>
      </c>
      <c r="Y673" s="2">
        <f t="shared" si="142"/>
        <v>138</v>
      </c>
      <c r="Z673" s="25">
        <f t="shared" si="142"/>
        <v>137</v>
      </c>
      <c r="AA673" s="1308"/>
      <c r="AD673" s="713"/>
      <c r="AE673" s="2">
        <v>600</v>
      </c>
      <c r="AF673" s="25">
        <v>650</v>
      </c>
      <c r="AG673" s="29">
        <v>241</v>
      </c>
      <c r="AH673" s="22">
        <v>238</v>
      </c>
      <c r="AI673" s="22">
        <v>235</v>
      </c>
      <c r="AJ673" s="22">
        <v>232</v>
      </c>
      <c r="AK673" s="22">
        <v>229</v>
      </c>
      <c r="AL673" s="22">
        <v>226</v>
      </c>
      <c r="AM673" s="22">
        <v>223</v>
      </c>
      <c r="AN673" s="22">
        <v>220</v>
      </c>
      <c r="AO673" s="22">
        <v>217</v>
      </c>
      <c r="AP673" s="22">
        <v>214</v>
      </c>
      <c r="AQ673" s="22">
        <v>211</v>
      </c>
      <c r="AR673" s="22">
        <v>209</v>
      </c>
      <c r="AS673" s="22">
        <v>206</v>
      </c>
      <c r="AT673" s="22">
        <v>203</v>
      </c>
      <c r="AU673" s="22">
        <v>199</v>
      </c>
      <c r="AV673" s="22">
        <v>196</v>
      </c>
      <c r="AW673" s="22">
        <v>194</v>
      </c>
      <c r="AX673" s="22">
        <v>190</v>
      </c>
      <c r="AY673" s="22">
        <v>187</v>
      </c>
      <c r="AZ673" s="22">
        <v>184</v>
      </c>
      <c r="BA673" s="647">
        <v>181</v>
      </c>
      <c r="BB673" s="647">
        <v>178</v>
      </c>
      <c r="BC673" s="30">
        <v>176</v>
      </c>
    </row>
    <row r="674" spans="1:55" s="426" customFormat="1" x14ac:dyDescent="0.25">
      <c r="A674" s="41">
        <f t="shared" si="140"/>
        <v>0</v>
      </c>
      <c r="B674" s="2">
        <v>650</v>
      </c>
      <c r="C674" s="2">
        <v>700</v>
      </c>
      <c r="D674" s="26">
        <f t="shared" si="143"/>
        <v>184</v>
      </c>
      <c r="E674" s="2">
        <f t="shared" si="142"/>
        <v>182</v>
      </c>
      <c r="F674" s="2">
        <f t="shared" si="142"/>
        <v>180</v>
      </c>
      <c r="G674" s="2">
        <f t="shared" si="142"/>
        <v>177</v>
      </c>
      <c r="H674" s="2">
        <f t="shared" si="142"/>
        <v>175</v>
      </c>
      <c r="I674" s="2">
        <f t="shared" si="142"/>
        <v>173</v>
      </c>
      <c r="J674" s="2">
        <f t="shared" si="142"/>
        <v>170</v>
      </c>
      <c r="K674" s="2">
        <f t="shared" si="142"/>
        <v>168</v>
      </c>
      <c r="L674" s="2">
        <f t="shared" si="142"/>
        <v>166</v>
      </c>
      <c r="M674" s="2">
        <f t="shared" si="142"/>
        <v>163</v>
      </c>
      <c r="N674" s="2">
        <f t="shared" si="142"/>
        <v>161</v>
      </c>
      <c r="O674" s="2">
        <f t="shared" si="142"/>
        <v>159</v>
      </c>
      <c r="P674" s="2">
        <f t="shared" si="142"/>
        <v>157</v>
      </c>
      <c r="Q674" s="2">
        <f t="shared" si="142"/>
        <v>155</v>
      </c>
      <c r="R674" s="2">
        <f t="shared" si="142"/>
        <v>152</v>
      </c>
      <c r="S674" s="2">
        <f t="shared" si="142"/>
        <v>149</v>
      </c>
      <c r="T674" s="2">
        <f t="shared" si="142"/>
        <v>148</v>
      </c>
      <c r="U674" s="2">
        <f t="shared" si="142"/>
        <v>145</v>
      </c>
      <c r="V674" s="2">
        <f t="shared" si="142"/>
        <v>143</v>
      </c>
      <c r="W674" s="2">
        <f t="shared" si="142"/>
        <v>140</v>
      </c>
      <c r="X674" s="2">
        <f t="shared" si="142"/>
        <v>138</v>
      </c>
      <c r="Y674" s="2">
        <f t="shared" si="142"/>
        <v>135</v>
      </c>
      <c r="Z674" s="25">
        <f t="shared" si="142"/>
        <v>134</v>
      </c>
      <c r="AA674" s="1308"/>
      <c r="AD674" s="713"/>
      <c r="AE674" s="2">
        <v>650</v>
      </c>
      <c r="AF674" s="25">
        <v>700</v>
      </c>
      <c r="AG674" s="29">
        <v>237</v>
      </c>
      <c r="AH674" s="22">
        <v>234</v>
      </c>
      <c r="AI674" s="22">
        <v>231</v>
      </c>
      <c r="AJ674" s="22">
        <v>228</v>
      </c>
      <c r="AK674" s="22">
        <v>225</v>
      </c>
      <c r="AL674" s="22">
        <v>222</v>
      </c>
      <c r="AM674" s="22">
        <v>219</v>
      </c>
      <c r="AN674" s="22">
        <v>216</v>
      </c>
      <c r="AO674" s="22">
        <v>214</v>
      </c>
      <c r="AP674" s="22">
        <v>210</v>
      </c>
      <c r="AQ674" s="22">
        <v>207</v>
      </c>
      <c r="AR674" s="22">
        <v>205</v>
      </c>
      <c r="AS674" s="22">
        <v>202</v>
      </c>
      <c r="AT674" s="22">
        <v>199</v>
      </c>
      <c r="AU674" s="22">
        <v>195</v>
      </c>
      <c r="AV674" s="22">
        <v>192</v>
      </c>
      <c r="AW674" s="22">
        <v>190</v>
      </c>
      <c r="AX674" s="22">
        <v>186</v>
      </c>
      <c r="AY674" s="22">
        <v>184</v>
      </c>
      <c r="AZ674" s="22">
        <v>180</v>
      </c>
      <c r="BA674" s="647">
        <v>177</v>
      </c>
      <c r="BB674" s="647">
        <v>174</v>
      </c>
      <c r="BC674" s="30">
        <v>172</v>
      </c>
    </row>
    <row r="675" spans="1:55" s="426" customFormat="1" x14ac:dyDescent="0.25">
      <c r="A675" s="41">
        <f t="shared" si="140"/>
        <v>0</v>
      </c>
      <c r="B675" s="2">
        <v>700</v>
      </c>
      <c r="C675" s="2">
        <v>750</v>
      </c>
      <c r="D675" s="26">
        <f t="shared" si="143"/>
        <v>181</v>
      </c>
      <c r="E675" s="2">
        <f t="shared" si="142"/>
        <v>179</v>
      </c>
      <c r="F675" s="2">
        <f t="shared" si="142"/>
        <v>177</v>
      </c>
      <c r="G675" s="2">
        <f t="shared" si="142"/>
        <v>174</v>
      </c>
      <c r="H675" s="2">
        <f t="shared" si="142"/>
        <v>172</v>
      </c>
      <c r="I675" s="2">
        <f t="shared" si="142"/>
        <v>170</v>
      </c>
      <c r="J675" s="2">
        <f t="shared" si="142"/>
        <v>167</v>
      </c>
      <c r="K675" s="2">
        <f t="shared" si="142"/>
        <v>165</v>
      </c>
      <c r="L675" s="2">
        <f t="shared" si="142"/>
        <v>163</v>
      </c>
      <c r="M675" s="2">
        <f t="shared" si="142"/>
        <v>160</v>
      </c>
      <c r="N675" s="2">
        <f t="shared" si="142"/>
        <v>159</v>
      </c>
      <c r="O675" s="2">
        <f t="shared" si="142"/>
        <v>156</v>
      </c>
      <c r="P675" s="2">
        <f t="shared" si="142"/>
        <v>154</v>
      </c>
      <c r="Q675" s="2">
        <f t="shared" si="142"/>
        <v>152</v>
      </c>
      <c r="R675" s="2">
        <f t="shared" si="142"/>
        <v>148</v>
      </c>
      <c r="S675" s="2">
        <f t="shared" si="142"/>
        <v>146</v>
      </c>
      <c r="T675" s="2">
        <f t="shared" si="142"/>
        <v>145</v>
      </c>
      <c r="U675" s="2">
        <f t="shared" si="142"/>
        <v>141</v>
      </c>
      <c r="V675" s="2">
        <f t="shared" si="142"/>
        <v>140</v>
      </c>
      <c r="W675" s="2">
        <f t="shared" si="142"/>
        <v>137</v>
      </c>
      <c r="X675" s="2">
        <f t="shared" si="142"/>
        <v>134</v>
      </c>
      <c r="Y675" s="2">
        <f t="shared" si="142"/>
        <v>132</v>
      </c>
      <c r="Z675" s="25">
        <f t="shared" si="142"/>
        <v>131</v>
      </c>
      <c r="AA675" s="1308"/>
      <c r="AD675" s="713"/>
      <c r="AE675" s="2">
        <v>700</v>
      </c>
      <c r="AF675" s="25">
        <v>750</v>
      </c>
      <c r="AG675" s="29">
        <v>233</v>
      </c>
      <c r="AH675" s="22">
        <v>230</v>
      </c>
      <c r="AI675" s="22">
        <v>227</v>
      </c>
      <c r="AJ675" s="22">
        <v>224</v>
      </c>
      <c r="AK675" s="22">
        <v>221</v>
      </c>
      <c r="AL675" s="22">
        <v>218</v>
      </c>
      <c r="AM675" s="22">
        <v>215</v>
      </c>
      <c r="AN675" s="22">
        <v>212</v>
      </c>
      <c r="AO675" s="22">
        <v>210</v>
      </c>
      <c r="AP675" s="22">
        <v>206</v>
      </c>
      <c r="AQ675" s="22">
        <v>204</v>
      </c>
      <c r="AR675" s="22">
        <v>201</v>
      </c>
      <c r="AS675" s="22">
        <v>198</v>
      </c>
      <c r="AT675" s="22">
        <v>195</v>
      </c>
      <c r="AU675" s="22">
        <v>191</v>
      </c>
      <c r="AV675" s="22">
        <v>188</v>
      </c>
      <c r="AW675" s="22">
        <v>186</v>
      </c>
      <c r="AX675" s="22">
        <v>182</v>
      </c>
      <c r="AY675" s="22">
        <v>180</v>
      </c>
      <c r="AZ675" s="22">
        <v>176</v>
      </c>
      <c r="BA675" s="647">
        <v>173</v>
      </c>
      <c r="BB675" s="647">
        <v>170</v>
      </c>
      <c r="BC675" s="30">
        <v>168</v>
      </c>
    </row>
    <row r="676" spans="1:55" s="426" customFormat="1" x14ac:dyDescent="0.25">
      <c r="A676" s="41">
        <f t="shared" si="140"/>
        <v>0</v>
      </c>
      <c r="B676" s="2">
        <v>750</v>
      </c>
      <c r="C676" s="2">
        <v>800</v>
      </c>
      <c r="D676" s="26">
        <f t="shared" si="143"/>
        <v>178</v>
      </c>
      <c r="E676" s="2">
        <f t="shared" si="142"/>
        <v>176</v>
      </c>
      <c r="F676" s="2">
        <f t="shared" si="142"/>
        <v>174</v>
      </c>
      <c r="G676" s="2">
        <f t="shared" si="142"/>
        <v>171</v>
      </c>
      <c r="H676" s="2">
        <f t="shared" si="142"/>
        <v>169</v>
      </c>
      <c r="I676" s="2">
        <f t="shared" si="142"/>
        <v>166</v>
      </c>
      <c r="J676" s="2">
        <f t="shared" si="142"/>
        <v>164</v>
      </c>
      <c r="K676" s="2">
        <f t="shared" si="142"/>
        <v>162</v>
      </c>
      <c r="L676" s="2">
        <f t="shared" si="142"/>
        <v>160</v>
      </c>
      <c r="M676" s="2">
        <f t="shared" si="142"/>
        <v>157</v>
      </c>
      <c r="N676" s="2">
        <f t="shared" si="142"/>
        <v>156</v>
      </c>
      <c r="O676" s="2">
        <f t="shared" si="142"/>
        <v>153</v>
      </c>
      <c r="P676" s="2">
        <f t="shared" si="142"/>
        <v>151</v>
      </c>
      <c r="Q676" s="2">
        <f t="shared" si="142"/>
        <v>148</v>
      </c>
      <c r="R676" s="2">
        <f t="shared" si="142"/>
        <v>145</v>
      </c>
      <c r="S676" s="2">
        <f t="shared" si="142"/>
        <v>143</v>
      </c>
      <c r="T676" s="2">
        <f t="shared" si="142"/>
        <v>143</v>
      </c>
      <c r="U676" s="2">
        <f t="shared" si="142"/>
        <v>138</v>
      </c>
      <c r="V676" s="2">
        <f t="shared" si="142"/>
        <v>137</v>
      </c>
      <c r="W676" s="2">
        <f t="shared" si="142"/>
        <v>134</v>
      </c>
      <c r="X676" s="2">
        <f t="shared" si="142"/>
        <v>131</v>
      </c>
      <c r="Y676" s="2">
        <f t="shared" si="142"/>
        <v>129</v>
      </c>
      <c r="Z676" s="25">
        <f t="shared" si="142"/>
        <v>127</v>
      </c>
      <c r="AA676" s="1308"/>
      <c r="AD676" s="713"/>
      <c r="AE676" s="2">
        <v>750</v>
      </c>
      <c r="AF676" s="25">
        <v>800</v>
      </c>
      <c r="AG676" s="29">
        <v>229</v>
      </c>
      <c r="AH676" s="22">
        <v>226</v>
      </c>
      <c r="AI676" s="22">
        <v>224</v>
      </c>
      <c r="AJ676" s="22">
        <v>220</v>
      </c>
      <c r="AK676" s="22">
        <v>217</v>
      </c>
      <c r="AL676" s="22">
        <v>214</v>
      </c>
      <c r="AM676" s="22">
        <v>211</v>
      </c>
      <c r="AN676" s="22">
        <v>208</v>
      </c>
      <c r="AO676" s="22">
        <v>206</v>
      </c>
      <c r="AP676" s="22">
        <v>202</v>
      </c>
      <c r="AQ676" s="22">
        <v>200</v>
      </c>
      <c r="AR676" s="22">
        <v>197</v>
      </c>
      <c r="AS676" s="22">
        <v>194</v>
      </c>
      <c r="AT676" s="22">
        <v>191</v>
      </c>
      <c r="AU676" s="22">
        <v>187</v>
      </c>
      <c r="AV676" s="22">
        <v>184</v>
      </c>
      <c r="AW676" s="22">
        <v>184</v>
      </c>
      <c r="AX676" s="22">
        <v>178</v>
      </c>
      <c r="AY676" s="22">
        <v>176</v>
      </c>
      <c r="AZ676" s="22">
        <v>172</v>
      </c>
      <c r="BA676" s="647">
        <v>169</v>
      </c>
      <c r="BB676" s="647">
        <v>166</v>
      </c>
      <c r="BC676" s="30">
        <v>164</v>
      </c>
    </row>
    <row r="677" spans="1:55" s="426" customFormat="1" x14ac:dyDescent="0.25">
      <c r="A677" s="41">
        <f t="shared" si="140"/>
        <v>0</v>
      </c>
      <c r="B677" s="2">
        <v>800</v>
      </c>
      <c r="C677" s="2">
        <v>850</v>
      </c>
      <c r="D677" s="26">
        <f t="shared" si="143"/>
        <v>175</v>
      </c>
      <c r="E677" s="2">
        <f t="shared" si="142"/>
        <v>173</v>
      </c>
      <c r="F677" s="2">
        <f t="shared" si="142"/>
        <v>171</v>
      </c>
      <c r="G677" s="2">
        <f t="shared" si="142"/>
        <v>168</v>
      </c>
      <c r="H677" s="2">
        <f t="shared" si="142"/>
        <v>166</v>
      </c>
      <c r="I677" s="2">
        <f t="shared" si="142"/>
        <v>163</v>
      </c>
      <c r="J677" s="2">
        <f t="shared" si="142"/>
        <v>160</v>
      </c>
      <c r="K677" s="2">
        <f t="shared" si="142"/>
        <v>159</v>
      </c>
      <c r="L677" s="2">
        <f t="shared" si="142"/>
        <v>157</v>
      </c>
      <c r="M677" s="2">
        <f t="shared" si="142"/>
        <v>154</v>
      </c>
      <c r="N677" s="2">
        <f t="shared" si="142"/>
        <v>152</v>
      </c>
      <c r="O677" s="2">
        <f t="shared" si="142"/>
        <v>151</v>
      </c>
      <c r="P677" s="2">
        <f t="shared" si="142"/>
        <v>148</v>
      </c>
      <c r="Q677" s="2">
        <f t="shared" si="142"/>
        <v>145</v>
      </c>
      <c r="R677" s="2">
        <f t="shared" si="142"/>
        <v>142</v>
      </c>
      <c r="S677" s="2">
        <f t="shared" si="142"/>
        <v>140</v>
      </c>
      <c r="T677" s="2">
        <f t="shared" si="142"/>
        <v>140</v>
      </c>
      <c r="U677" s="2">
        <f t="shared" si="142"/>
        <v>135</v>
      </c>
      <c r="V677" s="2">
        <f t="shared" si="142"/>
        <v>134</v>
      </c>
      <c r="W677" s="2">
        <f t="shared" si="142"/>
        <v>131</v>
      </c>
      <c r="X677" s="2">
        <f t="shared" si="142"/>
        <v>128</v>
      </c>
      <c r="Y677" s="2">
        <f t="shared" si="142"/>
        <v>126</v>
      </c>
      <c r="Z677" s="25">
        <f t="shared" si="142"/>
        <v>124</v>
      </c>
      <c r="AA677" s="1308"/>
      <c r="AD677" s="713"/>
      <c r="AE677" s="2">
        <v>800</v>
      </c>
      <c r="AF677" s="25">
        <v>850</v>
      </c>
      <c r="AG677" s="29">
        <v>225</v>
      </c>
      <c r="AH677" s="22">
        <v>222</v>
      </c>
      <c r="AI677" s="22">
        <v>220</v>
      </c>
      <c r="AJ677" s="22">
        <v>216</v>
      </c>
      <c r="AK677" s="22">
        <v>213</v>
      </c>
      <c r="AL677" s="22">
        <v>210</v>
      </c>
      <c r="AM677" s="22">
        <v>206</v>
      </c>
      <c r="AN677" s="22">
        <v>204</v>
      </c>
      <c r="AO677" s="22">
        <v>202</v>
      </c>
      <c r="AP677" s="22">
        <v>198</v>
      </c>
      <c r="AQ677" s="22">
        <v>196</v>
      </c>
      <c r="AR677" s="22">
        <v>194</v>
      </c>
      <c r="AS677" s="22">
        <v>190</v>
      </c>
      <c r="AT677" s="22">
        <v>187</v>
      </c>
      <c r="AU677" s="22">
        <v>183</v>
      </c>
      <c r="AV677" s="22">
        <v>180</v>
      </c>
      <c r="AW677" s="22">
        <v>180</v>
      </c>
      <c r="AX677" s="22">
        <v>174</v>
      </c>
      <c r="AY677" s="22">
        <v>172</v>
      </c>
      <c r="AZ677" s="22">
        <v>168</v>
      </c>
      <c r="BA677" s="647">
        <v>165</v>
      </c>
      <c r="BB677" s="647">
        <v>162</v>
      </c>
      <c r="BC677" s="30">
        <v>160</v>
      </c>
    </row>
    <row r="678" spans="1:55" s="426" customFormat="1" ht="15.75" thickBot="1" x14ac:dyDescent="0.3">
      <c r="A678" s="41">
        <f t="shared" si="140"/>
        <v>0</v>
      </c>
      <c r="B678" s="1050">
        <v>850</v>
      </c>
      <c r="C678" s="1051">
        <v>900</v>
      </c>
      <c r="D678" s="1050">
        <f t="shared" si="143"/>
        <v>171</v>
      </c>
      <c r="E678" s="1051">
        <f t="shared" si="142"/>
        <v>170</v>
      </c>
      <c r="F678" s="1051">
        <f t="shared" si="142"/>
        <v>168</v>
      </c>
      <c r="G678" s="1051">
        <f t="shared" si="142"/>
        <v>166</v>
      </c>
      <c r="H678" s="1051">
        <f t="shared" si="142"/>
        <v>163</v>
      </c>
      <c r="I678" s="1051">
        <f t="shared" si="142"/>
        <v>160</v>
      </c>
      <c r="J678" s="1051">
        <f t="shared" si="142"/>
        <v>157</v>
      </c>
      <c r="K678" s="1051">
        <f t="shared" si="142"/>
        <v>156</v>
      </c>
      <c r="L678" s="1051">
        <f t="shared" si="142"/>
        <v>154</v>
      </c>
      <c r="M678" s="1051">
        <f t="shared" si="142"/>
        <v>151</v>
      </c>
      <c r="N678" s="1051">
        <f t="shared" si="142"/>
        <v>149</v>
      </c>
      <c r="O678" s="1051">
        <f t="shared" si="142"/>
        <v>148</v>
      </c>
      <c r="P678" s="1051">
        <f t="shared" si="142"/>
        <v>145</v>
      </c>
      <c r="Q678" s="1051">
        <f t="shared" si="142"/>
        <v>142</v>
      </c>
      <c r="R678" s="1051">
        <f t="shared" si="142"/>
        <v>139</v>
      </c>
      <c r="S678" s="1051">
        <f t="shared" si="142"/>
        <v>137</v>
      </c>
      <c r="T678" s="1051">
        <f t="shared" si="142"/>
        <v>137</v>
      </c>
      <c r="U678" s="1051">
        <f t="shared" si="142"/>
        <v>132</v>
      </c>
      <c r="V678" s="1051">
        <f t="shared" si="142"/>
        <v>131</v>
      </c>
      <c r="W678" s="1051">
        <f t="shared" si="142"/>
        <v>127</v>
      </c>
      <c r="X678" s="1051">
        <f t="shared" si="142"/>
        <v>126</v>
      </c>
      <c r="Y678" s="1051">
        <f t="shared" si="142"/>
        <v>123</v>
      </c>
      <c r="Z678" s="1052">
        <f t="shared" si="142"/>
        <v>121</v>
      </c>
      <c r="AA678" s="1308"/>
      <c r="AD678" s="713"/>
      <c r="AE678" s="1050">
        <v>850</v>
      </c>
      <c r="AF678" s="1052">
        <v>900</v>
      </c>
      <c r="AG678" s="1053">
        <v>220</v>
      </c>
      <c r="AH678" s="1054">
        <v>218</v>
      </c>
      <c r="AI678" s="1054">
        <v>216</v>
      </c>
      <c r="AJ678" s="1054">
        <v>214</v>
      </c>
      <c r="AK678" s="1054">
        <v>209</v>
      </c>
      <c r="AL678" s="1054">
        <v>206</v>
      </c>
      <c r="AM678" s="1054">
        <v>202</v>
      </c>
      <c r="AN678" s="1054">
        <v>200</v>
      </c>
      <c r="AO678" s="1054">
        <v>198</v>
      </c>
      <c r="AP678" s="1054">
        <v>194</v>
      </c>
      <c r="AQ678" s="1054">
        <v>192</v>
      </c>
      <c r="AR678" s="1054">
        <v>190</v>
      </c>
      <c r="AS678" s="1054">
        <v>186</v>
      </c>
      <c r="AT678" s="1054">
        <v>183</v>
      </c>
      <c r="AU678" s="1054">
        <v>179</v>
      </c>
      <c r="AV678" s="1054">
        <v>176</v>
      </c>
      <c r="AW678" s="1054">
        <v>176</v>
      </c>
      <c r="AX678" s="1054">
        <v>170</v>
      </c>
      <c r="AY678" s="1054">
        <v>168</v>
      </c>
      <c r="AZ678" s="1054">
        <v>164</v>
      </c>
      <c r="BA678" s="1055">
        <v>162</v>
      </c>
      <c r="BB678" s="1055">
        <v>158</v>
      </c>
      <c r="BC678" s="1056">
        <v>156</v>
      </c>
    </row>
    <row r="679" spans="1:55" s="426" customFormat="1" ht="15.75" thickBot="1" x14ac:dyDescent="0.3">
      <c r="A679" s="41">
        <f t="shared" si="140"/>
        <v>0</v>
      </c>
      <c r="B679" s="2">
        <v>900</v>
      </c>
      <c r="C679" s="2">
        <v>950</v>
      </c>
      <c r="D679" s="26">
        <f>FLOOR($AD$679*AG679,1)</f>
        <v>150</v>
      </c>
      <c r="E679" s="2">
        <f t="shared" si="142"/>
        <v>165</v>
      </c>
      <c r="F679" s="2">
        <f t="shared" si="142"/>
        <v>163</v>
      </c>
      <c r="G679" s="2">
        <f t="shared" si="142"/>
        <v>162</v>
      </c>
      <c r="H679" s="2">
        <f t="shared" si="142"/>
        <v>159</v>
      </c>
      <c r="I679" s="2">
        <f t="shared" si="142"/>
        <v>156</v>
      </c>
      <c r="J679" s="2">
        <f t="shared" si="142"/>
        <v>154</v>
      </c>
      <c r="K679" s="2">
        <f t="shared" si="142"/>
        <v>152</v>
      </c>
      <c r="L679" s="2">
        <f t="shared" si="142"/>
        <v>151</v>
      </c>
      <c r="M679" s="2">
        <f t="shared" si="142"/>
        <v>148</v>
      </c>
      <c r="N679" s="2">
        <f t="shared" si="142"/>
        <v>146</v>
      </c>
      <c r="O679" s="2">
        <f t="shared" si="142"/>
        <v>145</v>
      </c>
      <c r="P679" s="2">
        <f t="shared" si="142"/>
        <v>141</v>
      </c>
      <c r="Q679" s="2">
        <f t="shared" si="142"/>
        <v>139</v>
      </c>
      <c r="R679" s="2">
        <f t="shared" si="142"/>
        <v>136</v>
      </c>
      <c r="S679" s="2">
        <f t="shared" si="142"/>
        <v>134</v>
      </c>
      <c r="T679" s="2">
        <f t="shared" si="142"/>
        <v>134</v>
      </c>
      <c r="U679" s="2">
        <f t="shared" si="142"/>
        <v>129</v>
      </c>
      <c r="V679" s="2">
        <f t="shared" si="142"/>
        <v>127</v>
      </c>
      <c r="W679" s="2">
        <f t="shared" si="142"/>
        <v>124</v>
      </c>
      <c r="X679" s="2">
        <f t="shared" si="142"/>
        <v>123</v>
      </c>
      <c r="Y679" s="2">
        <f t="shared" si="142"/>
        <v>120</v>
      </c>
      <c r="Z679" s="25">
        <f t="shared" si="142"/>
        <v>118</v>
      </c>
      <c r="AA679" s="1308"/>
      <c r="AD679" s="1058">
        <v>0.7</v>
      </c>
      <c r="AE679" s="2">
        <v>900</v>
      </c>
      <c r="AF679" s="25">
        <v>950</v>
      </c>
      <c r="AG679" s="29">
        <v>215</v>
      </c>
      <c r="AH679" s="22">
        <v>212</v>
      </c>
      <c r="AI679" s="22">
        <v>210</v>
      </c>
      <c r="AJ679" s="22">
        <v>208</v>
      </c>
      <c r="AK679" s="22">
        <v>204</v>
      </c>
      <c r="AL679" s="22">
        <v>201</v>
      </c>
      <c r="AM679" s="22">
        <v>198</v>
      </c>
      <c r="AN679" s="22">
        <v>196</v>
      </c>
      <c r="AO679" s="22">
        <v>194</v>
      </c>
      <c r="AP679" s="22">
        <v>190</v>
      </c>
      <c r="AQ679" s="22">
        <v>188</v>
      </c>
      <c r="AR679" s="22">
        <v>186</v>
      </c>
      <c r="AS679" s="22">
        <v>182</v>
      </c>
      <c r="AT679" s="22">
        <v>179</v>
      </c>
      <c r="AU679" s="22">
        <v>175</v>
      </c>
      <c r="AV679" s="22">
        <v>172</v>
      </c>
      <c r="AW679" s="22">
        <v>172</v>
      </c>
      <c r="AX679" s="22">
        <v>166</v>
      </c>
      <c r="AY679" s="22">
        <v>164</v>
      </c>
      <c r="AZ679" s="22">
        <v>160</v>
      </c>
      <c r="BA679" s="647">
        <v>158</v>
      </c>
      <c r="BB679" s="647">
        <v>154</v>
      </c>
      <c r="BC679" s="30">
        <v>152</v>
      </c>
    </row>
    <row r="680" spans="1:55" s="426" customFormat="1" x14ac:dyDescent="0.25">
      <c r="A680" s="41">
        <f t="shared" si="140"/>
        <v>0</v>
      </c>
      <c r="B680" s="2">
        <v>950</v>
      </c>
      <c r="C680" s="2">
        <v>1000</v>
      </c>
      <c r="D680" s="26">
        <f t="shared" si="143"/>
        <v>163</v>
      </c>
      <c r="E680" s="2">
        <f t="shared" si="142"/>
        <v>160</v>
      </c>
      <c r="F680" s="2">
        <f t="shared" si="142"/>
        <v>159</v>
      </c>
      <c r="G680" s="2">
        <f t="shared" si="142"/>
        <v>157</v>
      </c>
      <c r="H680" s="2">
        <f t="shared" si="142"/>
        <v>155</v>
      </c>
      <c r="I680" s="2">
        <f t="shared" si="142"/>
        <v>152</v>
      </c>
      <c r="J680" s="2">
        <f t="shared" si="142"/>
        <v>150</v>
      </c>
      <c r="K680" s="2">
        <f t="shared" si="142"/>
        <v>149</v>
      </c>
      <c r="L680" s="2">
        <f t="shared" si="142"/>
        <v>146</v>
      </c>
      <c r="M680" s="2">
        <f t="shared" si="142"/>
        <v>145</v>
      </c>
      <c r="N680" s="2">
        <f t="shared" si="142"/>
        <v>143</v>
      </c>
      <c r="O680" s="2">
        <f t="shared" si="142"/>
        <v>141</v>
      </c>
      <c r="P680" s="2">
        <f t="shared" si="142"/>
        <v>138</v>
      </c>
      <c r="Q680" s="2">
        <f t="shared" si="142"/>
        <v>136</v>
      </c>
      <c r="R680" s="2">
        <f t="shared" si="142"/>
        <v>133</v>
      </c>
      <c r="S680" s="2">
        <f t="shared" si="142"/>
        <v>131</v>
      </c>
      <c r="T680" s="2">
        <f t="shared" si="142"/>
        <v>131</v>
      </c>
      <c r="U680" s="2">
        <f t="shared" si="142"/>
        <v>127</v>
      </c>
      <c r="V680" s="2">
        <f t="shared" si="142"/>
        <v>124</v>
      </c>
      <c r="W680" s="2">
        <f t="shared" si="142"/>
        <v>122</v>
      </c>
      <c r="X680" s="2">
        <f t="shared" si="142"/>
        <v>120</v>
      </c>
      <c r="Y680" s="2">
        <f t="shared" si="142"/>
        <v>117</v>
      </c>
      <c r="Z680" s="25">
        <f t="shared" si="142"/>
        <v>115</v>
      </c>
      <c r="AA680" s="1308"/>
      <c r="AD680" s="713"/>
      <c r="AE680" s="2">
        <v>950</v>
      </c>
      <c r="AF680" s="25">
        <v>1000</v>
      </c>
      <c r="AG680" s="29">
        <v>210</v>
      </c>
      <c r="AH680" s="22">
        <v>206</v>
      </c>
      <c r="AI680" s="22">
        <v>204</v>
      </c>
      <c r="AJ680" s="22">
        <v>202</v>
      </c>
      <c r="AK680" s="22">
        <v>199</v>
      </c>
      <c r="AL680" s="22">
        <v>195</v>
      </c>
      <c r="AM680" s="22">
        <v>193</v>
      </c>
      <c r="AN680" s="22">
        <v>192</v>
      </c>
      <c r="AO680" s="22">
        <v>188</v>
      </c>
      <c r="AP680" s="22">
        <v>186</v>
      </c>
      <c r="AQ680" s="22">
        <v>184</v>
      </c>
      <c r="AR680" s="22">
        <v>182</v>
      </c>
      <c r="AS680" s="22">
        <v>178</v>
      </c>
      <c r="AT680" s="22">
        <v>175</v>
      </c>
      <c r="AU680" s="22">
        <v>171</v>
      </c>
      <c r="AV680" s="22">
        <v>168</v>
      </c>
      <c r="AW680" s="22">
        <v>168</v>
      </c>
      <c r="AX680" s="22">
        <v>163</v>
      </c>
      <c r="AY680" s="22">
        <v>160</v>
      </c>
      <c r="AZ680" s="22">
        <v>157</v>
      </c>
      <c r="BA680" s="647">
        <v>154</v>
      </c>
      <c r="BB680" s="647">
        <v>150</v>
      </c>
      <c r="BC680" s="30">
        <v>148</v>
      </c>
    </row>
    <row r="681" spans="1:55" s="426" customFormat="1" x14ac:dyDescent="0.25">
      <c r="A681" s="41">
        <f t="shared" si="140"/>
        <v>0</v>
      </c>
      <c r="B681" s="2">
        <v>1000</v>
      </c>
      <c r="C681" s="2">
        <v>1050</v>
      </c>
      <c r="D681" s="26">
        <f t="shared" si="143"/>
        <v>159</v>
      </c>
      <c r="E681" s="2">
        <f t="shared" si="142"/>
        <v>156</v>
      </c>
      <c r="F681" s="2">
        <f t="shared" si="142"/>
        <v>154</v>
      </c>
      <c r="G681" s="2">
        <f t="shared" si="142"/>
        <v>152</v>
      </c>
      <c r="H681" s="2">
        <f t="shared" si="142"/>
        <v>151</v>
      </c>
      <c r="I681" s="2">
        <f t="shared" si="142"/>
        <v>148</v>
      </c>
      <c r="J681" s="2">
        <f t="shared" si="142"/>
        <v>146</v>
      </c>
      <c r="K681" s="2">
        <f t="shared" si="142"/>
        <v>145</v>
      </c>
      <c r="L681" s="2">
        <f t="shared" si="142"/>
        <v>143</v>
      </c>
      <c r="M681" s="2">
        <f t="shared" si="142"/>
        <v>141</v>
      </c>
      <c r="N681" s="2">
        <f t="shared" si="142"/>
        <v>140</v>
      </c>
      <c r="O681" s="2">
        <f t="shared" si="142"/>
        <v>138</v>
      </c>
      <c r="P681" s="2">
        <f t="shared" si="142"/>
        <v>135</v>
      </c>
      <c r="Q681" s="2">
        <f t="shared" si="142"/>
        <v>133</v>
      </c>
      <c r="R681" s="2">
        <f t="shared" si="142"/>
        <v>131</v>
      </c>
      <c r="S681" s="2">
        <f t="shared" si="142"/>
        <v>128</v>
      </c>
      <c r="T681" s="2">
        <f t="shared" si="142"/>
        <v>127</v>
      </c>
      <c r="U681" s="2">
        <f t="shared" si="142"/>
        <v>124</v>
      </c>
      <c r="V681" s="2">
        <f t="shared" si="142"/>
        <v>123</v>
      </c>
      <c r="W681" s="2">
        <f t="shared" si="142"/>
        <v>120</v>
      </c>
      <c r="X681" s="2">
        <f t="shared" si="142"/>
        <v>118</v>
      </c>
      <c r="Y681" s="2">
        <f t="shared" si="142"/>
        <v>115</v>
      </c>
      <c r="Z681" s="25">
        <f t="shared" si="142"/>
        <v>113</v>
      </c>
      <c r="AA681" s="1308"/>
      <c r="AD681" s="713"/>
      <c r="AE681" s="2">
        <v>1000</v>
      </c>
      <c r="AF681" s="25">
        <v>1050</v>
      </c>
      <c r="AG681" s="29">
        <v>205</v>
      </c>
      <c r="AH681" s="22">
        <v>200</v>
      </c>
      <c r="AI681" s="22">
        <v>198</v>
      </c>
      <c r="AJ681" s="22">
        <v>196</v>
      </c>
      <c r="AK681" s="22">
        <v>194</v>
      </c>
      <c r="AL681" s="22">
        <v>190</v>
      </c>
      <c r="AM681" s="22">
        <v>188</v>
      </c>
      <c r="AN681" s="22">
        <v>186</v>
      </c>
      <c r="AO681" s="22">
        <v>184</v>
      </c>
      <c r="AP681" s="22">
        <v>182</v>
      </c>
      <c r="AQ681" s="22">
        <v>180</v>
      </c>
      <c r="AR681" s="22">
        <v>178</v>
      </c>
      <c r="AS681" s="22">
        <v>174</v>
      </c>
      <c r="AT681" s="22">
        <v>171</v>
      </c>
      <c r="AU681" s="22">
        <v>168</v>
      </c>
      <c r="AV681" s="22">
        <v>165</v>
      </c>
      <c r="AW681" s="22">
        <v>164</v>
      </c>
      <c r="AX681" s="22">
        <v>160</v>
      </c>
      <c r="AY681" s="22">
        <v>158</v>
      </c>
      <c r="AZ681" s="22">
        <v>154</v>
      </c>
      <c r="BA681" s="647">
        <v>152</v>
      </c>
      <c r="BB681" s="647">
        <v>148</v>
      </c>
      <c r="BC681" s="30">
        <v>146</v>
      </c>
    </row>
    <row r="682" spans="1:55" s="426" customFormat="1" x14ac:dyDescent="0.25">
      <c r="A682" s="41">
        <f t="shared" si="140"/>
        <v>0</v>
      </c>
      <c r="B682" s="2">
        <v>1050</v>
      </c>
      <c r="C682" s="2">
        <v>1100</v>
      </c>
      <c r="D682" s="26">
        <f t="shared" si="143"/>
        <v>156</v>
      </c>
      <c r="E682" s="2">
        <f t="shared" si="142"/>
        <v>151</v>
      </c>
      <c r="F682" s="2">
        <f t="shared" si="142"/>
        <v>149</v>
      </c>
      <c r="G682" s="2">
        <f t="shared" si="142"/>
        <v>148</v>
      </c>
      <c r="H682" s="2">
        <f t="shared" si="142"/>
        <v>146</v>
      </c>
      <c r="I682" s="2">
        <f t="shared" si="142"/>
        <v>145</v>
      </c>
      <c r="J682" s="2">
        <f t="shared" si="142"/>
        <v>143</v>
      </c>
      <c r="K682" s="2">
        <f t="shared" si="142"/>
        <v>141</v>
      </c>
      <c r="L682" s="2">
        <f t="shared" si="142"/>
        <v>139</v>
      </c>
      <c r="M682" s="2">
        <f t="shared" si="142"/>
        <v>138</v>
      </c>
      <c r="N682" s="2">
        <f t="shared" si="142"/>
        <v>137</v>
      </c>
      <c r="O682" s="2">
        <f t="shared" si="142"/>
        <v>135</v>
      </c>
      <c r="P682" s="2">
        <f t="shared" si="142"/>
        <v>132</v>
      </c>
      <c r="Q682" s="2">
        <f t="shared" si="142"/>
        <v>130</v>
      </c>
      <c r="R682" s="2">
        <f t="shared" si="142"/>
        <v>127</v>
      </c>
      <c r="S682" s="2">
        <f t="shared" si="142"/>
        <v>126</v>
      </c>
      <c r="T682" s="2">
        <f t="shared" si="142"/>
        <v>124</v>
      </c>
      <c r="U682" s="2">
        <f t="shared" si="142"/>
        <v>123</v>
      </c>
      <c r="V682" s="2">
        <f t="shared" si="142"/>
        <v>121</v>
      </c>
      <c r="W682" s="2">
        <f t="shared" si="142"/>
        <v>118</v>
      </c>
      <c r="X682" s="2">
        <f t="shared" si="142"/>
        <v>117</v>
      </c>
      <c r="Y682" s="2">
        <f t="shared" si="142"/>
        <v>113</v>
      </c>
      <c r="Z682" s="25">
        <f t="shared" si="142"/>
        <v>112</v>
      </c>
      <c r="AA682" s="1308"/>
      <c r="AD682" s="713"/>
      <c r="AE682" s="2">
        <v>1050</v>
      </c>
      <c r="AF682" s="25">
        <v>1100</v>
      </c>
      <c r="AG682" s="29">
        <v>200</v>
      </c>
      <c r="AH682" s="22">
        <v>194</v>
      </c>
      <c r="AI682" s="22">
        <v>192</v>
      </c>
      <c r="AJ682" s="22">
        <v>190</v>
      </c>
      <c r="AK682" s="22">
        <v>188</v>
      </c>
      <c r="AL682" s="22">
        <v>186</v>
      </c>
      <c r="AM682" s="22">
        <v>184</v>
      </c>
      <c r="AN682" s="22">
        <v>181</v>
      </c>
      <c r="AO682" s="22">
        <v>179</v>
      </c>
      <c r="AP682" s="22">
        <v>178</v>
      </c>
      <c r="AQ682" s="22">
        <v>176</v>
      </c>
      <c r="AR682" s="22">
        <v>174</v>
      </c>
      <c r="AS682" s="22">
        <v>170</v>
      </c>
      <c r="AT682" s="22">
        <v>167</v>
      </c>
      <c r="AU682" s="22">
        <v>164</v>
      </c>
      <c r="AV682" s="22">
        <v>162</v>
      </c>
      <c r="AW682" s="22">
        <v>160</v>
      </c>
      <c r="AX682" s="22">
        <v>158</v>
      </c>
      <c r="AY682" s="22">
        <v>156</v>
      </c>
      <c r="AZ682" s="22">
        <v>152</v>
      </c>
      <c r="BA682" s="22">
        <v>150</v>
      </c>
      <c r="BB682" s="22">
        <v>146</v>
      </c>
      <c r="BC682" s="30">
        <v>144</v>
      </c>
    </row>
    <row r="683" spans="1:55" s="426" customFormat="1" x14ac:dyDescent="0.25">
      <c r="A683" s="41">
        <f t="shared" si="140"/>
        <v>0</v>
      </c>
      <c r="B683" s="2">
        <v>1100</v>
      </c>
      <c r="C683" s="2">
        <v>1150</v>
      </c>
      <c r="D683" s="26">
        <f t="shared" si="143"/>
        <v>151</v>
      </c>
      <c r="E683" s="2">
        <f t="shared" si="142"/>
        <v>147</v>
      </c>
      <c r="F683" s="2">
        <f t="shared" si="142"/>
        <v>145</v>
      </c>
      <c r="G683" s="2">
        <f t="shared" si="142"/>
        <v>144</v>
      </c>
      <c r="H683" s="2">
        <f t="shared" si="142"/>
        <v>143</v>
      </c>
      <c r="I683" s="2">
        <f t="shared" si="142"/>
        <v>141</v>
      </c>
      <c r="J683" s="2">
        <f t="shared" si="142"/>
        <v>140</v>
      </c>
      <c r="K683" s="2">
        <f t="shared" si="142"/>
        <v>138</v>
      </c>
      <c r="L683" s="2">
        <f t="shared" si="142"/>
        <v>136</v>
      </c>
      <c r="M683" s="2">
        <f t="shared" si="142"/>
        <v>135</v>
      </c>
      <c r="N683" s="2">
        <f t="shared" si="142"/>
        <v>134</v>
      </c>
      <c r="O683" s="2">
        <f t="shared" si="142"/>
        <v>132</v>
      </c>
      <c r="P683" s="2">
        <f t="shared" si="142"/>
        <v>131</v>
      </c>
      <c r="Q683" s="2">
        <f t="shared" si="142"/>
        <v>127</v>
      </c>
      <c r="R683" s="2">
        <f t="shared" ref="R683:R684" si="144">FLOOR($AD$672*AU683,1)</f>
        <v>126</v>
      </c>
      <c r="S683" s="2">
        <f t="shared" ref="S683:S684" si="145">FLOOR($AD$672*AV683,1)</f>
        <v>124</v>
      </c>
      <c r="T683" s="2">
        <f t="shared" ref="T683:T684" si="146">FLOOR($AD$672*AW683,1)</f>
        <v>123</v>
      </c>
      <c r="U683" s="2">
        <f t="shared" ref="U683:U684" si="147">FLOOR($AD$672*AX683,1)</f>
        <v>121</v>
      </c>
      <c r="V683" s="2">
        <f t="shared" ref="V683:V684" si="148">FLOOR($AD$672*AY683,1)</f>
        <v>120</v>
      </c>
      <c r="W683" s="2">
        <f t="shared" ref="W683:W684" si="149">FLOOR($AD$672*AZ683,1)</f>
        <v>117</v>
      </c>
      <c r="X683" s="2">
        <f t="shared" ref="X683:X684" si="150">FLOOR($AD$672*BA683,1)</f>
        <v>115</v>
      </c>
      <c r="Y683" s="2">
        <f t="shared" ref="Y683:Y684" si="151">FLOOR($AD$672*BB683,1)</f>
        <v>112</v>
      </c>
      <c r="Z683" s="25">
        <f t="shared" ref="Z683:Z684" si="152">FLOOR($AD$672*BC683,1)</f>
        <v>110</v>
      </c>
      <c r="AA683" s="1308"/>
      <c r="AD683" s="713"/>
      <c r="AE683" s="2">
        <v>1100</v>
      </c>
      <c r="AF683" s="25">
        <v>1150</v>
      </c>
      <c r="AG683" s="29">
        <v>194</v>
      </c>
      <c r="AH683" s="22">
        <v>189</v>
      </c>
      <c r="AI683" s="22">
        <v>187</v>
      </c>
      <c r="AJ683" s="22">
        <v>185</v>
      </c>
      <c r="AK683" s="22">
        <v>184</v>
      </c>
      <c r="AL683" s="22">
        <v>182</v>
      </c>
      <c r="AM683" s="22">
        <v>180</v>
      </c>
      <c r="AN683" s="22">
        <v>177</v>
      </c>
      <c r="AO683" s="22">
        <v>175</v>
      </c>
      <c r="AP683" s="22">
        <v>174</v>
      </c>
      <c r="AQ683" s="22">
        <v>172</v>
      </c>
      <c r="AR683" s="22">
        <v>170</v>
      </c>
      <c r="AS683" s="22">
        <v>168</v>
      </c>
      <c r="AT683" s="22">
        <v>164</v>
      </c>
      <c r="AU683" s="22">
        <v>162</v>
      </c>
      <c r="AV683" s="22">
        <v>160</v>
      </c>
      <c r="AW683" s="22">
        <v>158</v>
      </c>
      <c r="AX683" s="22">
        <v>156</v>
      </c>
      <c r="AY683" s="22">
        <v>154</v>
      </c>
      <c r="AZ683" s="22">
        <v>150</v>
      </c>
      <c r="BA683" s="22">
        <v>148</v>
      </c>
      <c r="BB683" s="22">
        <v>144</v>
      </c>
      <c r="BC683" s="30">
        <v>142</v>
      </c>
    </row>
    <row r="684" spans="1:55" s="426" customFormat="1" ht="15.75" thickBot="1" x14ac:dyDescent="0.3">
      <c r="A684" s="52">
        <f t="shared" si="140"/>
        <v>0</v>
      </c>
      <c r="B684" s="343">
        <v>1150</v>
      </c>
      <c r="C684" s="965">
        <v>1200</v>
      </c>
      <c r="D684" s="26">
        <f t="shared" si="143"/>
        <v>146</v>
      </c>
      <c r="E684" s="2">
        <f t="shared" ref="E684" si="153">FLOOR($AD$672*AH684,1)</f>
        <v>145</v>
      </c>
      <c r="F684" s="2">
        <f t="shared" ref="F684" si="154">FLOOR($AD$672*AI684,1)</f>
        <v>143</v>
      </c>
      <c r="G684" s="2">
        <f t="shared" ref="G684" si="155">FLOOR($AD$672*AJ684,1)</f>
        <v>141</v>
      </c>
      <c r="H684" s="2">
        <f t="shared" ref="H684" si="156">FLOOR($AD$672*AK684,1)</f>
        <v>140</v>
      </c>
      <c r="I684" s="2">
        <f t="shared" ref="I684" si="157">FLOOR($AD$672*AL684,1)</f>
        <v>138</v>
      </c>
      <c r="J684" s="2">
        <f t="shared" ref="J684" si="158">FLOOR($AD$672*AM684,1)</f>
        <v>137</v>
      </c>
      <c r="K684" s="2">
        <f t="shared" ref="K684" si="159">FLOOR($AD$672*AN684,1)</f>
        <v>135</v>
      </c>
      <c r="L684" s="2">
        <f t="shared" ref="L684" si="160">FLOOR($AD$672*AO684,1)</f>
        <v>134</v>
      </c>
      <c r="M684" s="2">
        <f t="shared" ref="M684" si="161">FLOOR($AD$672*AP684,1)</f>
        <v>132</v>
      </c>
      <c r="N684" s="2">
        <f t="shared" ref="N684" si="162">FLOOR($AD$672*AQ684,1)</f>
        <v>131</v>
      </c>
      <c r="O684" s="2">
        <f t="shared" ref="O684" si="163">FLOOR($AD$672*AR684,1)</f>
        <v>129</v>
      </c>
      <c r="P684" s="2">
        <f t="shared" ref="P684" si="164">FLOOR($AD$672*AS684,1)</f>
        <v>127</v>
      </c>
      <c r="Q684" s="2">
        <f t="shared" ref="Q684" si="165">FLOOR($AD$672*AT684,1)</f>
        <v>126</v>
      </c>
      <c r="R684" s="2">
        <f t="shared" si="144"/>
        <v>124</v>
      </c>
      <c r="S684" s="2">
        <f t="shared" si="145"/>
        <v>123</v>
      </c>
      <c r="T684" s="2">
        <f t="shared" si="146"/>
        <v>121</v>
      </c>
      <c r="U684" s="2">
        <f t="shared" si="147"/>
        <v>120</v>
      </c>
      <c r="V684" s="2">
        <f t="shared" si="148"/>
        <v>117</v>
      </c>
      <c r="W684" s="2">
        <f t="shared" si="149"/>
        <v>115</v>
      </c>
      <c r="X684" s="2">
        <f t="shared" si="150"/>
        <v>113</v>
      </c>
      <c r="Y684" s="2">
        <f t="shared" si="151"/>
        <v>110</v>
      </c>
      <c r="Z684" s="25">
        <f t="shared" si="152"/>
        <v>108</v>
      </c>
      <c r="AA684" s="1309"/>
      <c r="AD684" s="713"/>
      <c r="AE684" s="965">
        <v>1150</v>
      </c>
      <c r="AF684" s="966">
        <v>1200</v>
      </c>
      <c r="AG684" s="649">
        <v>188</v>
      </c>
      <c r="AH684" s="344">
        <v>186</v>
      </c>
      <c r="AI684" s="344">
        <v>184</v>
      </c>
      <c r="AJ684" s="344">
        <v>182</v>
      </c>
      <c r="AK684" s="344">
        <v>180</v>
      </c>
      <c r="AL684" s="344">
        <v>178</v>
      </c>
      <c r="AM684" s="344">
        <v>176</v>
      </c>
      <c r="AN684" s="344">
        <v>174</v>
      </c>
      <c r="AO684" s="344">
        <v>172</v>
      </c>
      <c r="AP684" s="344">
        <v>170</v>
      </c>
      <c r="AQ684" s="344">
        <v>168</v>
      </c>
      <c r="AR684" s="344">
        <v>166</v>
      </c>
      <c r="AS684" s="344">
        <v>164</v>
      </c>
      <c r="AT684" s="344">
        <v>162</v>
      </c>
      <c r="AU684" s="344">
        <v>160</v>
      </c>
      <c r="AV684" s="344">
        <v>158</v>
      </c>
      <c r="AW684" s="344">
        <v>156</v>
      </c>
      <c r="AX684" s="344">
        <v>154</v>
      </c>
      <c r="AY684" s="344">
        <v>151</v>
      </c>
      <c r="AZ684" s="344">
        <v>148</v>
      </c>
      <c r="BA684" s="344">
        <v>145</v>
      </c>
      <c r="BB684" s="344">
        <v>142</v>
      </c>
      <c r="BC684" s="490">
        <v>139</v>
      </c>
    </row>
    <row r="685" spans="1:55" s="426" customFormat="1" ht="15.75" thickBot="1" x14ac:dyDescent="0.3">
      <c r="A685" s="404">
        <f t="shared" si="140"/>
        <v>0</v>
      </c>
      <c r="B685" s="449">
        <v>1200</v>
      </c>
      <c r="C685" s="449">
        <v>1250</v>
      </c>
      <c r="D685" s="3">
        <f>FLOOR($AD$685*AG685,1)</f>
        <v>92</v>
      </c>
      <c r="E685" s="449">
        <f t="shared" ref="E685:Z688" si="166">FLOOR($AD$685*AH685,1)</f>
        <v>91</v>
      </c>
      <c r="F685" s="449">
        <f t="shared" si="166"/>
        <v>90</v>
      </c>
      <c r="G685" s="449">
        <f t="shared" si="166"/>
        <v>89</v>
      </c>
      <c r="H685" s="449">
        <f t="shared" si="166"/>
        <v>88</v>
      </c>
      <c r="I685" s="449">
        <f t="shared" si="166"/>
        <v>88</v>
      </c>
      <c r="J685" s="449">
        <f t="shared" si="166"/>
        <v>87</v>
      </c>
      <c r="K685" s="449">
        <f t="shared" si="166"/>
        <v>86</v>
      </c>
      <c r="L685" s="449">
        <f t="shared" si="166"/>
        <v>85</v>
      </c>
      <c r="M685" s="449">
        <f t="shared" si="166"/>
        <v>84</v>
      </c>
      <c r="N685" s="449">
        <f t="shared" si="166"/>
        <v>84</v>
      </c>
      <c r="O685" s="449">
        <f t="shared" si="166"/>
        <v>83</v>
      </c>
      <c r="P685" s="449">
        <f t="shared" si="166"/>
        <v>82</v>
      </c>
      <c r="Q685" s="449">
        <f t="shared" si="166"/>
        <v>81</v>
      </c>
      <c r="R685" s="449">
        <f t="shared" si="166"/>
        <v>80</v>
      </c>
      <c r="S685" s="449">
        <f t="shared" si="166"/>
        <v>80</v>
      </c>
      <c r="T685" s="449">
        <f t="shared" si="166"/>
        <v>79</v>
      </c>
      <c r="U685" s="449">
        <f t="shared" si="166"/>
        <v>77</v>
      </c>
      <c r="V685" s="449">
        <f t="shared" si="166"/>
        <v>76</v>
      </c>
      <c r="W685" s="449">
        <f t="shared" si="166"/>
        <v>74</v>
      </c>
      <c r="X685" s="449">
        <f t="shared" si="166"/>
        <v>72</v>
      </c>
      <c r="Y685" s="449">
        <f t="shared" si="166"/>
        <v>72</v>
      </c>
      <c r="Z685" s="435">
        <f t="shared" si="166"/>
        <v>72</v>
      </c>
      <c r="AA685" s="1307" t="s">
        <v>689</v>
      </c>
      <c r="AD685" s="1058">
        <v>0.8</v>
      </c>
      <c r="AE685" s="449">
        <v>1200</v>
      </c>
      <c r="AF685" s="435">
        <v>1250</v>
      </c>
      <c r="AG685" s="645">
        <v>115</v>
      </c>
      <c r="AH685" s="22">
        <v>114</v>
      </c>
      <c r="AI685" s="22">
        <v>113</v>
      </c>
      <c r="AJ685" s="22">
        <v>112</v>
      </c>
      <c r="AK685" s="22">
        <v>111</v>
      </c>
      <c r="AL685" s="22">
        <v>110</v>
      </c>
      <c r="AM685" s="22">
        <v>109</v>
      </c>
      <c r="AN685" s="22">
        <v>108</v>
      </c>
      <c r="AO685" s="22">
        <v>107</v>
      </c>
      <c r="AP685" s="22">
        <v>106</v>
      </c>
      <c r="AQ685" s="22">
        <v>105</v>
      </c>
      <c r="AR685" s="22">
        <v>104</v>
      </c>
      <c r="AS685" s="22">
        <v>103</v>
      </c>
      <c r="AT685" s="22">
        <v>102</v>
      </c>
      <c r="AU685" s="22">
        <v>101</v>
      </c>
      <c r="AV685" s="22">
        <v>100</v>
      </c>
      <c r="AW685" s="22">
        <v>99</v>
      </c>
      <c r="AX685" s="22">
        <v>97</v>
      </c>
      <c r="AY685" s="22">
        <v>95</v>
      </c>
      <c r="AZ685" s="22">
        <v>93</v>
      </c>
      <c r="BA685" s="22">
        <v>91</v>
      </c>
      <c r="BB685" s="22">
        <v>91</v>
      </c>
      <c r="BC685" s="30">
        <v>91</v>
      </c>
    </row>
    <row r="686" spans="1:55" s="426" customFormat="1" x14ac:dyDescent="0.25">
      <c r="A686" s="41">
        <f t="shared" si="140"/>
        <v>0</v>
      </c>
      <c r="B686" s="2">
        <v>1250</v>
      </c>
      <c r="C686" s="2">
        <v>1300</v>
      </c>
      <c r="D686" s="26">
        <f t="shared" ref="D686:D688" si="167">FLOOR($AD$685*AG686,1)</f>
        <v>88</v>
      </c>
      <c r="E686" s="2">
        <f t="shared" si="166"/>
        <v>87</v>
      </c>
      <c r="F686" s="2">
        <f t="shared" si="166"/>
        <v>86</v>
      </c>
      <c r="G686" s="2">
        <f t="shared" si="166"/>
        <v>85</v>
      </c>
      <c r="H686" s="2">
        <f t="shared" si="166"/>
        <v>84</v>
      </c>
      <c r="I686" s="2">
        <f t="shared" si="166"/>
        <v>84</v>
      </c>
      <c r="J686" s="2">
        <f t="shared" si="166"/>
        <v>83</v>
      </c>
      <c r="K686" s="2">
        <f t="shared" si="166"/>
        <v>82</v>
      </c>
      <c r="L686" s="2">
        <f t="shared" si="166"/>
        <v>81</v>
      </c>
      <c r="M686" s="2">
        <f t="shared" si="166"/>
        <v>80</v>
      </c>
      <c r="N686" s="2">
        <f t="shared" si="166"/>
        <v>80</v>
      </c>
      <c r="O686" s="2">
        <f t="shared" si="166"/>
        <v>80</v>
      </c>
      <c r="P686" s="2">
        <f t="shared" si="166"/>
        <v>79</v>
      </c>
      <c r="Q686" s="2">
        <f t="shared" si="166"/>
        <v>78</v>
      </c>
      <c r="R686" s="2">
        <f t="shared" si="166"/>
        <v>77</v>
      </c>
      <c r="S686" s="2">
        <f t="shared" si="166"/>
        <v>76</v>
      </c>
      <c r="T686" s="2">
        <f t="shared" si="166"/>
        <v>75</v>
      </c>
      <c r="U686" s="2">
        <f t="shared" si="166"/>
        <v>73</v>
      </c>
      <c r="V686" s="2">
        <f t="shared" si="166"/>
        <v>72</v>
      </c>
      <c r="W686" s="2">
        <f t="shared" si="166"/>
        <v>70</v>
      </c>
      <c r="X686" s="2">
        <f t="shared" si="166"/>
        <v>68</v>
      </c>
      <c r="Y686" s="2">
        <f t="shared" si="166"/>
        <v>68</v>
      </c>
      <c r="Z686" s="25">
        <f t="shared" si="166"/>
        <v>68</v>
      </c>
      <c r="AA686" s="1310"/>
      <c r="AD686" s="713"/>
      <c r="AE686" s="26">
        <v>1250</v>
      </c>
      <c r="AF686" s="25">
        <v>1300</v>
      </c>
      <c r="AG686" s="29">
        <v>110</v>
      </c>
      <c r="AH686" s="22">
        <v>109</v>
      </c>
      <c r="AI686" s="22">
        <v>108</v>
      </c>
      <c r="AJ686" s="22">
        <v>107</v>
      </c>
      <c r="AK686" s="22">
        <v>106</v>
      </c>
      <c r="AL686" s="22">
        <v>105</v>
      </c>
      <c r="AM686" s="22">
        <v>104</v>
      </c>
      <c r="AN686" s="22">
        <v>103</v>
      </c>
      <c r="AO686" s="22">
        <v>102</v>
      </c>
      <c r="AP686" s="22">
        <v>101</v>
      </c>
      <c r="AQ686" s="22">
        <v>100</v>
      </c>
      <c r="AR686" s="22">
        <v>100</v>
      </c>
      <c r="AS686" s="22">
        <v>99</v>
      </c>
      <c r="AT686" s="22">
        <v>98</v>
      </c>
      <c r="AU686" s="22">
        <v>97</v>
      </c>
      <c r="AV686" s="22">
        <v>96</v>
      </c>
      <c r="AW686" s="22">
        <v>94</v>
      </c>
      <c r="AX686" s="22">
        <v>92</v>
      </c>
      <c r="AY686" s="22">
        <v>90</v>
      </c>
      <c r="AZ686" s="22">
        <v>88</v>
      </c>
      <c r="BA686" s="22">
        <v>86</v>
      </c>
      <c r="BB686" s="22">
        <v>86</v>
      </c>
      <c r="BC686" s="30">
        <v>86</v>
      </c>
    </row>
    <row r="687" spans="1:55" s="426" customFormat="1" x14ac:dyDescent="0.25">
      <c r="A687" s="41">
        <f t="shared" si="140"/>
        <v>0</v>
      </c>
      <c r="B687" s="2">
        <v>1300</v>
      </c>
      <c r="C687" s="2">
        <v>1350</v>
      </c>
      <c r="D687" s="26">
        <f t="shared" si="167"/>
        <v>84</v>
      </c>
      <c r="E687" s="2">
        <f t="shared" si="166"/>
        <v>83</v>
      </c>
      <c r="F687" s="2">
        <f t="shared" si="166"/>
        <v>82</v>
      </c>
      <c r="G687" s="2">
        <f t="shared" si="166"/>
        <v>81</v>
      </c>
      <c r="H687" s="2">
        <f t="shared" si="166"/>
        <v>80</v>
      </c>
      <c r="I687" s="2">
        <f t="shared" si="166"/>
        <v>80</v>
      </c>
      <c r="J687" s="2">
        <f t="shared" si="166"/>
        <v>80</v>
      </c>
      <c r="K687" s="2">
        <f t="shared" si="166"/>
        <v>79</v>
      </c>
      <c r="L687" s="2">
        <f t="shared" si="166"/>
        <v>78</v>
      </c>
      <c r="M687" s="2">
        <f t="shared" si="166"/>
        <v>77</v>
      </c>
      <c r="N687" s="2">
        <f t="shared" si="166"/>
        <v>76</v>
      </c>
      <c r="O687" s="2">
        <f t="shared" si="166"/>
        <v>76</v>
      </c>
      <c r="P687" s="2">
        <f t="shared" si="166"/>
        <v>75</v>
      </c>
      <c r="Q687" s="2">
        <f t="shared" si="166"/>
        <v>74</v>
      </c>
      <c r="R687" s="2">
        <f t="shared" si="166"/>
        <v>73</v>
      </c>
      <c r="S687" s="2">
        <f t="shared" si="166"/>
        <v>72</v>
      </c>
      <c r="T687" s="2">
        <f t="shared" si="166"/>
        <v>71</v>
      </c>
      <c r="U687" s="2">
        <f t="shared" si="166"/>
        <v>69</v>
      </c>
      <c r="V687" s="2">
        <f t="shared" si="166"/>
        <v>68</v>
      </c>
      <c r="W687" s="2">
        <f t="shared" si="166"/>
        <v>66</v>
      </c>
      <c r="X687" s="2">
        <f t="shared" si="166"/>
        <v>64</v>
      </c>
      <c r="Y687" s="2">
        <f t="shared" si="166"/>
        <v>64</v>
      </c>
      <c r="Z687" s="25">
        <f t="shared" si="166"/>
        <v>64</v>
      </c>
      <c r="AA687" s="1310"/>
      <c r="AD687" s="713"/>
      <c r="AE687" s="26">
        <v>1300</v>
      </c>
      <c r="AF687" s="25">
        <v>1350</v>
      </c>
      <c r="AG687" s="29">
        <v>105</v>
      </c>
      <c r="AH687" s="22">
        <v>104</v>
      </c>
      <c r="AI687" s="22">
        <v>103</v>
      </c>
      <c r="AJ687" s="22">
        <v>102</v>
      </c>
      <c r="AK687" s="22">
        <v>101</v>
      </c>
      <c r="AL687" s="22">
        <v>100</v>
      </c>
      <c r="AM687" s="22">
        <v>100</v>
      </c>
      <c r="AN687" s="22">
        <v>99</v>
      </c>
      <c r="AO687" s="22">
        <v>98</v>
      </c>
      <c r="AP687" s="22">
        <v>97</v>
      </c>
      <c r="AQ687" s="22">
        <v>96</v>
      </c>
      <c r="AR687" s="22">
        <v>95</v>
      </c>
      <c r="AS687" s="22">
        <v>94</v>
      </c>
      <c r="AT687" s="22">
        <v>93</v>
      </c>
      <c r="AU687" s="22">
        <v>92</v>
      </c>
      <c r="AV687" s="22">
        <v>91</v>
      </c>
      <c r="AW687" s="22">
        <v>89</v>
      </c>
      <c r="AX687" s="22">
        <v>87</v>
      </c>
      <c r="AY687" s="22">
        <v>85</v>
      </c>
      <c r="AZ687" s="22">
        <v>83</v>
      </c>
      <c r="BA687" s="22">
        <v>81</v>
      </c>
      <c r="BB687" s="22">
        <v>81</v>
      </c>
      <c r="BC687" s="30">
        <v>81</v>
      </c>
    </row>
    <row r="688" spans="1:55" s="426" customFormat="1" x14ac:dyDescent="0.25">
      <c r="A688" s="52">
        <f t="shared" si="140"/>
        <v>0</v>
      </c>
      <c r="B688" s="343">
        <v>1350</v>
      </c>
      <c r="C688" s="965">
        <v>1400</v>
      </c>
      <c r="D688" s="432">
        <f t="shared" si="167"/>
        <v>80</v>
      </c>
      <c r="E688" s="965">
        <f t="shared" si="166"/>
        <v>80</v>
      </c>
      <c r="F688" s="965">
        <f t="shared" si="166"/>
        <v>79</v>
      </c>
      <c r="G688" s="965">
        <f t="shared" si="166"/>
        <v>78</v>
      </c>
      <c r="H688" s="965">
        <f t="shared" si="166"/>
        <v>77</v>
      </c>
      <c r="I688" s="965">
        <f t="shared" si="166"/>
        <v>76</v>
      </c>
      <c r="J688" s="965">
        <f t="shared" si="166"/>
        <v>76</v>
      </c>
      <c r="K688" s="965">
        <f t="shared" si="166"/>
        <v>75</v>
      </c>
      <c r="L688" s="965">
        <f t="shared" si="166"/>
        <v>74</v>
      </c>
      <c r="M688" s="965">
        <f t="shared" si="166"/>
        <v>73</v>
      </c>
      <c r="N688" s="965">
        <f t="shared" si="166"/>
        <v>72</v>
      </c>
      <c r="O688" s="965">
        <f t="shared" si="166"/>
        <v>72</v>
      </c>
      <c r="P688" s="965">
        <f t="shared" si="166"/>
        <v>71</v>
      </c>
      <c r="Q688" s="965">
        <f t="shared" si="166"/>
        <v>70</v>
      </c>
      <c r="R688" s="965">
        <f t="shared" si="166"/>
        <v>69</v>
      </c>
      <c r="S688" s="965">
        <f t="shared" si="166"/>
        <v>68</v>
      </c>
      <c r="T688" s="965">
        <f t="shared" si="166"/>
        <v>67</v>
      </c>
      <c r="U688" s="965">
        <f t="shared" si="166"/>
        <v>65</v>
      </c>
      <c r="V688" s="965">
        <f t="shared" si="166"/>
        <v>64</v>
      </c>
      <c r="W688" s="965">
        <f t="shared" si="166"/>
        <v>62</v>
      </c>
      <c r="X688" s="965">
        <f t="shared" si="166"/>
        <v>60</v>
      </c>
      <c r="Y688" s="965">
        <f t="shared" si="166"/>
        <v>60</v>
      </c>
      <c r="Z688" s="966">
        <f t="shared" si="166"/>
        <v>60</v>
      </c>
      <c r="AA688" s="1311"/>
      <c r="AD688" s="714"/>
      <c r="AE688" s="432">
        <v>1350</v>
      </c>
      <c r="AF688" s="966">
        <v>1400</v>
      </c>
      <c r="AG688" s="649">
        <v>100</v>
      </c>
      <c r="AH688" s="1039">
        <v>100</v>
      </c>
      <c r="AI688" s="1039">
        <v>99</v>
      </c>
      <c r="AJ688" s="1039">
        <v>98</v>
      </c>
      <c r="AK688" s="1039">
        <v>97</v>
      </c>
      <c r="AL688" s="1039">
        <v>96</v>
      </c>
      <c r="AM688" s="1039">
        <v>95</v>
      </c>
      <c r="AN688" s="1039">
        <v>94</v>
      </c>
      <c r="AO688" s="1039">
        <v>93</v>
      </c>
      <c r="AP688" s="1039">
        <v>92</v>
      </c>
      <c r="AQ688" s="1039">
        <v>91</v>
      </c>
      <c r="AR688" s="1039">
        <v>90</v>
      </c>
      <c r="AS688" s="1039">
        <v>89</v>
      </c>
      <c r="AT688" s="1039">
        <v>88</v>
      </c>
      <c r="AU688" s="1039">
        <v>87</v>
      </c>
      <c r="AV688" s="1039">
        <v>86</v>
      </c>
      <c r="AW688" s="1039">
        <v>84</v>
      </c>
      <c r="AX688" s="1039">
        <v>82</v>
      </c>
      <c r="AY688" s="1039">
        <v>80</v>
      </c>
      <c r="AZ688" s="1039">
        <v>78</v>
      </c>
      <c r="BA688" s="1039">
        <v>76</v>
      </c>
      <c r="BB688" s="1039">
        <v>76</v>
      </c>
      <c r="BC688" s="1057">
        <v>75</v>
      </c>
    </row>
    <row r="689" spans="1:27" s="426" customFormat="1" x14ac:dyDescent="0.25">
      <c r="A689"/>
      <c r="B689" s="2"/>
      <c r="C689" s="2"/>
      <c r="D689" s="432">
        <f>IF(SUM($A$667:$A$688)&gt;0,VLOOKUP(1,$A$667:$Z$688,D663,FALSE),0)</f>
        <v>279</v>
      </c>
      <c r="E689" s="965">
        <f>IF(SUM($A$667:$A$688)&gt;0,VLOOKUP(1,$A$667:$Z$688,E663,FALSE),0)</f>
        <v>277</v>
      </c>
      <c r="F689" s="965">
        <f t="shared" ref="F689:Z689" si="168">IF(SUM($A$667:$A$688)&gt;0,VLOOKUP(1,$A$667:$Z$688,F663,FALSE),0)</f>
        <v>276</v>
      </c>
      <c r="G689" s="965">
        <f t="shared" si="168"/>
        <v>274</v>
      </c>
      <c r="H689" s="965">
        <f t="shared" si="168"/>
        <v>273</v>
      </c>
      <c r="I689" s="965">
        <f t="shared" si="168"/>
        <v>272</v>
      </c>
      <c r="J689" s="965">
        <f t="shared" si="168"/>
        <v>270</v>
      </c>
      <c r="K689" s="965">
        <f t="shared" si="168"/>
        <v>268</v>
      </c>
      <c r="L689" s="965">
        <f t="shared" si="168"/>
        <v>267</v>
      </c>
      <c r="M689" s="965">
        <f t="shared" si="168"/>
        <v>265</v>
      </c>
      <c r="N689" s="965">
        <f t="shared" si="168"/>
        <v>264</v>
      </c>
      <c r="O689" s="965">
        <f t="shared" si="168"/>
        <v>262</v>
      </c>
      <c r="P689" s="965">
        <f t="shared" si="168"/>
        <v>260</v>
      </c>
      <c r="Q689" s="965">
        <f t="shared" si="168"/>
        <v>259</v>
      </c>
      <c r="R689" s="965">
        <f t="shared" si="168"/>
        <v>258</v>
      </c>
      <c r="S689" s="965">
        <f t="shared" si="168"/>
        <v>256</v>
      </c>
      <c r="T689" s="965">
        <f t="shared" si="168"/>
        <v>255</v>
      </c>
      <c r="U689" s="965">
        <f t="shared" si="168"/>
        <v>253</v>
      </c>
      <c r="V689" s="965">
        <f t="shared" si="168"/>
        <v>252</v>
      </c>
      <c r="W689" s="965">
        <f t="shared" si="168"/>
        <v>250</v>
      </c>
      <c r="X689" s="965">
        <f t="shared" si="168"/>
        <v>180</v>
      </c>
      <c r="Y689" s="965">
        <f t="shared" si="168"/>
        <v>247</v>
      </c>
      <c r="Z689" s="966">
        <f t="shared" si="168"/>
        <v>247</v>
      </c>
      <c r="AA689"/>
    </row>
    <row r="690" spans="1:27" s="426" customFormat="1" ht="12.75" x14ac:dyDescent="0.2">
      <c r="Y690" s="626"/>
    </row>
    <row r="691" spans="1:27" s="426" customFormat="1" ht="12.75" x14ac:dyDescent="0.2">
      <c r="B691" s="426" t="s">
        <v>692</v>
      </c>
      <c r="Y691" s="626"/>
    </row>
    <row r="692" spans="1:27" s="426" customFormat="1" ht="12.75" x14ac:dyDescent="0.2">
      <c r="Y692" s="626"/>
    </row>
    <row r="693" spans="1:27" s="426" customFormat="1" ht="12.75" x14ac:dyDescent="0.2">
      <c r="A693" s="426">
        <f>A635</f>
        <v>0</v>
      </c>
      <c r="B693" s="426" t="s">
        <v>675</v>
      </c>
      <c r="C693" s="626">
        <f>A693*C635</f>
        <v>0</v>
      </c>
      <c r="D693" s="635">
        <f>C693*$D$632</f>
        <v>0</v>
      </c>
      <c r="Y693" s="626"/>
    </row>
    <row r="694" spans="1:27" s="426" customFormat="1" ht="12.75" x14ac:dyDescent="0.2">
      <c r="A694" s="426">
        <f>A636</f>
        <v>0</v>
      </c>
      <c r="B694" s="426" t="s">
        <v>676</v>
      </c>
      <c r="C694" s="626">
        <f>A694*C636</f>
        <v>0</v>
      </c>
      <c r="D694" s="635">
        <f t="shared" ref="D694:D697" si="169">C694*$D$632</f>
        <v>0</v>
      </c>
      <c r="Y694" s="626"/>
    </row>
    <row r="695" spans="1:27" s="426" customFormat="1" ht="12.75" x14ac:dyDescent="0.2">
      <c r="A695" s="426">
        <f>A637</f>
        <v>0</v>
      </c>
      <c r="B695" s="426" t="s">
        <v>677</v>
      </c>
      <c r="C695" s="626">
        <f>A695*C637</f>
        <v>0</v>
      </c>
      <c r="D695" s="635">
        <f t="shared" si="169"/>
        <v>0</v>
      </c>
      <c r="Y695" s="626"/>
    </row>
    <row r="696" spans="1:27" s="426" customFormat="1" ht="12.75" x14ac:dyDescent="0.2">
      <c r="A696" s="426">
        <f>A638</f>
        <v>0</v>
      </c>
      <c r="B696" s="426" t="s">
        <v>681</v>
      </c>
      <c r="C696" s="626">
        <f>A696*C638</f>
        <v>0</v>
      </c>
      <c r="D696" s="635">
        <f t="shared" si="169"/>
        <v>0</v>
      </c>
      <c r="Y696" s="626"/>
    </row>
    <row r="697" spans="1:27" s="426" customFormat="1" ht="12" customHeight="1" x14ac:dyDescent="0.2">
      <c r="A697" s="426">
        <f>A639</f>
        <v>0</v>
      </c>
      <c r="B697" s="426" t="s">
        <v>690</v>
      </c>
      <c r="C697" s="626">
        <f>C639*A697</f>
        <v>0</v>
      </c>
      <c r="D697" s="635">
        <f t="shared" si="169"/>
        <v>0</v>
      </c>
      <c r="Y697" s="626"/>
    </row>
    <row r="698" spans="1:27" s="426" customFormat="1" ht="12.75" x14ac:dyDescent="0.2">
      <c r="B698" s="615" t="s">
        <v>693</v>
      </c>
      <c r="D698" s="633">
        <f>SUM(D693:D697)</f>
        <v>0</v>
      </c>
      <c r="Y698" s="626"/>
    </row>
    <row r="699" spans="1:27" s="426" customFormat="1" ht="12.75" x14ac:dyDescent="0.2">
      <c r="B699" s="615"/>
      <c r="Y699" s="626"/>
    </row>
    <row r="700" spans="1:27" s="426" customFormat="1" ht="12.75" x14ac:dyDescent="0.2">
      <c r="B700" s="615"/>
      <c r="Y700" s="626"/>
    </row>
    <row r="701" spans="1:27" s="426" customFormat="1" ht="12.75" x14ac:dyDescent="0.2">
      <c r="B701" s="615"/>
      <c r="C701" s="626" t="s">
        <v>1020</v>
      </c>
      <c r="D701" s="626" t="s">
        <v>1021</v>
      </c>
      <c r="E701" s="426" t="s">
        <v>1022</v>
      </c>
      <c r="Y701" s="626"/>
    </row>
    <row r="702" spans="1:27" s="426" customFormat="1" ht="12.75" x14ac:dyDescent="0.2">
      <c r="B702" s="652" t="s">
        <v>704</v>
      </c>
      <c r="C702" s="634">
        <f>IF(C629=1,HLOOKUP(1,D664:Z689,26,FALSE),9999)</f>
        <v>9999</v>
      </c>
      <c r="D702" s="1047">
        <f>M639</f>
        <v>9999</v>
      </c>
      <c r="E702" s="1047">
        <f>FLOOR(MIN(C702:D702)*I650,5)</f>
        <v>8995</v>
      </c>
      <c r="Y702" s="626"/>
    </row>
    <row r="703" spans="1:27" s="426" customFormat="1" ht="12.75" x14ac:dyDescent="0.2">
      <c r="C703" s="626"/>
      <c r="D703" s="626"/>
      <c r="E703" s="626"/>
      <c r="Y703" s="626"/>
    </row>
    <row r="704" spans="1:27" s="426" customFormat="1" ht="12.75" x14ac:dyDescent="0.2">
      <c r="Y704" s="626"/>
    </row>
    <row r="705" spans="1:25" s="426" customFormat="1" ht="12.75" x14ac:dyDescent="0.2">
      <c r="B705" s="634" t="s">
        <v>706</v>
      </c>
      <c r="C705" s="653" t="s">
        <v>707</v>
      </c>
      <c r="D705" s="628" t="s">
        <v>708</v>
      </c>
      <c r="E705" s="664" t="s">
        <v>709</v>
      </c>
      <c r="Y705" s="626"/>
    </row>
    <row r="706" spans="1:25" s="426" customFormat="1" ht="12.75" x14ac:dyDescent="0.2">
      <c r="B706" s="634">
        <f>(IF(C3&gt;=I445,C3,I445)/E402)</f>
        <v>482</v>
      </c>
      <c r="C706" s="665">
        <v>200</v>
      </c>
      <c r="D706" s="634">
        <f>B706-C706</f>
        <v>282</v>
      </c>
      <c r="E706" s="654"/>
      <c r="Y706" s="626"/>
    </row>
    <row r="707" spans="1:25" s="426" customFormat="1" ht="12.75" x14ac:dyDescent="0.2">
      <c r="B707" s="634" t="s">
        <v>710</v>
      </c>
      <c r="C707" s="666">
        <f>IF(E702&gt;0,C706/(E702/2),0)</f>
        <v>4.4469149527515288E-2</v>
      </c>
      <c r="D707" s="668">
        <f>IF(E702&gt;0,D706/E702,0)</f>
        <v>3.1350750416898276E-2</v>
      </c>
      <c r="E707" s="667">
        <f>CEILING(D707+C707,1)</f>
        <v>1</v>
      </c>
      <c r="Y707" s="626"/>
    </row>
    <row r="708" spans="1:25" s="426" customFormat="1" ht="12.75" x14ac:dyDescent="0.2">
      <c r="B708" s="615"/>
      <c r="Y708" s="626"/>
    </row>
    <row r="709" spans="1:25" s="426" customFormat="1" ht="12.75" x14ac:dyDescent="0.2">
      <c r="B709" s="615"/>
      <c r="Y709" s="626"/>
    </row>
    <row r="710" spans="1:25" s="426" customFormat="1" ht="12.75" x14ac:dyDescent="0.2">
      <c r="A710" s="426">
        <f>IF(C629=1,1,0)</f>
        <v>0</v>
      </c>
      <c r="B710" s="615" t="s">
        <v>712</v>
      </c>
      <c r="C710" s="134">
        <f>IF(E707&gt;=C641,E707,C641)</f>
        <v>6</v>
      </c>
      <c r="D710" s="629">
        <f>IF(A710=1,C710*D632,0)</f>
        <v>0</v>
      </c>
      <c r="F710" s="669"/>
      <c r="Y710" s="626"/>
    </row>
    <row r="711" spans="1:25" s="426" customFormat="1" ht="12.75" x14ac:dyDescent="0.2">
      <c r="B711" s="615"/>
      <c r="Y711" s="626"/>
    </row>
    <row r="712" spans="1:25" s="430" customFormat="1" ht="12.75" x14ac:dyDescent="0.2">
      <c r="B712" s="678"/>
      <c r="Y712" s="651"/>
    </row>
    <row r="713" spans="1:25" s="426" customFormat="1" ht="12.75" x14ac:dyDescent="0.2">
      <c r="B713" s="615"/>
      <c r="Y713" s="626"/>
    </row>
    <row r="714" spans="1:25" s="426" customFormat="1" ht="13.5" thickBot="1" x14ac:dyDescent="0.25">
      <c r="B714" s="615"/>
      <c r="D714" s="626" t="s">
        <v>674</v>
      </c>
      <c r="Y714" s="626"/>
    </row>
    <row r="715" spans="1:25" s="426" customFormat="1" ht="13.5" thickBot="1" x14ac:dyDescent="0.25">
      <c r="B715" s="641" t="s">
        <v>665</v>
      </c>
      <c r="C715" s="643">
        <f>J367</f>
        <v>1</v>
      </c>
      <c r="D715" s="642">
        <f>IF(C715=1,D778+D790,0)</f>
        <v>70</v>
      </c>
      <c r="Y715" s="626"/>
    </row>
    <row r="716" spans="1:25" s="426" customFormat="1" ht="12.75" x14ac:dyDescent="0.2">
      <c r="Y716" s="626"/>
    </row>
    <row r="717" spans="1:25" s="426" customFormat="1" ht="12.75" x14ac:dyDescent="0.2">
      <c r="Y717" s="626"/>
    </row>
    <row r="718" spans="1:25" s="426" customFormat="1" ht="12.75" x14ac:dyDescent="0.2">
      <c r="Y718" s="626"/>
    </row>
    <row r="719" spans="1:25" s="426" customFormat="1" x14ac:dyDescent="0.25">
      <c r="B719" s="426" t="s">
        <v>716</v>
      </c>
      <c r="C719" s="633">
        <f>Tarieven!C6</f>
        <v>300</v>
      </c>
      <c r="D719" s="633">
        <f>C719/60</f>
        <v>5</v>
      </c>
      <c r="H719" s="77" t="s">
        <v>4</v>
      </c>
      <c r="I719"/>
      <c r="J719"/>
      <c r="Y719" s="626"/>
    </row>
    <row r="720" spans="1:25" s="426" customFormat="1" x14ac:dyDescent="0.25">
      <c r="C720" s="635"/>
      <c r="D720" s="635"/>
      <c r="H720" s="3" t="str">
        <f>IF(AND(VLOOKUP(1,$A$113:$C$116,3,FALSE)&gt;0,$C$15=I720),1," ")</f>
        <v xml:space="preserve"> </v>
      </c>
      <c r="I720" s="1068" t="str">
        <f t="shared" ref="I720:I727" si="170">B121</f>
        <v>Onbedrukt / minder dan 10%</v>
      </c>
      <c r="J720" s="567">
        <v>200</v>
      </c>
      <c r="L720" s="155" t="s">
        <v>1025</v>
      </c>
      <c r="M720" s="1315" t="s">
        <v>61</v>
      </c>
      <c r="N720" s="1316"/>
      <c r="O720" s="959"/>
      <c r="Y720" s="626"/>
    </row>
    <row r="721" spans="1:25" s="426" customFormat="1" x14ac:dyDescent="0.25">
      <c r="A721" s="426" t="s">
        <v>61</v>
      </c>
      <c r="B721" s="426" t="s">
        <v>679</v>
      </c>
      <c r="C721" s="636" t="s">
        <v>680</v>
      </c>
      <c r="D721" s="635"/>
      <c r="H721" s="26" t="str">
        <f t="shared" ref="H721:H727" si="171">IF(AND(VLOOKUP(1,$A$113:$C$116,3,FALSE)&gt;0,$C$15=I721),1," ")</f>
        <v xml:space="preserve"> </v>
      </c>
      <c r="I721" s="280" t="str">
        <f t="shared" si="170"/>
        <v>10%</v>
      </c>
      <c r="J721" s="30">
        <v>190</v>
      </c>
      <c r="L721" s="1061">
        <f>IF(AND($C$3&gt;M721,$C$3&lt;=N721),1,0)</f>
        <v>1</v>
      </c>
      <c r="M721" s="406">
        <v>0</v>
      </c>
      <c r="N721" s="423">
        <v>1000</v>
      </c>
      <c r="O721" s="1074">
        <v>0.8</v>
      </c>
      <c r="Y721" s="626"/>
    </row>
    <row r="722" spans="1:25" s="426" customFormat="1" x14ac:dyDescent="0.25">
      <c r="A722" s="626">
        <f>IF(C715=1,1,0)</f>
        <v>1</v>
      </c>
      <c r="B722" s="426" t="s">
        <v>717</v>
      </c>
      <c r="C722" s="637">
        <v>8</v>
      </c>
      <c r="D722" s="426" t="s">
        <v>683</v>
      </c>
      <c r="H722" s="26" t="str">
        <f t="shared" si="171"/>
        <v xml:space="preserve"> </v>
      </c>
      <c r="I722" s="280" t="str">
        <f t="shared" si="170"/>
        <v>20%</v>
      </c>
      <c r="J722" s="30">
        <v>180</v>
      </c>
      <c r="L722" s="120">
        <f t="shared" ref="L722:L730" si="172">IF(AND($C$3&gt;M722,$C$3&lt;=N722),1,0)</f>
        <v>0</v>
      </c>
      <c r="M722" s="78">
        <v>1000</v>
      </c>
      <c r="N722" s="228">
        <v>2000</v>
      </c>
      <c r="O722" s="969">
        <v>0.81</v>
      </c>
      <c r="Y722" s="626"/>
    </row>
    <row r="723" spans="1:25" s="426" customFormat="1" x14ac:dyDescent="0.25">
      <c r="A723" s="626">
        <f>IF(AND(C715=1,C629=0,C111&gt;0),C111,IF(AND(C715=1,C629=1,C111&gt;0),0,0))</f>
        <v>0</v>
      </c>
      <c r="B723" s="426" t="s">
        <v>677</v>
      </c>
      <c r="C723" s="637">
        <v>8</v>
      </c>
      <c r="D723" s="426" t="s">
        <v>683</v>
      </c>
      <c r="F723" s="626"/>
      <c r="G723" s="626"/>
      <c r="H723" s="26" t="str">
        <f t="shared" si="171"/>
        <v xml:space="preserve"> </v>
      </c>
      <c r="I723" s="280" t="str">
        <f t="shared" si="170"/>
        <v>30%</v>
      </c>
      <c r="J723" s="30">
        <v>170</v>
      </c>
      <c r="L723" s="120">
        <f t="shared" si="172"/>
        <v>0</v>
      </c>
      <c r="M723" s="78">
        <v>2000</v>
      </c>
      <c r="N723" s="228">
        <v>3000</v>
      </c>
      <c r="O723" s="969">
        <v>0.82</v>
      </c>
      <c r="Y723" s="626"/>
    </row>
    <row r="724" spans="1:25" s="426" customFormat="1" x14ac:dyDescent="0.25">
      <c r="A724" s="626">
        <f>IF(AND(C715=1,C629=0,C111&gt;0),C111,IF(AND(C715=1,C629=1,C111&gt;0),0,0))</f>
        <v>0</v>
      </c>
      <c r="B724" s="426" t="s">
        <v>681</v>
      </c>
      <c r="C724" s="637">
        <v>6</v>
      </c>
      <c r="D724" s="426" t="s">
        <v>683</v>
      </c>
      <c r="H724" s="26" t="str">
        <f t="shared" si="171"/>
        <v xml:space="preserve"> </v>
      </c>
      <c r="I724" s="280" t="str">
        <f t="shared" si="170"/>
        <v>40%</v>
      </c>
      <c r="J724" s="30">
        <v>160</v>
      </c>
      <c r="L724" s="120">
        <f t="shared" si="172"/>
        <v>0</v>
      </c>
      <c r="M724" s="78">
        <v>3000</v>
      </c>
      <c r="N724" s="228">
        <v>4000</v>
      </c>
      <c r="O724" s="969">
        <v>0.83</v>
      </c>
      <c r="Y724" s="626"/>
    </row>
    <row r="725" spans="1:25" s="426" customFormat="1" x14ac:dyDescent="0.25">
      <c r="A725" s="626"/>
      <c r="C725" s="626"/>
      <c r="H725" s="26" t="str">
        <f t="shared" si="171"/>
        <v xml:space="preserve"> </v>
      </c>
      <c r="I725" s="280" t="str">
        <f t="shared" si="170"/>
        <v>60%</v>
      </c>
      <c r="J725" s="30">
        <v>140</v>
      </c>
      <c r="L725" s="120">
        <f t="shared" si="172"/>
        <v>0</v>
      </c>
      <c r="M725" s="78">
        <v>4000</v>
      </c>
      <c r="N725" s="228">
        <v>5000</v>
      </c>
      <c r="O725" s="969">
        <v>0.84</v>
      </c>
      <c r="Y725" s="626"/>
    </row>
    <row r="726" spans="1:25" s="426" customFormat="1" x14ac:dyDescent="0.25">
      <c r="B726" s="426" t="s">
        <v>682</v>
      </c>
      <c r="C726" s="637">
        <v>6</v>
      </c>
      <c r="D726" s="426" t="s">
        <v>684</v>
      </c>
      <c r="H726" s="26" t="str">
        <f t="shared" si="171"/>
        <v xml:space="preserve"> </v>
      </c>
      <c r="I726" s="280" t="str">
        <f t="shared" si="170"/>
        <v>80%</v>
      </c>
      <c r="J726" s="30">
        <v>120</v>
      </c>
      <c r="L726" s="120">
        <f t="shared" si="172"/>
        <v>0</v>
      </c>
      <c r="M726" s="78">
        <v>5000</v>
      </c>
      <c r="N726" s="228">
        <v>7500</v>
      </c>
      <c r="O726" s="969">
        <v>0.85</v>
      </c>
      <c r="Y726" s="626"/>
    </row>
    <row r="727" spans="1:25" s="426" customFormat="1" x14ac:dyDescent="0.25">
      <c r="H727" s="432" t="str">
        <f t="shared" si="171"/>
        <v xml:space="preserve"> </v>
      </c>
      <c r="I727" s="1070" t="str">
        <f t="shared" si="170"/>
        <v>100%</v>
      </c>
      <c r="J727" s="30">
        <v>120</v>
      </c>
      <c r="L727" s="120">
        <f t="shared" si="172"/>
        <v>0</v>
      </c>
      <c r="M727" s="78">
        <v>7500</v>
      </c>
      <c r="N727" s="228">
        <v>10000</v>
      </c>
      <c r="O727" s="969">
        <v>0.87</v>
      </c>
      <c r="Y727" s="626"/>
    </row>
    <row r="728" spans="1:25" s="426" customFormat="1" x14ac:dyDescent="0.25">
      <c r="H728" s="415"/>
      <c r="I728" s="1069" t="s">
        <v>1019</v>
      </c>
      <c r="J728" s="1008">
        <f>IF(SUM(H720:H727)&gt;0,VLOOKUP(1,H720:J727,3,FALSE),9999)</f>
        <v>9999</v>
      </c>
      <c r="L728" s="120">
        <f t="shared" si="172"/>
        <v>0</v>
      </c>
      <c r="M728" s="78">
        <v>10000</v>
      </c>
      <c r="N728" s="228">
        <v>15000</v>
      </c>
      <c r="O728" s="969">
        <v>0.88</v>
      </c>
      <c r="Y728" s="626"/>
    </row>
    <row r="729" spans="1:25" s="426" customFormat="1" x14ac:dyDescent="0.25">
      <c r="B729" s="426" t="s">
        <v>99</v>
      </c>
      <c r="C729" s="679">
        <f>B228</f>
        <v>361</v>
      </c>
      <c r="D729" s="426" t="s">
        <v>25</v>
      </c>
      <c r="L729" s="120">
        <f t="shared" si="172"/>
        <v>0</v>
      </c>
      <c r="M729" s="78">
        <v>15000</v>
      </c>
      <c r="N729" s="228">
        <v>20000</v>
      </c>
      <c r="O729" s="969">
        <v>0.89</v>
      </c>
      <c r="Y729" s="626"/>
    </row>
    <row r="730" spans="1:25" s="426" customFormat="1" x14ac:dyDescent="0.25">
      <c r="B730" s="426" t="s">
        <v>100</v>
      </c>
      <c r="C730" s="679">
        <f>C228</f>
        <v>1150</v>
      </c>
      <c r="D730" s="426" t="s">
        <v>25</v>
      </c>
      <c r="L730" s="202">
        <f t="shared" si="172"/>
        <v>0</v>
      </c>
      <c r="M730" s="1075">
        <v>20000</v>
      </c>
      <c r="N730" s="1076">
        <v>999999999</v>
      </c>
      <c r="O730" s="970">
        <v>0.9</v>
      </c>
      <c r="Y730" s="626"/>
    </row>
    <row r="731" spans="1:25" s="426" customFormat="1" ht="12.75" x14ac:dyDescent="0.2">
      <c r="Y731" s="626"/>
    </row>
    <row r="732" spans="1:25" s="426" customFormat="1" ht="12.75" x14ac:dyDescent="0.2">
      <c r="Y732" s="626"/>
    </row>
    <row r="733" spans="1:25" s="426" customFormat="1" ht="12.75" x14ac:dyDescent="0.2">
      <c r="A733" s="652"/>
      <c r="B733" s="653"/>
      <c r="C733" s="628"/>
      <c r="D733" s="628" t="s">
        <v>697</v>
      </c>
      <c r="E733" s="652" t="s">
        <v>698</v>
      </c>
      <c r="F733" s="659" t="s">
        <v>701</v>
      </c>
      <c r="G733" s="634" t="s">
        <v>702</v>
      </c>
      <c r="H733" s="661" t="s">
        <v>703</v>
      </c>
      <c r="Y733" s="626"/>
    </row>
    <row r="734" spans="1:25" s="426" customFormat="1" ht="12.75" x14ac:dyDescent="0.2">
      <c r="A734" s="429"/>
      <c r="B734" s="430" t="s">
        <v>696</v>
      </c>
      <c r="C734" s="145">
        <f>AS46</f>
        <v>1</v>
      </c>
      <c r="D734" s="145">
        <f>(C6/C7)*C734</f>
        <v>1.2</v>
      </c>
      <c r="E734" s="658">
        <f>C734*(C8/C6)</f>
        <v>0.33333333333333331</v>
      </c>
      <c r="F734" s="660">
        <f>VLOOKUP(1,A739:D744,4,FALSE)*VLOOKUP(1,E739:H744,4,FALSE)</f>
        <v>1</v>
      </c>
      <c r="G734" s="1086">
        <f>AY46</f>
        <v>0.9</v>
      </c>
      <c r="H734" s="662">
        <f>F734*G734</f>
        <v>0.9</v>
      </c>
      <c r="Y734" s="626"/>
    </row>
    <row r="735" spans="1:25" s="426" customFormat="1" ht="12.75" x14ac:dyDescent="0.2">
      <c r="C735" s="626"/>
      <c r="Y735" s="626"/>
    </row>
    <row r="736" spans="1:25" s="426" customFormat="1" ht="12.75" x14ac:dyDescent="0.2">
      <c r="C736" s="626"/>
      <c r="Y736" s="626"/>
    </row>
    <row r="737" spans="1:25" s="426" customFormat="1" x14ac:dyDescent="0.25">
      <c r="A737" s="405"/>
      <c r="B737" s="1302" t="s">
        <v>699</v>
      </c>
      <c r="C737" s="1303"/>
      <c r="D737" s="243"/>
      <c r="E737" s="433"/>
      <c r="F737" s="1302" t="s">
        <v>700</v>
      </c>
      <c r="G737" s="1303"/>
      <c r="H737" s="442"/>
      <c r="Y737" s="626"/>
    </row>
    <row r="738" spans="1:25" s="426" customFormat="1" x14ac:dyDescent="0.25">
      <c r="A738" s="339"/>
      <c r="B738" s="1292"/>
      <c r="C738" s="1293"/>
      <c r="D738" s="244"/>
      <c r="E738" s="7"/>
      <c r="F738" s="432"/>
      <c r="G738" s="436"/>
      <c r="H738" s="13"/>
      <c r="Y738" s="626"/>
    </row>
    <row r="739" spans="1:25" s="426" customFormat="1" x14ac:dyDescent="0.25">
      <c r="A739" s="399">
        <f>IF(AND($D$734&gt;=B739,$D$734&lt;C739),1,0)</f>
        <v>1</v>
      </c>
      <c r="B739" s="567">
        <v>0</v>
      </c>
      <c r="C739" s="567">
        <v>2.5</v>
      </c>
      <c r="D739" s="655">
        <v>1</v>
      </c>
      <c r="E739" s="423">
        <f>IF(AND($E$650&gt;=F739,$E$650&lt;G739),1,0)</f>
        <v>1</v>
      </c>
      <c r="F739" s="567">
        <v>0</v>
      </c>
      <c r="G739" s="486">
        <v>2</v>
      </c>
      <c r="H739" s="655">
        <v>1</v>
      </c>
      <c r="Y739" s="626"/>
    </row>
    <row r="740" spans="1:25" s="426" customFormat="1" x14ac:dyDescent="0.25">
      <c r="A740" s="120">
        <f t="shared" ref="A740:A744" si="173">IF(AND($D$734&gt;=B740,$D$734&lt;C740),1,0)</f>
        <v>0</v>
      </c>
      <c r="B740" s="30">
        <v>2.5</v>
      </c>
      <c r="C740" s="30">
        <v>3</v>
      </c>
      <c r="D740" s="656">
        <v>0.93</v>
      </c>
      <c r="E740" s="228">
        <f t="shared" ref="E740:E744" si="174">IF(AND($E$650&gt;=F740,$E$650&lt;G740),1,0)</f>
        <v>0</v>
      </c>
      <c r="F740" s="30">
        <v>2</v>
      </c>
      <c r="G740" s="28">
        <v>2.5</v>
      </c>
      <c r="H740" s="656">
        <v>0.95</v>
      </c>
      <c r="Y740" s="626"/>
    </row>
    <row r="741" spans="1:25" s="426" customFormat="1" x14ac:dyDescent="0.25">
      <c r="A741" s="120">
        <f t="shared" si="173"/>
        <v>0</v>
      </c>
      <c r="B741" s="30">
        <v>3</v>
      </c>
      <c r="C741" s="30">
        <v>3.5</v>
      </c>
      <c r="D741" s="656">
        <v>0.9</v>
      </c>
      <c r="E741" s="228">
        <f t="shared" si="174"/>
        <v>0</v>
      </c>
      <c r="F741" s="30">
        <v>2.5</v>
      </c>
      <c r="G741" s="28">
        <v>3.5</v>
      </c>
      <c r="H741" s="656">
        <v>0.9</v>
      </c>
      <c r="Y741" s="626"/>
    </row>
    <row r="742" spans="1:25" s="426" customFormat="1" x14ac:dyDescent="0.25">
      <c r="A742" s="120">
        <f t="shared" si="173"/>
        <v>0</v>
      </c>
      <c r="B742" s="30">
        <v>3.5</v>
      </c>
      <c r="C742" s="30">
        <v>4</v>
      </c>
      <c r="D742" s="656">
        <v>0.85</v>
      </c>
      <c r="E742" s="228">
        <f t="shared" si="174"/>
        <v>0</v>
      </c>
      <c r="F742" s="30">
        <v>3.5</v>
      </c>
      <c r="G742" s="28">
        <v>4</v>
      </c>
      <c r="H742" s="656">
        <v>0.85</v>
      </c>
      <c r="Y742" s="626"/>
    </row>
    <row r="743" spans="1:25" s="426" customFormat="1" x14ac:dyDescent="0.25">
      <c r="A743" s="120">
        <f t="shared" si="173"/>
        <v>0</v>
      </c>
      <c r="B743" s="30">
        <v>4</v>
      </c>
      <c r="C743" s="30">
        <v>5</v>
      </c>
      <c r="D743" s="656">
        <v>0.8</v>
      </c>
      <c r="E743" s="228">
        <f t="shared" si="174"/>
        <v>0</v>
      </c>
      <c r="F743" s="30">
        <v>4</v>
      </c>
      <c r="G743" s="28">
        <v>5.5</v>
      </c>
      <c r="H743" s="656">
        <v>0.8</v>
      </c>
      <c r="Y743" s="626"/>
    </row>
    <row r="744" spans="1:25" s="426" customFormat="1" x14ac:dyDescent="0.25">
      <c r="A744" s="202">
        <f t="shared" si="173"/>
        <v>0</v>
      </c>
      <c r="B744" s="490">
        <v>5</v>
      </c>
      <c r="C744" s="490">
        <v>99</v>
      </c>
      <c r="D744" s="657">
        <v>0.75</v>
      </c>
      <c r="E744" s="424">
        <f t="shared" si="174"/>
        <v>0</v>
      </c>
      <c r="F744" s="490">
        <v>5.5</v>
      </c>
      <c r="G744" s="34">
        <v>99</v>
      </c>
      <c r="H744" s="657">
        <v>0.75</v>
      </c>
      <c r="Y744" s="626"/>
    </row>
    <row r="745" spans="1:25" s="426" customFormat="1" ht="12.75" x14ac:dyDescent="0.2">
      <c r="C745" s="626"/>
      <c r="Y745" s="626"/>
    </row>
    <row r="746" spans="1:25" s="426" customFormat="1" ht="12.75" x14ac:dyDescent="0.2">
      <c r="C746" s="626"/>
      <c r="Y746" s="626"/>
    </row>
    <row r="747" spans="1:25" s="426" customFormat="1" x14ac:dyDescent="0.25">
      <c r="A747" s="77" t="s">
        <v>718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 s="2"/>
      <c r="Y747" s="626"/>
    </row>
    <row r="748" spans="1:25" s="426" customFormat="1" x14ac:dyDescent="0.25">
      <c r="A748"/>
      <c r="B748" s="2"/>
      <c r="C748"/>
      <c r="D748"/>
      <c r="E748"/>
      <c r="F748"/>
      <c r="G748"/>
      <c r="H748"/>
      <c r="I748"/>
      <c r="J748"/>
      <c r="K748"/>
      <c r="L748"/>
      <c r="M748"/>
      <c r="N748"/>
      <c r="O748" s="2"/>
      <c r="Y748" s="626"/>
    </row>
    <row r="749" spans="1:25" s="426" customFormat="1" x14ac:dyDescent="0.25">
      <c r="A749"/>
      <c r="B749" s="489" t="s">
        <v>99</v>
      </c>
      <c r="C749"/>
      <c r="D749"/>
      <c r="E749"/>
      <c r="F749"/>
      <c r="G749"/>
      <c r="H749"/>
      <c r="I749"/>
      <c r="J749"/>
      <c r="K749"/>
      <c r="L749"/>
      <c r="M749"/>
      <c r="N749"/>
      <c r="O749" s="2"/>
      <c r="Y749" s="626"/>
    </row>
    <row r="750" spans="1:25" s="426" customFormat="1" x14ac:dyDescent="0.25">
      <c r="A750"/>
      <c r="B750" s="472">
        <v>800</v>
      </c>
      <c r="C750" s="208">
        <f>IF(AND($C$730&gt;C757,$C$730&lt;=D757),1,0)</f>
        <v>0</v>
      </c>
      <c r="D750" s="208">
        <f t="shared" ref="D750:H750" si="175">IF(AND($C$730&gt;D757,$C$730&lt;=E757),1,0)</f>
        <v>0</v>
      </c>
      <c r="E750" s="208">
        <f t="shared" si="175"/>
        <v>0</v>
      </c>
      <c r="F750" s="208">
        <f t="shared" si="175"/>
        <v>1</v>
      </c>
      <c r="G750" s="208">
        <f t="shared" si="175"/>
        <v>0</v>
      </c>
      <c r="H750" s="473">
        <f t="shared" si="175"/>
        <v>0</v>
      </c>
      <c r="I750"/>
      <c r="J750"/>
      <c r="K750"/>
      <c r="L750"/>
      <c r="M750"/>
      <c r="N750"/>
      <c r="O750" s="2"/>
      <c r="Y750" s="626"/>
    </row>
    <row r="751" spans="1:25" s="426" customFormat="1" x14ac:dyDescent="0.25">
      <c r="A751" s="473">
        <f>IF(AND($C$729&gt;B751,$C$729&lt;=B750),1,0)</f>
        <v>0</v>
      </c>
      <c r="B751" s="434">
        <v>600</v>
      </c>
      <c r="C751" s="484">
        <v>5.5</v>
      </c>
      <c r="D751" s="484">
        <v>5.5</v>
      </c>
      <c r="E751" s="484">
        <v>5.5</v>
      </c>
      <c r="F751" s="484">
        <v>5</v>
      </c>
      <c r="G751" s="484">
        <v>4.5</v>
      </c>
      <c r="H751" s="484">
        <v>4</v>
      </c>
      <c r="I751"/>
      <c r="J751"/>
      <c r="K751"/>
      <c r="L751"/>
      <c r="M751"/>
      <c r="N751"/>
      <c r="O751" s="2"/>
      <c r="Y751" s="626"/>
    </row>
    <row r="752" spans="1:25" s="426" customFormat="1" x14ac:dyDescent="0.25">
      <c r="A752" s="473">
        <f t="shared" ref="A752:A756" si="176">IF(AND($C$729&gt;B752,$C$729&lt;=B751),1,0)</f>
        <v>0</v>
      </c>
      <c r="B752" s="434">
        <v>500</v>
      </c>
      <c r="C752" s="484">
        <v>6</v>
      </c>
      <c r="D752" s="484">
        <v>6</v>
      </c>
      <c r="E752" s="484">
        <v>5.5</v>
      </c>
      <c r="F752" s="484">
        <v>5</v>
      </c>
      <c r="G752" s="484">
        <v>4.5</v>
      </c>
      <c r="H752" s="484">
        <v>4</v>
      </c>
      <c r="I752"/>
      <c r="J752"/>
      <c r="K752"/>
      <c r="L752"/>
      <c r="M752"/>
      <c r="N752"/>
      <c r="O752" s="2"/>
      <c r="Y752" s="626"/>
    </row>
    <row r="753" spans="1:25" s="426" customFormat="1" x14ac:dyDescent="0.25">
      <c r="A753" s="473">
        <f t="shared" si="176"/>
        <v>1</v>
      </c>
      <c r="B753" s="434">
        <v>350</v>
      </c>
      <c r="C753" s="484">
        <v>6.5</v>
      </c>
      <c r="D753" s="484">
        <v>6</v>
      </c>
      <c r="E753" s="484">
        <v>5.5</v>
      </c>
      <c r="F753" s="484">
        <v>5.5</v>
      </c>
      <c r="G753" s="484">
        <v>5</v>
      </c>
      <c r="H753" s="484">
        <v>4.5</v>
      </c>
      <c r="I753"/>
      <c r="J753"/>
      <c r="K753"/>
      <c r="L753"/>
      <c r="M753"/>
      <c r="N753"/>
      <c r="O753" s="2"/>
      <c r="Y753" s="626"/>
    </row>
    <row r="754" spans="1:25" s="426" customFormat="1" x14ac:dyDescent="0.25">
      <c r="A754" s="473">
        <f t="shared" si="176"/>
        <v>0</v>
      </c>
      <c r="B754" s="434">
        <v>250</v>
      </c>
      <c r="C754" s="484">
        <v>7</v>
      </c>
      <c r="D754" s="484">
        <v>6.5</v>
      </c>
      <c r="E754" s="484">
        <v>6</v>
      </c>
      <c r="F754" s="484">
        <v>5.5</v>
      </c>
      <c r="G754" s="484">
        <v>5</v>
      </c>
      <c r="H754" s="484">
        <v>5</v>
      </c>
      <c r="I754"/>
      <c r="J754"/>
      <c r="K754"/>
      <c r="L754"/>
      <c r="M754"/>
      <c r="N754"/>
      <c r="O754" s="2"/>
      <c r="Y754" s="626"/>
    </row>
    <row r="755" spans="1:25" s="426" customFormat="1" x14ac:dyDescent="0.25">
      <c r="A755" s="473">
        <f t="shared" si="176"/>
        <v>0</v>
      </c>
      <c r="B755" s="434">
        <v>180</v>
      </c>
      <c r="C755" s="484">
        <v>6.5</v>
      </c>
      <c r="D755" s="484">
        <v>6.5</v>
      </c>
      <c r="E755" s="484">
        <v>6.5</v>
      </c>
      <c r="F755" s="484">
        <v>6</v>
      </c>
      <c r="G755" s="484">
        <v>5.5</v>
      </c>
      <c r="H755" s="484">
        <v>4.5</v>
      </c>
      <c r="I755"/>
      <c r="J755"/>
      <c r="K755"/>
      <c r="L755"/>
      <c r="M755"/>
      <c r="N755"/>
      <c r="O755" s="2"/>
      <c r="Y755" s="626"/>
    </row>
    <row r="756" spans="1:25" s="426" customFormat="1" x14ac:dyDescent="0.25">
      <c r="A756" s="473">
        <f t="shared" si="176"/>
        <v>0</v>
      </c>
      <c r="B756" s="44">
        <v>0</v>
      </c>
      <c r="C756" s="484">
        <v>6</v>
      </c>
      <c r="D756" s="484">
        <v>6</v>
      </c>
      <c r="E756" s="484">
        <v>5.5</v>
      </c>
      <c r="F756" s="484">
        <v>5</v>
      </c>
      <c r="G756" s="484">
        <v>4.5</v>
      </c>
      <c r="H756" s="484">
        <v>4</v>
      </c>
      <c r="I756"/>
      <c r="J756"/>
      <c r="K756"/>
      <c r="L756"/>
      <c r="M756"/>
      <c r="N756"/>
      <c r="O756" s="2"/>
      <c r="Y756" s="626"/>
    </row>
    <row r="757" spans="1:25" s="426" customFormat="1" ht="15.75" thickBot="1" x14ac:dyDescent="0.3">
      <c r="A757"/>
      <c r="B757"/>
      <c r="C757" s="431">
        <v>0</v>
      </c>
      <c r="D757" s="431">
        <v>500</v>
      </c>
      <c r="E757" s="431">
        <v>750</v>
      </c>
      <c r="F757" s="431">
        <v>1000</v>
      </c>
      <c r="G757" s="431">
        <v>1250</v>
      </c>
      <c r="H757" s="431">
        <v>1500</v>
      </c>
      <c r="I757" s="473">
        <v>1750</v>
      </c>
      <c r="J757" s="517" t="s">
        <v>100</v>
      </c>
      <c r="K757"/>
      <c r="L757"/>
      <c r="M757"/>
      <c r="N757"/>
      <c r="O757" s="2"/>
      <c r="Y757" s="626"/>
    </row>
    <row r="758" spans="1:25" s="426" customFormat="1" ht="15.75" thickBot="1" x14ac:dyDescent="0.3">
      <c r="A758" s="414" t="s">
        <v>719</v>
      </c>
      <c r="B758" s="531">
        <f>HLOOKUP(1,C750:H758,9,FALSE)</f>
        <v>5.5</v>
      </c>
      <c r="C758" s="23">
        <f>VLOOKUP(1,A751:H756,3,FALSE)</f>
        <v>6.5</v>
      </c>
      <c r="D758" s="23">
        <f>VLOOKUP(1,A751:H756,4,FALSE)</f>
        <v>6</v>
      </c>
      <c r="E758" s="23">
        <f>VLOOKUP(1,A751:H756,5,FALSE)</f>
        <v>5.5</v>
      </c>
      <c r="F758" s="23">
        <f>VLOOKUP(1,A751:H756,6,FALSE)</f>
        <v>5.5</v>
      </c>
      <c r="G758" s="23">
        <f>VLOOKUP(1,A751:H756,7,FALSE)</f>
        <v>5</v>
      </c>
      <c r="H758" s="38">
        <f>VLOOKUP(1,A751:H756,8,FALSE)</f>
        <v>4.5</v>
      </c>
      <c r="I758"/>
      <c r="J758"/>
      <c r="K758"/>
      <c r="L758"/>
      <c r="M758"/>
      <c r="N758"/>
      <c r="O758" s="2"/>
      <c r="Y758" s="626"/>
    </row>
    <row r="759" spans="1:25" s="426" customFormat="1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 s="2"/>
      <c r="Y759" s="626"/>
    </row>
    <row r="760" spans="1:25" s="426" customFormat="1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 s="2"/>
      <c r="Y760" s="626"/>
    </row>
    <row r="761" spans="1:25" s="426" customFormat="1" x14ac:dyDescent="0.25">
      <c r="A761" s="404"/>
      <c r="B761" s="399" t="s">
        <v>0</v>
      </c>
      <c r="C761" s="399" t="s">
        <v>720</v>
      </c>
      <c r="D761" s="442" t="s">
        <v>721</v>
      </c>
      <c r="E761" s="431" t="s">
        <v>722</v>
      </c>
      <c r="F761" s="208" t="str">
        <f>IF(F762=$B$758,1," ")</f>
        <v xml:space="preserve"> </v>
      </c>
      <c r="G761" s="23" t="str">
        <f t="shared" ref="G761:N761" si="177">IF(G762=$B$758,1," ")</f>
        <v xml:space="preserve"> </v>
      </c>
      <c r="H761" s="23" t="str">
        <f t="shared" si="177"/>
        <v xml:space="preserve"> </v>
      </c>
      <c r="I761" s="23">
        <f t="shared" si="177"/>
        <v>1</v>
      </c>
      <c r="J761" s="23" t="str">
        <f t="shared" si="177"/>
        <v xml:space="preserve"> </v>
      </c>
      <c r="K761" s="23" t="str">
        <f t="shared" si="177"/>
        <v xml:space="preserve"> </v>
      </c>
      <c r="L761" s="23" t="str">
        <f t="shared" si="177"/>
        <v xml:space="preserve"> </v>
      </c>
      <c r="M761" s="23" t="str">
        <f t="shared" si="177"/>
        <v xml:space="preserve"> </v>
      </c>
      <c r="N761" s="38" t="str">
        <f t="shared" si="177"/>
        <v xml:space="preserve"> </v>
      </c>
      <c r="O761" s="2"/>
      <c r="Y761" s="626"/>
    </row>
    <row r="762" spans="1:25" s="426" customFormat="1" x14ac:dyDescent="0.25">
      <c r="A762" s="41"/>
      <c r="B762" s="13"/>
      <c r="C762" s="52"/>
      <c r="D762" s="681">
        <f>VLOOKUP(1,L721:O730,4,FALSE)</f>
        <v>0.8</v>
      </c>
      <c r="E762" s="26" t="s">
        <v>723</v>
      </c>
      <c r="F762" s="26">
        <v>7</v>
      </c>
      <c r="G762" s="2">
        <v>6.5</v>
      </c>
      <c r="H762" s="2">
        <v>6</v>
      </c>
      <c r="I762" s="2">
        <v>5.5</v>
      </c>
      <c r="J762" s="2">
        <v>5</v>
      </c>
      <c r="K762" s="2">
        <v>4.5</v>
      </c>
      <c r="L762" s="2">
        <v>4</v>
      </c>
      <c r="M762" s="2">
        <v>3.5</v>
      </c>
      <c r="N762" s="25">
        <v>3</v>
      </c>
      <c r="O762" s="2"/>
      <c r="Y762" s="626"/>
    </row>
    <row r="763" spans="1:25" s="426" customFormat="1" x14ac:dyDescent="0.25">
      <c r="A763" s="442" t="str">
        <f>IF($C$4=B763,1," ")</f>
        <v xml:space="preserve"> </v>
      </c>
      <c r="B763" s="435" t="s">
        <v>30</v>
      </c>
      <c r="C763" s="486">
        <v>90</v>
      </c>
      <c r="D763" s="645">
        <v>1.5</v>
      </c>
      <c r="E763" s="431">
        <f>FLOOR(C763/D763,1)</f>
        <v>60</v>
      </c>
      <c r="F763" s="431">
        <f>FLOOR((E763*$F$762)*$D$762,1)</f>
        <v>336</v>
      </c>
      <c r="G763" s="449">
        <f>FLOOR((E763*$G$762)*$D$762,1)</f>
        <v>312</v>
      </c>
      <c r="H763" s="449">
        <f>FLOOR((E763*$H$762)*$D$762,1)</f>
        <v>288</v>
      </c>
      <c r="I763" s="449">
        <f>FLOOR((E763*$I$762)*$D$762,1)</f>
        <v>264</v>
      </c>
      <c r="J763" s="449">
        <f>FLOOR((E763*$J$762)*$D$762,1)</f>
        <v>240</v>
      </c>
      <c r="K763" s="449">
        <f>FLOOR((E763*$K$762)*$D$762,1)</f>
        <v>216</v>
      </c>
      <c r="L763" s="449">
        <f>FLOOR((E763*$L$762)*$D$762,1)</f>
        <v>192</v>
      </c>
      <c r="M763" s="449">
        <f>FLOOR((E763*$M$762)*$D$762,1)</f>
        <v>168</v>
      </c>
      <c r="N763" s="435">
        <f>FLOOR((E763*$N$762)*$D$762,1)</f>
        <v>144</v>
      </c>
      <c r="O763" s="2"/>
      <c r="Y763" s="626"/>
    </row>
    <row r="764" spans="1:25" s="426" customFormat="1" x14ac:dyDescent="0.25">
      <c r="A764" s="12">
        <f t="shared" ref="A764:A769" si="178">IF($C$4=B764,1," ")</f>
        <v>1</v>
      </c>
      <c r="B764" s="25" t="s">
        <v>31</v>
      </c>
      <c r="C764" s="28">
        <v>90</v>
      </c>
      <c r="D764" s="29">
        <v>2.8</v>
      </c>
      <c r="E764" s="26">
        <f t="shared" ref="E764:E769" si="179">FLOOR(C764/D764,1)</f>
        <v>32</v>
      </c>
      <c r="F764" s="26">
        <f t="shared" ref="F764:F769" si="180">FLOOR((E764*$F$762)*$D$762,1)</f>
        <v>179</v>
      </c>
      <c r="G764" s="2">
        <f t="shared" ref="G764:G769" si="181">FLOOR((E764*$G$762)*$D$762,1)</f>
        <v>166</v>
      </c>
      <c r="H764" s="2">
        <f t="shared" ref="H764:H769" si="182">FLOOR((E764*$H$762)*$D$762,1)</f>
        <v>153</v>
      </c>
      <c r="I764" s="2">
        <f t="shared" ref="I764:I769" si="183">FLOOR((E764*$I$762)*$D$762,1)</f>
        <v>140</v>
      </c>
      <c r="J764" s="2">
        <f t="shared" ref="J764:J769" si="184">FLOOR((E764*$J$762)*$D$762,1)</f>
        <v>128</v>
      </c>
      <c r="K764" s="2">
        <f t="shared" ref="K764:K769" si="185">FLOOR((E764*$K$762)*$D$762,1)</f>
        <v>115</v>
      </c>
      <c r="L764" s="2">
        <f t="shared" ref="L764:L769" si="186">FLOOR((E764*$L$762)*$D$762,1)</f>
        <v>102</v>
      </c>
      <c r="M764" s="2">
        <f t="shared" ref="M764:M769" si="187">FLOOR((E764*$M$762)*$D$762,1)</f>
        <v>89</v>
      </c>
      <c r="N764" s="25">
        <f t="shared" ref="N764:N769" si="188">FLOOR((E764*$N$762)*$D$762,1)</f>
        <v>76</v>
      </c>
      <c r="O764" s="2"/>
      <c r="Y764" s="626"/>
    </row>
    <row r="765" spans="1:25" s="426" customFormat="1" x14ac:dyDescent="0.25">
      <c r="A765" s="12" t="str">
        <f t="shared" si="178"/>
        <v xml:space="preserve"> </v>
      </c>
      <c r="B765" s="25" t="s">
        <v>32</v>
      </c>
      <c r="C765" s="28">
        <v>90</v>
      </c>
      <c r="D765" s="29">
        <v>3.8</v>
      </c>
      <c r="E765" s="26">
        <f t="shared" si="179"/>
        <v>23</v>
      </c>
      <c r="F765" s="26">
        <f t="shared" si="180"/>
        <v>128</v>
      </c>
      <c r="G765" s="2">
        <f t="shared" si="181"/>
        <v>119</v>
      </c>
      <c r="H765" s="2">
        <f t="shared" si="182"/>
        <v>110</v>
      </c>
      <c r="I765" s="2">
        <f t="shared" si="183"/>
        <v>101</v>
      </c>
      <c r="J765" s="2">
        <f t="shared" si="184"/>
        <v>92</v>
      </c>
      <c r="K765" s="2">
        <f t="shared" si="185"/>
        <v>82</v>
      </c>
      <c r="L765" s="2">
        <f t="shared" si="186"/>
        <v>73</v>
      </c>
      <c r="M765" s="2">
        <f t="shared" si="187"/>
        <v>64</v>
      </c>
      <c r="N765" s="25">
        <f t="shared" si="188"/>
        <v>55</v>
      </c>
      <c r="O765" s="2"/>
      <c r="Y765" s="626"/>
    </row>
    <row r="766" spans="1:25" s="426" customFormat="1" x14ac:dyDescent="0.25">
      <c r="A766" s="12" t="str">
        <f t="shared" si="178"/>
        <v xml:space="preserve"> </v>
      </c>
      <c r="B766" s="25" t="s">
        <v>34</v>
      </c>
      <c r="C766" s="28">
        <v>90</v>
      </c>
      <c r="D766" s="29">
        <v>3</v>
      </c>
      <c r="E766" s="26">
        <f t="shared" si="179"/>
        <v>30</v>
      </c>
      <c r="F766" s="26">
        <f t="shared" si="180"/>
        <v>168</v>
      </c>
      <c r="G766" s="2">
        <f t="shared" si="181"/>
        <v>156</v>
      </c>
      <c r="H766" s="2">
        <f t="shared" si="182"/>
        <v>144</v>
      </c>
      <c r="I766" s="2">
        <f t="shared" si="183"/>
        <v>132</v>
      </c>
      <c r="J766" s="2">
        <f t="shared" si="184"/>
        <v>120</v>
      </c>
      <c r="K766" s="2">
        <f t="shared" si="185"/>
        <v>108</v>
      </c>
      <c r="L766" s="2">
        <f t="shared" si="186"/>
        <v>96</v>
      </c>
      <c r="M766" s="2">
        <f t="shared" si="187"/>
        <v>84</v>
      </c>
      <c r="N766" s="25">
        <f t="shared" si="188"/>
        <v>72</v>
      </c>
      <c r="O766" s="2"/>
      <c r="Y766" s="626"/>
    </row>
    <row r="767" spans="1:25" s="426" customFormat="1" x14ac:dyDescent="0.25">
      <c r="A767" s="12" t="str">
        <f t="shared" si="178"/>
        <v xml:space="preserve"> </v>
      </c>
      <c r="B767" s="25" t="s">
        <v>33</v>
      </c>
      <c r="C767" s="28">
        <v>90</v>
      </c>
      <c r="D767" s="29">
        <v>3.8</v>
      </c>
      <c r="E767" s="26">
        <f t="shared" si="179"/>
        <v>23</v>
      </c>
      <c r="F767" s="26">
        <f t="shared" si="180"/>
        <v>128</v>
      </c>
      <c r="G767" s="2">
        <f t="shared" si="181"/>
        <v>119</v>
      </c>
      <c r="H767" s="2">
        <f t="shared" si="182"/>
        <v>110</v>
      </c>
      <c r="I767" s="2">
        <f t="shared" si="183"/>
        <v>101</v>
      </c>
      <c r="J767" s="2">
        <f t="shared" si="184"/>
        <v>92</v>
      </c>
      <c r="K767" s="2">
        <f t="shared" si="185"/>
        <v>82</v>
      </c>
      <c r="L767" s="2">
        <f t="shared" si="186"/>
        <v>73</v>
      </c>
      <c r="M767" s="2">
        <f t="shared" si="187"/>
        <v>64</v>
      </c>
      <c r="N767" s="25">
        <f t="shared" si="188"/>
        <v>55</v>
      </c>
      <c r="O767" s="2"/>
      <c r="Y767" s="626"/>
    </row>
    <row r="768" spans="1:25" s="426" customFormat="1" x14ac:dyDescent="0.25">
      <c r="A768" s="12" t="str">
        <f t="shared" si="178"/>
        <v xml:space="preserve"> </v>
      </c>
      <c r="B768" s="25" t="s">
        <v>35</v>
      </c>
      <c r="C768" s="28">
        <v>90</v>
      </c>
      <c r="D768" s="29">
        <v>3.6</v>
      </c>
      <c r="E768" s="26">
        <f t="shared" si="179"/>
        <v>25</v>
      </c>
      <c r="F768" s="26">
        <f t="shared" si="180"/>
        <v>140</v>
      </c>
      <c r="G768" s="2">
        <f t="shared" si="181"/>
        <v>130</v>
      </c>
      <c r="H768" s="2">
        <f t="shared" si="182"/>
        <v>120</v>
      </c>
      <c r="I768" s="2">
        <f t="shared" si="183"/>
        <v>110</v>
      </c>
      <c r="J768" s="2">
        <f t="shared" si="184"/>
        <v>100</v>
      </c>
      <c r="K768" s="2">
        <f t="shared" si="185"/>
        <v>90</v>
      </c>
      <c r="L768" s="2">
        <f t="shared" si="186"/>
        <v>80</v>
      </c>
      <c r="M768" s="2">
        <f t="shared" si="187"/>
        <v>70</v>
      </c>
      <c r="N768" s="25">
        <f t="shared" si="188"/>
        <v>60</v>
      </c>
      <c r="O768" s="2"/>
      <c r="Y768" s="626"/>
    </row>
    <row r="769" spans="1:25" s="426" customFormat="1" ht="15.75" thickBot="1" x14ac:dyDescent="0.3">
      <c r="A769" s="12" t="str">
        <f t="shared" si="178"/>
        <v xml:space="preserve"> </v>
      </c>
      <c r="B769" s="25" t="s">
        <v>36</v>
      </c>
      <c r="C769" s="34">
        <v>90</v>
      </c>
      <c r="D769" s="649">
        <v>5.6</v>
      </c>
      <c r="E769" s="432">
        <f t="shared" si="179"/>
        <v>16</v>
      </c>
      <c r="F769" s="432">
        <f t="shared" si="180"/>
        <v>89</v>
      </c>
      <c r="G769" s="343">
        <f t="shared" si="181"/>
        <v>83</v>
      </c>
      <c r="H769" s="343">
        <f t="shared" si="182"/>
        <v>76</v>
      </c>
      <c r="I769" s="343">
        <f t="shared" si="183"/>
        <v>70</v>
      </c>
      <c r="J769" s="343">
        <f t="shared" si="184"/>
        <v>64</v>
      </c>
      <c r="K769" s="343">
        <f t="shared" si="185"/>
        <v>57</v>
      </c>
      <c r="L769" s="343">
        <f t="shared" si="186"/>
        <v>51</v>
      </c>
      <c r="M769" s="343">
        <f t="shared" si="187"/>
        <v>44</v>
      </c>
      <c r="N769" s="436">
        <f t="shared" si="188"/>
        <v>38</v>
      </c>
      <c r="O769" s="2"/>
      <c r="Y769" s="626"/>
    </row>
    <row r="770" spans="1:25" s="426" customFormat="1" ht="15.75" thickBot="1" x14ac:dyDescent="0.3">
      <c r="A770" s="414" t="s">
        <v>724</v>
      </c>
      <c r="B770" s="682">
        <f>HLOOKUP(1,F761:N770,10,FALSE)</f>
        <v>140</v>
      </c>
      <c r="C770" s="43"/>
      <c r="D770" s="43"/>
      <c r="E770" s="43"/>
      <c r="F770" s="208">
        <f>VLOOKUP(1,A763:N769,6,FALSE)</f>
        <v>179</v>
      </c>
      <c r="G770" s="23">
        <f>VLOOKUP(1,A763:N769,7,FALSE)</f>
        <v>166</v>
      </c>
      <c r="H770" s="23">
        <f>VLOOKUP(1,A763:N769,8,FALSE)</f>
        <v>153</v>
      </c>
      <c r="I770" s="23">
        <f>VLOOKUP(1,A763:N769,9,FALSE)</f>
        <v>140</v>
      </c>
      <c r="J770" s="23">
        <f>VLOOKUP(1,A763:N769,10,FALSE)</f>
        <v>128</v>
      </c>
      <c r="K770" s="23">
        <f>VLOOKUP(1,A763:N769,11,FALSE)</f>
        <v>115</v>
      </c>
      <c r="L770" s="23">
        <f>VLOOKUP(1,A763:N769,12,FALSE)</f>
        <v>102</v>
      </c>
      <c r="M770" s="23">
        <f>VLOOKUP(1,A763:N769,13,FALSE)</f>
        <v>89</v>
      </c>
      <c r="N770" s="38">
        <f>VLOOKUP(1,A763:N769,14,FALSE)</f>
        <v>76</v>
      </c>
      <c r="O770" s="2"/>
      <c r="Y770" s="626"/>
    </row>
    <row r="771" spans="1:25" s="426" customFormat="1" x14ac:dyDescent="0.25">
      <c r="A771"/>
      <c r="B771"/>
      <c r="C771"/>
      <c r="D771"/>
      <c r="E771"/>
      <c r="F771" s="2"/>
      <c r="G771" s="2"/>
      <c r="H771" s="2"/>
      <c r="I771" s="2"/>
      <c r="J771" s="2"/>
      <c r="K771" s="2"/>
      <c r="L771" s="2"/>
      <c r="M771" s="2"/>
      <c r="N771" s="2"/>
      <c r="O771" s="2"/>
      <c r="Y771" s="626"/>
    </row>
    <row r="772" spans="1:25" s="426" customFormat="1" ht="12.75" x14ac:dyDescent="0.2">
      <c r="Y772" s="626"/>
    </row>
    <row r="773" spans="1:25" s="426" customFormat="1" ht="12.75" x14ac:dyDescent="0.2">
      <c r="B773" s="426" t="s">
        <v>692</v>
      </c>
      <c r="Y773" s="626"/>
    </row>
    <row r="774" spans="1:25" s="426" customFormat="1" ht="12.75" x14ac:dyDescent="0.2">
      <c r="Y774" s="626"/>
    </row>
    <row r="775" spans="1:25" s="426" customFormat="1" ht="12.75" x14ac:dyDescent="0.2">
      <c r="A775" s="426">
        <f>A722</f>
        <v>1</v>
      </c>
      <c r="B775" s="426" t="s">
        <v>717</v>
      </c>
      <c r="C775" s="626">
        <f>A775*C722</f>
        <v>8</v>
      </c>
      <c r="D775" s="635">
        <f>C775*$D$719</f>
        <v>40</v>
      </c>
      <c r="Y775" s="626"/>
    </row>
    <row r="776" spans="1:25" s="426" customFormat="1" ht="12.75" x14ac:dyDescent="0.2">
      <c r="A776" s="426">
        <f>A723</f>
        <v>0</v>
      </c>
      <c r="B776" s="426" t="s">
        <v>677</v>
      </c>
      <c r="C776" s="626">
        <f>A776*C723</f>
        <v>0</v>
      </c>
      <c r="D776" s="635">
        <f>C776*$D$719</f>
        <v>0</v>
      </c>
      <c r="Y776" s="626"/>
    </row>
    <row r="777" spans="1:25" s="426" customFormat="1" ht="12.75" x14ac:dyDescent="0.2">
      <c r="A777" s="426">
        <f>A724</f>
        <v>0</v>
      </c>
      <c r="B777" s="426" t="s">
        <v>681</v>
      </c>
      <c r="C777" s="626">
        <f>A777*C724</f>
        <v>0</v>
      </c>
      <c r="D777" s="635">
        <f>C777*$D$719</f>
        <v>0</v>
      </c>
      <c r="Y777" s="626"/>
    </row>
    <row r="778" spans="1:25" s="426" customFormat="1" ht="12.75" x14ac:dyDescent="0.2">
      <c r="B778" s="615" t="s">
        <v>693</v>
      </c>
      <c r="D778" s="633">
        <f>SUM(D775:D777)</f>
        <v>40</v>
      </c>
      <c r="Y778" s="626"/>
    </row>
    <row r="779" spans="1:25" s="426" customFormat="1" ht="12.75" x14ac:dyDescent="0.2">
      <c r="B779" s="615"/>
      <c r="Y779" s="626"/>
    </row>
    <row r="780" spans="1:25" s="426" customFormat="1" ht="12.75" x14ac:dyDescent="0.2">
      <c r="B780" s="615"/>
      <c r="Y780" s="626"/>
    </row>
    <row r="781" spans="1:25" s="426" customFormat="1" ht="12.75" x14ac:dyDescent="0.2">
      <c r="B781" s="615"/>
      <c r="C781" s="626" t="s">
        <v>1020</v>
      </c>
      <c r="D781" s="426" t="s">
        <v>1023</v>
      </c>
      <c r="E781" s="626" t="s">
        <v>1024</v>
      </c>
      <c r="Y781" s="626"/>
    </row>
    <row r="782" spans="1:25" s="426" customFormat="1" ht="12.75" x14ac:dyDescent="0.2">
      <c r="B782" s="652" t="s">
        <v>704</v>
      </c>
      <c r="C782" s="634">
        <f>B770</f>
        <v>140</v>
      </c>
      <c r="D782" s="1047">
        <f>J728</f>
        <v>9999</v>
      </c>
      <c r="E782" s="1047">
        <f>MIN(C782:D782)*H734</f>
        <v>126</v>
      </c>
      <c r="Y782" s="626"/>
    </row>
    <row r="783" spans="1:25" s="426" customFormat="1" ht="12.75" x14ac:dyDescent="0.2">
      <c r="C783" s="626"/>
      <c r="Y783" s="626"/>
    </row>
    <row r="784" spans="1:25" s="426" customFormat="1" ht="12.75" x14ac:dyDescent="0.2">
      <c r="Y784" s="626"/>
    </row>
    <row r="785" spans="1:25" s="426" customFormat="1" ht="12.75" x14ac:dyDescent="0.2">
      <c r="B785" s="634" t="s">
        <v>706</v>
      </c>
      <c r="C785" s="653" t="s">
        <v>707</v>
      </c>
      <c r="D785" s="628" t="s">
        <v>708</v>
      </c>
      <c r="E785" s="664" t="s">
        <v>709</v>
      </c>
      <c r="Y785" s="626"/>
    </row>
    <row r="786" spans="1:25" s="426" customFormat="1" ht="12.75" x14ac:dyDescent="0.2">
      <c r="B786" s="634">
        <f>IF(C3&gt;=I445,C3,I445)</f>
        <v>482</v>
      </c>
      <c r="C786" s="665">
        <v>150</v>
      </c>
      <c r="D786" s="634">
        <f>B786-C786</f>
        <v>332</v>
      </c>
      <c r="E786" s="654"/>
      <c r="Y786" s="626"/>
    </row>
    <row r="787" spans="1:25" s="426" customFormat="1" ht="12.75" x14ac:dyDescent="0.2">
      <c r="B787" s="634" t="s">
        <v>710</v>
      </c>
      <c r="C787" s="666">
        <f>C786/(E782/2)</f>
        <v>2.3809523809523809</v>
      </c>
      <c r="D787" s="668">
        <f>D786/E782</f>
        <v>2.6349206349206349</v>
      </c>
      <c r="E787" s="667">
        <f>CEILING(D787+C787,1)</f>
        <v>6</v>
      </c>
      <c r="Y787" s="626"/>
    </row>
    <row r="788" spans="1:25" s="426" customFormat="1" ht="12.75" x14ac:dyDescent="0.2">
      <c r="B788" s="615"/>
      <c r="Y788" s="626"/>
    </row>
    <row r="789" spans="1:25" s="426" customFormat="1" ht="12.75" x14ac:dyDescent="0.2">
      <c r="B789" s="615"/>
      <c r="Y789" s="626"/>
    </row>
    <row r="790" spans="1:25" s="426" customFormat="1" ht="12.75" x14ac:dyDescent="0.2">
      <c r="A790" s="426">
        <f>IF(C715=1,1,0)</f>
        <v>1</v>
      </c>
      <c r="B790" s="615" t="s">
        <v>712</v>
      </c>
      <c r="C790" s="134">
        <f>IF(E787&gt;=C726,E787,C726)</f>
        <v>6</v>
      </c>
      <c r="D790" s="629">
        <f>IF(A790=1,C790*D719,0)</f>
        <v>30</v>
      </c>
      <c r="F790" s="669"/>
      <c r="Y790" s="626"/>
    </row>
    <row r="791" spans="1:25" s="426" customFormat="1" ht="12.75" x14ac:dyDescent="0.2">
      <c r="B791" s="615"/>
      <c r="Y791" s="626"/>
    </row>
    <row r="792" spans="1:25" s="430" customFormat="1" ht="12.75" x14ac:dyDescent="0.2">
      <c r="B792" s="678"/>
      <c r="Y792" s="651"/>
    </row>
    <row r="793" spans="1:25" s="426" customFormat="1" ht="12.75" x14ac:dyDescent="0.2">
      <c r="Y793" s="626"/>
    </row>
    <row r="794" spans="1:25" s="426" customFormat="1" ht="13.5" thickBot="1" x14ac:dyDescent="0.25">
      <c r="B794" s="615"/>
      <c r="D794" s="626" t="s">
        <v>674</v>
      </c>
      <c r="Y794" s="626"/>
    </row>
    <row r="795" spans="1:25" s="426" customFormat="1" ht="13.5" thickBot="1" x14ac:dyDescent="0.25">
      <c r="B795" s="641" t="s">
        <v>666</v>
      </c>
      <c r="C795" s="643">
        <f>J368</f>
        <v>0</v>
      </c>
      <c r="D795" s="642">
        <f>IF(C795=1,C847+C850,0)</f>
        <v>0</v>
      </c>
      <c r="Y795" s="626"/>
    </row>
    <row r="796" spans="1:25" s="426" customFormat="1" ht="12.75" x14ac:dyDescent="0.2">
      <c r="B796" s="627"/>
      <c r="C796" s="626"/>
      <c r="D796" s="704"/>
      <c r="Y796" s="626"/>
    </row>
    <row r="797" spans="1:25" s="426" customFormat="1" ht="12.75" x14ac:dyDescent="0.2">
      <c r="Y797" s="626"/>
    </row>
    <row r="798" spans="1:25" s="426" customFormat="1" ht="12.75" x14ac:dyDescent="0.2">
      <c r="Y798" s="626"/>
    </row>
    <row r="799" spans="1:25" s="426" customFormat="1" ht="12.75" x14ac:dyDescent="0.2">
      <c r="B799" s="426" t="s">
        <v>783</v>
      </c>
      <c r="C799" s="633">
        <f>Tarieven!C10</f>
        <v>150</v>
      </c>
      <c r="D799" s="633">
        <f>C799/60</f>
        <v>2.5</v>
      </c>
      <c r="Y799" s="626"/>
    </row>
    <row r="800" spans="1:25" s="426" customFormat="1" ht="12.75" x14ac:dyDescent="0.2">
      <c r="C800" s="635"/>
      <c r="D800" s="635"/>
      <c r="Y800" s="626"/>
    </row>
    <row r="801" spans="1:25" s="426" customFormat="1" ht="12.75" x14ac:dyDescent="0.2">
      <c r="A801" s="426" t="s">
        <v>61</v>
      </c>
      <c r="B801" s="426" t="s">
        <v>679</v>
      </c>
      <c r="C801" s="636" t="s">
        <v>680</v>
      </c>
      <c r="D801" s="635"/>
      <c r="G801" s="638">
        <v>0.01</v>
      </c>
      <c r="Y801" s="626"/>
    </row>
    <row r="802" spans="1:25" s="426" customFormat="1" ht="12.75" x14ac:dyDescent="0.2">
      <c r="A802" s="626">
        <f>IF(C795=1,1,0)</f>
        <v>0</v>
      </c>
      <c r="B802" s="426" t="s">
        <v>784</v>
      </c>
      <c r="C802" s="637">
        <v>25</v>
      </c>
      <c r="D802" s="426" t="s">
        <v>683</v>
      </c>
      <c r="G802" s="708" t="s">
        <v>777</v>
      </c>
      <c r="H802" s="719" t="s">
        <v>778</v>
      </c>
      <c r="I802" s="719" t="s">
        <v>779</v>
      </c>
      <c r="Y802" s="626"/>
    </row>
    <row r="803" spans="1:25" s="426" customFormat="1" ht="13.5" thickBot="1" x14ac:dyDescent="0.25">
      <c r="A803" s="626">
        <f>IF(C795=1,1,0)</f>
        <v>0</v>
      </c>
      <c r="B803" s="426" t="s">
        <v>786</v>
      </c>
      <c r="C803" s="637">
        <v>10</v>
      </c>
      <c r="D803" s="426" t="s">
        <v>683</v>
      </c>
      <c r="G803" s="725">
        <f>MAX(B445,H445)</f>
        <v>482</v>
      </c>
      <c r="H803" s="145">
        <f>C807*C808</f>
        <v>1</v>
      </c>
      <c r="I803" s="145">
        <f>H803*G803</f>
        <v>482</v>
      </c>
      <c r="Y803" s="626"/>
    </row>
    <row r="804" spans="1:25" s="426" customFormat="1" ht="12.75" x14ac:dyDescent="0.2">
      <c r="A804" s="626"/>
      <c r="C804" s="626"/>
      <c r="G804" s="735" t="s">
        <v>782</v>
      </c>
      <c r="H804" s="710" t="s">
        <v>781</v>
      </c>
      <c r="I804" s="713" t="s">
        <v>780</v>
      </c>
      <c r="Y804" s="626"/>
    </row>
    <row r="805" spans="1:25" s="426" customFormat="1" ht="13.5" thickBot="1" x14ac:dyDescent="0.25">
      <c r="B805" s="426" t="s">
        <v>796</v>
      </c>
      <c r="C805" s="637">
        <v>12</v>
      </c>
      <c r="D805" s="426" t="s">
        <v>683</v>
      </c>
      <c r="G805" s="736">
        <f>IF(CEILING((H805*G801)+H805,1)&lt;=G803,CEILING((H805*G801)+H805,1),G803)</f>
        <v>404</v>
      </c>
      <c r="H805" s="702">
        <f>CEILING(I805/H803,1)</f>
        <v>400</v>
      </c>
      <c r="I805" s="145">
        <f>C3</f>
        <v>400</v>
      </c>
      <c r="Y805" s="626"/>
    </row>
    <row r="806" spans="1:25" s="426" customFormat="1" ht="12.75" x14ac:dyDescent="0.2">
      <c r="Y806" s="626"/>
    </row>
    <row r="807" spans="1:25" s="426" customFormat="1" ht="12.75" x14ac:dyDescent="0.2">
      <c r="B807" s="615" t="s">
        <v>752</v>
      </c>
      <c r="C807" s="626">
        <f>C445</f>
        <v>1</v>
      </c>
      <c r="D807" s="426" t="s">
        <v>754</v>
      </c>
      <c r="Y807" s="626"/>
    </row>
    <row r="808" spans="1:25" s="426" customFormat="1" ht="12.75" x14ac:dyDescent="0.2">
      <c r="B808" s="615" t="s">
        <v>753</v>
      </c>
      <c r="C808" s="626">
        <f>D445</f>
        <v>1</v>
      </c>
      <c r="D808" s="426" t="s">
        <v>754</v>
      </c>
      <c r="Y808" s="626"/>
    </row>
    <row r="809" spans="1:25" s="426" customFormat="1" ht="12.75" x14ac:dyDescent="0.2">
      <c r="B809" s="615" t="s">
        <v>99</v>
      </c>
      <c r="C809" s="626">
        <f>E445</f>
        <v>361</v>
      </c>
      <c r="D809" s="426" t="s">
        <v>25</v>
      </c>
      <c r="Y809" s="626"/>
    </row>
    <row r="810" spans="1:25" s="426" customFormat="1" ht="12.75" x14ac:dyDescent="0.2">
      <c r="B810" s="615" t="s">
        <v>100</v>
      </c>
      <c r="C810" s="626">
        <f>F445</f>
        <v>1150</v>
      </c>
      <c r="D810" s="426" t="s">
        <v>25</v>
      </c>
      <c r="Y810" s="626"/>
    </row>
    <row r="811" spans="1:25" s="426" customFormat="1" ht="12.75" x14ac:dyDescent="0.2">
      <c r="B811" s="615" t="s">
        <v>776</v>
      </c>
      <c r="C811" s="134">
        <f>G805</f>
        <v>404</v>
      </c>
      <c r="D811" s="426" t="s">
        <v>754</v>
      </c>
      <c r="Y811" s="626"/>
    </row>
    <row r="812" spans="1:25" s="426" customFormat="1" ht="12.75" x14ac:dyDescent="0.2">
      <c r="Y812" s="626"/>
    </row>
    <row r="813" spans="1:25" s="426" customFormat="1" x14ac:dyDescent="0.25">
      <c r="D813" s="77"/>
      <c r="F813"/>
      <c r="G813"/>
      <c r="H813"/>
      <c r="I813"/>
      <c r="J813"/>
      <c r="K813"/>
      <c r="L813"/>
      <c r="M813"/>
      <c r="N813"/>
      <c r="O813"/>
      <c r="P813"/>
      <c r="Q813"/>
      <c r="Y813" s="626"/>
    </row>
    <row r="814" spans="1:25" s="426" customFormat="1" x14ac:dyDescent="0.25">
      <c r="A814" s="708"/>
      <c r="B814" s="405" t="s">
        <v>787</v>
      </c>
      <c r="C814" s="442">
        <f>MAX(C809:C810)</f>
        <v>1150</v>
      </c>
      <c r="D814" s="516"/>
      <c r="E814" s="427"/>
      <c r="F814" s="412"/>
      <c r="G814" s="412"/>
      <c r="H814" s="412"/>
      <c r="I814" s="412"/>
      <c r="J814" s="412"/>
      <c r="K814" s="412"/>
      <c r="L814" s="412"/>
      <c r="M814" s="412"/>
      <c r="N814" s="412"/>
      <c r="O814" s="433"/>
      <c r="P814"/>
      <c r="Q814"/>
      <c r="Y814" s="626"/>
    </row>
    <row r="815" spans="1:25" s="426" customFormat="1" x14ac:dyDescent="0.25">
      <c r="A815" s="429"/>
      <c r="B815" s="341" t="s">
        <v>788</v>
      </c>
      <c r="C815" s="13">
        <f>MIN(C809:C810)</f>
        <v>361</v>
      </c>
      <c r="D815" s="416"/>
      <c r="E815" s="430"/>
      <c r="F815" s="320"/>
      <c r="G815" s="320"/>
      <c r="H815" s="320"/>
      <c r="I815" s="320"/>
      <c r="J815" s="320"/>
      <c r="K815" s="320"/>
      <c r="L815" s="320"/>
      <c r="M815" s="320"/>
      <c r="N815" s="320"/>
      <c r="O815" s="434"/>
      <c r="P815"/>
      <c r="Q815"/>
      <c r="Y815" s="626"/>
    </row>
    <row r="816" spans="1:25" s="426" customFormat="1" x14ac:dyDescent="0.25">
      <c r="A816" s="476"/>
      <c r="B816" s="412"/>
      <c r="C816" s="412"/>
      <c r="D816" s="23">
        <v>4</v>
      </c>
      <c r="E816" s="23">
        <v>5</v>
      </c>
      <c r="F816" s="23">
        <v>6</v>
      </c>
      <c r="G816" s="23">
        <v>7</v>
      </c>
      <c r="H816" s="23">
        <v>8</v>
      </c>
      <c r="I816" s="23">
        <v>9</v>
      </c>
      <c r="J816" s="23">
        <v>10</v>
      </c>
      <c r="K816" s="23">
        <v>11</v>
      </c>
      <c r="L816" s="23">
        <v>12</v>
      </c>
      <c r="M816" s="23">
        <v>13</v>
      </c>
      <c r="N816" s="23">
        <v>14</v>
      </c>
      <c r="O816" s="38">
        <v>15</v>
      </c>
      <c r="P816"/>
      <c r="Q816"/>
      <c r="Y816" s="626"/>
    </row>
    <row r="817" spans="1:29" s="426" customFormat="1" x14ac:dyDescent="0.25">
      <c r="A817" s="431"/>
      <c r="B817" s="412"/>
      <c r="C817" s="433"/>
      <c r="D817" s="208">
        <f t="shared" ref="D817:O817" si="189">IF(AND($C$814&gt;D818,$C$814&lt;=D819),1,0)</f>
        <v>0</v>
      </c>
      <c r="E817" s="23">
        <f t="shared" si="189"/>
        <v>0</v>
      </c>
      <c r="F817" s="23">
        <f t="shared" si="189"/>
        <v>0</v>
      </c>
      <c r="G817" s="23">
        <f t="shared" si="189"/>
        <v>0</v>
      </c>
      <c r="H817" s="23">
        <f t="shared" si="189"/>
        <v>0</v>
      </c>
      <c r="I817" s="23">
        <f t="shared" si="189"/>
        <v>0</v>
      </c>
      <c r="J817" s="23">
        <f t="shared" si="189"/>
        <v>1</v>
      </c>
      <c r="K817" s="23">
        <f t="shared" si="189"/>
        <v>0</v>
      </c>
      <c r="L817" s="23">
        <f t="shared" si="189"/>
        <v>0</v>
      </c>
      <c r="M817" s="23">
        <f t="shared" si="189"/>
        <v>0</v>
      </c>
      <c r="N817" s="23">
        <f t="shared" si="189"/>
        <v>0</v>
      </c>
      <c r="O817" s="38">
        <f t="shared" si="189"/>
        <v>0</v>
      </c>
      <c r="P817"/>
      <c r="Q817"/>
      <c r="Y817" s="626"/>
    </row>
    <row r="818" spans="1:29" s="426" customFormat="1" x14ac:dyDescent="0.25">
      <c r="A818" s="6"/>
      <c r="B818"/>
      <c r="C818" s="7"/>
      <c r="D818" s="26">
        <v>0</v>
      </c>
      <c r="E818" s="2">
        <v>600</v>
      </c>
      <c r="F818" s="2">
        <v>700</v>
      </c>
      <c r="G818" s="2">
        <v>800</v>
      </c>
      <c r="H818" s="2">
        <v>900</v>
      </c>
      <c r="I818" s="2">
        <v>1000</v>
      </c>
      <c r="J818" s="2">
        <v>1100</v>
      </c>
      <c r="K818" s="2">
        <v>1200</v>
      </c>
      <c r="L818" s="2">
        <v>1300</v>
      </c>
      <c r="M818" s="2">
        <v>1400</v>
      </c>
      <c r="N818" s="2">
        <v>1500</v>
      </c>
      <c r="O818" s="25">
        <v>1600</v>
      </c>
      <c r="P818"/>
      <c r="Q818"/>
      <c r="Y818" s="626"/>
    </row>
    <row r="819" spans="1:29" s="426" customFormat="1" ht="15.75" thickBot="1" x14ac:dyDescent="0.3">
      <c r="A819" s="415"/>
      <c r="B819" s="320"/>
      <c r="C819" s="434"/>
      <c r="D819" s="26">
        <v>600</v>
      </c>
      <c r="E819" s="2">
        <v>700</v>
      </c>
      <c r="F819" s="2">
        <v>800</v>
      </c>
      <c r="G819" s="2">
        <v>900</v>
      </c>
      <c r="H819" s="2">
        <v>1000</v>
      </c>
      <c r="I819" s="2">
        <v>1100</v>
      </c>
      <c r="J819" s="2">
        <v>1200</v>
      </c>
      <c r="K819" s="2">
        <v>1300</v>
      </c>
      <c r="L819" s="343">
        <v>1400</v>
      </c>
      <c r="M819" s="343">
        <v>1500</v>
      </c>
      <c r="N819" s="343">
        <v>1600</v>
      </c>
      <c r="O819" s="436">
        <v>1700</v>
      </c>
      <c r="P819"/>
      <c r="Q819" s="2" t="s">
        <v>801</v>
      </c>
      <c r="Y819" s="626"/>
    </row>
    <row r="820" spans="1:29" s="426" customFormat="1" ht="15.75" thickBot="1" x14ac:dyDescent="0.3">
      <c r="A820" s="442">
        <f t="shared" ref="A820:A832" si="190">IF(AND($C$815&gt;B820,$C$815&lt;=C820),1,0)</f>
        <v>1</v>
      </c>
      <c r="B820" s="449">
        <v>0</v>
      </c>
      <c r="C820" s="449">
        <v>600</v>
      </c>
      <c r="D820" s="984">
        <f>FLOOR($Q$820*R820,5)</f>
        <v>3040</v>
      </c>
      <c r="E820" s="977">
        <f t="shared" ref="E820:H825" si="191">FLOOR($Q$820*S820,5)</f>
        <v>3040</v>
      </c>
      <c r="F820" s="977">
        <f t="shared" si="191"/>
        <v>3040</v>
      </c>
      <c r="G820" s="977">
        <f t="shared" si="191"/>
        <v>3040</v>
      </c>
      <c r="H820" s="978">
        <f t="shared" si="191"/>
        <v>3040</v>
      </c>
      <c r="I820" s="977">
        <f t="shared" ref="I820:I825" si="192">FLOOR($Q$826*W820,5)</f>
        <v>2945</v>
      </c>
      <c r="J820" s="977">
        <f t="shared" ref="J820:J825" si="193">FLOOR($Q$826*X820,5)</f>
        <v>2850</v>
      </c>
      <c r="K820" s="978">
        <f t="shared" ref="K820:K825" si="194">FLOOR($Q$826*Y820,5)</f>
        <v>2755</v>
      </c>
      <c r="L820" s="977">
        <f t="shared" ref="L820:L828" si="195">FLOOR($Q$829*Z820,5)</f>
        <v>2660</v>
      </c>
      <c r="M820" s="977">
        <f t="shared" ref="M820:M828" si="196">FLOOR($Q$829*AA820,5)</f>
        <v>2565</v>
      </c>
      <c r="N820" s="977">
        <f t="shared" ref="N820:N828" si="197">FLOOR($Q$829*AB820,5)</f>
        <v>2470</v>
      </c>
      <c r="O820" s="978">
        <f t="shared" ref="O820:O828" si="198">FLOOR($Q$829*AC820,5)</f>
        <v>2375</v>
      </c>
      <c r="P820" s="741"/>
      <c r="Q820" s="982">
        <v>0.95</v>
      </c>
      <c r="R820" s="739">
        <v>3200</v>
      </c>
      <c r="S820" s="739">
        <v>3200</v>
      </c>
      <c r="T820" s="739">
        <v>3200</v>
      </c>
      <c r="U820" s="739">
        <v>3200</v>
      </c>
      <c r="V820" s="740">
        <v>3200</v>
      </c>
      <c r="W820" s="739">
        <v>3100</v>
      </c>
      <c r="X820" s="739">
        <v>3000</v>
      </c>
      <c r="Y820" s="740">
        <v>2900</v>
      </c>
      <c r="Z820" s="739">
        <v>2800</v>
      </c>
      <c r="AA820" s="648">
        <v>2700</v>
      </c>
      <c r="AB820" s="648">
        <v>2600</v>
      </c>
      <c r="AC820" s="740">
        <v>2500</v>
      </c>
    </row>
    <row r="821" spans="1:29" s="426" customFormat="1" x14ac:dyDescent="0.25">
      <c r="A821" s="12">
        <f t="shared" si="190"/>
        <v>0</v>
      </c>
      <c r="B821" s="2">
        <v>600</v>
      </c>
      <c r="C821" s="2">
        <v>650</v>
      </c>
      <c r="D821" s="979">
        <f t="shared" ref="D821:D825" si="199">FLOOR($Q$820*R821,5)</f>
        <v>3040</v>
      </c>
      <c r="E821" s="741">
        <f t="shared" si="191"/>
        <v>3040</v>
      </c>
      <c r="F821" s="741">
        <f t="shared" si="191"/>
        <v>3040</v>
      </c>
      <c r="G821" s="741">
        <f t="shared" si="191"/>
        <v>3040</v>
      </c>
      <c r="H821" s="980">
        <f t="shared" si="191"/>
        <v>3040</v>
      </c>
      <c r="I821" s="741">
        <f t="shared" si="192"/>
        <v>2925</v>
      </c>
      <c r="J821" s="741">
        <f t="shared" si="193"/>
        <v>2815</v>
      </c>
      <c r="K821" s="980">
        <f t="shared" si="194"/>
        <v>2705</v>
      </c>
      <c r="L821" s="741">
        <f t="shared" si="195"/>
        <v>2595</v>
      </c>
      <c r="M821" s="741">
        <f t="shared" si="196"/>
        <v>2495</v>
      </c>
      <c r="N821" s="741">
        <f t="shared" si="197"/>
        <v>2395</v>
      </c>
      <c r="O821" s="980">
        <f t="shared" si="198"/>
        <v>2295</v>
      </c>
      <c r="P821" s="741"/>
      <c r="Q821" s="976"/>
      <c r="R821" s="742">
        <v>3200</v>
      </c>
      <c r="S821" s="743">
        <v>3200</v>
      </c>
      <c r="T821" s="743">
        <v>3200</v>
      </c>
      <c r="U821" s="743">
        <v>3200</v>
      </c>
      <c r="V821" s="744">
        <v>3200</v>
      </c>
      <c r="W821" s="743">
        <v>3080</v>
      </c>
      <c r="X821" s="743">
        <v>2965</v>
      </c>
      <c r="Y821" s="744">
        <v>2850</v>
      </c>
      <c r="Z821" s="743">
        <v>2735</v>
      </c>
      <c r="AA821" s="647">
        <v>2630</v>
      </c>
      <c r="AB821" s="647">
        <v>2525</v>
      </c>
      <c r="AC821" s="744">
        <v>2420</v>
      </c>
    </row>
    <row r="822" spans="1:29" s="426" customFormat="1" x14ac:dyDescent="0.25">
      <c r="A822" s="12">
        <f t="shared" si="190"/>
        <v>0</v>
      </c>
      <c r="B822" s="2">
        <v>650</v>
      </c>
      <c r="C822" s="2">
        <v>700</v>
      </c>
      <c r="D822" s="979">
        <f t="shared" si="199"/>
        <v>3040</v>
      </c>
      <c r="E822" s="741">
        <f t="shared" si="191"/>
        <v>3040</v>
      </c>
      <c r="F822" s="741">
        <f t="shared" si="191"/>
        <v>3040</v>
      </c>
      <c r="G822" s="741">
        <f t="shared" si="191"/>
        <v>3040</v>
      </c>
      <c r="H822" s="980">
        <f t="shared" si="191"/>
        <v>3040</v>
      </c>
      <c r="I822" s="741">
        <f t="shared" si="192"/>
        <v>2905</v>
      </c>
      <c r="J822" s="741">
        <f t="shared" si="193"/>
        <v>2780</v>
      </c>
      <c r="K822" s="980">
        <f t="shared" si="194"/>
        <v>2660</v>
      </c>
      <c r="L822" s="741">
        <f t="shared" si="195"/>
        <v>2535</v>
      </c>
      <c r="M822" s="741">
        <f t="shared" si="196"/>
        <v>2430</v>
      </c>
      <c r="N822" s="741">
        <f t="shared" si="197"/>
        <v>2325</v>
      </c>
      <c r="O822" s="980">
        <f t="shared" si="198"/>
        <v>2220</v>
      </c>
      <c r="P822" s="741"/>
      <c r="Q822" s="976"/>
      <c r="R822" s="742">
        <v>3200</v>
      </c>
      <c r="S822" s="743">
        <v>3200</v>
      </c>
      <c r="T822" s="743">
        <v>3200</v>
      </c>
      <c r="U822" s="743">
        <v>3200</v>
      </c>
      <c r="V822" s="744">
        <v>3200</v>
      </c>
      <c r="W822" s="743">
        <v>3060</v>
      </c>
      <c r="X822" s="743">
        <v>2930</v>
      </c>
      <c r="Y822" s="744">
        <v>2800</v>
      </c>
      <c r="Z822" s="743">
        <v>2670</v>
      </c>
      <c r="AA822" s="647">
        <v>2560</v>
      </c>
      <c r="AB822" s="647">
        <v>2450</v>
      </c>
      <c r="AC822" s="744">
        <v>2340</v>
      </c>
    </row>
    <row r="823" spans="1:29" s="426" customFormat="1" x14ac:dyDescent="0.25">
      <c r="A823" s="12">
        <f t="shared" si="190"/>
        <v>0</v>
      </c>
      <c r="B823" s="2">
        <v>700</v>
      </c>
      <c r="C823" s="2">
        <v>750</v>
      </c>
      <c r="D823" s="979">
        <f t="shared" si="199"/>
        <v>3040</v>
      </c>
      <c r="E823" s="741">
        <f t="shared" si="191"/>
        <v>3040</v>
      </c>
      <c r="F823" s="741">
        <f t="shared" si="191"/>
        <v>3040</v>
      </c>
      <c r="G823" s="741">
        <f t="shared" si="191"/>
        <v>3040</v>
      </c>
      <c r="H823" s="980">
        <f t="shared" si="191"/>
        <v>3040</v>
      </c>
      <c r="I823" s="741">
        <f t="shared" si="192"/>
        <v>2885</v>
      </c>
      <c r="J823" s="741">
        <f t="shared" si="193"/>
        <v>2750</v>
      </c>
      <c r="K823" s="980">
        <f t="shared" si="194"/>
        <v>2610</v>
      </c>
      <c r="L823" s="741">
        <f t="shared" si="195"/>
        <v>2470</v>
      </c>
      <c r="M823" s="741">
        <f t="shared" si="196"/>
        <v>2365</v>
      </c>
      <c r="N823" s="741">
        <f t="shared" si="197"/>
        <v>2255</v>
      </c>
      <c r="O823" s="980">
        <f t="shared" si="198"/>
        <v>2145</v>
      </c>
      <c r="P823" s="741"/>
      <c r="Q823" s="976"/>
      <c r="R823" s="742">
        <v>3200</v>
      </c>
      <c r="S823" s="743">
        <v>3200</v>
      </c>
      <c r="T823" s="743">
        <v>3200</v>
      </c>
      <c r="U823" s="743">
        <v>3200</v>
      </c>
      <c r="V823" s="744">
        <v>3200</v>
      </c>
      <c r="W823" s="743">
        <v>3040</v>
      </c>
      <c r="X823" s="743">
        <v>2895</v>
      </c>
      <c r="Y823" s="744">
        <v>2750</v>
      </c>
      <c r="Z823" s="743">
        <v>2605</v>
      </c>
      <c r="AA823" s="647">
        <v>2490</v>
      </c>
      <c r="AB823" s="647">
        <v>2375</v>
      </c>
      <c r="AC823" s="744">
        <v>2260</v>
      </c>
    </row>
    <row r="824" spans="1:29" s="426" customFormat="1" x14ac:dyDescent="0.25">
      <c r="A824" s="12">
        <f t="shared" si="190"/>
        <v>0</v>
      </c>
      <c r="B824" s="2">
        <v>750</v>
      </c>
      <c r="C824" s="2">
        <v>800</v>
      </c>
      <c r="D824" s="979">
        <f t="shared" si="199"/>
        <v>3040</v>
      </c>
      <c r="E824" s="741">
        <f t="shared" si="191"/>
        <v>3040</v>
      </c>
      <c r="F824" s="741">
        <f t="shared" si="191"/>
        <v>3040</v>
      </c>
      <c r="G824" s="741">
        <f t="shared" si="191"/>
        <v>3040</v>
      </c>
      <c r="H824" s="980">
        <f t="shared" si="191"/>
        <v>3040</v>
      </c>
      <c r="I824" s="741">
        <f t="shared" si="192"/>
        <v>2885</v>
      </c>
      <c r="J824" s="741">
        <f t="shared" si="193"/>
        <v>2715</v>
      </c>
      <c r="K824" s="980">
        <f t="shared" si="194"/>
        <v>2565</v>
      </c>
      <c r="L824" s="741">
        <f t="shared" si="195"/>
        <v>2410</v>
      </c>
      <c r="M824" s="741">
        <f t="shared" si="196"/>
        <v>2295</v>
      </c>
      <c r="N824" s="741">
        <f t="shared" si="197"/>
        <v>2185</v>
      </c>
      <c r="O824" s="980">
        <f t="shared" si="198"/>
        <v>2070</v>
      </c>
      <c r="P824" s="741"/>
      <c r="Q824" s="976"/>
      <c r="R824" s="742">
        <v>3200</v>
      </c>
      <c r="S824" s="743">
        <v>3200</v>
      </c>
      <c r="T824" s="743">
        <v>3200</v>
      </c>
      <c r="U824" s="743">
        <v>3200</v>
      </c>
      <c r="V824" s="744">
        <v>3200</v>
      </c>
      <c r="W824" s="743">
        <v>3040</v>
      </c>
      <c r="X824" s="743">
        <v>2860</v>
      </c>
      <c r="Y824" s="744">
        <v>2700</v>
      </c>
      <c r="Z824" s="743">
        <v>2540</v>
      </c>
      <c r="AA824" s="647">
        <v>2420</v>
      </c>
      <c r="AB824" s="647">
        <v>2300</v>
      </c>
      <c r="AC824" s="744">
        <v>2180</v>
      </c>
    </row>
    <row r="825" spans="1:29" s="426" customFormat="1" ht="15.75" thickBot="1" x14ac:dyDescent="0.3">
      <c r="A825" s="12">
        <f t="shared" si="190"/>
        <v>0</v>
      </c>
      <c r="B825" s="2">
        <v>800</v>
      </c>
      <c r="C825" s="2">
        <v>850</v>
      </c>
      <c r="D825" s="979">
        <f t="shared" si="199"/>
        <v>3040</v>
      </c>
      <c r="E825" s="741">
        <f t="shared" si="191"/>
        <v>3040</v>
      </c>
      <c r="F825" s="741">
        <f t="shared" si="191"/>
        <v>3040</v>
      </c>
      <c r="G825" s="741">
        <f t="shared" si="191"/>
        <v>3040</v>
      </c>
      <c r="H825" s="986">
        <f t="shared" si="191"/>
        <v>3040</v>
      </c>
      <c r="I825" s="741">
        <f t="shared" si="192"/>
        <v>2850</v>
      </c>
      <c r="J825" s="741">
        <f t="shared" si="193"/>
        <v>2680</v>
      </c>
      <c r="K825" s="980">
        <f t="shared" si="194"/>
        <v>2515</v>
      </c>
      <c r="L825" s="741">
        <f t="shared" si="195"/>
        <v>2350</v>
      </c>
      <c r="M825" s="741">
        <f t="shared" si="196"/>
        <v>2230</v>
      </c>
      <c r="N825" s="741">
        <f t="shared" si="197"/>
        <v>2110</v>
      </c>
      <c r="O825" s="980">
        <f t="shared" si="198"/>
        <v>1995</v>
      </c>
      <c r="P825" s="741"/>
      <c r="Q825" s="976"/>
      <c r="R825" s="745">
        <v>3200</v>
      </c>
      <c r="S825" s="746">
        <v>3200</v>
      </c>
      <c r="T825" s="746">
        <v>3200</v>
      </c>
      <c r="U825" s="746">
        <v>3200</v>
      </c>
      <c r="V825" s="747">
        <v>3200</v>
      </c>
      <c r="W825" s="743">
        <v>3000</v>
      </c>
      <c r="X825" s="743">
        <v>2825</v>
      </c>
      <c r="Y825" s="744">
        <v>2650</v>
      </c>
      <c r="Z825" s="743">
        <v>2475</v>
      </c>
      <c r="AA825" s="647">
        <v>2350</v>
      </c>
      <c r="AB825" s="647">
        <v>2225</v>
      </c>
      <c r="AC825" s="744">
        <v>2100</v>
      </c>
    </row>
    <row r="826" spans="1:29" s="426" customFormat="1" ht="15.75" thickBot="1" x14ac:dyDescent="0.3">
      <c r="A826" s="12">
        <f t="shared" si="190"/>
        <v>0</v>
      </c>
      <c r="B826" s="2">
        <v>850</v>
      </c>
      <c r="C826" s="2">
        <v>900</v>
      </c>
      <c r="D826" s="984">
        <f>FLOOR($Q$826*R826,5)</f>
        <v>2905</v>
      </c>
      <c r="E826" s="977">
        <f t="shared" ref="E826:K828" si="200">FLOOR($Q$826*S826,5)</f>
        <v>2905</v>
      </c>
      <c r="F826" s="977">
        <f t="shared" si="200"/>
        <v>2905</v>
      </c>
      <c r="G826" s="977">
        <f t="shared" si="200"/>
        <v>2905</v>
      </c>
      <c r="H826" s="977">
        <f t="shared" si="200"/>
        <v>2905</v>
      </c>
      <c r="I826" s="741">
        <f t="shared" si="200"/>
        <v>2820</v>
      </c>
      <c r="J826" s="741">
        <f t="shared" si="200"/>
        <v>3600</v>
      </c>
      <c r="K826" s="980">
        <f t="shared" si="200"/>
        <v>2470</v>
      </c>
      <c r="L826" s="741">
        <f t="shared" si="195"/>
        <v>2285</v>
      </c>
      <c r="M826" s="741">
        <f t="shared" si="196"/>
        <v>2165</v>
      </c>
      <c r="N826" s="741">
        <f t="shared" si="197"/>
        <v>2040</v>
      </c>
      <c r="O826" s="980">
        <f t="shared" si="198"/>
        <v>1915</v>
      </c>
      <c r="P826" s="741"/>
      <c r="Q826" s="982">
        <v>0.95</v>
      </c>
      <c r="R826" s="743">
        <v>3060</v>
      </c>
      <c r="S826" s="743">
        <v>3060</v>
      </c>
      <c r="T826" s="743">
        <v>3060</v>
      </c>
      <c r="U826" s="743">
        <v>3060</v>
      </c>
      <c r="V826" s="743">
        <v>3060</v>
      </c>
      <c r="W826" s="743">
        <v>2970</v>
      </c>
      <c r="X826" s="743">
        <v>3790</v>
      </c>
      <c r="Y826" s="744">
        <v>2600</v>
      </c>
      <c r="Z826" s="743">
        <v>2410</v>
      </c>
      <c r="AA826" s="647">
        <v>2280</v>
      </c>
      <c r="AB826" s="647">
        <v>2150</v>
      </c>
      <c r="AC826" s="744">
        <v>2020</v>
      </c>
    </row>
    <row r="827" spans="1:29" s="426" customFormat="1" x14ac:dyDescent="0.25">
      <c r="A827" s="12">
        <f t="shared" si="190"/>
        <v>0</v>
      </c>
      <c r="B827" s="2">
        <v>900</v>
      </c>
      <c r="C827" s="2">
        <v>950</v>
      </c>
      <c r="D827" s="979">
        <f t="shared" ref="D827:D828" si="201">FLOOR($Q$826*R827,5)</f>
        <v>2770</v>
      </c>
      <c r="E827" s="741">
        <f t="shared" si="200"/>
        <v>2770</v>
      </c>
      <c r="F827" s="741">
        <f t="shared" si="200"/>
        <v>2770</v>
      </c>
      <c r="G827" s="741">
        <f t="shared" si="200"/>
        <v>2770</v>
      </c>
      <c r="H827" s="741">
        <f t="shared" si="200"/>
        <v>2770</v>
      </c>
      <c r="I827" s="741">
        <f t="shared" si="200"/>
        <v>2680</v>
      </c>
      <c r="J827" s="741">
        <f t="shared" si="200"/>
        <v>2600</v>
      </c>
      <c r="K827" s="980">
        <f t="shared" si="200"/>
        <v>2420</v>
      </c>
      <c r="L827" s="741">
        <f t="shared" si="195"/>
        <v>2225</v>
      </c>
      <c r="M827" s="741">
        <f t="shared" si="196"/>
        <v>2095</v>
      </c>
      <c r="N827" s="741">
        <f t="shared" si="197"/>
        <v>1970</v>
      </c>
      <c r="O827" s="980">
        <f t="shared" si="198"/>
        <v>1840</v>
      </c>
      <c r="P827" s="741"/>
      <c r="Q827" s="976"/>
      <c r="R827" s="742">
        <v>2920</v>
      </c>
      <c r="S827" s="743">
        <v>2920</v>
      </c>
      <c r="T827" s="743">
        <v>2920</v>
      </c>
      <c r="U827" s="743">
        <v>2920</v>
      </c>
      <c r="V827" s="743">
        <v>2920</v>
      </c>
      <c r="W827" s="743">
        <v>2825</v>
      </c>
      <c r="X827" s="743">
        <v>2740</v>
      </c>
      <c r="Y827" s="744">
        <v>2550</v>
      </c>
      <c r="Z827" s="743">
        <v>2345</v>
      </c>
      <c r="AA827" s="647">
        <v>2210</v>
      </c>
      <c r="AB827" s="647">
        <v>2075</v>
      </c>
      <c r="AC827" s="744">
        <v>1940</v>
      </c>
    </row>
    <row r="828" spans="1:29" s="426" customFormat="1" ht="15.75" thickBot="1" x14ac:dyDescent="0.3">
      <c r="A828" s="12">
        <f t="shared" si="190"/>
        <v>0</v>
      </c>
      <c r="B828" s="2">
        <v>950</v>
      </c>
      <c r="C828" s="2">
        <v>1000</v>
      </c>
      <c r="D828" s="981">
        <f t="shared" si="201"/>
        <v>2640</v>
      </c>
      <c r="E828" s="985">
        <f t="shared" si="200"/>
        <v>2640</v>
      </c>
      <c r="F828" s="985">
        <f t="shared" si="200"/>
        <v>2640</v>
      </c>
      <c r="G828" s="985">
        <f t="shared" si="200"/>
        <v>2640</v>
      </c>
      <c r="H828" s="985">
        <f t="shared" si="200"/>
        <v>2640</v>
      </c>
      <c r="I828" s="985">
        <f t="shared" si="200"/>
        <v>2545</v>
      </c>
      <c r="J828" s="985">
        <f t="shared" si="200"/>
        <v>2460</v>
      </c>
      <c r="K828" s="986">
        <f t="shared" si="200"/>
        <v>2375</v>
      </c>
      <c r="L828" s="741">
        <f t="shared" si="195"/>
        <v>2165</v>
      </c>
      <c r="M828" s="741">
        <f t="shared" si="196"/>
        <v>2030</v>
      </c>
      <c r="N828" s="741">
        <f t="shared" si="197"/>
        <v>1900</v>
      </c>
      <c r="O828" s="980">
        <f t="shared" si="198"/>
        <v>1765</v>
      </c>
      <c r="P828" s="741"/>
      <c r="Q828" s="976"/>
      <c r="R828" s="745">
        <v>2780</v>
      </c>
      <c r="S828" s="746">
        <v>2780</v>
      </c>
      <c r="T828" s="746">
        <v>2780</v>
      </c>
      <c r="U828" s="746">
        <v>2780</v>
      </c>
      <c r="V828" s="746">
        <v>2780</v>
      </c>
      <c r="W828" s="746">
        <v>2680</v>
      </c>
      <c r="X828" s="746">
        <v>2590</v>
      </c>
      <c r="Y828" s="747">
        <v>2500</v>
      </c>
      <c r="Z828" s="743">
        <v>2280</v>
      </c>
      <c r="AA828" s="647">
        <v>2140</v>
      </c>
      <c r="AB828" s="647">
        <v>2000</v>
      </c>
      <c r="AC828" s="744">
        <v>1860</v>
      </c>
    </row>
    <row r="829" spans="1:29" s="426" customFormat="1" ht="15.75" thickBot="1" x14ac:dyDescent="0.3">
      <c r="A829" s="12">
        <f t="shared" si="190"/>
        <v>0</v>
      </c>
      <c r="B829" s="2">
        <v>1000</v>
      </c>
      <c r="C829" s="2">
        <v>1050</v>
      </c>
      <c r="D829" s="979">
        <f>FLOOR($Q$829*R829,5)</f>
        <v>2505</v>
      </c>
      <c r="E829" s="741">
        <f t="shared" ref="E829:O832" si="202">FLOOR($Q$829*S829,5)</f>
        <v>2505</v>
      </c>
      <c r="F829" s="741">
        <f t="shared" si="202"/>
        <v>2505</v>
      </c>
      <c r="G829" s="741">
        <f t="shared" si="202"/>
        <v>2505</v>
      </c>
      <c r="H829" s="741">
        <f t="shared" si="202"/>
        <v>2505</v>
      </c>
      <c r="I829" s="741">
        <f t="shared" si="202"/>
        <v>2405</v>
      </c>
      <c r="J829" s="741">
        <f t="shared" si="202"/>
        <v>2325</v>
      </c>
      <c r="K829" s="741">
        <f t="shared" si="202"/>
        <v>2230</v>
      </c>
      <c r="L829" s="741">
        <f t="shared" si="202"/>
        <v>2145</v>
      </c>
      <c r="M829" s="741">
        <f t="shared" si="202"/>
        <v>1965</v>
      </c>
      <c r="N829" s="741">
        <f t="shared" si="202"/>
        <v>1825</v>
      </c>
      <c r="O829" s="980">
        <f t="shared" si="202"/>
        <v>1690</v>
      </c>
      <c r="P829"/>
      <c r="Q829" s="983">
        <v>0.95</v>
      </c>
      <c r="R829" s="647">
        <v>2640</v>
      </c>
      <c r="S829" s="647">
        <v>2640</v>
      </c>
      <c r="T829" s="647">
        <v>2640</v>
      </c>
      <c r="U829" s="647">
        <v>2640</v>
      </c>
      <c r="V829" s="647">
        <v>2640</v>
      </c>
      <c r="W829" s="647">
        <v>2535</v>
      </c>
      <c r="X829" s="647">
        <v>2450</v>
      </c>
      <c r="Y829" s="647">
        <v>2350</v>
      </c>
      <c r="Z829" s="647">
        <v>2260</v>
      </c>
      <c r="AA829" s="647">
        <v>2070</v>
      </c>
      <c r="AB829" s="647">
        <v>1925</v>
      </c>
      <c r="AC829" s="749">
        <v>1780</v>
      </c>
    </row>
    <row r="830" spans="1:29" s="426" customFormat="1" x14ac:dyDescent="0.25">
      <c r="A830" s="12">
        <f t="shared" si="190"/>
        <v>0</v>
      </c>
      <c r="B830" s="2">
        <v>1050</v>
      </c>
      <c r="C830" s="2">
        <v>1100</v>
      </c>
      <c r="D830" s="979">
        <f t="shared" ref="D830:D832" si="203">FLOOR($Q$829*R830,5)</f>
        <v>2375</v>
      </c>
      <c r="E830" s="741">
        <f t="shared" si="202"/>
        <v>2375</v>
      </c>
      <c r="F830" s="741">
        <f t="shared" si="202"/>
        <v>2375</v>
      </c>
      <c r="G830" s="741">
        <f t="shared" si="202"/>
        <v>2375</v>
      </c>
      <c r="H830" s="741">
        <f t="shared" si="202"/>
        <v>2375</v>
      </c>
      <c r="I830" s="741">
        <f t="shared" si="202"/>
        <v>2270</v>
      </c>
      <c r="J830" s="741">
        <f t="shared" si="202"/>
        <v>2190</v>
      </c>
      <c r="K830" s="741">
        <f t="shared" si="202"/>
        <v>2090</v>
      </c>
      <c r="L830" s="741">
        <f t="shared" si="202"/>
        <v>2000</v>
      </c>
      <c r="M830" s="741">
        <f t="shared" si="202"/>
        <v>1905</v>
      </c>
      <c r="N830" s="741">
        <f t="shared" si="202"/>
        <v>1755</v>
      </c>
      <c r="O830" s="980">
        <f t="shared" si="202"/>
        <v>1615</v>
      </c>
      <c r="P830"/>
      <c r="Q830" s="41"/>
      <c r="R830" s="748">
        <v>2500</v>
      </c>
      <c r="S830" s="647">
        <v>2500</v>
      </c>
      <c r="T830" s="647">
        <v>2500</v>
      </c>
      <c r="U830" s="647">
        <v>2500</v>
      </c>
      <c r="V830" s="647">
        <v>2500</v>
      </c>
      <c r="W830" s="647">
        <v>2390</v>
      </c>
      <c r="X830" s="647">
        <v>2310</v>
      </c>
      <c r="Y830" s="647">
        <v>2200</v>
      </c>
      <c r="Z830" s="647">
        <v>2110</v>
      </c>
      <c r="AA830" s="647">
        <v>2010</v>
      </c>
      <c r="AB830" s="647">
        <v>1850</v>
      </c>
      <c r="AC830" s="749">
        <v>1700</v>
      </c>
    </row>
    <row r="831" spans="1:29" s="426" customFormat="1" x14ac:dyDescent="0.25">
      <c r="A831" s="12">
        <f t="shared" si="190"/>
        <v>0</v>
      </c>
      <c r="B831" s="2">
        <v>1100</v>
      </c>
      <c r="C831" s="2">
        <v>1150</v>
      </c>
      <c r="D831" s="979">
        <f t="shared" si="203"/>
        <v>2240</v>
      </c>
      <c r="E831" s="741">
        <f t="shared" si="202"/>
        <v>2240</v>
      </c>
      <c r="F831" s="741">
        <f t="shared" si="202"/>
        <v>2240</v>
      </c>
      <c r="G831" s="741">
        <f t="shared" si="202"/>
        <v>2240</v>
      </c>
      <c r="H831" s="741">
        <f t="shared" si="202"/>
        <v>2240</v>
      </c>
      <c r="I831" s="741">
        <f t="shared" si="202"/>
        <v>2130</v>
      </c>
      <c r="J831" s="741">
        <f t="shared" si="202"/>
        <v>2060</v>
      </c>
      <c r="K831" s="741">
        <f t="shared" si="202"/>
        <v>1945</v>
      </c>
      <c r="L831" s="741">
        <f t="shared" si="202"/>
        <v>1860</v>
      </c>
      <c r="M831" s="741">
        <f t="shared" si="202"/>
        <v>1745</v>
      </c>
      <c r="N831" s="741">
        <f t="shared" si="202"/>
        <v>1670</v>
      </c>
      <c r="O831" s="980">
        <f t="shared" si="202"/>
        <v>1535</v>
      </c>
      <c r="P831"/>
      <c r="Q831" s="41"/>
      <c r="R831" s="748">
        <v>2360</v>
      </c>
      <c r="S831" s="647">
        <v>2360</v>
      </c>
      <c r="T831" s="647">
        <v>2360</v>
      </c>
      <c r="U831" s="647">
        <v>2360</v>
      </c>
      <c r="V831" s="647">
        <v>2360</v>
      </c>
      <c r="W831" s="647">
        <v>2245</v>
      </c>
      <c r="X831" s="647">
        <v>2170</v>
      </c>
      <c r="Y831" s="647">
        <v>2050</v>
      </c>
      <c r="Z831" s="647">
        <v>1960</v>
      </c>
      <c r="AA831" s="647">
        <v>1840</v>
      </c>
      <c r="AB831" s="647">
        <v>1760</v>
      </c>
      <c r="AC831" s="749">
        <v>1620</v>
      </c>
    </row>
    <row r="832" spans="1:29" s="426" customFormat="1" x14ac:dyDescent="0.25">
      <c r="A832" s="13">
        <f t="shared" si="190"/>
        <v>0</v>
      </c>
      <c r="B832" s="343">
        <v>1150</v>
      </c>
      <c r="C832" s="965">
        <v>1250</v>
      </c>
      <c r="D832" s="981">
        <f t="shared" si="203"/>
        <v>2090</v>
      </c>
      <c r="E832" s="985">
        <f t="shared" si="202"/>
        <v>2090</v>
      </c>
      <c r="F832" s="985">
        <f t="shared" si="202"/>
        <v>2090</v>
      </c>
      <c r="G832" s="985">
        <f t="shared" si="202"/>
        <v>2090</v>
      </c>
      <c r="H832" s="985">
        <f t="shared" si="202"/>
        <v>2090</v>
      </c>
      <c r="I832" s="985">
        <f t="shared" si="202"/>
        <v>1995</v>
      </c>
      <c r="J832" s="985">
        <f t="shared" si="202"/>
        <v>1900</v>
      </c>
      <c r="K832" s="985">
        <f t="shared" si="202"/>
        <v>1805</v>
      </c>
      <c r="L832" s="985">
        <f t="shared" si="202"/>
        <v>1710</v>
      </c>
      <c r="M832" s="985">
        <f t="shared" si="202"/>
        <v>1615</v>
      </c>
      <c r="N832" s="985">
        <f t="shared" si="202"/>
        <v>1520</v>
      </c>
      <c r="O832" s="986">
        <f t="shared" si="202"/>
        <v>1450</v>
      </c>
      <c r="P832"/>
      <c r="Q832" s="52"/>
      <c r="R832" s="750">
        <v>2200</v>
      </c>
      <c r="S832" s="565">
        <v>2200</v>
      </c>
      <c r="T832" s="565">
        <v>2200</v>
      </c>
      <c r="U832" s="565">
        <v>2200</v>
      </c>
      <c r="V832" s="565">
        <v>2200</v>
      </c>
      <c r="W832" s="565">
        <v>2100</v>
      </c>
      <c r="X832" s="565">
        <v>2000</v>
      </c>
      <c r="Y832" s="565">
        <v>1900</v>
      </c>
      <c r="Z832" s="565">
        <v>1800</v>
      </c>
      <c r="AA832" s="565">
        <v>1700</v>
      </c>
      <c r="AB832" s="565">
        <v>1600</v>
      </c>
      <c r="AC832" s="566">
        <v>1530</v>
      </c>
    </row>
    <row r="833" spans="1:25" s="426" customFormat="1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Y833" s="626"/>
    </row>
    <row r="834" spans="1:25" s="426" customFormat="1" x14ac:dyDescent="0.25">
      <c r="A834" s="741"/>
      <c r="B834" s="741"/>
      <c r="C834" s="741"/>
      <c r="D834" s="987">
        <f>IF(SUM($A$820:$A$832)&gt;0,VLOOKUP(1,$A$820:$O$832,D816,FALSE),0)</f>
        <v>3040</v>
      </c>
      <c r="E834" s="988">
        <f>IF(SUM($A$820:$A$832)&gt;0,VLOOKUP(1,$A$820:$O$832,E816,FALSE),0)</f>
        <v>3040</v>
      </c>
      <c r="F834" s="988">
        <f t="shared" ref="F834:O834" si="204">IF(SUM($A$820:$A$832)&gt;0,VLOOKUP(1,$A$820:$O$832,F816,FALSE),0)</f>
        <v>3040</v>
      </c>
      <c r="G834" s="988">
        <f t="shared" si="204"/>
        <v>3040</v>
      </c>
      <c r="H834" s="988">
        <f t="shared" si="204"/>
        <v>3040</v>
      </c>
      <c r="I834" s="988">
        <f t="shared" si="204"/>
        <v>2945</v>
      </c>
      <c r="J834" s="988">
        <f t="shared" si="204"/>
        <v>2850</v>
      </c>
      <c r="K834" s="988">
        <f t="shared" si="204"/>
        <v>2755</v>
      </c>
      <c r="L834" s="988">
        <f t="shared" si="204"/>
        <v>2660</v>
      </c>
      <c r="M834" s="988">
        <f t="shared" si="204"/>
        <v>2565</v>
      </c>
      <c r="N834" s="988">
        <f t="shared" si="204"/>
        <v>2470</v>
      </c>
      <c r="O834" s="989">
        <f t="shared" si="204"/>
        <v>2375</v>
      </c>
      <c r="P834"/>
      <c r="Q834"/>
      <c r="Y834" s="626"/>
    </row>
    <row r="835" spans="1:25" s="426" customFormat="1" x14ac:dyDescent="0.25">
      <c r="A835" s="741"/>
      <c r="B835" s="741"/>
      <c r="C835" s="741"/>
      <c r="D835" s="741"/>
      <c r="E835" s="741"/>
      <c r="F835" s="741"/>
      <c r="G835" s="741"/>
      <c r="H835" s="741"/>
      <c r="I835" s="741"/>
      <c r="J835"/>
      <c r="K835"/>
      <c r="L835"/>
      <c r="M835"/>
      <c r="N835"/>
      <c r="O835"/>
      <c r="P835"/>
      <c r="Q835"/>
      <c r="Y835" s="626"/>
    </row>
    <row r="836" spans="1:25" s="426" customFormat="1" x14ac:dyDescent="0.25">
      <c r="A836" s="741"/>
      <c r="B836" s="741"/>
      <c r="C836" s="741"/>
      <c r="D836" s="741"/>
      <c r="E836" s="741"/>
      <c r="F836" s="741"/>
      <c r="G836" s="741"/>
      <c r="H836" s="741"/>
      <c r="I836" s="741"/>
      <c r="J836"/>
      <c r="K836"/>
      <c r="L836"/>
      <c r="M836"/>
      <c r="N836"/>
      <c r="O836"/>
      <c r="P836"/>
      <c r="Q836"/>
      <c r="Y836" s="626"/>
    </row>
    <row r="837" spans="1:25" s="426" customFormat="1" x14ac:dyDescent="0.25">
      <c r="B837" s="754" t="s">
        <v>789</v>
      </c>
      <c r="C837" s="755">
        <f>IF(SUM(D817:O817)&gt;0,HLOOKUP(1,D817:O834,18,FALSE),0)</f>
        <v>2850</v>
      </c>
      <c r="D837" s="756" t="s">
        <v>790</v>
      </c>
      <c r="F837" s="741"/>
      <c r="G837" s="741"/>
      <c r="H837" s="741"/>
      <c r="I837" s="741"/>
      <c r="J837"/>
      <c r="K837"/>
      <c r="L837"/>
      <c r="M837"/>
      <c r="N837"/>
      <c r="O837"/>
      <c r="P837"/>
      <c r="Q837"/>
      <c r="Y837" s="626"/>
    </row>
    <row r="838" spans="1:25" s="426" customFormat="1" x14ac:dyDescent="0.25">
      <c r="B838" s="754" t="s">
        <v>791</v>
      </c>
      <c r="C838" s="757">
        <f>G145</f>
        <v>0.95</v>
      </c>
      <c r="D838" s="741"/>
      <c r="F838" s="741"/>
      <c r="G838" s="741"/>
      <c r="H838" s="741"/>
      <c r="I838" s="741"/>
      <c r="J838"/>
      <c r="K838"/>
      <c r="L838"/>
      <c r="M838"/>
      <c r="N838"/>
      <c r="O838"/>
      <c r="P838"/>
      <c r="Q838"/>
      <c r="Y838" s="626"/>
    </row>
    <row r="839" spans="1:25" s="426" customFormat="1" x14ac:dyDescent="0.25">
      <c r="B839" s="754" t="s">
        <v>792</v>
      </c>
      <c r="C839" s="755">
        <f>C837*C838</f>
        <v>2707.5</v>
      </c>
      <c r="D839" s="756" t="s">
        <v>790</v>
      </c>
      <c r="F839" s="741"/>
      <c r="G839" s="741"/>
      <c r="H839" s="741"/>
      <c r="I839" s="741"/>
      <c r="J839"/>
      <c r="K839"/>
      <c r="L839"/>
      <c r="M839"/>
      <c r="N839"/>
      <c r="O839"/>
      <c r="P839"/>
      <c r="Q839"/>
      <c r="Y839" s="626"/>
    </row>
    <row r="840" spans="1:25" s="426" customFormat="1" ht="14.25" x14ac:dyDescent="0.2">
      <c r="B840" s="426" t="s">
        <v>794</v>
      </c>
      <c r="C840" s="973">
        <v>0.6</v>
      </c>
      <c r="D840" s="134"/>
      <c r="Y840" s="626"/>
    </row>
    <row r="841" spans="1:25" s="426" customFormat="1" ht="14.25" x14ac:dyDescent="0.2">
      <c r="B841" s="426" t="s">
        <v>795</v>
      </c>
      <c r="C841" s="974">
        <f>C840*C839</f>
        <v>1624.5</v>
      </c>
      <c r="D841" s="134" t="s">
        <v>790</v>
      </c>
      <c r="Y841" s="626"/>
    </row>
    <row r="842" spans="1:25" s="426" customFormat="1" ht="14.25" x14ac:dyDescent="0.2">
      <c r="B842" s="426" t="s">
        <v>797</v>
      </c>
      <c r="C842" s="975">
        <f>IF(C811/(C841/60)&gt;=C805,C811/(C841/60),C805)</f>
        <v>14.921514312096029</v>
      </c>
      <c r="D842" s="134" t="s">
        <v>798</v>
      </c>
      <c r="Y842" s="626"/>
    </row>
    <row r="843" spans="1:25" s="426" customFormat="1" ht="12.75" x14ac:dyDescent="0.2">
      <c r="D843" s="134"/>
      <c r="Y843" s="626"/>
    </row>
    <row r="844" spans="1:25" s="426" customFormat="1" ht="12.75" x14ac:dyDescent="0.2">
      <c r="D844" s="134"/>
      <c r="Y844" s="626"/>
    </row>
    <row r="845" spans="1:25" s="426" customFormat="1" ht="12.75" x14ac:dyDescent="0.2">
      <c r="A845" s="626">
        <f>A802</f>
        <v>0</v>
      </c>
      <c r="B845" s="426" t="s">
        <v>784</v>
      </c>
      <c r="C845" s="635" t="b">
        <f>IF(A845=1,C802*D799)</f>
        <v>0</v>
      </c>
      <c r="D845" s="134"/>
      <c r="Y845" s="626"/>
    </row>
    <row r="846" spans="1:25" s="426" customFormat="1" ht="12.75" x14ac:dyDescent="0.2">
      <c r="A846" s="626">
        <f>A803</f>
        <v>0</v>
      </c>
      <c r="B846" s="426" t="s">
        <v>786</v>
      </c>
      <c r="C846" s="758" t="b">
        <f>IF(A846=1,C803*D799)</f>
        <v>0</v>
      </c>
      <c r="D846" s="134"/>
      <c r="Y846" s="626"/>
    </row>
    <row r="847" spans="1:25" s="426" customFormat="1" ht="12.75" x14ac:dyDescent="0.2">
      <c r="B847" s="426" t="s">
        <v>762</v>
      </c>
      <c r="C847" s="635">
        <f>SUM(C845:C846)</f>
        <v>0</v>
      </c>
      <c r="D847" s="134"/>
      <c r="Y847" s="626"/>
    </row>
    <row r="848" spans="1:25" s="426" customFormat="1" ht="12.75" x14ac:dyDescent="0.2">
      <c r="D848" s="134"/>
      <c r="Y848" s="626"/>
    </row>
    <row r="849" spans="1:25" s="426" customFormat="1" ht="12.75" x14ac:dyDescent="0.2">
      <c r="D849" s="134"/>
      <c r="Y849" s="626"/>
    </row>
    <row r="850" spans="1:25" s="426" customFormat="1" ht="12.75" x14ac:dyDescent="0.2">
      <c r="A850" s="626">
        <f>IF(C795=1,1,0)</f>
        <v>0</v>
      </c>
      <c r="B850" s="615" t="s">
        <v>712</v>
      </c>
      <c r="C850" s="669">
        <f>IF(A850=1,C842*D799,0)</f>
        <v>0</v>
      </c>
      <c r="Y850" s="626"/>
    </row>
    <row r="851" spans="1:25" s="426" customFormat="1" ht="12.75" x14ac:dyDescent="0.2">
      <c r="D851" s="134"/>
      <c r="Y851" s="626"/>
    </row>
    <row r="852" spans="1:25" s="430" customFormat="1" ht="12.75" x14ac:dyDescent="0.2">
      <c r="D852" s="790"/>
      <c r="Y852" s="651"/>
    </row>
    <row r="853" spans="1:25" s="426" customFormat="1" ht="12.75" x14ac:dyDescent="0.2">
      <c r="Y853" s="626"/>
    </row>
    <row r="854" spans="1:25" s="426" customFormat="1" ht="13.5" thickBot="1" x14ac:dyDescent="0.25">
      <c r="B854" s="615"/>
      <c r="D854" s="626" t="s">
        <v>674</v>
      </c>
      <c r="Y854" s="626"/>
    </row>
    <row r="855" spans="1:25" s="426" customFormat="1" ht="13.5" thickBot="1" x14ac:dyDescent="0.25">
      <c r="B855" s="641" t="s">
        <v>667</v>
      </c>
      <c r="C855" s="643">
        <f>J369</f>
        <v>0</v>
      </c>
      <c r="D855" s="642">
        <f>IF(C855=1,C891,0)</f>
        <v>0</v>
      </c>
      <c r="Y855" s="626"/>
    </row>
    <row r="856" spans="1:25" s="426" customFormat="1" ht="12.75" x14ac:dyDescent="0.2">
      <c r="Y856" s="626"/>
    </row>
    <row r="857" spans="1:25" s="426" customFormat="1" ht="12.75" x14ac:dyDescent="0.2">
      <c r="Y857" s="626"/>
    </row>
    <row r="858" spans="1:25" s="426" customFormat="1" ht="12.75" x14ac:dyDescent="0.2">
      <c r="B858" s="426" t="s">
        <v>840</v>
      </c>
      <c r="C858" s="633">
        <f>Tarieven!C11</f>
        <v>96</v>
      </c>
      <c r="D858" s="633">
        <f>C858/60</f>
        <v>1.6</v>
      </c>
      <c r="G858" s="638">
        <v>0.15</v>
      </c>
      <c r="Y858" s="626"/>
    </row>
    <row r="859" spans="1:25" s="426" customFormat="1" ht="12.75" x14ac:dyDescent="0.2">
      <c r="G859" s="708" t="s">
        <v>777</v>
      </c>
      <c r="H859" s="719" t="s">
        <v>778</v>
      </c>
      <c r="I859" s="719" t="s">
        <v>779</v>
      </c>
      <c r="Y859" s="626"/>
    </row>
    <row r="860" spans="1:25" s="426" customFormat="1" ht="13.5" thickBot="1" x14ac:dyDescent="0.25">
      <c r="A860" s="767">
        <f>IF(D860&gt;=D861,1,0)</f>
        <v>0</v>
      </c>
      <c r="B860" s="802" t="s">
        <v>752</v>
      </c>
      <c r="C860" s="661">
        <f>C445</f>
        <v>1</v>
      </c>
      <c r="D860" s="709">
        <f>E445</f>
        <v>361</v>
      </c>
      <c r="G860" s="725">
        <f>MAX(B445,H445)</f>
        <v>482</v>
      </c>
      <c r="H860" s="145">
        <f>C860*C861</f>
        <v>1</v>
      </c>
      <c r="I860" s="145">
        <f>H860*G860</f>
        <v>482</v>
      </c>
      <c r="Y860" s="626"/>
    </row>
    <row r="861" spans="1:25" s="426" customFormat="1" ht="12.75" x14ac:dyDescent="0.2">
      <c r="A861" s="658">
        <f>IF(D861&gt;D860,1,0)</f>
        <v>1</v>
      </c>
      <c r="B861" s="803" t="s">
        <v>753</v>
      </c>
      <c r="C861" s="145">
        <f>D445</f>
        <v>1</v>
      </c>
      <c r="D861" s="711">
        <f>F445</f>
        <v>1150</v>
      </c>
      <c r="G861" s="735" t="s">
        <v>782</v>
      </c>
      <c r="H861" s="710" t="s">
        <v>781</v>
      </c>
      <c r="I861" s="713" t="s">
        <v>780</v>
      </c>
      <c r="Y861" s="626"/>
    </row>
    <row r="862" spans="1:25" s="426" customFormat="1" ht="13.5" thickBot="1" x14ac:dyDescent="0.25">
      <c r="G862" s="736">
        <f>IF(CEILING((H862*G858)+H862,1)&lt;=G860,CEILING((H862*G858)+H862,1),G860)</f>
        <v>460</v>
      </c>
      <c r="H862" s="702">
        <f>CEILING(I862/H860,1)</f>
        <v>400</v>
      </c>
      <c r="I862" s="145">
        <f>C3</f>
        <v>400</v>
      </c>
      <c r="Y862" s="626"/>
    </row>
    <row r="863" spans="1:25" s="426" customFormat="1" ht="12.75" x14ac:dyDescent="0.2">
      <c r="A863" s="626">
        <f>IF(C855=1,1,0)</f>
        <v>0</v>
      </c>
      <c r="B863" s="426" t="s">
        <v>859</v>
      </c>
      <c r="C863" s="637">
        <v>15</v>
      </c>
      <c r="D863" s="426" t="s">
        <v>683</v>
      </c>
      <c r="G863" s="134"/>
      <c r="H863" s="626"/>
      <c r="I863" s="626"/>
      <c r="Y863" s="626"/>
    </row>
    <row r="864" spans="1:25" s="426" customFormat="1" ht="12.75" x14ac:dyDescent="0.2">
      <c r="G864" s="134"/>
      <c r="H864" s="626"/>
      <c r="I864" s="626"/>
      <c r="Y864" s="626"/>
    </row>
    <row r="865" spans="1:31" s="426" customFormat="1" ht="12.75" x14ac:dyDescent="0.2">
      <c r="B865" s="426" t="s">
        <v>845</v>
      </c>
      <c r="C865" s="626">
        <f>I145</f>
        <v>3</v>
      </c>
      <c r="D865" s="426" t="s">
        <v>754</v>
      </c>
      <c r="G865" s="134"/>
      <c r="H865" s="626"/>
      <c r="I865" s="626"/>
      <c r="Y865" s="626"/>
    </row>
    <row r="866" spans="1:31" s="426" customFormat="1" ht="12.75" x14ac:dyDescent="0.2">
      <c r="B866" s="426" t="s">
        <v>846</v>
      </c>
      <c r="C866" s="626">
        <f>CEILING(G862/C865,1)</f>
        <v>154</v>
      </c>
      <c r="D866" s="426" t="s">
        <v>754</v>
      </c>
      <c r="Y866" s="626"/>
    </row>
    <row r="867" spans="1:31" s="426" customFormat="1" ht="12.75" x14ac:dyDescent="0.2">
      <c r="B867" s="426" t="s">
        <v>847</v>
      </c>
      <c r="C867" s="626">
        <f>VLOOKUP(1,A860:D861,3,FALSE)+2</f>
        <v>3</v>
      </c>
      <c r="Y867" s="626"/>
    </row>
    <row r="868" spans="1:31" s="426" customFormat="1" ht="12.75" x14ac:dyDescent="0.2">
      <c r="B868" s="426" t="s">
        <v>848</v>
      </c>
      <c r="C868" s="1096">
        <f>AY46</f>
        <v>0.9</v>
      </c>
      <c r="Y868" s="626"/>
    </row>
    <row r="869" spans="1:31" s="426" customFormat="1" ht="12.75" x14ac:dyDescent="0.2">
      <c r="B869" s="426" t="s">
        <v>851</v>
      </c>
      <c r="C869" s="1097">
        <v>0.7</v>
      </c>
      <c r="Y869" s="626"/>
    </row>
    <row r="870" spans="1:31" s="426" customFormat="1" ht="12.75" x14ac:dyDescent="0.2">
      <c r="B870" s="426" t="s">
        <v>682</v>
      </c>
      <c r="C870" s="637">
        <v>15</v>
      </c>
      <c r="Y870" s="626"/>
    </row>
    <row r="871" spans="1:31" s="426" customFormat="1" ht="12.75" x14ac:dyDescent="0.2">
      <c r="Y871" s="626"/>
    </row>
    <row r="872" spans="1:31" s="426" customFormat="1" x14ac:dyDescent="0.25">
      <c r="A872" s="634">
        <f>IF(SUM(A308:A322)=0,0,IF(SUM(A308:A314)&gt;0,E307,E315))</f>
        <v>0</v>
      </c>
      <c r="B872" s="517" t="s">
        <v>841</v>
      </c>
      <c r="C872" s="473" t="str">
        <f>IF(AND($A$872&gt;C873,$A$872&lt;=C874),1," ")</f>
        <v xml:space="preserve"> </v>
      </c>
      <c r="D872" s="473" t="str">
        <f t="shared" ref="D872:AE872" si="205">IF(AND($A$872&gt;D873,$A$872&lt;=D874),1," ")</f>
        <v xml:space="preserve"> </v>
      </c>
      <c r="E872" s="473" t="str">
        <f t="shared" si="205"/>
        <v xml:space="preserve"> </v>
      </c>
      <c r="F872" s="473" t="str">
        <f t="shared" si="205"/>
        <v xml:space="preserve"> </v>
      </c>
      <c r="G872" s="473" t="str">
        <f t="shared" si="205"/>
        <v xml:space="preserve"> </v>
      </c>
      <c r="H872" s="473" t="str">
        <f t="shared" si="205"/>
        <v xml:space="preserve"> </v>
      </c>
      <c r="I872" s="473" t="str">
        <f t="shared" si="205"/>
        <v xml:space="preserve"> </v>
      </c>
      <c r="J872" s="473" t="str">
        <f t="shared" si="205"/>
        <v xml:space="preserve"> </v>
      </c>
      <c r="K872" s="473" t="str">
        <f t="shared" si="205"/>
        <v xml:space="preserve"> </v>
      </c>
      <c r="L872" s="473" t="str">
        <f t="shared" si="205"/>
        <v xml:space="preserve"> </v>
      </c>
      <c r="M872" s="473" t="str">
        <f t="shared" si="205"/>
        <v xml:space="preserve"> </v>
      </c>
      <c r="N872" s="473" t="str">
        <f t="shared" si="205"/>
        <v xml:space="preserve"> </v>
      </c>
      <c r="O872" s="473" t="str">
        <f t="shared" si="205"/>
        <v xml:space="preserve"> </v>
      </c>
      <c r="P872" s="473" t="str">
        <f t="shared" si="205"/>
        <v xml:space="preserve"> </v>
      </c>
      <c r="Q872" s="473" t="str">
        <f t="shared" si="205"/>
        <v xml:space="preserve"> </v>
      </c>
      <c r="R872" s="473" t="str">
        <f t="shared" si="205"/>
        <v xml:space="preserve"> </v>
      </c>
      <c r="S872" s="473" t="str">
        <f t="shared" si="205"/>
        <v xml:space="preserve"> </v>
      </c>
      <c r="T872" s="473" t="str">
        <f t="shared" si="205"/>
        <v xml:space="preserve"> </v>
      </c>
      <c r="U872" s="473" t="str">
        <f t="shared" si="205"/>
        <v xml:space="preserve"> </v>
      </c>
      <c r="V872" s="473" t="str">
        <f t="shared" si="205"/>
        <v xml:space="preserve"> </v>
      </c>
      <c r="W872" s="473" t="str">
        <f t="shared" si="205"/>
        <v xml:space="preserve"> </v>
      </c>
      <c r="X872" s="473" t="str">
        <f t="shared" si="205"/>
        <v xml:space="preserve"> </v>
      </c>
      <c r="Y872" s="473" t="str">
        <f t="shared" si="205"/>
        <v xml:space="preserve"> </v>
      </c>
      <c r="Z872" s="473" t="str">
        <f t="shared" si="205"/>
        <v xml:space="preserve"> </v>
      </c>
      <c r="AA872" s="473" t="str">
        <f t="shared" si="205"/>
        <v xml:space="preserve"> </v>
      </c>
      <c r="AB872" s="473" t="str">
        <f t="shared" si="205"/>
        <v xml:space="preserve"> </v>
      </c>
      <c r="AC872" s="473" t="str">
        <f t="shared" si="205"/>
        <v xml:space="preserve"> </v>
      </c>
      <c r="AD872" s="473" t="str">
        <f t="shared" si="205"/>
        <v xml:space="preserve"> </v>
      </c>
      <c r="AE872" s="473" t="str">
        <f t="shared" si="205"/>
        <v xml:space="preserve"> </v>
      </c>
    </row>
    <row r="873" spans="1:31" s="426" customFormat="1" x14ac:dyDescent="0.25">
      <c r="A873" s="41"/>
      <c r="B873" s="405" t="s">
        <v>842</v>
      </c>
      <c r="C873" s="442">
        <v>0</v>
      </c>
      <c r="D873" s="442">
        <v>25</v>
      </c>
      <c r="E873" s="442">
        <v>35</v>
      </c>
      <c r="F873" s="442">
        <v>45</v>
      </c>
      <c r="G873" s="442">
        <v>55</v>
      </c>
      <c r="H873" s="442">
        <v>65</v>
      </c>
      <c r="I873" s="442">
        <v>75</v>
      </c>
      <c r="J873" s="442">
        <v>85</v>
      </c>
      <c r="K873" s="442">
        <v>95</v>
      </c>
      <c r="L873" s="442">
        <v>100</v>
      </c>
      <c r="M873" s="442">
        <v>125</v>
      </c>
      <c r="N873" s="442">
        <v>150</v>
      </c>
      <c r="O873" s="442">
        <v>175</v>
      </c>
      <c r="P873" s="442">
        <v>200</v>
      </c>
      <c r="Q873" s="442">
        <v>225</v>
      </c>
      <c r="R873" s="442">
        <v>250</v>
      </c>
      <c r="S873" s="442">
        <v>275</v>
      </c>
      <c r="T873" s="442">
        <v>300</v>
      </c>
      <c r="U873" s="442">
        <v>325</v>
      </c>
      <c r="V873" s="442">
        <v>350</v>
      </c>
      <c r="W873" s="442">
        <v>375</v>
      </c>
      <c r="X873" s="442">
        <v>400</v>
      </c>
      <c r="Y873" s="442">
        <v>425</v>
      </c>
      <c r="Z873" s="442">
        <v>450</v>
      </c>
      <c r="AA873" s="442">
        <v>475</v>
      </c>
      <c r="AB873" s="442">
        <v>500</v>
      </c>
      <c r="AC873" s="442">
        <v>525</v>
      </c>
      <c r="AD873" s="442">
        <v>550</v>
      </c>
      <c r="AE873" s="442">
        <v>575</v>
      </c>
    </row>
    <row r="874" spans="1:31" s="426" customFormat="1" x14ac:dyDescent="0.25">
      <c r="A874" s="52"/>
      <c r="B874" s="341" t="s">
        <v>843</v>
      </c>
      <c r="C874" s="13">
        <v>25</v>
      </c>
      <c r="D874" s="13">
        <v>35</v>
      </c>
      <c r="E874" s="13">
        <v>45</v>
      </c>
      <c r="F874" s="13">
        <v>55</v>
      </c>
      <c r="G874" s="13">
        <v>65</v>
      </c>
      <c r="H874" s="13">
        <v>75</v>
      </c>
      <c r="I874" s="13">
        <v>85</v>
      </c>
      <c r="J874" s="13">
        <v>95</v>
      </c>
      <c r="K874" s="13">
        <v>100</v>
      </c>
      <c r="L874" s="13">
        <v>125</v>
      </c>
      <c r="M874" s="13">
        <v>150</v>
      </c>
      <c r="N874" s="13">
        <v>175</v>
      </c>
      <c r="O874" s="13">
        <v>200</v>
      </c>
      <c r="P874" s="13">
        <v>225</v>
      </c>
      <c r="Q874" s="13">
        <v>250</v>
      </c>
      <c r="R874" s="13">
        <v>275</v>
      </c>
      <c r="S874" s="13">
        <v>300</v>
      </c>
      <c r="T874" s="13">
        <v>325</v>
      </c>
      <c r="U874" s="13">
        <v>350</v>
      </c>
      <c r="V874" s="13">
        <v>375</v>
      </c>
      <c r="W874" s="13">
        <v>400</v>
      </c>
      <c r="X874" s="13">
        <v>425</v>
      </c>
      <c r="Y874" s="13">
        <v>450</v>
      </c>
      <c r="Z874" s="13">
        <v>475</v>
      </c>
      <c r="AA874" s="13">
        <v>500</v>
      </c>
      <c r="AB874" s="13">
        <v>525</v>
      </c>
      <c r="AC874" s="13">
        <v>550</v>
      </c>
      <c r="AD874" s="13">
        <v>575</v>
      </c>
      <c r="AE874" s="13">
        <v>999</v>
      </c>
    </row>
    <row r="875" spans="1:31" s="426" customFormat="1" x14ac:dyDescent="0.25">
      <c r="A875" s="472"/>
      <c r="B875" s="517" t="s">
        <v>844</v>
      </c>
      <c r="C875" s="484">
        <v>180</v>
      </c>
      <c r="D875" s="484">
        <v>160</v>
      </c>
      <c r="E875" s="484">
        <v>140</v>
      </c>
      <c r="F875" s="484">
        <v>120</v>
      </c>
      <c r="G875" s="484">
        <v>110</v>
      </c>
      <c r="H875" s="484">
        <v>100</v>
      </c>
      <c r="I875" s="484">
        <v>93</v>
      </c>
      <c r="J875" s="484">
        <v>87</v>
      </c>
      <c r="K875" s="484">
        <v>80</v>
      </c>
      <c r="L875" s="484">
        <v>78</v>
      </c>
      <c r="M875" s="484">
        <v>76</v>
      </c>
      <c r="N875" s="484">
        <v>74</v>
      </c>
      <c r="O875" s="484">
        <v>72</v>
      </c>
      <c r="P875" s="484">
        <v>70</v>
      </c>
      <c r="Q875" s="484">
        <v>68</v>
      </c>
      <c r="R875" s="484">
        <v>66</v>
      </c>
      <c r="S875" s="484">
        <v>63</v>
      </c>
      <c r="T875" s="484">
        <v>60</v>
      </c>
      <c r="U875" s="484">
        <v>57</v>
      </c>
      <c r="V875" s="484">
        <v>54</v>
      </c>
      <c r="W875" s="484">
        <v>52</v>
      </c>
      <c r="X875" s="484">
        <v>50</v>
      </c>
      <c r="Y875" s="484">
        <v>47</v>
      </c>
      <c r="Z875" s="484">
        <v>44</v>
      </c>
      <c r="AA875" s="484">
        <v>42</v>
      </c>
      <c r="AB875" s="484">
        <v>40</v>
      </c>
      <c r="AC875" s="484">
        <v>36</v>
      </c>
      <c r="AD875" s="484">
        <v>33</v>
      </c>
      <c r="AE875" s="484">
        <v>30</v>
      </c>
    </row>
    <row r="876" spans="1:31" s="426" customFormat="1" ht="12.75" x14ac:dyDescent="0.2">
      <c r="B876" s="652" t="s">
        <v>850</v>
      </c>
      <c r="C876" s="679">
        <f>IF(SUM(C872:AE872)&gt;0,HLOOKUP(1,C872:AE875,4,FALSE)*C868,0)</f>
        <v>0</v>
      </c>
      <c r="D876" s="634">
        <f>C876*C869</f>
        <v>0</v>
      </c>
      <c r="Y876" s="626"/>
    </row>
    <row r="877" spans="1:31" s="426" customFormat="1" ht="12.75" x14ac:dyDescent="0.2">
      <c r="Y877" s="626"/>
    </row>
    <row r="878" spans="1:31" s="426" customFormat="1" ht="12.75" x14ac:dyDescent="0.2">
      <c r="Y878" s="626"/>
    </row>
    <row r="879" spans="1:31" s="426" customFormat="1" ht="12.75" x14ac:dyDescent="0.2">
      <c r="B879" s="426" t="s">
        <v>849</v>
      </c>
      <c r="C879" s="626">
        <f>C866*C867</f>
        <v>462</v>
      </c>
      <c r="Y879" s="626"/>
    </row>
    <row r="880" spans="1:31" s="426" customFormat="1" ht="12.75" x14ac:dyDescent="0.2">
      <c r="B880" s="426" t="s">
        <v>852</v>
      </c>
      <c r="C880" s="762" t="e">
        <f>IF(C879/D876&lt;=C870,C870,C879/D876)</f>
        <v>#DIV/0!</v>
      </c>
      <c r="D880" s="426" t="s">
        <v>684</v>
      </c>
      <c r="Y880" s="626"/>
    </row>
    <row r="881" spans="1:25" s="426" customFormat="1" ht="12.75" x14ac:dyDescent="0.2">
      <c r="Y881" s="626"/>
    </row>
    <row r="882" spans="1:25" s="426" customFormat="1" ht="12.75" x14ac:dyDescent="0.2">
      <c r="C882" s="134"/>
      <c r="Y882" s="626"/>
    </row>
    <row r="883" spans="1:25" s="426" customFormat="1" ht="12.75" x14ac:dyDescent="0.2">
      <c r="B883" s="426" t="s">
        <v>853</v>
      </c>
      <c r="C883" s="707">
        <v>180</v>
      </c>
      <c r="D883" s="426" t="s">
        <v>754</v>
      </c>
      <c r="Y883" s="626"/>
    </row>
    <row r="884" spans="1:25" s="426" customFormat="1" ht="12.75" x14ac:dyDescent="0.2">
      <c r="B884" s="426" t="s">
        <v>854</v>
      </c>
      <c r="C884" s="626">
        <f>J145</f>
        <v>0.8</v>
      </c>
      <c r="Y884" s="626"/>
    </row>
    <row r="885" spans="1:25" s="426" customFormat="1" ht="12.75" x14ac:dyDescent="0.2">
      <c r="B885" s="426" t="s">
        <v>857</v>
      </c>
      <c r="C885" s="626">
        <f>C884*C883</f>
        <v>144</v>
      </c>
      <c r="D885" s="426" t="s">
        <v>754</v>
      </c>
      <c r="Y885" s="626"/>
    </row>
    <row r="886" spans="1:25" s="426" customFormat="1" ht="12.75" x14ac:dyDescent="0.2">
      <c r="B886" s="426" t="s">
        <v>858</v>
      </c>
      <c r="C886" s="134">
        <f>C3/C885</f>
        <v>2.7777777777777777</v>
      </c>
      <c r="D886" s="426" t="s">
        <v>684</v>
      </c>
      <c r="Y886" s="626"/>
    </row>
    <row r="887" spans="1:25" s="426" customFormat="1" ht="12.75" x14ac:dyDescent="0.2">
      <c r="Y887" s="626"/>
    </row>
    <row r="888" spans="1:25" s="426" customFormat="1" ht="12.75" x14ac:dyDescent="0.2">
      <c r="Y888" s="626"/>
    </row>
    <row r="889" spans="1:25" s="426" customFormat="1" ht="12.75" x14ac:dyDescent="0.2">
      <c r="A889" s="626">
        <f>IF(C855=1,1,0)</f>
        <v>0</v>
      </c>
      <c r="B889" s="426" t="s">
        <v>860</v>
      </c>
      <c r="C889" s="635" t="b">
        <f>IF(A889=1,C863*D858)</f>
        <v>0</v>
      </c>
      <c r="Y889" s="626"/>
    </row>
    <row r="890" spans="1:25" s="426" customFormat="1" ht="12.75" x14ac:dyDescent="0.2">
      <c r="A890" s="626">
        <f>IF(C855=1,1,0)</f>
        <v>0</v>
      </c>
      <c r="B890" s="426" t="s">
        <v>861</v>
      </c>
      <c r="C890" s="758">
        <f>IF(A890=1,MAX(C886,C880)*D858,0)</f>
        <v>0</v>
      </c>
      <c r="Y890" s="626"/>
    </row>
    <row r="891" spans="1:25" s="426" customFormat="1" ht="12.75" x14ac:dyDescent="0.2">
      <c r="B891" s="426" t="s">
        <v>862</v>
      </c>
      <c r="C891" s="635">
        <f>SUM(C889:C890)</f>
        <v>0</v>
      </c>
      <c r="Y891" s="626"/>
    </row>
    <row r="892" spans="1:25" s="426" customFormat="1" ht="12.75" x14ac:dyDescent="0.2">
      <c r="Y892" s="626"/>
    </row>
    <row r="893" spans="1:25" s="430" customFormat="1" ht="12.75" x14ac:dyDescent="0.2">
      <c r="B893" s="678"/>
      <c r="Y893" s="651"/>
    </row>
    <row r="894" spans="1:25" s="426" customFormat="1" ht="12.75" x14ac:dyDescent="0.2">
      <c r="B894" s="615"/>
      <c r="Y894" s="626"/>
    </row>
    <row r="895" spans="1:25" s="426" customFormat="1" ht="13.5" thickBot="1" x14ac:dyDescent="0.25">
      <c r="B895" s="615"/>
      <c r="D895" s="626" t="s">
        <v>674</v>
      </c>
      <c r="Y895" s="626"/>
    </row>
    <row r="896" spans="1:25" s="426" customFormat="1" ht="13.5" thickBot="1" x14ac:dyDescent="0.25">
      <c r="B896" s="641" t="s">
        <v>668</v>
      </c>
      <c r="C896" s="643">
        <f>J370</f>
        <v>0</v>
      </c>
      <c r="D896" s="642">
        <f>IF(C896=1,C925,0)</f>
        <v>0</v>
      </c>
      <c r="Y896" s="626"/>
    </row>
    <row r="897" spans="1:25" s="426" customFormat="1" ht="12.75" x14ac:dyDescent="0.2">
      <c r="Y897" s="626"/>
    </row>
    <row r="898" spans="1:25" s="426" customFormat="1" ht="12.75" x14ac:dyDescent="0.2">
      <c r="Y898" s="626"/>
    </row>
    <row r="899" spans="1:25" s="426" customFormat="1" ht="12.75" x14ac:dyDescent="0.2">
      <c r="B899" s="426" t="s">
        <v>758</v>
      </c>
      <c r="C899" s="633">
        <f>Tarieven!C12</f>
        <v>37</v>
      </c>
      <c r="D899" s="633">
        <f>C899/60</f>
        <v>0.6166666666666667</v>
      </c>
      <c r="Y899" s="626"/>
    </row>
    <row r="900" spans="1:25" s="426" customFormat="1" ht="12.75" x14ac:dyDescent="0.2">
      <c r="Y900" s="626"/>
    </row>
    <row r="901" spans="1:25" s="426" customFormat="1" ht="12.75" x14ac:dyDescent="0.2">
      <c r="Y901" s="626"/>
    </row>
    <row r="902" spans="1:25" s="426" customFormat="1" ht="12.75" x14ac:dyDescent="0.2">
      <c r="B902" s="426" t="s">
        <v>807</v>
      </c>
      <c r="C902" s="637">
        <v>1200</v>
      </c>
      <c r="D902" s="426" t="s">
        <v>25</v>
      </c>
      <c r="Y902" s="626"/>
    </row>
    <row r="903" spans="1:25" s="426" customFormat="1" ht="12.75" x14ac:dyDescent="0.2">
      <c r="B903" s="615" t="s">
        <v>99</v>
      </c>
      <c r="C903" s="626">
        <f>E445</f>
        <v>361</v>
      </c>
      <c r="D903" s="426" t="s">
        <v>25</v>
      </c>
      <c r="Y903" s="626"/>
    </row>
    <row r="904" spans="1:25" s="426" customFormat="1" ht="12.75" x14ac:dyDescent="0.2">
      <c r="B904" s="615" t="s">
        <v>100</v>
      </c>
      <c r="C904" s="626">
        <f>F445</f>
        <v>1150</v>
      </c>
      <c r="D904" s="426" t="s">
        <v>25</v>
      </c>
      <c r="Y904" s="626"/>
    </row>
    <row r="905" spans="1:25" s="426" customFormat="1" ht="12.75" x14ac:dyDescent="0.2">
      <c r="B905" s="615" t="s">
        <v>776</v>
      </c>
      <c r="C905" s="134">
        <f>C3</f>
        <v>400</v>
      </c>
      <c r="D905" s="426" t="s">
        <v>754</v>
      </c>
      <c r="Y905" s="626"/>
    </row>
    <row r="906" spans="1:25" s="426" customFormat="1" ht="12.75" x14ac:dyDescent="0.2">
      <c r="B906" s="615" t="s">
        <v>808</v>
      </c>
      <c r="C906" s="134">
        <f>C902/C13</f>
        <v>400</v>
      </c>
      <c r="Y906" s="626"/>
    </row>
    <row r="907" spans="1:25" s="426" customFormat="1" ht="12.75" x14ac:dyDescent="0.2">
      <c r="B907" s="615" t="s">
        <v>809</v>
      </c>
      <c r="C907" s="134">
        <f>CEILING(C905/C906,1)</f>
        <v>1</v>
      </c>
      <c r="D907" s="426" t="s">
        <v>810</v>
      </c>
      <c r="Y907" s="626"/>
    </row>
    <row r="908" spans="1:25" s="426" customFormat="1" ht="12.75" x14ac:dyDescent="0.2">
      <c r="B908" s="615"/>
      <c r="C908" s="134"/>
      <c r="Y908" s="626"/>
    </row>
    <row r="909" spans="1:25" s="426" customFormat="1" ht="12.75" x14ac:dyDescent="0.2">
      <c r="B909" s="615"/>
      <c r="C909" s="134"/>
      <c r="Y909" s="626"/>
    </row>
    <row r="910" spans="1:25" s="426" customFormat="1" ht="12.75" x14ac:dyDescent="0.2">
      <c r="A910" s="708"/>
      <c r="B910" s="769"/>
      <c r="C910" s="770"/>
      <c r="D910" s="712">
        <v>4</v>
      </c>
      <c r="E910" s="712">
        <v>5</v>
      </c>
      <c r="F910" s="712">
        <v>6</v>
      </c>
      <c r="G910" s="712">
        <v>7</v>
      </c>
      <c r="H910" s="712">
        <v>8</v>
      </c>
      <c r="I910" s="712">
        <v>9</v>
      </c>
      <c r="J910" s="712">
        <v>10</v>
      </c>
      <c r="K910" s="712">
        <v>11</v>
      </c>
      <c r="L910" s="712">
        <v>12</v>
      </c>
      <c r="M910" s="712">
        <v>13</v>
      </c>
      <c r="N910" s="712">
        <v>14</v>
      </c>
      <c r="O910" s="664">
        <v>15</v>
      </c>
      <c r="Y910" s="626"/>
    </row>
    <row r="911" spans="1:25" s="426" customFormat="1" ht="12.75" x14ac:dyDescent="0.2">
      <c r="A911" s="428"/>
      <c r="C911" s="710"/>
      <c r="D911" s="712">
        <f>IF(AND(MAX($C$903:$C$904)&gt;D912,MAX($C$903:$C$904)&lt;=D913),1,0)</f>
        <v>1</v>
      </c>
      <c r="E911" s="712">
        <f t="shared" ref="E911:I911" si="206">IF(AND(MAX($C$903:$C$904)&gt;E912,MAX($C$903:$C$904)&lt;=E913),1,0)</f>
        <v>0</v>
      </c>
      <c r="F911" s="712">
        <f t="shared" si="206"/>
        <v>0</v>
      </c>
      <c r="G911" s="712">
        <f t="shared" si="206"/>
        <v>0</v>
      </c>
      <c r="H911" s="712">
        <f t="shared" si="206"/>
        <v>0</v>
      </c>
      <c r="I911" s="712">
        <f t="shared" si="206"/>
        <v>0</v>
      </c>
      <c r="J911" s="712">
        <f t="shared" ref="J911" si="207">IF(AND(MAX($C$903:$C$904)&gt;J912,MAX($C$903:$C$904)&lt;=J913),1,0)</f>
        <v>0</v>
      </c>
      <c r="K911" s="712">
        <f t="shared" ref="K911" si="208">IF(AND(MAX($C$903:$C$904)&gt;K912,MAX($C$903:$C$904)&lt;=K913),1,0)</f>
        <v>0</v>
      </c>
      <c r="L911" s="712">
        <f t="shared" ref="L911" si="209">IF(AND(MAX($C$903:$C$904)&gt;L912,MAX($C$903:$C$904)&lt;=L913),1,0)</f>
        <v>0</v>
      </c>
      <c r="M911" s="712">
        <f t="shared" ref="M911:N911" si="210">IF(AND(MAX($C$903:$C$904)&gt;M912,MAX($C$903:$C$904)&lt;=M913),1,0)</f>
        <v>0</v>
      </c>
      <c r="N911" s="712">
        <f t="shared" si="210"/>
        <v>0</v>
      </c>
      <c r="O911" s="664">
        <f t="shared" ref="O911" si="211">IF(AND(MAX($C$903:$C$904)&gt;O912,MAX($C$903:$C$904)&lt;=O913),1,0)</f>
        <v>0</v>
      </c>
      <c r="Y911" s="626"/>
    </row>
    <row r="912" spans="1:25" s="426" customFormat="1" ht="12.75" x14ac:dyDescent="0.2">
      <c r="A912" s="428"/>
      <c r="C912" s="710"/>
      <c r="D912" s="701">
        <v>0</v>
      </c>
      <c r="E912" s="701">
        <v>1200</v>
      </c>
      <c r="F912" s="701">
        <v>1600</v>
      </c>
      <c r="G912" s="701">
        <v>2000</v>
      </c>
      <c r="H912" s="701">
        <v>2400</v>
      </c>
      <c r="I912" s="701">
        <v>2800</v>
      </c>
      <c r="J912" s="701">
        <v>3200</v>
      </c>
      <c r="K912" s="701">
        <v>3600</v>
      </c>
      <c r="L912" s="701">
        <v>4000</v>
      </c>
      <c r="M912" s="701">
        <v>4400</v>
      </c>
      <c r="N912" s="701">
        <v>4800</v>
      </c>
      <c r="O912" s="663">
        <v>5200</v>
      </c>
      <c r="Y912" s="626"/>
    </row>
    <row r="913" spans="1:25" s="426" customFormat="1" ht="12.75" x14ac:dyDescent="0.2">
      <c r="A913" s="429"/>
      <c r="B913" s="430"/>
      <c r="C913" s="711"/>
      <c r="D913" s="651">
        <v>1200</v>
      </c>
      <c r="E913" s="651">
        <v>1600</v>
      </c>
      <c r="F913" s="651">
        <v>2000</v>
      </c>
      <c r="G913" s="651">
        <v>2400</v>
      </c>
      <c r="H913" s="651">
        <v>2800</v>
      </c>
      <c r="I913" s="651">
        <v>3200</v>
      </c>
      <c r="J913" s="651">
        <v>3600</v>
      </c>
      <c r="K913" s="651">
        <v>4000</v>
      </c>
      <c r="L913" s="651">
        <v>4400</v>
      </c>
      <c r="M913" s="651">
        <v>4800</v>
      </c>
      <c r="N913" s="651">
        <v>5200</v>
      </c>
      <c r="O913" s="702">
        <v>6500</v>
      </c>
      <c r="Y913" s="626"/>
    </row>
    <row r="914" spans="1:25" s="426" customFormat="1" ht="12.75" x14ac:dyDescent="0.2">
      <c r="A914" s="150">
        <f>IF(AND(MIN($C$903:$C$904)&gt;B914,MIN($C$903:$C$904)&lt;=C914),1,0)</f>
        <v>1</v>
      </c>
      <c r="B914" s="725">
        <v>0</v>
      </c>
      <c r="C914" s="734">
        <v>800</v>
      </c>
      <c r="D914" s="771">
        <v>1</v>
      </c>
      <c r="E914" s="772">
        <v>1.5</v>
      </c>
      <c r="F914" s="772">
        <v>1.7</v>
      </c>
      <c r="G914" s="772">
        <v>1.8</v>
      </c>
      <c r="H914" s="772">
        <v>1.9</v>
      </c>
      <c r="I914" s="772">
        <v>2</v>
      </c>
      <c r="J914" s="772">
        <v>2.2000000000000002</v>
      </c>
      <c r="K914" s="772">
        <v>2.2999999999999998</v>
      </c>
      <c r="L914" s="772">
        <v>2.4</v>
      </c>
      <c r="M914" s="772">
        <v>2.5</v>
      </c>
      <c r="N914" s="772">
        <v>2.8</v>
      </c>
      <c r="O914" s="773">
        <v>3</v>
      </c>
      <c r="Y914" s="626"/>
    </row>
    <row r="915" spans="1:25" s="426" customFormat="1" ht="12.75" x14ac:dyDescent="0.2">
      <c r="A915" s="150">
        <f t="shared" ref="A915:A918" si="212">IF(AND(MIN($C$903:$C$904)&gt;B915,MIN($C$903:$C$904)&lt;=C915),1,0)</f>
        <v>0</v>
      </c>
      <c r="B915" s="725">
        <v>800</v>
      </c>
      <c r="C915" s="734">
        <v>1200</v>
      </c>
      <c r="D915" s="774">
        <v>1.5</v>
      </c>
      <c r="E915" s="775">
        <v>1.7</v>
      </c>
      <c r="F915" s="775">
        <v>1.8</v>
      </c>
      <c r="G915" s="775">
        <v>1.9</v>
      </c>
      <c r="H915" s="775">
        <v>2</v>
      </c>
      <c r="I915" s="775">
        <v>2.1</v>
      </c>
      <c r="J915" s="775">
        <v>2.2999999999999998</v>
      </c>
      <c r="K915" s="775">
        <v>2.5</v>
      </c>
      <c r="L915" s="775">
        <v>2.7</v>
      </c>
      <c r="M915" s="775">
        <v>2.8</v>
      </c>
      <c r="N915" s="775">
        <v>3.2</v>
      </c>
      <c r="O915" s="776">
        <v>3.3</v>
      </c>
      <c r="Y915" s="626"/>
    </row>
    <row r="916" spans="1:25" s="426" customFormat="1" ht="12.75" x14ac:dyDescent="0.2">
      <c r="A916" s="150">
        <f t="shared" si="212"/>
        <v>0</v>
      </c>
      <c r="B916" s="725">
        <v>1200</v>
      </c>
      <c r="C916" s="734">
        <v>1600</v>
      </c>
      <c r="D916" s="774">
        <v>1.7</v>
      </c>
      <c r="E916" s="775">
        <v>1.8</v>
      </c>
      <c r="F916" s="775">
        <v>1.9</v>
      </c>
      <c r="G916" s="775">
        <v>2</v>
      </c>
      <c r="H916" s="775">
        <v>2.2000000000000002</v>
      </c>
      <c r="I916" s="775">
        <v>2.2999999999999998</v>
      </c>
      <c r="J916" s="775">
        <v>2.5</v>
      </c>
      <c r="K916" s="775">
        <v>2.7</v>
      </c>
      <c r="L916" s="775">
        <v>3</v>
      </c>
      <c r="M916" s="775">
        <v>3.7</v>
      </c>
      <c r="N916" s="775">
        <v>3.8</v>
      </c>
      <c r="O916" s="776">
        <v>4</v>
      </c>
      <c r="Y916" s="626"/>
    </row>
    <row r="917" spans="1:25" s="426" customFormat="1" ht="12.75" x14ac:dyDescent="0.2">
      <c r="A917" s="150">
        <f t="shared" si="212"/>
        <v>0</v>
      </c>
      <c r="B917" s="725">
        <v>1600</v>
      </c>
      <c r="C917" s="734">
        <v>2000</v>
      </c>
      <c r="D917" s="774">
        <v>1.8</v>
      </c>
      <c r="E917" s="775">
        <v>1.9</v>
      </c>
      <c r="F917" s="775">
        <v>2.1</v>
      </c>
      <c r="G917" s="775">
        <v>2.2000000000000002</v>
      </c>
      <c r="H917" s="775">
        <v>2.4</v>
      </c>
      <c r="I917" s="775">
        <v>2.5</v>
      </c>
      <c r="J917" s="775">
        <v>2.7</v>
      </c>
      <c r="K917" s="775">
        <v>2.9</v>
      </c>
      <c r="L917" s="775">
        <v>3.2</v>
      </c>
      <c r="M917" s="775">
        <v>3.8</v>
      </c>
      <c r="N917" s="775">
        <v>4.2</v>
      </c>
      <c r="O917" s="776">
        <v>4.2</v>
      </c>
      <c r="Y917" s="626"/>
    </row>
    <row r="918" spans="1:25" s="426" customFormat="1" ht="12.75" x14ac:dyDescent="0.2">
      <c r="A918" s="145">
        <f t="shared" si="212"/>
        <v>0</v>
      </c>
      <c r="B918" s="658">
        <v>2000</v>
      </c>
      <c r="C918" s="702">
        <v>2500</v>
      </c>
      <c r="D918" s="774">
        <v>2</v>
      </c>
      <c r="E918" s="775">
        <v>2.1</v>
      </c>
      <c r="F918" s="775">
        <v>2.2000000000000002</v>
      </c>
      <c r="G918" s="775">
        <v>2.5</v>
      </c>
      <c r="H918" s="775">
        <v>2.6</v>
      </c>
      <c r="I918" s="775">
        <v>2.7</v>
      </c>
      <c r="J918" s="775">
        <v>2.9</v>
      </c>
      <c r="K918" s="775">
        <v>3.2</v>
      </c>
      <c r="L918" s="775">
        <v>3.5</v>
      </c>
      <c r="M918" s="775">
        <v>4</v>
      </c>
      <c r="N918" s="775">
        <v>4.4000000000000004</v>
      </c>
      <c r="O918" s="776">
        <v>4.8</v>
      </c>
      <c r="Y918" s="626"/>
    </row>
    <row r="919" spans="1:25" s="426" customFormat="1" ht="12.75" x14ac:dyDescent="0.2">
      <c r="A919" s="652"/>
      <c r="B919" s="653"/>
      <c r="C919" s="653"/>
      <c r="D919" s="768">
        <f>IF(SUM($A$914:$A$918)&gt;0,VLOOKUP(1,$A$914:$O$918,D910,FALSE),0)</f>
        <v>1</v>
      </c>
      <c r="E919" s="712">
        <f t="shared" ref="E919:O919" si="213">IF(SUM($A$914:$A$918)&gt;0,VLOOKUP(1,$A$914:$O$918,E910,FALSE),0)</f>
        <v>1.5</v>
      </c>
      <c r="F919" s="712">
        <f t="shared" si="213"/>
        <v>1.7</v>
      </c>
      <c r="G919" s="712">
        <f t="shared" si="213"/>
        <v>1.8</v>
      </c>
      <c r="H919" s="712">
        <f t="shared" si="213"/>
        <v>1.9</v>
      </c>
      <c r="I919" s="712">
        <f t="shared" si="213"/>
        <v>2</v>
      </c>
      <c r="J919" s="712">
        <f t="shared" si="213"/>
        <v>2.2000000000000002</v>
      </c>
      <c r="K919" s="712">
        <f t="shared" si="213"/>
        <v>2.2999999999999998</v>
      </c>
      <c r="L919" s="712">
        <f t="shared" si="213"/>
        <v>2.4</v>
      </c>
      <c r="M919" s="712">
        <f t="shared" si="213"/>
        <v>2.5</v>
      </c>
      <c r="N919" s="712">
        <f t="shared" si="213"/>
        <v>2.8</v>
      </c>
      <c r="O919" s="664">
        <f t="shared" si="213"/>
        <v>3</v>
      </c>
      <c r="Y919" s="626"/>
    </row>
    <row r="920" spans="1:25" s="426" customFormat="1" ht="12.75" x14ac:dyDescent="0.2">
      <c r="B920" s="615"/>
      <c r="Y920" s="626"/>
    </row>
    <row r="921" spans="1:25" s="426" customFormat="1" ht="12.75" x14ac:dyDescent="0.2">
      <c r="B921" s="615"/>
      <c r="Y921" s="626"/>
    </row>
    <row r="922" spans="1:25" s="426" customFormat="1" ht="12.75" x14ac:dyDescent="0.2">
      <c r="A922" s="626">
        <f>IF(C896=1,1,0)</f>
        <v>0</v>
      </c>
      <c r="B922" s="615" t="s">
        <v>811</v>
      </c>
      <c r="C922" s="626">
        <f>IF(A922=1,HLOOKUP(1,D911:O919,9,FALSE),0)</f>
        <v>0</v>
      </c>
      <c r="D922" s="426" t="s">
        <v>812</v>
      </c>
      <c r="Y922" s="626"/>
    </row>
    <row r="923" spans="1:25" s="426" customFormat="1" ht="12.75" x14ac:dyDescent="0.2">
      <c r="A923" s="626"/>
      <c r="B923" s="615" t="s">
        <v>813</v>
      </c>
      <c r="C923" s="626">
        <f>C922*C907</f>
        <v>0</v>
      </c>
      <c r="D923" s="426" t="s">
        <v>691</v>
      </c>
      <c r="Y923" s="626"/>
    </row>
    <row r="924" spans="1:25" s="426" customFormat="1" ht="12.75" x14ac:dyDescent="0.2">
      <c r="B924" s="615"/>
      <c r="Y924" s="626"/>
    </row>
    <row r="925" spans="1:25" s="426" customFormat="1" ht="12.75" x14ac:dyDescent="0.2">
      <c r="A925" s="626">
        <f>IF(C896=1,1,0)</f>
        <v>0</v>
      </c>
      <c r="B925" s="615" t="s">
        <v>814</v>
      </c>
      <c r="C925" s="669">
        <f>IF(A925=1,C923*D899,0)</f>
        <v>0</v>
      </c>
      <c r="Y925" s="626"/>
    </row>
    <row r="926" spans="1:25" s="426" customFormat="1" ht="12.75" x14ac:dyDescent="0.2">
      <c r="B926" s="615"/>
      <c r="Y926" s="626"/>
    </row>
    <row r="927" spans="1:25" s="430" customFormat="1" ht="12.75" x14ac:dyDescent="0.2">
      <c r="B927" s="678"/>
      <c r="Y927" s="651"/>
    </row>
    <row r="928" spans="1:25" s="426" customFormat="1" ht="12.75" x14ac:dyDescent="0.2">
      <c r="B928" s="615"/>
      <c r="Y928" s="626"/>
    </row>
    <row r="929" spans="1:25" s="426" customFormat="1" ht="12.75" x14ac:dyDescent="0.2">
      <c r="B929" s="615"/>
      <c r="Y929" s="626"/>
    </row>
    <row r="930" spans="1:25" s="426" customFormat="1" ht="13.5" thickBot="1" x14ac:dyDescent="0.25">
      <c r="B930" s="615"/>
      <c r="D930" s="626" t="s">
        <v>674</v>
      </c>
      <c r="Y930" s="626"/>
    </row>
    <row r="931" spans="1:25" s="426" customFormat="1" ht="13.5" thickBot="1" x14ac:dyDescent="0.25">
      <c r="B931" s="641" t="s">
        <v>669</v>
      </c>
      <c r="C931" s="643">
        <f>J371</f>
        <v>0</v>
      </c>
      <c r="D931" s="642">
        <f>IF(C931=1,C967,0)</f>
        <v>0</v>
      </c>
      <c r="Y931" s="626"/>
    </row>
    <row r="932" spans="1:25" s="426" customFormat="1" ht="12.75" x14ac:dyDescent="0.2">
      <c r="Y932" s="626"/>
    </row>
    <row r="933" spans="1:25" s="426" customFormat="1" ht="12.75" x14ac:dyDescent="0.2">
      <c r="Y933" s="626"/>
    </row>
    <row r="934" spans="1:25" s="426" customFormat="1" ht="12.75" x14ac:dyDescent="0.2">
      <c r="B934" s="426" t="s">
        <v>758</v>
      </c>
      <c r="C934" s="633">
        <f>Tarieven!C9</f>
        <v>94</v>
      </c>
      <c r="D934" s="633">
        <f>C934/60</f>
        <v>1.5666666666666667</v>
      </c>
      <c r="E934" s="669"/>
      <c r="F934" s="669"/>
      <c r="Y934" s="626"/>
    </row>
    <row r="935" spans="1:25" s="426" customFormat="1" ht="12.75" x14ac:dyDescent="0.2">
      <c r="C935" s="704"/>
      <c r="D935" s="704"/>
      <c r="Y935" s="626"/>
    </row>
    <row r="936" spans="1:25" s="426" customFormat="1" ht="12.75" x14ac:dyDescent="0.2">
      <c r="B936" s="426" t="s">
        <v>826</v>
      </c>
      <c r="C936" s="705">
        <v>10</v>
      </c>
      <c r="D936" s="704" t="s">
        <v>683</v>
      </c>
      <c r="Y936" s="626"/>
    </row>
    <row r="937" spans="1:25" s="426" customFormat="1" ht="12.75" x14ac:dyDescent="0.2">
      <c r="C937" s="626"/>
      <c r="Y937" s="626"/>
    </row>
    <row r="938" spans="1:25" s="426" customFormat="1" ht="12.75" x14ac:dyDescent="0.2">
      <c r="B938" s="426" t="s">
        <v>821</v>
      </c>
      <c r="C938" s="626">
        <f>C6+C7</f>
        <v>550</v>
      </c>
      <c r="D938" s="426" t="s">
        <v>25</v>
      </c>
      <c r="Y938" s="626"/>
    </row>
    <row r="939" spans="1:25" s="426" customFormat="1" ht="12.75" x14ac:dyDescent="0.2">
      <c r="B939" s="426" t="s">
        <v>817</v>
      </c>
      <c r="C939" s="626">
        <f>C108</f>
        <v>361</v>
      </c>
      <c r="D939" s="426" t="s">
        <v>25</v>
      </c>
      <c r="Y939" s="626"/>
    </row>
    <row r="940" spans="1:25" s="426" customFormat="1" ht="12.75" x14ac:dyDescent="0.2">
      <c r="Y940" s="626"/>
    </row>
    <row r="941" spans="1:25" s="426" customFormat="1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Y941" s="626"/>
    </row>
    <row r="942" spans="1:25" s="426" customFormat="1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Y942" s="626"/>
    </row>
    <row r="943" spans="1:25" s="426" customFormat="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 s="426" t="s">
        <v>820</v>
      </c>
      <c r="Y943" s="626"/>
    </row>
    <row r="944" spans="1:25" s="426" customFormat="1" x14ac:dyDescent="0.25">
      <c r="A944" s="77" t="s">
        <v>816</v>
      </c>
      <c r="B944"/>
      <c r="C944" s="208">
        <v>3</v>
      </c>
      <c r="D944" s="23">
        <v>4</v>
      </c>
      <c r="E944" s="23">
        <v>5</v>
      </c>
      <c r="F944" s="23">
        <v>6</v>
      </c>
      <c r="G944" s="23">
        <v>7</v>
      </c>
      <c r="H944" s="23">
        <v>8</v>
      </c>
      <c r="I944" s="23">
        <v>9</v>
      </c>
      <c r="J944" s="23">
        <v>10</v>
      </c>
      <c r="K944" s="23">
        <v>11</v>
      </c>
      <c r="L944" s="23">
        <v>12</v>
      </c>
      <c r="M944" s="38">
        <v>13</v>
      </c>
      <c r="N944"/>
      <c r="O944" s="708"/>
      <c r="P944" s="427"/>
      <c r="Q944" s="427"/>
      <c r="R944" s="767">
        <v>4</v>
      </c>
      <c r="S944" s="701">
        <v>5</v>
      </c>
      <c r="T944" s="701">
        <v>6</v>
      </c>
      <c r="U944" s="701">
        <v>7</v>
      </c>
      <c r="V944" s="701">
        <v>8</v>
      </c>
      <c r="W944" s="663">
        <v>9</v>
      </c>
      <c r="Y944" s="626"/>
    </row>
    <row r="945" spans="1:25" s="426" customFormat="1" x14ac:dyDescent="0.25">
      <c r="A945" s="289"/>
      <c r="B945" s="44"/>
      <c r="C945" s="473">
        <f>IF(AND($C$939&gt;C946,$C$939&lt;=C947),1,0)</f>
        <v>0</v>
      </c>
      <c r="D945" s="473">
        <f t="shared" ref="D945:M945" si="214">IF(AND($C$939&gt;D946,$C$939&lt;=D947),1,0)</f>
        <v>1</v>
      </c>
      <c r="E945" s="473">
        <f t="shared" si="214"/>
        <v>0</v>
      </c>
      <c r="F945" s="473">
        <f t="shared" si="214"/>
        <v>0</v>
      </c>
      <c r="G945" s="473">
        <f t="shared" si="214"/>
        <v>0</v>
      </c>
      <c r="H945" s="473">
        <f t="shared" si="214"/>
        <v>0</v>
      </c>
      <c r="I945" s="473">
        <f t="shared" si="214"/>
        <v>0</v>
      </c>
      <c r="J945" s="473">
        <f t="shared" si="214"/>
        <v>0</v>
      </c>
      <c r="K945" s="473">
        <f t="shared" si="214"/>
        <v>0</v>
      </c>
      <c r="L945" s="473">
        <f t="shared" si="214"/>
        <v>0</v>
      </c>
      <c r="M945" s="473">
        <f t="shared" si="214"/>
        <v>0</v>
      </c>
      <c r="N945"/>
      <c r="O945" s="428"/>
      <c r="R945" s="768">
        <f>IF(AND($C$938&gt;R946,$C$938&lt;=R947),1,0)</f>
        <v>0</v>
      </c>
      <c r="S945" s="768">
        <f t="shared" ref="S945:W945" si="215">IF(AND($C$938&gt;S946,$C$938&lt;=S947),1,0)</f>
        <v>1</v>
      </c>
      <c r="T945" s="768">
        <f t="shared" si="215"/>
        <v>0</v>
      </c>
      <c r="U945" s="768">
        <f t="shared" si="215"/>
        <v>0</v>
      </c>
      <c r="V945" s="768">
        <f t="shared" si="215"/>
        <v>0</v>
      </c>
      <c r="W945" s="634">
        <f t="shared" si="215"/>
        <v>0</v>
      </c>
      <c r="Y945" s="626"/>
    </row>
    <row r="946" spans="1:25" s="426" customFormat="1" x14ac:dyDescent="0.25">
      <c r="A946" s="476"/>
      <c r="B946" s="433"/>
      <c r="C946" s="442">
        <v>0</v>
      </c>
      <c r="D946" s="442">
        <v>250</v>
      </c>
      <c r="E946" s="442">
        <v>500</v>
      </c>
      <c r="F946" s="442">
        <v>750</v>
      </c>
      <c r="G946" s="442">
        <v>1000</v>
      </c>
      <c r="H946" s="442">
        <v>1250</v>
      </c>
      <c r="I946" s="442">
        <v>1500</v>
      </c>
      <c r="J946" s="442">
        <v>1750</v>
      </c>
      <c r="K946" s="442">
        <v>2000</v>
      </c>
      <c r="L946" s="442">
        <v>2250</v>
      </c>
      <c r="M946" s="442">
        <v>2500</v>
      </c>
      <c r="N946"/>
      <c r="O946" s="428"/>
      <c r="R946" s="661">
        <v>0</v>
      </c>
      <c r="S946" s="701">
        <v>500</v>
      </c>
      <c r="T946" s="661">
        <v>1000</v>
      </c>
      <c r="U946" s="701">
        <v>1500</v>
      </c>
      <c r="V946" s="661">
        <v>2000</v>
      </c>
      <c r="W946" s="663">
        <v>2500</v>
      </c>
      <c r="Y946" s="626"/>
    </row>
    <row r="947" spans="1:25" s="426" customFormat="1" x14ac:dyDescent="0.25">
      <c r="A947" s="6"/>
      <c r="B947" s="434"/>
      <c r="C947" s="13">
        <v>250</v>
      </c>
      <c r="D947" s="13">
        <v>500</v>
      </c>
      <c r="E947" s="13">
        <v>750</v>
      </c>
      <c r="F947" s="13">
        <v>1000</v>
      </c>
      <c r="G947" s="13">
        <v>1250</v>
      </c>
      <c r="H947" s="13">
        <v>1500</v>
      </c>
      <c r="I947" s="13">
        <v>1750</v>
      </c>
      <c r="J947" s="13">
        <v>2000</v>
      </c>
      <c r="K947" s="13">
        <v>2250</v>
      </c>
      <c r="L947" s="13">
        <v>2500</v>
      </c>
      <c r="M947" s="13">
        <v>99999</v>
      </c>
      <c r="N947"/>
      <c r="O947" s="428"/>
      <c r="R947" s="145">
        <v>500</v>
      </c>
      <c r="S947" s="651">
        <v>1000</v>
      </c>
      <c r="T947" s="145">
        <v>1500</v>
      </c>
      <c r="U947" s="651">
        <v>2000</v>
      </c>
      <c r="V947" s="145">
        <v>2500</v>
      </c>
      <c r="W947" s="702">
        <v>999999</v>
      </c>
      <c r="Y947" s="626"/>
    </row>
    <row r="948" spans="1:25" s="426" customFormat="1" x14ac:dyDescent="0.25">
      <c r="A948" s="442">
        <f>IF($C$4=B948,1,0)</f>
        <v>0</v>
      </c>
      <c r="B948" s="777" t="s">
        <v>30</v>
      </c>
      <c r="C948" s="486">
        <v>800</v>
      </c>
      <c r="D948" s="486">
        <v>775</v>
      </c>
      <c r="E948" s="486">
        <v>750</v>
      </c>
      <c r="F948" s="486">
        <v>700</v>
      </c>
      <c r="G948" s="486">
        <v>650</v>
      </c>
      <c r="H948" s="486">
        <v>600</v>
      </c>
      <c r="I948" s="486">
        <v>575</v>
      </c>
      <c r="J948" s="486">
        <v>550</v>
      </c>
      <c r="K948" s="486">
        <v>525</v>
      </c>
      <c r="L948" s="486">
        <v>500</v>
      </c>
      <c r="M948" s="486">
        <v>450</v>
      </c>
      <c r="N948"/>
      <c r="O948" s="661">
        <f>IF(AND($C$939&gt;P948,$C$939&lt;=Q948),1,0)</f>
        <v>1</v>
      </c>
      <c r="P948" s="701">
        <v>0</v>
      </c>
      <c r="Q948" s="701">
        <v>500</v>
      </c>
      <c r="R948" s="786">
        <v>0.85</v>
      </c>
      <c r="S948" s="780">
        <v>0.83</v>
      </c>
      <c r="T948" s="786">
        <v>0.81</v>
      </c>
      <c r="U948" s="780">
        <v>0.79</v>
      </c>
      <c r="V948" s="786">
        <v>0.77</v>
      </c>
      <c r="W948" s="781">
        <v>0.75</v>
      </c>
      <c r="Y948" s="626"/>
    </row>
    <row r="949" spans="1:25" s="426" customFormat="1" x14ac:dyDescent="0.25">
      <c r="A949" s="12">
        <f t="shared" ref="A949:A956" si="216">IF($C$4=B949,1,0)</f>
        <v>1</v>
      </c>
      <c r="B949" s="778" t="s">
        <v>31</v>
      </c>
      <c r="C949" s="28">
        <v>800</v>
      </c>
      <c r="D949" s="28">
        <v>775</v>
      </c>
      <c r="E949" s="28">
        <v>750</v>
      </c>
      <c r="F949" s="28">
        <v>700</v>
      </c>
      <c r="G949" s="28">
        <v>650</v>
      </c>
      <c r="H949" s="28">
        <v>600</v>
      </c>
      <c r="I949" s="28">
        <v>575</v>
      </c>
      <c r="J949" s="28">
        <v>550</v>
      </c>
      <c r="K949" s="28">
        <v>525</v>
      </c>
      <c r="L949" s="28">
        <v>500</v>
      </c>
      <c r="M949" s="28">
        <v>450</v>
      </c>
      <c r="N949"/>
      <c r="O949" s="150">
        <f t="shared" ref="O949:O957" si="217">IF(AND($C$939&gt;P949,$C$939&lt;=Q949),1,0)</f>
        <v>0</v>
      </c>
      <c r="P949" s="626">
        <v>500</v>
      </c>
      <c r="Q949" s="626">
        <v>750</v>
      </c>
      <c r="R949" s="787">
        <v>0.85</v>
      </c>
      <c r="S949" s="782">
        <v>0.83</v>
      </c>
      <c r="T949" s="787">
        <v>0.81</v>
      </c>
      <c r="U949" s="782">
        <v>0.79</v>
      </c>
      <c r="V949" s="787">
        <v>0.77</v>
      </c>
      <c r="W949" s="783">
        <v>0.75</v>
      </c>
      <c r="Y949" s="626"/>
    </row>
    <row r="950" spans="1:25" s="426" customFormat="1" x14ac:dyDescent="0.25">
      <c r="A950" s="13">
        <f t="shared" si="216"/>
        <v>0</v>
      </c>
      <c r="B950" s="778" t="s">
        <v>32</v>
      </c>
      <c r="C950" s="34">
        <v>800</v>
      </c>
      <c r="D950" s="34">
        <v>775</v>
      </c>
      <c r="E950" s="34">
        <v>750</v>
      </c>
      <c r="F950" s="34">
        <v>700</v>
      </c>
      <c r="G950" s="34">
        <v>650</v>
      </c>
      <c r="H950" s="34">
        <v>600</v>
      </c>
      <c r="I950" s="34">
        <v>575</v>
      </c>
      <c r="J950" s="34">
        <v>550</v>
      </c>
      <c r="K950" s="34">
        <v>525</v>
      </c>
      <c r="L950" s="34">
        <v>500</v>
      </c>
      <c r="M950" s="34">
        <v>450</v>
      </c>
      <c r="N950"/>
      <c r="O950" s="150">
        <f t="shared" si="217"/>
        <v>0</v>
      </c>
      <c r="P950" s="626">
        <v>750</v>
      </c>
      <c r="Q950" s="626">
        <v>1000</v>
      </c>
      <c r="R950" s="787">
        <v>0.84</v>
      </c>
      <c r="S950" s="782">
        <v>0.82</v>
      </c>
      <c r="T950" s="787">
        <v>0.81</v>
      </c>
      <c r="U950" s="782">
        <v>0.78</v>
      </c>
      <c r="V950" s="787">
        <v>0.76</v>
      </c>
      <c r="W950" s="783">
        <v>0.74</v>
      </c>
      <c r="Y950" s="626"/>
    </row>
    <row r="951" spans="1:25" s="426" customFormat="1" x14ac:dyDescent="0.25">
      <c r="A951" s="12">
        <f t="shared" si="216"/>
        <v>0</v>
      </c>
      <c r="B951" s="777" t="s">
        <v>36</v>
      </c>
      <c r="C951" s="28">
        <v>700</v>
      </c>
      <c r="D951" s="28">
        <v>675</v>
      </c>
      <c r="E951" s="28">
        <v>650</v>
      </c>
      <c r="F951" s="28">
        <v>600</v>
      </c>
      <c r="G951" s="28">
        <v>550</v>
      </c>
      <c r="H951" s="28">
        <v>500</v>
      </c>
      <c r="I951" s="28">
        <v>475</v>
      </c>
      <c r="J951" s="28">
        <v>450</v>
      </c>
      <c r="K951" s="28">
        <v>425</v>
      </c>
      <c r="L951" s="28">
        <v>400</v>
      </c>
      <c r="M951" s="28">
        <v>350</v>
      </c>
      <c r="N951"/>
      <c r="O951" s="150">
        <f t="shared" si="217"/>
        <v>0</v>
      </c>
      <c r="P951" s="626">
        <v>1000</v>
      </c>
      <c r="Q951" s="626">
        <v>1250</v>
      </c>
      <c r="R951" s="787">
        <v>0.84</v>
      </c>
      <c r="S951" s="782">
        <v>0.82</v>
      </c>
      <c r="T951" s="787">
        <v>0.8</v>
      </c>
      <c r="U951" s="782">
        <v>0.78</v>
      </c>
      <c r="V951" s="787">
        <v>0.76</v>
      </c>
      <c r="W951" s="783">
        <v>0.74</v>
      </c>
      <c r="Y951" s="626"/>
    </row>
    <row r="952" spans="1:25" s="426" customFormat="1" x14ac:dyDescent="0.25">
      <c r="A952" s="12">
        <f t="shared" si="216"/>
        <v>0</v>
      </c>
      <c r="B952" s="778" t="s">
        <v>34</v>
      </c>
      <c r="C952" s="28">
        <v>700</v>
      </c>
      <c r="D952" s="28">
        <v>675</v>
      </c>
      <c r="E952" s="28">
        <v>650</v>
      </c>
      <c r="F952" s="28">
        <v>600</v>
      </c>
      <c r="G952" s="28">
        <v>550</v>
      </c>
      <c r="H952" s="28">
        <v>500</v>
      </c>
      <c r="I952" s="28">
        <v>475</v>
      </c>
      <c r="J952" s="28">
        <v>450</v>
      </c>
      <c r="K952" s="28">
        <v>425</v>
      </c>
      <c r="L952" s="28">
        <v>400</v>
      </c>
      <c r="M952" s="28">
        <v>350</v>
      </c>
      <c r="N952"/>
      <c r="O952" s="150">
        <f t="shared" si="217"/>
        <v>0</v>
      </c>
      <c r="P952" s="626">
        <v>1250</v>
      </c>
      <c r="Q952" s="626">
        <v>1500</v>
      </c>
      <c r="R952" s="787">
        <v>0.83</v>
      </c>
      <c r="S952" s="782">
        <v>0.82</v>
      </c>
      <c r="T952" s="787">
        <v>0.79</v>
      </c>
      <c r="U952" s="782">
        <v>0.77</v>
      </c>
      <c r="V952" s="787">
        <v>0.75</v>
      </c>
      <c r="W952" s="783">
        <v>0.73</v>
      </c>
      <c r="Y952" s="626"/>
    </row>
    <row r="953" spans="1:25" s="426" customFormat="1" x14ac:dyDescent="0.25">
      <c r="A953" s="12">
        <f t="shared" si="216"/>
        <v>0</v>
      </c>
      <c r="B953" s="778" t="s">
        <v>33</v>
      </c>
      <c r="C953" s="28">
        <v>700</v>
      </c>
      <c r="D953" s="28">
        <v>675</v>
      </c>
      <c r="E953" s="28">
        <v>650</v>
      </c>
      <c r="F953" s="28">
        <v>600</v>
      </c>
      <c r="G953" s="28">
        <v>550</v>
      </c>
      <c r="H953" s="28">
        <v>500</v>
      </c>
      <c r="I953" s="28">
        <v>475</v>
      </c>
      <c r="J953" s="28">
        <v>450</v>
      </c>
      <c r="K953" s="28">
        <v>425</v>
      </c>
      <c r="L953" s="28">
        <v>400</v>
      </c>
      <c r="M953" s="28">
        <v>350</v>
      </c>
      <c r="N953"/>
      <c r="O953" s="150">
        <f t="shared" si="217"/>
        <v>0</v>
      </c>
      <c r="P953" s="626">
        <v>1500</v>
      </c>
      <c r="Q953" s="626">
        <v>1750</v>
      </c>
      <c r="R953" s="787">
        <v>0.83</v>
      </c>
      <c r="S953" s="782">
        <v>0.81</v>
      </c>
      <c r="T953" s="787">
        <v>0.79</v>
      </c>
      <c r="U953" s="782">
        <v>0.76</v>
      </c>
      <c r="V953" s="787">
        <v>0.75</v>
      </c>
      <c r="W953" s="783">
        <v>0.73</v>
      </c>
      <c r="Y953" s="626"/>
    </row>
    <row r="954" spans="1:25" s="426" customFormat="1" x14ac:dyDescent="0.25">
      <c r="A954" s="12">
        <f t="shared" si="216"/>
        <v>0</v>
      </c>
      <c r="B954" s="778" t="s">
        <v>35</v>
      </c>
      <c r="C954" s="28">
        <v>700</v>
      </c>
      <c r="D954" s="28">
        <v>675</v>
      </c>
      <c r="E954" s="28">
        <v>650</v>
      </c>
      <c r="F954" s="28">
        <v>600</v>
      </c>
      <c r="G954" s="28">
        <v>550</v>
      </c>
      <c r="H954" s="28">
        <v>500</v>
      </c>
      <c r="I954" s="28">
        <v>475</v>
      </c>
      <c r="J954" s="28">
        <v>450</v>
      </c>
      <c r="K954" s="28">
        <v>425</v>
      </c>
      <c r="L954" s="28">
        <v>400</v>
      </c>
      <c r="M954" s="28">
        <v>350</v>
      </c>
      <c r="N954"/>
      <c r="O954" s="150">
        <f t="shared" si="217"/>
        <v>0</v>
      </c>
      <c r="P954" s="626">
        <v>1750</v>
      </c>
      <c r="Q954" s="626">
        <v>2000</v>
      </c>
      <c r="R954" s="787">
        <v>0.82</v>
      </c>
      <c r="S954" s="782">
        <v>0.81</v>
      </c>
      <c r="T954" s="787">
        <v>0.78</v>
      </c>
      <c r="U954" s="782">
        <v>0.76</v>
      </c>
      <c r="V954" s="787">
        <v>0.75</v>
      </c>
      <c r="W954" s="783">
        <v>0.72</v>
      </c>
      <c r="Y954" s="626"/>
    </row>
    <row r="955" spans="1:25" s="426" customFormat="1" x14ac:dyDescent="0.25">
      <c r="A955" s="12">
        <f t="shared" si="216"/>
        <v>0</v>
      </c>
      <c r="B955" s="778" t="s">
        <v>37</v>
      </c>
      <c r="C955" s="28">
        <v>700</v>
      </c>
      <c r="D955" s="28">
        <v>675</v>
      </c>
      <c r="E955" s="28">
        <v>650</v>
      </c>
      <c r="F955" s="28">
        <v>600</v>
      </c>
      <c r="G955" s="28">
        <v>550</v>
      </c>
      <c r="H955" s="28">
        <v>500</v>
      </c>
      <c r="I955" s="28">
        <v>475</v>
      </c>
      <c r="J955" s="28">
        <v>450</v>
      </c>
      <c r="K955" s="28">
        <v>425</v>
      </c>
      <c r="L955" s="28">
        <v>400</v>
      </c>
      <c r="M955" s="28">
        <v>350</v>
      </c>
      <c r="N955"/>
      <c r="O955" s="150">
        <f t="shared" si="217"/>
        <v>0</v>
      </c>
      <c r="P955" s="626">
        <v>2000</v>
      </c>
      <c r="Q955" s="626">
        <v>2250</v>
      </c>
      <c r="R955" s="787">
        <v>0.81</v>
      </c>
      <c r="S955" s="782">
        <v>0.8</v>
      </c>
      <c r="T955" s="787">
        <v>0.77</v>
      </c>
      <c r="U955" s="782">
        <v>0.75</v>
      </c>
      <c r="V955" s="787">
        <v>0.74</v>
      </c>
      <c r="W955" s="783">
        <v>0.72</v>
      </c>
      <c r="Y955" s="626"/>
    </row>
    <row r="956" spans="1:25" s="426" customFormat="1" x14ac:dyDescent="0.25">
      <c r="A956" s="13">
        <f t="shared" si="216"/>
        <v>0</v>
      </c>
      <c r="B956" s="779" t="s">
        <v>38</v>
      </c>
      <c r="C956" s="34">
        <v>700</v>
      </c>
      <c r="D956" s="34">
        <v>675</v>
      </c>
      <c r="E956" s="34">
        <v>650</v>
      </c>
      <c r="F956" s="34">
        <v>600</v>
      </c>
      <c r="G956" s="34">
        <v>550</v>
      </c>
      <c r="H956" s="34">
        <v>500</v>
      </c>
      <c r="I956" s="34">
        <v>475</v>
      </c>
      <c r="J956" s="34">
        <v>450</v>
      </c>
      <c r="K956" s="34">
        <v>425</v>
      </c>
      <c r="L956" s="34">
        <v>400</v>
      </c>
      <c r="M956" s="34">
        <v>350</v>
      </c>
      <c r="N956"/>
      <c r="O956" s="150">
        <f t="shared" si="217"/>
        <v>0</v>
      </c>
      <c r="P956" s="626">
        <v>2250</v>
      </c>
      <c r="Q956" s="626">
        <v>2500</v>
      </c>
      <c r="R956" s="787">
        <v>0.8</v>
      </c>
      <c r="S956" s="782">
        <v>0.78</v>
      </c>
      <c r="T956" s="787">
        <v>0.76</v>
      </c>
      <c r="U956" s="782">
        <v>0.74</v>
      </c>
      <c r="V956" s="787">
        <v>0.73</v>
      </c>
      <c r="W956" s="783">
        <v>0.72</v>
      </c>
      <c r="Y956" s="626"/>
    </row>
    <row r="957" spans="1:25" s="426" customFormat="1" x14ac:dyDescent="0.25">
      <c r="A957" s="415"/>
      <c r="B957" s="44"/>
      <c r="C957" s="473">
        <f>IF(SUM($A$948:$A$956)&gt;0,VLOOKUP(1,$A$948:$M$957,C944,FALSE),0)</f>
        <v>800</v>
      </c>
      <c r="D957" s="473">
        <f t="shared" ref="D957:M957" si="218">IF(SUM($A$948:$A$956)&gt;0,VLOOKUP(1,$A$948:$M$957,D944,FALSE),0)</f>
        <v>775</v>
      </c>
      <c r="E957" s="473">
        <f t="shared" si="218"/>
        <v>750</v>
      </c>
      <c r="F957" s="473">
        <f t="shared" si="218"/>
        <v>700</v>
      </c>
      <c r="G957" s="473">
        <f t="shared" si="218"/>
        <v>650</v>
      </c>
      <c r="H957" s="473">
        <f t="shared" si="218"/>
        <v>600</v>
      </c>
      <c r="I957" s="473">
        <f t="shared" si="218"/>
        <v>575</v>
      </c>
      <c r="J957" s="473">
        <f t="shared" si="218"/>
        <v>550</v>
      </c>
      <c r="K957" s="473">
        <f t="shared" si="218"/>
        <v>525</v>
      </c>
      <c r="L957" s="473">
        <f t="shared" si="218"/>
        <v>500</v>
      </c>
      <c r="M957" s="473">
        <f t="shared" si="218"/>
        <v>450</v>
      </c>
      <c r="N957"/>
      <c r="O957" s="145">
        <f t="shared" si="217"/>
        <v>0</v>
      </c>
      <c r="P957" s="651">
        <v>2500</v>
      </c>
      <c r="Q957" s="651">
        <v>3500</v>
      </c>
      <c r="R957" s="788">
        <v>0.8</v>
      </c>
      <c r="S957" s="784">
        <v>0.78</v>
      </c>
      <c r="T957" s="788">
        <v>0.76</v>
      </c>
      <c r="U957" s="784">
        <v>0.74</v>
      </c>
      <c r="V957" s="788">
        <v>0.72</v>
      </c>
      <c r="W957" s="785">
        <v>0.7</v>
      </c>
      <c r="Y957" s="626"/>
    </row>
    <row r="958" spans="1:25" s="426" customFormat="1" x14ac:dyDescent="0.25">
      <c r="A958"/>
      <c r="B95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/>
      <c r="O958" s="429"/>
      <c r="P958" s="653"/>
      <c r="Q958" s="653"/>
      <c r="R958" s="634">
        <f>IF(SUM($O$948:$O$957)&gt;0,VLOOKUP(1,$O$948:$W$957,R944,FALSE),0)</f>
        <v>0.85</v>
      </c>
      <c r="S958" s="634">
        <f t="shared" ref="S958:W958" si="219">IF(SUM($O$948:$O$957)&gt;0,VLOOKUP(1,$O$948:$W$957,S944,FALSE),0)</f>
        <v>0.83</v>
      </c>
      <c r="T958" s="634">
        <f t="shared" si="219"/>
        <v>0.81</v>
      </c>
      <c r="U958" s="634">
        <f t="shared" si="219"/>
        <v>0.79</v>
      </c>
      <c r="V958" s="634">
        <f t="shared" si="219"/>
        <v>0.77</v>
      </c>
      <c r="W958" s="634">
        <f t="shared" si="219"/>
        <v>0.75</v>
      </c>
      <c r="Y958" s="626"/>
    </row>
    <row r="959" spans="1:25" s="426" customFormat="1" ht="12.75" x14ac:dyDescent="0.2">
      <c r="B959" s="615"/>
      <c r="Y959" s="626"/>
    </row>
    <row r="960" spans="1:25" s="426" customFormat="1" ht="12.75" x14ac:dyDescent="0.2">
      <c r="B960" s="615" t="s">
        <v>823</v>
      </c>
      <c r="C960" s="762">
        <f>IF(SUM(C945:M945)&gt;0,HLOOKUP(1,C945:M957,13,FALSE)/60,0)</f>
        <v>12.916666666666666</v>
      </c>
      <c r="D960" s="426" t="s">
        <v>705</v>
      </c>
      <c r="Y960" s="626"/>
    </row>
    <row r="961" spans="1:25" s="426" customFormat="1" ht="12.75" x14ac:dyDescent="0.2">
      <c r="B961" s="615" t="s">
        <v>822</v>
      </c>
      <c r="C961" s="1210">
        <f>IF(SUM(R945:W945)&gt;0,HLOOKUP(1,R945:W958,14,FALSE),0)</f>
        <v>0.83</v>
      </c>
      <c r="Y961" s="626"/>
    </row>
    <row r="962" spans="1:25" s="426" customFormat="1" ht="12.75" x14ac:dyDescent="0.2">
      <c r="B962" s="615" t="s">
        <v>795</v>
      </c>
      <c r="C962" s="651">
        <f>C961*C960</f>
        <v>10.720833333333331</v>
      </c>
      <c r="D962" s="426" t="s">
        <v>705</v>
      </c>
      <c r="Y962" s="626"/>
    </row>
    <row r="963" spans="1:25" s="426" customFormat="1" ht="12.75" x14ac:dyDescent="0.2">
      <c r="B963" s="615" t="s">
        <v>813</v>
      </c>
      <c r="C963" s="134">
        <f>C3/C962</f>
        <v>37.310532452390213</v>
      </c>
      <c r="D963" s="426" t="s">
        <v>683</v>
      </c>
      <c r="Y963" s="626"/>
    </row>
    <row r="964" spans="1:25" s="426" customFormat="1" ht="12.75" x14ac:dyDescent="0.2">
      <c r="B964" s="615"/>
      <c r="C964" s="134"/>
      <c r="Y964" s="626"/>
    </row>
    <row r="965" spans="1:25" s="426" customFormat="1" ht="12.75" x14ac:dyDescent="0.2">
      <c r="A965" s="626">
        <f>IF(C931=1,1,0)</f>
        <v>0</v>
      </c>
      <c r="B965" s="615" t="s">
        <v>824</v>
      </c>
      <c r="C965" s="1184">
        <f>IF(C931=1,C936*D934,0)</f>
        <v>0</v>
      </c>
      <c r="Y965" s="626"/>
    </row>
    <row r="966" spans="1:25" s="426" customFormat="1" ht="12.75" x14ac:dyDescent="0.2">
      <c r="A966" s="626">
        <f>IF(C931=1,1,0)</f>
        <v>0</v>
      </c>
      <c r="B966" s="615" t="s">
        <v>825</v>
      </c>
      <c r="C966" s="758">
        <f>IF(A966=1,C963*D934,0)</f>
        <v>0</v>
      </c>
      <c r="Y966" s="626"/>
    </row>
    <row r="967" spans="1:25" s="426" customFormat="1" ht="12.75" x14ac:dyDescent="0.2">
      <c r="B967" s="615" t="s">
        <v>177</v>
      </c>
      <c r="C967" s="635">
        <f>SUM(C965:C966)</f>
        <v>0</v>
      </c>
      <c r="Y967" s="626"/>
    </row>
    <row r="968" spans="1:25" s="426" customFormat="1" ht="12.75" x14ac:dyDescent="0.2">
      <c r="B968" s="615"/>
      <c r="Y968" s="626"/>
    </row>
    <row r="969" spans="1:25" s="430" customFormat="1" ht="12.75" x14ac:dyDescent="0.2">
      <c r="B969" s="678"/>
      <c r="Y969" s="651"/>
    </row>
    <row r="970" spans="1:25" s="426" customFormat="1" ht="12.75" x14ac:dyDescent="0.2">
      <c r="B970" s="615"/>
      <c r="Y970" s="626"/>
    </row>
    <row r="971" spans="1:25" s="426" customFormat="1" ht="13.5" thickBot="1" x14ac:dyDescent="0.25">
      <c r="B971" s="615"/>
      <c r="D971" s="626" t="s">
        <v>674</v>
      </c>
      <c r="Y971" s="626"/>
    </row>
    <row r="972" spans="1:25" s="426" customFormat="1" ht="13.5" thickBot="1" x14ac:dyDescent="0.25">
      <c r="B972" s="641" t="s">
        <v>670</v>
      </c>
      <c r="C972" s="643">
        <f>J372</f>
        <v>0</v>
      </c>
      <c r="D972" s="642">
        <f>IF(C972=1,C982,0)</f>
        <v>0</v>
      </c>
      <c r="Y972" s="626"/>
    </row>
    <row r="973" spans="1:25" s="426" customFormat="1" ht="12.75" x14ac:dyDescent="0.2">
      <c r="Y973" s="626"/>
    </row>
    <row r="974" spans="1:25" s="426" customFormat="1" ht="12.75" x14ac:dyDescent="0.2">
      <c r="Y974" s="626"/>
    </row>
    <row r="975" spans="1:25" s="426" customFormat="1" ht="12.75" x14ac:dyDescent="0.2">
      <c r="B975" s="426" t="s">
        <v>827</v>
      </c>
      <c r="C975" s="633">
        <f>Tarieven!C12</f>
        <v>37</v>
      </c>
      <c r="D975" s="633">
        <f>C975/60</f>
        <v>0.6166666666666667</v>
      </c>
      <c r="Y975" s="626"/>
    </row>
    <row r="976" spans="1:25" s="426" customFormat="1" ht="12.75" x14ac:dyDescent="0.2">
      <c r="B976" s="615"/>
      <c r="Y976" s="626"/>
    </row>
    <row r="977" spans="1:25" s="426" customFormat="1" ht="12.75" x14ac:dyDescent="0.2">
      <c r="B977" s="615"/>
      <c r="Y977" s="626"/>
    </row>
    <row r="978" spans="1:25" s="426" customFormat="1" ht="12.75" x14ac:dyDescent="0.2">
      <c r="B978" s="615" t="s">
        <v>829</v>
      </c>
      <c r="C978" s="637">
        <v>1500</v>
      </c>
      <c r="D978" s="426" t="s">
        <v>790</v>
      </c>
      <c r="Y978" s="626"/>
    </row>
    <row r="979" spans="1:25" s="426" customFormat="1" ht="12.75" x14ac:dyDescent="0.2">
      <c r="B979" s="615"/>
      <c r="Y979" s="626"/>
    </row>
    <row r="980" spans="1:25" s="426" customFormat="1" ht="12.75" x14ac:dyDescent="0.2">
      <c r="B980" s="615" t="s">
        <v>61</v>
      </c>
      <c r="C980" s="626">
        <f>C3</f>
        <v>400</v>
      </c>
      <c r="D980" s="426" t="s">
        <v>754</v>
      </c>
      <c r="Y980" s="626"/>
    </row>
    <row r="981" spans="1:25" s="426" customFormat="1" ht="12.75" x14ac:dyDescent="0.2">
      <c r="B981" s="615"/>
      <c r="Y981" s="626"/>
    </row>
    <row r="982" spans="1:25" s="426" customFormat="1" ht="12.75" x14ac:dyDescent="0.2">
      <c r="A982" s="626">
        <f>IF(C972=1,1,0)</f>
        <v>0</v>
      </c>
      <c r="B982" s="615" t="s">
        <v>825</v>
      </c>
      <c r="C982" s="669">
        <f>IF(A982=1,(C980/C978)*C975,0)</f>
        <v>0</v>
      </c>
      <c r="Y982" s="626"/>
    </row>
    <row r="983" spans="1:25" s="426" customFormat="1" ht="12.75" x14ac:dyDescent="0.2">
      <c r="B983" s="615"/>
      <c r="Y983" s="626"/>
    </row>
    <row r="984" spans="1:25" s="430" customFormat="1" ht="12.75" x14ac:dyDescent="0.2">
      <c r="B984" s="678"/>
      <c r="Y984" s="651"/>
    </row>
    <row r="985" spans="1:25" s="426" customFormat="1" ht="12.75" x14ac:dyDescent="0.2">
      <c r="B985" s="615"/>
      <c r="Y985" s="626"/>
    </row>
    <row r="986" spans="1:25" s="426" customFormat="1" ht="12.75" x14ac:dyDescent="0.2">
      <c r="B986" s="615"/>
      <c r="Y986" s="626"/>
    </row>
    <row r="987" spans="1:25" s="426" customFormat="1" ht="13.5" thickBot="1" x14ac:dyDescent="0.25">
      <c r="B987" s="615"/>
      <c r="D987" s="626" t="s">
        <v>674</v>
      </c>
      <c r="Y987" s="626"/>
    </row>
    <row r="988" spans="1:25" s="426" customFormat="1" ht="13.5" thickBot="1" x14ac:dyDescent="0.25">
      <c r="B988" s="641" t="s">
        <v>671</v>
      </c>
      <c r="C988" s="643">
        <f>J373</f>
        <v>0</v>
      </c>
      <c r="D988" s="642">
        <f>IF(C988=1,C1002,0)</f>
        <v>0</v>
      </c>
      <c r="Y988" s="626"/>
    </row>
    <row r="989" spans="1:25" s="426" customFormat="1" ht="12.75" x14ac:dyDescent="0.2">
      <c r="Y989" s="626"/>
    </row>
    <row r="990" spans="1:25" s="426" customFormat="1" ht="12.75" x14ac:dyDescent="0.2">
      <c r="B990" s="615"/>
      <c r="Y990" s="626"/>
    </row>
    <row r="991" spans="1:25" s="426" customFormat="1" ht="12.75" x14ac:dyDescent="0.2">
      <c r="B991" s="426" t="s">
        <v>827</v>
      </c>
      <c r="C991" s="633">
        <f>Tarieven!C12</f>
        <v>37</v>
      </c>
      <c r="D991" s="633">
        <f>C991/60</f>
        <v>0.6166666666666667</v>
      </c>
      <c r="Y991" s="626"/>
    </row>
    <row r="992" spans="1:25" s="426" customFormat="1" ht="12.75" x14ac:dyDescent="0.2">
      <c r="B992" s="615"/>
      <c r="Y992" s="626"/>
    </row>
    <row r="993" spans="1:25" s="426" customFormat="1" ht="12.75" x14ac:dyDescent="0.2">
      <c r="B993" s="615" t="s">
        <v>828</v>
      </c>
      <c r="C993" s="637">
        <v>8</v>
      </c>
      <c r="D993" s="426" t="s">
        <v>683</v>
      </c>
      <c r="Y993" s="626"/>
    </row>
    <row r="994" spans="1:25" s="426" customFormat="1" ht="12.75" x14ac:dyDescent="0.2">
      <c r="B994" s="615"/>
      <c r="Y994" s="626"/>
    </row>
    <row r="995" spans="1:25" s="426" customFormat="1" ht="12.75" x14ac:dyDescent="0.2">
      <c r="B995" s="615" t="s">
        <v>829</v>
      </c>
      <c r="C995" s="637">
        <v>900</v>
      </c>
      <c r="D995" s="426" t="s">
        <v>790</v>
      </c>
      <c r="Y995" s="626"/>
    </row>
    <row r="996" spans="1:25" s="426" customFormat="1" ht="12.75" x14ac:dyDescent="0.2">
      <c r="B996" s="615"/>
      <c r="Y996" s="626"/>
    </row>
    <row r="997" spans="1:25" s="426" customFormat="1" ht="12.75" x14ac:dyDescent="0.2">
      <c r="B997" s="615" t="s">
        <v>61</v>
      </c>
      <c r="C997" s="626">
        <f>C3</f>
        <v>400</v>
      </c>
      <c r="D997" s="426" t="s">
        <v>754</v>
      </c>
      <c r="Y997" s="626"/>
    </row>
    <row r="998" spans="1:25" s="426" customFormat="1" ht="12.75" x14ac:dyDescent="0.2">
      <c r="B998" s="615"/>
      <c r="Y998" s="626"/>
    </row>
    <row r="999" spans="1:25" s="426" customFormat="1" ht="12.75" x14ac:dyDescent="0.2">
      <c r="B999" s="615"/>
      <c r="Y999" s="626"/>
    </row>
    <row r="1000" spans="1:25" s="426" customFormat="1" ht="12.75" x14ac:dyDescent="0.2">
      <c r="A1000" s="626">
        <f>IF(C988=1,1,0)</f>
        <v>0</v>
      </c>
      <c r="B1000" s="615" t="s">
        <v>824</v>
      </c>
      <c r="C1000" s="635">
        <f>IF(A1000=1,C993*D991,0)</f>
        <v>0</v>
      </c>
      <c r="Y1000" s="626"/>
    </row>
    <row r="1001" spans="1:25" s="426" customFormat="1" ht="12.75" x14ac:dyDescent="0.2">
      <c r="A1001" s="626">
        <f>IF(C988=1,1,0)</f>
        <v>0</v>
      </c>
      <c r="B1001" s="615" t="s">
        <v>830</v>
      </c>
      <c r="C1001" s="758">
        <f>IF(A1001=1,(C997/C995)*C991,0)</f>
        <v>0</v>
      </c>
      <c r="Y1001" s="626"/>
    </row>
    <row r="1002" spans="1:25" s="426" customFormat="1" ht="12.75" x14ac:dyDescent="0.2">
      <c r="B1002" s="615" t="s">
        <v>177</v>
      </c>
      <c r="C1002" s="635">
        <f>SUM(C1000:C1001)</f>
        <v>0</v>
      </c>
      <c r="Y1002" s="626"/>
    </row>
    <row r="1003" spans="1:25" s="426" customFormat="1" ht="12.75" x14ac:dyDescent="0.2">
      <c r="B1003" s="615"/>
      <c r="Y1003" s="626"/>
    </row>
    <row r="1004" spans="1:25" s="430" customFormat="1" ht="12.75" x14ac:dyDescent="0.2">
      <c r="B1004" s="678"/>
      <c r="Y1004" s="651"/>
    </row>
    <row r="1005" spans="1:25" s="426" customFormat="1" ht="12.75" x14ac:dyDescent="0.2">
      <c r="B1005" s="615"/>
      <c r="Y1005" s="626"/>
    </row>
    <row r="1006" spans="1:25" s="426" customFormat="1" ht="13.5" thickBot="1" x14ac:dyDescent="0.25">
      <c r="B1006" s="615"/>
      <c r="D1006" s="626" t="s">
        <v>674</v>
      </c>
      <c r="Y1006" s="626"/>
    </row>
    <row r="1007" spans="1:25" s="426" customFormat="1" ht="13.5" thickBot="1" x14ac:dyDescent="0.25">
      <c r="B1007" s="641" t="s">
        <v>672</v>
      </c>
      <c r="C1007" s="643">
        <f>J374</f>
        <v>0</v>
      </c>
      <c r="D1007" s="642">
        <f>IF(C1007=1,C1043,0)</f>
        <v>0</v>
      </c>
      <c r="Y1007" s="626"/>
    </row>
    <row r="1008" spans="1:25" s="426" customFormat="1" ht="12.75" x14ac:dyDescent="0.2">
      <c r="B1008" s="615"/>
      <c r="Y1008" s="626"/>
    </row>
    <row r="1009" spans="1:25" s="426" customFormat="1" ht="12.75" x14ac:dyDescent="0.2">
      <c r="B1009" s="615"/>
      <c r="Y1009" s="626"/>
    </row>
    <row r="1010" spans="1:25" s="426" customFormat="1" ht="12.75" x14ac:dyDescent="0.2">
      <c r="B1010" s="426" t="s">
        <v>827</v>
      </c>
      <c r="C1010" s="633">
        <f>Tarieven!C12</f>
        <v>37</v>
      </c>
      <c r="D1010" s="633">
        <f>C1010/60</f>
        <v>0.6166666666666667</v>
      </c>
      <c r="Y1010" s="626"/>
    </row>
    <row r="1011" spans="1:25" s="426" customFormat="1" ht="12.75" x14ac:dyDescent="0.2">
      <c r="B1011" s="615"/>
      <c r="Y1011" s="626"/>
    </row>
    <row r="1012" spans="1:25" s="426" customFormat="1" ht="12.75" x14ac:dyDescent="0.2">
      <c r="B1012" s="615"/>
      <c r="O1012" s="626" t="s">
        <v>800</v>
      </c>
      <c r="P1012" s="626" t="s">
        <v>801</v>
      </c>
      <c r="Y1012" s="626"/>
    </row>
    <row r="1013" spans="1:25" s="426" customFormat="1" x14ac:dyDescent="0.25">
      <c r="A1013" s="719"/>
      <c r="B1013" s="411" t="s">
        <v>799</v>
      </c>
      <c r="C1013" s="435">
        <f>C814</f>
        <v>1150</v>
      </c>
      <c r="D1013" s="411"/>
      <c r="E1013" s="412"/>
      <c r="F1013" s="412"/>
      <c r="G1013" s="412"/>
      <c r="H1013" s="412"/>
      <c r="I1013" s="412"/>
      <c r="J1013" s="412"/>
      <c r="K1013" s="412"/>
      <c r="L1013" s="433"/>
      <c r="N1013" s="661">
        <f>IF($H$803=O1013,1,0)</f>
        <v>1</v>
      </c>
      <c r="O1013" s="449">
        <v>1</v>
      </c>
      <c r="P1013" s="486">
        <v>1</v>
      </c>
      <c r="Y1013" s="626"/>
    </row>
    <row r="1014" spans="1:25" s="426" customFormat="1" x14ac:dyDescent="0.25">
      <c r="A1014" s="714"/>
      <c r="B1014" s="581" t="s">
        <v>99</v>
      </c>
      <c r="C1014" s="436">
        <f>C815</f>
        <v>361</v>
      </c>
      <c r="D1014" s="581"/>
      <c r="E1014" s="320"/>
      <c r="F1014" s="320"/>
      <c r="G1014" s="320"/>
      <c r="H1014" s="320"/>
      <c r="I1014" s="320"/>
      <c r="J1014" s="320"/>
      <c r="K1014" s="320"/>
      <c r="L1014" s="434"/>
      <c r="N1014" s="150">
        <f t="shared" ref="N1014:N1021" si="220">IF($H$803=O1014,1,0)</f>
        <v>0</v>
      </c>
      <c r="O1014" s="2">
        <v>2</v>
      </c>
      <c r="P1014" s="28">
        <v>1.1299999999999999</v>
      </c>
      <c r="Y1014" s="626"/>
    </row>
    <row r="1015" spans="1:25" s="426" customFormat="1" x14ac:dyDescent="0.25">
      <c r="A1015" s="208"/>
      <c r="B1015" s="23"/>
      <c r="C1015" s="23"/>
      <c r="D1015" s="449">
        <v>4</v>
      </c>
      <c r="E1015" s="449">
        <v>5</v>
      </c>
      <c r="F1015" s="449">
        <v>6</v>
      </c>
      <c r="G1015" s="449">
        <v>7</v>
      </c>
      <c r="H1015" s="449">
        <v>8</v>
      </c>
      <c r="I1015" s="449">
        <v>9</v>
      </c>
      <c r="J1015" s="449">
        <v>10</v>
      </c>
      <c r="K1015" s="449">
        <v>11</v>
      </c>
      <c r="L1015" s="435">
        <v>12</v>
      </c>
      <c r="N1015" s="150">
        <f t="shared" si="220"/>
        <v>0</v>
      </c>
      <c r="O1015" s="2">
        <v>3</v>
      </c>
      <c r="P1015" s="28">
        <v>1.26</v>
      </c>
      <c r="Y1015" s="626"/>
    </row>
    <row r="1016" spans="1:25" s="426" customFormat="1" x14ac:dyDescent="0.25">
      <c r="A1016" s="473">
        <f>IF(SUM(D1016:L1016)&gt;0,HLOOKUP(1,D1016:L1028,13,FALSE),0)</f>
        <v>922.25</v>
      </c>
      <c r="B1016" s="412"/>
      <c r="C1016" s="412"/>
      <c r="D1016" s="208">
        <f>IF(AND($C$1013&gt;D1017,$C$1013&lt;=D1018),1,0)</f>
        <v>0</v>
      </c>
      <c r="E1016" s="23">
        <f t="shared" ref="E1016:L1016" si="221">IF(AND($C$1013&gt;E1017,$C$1013&lt;=E1018),1,0)</f>
        <v>0</v>
      </c>
      <c r="F1016" s="23">
        <f t="shared" si="221"/>
        <v>0</v>
      </c>
      <c r="G1016" s="23">
        <f t="shared" si="221"/>
        <v>0</v>
      </c>
      <c r="H1016" s="23">
        <f t="shared" si="221"/>
        <v>0</v>
      </c>
      <c r="I1016" s="23">
        <f t="shared" si="221"/>
        <v>1</v>
      </c>
      <c r="J1016" s="23">
        <f t="shared" si="221"/>
        <v>0</v>
      </c>
      <c r="K1016" s="23">
        <f t="shared" si="221"/>
        <v>0</v>
      </c>
      <c r="L1016" s="38">
        <f t="shared" si="221"/>
        <v>0</v>
      </c>
      <c r="N1016" s="150">
        <f t="shared" si="220"/>
        <v>0</v>
      </c>
      <c r="O1016" s="2">
        <v>4</v>
      </c>
      <c r="P1016" s="28">
        <v>1.39</v>
      </c>
      <c r="Y1016" s="626"/>
    </row>
    <row r="1017" spans="1:25" s="426" customFormat="1" x14ac:dyDescent="0.25">
      <c r="A1017" s="6"/>
      <c r="B1017"/>
      <c r="C1017"/>
      <c r="D1017" s="26">
        <v>0</v>
      </c>
      <c r="E1017" s="2">
        <v>200</v>
      </c>
      <c r="F1017" s="2">
        <v>400</v>
      </c>
      <c r="G1017" s="2">
        <v>600</v>
      </c>
      <c r="H1017" s="2">
        <v>800</v>
      </c>
      <c r="I1017" s="2">
        <v>1000</v>
      </c>
      <c r="J1017" s="2">
        <v>1200</v>
      </c>
      <c r="K1017" s="2">
        <v>1400</v>
      </c>
      <c r="L1017" s="25">
        <v>1600</v>
      </c>
      <c r="N1017" s="150">
        <f t="shared" si="220"/>
        <v>0</v>
      </c>
      <c r="O1017" s="2">
        <v>5</v>
      </c>
      <c r="P1017" s="28">
        <v>1.52</v>
      </c>
      <c r="Y1017" s="626"/>
    </row>
    <row r="1018" spans="1:25" s="426" customFormat="1" x14ac:dyDescent="0.25">
      <c r="A1018" s="6"/>
      <c r="B1018" s="320"/>
      <c r="C1018" s="320"/>
      <c r="D1018" s="432">
        <v>200</v>
      </c>
      <c r="E1018" s="343">
        <v>400</v>
      </c>
      <c r="F1018" s="343">
        <v>600</v>
      </c>
      <c r="G1018" s="343">
        <v>800</v>
      </c>
      <c r="H1018" s="343">
        <v>1000</v>
      </c>
      <c r="I1018" s="343">
        <v>1200</v>
      </c>
      <c r="J1018" s="343">
        <v>1400</v>
      </c>
      <c r="K1018" s="343">
        <v>1600</v>
      </c>
      <c r="L1018" s="436">
        <v>1800</v>
      </c>
      <c r="N1018" s="150">
        <f t="shared" si="220"/>
        <v>0</v>
      </c>
      <c r="O1018" s="2">
        <v>6</v>
      </c>
      <c r="P1018" s="28">
        <v>1.65</v>
      </c>
      <c r="Y1018" s="626"/>
    </row>
    <row r="1019" spans="1:25" s="426" customFormat="1" x14ac:dyDescent="0.25">
      <c r="A1019" s="442">
        <f>IF(AND($C$1014&gt;B1019,$C$1014&lt;=C1019),1,0)</f>
        <v>0</v>
      </c>
      <c r="B1019" s="449">
        <v>0</v>
      </c>
      <c r="C1019" s="435">
        <v>200</v>
      </c>
      <c r="D1019" s="759">
        <v>1100</v>
      </c>
      <c r="E1019" s="739">
        <v>1068.5</v>
      </c>
      <c r="F1019" s="739">
        <v>1037</v>
      </c>
      <c r="G1019" s="739">
        <v>1005.5</v>
      </c>
      <c r="H1019" s="739">
        <v>974</v>
      </c>
      <c r="I1019" s="739">
        <v>942.5</v>
      </c>
      <c r="J1019" s="739">
        <v>911</v>
      </c>
      <c r="K1019" s="739">
        <v>879.5</v>
      </c>
      <c r="L1019" s="740">
        <v>875</v>
      </c>
      <c r="N1019" s="150">
        <f t="shared" si="220"/>
        <v>0</v>
      </c>
      <c r="O1019" s="2">
        <v>7</v>
      </c>
      <c r="P1019" s="28">
        <v>1.78</v>
      </c>
      <c r="Y1019" s="626"/>
    </row>
    <row r="1020" spans="1:25" s="426" customFormat="1" x14ac:dyDescent="0.25">
      <c r="A1020" s="12">
        <f t="shared" ref="A1020:A1027" si="222">IF(AND($C$1014&gt;B1020,$C$1014&lt;=C1020),1,0)</f>
        <v>1</v>
      </c>
      <c r="B1020" s="2">
        <v>200</v>
      </c>
      <c r="C1020" s="25">
        <v>400</v>
      </c>
      <c r="D1020" s="742">
        <v>1068.5</v>
      </c>
      <c r="E1020" s="759">
        <v>1048.25</v>
      </c>
      <c r="F1020" s="743">
        <v>1016.75</v>
      </c>
      <c r="G1020" s="743">
        <v>985.25</v>
      </c>
      <c r="H1020" s="743">
        <v>953.75</v>
      </c>
      <c r="I1020" s="743">
        <v>922.25</v>
      </c>
      <c r="J1020" s="743">
        <v>890.75</v>
      </c>
      <c r="K1020" s="743">
        <v>859.25</v>
      </c>
      <c r="L1020" s="744">
        <v>857</v>
      </c>
      <c r="N1020" s="150">
        <f t="shared" si="220"/>
        <v>0</v>
      </c>
      <c r="O1020" s="2">
        <v>8</v>
      </c>
      <c r="P1020" s="28">
        <v>1.91</v>
      </c>
      <c r="Y1020" s="626"/>
    </row>
    <row r="1021" spans="1:25" s="426" customFormat="1" x14ac:dyDescent="0.25">
      <c r="A1021" s="12">
        <f t="shared" si="222"/>
        <v>0</v>
      </c>
      <c r="B1021" s="2">
        <v>400</v>
      </c>
      <c r="C1021" s="25">
        <v>600</v>
      </c>
      <c r="D1021" s="742">
        <v>1037</v>
      </c>
      <c r="E1021" s="743">
        <v>1016.75</v>
      </c>
      <c r="F1021" s="759">
        <v>996.5</v>
      </c>
      <c r="G1021" s="743">
        <v>965</v>
      </c>
      <c r="H1021" s="743">
        <v>933.5</v>
      </c>
      <c r="I1021" s="743">
        <v>902</v>
      </c>
      <c r="J1021" s="743">
        <v>870.5</v>
      </c>
      <c r="K1021" s="743">
        <v>839</v>
      </c>
      <c r="L1021" s="744">
        <v>830</v>
      </c>
      <c r="N1021" s="145">
        <f t="shared" si="220"/>
        <v>0</v>
      </c>
      <c r="O1021" s="343">
        <v>9</v>
      </c>
      <c r="P1021" s="34">
        <v>1.99</v>
      </c>
      <c r="Y1021" s="626"/>
    </row>
    <row r="1022" spans="1:25" s="426" customFormat="1" x14ac:dyDescent="0.25">
      <c r="A1022" s="12">
        <f t="shared" si="222"/>
        <v>0</v>
      </c>
      <c r="B1022" s="2">
        <v>600</v>
      </c>
      <c r="C1022" s="25">
        <v>800</v>
      </c>
      <c r="D1022" s="742">
        <v>1005.5</v>
      </c>
      <c r="E1022" s="743">
        <v>985.25</v>
      </c>
      <c r="F1022" s="743">
        <v>965</v>
      </c>
      <c r="G1022" s="759">
        <v>926.75</v>
      </c>
      <c r="H1022" s="743">
        <v>895.25</v>
      </c>
      <c r="I1022" s="743">
        <v>863.75</v>
      </c>
      <c r="J1022" s="743">
        <v>832.25</v>
      </c>
      <c r="K1022" s="743">
        <v>800.75</v>
      </c>
      <c r="L1022" s="744">
        <v>803</v>
      </c>
      <c r="P1022" s="634">
        <f>VLOOKUP(1,N1013:P1021,3,FALSE)</f>
        <v>1</v>
      </c>
      <c r="Y1022" s="626"/>
    </row>
    <row r="1023" spans="1:25" s="426" customFormat="1" x14ac:dyDescent="0.25">
      <c r="A1023" s="12">
        <f t="shared" si="222"/>
        <v>0</v>
      </c>
      <c r="B1023" s="2">
        <v>800</v>
      </c>
      <c r="C1023" s="25">
        <v>1000</v>
      </c>
      <c r="D1023" s="742">
        <v>974</v>
      </c>
      <c r="E1023" s="743">
        <v>953.75</v>
      </c>
      <c r="F1023" s="743">
        <v>933.5</v>
      </c>
      <c r="G1023" s="743">
        <v>895.25</v>
      </c>
      <c r="H1023" s="759">
        <v>893</v>
      </c>
      <c r="I1023" s="743">
        <v>857</v>
      </c>
      <c r="J1023" s="743">
        <v>821</v>
      </c>
      <c r="K1023" s="743">
        <v>785</v>
      </c>
      <c r="L1023" s="744">
        <v>776</v>
      </c>
      <c r="Y1023" s="626"/>
    </row>
    <row r="1024" spans="1:25" s="426" customFormat="1" x14ac:dyDescent="0.25">
      <c r="A1024" s="12">
        <f t="shared" si="222"/>
        <v>0</v>
      </c>
      <c r="B1024" s="2">
        <v>1000</v>
      </c>
      <c r="C1024" s="25">
        <v>1200</v>
      </c>
      <c r="D1024" s="742">
        <v>942.5</v>
      </c>
      <c r="E1024" s="743">
        <v>922.25</v>
      </c>
      <c r="F1024" s="743">
        <v>902</v>
      </c>
      <c r="G1024" s="743">
        <v>863.75</v>
      </c>
      <c r="H1024" s="743">
        <v>857</v>
      </c>
      <c r="I1024" s="759">
        <v>841.25</v>
      </c>
      <c r="J1024" s="743">
        <v>800.75</v>
      </c>
      <c r="K1024" s="743">
        <v>760.25</v>
      </c>
      <c r="L1024" s="744">
        <v>749</v>
      </c>
      <c r="Y1024" s="626"/>
    </row>
    <row r="1025" spans="1:25" s="426" customFormat="1" x14ac:dyDescent="0.25">
      <c r="A1025" s="12">
        <f t="shared" si="222"/>
        <v>0</v>
      </c>
      <c r="B1025" s="2">
        <v>1200</v>
      </c>
      <c r="C1025" s="25">
        <v>1400</v>
      </c>
      <c r="D1025" s="742">
        <v>911</v>
      </c>
      <c r="E1025" s="743">
        <v>890.75</v>
      </c>
      <c r="F1025" s="743">
        <v>870.5</v>
      </c>
      <c r="G1025" s="743">
        <v>832.25</v>
      </c>
      <c r="H1025" s="743">
        <v>821</v>
      </c>
      <c r="I1025" s="743">
        <v>800.75</v>
      </c>
      <c r="J1025" s="759">
        <v>789.5</v>
      </c>
      <c r="K1025" s="743">
        <v>753.5</v>
      </c>
      <c r="L1025" s="744">
        <v>722</v>
      </c>
      <c r="Y1025" s="626"/>
    </row>
    <row r="1026" spans="1:25" s="426" customFormat="1" x14ac:dyDescent="0.25">
      <c r="A1026" s="12">
        <f t="shared" si="222"/>
        <v>0</v>
      </c>
      <c r="B1026" s="2">
        <v>1400</v>
      </c>
      <c r="C1026" s="25">
        <v>1600</v>
      </c>
      <c r="D1026" s="742">
        <v>879.5</v>
      </c>
      <c r="E1026" s="743">
        <v>859.25</v>
      </c>
      <c r="F1026" s="743">
        <v>839</v>
      </c>
      <c r="G1026" s="743">
        <v>800.75</v>
      </c>
      <c r="H1026" s="743">
        <v>785</v>
      </c>
      <c r="I1026" s="743">
        <v>760.25</v>
      </c>
      <c r="J1026" s="743">
        <v>753.5</v>
      </c>
      <c r="K1026" s="759">
        <v>737.75</v>
      </c>
      <c r="L1026" s="744">
        <v>695</v>
      </c>
      <c r="Y1026" s="626"/>
    </row>
    <row r="1027" spans="1:25" s="426" customFormat="1" x14ac:dyDescent="0.25">
      <c r="A1027" s="13">
        <f t="shared" si="222"/>
        <v>0</v>
      </c>
      <c r="B1027" s="343">
        <v>1600</v>
      </c>
      <c r="C1027" s="436">
        <v>1800</v>
      </c>
      <c r="D1027" s="742">
        <v>875</v>
      </c>
      <c r="E1027" s="743">
        <v>857</v>
      </c>
      <c r="F1027" s="743">
        <v>830</v>
      </c>
      <c r="G1027" s="743">
        <v>803</v>
      </c>
      <c r="H1027" s="743">
        <v>776</v>
      </c>
      <c r="I1027" s="743">
        <v>749</v>
      </c>
      <c r="J1027" s="743">
        <v>722</v>
      </c>
      <c r="K1027" s="743">
        <v>695</v>
      </c>
      <c r="L1027" s="760">
        <v>686</v>
      </c>
      <c r="Y1027" s="626"/>
    </row>
    <row r="1028" spans="1:25" s="426" customFormat="1" x14ac:dyDescent="0.25">
      <c r="A1028"/>
      <c r="B1028"/>
      <c r="C1028"/>
      <c r="D1028" s="751">
        <f>IF(SUM($A$1019:$A$1027)&gt;0,VLOOKUP(1,$A$1019:$L$1027,D1015,FALSE),0)</f>
        <v>1068.5</v>
      </c>
      <c r="E1028" s="752">
        <f t="shared" ref="E1028:L1028" si="223">IF(SUM($A$1019:$A$1027)&gt;0,VLOOKUP(1,$A$1019:$L$1027,E1015,FALSE),0)</f>
        <v>1048.25</v>
      </c>
      <c r="F1028" s="752">
        <f t="shared" si="223"/>
        <v>1016.75</v>
      </c>
      <c r="G1028" s="752">
        <f t="shared" si="223"/>
        <v>985.25</v>
      </c>
      <c r="H1028" s="752">
        <f t="shared" si="223"/>
        <v>953.75</v>
      </c>
      <c r="I1028" s="752">
        <f t="shared" si="223"/>
        <v>922.25</v>
      </c>
      <c r="J1028" s="752">
        <f t="shared" si="223"/>
        <v>890.75</v>
      </c>
      <c r="K1028" s="752">
        <f t="shared" si="223"/>
        <v>859.25</v>
      </c>
      <c r="L1028" s="753">
        <f t="shared" si="223"/>
        <v>857</v>
      </c>
      <c r="Y1028" s="626"/>
    </row>
    <row r="1029" spans="1:25" s="426" customFormat="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Y1029" s="626"/>
    </row>
    <row r="1030" spans="1:25" s="426" customFormat="1" ht="12.75" x14ac:dyDescent="0.2">
      <c r="B1030" s="615"/>
      <c r="Y1030" s="626"/>
    </row>
    <row r="1031" spans="1:25" s="426" customFormat="1" x14ac:dyDescent="0.2">
      <c r="A1031" s="754" t="s">
        <v>789</v>
      </c>
      <c r="B1031" s="755">
        <f>IF(SUM(D1016:L1016)&gt;0,HLOOKUP(1,D1016:L1028,13,FALSE),0)</f>
        <v>922.25</v>
      </c>
      <c r="C1031" s="754" t="s">
        <v>806</v>
      </c>
      <c r="Y1031" s="626"/>
    </row>
    <row r="1032" spans="1:25" s="426" customFormat="1" x14ac:dyDescent="0.2">
      <c r="A1032" s="754" t="s">
        <v>803</v>
      </c>
      <c r="B1032" s="761">
        <f>H145</f>
        <v>0.8</v>
      </c>
      <c r="C1032" s="763"/>
      <c r="Y1032" s="626"/>
    </row>
    <row r="1033" spans="1:25" s="426" customFormat="1" x14ac:dyDescent="0.2">
      <c r="A1033" s="426" t="s">
        <v>804</v>
      </c>
      <c r="B1033" s="634">
        <f>B1031*B1032</f>
        <v>737.80000000000007</v>
      </c>
      <c r="C1033" s="754" t="s">
        <v>806</v>
      </c>
      <c r="E1033" s="754"/>
      <c r="F1033" s="741"/>
      <c r="Y1033" s="626"/>
    </row>
    <row r="1034" spans="1:25" s="426" customFormat="1" x14ac:dyDescent="0.2">
      <c r="A1034" s="754" t="s">
        <v>802</v>
      </c>
      <c r="B1034" s="757">
        <f>P1022</f>
        <v>1</v>
      </c>
      <c r="C1034" s="754"/>
      <c r="Y1034" s="626"/>
    </row>
    <row r="1035" spans="1:25" s="426" customFormat="1" ht="12.75" x14ac:dyDescent="0.2">
      <c r="A1035" s="426" t="s">
        <v>805</v>
      </c>
      <c r="B1035" s="679">
        <f>B1033/B1034</f>
        <v>737.80000000000007</v>
      </c>
      <c r="C1035" s="764" t="s">
        <v>806</v>
      </c>
      <c r="Y1035" s="626"/>
    </row>
    <row r="1036" spans="1:25" s="426" customFormat="1" ht="12.75" x14ac:dyDescent="0.2">
      <c r="A1036" s="426" t="s">
        <v>794</v>
      </c>
      <c r="B1036" s="638">
        <v>0.95</v>
      </c>
      <c r="Y1036" s="626"/>
    </row>
    <row r="1037" spans="1:25" s="426" customFormat="1" ht="12.75" x14ac:dyDescent="0.2">
      <c r="A1037" s="426" t="s">
        <v>795</v>
      </c>
      <c r="B1037" s="679">
        <f>B1036*B1035</f>
        <v>700.91000000000008</v>
      </c>
      <c r="C1037" s="765" t="s">
        <v>806</v>
      </c>
      <c r="Y1037" s="626"/>
    </row>
    <row r="1038" spans="1:25" s="426" customFormat="1" ht="12.75" x14ac:dyDescent="0.2">
      <c r="C1038" s="134"/>
      <c r="Y1038" s="626"/>
    </row>
    <row r="1039" spans="1:25" s="426" customFormat="1" ht="12.75" x14ac:dyDescent="0.2">
      <c r="Y1039" s="626"/>
    </row>
    <row r="1040" spans="1:25" s="426" customFormat="1" ht="12.75" x14ac:dyDescent="0.2">
      <c r="A1040" s="426" t="s">
        <v>797</v>
      </c>
      <c r="B1040" s="679">
        <f>C811/(B1037/60)</f>
        <v>34.583612732019795</v>
      </c>
      <c r="C1040" s="134" t="s">
        <v>798</v>
      </c>
      <c r="Y1040" s="626"/>
    </row>
    <row r="1041" spans="1:25" s="426" customFormat="1" ht="12.75" x14ac:dyDescent="0.2">
      <c r="B1041" s="615"/>
      <c r="Y1041" s="626"/>
    </row>
    <row r="1042" spans="1:25" s="426" customFormat="1" ht="12.75" x14ac:dyDescent="0.2">
      <c r="B1042" s="615"/>
      <c r="Y1042" s="626"/>
    </row>
    <row r="1043" spans="1:25" s="426" customFormat="1" ht="12.75" x14ac:dyDescent="0.2">
      <c r="A1043" s="626">
        <f>IF(C1007=1,1,0)</f>
        <v>0</v>
      </c>
      <c r="B1043" s="615" t="s">
        <v>712</v>
      </c>
      <c r="C1043" s="669">
        <f>IF(A1043=1,B1040*D1010,0)</f>
        <v>0</v>
      </c>
      <c r="Y1043" s="626"/>
    </row>
    <row r="1044" spans="1:25" s="426" customFormat="1" ht="12.75" x14ac:dyDescent="0.2">
      <c r="A1044" s="626"/>
      <c r="B1044" s="615"/>
      <c r="C1044" s="669"/>
      <c r="Y1044" s="626"/>
    </row>
    <row r="1045" spans="1:25" s="430" customFormat="1" ht="12.75" x14ac:dyDescent="0.2">
      <c r="A1045" s="651"/>
      <c r="B1045" s="678"/>
      <c r="C1045" s="766"/>
      <c r="Y1045" s="651"/>
    </row>
    <row r="1046" spans="1:25" s="426" customFormat="1" ht="12.75" x14ac:dyDescent="0.2">
      <c r="B1046" s="615"/>
      <c r="Y1046" s="626"/>
    </row>
    <row r="1047" spans="1:25" s="426" customFormat="1" ht="13.5" thickBot="1" x14ac:dyDescent="0.25">
      <c r="B1047" s="615"/>
      <c r="D1047" s="626" t="s">
        <v>674</v>
      </c>
      <c r="Y1047" s="626"/>
    </row>
    <row r="1048" spans="1:25" s="426" customFormat="1" ht="13.5" thickBot="1" x14ac:dyDescent="0.25">
      <c r="B1048" s="641" t="s">
        <v>673</v>
      </c>
      <c r="C1048" s="800"/>
      <c r="D1048" s="642">
        <f>C1052+C1058+C1064</f>
        <v>4</v>
      </c>
      <c r="Y1048" s="626"/>
    </row>
    <row r="1049" spans="1:25" s="426" customFormat="1" ht="12.75" x14ac:dyDescent="0.2">
      <c r="B1049" s="615"/>
      <c r="Y1049" s="626"/>
    </row>
    <row r="1050" spans="1:25" s="426" customFormat="1" ht="12.75" x14ac:dyDescent="0.2">
      <c r="B1050" s="615"/>
      <c r="Y1050" s="626"/>
    </row>
    <row r="1051" spans="1:25" s="426" customFormat="1" ht="13.5" thickBot="1" x14ac:dyDescent="0.25">
      <c r="B1051" s="615" t="s">
        <v>685</v>
      </c>
      <c r="C1051" s="634">
        <f>IF(C111&gt;0,C111,0)</f>
        <v>0</v>
      </c>
      <c r="Y1051" s="626"/>
    </row>
    <row r="1052" spans="1:25" s="426" customFormat="1" ht="13.5" thickBot="1" x14ac:dyDescent="0.25">
      <c r="B1052" s="791" t="s">
        <v>834</v>
      </c>
      <c r="C1052" s="792">
        <f>IF(C1051&gt;0,E119,0)</f>
        <v>0</v>
      </c>
      <c r="Y1052" s="626"/>
    </row>
    <row r="1053" spans="1:25" s="426" customFormat="1" ht="12.75" x14ac:dyDescent="0.2">
      <c r="B1053" s="615"/>
      <c r="C1053" s="793"/>
      <c r="Y1053" s="626"/>
    </row>
    <row r="1054" spans="1:25" s="426" customFormat="1" ht="12.75" x14ac:dyDescent="0.2">
      <c r="B1054" s="615"/>
      <c r="C1054" s="793"/>
      <c r="Y1054" s="626"/>
    </row>
    <row r="1055" spans="1:25" s="426" customFormat="1" ht="12.75" x14ac:dyDescent="0.2">
      <c r="B1055" s="615"/>
      <c r="Y1055" s="626"/>
    </row>
    <row r="1056" spans="1:25" s="426" customFormat="1" ht="12.75" x14ac:dyDescent="0.2">
      <c r="B1056" s="615" t="s">
        <v>835</v>
      </c>
      <c r="C1056" s="637">
        <v>1</v>
      </c>
      <c r="Y1056" s="626"/>
    </row>
    <row r="1057" spans="1:25" s="426" customFormat="1" ht="13.5" thickBot="1" x14ac:dyDescent="0.25">
      <c r="B1057" s="615"/>
      <c r="Y1057" s="626"/>
    </row>
    <row r="1058" spans="1:25" s="426" customFormat="1" ht="13.5" thickBot="1" x14ac:dyDescent="0.25">
      <c r="B1058" s="791" t="s">
        <v>836</v>
      </c>
      <c r="C1058" s="801">
        <f>'Pallet en transport'!D155</f>
        <v>4</v>
      </c>
      <c r="Y1058" s="626"/>
    </row>
    <row r="1059" spans="1:25" s="426" customFormat="1" ht="12.75" x14ac:dyDescent="0.2">
      <c r="B1059" s="615"/>
      <c r="Y1059" s="626"/>
    </row>
    <row r="1060" spans="1:25" s="426" customFormat="1" ht="12.75" x14ac:dyDescent="0.2">
      <c r="B1060" s="615"/>
      <c r="Y1060" s="626"/>
    </row>
    <row r="1061" spans="1:25" s="426" customFormat="1" ht="12.75" x14ac:dyDescent="0.2">
      <c r="B1061" s="615" t="s">
        <v>669</v>
      </c>
      <c r="C1061" s="634">
        <f>C931</f>
        <v>0</v>
      </c>
      <c r="Y1061" s="626"/>
    </row>
    <row r="1062" spans="1:25" s="426" customFormat="1" ht="12.75" x14ac:dyDescent="0.2">
      <c r="B1062" s="426" t="s">
        <v>818</v>
      </c>
      <c r="C1062" s="626">
        <f>C8/1000</f>
        <v>0.1</v>
      </c>
      <c r="D1062" s="426" t="s">
        <v>819</v>
      </c>
      <c r="Y1062" s="626"/>
    </row>
    <row r="1063" spans="1:25" s="426" customFormat="1" ht="13.5" thickBot="1" x14ac:dyDescent="0.25">
      <c r="B1063" s="615" t="s">
        <v>832</v>
      </c>
      <c r="C1063" s="921">
        <f>Tarieven!C16</f>
        <v>9.1200000000000003E-2</v>
      </c>
      <c r="Y1063" s="626"/>
    </row>
    <row r="1064" spans="1:25" s="426" customFormat="1" ht="13.5" thickBot="1" x14ac:dyDescent="0.25">
      <c r="B1064" s="791" t="s">
        <v>833</v>
      </c>
      <c r="C1064" s="792">
        <f>IF(C1061=1,C3*C1062*C1063,0)</f>
        <v>0</v>
      </c>
      <c r="Y1064" s="626"/>
    </row>
    <row r="1065" spans="1:25" s="426" customFormat="1" ht="12.75" x14ac:dyDescent="0.2">
      <c r="B1065" s="615"/>
      <c r="Y1065" s="626"/>
    </row>
    <row r="1066" spans="1:25" s="426" customFormat="1" ht="12.75" x14ac:dyDescent="0.2">
      <c r="B1066" s="615"/>
      <c r="Y1066" s="626"/>
    </row>
    <row r="1067" spans="1:25" s="430" customFormat="1" ht="12.75" x14ac:dyDescent="0.2">
      <c r="B1067" s="678"/>
      <c r="Y1067" s="651"/>
    </row>
    <row r="1068" spans="1:25" s="426" customFormat="1" ht="12.75" x14ac:dyDescent="0.2">
      <c r="B1068" s="615"/>
      <c r="Y1068" s="626"/>
    </row>
    <row r="1069" spans="1:25" s="426" customFormat="1" ht="15.75" thickBot="1" x14ac:dyDescent="0.3">
      <c r="A1069"/>
      <c r="B1069" t="s">
        <v>179</v>
      </c>
      <c r="C1069"/>
      <c r="D1069"/>
      <c r="E1069"/>
      <c r="F1069"/>
      <c r="G1069"/>
      <c r="H1069"/>
      <c r="I1069"/>
      <c r="J1069"/>
      <c r="Y1069" s="626"/>
    </row>
    <row r="1070" spans="1:25" s="426" customFormat="1" x14ac:dyDescent="0.25">
      <c r="A1070" s="217"/>
      <c r="B1070" s="1285" t="s">
        <v>152</v>
      </c>
      <c r="C1070" s="1286"/>
      <c r="D1070" s="1289"/>
      <c r="E1070" s="284" t="s">
        <v>157</v>
      </c>
      <c r="F1070" s="23" t="s">
        <v>531</v>
      </c>
      <c r="G1070" s="254" t="s">
        <v>532</v>
      </c>
      <c r="H1070" s="254" t="s">
        <v>601</v>
      </c>
      <c r="I1070" s="448" t="s">
        <v>730</v>
      </c>
      <c r="J1070" s="222" t="s">
        <v>178</v>
      </c>
      <c r="Y1070" s="626"/>
    </row>
    <row r="1071" spans="1:25" s="426" customFormat="1" x14ac:dyDescent="0.25">
      <c r="A1071" s="41"/>
      <c r="B1071" s="3" t="s">
        <v>150</v>
      </c>
      <c r="C1071" s="11" t="s">
        <v>151</v>
      </c>
      <c r="D1071" s="245" t="s">
        <v>153</v>
      </c>
      <c r="E1071" s="254">
        <f>VLOOKUP(1,50:70,39,FALSE)</f>
        <v>1</v>
      </c>
      <c r="F1071" s="23">
        <f>VLOOKUP(1,50:70,41,FALSE)</f>
        <v>0</v>
      </c>
      <c r="G1071" s="254">
        <f>VLOOKUP(1,50:70,42,FALSE)</f>
        <v>0</v>
      </c>
      <c r="H1071" s="254">
        <f>IF(SUM(C362:I362)=0,0,1)</f>
        <v>1</v>
      </c>
      <c r="I1071" s="522">
        <f>IF(AND(C1081&gt;0,C1083&gt;0,C1082&gt;0),1,0)</f>
        <v>1</v>
      </c>
      <c r="J1071" s="223">
        <v>6</v>
      </c>
      <c r="Y1071" s="626"/>
    </row>
    <row r="1072" spans="1:25" s="426" customFormat="1" x14ac:dyDescent="0.25">
      <c r="A1072" s="41" t="s">
        <v>9</v>
      </c>
      <c r="B1072" s="26">
        <f>VLOOKUP(1,50:70,33,FALSE)</f>
        <v>100</v>
      </c>
      <c r="C1072" s="12">
        <f>VLOOKUP(1,50:70,34,FALSE)</f>
        <v>2000</v>
      </c>
      <c r="D1072" s="246">
        <f>IF(AND(C6&gt;=B1072,C6&lt;=C1072),1,0)</f>
        <v>1</v>
      </c>
      <c r="E1072" s="285"/>
      <c r="F1072"/>
      <c r="G1072" s="285"/>
      <c r="H1072" s="285"/>
      <c r="I1072" s="475"/>
      <c r="J1072" s="224"/>
      <c r="Y1072" s="626"/>
    </row>
    <row r="1073" spans="1:25" s="426" customFormat="1" x14ac:dyDescent="0.25">
      <c r="A1073" s="41" t="s">
        <v>18</v>
      </c>
      <c r="B1073" s="26">
        <f>VLOOKUP(1,50:70,35,FALSE)</f>
        <v>70</v>
      </c>
      <c r="C1073" s="12">
        <f>VLOOKUP(1,50:70,36,FALSE)</f>
        <v>1000</v>
      </c>
      <c r="D1073" s="246">
        <f>IF(AND(C7&gt;=B1073,C7&lt;=C1073),1,0)</f>
        <v>1</v>
      </c>
      <c r="E1073" s="285"/>
      <c r="F1073"/>
      <c r="G1073" s="285"/>
      <c r="H1073" s="285"/>
      <c r="I1073" s="475"/>
      <c r="J1073" s="224"/>
      <c r="Y1073" s="626"/>
    </row>
    <row r="1074" spans="1:25" s="426" customFormat="1" ht="15.75" thickBot="1" x14ac:dyDescent="0.3">
      <c r="A1074" s="41" t="s">
        <v>11</v>
      </c>
      <c r="B1074" s="18">
        <f>VLOOKUP(1,50:70,37,FALSE)</f>
        <v>37</v>
      </c>
      <c r="C1074" s="13">
        <f>VLOOKUP(1,50:70,38,FALSE)</f>
        <v>1200</v>
      </c>
      <c r="D1074" s="247">
        <f>IF(AND(C8&gt;=B1074,C8&lt;=C1074),1,IF(C2=B50,1,0))</f>
        <v>1</v>
      </c>
      <c r="E1074" s="257"/>
      <c r="F1074"/>
      <c r="G1074" s="285"/>
      <c r="H1074" s="285"/>
      <c r="I1074" s="482"/>
      <c r="J1074" s="224"/>
      <c r="Y1074" s="626"/>
    </row>
    <row r="1075" spans="1:25" s="426" customFormat="1" ht="15.75" thickBot="1" x14ac:dyDescent="0.3">
      <c r="A1075" s="217"/>
      <c r="B1075" s="208" t="s">
        <v>177</v>
      </c>
      <c r="C1075" s="23"/>
      <c r="D1075" s="241">
        <f>IF(SUM(D1072:D1074)=3,1,0)</f>
        <v>1</v>
      </c>
      <c r="E1075" s="254">
        <f>IF(E1071=0,1,IF(AND(E1071=1,C6&gt;=C7),1,IF(AND(E1071=1,C6&lt;C7),0)))</f>
        <v>1</v>
      </c>
      <c r="F1075" s="23">
        <f>IF(F1071=0,1,IF(AND(F1071=1,C8&gt;C6),0,1))</f>
        <v>1</v>
      </c>
      <c r="G1075" s="254">
        <f>IF(G1071=0,1,IF(AND(G1071=1,C6&lt;(2*C7)),0,1))</f>
        <v>1</v>
      </c>
      <c r="H1075" s="254">
        <f>H1071</f>
        <v>1</v>
      </c>
      <c r="I1075" s="522">
        <f>I1071</f>
        <v>1</v>
      </c>
      <c r="J1075" s="281">
        <f>IF(SUM(D1075:I1075)=J1071,1,0)</f>
        <v>1</v>
      </c>
      <c r="Y1075" s="626"/>
    </row>
    <row r="1076" spans="1:25" s="426" customFormat="1" ht="12.75" x14ac:dyDescent="0.2">
      <c r="B1076" s="615"/>
      <c r="Y1076" s="626"/>
    </row>
    <row r="1077" spans="1:25" s="430" customFormat="1" ht="12.75" x14ac:dyDescent="0.2">
      <c r="B1077" s="678"/>
      <c r="Y1077" s="651"/>
    </row>
    <row r="1078" spans="1:25" s="426" customFormat="1" ht="12.75" x14ac:dyDescent="0.2">
      <c r="B1078" s="615"/>
      <c r="Y1078" s="626"/>
    </row>
    <row r="1079" spans="1:25" s="426" customFormat="1" ht="12.75" x14ac:dyDescent="0.2">
      <c r="B1079" s="615"/>
      <c r="Y1079" s="626"/>
    </row>
    <row r="1080" spans="1:25" s="426" customFormat="1" ht="12.75" x14ac:dyDescent="0.2">
      <c r="B1080" s="627" t="s">
        <v>646</v>
      </c>
      <c r="G1080" s="426" t="s">
        <v>1268</v>
      </c>
      <c r="H1080" s="1183"/>
      <c r="Y1080" s="626"/>
    </row>
    <row r="1081" spans="1:25" s="426" customFormat="1" ht="12.75" x14ac:dyDescent="0.2">
      <c r="B1081" s="615" t="s">
        <v>639</v>
      </c>
      <c r="C1081" s="1174">
        <f>K445</f>
        <v>97.281734168000014</v>
      </c>
      <c r="E1081" s="629">
        <f>C1081/$C$3</f>
        <v>0.24320433542000003</v>
      </c>
      <c r="F1081" s="426" t="s">
        <v>573</v>
      </c>
      <c r="G1081" s="669">
        <f>D1007</f>
        <v>0</v>
      </c>
      <c r="Y1081" s="626"/>
    </row>
    <row r="1082" spans="1:25" s="426" customFormat="1" ht="12.75" x14ac:dyDescent="0.2">
      <c r="B1082" s="615" t="s">
        <v>644</v>
      </c>
      <c r="C1082" s="1175">
        <f>D1048</f>
        <v>4</v>
      </c>
      <c r="E1082" s="629">
        <f t="shared" ref="E1082:E1085" si="224">C1082/$C$3</f>
        <v>0.01</v>
      </c>
      <c r="F1082" s="426" t="s">
        <v>570</v>
      </c>
      <c r="G1082" s="669">
        <f>D988</f>
        <v>0</v>
      </c>
      <c r="Y1082" s="626"/>
    </row>
    <row r="1083" spans="1:25" s="426" customFormat="1" ht="12.75" x14ac:dyDescent="0.2">
      <c r="B1083" s="615" t="s">
        <v>645</v>
      </c>
      <c r="C1083" s="1181">
        <f>D1007+D988+D972+D931+D896+D855+D795+D715+D629+D568+D500</f>
        <v>70</v>
      </c>
      <c r="D1083" s="669"/>
      <c r="E1083" s="629">
        <f t="shared" si="224"/>
        <v>0.17499999999999999</v>
      </c>
      <c r="F1083" s="426" t="s">
        <v>1269</v>
      </c>
      <c r="G1083" s="669">
        <f>D972</f>
        <v>0</v>
      </c>
      <c r="Y1083" s="626"/>
    </row>
    <row r="1084" spans="1:25" s="426" customFormat="1" ht="13.5" thickBot="1" x14ac:dyDescent="0.25">
      <c r="B1084" s="615" t="s">
        <v>641</v>
      </c>
      <c r="C1084" s="630">
        <f>Tarieven!C13</f>
        <v>20</v>
      </c>
      <c r="E1084" s="632">
        <f t="shared" si="224"/>
        <v>0.05</v>
      </c>
      <c r="F1084" s="426" t="s">
        <v>190</v>
      </c>
      <c r="G1084" s="669">
        <f>D931</f>
        <v>0</v>
      </c>
      <c r="Y1084" s="626"/>
    </row>
    <row r="1085" spans="1:25" s="426" customFormat="1" ht="13.5" thickBot="1" x14ac:dyDescent="0.25">
      <c r="B1085" s="615" t="s">
        <v>649</v>
      </c>
      <c r="C1085" s="631">
        <f>SUM(C1081:C1084)</f>
        <v>191.28173416800001</v>
      </c>
      <c r="E1085" s="631">
        <f t="shared" si="224"/>
        <v>0.47820433542000002</v>
      </c>
      <c r="F1085" s="426" t="s">
        <v>1270</v>
      </c>
      <c r="G1085" s="669">
        <f>D896</f>
        <v>0</v>
      </c>
      <c r="Y1085" s="626"/>
    </row>
    <row r="1086" spans="1:25" s="426" customFormat="1" ht="12.75" x14ac:dyDescent="0.2">
      <c r="B1086" s="615"/>
      <c r="F1086" s="426" t="s">
        <v>1271</v>
      </c>
      <c r="G1086" s="669">
        <f>D855</f>
        <v>0</v>
      </c>
      <c r="Y1086" s="626"/>
    </row>
    <row r="1087" spans="1:25" s="426" customFormat="1" ht="12.75" x14ac:dyDescent="0.2">
      <c r="B1087" s="615" t="s">
        <v>648</v>
      </c>
      <c r="C1087" s="629">
        <f>L445</f>
        <v>3.8912693667200005</v>
      </c>
      <c r="E1087" s="629">
        <f>C1087/$C$3</f>
        <v>9.7281734168000004E-3</v>
      </c>
      <c r="F1087" s="426" t="s">
        <v>1272</v>
      </c>
      <c r="G1087" s="669">
        <f>D795</f>
        <v>0</v>
      </c>
      <c r="Y1087" s="626"/>
    </row>
    <row r="1088" spans="1:25" s="426" customFormat="1" ht="13.5" thickBot="1" x14ac:dyDescent="0.25">
      <c r="B1088" s="615" t="s">
        <v>643</v>
      </c>
      <c r="C1088" s="632">
        <f>'Marge tabel'!O73</f>
        <v>18.171764745960001</v>
      </c>
      <c r="E1088" s="632">
        <f t="shared" ref="E1088:E1093" si="225">C1088/$C$3</f>
        <v>4.5429411864900002E-2</v>
      </c>
      <c r="F1088" s="426" t="s">
        <v>1273</v>
      </c>
      <c r="G1088" s="669">
        <f>D629</f>
        <v>0</v>
      </c>
      <c r="Y1088" s="626"/>
    </row>
    <row r="1089" spans="2:25" s="426" customFormat="1" ht="13.5" thickBot="1" x14ac:dyDescent="0.25">
      <c r="B1089" s="615" t="s">
        <v>647</v>
      </c>
      <c r="C1089" s="631">
        <f>SUM(C1087:C1088)</f>
        <v>22.06303411268</v>
      </c>
      <c r="E1089" s="631">
        <f t="shared" si="225"/>
        <v>5.5157585281699999E-2</v>
      </c>
      <c r="F1089" s="426" t="s">
        <v>1274</v>
      </c>
      <c r="G1089" s="669">
        <f>D568</f>
        <v>0</v>
      </c>
      <c r="Y1089" s="626"/>
    </row>
    <row r="1090" spans="2:25" s="426" customFormat="1" ht="13.5" thickBot="1" x14ac:dyDescent="0.25">
      <c r="B1090" s="615"/>
      <c r="F1090" s="426" t="s">
        <v>1275</v>
      </c>
      <c r="G1090" s="669">
        <f>D500</f>
        <v>0</v>
      </c>
      <c r="Y1090" s="626"/>
    </row>
    <row r="1091" spans="2:25" s="426" customFormat="1" ht="13.5" thickBot="1" x14ac:dyDescent="0.25">
      <c r="B1091" s="615" t="s">
        <v>642</v>
      </c>
      <c r="C1091" s="906">
        <f>'Pallet en transport'!E194</f>
        <v>75.320850000000007</v>
      </c>
      <c r="E1091" s="631">
        <f t="shared" si="225"/>
        <v>0.18830212500000001</v>
      </c>
      <c r="F1091" s="426" t="s">
        <v>1276</v>
      </c>
      <c r="G1091" s="669">
        <f>D715</f>
        <v>70</v>
      </c>
      <c r="Y1091" s="626"/>
    </row>
    <row r="1092" spans="2:25" s="426" customFormat="1" ht="13.5" thickBot="1" x14ac:dyDescent="0.25">
      <c r="B1092" s="615"/>
      <c r="G1092" s="669"/>
      <c r="Y1092" s="626"/>
    </row>
    <row r="1093" spans="2:25" s="426" customFormat="1" ht="13.5" thickBot="1" x14ac:dyDescent="0.25">
      <c r="B1093" s="615" t="s">
        <v>650</v>
      </c>
      <c r="C1093" s="631">
        <f>SUM(C1091+C1089+C1085)</f>
        <v>288.66561828068001</v>
      </c>
      <c r="E1093" s="631">
        <f t="shared" si="225"/>
        <v>0.72166404570170006</v>
      </c>
      <c r="Y1093" s="626"/>
    </row>
    <row r="1094" spans="2:25" s="426" customFormat="1" ht="13.5" thickBot="1" x14ac:dyDescent="0.25">
      <c r="B1094" s="615" t="s">
        <v>651</v>
      </c>
      <c r="C1094" s="820">
        <f>((C1093/C3)*J1075)+C1096</f>
        <v>0.72166404570170006</v>
      </c>
      <c r="E1094" s="957"/>
      <c r="Y1094" s="626"/>
    </row>
    <row r="1095" spans="2:25" s="426" customFormat="1" ht="12.75" x14ac:dyDescent="0.2">
      <c r="B1095" s="615"/>
      <c r="Y1095" s="626"/>
    </row>
    <row r="1096" spans="2:25" s="426" customFormat="1" ht="12.75" x14ac:dyDescent="0.2">
      <c r="B1096" s="615" t="s">
        <v>1527</v>
      </c>
      <c r="C1096" s="669">
        <f>Digitaaldruk!G40</f>
        <v>0</v>
      </c>
      <c r="Y1096" s="626"/>
    </row>
    <row r="1097" spans="2:25" s="426" customFormat="1" ht="12.75" x14ac:dyDescent="0.2">
      <c r="B1097" s="615"/>
      <c r="Y1097" s="626"/>
    </row>
    <row r="1098" spans="2:25" s="426" customFormat="1" ht="12.75" x14ac:dyDescent="0.2">
      <c r="B1098" s="615"/>
      <c r="Y1098" s="626"/>
    </row>
    <row r="1099" spans="2:25" s="426" customFormat="1" ht="12.75" x14ac:dyDescent="0.2">
      <c r="B1099" s="615"/>
      <c r="Y1099" s="626"/>
    </row>
    <row r="1100" spans="2:25" s="426" customFormat="1" ht="12.75" x14ac:dyDescent="0.2">
      <c r="B1100" s="615"/>
      <c r="Y1100" s="626"/>
    </row>
    <row r="1101" spans="2:25" s="426" customFormat="1" ht="12.75" x14ac:dyDescent="0.2">
      <c r="B1101" s="615"/>
      <c r="Y1101" s="626"/>
    </row>
    <row r="1102" spans="2:25" s="426" customFormat="1" ht="12.75" x14ac:dyDescent="0.2">
      <c r="B1102" s="615"/>
      <c r="Y1102" s="626"/>
    </row>
    <row r="1103" spans="2:25" s="426" customFormat="1" ht="12.75" x14ac:dyDescent="0.2">
      <c r="B1103" s="615"/>
      <c r="Y1103" s="626"/>
    </row>
    <row r="1104" spans="2:25" s="426" customFormat="1" ht="12.75" x14ac:dyDescent="0.2">
      <c r="B1104" s="615"/>
      <c r="Y1104" s="626"/>
    </row>
    <row r="1105" spans="2:25" s="426" customFormat="1" ht="12.75" x14ac:dyDescent="0.2">
      <c r="B1105" s="615"/>
      <c r="Y1105" s="626"/>
    </row>
    <row r="1106" spans="2:25" s="426" customFormat="1" ht="12.75" x14ac:dyDescent="0.2">
      <c r="B1106" s="615"/>
      <c r="Y1106" s="626"/>
    </row>
    <row r="1107" spans="2:25" s="426" customFormat="1" ht="12.75" x14ac:dyDescent="0.2">
      <c r="B1107" s="615"/>
      <c r="Y1107" s="626"/>
    </row>
    <row r="1108" spans="2:25" s="426" customFormat="1" ht="12.75" x14ac:dyDescent="0.2">
      <c r="B1108" s="615"/>
      <c r="Y1108" s="626"/>
    </row>
    <row r="1109" spans="2:25" s="426" customFormat="1" ht="12.75" x14ac:dyDescent="0.2">
      <c r="B1109" s="615"/>
      <c r="Y1109" s="626"/>
    </row>
    <row r="1110" spans="2:25" s="426" customFormat="1" ht="12.75" x14ac:dyDescent="0.2">
      <c r="B1110" s="615"/>
      <c r="Y1110" s="626"/>
    </row>
    <row r="1111" spans="2:25" s="426" customFormat="1" ht="12.75" x14ac:dyDescent="0.2">
      <c r="B1111" s="615"/>
      <c r="Y1111" s="626"/>
    </row>
    <row r="1112" spans="2:25" s="426" customFormat="1" ht="12.75" x14ac:dyDescent="0.2">
      <c r="B1112" s="615"/>
      <c r="Y1112" s="626"/>
    </row>
    <row r="1113" spans="2:25" s="426" customFormat="1" ht="12.75" x14ac:dyDescent="0.2">
      <c r="B1113" s="615"/>
      <c r="Y1113" s="626"/>
    </row>
    <row r="1114" spans="2:25" s="426" customFormat="1" ht="12.75" x14ac:dyDescent="0.2">
      <c r="B1114" s="615"/>
      <c r="Y1114" s="626"/>
    </row>
    <row r="1115" spans="2:25" s="426" customFormat="1" ht="12.75" x14ac:dyDescent="0.2">
      <c r="B1115" s="615"/>
      <c r="Y1115" s="626"/>
    </row>
    <row r="1116" spans="2:25" s="426" customFormat="1" ht="12.75" x14ac:dyDescent="0.2">
      <c r="B1116" s="615"/>
      <c r="Y1116" s="626"/>
    </row>
    <row r="1117" spans="2:25" s="426" customFormat="1" ht="12.75" x14ac:dyDescent="0.2">
      <c r="B1117" s="615"/>
      <c r="Y1117" s="626"/>
    </row>
    <row r="1118" spans="2:25" s="426" customFormat="1" ht="12.75" x14ac:dyDescent="0.2">
      <c r="B1118" s="615"/>
      <c r="Y1118" s="626"/>
    </row>
    <row r="1119" spans="2:25" s="426" customFormat="1" ht="12.75" x14ac:dyDescent="0.2">
      <c r="B1119" s="615"/>
      <c r="Y1119" s="626"/>
    </row>
    <row r="1120" spans="2:25" s="426" customFormat="1" ht="12.75" x14ac:dyDescent="0.2">
      <c r="B1120" s="615"/>
      <c r="Y1120" s="626"/>
    </row>
    <row r="1121" spans="2:25" s="426" customFormat="1" ht="12.75" x14ac:dyDescent="0.2">
      <c r="B1121" s="615"/>
      <c r="Y1121" s="626"/>
    </row>
    <row r="1122" spans="2:25" s="426" customFormat="1" ht="12.75" x14ac:dyDescent="0.2">
      <c r="B1122" s="615"/>
      <c r="Y1122" s="626"/>
    </row>
    <row r="1123" spans="2:25" s="426" customFormat="1" ht="12.75" x14ac:dyDescent="0.2">
      <c r="B1123" s="615"/>
      <c r="Y1123" s="626"/>
    </row>
    <row r="1124" spans="2:25" s="426" customFormat="1" ht="12.75" x14ac:dyDescent="0.2">
      <c r="B1124" s="615"/>
      <c r="Y1124" s="626"/>
    </row>
    <row r="1125" spans="2:25" s="426" customFormat="1" ht="12.75" x14ac:dyDescent="0.2">
      <c r="B1125" s="615"/>
      <c r="Y1125" s="626"/>
    </row>
    <row r="1126" spans="2:25" s="426" customFormat="1" ht="12.75" x14ac:dyDescent="0.2">
      <c r="B1126" s="615"/>
      <c r="Y1126" s="626"/>
    </row>
    <row r="1127" spans="2:25" s="426" customFormat="1" ht="12.75" x14ac:dyDescent="0.2">
      <c r="B1127" s="615"/>
      <c r="Y1127" s="626"/>
    </row>
    <row r="1128" spans="2:25" s="426" customFormat="1" ht="12.75" x14ac:dyDescent="0.2">
      <c r="B1128" s="615"/>
      <c r="Y1128" s="626"/>
    </row>
    <row r="1129" spans="2:25" s="426" customFormat="1" ht="12.75" x14ac:dyDescent="0.2">
      <c r="B1129" s="615"/>
      <c r="Y1129" s="626"/>
    </row>
    <row r="1130" spans="2:25" s="426" customFormat="1" ht="12.75" x14ac:dyDescent="0.2">
      <c r="B1130" s="615"/>
      <c r="Y1130" s="626"/>
    </row>
    <row r="1131" spans="2:25" s="426" customFormat="1" ht="12.75" x14ac:dyDescent="0.2">
      <c r="B1131" s="615"/>
      <c r="Y1131" s="626"/>
    </row>
    <row r="1132" spans="2:25" s="426" customFormat="1" ht="12.75" x14ac:dyDescent="0.2">
      <c r="B1132" s="615"/>
      <c r="Y1132" s="626"/>
    </row>
    <row r="1133" spans="2:25" s="426" customFormat="1" ht="12.75" x14ac:dyDescent="0.2">
      <c r="B1133" s="615"/>
      <c r="Y1133" s="626"/>
    </row>
    <row r="1134" spans="2:25" s="426" customFormat="1" ht="12.75" x14ac:dyDescent="0.2">
      <c r="B1134" s="615"/>
      <c r="Y1134" s="626"/>
    </row>
    <row r="1135" spans="2:25" s="426" customFormat="1" ht="12.75" x14ac:dyDescent="0.2">
      <c r="B1135" s="615"/>
      <c r="Y1135" s="626"/>
    </row>
    <row r="1136" spans="2:25" s="426" customFormat="1" ht="12.75" x14ac:dyDescent="0.2">
      <c r="B1136" s="615"/>
      <c r="Y1136" s="626"/>
    </row>
    <row r="1137" spans="2:25" s="426" customFormat="1" ht="12.75" x14ac:dyDescent="0.2">
      <c r="B1137" s="615"/>
      <c r="Y1137" s="626"/>
    </row>
    <row r="1138" spans="2:25" s="426" customFormat="1" ht="12.75" x14ac:dyDescent="0.2">
      <c r="B1138" s="615"/>
      <c r="Y1138" s="626"/>
    </row>
    <row r="1139" spans="2:25" s="426" customFormat="1" ht="12.75" x14ac:dyDescent="0.2">
      <c r="B1139" s="615"/>
      <c r="Y1139" s="626"/>
    </row>
    <row r="1140" spans="2:25" s="426" customFormat="1" ht="12.75" x14ac:dyDescent="0.2">
      <c r="B1140" s="615"/>
      <c r="Y1140" s="626"/>
    </row>
    <row r="1141" spans="2:25" s="426" customFormat="1" ht="12.75" x14ac:dyDescent="0.2">
      <c r="B1141" s="615"/>
      <c r="Y1141" s="626"/>
    </row>
    <row r="1142" spans="2:25" s="426" customFormat="1" ht="12.75" x14ac:dyDescent="0.2">
      <c r="B1142" s="615"/>
      <c r="Y1142" s="626"/>
    </row>
    <row r="1143" spans="2:25" s="426" customFormat="1" ht="12.75" x14ac:dyDescent="0.2">
      <c r="B1143" s="615"/>
      <c r="Y1143" s="626"/>
    </row>
    <row r="1144" spans="2:25" s="426" customFormat="1" ht="12.75" x14ac:dyDescent="0.2">
      <c r="B1144" s="615"/>
      <c r="Y1144" s="626"/>
    </row>
    <row r="1145" spans="2:25" s="426" customFormat="1" ht="12.75" x14ac:dyDescent="0.2">
      <c r="B1145" s="615"/>
      <c r="Y1145" s="626"/>
    </row>
    <row r="1146" spans="2:25" s="426" customFormat="1" ht="12.75" x14ac:dyDescent="0.2">
      <c r="B1146" s="615"/>
      <c r="Y1146" s="626"/>
    </row>
    <row r="1147" spans="2:25" s="426" customFormat="1" ht="12.75" x14ac:dyDescent="0.2">
      <c r="B1147" s="615"/>
      <c r="Y1147" s="626"/>
    </row>
    <row r="1148" spans="2:25" s="426" customFormat="1" ht="12.75" x14ac:dyDescent="0.2">
      <c r="B1148" s="615"/>
      <c r="Y1148" s="626"/>
    </row>
    <row r="1149" spans="2:25" s="426" customFormat="1" ht="12.75" x14ac:dyDescent="0.2">
      <c r="B1149" s="615"/>
      <c r="Y1149" s="626"/>
    </row>
    <row r="1150" spans="2:25" s="426" customFormat="1" ht="12.75" x14ac:dyDescent="0.2">
      <c r="B1150" s="615"/>
      <c r="Y1150" s="626"/>
    </row>
    <row r="1151" spans="2:25" s="426" customFormat="1" ht="12.75" x14ac:dyDescent="0.2">
      <c r="B1151" s="615"/>
      <c r="Y1151" s="626"/>
    </row>
    <row r="1152" spans="2:25" s="426" customFormat="1" ht="12.75" x14ac:dyDescent="0.2">
      <c r="B1152" s="615"/>
      <c r="Y1152" s="626"/>
    </row>
    <row r="1153" spans="2:25" s="426" customFormat="1" ht="12.75" x14ac:dyDescent="0.2">
      <c r="B1153" s="615"/>
      <c r="Y1153" s="626"/>
    </row>
    <row r="1154" spans="2:25" s="426" customFormat="1" ht="12.75" x14ac:dyDescent="0.2">
      <c r="B1154" s="615"/>
      <c r="Y1154" s="626"/>
    </row>
    <row r="1155" spans="2:25" s="426" customFormat="1" ht="12.75" x14ac:dyDescent="0.2">
      <c r="B1155" s="615"/>
      <c r="Y1155" s="626"/>
    </row>
    <row r="1156" spans="2:25" s="426" customFormat="1" ht="12.75" x14ac:dyDescent="0.2">
      <c r="B1156" s="615"/>
      <c r="Y1156" s="626"/>
    </row>
    <row r="1157" spans="2:25" s="426" customFormat="1" ht="12.75" x14ac:dyDescent="0.2">
      <c r="B1157" s="615"/>
      <c r="Y1157" s="626"/>
    </row>
    <row r="1158" spans="2:25" s="426" customFormat="1" ht="12.75" x14ac:dyDescent="0.2">
      <c r="B1158" s="615"/>
      <c r="Y1158" s="626"/>
    </row>
    <row r="1159" spans="2:25" s="426" customFormat="1" ht="12.75" x14ac:dyDescent="0.2">
      <c r="B1159" s="615"/>
      <c r="Y1159" s="626"/>
    </row>
    <row r="1160" spans="2:25" s="426" customFormat="1" ht="12.75" x14ac:dyDescent="0.2">
      <c r="B1160" s="615"/>
      <c r="Y1160" s="626"/>
    </row>
    <row r="1161" spans="2:25" s="426" customFormat="1" ht="12.75" x14ac:dyDescent="0.2">
      <c r="B1161" s="615"/>
      <c r="Y1161" s="626"/>
    </row>
    <row r="1162" spans="2:25" s="426" customFormat="1" ht="12.75" x14ac:dyDescent="0.2">
      <c r="B1162" s="615"/>
      <c r="Y1162" s="626"/>
    </row>
    <row r="1163" spans="2:25" s="426" customFormat="1" ht="12.75" x14ac:dyDescent="0.2">
      <c r="B1163" s="615"/>
      <c r="Y1163" s="626"/>
    </row>
    <row r="1164" spans="2:25" s="426" customFormat="1" ht="12.75" x14ac:dyDescent="0.2">
      <c r="B1164" s="615"/>
      <c r="Y1164" s="626"/>
    </row>
    <row r="1165" spans="2:25" s="426" customFormat="1" ht="12.75" x14ac:dyDescent="0.2">
      <c r="B1165" s="615"/>
      <c r="Y1165" s="626"/>
    </row>
    <row r="1166" spans="2:25" s="426" customFormat="1" ht="12.75" x14ac:dyDescent="0.2">
      <c r="B1166" s="615"/>
      <c r="Y1166" s="626"/>
    </row>
    <row r="1167" spans="2:25" s="426" customFormat="1" ht="12.75" x14ac:dyDescent="0.2">
      <c r="B1167" s="615"/>
      <c r="Y1167" s="626"/>
    </row>
    <row r="1168" spans="2:25" s="426" customFormat="1" ht="12.75" x14ac:dyDescent="0.2">
      <c r="B1168" s="615"/>
      <c r="Y1168" s="626"/>
    </row>
    <row r="1169" spans="2:25" s="426" customFormat="1" ht="12.75" x14ac:dyDescent="0.2">
      <c r="B1169" s="615"/>
      <c r="Y1169" s="626"/>
    </row>
    <row r="1170" spans="2:25" s="426" customFormat="1" ht="12.75" x14ac:dyDescent="0.2">
      <c r="B1170" s="615"/>
      <c r="Y1170" s="626"/>
    </row>
    <row r="1171" spans="2:25" s="426" customFormat="1" ht="12.75" x14ac:dyDescent="0.2">
      <c r="B1171" s="615"/>
      <c r="Y1171" s="626"/>
    </row>
    <row r="1172" spans="2:25" s="426" customFormat="1" ht="12.75" x14ac:dyDescent="0.2">
      <c r="B1172" s="615"/>
      <c r="Y1172" s="626"/>
    </row>
    <row r="1173" spans="2:25" s="426" customFormat="1" ht="12.75" x14ac:dyDescent="0.2">
      <c r="B1173" s="615"/>
      <c r="Y1173" s="626"/>
    </row>
    <row r="1174" spans="2:25" s="426" customFormat="1" ht="12.75" x14ac:dyDescent="0.2">
      <c r="B1174" s="615"/>
      <c r="Y1174" s="626"/>
    </row>
    <row r="1175" spans="2:25" s="426" customFormat="1" ht="12.75" x14ac:dyDescent="0.2">
      <c r="B1175" s="615"/>
      <c r="Y1175" s="626"/>
    </row>
    <row r="1176" spans="2:25" s="426" customFormat="1" ht="12.75" x14ac:dyDescent="0.2">
      <c r="B1176" s="615"/>
      <c r="Y1176" s="626"/>
    </row>
    <row r="1177" spans="2:25" s="426" customFormat="1" ht="12.75" x14ac:dyDescent="0.2">
      <c r="B1177" s="615"/>
      <c r="Y1177" s="626"/>
    </row>
    <row r="1178" spans="2:25" s="426" customFormat="1" ht="12.75" x14ac:dyDescent="0.2">
      <c r="B1178" s="615"/>
      <c r="Y1178" s="626"/>
    </row>
    <row r="1179" spans="2:25" s="426" customFormat="1" ht="12.75" x14ac:dyDescent="0.2">
      <c r="B1179" s="615"/>
      <c r="Y1179" s="626"/>
    </row>
    <row r="1180" spans="2:25" s="426" customFormat="1" ht="12.75" x14ac:dyDescent="0.2">
      <c r="B1180" s="615"/>
      <c r="Y1180" s="626"/>
    </row>
    <row r="1181" spans="2:25" s="426" customFormat="1" ht="12.75" x14ac:dyDescent="0.2">
      <c r="B1181" s="615"/>
      <c r="Y1181" s="626"/>
    </row>
    <row r="1182" spans="2:25" s="426" customFormat="1" ht="12.75" x14ac:dyDescent="0.2">
      <c r="B1182" s="615"/>
      <c r="Y1182" s="626"/>
    </row>
    <row r="1183" spans="2:25" s="426" customFormat="1" ht="12.75" x14ac:dyDescent="0.2">
      <c r="B1183" s="615"/>
      <c r="Y1183" s="626"/>
    </row>
    <row r="1184" spans="2:25" s="426" customFormat="1" ht="12.75" x14ac:dyDescent="0.2">
      <c r="B1184" s="615"/>
      <c r="Y1184" s="626"/>
    </row>
    <row r="1185" spans="2:25" s="426" customFormat="1" ht="12.75" x14ac:dyDescent="0.2">
      <c r="B1185" s="615"/>
      <c r="Y1185" s="626"/>
    </row>
    <row r="1186" spans="2:25" s="426" customFormat="1" ht="12.75" x14ac:dyDescent="0.2">
      <c r="B1186" s="615"/>
      <c r="Y1186" s="626"/>
    </row>
    <row r="1187" spans="2:25" s="426" customFormat="1" ht="12.75" x14ac:dyDescent="0.2">
      <c r="B1187" s="615"/>
      <c r="Y1187" s="626"/>
    </row>
    <row r="1188" spans="2:25" s="426" customFormat="1" ht="12.75" x14ac:dyDescent="0.2">
      <c r="B1188" s="615"/>
      <c r="Y1188" s="626"/>
    </row>
    <row r="1189" spans="2:25" s="426" customFormat="1" ht="12.75" x14ac:dyDescent="0.2">
      <c r="B1189" s="615"/>
      <c r="Y1189" s="626"/>
    </row>
    <row r="1190" spans="2:25" s="426" customFormat="1" ht="12.75" x14ac:dyDescent="0.2">
      <c r="B1190" s="615"/>
      <c r="Y1190" s="626"/>
    </row>
    <row r="1191" spans="2:25" s="426" customFormat="1" ht="12.75" x14ac:dyDescent="0.2">
      <c r="B1191" s="615"/>
      <c r="Y1191" s="626"/>
    </row>
    <row r="1192" spans="2:25" s="426" customFormat="1" ht="12.75" x14ac:dyDescent="0.2">
      <c r="B1192" s="615"/>
      <c r="Y1192" s="626"/>
    </row>
    <row r="1193" spans="2:25" s="426" customFormat="1" ht="12.75" x14ac:dyDescent="0.2">
      <c r="B1193" s="615"/>
      <c r="Y1193" s="626"/>
    </row>
    <row r="1194" spans="2:25" s="426" customFormat="1" ht="12.75" x14ac:dyDescent="0.2">
      <c r="B1194" s="615"/>
      <c r="Y1194" s="626"/>
    </row>
    <row r="1195" spans="2:25" s="426" customFormat="1" ht="12.75" x14ac:dyDescent="0.2">
      <c r="B1195" s="615"/>
      <c r="Y1195" s="626"/>
    </row>
    <row r="1196" spans="2:25" s="426" customFormat="1" ht="12.75" x14ac:dyDescent="0.2">
      <c r="B1196" s="615"/>
      <c r="Y1196" s="626"/>
    </row>
    <row r="1197" spans="2:25" s="426" customFormat="1" ht="12.75" x14ac:dyDescent="0.2">
      <c r="B1197" s="615"/>
      <c r="Y1197" s="626"/>
    </row>
    <row r="1198" spans="2:25" s="426" customFormat="1" ht="12.75" x14ac:dyDescent="0.2">
      <c r="B1198" s="615"/>
      <c r="Y1198" s="626"/>
    </row>
    <row r="1199" spans="2:25" s="426" customFormat="1" ht="12.75" x14ac:dyDescent="0.2">
      <c r="B1199" s="615"/>
      <c r="Y1199" s="626"/>
    </row>
    <row r="1200" spans="2:25" s="426" customFormat="1" ht="12.75" x14ac:dyDescent="0.2">
      <c r="B1200" s="615"/>
      <c r="Y1200" s="626"/>
    </row>
    <row r="1201" spans="2:25" s="426" customFormat="1" ht="12.75" x14ac:dyDescent="0.2">
      <c r="B1201" s="615"/>
      <c r="Y1201" s="626"/>
    </row>
    <row r="1202" spans="2:25" s="426" customFormat="1" ht="12.75" x14ac:dyDescent="0.2">
      <c r="B1202" s="615"/>
      <c r="Y1202" s="626"/>
    </row>
    <row r="1203" spans="2:25" s="426" customFormat="1" ht="12.75" x14ac:dyDescent="0.2">
      <c r="B1203" s="615"/>
      <c r="Y1203" s="626"/>
    </row>
    <row r="1204" spans="2:25" s="426" customFormat="1" ht="12.75" x14ac:dyDescent="0.2">
      <c r="B1204" s="615"/>
      <c r="Y1204" s="626"/>
    </row>
    <row r="1205" spans="2:25" s="426" customFormat="1" ht="12.75" x14ac:dyDescent="0.2">
      <c r="B1205" s="615"/>
      <c r="Y1205" s="626"/>
    </row>
    <row r="1206" spans="2:25" s="426" customFormat="1" ht="12.75" x14ac:dyDescent="0.2">
      <c r="B1206" s="615"/>
      <c r="Y1206" s="626"/>
    </row>
    <row r="1207" spans="2:25" s="426" customFormat="1" ht="12.75" x14ac:dyDescent="0.2">
      <c r="B1207" s="615"/>
      <c r="Y1207" s="626"/>
    </row>
    <row r="1208" spans="2:25" s="426" customFormat="1" ht="12.75" x14ac:dyDescent="0.2">
      <c r="B1208" s="615"/>
      <c r="Y1208" s="626"/>
    </row>
    <row r="1209" spans="2:25" s="426" customFormat="1" ht="12.75" x14ac:dyDescent="0.2">
      <c r="B1209" s="615"/>
      <c r="Y1209" s="626"/>
    </row>
    <row r="1210" spans="2:25" s="426" customFormat="1" ht="12.75" x14ac:dyDescent="0.2">
      <c r="B1210" s="615"/>
      <c r="Y1210" s="626"/>
    </row>
    <row r="1211" spans="2:25" s="426" customFormat="1" ht="12.75" x14ac:dyDescent="0.2">
      <c r="B1211" s="615"/>
      <c r="Y1211" s="626"/>
    </row>
    <row r="1212" spans="2:25" s="426" customFormat="1" ht="12.75" x14ac:dyDescent="0.2">
      <c r="B1212" s="615"/>
      <c r="Y1212" s="626"/>
    </row>
    <row r="1213" spans="2:25" s="426" customFormat="1" ht="12.75" x14ac:dyDescent="0.2">
      <c r="B1213" s="615"/>
      <c r="Y1213" s="626"/>
    </row>
    <row r="1214" spans="2:25" s="426" customFormat="1" ht="12.75" x14ac:dyDescent="0.2">
      <c r="B1214" s="615"/>
      <c r="Y1214" s="626"/>
    </row>
    <row r="1215" spans="2:25" s="426" customFormat="1" ht="12.75" x14ac:dyDescent="0.2">
      <c r="B1215" s="615"/>
      <c r="Y1215" s="626"/>
    </row>
    <row r="1216" spans="2:25" s="426" customFormat="1" ht="12.75" x14ac:dyDescent="0.2">
      <c r="B1216" s="615"/>
      <c r="Y1216" s="626"/>
    </row>
    <row r="1217" spans="2:25" s="426" customFormat="1" ht="12.75" x14ac:dyDescent="0.2">
      <c r="B1217" s="615"/>
      <c r="Y1217" s="626"/>
    </row>
    <row r="1218" spans="2:25" s="426" customFormat="1" ht="12.75" x14ac:dyDescent="0.2">
      <c r="B1218" s="615"/>
      <c r="Y1218" s="626"/>
    </row>
    <row r="1219" spans="2:25" s="426" customFormat="1" ht="12.75" x14ac:dyDescent="0.2">
      <c r="B1219" s="615"/>
      <c r="Y1219" s="626"/>
    </row>
    <row r="1220" spans="2:25" s="426" customFormat="1" ht="12.75" x14ac:dyDescent="0.2">
      <c r="B1220" s="615"/>
      <c r="Y1220" s="626"/>
    </row>
    <row r="1221" spans="2:25" s="426" customFormat="1" ht="12.75" x14ac:dyDescent="0.2">
      <c r="B1221" s="615"/>
      <c r="Y1221" s="626"/>
    </row>
    <row r="1222" spans="2:25" s="426" customFormat="1" ht="12.75" x14ac:dyDescent="0.2">
      <c r="B1222" s="615"/>
      <c r="Y1222" s="626"/>
    </row>
    <row r="1223" spans="2:25" s="426" customFormat="1" ht="12.75" x14ac:dyDescent="0.2">
      <c r="B1223" s="615"/>
      <c r="Y1223" s="626"/>
    </row>
    <row r="1224" spans="2:25" s="426" customFormat="1" ht="12.75" x14ac:dyDescent="0.2">
      <c r="B1224" s="615"/>
      <c r="Y1224" s="626"/>
    </row>
    <row r="1225" spans="2:25" s="426" customFormat="1" ht="12.75" x14ac:dyDescent="0.2">
      <c r="B1225" s="615"/>
      <c r="Y1225" s="626"/>
    </row>
    <row r="1226" spans="2:25" s="426" customFormat="1" ht="12.75" x14ac:dyDescent="0.2">
      <c r="B1226" s="615"/>
      <c r="Y1226" s="626"/>
    </row>
    <row r="1227" spans="2:25" s="426" customFormat="1" ht="12.75" x14ac:dyDescent="0.2">
      <c r="B1227" s="615"/>
      <c r="Y1227" s="626"/>
    </row>
    <row r="1228" spans="2:25" s="426" customFormat="1" ht="12.75" x14ac:dyDescent="0.2">
      <c r="B1228" s="615"/>
      <c r="Y1228" s="626"/>
    </row>
    <row r="1229" spans="2:25" s="426" customFormat="1" ht="12.75" x14ac:dyDescent="0.2">
      <c r="B1229" s="615"/>
      <c r="Y1229" s="626"/>
    </row>
    <row r="1230" spans="2:25" s="426" customFormat="1" ht="12.75" x14ac:dyDescent="0.2">
      <c r="B1230" s="615"/>
      <c r="Y1230" s="626"/>
    </row>
    <row r="1231" spans="2:25" s="426" customFormat="1" ht="12.75" x14ac:dyDescent="0.2">
      <c r="B1231" s="615"/>
      <c r="Y1231" s="626"/>
    </row>
    <row r="1232" spans="2:25" s="426" customFormat="1" ht="12.75" x14ac:dyDescent="0.2">
      <c r="B1232" s="615"/>
      <c r="Y1232" s="626"/>
    </row>
    <row r="1233" spans="2:25" s="426" customFormat="1" ht="12.75" x14ac:dyDescent="0.2">
      <c r="B1233" s="615"/>
      <c r="Y1233" s="626"/>
    </row>
    <row r="1234" spans="2:25" s="426" customFormat="1" ht="12.75" x14ac:dyDescent="0.2">
      <c r="B1234" s="615"/>
      <c r="Y1234" s="626"/>
    </row>
    <row r="1235" spans="2:25" s="426" customFormat="1" ht="12.75" x14ac:dyDescent="0.2">
      <c r="B1235" s="615"/>
      <c r="Y1235" s="626"/>
    </row>
    <row r="1236" spans="2:25" s="426" customFormat="1" ht="12.75" x14ac:dyDescent="0.2">
      <c r="B1236" s="615"/>
      <c r="Y1236" s="626"/>
    </row>
    <row r="1237" spans="2:25" s="426" customFormat="1" ht="12.75" x14ac:dyDescent="0.2">
      <c r="B1237" s="615"/>
      <c r="Y1237" s="626"/>
    </row>
    <row r="1238" spans="2:25" s="426" customFormat="1" ht="12.75" x14ac:dyDescent="0.2">
      <c r="B1238" s="615"/>
      <c r="Y1238" s="626"/>
    </row>
    <row r="1239" spans="2:25" s="426" customFormat="1" ht="12.75" x14ac:dyDescent="0.2">
      <c r="B1239" s="615"/>
      <c r="Y1239" s="626"/>
    </row>
    <row r="1240" spans="2:25" s="426" customFormat="1" ht="12.75" x14ac:dyDescent="0.2">
      <c r="B1240" s="615"/>
      <c r="Y1240" s="626"/>
    </row>
    <row r="1241" spans="2:25" s="426" customFormat="1" ht="12.75" x14ac:dyDescent="0.2">
      <c r="B1241" s="615"/>
      <c r="Y1241" s="626"/>
    </row>
    <row r="1242" spans="2:25" s="426" customFormat="1" ht="12.75" x14ac:dyDescent="0.2">
      <c r="B1242" s="615"/>
      <c r="Y1242" s="626"/>
    </row>
    <row r="1243" spans="2:25" s="426" customFormat="1" ht="12.75" x14ac:dyDescent="0.2">
      <c r="B1243" s="615"/>
      <c r="Y1243" s="626"/>
    </row>
    <row r="1244" spans="2:25" s="426" customFormat="1" ht="12.75" x14ac:dyDescent="0.2">
      <c r="B1244" s="615"/>
      <c r="Y1244" s="626"/>
    </row>
    <row r="1245" spans="2:25" s="426" customFormat="1" ht="12.75" x14ac:dyDescent="0.2">
      <c r="B1245" s="615"/>
      <c r="Y1245" s="626"/>
    </row>
    <row r="1246" spans="2:25" s="426" customFormat="1" ht="12.75" x14ac:dyDescent="0.2">
      <c r="B1246" s="615"/>
      <c r="Y1246" s="626"/>
    </row>
    <row r="1247" spans="2:25" s="426" customFormat="1" ht="12.75" x14ac:dyDescent="0.2">
      <c r="B1247" s="615"/>
      <c r="Y1247" s="626"/>
    </row>
    <row r="1248" spans="2:25" s="426" customFormat="1" ht="12.75" x14ac:dyDescent="0.2">
      <c r="B1248" s="615"/>
      <c r="Y1248" s="626"/>
    </row>
    <row r="1249" spans="2:25" s="426" customFormat="1" ht="12.75" x14ac:dyDescent="0.2">
      <c r="B1249" s="615"/>
      <c r="Y1249" s="626"/>
    </row>
    <row r="1250" spans="2:25" s="426" customFormat="1" ht="12.75" x14ac:dyDescent="0.2">
      <c r="B1250" s="615"/>
      <c r="Y1250" s="626"/>
    </row>
    <row r="1251" spans="2:25" s="426" customFormat="1" ht="12.75" x14ac:dyDescent="0.2">
      <c r="B1251" s="615"/>
      <c r="Y1251" s="626"/>
    </row>
    <row r="1252" spans="2:25" s="426" customFormat="1" ht="12.75" x14ac:dyDescent="0.2">
      <c r="B1252" s="615"/>
      <c r="Y1252" s="626"/>
    </row>
    <row r="1253" spans="2:25" s="426" customFormat="1" ht="12.75" x14ac:dyDescent="0.2">
      <c r="B1253" s="615"/>
      <c r="Y1253" s="626"/>
    </row>
    <row r="1254" spans="2:25" s="426" customFormat="1" ht="12.75" x14ac:dyDescent="0.2">
      <c r="B1254" s="615"/>
      <c r="Y1254" s="626"/>
    </row>
    <row r="1255" spans="2:25" s="426" customFormat="1" ht="12.75" x14ac:dyDescent="0.2">
      <c r="B1255" s="615"/>
      <c r="Y1255" s="626"/>
    </row>
    <row r="1256" spans="2:25" s="426" customFormat="1" ht="12.75" x14ac:dyDescent="0.2">
      <c r="B1256" s="615"/>
      <c r="Y1256" s="626"/>
    </row>
    <row r="1257" spans="2:25" s="426" customFormat="1" ht="12.75" x14ac:dyDescent="0.2">
      <c r="B1257" s="615"/>
      <c r="Y1257" s="626"/>
    </row>
    <row r="1258" spans="2:25" s="426" customFormat="1" ht="12.75" x14ac:dyDescent="0.2">
      <c r="B1258" s="615"/>
      <c r="Y1258" s="626"/>
    </row>
    <row r="1259" spans="2:25" s="426" customFormat="1" ht="12.75" x14ac:dyDescent="0.2">
      <c r="B1259" s="615"/>
      <c r="Y1259" s="626"/>
    </row>
    <row r="1260" spans="2:25" s="426" customFormat="1" ht="12.75" x14ac:dyDescent="0.2">
      <c r="B1260" s="615"/>
      <c r="Y1260" s="626"/>
    </row>
    <row r="1261" spans="2:25" s="426" customFormat="1" ht="12.75" x14ac:dyDescent="0.2">
      <c r="B1261" s="615"/>
      <c r="Y1261" s="626"/>
    </row>
    <row r="1262" spans="2:25" s="426" customFormat="1" ht="12.75" x14ac:dyDescent="0.2">
      <c r="B1262" s="615"/>
      <c r="Y1262" s="626"/>
    </row>
    <row r="1263" spans="2:25" s="426" customFormat="1" ht="12.75" x14ac:dyDescent="0.2">
      <c r="B1263" s="615"/>
      <c r="Y1263" s="626"/>
    </row>
    <row r="1264" spans="2:25" s="426" customFormat="1" ht="12.75" x14ac:dyDescent="0.2">
      <c r="B1264" s="615"/>
      <c r="Y1264" s="626"/>
    </row>
    <row r="1265" spans="2:25" s="426" customFormat="1" ht="12.75" x14ac:dyDescent="0.2">
      <c r="B1265" s="615"/>
      <c r="Y1265" s="626"/>
    </row>
    <row r="1266" spans="2:25" s="426" customFormat="1" ht="12.75" x14ac:dyDescent="0.2">
      <c r="B1266" s="615"/>
      <c r="Y1266" s="626"/>
    </row>
    <row r="1267" spans="2:25" s="426" customFormat="1" ht="12.75" x14ac:dyDescent="0.2">
      <c r="B1267" s="615"/>
      <c r="Y1267" s="626"/>
    </row>
    <row r="1268" spans="2:25" s="426" customFormat="1" ht="12.75" x14ac:dyDescent="0.2">
      <c r="B1268" s="615"/>
      <c r="Y1268" s="626"/>
    </row>
    <row r="1269" spans="2:25" s="426" customFormat="1" ht="12.75" x14ac:dyDescent="0.2">
      <c r="B1269" s="615"/>
      <c r="Y1269" s="626"/>
    </row>
    <row r="1270" spans="2:25" s="426" customFormat="1" ht="12.75" x14ac:dyDescent="0.2">
      <c r="B1270" s="615"/>
      <c r="Y1270" s="626"/>
    </row>
    <row r="1271" spans="2:25" s="426" customFormat="1" ht="12.75" x14ac:dyDescent="0.2">
      <c r="B1271" s="615"/>
      <c r="Y1271" s="626"/>
    </row>
    <row r="1272" spans="2:25" s="426" customFormat="1" ht="12.75" x14ac:dyDescent="0.2">
      <c r="B1272" s="615"/>
      <c r="Y1272" s="626"/>
    </row>
    <row r="1273" spans="2:25" s="426" customFormat="1" ht="12.75" x14ac:dyDescent="0.2">
      <c r="B1273" s="615"/>
      <c r="Y1273" s="626"/>
    </row>
    <row r="1274" spans="2:25" s="426" customFormat="1" ht="12.75" x14ac:dyDescent="0.2">
      <c r="B1274" s="615"/>
      <c r="Y1274" s="626"/>
    </row>
    <row r="1275" spans="2:25" s="426" customFormat="1" ht="12.75" x14ac:dyDescent="0.2">
      <c r="B1275" s="615"/>
      <c r="Y1275" s="626"/>
    </row>
    <row r="1276" spans="2:25" s="426" customFormat="1" ht="12.75" x14ac:dyDescent="0.2">
      <c r="B1276" s="615"/>
      <c r="Y1276" s="626"/>
    </row>
    <row r="1277" spans="2:25" s="426" customFormat="1" ht="12.75" x14ac:dyDescent="0.2">
      <c r="B1277" s="615"/>
      <c r="Y1277" s="626"/>
    </row>
    <row r="1278" spans="2:25" s="426" customFormat="1" ht="12.75" x14ac:dyDescent="0.2">
      <c r="B1278" s="615"/>
      <c r="Y1278" s="626"/>
    </row>
    <row r="1279" spans="2:25" s="426" customFormat="1" ht="12.75" x14ac:dyDescent="0.2">
      <c r="B1279" s="615"/>
      <c r="Y1279" s="626"/>
    </row>
    <row r="1280" spans="2:25" s="426" customFormat="1" ht="12.75" x14ac:dyDescent="0.2">
      <c r="B1280" s="615"/>
      <c r="Y1280" s="626"/>
    </row>
    <row r="1281" spans="2:25" s="426" customFormat="1" ht="12.75" x14ac:dyDescent="0.2">
      <c r="B1281" s="615"/>
      <c r="Y1281" s="626"/>
    </row>
    <row r="1282" spans="2:25" s="426" customFormat="1" ht="12.75" x14ac:dyDescent="0.2">
      <c r="B1282" s="615"/>
      <c r="Y1282" s="626"/>
    </row>
    <row r="1283" spans="2:25" s="426" customFormat="1" ht="12.75" x14ac:dyDescent="0.2">
      <c r="B1283" s="615"/>
      <c r="Y1283" s="626"/>
    </row>
    <row r="1284" spans="2:25" s="426" customFormat="1" ht="12.75" x14ac:dyDescent="0.2">
      <c r="B1284" s="615"/>
      <c r="Y1284" s="626"/>
    </row>
    <row r="1285" spans="2:25" s="426" customFormat="1" ht="12.75" x14ac:dyDescent="0.2">
      <c r="B1285" s="615"/>
      <c r="Y1285" s="626"/>
    </row>
    <row r="1286" spans="2:25" s="426" customFormat="1" ht="12.75" x14ac:dyDescent="0.2">
      <c r="B1286" s="615"/>
      <c r="Y1286" s="626"/>
    </row>
    <row r="1287" spans="2:25" s="426" customFormat="1" ht="12.75" x14ac:dyDescent="0.2">
      <c r="B1287" s="615"/>
      <c r="Y1287" s="626"/>
    </row>
    <row r="1288" spans="2:25" s="426" customFormat="1" ht="12.75" x14ac:dyDescent="0.2">
      <c r="B1288" s="615"/>
      <c r="Y1288" s="626"/>
    </row>
    <row r="1289" spans="2:25" s="426" customFormat="1" ht="12.75" x14ac:dyDescent="0.2">
      <c r="B1289" s="615"/>
      <c r="Y1289" s="626"/>
    </row>
    <row r="1290" spans="2:25" s="426" customFormat="1" ht="12.75" x14ac:dyDescent="0.2">
      <c r="B1290" s="615"/>
      <c r="Y1290" s="626"/>
    </row>
    <row r="1291" spans="2:25" s="426" customFormat="1" ht="12.75" x14ac:dyDescent="0.2">
      <c r="B1291" s="615"/>
      <c r="Y1291" s="626"/>
    </row>
    <row r="1292" spans="2:25" s="426" customFormat="1" ht="12.75" x14ac:dyDescent="0.2">
      <c r="B1292" s="615"/>
      <c r="Y1292" s="626"/>
    </row>
    <row r="1293" spans="2:25" s="426" customFormat="1" ht="12.75" x14ac:dyDescent="0.2">
      <c r="B1293" s="615"/>
      <c r="Y1293" s="626"/>
    </row>
    <row r="1294" spans="2:25" s="426" customFormat="1" ht="12.75" x14ac:dyDescent="0.2">
      <c r="B1294" s="615"/>
      <c r="Y1294" s="626"/>
    </row>
    <row r="1295" spans="2:25" s="426" customFormat="1" ht="12.75" x14ac:dyDescent="0.2">
      <c r="B1295" s="615"/>
      <c r="Y1295" s="626"/>
    </row>
    <row r="1296" spans="2:25" s="426" customFormat="1" ht="12.75" x14ac:dyDescent="0.2">
      <c r="B1296" s="615"/>
      <c r="Y1296" s="626"/>
    </row>
    <row r="1297" spans="2:25" s="426" customFormat="1" ht="12.75" x14ac:dyDescent="0.2">
      <c r="B1297" s="615"/>
      <c r="Y1297" s="626"/>
    </row>
    <row r="1298" spans="2:25" s="426" customFormat="1" ht="12.75" x14ac:dyDescent="0.2">
      <c r="B1298" s="615"/>
      <c r="Y1298" s="626"/>
    </row>
    <row r="1299" spans="2:25" s="426" customFormat="1" ht="12.75" x14ac:dyDescent="0.2">
      <c r="B1299" s="615"/>
      <c r="Y1299" s="626"/>
    </row>
    <row r="1300" spans="2:25" s="426" customFormat="1" ht="12.75" x14ac:dyDescent="0.2">
      <c r="B1300" s="615"/>
      <c r="Y1300" s="626"/>
    </row>
    <row r="1301" spans="2:25" s="426" customFormat="1" ht="12.75" x14ac:dyDescent="0.2">
      <c r="B1301" s="615"/>
      <c r="Y1301" s="626"/>
    </row>
    <row r="1302" spans="2:25" s="426" customFormat="1" ht="12.75" x14ac:dyDescent="0.2">
      <c r="B1302" s="615"/>
      <c r="Y1302" s="626"/>
    </row>
    <row r="1303" spans="2:25" s="426" customFormat="1" ht="12.75" x14ac:dyDescent="0.2">
      <c r="B1303" s="615"/>
      <c r="Y1303" s="626"/>
    </row>
    <row r="1304" spans="2:25" s="426" customFormat="1" ht="12.75" x14ac:dyDescent="0.2">
      <c r="B1304" s="615"/>
      <c r="Y1304" s="626"/>
    </row>
    <row r="1305" spans="2:25" s="426" customFormat="1" ht="12.75" x14ac:dyDescent="0.2">
      <c r="B1305" s="615"/>
      <c r="Y1305" s="626"/>
    </row>
    <row r="1306" spans="2:25" s="426" customFormat="1" ht="12.75" x14ac:dyDescent="0.2">
      <c r="B1306" s="615"/>
      <c r="Y1306" s="626"/>
    </row>
    <row r="1307" spans="2:25" s="426" customFormat="1" ht="12.75" x14ac:dyDescent="0.2">
      <c r="B1307" s="615"/>
      <c r="Y1307" s="626"/>
    </row>
    <row r="1308" spans="2:25" s="426" customFormat="1" ht="12.75" x14ac:dyDescent="0.2">
      <c r="B1308" s="615"/>
      <c r="Y1308" s="626"/>
    </row>
    <row r="1309" spans="2:25" s="426" customFormat="1" ht="12.75" x14ac:dyDescent="0.2">
      <c r="B1309" s="615"/>
      <c r="Y1309" s="626"/>
    </row>
    <row r="1310" spans="2:25" s="426" customFormat="1" ht="12.75" x14ac:dyDescent="0.2">
      <c r="B1310" s="615"/>
      <c r="Y1310" s="626"/>
    </row>
    <row r="1311" spans="2:25" s="426" customFormat="1" ht="12.75" x14ac:dyDescent="0.2">
      <c r="B1311" s="615"/>
      <c r="Y1311" s="626"/>
    </row>
    <row r="1312" spans="2:25" s="426" customFormat="1" ht="12.75" x14ac:dyDescent="0.2">
      <c r="B1312" s="615"/>
      <c r="Y1312" s="626"/>
    </row>
    <row r="1313" spans="2:25" s="426" customFormat="1" ht="12.75" x14ac:dyDescent="0.2">
      <c r="B1313" s="615"/>
      <c r="Y1313" s="626"/>
    </row>
    <row r="1314" spans="2:25" s="426" customFormat="1" ht="12.75" x14ac:dyDescent="0.2">
      <c r="B1314" s="615"/>
      <c r="Y1314" s="626"/>
    </row>
    <row r="1315" spans="2:25" s="426" customFormat="1" ht="12.75" x14ac:dyDescent="0.2">
      <c r="B1315" s="615"/>
      <c r="Y1315" s="626"/>
    </row>
    <row r="1316" spans="2:25" s="426" customFormat="1" ht="12.75" x14ac:dyDescent="0.2">
      <c r="B1316" s="615"/>
      <c r="Y1316" s="626"/>
    </row>
    <row r="1317" spans="2:25" s="426" customFormat="1" ht="12.75" x14ac:dyDescent="0.2">
      <c r="B1317" s="615"/>
      <c r="Y1317" s="626"/>
    </row>
    <row r="1318" spans="2:25" s="426" customFormat="1" ht="12.75" x14ac:dyDescent="0.2">
      <c r="B1318" s="615"/>
      <c r="Y1318" s="626"/>
    </row>
    <row r="1319" spans="2:25" s="426" customFormat="1" ht="12.75" x14ac:dyDescent="0.2">
      <c r="B1319" s="615"/>
      <c r="Y1319" s="626"/>
    </row>
    <row r="1320" spans="2:25" s="426" customFormat="1" ht="12.75" x14ac:dyDescent="0.2">
      <c r="B1320" s="615"/>
      <c r="Y1320" s="626"/>
    </row>
    <row r="1321" spans="2:25" s="426" customFormat="1" ht="12.75" x14ac:dyDescent="0.2">
      <c r="B1321" s="615"/>
      <c r="Y1321" s="626"/>
    </row>
    <row r="1322" spans="2:25" s="426" customFormat="1" ht="12.75" x14ac:dyDescent="0.2">
      <c r="B1322" s="615"/>
      <c r="Y1322" s="626"/>
    </row>
    <row r="1323" spans="2:25" s="426" customFormat="1" ht="12.75" x14ac:dyDescent="0.2">
      <c r="B1323" s="615"/>
      <c r="Y1323" s="626"/>
    </row>
    <row r="1324" spans="2:25" s="426" customFormat="1" ht="12.75" x14ac:dyDescent="0.2">
      <c r="B1324" s="615"/>
      <c r="Y1324" s="626"/>
    </row>
    <row r="1325" spans="2:25" s="426" customFormat="1" ht="12.75" x14ac:dyDescent="0.2">
      <c r="B1325" s="615"/>
      <c r="Y1325" s="626"/>
    </row>
    <row r="1326" spans="2:25" s="426" customFormat="1" ht="12.75" x14ac:dyDescent="0.2">
      <c r="B1326" s="615"/>
      <c r="Y1326" s="626"/>
    </row>
    <row r="1327" spans="2:25" s="426" customFormat="1" ht="12.75" x14ac:dyDescent="0.2">
      <c r="B1327" s="615"/>
      <c r="Y1327" s="626"/>
    </row>
    <row r="1328" spans="2:25" s="426" customFormat="1" ht="12.75" x14ac:dyDescent="0.2">
      <c r="B1328" s="615"/>
      <c r="Y1328" s="626"/>
    </row>
    <row r="1329" spans="2:25" s="426" customFormat="1" ht="12.75" x14ac:dyDescent="0.2">
      <c r="B1329" s="615"/>
      <c r="Y1329" s="626"/>
    </row>
    <row r="1330" spans="2:25" s="426" customFormat="1" ht="12.75" x14ac:dyDescent="0.2">
      <c r="B1330" s="615"/>
      <c r="Y1330" s="626"/>
    </row>
    <row r="1331" spans="2:25" s="426" customFormat="1" ht="12.75" x14ac:dyDescent="0.2">
      <c r="B1331" s="615"/>
      <c r="Y1331" s="626"/>
    </row>
    <row r="1332" spans="2:25" s="426" customFormat="1" ht="12.75" x14ac:dyDescent="0.2">
      <c r="B1332" s="615"/>
      <c r="Y1332" s="626"/>
    </row>
    <row r="1333" spans="2:25" s="426" customFormat="1" ht="12.75" x14ac:dyDescent="0.2">
      <c r="B1333" s="615"/>
      <c r="Y1333" s="626"/>
    </row>
    <row r="1334" spans="2:25" s="426" customFormat="1" ht="12.75" x14ac:dyDescent="0.2">
      <c r="B1334" s="615"/>
      <c r="Y1334" s="626"/>
    </row>
    <row r="1335" spans="2:25" s="426" customFormat="1" ht="12.75" x14ac:dyDescent="0.2">
      <c r="B1335" s="615"/>
      <c r="Y1335" s="626"/>
    </row>
    <row r="1336" spans="2:25" s="426" customFormat="1" ht="12.75" x14ac:dyDescent="0.2">
      <c r="B1336" s="615"/>
      <c r="Y1336" s="626"/>
    </row>
    <row r="1337" spans="2:25" s="426" customFormat="1" ht="12.75" x14ac:dyDescent="0.2">
      <c r="B1337" s="615"/>
      <c r="Y1337" s="626"/>
    </row>
    <row r="1338" spans="2:25" s="426" customFormat="1" ht="12.75" x14ac:dyDescent="0.2">
      <c r="B1338" s="615"/>
      <c r="Y1338" s="626"/>
    </row>
    <row r="1339" spans="2:25" s="426" customFormat="1" ht="12.75" x14ac:dyDescent="0.2">
      <c r="B1339" s="615"/>
      <c r="Y1339" s="626"/>
    </row>
    <row r="1340" spans="2:25" s="426" customFormat="1" ht="12.75" x14ac:dyDescent="0.2">
      <c r="B1340" s="615"/>
      <c r="Y1340" s="626"/>
    </row>
    <row r="1341" spans="2:25" s="426" customFormat="1" ht="12.75" x14ac:dyDescent="0.2">
      <c r="B1341" s="615"/>
      <c r="Y1341" s="626"/>
    </row>
    <row r="1342" spans="2:25" s="426" customFormat="1" ht="12.75" x14ac:dyDescent="0.2">
      <c r="B1342" s="615"/>
      <c r="Y1342" s="626"/>
    </row>
    <row r="1343" spans="2:25" s="426" customFormat="1" ht="12.75" x14ac:dyDescent="0.2">
      <c r="B1343" s="615"/>
      <c r="Y1343" s="626"/>
    </row>
    <row r="1344" spans="2:25" s="426" customFormat="1" ht="12.75" x14ac:dyDescent="0.2">
      <c r="B1344" s="615"/>
      <c r="Y1344" s="626"/>
    </row>
    <row r="1345" spans="2:25" s="426" customFormat="1" ht="12.75" x14ac:dyDescent="0.2">
      <c r="B1345" s="615"/>
      <c r="Y1345" s="626"/>
    </row>
    <row r="1346" spans="2:25" s="426" customFormat="1" ht="12.75" x14ac:dyDescent="0.2">
      <c r="B1346" s="615"/>
      <c r="Y1346" s="626"/>
    </row>
    <row r="1347" spans="2:25" s="426" customFormat="1" ht="12.75" x14ac:dyDescent="0.2">
      <c r="B1347" s="615"/>
      <c r="Y1347" s="626"/>
    </row>
    <row r="1348" spans="2:25" s="426" customFormat="1" ht="12.75" x14ac:dyDescent="0.2">
      <c r="B1348" s="615"/>
      <c r="Y1348" s="626"/>
    </row>
    <row r="1349" spans="2:25" s="426" customFormat="1" ht="12.75" x14ac:dyDescent="0.2">
      <c r="B1349" s="615"/>
      <c r="Y1349" s="626"/>
    </row>
    <row r="1350" spans="2:25" s="426" customFormat="1" ht="12.75" x14ac:dyDescent="0.2">
      <c r="B1350" s="615"/>
      <c r="Y1350" s="626"/>
    </row>
    <row r="1351" spans="2:25" s="426" customFormat="1" ht="12.75" x14ac:dyDescent="0.2">
      <c r="B1351" s="615"/>
      <c r="Y1351" s="626"/>
    </row>
    <row r="1352" spans="2:25" s="426" customFormat="1" ht="12.75" x14ac:dyDescent="0.2">
      <c r="B1352" s="615"/>
      <c r="Y1352" s="626"/>
    </row>
    <row r="1353" spans="2:25" s="426" customFormat="1" ht="12.75" x14ac:dyDescent="0.2">
      <c r="B1353" s="615"/>
      <c r="Y1353" s="626"/>
    </row>
    <row r="1354" spans="2:25" s="426" customFormat="1" ht="12.75" x14ac:dyDescent="0.2">
      <c r="B1354" s="615"/>
      <c r="Y1354" s="626"/>
    </row>
    <row r="1355" spans="2:25" s="426" customFormat="1" ht="12.75" x14ac:dyDescent="0.2">
      <c r="B1355" s="615"/>
      <c r="Y1355" s="626"/>
    </row>
    <row r="1356" spans="2:25" s="426" customFormat="1" ht="12.75" x14ac:dyDescent="0.2">
      <c r="B1356" s="615"/>
      <c r="Y1356" s="626"/>
    </row>
    <row r="1357" spans="2:25" s="426" customFormat="1" ht="12.75" x14ac:dyDescent="0.2">
      <c r="B1357" s="615"/>
      <c r="Y1357" s="626"/>
    </row>
    <row r="1358" spans="2:25" s="426" customFormat="1" ht="12.75" x14ac:dyDescent="0.2">
      <c r="B1358" s="615"/>
      <c r="Y1358" s="626"/>
    </row>
    <row r="1359" spans="2:25" s="426" customFormat="1" ht="12.75" x14ac:dyDescent="0.2">
      <c r="B1359" s="615"/>
      <c r="Y1359" s="626"/>
    </row>
    <row r="1360" spans="2:25" s="426" customFormat="1" ht="12.75" x14ac:dyDescent="0.2">
      <c r="B1360" s="615"/>
      <c r="Y1360" s="626"/>
    </row>
    <row r="1361" spans="2:25" s="426" customFormat="1" ht="12.75" x14ac:dyDescent="0.2">
      <c r="B1361" s="615"/>
      <c r="Y1361" s="626"/>
    </row>
    <row r="1362" spans="2:25" s="426" customFormat="1" ht="12.75" x14ac:dyDescent="0.2">
      <c r="B1362" s="615"/>
      <c r="Y1362" s="626"/>
    </row>
    <row r="1363" spans="2:25" s="426" customFormat="1" ht="12.75" x14ac:dyDescent="0.2">
      <c r="B1363" s="615"/>
      <c r="Y1363" s="626"/>
    </row>
    <row r="1364" spans="2:25" s="426" customFormat="1" ht="12.75" x14ac:dyDescent="0.2">
      <c r="B1364" s="615"/>
      <c r="Y1364" s="626"/>
    </row>
    <row r="1365" spans="2:25" s="426" customFormat="1" ht="12.75" x14ac:dyDescent="0.2">
      <c r="B1365" s="615"/>
      <c r="Y1365" s="626"/>
    </row>
    <row r="1366" spans="2:25" s="426" customFormat="1" ht="12.75" x14ac:dyDescent="0.2">
      <c r="B1366" s="615"/>
      <c r="Y1366" s="626"/>
    </row>
    <row r="1367" spans="2:25" s="426" customFormat="1" ht="12.75" x14ac:dyDescent="0.2">
      <c r="B1367" s="615"/>
      <c r="Y1367" s="626"/>
    </row>
    <row r="1368" spans="2:25" s="426" customFormat="1" ht="12.75" x14ac:dyDescent="0.2">
      <c r="B1368" s="615"/>
      <c r="Y1368" s="626"/>
    </row>
    <row r="1369" spans="2:25" s="426" customFormat="1" ht="12.75" x14ac:dyDescent="0.2">
      <c r="B1369" s="615"/>
      <c r="Y1369" s="626"/>
    </row>
    <row r="1370" spans="2:25" s="426" customFormat="1" ht="12.75" x14ac:dyDescent="0.2">
      <c r="B1370" s="615"/>
      <c r="Y1370" s="626"/>
    </row>
    <row r="1371" spans="2:25" s="426" customFormat="1" ht="12.75" x14ac:dyDescent="0.2">
      <c r="B1371" s="615"/>
      <c r="Y1371" s="626"/>
    </row>
    <row r="1372" spans="2:25" s="426" customFormat="1" ht="12.75" x14ac:dyDescent="0.2">
      <c r="B1372" s="615"/>
      <c r="Y1372" s="626"/>
    </row>
    <row r="1373" spans="2:25" s="426" customFormat="1" ht="12.75" x14ac:dyDescent="0.2">
      <c r="B1373" s="615"/>
      <c r="Y1373" s="626"/>
    </row>
    <row r="1374" spans="2:25" s="426" customFormat="1" ht="12.75" x14ac:dyDescent="0.2">
      <c r="B1374" s="615"/>
      <c r="Y1374" s="626"/>
    </row>
    <row r="1375" spans="2:25" s="426" customFormat="1" ht="12.75" x14ac:dyDescent="0.2">
      <c r="B1375" s="615"/>
      <c r="Y1375" s="626"/>
    </row>
    <row r="1376" spans="2:25" s="426" customFormat="1" ht="12.75" x14ac:dyDescent="0.2">
      <c r="B1376" s="615"/>
      <c r="Y1376" s="626"/>
    </row>
    <row r="1377" spans="2:25" s="426" customFormat="1" ht="12.75" x14ac:dyDescent="0.2">
      <c r="B1377" s="615"/>
      <c r="Y1377" s="626"/>
    </row>
    <row r="1378" spans="2:25" s="426" customFormat="1" ht="12.75" x14ac:dyDescent="0.2">
      <c r="B1378" s="615"/>
      <c r="Y1378" s="626"/>
    </row>
    <row r="1379" spans="2:25" s="426" customFormat="1" ht="12.75" x14ac:dyDescent="0.2">
      <c r="B1379" s="615"/>
      <c r="Y1379" s="626"/>
    </row>
    <row r="1380" spans="2:25" s="426" customFormat="1" ht="12.75" x14ac:dyDescent="0.2">
      <c r="B1380" s="615"/>
      <c r="Y1380" s="626"/>
    </row>
    <row r="1381" spans="2:25" s="426" customFormat="1" ht="12.75" x14ac:dyDescent="0.2">
      <c r="B1381" s="615"/>
      <c r="Y1381" s="626"/>
    </row>
    <row r="1382" spans="2:25" s="426" customFormat="1" ht="12.75" x14ac:dyDescent="0.2">
      <c r="B1382" s="615"/>
      <c r="Y1382" s="626"/>
    </row>
    <row r="1383" spans="2:25" s="426" customFormat="1" ht="12.75" x14ac:dyDescent="0.2">
      <c r="B1383" s="615"/>
      <c r="Y1383" s="626"/>
    </row>
    <row r="1384" spans="2:25" s="426" customFormat="1" ht="12.75" x14ac:dyDescent="0.2">
      <c r="B1384" s="615"/>
      <c r="Y1384" s="626"/>
    </row>
    <row r="1385" spans="2:25" s="426" customFormat="1" ht="12.75" x14ac:dyDescent="0.2">
      <c r="B1385" s="615"/>
      <c r="Y1385" s="626"/>
    </row>
    <row r="1386" spans="2:25" s="426" customFormat="1" ht="12.75" x14ac:dyDescent="0.2">
      <c r="B1386" s="615"/>
      <c r="Y1386" s="626"/>
    </row>
    <row r="1387" spans="2:25" s="426" customFormat="1" ht="12.75" x14ac:dyDescent="0.2">
      <c r="B1387" s="615"/>
      <c r="Y1387" s="626"/>
    </row>
    <row r="1388" spans="2:25" s="426" customFormat="1" ht="12.75" x14ac:dyDescent="0.2">
      <c r="B1388" s="615"/>
      <c r="Y1388" s="626"/>
    </row>
    <row r="1389" spans="2:25" s="426" customFormat="1" ht="12.75" x14ac:dyDescent="0.2">
      <c r="B1389" s="615"/>
      <c r="Y1389" s="626"/>
    </row>
    <row r="1390" spans="2:25" s="426" customFormat="1" ht="12.75" x14ac:dyDescent="0.2">
      <c r="B1390" s="615"/>
      <c r="Y1390" s="626"/>
    </row>
    <row r="1391" spans="2:25" s="426" customFormat="1" ht="12.75" x14ac:dyDescent="0.2">
      <c r="B1391" s="615"/>
      <c r="Y1391" s="626"/>
    </row>
    <row r="1392" spans="2:25" s="426" customFormat="1" ht="12.75" x14ac:dyDescent="0.2">
      <c r="B1392" s="615"/>
      <c r="Y1392" s="626"/>
    </row>
    <row r="1393" spans="2:25" s="426" customFormat="1" ht="12.75" x14ac:dyDescent="0.2">
      <c r="B1393" s="615"/>
      <c r="Y1393" s="626"/>
    </row>
    <row r="1394" spans="2:25" s="426" customFormat="1" ht="12.75" x14ac:dyDescent="0.2">
      <c r="B1394" s="615"/>
      <c r="Y1394" s="626"/>
    </row>
    <row r="1395" spans="2:25" s="426" customFormat="1" ht="12.75" x14ac:dyDescent="0.2">
      <c r="B1395" s="615"/>
      <c r="Y1395" s="626"/>
    </row>
    <row r="1396" spans="2:25" s="426" customFormat="1" ht="12.75" x14ac:dyDescent="0.2">
      <c r="B1396" s="615"/>
      <c r="Y1396" s="626"/>
    </row>
    <row r="1397" spans="2:25" s="426" customFormat="1" ht="12.75" x14ac:dyDescent="0.2">
      <c r="B1397" s="615"/>
      <c r="Y1397" s="626"/>
    </row>
    <row r="1398" spans="2:25" s="426" customFormat="1" ht="12.75" x14ac:dyDescent="0.2">
      <c r="B1398" s="615"/>
      <c r="Y1398" s="626"/>
    </row>
    <row r="1399" spans="2:25" s="426" customFormat="1" ht="12.75" x14ac:dyDescent="0.2">
      <c r="B1399" s="615"/>
      <c r="Y1399" s="626"/>
    </row>
    <row r="1400" spans="2:25" s="426" customFormat="1" ht="12.75" x14ac:dyDescent="0.2">
      <c r="B1400" s="615"/>
      <c r="Y1400" s="626"/>
    </row>
    <row r="1401" spans="2:25" s="426" customFormat="1" ht="12.75" x14ac:dyDescent="0.2">
      <c r="B1401" s="615"/>
      <c r="Y1401" s="626"/>
    </row>
    <row r="1402" spans="2:25" s="426" customFormat="1" ht="12.75" x14ac:dyDescent="0.2">
      <c r="B1402" s="615"/>
      <c r="Y1402" s="626"/>
    </row>
    <row r="1403" spans="2:25" s="426" customFormat="1" ht="12.75" x14ac:dyDescent="0.2">
      <c r="B1403" s="615"/>
      <c r="Y1403" s="626"/>
    </row>
    <row r="1404" spans="2:25" s="426" customFormat="1" ht="12.75" x14ac:dyDescent="0.2">
      <c r="B1404" s="615"/>
      <c r="Y1404" s="626"/>
    </row>
    <row r="1405" spans="2:25" s="426" customFormat="1" ht="12.75" x14ac:dyDescent="0.2">
      <c r="B1405" s="615"/>
      <c r="Y1405" s="626"/>
    </row>
    <row r="1406" spans="2:25" s="426" customFormat="1" ht="12.75" x14ac:dyDescent="0.2">
      <c r="B1406" s="615"/>
      <c r="Y1406" s="626"/>
    </row>
    <row r="1407" spans="2:25" s="426" customFormat="1" ht="12.75" x14ac:dyDescent="0.2">
      <c r="B1407" s="615"/>
      <c r="Y1407" s="626"/>
    </row>
    <row r="1408" spans="2:25" s="426" customFormat="1" ht="12.75" x14ac:dyDescent="0.2">
      <c r="B1408" s="615"/>
      <c r="Y1408" s="626"/>
    </row>
    <row r="1409" spans="2:25" s="426" customFormat="1" ht="12.75" x14ac:dyDescent="0.2">
      <c r="B1409" s="615"/>
      <c r="Y1409" s="626"/>
    </row>
    <row r="1410" spans="2:25" s="426" customFormat="1" ht="12.75" x14ac:dyDescent="0.2">
      <c r="B1410" s="615"/>
      <c r="Y1410" s="626"/>
    </row>
    <row r="1411" spans="2:25" s="426" customFormat="1" ht="12.75" x14ac:dyDescent="0.2">
      <c r="B1411" s="615"/>
      <c r="Y1411" s="626"/>
    </row>
    <row r="1412" spans="2:25" s="426" customFormat="1" ht="12.75" x14ac:dyDescent="0.2">
      <c r="B1412" s="615"/>
      <c r="Y1412" s="626"/>
    </row>
    <row r="1413" spans="2:25" s="426" customFormat="1" ht="12.75" x14ac:dyDescent="0.2">
      <c r="B1413" s="615"/>
      <c r="Y1413" s="626"/>
    </row>
    <row r="1414" spans="2:25" s="426" customFormat="1" ht="12.75" x14ac:dyDescent="0.2">
      <c r="B1414" s="615"/>
      <c r="Y1414" s="626"/>
    </row>
    <row r="1415" spans="2:25" s="426" customFormat="1" ht="12.75" x14ac:dyDescent="0.2">
      <c r="B1415" s="615"/>
      <c r="Y1415" s="626"/>
    </row>
    <row r="1416" spans="2:25" s="426" customFormat="1" ht="12.75" x14ac:dyDescent="0.2">
      <c r="B1416" s="615"/>
      <c r="Y1416" s="626"/>
    </row>
    <row r="1417" spans="2:25" s="426" customFormat="1" ht="12.75" x14ac:dyDescent="0.2">
      <c r="B1417" s="615"/>
      <c r="Y1417" s="626"/>
    </row>
    <row r="1418" spans="2:25" s="426" customFormat="1" ht="12.75" x14ac:dyDescent="0.2">
      <c r="B1418" s="615"/>
      <c r="Y1418" s="626"/>
    </row>
    <row r="1419" spans="2:25" s="426" customFormat="1" ht="12.75" x14ac:dyDescent="0.2">
      <c r="B1419" s="615"/>
      <c r="Y1419" s="626"/>
    </row>
    <row r="1420" spans="2:25" s="426" customFormat="1" ht="12.75" x14ac:dyDescent="0.2">
      <c r="B1420" s="615"/>
      <c r="Y1420" s="626"/>
    </row>
    <row r="1421" spans="2:25" s="426" customFormat="1" ht="12.75" x14ac:dyDescent="0.2">
      <c r="B1421" s="615"/>
      <c r="Y1421" s="626"/>
    </row>
    <row r="1422" spans="2:25" s="426" customFormat="1" ht="12.75" x14ac:dyDescent="0.2">
      <c r="B1422" s="615"/>
      <c r="Y1422" s="626"/>
    </row>
    <row r="1423" spans="2:25" s="426" customFormat="1" ht="12.75" x14ac:dyDescent="0.2">
      <c r="B1423" s="615"/>
      <c r="Y1423" s="626"/>
    </row>
    <row r="1424" spans="2:25" s="426" customFormat="1" ht="12.75" x14ac:dyDescent="0.2">
      <c r="B1424" s="615"/>
      <c r="Y1424" s="626"/>
    </row>
    <row r="1425" spans="2:25" s="426" customFormat="1" ht="12.75" x14ac:dyDescent="0.2">
      <c r="B1425" s="615"/>
      <c r="Y1425" s="626"/>
    </row>
    <row r="1426" spans="2:25" s="426" customFormat="1" ht="12.75" x14ac:dyDescent="0.2">
      <c r="B1426" s="615"/>
      <c r="Y1426" s="626"/>
    </row>
    <row r="1427" spans="2:25" s="426" customFormat="1" ht="12.75" x14ac:dyDescent="0.2">
      <c r="B1427" s="615"/>
      <c r="Y1427" s="626"/>
    </row>
    <row r="1428" spans="2:25" s="426" customFormat="1" ht="12.75" x14ac:dyDescent="0.2">
      <c r="B1428" s="615"/>
      <c r="Y1428" s="626"/>
    </row>
    <row r="1429" spans="2:25" s="426" customFormat="1" ht="12.75" x14ac:dyDescent="0.2">
      <c r="B1429" s="615"/>
      <c r="Y1429" s="626"/>
    </row>
    <row r="1430" spans="2:25" s="426" customFormat="1" ht="12.75" x14ac:dyDescent="0.2">
      <c r="B1430" s="615"/>
      <c r="Y1430" s="626"/>
    </row>
    <row r="1431" spans="2:25" s="426" customFormat="1" ht="12.75" x14ac:dyDescent="0.2">
      <c r="B1431" s="615"/>
      <c r="Y1431" s="626"/>
    </row>
    <row r="1432" spans="2:25" s="426" customFormat="1" ht="12.75" x14ac:dyDescent="0.2">
      <c r="B1432" s="615"/>
      <c r="Y1432" s="626"/>
    </row>
    <row r="1433" spans="2:25" s="426" customFormat="1" ht="12.75" x14ac:dyDescent="0.2">
      <c r="B1433" s="615"/>
      <c r="Y1433" s="626"/>
    </row>
    <row r="1434" spans="2:25" s="426" customFormat="1" ht="12.75" x14ac:dyDescent="0.2">
      <c r="B1434" s="615"/>
      <c r="Y1434" s="626"/>
    </row>
    <row r="1435" spans="2:25" s="426" customFormat="1" ht="12.75" x14ac:dyDescent="0.2">
      <c r="B1435" s="615"/>
      <c r="Y1435" s="626"/>
    </row>
    <row r="1436" spans="2:25" s="426" customFormat="1" ht="12.75" x14ac:dyDescent="0.2">
      <c r="B1436" s="615"/>
      <c r="Y1436" s="626"/>
    </row>
    <row r="1437" spans="2:25" s="426" customFormat="1" ht="12.75" x14ac:dyDescent="0.2">
      <c r="B1437" s="615"/>
      <c r="Y1437" s="626"/>
    </row>
    <row r="1438" spans="2:25" s="426" customFormat="1" ht="12.75" x14ac:dyDescent="0.2">
      <c r="B1438" s="615"/>
      <c r="Y1438" s="626"/>
    </row>
    <row r="1439" spans="2:25" s="426" customFormat="1" ht="12.75" x14ac:dyDescent="0.2">
      <c r="B1439" s="615"/>
      <c r="Y1439" s="626"/>
    </row>
    <row r="1440" spans="2:25" s="426" customFormat="1" ht="12.75" x14ac:dyDescent="0.2">
      <c r="B1440" s="615"/>
      <c r="Y1440" s="626"/>
    </row>
    <row r="1441" spans="2:25" s="426" customFormat="1" ht="12.75" x14ac:dyDescent="0.2">
      <c r="B1441" s="615"/>
      <c r="Y1441" s="626"/>
    </row>
    <row r="1442" spans="2:25" s="426" customFormat="1" ht="12.75" x14ac:dyDescent="0.2">
      <c r="B1442" s="615"/>
      <c r="Y1442" s="626"/>
    </row>
    <row r="1443" spans="2:25" s="426" customFormat="1" ht="12.75" x14ac:dyDescent="0.2">
      <c r="B1443" s="615"/>
      <c r="Y1443" s="626"/>
    </row>
    <row r="1444" spans="2:25" s="426" customFormat="1" ht="12.75" x14ac:dyDescent="0.2">
      <c r="B1444" s="615"/>
      <c r="Y1444" s="626"/>
    </row>
    <row r="1445" spans="2:25" s="426" customFormat="1" ht="12.75" x14ac:dyDescent="0.2">
      <c r="B1445" s="615"/>
      <c r="Y1445" s="626"/>
    </row>
    <row r="1446" spans="2:25" s="426" customFormat="1" ht="12.75" x14ac:dyDescent="0.2">
      <c r="B1446" s="615"/>
      <c r="Y1446" s="626"/>
    </row>
    <row r="1447" spans="2:25" s="426" customFormat="1" ht="12.75" x14ac:dyDescent="0.2">
      <c r="B1447" s="615"/>
      <c r="Y1447" s="626"/>
    </row>
    <row r="1448" spans="2:25" s="426" customFormat="1" ht="12.75" x14ac:dyDescent="0.2">
      <c r="B1448" s="615"/>
      <c r="Y1448" s="626"/>
    </row>
    <row r="1449" spans="2:25" s="426" customFormat="1" ht="12.75" x14ac:dyDescent="0.2">
      <c r="B1449" s="615"/>
      <c r="Y1449" s="626"/>
    </row>
    <row r="1450" spans="2:25" s="426" customFormat="1" ht="12.75" x14ac:dyDescent="0.2">
      <c r="B1450" s="615"/>
      <c r="Y1450" s="626"/>
    </row>
    <row r="1451" spans="2:25" s="426" customFormat="1" ht="12.75" x14ac:dyDescent="0.2">
      <c r="B1451" s="615"/>
      <c r="Y1451" s="626"/>
    </row>
    <row r="1452" spans="2:25" s="426" customFormat="1" ht="12.75" x14ac:dyDescent="0.2">
      <c r="B1452" s="615"/>
      <c r="Y1452" s="626"/>
    </row>
    <row r="1453" spans="2:25" s="426" customFormat="1" ht="12.75" x14ac:dyDescent="0.2">
      <c r="B1453" s="615"/>
      <c r="Y1453" s="626"/>
    </row>
    <row r="1454" spans="2:25" s="426" customFormat="1" ht="12.75" x14ac:dyDescent="0.2">
      <c r="B1454" s="615"/>
      <c r="Y1454" s="626"/>
    </row>
    <row r="1455" spans="2:25" s="426" customFormat="1" ht="12.75" x14ac:dyDescent="0.2">
      <c r="B1455" s="615"/>
      <c r="Y1455" s="626"/>
    </row>
    <row r="1456" spans="2:25" s="426" customFormat="1" ht="12.75" x14ac:dyDescent="0.2">
      <c r="B1456" s="615"/>
      <c r="Y1456" s="626"/>
    </row>
    <row r="1457" spans="2:25" s="426" customFormat="1" ht="12.75" x14ac:dyDescent="0.2">
      <c r="B1457" s="615"/>
      <c r="Y1457" s="626"/>
    </row>
    <row r="1458" spans="2:25" s="426" customFormat="1" ht="12.75" x14ac:dyDescent="0.2">
      <c r="B1458" s="615"/>
      <c r="Y1458" s="626"/>
    </row>
    <row r="1459" spans="2:25" s="426" customFormat="1" ht="12.75" x14ac:dyDescent="0.2">
      <c r="B1459" s="615"/>
      <c r="Y1459" s="626"/>
    </row>
    <row r="1460" spans="2:25" s="426" customFormat="1" ht="12.75" x14ac:dyDescent="0.2">
      <c r="B1460" s="615"/>
      <c r="Y1460" s="626"/>
    </row>
    <row r="1461" spans="2:25" s="426" customFormat="1" ht="12.75" x14ac:dyDescent="0.2">
      <c r="B1461" s="615"/>
      <c r="Y1461" s="626"/>
    </row>
    <row r="1462" spans="2:25" s="426" customFormat="1" ht="12.75" x14ac:dyDescent="0.2">
      <c r="B1462" s="615"/>
      <c r="Y1462" s="626"/>
    </row>
    <row r="1463" spans="2:25" s="426" customFormat="1" ht="12.75" x14ac:dyDescent="0.2">
      <c r="B1463" s="615"/>
      <c r="Y1463" s="626"/>
    </row>
    <row r="1464" spans="2:25" s="426" customFormat="1" ht="12.75" x14ac:dyDescent="0.2">
      <c r="B1464" s="615"/>
      <c r="Y1464" s="626"/>
    </row>
    <row r="1465" spans="2:25" s="426" customFormat="1" ht="12.75" x14ac:dyDescent="0.2">
      <c r="B1465" s="615"/>
      <c r="Y1465" s="626"/>
    </row>
    <row r="1466" spans="2:25" s="426" customFormat="1" ht="12.75" x14ac:dyDescent="0.2">
      <c r="B1466" s="615"/>
      <c r="Y1466" s="626"/>
    </row>
    <row r="1467" spans="2:25" s="426" customFormat="1" ht="12.75" x14ac:dyDescent="0.2">
      <c r="B1467" s="615"/>
      <c r="Y1467" s="626"/>
    </row>
    <row r="1468" spans="2:25" s="426" customFormat="1" ht="12.75" x14ac:dyDescent="0.2">
      <c r="B1468" s="615"/>
      <c r="Y1468" s="626"/>
    </row>
    <row r="1469" spans="2:25" s="426" customFormat="1" ht="12.75" x14ac:dyDescent="0.2">
      <c r="B1469" s="615"/>
      <c r="Y1469" s="626"/>
    </row>
    <row r="1470" spans="2:25" s="426" customFormat="1" ht="12.75" x14ac:dyDescent="0.2">
      <c r="B1470" s="615"/>
      <c r="Y1470" s="626"/>
    </row>
    <row r="1471" spans="2:25" s="426" customFormat="1" ht="12.75" x14ac:dyDescent="0.2">
      <c r="B1471" s="615"/>
      <c r="Y1471" s="626"/>
    </row>
    <row r="1472" spans="2:25" s="426" customFormat="1" ht="12.75" x14ac:dyDescent="0.2">
      <c r="B1472" s="615"/>
      <c r="Y1472" s="626"/>
    </row>
    <row r="1473" spans="2:25" s="426" customFormat="1" ht="12.75" x14ac:dyDescent="0.2">
      <c r="B1473" s="615"/>
      <c r="Y1473" s="626"/>
    </row>
    <row r="1474" spans="2:25" s="426" customFormat="1" ht="12.75" x14ac:dyDescent="0.2">
      <c r="B1474" s="615"/>
      <c r="Y1474" s="626"/>
    </row>
    <row r="1475" spans="2:25" s="426" customFormat="1" ht="12.75" x14ac:dyDescent="0.2">
      <c r="B1475" s="615"/>
      <c r="Y1475" s="626"/>
    </row>
    <row r="1476" spans="2:25" s="426" customFormat="1" ht="12.75" x14ac:dyDescent="0.2">
      <c r="B1476" s="615"/>
      <c r="Y1476" s="626"/>
    </row>
    <row r="1477" spans="2:25" s="426" customFormat="1" ht="12.75" x14ac:dyDescent="0.2">
      <c r="B1477" s="615"/>
      <c r="Y1477" s="626"/>
    </row>
    <row r="1478" spans="2:25" s="426" customFormat="1" ht="12.75" x14ac:dyDescent="0.2">
      <c r="B1478" s="615"/>
      <c r="Y1478" s="626"/>
    </row>
    <row r="1479" spans="2:25" s="426" customFormat="1" ht="12.75" x14ac:dyDescent="0.2">
      <c r="B1479" s="615"/>
      <c r="Y1479" s="626"/>
    </row>
    <row r="1480" spans="2:25" s="426" customFormat="1" ht="12.75" x14ac:dyDescent="0.2">
      <c r="B1480" s="615"/>
      <c r="Y1480" s="626"/>
    </row>
    <row r="1481" spans="2:25" s="426" customFormat="1" ht="12.75" x14ac:dyDescent="0.2">
      <c r="B1481" s="615"/>
      <c r="Y1481" s="626"/>
    </row>
    <row r="1482" spans="2:25" s="426" customFormat="1" ht="12.75" x14ac:dyDescent="0.2">
      <c r="B1482" s="615"/>
      <c r="Y1482" s="626"/>
    </row>
    <row r="1483" spans="2:25" s="426" customFormat="1" ht="12.75" x14ac:dyDescent="0.2">
      <c r="B1483" s="615"/>
      <c r="Y1483" s="626"/>
    </row>
    <row r="1484" spans="2:25" s="426" customFormat="1" ht="12.75" x14ac:dyDescent="0.2">
      <c r="B1484" s="615"/>
      <c r="Y1484" s="626"/>
    </row>
    <row r="1485" spans="2:25" s="426" customFormat="1" ht="12.75" x14ac:dyDescent="0.2">
      <c r="B1485" s="615"/>
      <c r="Y1485" s="626"/>
    </row>
    <row r="1486" spans="2:25" s="426" customFormat="1" ht="12.75" x14ac:dyDescent="0.2">
      <c r="B1486" s="615"/>
      <c r="Y1486" s="626"/>
    </row>
    <row r="1487" spans="2:25" s="426" customFormat="1" ht="12.75" x14ac:dyDescent="0.2">
      <c r="B1487" s="615"/>
      <c r="Y1487" s="626"/>
    </row>
    <row r="1488" spans="2:25" s="426" customFormat="1" ht="12.75" x14ac:dyDescent="0.2">
      <c r="B1488" s="615"/>
      <c r="Y1488" s="626"/>
    </row>
    <row r="1489" spans="2:25" s="426" customFormat="1" ht="12.75" x14ac:dyDescent="0.2">
      <c r="B1489" s="615"/>
      <c r="Y1489" s="626"/>
    </row>
    <row r="1490" spans="2:25" s="426" customFormat="1" ht="12.75" x14ac:dyDescent="0.2">
      <c r="B1490" s="615"/>
      <c r="Y1490" s="626"/>
    </row>
    <row r="1491" spans="2:25" s="426" customFormat="1" ht="12.75" x14ac:dyDescent="0.2">
      <c r="B1491" s="615"/>
      <c r="Y1491" s="626"/>
    </row>
    <row r="1492" spans="2:25" s="426" customFormat="1" ht="12.75" x14ac:dyDescent="0.2">
      <c r="B1492" s="615"/>
      <c r="Y1492" s="626"/>
    </row>
    <row r="1493" spans="2:25" s="426" customFormat="1" ht="12.75" x14ac:dyDescent="0.2">
      <c r="B1493" s="615"/>
      <c r="Y1493" s="626"/>
    </row>
    <row r="1494" spans="2:25" s="426" customFormat="1" ht="12.75" x14ac:dyDescent="0.2">
      <c r="B1494" s="615"/>
      <c r="Y1494" s="626"/>
    </row>
    <row r="1495" spans="2:25" s="426" customFormat="1" ht="12.75" x14ac:dyDescent="0.2">
      <c r="B1495" s="615"/>
      <c r="Y1495" s="626"/>
    </row>
    <row r="1496" spans="2:25" s="426" customFormat="1" ht="12.75" x14ac:dyDescent="0.2">
      <c r="B1496" s="615"/>
      <c r="Y1496" s="626"/>
    </row>
    <row r="1497" spans="2:25" s="426" customFormat="1" ht="12.75" x14ac:dyDescent="0.2">
      <c r="B1497" s="615"/>
      <c r="Y1497" s="626"/>
    </row>
    <row r="1498" spans="2:25" s="426" customFormat="1" ht="12.75" x14ac:dyDescent="0.2">
      <c r="B1498" s="615"/>
      <c r="Y1498" s="626"/>
    </row>
    <row r="1499" spans="2:25" s="426" customFormat="1" ht="12.75" x14ac:dyDescent="0.2">
      <c r="B1499" s="615"/>
      <c r="Y1499" s="626"/>
    </row>
    <row r="1500" spans="2:25" s="426" customFormat="1" ht="12.75" x14ac:dyDescent="0.2">
      <c r="B1500" s="615"/>
      <c r="Y1500" s="626"/>
    </row>
    <row r="1501" spans="2:25" s="426" customFormat="1" ht="12.75" x14ac:dyDescent="0.2">
      <c r="B1501" s="615"/>
      <c r="Y1501" s="626"/>
    </row>
    <row r="1502" spans="2:25" s="426" customFormat="1" ht="12.75" x14ac:dyDescent="0.2">
      <c r="B1502" s="615"/>
      <c r="Y1502" s="626"/>
    </row>
    <row r="1503" spans="2:25" s="426" customFormat="1" ht="12.75" x14ac:dyDescent="0.2">
      <c r="B1503" s="615"/>
      <c r="Y1503" s="626"/>
    </row>
    <row r="1504" spans="2:25" s="426" customFormat="1" ht="12.75" x14ac:dyDescent="0.2">
      <c r="B1504" s="615"/>
      <c r="Y1504" s="626"/>
    </row>
    <row r="1505" spans="2:25" s="426" customFormat="1" ht="12.75" x14ac:dyDescent="0.2">
      <c r="B1505" s="615"/>
      <c r="Y1505" s="626"/>
    </row>
    <row r="1506" spans="2:25" s="426" customFormat="1" ht="12.75" x14ac:dyDescent="0.2">
      <c r="B1506" s="615"/>
      <c r="Y1506" s="626"/>
    </row>
    <row r="1507" spans="2:25" s="426" customFormat="1" ht="12.75" x14ac:dyDescent="0.2">
      <c r="B1507" s="615"/>
      <c r="Y1507" s="626"/>
    </row>
    <row r="1508" spans="2:25" s="426" customFormat="1" ht="12.75" x14ac:dyDescent="0.2">
      <c r="B1508" s="615"/>
      <c r="Y1508" s="626"/>
    </row>
    <row r="1509" spans="2:25" s="426" customFormat="1" ht="12.75" x14ac:dyDescent="0.2">
      <c r="B1509" s="615"/>
      <c r="Y1509" s="626"/>
    </row>
    <row r="1510" spans="2:25" s="426" customFormat="1" ht="12.75" x14ac:dyDescent="0.2">
      <c r="B1510" s="615"/>
      <c r="Y1510" s="626"/>
    </row>
    <row r="1511" spans="2:25" s="426" customFormat="1" ht="12.75" x14ac:dyDescent="0.2">
      <c r="B1511" s="615"/>
      <c r="Y1511" s="626"/>
    </row>
    <row r="1512" spans="2:25" s="426" customFormat="1" ht="12.75" x14ac:dyDescent="0.2">
      <c r="B1512" s="615"/>
      <c r="Y1512" s="626"/>
    </row>
    <row r="1513" spans="2:25" s="426" customFormat="1" ht="12.75" x14ac:dyDescent="0.2">
      <c r="B1513" s="615"/>
      <c r="Y1513" s="626"/>
    </row>
    <row r="1514" spans="2:25" s="426" customFormat="1" ht="12.75" x14ac:dyDescent="0.2">
      <c r="B1514" s="615"/>
      <c r="Y1514" s="626"/>
    </row>
    <row r="1515" spans="2:25" s="426" customFormat="1" ht="12.75" x14ac:dyDescent="0.2">
      <c r="B1515" s="615"/>
      <c r="Y1515" s="626"/>
    </row>
    <row r="1516" spans="2:25" s="426" customFormat="1" ht="12.75" x14ac:dyDescent="0.2">
      <c r="B1516" s="615"/>
      <c r="Y1516" s="626"/>
    </row>
    <row r="1517" spans="2:25" s="426" customFormat="1" ht="12.75" x14ac:dyDescent="0.2">
      <c r="B1517" s="615"/>
      <c r="Y1517" s="626"/>
    </row>
    <row r="1518" spans="2:25" s="426" customFormat="1" ht="12.75" x14ac:dyDescent="0.2">
      <c r="B1518" s="615"/>
      <c r="Y1518" s="626"/>
    </row>
    <row r="1519" spans="2:25" s="426" customFormat="1" ht="12.75" x14ac:dyDescent="0.2">
      <c r="B1519" s="615"/>
      <c r="Y1519" s="626"/>
    </row>
    <row r="1520" spans="2:25" s="426" customFormat="1" ht="12.75" x14ac:dyDescent="0.2">
      <c r="B1520" s="615"/>
      <c r="Y1520" s="626"/>
    </row>
    <row r="1521" spans="2:25" s="426" customFormat="1" ht="12.75" x14ac:dyDescent="0.2">
      <c r="B1521" s="615"/>
      <c r="Y1521" s="626"/>
    </row>
    <row r="1522" spans="2:25" s="426" customFormat="1" ht="12.75" x14ac:dyDescent="0.2">
      <c r="B1522" s="615"/>
      <c r="Y1522" s="626"/>
    </row>
    <row r="1523" spans="2:25" s="426" customFormat="1" ht="12.75" x14ac:dyDescent="0.2">
      <c r="B1523" s="615"/>
      <c r="Y1523" s="626"/>
    </row>
    <row r="1524" spans="2:25" s="426" customFormat="1" ht="12.75" x14ac:dyDescent="0.2">
      <c r="B1524" s="615"/>
      <c r="Y1524" s="626"/>
    </row>
    <row r="1525" spans="2:25" s="426" customFormat="1" ht="12.75" x14ac:dyDescent="0.2">
      <c r="B1525" s="615"/>
      <c r="Y1525" s="626"/>
    </row>
    <row r="1526" spans="2:25" s="426" customFormat="1" ht="12.75" x14ac:dyDescent="0.2">
      <c r="B1526" s="615"/>
      <c r="Y1526" s="626"/>
    </row>
    <row r="1527" spans="2:25" s="426" customFormat="1" ht="12.75" x14ac:dyDescent="0.2">
      <c r="B1527" s="615"/>
      <c r="Y1527" s="626"/>
    </row>
    <row r="1528" spans="2:25" s="426" customFormat="1" ht="12.75" x14ac:dyDescent="0.2">
      <c r="B1528" s="615"/>
      <c r="Y1528" s="626"/>
    </row>
    <row r="1529" spans="2:25" s="426" customFormat="1" ht="12.75" x14ac:dyDescent="0.2">
      <c r="B1529" s="615"/>
      <c r="Y1529" s="626"/>
    </row>
    <row r="1530" spans="2:25" s="426" customFormat="1" ht="12.75" x14ac:dyDescent="0.2">
      <c r="B1530" s="615"/>
      <c r="Y1530" s="626"/>
    </row>
    <row r="1531" spans="2:25" s="426" customFormat="1" ht="12.75" x14ac:dyDescent="0.2">
      <c r="B1531" s="615"/>
      <c r="Y1531" s="626"/>
    </row>
    <row r="1532" spans="2:25" s="426" customFormat="1" ht="12.75" x14ac:dyDescent="0.2">
      <c r="B1532" s="615"/>
      <c r="Y1532" s="626"/>
    </row>
    <row r="1533" spans="2:25" s="426" customFormat="1" ht="12.75" x14ac:dyDescent="0.2">
      <c r="B1533" s="615"/>
      <c r="Y1533" s="626"/>
    </row>
    <row r="1534" spans="2:25" s="426" customFormat="1" ht="12.75" x14ac:dyDescent="0.2">
      <c r="B1534" s="615"/>
      <c r="Y1534" s="626"/>
    </row>
    <row r="1535" spans="2:25" s="426" customFormat="1" ht="12.75" x14ac:dyDescent="0.2">
      <c r="B1535" s="615"/>
      <c r="Y1535" s="626"/>
    </row>
    <row r="1536" spans="2:25" s="426" customFormat="1" ht="12.75" x14ac:dyDescent="0.2">
      <c r="B1536" s="615"/>
      <c r="Y1536" s="626"/>
    </row>
    <row r="1537" spans="2:25" s="426" customFormat="1" ht="12.75" x14ac:dyDescent="0.2">
      <c r="B1537" s="615"/>
      <c r="Y1537" s="626"/>
    </row>
    <row r="1538" spans="2:25" s="426" customFormat="1" ht="12.75" x14ac:dyDescent="0.2">
      <c r="B1538" s="615"/>
      <c r="Y1538" s="626"/>
    </row>
    <row r="1539" spans="2:25" s="426" customFormat="1" ht="12.75" x14ac:dyDescent="0.2">
      <c r="B1539" s="615"/>
      <c r="Y1539" s="626"/>
    </row>
    <row r="1540" spans="2:25" s="426" customFormat="1" ht="12.75" x14ac:dyDescent="0.2">
      <c r="B1540" s="615"/>
      <c r="Y1540" s="626"/>
    </row>
    <row r="1541" spans="2:25" s="426" customFormat="1" ht="12.75" x14ac:dyDescent="0.2">
      <c r="B1541" s="615"/>
      <c r="Y1541" s="626"/>
    </row>
    <row r="1542" spans="2:25" s="426" customFormat="1" ht="12.75" x14ac:dyDescent="0.2">
      <c r="B1542" s="615"/>
      <c r="Y1542" s="626"/>
    </row>
    <row r="1543" spans="2:25" s="426" customFormat="1" ht="12.75" x14ac:dyDescent="0.2">
      <c r="B1543" s="615"/>
      <c r="Y1543" s="626"/>
    </row>
    <row r="1544" spans="2:25" s="426" customFormat="1" ht="12.75" x14ac:dyDescent="0.2">
      <c r="B1544" s="615"/>
      <c r="Y1544" s="626"/>
    </row>
    <row r="1545" spans="2:25" s="426" customFormat="1" ht="12.75" x14ac:dyDescent="0.2">
      <c r="B1545" s="615"/>
      <c r="Y1545" s="626"/>
    </row>
    <row r="1546" spans="2:25" s="426" customFormat="1" ht="12.75" x14ac:dyDescent="0.2">
      <c r="B1546" s="615"/>
      <c r="Y1546" s="626"/>
    </row>
    <row r="1547" spans="2:25" s="426" customFormat="1" ht="12.75" x14ac:dyDescent="0.2">
      <c r="B1547" s="615"/>
      <c r="Y1547" s="626"/>
    </row>
    <row r="1548" spans="2:25" s="426" customFormat="1" ht="12.75" x14ac:dyDescent="0.2">
      <c r="B1548" s="615"/>
      <c r="Y1548" s="626"/>
    </row>
    <row r="1549" spans="2:25" s="426" customFormat="1" ht="12.75" x14ac:dyDescent="0.2">
      <c r="B1549" s="615"/>
      <c r="Y1549" s="626"/>
    </row>
    <row r="1550" spans="2:25" s="426" customFormat="1" ht="12.75" x14ac:dyDescent="0.2">
      <c r="B1550" s="615"/>
      <c r="Y1550" s="626"/>
    </row>
    <row r="1551" spans="2:25" s="426" customFormat="1" ht="12.75" x14ac:dyDescent="0.2">
      <c r="B1551" s="615"/>
      <c r="Y1551" s="626"/>
    </row>
    <row r="1552" spans="2:25" s="426" customFormat="1" ht="12.75" x14ac:dyDescent="0.2">
      <c r="B1552" s="615"/>
      <c r="Y1552" s="626"/>
    </row>
    <row r="1553" spans="2:25" s="426" customFormat="1" ht="12.75" x14ac:dyDescent="0.2">
      <c r="B1553" s="615"/>
      <c r="Y1553" s="626"/>
    </row>
    <row r="1554" spans="2:25" s="426" customFormat="1" ht="12.75" x14ac:dyDescent="0.2">
      <c r="B1554" s="615"/>
      <c r="Y1554" s="626"/>
    </row>
    <row r="1555" spans="2:25" s="426" customFormat="1" ht="12.75" x14ac:dyDescent="0.2">
      <c r="B1555" s="615"/>
      <c r="Y1555" s="626"/>
    </row>
    <row r="1556" spans="2:25" s="426" customFormat="1" ht="12.75" x14ac:dyDescent="0.2">
      <c r="B1556" s="615"/>
      <c r="Y1556" s="626"/>
    </row>
    <row r="1557" spans="2:25" s="426" customFormat="1" ht="12.75" x14ac:dyDescent="0.2">
      <c r="B1557" s="615"/>
      <c r="Y1557" s="626"/>
    </row>
    <row r="1558" spans="2:25" s="426" customFormat="1" ht="12.75" x14ac:dyDescent="0.2">
      <c r="B1558" s="615"/>
      <c r="Y1558" s="626"/>
    </row>
    <row r="1559" spans="2:25" s="426" customFormat="1" ht="12.75" x14ac:dyDescent="0.2">
      <c r="B1559" s="615"/>
      <c r="Y1559" s="626"/>
    </row>
    <row r="1560" spans="2:25" s="426" customFormat="1" ht="12.75" x14ac:dyDescent="0.2">
      <c r="B1560" s="615"/>
      <c r="Y1560" s="626"/>
    </row>
    <row r="1561" spans="2:25" s="426" customFormat="1" ht="12.75" x14ac:dyDescent="0.2">
      <c r="B1561" s="615"/>
      <c r="Y1561" s="626"/>
    </row>
    <row r="1562" spans="2:25" s="426" customFormat="1" ht="12.75" x14ac:dyDescent="0.2">
      <c r="B1562" s="615"/>
      <c r="Y1562" s="626"/>
    </row>
    <row r="1563" spans="2:25" s="426" customFormat="1" ht="12.75" x14ac:dyDescent="0.2">
      <c r="B1563" s="615"/>
      <c r="Y1563" s="626"/>
    </row>
    <row r="1564" spans="2:25" s="426" customFormat="1" ht="12.75" x14ac:dyDescent="0.2">
      <c r="B1564" s="615"/>
      <c r="Y1564" s="626"/>
    </row>
    <row r="1565" spans="2:25" s="426" customFormat="1" ht="12.75" x14ac:dyDescent="0.2">
      <c r="B1565" s="615"/>
      <c r="Y1565" s="626"/>
    </row>
    <row r="1566" spans="2:25" s="426" customFormat="1" ht="12.75" x14ac:dyDescent="0.2">
      <c r="B1566" s="615"/>
      <c r="Y1566" s="626"/>
    </row>
    <row r="1567" spans="2:25" s="426" customFormat="1" ht="12.75" x14ac:dyDescent="0.2">
      <c r="B1567" s="615"/>
      <c r="Y1567" s="626"/>
    </row>
    <row r="1568" spans="2:25" s="426" customFormat="1" ht="12.75" x14ac:dyDescent="0.2">
      <c r="B1568" s="615"/>
      <c r="Y1568" s="626"/>
    </row>
    <row r="1569" spans="2:25" s="426" customFormat="1" ht="12.75" x14ac:dyDescent="0.2">
      <c r="B1569" s="615"/>
      <c r="Y1569" s="626"/>
    </row>
    <row r="1570" spans="2:25" s="426" customFormat="1" ht="12.75" x14ac:dyDescent="0.2">
      <c r="B1570" s="615"/>
      <c r="Y1570" s="626"/>
    </row>
    <row r="1571" spans="2:25" s="426" customFormat="1" ht="12.75" x14ac:dyDescent="0.2">
      <c r="B1571" s="615"/>
      <c r="Y1571" s="626"/>
    </row>
    <row r="1572" spans="2:25" s="426" customFormat="1" ht="12.75" x14ac:dyDescent="0.2">
      <c r="B1572" s="615"/>
      <c r="Y1572" s="626"/>
    </row>
  </sheetData>
  <mergeCells count="30">
    <mergeCell ref="S178:V178"/>
    <mergeCell ref="B737:C737"/>
    <mergeCell ref="F737:G737"/>
    <mergeCell ref="B738:C738"/>
    <mergeCell ref="AO44:AP44"/>
    <mergeCell ref="AA672:AA684"/>
    <mergeCell ref="AA685:AA688"/>
    <mergeCell ref="E339:F339"/>
    <mergeCell ref="G339:H339"/>
    <mergeCell ref="E75:F75"/>
    <mergeCell ref="G75:H75"/>
    <mergeCell ref="I75:J75"/>
    <mergeCell ref="K75:P75"/>
    <mergeCell ref="M720:N720"/>
    <mergeCell ref="C27:D27"/>
    <mergeCell ref="AG44:AM44"/>
    <mergeCell ref="H181:I181"/>
    <mergeCell ref="B1070:D1070"/>
    <mergeCell ref="AD47:AE47"/>
    <mergeCell ref="B273:C273"/>
    <mergeCell ref="D273:E273"/>
    <mergeCell ref="D225:E225"/>
    <mergeCell ref="F225:G225"/>
    <mergeCell ref="D236:E236"/>
    <mergeCell ref="F236:G236"/>
    <mergeCell ref="B240:G240"/>
    <mergeCell ref="B653:C653"/>
    <mergeCell ref="F653:G653"/>
    <mergeCell ref="B654:C654"/>
    <mergeCell ref="AA667:AA671"/>
  </mergeCells>
  <phoneticPr fontId="2" type="noConversion"/>
  <printOptions gridLines="1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C227-5E45-487B-BFFC-90B6AEC4F779}">
  <sheetPr codeName="Blad2"/>
  <dimension ref="A4:P132"/>
  <sheetViews>
    <sheetView workbookViewId="0">
      <selection activeCell="A29" sqref="A29"/>
    </sheetView>
  </sheetViews>
  <sheetFormatPr defaultRowHeight="15" x14ac:dyDescent="0.25"/>
  <cols>
    <col min="2" max="2" style="2" width="9.140625"/>
    <col min="3" max="3" customWidth="true" width="18.7109375"/>
    <col min="4" max="4" customWidth="true" width="14.85546875"/>
    <col min="7" max="7" customWidth="true" width="16.85546875"/>
    <col min="8" max="8" customWidth="true" width="16.5703125"/>
    <col min="9" max="9" customWidth="true" width="16.140625"/>
    <col min="10" max="10" customWidth="true" width="15.42578125"/>
    <col min="11" max="11" customWidth="true" width="14.28515625"/>
    <col min="12" max="12" customWidth="true" width="14.42578125"/>
    <col min="13" max="13" customWidth="true" width="14.140625"/>
    <col min="14" max="14" customWidth="true" width="16.0"/>
    <col min="15" max="15" customWidth="true" width="15.7109375"/>
    <col min="16" max="16" customWidth="true" width="15.140625"/>
  </cols>
  <sheetData>
    <row r="4" spans="1:16" x14ac:dyDescent="0.25">
      <c r="A4" s="21"/>
      <c r="B4" s="473" t="str">
        <f>VLOOKUP(BLO!B6,$A$5:$D$70,2,0)</f>
        <v>B</v>
      </c>
      <c r="C4" s="23" t="str">
        <f>VLOOKUP(BLO!B6,$A$5:$D$70,3,0)</f>
        <v>Wit extra sterk</v>
      </c>
      <c r="D4" s="472" t="str">
        <f>VLOOKUP(BLO!B6,$A$5:$D$70,4,0)</f>
        <v>BKT14WS</v>
      </c>
      <c r="G4" t="s">
        <v>39</v>
      </c>
      <c r="H4" s="2">
        <f>IF(H5=Input!$B$3,1,0)</f>
        <v>0</v>
      </c>
      <c r="I4" s="2">
        <f>IF(I5=Input!$B$3,1,0)</f>
        <v>1</v>
      </c>
      <c r="J4" s="2">
        <f>IF(J5=Input!$B$3,1,0)</f>
        <v>0</v>
      </c>
      <c r="K4" s="2">
        <f>IF(K5=Input!$B$3,1,0)</f>
        <v>0</v>
      </c>
      <c r="L4" s="2">
        <f>IF(L5=Input!$B$3,1,0)</f>
        <v>0</v>
      </c>
      <c r="M4" s="2">
        <f>IF(M5=Input!$B$3,1,0)</f>
        <v>0</v>
      </c>
      <c r="N4" s="2">
        <f>IF(N5=Input!$B$3,1,0)</f>
        <v>0</v>
      </c>
      <c r="O4" s="2">
        <f>IF(O5=Input!$B$3,1,0)</f>
        <v>0</v>
      </c>
      <c r="P4" s="2">
        <f>IF(P5=Input!$B$3,1,0)</f>
        <v>0</v>
      </c>
    </row>
    <row r="5" spans="1:16" x14ac:dyDescent="0.25">
      <c r="A5" s="13" t="s">
        <v>28</v>
      </c>
      <c r="B5" s="432" t="s">
        <v>0</v>
      </c>
      <c r="C5" s="343" t="s">
        <v>27</v>
      </c>
      <c r="D5" s="436" t="s">
        <v>29</v>
      </c>
      <c r="G5" s="11"/>
      <c r="H5" s="3" t="s">
        <v>30</v>
      </c>
      <c r="I5" s="4" t="s">
        <v>31</v>
      </c>
      <c r="J5" s="4" t="s">
        <v>32</v>
      </c>
      <c r="K5" s="4" t="s">
        <v>34</v>
      </c>
      <c r="L5" s="4" t="s">
        <v>33</v>
      </c>
      <c r="M5" s="4" t="s">
        <v>35</v>
      </c>
      <c r="N5" s="4" t="s">
        <v>36</v>
      </c>
      <c r="O5" s="4" t="s">
        <v>37</v>
      </c>
      <c r="P5" s="5" t="s">
        <v>38</v>
      </c>
    </row>
    <row r="6" spans="1:16" x14ac:dyDescent="0.25">
      <c r="A6" s="1125">
        <v>10095</v>
      </c>
      <c r="B6" s="1126" t="s">
        <v>30</v>
      </c>
      <c r="C6" s="822" t="s">
        <v>97</v>
      </c>
      <c r="D6" s="823" t="s">
        <v>410</v>
      </c>
      <c r="F6">
        <v>3</v>
      </c>
      <c r="G6" s="12" t="str">
        <f t="shared" ref="G6:G23" si="0">HLOOKUP(1,$H$4:$Q$24,F6,FALSE)</f>
        <v>Bruin budget</v>
      </c>
      <c r="H6" s="6" t="s">
        <v>97</v>
      </c>
      <c r="I6" t="s">
        <v>97</v>
      </c>
      <c r="J6" t="s">
        <v>97</v>
      </c>
      <c r="K6" t="s">
        <v>40</v>
      </c>
      <c r="L6" t="s">
        <v>97</v>
      </c>
      <c r="M6" t="s">
        <v>97</v>
      </c>
      <c r="N6" t="s">
        <v>97</v>
      </c>
      <c r="O6" t="s">
        <v>40</v>
      </c>
      <c r="P6" s="7" t="s">
        <v>97</v>
      </c>
    </row>
    <row r="7" spans="1:16" x14ac:dyDescent="0.25">
      <c r="A7" s="1125">
        <v>10097</v>
      </c>
      <c r="B7" s="29" t="s">
        <v>30</v>
      </c>
      <c r="C7" s="789" t="s">
        <v>40</v>
      </c>
      <c r="D7" s="55" t="s">
        <v>413</v>
      </c>
      <c r="F7">
        <v>4</v>
      </c>
      <c r="G7" s="12" t="str">
        <f t="shared" si="0"/>
        <v>Bruin standaard</v>
      </c>
      <c r="H7" s="6" t="s">
        <v>40</v>
      </c>
      <c r="I7" t="s">
        <v>40</v>
      </c>
      <c r="J7" t="s">
        <v>40</v>
      </c>
      <c r="K7" t="str">
        <f t="shared" ref="K7:K10" si="1">" "</f>
        <v xml:space="preserve"> </v>
      </c>
      <c r="L7" t="s">
        <v>40</v>
      </c>
      <c r="M7" t="s">
        <v>40</v>
      </c>
      <c r="N7" t="s">
        <v>40</v>
      </c>
      <c r="O7" t="s">
        <v>889</v>
      </c>
      <c r="P7" s="7" t="s">
        <v>40</v>
      </c>
    </row>
    <row r="8" spans="1:16" x14ac:dyDescent="0.25">
      <c r="A8" s="1125">
        <v>10134</v>
      </c>
      <c r="B8" s="29" t="s">
        <v>30</v>
      </c>
      <c r="C8" s="789" t="s">
        <v>889</v>
      </c>
      <c r="D8" s="55" t="s">
        <v>424</v>
      </c>
      <c r="F8">
        <v>5</v>
      </c>
      <c r="G8" s="12" t="str">
        <f t="shared" si="0"/>
        <v>bruin extra sterk</v>
      </c>
      <c r="H8" s="6" t="s">
        <v>887</v>
      </c>
      <c r="I8" t="s">
        <v>887</v>
      </c>
      <c r="J8" t="s">
        <v>887</v>
      </c>
      <c r="K8" t="str">
        <f t="shared" si="1"/>
        <v xml:space="preserve"> </v>
      </c>
      <c r="L8" t="s">
        <v>98</v>
      </c>
      <c r="M8" t="s">
        <v>41</v>
      </c>
      <c r="N8" t="s">
        <v>887</v>
      </c>
      <c r="O8" t="str">
        <f t="shared" ref="H8:P17" si="2">" "</f>
        <v xml:space="preserve"> </v>
      </c>
      <c r="P8" s="7" t="s">
        <v>887</v>
      </c>
    </row>
    <row r="9" spans="1:16" x14ac:dyDescent="0.25">
      <c r="A9" s="1125">
        <v>10099</v>
      </c>
      <c r="B9" s="29" t="s">
        <v>30</v>
      </c>
      <c r="C9" s="789" t="s">
        <v>41</v>
      </c>
      <c r="D9" s="55" t="s">
        <v>417</v>
      </c>
      <c r="F9">
        <v>6</v>
      </c>
      <c r="G9" s="12" t="str">
        <f t="shared" si="0"/>
        <v>Wit standaard</v>
      </c>
      <c r="H9" s="6" t="s">
        <v>41</v>
      </c>
      <c r="I9" t="s">
        <v>41</v>
      </c>
      <c r="J9" t="s">
        <v>41</v>
      </c>
      <c r="K9" t="str">
        <f t="shared" si="1"/>
        <v xml:space="preserve"> </v>
      </c>
      <c r="L9" t="s">
        <v>41</v>
      </c>
      <c r="M9" t="str">
        <f t="shared" si="2"/>
        <v xml:space="preserve"> </v>
      </c>
      <c r="N9" t="s">
        <v>41</v>
      </c>
      <c r="O9" t="str">
        <f t="shared" si="2"/>
        <v xml:space="preserve"> </v>
      </c>
      <c r="P9" s="7" t="str">
        <f t="shared" si="2"/>
        <v xml:space="preserve"> </v>
      </c>
    </row>
    <row r="10" spans="1:16" x14ac:dyDescent="0.25">
      <c r="A10" s="1125">
        <v>10131</v>
      </c>
      <c r="B10" s="29" t="s">
        <v>30</v>
      </c>
      <c r="C10" s="789" t="s">
        <v>888</v>
      </c>
      <c r="D10" s="55" t="s">
        <v>426</v>
      </c>
      <c r="F10">
        <v>7</v>
      </c>
      <c r="G10" s="12" t="str">
        <f t="shared" si="0"/>
        <v>Wit extra sterk</v>
      </c>
      <c r="H10" s="6" t="s">
        <v>888</v>
      </c>
      <c r="I10" t="s">
        <v>888</v>
      </c>
      <c r="J10" t="str">
        <f t="shared" si="2"/>
        <v xml:space="preserve"> </v>
      </c>
      <c r="K10" t="str">
        <f t="shared" si="1"/>
        <v xml:space="preserve"> </v>
      </c>
      <c r="L10" t="str">
        <f t="shared" si="2"/>
        <v xml:space="preserve"> </v>
      </c>
      <c r="M10" t="str">
        <f t="shared" si="2"/>
        <v xml:space="preserve"> </v>
      </c>
      <c r="N10" t="str">
        <f t="shared" si="2"/>
        <v xml:space="preserve"> </v>
      </c>
      <c r="O10" t="str">
        <f t="shared" si="2"/>
        <v xml:space="preserve"> </v>
      </c>
      <c r="P10" s="7" t="str">
        <f t="shared" si="2"/>
        <v xml:space="preserve"> </v>
      </c>
    </row>
    <row r="11" spans="1:16" x14ac:dyDescent="0.25">
      <c r="A11" s="1125">
        <v>10326</v>
      </c>
      <c r="B11" s="29" t="s">
        <v>31</v>
      </c>
      <c r="C11" s="789" t="s">
        <v>97</v>
      </c>
      <c r="D11" s="55" t="s">
        <v>278</v>
      </c>
      <c r="F11">
        <v>8</v>
      </c>
      <c r="G11" s="12" t="str">
        <f t="shared" si="0"/>
        <v xml:space="preserve"> </v>
      </c>
      <c r="H11" s="6" t="str">
        <f t="shared" si="2"/>
        <v xml:space="preserve"> </v>
      </c>
      <c r="I11" t="str">
        <f>" "</f>
        <v xml:space="preserve"> </v>
      </c>
      <c r="J11" t="str">
        <f t="shared" si="2"/>
        <v xml:space="preserve"> </v>
      </c>
      <c r="K11" t="str">
        <f t="shared" si="2"/>
        <v xml:space="preserve"> </v>
      </c>
      <c r="L11" t="str">
        <f t="shared" si="2"/>
        <v xml:space="preserve"> </v>
      </c>
      <c r="M11" t="str">
        <f t="shared" si="2"/>
        <v xml:space="preserve"> </v>
      </c>
      <c r="N11" t="str">
        <f t="shared" si="2"/>
        <v xml:space="preserve"> </v>
      </c>
      <c r="O11" t="str">
        <f t="shared" si="2"/>
        <v xml:space="preserve"> </v>
      </c>
      <c r="P11" s="7" t="str">
        <f t="shared" si="2"/>
        <v xml:space="preserve"> </v>
      </c>
    </row>
    <row r="12" spans="1:16" x14ac:dyDescent="0.25">
      <c r="A12" s="1125">
        <v>10005</v>
      </c>
      <c r="B12" s="29" t="s">
        <v>31</v>
      </c>
      <c r="C12" s="789" t="s">
        <v>40</v>
      </c>
      <c r="D12" s="55" t="s">
        <v>43</v>
      </c>
      <c r="F12">
        <v>9</v>
      </c>
      <c r="G12" s="12" t="str">
        <f t="shared" si="0"/>
        <v xml:space="preserve"> </v>
      </c>
      <c r="H12" s="6" t="str">
        <f t="shared" si="2"/>
        <v xml:space="preserve"> </v>
      </c>
      <c r="I12" t="str">
        <f t="shared" ref="H12:P23" si="3">" "</f>
        <v xml:space="preserve"> </v>
      </c>
      <c r="J12" t="str">
        <f t="shared" si="2"/>
        <v xml:space="preserve"> </v>
      </c>
      <c r="K12" t="str">
        <f t="shared" si="2"/>
        <v xml:space="preserve"> </v>
      </c>
      <c r="L12" t="str">
        <f t="shared" si="2"/>
        <v xml:space="preserve"> </v>
      </c>
      <c r="M12" t="str">
        <f t="shared" si="2"/>
        <v xml:space="preserve"> </v>
      </c>
      <c r="N12" t="str">
        <f t="shared" si="2"/>
        <v xml:space="preserve"> </v>
      </c>
      <c r="O12" t="str">
        <f t="shared" si="2"/>
        <v xml:space="preserve"> </v>
      </c>
      <c r="P12" s="7" t="str">
        <f t="shared" si="2"/>
        <v xml:space="preserve"> </v>
      </c>
    </row>
    <row r="13" spans="1:16" x14ac:dyDescent="0.25">
      <c r="A13" s="1125">
        <v>10017</v>
      </c>
      <c r="B13" s="29" t="s">
        <v>31</v>
      </c>
      <c r="C13" s="789" t="s">
        <v>887</v>
      </c>
      <c r="D13" s="55" t="s">
        <v>44</v>
      </c>
      <c r="F13">
        <v>10</v>
      </c>
      <c r="G13" s="12" t="str">
        <f t="shared" si="0"/>
        <v xml:space="preserve"> </v>
      </c>
      <c r="H13" s="6" t="str">
        <f t="shared" si="2"/>
        <v xml:space="preserve"> </v>
      </c>
      <c r="I13" t="str">
        <f t="shared" si="3"/>
        <v xml:space="preserve"> </v>
      </c>
      <c r="J13" t="str">
        <f t="shared" si="2"/>
        <v xml:space="preserve"> </v>
      </c>
      <c r="K13" t="str">
        <f t="shared" si="2"/>
        <v xml:space="preserve"> </v>
      </c>
      <c r="L13" t="str">
        <f t="shared" si="2"/>
        <v xml:space="preserve"> </v>
      </c>
      <c r="M13" t="str">
        <f t="shared" si="2"/>
        <v xml:space="preserve"> </v>
      </c>
      <c r="N13" t="str">
        <f t="shared" si="2"/>
        <v xml:space="preserve"> </v>
      </c>
      <c r="O13" t="str">
        <f t="shared" si="2"/>
        <v xml:space="preserve"> </v>
      </c>
      <c r="P13" s="7" t="str">
        <f t="shared" si="2"/>
        <v xml:space="preserve"> </v>
      </c>
    </row>
    <row r="14" spans="1:16" x14ac:dyDescent="0.25">
      <c r="A14" s="1125">
        <v>10002</v>
      </c>
      <c r="B14" s="29" t="s">
        <v>31</v>
      </c>
      <c r="C14" s="789" t="s">
        <v>41</v>
      </c>
      <c r="D14" s="55" t="s">
        <v>45</v>
      </c>
      <c r="F14">
        <v>11</v>
      </c>
      <c r="G14" s="12" t="str">
        <f t="shared" si="0"/>
        <v xml:space="preserve"> </v>
      </c>
      <c r="H14" s="6" t="str">
        <f t="shared" si="2"/>
        <v xml:space="preserve"> </v>
      </c>
      <c r="I14" t="str">
        <f t="shared" si="3"/>
        <v xml:space="preserve"> </v>
      </c>
      <c r="J14" t="str">
        <f t="shared" si="2"/>
        <v xml:space="preserve"> </v>
      </c>
      <c r="K14" t="str">
        <f t="shared" si="2"/>
        <v xml:space="preserve"> </v>
      </c>
      <c r="L14" t="str">
        <f t="shared" si="2"/>
        <v xml:space="preserve"> </v>
      </c>
      <c r="M14" t="str">
        <f t="shared" si="2"/>
        <v xml:space="preserve"> </v>
      </c>
      <c r="N14" t="str">
        <f t="shared" si="2"/>
        <v xml:space="preserve"> </v>
      </c>
      <c r="O14" t="str">
        <f t="shared" si="2"/>
        <v xml:space="preserve"> </v>
      </c>
      <c r="P14" s="7" t="str">
        <f t="shared" si="2"/>
        <v xml:space="preserve"> </v>
      </c>
    </row>
    <row r="15" spans="1:16" x14ac:dyDescent="0.25">
      <c r="A15" s="1125">
        <v>10010</v>
      </c>
      <c r="B15" s="29" t="s">
        <v>31</v>
      </c>
      <c r="C15" s="789" t="s">
        <v>888</v>
      </c>
      <c r="D15" s="55" t="s">
        <v>46</v>
      </c>
      <c r="F15">
        <v>12</v>
      </c>
      <c r="G15" s="12" t="str">
        <f t="shared" si="0"/>
        <v xml:space="preserve"> </v>
      </c>
      <c r="H15" s="6" t="str">
        <f t="shared" si="2"/>
        <v xml:space="preserve"> </v>
      </c>
      <c r="I15" t="str">
        <f t="shared" si="3"/>
        <v xml:space="preserve"> </v>
      </c>
      <c r="J15" t="str">
        <f t="shared" si="2"/>
        <v xml:space="preserve"> </v>
      </c>
      <c r="K15" t="str">
        <f t="shared" si="2"/>
        <v xml:space="preserve"> </v>
      </c>
      <c r="L15" t="str">
        <f t="shared" si="2"/>
        <v xml:space="preserve"> </v>
      </c>
      <c r="M15" t="str">
        <f t="shared" si="2"/>
        <v xml:space="preserve"> </v>
      </c>
      <c r="N15" t="str">
        <f t="shared" si="2"/>
        <v xml:space="preserve"> </v>
      </c>
      <c r="O15" t="str">
        <f t="shared" si="2"/>
        <v xml:space="preserve"> </v>
      </c>
      <c r="P15" s="7" t="str">
        <f t="shared" si="2"/>
        <v xml:space="preserve"> </v>
      </c>
    </row>
    <row r="16" spans="1:16" x14ac:dyDescent="0.25">
      <c r="A16" s="1125">
        <v>10053</v>
      </c>
      <c r="B16" s="29" t="s">
        <v>32</v>
      </c>
      <c r="C16" s="789" t="s">
        <v>97</v>
      </c>
      <c r="D16" s="55" t="s">
        <v>371</v>
      </c>
      <c r="F16">
        <v>13</v>
      </c>
      <c r="G16" s="12" t="str">
        <f t="shared" si="0"/>
        <v xml:space="preserve"> </v>
      </c>
      <c r="H16" s="6" t="str">
        <f t="shared" si="2"/>
        <v xml:space="preserve"> </v>
      </c>
      <c r="I16" t="str">
        <f t="shared" si="3"/>
        <v xml:space="preserve"> </v>
      </c>
      <c r="J16" t="str">
        <f t="shared" si="2"/>
        <v xml:space="preserve"> </v>
      </c>
      <c r="K16" t="str">
        <f t="shared" si="2"/>
        <v xml:space="preserve"> </v>
      </c>
      <c r="L16" t="str">
        <f t="shared" si="2"/>
        <v xml:space="preserve"> </v>
      </c>
      <c r="M16" t="str">
        <f t="shared" si="2"/>
        <v xml:space="preserve"> </v>
      </c>
      <c r="N16" t="str">
        <f t="shared" si="2"/>
        <v xml:space="preserve"> </v>
      </c>
      <c r="O16" t="str">
        <f t="shared" si="2"/>
        <v xml:space="preserve"> </v>
      </c>
      <c r="P16" s="7" t="str">
        <f t="shared" si="2"/>
        <v xml:space="preserve"> </v>
      </c>
    </row>
    <row r="17" spans="1:16" x14ac:dyDescent="0.25">
      <c r="A17" s="1125">
        <v>10193</v>
      </c>
      <c r="B17" s="29" t="s">
        <v>32</v>
      </c>
      <c r="C17" s="789" t="s">
        <v>40</v>
      </c>
      <c r="D17" s="55" t="s">
        <v>379</v>
      </c>
      <c r="F17">
        <v>14</v>
      </c>
      <c r="G17" s="12" t="str">
        <f t="shared" si="0"/>
        <v xml:space="preserve"> </v>
      </c>
      <c r="H17" s="6" t="str">
        <f t="shared" si="2"/>
        <v xml:space="preserve"> </v>
      </c>
      <c r="I17" t="str">
        <f t="shared" si="3"/>
        <v xml:space="preserve"> </v>
      </c>
      <c r="J17" t="str">
        <f t="shared" si="2"/>
        <v xml:space="preserve"> </v>
      </c>
      <c r="K17" t="str">
        <f t="shared" si="2"/>
        <v xml:space="preserve"> </v>
      </c>
      <c r="L17" t="str">
        <f t="shared" si="2"/>
        <v xml:space="preserve"> </v>
      </c>
      <c r="M17" t="str">
        <f t="shared" si="2"/>
        <v xml:space="preserve"> </v>
      </c>
      <c r="N17" t="str">
        <f t="shared" si="2"/>
        <v xml:space="preserve"> </v>
      </c>
      <c r="O17" t="str">
        <f t="shared" si="2"/>
        <v xml:space="preserve"> </v>
      </c>
      <c r="P17" s="7" t="str">
        <f t="shared" si="2"/>
        <v xml:space="preserve"> </v>
      </c>
    </row>
    <row r="18" spans="1:16" x14ac:dyDescent="0.25">
      <c r="A18" s="1125">
        <v>10050</v>
      </c>
      <c r="B18" s="29" t="s">
        <v>32</v>
      </c>
      <c r="C18" s="789" t="s">
        <v>889</v>
      </c>
      <c r="D18" s="55" t="s">
        <v>385</v>
      </c>
      <c r="F18">
        <v>15</v>
      </c>
      <c r="G18" s="12" t="str">
        <f t="shared" si="0"/>
        <v xml:space="preserve"> </v>
      </c>
      <c r="H18" s="6" t="str">
        <f t="shared" si="3"/>
        <v xml:space="preserve"> </v>
      </c>
      <c r="I18" t="str">
        <f t="shared" si="3"/>
        <v xml:space="preserve"> </v>
      </c>
      <c r="J18" t="str">
        <f t="shared" si="3"/>
        <v xml:space="preserve"> </v>
      </c>
      <c r="K18" t="str">
        <f t="shared" si="3"/>
        <v xml:space="preserve"> </v>
      </c>
      <c r="L18" t="str">
        <f t="shared" si="3"/>
        <v xml:space="preserve"> </v>
      </c>
      <c r="M18" t="str">
        <f t="shared" si="3"/>
        <v xml:space="preserve"> </v>
      </c>
      <c r="N18" t="str">
        <f t="shared" si="3"/>
        <v xml:space="preserve"> </v>
      </c>
      <c r="O18" t="str">
        <f t="shared" si="3"/>
        <v xml:space="preserve"> </v>
      </c>
      <c r="P18" s="7" t="str">
        <f t="shared" si="3"/>
        <v xml:space="preserve"> </v>
      </c>
    </row>
    <row r="19" spans="1:16" x14ac:dyDescent="0.25">
      <c r="A19" s="1125">
        <v>10221</v>
      </c>
      <c r="B19" s="29" t="s">
        <v>32</v>
      </c>
      <c r="C19" s="789" t="s">
        <v>41</v>
      </c>
      <c r="D19" s="55" t="s">
        <v>390</v>
      </c>
      <c r="F19">
        <v>16</v>
      </c>
      <c r="G19" s="12" t="str">
        <f t="shared" si="0"/>
        <v xml:space="preserve"> </v>
      </c>
      <c r="H19" s="6" t="str">
        <f t="shared" si="3"/>
        <v xml:space="preserve"> </v>
      </c>
      <c r="I19" t="str">
        <f t="shared" si="3"/>
        <v xml:space="preserve"> </v>
      </c>
      <c r="J19" t="str">
        <f t="shared" si="3"/>
        <v xml:space="preserve"> </v>
      </c>
      <c r="K19" t="str">
        <f t="shared" si="3"/>
        <v xml:space="preserve"> </v>
      </c>
      <c r="L19" t="str">
        <f t="shared" si="3"/>
        <v xml:space="preserve"> </v>
      </c>
      <c r="M19" t="str">
        <f t="shared" si="3"/>
        <v xml:space="preserve"> </v>
      </c>
      <c r="N19" t="str">
        <f t="shared" si="3"/>
        <v xml:space="preserve"> </v>
      </c>
      <c r="O19" t="str">
        <f t="shared" si="3"/>
        <v xml:space="preserve"> </v>
      </c>
      <c r="P19" s="7" t="str">
        <f t="shared" si="3"/>
        <v xml:space="preserve"> </v>
      </c>
    </row>
    <row r="20" spans="1:16" x14ac:dyDescent="0.25">
      <c r="A20" s="1125">
        <v>10339</v>
      </c>
      <c r="B20" s="29" t="s">
        <v>34</v>
      </c>
      <c r="C20" s="789" t="s">
        <v>40</v>
      </c>
      <c r="D20" s="55" t="s">
        <v>1087</v>
      </c>
      <c r="F20">
        <v>17</v>
      </c>
      <c r="G20" s="12" t="str">
        <f t="shared" si="0"/>
        <v xml:space="preserve"> </v>
      </c>
      <c r="H20" s="6" t="str">
        <f t="shared" si="3"/>
        <v xml:space="preserve"> </v>
      </c>
      <c r="I20" t="str">
        <f t="shared" si="3"/>
        <v xml:space="preserve"> </v>
      </c>
      <c r="J20" t="str">
        <f t="shared" si="3"/>
        <v xml:space="preserve"> </v>
      </c>
      <c r="K20" t="str">
        <f t="shared" si="3"/>
        <v xml:space="preserve"> </v>
      </c>
      <c r="L20" t="str">
        <f t="shared" si="3"/>
        <v xml:space="preserve"> </v>
      </c>
      <c r="M20" t="str">
        <f t="shared" si="3"/>
        <v xml:space="preserve"> </v>
      </c>
      <c r="N20" t="str">
        <f t="shared" si="3"/>
        <v xml:space="preserve"> </v>
      </c>
      <c r="O20" t="str">
        <f t="shared" si="3"/>
        <v xml:space="preserve"> </v>
      </c>
      <c r="P20" s="7" t="str">
        <f t="shared" si="3"/>
        <v xml:space="preserve"> </v>
      </c>
    </row>
    <row r="21" spans="1:16" x14ac:dyDescent="0.25">
      <c r="A21" s="1125">
        <v>10335</v>
      </c>
      <c r="B21" s="29" t="s">
        <v>33</v>
      </c>
      <c r="C21" s="789" t="s">
        <v>97</v>
      </c>
      <c r="D21" s="55" t="s">
        <v>441</v>
      </c>
      <c r="F21">
        <v>18</v>
      </c>
      <c r="G21" s="12" t="str">
        <f t="shared" si="0"/>
        <v xml:space="preserve"> </v>
      </c>
      <c r="H21" s="6" t="str">
        <f t="shared" si="3"/>
        <v xml:space="preserve"> </v>
      </c>
      <c r="I21" t="str">
        <f t="shared" si="3"/>
        <v xml:space="preserve"> </v>
      </c>
      <c r="J21" t="str">
        <f t="shared" si="3"/>
        <v xml:space="preserve"> </v>
      </c>
      <c r="K21" t="str">
        <f t="shared" si="3"/>
        <v xml:space="preserve"> </v>
      </c>
      <c r="L21" t="str">
        <f t="shared" si="3"/>
        <v xml:space="preserve"> </v>
      </c>
      <c r="M21" t="str">
        <f t="shared" si="3"/>
        <v xml:space="preserve"> </v>
      </c>
      <c r="N21" t="str">
        <f t="shared" si="3"/>
        <v xml:space="preserve"> </v>
      </c>
      <c r="O21" t="str">
        <f t="shared" si="3"/>
        <v xml:space="preserve"> </v>
      </c>
      <c r="P21" s="7" t="str">
        <f t="shared" si="3"/>
        <v xml:space="preserve"> </v>
      </c>
    </row>
    <row r="22" spans="1:16" x14ac:dyDescent="0.25">
      <c r="A22" s="1125">
        <v>10368</v>
      </c>
      <c r="B22" s="29" t="s">
        <v>33</v>
      </c>
      <c r="C22" s="789" t="s">
        <v>40</v>
      </c>
      <c r="D22" s="55" t="s">
        <v>449</v>
      </c>
      <c r="F22">
        <v>19</v>
      </c>
      <c r="G22" s="12" t="str">
        <f t="shared" si="0"/>
        <v xml:space="preserve"> </v>
      </c>
      <c r="H22" s="6" t="str">
        <f t="shared" si="3"/>
        <v xml:space="preserve"> </v>
      </c>
      <c r="I22" t="str">
        <f t="shared" si="3"/>
        <v xml:space="preserve"> </v>
      </c>
      <c r="J22" t="str">
        <f t="shared" si="3"/>
        <v xml:space="preserve"> </v>
      </c>
      <c r="K22" t="str">
        <f t="shared" si="3"/>
        <v xml:space="preserve"> </v>
      </c>
      <c r="L22" t="str">
        <f t="shared" si="3"/>
        <v xml:space="preserve"> </v>
      </c>
      <c r="M22" t="str">
        <f t="shared" si="3"/>
        <v xml:space="preserve"> </v>
      </c>
      <c r="N22" t="str">
        <f t="shared" si="3"/>
        <v xml:space="preserve"> </v>
      </c>
      <c r="O22" t="str">
        <f t="shared" si="3"/>
        <v xml:space="preserve"> </v>
      </c>
      <c r="P22" s="7" t="str">
        <f t="shared" si="3"/>
        <v xml:space="preserve"> </v>
      </c>
    </row>
    <row r="23" spans="1:16" x14ac:dyDescent="0.25">
      <c r="A23" s="1125">
        <v>10136</v>
      </c>
      <c r="B23" s="29" t="s">
        <v>33</v>
      </c>
      <c r="C23" s="789" t="s">
        <v>98</v>
      </c>
      <c r="D23" s="55" t="s">
        <v>443</v>
      </c>
      <c r="F23">
        <v>20</v>
      </c>
      <c r="G23" s="13" t="str">
        <f t="shared" si="0"/>
        <v xml:space="preserve"> </v>
      </c>
      <c r="H23" s="8" t="str">
        <f t="shared" si="3"/>
        <v xml:space="preserve"> </v>
      </c>
      <c r="I23" s="9" t="str">
        <f t="shared" si="3"/>
        <v xml:space="preserve"> </v>
      </c>
      <c r="J23" s="9" t="str">
        <f t="shared" si="3"/>
        <v xml:space="preserve"> </v>
      </c>
      <c r="K23" s="9" t="str">
        <f t="shared" si="3"/>
        <v xml:space="preserve"> </v>
      </c>
      <c r="L23" s="9" t="str">
        <f t="shared" si="3"/>
        <v xml:space="preserve"> </v>
      </c>
      <c r="M23" s="9" t="str">
        <f t="shared" si="3"/>
        <v xml:space="preserve"> </v>
      </c>
      <c r="N23" s="9" t="str">
        <f t="shared" si="3"/>
        <v xml:space="preserve"> </v>
      </c>
      <c r="O23" s="9" t="str">
        <f t="shared" si="3"/>
        <v xml:space="preserve"> </v>
      </c>
      <c r="P23" s="10" t="str">
        <f t="shared" si="3"/>
        <v xml:space="preserve"> </v>
      </c>
    </row>
    <row r="24" spans="1:16" x14ac:dyDescent="0.25">
      <c r="A24" s="1125">
        <v>10140</v>
      </c>
      <c r="B24" s="29" t="s">
        <v>33</v>
      </c>
      <c r="C24" s="789" t="s">
        <v>41</v>
      </c>
      <c r="D24" s="55" t="s">
        <v>445</v>
      </c>
    </row>
    <row r="25" spans="1:16" x14ac:dyDescent="0.25">
      <c r="A25" s="1125">
        <v>10197</v>
      </c>
      <c r="B25" s="29" t="s">
        <v>35</v>
      </c>
      <c r="C25" s="789" t="s">
        <v>97</v>
      </c>
      <c r="D25" s="55" t="s">
        <v>452</v>
      </c>
    </row>
    <row r="26" spans="1:16" x14ac:dyDescent="0.25">
      <c r="A26" s="1125">
        <v>10199</v>
      </c>
      <c r="B26" s="29" t="s">
        <v>35</v>
      </c>
      <c r="C26" s="789" t="s">
        <v>40</v>
      </c>
      <c r="D26" s="55" t="s">
        <v>454</v>
      </c>
    </row>
    <row r="27" spans="1:16" x14ac:dyDescent="0.25">
      <c r="A27" s="1125">
        <v>10200</v>
      </c>
      <c r="B27" s="29" t="s">
        <v>35</v>
      </c>
      <c r="C27" s="789" t="s">
        <v>41</v>
      </c>
      <c r="D27" s="55" t="s">
        <v>456</v>
      </c>
    </row>
    <row r="28" spans="1:16" x14ac:dyDescent="0.25">
      <c r="A28" s="1125">
        <v>10178</v>
      </c>
      <c r="B28" s="29" t="s">
        <v>36</v>
      </c>
      <c r="C28" s="789" t="s">
        <v>97</v>
      </c>
      <c r="D28" s="55" t="s">
        <v>327</v>
      </c>
    </row>
    <row r="29" spans="1:16" x14ac:dyDescent="0.25">
      <c r="A29" s="1125">
        <v>10158</v>
      </c>
      <c r="B29" s="29" t="s">
        <v>36</v>
      </c>
      <c r="C29" s="789" t="s">
        <v>40</v>
      </c>
      <c r="D29" s="55" t="s">
        <v>336</v>
      </c>
    </row>
    <row r="30" spans="1:16" x14ac:dyDescent="0.25">
      <c r="A30" s="1125">
        <v>10183</v>
      </c>
      <c r="B30" s="29" t="s">
        <v>36</v>
      </c>
      <c r="C30" s="789" t="s">
        <v>887</v>
      </c>
      <c r="D30" s="55" t="s">
        <v>347</v>
      </c>
    </row>
    <row r="31" spans="1:16" x14ac:dyDescent="0.25">
      <c r="A31" s="1125">
        <v>10181</v>
      </c>
      <c r="B31" s="29" t="s">
        <v>36</v>
      </c>
      <c r="C31" s="789" t="s">
        <v>41</v>
      </c>
      <c r="D31" s="55" t="s">
        <v>332</v>
      </c>
    </row>
    <row r="32" spans="1:16" x14ac:dyDescent="0.25">
      <c r="A32" s="1125">
        <v>10214</v>
      </c>
      <c r="B32" s="29" t="s">
        <v>37</v>
      </c>
      <c r="C32" s="789" t="s">
        <v>40</v>
      </c>
      <c r="D32" s="55" t="s">
        <v>393</v>
      </c>
      <c r="G32" s="2"/>
      <c r="H32" s="2"/>
      <c r="I32" s="2"/>
      <c r="J32" s="2"/>
      <c r="K32" s="2"/>
    </row>
    <row r="33" spans="1:4" x14ac:dyDescent="0.25">
      <c r="A33" s="1125">
        <v>10215</v>
      </c>
      <c r="B33" s="29" t="s">
        <v>37</v>
      </c>
      <c r="C33" s="789" t="s">
        <v>889</v>
      </c>
      <c r="D33" s="55" t="s">
        <v>395</v>
      </c>
    </row>
    <row r="34" spans="1:4" x14ac:dyDescent="0.25">
      <c r="A34" s="1125">
        <v>10216</v>
      </c>
      <c r="B34" s="29" t="s">
        <v>38</v>
      </c>
      <c r="C34" s="789" t="s">
        <v>97</v>
      </c>
      <c r="D34" s="55" t="s">
        <v>400</v>
      </c>
    </row>
    <row r="35" spans="1:4" x14ac:dyDescent="0.25">
      <c r="A35" s="1125">
        <v>10218</v>
      </c>
      <c r="B35" s="29" t="s">
        <v>38</v>
      </c>
      <c r="C35" s="789" t="s">
        <v>40</v>
      </c>
      <c r="D35" s="55" t="s">
        <v>404</v>
      </c>
    </row>
    <row r="36" spans="1:4" x14ac:dyDescent="0.25">
      <c r="A36" s="1125">
        <v>10220</v>
      </c>
      <c r="B36" s="29" t="s">
        <v>38</v>
      </c>
      <c r="C36" s="789" t="s">
        <v>887</v>
      </c>
      <c r="D36" s="55" t="s">
        <v>408</v>
      </c>
    </row>
    <row r="37" spans="1:4" x14ac:dyDescent="0.25">
      <c r="A37" s="12"/>
      <c r="B37" s="29"/>
      <c r="C37" s="789"/>
      <c r="D37" s="55"/>
    </row>
    <row r="38" spans="1:4" x14ac:dyDescent="0.25">
      <c r="A38" s="12"/>
      <c r="B38" s="29"/>
      <c r="C38" s="789"/>
      <c r="D38" s="55"/>
    </row>
    <row r="39" spans="1:4" x14ac:dyDescent="0.25">
      <c r="A39" s="12"/>
      <c r="B39" s="29"/>
      <c r="C39" s="789"/>
      <c r="D39" s="55"/>
    </row>
    <row r="40" spans="1:4" x14ac:dyDescent="0.25">
      <c r="A40" s="12"/>
      <c r="B40" s="29"/>
      <c r="C40" s="789"/>
      <c r="D40" s="55"/>
    </row>
    <row r="41" spans="1:4" x14ac:dyDescent="0.25">
      <c r="A41" s="12"/>
      <c r="B41" s="29"/>
      <c r="C41" s="789"/>
      <c r="D41" s="55"/>
    </row>
    <row r="42" spans="1:4" x14ac:dyDescent="0.25">
      <c r="A42" s="12"/>
      <c r="B42" s="29"/>
      <c r="C42" s="789"/>
      <c r="D42" s="55"/>
    </row>
    <row r="43" spans="1:4" x14ac:dyDescent="0.25">
      <c r="A43" s="12"/>
      <c r="B43" s="29"/>
      <c r="C43" s="789"/>
      <c r="D43" s="55"/>
    </row>
    <row r="44" spans="1:4" x14ac:dyDescent="0.25">
      <c r="A44" s="12"/>
      <c r="B44" s="29"/>
      <c r="C44" s="789"/>
      <c r="D44" s="55"/>
    </row>
    <row r="45" spans="1:4" x14ac:dyDescent="0.25">
      <c r="A45" s="12"/>
      <c r="B45" s="29"/>
      <c r="C45" s="789"/>
      <c r="D45" s="55"/>
    </row>
    <row r="46" spans="1:4" x14ac:dyDescent="0.25">
      <c r="A46" s="12"/>
      <c r="B46" s="29"/>
      <c r="C46" s="789"/>
      <c r="D46" s="55"/>
    </row>
    <row r="47" spans="1:4" x14ac:dyDescent="0.25">
      <c r="A47" s="12"/>
      <c r="B47" s="29"/>
      <c r="C47" s="789"/>
      <c r="D47" s="55"/>
    </row>
    <row r="48" spans="1:4" x14ac:dyDescent="0.25">
      <c r="A48" s="12"/>
      <c r="B48" s="29"/>
      <c r="C48" s="789"/>
      <c r="D48" s="55"/>
    </row>
    <row r="49" spans="1:4" x14ac:dyDescent="0.25">
      <c r="A49" s="12"/>
      <c r="B49" s="29"/>
      <c r="C49" s="789"/>
      <c r="D49" s="55"/>
    </row>
    <row r="50" spans="1:4" x14ac:dyDescent="0.25">
      <c r="A50" s="12"/>
      <c r="B50" s="29"/>
      <c r="C50" s="789"/>
      <c r="D50" s="55"/>
    </row>
    <row r="51" spans="1:4" x14ac:dyDescent="0.25">
      <c r="A51" s="12"/>
      <c r="B51" s="29"/>
      <c r="C51" s="789"/>
      <c r="D51" s="55"/>
    </row>
    <row r="52" spans="1:4" x14ac:dyDescent="0.25">
      <c r="A52" s="12"/>
      <c r="B52" s="29"/>
      <c r="C52" s="789"/>
      <c r="D52" s="55"/>
    </row>
    <row r="53" spans="1:4" x14ac:dyDescent="0.25">
      <c r="A53" s="12"/>
      <c r="B53" s="29"/>
      <c r="C53" s="789"/>
      <c r="D53" s="55"/>
    </row>
    <row r="54" spans="1:4" x14ac:dyDescent="0.25">
      <c r="A54" s="12"/>
      <c r="B54" s="29"/>
      <c r="C54" s="789"/>
      <c r="D54" s="55"/>
    </row>
    <row r="55" spans="1:4" x14ac:dyDescent="0.25">
      <c r="A55" s="12"/>
      <c r="B55" s="29"/>
      <c r="C55" s="789"/>
      <c r="D55" s="55"/>
    </row>
    <row r="56" spans="1:4" x14ac:dyDescent="0.25">
      <c r="A56" s="12"/>
      <c r="B56" s="29"/>
      <c r="C56" s="789"/>
      <c r="D56" s="55"/>
    </row>
    <row r="57" spans="1:4" x14ac:dyDescent="0.25">
      <c r="A57" s="12"/>
      <c r="B57" s="29"/>
      <c r="C57" s="789"/>
      <c r="D57" s="55"/>
    </row>
    <row r="58" spans="1:4" x14ac:dyDescent="0.25">
      <c r="A58" s="12"/>
      <c r="B58" s="29"/>
      <c r="C58" s="789"/>
      <c r="D58" s="55"/>
    </row>
    <row r="59" spans="1:4" x14ac:dyDescent="0.25">
      <c r="A59" s="12"/>
      <c r="B59" s="29"/>
      <c r="C59" s="789"/>
      <c r="D59" s="55"/>
    </row>
    <row r="60" spans="1:4" x14ac:dyDescent="0.25">
      <c r="A60" s="12"/>
      <c r="B60" s="29"/>
      <c r="C60" s="789"/>
      <c r="D60" s="55"/>
    </row>
    <row r="61" spans="1:4" x14ac:dyDescent="0.25">
      <c r="A61" s="12"/>
      <c r="B61" s="29"/>
      <c r="C61" s="789"/>
      <c r="D61" s="55"/>
    </row>
    <row r="62" spans="1:4" x14ac:dyDescent="0.25">
      <c r="A62" s="12"/>
      <c r="B62" s="29"/>
      <c r="C62" s="789"/>
      <c r="D62" s="55"/>
    </row>
    <row r="63" spans="1:4" x14ac:dyDescent="0.25">
      <c r="A63" s="12"/>
      <c r="B63" s="29"/>
      <c r="C63" s="789"/>
      <c r="D63" s="55"/>
    </row>
    <row r="64" spans="1:4" x14ac:dyDescent="0.25">
      <c r="A64" s="12"/>
      <c r="B64" s="29"/>
      <c r="C64" s="789"/>
      <c r="D64" s="55"/>
    </row>
    <row r="65" spans="1:4" x14ac:dyDescent="0.25">
      <c r="A65" s="12"/>
      <c r="B65" s="29"/>
      <c r="C65" s="789"/>
      <c r="D65" s="55"/>
    </row>
    <row r="66" spans="1:4" x14ac:dyDescent="0.25">
      <c r="A66" s="12"/>
      <c r="B66" s="29"/>
      <c r="C66" s="789"/>
      <c r="D66" s="55"/>
    </row>
    <row r="67" spans="1:4" x14ac:dyDescent="0.25">
      <c r="A67" s="12"/>
      <c r="B67" s="29"/>
      <c r="C67" s="789"/>
      <c r="D67" s="55"/>
    </row>
    <row r="68" spans="1:4" x14ac:dyDescent="0.25">
      <c r="A68" s="12"/>
      <c r="B68" s="29"/>
      <c r="C68" s="789"/>
      <c r="D68" s="55"/>
    </row>
    <row r="69" spans="1:4" x14ac:dyDescent="0.25">
      <c r="A69" s="12"/>
      <c r="B69" s="29"/>
      <c r="C69" s="789"/>
      <c r="D69" s="55"/>
    </row>
    <row r="70" spans="1:4" x14ac:dyDescent="0.25">
      <c r="A70" s="12"/>
      <c r="B70" s="29"/>
      <c r="C70" s="789"/>
      <c r="D70" s="55"/>
    </row>
    <row r="71" spans="1:4" x14ac:dyDescent="0.25">
      <c r="A71" s="12"/>
      <c r="B71" s="29"/>
      <c r="C71" s="789"/>
      <c r="D71" s="55"/>
    </row>
    <row r="72" spans="1:4" x14ac:dyDescent="0.25">
      <c r="A72" s="12"/>
      <c r="B72" s="29"/>
      <c r="C72" s="789"/>
      <c r="D72" s="55"/>
    </row>
    <row r="73" spans="1:4" x14ac:dyDescent="0.25">
      <c r="A73" s="12"/>
      <c r="B73" s="29"/>
      <c r="C73" s="789"/>
      <c r="D73" s="55"/>
    </row>
    <row r="74" spans="1:4" x14ac:dyDescent="0.25">
      <c r="A74" s="12"/>
      <c r="B74" s="29"/>
      <c r="C74" s="789"/>
      <c r="D74" s="55"/>
    </row>
    <row r="75" spans="1:4" x14ac:dyDescent="0.25">
      <c r="A75" s="12"/>
      <c r="B75" s="29"/>
      <c r="C75" s="789"/>
      <c r="D75" s="55"/>
    </row>
    <row r="76" spans="1:4" x14ac:dyDescent="0.25">
      <c r="A76" s="12"/>
      <c r="B76" s="29"/>
      <c r="C76" s="789"/>
      <c r="D76" s="55"/>
    </row>
    <row r="77" spans="1:4" x14ac:dyDescent="0.25">
      <c r="A77" s="12"/>
      <c r="B77" s="29"/>
      <c r="C77" s="789"/>
      <c r="D77" s="55"/>
    </row>
    <row r="78" spans="1:4" x14ac:dyDescent="0.25">
      <c r="A78" s="12"/>
      <c r="B78" s="29"/>
      <c r="C78" s="789"/>
      <c r="D78" s="55"/>
    </row>
    <row r="79" spans="1:4" x14ac:dyDescent="0.25">
      <c r="A79" s="12"/>
      <c r="B79" s="29"/>
      <c r="C79" s="789"/>
      <c r="D79" s="55"/>
    </row>
    <row r="80" spans="1:4" x14ac:dyDescent="0.25">
      <c r="A80" s="12"/>
      <c r="B80" s="29"/>
      <c r="C80" s="789"/>
      <c r="D80" s="55"/>
    </row>
    <row r="81" spans="1:4" x14ac:dyDescent="0.25">
      <c r="A81" s="12"/>
      <c r="B81" s="29"/>
      <c r="C81" s="789"/>
      <c r="D81" s="55"/>
    </row>
    <row r="82" spans="1:4" x14ac:dyDescent="0.25">
      <c r="A82" s="12"/>
      <c r="B82" s="29"/>
      <c r="C82" s="789"/>
      <c r="D82" s="55"/>
    </row>
    <row r="83" spans="1:4" x14ac:dyDescent="0.25">
      <c r="A83" s="12"/>
      <c r="B83" s="29"/>
      <c r="C83" s="789"/>
      <c r="D83" s="55"/>
    </row>
    <row r="84" spans="1:4" x14ac:dyDescent="0.25">
      <c r="A84" s="12"/>
      <c r="B84" s="29"/>
      <c r="C84" s="789"/>
      <c r="D84" s="55"/>
    </row>
    <row r="85" spans="1:4" x14ac:dyDescent="0.25">
      <c r="A85" s="12"/>
      <c r="B85" s="29"/>
      <c r="C85" s="789"/>
      <c r="D85" s="55"/>
    </row>
    <row r="86" spans="1:4" x14ac:dyDescent="0.25">
      <c r="A86" s="12"/>
      <c r="B86" s="29"/>
      <c r="C86" s="789"/>
      <c r="D86" s="55"/>
    </row>
    <row r="87" spans="1:4" x14ac:dyDescent="0.25">
      <c r="A87" s="12"/>
      <c r="B87" s="29"/>
      <c r="C87" s="789"/>
      <c r="D87" s="55"/>
    </row>
    <row r="88" spans="1:4" x14ac:dyDescent="0.25">
      <c r="A88" s="12"/>
      <c r="B88" s="29"/>
      <c r="C88" s="789"/>
      <c r="D88" s="55"/>
    </row>
    <row r="89" spans="1:4" x14ac:dyDescent="0.25">
      <c r="A89" s="12"/>
      <c r="B89" s="29"/>
      <c r="C89" s="789"/>
      <c r="D89" s="55"/>
    </row>
    <row r="90" spans="1:4" x14ac:dyDescent="0.25">
      <c r="A90" s="12"/>
      <c r="B90" s="29"/>
      <c r="C90" s="789"/>
      <c r="D90" s="55"/>
    </row>
    <row r="91" spans="1:4" x14ac:dyDescent="0.25">
      <c r="A91" s="12"/>
      <c r="B91" s="29"/>
      <c r="C91" s="789"/>
      <c r="D91" s="55"/>
    </row>
    <row r="92" spans="1:4" x14ac:dyDescent="0.25">
      <c r="A92" s="12"/>
      <c r="B92" s="29"/>
      <c r="C92" s="789"/>
      <c r="D92" s="55"/>
    </row>
    <row r="93" spans="1:4" x14ac:dyDescent="0.25">
      <c r="A93" s="12"/>
      <c r="B93" s="29"/>
      <c r="C93" s="789"/>
      <c r="D93" s="55"/>
    </row>
    <row r="94" spans="1:4" x14ac:dyDescent="0.25">
      <c r="A94" s="12"/>
      <c r="B94" s="29"/>
      <c r="C94" s="789"/>
      <c r="D94" s="55"/>
    </row>
    <row r="95" spans="1:4" x14ac:dyDescent="0.25">
      <c r="A95" s="12"/>
      <c r="B95" s="29"/>
      <c r="C95" s="789"/>
      <c r="D95" s="55"/>
    </row>
    <row r="96" spans="1:4" x14ac:dyDescent="0.25">
      <c r="A96" s="12"/>
      <c r="B96" s="29"/>
      <c r="C96" s="789"/>
      <c r="D96" s="55"/>
    </row>
    <row r="97" spans="1:4" x14ac:dyDescent="0.25">
      <c r="A97" s="12"/>
      <c r="B97" s="29"/>
      <c r="C97" s="789"/>
      <c r="D97" s="55"/>
    </row>
    <row r="98" spans="1:4" x14ac:dyDescent="0.25">
      <c r="A98" s="12"/>
      <c r="B98" s="29"/>
      <c r="C98" s="789"/>
      <c r="D98" s="55"/>
    </row>
    <row r="99" spans="1:4" x14ac:dyDescent="0.25">
      <c r="A99" s="12"/>
      <c r="B99" s="29"/>
      <c r="C99" s="789"/>
      <c r="D99" s="55"/>
    </row>
    <row r="100" spans="1:4" x14ac:dyDescent="0.25">
      <c r="A100" s="12"/>
      <c r="B100" s="29"/>
      <c r="C100" s="789"/>
      <c r="D100" s="55"/>
    </row>
    <row r="101" spans="1:4" x14ac:dyDescent="0.25">
      <c r="A101" s="12"/>
      <c r="B101" s="29"/>
      <c r="C101" s="789"/>
      <c r="D101" s="55"/>
    </row>
    <row r="102" spans="1:4" x14ac:dyDescent="0.25">
      <c r="A102" s="12"/>
      <c r="B102" s="29"/>
      <c r="C102" s="789"/>
      <c r="D102" s="55"/>
    </row>
    <row r="103" spans="1:4" x14ac:dyDescent="0.25">
      <c r="A103" s="12"/>
      <c r="B103" s="29"/>
      <c r="C103" s="789"/>
      <c r="D103" s="55"/>
    </row>
    <row r="104" spans="1:4" x14ac:dyDescent="0.25">
      <c r="A104" s="12"/>
      <c r="B104" s="29"/>
      <c r="C104" s="789"/>
      <c r="D104" s="55"/>
    </row>
    <row r="105" spans="1:4" x14ac:dyDescent="0.25">
      <c r="A105" s="12"/>
      <c r="B105" s="29"/>
      <c r="C105" s="789"/>
      <c r="D105" s="55"/>
    </row>
    <row r="106" spans="1:4" x14ac:dyDescent="0.25">
      <c r="A106" s="12"/>
      <c r="B106" s="29"/>
      <c r="C106" s="789"/>
      <c r="D106" s="55"/>
    </row>
    <row r="107" spans="1:4" x14ac:dyDescent="0.25">
      <c r="A107" s="12"/>
      <c r="B107" s="29"/>
      <c r="C107" s="789"/>
      <c r="D107" s="55"/>
    </row>
    <row r="108" spans="1:4" x14ac:dyDescent="0.25">
      <c r="A108" s="12"/>
      <c r="B108" s="29"/>
      <c r="C108" s="789"/>
      <c r="D108" s="55"/>
    </row>
    <row r="109" spans="1:4" x14ac:dyDescent="0.25">
      <c r="A109" s="12"/>
      <c r="B109" s="29"/>
      <c r="C109" s="789"/>
      <c r="D109" s="55"/>
    </row>
    <row r="110" spans="1:4" x14ac:dyDescent="0.25">
      <c r="A110" s="12"/>
      <c r="B110" s="29"/>
      <c r="C110" s="789"/>
      <c r="D110" s="55"/>
    </row>
    <row r="111" spans="1:4" x14ac:dyDescent="0.25">
      <c r="A111" s="12"/>
      <c r="B111" s="29"/>
      <c r="C111" s="789"/>
      <c r="D111" s="55"/>
    </row>
    <row r="112" spans="1:4" x14ac:dyDescent="0.25">
      <c r="A112" s="12"/>
      <c r="B112" s="29"/>
      <c r="C112" s="789"/>
      <c r="D112" s="55"/>
    </row>
    <row r="113" spans="1:4" x14ac:dyDescent="0.25">
      <c r="A113" s="12"/>
      <c r="B113" s="29"/>
      <c r="C113" s="789"/>
      <c r="D113" s="55"/>
    </row>
    <row r="114" spans="1:4" x14ac:dyDescent="0.25">
      <c r="A114" s="12"/>
      <c r="B114" s="29"/>
      <c r="C114" s="789"/>
      <c r="D114" s="55"/>
    </row>
    <row r="115" spans="1:4" x14ac:dyDescent="0.25">
      <c r="A115" s="12"/>
      <c r="B115" s="29"/>
      <c r="C115" s="789"/>
      <c r="D115" s="55"/>
    </row>
    <row r="116" spans="1:4" x14ac:dyDescent="0.25">
      <c r="A116" s="12"/>
      <c r="B116" s="29"/>
      <c r="C116" s="789"/>
      <c r="D116" s="55"/>
    </row>
    <row r="117" spans="1:4" x14ac:dyDescent="0.25">
      <c r="A117" s="12"/>
      <c r="B117" s="29"/>
      <c r="C117" s="789"/>
      <c r="D117" s="55"/>
    </row>
    <row r="118" spans="1:4" x14ac:dyDescent="0.25">
      <c r="A118" s="12"/>
      <c r="B118" s="29"/>
      <c r="C118" s="789"/>
      <c r="D118" s="55"/>
    </row>
    <row r="119" spans="1:4" x14ac:dyDescent="0.25">
      <c r="A119" s="12"/>
      <c r="B119" s="29"/>
      <c r="C119" s="789"/>
      <c r="D119" s="55"/>
    </row>
    <row r="120" spans="1:4" x14ac:dyDescent="0.25">
      <c r="A120" s="12"/>
      <c r="B120" s="29"/>
      <c r="C120" s="789"/>
      <c r="D120" s="55"/>
    </row>
    <row r="121" spans="1:4" x14ac:dyDescent="0.25">
      <c r="A121" s="12"/>
      <c r="B121" s="29"/>
      <c r="C121" s="789"/>
      <c r="D121" s="55"/>
    </row>
    <row r="122" spans="1:4" x14ac:dyDescent="0.25">
      <c r="A122" s="12"/>
      <c r="B122" s="29"/>
      <c r="C122" s="789"/>
      <c r="D122" s="55"/>
    </row>
    <row r="123" spans="1:4" x14ac:dyDescent="0.25">
      <c r="A123" s="12"/>
      <c r="B123" s="29"/>
      <c r="C123" s="789"/>
      <c r="D123" s="55"/>
    </row>
    <row r="124" spans="1:4" x14ac:dyDescent="0.25">
      <c r="A124" s="12"/>
      <c r="B124" s="29"/>
      <c r="C124" s="789"/>
      <c r="D124" s="55"/>
    </row>
    <row r="125" spans="1:4" x14ac:dyDescent="0.25">
      <c r="A125" s="12"/>
      <c r="B125" s="29"/>
      <c r="C125" s="789"/>
      <c r="D125" s="55"/>
    </row>
    <row r="126" spans="1:4" x14ac:dyDescent="0.25">
      <c r="A126" s="12"/>
      <c r="B126" s="29"/>
      <c r="C126" s="789"/>
      <c r="D126" s="55"/>
    </row>
    <row r="127" spans="1:4" x14ac:dyDescent="0.25">
      <c r="A127" s="12"/>
      <c r="B127" s="29"/>
      <c r="C127" s="789"/>
      <c r="D127" s="55"/>
    </row>
    <row r="128" spans="1:4" x14ac:dyDescent="0.25">
      <c r="A128" s="12"/>
      <c r="B128" s="29"/>
      <c r="C128" s="789"/>
      <c r="D128" s="55"/>
    </row>
    <row r="129" spans="1:4" x14ac:dyDescent="0.25">
      <c r="A129" s="12"/>
      <c r="B129" s="29"/>
      <c r="C129" s="789"/>
      <c r="D129" s="55"/>
    </row>
    <row r="130" spans="1:4" x14ac:dyDescent="0.25">
      <c r="A130" s="12"/>
      <c r="B130" s="29"/>
      <c r="C130" s="789"/>
      <c r="D130" s="55"/>
    </row>
    <row r="131" spans="1:4" x14ac:dyDescent="0.25">
      <c r="A131" s="12"/>
      <c r="B131" s="29"/>
      <c r="C131" s="789"/>
      <c r="D131" s="55"/>
    </row>
    <row r="132" spans="1:4" x14ac:dyDescent="0.25">
      <c r="A132" s="13"/>
      <c r="B132" s="649"/>
      <c r="C132" s="824"/>
      <c r="D132" s="82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7A49-9E2D-4913-8C0A-9EA9F1D43FE8}">
  <sheetPr codeName="Blad5"/>
  <dimension ref="B1:J37"/>
  <sheetViews>
    <sheetView workbookViewId="0">
      <selection activeCell="E27" sqref="E27"/>
    </sheetView>
  </sheetViews>
  <sheetFormatPr defaultRowHeight="15" x14ac:dyDescent="0.25"/>
  <cols>
    <col min="2" max="2" customWidth="true" style="420" width="21.7109375"/>
    <col min="3" max="3" customWidth="true" style="420" width="18.28515625"/>
    <col min="4" max="4" customWidth="true" style="420" width="22.28515625"/>
    <col min="5" max="5" customWidth="true" style="420" width="19.85546875"/>
    <col min="6" max="6" customWidth="true" style="420" width="15.140625"/>
    <col min="7" max="7" customWidth="true" style="420" width="18.0"/>
    <col min="8" max="8" customWidth="true" style="420" width="17.85546875"/>
    <col min="9" max="14" style="420" width="9.140625"/>
  </cols>
  <sheetData>
    <row r="1" spans="2:10" x14ac:dyDescent="0.25">
      <c r="B1" s="286"/>
      <c r="C1" s="77"/>
      <c r="D1" s="419"/>
      <c r="E1" s="419"/>
      <c r="F1" s="419"/>
      <c r="G1" s="419"/>
      <c r="H1" s="419"/>
      <c r="I1" s="419"/>
      <c r="J1" s="419"/>
    </row>
    <row r="2" spans="2:10" x14ac:dyDescent="0.25">
      <c r="D2" s="419"/>
      <c r="E2" s="419"/>
      <c r="F2" s="419"/>
      <c r="G2" s="419"/>
      <c r="H2" s="419"/>
      <c r="I2" s="419"/>
      <c r="J2" s="419"/>
    </row>
    <row r="3" spans="2:10" x14ac:dyDescent="0.25">
      <c r="B3" s="830"/>
      <c r="C3" s="422"/>
      <c r="D3" s="421"/>
      <c r="E3" s="408"/>
      <c r="F3" s="408"/>
      <c r="G3" s="408"/>
      <c r="H3" s="408"/>
      <c r="I3" s="408"/>
      <c r="J3" s="408"/>
    </row>
    <row r="4" spans="2:10" x14ac:dyDescent="0.25">
      <c r="B4" s="581" t="s">
        <v>488</v>
      </c>
      <c r="C4" s="339" t="s">
        <v>490</v>
      </c>
      <c r="D4" s="286"/>
      <c r="E4" s="78"/>
      <c r="F4" s="1095"/>
      <c r="G4" s="78"/>
      <c r="H4" s="286"/>
      <c r="I4" s="286"/>
      <c r="J4" s="286"/>
    </row>
    <row r="5" spans="2:10" x14ac:dyDescent="0.25">
      <c r="B5" s="831" t="s">
        <v>64</v>
      </c>
      <c r="C5" s="836">
        <v>550</v>
      </c>
      <c r="E5" s="78"/>
      <c r="F5" s="78"/>
      <c r="I5" s="421"/>
      <c r="J5" s="408"/>
    </row>
    <row r="6" spans="2:10" x14ac:dyDescent="0.25">
      <c r="B6" s="832" t="s">
        <v>63</v>
      </c>
      <c r="C6" s="837">
        <v>300</v>
      </c>
      <c r="I6" s="77"/>
      <c r="J6" s="78"/>
    </row>
    <row r="7" spans="2:10" x14ac:dyDescent="0.25">
      <c r="B7" s="832" t="s">
        <v>491</v>
      </c>
      <c r="C7" s="837">
        <v>190</v>
      </c>
      <c r="F7" s="833"/>
      <c r="G7" s="833"/>
      <c r="I7" s="111"/>
      <c r="J7" s="409"/>
    </row>
    <row r="8" spans="2:10" x14ac:dyDescent="0.25">
      <c r="B8" s="832" t="s">
        <v>492</v>
      </c>
      <c r="C8" s="837">
        <v>125</v>
      </c>
      <c r="F8" s="833"/>
      <c r="G8" s="833"/>
      <c r="I8" s="111"/>
      <c r="J8" s="111"/>
    </row>
    <row r="9" spans="2:10" x14ac:dyDescent="0.25">
      <c r="B9" s="832" t="s">
        <v>1059</v>
      </c>
      <c r="C9" s="837">
        <v>94</v>
      </c>
      <c r="F9" s="833"/>
      <c r="G9" s="833"/>
      <c r="I9" s="111"/>
      <c r="J9" s="111"/>
    </row>
    <row r="10" spans="2:10" x14ac:dyDescent="0.25">
      <c r="B10" s="832" t="s">
        <v>494</v>
      </c>
      <c r="C10" s="837">
        <v>150</v>
      </c>
      <c r="F10" s="833"/>
      <c r="G10" s="833"/>
      <c r="I10" s="111"/>
      <c r="J10" s="111"/>
    </row>
    <row r="11" spans="2:10" x14ac:dyDescent="0.25">
      <c r="B11" s="832" t="s">
        <v>54</v>
      </c>
      <c r="C11" s="826">
        <v>96</v>
      </c>
      <c r="F11" s="833"/>
      <c r="G11" s="833"/>
      <c r="I11" s="111"/>
      <c r="J11" s="111"/>
    </row>
    <row r="12" spans="2:10" x14ac:dyDescent="0.25">
      <c r="B12" s="572" t="s">
        <v>758</v>
      </c>
      <c r="C12" s="838">
        <v>37</v>
      </c>
      <c r="F12" s="833"/>
      <c r="G12" s="833"/>
      <c r="I12" s="111"/>
      <c r="J12" s="111"/>
    </row>
    <row r="13" spans="2:10" x14ac:dyDescent="0.25">
      <c r="B13" s="289" t="s">
        <v>659</v>
      </c>
      <c r="C13" s="839">
        <v>20</v>
      </c>
      <c r="F13" s="833"/>
      <c r="G13" s="833"/>
      <c r="I13" s="111"/>
      <c r="J13" s="111"/>
    </row>
    <row r="14" spans="2:10" x14ac:dyDescent="0.25">
      <c r="B14" s="907" t="s">
        <v>961</v>
      </c>
      <c r="C14" s="908">
        <v>4</v>
      </c>
      <c r="F14" s="833"/>
      <c r="G14" s="833"/>
      <c r="I14" s="111"/>
      <c r="J14" s="111"/>
    </row>
    <row r="15" spans="2:10" x14ac:dyDescent="0.25">
      <c r="B15" s="472" t="s">
        <v>956</v>
      </c>
      <c r="C15" s="919">
        <v>0.19500000000000001</v>
      </c>
      <c r="F15" s="833"/>
      <c r="G15" s="833"/>
      <c r="I15" s="111"/>
      <c r="J15" s="111"/>
    </row>
    <row r="16" spans="2:10" x14ac:dyDescent="0.25">
      <c r="B16" s="616" t="s">
        <v>972</v>
      </c>
      <c r="C16" s="920">
        <v>9.1200000000000003E-2</v>
      </c>
      <c r="F16" s="833"/>
      <c r="G16" s="77"/>
      <c r="I16" s="111"/>
      <c r="J16" s="111"/>
    </row>
    <row r="17" spans="2:10" x14ac:dyDescent="0.25">
      <c r="B17" s="77"/>
      <c r="C17" s="286"/>
      <c r="F17" s="833"/>
      <c r="G17" s="77"/>
      <c r="I17" s="78"/>
      <c r="J17" s="78"/>
    </row>
    <row r="18" spans="2:10" x14ac:dyDescent="0.25">
      <c r="B18" s="77"/>
      <c r="C18" s="77"/>
      <c r="F18" s="835"/>
      <c r="G18" s="77"/>
      <c r="I18" s="78"/>
      <c r="J18" s="78"/>
    </row>
    <row r="19" spans="2:10" x14ac:dyDescent="0.25">
      <c r="B19" s="77"/>
      <c r="C19" s="286"/>
      <c r="F19" s="834"/>
      <c r="G19" s="77"/>
      <c r="I19" s="78"/>
      <c r="J19" s="78"/>
    </row>
    <row r="20" spans="2:10" x14ac:dyDescent="0.25">
      <c r="B20" s="77"/>
      <c r="C20" s="286"/>
      <c r="F20" s="78"/>
      <c r="G20" s="78"/>
      <c r="I20" s="78"/>
      <c r="J20" s="78"/>
    </row>
    <row r="21" spans="2:10" x14ac:dyDescent="0.25">
      <c r="B21" s="77"/>
      <c r="C21" s="77"/>
      <c r="F21" s="78"/>
      <c r="G21" s="78"/>
      <c r="H21" s="78"/>
      <c r="I21" s="78"/>
      <c r="J21" s="78"/>
    </row>
    <row r="22" spans="2:10" x14ac:dyDescent="0.25">
      <c r="B22" s="77"/>
      <c r="C22" s="77"/>
      <c r="D22" s="77"/>
      <c r="E22" s="426"/>
      <c r="F22" s="426"/>
      <c r="G22" s="426"/>
      <c r="H22" s="426"/>
      <c r="I22" s="78"/>
      <c r="J22" s="78"/>
    </row>
    <row r="23" spans="2:10" x14ac:dyDescent="0.25">
      <c r="B23" s="77"/>
      <c r="C23" s="77"/>
      <c r="D23" s="77"/>
      <c r="E23" s="426"/>
      <c r="F23" s="426"/>
      <c r="G23" s="827"/>
      <c r="H23" s="426"/>
      <c r="I23" s="78"/>
      <c r="J23" s="78"/>
    </row>
    <row r="24" spans="2:10" x14ac:dyDescent="0.25">
      <c r="B24" s="77"/>
      <c r="C24" s="77"/>
      <c r="D24" s="426"/>
      <c r="E24" s="426"/>
      <c r="F24" s="426"/>
      <c r="G24" s="827"/>
      <c r="H24" s="77"/>
      <c r="I24" s="78"/>
      <c r="J24" s="78"/>
    </row>
    <row r="25" spans="2:10" x14ac:dyDescent="0.25">
      <c r="B25" s="77"/>
      <c r="C25" s="77"/>
      <c r="D25" s="77"/>
      <c r="E25" s="426"/>
      <c r="F25" s="426"/>
      <c r="G25" s="827"/>
      <c r="H25" s="134"/>
      <c r="I25" s="143"/>
      <c r="J25" s="78"/>
    </row>
    <row r="26" spans="2:10" x14ac:dyDescent="0.25">
      <c r="B26" s="77"/>
      <c r="C26" s="77"/>
      <c r="D26" s="426"/>
      <c r="E26" s="426"/>
      <c r="F26" s="426"/>
      <c r="G26" s="828"/>
      <c r="H26" s="426"/>
      <c r="I26" s="78"/>
      <c r="J26" s="78"/>
    </row>
    <row r="27" spans="2:10" x14ac:dyDescent="0.25">
      <c r="B27" s="77"/>
      <c r="C27" s="77"/>
      <c r="D27" s="426"/>
      <c r="E27" s="426"/>
      <c r="F27" s="426"/>
      <c r="G27" s="828"/>
      <c r="H27" s="426"/>
      <c r="I27" s="78"/>
      <c r="J27" s="78"/>
    </row>
    <row r="28" spans="2:10" x14ac:dyDescent="0.25">
      <c r="B28" s="77"/>
      <c r="C28" s="77"/>
      <c r="D28" s="426"/>
      <c r="E28" s="426"/>
      <c r="F28" s="426"/>
      <c r="G28" s="828"/>
      <c r="H28" s="626"/>
      <c r="I28" s="143"/>
      <c r="J28" s="78"/>
    </row>
    <row r="29" spans="2:10" x14ac:dyDescent="0.25">
      <c r="B29" s="77"/>
      <c r="C29" s="77"/>
      <c r="D29" s="426"/>
      <c r="E29" s="426"/>
      <c r="F29" s="426"/>
      <c r="G29" s="828"/>
      <c r="H29" s="77"/>
      <c r="I29" s="78"/>
      <c r="J29" s="78"/>
    </row>
    <row r="30" spans="2:10" x14ac:dyDescent="0.25">
      <c r="B30" s="77"/>
      <c r="C30" s="77"/>
      <c r="D30" s="286"/>
      <c r="E30" s="286"/>
      <c r="F30" s="286"/>
      <c r="G30" s="286"/>
      <c r="H30" s="286"/>
      <c r="I30" s="286"/>
      <c r="J30" s="286"/>
    </row>
    <row r="31" spans="2:10" x14ac:dyDescent="0.25">
      <c r="B31" s="77"/>
      <c r="C31" s="77"/>
      <c r="D31" s="286"/>
      <c r="E31" s="286"/>
      <c r="F31" s="286"/>
      <c r="G31" s="286"/>
      <c r="H31" s="286"/>
      <c r="I31" s="286"/>
      <c r="J31" s="286"/>
    </row>
    <row r="32" spans="2:10" x14ac:dyDescent="0.25">
      <c r="B32" s="77"/>
      <c r="C32" s="77"/>
      <c r="D32" s="78"/>
      <c r="E32" s="78"/>
      <c r="F32" s="78"/>
      <c r="G32" s="78"/>
      <c r="H32" s="78"/>
      <c r="I32" s="78"/>
      <c r="J32" s="78"/>
    </row>
    <row r="33" spans="2:10" x14ac:dyDescent="0.25">
      <c r="B33" s="77"/>
      <c r="C33" s="77"/>
      <c r="D33" s="78"/>
      <c r="E33" s="78"/>
      <c r="F33" s="78"/>
      <c r="G33" s="78"/>
      <c r="H33" s="78"/>
      <c r="I33" s="78"/>
      <c r="J33" s="78"/>
    </row>
    <row r="34" spans="2:10" x14ac:dyDescent="0.25">
      <c r="B34" s="77"/>
      <c r="C34" s="77"/>
      <c r="D34" s="143"/>
      <c r="E34" s="78"/>
      <c r="F34" s="78"/>
      <c r="G34" s="78"/>
      <c r="H34" s="78"/>
      <c r="I34" s="78"/>
      <c r="J34" s="78"/>
    </row>
    <row r="35" spans="2:10" x14ac:dyDescent="0.25">
      <c r="B35" s="77"/>
      <c r="C35" s="77"/>
      <c r="D35" s="143"/>
      <c r="E35" s="78"/>
      <c r="F35" s="78"/>
      <c r="G35" s="78"/>
      <c r="H35" s="78"/>
      <c r="I35" s="78"/>
      <c r="J35" s="78"/>
    </row>
    <row r="36" spans="2:10" x14ac:dyDescent="0.25">
      <c r="B36" s="77"/>
      <c r="C36" s="77"/>
      <c r="D36" s="143"/>
      <c r="E36" s="419"/>
      <c r="F36" s="829"/>
      <c r="G36" s="78"/>
      <c r="H36" s="78"/>
      <c r="I36" s="78"/>
      <c r="J36" s="78"/>
    </row>
    <row r="37" spans="2:10" x14ac:dyDescent="0.25">
      <c r="B37" s="77"/>
      <c r="C37" s="77"/>
      <c r="D37" s="78"/>
      <c r="E37" s="78"/>
      <c r="F37" s="78"/>
      <c r="G37" s="78"/>
      <c r="H37" s="425"/>
      <c r="I37" s="78"/>
      <c r="J37" s="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4055-11C5-4F52-B554-AC271937E3EC}">
  <sheetPr codeName="Blad4"/>
  <dimension ref="A1:AJ258"/>
  <sheetViews>
    <sheetView topLeftCell="S239" workbookViewId="0">
      <selection activeCell="B19" sqref="B19:AJ254"/>
    </sheetView>
  </sheetViews>
  <sheetFormatPr defaultRowHeight="15" x14ac:dyDescent="0.25"/>
  <cols>
    <col min="1" max="1" customWidth="true" style="298" width="10.7109375"/>
    <col min="2" max="2" bestFit="true" customWidth="true" style="299" width="10.0"/>
    <col min="3" max="3" bestFit="true" customWidth="true" style="299" width="24.28515625"/>
    <col min="4" max="4" bestFit="true" customWidth="true" style="299" width="10.85546875"/>
    <col min="5" max="5" bestFit="true" customWidth="true" style="300" width="11.42578125"/>
    <col min="6" max="6" customWidth="true" style="300" width="14.5703125"/>
    <col min="7" max="11" customWidth="true" style="303" width="12.28515625"/>
    <col min="12" max="12" customWidth="true" style="301" width="12.28515625"/>
    <col min="13" max="13" customWidth="true" style="299" width="12.28515625"/>
    <col min="14" max="14" customWidth="true" style="299" width="20.0"/>
    <col min="15" max="16" customWidth="true" style="302" width="12.28515625"/>
    <col min="17" max="17" customWidth="true" style="302" width="13.0"/>
    <col min="18" max="19" customWidth="true" style="299" width="12.28515625"/>
    <col min="20" max="20" customWidth="true" style="299" width="19.7109375"/>
    <col min="21" max="21" customWidth="true" style="299" width="17.7109375"/>
    <col min="22" max="23" customWidth="true" style="303" width="17.7109375"/>
    <col min="24" max="28" customWidth="true" style="299" width="17.7109375"/>
    <col min="29" max="29" customWidth="true" style="2" width="23.140625"/>
    <col min="36" max="36" bestFit="true" customWidth="true" width="13.140625"/>
  </cols>
  <sheetData>
    <row r="1" spans="1:36" ht="15.75" thickBot="1" x14ac:dyDescent="0.3">
      <c r="A1" s="296" t="s">
        <v>213</v>
      </c>
      <c r="B1" s="297">
        <v>2</v>
      </c>
      <c r="C1" s="297">
        <v>3</v>
      </c>
      <c r="D1" s="297">
        <v>4</v>
      </c>
      <c r="E1" s="297">
        <v>5</v>
      </c>
      <c r="F1" s="297">
        <v>6</v>
      </c>
      <c r="G1" s="297">
        <v>7</v>
      </c>
      <c r="H1" s="297">
        <v>8</v>
      </c>
      <c r="I1" s="297">
        <v>9</v>
      </c>
      <c r="J1" s="297">
        <v>10</v>
      </c>
      <c r="K1" s="297">
        <v>11</v>
      </c>
      <c r="L1" s="297">
        <v>12</v>
      </c>
      <c r="M1" s="297">
        <v>13</v>
      </c>
      <c r="N1" s="297">
        <v>14</v>
      </c>
      <c r="O1" s="297">
        <v>15</v>
      </c>
      <c r="P1" s="297">
        <v>16</v>
      </c>
      <c r="Q1" s="297">
        <v>17</v>
      </c>
      <c r="R1" s="297">
        <v>18</v>
      </c>
      <c r="S1" s="297">
        <v>19</v>
      </c>
      <c r="T1" s="297">
        <v>20</v>
      </c>
      <c r="U1" s="297">
        <v>21</v>
      </c>
      <c r="V1" s="297">
        <v>22</v>
      </c>
      <c r="W1" s="297">
        <v>23</v>
      </c>
      <c r="X1" s="297">
        <v>24</v>
      </c>
      <c r="Y1" s="297">
        <v>25</v>
      </c>
      <c r="Z1" s="297">
        <v>26</v>
      </c>
      <c r="AA1" s="297">
        <v>27</v>
      </c>
      <c r="AB1" s="297">
        <v>28</v>
      </c>
      <c r="AC1" s="297">
        <v>29</v>
      </c>
    </row>
    <row r="2" spans="1:36" x14ac:dyDescent="0.25">
      <c r="A2" s="309"/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</row>
    <row r="3" spans="1:36" x14ac:dyDescent="0.25">
      <c r="A3" s="309"/>
      <c r="B3" s="310"/>
      <c r="D3" s="298"/>
      <c r="E3" s="298"/>
      <c r="F3" s="298"/>
      <c r="G3" s="299"/>
      <c r="H3" s="299"/>
      <c r="I3" s="299"/>
      <c r="J3" s="299"/>
      <c r="K3" s="299"/>
      <c r="L3" s="310"/>
      <c r="M3"/>
      <c r="N3" s="77" t="s">
        <v>470</v>
      </c>
      <c r="O3"/>
      <c r="P3"/>
      <c r="Q3"/>
      <c r="R3" s="310"/>
      <c r="S3"/>
      <c r="T3" s="77" t="s">
        <v>474</v>
      </c>
      <c r="U3"/>
      <c r="V3"/>
      <c r="W3"/>
      <c r="X3"/>
      <c r="Y3" s="310"/>
      <c r="Z3" s="310"/>
      <c r="AA3" s="310"/>
      <c r="AB3" s="310"/>
    </row>
    <row r="4" spans="1:36" x14ac:dyDescent="0.25">
      <c r="A4" s="309"/>
      <c r="B4" s="310"/>
      <c r="C4" s="943" t="s">
        <v>973</v>
      </c>
      <c r="D4" s="933"/>
      <c r="E4" s="934"/>
      <c r="F4" s="934"/>
      <c r="G4" s="934"/>
      <c r="H4" s="934"/>
      <c r="I4" s="934"/>
      <c r="J4" s="934"/>
      <c r="K4" s="935"/>
      <c r="L4" s="310"/>
      <c r="M4">
        <v>1</v>
      </c>
      <c r="N4" s="333" t="s">
        <v>471</v>
      </c>
      <c r="O4" s="334">
        <v>600</v>
      </c>
      <c r="P4" s="335">
        <v>4</v>
      </c>
      <c r="Q4" s="336" t="s">
        <v>472</v>
      </c>
      <c r="R4" s="310"/>
      <c r="S4">
        <v>1</v>
      </c>
      <c r="T4" s="333" t="s">
        <v>471</v>
      </c>
      <c r="U4" s="334">
        <v>600</v>
      </c>
      <c r="V4" s="335">
        <v>4</v>
      </c>
      <c r="W4" s="336" t="s">
        <v>472</v>
      </c>
      <c r="X4"/>
      <c r="Y4" s="310"/>
      <c r="Z4" s="310"/>
      <c r="AA4" s="310"/>
      <c r="AB4" s="310"/>
    </row>
    <row r="5" spans="1:36" x14ac:dyDescent="0.25">
      <c r="A5" s="309"/>
      <c r="B5" s="310"/>
      <c r="C5" s="936" t="s">
        <v>974</v>
      </c>
      <c r="D5" s="298"/>
      <c r="E5" s="298"/>
      <c r="F5" s="298"/>
      <c r="G5" s="298"/>
      <c r="H5" s="298"/>
      <c r="I5" s="298"/>
      <c r="J5" s="298"/>
      <c r="K5" s="937"/>
      <c r="L5" s="310"/>
      <c r="M5">
        <v>2</v>
      </c>
      <c r="N5" s="337" t="s">
        <v>471</v>
      </c>
      <c r="O5" s="12">
        <v>700</v>
      </c>
      <c r="P5" s="338">
        <v>2</v>
      </c>
      <c r="Q5" s="339" t="s">
        <v>472</v>
      </c>
      <c r="R5" s="310"/>
      <c r="S5">
        <v>2</v>
      </c>
      <c r="T5" s="337" t="s">
        <v>471</v>
      </c>
      <c r="U5" s="12">
        <v>750</v>
      </c>
      <c r="V5" s="338">
        <v>2</v>
      </c>
      <c r="W5" s="339" t="s">
        <v>472</v>
      </c>
      <c r="X5"/>
      <c r="Y5" s="310"/>
      <c r="Z5" s="310"/>
      <c r="AA5" s="310"/>
      <c r="AB5" s="310"/>
    </row>
    <row r="6" spans="1:36" x14ac:dyDescent="0.25">
      <c r="A6" s="309"/>
      <c r="B6" s="310"/>
      <c r="C6" s="936" t="s">
        <v>975</v>
      </c>
      <c r="D6" s="298"/>
      <c r="E6" s="298"/>
      <c r="F6" s="298"/>
      <c r="G6" s="298"/>
      <c r="H6" s="298"/>
      <c r="I6" s="298"/>
      <c r="J6" s="298"/>
      <c r="K6" s="937"/>
      <c r="L6" s="310"/>
      <c r="M6">
        <v>3</v>
      </c>
      <c r="N6" s="337" t="s">
        <v>473</v>
      </c>
      <c r="O6" s="12">
        <v>5000</v>
      </c>
      <c r="P6" s="340">
        <f>VLOOKUP("X",19:254,29,FALSE)</f>
        <v>0</v>
      </c>
      <c r="Q6" s="339" t="s">
        <v>472</v>
      </c>
      <c r="R6" s="310"/>
      <c r="S6">
        <v>3</v>
      </c>
      <c r="T6" s="337" t="s">
        <v>475</v>
      </c>
      <c r="U6" s="12">
        <v>5000</v>
      </c>
      <c r="V6" s="338">
        <v>5</v>
      </c>
      <c r="W6" s="339" t="s">
        <v>472</v>
      </c>
      <c r="X6"/>
      <c r="Y6" s="310"/>
      <c r="Z6" s="310"/>
      <c r="AA6" s="310"/>
      <c r="AB6" s="310"/>
    </row>
    <row r="7" spans="1:36" x14ac:dyDescent="0.25">
      <c r="A7" s="309"/>
      <c r="B7" s="310"/>
      <c r="C7" s="936"/>
      <c r="D7" s="298"/>
      <c r="E7" s="298"/>
      <c r="F7" s="298"/>
      <c r="G7" s="299"/>
      <c r="H7" s="299"/>
      <c r="I7" s="299"/>
      <c r="J7" s="299"/>
      <c r="K7" s="938"/>
      <c r="L7" s="310"/>
      <c r="M7">
        <v>4</v>
      </c>
      <c r="N7" s="337" t="str">
        <f>" "</f>
        <v xml:space="preserve"> </v>
      </c>
      <c r="O7" s="339" t="str">
        <f>" "</f>
        <v xml:space="preserve"> </v>
      </c>
      <c r="P7" s="340" t="str">
        <f>" "</f>
        <v xml:space="preserve"> </v>
      </c>
      <c r="Q7" s="339" t="str">
        <f>" "</f>
        <v xml:space="preserve"> </v>
      </c>
      <c r="R7" s="310"/>
      <c r="S7">
        <v>4</v>
      </c>
      <c r="T7" s="339" t="str">
        <f>" "</f>
        <v xml:space="preserve"> </v>
      </c>
      <c r="U7" s="12" t="str">
        <f>" "</f>
        <v xml:space="preserve"> </v>
      </c>
      <c r="V7" s="340" t="str">
        <f>" "</f>
        <v xml:space="preserve"> </v>
      </c>
      <c r="W7" s="339" t="str">
        <f>" "</f>
        <v xml:space="preserve"> </v>
      </c>
      <c r="X7" s="286"/>
      <c r="Y7" s="310"/>
      <c r="Z7" s="310"/>
      <c r="AA7" s="310"/>
      <c r="AB7" s="310"/>
    </row>
    <row r="8" spans="1:36" x14ac:dyDescent="0.25">
      <c r="A8" s="309"/>
      <c r="B8" s="310"/>
      <c r="C8" s="936"/>
      <c r="D8" s="298"/>
      <c r="E8" s="298"/>
      <c r="F8" s="298"/>
      <c r="G8" s="299"/>
      <c r="H8" s="299"/>
      <c r="I8" s="299"/>
      <c r="J8" s="299"/>
      <c r="K8" s="938"/>
      <c r="L8" s="310"/>
      <c r="M8">
        <v>5</v>
      </c>
      <c r="N8" s="337" t="str">
        <f t="shared" ref="N8:Q13" si="0">" "</f>
        <v xml:space="preserve"> </v>
      </c>
      <c r="O8" s="339" t="str">
        <f t="shared" si="0"/>
        <v xml:space="preserve"> </v>
      </c>
      <c r="P8" s="337" t="str">
        <f t="shared" si="0"/>
        <v xml:space="preserve"> </v>
      </c>
      <c r="Q8" s="339" t="str">
        <f t="shared" si="0"/>
        <v xml:space="preserve"> </v>
      </c>
      <c r="R8" s="310"/>
      <c r="S8">
        <v>5</v>
      </c>
      <c r="T8" s="337" t="str">
        <f>" "</f>
        <v xml:space="preserve"> </v>
      </c>
      <c r="U8" s="12"/>
      <c r="V8" s="340"/>
      <c r="W8" s="339"/>
      <c r="X8" s="286"/>
      <c r="Y8" s="310"/>
      <c r="Z8" s="310"/>
      <c r="AA8" s="310"/>
      <c r="AB8" s="310"/>
    </row>
    <row r="9" spans="1:36" x14ac:dyDescent="0.25">
      <c r="A9" s="309"/>
      <c r="B9" s="310"/>
      <c r="C9" s="939"/>
      <c r="D9" s="940"/>
      <c r="E9" s="940"/>
      <c r="F9" s="940"/>
      <c r="G9" s="941"/>
      <c r="H9" s="941"/>
      <c r="I9" s="941"/>
      <c r="J9" s="941"/>
      <c r="K9" s="942"/>
      <c r="L9" s="310"/>
      <c r="M9">
        <v>6</v>
      </c>
      <c r="N9" s="337" t="str">
        <f t="shared" si="0"/>
        <v xml:space="preserve"> </v>
      </c>
      <c r="O9" s="339" t="str">
        <f t="shared" si="0"/>
        <v xml:space="preserve"> </v>
      </c>
      <c r="P9" s="337" t="str">
        <f t="shared" si="0"/>
        <v xml:space="preserve"> </v>
      </c>
      <c r="Q9" s="339" t="str">
        <f t="shared" si="0"/>
        <v xml:space="preserve"> </v>
      </c>
      <c r="R9" s="310"/>
      <c r="S9">
        <v>6</v>
      </c>
      <c r="T9" s="337"/>
      <c r="U9" s="12"/>
      <c r="V9" s="340"/>
      <c r="W9" s="339"/>
      <c r="X9"/>
      <c r="Y9" s="310"/>
      <c r="Z9" s="310"/>
      <c r="AA9" s="310"/>
      <c r="AB9" s="310"/>
    </row>
    <row r="10" spans="1:36" x14ac:dyDescent="0.25">
      <c r="A10" s="309"/>
      <c r="B10" s="310"/>
      <c r="D10" s="298"/>
      <c r="E10" s="298"/>
      <c r="F10" s="298"/>
      <c r="G10" s="299"/>
      <c r="H10" s="299"/>
      <c r="I10" s="299"/>
      <c r="J10" s="299"/>
      <c r="K10" s="299"/>
      <c r="L10" s="310"/>
      <c r="M10">
        <v>7</v>
      </c>
      <c r="N10" s="337" t="str">
        <f t="shared" si="0"/>
        <v xml:space="preserve"> </v>
      </c>
      <c r="O10" s="339" t="str">
        <f t="shared" si="0"/>
        <v xml:space="preserve"> </v>
      </c>
      <c r="P10" s="337" t="str">
        <f t="shared" si="0"/>
        <v xml:space="preserve"> </v>
      </c>
      <c r="Q10" s="339" t="str">
        <f t="shared" si="0"/>
        <v xml:space="preserve"> </v>
      </c>
      <c r="R10" s="310"/>
      <c r="S10">
        <v>7</v>
      </c>
      <c r="T10" s="337"/>
      <c r="U10" s="12"/>
      <c r="V10" s="340"/>
      <c r="W10" s="339"/>
      <c r="X10"/>
      <c r="Y10" s="310"/>
      <c r="Z10" s="310"/>
      <c r="AA10" s="310"/>
      <c r="AB10" s="310"/>
    </row>
    <row r="11" spans="1:36" x14ac:dyDescent="0.25">
      <c r="A11" s="309"/>
      <c r="B11" s="310"/>
      <c r="D11" s="298"/>
      <c r="E11" s="298"/>
      <c r="F11" s="298"/>
      <c r="G11" s="299"/>
      <c r="H11" s="299"/>
      <c r="I11" s="299"/>
      <c r="J11" s="299"/>
      <c r="K11" s="299"/>
      <c r="L11" s="310"/>
      <c r="M11">
        <v>8</v>
      </c>
      <c r="N11" s="337" t="str">
        <f t="shared" si="0"/>
        <v xml:space="preserve"> </v>
      </c>
      <c r="O11" s="339" t="str">
        <f t="shared" si="0"/>
        <v xml:space="preserve"> </v>
      </c>
      <c r="P11" s="337" t="str">
        <f t="shared" si="0"/>
        <v xml:space="preserve"> </v>
      </c>
      <c r="Q11" s="339" t="str">
        <f t="shared" si="0"/>
        <v xml:space="preserve"> </v>
      </c>
      <c r="R11" s="310"/>
      <c r="S11">
        <v>8</v>
      </c>
      <c r="T11" s="337"/>
      <c r="U11" s="12"/>
      <c r="V11" s="340"/>
      <c r="W11" s="339"/>
      <c r="X11"/>
      <c r="Y11" s="310"/>
      <c r="Z11" s="310"/>
      <c r="AA11" s="310"/>
      <c r="AB11" s="310"/>
    </row>
    <row r="12" spans="1:36" x14ac:dyDescent="0.25">
      <c r="A12" s="309"/>
      <c r="B12" s="310"/>
      <c r="C12" s="346"/>
      <c r="D12" s="347"/>
      <c r="E12" s="347"/>
      <c r="F12" s="347"/>
      <c r="G12" s="299"/>
      <c r="H12" s="299"/>
      <c r="I12" s="299"/>
      <c r="J12" s="299"/>
      <c r="K12" s="299"/>
      <c r="L12" s="310"/>
      <c r="M12">
        <v>9</v>
      </c>
      <c r="N12" s="337" t="str">
        <f t="shared" si="0"/>
        <v xml:space="preserve"> </v>
      </c>
      <c r="O12" s="339" t="str">
        <f t="shared" si="0"/>
        <v xml:space="preserve"> </v>
      </c>
      <c r="P12" s="337" t="str">
        <f t="shared" si="0"/>
        <v xml:space="preserve"> </v>
      </c>
      <c r="Q12" s="339" t="str">
        <f t="shared" si="0"/>
        <v xml:space="preserve"> </v>
      </c>
      <c r="R12" s="310"/>
      <c r="S12">
        <v>9</v>
      </c>
      <c r="T12" s="337"/>
      <c r="U12" s="12"/>
      <c r="V12" s="340"/>
      <c r="W12" s="339"/>
      <c r="X12"/>
      <c r="Y12" s="310"/>
      <c r="Z12" s="310"/>
      <c r="AA12" s="310"/>
      <c r="AB12" s="310"/>
    </row>
    <row r="13" spans="1:36" x14ac:dyDescent="0.25">
      <c r="A13" s="309"/>
      <c r="B13" s="310"/>
      <c r="C13" s="346"/>
      <c r="D13" s="347"/>
      <c r="E13" s="347"/>
      <c r="F13" s="347"/>
      <c r="G13" s="299"/>
      <c r="H13" s="299"/>
      <c r="I13" s="299"/>
      <c r="J13" s="299"/>
      <c r="K13" s="299"/>
      <c r="L13" s="310"/>
      <c r="M13">
        <v>10</v>
      </c>
      <c r="N13" s="225" t="str">
        <f t="shared" si="0"/>
        <v xml:space="preserve"> </v>
      </c>
      <c r="O13" s="341" t="str">
        <f t="shared" si="0"/>
        <v xml:space="preserve"> </v>
      </c>
      <c r="P13" s="225" t="str">
        <f t="shared" si="0"/>
        <v xml:space="preserve"> </v>
      </c>
      <c r="Q13" s="341" t="str">
        <f t="shared" si="0"/>
        <v xml:space="preserve"> </v>
      </c>
      <c r="R13" s="310"/>
      <c r="S13">
        <v>10</v>
      </c>
      <c r="T13" s="225"/>
      <c r="U13" s="13"/>
      <c r="V13" s="342"/>
      <c r="W13" s="341"/>
      <c r="X13"/>
      <c r="Y13" s="310"/>
      <c r="Z13" s="310"/>
      <c r="AA13" s="310"/>
      <c r="AB13" s="310"/>
    </row>
    <row r="14" spans="1:36" x14ac:dyDescent="0.25">
      <c r="A14" s="309"/>
      <c r="B14" s="310"/>
      <c r="C14"/>
      <c r="D14"/>
      <c r="E14"/>
      <c r="F14"/>
      <c r="G14"/>
      <c r="H14"/>
      <c r="I14"/>
      <c r="J14"/>
      <c r="K14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</row>
    <row r="15" spans="1:36" ht="15.75" thickBot="1" x14ac:dyDescent="0.3">
      <c r="B15" s="298">
        <v>2</v>
      </c>
      <c r="C15" s="298">
        <v>3</v>
      </c>
      <c r="D15" s="298">
        <v>4</v>
      </c>
      <c r="E15" s="298">
        <v>5</v>
      </c>
      <c r="F15" s="298">
        <v>6</v>
      </c>
      <c r="G15" s="298">
        <v>7</v>
      </c>
      <c r="H15" s="298">
        <v>8</v>
      </c>
      <c r="I15" s="298">
        <v>9</v>
      </c>
      <c r="J15" s="298">
        <v>10</v>
      </c>
      <c r="K15" s="298">
        <v>11</v>
      </c>
      <c r="L15" s="298">
        <v>12</v>
      </c>
      <c r="M15" s="298">
        <v>13</v>
      </c>
      <c r="N15" s="298">
        <v>14</v>
      </c>
      <c r="O15" s="298">
        <v>15</v>
      </c>
      <c r="P15" s="298">
        <v>16</v>
      </c>
      <c r="Q15" s="298">
        <v>17</v>
      </c>
      <c r="R15" s="298">
        <v>18</v>
      </c>
      <c r="S15" s="298">
        <v>19</v>
      </c>
      <c r="T15" s="298">
        <v>20</v>
      </c>
      <c r="U15" s="298">
        <v>21</v>
      </c>
      <c r="V15" s="298">
        <v>22</v>
      </c>
      <c r="W15" s="298">
        <v>23</v>
      </c>
      <c r="X15" s="298">
        <v>24</v>
      </c>
      <c r="Y15" s="298">
        <v>25</v>
      </c>
      <c r="Z15" s="298">
        <v>26</v>
      </c>
      <c r="AA15" s="298">
        <v>27</v>
      </c>
      <c r="AB15" s="298">
        <v>28</v>
      </c>
      <c r="AC15" s="298">
        <v>29</v>
      </c>
      <c r="AD15" s="298">
        <v>30</v>
      </c>
      <c r="AE15" s="298">
        <v>31</v>
      </c>
      <c r="AF15" s="298">
        <v>32</v>
      </c>
      <c r="AG15" s="298">
        <v>33</v>
      </c>
      <c r="AH15" s="298">
        <v>34</v>
      </c>
      <c r="AI15" s="298">
        <v>35</v>
      </c>
      <c r="AJ15" s="298">
        <v>36</v>
      </c>
    </row>
    <row r="16" spans="1:36" ht="15.75" thickBot="1" x14ac:dyDescent="0.3">
      <c r="A16" s="327" t="s">
        <v>39</v>
      </c>
      <c r="B16" s="304" t="s">
        <v>214</v>
      </c>
      <c r="C16" s="304" t="s">
        <v>215</v>
      </c>
      <c r="D16" s="363" t="s">
        <v>216</v>
      </c>
      <c r="E16" s="361" t="s">
        <v>217</v>
      </c>
      <c r="F16" s="348">
        <v>0</v>
      </c>
      <c r="G16" s="349">
        <v>200</v>
      </c>
      <c r="H16" s="350">
        <v>500</v>
      </c>
      <c r="I16" s="349">
        <v>1000</v>
      </c>
      <c r="J16" s="350">
        <v>2000</v>
      </c>
      <c r="K16" s="351">
        <v>5000</v>
      </c>
      <c r="L16" s="370"/>
      <c r="M16" s="381"/>
      <c r="N16" s="375"/>
      <c r="O16" s="383"/>
      <c r="P16" s="375"/>
      <c r="Q16" s="383"/>
      <c r="R16" s="375"/>
      <c r="S16" s="372"/>
      <c r="T16" s="383"/>
      <c r="U16" s="375"/>
      <c r="V16" s="375"/>
      <c r="W16" s="375"/>
      <c r="X16" s="375"/>
      <c r="Y16" s="375"/>
      <c r="Z16" s="375"/>
      <c r="AA16" s="375"/>
      <c r="AB16" s="375"/>
      <c r="AC16" s="672" t="s">
        <v>476</v>
      </c>
      <c r="AD16" s="529">
        <f>VLOOKUP("X",19:254,AD15,FALSE)</f>
        <v>1</v>
      </c>
      <c r="AE16" s="529">
        <f>VLOOKUP("X",19:254,AE15,FALSE)</f>
        <v>1</v>
      </c>
      <c r="AF16" s="529">
        <f t="shared" ref="AF16:AJ16" si="1">VLOOKUP("X",19:254,AF15,FALSE)</f>
        <v>1</v>
      </c>
      <c r="AG16" s="529">
        <f t="shared" si="1"/>
        <v>1</v>
      </c>
      <c r="AH16" s="529">
        <f t="shared" si="1"/>
        <v>1</v>
      </c>
      <c r="AI16" s="529">
        <f t="shared" si="1"/>
        <v>1</v>
      </c>
      <c r="AJ16" s="281">
        <f t="shared" si="1"/>
        <v>1</v>
      </c>
    </row>
    <row r="17" spans="1:36" x14ac:dyDescent="0.25">
      <c r="A17" s="328"/>
      <c r="B17" s="305"/>
      <c r="C17" s="305"/>
      <c r="D17" s="364"/>
      <c r="E17" s="362"/>
      <c r="F17" s="316">
        <v>200</v>
      </c>
      <c r="G17" s="306">
        <v>500</v>
      </c>
      <c r="H17" s="317">
        <v>1000</v>
      </c>
      <c r="I17" s="306">
        <v>2000</v>
      </c>
      <c r="J17" s="317">
        <v>5000</v>
      </c>
      <c r="K17" s="318">
        <v>999999</v>
      </c>
      <c r="L17" s="371"/>
      <c r="M17" s="382"/>
      <c r="N17" s="376"/>
      <c r="O17" s="384"/>
      <c r="P17" s="376"/>
      <c r="Q17" s="384"/>
      <c r="R17" s="376"/>
      <c r="S17" s="373"/>
      <c r="T17" s="384" t="s">
        <v>218</v>
      </c>
      <c r="U17" s="388"/>
      <c r="V17" s="388"/>
      <c r="W17" s="388"/>
      <c r="X17" s="345"/>
      <c r="Y17" s="345"/>
      <c r="Z17" s="345"/>
      <c r="AA17" s="345"/>
      <c r="AB17" s="345"/>
      <c r="AC17" s="673">
        <v>5000</v>
      </c>
      <c r="AD17" s="12" t="s">
        <v>66</v>
      </c>
      <c r="AE17" s="2" t="s">
        <v>65</v>
      </c>
      <c r="AF17" s="12" t="s">
        <v>63</v>
      </c>
      <c r="AG17" s="2" t="s">
        <v>64</v>
      </c>
      <c r="AH17" s="12" t="s">
        <v>52</v>
      </c>
      <c r="AI17" s="2" t="s">
        <v>54</v>
      </c>
      <c r="AJ17" s="12" t="s">
        <v>67</v>
      </c>
    </row>
    <row r="18" spans="1:36" ht="15.75" thickBot="1" x14ac:dyDescent="0.3">
      <c r="A18" s="328"/>
      <c r="B18" s="307"/>
      <c r="C18" s="307"/>
      <c r="D18" s="364"/>
      <c r="E18" s="362"/>
      <c r="F18" s="352" t="s">
        <v>219</v>
      </c>
      <c r="G18" s="353" t="s">
        <v>220</v>
      </c>
      <c r="H18" s="354" t="s">
        <v>221</v>
      </c>
      <c r="I18" s="353" t="s">
        <v>222</v>
      </c>
      <c r="J18" s="355" t="s">
        <v>223</v>
      </c>
      <c r="K18" s="356" t="s">
        <v>224</v>
      </c>
      <c r="L18" s="308" t="s">
        <v>29</v>
      </c>
      <c r="M18" s="382" t="s">
        <v>225</v>
      </c>
      <c r="N18" s="376" t="s">
        <v>0</v>
      </c>
      <c r="O18" s="385" t="s">
        <v>174</v>
      </c>
      <c r="P18" s="377" t="s">
        <v>0</v>
      </c>
      <c r="Q18" s="385" t="s">
        <v>174</v>
      </c>
      <c r="R18" s="377" t="s">
        <v>0</v>
      </c>
      <c r="S18" s="374" t="s">
        <v>226</v>
      </c>
      <c r="T18" s="385"/>
      <c r="U18" s="389" t="s">
        <v>227</v>
      </c>
      <c r="V18" s="390" t="s">
        <v>228</v>
      </c>
      <c r="W18" s="390" t="s">
        <v>229</v>
      </c>
      <c r="X18" s="390" t="s">
        <v>230</v>
      </c>
      <c r="Y18" s="389" t="s">
        <v>231</v>
      </c>
      <c r="Z18" s="389" t="s">
        <v>232</v>
      </c>
      <c r="AA18" s="389" t="s">
        <v>233</v>
      </c>
      <c r="AB18" s="389" t="s">
        <v>234</v>
      </c>
      <c r="AC18" s="674">
        <v>6200</v>
      </c>
      <c r="AD18" s="13" t="s">
        <v>96</v>
      </c>
      <c r="AE18" s="343" t="s">
        <v>96</v>
      </c>
      <c r="AF18" s="13" t="s">
        <v>96</v>
      </c>
      <c r="AG18" s="343" t="s">
        <v>96</v>
      </c>
      <c r="AH18" s="13" t="s">
        <v>96</v>
      </c>
      <c r="AI18" s="343" t="s">
        <v>96</v>
      </c>
      <c r="AJ18" s="13" t="s">
        <v>96</v>
      </c>
    </row>
    <row r="19" spans="1:36" x14ac:dyDescent="0.25">
      <c r="A19" s="298" t="str">
        <f>IF('Kwaliteit conversie'!$D$4='Prijs karton'!C19,"X"," ")</f>
        <v xml:space="preserve"> </v>
      </c>
      <c r="B19" s="330" t="s">
        <v>31</v>
      </c>
      <c r="C19" s="358" t="s">
        <v>235</v>
      </c>
      <c r="D19" s="365">
        <v>0.35099999999999998</v>
      </c>
      <c r="E19" s="357">
        <v>2.84</v>
      </c>
      <c r="F19" s="922">
        <v>0</v>
      </c>
      <c r="G19" s="368">
        <v>40.5</v>
      </c>
      <c r="H19" s="368">
        <v>37.5</v>
      </c>
      <c r="I19" s="368">
        <v>37.5</v>
      </c>
      <c r="J19" s="368">
        <v>35.5</v>
      </c>
      <c r="K19" s="923">
        <v>35.5</v>
      </c>
      <c r="L19" s="924" t="s">
        <v>236</v>
      </c>
      <c r="M19" s="331" t="s">
        <v>237</v>
      </c>
      <c r="N19" s="366" t="s">
        <v>238</v>
      </c>
      <c r="O19" s="313" t="s">
        <v>239</v>
      </c>
      <c r="P19" s="366" t="s">
        <v>239</v>
      </c>
      <c r="Q19" s="313" t="s">
        <v>239</v>
      </c>
      <c r="R19" s="366" t="s">
        <v>239</v>
      </c>
      <c r="S19" s="378" t="s">
        <v>237</v>
      </c>
      <c r="T19" s="314" t="s">
        <v>240</v>
      </c>
      <c r="U19" s="391">
        <v>240</v>
      </c>
      <c r="V19" s="391">
        <v>2450</v>
      </c>
      <c r="W19" s="391">
        <v>500</v>
      </c>
      <c r="X19" s="391">
        <v>6000</v>
      </c>
      <c r="Y19" s="391">
        <v>125</v>
      </c>
      <c r="Z19" s="391">
        <v>125</v>
      </c>
      <c r="AA19" s="391">
        <v>200</v>
      </c>
      <c r="AB19" s="184">
        <v>4.0199999999999996</v>
      </c>
      <c r="AC19" s="28">
        <v>0</v>
      </c>
      <c r="AD19" s="486">
        <v>1</v>
      </c>
      <c r="AE19" s="486">
        <v>1</v>
      </c>
      <c r="AF19" s="486">
        <v>1</v>
      </c>
      <c r="AG19" s="486">
        <v>1</v>
      </c>
      <c r="AH19" s="486">
        <v>1</v>
      </c>
      <c r="AI19" s="486">
        <v>1</v>
      </c>
      <c r="AJ19" s="486">
        <v>1</v>
      </c>
    </row>
    <row r="20" spans="1:36" x14ac:dyDescent="0.25">
      <c r="A20" s="298" t="str">
        <f>IF('Kwaliteit conversie'!$D$4='Prijs karton'!C20,"X"," ")</f>
        <v xml:space="preserve"> </v>
      </c>
      <c r="B20" s="331" t="s">
        <v>31</v>
      </c>
      <c r="C20" s="359" t="s">
        <v>241</v>
      </c>
      <c r="D20" s="366">
        <v>0.30499999999999999</v>
      </c>
      <c r="E20" s="321">
        <v>2.7</v>
      </c>
      <c r="F20" s="925">
        <v>0</v>
      </c>
      <c r="G20" s="315">
        <v>27.7</v>
      </c>
      <c r="H20" s="315">
        <v>24.7</v>
      </c>
      <c r="I20" s="315">
        <v>24.2</v>
      </c>
      <c r="J20" s="315">
        <v>24.2</v>
      </c>
      <c r="K20" s="513">
        <v>23.7</v>
      </c>
      <c r="L20" s="926" t="s">
        <v>242</v>
      </c>
      <c r="M20" s="331" t="s">
        <v>243</v>
      </c>
      <c r="N20" s="366" t="s">
        <v>244</v>
      </c>
      <c r="O20" s="323" t="s">
        <v>239</v>
      </c>
      <c r="P20" s="386" t="s">
        <v>239</v>
      </c>
      <c r="Q20" s="323" t="s">
        <v>239</v>
      </c>
      <c r="R20" s="366" t="s">
        <v>239</v>
      </c>
      <c r="S20" s="378" t="s">
        <v>244</v>
      </c>
      <c r="T20" s="324" t="s">
        <v>245</v>
      </c>
      <c r="U20" s="386">
        <v>250</v>
      </c>
      <c r="V20" s="386">
        <v>2450</v>
      </c>
      <c r="W20" s="386">
        <v>500</v>
      </c>
      <c r="X20" s="386">
        <v>6200</v>
      </c>
      <c r="Y20" s="386">
        <v>480</v>
      </c>
      <c r="Z20" s="386">
        <v>240</v>
      </c>
      <c r="AA20" s="386">
        <v>200</v>
      </c>
      <c r="AB20" s="392">
        <v>3</v>
      </c>
      <c r="AC20" s="28">
        <v>0</v>
      </c>
      <c r="AD20" s="28">
        <v>1</v>
      </c>
      <c r="AE20" s="28">
        <v>1</v>
      </c>
      <c r="AF20" s="28">
        <v>1</v>
      </c>
      <c r="AG20" s="28">
        <v>1</v>
      </c>
      <c r="AH20" s="28">
        <v>1</v>
      </c>
      <c r="AI20" s="28">
        <v>1</v>
      </c>
      <c r="AJ20" s="28">
        <v>1</v>
      </c>
    </row>
    <row r="21" spans="1:36" x14ac:dyDescent="0.25">
      <c r="A21" s="298" t="str">
        <f>IF('Kwaliteit conversie'!$D$4='Prijs karton'!C21,"X"," ")</f>
        <v xml:space="preserve"> </v>
      </c>
      <c r="B21" s="331" t="s">
        <v>31</v>
      </c>
      <c r="C21" s="359" t="s">
        <v>246</v>
      </c>
      <c r="D21" s="366">
        <v>0.36499999999999999</v>
      </c>
      <c r="E21" s="321">
        <v>2.8</v>
      </c>
      <c r="F21" s="925">
        <v>0</v>
      </c>
      <c r="G21" s="315">
        <v>31</v>
      </c>
      <c r="H21" s="315">
        <v>28</v>
      </c>
      <c r="I21" s="315">
        <v>27.5</v>
      </c>
      <c r="J21" s="315">
        <v>27.5</v>
      </c>
      <c r="K21" s="513">
        <v>27</v>
      </c>
      <c r="L21" s="926" t="s">
        <v>247</v>
      </c>
      <c r="M21" s="331" t="s">
        <v>248</v>
      </c>
      <c r="N21" s="366" t="s">
        <v>238</v>
      </c>
      <c r="O21" s="323" t="s">
        <v>239</v>
      </c>
      <c r="P21" s="386" t="s">
        <v>239</v>
      </c>
      <c r="Q21" s="323" t="s">
        <v>239</v>
      </c>
      <c r="R21" s="366" t="s">
        <v>239</v>
      </c>
      <c r="S21" s="378" t="s">
        <v>249</v>
      </c>
      <c r="T21" s="324" t="s">
        <v>245</v>
      </c>
      <c r="U21" s="386">
        <v>250</v>
      </c>
      <c r="V21" s="386">
        <v>2450</v>
      </c>
      <c r="W21" s="386">
        <v>500</v>
      </c>
      <c r="X21" s="386">
        <v>6200</v>
      </c>
      <c r="Y21" s="386">
        <v>480</v>
      </c>
      <c r="Z21" s="386">
        <v>240</v>
      </c>
      <c r="AA21" s="386">
        <v>200</v>
      </c>
      <c r="AB21" s="392">
        <v>4</v>
      </c>
      <c r="AC21" s="28">
        <v>0</v>
      </c>
      <c r="AD21" s="28">
        <v>1</v>
      </c>
      <c r="AE21" s="28">
        <v>1</v>
      </c>
      <c r="AF21" s="28">
        <v>1</v>
      </c>
      <c r="AG21" s="28">
        <v>1</v>
      </c>
      <c r="AH21" s="28">
        <v>1</v>
      </c>
      <c r="AI21" s="28">
        <v>1</v>
      </c>
      <c r="AJ21" s="28">
        <v>1</v>
      </c>
    </row>
    <row r="22" spans="1:36" x14ac:dyDescent="0.25">
      <c r="A22" s="298" t="str">
        <f>IF('Kwaliteit conversie'!$D$4='Prijs karton'!C22,"X"," ")</f>
        <v xml:space="preserve"> </v>
      </c>
      <c r="B22" s="331" t="s">
        <v>31</v>
      </c>
      <c r="C22" s="359" t="s">
        <v>250</v>
      </c>
      <c r="D22" s="366">
        <v>0.35499999999999998</v>
      </c>
      <c r="E22" s="321">
        <v>2.8</v>
      </c>
      <c r="F22" s="925">
        <v>0</v>
      </c>
      <c r="G22" s="315">
        <v>28.8</v>
      </c>
      <c r="H22" s="315">
        <v>25.8</v>
      </c>
      <c r="I22" s="315">
        <v>25.3</v>
      </c>
      <c r="J22" s="315">
        <v>25.3</v>
      </c>
      <c r="K22" s="513">
        <v>24.8</v>
      </c>
      <c r="L22" s="926" t="s">
        <v>251</v>
      </c>
      <c r="M22" s="331" t="s">
        <v>249</v>
      </c>
      <c r="N22" s="366" t="s">
        <v>244</v>
      </c>
      <c r="O22" s="323" t="s">
        <v>239</v>
      </c>
      <c r="P22" s="386" t="s">
        <v>239</v>
      </c>
      <c r="Q22" s="323" t="s">
        <v>239</v>
      </c>
      <c r="R22" s="366" t="s">
        <v>239</v>
      </c>
      <c r="S22" s="378" t="s">
        <v>249</v>
      </c>
      <c r="T22" s="324" t="s">
        <v>245</v>
      </c>
      <c r="U22" s="386">
        <v>250</v>
      </c>
      <c r="V22" s="386">
        <v>2450</v>
      </c>
      <c r="W22" s="386">
        <v>500</v>
      </c>
      <c r="X22" s="386">
        <v>6200</v>
      </c>
      <c r="Y22" s="386">
        <v>480</v>
      </c>
      <c r="Z22" s="386">
        <v>240</v>
      </c>
      <c r="AA22" s="386">
        <v>200</v>
      </c>
      <c r="AB22" s="392">
        <v>3.6</v>
      </c>
      <c r="AC22" s="28">
        <v>10</v>
      </c>
      <c r="AD22" s="28">
        <v>1</v>
      </c>
      <c r="AE22" s="28">
        <v>1</v>
      </c>
      <c r="AF22" s="28">
        <v>1</v>
      </c>
      <c r="AG22" s="28">
        <v>1</v>
      </c>
      <c r="AH22" s="28">
        <v>1</v>
      </c>
      <c r="AI22" s="28">
        <v>1</v>
      </c>
      <c r="AJ22" s="28">
        <v>1</v>
      </c>
    </row>
    <row r="23" spans="1:36" x14ac:dyDescent="0.25">
      <c r="A23" s="298" t="str">
        <f>IF('Kwaliteit conversie'!$D$4='Prijs karton'!C23,"X"," ")</f>
        <v xml:space="preserve"> </v>
      </c>
      <c r="B23" s="331" t="s">
        <v>31</v>
      </c>
      <c r="C23" s="359" t="s">
        <v>252</v>
      </c>
      <c r="D23" s="366">
        <v>0.36499999999999999</v>
      </c>
      <c r="E23" s="321">
        <v>2.84</v>
      </c>
      <c r="F23" s="925">
        <v>0</v>
      </c>
      <c r="G23" s="315">
        <v>41.1</v>
      </c>
      <c r="H23" s="315">
        <v>38.1</v>
      </c>
      <c r="I23" s="315">
        <v>38.1</v>
      </c>
      <c r="J23" s="315">
        <v>36.1</v>
      </c>
      <c r="K23" s="513">
        <v>36.1</v>
      </c>
      <c r="L23" s="926" t="s">
        <v>253</v>
      </c>
      <c r="M23" s="331" t="s">
        <v>254</v>
      </c>
      <c r="N23" s="366" t="s">
        <v>238</v>
      </c>
      <c r="O23" s="323" t="s">
        <v>239</v>
      </c>
      <c r="P23" s="386" t="s">
        <v>239</v>
      </c>
      <c r="Q23" s="323" t="s">
        <v>239</v>
      </c>
      <c r="R23" s="366" t="s">
        <v>239</v>
      </c>
      <c r="S23" s="378" t="s">
        <v>254</v>
      </c>
      <c r="T23" s="324" t="s">
        <v>240</v>
      </c>
      <c r="U23" s="386">
        <v>240</v>
      </c>
      <c r="V23" s="386">
        <v>2450</v>
      </c>
      <c r="W23" s="386">
        <v>500</v>
      </c>
      <c r="X23" s="386">
        <v>6000</v>
      </c>
      <c r="Y23" s="386">
        <v>125</v>
      </c>
      <c r="Z23" s="386">
        <v>125</v>
      </c>
      <c r="AA23" s="386">
        <v>200</v>
      </c>
      <c r="AB23" s="392">
        <v>4</v>
      </c>
      <c r="AC23" s="28">
        <v>0</v>
      </c>
      <c r="AD23" s="28">
        <v>1</v>
      </c>
      <c r="AE23" s="28">
        <v>1</v>
      </c>
      <c r="AF23" s="28">
        <v>1</v>
      </c>
      <c r="AG23" s="28">
        <v>1</v>
      </c>
      <c r="AH23" s="28">
        <v>1</v>
      </c>
      <c r="AI23" s="28">
        <v>1</v>
      </c>
      <c r="AJ23" s="28">
        <v>1</v>
      </c>
    </row>
    <row r="24" spans="1:36" x14ac:dyDescent="0.25">
      <c r="A24" s="298" t="str">
        <f>IF('Kwaliteit conversie'!$D$4='Prijs karton'!C24,"X"," ")</f>
        <v xml:space="preserve"> </v>
      </c>
      <c r="B24" s="331" t="s">
        <v>31</v>
      </c>
      <c r="C24" s="359"/>
      <c r="D24" s="366"/>
      <c r="E24" s="321"/>
      <c r="F24" s="925"/>
      <c r="G24" s="315"/>
      <c r="H24" s="315"/>
      <c r="I24" s="315"/>
      <c r="J24" s="315"/>
      <c r="K24" s="513"/>
      <c r="L24" s="926"/>
      <c r="M24" s="331"/>
      <c r="N24" s="366"/>
      <c r="O24" s="323"/>
      <c r="P24" s="386"/>
      <c r="Q24" s="323"/>
      <c r="R24" s="366"/>
      <c r="S24" s="378"/>
      <c r="T24" s="324"/>
      <c r="U24" s="386"/>
      <c r="V24" s="386"/>
      <c r="W24" s="386"/>
      <c r="X24" s="386"/>
      <c r="Y24" s="386"/>
      <c r="Z24" s="386"/>
      <c r="AA24" s="386"/>
      <c r="AB24" s="392"/>
      <c r="AC24" s="28"/>
      <c r="AD24" s="28"/>
      <c r="AE24" s="28"/>
      <c r="AF24" s="28"/>
      <c r="AG24" s="28"/>
      <c r="AH24" s="28"/>
      <c r="AI24" s="28"/>
      <c r="AJ24" s="28"/>
    </row>
    <row r="25" spans="1:36" x14ac:dyDescent="0.25">
      <c r="A25" s="298" t="str">
        <f>IF('Kwaliteit conversie'!$D$4='Prijs karton'!C25,"X"," ")</f>
        <v xml:space="preserve"> </v>
      </c>
      <c r="B25" s="331" t="s">
        <v>31</v>
      </c>
      <c r="C25" s="359" t="s">
        <v>42</v>
      </c>
      <c r="D25" s="366">
        <v>0.375</v>
      </c>
      <c r="E25" s="321">
        <v>2.8</v>
      </c>
      <c r="F25" s="925">
        <v>0</v>
      </c>
      <c r="G25" s="315">
        <v>29.8</v>
      </c>
      <c r="H25" s="315">
        <v>26.8</v>
      </c>
      <c r="I25" s="315">
        <v>26.3</v>
      </c>
      <c r="J25" s="315">
        <v>26.3</v>
      </c>
      <c r="K25" s="513">
        <v>25.8</v>
      </c>
      <c r="L25" s="926" t="s">
        <v>256</v>
      </c>
      <c r="M25" s="331" t="s">
        <v>257</v>
      </c>
      <c r="N25" s="366" t="s">
        <v>244</v>
      </c>
      <c r="O25" s="323" t="s">
        <v>239</v>
      </c>
      <c r="P25" s="386" t="s">
        <v>239</v>
      </c>
      <c r="Q25" s="323" t="s">
        <v>239</v>
      </c>
      <c r="R25" s="366" t="s">
        <v>239</v>
      </c>
      <c r="S25" s="378" t="s">
        <v>249</v>
      </c>
      <c r="T25" s="324" t="s">
        <v>245</v>
      </c>
      <c r="U25" s="386">
        <v>250</v>
      </c>
      <c r="V25" s="386">
        <v>2450</v>
      </c>
      <c r="W25" s="386">
        <v>500</v>
      </c>
      <c r="X25" s="386">
        <v>6200</v>
      </c>
      <c r="Y25" s="386">
        <v>480</v>
      </c>
      <c r="Z25" s="386">
        <v>240</v>
      </c>
      <c r="AA25" s="386">
        <v>200</v>
      </c>
      <c r="AB25" s="392">
        <v>3.9</v>
      </c>
      <c r="AC25" s="28">
        <v>10</v>
      </c>
      <c r="AD25" s="28">
        <v>1</v>
      </c>
      <c r="AE25" s="28">
        <v>1</v>
      </c>
      <c r="AF25" s="28">
        <v>1</v>
      </c>
      <c r="AG25" s="28">
        <v>1</v>
      </c>
      <c r="AH25" s="28">
        <v>1</v>
      </c>
      <c r="AI25" s="28">
        <v>1</v>
      </c>
      <c r="AJ25" s="28">
        <v>1</v>
      </c>
    </row>
    <row r="26" spans="1:36" x14ac:dyDescent="0.25">
      <c r="A26" s="298" t="str">
        <f>IF('Kwaliteit conversie'!$D$4='Prijs karton'!C26,"X"," ")</f>
        <v xml:space="preserve"> </v>
      </c>
      <c r="B26" s="331" t="s">
        <v>31</v>
      </c>
      <c r="C26" s="359"/>
      <c r="D26" s="366"/>
      <c r="E26" s="321"/>
      <c r="F26" s="925"/>
      <c r="G26" s="315"/>
      <c r="H26" s="315"/>
      <c r="I26" s="315"/>
      <c r="J26" s="315"/>
      <c r="K26" s="513"/>
      <c r="L26" s="926"/>
      <c r="M26" s="331"/>
      <c r="N26" s="366"/>
      <c r="O26" s="323"/>
      <c r="P26" s="386"/>
      <c r="Q26" s="323"/>
      <c r="R26" s="366"/>
      <c r="S26" s="378"/>
      <c r="T26" s="324"/>
      <c r="U26" s="386"/>
      <c r="V26" s="386"/>
      <c r="W26" s="386"/>
      <c r="X26" s="386"/>
      <c r="Y26" s="386"/>
      <c r="Z26" s="386"/>
      <c r="AA26" s="386"/>
      <c r="AB26" s="392"/>
      <c r="AC26" s="28"/>
      <c r="AD26" s="28"/>
      <c r="AE26" s="28"/>
      <c r="AF26" s="28"/>
      <c r="AG26" s="28"/>
      <c r="AH26" s="28"/>
      <c r="AI26" s="28"/>
      <c r="AJ26" s="28"/>
    </row>
    <row r="27" spans="1:36" x14ac:dyDescent="0.25">
      <c r="A27" s="298" t="str">
        <f>IF('Kwaliteit conversie'!$D$4='Prijs karton'!C27,"X"," ")</f>
        <v xml:space="preserve"> </v>
      </c>
      <c r="B27" s="331" t="s">
        <v>31</v>
      </c>
      <c r="C27" s="359" t="s">
        <v>258</v>
      </c>
      <c r="D27" s="366">
        <v>0.38100000000000001</v>
      </c>
      <c r="E27" s="321">
        <v>2.88</v>
      </c>
      <c r="F27" s="925">
        <v>0</v>
      </c>
      <c r="G27" s="315">
        <v>44.9</v>
      </c>
      <c r="H27" s="315">
        <v>41.9</v>
      </c>
      <c r="I27" s="315">
        <v>41.9</v>
      </c>
      <c r="J27" s="315">
        <v>39.9</v>
      </c>
      <c r="K27" s="513">
        <v>39.9</v>
      </c>
      <c r="L27" s="926" t="s">
        <v>259</v>
      </c>
      <c r="M27" s="331" t="s">
        <v>260</v>
      </c>
      <c r="N27" s="366" t="s">
        <v>238</v>
      </c>
      <c r="O27" s="323" t="s">
        <v>239</v>
      </c>
      <c r="P27" s="386" t="s">
        <v>239</v>
      </c>
      <c r="Q27" s="323" t="s">
        <v>239</v>
      </c>
      <c r="R27" s="366" t="s">
        <v>239</v>
      </c>
      <c r="S27" s="378" t="s">
        <v>260</v>
      </c>
      <c r="T27" s="324" t="s">
        <v>240</v>
      </c>
      <c r="U27" s="386">
        <v>240</v>
      </c>
      <c r="V27" s="386">
        <v>2450</v>
      </c>
      <c r="W27" s="386">
        <v>500</v>
      </c>
      <c r="X27" s="386">
        <v>6000</v>
      </c>
      <c r="Y27" s="386">
        <v>125</v>
      </c>
      <c r="Z27" s="386">
        <v>125</v>
      </c>
      <c r="AA27" s="386">
        <v>200</v>
      </c>
      <c r="AB27" s="392">
        <v>4.87</v>
      </c>
      <c r="AC27" s="28">
        <v>0</v>
      </c>
      <c r="AD27" s="28">
        <v>1</v>
      </c>
      <c r="AE27" s="28">
        <v>1</v>
      </c>
      <c r="AF27" s="28">
        <v>1</v>
      </c>
      <c r="AG27" s="28">
        <v>1</v>
      </c>
      <c r="AH27" s="28">
        <v>1</v>
      </c>
      <c r="AI27" s="28">
        <v>1</v>
      </c>
      <c r="AJ27" s="28">
        <v>1</v>
      </c>
    </row>
    <row r="28" spans="1:36" x14ac:dyDescent="0.25">
      <c r="A28" s="298" t="str">
        <f>IF('Kwaliteit conversie'!$D$4='Prijs karton'!C28,"X"," ")</f>
        <v xml:space="preserve"> </v>
      </c>
      <c r="B28" s="331" t="s">
        <v>31</v>
      </c>
      <c r="C28" s="359" t="s">
        <v>261</v>
      </c>
      <c r="D28" s="366">
        <v>0.36</v>
      </c>
      <c r="E28" s="321">
        <v>2.2999999999999998</v>
      </c>
      <c r="F28" s="925">
        <v>0</v>
      </c>
      <c r="G28" s="315">
        <v>29.6</v>
      </c>
      <c r="H28" s="315">
        <v>26.6</v>
      </c>
      <c r="I28" s="315">
        <v>26.1</v>
      </c>
      <c r="J28" s="315">
        <v>26.1</v>
      </c>
      <c r="K28" s="513">
        <v>25.6</v>
      </c>
      <c r="L28" s="926" t="s">
        <v>262</v>
      </c>
      <c r="M28" s="331" t="s">
        <v>257</v>
      </c>
      <c r="N28" s="366" t="s">
        <v>255</v>
      </c>
      <c r="O28" s="323" t="s">
        <v>239</v>
      </c>
      <c r="P28" s="386" t="s">
        <v>239</v>
      </c>
      <c r="Q28" s="323" t="s">
        <v>239</v>
      </c>
      <c r="R28" s="366" t="s">
        <v>239</v>
      </c>
      <c r="S28" s="378" t="s">
        <v>249</v>
      </c>
      <c r="T28" s="324" t="s">
        <v>245</v>
      </c>
      <c r="U28" s="386">
        <v>250</v>
      </c>
      <c r="V28" s="386">
        <v>2450</v>
      </c>
      <c r="W28" s="386">
        <v>500</v>
      </c>
      <c r="X28" s="386">
        <v>6200</v>
      </c>
      <c r="Y28" s="386">
        <v>480</v>
      </c>
      <c r="Z28" s="386">
        <v>240</v>
      </c>
      <c r="AA28" s="386">
        <v>200</v>
      </c>
      <c r="AB28" s="392">
        <v>4.0999999999999996</v>
      </c>
      <c r="AC28" s="28">
        <v>0</v>
      </c>
      <c r="AD28" s="28">
        <v>1</v>
      </c>
      <c r="AE28" s="28">
        <v>1</v>
      </c>
      <c r="AF28" s="28">
        <v>1</v>
      </c>
      <c r="AG28" s="28">
        <v>1</v>
      </c>
      <c r="AH28" s="28">
        <v>1</v>
      </c>
      <c r="AI28" s="28">
        <v>1</v>
      </c>
      <c r="AJ28" s="28">
        <v>1</v>
      </c>
    </row>
    <row r="29" spans="1:36" x14ac:dyDescent="0.25">
      <c r="A29" s="298" t="str">
        <f>IF('Kwaliteit conversie'!$D$4='Prijs karton'!C29,"X"," ")</f>
        <v xml:space="preserve"> </v>
      </c>
      <c r="B29" s="331" t="s">
        <v>31</v>
      </c>
      <c r="C29" s="359" t="s">
        <v>263</v>
      </c>
      <c r="D29" s="366">
        <v>0.43</v>
      </c>
      <c r="E29" s="321">
        <v>2.8</v>
      </c>
      <c r="F29" s="925">
        <v>0</v>
      </c>
      <c r="G29" s="315">
        <v>37.5</v>
      </c>
      <c r="H29" s="315">
        <v>34.5</v>
      </c>
      <c r="I29" s="315">
        <v>34</v>
      </c>
      <c r="J29" s="315">
        <v>34</v>
      </c>
      <c r="K29" s="513">
        <v>33.5</v>
      </c>
      <c r="L29" s="926" t="s">
        <v>264</v>
      </c>
      <c r="M29" s="331" t="s">
        <v>257</v>
      </c>
      <c r="N29" s="366" t="s">
        <v>265</v>
      </c>
      <c r="O29" s="323" t="s">
        <v>239</v>
      </c>
      <c r="P29" s="386" t="s">
        <v>239</v>
      </c>
      <c r="Q29" s="323" t="s">
        <v>239</v>
      </c>
      <c r="R29" s="366" t="s">
        <v>239</v>
      </c>
      <c r="S29" s="378" t="s">
        <v>249</v>
      </c>
      <c r="T29" s="324" t="s">
        <v>245</v>
      </c>
      <c r="U29" s="386">
        <v>250</v>
      </c>
      <c r="V29" s="386">
        <v>2450</v>
      </c>
      <c r="W29" s="386">
        <v>500</v>
      </c>
      <c r="X29" s="386">
        <v>6200</v>
      </c>
      <c r="Y29" s="386">
        <v>480</v>
      </c>
      <c r="Z29" s="386">
        <v>240</v>
      </c>
      <c r="AA29" s="386">
        <v>200</v>
      </c>
      <c r="AB29" s="392">
        <v>5</v>
      </c>
      <c r="AC29" s="28">
        <v>0</v>
      </c>
      <c r="AD29" s="28">
        <v>1</v>
      </c>
      <c r="AE29" s="28">
        <v>1</v>
      </c>
      <c r="AF29" s="28">
        <v>1</v>
      </c>
      <c r="AG29" s="28">
        <v>1</v>
      </c>
      <c r="AH29" s="28">
        <v>1</v>
      </c>
      <c r="AI29" s="28">
        <v>1</v>
      </c>
      <c r="AJ29" s="28">
        <v>1</v>
      </c>
    </row>
    <row r="30" spans="1:36" x14ac:dyDescent="0.25">
      <c r="A30" s="298" t="str">
        <f>IF('Kwaliteit conversie'!$D$4='Prijs karton'!C30,"X"," ")</f>
        <v xml:space="preserve"> </v>
      </c>
      <c r="B30" s="331" t="s">
        <v>31</v>
      </c>
      <c r="C30" s="359" t="s">
        <v>266</v>
      </c>
      <c r="D30" s="366">
        <v>0.45</v>
      </c>
      <c r="E30" s="321">
        <v>2.8</v>
      </c>
      <c r="F30" s="925">
        <v>0</v>
      </c>
      <c r="G30" s="315">
        <v>38.5</v>
      </c>
      <c r="H30" s="315">
        <v>35.5</v>
      </c>
      <c r="I30" s="315">
        <v>35</v>
      </c>
      <c r="J30" s="315">
        <v>35</v>
      </c>
      <c r="K30" s="513">
        <v>34.5</v>
      </c>
      <c r="L30" s="926" t="s">
        <v>267</v>
      </c>
      <c r="M30" s="331" t="s">
        <v>257</v>
      </c>
      <c r="N30" s="366" t="s">
        <v>265</v>
      </c>
      <c r="O30" s="323" t="s">
        <v>239</v>
      </c>
      <c r="P30" s="386" t="s">
        <v>239</v>
      </c>
      <c r="Q30" s="323" t="s">
        <v>239</v>
      </c>
      <c r="R30" s="366" t="s">
        <v>239</v>
      </c>
      <c r="S30" s="378" t="s">
        <v>257</v>
      </c>
      <c r="T30" s="324" t="s">
        <v>245</v>
      </c>
      <c r="U30" s="386">
        <v>250</v>
      </c>
      <c r="V30" s="386">
        <v>2450</v>
      </c>
      <c r="W30" s="386">
        <v>500</v>
      </c>
      <c r="X30" s="386">
        <v>6200</v>
      </c>
      <c r="Y30" s="386">
        <v>480</v>
      </c>
      <c r="Z30" s="386">
        <v>240</v>
      </c>
      <c r="AA30" s="386">
        <v>200</v>
      </c>
      <c r="AB30" s="392">
        <v>5.2</v>
      </c>
      <c r="AC30" s="28">
        <v>0</v>
      </c>
      <c r="AD30" s="28">
        <v>1</v>
      </c>
      <c r="AE30" s="28">
        <v>1</v>
      </c>
      <c r="AF30" s="28">
        <v>1</v>
      </c>
      <c r="AG30" s="28">
        <v>1</v>
      </c>
      <c r="AH30" s="28">
        <v>1</v>
      </c>
      <c r="AI30" s="28">
        <v>1</v>
      </c>
      <c r="AJ30" s="28">
        <v>1</v>
      </c>
    </row>
    <row r="31" spans="1:36" x14ac:dyDescent="0.25">
      <c r="A31" s="298" t="str">
        <f>IF('Kwaliteit conversie'!$D$4='Prijs karton'!C31,"X"," ")</f>
        <v xml:space="preserve"> </v>
      </c>
      <c r="B31" s="331" t="s">
        <v>31</v>
      </c>
      <c r="C31" s="359" t="s">
        <v>45</v>
      </c>
      <c r="D31" s="366">
        <v>0.39500000000000002</v>
      </c>
      <c r="E31" s="321">
        <v>2.8</v>
      </c>
      <c r="F31" s="925">
        <v>0</v>
      </c>
      <c r="G31" s="315">
        <v>39.299999999999997</v>
      </c>
      <c r="H31" s="315">
        <v>36.299999999999997</v>
      </c>
      <c r="I31" s="315">
        <v>35.799999999999997</v>
      </c>
      <c r="J31" s="315">
        <v>35.799999999999997</v>
      </c>
      <c r="K31" s="513">
        <v>35.299999999999997</v>
      </c>
      <c r="L31" s="926" t="s">
        <v>268</v>
      </c>
      <c r="M31" s="331" t="s">
        <v>269</v>
      </c>
      <c r="N31" s="366" t="s">
        <v>244</v>
      </c>
      <c r="O31" s="323" t="s">
        <v>239</v>
      </c>
      <c r="P31" s="386" t="s">
        <v>239</v>
      </c>
      <c r="Q31" s="323" t="s">
        <v>239</v>
      </c>
      <c r="R31" s="366" t="s">
        <v>239</v>
      </c>
      <c r="S31" s="378" t="s">
        <v>257</v>
      </c>
      <c r="T31" s="324" t="s">
        <v>245</v>
      </c>
      <c r="U31" s="386">
        <v>250</v>
      </c>
      <c r="V31" s="386">
        <v>2450</v>
      </c>
      <c r="W31" s="386">
        <v>500</v>
      </c>
      <c r="X31" s="386">
        <v>6200</v>
      </c>
      <c r="Y31" s="386">
        <v>480</v>
      </c>
      <c r="Z31" s="386">
        <v>240</v>
      </c>
      <c r="AA31" s="386">
        <v>200</v>
      </c>
      <c r="AB31" s="392">
        <v>3.9</v>
      </c>
      <c r="AC31" s="28">
        <v>0</v>
      </c>
      <c r="AD31" s="28">
        <v>1</v>
      </c>
      <c r="AE31" s="28">
        <v>1</v>
      </c>
      <c r="AF31" s="28">
        <v>1</v>
      </c>
      <c r="AG31" s="28">
        <v>1</v>
      </c>
      <c r="AH31" s="28">
        <v>1</v>
      </c>
      <c r="AI31" s="28">
        <v>1</v>
      </c>
      <c r="AJ31" s="28">
        <v>1</v>
      </c>
    </row>
    <row r="32" spans="1:36" x14ac:dyDescent="0.25">
      <c r="A32" s="298" t="str">
        <f>IF('Kwaliteit conversie'!$D$4='Prijs karton'!C32,"X"," ")</f>
        <v xml:space="preserve"> </v>
      </c>
      <c r="B32" s="331" t="s">
        <v>31</v>
      </c>
      <c r="C32" s="359" t="s">
        <v>270</v>
      </c>
      <c r="D32" s="366">
        <v>0.39100000000000001</v>
      </c>
      <c r="E32" s="321">
        <v>2.85</v>
      </c>
      <c r="F32" s="925">
        <v>0</v>
      </c>
      <c r="G32" s="315" t="s">
        <v>239</v>
      </c>
      <c r="H32" s="315">
        <v>47.3</v>
      </c>
      <c r="I32" s="315">
        <v>47.3</v>
      </c>
      <c r="J32" s="315">
        <v>45.3</v>
      </c>
      <c r="K32" s="513">
        <v>45.3</v>
      </c>
      <c r="L32" s="926" t="s">
        <v>271</v>
      </c>
      <c r="M32" s="331" t="s">
        <v>269</v>
      </c>
      <c r="N32" s="366" t="s">
        <v>238</v>
      </c>
      <c r="O32" s="323" t="s">
        <v>239</v>
      </c>
      <c r="P32" s="386" t="s">
        <v>239</v>
      </c>
      <c r="Q32" s="323" t="s">
        <v>239</v>
      </c>
      <c r="R32" s="366" t="s">
        <v>239</v>
      </c>
      <c r="S32" s="378" t="s">
        <v>260</v>
      </c>
      <c r="T32" s="324" t="s">
        <v>240</v>
      </c>
      <c r="U32" s="386">
        <v>240</v>
      </c>
      <c r="V32" s="386">
        <v>2450</v>
      </c>
      <c r="W32" s="386">
        <v>500</v>
      </c>
      <c r="X32" s="386">
        <v>6000</v>
      </c>
      <c r="Y32" s="386">
        <v>125</v>
      </c>
      <c r="Z32" s="386">
        <v>125</v>
      </c>
      <c r="AA32" s="386">
        <v>500</v>
      </c>
      <c r="AB32" s="392">
        <v>4.55</v>
      </c>
      <c r="AC32" s="28">
        <v>0</v>
      </c>
      <c r="AD32" s="28">
        <v>1</v>
      </c>
      <c r="AE32" s="28">
        <v>1</v>
      </c>
      <c r="AF32" s="28">
        <v>1</v>
      </c>
      <c r="AG32" s="28">
        <v>1</v>
      </c>
      <c r="AH32" s="28">
        <v>1</v>
      </c>
      <c r="AI32" s="28">
        <v>1</v>
      </c>
      <c r="AJ32" s="28">
        <v>1</v>
      </c>
    </row>
    <row r="33" spans="1:36" x14ac:dyDescent="0.25">
      <c r="A33" s="298" t="str">
        <f>IF('Kwaliteit conversie'!$D$4='Prijs karton'!C33,"X"," ")</f>
        <v xml:space="preserve"> </v>
      </c>
      <c r="B33" s="331" t="s">
        <v>31</v>
      </c>
      <c r="C33" s="359"/>
      <c r="D33" s="366"/>
      <c r="E33" s="321"/>
      <c r="F33" s="925"/>
      <c r="G33" s="315"/>
      <c r="H33" s="315"/>
      <c r="I33" s="315"/>
      <c r="J33" s="315"/>
      <c r="K33" s="513"/>
      <c r="L33" s="926"/>
      <c r="M33" s="331"/>
      <c r="N33" s="366"/>
      <c r="O33" s="323"/>
      <c r="P33" s="386"/>
      <c r="Q33" s="323"/>
      <c r="R33" s="366"/>
      <c r="S33" s="378"/>
      <c r="T33" s="324"/>
      <c r="U33" s="386"/>
      <c r="V33" s="386"/>
      <c r="W33" s="386"/>
      <c r="X33" s="386"/>
      <c r="Y33" s="386"/>
      <c r="Z33" s="386"/>
      <c r="AA33" s="386"/>
      <c r="AB33" s="392"/>
      <c r="AC33" s="28"/>
      <c r="AD33" s="28"/>
      <c r="AE33" s="28"/>
      <c r="AF33" s="28"/>
      <c r="AG33" s="28"/>
      <c r="AH33" s="28"/>
      <c r="AI33" s="28"/>
      <c r="AJ33" s="28"/>
    </row>
    <row r="34" spans="1:36" x14ac:dyDescent="0.25">
      <c r="A34" s="298" t="str">
        <f>IF('Kwaliteit conversie'!$D$4='Prijs karton'!C34,"X"," ")</f>
        <v xml:space="preserve"> </v>
      </c>
      <c r="B34" s="331" t="s">
        <v>31</v>
      </c>
      <c r="C34" s="359"/>
      <c r="D34" s="366"/>
      <c r="E34" s="321"/>
      <c r="F34" s="925"/>
      <c r="G34" s="315"/>
      <c r="H34" s="315"/>
      <c r="I34" s="315"/>
      <c r="J34" s="315"/>
      <c r="K34" s="513"/>
      <c r="L34" s="926"/>
      <c r="M34" s="331"/>
      <c r="N34" s="366"/>
      <c r="O34" s="323"/>
      <c r="P34" s="386"/>
      <c r="Q34" s="323"/>
      <c r="R34" s="366"/>
      <c r="S34" s="378"/>
      <c r="T34" s="324"/>
      <c r="U34" s="386"/>
      <c r="V34" s="386"/>
      <c r="W34" s="386"/>
      <c r="X34" s="386"/>
      <c r="Y34" s="386"/>
      <c r="Z34" s="386"/>
      <c r="AA34" s="386"/>
      <c r="AB34" s="392"/>
      <c r="AC34" s="28"/>
      <c r="AD34" s="28"/>
      <c r="AE34" s="28"/>
      <c r="AF34" s="28"/>
      <c r="AG34" s="28"/>
      <c r="AH34" s="28"/>
      <c r="AI34" s="28"/>
      <c r="AJ34" s="28"/>
    </row>
    <row r="35" spans="1:36" x14ac:dyDescent="0.25">
      <c r="A35" s="298" t="str">
        <f>IF('Kwaliteit conversie'!$D$4='Prijs karton'!C35,"X"," ")</f>
        <v xml:space="preserve"> </v>
      </c>
      <c r="B35" s="331" t="s">
        <v>31</v>
      </c>
      <c r="C35" s="359" t="s">
        <v>272</v>
      </c>
      <c r="D35" s="366">
        <v>0.4</v>
      </c>
      <c r="E35" s="321">
        <v>2.8</v>
      </c>
      <c r="F35" s="925">
        <v>0</v>
      </c>
      <c r="G35" s="315">
        <v>38.700000000000003</v>
      </c>
      <c r="H35" s="315">
        <v>35.700000000000003</v>
      </c>
      <c r="I35" s="315">
        <v>35.200000000000003</v>
      </c>
      <c r="J35" s="315">
        <v>35.200000000000003</v>
      </c>
      <c r="K35" s="513">
        <v>34.700000000000003</v>
      </c>
      <c r="L35" s="926" t="s">
        <v>273</v>
      </c>
      <c r="M35" s="331" t="s">
        <v>274</v>
      </c>
      <c r="N35" s="366" t="s">
        <v>244</v>
      </c>
      <c r="O35" s="323" t="s">
        <v>239</v>
      </c>
      <c r="P35" s="386" t="s">
        <v>239</v>
      </c>
      <c r="Q35" s="323" t="s">
        <v>239</v>
      </c>
      <c r="R35" s="366" t="s">
        <v>239</v>
      </c>
      <c r="S35" s="378" t="s">
        <v>257</v>
      </c>
      <c r="T35" s="324" t="s">
        <v>245</v>
      </c>
      <c r="U35" s="386">
        <v>250</v>
      </c>
      <c r="V35" s="386">
        <v>2450</v>
      </c>
      <c r="W35" s="386">
        <v>500</v>
      </c>
      <c r="X35" s="386">
        <v>6200</v>
      </c>
      <c r="Y35" s="386">
        <v>480</v>
      </c>
      <c r="Z35" s="386">
        <v>240</v>
      </c>
      <c r="AA35" s="386">
        <v>200</v>
      </c>
      <c r="AB35" s="392">
        <v>4.5999999999999996</v>
      </c>
      <c r="AC35" s="28">
        <v>0</v>
      </c>
      <c r="AD35" s="28">
        <v>1</v>
      </c>
      <c r="AE35" s="28">
        <v>1</v>
      </c>
      <c r="AF35" s="28">
        <v>1</v>
      </c>
      <c r="AG35" s="28">
        <v>1</v>
      </c>
      <c r="AH35" s="28">
        <v>1</v>
      </c>
      <c r="AI35" s="28">
        <v>1</v>
      </c>
      <c r="AJ35" s="28">
        <v>1</v>
      </c>
    </row>
    <row r="36" spans="1:36" x14ac:dyDescent="0.25">
      <c r="A36" s="298" t="str">
        <f>IF('Kwaliteit conversie'!$D$4='Prijs karton'!C36,"X"," ")</f>
        <v xml:space="preserve"> </v>
      </c>
      <c r="B36" s="331" t="s">
        <v>31</v>
      </c>
      <c r="C36" s="359" t="s">
        <v>275</v>
      </c>
      <c r="D36" s="366">
        <v>0.39100000000000001</v>
      </c>
      <c r="E36" s="321">
        <v>2.87</v>
      </c>
      <c r="F36" s="925">
        <v>0</v>
      </c>
      <c r="G36" s="315">
        <v>50.6</v>
      </c>
      <c r="H36" s="315">
        <v>47.6</v>
      </c>
      <c r="I36" s="315">
        <v>47.6</v>
      </c>
      <c r="J36" s="315">
        <v>45.6</v>
      </c>
      <c r="K36" s="513">
        <v>45.6</v>
      </c>
      <c r="L36" s="926" t="s">
        <v>276</v>
      </c>
      <c r="M36" s="331" t="s">
        <v>277</v>
      </c>
      <c r="N36" s="366" t="s">
        <v>238</v>
      </c>
      <c r="O36" s="323" t="s">
        <v>239</v>
      </c>
      <c r="P36" s="386" t="s">
        <v>239</v>
      </c>
      <c r="Q36" s="323" t="s">
        <v>239</v>
      </c>
      <c r="R36" s="366" t="s">
        <v>239</v>
      </c>
      <c r="S36" s="378" t="s">
        <v>260</v>
      </c>
      <c r="T36" s="324" t="s">
        <v>240</v>
      </c>
      <c r="U36" s="386">
        <v>240</v>
      </c>
      <c r="V36" s="386">
        <v>2450</v>
      </c>
      <c r="W36" s="386">
        <v>500</v>
      </c>
      <c r="X36" s="386">
        <v>6000</v>
      </c>
      <c r="Y36" s="386">
        <v>125</v>
      </c>
      <c r="Z36" s="386">
        <v>125</v>
      </c>
      <c r="AA36" s="386">
        <v>200</v>
      </c>
      <c r="AB36" s="392">
        <v>5.07</v>
      </c>
      <c r="AC36" s="28">
        <v>0</v>
      </c>
      <c r="AD36" s="28">
        <v>1</v>
      </c>
      <c r="AE36" s="28">
        <v>1</v>
      </c>
      <c r="AF36" s="28">
        <v>1</v>
      </c>
      <c r="AG36" s="28">
        <v>1</v>
      </c>
      <c r="AH36" s="28">
        <v>1</v>
      </c>
      <c r="AI36" s="28">
        <v>1</v>
      </c>
      <c r="AJ36" s="28">
        <v>1</v>
      </c>
    </row>
    <row r="37" spans="1:36" x14ac:dyDescent="0.25">
      <c r="A37" s="298" t="str">
        <f>IF('Kwaliteit conversie'!$D$4='Prijs karton'!C37,"X"," ")</f>
        <v xml:space="preserve"> </v>
      </c>
      <c r="B37" s="331" t="s">
        <v>31</v>
      </c>
      <c r="C37" s="359"/>
      <c r="D37" s="366"/>
      <c r="E37" s="321"/>
      <c r="F37" s="925"/>
      <c r="G37" s="315"/>
      <c r="H37" s="315"/>
      <c r="I37" s="315"/>
      <c r="J37" s="315"/>
      <c r="K37" s="513"/>
      <c r="L37" s="926"/>
      <c r="M37" s="331"/>
      <c r="N37" s="366"/>
      <c r="O37" s="323"/>
      <c r="P37" s="386"/>
      <c r="Q37" s="323"/>
      <c r="R37" s="366"/>
      <c r="S37" s="378"/>
      <c r="T37" s="324"/>
      <c r="U37" s="386"/>
      <c r="V37" s="386"/>
      <c r="W37" s="386"/>
      <c r="X37" s="386"/>
      <c r="Y37" s="386"/>
      <c r="Z37" s="386"/>
      <c r="AA37" s="386"/>
      <c r="AB37" s="392"/>
      <c r="AC37" s="28"/>
      <c r="AD37" s="28"/>
      <c r="AE37" s="28"/>
      <c r="AF37" s="28"/>
      <c r="AG37" s="28"/>
      <c r="AH37" s="28"/>
      <c r="AI37" s="28"/>
      <c r="AJ37" s="28"/>
    </row>
    <row r="38" spans="1:36" x14ac:dyDescent="0.25">
      <c r="A38" s="298" t="str">
        <f>IF('Kwaliteit conversie'!$D$4='Prijs karton'!C38,"X"," ")</f>
        <v xml:space="preserve"> </v>
      </c>
      <c r="B38" s="331" t="s">
        <v>31</v>
      </c>
      <c r="C38" s="359"/>
      <c r="D38" s="366"/>
      <c r="E38" s="321"/>
      <c r="F38" s="925"/>
      <c r="G38" s="315"/>
      <c r="H38" s="315"/>
      <c r="I38" s="315"/>
      <c r="J38" s="315"/>
      <c r="K38" s="513"/>
      <c r="L38" s="926"/>
      <c r="M38" s="331"/>
      <c r="N38" s="366"/>
      <c r="O38" s="323"/>
      <c r="P38" s="386"/>
      <c r="Q38" s="323"/>
      <c r="R38" s="366"/>
      <c r="S38" s="378"/>
      <c r="T38" s="324"/>
      <c r="U38" s="386"/>
      <c r="V38" s="386"/>
      <c r="W38" s="386"/>
      <c r="X38" s="386"/>
      <c r="Y38" s="386"/>
      <c r="Z38" s="386"/>
      <c r="AA38" s="386"/>
      <c r="AB38" s="392"/>
      <c r="AC38" s="28"/>
      <c r="AD38" s="28"/>
      <c r="AE38" s="28"/>
      <c r="AF38" s="28"/>
      <c r="AG38" s="28"/>
      <c r="AH38" s="28"/>
      <c r="AI38" s="28"/>
      <c r="AJ38" s="28"/>
    </row>
    <row r="39" spans="1:36" x14ac:dyDescent="0.25">
      <c r="A39" s="298" t="str">
        <f>IF('Kwaliteit conversie'!$D$4='Prijs karton'!C39,"X"," ")</f>
        <v xml:space="preserve"> </v>
      </c>
      <c r="B39" s="331" t="s">
        <v>31</v>
      </c>
      <c r="C39" s="359" t="s">
        <v>278</v>
      </c>
      <c r="D39" s="366">
        <v>0.38500000000000001</v>
      </c>
      <c r="E39" s="321">
        <v>2.8</v>
      </c>
      <c r="F39" s="925">
        <v>0</v>
      </c>
      <c r="G39" s="315">
        <v>33.9</v>
      </c>
      <c r="H39" s="315">
        <v>30.9</v>
      </c>
      <c r="I39" s="315">
        <v>30.4</v>
      </c>
      <c r="J39" s="315">
        <v>30.4</v>
      </c>
      <c r="K39" s="513">
        <v>29.9</v>
      </c>
      <c r="L39" s="926" t="s">
        <v>279</v>
      </c>
      <c r="M39" s="331" t="s">
        <v>257</v>
      </c>
      <c r="N39" s="366" t="s">
        <v>238</v>
      </c>
      <c r="O39" s="323" t="s">
        <v>239</v>
      </c>
      <c r="P39" s="386" t="s">
        <v>239</v>
      </c>
      <c r="Q39" s="323" t="s">
        <v>239</v>
      </c>
      <c r="R39" s="366" t="s">
        <v>239</v>
      </c>
      <c r="S39" s="378" t="s">
        <v>249</v>
      </c>
      <c r="T39" s="324" t="s">
        <v>245</v>
      </c>
      <c r="U39" s="386">
        <v>250</v>
      </c>
      <c r="V39" s="386">
        <v>2450</v>
      </c>
      <c r="W39" s="386">
        <v>500</v>
      </c>
      <c r="X39" s="386">
        <v>6200</v>
      </c>
      <c r="Y39" s="386">
        <v>480</v>
      </c>
      <c r="Z39" s="386">
        <v>240</v>
      </c>
      <c r="AA39" s="386">
        <v>200</v>
      </c>
      <c r="AB39" s="392">
        <v>4.4000000000000004</v>
      </c>
      <c r="AC39" s="28">
        <v>0</v>
      </c>
      <c r="AD39" s="28">
        <v>1</v>
      </c>
      <c r="AE39" s="28">
        <v>1</v>
      </c>
      <c r="AF39" s="28">
        <v>1</v>
      </c>
      <c r="AG39" s="28">
        <v>1</v>
      </c>
      <c r="AH39" s="28">
        <v>1</v>
      </c>
      <c r="AI39" s="28">
        <v>1</v>
      </c>
      <c r="AJ39" s="28">
        <v>1</v>
      </c>
    </row>
    <row r="40" spans="1:36" x14ac:dyDescent="0.25">
      <c r="A40" s="298" t="str">
        <f>IF('Kwaliteit conversie'!$D$4='Prijs karton'!C40,"X"," ")</f>
        <v xml:space="preserve"> </v>
      </c>
      <c r="B40" s="331" t="s">
        <v>31</v>
      </c>
      <c r="C40" s="359" t="s">
        <v>43</v>
      </c>
      <c r="D40" s="366">
        <v>0.45500000000000002</v>
      </c>
      <c r="E40" s="321">
        <v>2.8</v>
      </c>
      <c r="F40" s="925">
        <v>0</v>
      </c>
      <c r="G40" s="315">
        <v>39.4</v>
      </c>
      <c r="H40" s="315">
        <v>36.4</v>
      </c>
      <c r="I40" s="315">
        <v>35.9</v>
      </c>
      <c r="J40" s="315">
        <v>35.9</v>
      </c>
      <c r="K40" s="513">
        <v>35.4</v>
      </c>
      <c r="L40" s="926" t="s">
        <v>280</v>
      </c>
      <c r="M40" s="331" t="s">
        <v>274</v>
      </c>
      <c r="N40" s="366" t="s">
        <v>265</v>
      </c>
      <c r="O40" s="323" t="s">
        <v>239</v>
      </c>
      <c r="P40" s="386" t="s">
        <v>239</v>
      </c>
      <c r="Q40" s="323" t="s">
        <v>239</v>
      </c>
      <c r="R40" s="366" t="s">
        <v>239</v>
      </c>
      <c r="S40" s="378" t="s">
        <v>257</v>
      </c>
      <c r="T40" s="324" t="s">
        <v>245</v>
      </c>
      <c r="U40" s="386">
        <v>250</v>
      </c>
      <c r="V40" s="386">
        <v>2450</v>
      </c>
      <c r="W40" s="386">
        <v>500</v>
      </c>
      <c r="X40" s="386">
        <v>6200</v>
      </c>
      <c r="Y40" s="386">
        <v>480</v>
      </c>
      <c r="Z40" s="386">
        <v>240</v>
      </c>
      <c r="AA40" s="386">
        <v>200</v>
      </c>
      <c r="AB40" s="392">
        <v>5.6</v>
      </c>
      <c r="AC40" s="28">
        <v>10</v>
      </c>
      <c r="AD40" s="28">
        <v>1</v>
      </c>
      <c r="AE40" s="28">
        <v>1</v>
      </c>
      <c r="AF40" s="28">
        <v>1</v>
      </c>
      <c r="AG40" s="28">
        <v>1</v>
      </c>
      <c r="AH40" s="28">
        <v>1</v>
      </c>
      <c r="AI40" s="28">
        <v>1</v>
      </c>
      <c r="AJ40" s="28">
        <v>1</v>
      </c>
    </row>
    <row r="41" spans="1:36" x14ac:dyDescent="0.25">
      <c r="A41" s="298" t="str">
        <f>IF('Kwaliteit conversie'!$D$4='Prijs karton'!C41,"X"," ")</f>
        <v xml:space="preserve"> </v>
      </c>
      <c r="B41" s="331" t="s">
        <v>31</v>
      </c>
      <c r="C41" s="359" t="s">
        <v>281</v>
      </c>
      <c r="D41" s="366">
        <v>0.45</v>
      </c>
      <c r="E41" s="321">
        <v>2.8</v>
      </c>
      <c r="F41" s="925">
        <v>0</v>
      </c>
      <c r="G41" s="315">
        <v>44</v>
      </c>
      <c r="H41" s="315">
        <v>41</v>
      </c>
      <c r="I41" s="315">
        <v>40.5</v>
      </c>
      <c r="J41" s="315">
        <v>40.5</v>
      </c>
      <c r="K41" s="513">
        <v>40</v>
      </c>
      <c r="L41" s="926" t="s">
        <v>282</v>
      </c>
      <c r="M41" s="331" t="s">
        <v>277</v>
      </c>
      <c r="N41" s="366" t="s">
        <v>265</v>
      </c>
      <c r="O41" s="323" t="s">
        <v>239</v>
      </c>
      <c r="P41" s="386" t="s">
        <v>239</v>
      </c>
      <c r="Q41" s="323" t="s">
        <v>239</v>
      </c>
      <c r="R41" s="366" t="s">
        <v>239</v>
      </c>
      <c r="S41" s="378" t="s">
        <v>257</v>
      </c>
      <c r="T41" s="324" t="s">
        <v>245</v>
      </c>
      <c r="U41" s="386">
        <v>250</v>
      </c>
      <c r="V41" s="386">
        <v>2450</v>
      </c>
      <c r="W41" s="386">
        <v>500</v>
      </c>
      <c r="X41" s="386">
        <v>6200</v>
      </c>
      <c r="Y41" s="386">
        <v>480</v>
      </c>
      <c r="Z41" s="386">
        <v>240</v>
      </c>
      <c r="AA41" s="386">
        <v>200</v>
      </c>
      <c r="AB41" s="392">
        <v>5.4</v>
      </c>
      <c r="AC41" s="28">
        <v>0</v>
      </c>
      <c r="AD41" s="28">
        <v>1</v>
      </c>
      <c r="AE41" s="28">
        <v>1</v>
      </c>
      <c r="AF41" s="28">
        <v>1</v>
      </c>
      <c r="AG41" s="28">
        <v>1</v>
      </c>
      <c r="AH41" s="28">
        <v>1</v>
      </c>
      <c r="AI41" s="28">
        <v>1</v>
      </c>
      <c r="AJ41" s="28">
        <v>1</v>
      </c>
    </row>
    <row r="42" spans="1:36" x14ac:dyDescent="0.25">
      <c r="A42" s="298" t="str">
        <f>IF('Kwaliteit conversie'!$D$4='Prijs karton'!C42,"X"," ")</f>
        <v xml:space="preserve"> </v>
      </c>
      <c r="B42" s="331" t="s">
        <v>31</v>
      </c>
      <c r="C42" s="359" t="s">
        <v>283</v>
      </c>
      <c r="D42" s="366">
        <v>0.42499999999999999</v>
      </c>
      <c r="E42" s="321">
        <v>2.2999999999999998</v>
      </c>
      <c r="F42" s="925">
        <v>0</v>
      </c>
      <c r="G42" s="315">
        <v>36.200000000000003</v>
      </c>
      <c r="H42" s="315">
        <v>33.200000000000003</v>
      </c>
      <c r="I42" s="315">
        <v>32.700000000000003</v>
      </c>
      <c r="J42" s="315">
        <v>32.700000000000003</v>
      </c>
      <c r="K42" s="513">
        <v>32.200000000000003</v>
      </c>
      <c r="L42" s="926" t="s">
        <v>284</v>
      </c>
      <c r="M42" s="331" t="s">
        <v>257</v>
      </c>
      <c r="N42" s="366" t="s">
        <v>285</v>
      </c>
      <c r="O42" s="323" t="s">
        <v>239</v>
      </c>
      <c r="P42" s="386" t="s">
        <v>239</v>
      </c>
      <c r="Q42" s="323" t="s">
        <v>239</v>
      </c>
      <c r="R42" s="366" t="s">
        <v>239</v>
      </c>
      <c r="S42" s="378" t="s">
        <v>257</v>
      </c>
      <c r="T42" s="324" t="s">
        <v>245</v>
      </c>
      <c r="U42" s="386">
        <v>250</v>
      </c>
      <c r="V42" s="386">
        <v>2450</v>
      </c>
      <c r="W42" s="386">
        <v>500</v>
      </c>
      <c r="X42" s="386">
        <v>6200</v>
      </c>
      <c r="Y42" s="386">
        <v>480</v>
      </c>
      <c r="Z42" s="386">
        <v>240</v>
      </c>
      <c r="AA42" s="386">
        <v>200</v>
      </c>
      <c r="AB42" s="392">
        <v>5</v>
      </c>
      <c r="AC42" s="28">
        <v>0</v>
      </c>
      <c r="AD42" s="28">
        <v>1</v>
      </c>
      <c r="AE42" s="28">
        <v>1</v>
      </c>
      <c r="AF42" s="28">
        <v>1</v>
      </c>
      <c r="AG42" s="28">
        <v>1</v>
      </c>
      <c r="AH42" s="28">
        <v>1</v>
      </c>
      <c r="AI42" s="28">
        <v>1</v>
      </c>
      <c r="AJ42" s="28">
        <v>1</v>
      </c>
    </row>
    <row r="43" spans="1:36" x14ac:dyDescent="0.25">
      <c r="A43" s="298" t="str">
        <f>IF('Kwaliteit conversie'!$D$4='Prijs karton'!C43,"X"," ")</f>
        <v xml:space="preserve"> </v>
      </c>
      <c r="B43" s="331" t="s">
        <v>31</v>
      </c>
      <c r="C43" s="359" t="s">
        <v>286</v>
      </c>
      <c r="D43" s="366">
        <v>0.43</v>
      </c>
      <c r="E43" s="321">
        <v>2.8</v>
      </c>
      <c r="F43" s="925">
        <v>0</v>
      </c>
      <c r="G43" s="315">
        <v>38.700000000000003</v>
      </c>
      <c r="H43" s="315">
        <v>35.700000000000003</v>
      </c>
      <c r="I43" s="315">
        <v>35.200000000000003</v>
      </c>
      <c r="J43" s="315">
        <v>35.200000000000003</v>
      </c>
      <c r="K43" s="513">
        <v>34.700000000000003</v>
      </c>
      <c r="L43" s="926" t="s">
        <v>287</v>
      </c>
      <c r="M43" s="331" t="s">
        <v>274</v>
      </c>
      <c r="N43" s="366" t="s">
        <v>285</v>
      </c>
      <c r="O43" s="323" t="s">
        <v>239</v>
      </c>
      <c r="P43" s="386" t="s">
        <v>239</v>
      </c>
      <c r="Q43" s="323" t="s">
        <v>239</v>
      </c>
      <c r="R43" s="366" t="s">
        <v>239</v>
      </c>
      <c r="S43" s="378" t="s">
        <v>257</v>
      </c>
      <c r="T43" s="324" t="s">
        <v>245</v>
      </c>
      <c r="U43" s="386">
        <v>250</v>
      </c>
      <c r="V43" s="386">
        <v>2450</v>
      </c>
      <c r="W43" s="386">
        <v>500</v>
      </c>
      <c r="X43" s="386">
        <v>6200</v>
      </c>
      <c r="Y43" s="386">
        <v>480</v>
      </c>
      <c r="Z43" s="386">
        <v>240</v>
      </c>
      <c r="AA43" s="386">
        <v>200</v>
      </c>
      <c r="AB43" s="392">
        <v>5.3</v>
      </c>
      <c r="AC43" s="28">
        <v>0</v>
      </c>
      <c r="AD43" s="28">
        <v>1</v>
      </c>
      <c r="AE43" s="28">
        <v>1</v>
      </c>
      <c r="AF43" s="28">
        <v>1</v>
      </c>
      <c r="AG43" s="28">
        <v>1</v>
      </c>
      <c r="AH43" s="28">
        <v>1</v>
      </c>
      <c r="AI43" s="28">
        <v>1</v>
      </c>
      <c r="AJ43" s="28">
        <v>1</v>
      </c>
    </row>
    <row r="44" spans="1:36" x14ac:dyDescent="0.25">
      <c r="A44" s="298" t="str">
        <f>IF('Kwaliteit conversie'!$D$4='Prijs karton'!C44,"X"," ")</f>
        <v>X</v>
      </c>
      <c r="B44" s="331" t="s">
        <v>31</v>
      </c>
      <c r="C44" s="359" t="s">
        <v>46</v>
      </c>
      <c r="D44" s="366">
        <v>0.45</v>
      </c>
      <c r="E44" s="321">
        <v>2.8</v>
      </c>
      <c r="F44" s="925">
        <v>0</v>
      </c>
      <c r="G44" s="315">
        <v>47.2</v>
      </c>
      <c r="H44" s="315">
        <v>44.2</v>
      </c>
      <c r="I44" s="315">
        <v>43.7</v>
      </c>
      <c r="J44" s="315">
        <v>43.7</v>
      </c>
      <c r="K44" s="513">
        <v>43.2</v>
      </c>
      <c r="L44" s="926" t="s">
        <v>288</v>
      </c>
      <c r="M44" s="331" t="s">
        <v>289</v>
      </c>
      <c r="N44" s="366" t="s">
        <v>265</v>
      </c>
      <c r="O44" s="323" t="s">
        <v>239</v>
      </c>
      <c r="P44" s="386" t="s">
        <v>239</v>
      </c>
      <c r="Q44" s="323" t="s">
        <v>239</v>
      </c>
      <c r="R44" s="366" t="s">
        <v>239</v>
      </c>
      <c r="S44" s="378" t="s">
        <v>257</v>
      </c>
      <c r="T44" s="324" t="s">
        <v>245</v>
      </c>
      <c r="U44" s="386">
        <v>250</v>
      </c>
      <c r="V44" s="386">
        <v>2450</v>
      </c>
      <c r="W44" s="386">
        <v>500</v>
      </c>
      <c r="X44" s="386">
        <v>6000</v>
      </c>
      <c r="Y44" s="386">
        <v>480</v>
      </c>
      <c r="Z44" s="386">
        <v>240</v>
      </c>
      <c r="AA44" s="386">
        <v>200</v>
      </c>
      <c r="AB44" s="392">
        <v>5.3</v>
      </c>
      <c r="AC44" s="28">
        <v>0</v>
      </c>
      <c r="AD44" s="28">
        <v>1</v>
      </c>
      <c r="AE44" s="28">
        <v>1</v>
      </c>
      <c r="AF44" s="28">
        <v>1</v>
      </c>
      <c r="AG44" s="28">
        <v>1</v>
      </c>
      <c r="AH44" s="28">
        <v>1</v>
      </c>
      <c r="AI44" s="28">
        <v>1</v>
      </c>
      <c r="AJ44" s="28">
        <v>1</v>
      </c>
    </row>
    <row r="45" spans="1:36" x14ac:dyDescent="0.25">
      <c r="A45" s="298" t="str">
        <f>IF('Kwaliteit conversie'!$D$4='Prijs karton'!C45,"X"," ")</f>
        <v xml:space="preserve"> </v>
      </c>
      <c r="B45" s="331" t="s">
        <v>31</v>
      </c>
      <c r="C45" s="359"/>
      <c r="D45" s="366"/>
      <c r="E45" s="321"/>
      <c r="F45" s="925"/>
      <c r="G45" s="315"/>
      <c r="H45" s="315"/>
      <c r="I45" s="315"/>
      <c r="J45" s="315"/>
      <c r="K45" s="513"/>
      <c r="L45" s="926"/>
      <c r="M45" s="331"/>
      <c r="N45" s="366"/>
      <c r="O45" s="323"/>
      <c r="P45" s="386"/>
      <c r="Q45" s="323"/>
      <c r="R45" s="366"/>
      <c r="S45" s="378"/>
      <c r="T45" s="324"/>
      <c r="U45" s="386"/>
      <c r="V45" s="386"/>
      <c r="W45" s="386"/>
      <c r="X45" s="386"/>
      <c r="Y45" s="386"/>
      <c r="Z45" s="386"/>
      <c r="AA45" s="386"/>
      <c r="AB45" s="392"/>
      <c r="AC45" s="28"/>
      <c r="AD45" s="28"/>
      <c r="AE45" s="28"/>
      <c r="AF45" s="28"/>
      <c r="AG45" s="28"/>
      <c r="AH45" s="28"/>
      <c r="AI45" s="28"/>
      <c r="AJ45" s="28"/>
    </row>
    <row r="46" spans="1:36" x14ac:dyDescent="0.25">
      <c r="A46" s="298" t="str">
        <f>IF('Kwaliteit conversie'!$D$4='Prijs karton'!C46,"X"," ")</f>
        <v xml:space="preserve"> </v>
      </c>
      <c r="B46" s="331" t="s">
        <v>31</v>
      </c>
      <c r="C46" s="359" t="s">
        <v>290</v>
      </c>
      <c r="D46" s="366">
        <v>0.52</v>
      </c>
      <c r="E46" s="321">
        <v>2.9</v>
      </c>
      <c r="F46" s="925">
        <v>0</v>
      </c>
      <c r="G46" s="315">
        <v>43.4</v>
      </c>
      <c r="H46" s="315">
        <v>40.4</v>
      </c>
      <c r="I46" s="315">
        <v>39.9</v>
      </c>
      <c r="J46" s="315">
        <v>39.9</v>
      </c>
      <c r="K46" s="513">
        <v>39.4</v>
      </c>
      <c r="L46" s="926" t="s">
        <v>291</v>
      </c>
      <c r="M46" s="331" t="s">
        <v>292</v>
      </c>
      <c r="N46" s="366" t="s">
        <v>265</v>
      </c>
      <c r="O46" s="323" t="s">
        <v>239</v>
      </c>
      <c r="P46" s="386" t="s">
        <v>239</v>
      </c>
      <c r="Q46" s="323" t="s">
        <v>239</v>
      </c>
      <c r="R46" s="366" t="s">
        <v>239</v>
      </c>
      <c r="S46" s="378" t="s">
        <v>292</v>
      </c>
      <c r="T46" s="324" t="s">
        <v>245</v>
      </c>
      <c r="U46" s="386">
        <v>250</v>
      </c>
      <c r="V46" s="386">
        <v>2450</v>
      </c>
      <c r="W46" s="386">
        <v>500</v>
      </c>
      <c r="X46" s="386">
        <v>6000</v>
      </c>
      <c r="Y46" s="386">
        <v>480</v>
      </c>
      <c r="Z46" s="386">
        <v>240</v>
      </c>
      <c r="AA46" s="386">
        <v>200</v>
      </c>
      <c r="AB46" s="392">
        <v>6.3</v>
      </c>
      <c r="AC46" s="28">
        <v>0</v>
      </c>
      <c r="AD46" s="28">
        <v>1</v>
      </c>
      <c r="AE46" s="28">
        <v>1</v>
      </c>
      <c r="AF46" s="28">
        <v>1</v>
      </c>
      <c r="AG46" s="28">
        <v>1</v>
      </c>
      <c r="AH46" s="28">
        <v>1</v>
      </c>
      <c r="AI46" s="28">
        <v>1</v>
      </c>
      <c r="AJ46" s="28">
        <v>1</v>
      </c>
    </row>
    <row r="47" spans="1:36" x14ac:dyDescent="0.25">
      <c r="A47" s="298" t="str">
        <f>IF('Kwaliteit conversie'!$D$4='Prijs karton'!C47,"X"," ")</f>
        <v xml:space="preserve"> </v>
      </c>
      <c r="B47" s="331" t="s">
        <v>31</v>
      </c>
      <c r="C47" s="359" t="s">
        <v>44</v>
      </c>
      <c r="D47" s="366">
        <v>0.495</v>
      </c>
      <c r="E47" s="321">
        <v>2.9</v>
      </c>
      <c r="F47" s="925">
        <v>0</v>
      </c>
      <c r="G47" s="315">
        <v>52.5</v>
      </c>
      <c r="H47" s="315">
        <v>49.5</v>
      </c>
      <c r="I47" s="315">
        <v>49</v>
      </c>
      <c r="J47" s="315">
        <v>49</v>
      </c>
      <c r="K47" s="513">
        <v>48.5</v>
      </c>
      <c r="L47" s="926" t="s">
        <v>293</v>
      </c>
      <c r="M47" s="331" t="s">
        <v>294</v>
      </c>
      <c r="N47" s="366" t="s">
        <v>265</v>
      </c>
      <c r="O47" s="323" t="s">
        <v>239</v>
      </c>
      <c r="P47" s="386" t="s">
        <v>239</v>
      </c>
      <c r="Q47" s="323" t="s">
        <v>239</v>
      </c>
      <c r="R47" s="366" t="s">
        <v>239</v>
      </c>
      <c r="S47" s="378" t="s">
        <v>274</v>
      </c>
      <c r="T47" s="324" t="s">
        <v>245</v>
      </c>
      <c r="U47" s="386">
        <v>250</v>
      </c>
      <c r="V47" s="386">
        <v>2450</v>
      </c>
      <c r="W47" s="386">
        <v>500</v>
      </c>
      <c r="X47" s="386">
        <v>6200</v>
      </c>
      <c r="Y47" s="386">
        <v>480</v>
      </c>
      <c r="Z47" s="386">
        <v>240</v>
      </c>
      <c r="AA47" s="386">
        <v>200</v>
      </c>
      <c r="AB47" s="392">
        <v>6.2</v>
      </c>
      <c r="AC47" s="28">
        <v>0</v>
      </c>
      <c r="AD47" s="28">
        <v>1</v>
      </c>
      <c r="AE47" s="28">
        <v>1</v>
      </c>
      <c r="AF47" s="28">
        <v>1</v>
      </c>
      <c r="AG47" s="28">
        <v>1</v>
      </c>
      <c r="AH47" s="28">
        <v>1</v>
      </c>
      <c r="AI47" s="28">
        <v>1</v>
      </c>
      <c r="AJ47" s="28">
        <v>1</v>
      </c>
    </row>
    <row r="48" spans="1:36" x14ac:dyDescent="0.25">
      <c r="A48" s="298" t="str">
        <f>IF('Kwaliteit conversie'!$D$4='Prijs karton'!C48,"X"," ")</f>
        <v xml:space="preserve"> </v>
      </c>
      <c r="B48" s="331" t="s">
        <v>31</v>
      </c>
      <c r="C48" s="359" t="s">
        <v>295</v>
      </c>
      <c r="D48" s="366">
        <v>0.495</v>
      </c>
      <c r="E48" s="321">
        <v>2.9</v>
      </c>
      <c r="F48" s="925">
        <v>0</v>
      </c>
      <c r="G48" s="315">
        <v>50</v>
      </c>
      <c r="H48" s="315">
        <v>47</v>
      </c>
      <c r="I48" s="315">
        <v>46.5</v>
      </c>
      <c r="J48" s="315">
        <v>46.5</v>
      </c>
      <c r="K48" s="513">
        <v>46</v>
      </c>
      <c r="L48" s="926" t="s">
        <v>296</v>
      </c>
      <c r="M48" s="331" t="s">
        <v>297</v>
      </c>
      <c r="N48" s="366" t="s">
        <v>265</v>
      </c>
      <c r="O48" s="323" t="s">
        <v>239</v>
      </c>
      <c r="P48" s="386" t="s">
        <v>239</v>
      </c>
      <c r="Q48" s="323" t="s">
        <v>239</v>
      </c>
      <c r="R48" s="366" t="s">
        <v>239</v>
      </c>
      <c r="S48" s="378" t="s">
        <v>274</v>
      </c>
      <c r="T48" s="324" t="s">
        <v>245</v>
      </c>
      <c r="U48" s="386">
        <v>250</v>
      </c>
      <c r="V48" s="386">
        <v>2450</v>
      </c>
      <c r="W48" s="386">
        <v>500</v>
      </c>
      <c r="X48" s="386">
        <v>6200</v>
      </c>
      <c r="Y48" s="386">
        <v>480</v>
      </c>
      <c r="Z48" s="386">
        <v>240</v>
      </c>
      <c r="AA48" s="386">
        <v>200</v>
      </c>
      <c r="AB48" s="392">
        <v>6.5</v>
      </c>
      <c r="AC48" s="28">
        <v>0</v>
      </c>
      <c r="AD48" s="28">
        <v>1</v>
      </c>
      <c r="AE48" s="28">
        <v>1</v>
      </c>
      <c r="AF48" s="28">
        <v>1</v>
      </c>
      <c r="AG48" s="28">
        <v>1</v>
      </c>
      <c r="AH48" s="28">
        <v>1</v>
      </c>
      <c r="AI48" s="28">
        <v>1</v>
      </c>
      <c r="AJ48" s="28">
        <v>1</v>
      </c>
    </row>
    <row r="49" spans="1:36" x14ac:dyDescent="0.25">
      <c r="A49" s="298" t="str">
        <f>IF('Kwaliteit conversie'!$D$4='Prijs karton'!C49,"X"," ")</f>
        <v xml:space="preserve"> </v>
      </c>
      <c r="B49" s="331" t="s">
        <v>31</v>
      </c>
      <c r="C49" s="359" t="s">
        <v>298</v>
      </c>
      <c r="D49" s="366">
        <v>0.47099999999999997</v>
      </c>
      <c r="E49" s="321">
        <v>3</v>
      </c>
      <c r="F49" s="925">
        <v>0</v>
      </c>
      <c r="G49" s="315">
        <v>56.5</v>
      </c>
      <c r="H49" s="315">
        <v>53.5</v>
      </c>
      <c r="I49" s="315">
        <v>53.5</v>
      </c>
      <c r="J49" s="315">
        <v>51.5</v>
      </c>
      <c r="K49" s="513">
        <v>51.5</v>
      </c>
      <c r="L49" s="926" t="s">
        <v>299</v>
      </c>
      <c r="M49" s="331" t="s">
        <v>300</v>
      </c>
      <c r="N49" s="366" t="s">
        <v>238</v>
      </c>
      <c r="O49" s="323" t="s">
        <v>239</v>
      </c>
      <c r="P49" s="386" t="s">
        <v>239</v>
      </c>
      <c r="Q49" s="323" t="s">
        <v>239</v>
      </c>
      <c r="R49" s="366" t="s">
        <v>239</v>
      </c>
      <c r="S49" s="378" t="s">
        <v>301</v>
      </c>
      <c r="T49" s="324" t="s">
        <v>240</v>
      </c>
      <c r="U49" s="386">
        <v>240</v>
      </c>
      <c r="V49" s="386">
        <v>2450</v>
      </c>
      <c r="W49" s="386">
        <v>500</v>
      </c>
      <c r="X49" s="386">
        <v>6000</v>
      </c>
      <c r="Y49" s="386">
        <v>125</v>
      </c>
      <c r="Z49" s="386">
        <v>125</v>
      </c>
      <c r="AA49" s="386">
        <v>200</v>
      </c>
      <c r="AB49" s="392">
        <v>5.74</v>
      </c>
      <c r="AC49" s="28">
        <v>0</v>
      </c>
      <c r="AD49" s="28">
        <v>1</v>
      </c>
      <c r="AE49" s="28">
        <v>1</v>
      </c>
      <c r="AF49" s="28">
        <v>1</v>
      </c>
      <c r="AG49" s="28">
        <v>1</v>
      </c>
      <c r="AH49" s="28">
        <v>1</v>
      </c>
      <c r="AI49" s="28">
        <v>1</v>
      </c>
      <c r="AJ49" s="28">
        <v>1</v>
      </c>
    </row>
    <row r="50" spans="1:36" x14ac:dyDescent="0.25">
      <c r="A50" s="298" t="str">
        <f>IF('Kwaliteit conversie'!$D$4='Prijs karton'!C50,"X"," ")</f>
        <v xml:space="preserve"> </v>
      </c>
      <c r="B50" s="331" t="s">
        <v>31</v>
      </c>
      <c r="C50" s="359"/>
      <c r="D50" s="366"/>
      <c r="E50" s="321"/>
      <c r="F50" s="925"/>
      <c r="G50" s="315"/>
      <c r="H50" s="315"/>
      <c r="I50" s="315"/>
      <c r="J50" s="315"/>
      <c r="K50" s="513"/>
      <c r="L50" s="926"/>
      <c r="M50" s="331"/>
      <c r="N50" s="366"/>
      <c r="O50" s="323" t="s">
        <v>239</v>
      </c>
      <c r="P50" s="386" t="s">
        <v>239</v>
      </c>
      <c r="Q50" s="323" t="s">
        <v>239</v>
      </c>
      <c r="R50" s="366" t="s">
        <v>239</v>
      </c>
      <c r="S50" s="378"/>
      <c r="T50" s="324"/>
      <c r="U50" s="386"/>
      <c r="V50" s="386"/>
      <c r="W50" s="386"/>
      <c r="X50" s="386"/>
      <c r="Y50" s="386"/>
      <c r="Z50" s="386"/>
      <c r="AA50" s="386"/>
      <c r="AB50" s="392"/>
      <c r="AC50" s="28"/>
      <c r="AD50" s="28"/>
      <c r="AE50" s="28"/>
      <c r="AF50" s="28"/>
      <c r="AG50" s="28"/>
      <c r="AH50" s="28"/>
      <c r="AI50" s="28"/>
      <c r="AJ50" s="28"/>
    </row>
    <row r="51" spans="1:36" x14ac:dyDescent="0.25">
      <c r="A51" s="298" t="str">
        <f>IF('Kwaliteit conversie'!$D$4='Prijs karton'!C51,"X"," ")</f>
        <v xml:space="preserve"> </v>
      </c>
      <c r="B51" s="331" t="s">
        <v>31</v>
      </c>
      <c r="C51" s="359"/>
      <c r="D51" s="366"/>
      <c r="E51" s="321"/>
      <c r="F51" s="925"/>
      <c r="G51" s="315"/>
      <c r="H51" s="315"/>
      <c r="I51" s="315"/>
      <c r="J51" s="315"/>
      <c r="K51" s="513"/>
      <c r="L51" s="926"/>
      <c r="M51" s="331"/>
      <c r="N51" s="366"/>
      <c r="O51" s="323" t="s">
        <v>239</v>
      </c>
      <c r="P51" s="386" t="s">
        <v>239</v>
      </c>
      <c r="Q51" s="323" t="s">
        <v>239</v>
      </c>
      <c r="R51" s="366" t="s">
        <v>239</v>
      </c>
      <c r="S51" s="378"/>
      <c r="T51" s="324"/>
      <c r="U51" s="386"/>
      <c r="V51" s="386"/>
      <c r="W51" s="386"/>
      <c r="X51" s="386"/>
      <c r="Y51" s="386"/>
      <c r="Z51" s="386"/>
      <c r="AA51" s="386"/>
      <c r="AB51" s="392"/>
      <c r="AC51" s="28"/>
      <c r="AD51" s="28"/>
      <c r="AE51" s="28"/>
      <c r="AF51" s="28"/>
      <c r="AG51" s="28"/>
      <c r="AH51" s="28"/>
      <c r="AI51" s="28"/>
      <c r="AJ51" s="28"/>
    </row>
    <row r="52" spans="1:36" x14ac:dyDescent="0.25">
      <c r="A52" s="298" t="str">
        <f>IF('Kwaliteit conversie'!$D$4='Prijs karton'!C52,"X"," ")</f>
        <v xml:space="preserve"> </v>
      </c>
      <c r="B52" s="331" t="s">
        <v>31</v>
      </c>
      <c r="C52" s="359" t="s">
        <v>302</v>
      </c>
      <c r="D52" s="366">
        <v>0.39500000000000002</v>
      </c>
      <c r="E52" s="321">
        <v>2.8</v>
      </c>
      <c r="F52" s="925">
        <v>0</v>
      </c>
      <c r="G52" s="315">
        <v>43.2</v>
      </c>
      <c r="H52" s="315">
        <v>40.200000000000003</v>
      </c>
      <c r="I52" s="315">
        <v>39.700000000000003</v>
      </c>
      <c r="J52" s="315">
        <v>39.700000000000003</v>
      </c>
      <c r="K52" s="513">
        <v>39.200000000000003</v>
      </c>
      <c r="L52" s="926" t="s">
        <v>303</v>
      </c>
      <c r="M52" s="331" t="s">
        <v>289</v>
      </c>
      <c r="N52" s="366" t="s">
        <v>244</v>
      </c>
      <c r="O52" s="323" t="s">
        <v>239</v>
      </c>
      <c r="P52" s="386" t="s">
        <v>239</v>
      </c>
      <c r="Q52" s="323" t="s">
        <v>239</v>
      </c>
      <c r="R52" s="366" t="s">
        <v>239</v>
      </c>
      <c r="S52" s="378" t="s">
        <v>257</v>
      </c>
      <c r="T52" s="324" t="s">
        <v>245</v>
      </c>
      <c r="U52" s="386">
        <v>250</v>
      </c>
      <c r="V52" s="386">
        <v>2450</v>
      </c>
      <c r="W52" s="386">
        <v>500</v>
      </c>
      <c r="X52" s="386">
        <v>6200</v>
      </c>
      <c r="Y52" s="386">
        <v>480</v>
      </c>
      <c r="Z52" s="386">
        <v>240</v>
      </c>
      <c r="AA52" s="386">
        <v>200</v>
      </c>
      <c r="AB52" s="392">
        <v>4.4000000000000004</v>
      </c>
      <c r="AC52" s="28">
        <v>0</v>
      </c>
      <c r="AD52" s="28">
        <v>1</v>
      </c>
      <c r="AE52" s="28">
        <v>1</v>
      </c>
      <c r="AF52" s="28">
        <v>1</v>
      </c>
      <c r="AG52" s="28">
        <v>1</v>
      </c>
      <c r="AH52" s="28">
        <v>1</v>
      </c>
      <c r="AI52" s="28">
        <v>1</v>
      </c>
      <c r="AJ52" s="28">
        <v>1</v>
      </c>
    </row>
    <row r="53" spans="1:36" x14ac:dyDescent="0.25">
      <c r="A53" s="298" t="str">
        <f>IF('Kwaliteit conversie'!$D$4='Prijs karton'!C53,"X"," ")</f>
        <v xml:space="preserve"> </v>
      </c>
      <c r="B53" s="331" t="s">
        <v>31</v>
      </c>
      <c r="C53" s="359" t="s">
        <v>304</v>
      </c>
      <c r="D53" s="366">
        <v>0.45</v>
      </c>
      <c r="E53" s="321">
        <v>2.8</v>
      </c>
      <c r="F53" s="925">
        <v>0</v>
      </c>
      <c r="G53" s="315">
        <v>43.5</v>
      </c>
      <c r="H53" s="315">
        <v>40.5</v>
      </c>
      <c r="I53" s="315">
        <v>40</v>
      </c>
      <c r="J53" s="315">
        <v>40</v>
      </c>
      <c r="K53" s="513">
        <v>39.5</v>
      </c>
      <c r="L53" s="926" t="s">
        <v>305</v>
      </c>
      <c r="M53" s="331" t="s">
        <v>269</v>
      </c>
      <c r="N53" s="366" t="s">
        <v>265</v>
      </c>
      <c r="O53" s="323" t="s">
        <v>239</v>
      </c>
      <c r="P53" s="386" t="s">
        <v>239</v>
      </c>
      <c r="Q53" s="323" t="s">
        <v>239</v>
      </c>
      <c r="R53" s="366" t="s">
        <v>239</v>
      </c>
      <c r="S53" s="378" t="s">
        <v>306</v>
      </c>
      <c r="T53" s="324" t="s">
        <v>245</v>
      </c>
      <c r="U53" s="386">
        <v>250</v>
      </c>
      <c r="V53" s="386">
        <v>2450</v>
      </c>
      <c r="W53" s="386">
        <v>500</v>
      </c>
      <c r="X53" s="386">
        <v>6200</v>
      </c>
      <c r="Y53" s="386">
        <v>480</v>
      </c>
      <c r="Z53" s="386">
        <v>240</v>
      </c>
      <c r="AA53" s="386">
        <v>200</v>
      </c>
      <c r="AB53" s="392">
        <v>4.8</v>
      </c>
      <c r="AC53" s="28">
        <v>0</v>
      </c>
      <c r="AD53" s="28">
        <v>1</v>
      </c>
      <c r="AE53" s="28">
        <v>1</v>
      </c>
      <c r="AF53" s="28">
        <v>1</v>
      </c>
      <c r="AG53" s="28">
        <v>1</v>
      </c>
      <c r="AH53" s="28">
        <v>1</v>
      </c>
      <c r="AI53" s="28">
        <v>1</v>
      </c>
      <c r="AJ53" s="28">
        <v>1</v>
      </c>
    </row>
    <row r="54" spans="1:36" x14ac:dyDescent="0.25">
      <c r="A54" s="298" t="str">
        <f>IF('Kwaliteit conversie'!$D$4='Prijs karton'!C54,"X"," ")</f>
        <v xml:space="preserve"> </v>
      </c>
      <c r="B54" s="331" t="s">
        <v>31</v>
      </c>
      <c r="C54" s="359" t="s">
        <v>307</v>
      </c>
      <c r="D54" s="366">
        <v>0.40500000000000003</v>
      </c>
      <c r="E54" s="321">
        <v>2.8</v>
      </c>
      <c r="F54" s="925">
        <v>0</v>
      </c>
      <c r="G54" s="315">
        <v>40.5</v>
      </c>
      <c r="H54" s="315">
        <v>37.5</v>
      </c>
      <c r="I54" s="315">
        <v>37</v>
      </c>
      <c r="J54" s="315">
        <v>37</v>
      </c>
      <c r="K54" s="513">
        <v>36.5</v>
      </c>
      <c r="L54" s="926" t="s">
        <v>308</v>
      </c>
      <c r="M54" s="331" t="s">
        <v>269</v>
      </c>
      <c r="N54" s="366" t="s">
        <v>238</v>
      </c>
      <c r="O54" s="323" t="s">
        <v>239</v>
      </c>
      <c r="P54" s="386" t="s">
        <v>239</v>
      </c>
      <c r="Q54" s="323" t="s">
        <v>239</v>
      </c>
      <c r="R54" s="366" t="s">
        <v>239</v>
      </c>
      <c r="S54" s="378" t="s">
        <v>306</v>
      </c>
      <c r="T54" s="324" t="s">
        <v>245</v>
      </c>
      <c r="U54" s="386">
        <v>250</v>
      </c>
      <c r="V54" s="386">
        <v>2450</v>
      </c>
      <c r="W54" s="386">
        <v>500</v>
      </c>
      <c r="X54" s="386">
        <v>6200</v>
      </c>
      <c r="Y54" s="386">
        <v>480</v>
      </c>
      <c r="Z54" s="386">
        <v>240</v>
      </c>
      <c r="AA54" s="386">
        <v>200</v>
      </c>
      <c r="AB54" s="392">
        <v>4.3</v>
      </c>
      <c r="AC54" s="28">
        <v>0</v>
      </c>
      <c r="AD54" s="28">
        <v>1</v>
      </c>
      <c r="AE54" s="28">
        <v>1</v>
      </c>
      <c r="AF54" s="28">
        <v>1</v>
      </c>
      <c r="AG54" s="28">
        <v>1</v>
      </c>
      <c r="AH54" s="28">
        <v>1</v>
      </c>
      <c r="AI54" s="28">
        <v>1</v>
      </c>
      <c r="AJ54" s="28">
        <v>1</v>
      </c>
    </row>
    <row r="55" spans="1:36" x14ac:dyDescent="0.25">
      <c r="A55" s="298" t="str">
        <f>IF('Kwaliteit conversie'!$D$4='Prijs karton'!C55,"X"," ")</f>
        <v xml:space="preserve"> </v>
      </c>
      <c r="B55" s="331" t="s">
        <v>31</v>
      </c>
      <c r="C55" s="359" t="s">
        <v>309</v>
      </c>
      <c r="D55" s="366">
        <v>0.376</v>
      </c>
      <c r="E55" s="321">
        <v>2.83</v>
      </c>
      <c r="F55" s="925">
        <v>0</v>
      </c>
      <c r="G55" s="315">
        <v>53.6</v>
      </c>
      <c r="H55" s="315">
        <v>50.6</v>
      </c>
      <c r="I55" s="315">
        <v>50.6</v>
      </c>
      <c r="J55" s="315">
        <v>48.6</v>
      </c>
      <c r="K55" s="513">
        <v>48.6</v>
      </c>
      <c r="L55" s="926" t="s">
        <v>310</v>
      </c>
      <c r="M55" s="331" t="s">
        <v>289</v>
      </c>
      <c r="N55" s="366" t="s">
        <v>238</v>
      </c>
      <c r="O55" s="323" t="s">
        <v>239</v>
      </c>
      <c r="P55" s="386" t="s">
        <v>239</v>
      </c>
      <c r="Q55" s="323" t="s">
        <v>239</v>
      </c>
      <c r="R55" s="366" t="s">
        <v>239</v>
      </c>
      <c r="S55" s="378" t="s">
        <v>311</v>
      </c>
      <c r="T55" s="324" t="s">
        <v>240</v>
      </c>
      <c r="U55" s="386">
        <v>240</v>
      </c>
      <c r="V55" s="386">
        <v>2450</v>
      </c>
      <c r="W55" s="386">
        <v>500</v>
      </c>
      <c r="X55" s="386">
        <v>6000</v>
      </c>
      <c r="Y55" s="386">
        <v>125</v>
      </c>
      <c r="Z55" s="386">
        <v>125</v>
      </c>
      <c r="AA55" s="386">
        <v>200</v>
      </c>
      <c r="AB55" s="392">
        <v>4.7699999999999996</v>
      </c>
      <c r="AC55" s="28">
        <v>0</v>
      </c>
      <c r="AD55" s="28">
        <v>1</v>
      </c>
      <c r="AE55" s="28">
        <v>1</v>
      </c>
      <c r="AF55" s="28">
        <v>1</v>
      </c>
      <c r="AG55" s="28">
        <v>1</v>
      </c>
      <c r="AH55" s="28">
        <v>1</v>
      </c>
      <c r="AI55" s="28">
        <v>1</v>
      </c>
      <c r="AJ55" s="28">
        <v>1</v>
      </c>
    </row>
    <row r="56" spans="1:36" x14ac:dyDescent="0.25">
      <c r="A56" s="298" t="str">
        <f>IF('Kwaliteit conversie'!$D$4='Prijs karton'!C56,"X"," ")</f>
        <v xml:space="preserve"> </v>
      </c>
      <c r="B56" s="331" t="s">
        <v>31</v>
      </c>
      <c r="C56" s="359" t="s">
        <v>312</v>
      </c>
      <c r="D56" s="366">
        <v>0.40100000000000002</v>
      </c>
      <c r="E56" s="321">
        <v>2.82</v>
      </c>
      <c r="F56" s="925">
        <v>0</v>
      </c>
      <c r="G56" s="315" t="s">
        <v>239</v>
      </c>
      <c r="H56" s="315">
        <v>57.4</v>
      </c>
      <c r="I56" s="315">
        <v>57.4</v>
      </c>
      <c r="J56" s="315">
        <v>55.4</v>
      </c>
      <c r="K56" s="513">
        <v>55.4</v>
      </c>
      <c r="L56" s="926" t="s">
        <v>313</v>
      </c>
      <c r="M56" s="331" t="s">
        <v>289</v>
      </c>
      <c r="N56" s="366" t="s">
        <v>238</v>
      </c>
      <c r="O56" s="323" t="s">
        <v>239</v>
      </c>
      <c r="P56" s="386" t="s">
        <v>239</v>
      </c>
      <c r="Q56" s="323" t="s">
        <v>239</v>
      </c>
      <c r="R56" s="366" t="s">
        <v>239</v>
      </c>
      <c r="S56" s="378" t="s">
        <v>289</v>
      </c>
      <c r="T56" s="324" t="s">
        <v>240</v>
      </c>
      <c r="U56" s="386">
        <v>240</v>
      </c>
      <c r="V56" s="386">
        <v>2450</v>
      </c>
      <c r="W56" s="386">
        <v>500</v>
      </c>
      <c r="X56" s="386">
        <v>6000</v>
      </c>
      <c r="Y56" s="386">
        <v>125</v>
      </c>
      <c r="Z56" s="386">
        <v>125</v>
      </c>
      <c r="AA56" s="386">
        <v>500</v>
      </c>
      <c r="AB56" s="392">
        <v>5.51</v>
      </c>
      <c r="AC56" s="28">
        <v>0</v>
      </c>
      <c r="AD56" s="28">
        <v>1</v>
      </c>
      <c r="AE56" s="28">
        <v>1</v>
      </c>
      <c r="AF56" s="28">
        <v>1</v>
      </c>
      <c r="AG56" s="28">
        <v>1</v>
      </c>
      <c r="AH56" s="28">
        <v>1</v>
      </c>
      <c r="AI56" s="28">
        <v>1</v>
      </c>
      <c r="AJ56" s="28">
        <v>1</v>
      </c>
    </row>
    <row r="57" spans="1:36" x14ac:dyDescent="0.25">
      <c r="A57" s="298" t="str">
        <f>IF('Kwaliteit conversie'!$D$4='Prijs karton'!C57,"X"," ")</f>
        <v xml:space="preserve"> </v>
      </c>
      <c r="B57" s="331" t="s">
        <v>31</v>
      </c>
      <c r="C57" s="359"/>
      <c r="D57" s="366"/>
      <c r="E57" s="321"/>
      <c r="F57" s="925"/>
      <c r="G57" s="315"/>
      <c r="H57" s="315"/>
      <c r="I57" s="315"/>
      <c r="J57" s="315"/>
      <c r="K57" s="513"/>
      <c r="L57" s="926"/>
      <c r="M57" s="331"/>
      <c r="N57" s="366"/>
      <c r="O57" s="323"/>
      <c r="P57" s="386"/>
      <c r="Q57" s="323"/>
      <c r="R57" s="366"/>
      <c r="S57" s="378"/>
      <c r="T57" s="324"/>
      <c r="U57" s="386"/>
      <c r="V57" s="386"/>
      <c r="W57" s="386"/>
      <c r="X57" s="386"/>
      <c r="Y57" s="386"/>
      <c r="Z57" s="386"/>
      <c r="AA57" s="386"/>
      <c r="AB57" s="392"/>
      <c r="AC57" s="28"/>
      <c r="AD57" s="28"/>
      <c r="AE57" s="28"/>
      <c r="AF57" s="28"/>
      <c r="AG57" s="28"/>
      <c r="AH57" s="28"/>
      <c r="AI57" s="28"/>
      <c r="AJ57" s="28"/>
    </row>
    <row r="58" spans="1:36" x14ac:dyDescent="0.25">
      <c r="A58" s="298" t="str">
        <f>IF('Kwaliteit conversie'!$D$4='Prijs karton'!C58,"X"," ")</f>
        <v xml:space="preserve"> </v>
      </c>
      <c r="B58" s="331" t="s">
        <v>31</v>
      </c>
      <c r="C58" s="359" t="s">
        <v>1360</v>
      </c>
      <c r="D58" s="366">
        <v>0.38500000000000001</v>
      </c>
      <c r="E58" s="321">
        <v>2.75</v>
      </c>
      <c r="F58" s="925">
        <v>0</v>
      </c>
      <c r="G58" s="315">
        <v>35.9</v>
      </c>
      <c r="H58" s="315">
        <v>34.5</v>
      </c>
      <c r="I58" s="315">
        <v>34.299999999999997</v>
      </c>
      <c r="J58" s="315">
        <v>34.1</v>
      </c>
      <c r="K58" s="513">
        <v>34.1</v>
      </c>
      <c r="L58" s="926" t="s">
        <v>1361</v>
      </c>
      <c r="M58" s="331" t="s">
        <v>1362</v>
      </c>
      <c r="N58" s="366" t="s">
        <v>238</v>
      </c>
      <c r="O58" s="323" t="s">
        <v>239</v>
      </c>
      <c r="P58" s="386" t="s">
        <v>239</v>
      </c>
      <c r="Q58" s="323" t="s">
        <v>239</v>
      </c>
      <c r="R58" s="366" t="s">
        <v>239</v>
      </c>
      <c r="S58" s="378" t="s">
        <v>1363</v>
      </c>
      <c r="T58" s="324" t="s">
        <v>1364</v>
      </c>
      <c r="U58" s="386">
        <v>250</v>
      </c>
      <c r="V58" s="386">
        <v>2450</v>
      </c>
      <c r="W58" s="386">
        <v>600</v>
      </c>
      <c r="X58" s="386">
        <v>6000</v>
      </c>
      <c r="Y58" s="386">
        <v>290</v>
      </c>
      <c r="Z58" s="386">
        <v>145</v>
      </c>
      <c r="AA58" s="386">
        <v>200</v>
      </c>
      <c r="AB58" s="392">
        <v>5</v>
      </c>
      <c r="AC58" s="28">
        <v>0</v>
      </c>
      <c r="AD58" s="28">
        <v>1</v>
      </c>
      <c r="AE58" s="28">
        <v>1</v>
      </c>
      <c r="AF58" s="28">
        <v>1</v>
      </c>
      <c r="AG58" s="28">
        <v>1</v>
      </c>
      <c r="AH58" s="28">
        <v>1</v>
      </c>
      <c r="AI58" s="28">
        <v>1</v>
      </c>
      <c r="AJ58" s="28">
        <v>1</v>
      </c>
    </row>
    <row r="59" spans="1:36" x14ac:dyDescent="0.25">
      <c r="A59" s="298" t="str">
        <f>IF('Kwaliteit conversie'!$D$4='Prijs karton'!C59,"X"," ")</f>
        <v xml:space="preserve"> </v>
      </c>
      <c r="B59" s="331" t="s">
        <v>31</v>
      </c>
      <c r="C59" s="359" t="s">
        <v>1365</v>
      </c>
      <c r="D59" s="366">
        <v>0.44</v>
      </c>
      <c r="E59" s="321">
        <v>2.8</v>
      </c>
      <c r="F59" s="925">
        <v>0</v>
      </c>
      <c r="G59" s="315">
        <v>39.299999999999997</v>
      </c>
      <c r="H59" s="315">
        <v>38</v>
      </c>
      <c r="I59" s="315">
        <v>37.799999999999997</v>
      </c>
      <c r="J59" s="315">
        <v>37.5</v>
      </c>
      <c r="K59" s="513">
        <v>37.5</v>
      </c>
      <c r="L59" s="926" t="s">
        <v>1366</v>
      </c>
      <c r="M59" s="331" t="s">
        <v>277</v>
      </c>
      <c r="N59" s="366" t="s">
        <v>238</v>
      </c>
      <c r="O59" s="323" t="s">
        <v>239</v>
      </c>
      <c r="P59" s="386" t="s">
        <v>239</v>
      </c>
      <c r="Q59" s="323" t="s">
        <v>239</v>
      </c>
      <c r="R59" s="366" t="s">
        <v>239</v>
      </c>
      <c r="S59" s="378" t="s">
        <v>1367</v>
      </c>
      <c r="T59" s="324" t="s">
        <v>1364</v>
      </c>
      <c r="U59" s="386">
        <v>250</v>
      </c>
      <c r="V59" s="386">
        <v>2450</v>
      </c>
      <c r="W59" s="386">
        <v>600</v>
      </c>
      <c r="X59" s="386">
        <v>6000</v>
      </c>
      <c r="Y59" s="386">
        <v>290</v>
      </c>
      <c r="Z59" s="386">
        <v>145</v>
      </c>
      <c r="AA59" s="386">
        <v>200</v>
      </c>
      <c r="AB59" s="392">
        <v>5.3</v>
      </c>
      <c r="AC59" s="28">
        <v>0</v>
      </c>
      <c r="AD59" s="28">
        <v>1</v>
      </c>
      <c r="AE59" s="28">
        <v>1</v>
      </c>
      <c r="AF59" s="28">
        <v>1</v>
      </c>
      <c r="AG59" s="28">
        <v>1</v>
      </c>
      <c r="AH59" s="28">
        <v>1</v>
      </c>
      <c r="AI59" s="28">
        <v>1</v>
      </c>
      <c r="AJ59" s="28">
        <v>1</v>
      </c>
    </row>
    <row r="60" spans="1:36" x14ac:dyDescent="0.25">
      <c r="A60" s="298" t="str">
        <f>IF('Kwaliteit conversie'!$D$4='Prijs karton'!C60,"X"," ")</f>
        <v xml:space="preserve"> </v>
      </c>
      <c r="B60" s="331" t="s">
        <v>31</v>
      </c>
      <c r="C60" s="359" t="s">
        <v>1368</v>
      </c>
      <c r="D60" s="366">
        <v>0.42499999999999999</v>
      </c>
      <c r="E60" s="321">
        <v>2.74</v>
      </c>
      <c r="F60" s="925">
        <v>0</v>
      </c>
      <c r="G60" s="315">
        <v>46.5</v>
      </c>
      <c r="H60" s="315">
        <v>45</v>
      </c>
      <c r="I60" s="315">
        <v>44.8</v>
      </c>
      <c r="J60" s="315">
        <v>44.5</v>
      </c>
      <c r="K60" s="513">
        <v>44.5</v>
      </c>
      <c r="L60" s="926" t="s">
        <v>1369</v>
      </c>
      <c r="M60" s="331" t="s">
        <v>289</v>
      </c>
      <c r="N60" s="366" t="s">
        <v>238</v>
      </c>
      <c r="O60" s="323" t="s">
        <v>239</v>
      </c>
      <c r="P60" s="386" t="s">
        <v>239</v>
      </c>
      <c r="Q60" s="323" t="s">
        <v>239</v>
      </c>
      <c r="R60" s="366" t="s">
        <v>239</v>
      </c>
      <c r="S60" s="378" t="s">
        <v>1367</v>
      </c>
      <c r="T60" s="324" t="s">
        <v>1364</v>
      </c>
      <c r="U60" s="386">
        <v>250</v>
      </c>
      <c r="V60" s="386">
        <v>2450</v>
      </c>
      <c r="W60" s="386">
        <v>600</v>
      </c>
      <c r="X60" s="386">
        <v>6000</v>
      </c>
      <c r="Y60" s="386">
        <v>290</v>
      </c>
      <c r="Z60" s="386">
        <v>145</v>
      </c>
      <c r="AA60" s="386">
        <v>200</v>
      </c>
      <c r="AB60" s="392">
        <v>5.21</v>
      </c>
      <c r="AC60" s="28">
        <v>0</v>
      </c>
      <c r="AD60" s="28">
        <v>1</v>
      </c>
      <c r="AE60" s="28">
        <v>1</v>
      </c>
      <c r="AF60" s="28">
        <v>1</v>
      </c>
      <c r="AG60" s="28">
        <v>1</v>
      </c>
      <c r="AH60" s="28">
        <v>1</v>
      </c>
      <c r="AI60" s="28">
        <v>1</v>
      </c>
      <c r="AJ60" s="28">
        <v>1</v>
      </c>
    </row>
    <row r="61" spans="1:36" x14ac:dyDescent="0.25">
      <c r="A61" s="298" t="str">
        <f>IF('Kwaliteit conversie'!$D$4='Prijs karton'!C61,"X"," ")</f>
        <v xml:space="preserve"> </v>
      </c>
      <c r="B61" s="331" t="s">
        <v>31</v>
      </c>
      <c r="C61" s="359" t="s">
        <v>1370</v>
      </c>
      <c r="D61" s="366">
        <v>0.48199999999999998</v>
      </c>
      <c r="E61" s="321">
        <v>2.82</v>
      </c>
      <c r="F61" s="925">
        <v>0</v>
      </c>
      <c r="G61" s="315">
        <v>49.9</v>
      </c>
      <c r="H61" s="315">
        <v>48.4</v>
      </c>
      <c r="I61" s="315">
        <v>48.1</v>
      </c>
      <c r="J61" s="315">
        <v>47.8</v>
      </c>
      <c r="K61" s="513">
        <v>47.8</v>
      </c>
      <c r="L61" s="926" t="s">
        <v>1371</v>
      </c>
      <c r="M61" s="331" t="s">
        <v>1372</v>
      </c>
      <c r="N61" s="366" t="s">
        <v>265</v>
      </c>
      <c r="O61" s="323" t="s">
        <v>239</v>
      </c>
      <c r="P61" s="386" t="s">
        <v>239</v>
      </c>
      <c r="Q61" s="323" t="s">
        <v>239</v>
      </c>
      <c r="R61" s="366" t="s">
        <v>239</v>
      </c>
      <c r="S61" s="378" t="s">
        <v>1363</v>
      </c>
      <c r="T61" s="324" t="s">
        <v>1364</v>
      </c>
      <c r="U61" s="386">
        <v>250</v>
      </c>
      <c r="V61" s="386">
        <v>2450</v>
      </c>
      <c r="W61" s="386">
        <v>600</v>
      </c>
      <c r="X61" s="386">
        <v>6000</v>
      </c>
      <c r="Y61" s="386">
        <v>290</v>
      </c>
      <c r="Z61" s="386">
        <v>145</v>
      </c>
      <c r="AA61" s="386">
        <v>200</v>
      </c>
      <c r="AB61" s="392">
        <v>5.78</v>
      </c>
      <c r="AC61" s="28">
        <v>0</v>
      </c>
      <c r="AD61" s="28">
        <v>1</v>
      </c>
      <c r="AE61" s="28">
        <v>1</v>
      </c>
      <c r="AF61" s="28">
        <v>1</v>
      </c>
      <c r="AG61" s="28">
        <v>1</v>
      </c>
      <c r="AH61" s="28">
        <v>1</v>
      </c>
      <c r="AI61" s="28">
        <v>1</v>
      </c>
      <c r="AJ61" s="28">
        <v>1</v>
      </c>
    </row>
    <row r="62" spans="1:36" x14ac:dyDescent="0.25">
      <c r="A62" s="298" t="str">
        <f>IF('Kwaliteit conversie'!$D$4='Prijs karton'!C62,"X"," ")</f>
        <v xml:space="preserve"> </v>
      </c>
      <c r="B62" s="331" t="s">
        <v>31</v>
      </c>
      <c r="C62" s="359" t="s">
        <v>1373</v>
      </c>
      <c r="D62" s="366">
        <v>0.37</v>
      </c>
      <c r="E62" s="321">
        <v>2.72</v>
      </c>
      <c r="F62" s="925">
        <v>0</v>
      </c>
      <c r="G62" s="315">
        <v>31.6</v>
      </c>
      <c r="H62" s="315">
        <v>30.4</v>
      </c>
      <c r="I62" s="315">
        <v>30.2</v>
      </c>
      <c r="J62" s="315">
        <v>29.9</v>
      </c>
      <c r="K62" s="513">
        <v>29.9</v>
      </c>
      <c r="L62" s="926" t="s">
        <v>1374</v>
      </c>
      <c r="M62" s="331" t="s">
        <v>1363</v>
      </c>
      <c r="N62" s="366" t="s">
        <v>238</v>
      </c>
      <c r="O62" s="323" t="s">
        <v>239</v>
      </c>
      <c r="P62" s="386" t="s">
        <v>239</v>
      </c>
      <c r="Q62" s="323" t="s">
        <v>239</v>
      </c>
      <c r="R62" s="366" t="s">
        <v>239</v>
      </c>
      <c r="S62" s="378" t="s">
        <v>1363</v>
      </c>
      <c r="T62" s="324" t="s">
        <v>1364</v>
      </c>
      <c r="U62" s="386">
        <v>250</v>
      </c>
      <c r="V62" s="386">
        <v>2450</v>
      </c>
      <c r="W62" s="386">
        <v>600</v>
      </c>
      <c r="X62" s="386">
        <v>6000</v>
      </c>
      <c r="Y62" s="386">
        <v>290</v>
      </c>
      <c r="Z62" s="386">
        <v>145</v>
      </c>
      <c r="AA62" s="386">
        <v>200</v>
      </c>
      <c r="AB62" s="392">
        <v>4.3099999999999996</v>
      </c>
      <c r="AC62" s="28">
        <v>0</v>
      </c>
      <c r="AD62" s="28">
        <v>1</v>
      </c>
      <c r="AE62" s="28">
        <v>1</v>
      </c>
      <c r="AF62" s="28">
        <v>1</v>
      </c>
      <c r="AG62" s="28">
        <v>1</v>
      </c>
      <c r="AH62" s="28">
        <v>1</v>
      </c>
      <c r="AI62" s="28">
        <v>1</v>
      </c>
      <c r="AJ62" s="28">
        <v>1</v>
      </c>
    </row>
    <row r="63" spans="1:36" x14ac:dyDescent="0.25">
      <c r="A63" s="298" t="str">
        <f>IF('Kwaliteit conversie'!$D$4='Prijs karton'!C63,"X"," ")</f>
        <v xml:space="preserve"> </v>
      </c>
      <c r="B63" s="331" t="s">
        <v>31</v>
      </c>
      <c r="C63" s="359" t="s">
        <v>1405</v>
      </c>
      <c r="D63" s="366">
        <v>0.375</v>
      </c>
      <c r="E63" s="321">
        <v>2.72</v>
      </c>
      <c r="F63" s="925">
        <v>0</v>
      </c>
      <c r="G63" s="315">
        <v>40</v>
      </c>
      <c r="H63" s="315">
        <v>38.700000000000003</v>
      </c>
      <c r="I63" s="315">
        <v>38.4</v>
      </c>
      <c r="J63" s="315">
        <v>38.1</v>
      </c>
      <c r="K63" s="513">
        <v>38.1</v>
      </c>
      <c r="L63" s="926" t="s">
        <v>1406</v>
      </c>
      <c r="M63" s="331" t="s">
        <v>1400</v>
      </c>
      <c r="N63" s="366" t="s">
        <v>238</v>
      </c>
      <c r="O63" s="323" t="s">
        <v>239</v>
      </c>
      <c r="P63" s="386" t="s">
        <v>239</v>
      </c>
      <c r="Q63" s="323" t="s">
        <v>239</v>
      </c>
      <c r="R63" s="366" t="s">
        <v>239</v>
      </c>
      <c r="S63" s="378" t="s">
        <v>1363</v>
      </c>
      <c r="T63" s="324" t="s">
        <v>1364</v>
      </c>
      <c r="U63" s="386">
        <v>250</v>
      </c>
      <c r="V63" s="386">
        <v>2450</v>
      </c>
      <c r="W63" s="386">
        <v>600</v>
      </c>
      <c r="X63" s="386">
        <v>6000</v>
      </c>
      <c r="Y63" s="386">
        <v>290</v>
      </c>
      <c r="Z63" s="386">
        <v>145</v>
      </c>
      <c r="AA63" s="386">
        <v>200</v>
      </c>
      <c r="AB63" s="392">
        <v>4.22</v>
      </c>
      <c r="AC63" s="28">
        <v>0</v>
      </c>
      <c r="AD63" s="28">
        <v>1</v>
      </c>
      <c r="AE63" s="28">
        <v>1</v>
      </c>
      <c r="AF63" s="28">
        <v>1</v>
      </c>
      <c r="AG63" s="28">
        <v>1</v>
      </c>
      <c r="AH63" s="28">
        <v>1</v>
      </c>
      <c r="AI63" s="28">
        <v>1</v>
      </c>
      <c r="AJ63" s="28">
        <v>1</v>
      </c>
    </row>
    <row r="64" spans="1:36" x14ac:dyDescent="0.25">
      <c r="A64" s="298" t="str">
        <f>IF('Kwaliteit conversie'!$D$4='Prijs karton'!C64,"X"," ")</f>
        <v xml:space="preserve"> </v>
      </c>
      <c r="B64" s="331" t="s">
        <v>31</v>
      </c>
      <c r="C64" s="359" t="s">
        <v>1407</v>
      </c>
      <c r="D64" s="366">
        <v>0.4</v>
      </c>
      <c r="E64" s="321">
        <v>2.72</v>
      </c>
      <c r="F64" s="925">
        <v>0</v>
      </c>
      <c r="G64" s="315">
        <v>49.5</v>
      </c>
      <c r="H64" s="315">
        <v>48.1</v>
      </c>
      <c r="I64" s="315">
        <v>48</v>
      </c>
      <c r="J64" s="315">
        <v>47.7</v>
      </c>
      <c r="K64" s="513">
        <v>47.7</v>
      </c>
      <c r="L64" s="926" t="s">
        <v>1408</v>
      </c>
      <c r="M64" s="331" t="s">
        <v>289</v>
      </c>
      <c r="N64" s="366" t="s">
        <v>238</v>
      </c>
      <c r="O64" s="323" t="s">
        <v>239</v>
      </c>
      <c r="P64" s="386" t="s">
        <v>239</v>
      </c>
      <c r="Q64" s="323" t="s">
        <v>239</v>
      </c>
      <c r="R64" s="366" t="s">
        <v>239</v>
      </c>
      <c r="S64" s="378" t="s">
        <v>289</v>
      </c>
      <c r="T64" s="324" t="s">
        <v>1364</v>
      </c>
      <c r="U64" s="386">
        <v>250</v>
      </c>
      <c r="V64" s="386">
        <v>2450</v>
      </c>
      <c r="W64" s="386">
        <v>600</v>
      </c>
      <c r="X64" s="386">
        <v>6000</v>
      </c>
      <c r="Y64" s="386">
        <v>290</v>
      </c>
      <c r="Z64" s="386">
        <v>145</v>
      </c>
      <c r="AA64" s="386">
        <v>200</v>
      </c>
      <c r="AB64" s="392">
        <v>5.22</v>
      </c>
      <c r="AC64" s="28">
        <v>0</v>
      </c>
      <c r="AD64" s="28">
        <v>1</v>
      </c>
      <c r="AE64" s="28">
        <v>1</v>
      </c>
      <c r="AF64" s="28">
        <v>1</v>
      </c>
      <c r="AG64" s="28">
        <v>1</v>
      </c>
      <c r="AH64" s="28">
        <v>1</v>
      </c>
      <c r="AI64" s="28">
        <v>1</v>
      </c>
      <c r="AJ64" s="28">
        <v>1</v>
      </c>
    </row>
    <row r="65" spans="1:36" x14ac:dyDescent="0.25">
      <c r="A65" s="298" t="str">
        <f>IF('Kwaliteit conversie'!$D$4='Prijs karton'!C65,"X"," ")</f>
        <v xml:space="preserve"> </v>
      </c>
      <c r="B65" s="331" t="s">
        <v>31</v>
      </c>
      <c r="C65" s="359" t="s">
        <v>1409</v>
      </c>
      <c r="D65" s="366">
        <v>0.29699999999999999</v>
      </c>
      <c r="E65" s="321">
        <v>2.61</v>
      </c>
      <c r="F65" s="925">
        <v>0</v>
      </c>
      <c r="G65" s="315">
        <v>28.1</v>
      </c>
      <c r="H65" s="315">
        <v>26.8</v>
      </c>
      <c r="I65" s="315">
        <v>26.5</v>
      </c>
      <c r="J65" s="315">
        <v>26.2</v>
      </c>
      <c r="K65" s="513">
        <v>26.2</v>
      </c>
      <c r="L65" s="926" t="s">
        <v>1410</v>
      </c>
      <c r="M65" s="331" t="s">
        <v>244</v>
      </c>
      <c r="N65" s="366" t="s">
        <v>244</v>
      </c>
      <c r="O65" s="323" t="s">
        <v>239</v>
      </c>
      <c r="P65" s="386" t="s">
        <v>239</v>
      </c>
      <c r="Q65" s="323" t="s">
        <v>239</v>
      </c>
      <c r="R65" s="366" t="s">
        <v>239</v>
      </c>
      <c r="S65" s="378" t="s">
        <v>244</v>
      </c>
      <c r="T65" s="324" t="s">
        <v>1364</v>
      </c>
      <c r="U65" s="386">
        <v>250</v>
      </c>
      <c r="V65" s="386">
        <v>2450</v>
      </c>
      <c r="W65" s="386">
        <v>600</v>
      </c>
      <c r="X65" s="386">
        <v>6000</v>
      </c>
      <c r="Y65" s="386">
        <v>290</v>
      </c>
      <c r="Z65" s="386">
        <v>145</v>
      </c>
      <c r="AA65" s="386">
        <v>200</v>
      </c>
      <c r="AB65" s="392">
        <v>3.06</v>
      </c>
      <c r="AC65" s="28">
        <v>0</v>
      </c>
      <c r="AD65" s="28">
        <v>1</v>
      </c>
      <c r="AE65" s="28">
        <v>1</v>
      </c>
      <c r="AF65" s="28">
        <v>1</v>
      </c>
      <c r="AG65" s="28">
        <v>1</v>
      </c>
      <c r="AH65" s="28">
        <v>1</v>
      </c>
      <c r="AI65" s="28">
        <v>1</v>
      </c>
      <c r="AJ65" s="28">
        <v>1</v>
      </c>
    </row>
    <row r="66" spans="1:36" x14ac:dyDescent="0.25">
      <c r="A66" s="298" t="str">
        <f>IF('Kwaliteit conversie'!$D$4='Prijs karton'!C66,"X"," ")</f>
        <v xml:space="preserve"> </v>
      </c>
      <c r="B66" s="331" t="s">
        <v>31</v>
      </c>
      <c r="C66" s="359"/>
      <c r="D66" s="366"/>
      <c r="E66" s="321"/>
      <c r="F66" s="925"/>
      <c r="G66" s="315"/>
      <c r="H66" s="315"/>
      <c r="I66" s="315"/>
      <c r="J66" s="315"/>
      <c r="K66" s="513"/>
      <c r="L66" s="926"/>
      <c r="M66" s="331"/>
      <c r="N66" s="366"/>
      <c r="O66" s="323"/>
      <c r="P66" s="386"/>
      <c r="Q66" s="323"/>
      <c r="R66" s="366"/>
      <c r="S66" s="378"/>
      <c r="T66" s="324"/>
      <c r="U66" s="386"/>
      <c r="V66" s="386"/>
      <c r="W66" s="386"/>
      <c r="X66" s="386"/>
      <c r="Y66" s="386"/>
      <c r="Z66" s="386"/>
      <c r="AA66" s="386"/>
      <c r="AB66" s="392"/>
      <c r="AC66" s="28"/>
      <c r="AD66" s="28"/>
      <c r="AE66" s="28"/>
      <c r="AF66" s="28"/>
      <c r="AG66" s="28"/>
      <c r="AH66" s="28"/>
      <c r="AI66" s="28"/>
      <c r="AJ66" s="28"/>
    </row>
    <row r="67" spans="1:36" x14ac:dyDescent="0.25">
      <c r="A67" s="298" t="str">
        <f>IF('Kwaliteit conversie'!$D$4='Prijs karton'!C67,"X"," ")</f>
        <v xml:space="preserve"> </v>
      </c>
      <c r="B67" s="331" t="s">
        <v>31</v>
      </c>
      <c r="C67" s="359"/>
      <c r="D67" s="366"/>
      <c r="E67" s="321"/>
      <c r="F67" s="925"/>
      <c r="G67" s="315"/>
      <c r="H67" s="315"/>
      <c r="I67" s="315"/>
      <c r="J67" s="315"/>
      <c r="K67" s="513"/>
      <c r="L67" s="926"/>
      <c r="M67" s="331"/>
      <c r="N67" s="366"/>
      <c r="O67" s="323"/>
      <c r="P67" s="386"/>
      <c r="Q67" s="323"/>
      <c r="R67" s="366"/>
      <c r="S67" s="378"/>
      <c r="T67" s="324"/>
      <c r="U67" s="386"/>
      <c r="V67" s="386"/>
      <c r="W67" s="386"/>
      <c r="X67" s="386"/>
      <c r="Y67" s="386"/>
      <c r="Z67" s="386"/>
      <c r="AA67" s="386"/>
      <c r="AB67" s="392"/>
      <c r="AC67" s="28"/>
      <c r="AD67" s="28"/>
      <c r="AE67" s="28"/>
      <c r="AF67" s="28"/>
      <c r="AG67" s="28"/>
      <c r="AH67" s="28"/>
      <c r="AI67" s="28"/>
      <c r="AJ67" s="28"/>
    </row>
    <row r="68" spans="1:36" x14ac:dyDescent="0.25">
      <c r="A68" s="298" t="str">
        <f>IF('Kwaliteit conversie'!$D$4='Prijs karton'!C68,"X"," ")</f>
        <v xml:space="preserve"> </v>
      </c>
      <c r="B68" s="331" t="s">
        <v>31</v>
      </c>
      <c r="C68" s="359"/>
      <c r="D68" s="366"/>
      <c r="E68" s="321"/>
      <c r="F68" s="925"/>
      <c r="G68" s="315"/>
      <c r="H68" s="315"/>
      <c r="I68" s="315"/>
      <c r="J68" s="315"/>
      <c r="K68" s="513"/>
      <c r="L68" s="926"/>
      <c r="M68" s="331"/>
      <c r="N68" s="366"/>
      <c r="O68" s="323"/>
      <c r="P68" s="386"/>
      <c r="Q68" s="323"/>
      <c r="R68" s="366"/>
      <c r="S68" s="378"/>
      <c r="T68" s="324"/>
      <c r="U68" s="386"/>
      <c r="V68" s="386"/>
      <c r="W68" s="386"/>
      <c r="X68" s="386"/>
      <c r="Y68" s="386"/>
      <c r="Z68" s="386"/>
      <c r="AA68" s="386"/>
      <c r="AB68" s="392"/>
      <c r="AC68" s="28"/>
      <c r="AD68" s="28"/>
      <c r="AE68" s="28"/>
      <c r="AF68" s="28"/>
      <c r="AG68" s="28"/>
      <c r="AH68" s="28"/>
      <c r="AI68" s="28"/>
      <c r="AJ68" s="28"/>
    </row>
    <row r="69" spans="1:36" x14ac:dyDescent="0.25">
      <c r="A69" s="298" t="str">
        <f>IF('Kwaliteit conversie'!$D$4='Prijs karton'!C69,"X"," ")</f>
        <v xml:space="preserve"> </v>
      </c>
      <c r="B69" s="331" t="s">
        <v>31</v>
      </c>
      <c r="C69" s="359"/>
      <c r="D69" s="366"/>
      <c r="E69" s="321"/>
      <c r="F69" s="925"/>
      <c r="G69" s="315"/>
      <c r="H69" s="315"/>
      <c r="I69" s="315"/>
      <c r="J69" s="315"/>
      <c r="K69" s="513"/>
      <c r="L69" s="926"/>
      <c r="M69" s="331"/>
      <c r="N69" s="366"/>
      <c r="O69" s="323"/>
      <c r="P69" s="386"/>
      <c r="Q69" s="323"/>
      <c r="R69" s="366"/>
      <c r="S69" s="378"/>
      <c r="T69" s="324"/>
      <c r="U69" s="386"/>
      <c r="V69" s="386"/>
      <c r="W69" s="386"/>
      <c r="X69" s="386"/>
      <c r="Y69" s="386"/>
      <c r="Z69" s="386"/>
      <c r="AA69" s="386"/>
      <c r="AB69" s="392"/>
      <c r="AC69" s="28"/>
      <c r="AD69" s="28"/>
      <c r="AE69" s="28"/>
      <c r="AF69" s="28"/>
      <c r="AG69" s="28"/>
      <c r="AH69" s="28"/>
      <c r="AI69" s="28"/>
      <c r="AJ69" s="28"/>
    </row>
    <row r="70" spans="1:36" x14ac:dyDescent="0.25">
      <c r="A70" s="298" t="str">
        <f>IF('Kwaliteit conversie'!$D$4='Prijs karton'!C70,"X"," ")</f>
        <v xml:space="preserve"> </v>
      </c>
      <c r="B70" s="331" t="s">
        <v>31</v>
      </c>
      <c r="C70" s="359"/>
      <c r="D70" s="366"/>
      <c r="E70" s="321"/>
      <c r="F70" s="925"/>
      <c r="G70" s="315"/>
      <c r="H70" s="315"/>
      <c r="I70" s="315"/>
      <c r="J70" s="315"/>
      <c r="K70" s="513"/>
      <c r="L70" s="926"/>
      <c r="M70" s="331"/>
      <c r="N70" s="366"/>
      <c r="O70" s="323"/>
      <c r="P70" s="386"/>
      <c r="Q70" s="323"/>
      <c r="R70" s="366"/>
      <c r="S70" s="378"/>
      <c r="T70" s="324"/>
      <c r="U70" s="386"/>
      <c r="V70" s="386"/>
      <c r="W70" s="386"/>
      <c r="X70" s="386"/>
      <c r="Y70" s="386"/>
      <c r="Z70" s="386"/>
      <c r="AA70" s="386"/>
      <c r="AB70" s="392"/>
      <c r="AC70" s="28"/>
      <c r="AD70" s="28"/>
      <c r="AE70" s="28"/>
      <c r="AF70" s="28"/>
      <c r="AG70" s="28"/>
      <c r="AH70" s="28"/>
      <c r="AI70" s="28"/>
      <c r="AJ70" s="28"/>
    </row>
    <row r="71" spans="1:36" x14ac:dyDescent="0.25">
      <c r="A71" s="298" t="str">
        <f>IF('Kwaliteit conversie'!$D$4='Prijs karton'!C71,"X"," ")</f>
        <v xml:space="preserve"> </v>
      </c>
      <c r="B71" s="331" t="s">
        <v>31</v>
      </c>
      <c r="C71" s="359"/>
      <c r="D71" s="366"/>
      <c r="E71" s="321"/>
      <c r="F71" s="925"/>
      <c r="G71" s="315"/>
      <c r="H71" s="315"/>
      <c r="I71" s="315"/>
      <c r="J71" s="315"/>
      <c r="K71" s="513"/>
      <c r="L71" s="926"/>
      <c r="M71" s="331"/>
      <c r="N71" s="366"/>
      <c r="O71" s="323"/>
      <c r="P71" s="386"/>
      <c r="Q71" s="323"/>
      <c r="R71" s="366"/>
      <c r="S71" s="378"/>
      <c r="T71" s="324"/>
      <c r="U71" s="386"/>
      <c r="V71" s="386"/>
      <c r="W71" s="386"/>
      <c r="X71" s="386"/>
      <c r="Y71" s="386"/>
      <c r="Z71" s="386"/>
      <c r="AA71" s="386"/>
      <c r="AB71" s="392"/>
      <c r="AC71" s="28"/>
      <c r="AD71" s="28"/>
      <c r="AE71" s="28"/>
      <c r="AF71" s="28"/>
      <c r="AG71" s="28"/>
      <c r="AH71" s="28"/>
      <c r="AI71" s="28"/>
      <c r="AJ71" s="28"/>
    </row>
    <row r="72" spans="1:36" x14ac:dyDescent="0.25">
      <c r="A72" s="298" t="str">
        <f>IF('Kwaliteit conversie'!$D$4='Prijs karton'!C72,"X"," ")</f>
        <v xml:space="preserve"> </v>
      </c>
      <c r="B72" s="331" t="s">
        <v>31</v>
      </c>
      <c r="C72" s="359"/>
      <c r="D72" s="366"/>
      <c r="E72" s="321"/>
      <c r="F72" s="925"/>
      <c r="G72" s="315"/>
      <c r="H72" s="315"/>
      <c r="I72" s="315"/>
      <c r="J72" s="315"/>
      <c r="K72" s="513"/>
      <c r="L72" s="926"/>
      <c r="M72" s="331"/>
      <c r="N72" s="366"/>
      <c r="O72" s="323"/>
      <c r="P72" s="386"/>
      <c r="Q72" s="323"/>
      <c r="R72" s="366"/>
      <c r="S72" s="378"/>
      <c r="T72" s="324"/>
      <c r="U72" s="386"/>
      <c r="V72" s="386"/>
      <c r="W72" s="386"/>
      <c r="X72" s="386"/>
      <c r="Y72" s="386"/>
      <c r="Z72" s="386"/>
      <c r="AA72" s="386"/>
      <c r="AB72" s="392"/>
      <c r="AC72" s="28"/>
      <c r="AD72" s="28"/>
      <c r="AE72" s="28"/>
      <c r="AF72" s="28"/>
      <c r="AG72" s="28"/>
      <c r="AH72" s="28"/>
      <c r="AI72" s="28"/>
      <c r="AJ72" s="28"/>
    </row>
    <row r="73" spans="1:36" x14ac:dyDescent="0.25">
      <c r="A73" s="298" t="str">
        <f>IF('Kwaliteit conversie'!$D$4='Prijs karton'!C73,"X"," ")</f>
        <v xml:space="preserve"> </v>
      </c>
      <c r="B73" s="331" t="s">
        <v>31</v>
      </c>
      <c r="C73" s="359"/>
      <c r="D73" s="366"/>
      <c r="E73" s="321"/>
      <c r="F73" s="925"/>
      <c r="G73" s="315"/>
      <c r="H73" s="315"/>
      <c r="I73" s="315"/>
      <c r="J73" s="315"/>
      <c r="K73" s="513"/>
      <c r="L73" s="926"/>
      <c r="M73" s="331"/>
      <c r="N73" s="366"/>
      <c r="O73" s="323"/>
      <c r="P73" s="386"/>
      <c r="Q73" s="323"/>
      <c r="R73" s="366"/>
      <c r="S73" s="378"/>
      <c r="T73" s="324"/>
      <c r="U73" s="386"/>
      <c r="V73" s="386"/>
      <c r="W73" s="386"/>
      <c r="X73" s="386"/>
      <c r="Y73" s="386"/>
      <c r="Z73" s="386"/>
      <c r="AA73" s="386"/>
      <c r="AB73" s="392"/>
      <c r="AC73" s="28"/>
      <c r="AD73" s="28"/>
      <c r="AE73" s="28"/>
      <c r="AF73" s="28"/>
      <c r="AG73" s="28"/>
      <c r="AH73" s="28"/>
      <c r="AI73" s="28"/>
      <c r="AJ73" s="28"/>
    </row>
    <row r="74" spans="1:36" x14ac:dyDescent="0.25">
      <c r="A74" s="298" t="str">
        <f>IF('Kwaliteit conversie'!$D$4='Prijs karton'!C74,"X"," ")</f>
        <v xml:space="preserve"> </v>
      </c>
      <c r="B74" s="331" t="s">
        <v>31</v>
      </c>
      <c r="C74" s="359"/>
      <c r="D74" s="366"/>
      <c r="E74" s="321"/>
      <c r="F74" s="925"/>
      <c r="G74" s="315"/>
      <c r="H74" s="315"/>
      <c r="I74" s="315"/>
      <c r="J74" s="315"/>
      <c r="K74" s="513"/>
      <c r="L74" s="926"/>
      <c r="M74" s="331"/>
      <c r="N74" s="366"/>
      <c r="O74" s="323"/>
      <c r="P74" s="386"/>
      <c r="Q74" s="323"/>
      <c r="R74" s="366"/>
      <c r="S74" s="378"/>
      <c r="T74" s="324"/>
      <c r="U74" s="386"/>
      <c r="V74" s="386"/>
      <c r="W74" s="386"/>
      <c r="X74" s="386"/>
      <c r="Y74" s="386"/>
      <c r="Z74" s="386"/>
      <c r="AA74" s="386"/>
      <c r="AB74" s="392"/>
      <c r="AC74" s="28"/>
      <c r="AD74" s="28"/>
      <c r="AE74" s="28"/>
      <c r="AF74" s="28"/>
      <c r="AG74" s="28"/>
      <c r="AH74" s="28"/>
      <c r="AI74" s="28"/>
      <c r="AJ74" s="28"/>
    </row>
    <row r="75" spans="1:36" x14ac:dyDescent="0.25">
      <c r="A75" s="298" t="str">
        <f>IF('Kwaliteit conversie'!$D$4='Prijs karton'!C75,"X"," ")</f>
        <v xml:space="preserve"> </v>
      </c>
      <c r="B75" s="331" t="s">
        <v>31</v>
      </c>
      <c r="C75" s="359"/>
      <c r="D75" s="366"/>
      <c r="E75" s="321"/>
      <c r="F75" s="925"/>
      <c r="G75" s="315"/>
      <c r="H75" s="315"/>
      <c r="I75" s="315"/>
      <c r="J75" s="315"/>
      <c r="K75" s="513"/>
      <c r="L75" s="926"/>
      <c r="M75" s="331"/>
      <c r="N75" s="366"/>
      <c r="O75" s="323"/>
      <c r="P75" s="386"/>
      <c r="Q75" s="323"/>
      <c r="R75" s="366"/>
      <c r="S75" s="378"/>
      <c r="T75" s="324"/>
      <c r="U75" s="386"/>
      <c r="V75" s="386"/>
      <c r="W75" s="386"/>
      <c r="X75" s="386"/>
      <c r="Y75" s="386"/>
      <c r="Z75" s="386"/>
      <c r="AA75" s="386"/>
      <c r="AB75" s="392"/>
      <c r="AC75" s="28"/>
      <c r="AD75" s="28"/>
      <c r="AE75" s="28"/>
      <c r="AF75" s="28"/>
      <c r="AG75" s="28"/>
      <c r="AH75" s="28"/>
      <c r="AI75" s="28"/>
      <c r="AJ75" s="28"/>
    </row>
    <row r="76" spans="1:36" x14ac:dyDescent="0.25">
      <c r="A76" s="298" t="str">
        <f>IF('Kwaliteit conversie'!$D$4='Prijs karton'!C76,"X"," ")</f>
        <v xml:space="preserve"> </v>
      </c>
      <c r="B76" s="331" t="s">
        <v>31</v>
      </c>
      <c r="C76" s="359"/>
      <c r="D76" s="366"/>
      <c r="E76" s="321"/>
      <c r="F76" s="925"/>
      <c r="G76" s="315"/>
      <c r="H76" s="315"/>
      <c r="I76" s="315"/>
      <c r="J76" s="315"/>
      <c r="K76" s="513"/>
      <c r="L76" s="926"/>
      <c r="M76" s="331"/>
      <c r="N76" s="366"/>
      <c r="O76" s="323"/>
      <c r="P76" s="386"/>
      <c r="Q76" s="323"/>
      <c r="R76" s="366"/>
      <c r="S76" s="378"/>
      <c r="T76" s="324"/>
      <c r="U76" s="386"/>
      <c r="V76" s="386"/>
      <c r="W76" s="386"/>
      <c r="X76" s="386"/>
      <c r="Y76" s="386"/>
      <c r="Z76" s="386"/>
      <c r="AA76" s="386"/>
      <c r="AB76" s="392"/>
      <c r="AC76" s="28"/>
      <c r="AD76" s="28"/>
      <c r="AE76" s="28"/>
      <c r="AF76" s="28"/>
      <c r="AG76" s="28"/>
      <c r="AH76" s="28"/>
      <c r="AI76" s="28"/>
      <c r="AJ76" s="28"/>
    </row>
    <row r="77" spans="1:36" s="320" customFormat="1" x14ac:dyDescent="0.25">
      <c r="A77" s="329" t="str">
        <f>IF('Kwaliteit conversie'!$D$4='Prijs karton'!C77,"X"," ")</f>
        <v xml:space="preserve"> </v>
      </c>
      <c r="B77" s="332" t="s">
        <v>31</v>
      </c>
      <c r="C77" s="360" t="s">
        <v>314</v>
      </c>
      <c r="D77" s="367">
        <v>0.5</v>
      </c>
      <c r="E77" s="322">
        <v>2.9</v>
      </c>
      <c r="F77" s="927">
        <v>0</v>
      </c>
      <c r="G77" s="319">
        <v>0</v>
      </c>
      <c r="H77" s="319">
        <v>0</v>
      </c>
      <c r="I77" s="319">
        <v>0</v>
      </c>
      <c r="J77" s="319">
        <v>0</v>
      </c>
      <c r="K77" s="928">
        <v>0</v>
      </c>
      <c r="L77" s="929" t="s">
        <v>315</v>
      </c>
      <c r="M77" s="379" t="s">
        <v>239</v>
      </c>
      <c r="N77" s="367" t="s">
        <v>239</v>
      </c>
      <c r="O77" s="325" t="s">
        <v>239</v>
      </c>
      <c r="P77" s="387" t="s">
        <v>239</v>
      </c>
      <c r="Q77" s="325" t="s">
        <v>239</v>
      </c>
      <c r="R77" s="367" t="s">
        <v>239</v>
      </c>
      <c r="S77" s="380" t="s">
        <v>239</v>
      </c>
      <c r="T77" s="326" t="s">
        <v>245</v>
      </c>
      <c r="U77" s="387">
        <v>250</v>
      </c>
      <c r="V77" s="387">
        <v>2450</v>
      </c>
      <c r="W77" s="387">
        <v>500</v>
      </c>
      <c r="X77" s="387">
        <v>6200</v>
      </c>
      <c r="Y77" s="387">
        <v>480</v>
      </c>
      <c r="Z77" s="387">
        <v>240</v>
      </c>
      <c r="AA77" s="387">
        <v>200</v>
      </c>
      <c r="AB77" s="393">
        <v>5</v>
      </c>
      <c r="AC77" s="34">
        <v>0</v>
      </c>
      <c r="AD77" s="34">
        <v>1</v>
      </c>
      <c r="AE77" s="34">
        <v>1</v>
      </c>
      <c r="AF77" s="34">
        <v>1</v>
      </c>
      <c r="AG77" s="34">
        <v>1</v>
      </c>
      <c r="AH77" s="34">
        <v>1</v>
      </c>
      <c r="AI77" s="34">
        <v>1</v>
      </c>
      <c r="AJ77" s="34">
        <v>1</v>
      </c>
    </row>
    <row r="78" spans="1:36" x14ac:dyDescent="0.25">
      <c r="A78" s="298" t="str">
        <f>IF('Kwaliteit conversie'!$D$4='Prijs karton'!C78,"X"," ")</f>
        <v xml:space="preserve"> </v>
      </c>
      <c r="B78" s="331"/>
      <c r="C78" s="359"/>
      <c r="D78" s="366"/>
      <c r="E78" s="321"/>
      <c r="F78" s="925"/>
      <c r="G78" s="315"/>
      <c r="H78" s="315"/>
      <c r="I78" s="315"/>
      <c r="J78" s="315"/>
      <c r="K78" s="513"/>
      <c r="L78" s="926"/>
      <c r="M78" s="331"/>
      <c r="N78" s="366"/>
      <c r="O78" s="323"/>
      <c r="P78" s="386"/>
      <c r="Q78" s="323"/>
      <c r="R78" s="366"/>
      <c r="S78" s="378"/>
      <c r="T78" s="324"/>
      <c r="U78" s="386"/>
      <c r="V78" s="386"/>
      <c r="W78" s="386"/>
      <c r="X78" s="386"/>
      <c r="Y78" s="386"/>
      <c r="Z78" s="386"/>
      <c r="AA78" s="386"/>
      <c r="AB78" s="392"/>
      <c r="AC78" s="28"/>
      <c r="AD78" s="28"/>
      <c r="AE78" s="28"/>
      <c r="AF78" s="28"/>
      <c r="AG78" s="28"/>
      <c r="AH78" s="28"/>
      <c r="AI78" s="28"/>
      <c r="AJ78" s="28"/>
    </row>
    <row r="79" spans="1:36" x14ac:dyDescent="0.25">
      <c r="A79" s="298" t="str">
        <f>IF('Kwaliteit conversie'!$D$4='Prijs karton'!C79,"X"," ")</f>
        <v xml:space="preserve"> </v>
      </c>
      <c r="B79" s="331"/>
      <c r="C79" s="359"/>
      <c r="D79" s="366"/>
      <c r="E79" s="321"/>
      <c r="F79" s="925"/>
      <c r="G79" s="315"/>
      <c r="H79" s="315"/>
      <c r="I79" s="315"/>
      <c r="J79" s="315"/>
      <c r="K79" s="513"/>
      <c r="L79" s="926"/>
      <c r="M79" s="331"/>
      <c r="N79" s="366"/>
      <c r="O79" s="323"/>
      <c r="P79" s="386"/>
      <c r="Q79" s="323"/>
      <c r="R79" s="366"/>
      <c r="S79" s="378"/>
      <c r="T79" s="324"/>
      <c r="U79" s="386"/>
      <c r="V79" s="386"/>
      <c r="W79" s="386"/>
      <c r="X79" s="386"/>
      <c r="Y79" s="386"/>
      <c r="Z79" s="386"/>
      <c r="AA79" s="386"/>
      <c r="AB79" s="392"/>
      <c r="AC79" s="28"/>
      <c r="AD79" s="28"/>
      <c r="AE79" s="28"/>
      <c r="AF79" s="28"/>
      <c r="AG79" s="28"/>
      <c r="AH79" s="28"/>
      <c r="AI79" s="28"/>
      <c r="AJ79" s="28"/>
    </row>
    <row r="80" spans="1:36" x14ac:dyDescent="0.25">
      <c r="A80" s="298" t="str">
        <f>IF('Kwaliteit conversie'!$D$4='Prijs karton'!C80,"X"," ")</f>
        <v xml:space="preserve"> </v>
      </c>
      <c r="B80" s="331"/>
      <c r="C80" s="359"/>
      <c r="D80" s="366"/>
      <c r="E80" s="321"/>
      <c r="F80" s="925"/>
      <c r="G80" s="315"/>
      <c r="H80" s="315"/>
      <c r="I80" s="315"/>
      <c r="J80" s="315"/>
      <c r="K80" s="513"/>
      <c r="L80" s="926"/>
      <c r="M80" s="331"/>
      <c r="N80" s="366"/>
      <c r="O80" s="323"/>
      <c r="P80" s="386"/>
      <c r="Q80" s="323"/>
      <c r="R80" s="366"/>
      <c r="S80" s="378"/>
      <c r="T80" s="324"/>
      <c r="U80" s="386"/>
      <c r="V80" s="386"/>
      <c r="W80" s="386"/>
      <c r="X80" s="386"/>
      <c r="Y80" s="386"/>
      <c r="Z80" s="386"/>
      <c r="AA80" s="386"/>
      <c r="AB80" s="392"/>
      <c r="AC80" s="28"/>
      <c r="AD80" s="28"/>
      <c r="AE80" s="28"/>
      <c r="AF80" s="28"/>
      <c r="AG80" s="28"/>
      <c r="AH80" s="28"/>
      <c r="AI80" s="28"/>
      <c r="AJ80" s="28"/>
    </row>
    <row r="81" spans="1:36" x14ac:dyDescent="0.25">
      <c r="A81" s="932" t="str">
        <f>IF('Kwaliteit conversie'!$D$4='Prijs karton'!C81,"X"," ")</f>
        <v xml:space="preserve"> </v>
      </c>
      <c r="B81" s="331" t="s">
        <v>36</v>
      </c>
      <c r="C81" s="359" t="s">
        <v>316</v>
      </c>
      <c r="D81" s="366">
        <v>0.56000000000000005</v>
      </c>
      <c r="E81" s="321">
        <v>5.6</v>
      </c>
      <c r="F81" s="925">
        <v>0</v>
      </c>
      <c r="G81" s="315">
        <v>57.7</v>
      </c>
      <c r="H81" s="315">
        <v>54.7</v>
      </c>
      <c r="I81" s="315">
        <v>54.2</v>
      </c>
      <c r="J81" s="315">
        <v>54.2</v>
      </c>
      <c r="K81" s="513">
        <v>53.7</v>
      </c>
      <c r="L81" s="926" t="s">
        <v>317</v>
      </c>
      <c r="M81" s="331" t="s">
        <v>318</v>
      </c>
      <c r="N81" s="366" t="s">
        <v>255</v>
      </c>
      <c r="O81" s="323" t="s">
        <v>244</v>
      </c>
      <c r="P81" s="386" t="s">
        <v>244</v>
      </c>
      <c r="Q81" s="323" t="s">
        <v>239</v>
      </c>
      <c r="R81" s="366" t="s">
        <v>239</v>
      </c>
      <c r="S81" s="378" t="s">
        <v>243</v>
      </c>
      <c r="T81" s="324" t="s">
        <v>245</v>
      </c>
      <c r="U81" s="386">
        <v>250</v>
      </c>
      <c r="V81" s="386">
        <v>2450</v>
      </c>
      <c r="W81" s="386">
        <v>500</v>
      </c>
      <c r="X81" s="386">
        <v>6200</v>
      </c>
      <c r="Y81" s="386">
        <v>180</v>
      </c>
      <c r="Z81" s="386">
        <v>90</v>
      </c>
      <c r="AA81" s="386">
        <v>200</v>
      </c>
      <c r="AB81" s="392">
        <v>6.6</v>
      </c>
      <c r="AC81" s="28">
        <v>0</v>
      </c>
      <c r="AD81" s="28">
        <v>1</v>
      </c>
      <c r="AE81" s="28">
        <v>1</v>
      </c>
      <c r="AF81" s="28">
        <v>1</v>
      </c>
      <c r="AG81" s="28">
        <v>1</v>
      </c>
      <c r="AH81" s="28">
        <v>1</v>
      </c>
      <c r="AI81" s="28">
        <v>1</v>
      </c>
      <c r="AJ81" s="28">
        <v>1</v>
      </c>
    </row>
    <row r="82" spans="1:36" x14ac:dyDescent="0.25">
      <c r="A82" s="298" t="str">
        <f>IF('Kwaliteit conversie'!$D$4='Prijs karton'!C82,"X"," ")</f>
        <v xml:space="preserve"> </v>
      </c>
      <c r="B82" s="331" t="s">
        <v>36</v>
      </c>
      <c r="C82" s="359" t="s">
        <v>319</v>
      </c>
      <c r="D82" s="366">
        <v>0.54</v>
      </c>
      <c r="E82" s="321">
        <v>5.6</v>
      </c>
      <c r="F82" s="925">
        <v>0</v>
      </c>
      <c r="G82" s="315">
        <v>45.5</v>
      </c>
      <c r="H82" s="315">
        <v>42.5</v>
      </c>
      <c r="I82" s="315">
        <v>42</v>
      </c>
      <c r="J82" s="315">
        <v>42</v>
      </c>
      <c r="K82" s="513">
        <v>41.5</v>
      </c>
      <c r="L82" s="926" t="s">
        <v>320</v>
      </c>
      <c r="M82" s="331" t="s">
        <v>249</v>
      </c>
      <c r="N82" s="366" t="s">
        <v>255</v>
      </c>
      <c r="O82" s="323" t="s">
        <v>244</v>
      </c>
      <c r="P82" s="386" t="s">
        <v>244</v>
      </c>
      <c r="Q82" s="323" t="s">
        <v>239</v>
      </c>
      <c r="R82" s="366" t="s">
        <v>239</v>
      </c>
      <c r="S82" s="378" t="s">
        <v>243</v>
      </c>
      <c r="T82" s="324" t="s">
        <v>245</v>
      </c>
      <c r="U82" s="386">
        <v>250</v>
      </c>
      <c r="V82" s="386">
        <v>2450</v>
      </c>
      <c r="W82" s="386">
        <v>500</v>
      </c>
      <c r="X82" s="386">
        <v>6200</v>
      </c>
      <c r="Y82" s="386">
        <v>180</v>
      </c>
      <c r="Z82" s="386">
        <v>90</v>
      </c>
      <c r="AA82" s="386">
        <v>200</v>
      </c>
      <c r="AB82" s="392">
        <v>6</v>
      </c>
      <c r="AC82" s="28">
        <v>10</v>
      </c>
      <c r="AD82" s="28">
        <v>1</v>
      </c>
      <c r="AE82" s="28">
        <v>1</v>
      </c>
      <c r="AF82" s="28">
        <v>1</v>
      </c>
      <c r="AG82" s="28">
        <v>1</v>
      </c>
      <c r="AH82" s="28">
        <v>1</v>
      </c>
      <c r="AI82" s="28">
        <v>1</v>
      </c>
      <c r="AJ82" s="28">
        <v>1</v>
      </c>
    </row>
    <row r="83" spans="1:36" x14ac:dyDescent="0.25">
      <c r="A83" s="298" t="str">
        <f>IF('Kwaliteit conversie'!$D$4='Prijs karton'!C83,"X"," ")</f>
        <v xml:space="preserve"> </v>
      </c>
      <c r="B83" s="331" t="s">
        <v>36</v>
      </c>
      <c r="C83" s="359" t="s">
        <v>321</v>
      </c>
      <c r="D83" s="366">
        <v>0.61799999999999999</v>
      </c>
      <c r="E83" s="321">
        <v>6.62</v>
      </c>
      <c r="F83" s="925">
        <v>0</v>
      </c>
      <c r="G83" s="315">
        <v>64.7</v>
      </c>
      <c r="H83" s="315">
        <v>61.7</v>
      </c>
      <c r="I83" s="315">
        <v>61.7</v>
      </c>
      <c r="J83" s="315">
        <v>59.7</v>
      </c>
      <c r="K83" s="513">
        <v>59.7</v>
      </c>
      <c r="L83" s="926" t="s">
        <v>322</v>
      </c>
      <c r="M83" s="331" t="s">
        <v>260</v>
      </c>
      <c r="N83" s="366" t="s">
        <v>323</v>
      </c>
      <c r="O83" s="323" t="s">
        <v>324</v>
      </c>
      <c r="P83" s="386" t="s">
        <v>323</v>
      </c>
      <c r="Q83" s="323" t="s">
        <v>239</v>
      </c>
      <c r="R83" s="366" t="s">
        <v>239</v>
      </c>
      <c r="S83" s="378" t="s">
        <v>260</v>
      </c>
      <c r="T83" s="324" t="s">
        <v>240</v>
      </c>
      <c r="U83" s="386">
        <v>240</v>
      </c>
      <c r="V83" s="386">
        <v>2450</v>
      </c>
      <c r="W83" s="386">
        <v>500</v>
      </c>
      <c r="X83" s="386">
        <v>6000</v>
      </c>
      <c r="Y83" s="386">
        <v>60</v>
      </c>
      <c r="Z83" s="386">
        <v>60</v>
      </c>
      <c r="AA83" s="386">
        <v>200</v>
      </c>
      <c r="AB83" s="392">
        <v>7.54</v>
      </c>
      <c r="AC83" s="28"/>
      <c r="AD83" s="28">
        <v>1</v>
      </c>
      <c r="AE83" s="28">
        <v>1</v>
      </c>
      <c r="AF83" s="28">
        <v>1</v>
      </c>
      <c r="AG83" s="28">
        <v>1</v>
      </c>
      <c r="AH83" s="28">
        <v>1</v>
      </c>
      <c r="AI83" s="28">
        <v>1</v>
      </c>
      <c r="AJ83" s="28">
        <v>1</v>
      </c>
    </row>
    <row r="84" spans="1:36" x14ac:dyDescent="0.25">
      <c r="A84" s="298" t="str">
        <f>IF('Kwaliteit conversie'!$D$4='Prijs karton'!C84,"X"," ")</f>
        <v xml:space="preserve"> </v>
      </c>
      <c r="B84" s="331" t="s">
        <v>36</v>
      </c>
      <c r="C84" s="359" t="s">
        <v>325</v>
      </c>
      <c r="D84" s="366">
        <v>0.62</v>
      </c>
      <c r="E84" s="321">
        <v>5.6</v>
      </c>
      <c r="F84" s="925">
        <v>0</v>
      </c>
      <c r="G84" s="315">
        <v>53.9</v>
      </c>
      <c r="H84" s="315">
        <v>50.9</v>
      </c>
      <c r="I84" s="315">
        <v>50.4</v>
      </c>
      <c r="J84" s="315">
        <v>50.4</v>
      </c>
      <c r="K84" s="513">
        <v>49.9</v>
      </c>
      <c r="L84" s="926" t="s">
        <v>326</v>
      </c>
      <c r="M84" s="331" t="s">
        <v>257</v>
      </c>
      <c r="N84" s="366" t="s">
        <v>255</v>
      </c>
      <c r="O84" s="323" t="s">
        <v>244</v>
      </c>
      <c r="P84" s="386" t="s">
        <v>285</v>
      </c>
      <c r="Q84" s="323" t="s">
        <v>239</v>
      </c>
      <c r="R84" s="366" t="s">
        <v>239</v>
      </c>
      <c r="S84" s="378" t="s">
        <v>249</v>
      </c>
      <c r="T84" s="324" t="s">
        <v>245</v>
      </c>
      <c r="U84" s="386">
        <v>250</v>
      </c>
      <c r="V84" s="386">
        <v>2450</v>
      </c>
      <c r="W84" s="386">
        <v>500</v>
      </c>
      <c r="X84" s="386">
        <v>6200</v>
      </c>
      <c r="Y84" s="386">
        <v>180</v>
      </c>
      <c r="Z84" s="386">
        <v>90</v>
      </c>
      <c r="AA84" s="386">
        <v>200</v>
      </c>
      <c r="AB84" s="392">
        <v>7.2</v>
      </c>
      <c r="AC84" s="28">
        <v>0</v>
      </c>
      <c r="AD84" s="28">
        <v>1</v>
      </c>
      <c r="AE84" s="28">
        <v>1</v>
      </c>
      <c r="AF84" s="28">
        <v>1</v>
      </c>
      <c r="AG84" s="28">
        <v>1</v>
      </c>
      <c r="AH84" s="28">
        <v>1</v>
      </c>
      <c r="AI84" s="28">
        <v>1</v>
      </c>
      <c r="AJ84" s="28">
        <v>1</v>
      </c>
    </row>
    <row r="85" spans="1:36" x14ac:dyDescent="0.25">
      <c r="A85" s="298" t="str">
        <f>IF('Kwaliteit conversie'!$D$4='Prijs karton'!C85,"X"," ")</f>
        <v xml:space="preserve"> </v>
      </c>
      <c r="B85" s="331" t="s">
        <v>36</v>
      </c>
      <c r="C85" s="359" t="s">
        <v>327</v>
      </c>
      <c r="D85" s="366">
        <v>0.58499999999999996</v>
      </c>
      <c r="E85" s="321">
        <v>5.6</v>
      </c>
      <c r="F85" s="925">
        <v>0</v>
      </c>
      <c r="G85" s="315">
        <v>47.4</v>
      </c>
      <c r="H85" s="315">
        <v>44.4</v>
      </c>
      <c r="I85" s="315">
        <v>43.9</v>
      </c>
      <c r="J85" s="315">
        <v>43.9</v>
      </c>
      <c r="K85" s="513">
        <v>43.4</v>
      </c>
      <c r="L85" s="926" t="s">
        <v>328</v>
      </c>
      <c r="M85" s="331" t="s">
        <v>257</v>
      </c>
      <c r="N85" s="366" t="s">
        <v>255</v>
      </c>
      <c r="O85" s="323" t="s">
        <v>244</v>
      </c>
      <c r="P85" s="386" t="s">
        <v>244</v>
      </c>
      <c r="Q85" s="323" t="s">
        <v>239</v>
      </c>
      <c r="R85" s="366" t="s">
        <v>239</v>
      </c>
      <c r="S85" s="378" t="s">
        <v>249</v>
      </c>
      <c r="T85" s="324" t="s">
        <v>245</v>
      </c>
      <c r="U85" s="386">
        <v>250</v>
      </c>
      <c r="V85" s="386">
        <v>2450</v>
      </c>
      <c r="W85" s="386">
        <v>500</v>
      </c>
      <c r="X85" s="386">
        <v>6200</v>
      </c>
      <c r="Y85" s="386">
        <v>180</v>
      </c>
      <c r="Z85" s="386">
        <v>90</v>
      </c>
      <c r="AA85" s="386">
        <v>200</v>
      </c>
      <c r="AB85" s="392">
        <v>6.6</v>
      </c>
      <c r="AC85" s="28">
        <v>0</v>
      </c>
      <c r="AD85" s="28">
        <v>1</v>
      </c>
      <c r="AE85" s="28">
        <v>1</v>
      </c>
      <c r="AF85" s="28">
        <v>1</v>
      </c>
      <c r="AG85" s="28">
        <v>1</v>
      </c>
      <c r="AH85" s="28">
        <v>1</v>
      </c>
      <c r="AI85" s="28">
        <v>1</v>
      </c>
      <c r="AJ85" s="28">
        <v>1</v>
      </c>
    </row>
    <row r="86" spans="1:36" x14ac:dyDescent="0.25">
      <c r="A86" s="298" t="str">
        <f>IF('Kwaliteit conversie'!$D$4='Prijs karton'!C86,"X"," ")</f>
        <v xml:space="preserve"> </v>
      </c>
      <c r="B86" s="331" t="s">
        <v>36</v>
      </c>
      <c r="C86" s="359" t="s">
        <v>329</v>
      </c>
      <c r="D86" s="366">
        <v>0.56999999999999995</v>
      </c>
      <c r="E86" s="321">
        <v>5.6</v>
      </c>
      <c r="F86" s="925">
        <v>0</v>
      </c>
      <c r="G86" s="315">
        <v>52.6</v>
      </c>
      <c r="H86" s="315">
        <v>49.6</v>
      </c>
      <c r="I86" s="315">
        <v>49.1</v>
      </c>
      <c r="J86" s="315">
        <v>49.1</v>
      </c>
      <c r="K86" s="513">
        <v>48.6</v>
      </c>
      <c r="L86" s="926" t="s">
        <v>330</v>
      </c>
      <c r="M86" s="331" t="s">
        <v>331</v>
      </c>
      <c r="N86" s="366" t="s">
        <v>255</v>
      </c>
      <c r="O86" s="323" t="s">
        <v>244</v>
      </c>
      <c r="P86" s="386" t="s">
        <v>244</v>
      </c>
      <c r="Q86" s="323" t="s">
        <v>239</v>
      </c>
      <c r="R86" s="366" t="s">
        <v>239</v>
      </c>
      <c r="S86" s="378" t="s">
        <v>249</v>
      </c>
      <c r="T86" s="324" t="s">
        <v>245</v>
      </c>
      <c r="U86" s="386">
        <v>250</v>
      </c>
      <c r="V86" s="386">
        <v>2450</v>
      </c>
      <c r="W86" s="386">
        <v>500</v>
      </c>
      <c r="X86" s="386">
        <v>6200</v>
      </c>
      <c r="Y86" s="386">
        <v>180</v>
      </c>
      <c r="Z86" s="386">
        <v>90</v>
      </c>
      <c r="AA86" s="386">
        <v>200</v>
      </c>
      <c r="AB86" s="392">
        <v>6.8</v>
      </c>
      <c r="AC86" s="28">
        <v>0</v>
      </c>
      <c r="AD86" s="28">
        <v>1</v>
      </c>
      <c r="AE86" s="28">
        <v>1</v>
      </c>
      <c r="AF86" s="28">
        <v>1</v>
      </c>
      <c r="AG86" s="28">
        <v>1</v>
      </c>
      <c r="AH86" s="28">
        <v>1</v>
      </c>
      <c r="AI86" s="28">
        <v>1</v>
      </c>
      <c r="AJ86" s="28">
        <v>1</v>
      </c>
    </row>
    <row r="87" spans="1:36" x14ac:dyDescent="0.25">
      <c r="A87" s="298" t="str">
        <f>IF('Kwaliteit conversie'!$D$4='Prijs karton'!C87,"X"," ")</f>
        <v xml:space="preserve"> </v>
      </c>
      <c r="B87" s="331" t="s">
        <v>36</v>
      </c>
      <c r="C87" s="359" t="s">
        <v>332</v>
      </c>
      <c r="D87" s="366">
        <v>0.56000000000000005</v>
      </c>
      <c r="E87" s="321">
        <v>5.6</v>
      </c>
      <c r="F87" s="925">
        <v>0</v>
      </c>
      <c r="G87" s="315">
        <v>59.4</v>
      </c>
      <c r="H87" s="315">
        <v>56.4</v>
      </c>
      <c r="I87" s="315">
        <v>55.9</v>
      </c>
      <c r="J87" s="315">
        <v>55.9</v>
      </c>
      <c r="K87" s="513">
        <v>55.4</v>
      </c>
      <c r="L87" s="926" t="s">
        <v>333</v>
      </c>
      <c r="M87" s="331" t="s">
        <v>289</v>
      </c>
      <c r="N87" s="366" t="s">
        <v>255</v>
      </c>
      <c r="O87" s="323" t="s">
        <v>244</v>
      </c>
      <c r="P87" s="386" t="s">
        <v>244</v>
      </c>
      <c r="Q87" s="323" t="s">
        <v>239</v>
      </c>
      <c r="R87" s="366" t="s">
        <v>239</v>
      </c>
      <c r="S87" s="378" t="s">
        <v>243</v>
      </c>
      <c r="T87" s="324" t="s">
        <v>245</v>
      </c>
      <c r="U87" s="386">
        <v>250</v>
      </c>
      <c r="V87" s="386">
        <v>2450</v>
      </c>
      <c r="W87" s="386">
        <v>500</v>
      </c>
      <c r="X87" s="386">
        <v>6200</v>
      </c>
      <c r="Y87" s="386">
        <v>180</v>
      </c>
      <c r="Z87" s="386">
        <v>90</v>
      </c>
      <c r="AA87" s="386">
        <v>200</v>
      </c>
      <c r="AB87" s="392">
        <v>6.5</v>
      </c>
      <c r="AC87" s="28">
        <v>0</v>
      </c>
      <c r="AD87" s="28">
        <v>1</v>
      </c>
      <c r="AE87" s="28">
        <v>1</v>
      </c>
      <c r="AF87" s="28">
        <v>1</v>
      </c>
      <c r="AG87" s="28">
        <v>1</v>
      </c>
      <c r="AH87" s="28">
        <v>1</v>
      </c>
      <c r="AI87" s="28">
        <v>1</v>
      </c>
      <c r="AJ87" s="28">
        <v>1</v>
      </c>
    </row>
    <row r="88" spans="1:36" x14ac:dyDescent="0.25">
      <c r="A88" s="298" t="str">
        <f>IF('Kwaliteit conversie'!$D$4='Prijs karton'!C88,"X"," ")</f>
        <v xml:space="preserve"> </v>
      </c>
      <c r="B88" s="331" t="s">
        <v>36</v>
      </c>
      <c r="C88" s="359" t="s">
        <v>334</v>
      </c>
      <c r="D88" s="366">
        <v>0.60399999999999998</v>
      </c>
      <c r="E88" s="321">
        <v>6.58</v>
      </c>
      <c r="F88" s="925">
        <v>0</v>
      </c>
      <c r="G88" s="315" t="s">
        <v>315</v>
      </c>
      <c r="H88" s="315">
        <v>69.099999999999994</v>
      </c>
      <c r="I88" s="315">
        <v>69.099999999999994</v>
      </c>
      <c r="J88" s="315">
        <v>68.099999999999994</v>
      </c>
      <c r="K88" s="513">
        <v>67.599999999999994</v>
      </c>
      <c r="L88" s="926" t="s">
        <v>335</v>
      </c>
      <c r="M88" s="331" t="s">
        <v>289</v>
      </c>
      <c r="N88" s="366" t="s">
        <v>238</v>
      </c>
      <c r="O88" s="323" t="s">
        <v>255</v>
      </c>
      <c r="P88" s="386" t="s">
        <v>238</v>
      </c>
      <c r="Q88" s="323" t="s">
        <v>239</v>
      </c>
      <c r="R88" s="366" t="s">
        <v>239</v>
      </c>
      <c r="S88" s="378" t="s">
        <v>260</v>
      </c>
      <c r="T88" s="324" t="s">
        <v>240</v>
      </c>
      <c r="U88" s="386">
        <v>240</v>
      </c>
      <c r="V88" s="386">
        <v>2450</v>
      </c>
      <c r="W88" s="386">
        <v>500</v>
      </c>
      <c r="X88" s="386">
        <v>6000</v>
      </c>
      <c r="Y88" s="386">
        <v>60</v>
      </c>
      <c r="Z88" s="386">
        <v>60</v>
      </c>
      <c r="AA88" s="386">
        <v>500</v>
      </c>
      <c r="AB88" s="392">
        <v>7.51</v>
      </c>
      <c r="AC88" s="28"/>
      <c r="AD88" s="28">
        <v>1</v>
      </c>
      <c r="AE88" s="28">
        <v>1</v>
      </c>
      <c r="AF88" s="28">
        <v>1</v>
      </c>
      <c r="AG88" s="28">
        <v>1</v>
      </c>
      <c r="AH88" s="28">
        <v>1</v>
      </c>
      <c r="AI88" s="28">
        <v>1</v>
      </c>
      <c r="AJ88" s="28">
        <v>1</v>
      </c>
    </row>
    <row r="89" spans="1:36" x14ac:dyDescent="0.25">
      <c r="A89" s="298" t="str">
        <f>IF('Kwaliteit conversie'!$D$4='Prijs karton'!C89,"X"," ")</f>
        <v xml:space="preserve"> </v>
      </c>
      <c r="B89" s="331" t="s">
        <v>36</v>
      </c>
      <c r="C89" s="359" t="s">
        <v>336</v>
      </c>
      <c r="D89" s="366">
        <v>0.64500000000000002</v>
      </c>
      <c r="E89" s="321">
        <v>5.6</v>
      </c>
      <c r="F89" s="925">
        <v>0</v>
      </c>
      <c r="G89" s="315">
        <v>56.4</v>
      </c>
      <c r="H89" s="315">
        <v>53.4</v>
      </c>
      <c r="I89" s="315">
        <v>52.9</v>
      </c>
      <c r="J89" s="315">
        <v>52.9</v>
      </c>
      <c r="K89" s="513">
        <v>52.4</v>
      </c>
      <c r="L89" s="926" t="s">
        <v>337</v>
      </c>
      <c r="M89" s="331" t="s">
        <v>274</v>
      </c>
      <c r="N89" s="366" t="s">
        <v>255</v>
      </c>
      <c r="O89" s="323" t="s">
        <v>244</v>
      </c>
      <c r="P89" s="386" t="s">
        <v>285</v>
      </c>
      <c r="Q89" s="323" t="s">
        <v>239</v>
      </c>
      <c r="R89" s="366" t="s">
        <v>239</v>
      </c>
      <c r="S89" s="378" t="s">
        <v>257</v>
      </c>
      <c r="T89" s="324" t="s">
        <v>245</v>
      </c>
      <c r="U89" s="386">
        <v>250</v>
      </c>
      <c r="V89" s="386">
        <v>2450</v>
      </c>
      <c r="W89" s="386">
        <v>500</v>
      </c>
      <c r="X89" s="386">
        <v>6200</v>
      </c>
      <c r="Y89" s="386">
        <v>180</v>
      </c>
      <c r="Z89" s="386">
        <v>90</v>
      </c>
      <c r="AA89" s="386">
        <v>200</v>
      </c>
      <c r="AB89" s="392">
        <v>8.1</v>
      </c>
      <c r="AC89" s="28">
        <v>10</v>
      </c>
      <c r="AD89" s="28">
        <v>1</v>
      </c>
      <c r="AE89" s="28">
        <v>1</v>
      </c>
      <c r="AF89" s="28">
        <v>1</v>
      </c>
      <c r="AG89" s="28">
        <v>1</v>
      </c>
      <c r="AH89" s="28">
        <v>1</v>
      </c>
      <c r="AI89" s="28">
        <v>1</v>
      </c>
      <c r="AJ89" s="28">
        <v>1</v>
      </c>
    </row>
    <row r="90" spans="1:36" x14ac:dyDescent="0.25">
      <c r="A90" s="298" t="str">
        <f>IF('Kwaliteit conversie'!$D$4='Prijs karton'!C90,"X"," ")</f>
        <v xml:space="preserve"> </v>
      </c>
      <c r="B90" s="331" t="s">
        <v>36</v>
      </c>
      <c r="C90" s="359" t="s">
        <v>338</v>
      </c>
      <c r="D90" s="366">
        <v>0.58899999999999997</v>
      </c>
      <c r="E90" s="321">
        <v>6.59</v>
      </c>
      <c r="F90" s="925">
        <v>0</v>
      </c>
      <c r="G90" s="315">
        <v>67.2</v>
      </c>
      <c r="H90" s="315">
        <v>64.2</v>
      </c>
      <c r="I90" s="315">
        <v>64.2</v>
      </c>
      <c r="J90" s="315">
        <v>63.7</v>
      </c>
      <c r="K90" s="513">
        <v>63.2</v>
      </c>
      <c r="L90" s="926" t="s">
        <v>339</v>
      </c>
      <c r="M90" s="331" t="s">
        <v>340</v>
      </c>
      <c r="N90" s="366" t="s">
        <v>238</v>
      </c>
      <c r="O90" s="323" t="s">
        <v>255</v>
      </c>
      <c r="P90" s="386" t="s">
        <v>238</v>
      </c>
      <c r="Q90" s="323" t="s">
        <v>239</v>
      </c>
      <c r="R90" s="366" t="s">
        <v>239</v>
      </c>
      <c r="S90" s="378" t="s">
        <v>260</v>
      </c>
      <c r="T90" s="324" t="s">
        <v>240</v>
      </c>
      <c r="U90" s="386">
        <v>240</v>
      </c>
      <c r="V90" s="386">
        <v>2450</v>
      </c>
      <c r="W90" s="386">
        <v>500</v>
      </c>
      <c r="X90" s="386">
        <v>6000</v>
      </c>
      <c r="Y90" s="386">
        <v>60</v>
      </c>
      <c r="Z90" s="386">
        <v>60</v>
      </c>
      <c r="AA90" s="386">
        <v>200</v>
      </c>
      <c r="AB90" s="392">
        <v>7.35</v>
      </c>
      <c r="AC90" s="28">
        <v>0</v>
      </c>
      <c r="AD90" s="28">
        <v>1</v>
      </c>
      <c r="AE90" s="28">
        <v>1</v>
      </c>
      <c r="AF90" s="28">
        <v>1</v>
      </c>
      <c r="AG90" s="28">
        <v>1</v>
      </c>
      <c r="AH90" s="28">
        <v>1</v>
      </c>
      <c r="AI90" s="28">
        <v>1</v>
      </c>
      <c r="AJ90" s="28">
        <v>1</v>
      </c>
    </row>
    <row r="91" spans="1:36" x14ac:dyDescent="0.25">
      <c r="A91" s="298" t="str">
        <f>IF('Kwaliteit conversie'!$D$4='Prijs karton'!C91,"X"," ")</f>
        <v xml:space="preserve"> </v>
      </c>
      <c r="B91" s="331" t="s">
        <v>36</v>
      </c>
      <c r="C91" s="359"/>
      <c r="D91" s="366"/>
      <c r="E91" s="321"/>
      <c r="F91" s="925"/>
      <c r="G91" s="315"/>
      <c r="H91" s="315"/>
      <c r="I91" s="315"/>
      <c r="J91" s="315"/>
      <c r="K91" s="513"/>
      <c r="L91" s="926"/>
      <c r="M91" s="331"/>
      <c r="N91" s="366"/>
      <c r="O91" s="323"/>
      <c r="P91" s="386"/>
      <c r="Q91" s="323"/>
      <c r="R91" s="366"/>
      <c r="S91" s="378"/>
      <c r="T91" s="324"/>
      <c r="U91" s="386"/>
      <c r="V91" s="386"/>
      <c r="W91" s="386"/>
      <c r="X91" s="386"/>
      <c r="Y91" s="386"/>
      <c r="Z91" s="386"/>
      <c r="AA91" s="386"/>
      <c r="AB91" s="392"/>
      <c r="AC91" s="28">
        <v>0</v>
      </c>
      <c r="AD91" s="28"/>
      <c r="AE91" s="28"/>
      <c r="AF91" s="28"/>
      <c r="AG91" s="28"/>
      <c r="AH91" s="28"/>
      <c r="AI91" s="28"/>
      <c r="AJ91" s="28"/>
    </row>
    <row r="92" spans="1:36" x14ac:dyDescent="0.25">
      <c r="A92" s="298" t="str">
        <f>IF('Kwaliteit conversie'!$D$4='Prijs karton'!C92,"X"," ")</f>
        <v xml:space="preserve"> </v>
      </c>
      <c r="B92" s="331" t="s">
        <v>36</v>
      </c>
      <c r="C92" s="359" t="s">
        <v>341</v>
      </c>
      <c r="D92" s="366">
        <v>0.61399999999999999</v>
      </c>
      <c r="E92" s="321">
        <v>6.62</v>
      </c>
      <c r="F92" s="925">
        <v>0</v>
      </c>
      <c r="G92" s="315">
        <v>72.2</v>
      </c>
      <c r="H92" s="315">
        <v>69.2</v>
      </c>
      <c r="I92" s="315">
        <v>69.2</v>
      </c>
      <c r="J92" s="315">
        <v>67.2</v>
      </c>
      <c r="K92" s="513">
        <v>67.2</v>
      </c>
      <c r="L92" s="926" t="s">
        <v>342</v>
      </c>
      <c r="M92" s="331" t="s">
        <v>277</v>
      </c>
      <c r="N92" s="366" t="s">
        <v>238</v>
      </c>
      <c r="O92" s="323" t="s">
        <v>255</v>
      </c>
      <c r="P92" s="386" t="s">
        <v>238</v>
      </c>
      <c r="Q92" s="323" t="s">
        <v>239</v>
      </c>
      <c r="R92" s="366" t="s">
        <v>239</v>
      </c>
      <c r="S92" s="378" t="s">
        <v>260</v>
      </c>
      <c r="T92" s="324" t="s">
        <v>240</v>
      </c>
      <c r="U92" s="386">
        <v>240</v>
      </c>
      <c r="V92" s="386">
        <v>2450</v>
      </c>
      <c r="W92" s="386">
        <v>500</v>
      </c>
      <c r="X92" s="386">
        <v>6000</v>
      </c>
      <c r="Y92" s="386">
        <v>60</v>
      </c>
      <c r="Z92" s="386">
        <v>60</v>
      </c>
      <c r="AA92" s="386">
        <v>200</v>
      </c>
      <c r="AB92" s="392">
        <v>7.7</v>
      </c>
      <c r="AC92" s="28">
        <v>0</v>
      </c>
      <c r="AD92" s="28">
        <v>1</v>
      </c>
      <c r="AE92" s="28">
        <v>1</v>
      </c>
      <c r="AF92" s="28">
        <v>1</v>
      </c>
      <c r="AG92" s="28">
        <v>1</v>
      </c>
      <c r="AH92" s="28">
        <v>1</v>
      </c>
      <c r="AI92" s="28">
        <v>1</v>
      </c>
      <c r="AJ92" s="28">
        <v>1</v>
      </c>
    </row>
    <row r="93" spans="1:36" x14ac:dyDescent="0.25">
      <c r="A93" s="298" t="str">
        <f>IF('Kwaliteit conversie'!$D$4='Prijs karton'!C93,"X"," ")</f>
        <v xml:space="preserve"> </v>
      </c>
      <c r="B93" s="331" t="s">
        <v>36</v>
      </c>
      <c r="C93" s="359" t="s">
        <v>343</v>
      </c>
      <c r="D93" s="366">
        <v>0.66500000000000004</v>
      </c>
      <c r="E93" s="321">
        <v>5.7</v>
      </c>
      <c r="F93" s="925">
        <v>0</v>
      </c>
      <c r="G93" s="315">
        <v>63.4</v>
      </c>
      <c r="H93" s="315">
        <v>60.4</v>
      </c>
      <c r="I93" s="315">
        <v>59.9</v>
      </c>
      <c r="J93" s="315">
        <v>59.9</v>
      </c>
      <c r="K93" s="513">
        <v>59.4</v>
      </c>
      <c r="L93" s="926" t="s">
        <v>344</v>
      </c>
      <c r="M93" s="331" t="s">
        <v>277</v>
      </c>
      <c r="N93" s="366" t="s">
        <v>255</v>
      </c>
      <c r="O93" s="323" t="s">
        <v>244</v>
      </c>
      <c r="P93" s="386" t="s">
        <v>265</v>
      </c>
      <c r="Q93" s="323" t="s">
        <v>239</v>
      </c>
      <c r="R93" s="366" t="s">
        <v>239</v>
      </c>
      <c r="S93" s="378" t="s">
        <v>257</v>
      </c>
      <c r="T93" s="324" t="s">
        <v>245</v>
      </c>
      <c r="U93" s="386">
        <v>250</v>
      </c>
      <c r="V93" s="386">
        <v>2450</v>
      </c>
      <c r="W93" s="386">
        <v>500</v>
      </c>
      <c r="X93" s="386">
        <v>6200</v>
      </c>
      <c r="Y93" s="386">
        <v>180</v>
      </c>
      <c r="Z93" s="386">
        <v>90</v>
      </c>
      <c r="AA93" s="386">
        <v>200</v>
      </c>
      <c r="AB93" s="392">
        <v>8.1</v>
      </c>
      <c r="AC93" s="28">
        <v>0</v>
      </c>
      <c r="AD93" s="28">
        <v>1</v>
      </c>
      <c r="AE93" s="28">
        <v>1</v>
      </c>
      <c r="AF93" s="28">
        <v>1</v>
      </c>
      <c r="AG93" s="28">
        <v>1</v>
      </c>
      <c r="AH93" s="28">
        <v>1</v>
      </c>
      <c r="AI93" s="28">
        <v>1</v>
      </c>
      <c r="AJ93" s="28">
        <v>1</v>
      </c>
    </row>
    <row r="94" spans="1:36" x14ac:dyDescent="0.25">
      <c r="A94" s="298" t="str">
        <f>IF('Kwaliteit conversie'!$D$4='Prijs karton'!C94,"X"," ")</f>
        <v xml:space="preserve"> </v>
      </c>
      <c r="B94" s="331" t="s">
        <v>36</v>
      </c>
      <c r="C94" s="359" t="s">
        <v>345</v>
      </c>
      <c r="D94" s="366">
        <v>0.69899999999999995</v>
      </c>
      <c r="E94" s="321">
        <v>6.75</v>
      </c>
      <c r="F94" s="925">
        <v>0</v>
      </c>
      <c r="G94" s="315">
        <v>77.900000000000006</v>
      </c>
      <c r="H94" s="315">
        <v>74.900000000000006</v>
      </c>
      <c r="I94" s="315">
        <v>74.900000000000006</v>
      </c>
      <c r="J94" s="315">
        <v>72.900000000000006</v>
      </c>
      <c r="K94" s="513">
        <v>72.900000000000006</v>
      </c>
      <c r="L94" s="926" t="s">
        <v>346</v>
      </c>
      <c r="M94" s="331" t="s">
        <v>300</v>
      </c>
      <c r="N94" s="366" t="s">
        <v>238</v>
      </c>
      <c r="O94" s="323" t="s">
        <v>255</v>
      </c>
      <c r="P94" s="386" t="s">
        <v>238</v>
      </c>
      <c r="Q94" s="323" t="s">
        <v>239</v>
      </c>
      <c r="R94" s="366" t="s">
        <v>239</v>
      </c>
      <c r="S94" s="378" t="s">
        <v>301</v>
      </c>
      <c r="T94" s="324" t="s">
        <v>240</v>
      </c>
      <c r="U94" s="386">
        <v>240</v>
      </c>
      <c r="V94" s="386">
        <v>2450</v>
      </c>
      <c r="W94" s="386">
        <v>500</v>
      </c>
      <c r="X94" s="386">
        <v>6000</v>
      </c>
      <c r="Y94" s="386">
        <v>60</v>
      </c>
      <c r="Z94" s="386">
        <v>60</v>
      </c>
      <c r="AA94" s="386">
        <v>200</v>
      </c>
      <c r="AB94" s="392">
        <v>8.49</v>
      </c>
      <c r="AC94" s="28"/>
      <c r="AD94" s="28">
        <v>1</v>
      </c>
      <c r="AE94" s="28">
        <v>1</v>
      </c>
      <c r="AF94" s="28">
        <v>1</v>
      </c>
      <c r="AG94" s="28">
        <v>1</v>
      </c>
      <c r="AH94" s="28">
        <v>1</v>
      </c>
      <c r="AI94" s="28">
        <v>1</v>
      </c>
      <c r="AJ94" s="28">
        <v>1</v>
      </c>
    </row>
    <row r="95" spans="1:36" x14ac:dyDescent="0.25">
      <c r="A95" s="298" t="str">
        <f>IF('Kwaliteit conversie'!$D$4='Prijs karton'!C95,"X"," ")</f>
        <v xml:space="preserve"> </v>
      </c>
      <c r="B95" s="331" t="s">
        <v>36</v>
      </c>
      <c r="C95" s="359" t="s">
        <v>347</v>
      </c>
      <c r="D95" s="366">
        <v>0.68500000000000005</v>
      </c>
      <c r="E95" s="321">
        <v>5.7</v>
      </c>
      <c r="F95" s="925">
        <v>0</v>
      </c>
      <c r="G95" s="315">
        <v>66.7</v>
      </c>
      <c r="H95" s="315">
        <v>63.7</v>
      </c>
      <c r="I95" s="315">
        <v>63.2</v>
      </c>
      <c r="J95" s="315">
        <v>63.2</v>
      </c>
      <c r="K95" s="513">
        <v>62.7</v>
      </c>
      <c r="L95" s="926" t="s">
        <v>348</v>
      </c>
      <c r="M95" s="331" t="s">
        <v>297</v>
      </c>
      <c r="N95" s="366" t="s">
        <v>255</v>
      </c>
      <c r="O95" s="323" t="s">
        <v>244</v>
      </c>
      <c r="P95" s="386" t="s">
        <v>285</v>
      </c>
      <c r="Q95" s="323" t="s">
        <v>239</v>
      </c>
      <c r="R95" s="366" t="s">
        <v>239</v>
      </c>
      <c r="S95" s="378" t="s">
        <v>274</v>
      </c>
      <c r="T95" s="324" t="s">
        <v>245</v>
      </c>
      <c r="U95" s="386">
        <v>250</v>
      </c>
      <c r="V95" s="386">
        <v>2450</v>
      </c>
      <c r="W95" s="386">
        <v>500</v>
      </c>
      <c r="X95" s="386">
        <v>6200</v>
      </c>
      <c r="Y95" s="386">
        <v>180</v>
      </c>
      <c r="Z95" s="386">
        <v>90</v>
      </c>
      <c r="AA95" s="386">
        <v>200</v>
      </c>
      <c r="AB95" s="392">
        <v>9</v>
      </c>
      <c r="AC95" s="28">
        <v>0</v>
      </c>
      <c r="AD95" s="28">
        <v>1</v>
      </c>
      <c r="AE95" s="28">
        <v>1</v>
      </c>
      <c r="AF95" s="28">
        <v>1</v>
      </c>
      <c r="AG95" s="28">
        <v>1</v>
      </c>
      <c r="AH95" s="28">
        <v>1</v>
      </c>
      <c r="AI95" s="28">
        <v>1</v>
      </c>
      <c r="AJ95" s="28">
        <v>1</v>
      </c>
    </row>
    <row r="96" spans="1:36" x14ac:dyDescent="0.25">
      <c r="A96" s="298" t="str">
        <f>IF('Kwaliteit conversie'!$D$4='Prijs karton'!C96,"X"," ")</f>
        <v xml:space="preserve"> </v>
      </c>
      <c r="B96" s="331" t="s">
        <v>36</v>
      </c>
      <c r="C96" s="359"/>
      <c r="D96" s="366"/>
      <c r="E96" s="321"/>
      <c r="F96" s="925"/>
      <c r="G96" s="315"/>
      <c r="H96" s="315"/>
      <c r="I96" s="315"/>
      <c r="J96" s="315"/>
      <c r="K96" s="513"/>
      <c r="L96" s="926"/>
      <c r="M96" s="331"/>
      <c r="N96" s="366"/>
      <c r="O96" s="323"/>
      <c r="P96" s="386"/>
      <c r="Q96" s="323"/>
      <c r="R96" s="366"/>
      <c r="S96" s="378"/>
      <c r="T96" s="324"/>
      <c r="U96" s="386"/>
      <c r="V96" s="386"/>
      <c r="W96" s="386"/>
      <c r="X96" s="386"/>
      <c r="Y96" s="386"/>
      <c r="Z96" s="386"/>
      <c r="AA96" s="386"/>
      <c r="AB96" s="392"/>
      <c r="AC96" s="28"/>
      <c r="AD96" s="28"/>
      <c r="AE96" s="28"/>
      <c r="AF96" s="28"/>
      <c r="AG96" s="28"/>
      <c r="AH96" s="28"/>
      <c r="AI96" s="28"/>
      <c r="AJ96" s="28"/>
    </row>
    <row r="97" spans="1:36" x14ac:dyDescent="0.25">
      <c r="A97" s="298" t="str">
        <f>IF('Kwaliteit conversie'!$D$4='Prijs karton'!C97,"X"," ")</f>
        <v xml:space="preserve"> </v>
      </c>
      <c r="B97" s="331" t="s">
        <v>36</v>
      </c>
      <c r="C97" s="359" t="s">
        <v>349</v>
      </c>
      <c r="D97" s="366">
        <v>0.71</v>
      </c>
      <c r="E97" s="321">
        <v>5.7</v>
      </c>
      <c r="F97" s="925">
        <v>0</v>
      </c>
      <c r="G97" s="315">
        <v>73</v>
      </c>
      <c r="H97" s="315">
        <v>70</v>
      </c>
      <c r="I97" s="315">
        <v>69.5</v>
      </c>
      <c r="J97" s="315">
        <v>69.5</v>
      </c>
      <c r="K97" s="513">
        <v>69</v>
      </c>
      <c r="L97" s="926" t="s">
        <v>350</v>
      </c>
      <c r="M97" s="331" t="s">
        <v>294</v>
      </c>
      <c r="N97" s="366" t="s">
        <v>255</v>
      </c>
      <c r="O97" s="323" t="s">
        <v>244</v>
      </c>
      <c r="P97" s="386" t="s">
        <v>265</v>
      </c>
      <c r="Q97" s="323" t="s">
        <v>239</v>
      </c>
      <c r="R97" s="366" t="s">
        <v>239</v>
      </c>
      <c r="S97" s="378" t="s">
        <v>274</v>
      </c>
      <c r="T97" s="324" t="s">
        <v>245</v>
      </c>
      <c r="U97" s="386">
        <v>250</v>
      </c>
      <c r="V97" s="386">
        <v>2450</v>
      </c>
      <c r="W97" s="386">
        <v>500</v>
      </c>
      <c r="X97" s="386">
        <v>6200</v>
      </c>
      <c r="Y97" s="386">
        <v>180</v>
      </c>
      <c r="Z97" s="386">
        <v>90</v>
      </c>
      <c r="AA97" s="386">
        <v>200</v>
      </c>
      <c r="AB97" s="392">
        <v>9.1</v>
      </c>
      <c r="AC97" s="28">
        <v>0</v>
      </c>
      <c r="AD97" s="28">
        <v>1</v>
      </c>
      <c r="AE97" s="28">
        <v>1</v>
      </c>
      <c r="AF97" s="28">
        <v>1</v>
      </c>
      <c r="AG97" s="28">
        <v>1</v>
      </c>
      <c r="AH97" s="28">
        <v>1</v>
      </c>
      <c r="AI97" s="28">
        <v>1</v>
      </c>
      <c r="AJ97" s="28">
        <v>1</v>
      </c>
    </row>
    <row r="98" spans="1:36" x14ac:dyDescent="0.25">
      <c r="A98" s="298" t="str">
        <f>IF('Kwaliteit conversie'!$D$4='Prijs karton'!C98,"X"," ")</f>
        <v xml:space="preserve"> </v>
      </c>
      <c r="B98" s="331" t="s">
        <v>36</v>
      </c>
      <c r="C98" s="359" t="s">
        <v>602</v>
      </c>
      <c r="D98" s="366">
        <v>0.745</v>
      </c>
      <c r="E98" s="321">
        <v>5.7</v>
      </c>
      <c r="F98" s="925">
        <v>0</v>
      </c>
      <c r="G98" s="315">
        <v>75.599999999999994</v>
      </c>
      <c r="H98" s="315">
        <v>72.599999999999994</v>
      </c>
      <c r="I98" s="315">
        <v>72.099999999999994</v>
      </c>
      <c r="J98" s="315">
        <v>72.099999999999994</v>
      </c>
      <c r="K98" s="513">
        <v>71.599999999999994</v>
      </c>
      <c r="L98" s="926" t="s">
        <v>976</v>
      </c>
      <c r="M98" s="331" t="s">
        <v>297</v>
      </c>
      <c r="N98" s="366" t="s">
        <v>255</v>
      </c>
      <c r="O98" s="323" t="s">
        <v>244</v>
      </c>
      <c r="P98" s="386" t="s">
        <v>265</v>
      </c>
      <c r="Q98" s="323" t="s">
        <v>239</v>
      </c>
      <c r="R98" s="366" t="s">
        <v>239</v>
      </c>
      <c r="S98" s="378" t="s">
        <v>297</v>
      </c>
      <c r="T98" s="324" t="s">
        <v>245</v>
      </c>
      <c r="U98" s="386">
        <v>250</v>
      </c>
      <c r="V98" s="386">
        <v>2450</v>
      </c>
      <c r="W98" s="386">
        <v>500</v>
      </c>
      <c r="X98" s="386">
        <v>6200</v>
      </c>
      <c r="Y98" s="386">
        <v>180</v>
      </c>
      <c r="Z98" s="386">
        <v>90</v>
      </c>
      <c r="AA98" s="386">
        <v>200</v>
      </c>
      <c r="AB98" s="392">
        <v>9.6</v>
      </c>
      <c r="AC98" s="28">
        <v>0</v>
      </c>
      <c r="AD98" s="28">
        <v>1</v>
      </c>
      <c r="AE98" s="28">
        <v>1</v>
      </c>
      <c r="AF98" s="28">
        <v>1</v>
      </c>
      <c r="AG98" s="28">
        <v>1</v>
      </c>
      <c r="AH98" s="28">
        <v>1</v>
      </c>
      <c r="AI98" s="28">
        <v>1</v>
      </c>
      <c r="AJ98" s="28">
        <v>1</v>
      </c>
    </row>
    <row r="99" spans="1:36" x14ac:dyDescent="0.25">
      <c r="A99" s="298" t="str">
        <f>IF('Kwaliteit conversie'!$D$4='Prijs karton'!C99,"X"," ")</f>
        <v xml:space="preserve"> </v>
      </c>
      <c r="B99" s="331" t="s">
        <v>36</v>
      </c>
      <c r="C99" s="359" t="s">
        <v>351</v>
      </c>
      <c r="D99" s="366">
        <v>0.745</v>
      </c>
      <c r="E99" s="321">
        <v>5.8</v>
      </c>
      <c r="F99" s="925">
        <v>0</v>
      </c>
      <c r="G99" s="315">
        <v>75.900000000000006</v>
      </c>
      <c r="H99" s="315">
        <v>72.900000000000006</v>
      </c>
      <c r="I99" s="315">
        <v>72.400000000000006</v>
      </c>
      <c r="J99" s="315">
        <v>72.400000000000006</v>
      </c>
      <c r="K99" s="513">
        <v>71.900000000000006</v>
      </c>
      <c r="L99" s="926" t="s">
        <v>352</v>
      </c>
      <c r="M99" s="331" t="s">
        <v>294</v>
      </c>
      <c r="N99" s="366" t="s">
        <v>255</v>
      </c>
      <c r="O99" s="323" t="s">
        <v>244</v>
      </c>
      <c r="P99" s="386" t="s">
        <v>265</v>
      </c>
      <c r="Q99" s="323" t="s">
        <v>239</v>
      </c>
      <c r="R99" s="366" t="s">
        <v>239</v>
      </c>
      <c r="S99" s="378" t="s">
        <v>294</v>
      </c>
      <c r="T99" s="324" t="s">
        <v>245</v>
      </c>
      <c r="U99" s="386">
        <v>250</v>
      </c>
      <c r="V99" s="386">
        <v>2450</v>
      </c>
      <c r="W99" s="386">
        <v>500</v>
      </c>
      <c r="X99" s="386">
        <v>6200</v>
      </c>
      <c r="Y99" s="386">
        <v>180</v>
      </c>
      <c r="Z99" s="386">
        <v>90</v>
      </c>
      <c r="AA99" s="386">
        <v>200</v>
      </c>
      <c r="AB99" s="392">
        <v>9.3000000000000007</v>
      </c>
      <c r="AC99" s="28">
        <v>10</v>
      </c>
      <c r="AD99" s="28">
        <v>1</v>
      </c>
      <c r="AE99" s="28">
        <v>1</v>
      </c>
      <c r="AF99" s="28">
        <v>1</v>
      </c>
      <c r="AG99" s="28">
        <v>1</v>
      </c>
      <c r="AH99" s="28">
        <v>1</v>
      </c>
      <c r="AI99" s="28">
        <v>1</v>
      </c>
      <c r="AJ99" s="28">
        <v>1</v>
      </c>
    </row>
    <row r="100" spans="1:36" x14ac:dyDescent="0.25">
      <c r="A100" s="298" t="str">
        <f>IF('Kwaliteit conversie'!$D$4='Prijs karton'!C100,"X"," ")</f>
        <v xml:space="preserve"> </v>
      </c>
      <c r="B100" s="331" t="s">
        <v>36</v>
      </c>
      <c r="C100" s="359" t="s">
        <v>353</v>
      </c>
      <c r="D100" s="366">
        <v>0.78400000000000003</v>
      </c>
      <c r="E100" s="321">
        <v>6.86</v>
      </c>
      <c r="F100" s="925">
        <v>0</v>
      </c>
      <c r="G100" s="315">
        <v>91.9</v>
      </c>
      <c r="H100" s="315">
        <v>88.9</v>
      </c>
      <c r="I100" s="315">
        <v>88.9</v>
      </c>
      <c r="J100" s="315">
        <v>86.9</v>
      </c>
      <c r="K100" s="513">
        <v>86.9</v>
      </c>
      <c r="L100" s="926" t="s">
        <v>354</v>
      </c>
      <c r="M100" s="331" t="s">
        <v>300</v>
      </c>
      <c r="N100" s="366" t="s">
        <v>238</v>
      </c>
      <c r="O100" s="323" t="s">
        <v>301</v>
      </c>
      <c r="P100" s="386" t="s">
        <v>238</v>
      </c>
      <c r="Q100" s="323" t="s">
        <v>239</v>
      </c>
      <c r="R100" s="366" t="s">
        <v>239</v>
      </c>
      <c r="S100" s="378" t="s">
        <v>300</v>
      </c>
      <c r="T100" s="324" t="s">
        <v>240</v>
      </c>
      <c r="U100" s="386">
        <v>240</v>
      </c>
      <c r="V100" s="386">
        <v>2450</v>
      </c>
      <c r="W100" s="386">
        <v>500</v>
      </c>
      <c r="X100" s="386">
        <v>6000</v>
      </c>
      <c r="Y100" s="386">
        <v>60</v>
      </c>
      <c r="Z100" s="386">
        <v>60</v>
      </c>
      <c r="AA100" s="386">
        <v>200</v>
      </c>
      <c r="AB100" s="392">
        <v>9.7100000000000009</v>
      </c>
      <c r="AC100" s="28">
        <v>0</v>
      </c>
      <c r="AD100" s="28">
        <v>1</v>
      </c>
      <c r="AE100" s="28">
        <v>1</v>
      </c>
      <c r="AF100" s="28">
        <v>1</v>
      </c>
      <c r="AG100" s="28">
        <v>1</v>
      </c>
      <c r="AH100" s="28">
        <v>1</v>
      </c>
      <c r="AI100" s="28">
        <v>1</v>
      </c>
      <c r="AJ100" s="28">
        <v>1</v>
      </c>
    </row>
    <row r="101" spans="1:36" x14ac:dyDescent="0.25">
      <c r="A101" s="298" t="str">
        <f>IF('Kwaliteit conversie'!$D$4='Prijs karton'!C101,"X"," ")</f>
        <v xml:space="preserve"> </v>
      </c>
      <c r="B101" s="331" t="s">
        <v>36</v>
      </c>
      <c r="C101" s="359"/>
      <c r="D101" s="366"/>
      <c r="E101" s="321"/>
      <c r="F101" s="925"/>
      <c r="G101" s="315"/>
      <c r="H101" s="315"/>
      <c r="I101" s="315"/>
      <c r="J101" s="315"/>
      <c r="K101" s="513"/>
      <c r="L101" s="926"/>
      <c r="M101" s="331"/>
      <c r="N101" s="366"/>
      <c r="O101" s="323"/>
      <c r="P101" s="386"/>
      <c r="Q101" s="323"/>
      <c r="R101" s="366"/>
      <c r="S101" s="378"/>
      <c r="T101" s="324"/>
      <c r="U101" s="386"/>
      <c r="V101" s="386"/>
      <c r="W101" s="386"/>
      <c r="X101" s="386"/>
      <c r="Y101" s="386"/>
      <c r="Z101" s="386"/>
      <c r="AA101" s="386"/>
      <c r="AB101" s="392"/>
      <c r="AC101" s="28"/>
      <c r="AD101" s="28"/>
      <c r="AE101" s="28"/>
      <c r="AF101" s="28"/>
      <c r="AG101" s="28"/>
      <c r="AH101" s="28"/>
      <c r="AI101" s="28"/>
      <c r="AJ101" s="28"/>
    </row>
    <row r="102" spans="1:36" x14ac:dyDescent="0.25">
      <c r="A102" s="298" t="str">
        <f>IF('Kwaliteit conversie'!$D$4='Prijs karton'!C102,"X"," ")</f>
        <v xml:space="preserve"> </v>
      </c>
      <c r="B102" s="331" t="s">
        <v>36</v>
      </c>
      <c r="C102" s="359" t="s">
        <v>355</v>
      </c>
      <c r="D102" s="366">
        <v>0.85</v>
      </c>
      <c r="E102" s="321">
        <v>5.9</v>
      </c>
      <c r="F102" s="925">
        <v>0</v>
      </c>
      <c r="G102" s="315">
        <v>78.3</v>
      </c>
      <c r="H102" s="315">
        <v>75.3</v>
      </c>
      <c r="I102" s="315">
        <v>74.8</v>
      </c>
      <c r="J102" s="315">
        <v>74.8</v>
      </c>
      <c r="K102" s="513">
        <v>74.3</v>
      </c>
      <c r="L102" s="926" t="s">
        <v>356</v>
      </c>
      <c r="M102" s="331" t="s">
        <v>294</v>
      </c>
      <c r="N102" s="366" t="s">
        <v>265</v>
      </c>
      <c r="O102" s="323" t="s">
        <v>249</v>
      </c>
      <c r="P102" s="386" t="s">
        <v>357</v>
      </c>
      <c r="Q102" s="323" t="s">
        <v>239</v>
      </c>
      <c r="R102" s="366" t="s">
        <v>239</v>
      </c>
      <c r="S102" s="378" t="s">
        <v>294</v>
      </c>
      <c r="T102" s="324" t="s">
        <v>245</v>
      </c>
      <c r="U102" s="386">
        <v>250</v>
      </c>
      <c r="V102" s="386">
        <v>2450</v>
      </c>
      <c r="W102" s="386">
        <v>500</v>
      </c>
      <c r="X102" s="386">
        <v>6200</v>
      </c>
      <c r="Y102" s="386">
        <v>180</v>
      </c>
      <c r="Z102" s="386">
        <v>90</v>
      </c>
      <c r="AA102" s="386">
        <v>200</v>
      </c>
      <c r="AB102" s="392">
        <v>10.9</v>
      </c>
      <c r="AC102" s="28">
        <v>10</v>
      </c>
      <c r="AD102" s="28">
        <v>1</v>
      </c>
      <c r="AE102" s="28">
        <v>1</v>
      </c>
      <c r="AF102" s="28">
        <v>1</v>
      </c>
      <c r="AG102" s="28">
        <v>1</v>
      </c>
      <c r="AH102" s="28">
        <v>1</v>
      </c>
      <c r="AI102" s="28">
        <v>1</v>
      </c>
      <c r="AJ102" s="28">
        <v>1</v>
      </c>
    </row>
    <row r="103" spans="1:36" x14ac:dyDescent="0.25">
      <c r="A103" s="298" t="str">
        <f>IF('Kwaliteit conversie'!$D$4='Prijs karton'!C103,"X"," ")</f>
        <v xml:space="preserve"> </v>
      </c>
      <c r="B103" s="331" t="s">
        <v>36</v>
      </c>
      <c r="C103" s="359" t="s">
        <v>358</v>
      </c>
      <c r="D103" s="366">
        <v>1.06</v>
      </c>
      <c r="E103" s="321">
        <v>6.7</v>
      </c>
      <c r="F103" s="925">
        <v>0</v>
      </c>
      <c r="G103" s="315">
        <v>114.6</v>
      </c>
      <c r="H103" s="315">
        <v>111.6</v>
      </c>
      <c r="I103" s="315">
        <v>111.1</v>
      </c>
      <c r="J103" s="315">
        <v>111.1</v>
      </c>
      <c r="K103" s="513">
        <v>110.6</v>
      </c>
      <c r="L103" s="926" t="s">
        <v>359</v>
      </c>
      <c r="M103" s="331" t="s">
        <v>360</v>
      </c>
      <c r="N103" s="366" t="s">
        <v>265</v>
      </c>
      <c r="O103" s="323" t="s">
        <v>285</v>
      </c>
      <c r="P103" s="386" t="s">
        <v>357</v>
      </c>
      <c r="Q103" s="323" t="s">
        <v>239</v>
      </c>
      <c r="R103" s="366" t="s">
        <v>239</v>
      </c>
      <c r="S103" s="378" t="s">
        <v>360</v>
      </c>
      <c r="T103" s="324" t="s">
        <v>245</v>
      </c>
      <c r="U103" s="386">
        <v>250</v>
      </c>
      <c r="V103" s="386">
        <v>2450</v>
      </c>
      <c r="W103" s="386">
        <v>500</v>
      </c>
      <c r="X103" s="386">
        <v>6200</v>
      </c>
      <c r="Y103" s="386">
        <v>170</v>
      </c>
      <c r="Z103" s="386">
        <v>90</v>
      </c>
      <c r="AA103" s="386">
        <v>200</v>
      </c>
      <c r="AB103" s="392">
        <v>14.2</v>
      </c>
      <c r="AC103" s="28">
        <v>0</v>
      </c>
      <c r="AD103" s="28">
        <v>0</v>
      </c>
      <c r="AE103" s="28">
        <v>1</v>
      </c>
      <c r="AF103" s="28">
        <v>0</v>
      </c>
      <c r="AG103" s="28">
        <v>0</v>
      </c>
      <c r="AH103" s="28">
        <v>1</v>
      </c>
      <c r="AI103" s="28">
        <v>1</v>
      </c>
      <c r="AJ103" s="28">
        <v>1</v>
      </c>
    </row>
    <row r="104" spans="1:36" x14ac:dyDescent="0.25">
      <c r="A104" s="298" t="str">
        <f>IF('Kwaliteit conversie'!$D$4='Prijs karton'!C104,"X"," ")</f>
        <v xml:space="preserve"> </v>
      </c>
      <c r="B104" s="331" t="s">
        <v>36</v>
      </c>
      <c r="C104" s="359" t="s">
        <v>361</v>
      </c>
      <c r="D104" s="366">
        <v>1.0900000000000001</v>
      </c>
      <c r="E104" s="321">
        <v>6.7</v>
      </c>
      <c r="F104" s="925">
        <v>0</v>
      </c>
      <c r="G104" s="315">
        <v>117</v>
      </c>
      <c r="H104" s="315">
        <v>114</v>
      </c>
      <c r="I104" s="315">
        <v>113.5</v>
      </c>
      <c r="J104" s="315">
        <v>113.5</v>
      </c>
      <c r="K104" s="513">
        <v>113</v>
      </c>
      <c r="L104" s="926" t="s">
        <v>362</v>
      </c>
      <c r="M104" s="331" t="s">
        <v>360</v>
      </c>
      <c r="N104" s="366" t="s">
        <v>357</v>
      </c>
      <c r="O104" s="323" t="s">
        <v>274</v>
      </c>
      <c r="P104" s="386" t="s">
        <v>357</v>
      </c>
      <c r="Q104" s="323" t="s">
        <v>239</v>
      </c>
      <c r="R104" s="366" t="s">
        <v>239</v>
      </c>
      <c r="S104" s="378" t="s">
        <v>360</v>
      </c>
      <c r="T104" s="324" t="s">
        <v>245</v>
      </c>
      <c r="U104" s="386">
        <v>250</v>
      </c>
      <c r="V104" s="386">
        <v>2450</v>
      </c>
      <c r="W104" s="386">
        <v>500</v>
      </c>
      <c r="X104" s="386">
        <v>6200</v>
      </c>
      <c r="Y104" s="386">
        <v>180</v>
      </c>
      <c r="Z104" s="386">
        <v>90</v>
      </c>
      <c r="AA104" s="386">
        <v>200</v>
      </c>
      <c r="AB104" s="392">
        <v>15.2</v>
      </c>
      <c r="AC104" s="28">
        <v>10</v>
      </c>
      <c r="AD104" s="28">
        <v>0</v>
      </c>
      <c r="AE104" s="28">
        <v>1</v>
      </c>
      <c r="AF104" s="28">
        <v>0</v>
      </c>
      <c r="AG104" s="28">
        <v>0</v>
      </c>
      <c r="AH104" s="28">
        <v>1</v>
      </c>
      <c r="AI104" s="28">
        <v>1</v>
      </c>
      <c r="AJ104" s="28">
        <v>1</v>
      </c>
    </row>
    <row r="105" spans="1:36" x14ac:dyDescent="0.25">
      <c r="A105" s="298" t="str">
        <f>IF('Kwaliteit conversie'!$D$4='Prijs karton'!C105,"X"," ")</f>
        <v xml:space="preserve"> </v>
      </c>
      <c r="B105" s="331" t="s">
        <v>36</v>
      </c>
      <c r="C105" s="359" t="s">
        <v>363</v>
      </c>
      <c r="D105" s="366">
        <v>1.028</v>
      </c>
      <c r="E105" s="321">
        <v>7.15</v>
      </c>
      <c r="F105" s="925">
        <v>0</v>
      </c>
      <c r="G105" s="315">
        <v>125</v>
      </c>
      <c r="H105" s="315">
        <v>122</v>
      </c>
      <c r="I105" s="315">
        <v>122</v>
      </c>
      <c r="J105" s="315">
        <v>120</v>
      </c>
      <c r="K105" s="513">
        <v>120</v>
      </c>
      <c r="L105" s="926" t="s">
        <v>364</v>
      </c>
      <c r="M105" s="331" t="s">
        <v>365</v>
      </c>
      <c r="N105" s="366" t="s">
        <v>260</v>
      </c>
      <c r="O105" s="323" t="s">
        <v>260</v>
      </c>
      <c r="P105" s="386" t="s">
        <v>260</v>
      </c>
      <c r="Q105" s="323" t="s">
        <v>239</v>
      </c>
      <c r="R105" s="366" t="s">
        <v>239</v>
      </c>
      <c r="S105" s="378" t="s">
        <v>365</v>
      </c>
      <c r="T105" s="324" t="s">
        <v>240</v>
      </c>
      <c r="U105" s="386">
        <v>240</v>
      </c>
      <c r="V105" s="386">
        <v>2450</v>
      </c>
      <c r="W105" s="386">
        <v>500</v>
      </c>
      <c r="X105" s="386">
        <v>6000</v>
      </c>
      <c r="Y105" s="386">
        <v>60</v>
      </c>
      <c r="Z105" s="386">
        <v>60</v>
      </c>
      <c r="AA105" s="386">
        <v>200</v>
      </c>
      <c r="AB105" s="392">
        <v>13.2</v>
      </c>
      <c r="AC105" s="28">
        <v>0</v>
      </c>
      <c r="AD105" s="28">
        <v>0</v>
      </c>
      <c r="AE105" s="28">
        <v>1</v>
      </c>
      <c r="AF105" s="28">
        <v>0</v>
      </c>
      <c r="AG105" s="28">
        <v>0</v>
      </c>
      <c r="AH105" s="28">
        <v>1</v>
      </c>
      <c r="AI105" s="28">
        <v>1</v>
      </c>
      <c r="AJ105" s="28">
        <v>1</v>
      </c>
    </row>
    <row r="106" spans="1:36" x14ac:dyDescent="0.25">
      <c r="A106" s="298" t="str">
        <f>IF('Kwaliteit conversie'!$D$4='Prijs karton'!C106,"X"," ")</f>
        <v xml:space="preserve"> </v>
      </c>
      <c r="B106" s="331" t="s">
        <v>36</v>
      </c>
      <c r="C106" s="359" t="s">
        <v>366</v>
      </c>
      <c r="D106" s="366">
        <v>1.25</v>
      </c>
      <c r="E106" s="321">
        <v>6.8</v>
      </c>
      <c r="F106" s="925">
        <v>0</v>
      </c>
      <c r="G106" s="315">
        <v>131</v>
      </c>
      <c r="H106" s="315">
        <v>128</v>
      </c>
      <c r="I106" s="315">
        <v>127.5</v>
      </c>
      <c r="J106" s="315">
        <v>127.5</v>
      </c>
      <c r="K106" s="513">
        <v>127</v>
      </c>
      <c r="L106" s="926" t="s">
        <v>367</v>
      </c>
      <c r="M106" s="331" t="s">
        <v>360</v>
      </c>
      <c r="N106" s="366" t="s">
        <v>357</v>
      </c>
      <c r="O106" s="323" t="s">
        <v>360</v>
      </c>
      <c r="P106" s="386" t="s">
        <v>357</v>
      </c>
      <c r="Q106" s="323" t="s">
        <v>239</v>
      </c>
      <c r="R106" s="366" t="s">
        <v>239</v>
      </c>
      <c r="S106" s="378" t="s">
        <v>360</v>
      </c>
      <c r="T106" s="324" t="s">
        <v>245</v>
      </c>
      <c r="U106" s="386">
        <v>250</v>
      </c>
      <c r="V106" s="386">
        <v>2450</v>
      </c>
      <c r="W106" s="386">
        <v>800</v>
      </c>
      <c r="X106" s="386">
        <v>6200</v>
      </c>
      <c r="Y106" s="386">
        <v>180</v>
      </c>
      <c r="Z106" s="386">
        <v>90</v>
      </c>
      <c r="AA106" s="386">
        <v>300</v>
      </c>
      <c r="AB106" s="392">
        <v>17.100000000000001</v>
      </c>
      <c r="AC106" s="28">
        <v>0</v>
      </c>
      <c r="AD106" s="28">
        <v>0</v>
      </c>
      <c r="AE106" s="28">
        <v>1</v>
      </c>
      <c r="AF106" s="28">
        <v>0</v>
      </c>
      <c r="AG106" s="28">
        <v>0</v>
      </c>
      <c r="AH106" s="28">
        <v>1</v>
      </c>
      <c r="AI106" s="28">
        <v>1</v>
      </c>
      <c r="AJ106" s="28">
        <v>1</v>
      </c>
    </row>
    <row r="107" spans="1:36" x14ac:dyDescent="0.25">
      <c r="A107" s="298" t="str">
        <f>IF('Kwaliteit conversie'!$D$4='Prijs karton'!C107,"X"," ")</f>
        <v xml:space="preserve"> </v>
      </c>
      <c r="B107" s="331" t="s">
        <v>36</v>
      </c>
      <c r="C107" s="359"/>
      <c r="D107" s="366"/>
      <c r="E107" s="321"/>
      <c r="F107" s="925"/>
      <c r="G107" s="315"/>
      <c r="H107" s="315"/>
      <c r="I107" s="315"/>
      <c r="J107" s="315"/>
      <c r="K107" s="513"/>
      <c r="L107" s="926"/>
      <c r="M107" s="331"/>
      <c r="N107" s="366"/>
      <c r="O107" s="323"/>
      <c r="P107" s="386"/>
      <c r="Q107" s="323"/>
      <c r="R107" s="366"/>
      <c r="S107" s="378"/>
      <c r="T107" s="324"/>
      <c r="U107" s="386"/>
      <c r="V107" s="386"/>
      <c r="W107" s="386"/>
      <c r="X107" s="386"/>
      <c r="Y107" s="386"/>
      <c r="Z107" s="386"/>
      <c r="AA107" s="386"/>
      <c r="AB107" s="392"/>
      <c r="AC107" s="28"/>
      <c r="AD107" s="28"/>
      <c r="AE107" s="28"/>
      <c r="AF107" s="28"/>
      <c r="AG107" s="28"/>
      <c r="AH107" s="28"/>
      <c r="AI107" s="28"/>
      <c r="AJ107" s="28"/>
    </row>
    <row r="108" spans="1:36" x14ac:dyDescent="0.25">
      <c r="A108" s="298" t="str">
        <f>IF('Kwaliteit conversie'!$D$4='Prijs karton'!C108,"X"," ")</f>
        <v xml:space="preserve"> </v>
      </c>
      <c r="B108" s="331" t="s">
        <v>36</v>
      </c>
      <c r="C108" s="359" t="s">
        <v>1375</v>
      </c>
      <c r="D108" s="366">
        <v>0.89700000000000002</v>
      </c>
      <c r="E108" s="321">
        <v>6.55</v>
      </c>
      <c r="F108" s="925">
        <v>0</v>
      </c>
      <c r="G108" s="315">
        <v>88.9</v>
      </c>
      <c r="H108" s="315">
        <v>87.4</v>
      </c>
      <c r="I108" s="315">
        <v>87.1</v>
      </c>
      <c r="J108" s="315">
        <v>86.8</v>
      </c>
      <c r="K108" s="513">
        <v>86.8</v>
      </c>
      <c r="L108" s="926" t="s">
        <v>1376</v>
      </c>
      <c r="M108" s="331" t="s">
        <v>1372</v>
      </c>
      <c r="N108" s="366" t="s">
        <v>265</v>
      </c>
      <c r="O108" s="323" t="s">
        <v>1367</v>
      </c>
      <c r="P108" s="386" t="s">
        <v>265</v>
      </c>
      <c r="Q108" s="323" t="s">
        <v>239</v>
      </c>
      <c r="R108" s="366" t="s">
        <v>239</v>
      </c>
      <c r="S108" s="378" t="s">
        <v>1372</v>
      </c>
      <c r="T108" s="324" t="s">
        <v>1364</v>
      </c>
      <c r="U108" s="386">
        <v>250</v>
      </c>
      <c r="V108" s="386">
        <v>2450</v>
      </c>
      <c r="W108" s="386">
        <v>600</v>
      </c>
      <c r="X108" s="386">
        <v>6000</v>
      </c>
      <c r="Y108" s="386">
        <v>130</v>
      </c>
      <c r="Z108" s="386">
        <v>65</v>
      </c>
      <c r="AA108" s="386">
        <v>200</v>
      </c>
      <c r="AB108" s="392">
        <v>11.12</v>
      </c>
      <c r="AC108" s="28">
        <v>0</v>
      </c>
      <c r="AD108" s="28">
        <v>1</v>
      </c>
      <c r="AE108" s="28">
        <v>1</v>
      </c>
      <c r="AF108" s="28">
        <v>1</v>
      </c>
      <c r="AG108" s="28">
        <v>1</v>
      </c>
      <c r="AH108" s="28">
        <v>1</v>
      </c>
      <c r="AI108" s="28">
        <v>1</v>
      </c>
      <c r="AJ108" s="28">
        <v>1</v>
      </c>
    </row>
    <row r="109" spans="1:36" x14ac:dyDescent="0.25">
      <c r="A109" s="298" t="str">
        <f>IF('Kwaliteit conversie'!$D$4='Prijs karton'!C109,"X"," ")</f>
        <v xml:space="preserve"> </v>
      </c>
      <c r="B109" s="331" t="s">
        <v>36</v>
      </c>
      <c r="C109" s="359" t="s">
        <v>1377</v>
      </c>
      <c r="D109" s="366">
        <v>1.03</v>
      </c>
      <c r="E109" s="321">
        <v>6.7</v>
      </c>
      <c r="F109" s="925">
        <v>0</v>
      </c>
      <c r="G109" s="315">
        <v>0</v>
      </c>
      <c r="H109" s="315">
        <v>119.7</v>
      </c>
      <c r="I109" s="315">
        <v>118.4</v>
      </c>
      <c r="J109" s="315">
        <v>118.4</v>
      </c>
      <c r="K109" s="513">
        <v>116.8</v>
      </c>
      <c r="L109" s="926" t="s">
        <v>1378</v>
      </c>
      <c r="M109" s="331" t="s">
        <v>360</v>
      </c>
      <c r="N109" s="366" t="s">
        <v>1379</v>
      </c>
      <c r="O109" s="323" t="s">
        <v>1367</v>
      </c>
      <c r="P109" s="386" t="s">
        <v>1379</v>
      </c>
      <c r="Q109" s="323" t="s">
        <v>239</v>
      </c>
      <c r="R109" s="366" t="s">
        <v>239</v>
      </c>
      <c r="S109" s="378" t="s">
        <v>360</v>
      </c>
      <c r="T109" s="324" t="s">
        <v>1364</v>
      </c>
      <c r="U109" s="386">
        <v>250</v>
      </c>
      <c r="V109" s="386">
        <v>2450</v>
      </c>
      <c r="W109" s="386">
        <v>600</v>
      </c>
      <c r="X109" s="386">
        <v>6000</v>
      </c>
      <c r="Y109" s="386">
        <v>130</v>
      </c>
      <c r="Z109" s="386">
        <v>65</v>
      </c>
      <c r="AA109" s="386">
        <v>500</v>
      </c>
      <c r="AB109" s="392">
        <v>13.5</v>
      </c>
      <c r="AC109" s="28">
        <v>0</v>
      </c>
      <c r="AD109" s="28">
        <v>0</v>
      </c>
      <c r="AE109" s="28">
        <v>1</v>
      </c>
      <c r="AF109" s="28">
        <v>0</v>
      </c>
      <c r="AG109" s="28">
        <v>0</v>
      </c>
      <c r="AH109" s="28">
        <v>1</v>
      </c>
      <c r="AI109" s="28">
        <v>1</v>
      </c>
      <c r="AJ109" s="28">
        <v>1</v>
      </c>
    </row>
    <row r="110" spans="1:36" x14ac:dyDescent="0.25">
      <c r="A110" s="298" t="str">
        <f>IF('Kwaliteit conversie'!$D$4='Prijs karton'!C110,"X"," ")</f>
        <v xml:space="preserve"> </v>
      </c>
      <c r="B110" s="331" t="s">
        <v>36</v>
      </c>
      <c r="C110" s="359" t="s">
        <v>1380</v>
      </c>
      <c r="D110" s="366">
        <v>0.626</v>
      </c>
      <c r="E110" s="321">
        <v>6.22</v>
      </c>
      <c r="F110" s="925">
        <v>0</v>
      </c>
      <c r="G110" s="315">
        <v>63.7</v>
      </c>
      <c r="H110" s="315">
        <v>62.4</v>
      </c>
      <c r="I110" s="315">
        <v>62.1</v>
      </c>
      <c r="J110" s="315">
        <v>61.8</v>
      </c>
      <c r="K110" s="513">
        <v>61.8</v>
      </c>
      <c r="L110" s="926" t="s">
        <v>1381</v>
      </c>
      <c r="M110" s="331" t="s">
        <v>289</v>
      </c>
      <c r="N110" s="366" t="s">
        <v>238</v>
      </c>
      <c r="O110" s="323" t="s">
        <v>244</v>
      </c>
      <c r="P110" s="386" t="s">
        <v>238</v>
      </c>
      <c r="Q110" s="323" t="s">
        <v>239</v>
      </c>
      <c r="R110" s="366" t="s">
        <v>239</v>
      </c>
      <c r="S110" s="378" t="s">
        <v>1363</v>
      </c>
      <c r="T110" s="324" t="s">
        <v>1364</v>
      </c>
      <c r="U110" s="386">
        <v>250</v>
      </c>
      <c r="V110" s="386">
        <v>2450</v>
      </c>
      <c r="W110" s="386">
        <v>600</v>
      </c>
      <c r="X110" s="386">
        <v>6000</v>
      </c>
      <c r="Y110" s="386">
        <v>130</v>
      </c>
      <c r="Z110" s="386">
        <v>65</v>
      </c>
      <c r="AA110" s="386">
        <v>200</v>
      </c>
      <c r="AB110" s="392">
        <v>7.76</v>
      </c>
      <c r="AC110" s="28">
        <v>0</v>
      </c>
      <c r="AD110" s="28">
        <v>1</v>
      </c>
      <c r="AE110" s="28">
        <v>1</v>
      </c>
      <c r="AF110" s="28">
        <v>1</v>
      </c>
      <c r="AG110" s="28">
        <v>1</v>
      </c>
      <c r="AH110" s="28">
        <v>1</v>
      </c>
      <c r="AI110" s="28">
        <v>1</v>
      </c>
      <c r="AJ110" s="28">
        <v>1</v>
      </c>
    </row>
    <row r="111" spans="1:36" x14ac:dyDescent="0.25">
      <c r="A111" s="298" t="str">
        <f>IF('Kwaliteit conversie'!$D$4='Prijs karton'!C111,"X"," ")</f>
        <v xml:space="preserve"> </v>
      </c>
      <c r="B111" s="331" t="s">
        <v>36</v>
      </c>
      <c r="C111" s="359" t="s">
        <v>1382</v>
      </c>
      <c r="D111" s="366">
        <v>0.61499999999999999</v>
      </c>
      <c r="E111" s="321">
        <v>6.24</v>
      </c>
      <c r="F111" s="925">
        <v>0</v>
      </c>
      <c r="G111" s="315">
        <v>57.4</v>
      </c>
      <c r="H111" s="315">
        <v>56</v>
      </c>
      <c r="I111" s="315">
        <v>55.7</v>
      </c>
      <c r="J111" s="315">
        <v>55.5</v>
      </c>
      <c r="K111" s="513">
        <v>55.5</v>
      </c>
      <c r="L111" s="926" t="s">
        <v>1383</v>
      </c>
      <c r="M111" s="331" t="s">
        <v>1362</v>
      </c>
      <c r="N111" s="366" t="s">
        <v>238</v>
      </c>
      <c r="O111" s="323" t="s">
        <v>244</v>
      </c>
      <c r="P111" s="386" t="s">
        <v>238</v>
      </c>
      <c r="Q111" s="323" t="s">
        <v>239</v>
      </c>
      <c r="R111" s="366" t="s">
        <v>239</v>
      </c>
      <c r="S111" s="378" t="s">
        <v>1363</v>
      </c>
      <c r="T111" s="324" t="s">
        <v>1364</v>
      </c>
      <c r="U111" s="386">
        <v>250</v>
      </c>
      <c r="V111" s="386">
        <v>2450</v>
      </c>
      <c r="W111" s="386">
        <v>600</v>
      </c>
      <c r="X111" s="386">
        <v>6000</v>
      </c>
      <c r="Y111" s="386">
        <v>130</v>
      </c>
      <c r="Z111" s="386">
        <v>65</v>
      </c>
      <c r="AA111" s="386">
        <v>200</v>
      </c>
      <c r="AB111" s="392">
        <v>7.59</v>
      </c>
      <c r="AC111" s="28">
        <v>0</v>
      </c>
      <c r="AD111" s="28">
        <v>1</v>
      </c>
      <c r="AE111" s="28">
        <v>1</v>
      </c>
      <c r="AF111" s="28">
        <v>1</v>
      </c>
      <c r="AG111" s="28">
        <v>1</v>
      </c>
      <c r="AH111" s="28">
        <v>1</v>
      </c>
      <c r="AI111" s="28">
        <v>1</v>
      </c>
      <c r="AJ111" s="28">
        <v>1</v>
      </c>
    </row>
    <row r="112" spans="1:36" x14ac:dyDescent="0.25">
      <c r="A112" s="298" t="str">
        <f>IF('Kwaliteit conversie'!$D$4='Prijs karton'!C112,"X"," ")</f>
        <v xml:space="preserve"> </v>
      </c>
      <c r="B112" s="331" t="s">
        <v>36</v>
      </c>
      <c r="C112" s="359" t="s">
        <v>1384</v>
      </c>
      <c r="D112" s="366">
        <v>0.65500000000000003</v>
      </c>
      <c r="E112" s="321">
        <v>6.3</v>
      </c>
      <c r="F112" s="925">
        <v>0</v>
      </c>
      <c r="G112" s="315">
        <v>60.7</v>
      </c>
      <c r="H112" s="315">
        <v>59.3</v>
      </c>
      <c r="I112" s="315">
        <v>59.1</v>
      </c>
      <c r="J112" s="315">
        <v>58.8</v>
      </c>
      <c r="K112" s="513">
        <v>58.8</v>
      </c>
      <c r="L112" s="926" t="s">
        <v>1385</v>
      </c>
      <c r="M112" s="331" t="s">
        <v>277</v>
      </c>
      <c r="N112" s="366" t="s">
        <v>238</v>
      </c>
      <c r="O112" s="323" t="s">
        <v>244</v>
      </c>
      <c r="P112" s="386" t="s">
        <v>238</v>
      </c>
      <c r="Q112" s="323" t="s">
        <v>239</v>
      </c>
      <c r="R112" s="366" t="s">
        <v>239</v>
      </c>
      <c r="S112" s="378" t="s">
        <v>1367</v>
      </c>
      <c r="T112" s="324" t="s">
        <v>1364</v>
      </c>
      <c r="U112" s="386">
        <v>250</v>
      </c>
      <c r="V112" s="386">
        <v>2450</v>
      </c>
      <c r="W112" s="386">
        <v>600</v>
      </c>
      <c r="X112" s="386">
        <v>6000</v>
      </c>
      <c r="Y112" s="386">
        <v>130</v>
      </c>
      <c r="Z112" s="386">
        <v>65</v>
      </c>
      <c r="AA112" s="386">
        <v>200</v>
      </c>
      <c r="AB112" s="392">
        <v>8.1</v>
      </c>
      <c r="AC112" s="28">
        <v>0</v>
      </c>
      <c r="AD112" s="28">
        <v>1</v>
      </c>
      <c r="AE112" s="28">
        <v>1</v>
      </c>
      <c r="AF112" s="28">
        <v>1</v>
      </c>
      <c r="AG112" s="28">
        <v>1</v>
      </c>
      <c r="AH112" s="28">
        <v>1</v>
      </c>
      <c r="AI112" s="28">
        <v>1</v>
      </c>
      <c r="AJ112" s="28">
        <v>1</v>
      </c>
    </row>
    <row r="113" spans="1:36" x14ac:dyDescent="0.25">
      <c r="A113" s="298" t="str">
        <f>IF('Kwaliteit conversie'!$D$4='Prijs karton'!C113,"X"," ")</f>
        <v xml:space="preserve"> </v>
      </c>
      <c r="B113" s="331" t="s">
        <v>36</v>
      </c>
      <c r="C113" s="359" t="s">
        <v>1386</v>
      </c>
      <c r="D113" s="366">
        <v>0.80100000000000005</v>
      </c>
      <c r="E113" s="321">
        <v>6.41</v>
      </c>
      <c r="F113" s="925">
        <v>0</v>
      </c>
      <c r="G113" s="315">
        <v>73.400000000000006</v>
      </c>
      <c r="H113" s="315">
        <v>71.900000000000006</v>
      </c>
      <c r="I113" s="315">
        <v>71.599999999999994</v>
      </c>
      <c r="J113" s="315">
        <v>71.400000000000006</v>
      </c>
      <c r="K113" s="513">
        <v>71.400000000000006</v>
      </c>
      <c r="L113" s="926" t="s">
        <v>1387</v>
      </c>
      <c r="M113" s="331" t="s">
        <v>1372</v>
      </c>
      <c r="N113" s="366" t="s">
        <v>265</v>
      </c>
      <c r="O113" s="323" t="s">
        <v>244</v>
      </c>
      <c r="P113" s="386" t="s">
        <v>265</v>
      </c>
      <c r="Q113" s="323" t="s">
        <v>239</v>
      </c>
      <c r="R113" s="366" t="s">
        <v>239</v>
      </c>
      <c r="S113" s="378" t="s">
        <v>1367</v>
      </c>
      <c r="T113" s="324" t="s">
        <v>1364</v>
      </c>
      <c r="U113" s="386">
        <v>250</v>
      </c>
      <c r="V113" s="386">
        <v>2450</v>
      </c>
      <c r="W113" s="386">
        <v>600</v>
      </c>
      <c r="X113" s="386">
        <v>6000</v>
      </c>
      <c r="Y113" s="386">
        <v>130</v>
      </c>
      <c r="Z113" s="386">
        <v>65</v>
      </c>
      <c r="AA113" s="386">
        <v>200</v>
      </c>
      <c r="AB113" s="392">
        <v>9.7799999999999994</v>
      </c>
      <c r="AC113" s="28">
        <v>0</v>
      </c>
      <c r="AD113" s="28">
        <v>1</v>
      </c>
      <c r="AE113" s="28">
        <v>1</v>
      </c>
      <c r="AF113" s="28">
        <v>1</v>
      </c>
      <c r="AG113" s="28">
        <v>1</v>
      </c>
      <c r="AH113" s="28">
        <v>1</v>
      </c>
      <c r="AI113" s="28">
        <v>1</v>
      </c>
      <c r="AJ113" s="28">
        <v>1</v>
      </c>
    </row>
    <row r="114" spans="1:36" x14ac:dyDescent="0.25">
      <c r="A114" s="298" t="str">
        <f>IF('Kwaliteit conversie'!$D$4='Prijs karton'!C114,"X"," ")</f>
        <v xml:space="preserve"> </v>
      </c>
      <c r="B114" s="331" t="s">
        <v>36</v>
      </c>
      <c r="C114" s="359" t="s">
        <v>1388</v>
      </c>
      <c r="D114" s="366">
        <v>0.6</v>
      </c>
      <c r="E114" s="321">
        <v>6.2</v>
      </c>
      <c r="F114" s="925">
        <v>0</v>
      </c>
      <c r="G114" s="315">
        <v>52.9</v>
      </c>
      <c r="H114" s="315">
        <v>51.6</v>
      </c>
      <c r="I114" s="315">
        <v>51.3</v>
      </c>
      <c r="J114" s="315">
        <v>51.1</v>
      </c>
      <c r="K114" s="513">
        <v>51.1</v>
      </c>
      <c r="L114" s="926" t="s">
        <v>1389</v>
      </c>
      <c r="M114" s="331" t="s">
        <v>1363</v>
      </c>
      <c r="N114" s="366" t="s">
        <v>238</v>
      </c>
      <c r="O114" s="323" t="s">
        <v>244</v>
      </c>
      <c r="P114" s="386" t="s">
        <v>238</v>
      </c>
      <c r="Q114" s="323" t="s">
        <v>239</v>
      </c>
      <c r="R114" s="366" t="s">
        <v>239</v>
      </c>
      <c r="S114" s="378" t="s">
        <v>1363</v>
      </c>
      <c r="T114" s="324" t="s">
        <v>1364</v>
      </c>
      <c r="U114" s="386">
        <v>250</v>
      </c>
      <c r="V114" s="386">
        <v>2450</v>
      </c>
      <c r="W114" s="386">
        <v>600</v>
      </c>
      <c r="X114" s="386">
        <v>6000</v>
      </c>
      <c r="Y114" s="386">
        <v>130</v>
      </c>
      <c r="Z114" s="386">
        <v>65</v>
      </c>
      <c r="AA114" s="386">
        <v>200</v>
      </c>
      <c r="AB114" s="392">
        <v>7.24</v>
      </c>
      <c r="AC114" s="28">
        <v>0</v>
      </c>
      <c r="AD114" s="28">
        <v>1</v>
      </c>
      <c r="AE114" s="28">
        <v>1</v>
      </c>
      <c r="AF114" s="28">
        <v>1</v>
      </c>
      <c r="AG114" s="28">
        <v>1</v>
      </c>
      <c r="AH114" s="28">
        <v>1</v>
      </c>
      <c r="AI114" s="28">
        <v>1</v>
      </c>
      <c r="AJ114" s="28">
        <v>1</v>
      </c>
    </row>
    <row r="115" spans="1:36" x14ac:dyDescent="0.25">
      <c r="A115" s="298" t="str">
        <f>IF('Kwaliteit conversie'!$D$4='Prijs karton'!C115,"X"," ")</f>
        <v xml:space="preserve"> </v>
      </c>
      <c r="B115" s="331" t="s">
        <v>36</v>
      </c>
      <c r="C115" s="359" t="s">
        <v>1411</v>
      </c>
      <c r="D115" s="366">
        <v>0.6</v>
      </c>
      <c r="E115" s="321">
        <v>6.2</v>
      </c>
      <c r="F115" s="925">
        <v>0</v>
      </c>
      <c r="G115" s="315">
        <v>50.3</v>
      </c>
      <c r="H115" s="315">
        <v>49</v>
      </c>
      <c r="I115" s="315">
        <v>48.8</v>
      </c>
      <c r="J115" s="315">
        <v>48.5</v>
      </c>
      <c r="K115" s="513">
        <v>48.5</v>
      </c>
      <c r="L115" s="926" t="s">
        <v>1412</v>
      </c>
      <c r="M115" s="331" t="s">
        <v>244</v>
      </c>
      <c r="N115" s="366" t="s">
        <v>244</v>
      </c>
      <c r="O115" s="323" t="s">
        <v>244</v>
      </c>
      <c r="P115" s="386" t="s">
        <v>244</v>
      </c>
      <c r="Q115" s="323" t="s">
        <v>239</v>
      </c>
      <c r="R115" s="366" t="s">
        <v>239</v>
      </c>
      <c r="S115" s="378" t="s">
        <v>244</v>
      </c>
      <c r="T115" s="324" t="s">
        <v>1364</v>
      </c>
      <c r="U115" s="386">
        <v>250</v>
      </c>
      <c r="V115" s="386">
        <v>2450</v>
      </c>
      <c r="W115" s="386">
        <v>600</v>
      </c>
      <c r="X115" s="386">
        <v>6000</v>
      </c>
      <c r="Y115" s="386">
        <v>130</v>
      </c>
      <c r="Z115" s="386">
        <v>65</v>
      </c>
      <c r="AA115" s="386">
        <v>200</v>
      </c>
      <c r="AB115" s="392">
        <v>7.03</v>
      </c>
      <c r="AC115" s="28">
        <v>0</v>
      </c>
      <c r="AD115" s="28">
        <v>1</v>
      </c>
      <c r="AE115" s="28">
        <v>1</v>
      </c>
      <c r="AF115" s="28">
        <v>1</v>
      </c>
      <c r="AG115" s="28">
        <v>1</v>
      </c>
      <c r="AH115" s="28">
        <v>1</v>
      </c>
      <c r="AI115" s="28">
        <v>1</v>
      </c>
      <c r="AJ115" s="28">
        <v>1</v>
      </c>
    </row>
    <row r="116" spans="1:36" x14ac:dyDescent="0.25">
      <c r="A116" s="298" t="str">
        <f>IF('Kwaliteit conversie'!$D$4='Prijs karton'!C116,"X"," ")</f>
        <v xml:space="preserve"> </v>
      </c>
      <c r="B116" s="331" t="s">
        <v>36</v>
      </c>
      <c r="C116" s="359"/>
      <c r="D116" s="366"/>
      <c r="E116" s="321"/>
      <c r="F116" s="925"/>
      <c r="G116" s="315"/>
      <c r="H116" s="315"/>
      <c r="I116" s="315"/>
      <c r="J116" s="315"/>
      <c r="K116" s="513"/>
      <c r="L116" s="926"/>
      <c r="M116" s="331"/>
      <c r="N116" s="366"/>
      <c r="O116" s="323"/>
      <c r="P116" s="386"/>
      <c r="Q116" s="323"/>
      <c r="R116" s="366"/>
      <c r="S116" s="378"/>
      <c r="T116" s="324"/>
      <c r="U116" s="386"/>
      <c r="V116" s="386"/>
      <c r="W116" s="386"/>
      <c r="X116" s="386"/>
      <c r="Y116" s="386"/>
      <c r="Z116" s="386"/>
      <c r="AA116" s="386"/>
      <c r="AB116" s="392"/>
      <c r="AC116" s="28"/>
      <c r="AD116" s="28"/>
      <c r="AE116" s="28"/>
      <c r="AF116" s="28"/>
      <c r="AG116" s="28"/>
      <c r="AH116" s="28"/>
      <c r="AI116" s="28"/>
      <c r="AJ116" s="28"/>
    </row>
    <row r="117" spans="1:36" x14ac:dyDescent="0.25">
      <c r="A117" s="298" t="str">
        <f>IF('Kwaliteit conversie'!$D$4='Prijs karton'!C117,"X"," ")</f>
        <v xml:space="preserve"> </v>
      </c>
      <c r="B117" s="331" t="s">
        <v>36</v>
      </c>
      <c r="C117" s="359"/>
      <c r="D117" s="366"/>
      <c r="E117" s="321"/>
      <c r="F117" s="925"/>
      <c r="G117" s="315"/>
      <c r="H117" s="315"/>
      <c r="I117" s="315"/>
      <c r="J117" s="315"/>
      <c r="K117" s="513"/>
      <c r="L117" s="926"/>
      <c r="M117" s="331"/>
      <c r="N117" s="366"/>
      <c r="O117" s="323"/>
      <c r="P117" s="386"/>
      <c r="Q117" s="323"/>
      <c r="R117" s="366"/>
      <c r="S117" s="378"/>
      <c r="T117" s="324"/>
      <c r="U117" s="386"/>
      <c r="V117" s="386"/>
      <c r="W117" s="386"/>
      <c r="X117" s="386"/>
      <c r="Y117" s="386"/>
      <c r="Z117" s="386"/>
      <c r="AA117" s="386"/>
      <c r="AB117" s="392"/>
      <c r="AC117" s="28"/>
      <c r="AD117" s="28"/>
      <c r="AE117" s="28"/>
      <c r="AF117" s="28"/>
      <c r="AG117" s="28"/>
      <c r="AH117" s="28"/>
      <c r="AI117" s="28"/>
      <c r="AJ117" s="28"/>
    </row>
    <row r="118" spans="1:36" x14ac:dyDescent="0.25">
      <c r="A118" s="298" t="str">
        <f>IF('Kwaliteit conversie'!$D$4='Prijs karton'!C118,"X"," ")</f>
        <v xml:space="preserve"> </v>
      </c>
      <c r="B118" s="331" t="s">
        <v>36</v>
      </c>
      <c r="C118" s="359"/>
      <c r="D118" s="366"/>
      <c r="E118" s="321"/>
      <c r="F118" s="925"/>
      <c r="G118" s="315"/>
      <c r="H118" s="315"/>
      <c r="I118" s="315"/>
      <c r="J118" s="315"/>
      <c r="K118" s="513"/>
      <c r="L118" s="926"/>
      <c r="M118" s="331"/>
      <c r="N118" s="366"/>
      <c r="O118" s="323"/>
      <c r="P118" s="386"/>
      <c r="Q118" s="323"/>
      <c r="R118" s="366"/>
      <c r="S118" s="378"/>
      <c r="T118" s="324"/>
      <c r="U118" s="386"/>
      <c r="V118" s="386"/>
      <c r="W118" s="386"/>
      <c r="X118" s="386"/>
      <c r="Y118" s="386"/>
      <c r="Z118" s="386"/>
      <c r="AA118" s="386"/>
      <c r="AB118" s="392"/>
      <c r="AC118" s="28"/>
      <c r="AD118" s="28"/>
      <c r="AE118" s="28"/>
      <c r="AF118" s="28"/>
      <c r="AG118" s="28"/>
      <c r="AH118" s="28"/>
      <c r="AI118" s="28"/>
      <c r="AJ118" s="28"/>
    </row>
    <row r="119" spans="1:36" x14ac:dyDescent="0.25">
      <c r="A119" s="298" t="str">
        <f>IF('Kwaliteit conversie'!$D$4='Prijs karton'!C119,"X"," ")</f>
        <v xml:space="preserve"> </v>
      </c>
      <c r="B119" s="331" t="s">
        <v>36</v>
      </c>
      <c r="C119" s="359"/>
      <c r="D119" s="366"/>
      <c r="E119" s="321"/>
      <c r="F119" s="925"/>
      <c r="G119" s="315"/>
      <c r="H119" s="315"/>
      <c r="I119" s="315"/>
      <c r="J119" s="315"/>
      <c r="K119" s="513"/>
      <c r="L119" s="926"/>
      <c r="M119" s="331"/>
      <c r="N119" s="366"/>
      <c r="O119" s="323"/>
      <c r="P119" s="386"/>
      <c r="Q119" s="323"/>
      <c r="R119" s="366"/>
      <c r="S119" s="378"/>
      <c r="T119" s="324"/>
      <c r="U119" s="386"/>
      <c r="V119" s="386"/>
      <c r="W119" s="386"/>
      <c r="X119" s="386"/>
      <c r="Y119" s="386"/>
      <c r="Z119" s="386"/>
      <c r="AA119" s="386"/>
      <c r="AB119" s="392"/>
      <c r="AC119" s="28"/>
      <c r="AD119" s="28"/>
      <c r="AE119" s="28"/>
      <c r="AF119" s="28"/>
      <c r="AG119" s="28"/>
      <c r="AH119" s="28"/>
      <c r="AI119" s="28"/>
      <c r="AJ119" s="28"/>
    </row>
    <row r="120" spans="1:36" x14ac:dyDescent="0.25">
      <c r="A120" s="298" t="str">
        <f>IF('Kwaliteit conversie'!$D$4='Prijs karton'!C120,"X"," ")</f>
        <v xml:space="preserve"> </v>
      </c>
      <c r="B120" s="331" t="s">
        <v>36</v>
      </c>
      <c r="C120" s="359"/>
      <c r="D120" s="366"/>
      <c r="E120" s="321"/>
      <c r="F120" s="925"/>
      <c r="G120" s="315"/>
      <c r="H120" s="315"/>
      <c r="I120" s="315"/>
      <c r="J120" s="315"/>
      <c r="K120" s="513"/>
      <c r="L120" s="926"/>
      <c r="M120" s="331"/>
      <c r="N120" s="366"/>
      <c r="O120" s="323"/>
      <c r="P120" s="386"/>
      <c r="Q120" s="323"/>
      <c r="R120" s="366"/>
      <c r="S120" s="378"/>
      <c r="T120" s="324"/>
      <c r="U120" s="386"/>
      <c r="V120" s="386"/>
      <c r="W120" s="386"/>
      <c r="X120" s="386"/>
      <c r="Y120" s="386"/>
      <c r="Z120" s="386"/>
      <c r="AA120" s="386"/>
      <c r="AB120" s="392"/>
      <c r="AC120" s="28"/>
      <c r="AD120" s="28"/>
      <c r="AE120" s="28"/>
      <c r="AF120" s="28"/>
      <c r="AG120" s="28"/>
      <c r="AH120" s="28"/>
      <c r="AI120" s="28"/>
      <c r="AJ120" s="28"/>
    </row>
    <row r="121" spans="1:36" x14ac:dyDescent="0.25">
      <c r="A121" s="298" t="str">
        <f>IF('Kwaliteit conversie'!$D$4='Prijs karton'!C121,"X"," ")</f>
        <v xml:space="preserve"> </v>
      </c>
      <c r="B121" s="331" t="s">
        <v>36</v>
      </c>
      <c r="C121" s="359"/>
      <c r="D121" s="366"/>
      <c r="E121" s="321"/>
      <c r="F121" s="925"/>
      <c r="G121" s="315"/>
      <c r="H121" s="315"/>
      <c r="I121" s="315"/>
      <c r="J121" s="315"/>
      <c r="K121" s="513"/>
      <c r="L121" s="926"/>
      <c r="M121" s="331"/>
      <c r="N121" s="366"/>
      <c r="O121" s="323"/>
      <c r="P121" s="386"/>
      <c r="Q121" s="323"/>
      <c r="R121" s="366"/>
      <c r="S121" s="378"/>
      <c r="T121" s="324"/>
      <c r="U121" s="386"/>
      <c r="V121" s="386"/>
      <c r="W121" s="386"/>
      <c r="X121" s="386"/>
      <c r="Y121" s="386"/>
      <c r="Z121" s="386"/>
      <c r="AA121" s="386"/>
      <c r="AB121" s="392"/>
      <c r="AC121" s="28"/>
      <c r="AD121" s="28"/>
      <c r="AE121" s="28"/>
      <c r="AF121" s="28"/>
      <c r="AG121" s="28"/>
      <c r="AH121" s="28"/>
      <c r="AI121" s="28"/>
      <c r="AJ121" s="28"/>
    </row>
    <row r="122" spans="1:36" x14ac:dyDescent="0.25">
      <c r="A122" s="298" t="str">
        <f>IF('Kwaliteit conversie'!$D$4='Prijs karton'!C122,"X"," ")</f>
        <v xml:space="preserve"> </v>
      </c>
      <c r="B122" s="331" t="s">
        <v>36</v>
      </c>
      <c r="C122" s="359"/>
      <c r="D122" s="366"/>
      <c r="E122" s="321"/>
      <c r="F122" s="925"/>
      <c r="G122" s="315"/>
      <c r="H122" s="315"/>
      <c r="I122" s="315"/>
      <c r="J122" s="315"/>
      <c r="K122" s="513"/>
      <c r="L122" s="926"/>
      <c r="M122" s="331"/>
      <c r="N122" s="366"/>
      <c r="O122" s="323"/>
      <c r="P122" s="386"/>
      <c r="Q122" s="323"/>
      <c r="R122" s="366"/>
      <c r="S122" s="378"/>
      <c r="T122" s="324"/>
      <c r="U122" s="386"/>
      <c r="V122" s="386"/>
      <c r="W122" s="386"/>
      <c r="X122" s="386"/>
      <c r="Y122" s="386"/>
      <c r="Z122" s="386"/>
      <c r="AA122" s="386"/>
      <c r="AB122" s="392"/>
      <c r="AC122" s="28"/>
      <c r="AD122" s="28"/>
      <c r="AE122" s="28"/>
      <c r="AF122" s="28"/>
      <c r="AG122" s="28"/>
      <c r="AH122" s="28"/>
      <c r="AI122" s="28"/>
      <c r="AJ122" s="28"/>
    </row>
    <row r="123" spans="1:36" s="320" customFormat="1" x14ac:dyDescent="0.25">
      <c r="A123" s="329" t="str">
        <f>IF('Kwaliteit conversie'!$D$4='Prijs karton'!C123,"X"," ")</f>
        <v xml:space="preserve"> </v>
      </c>
      <c r="B123" s="332" t="s">
        <v>36</v>
      </c>
      <c r="C123" s="360" t="s">
        <v>368</v>
      </c>
      <c r="D123" s="367">
        <v>0.75</v>
      </c>
      <c r="E123" s="322">
        <v>5.7</v>
      </c>
      <c r="F123" s="927">
        <v>0</v>
      </c>
      <c r="G123" s="319">
        <v>0</v>
      </c>
      <c r="H123" s="319">
        <v>0</v>
      </c>
      <c r="I123" s="319">
        <v>0</v>
      </c>
      <c r="J123" s="319">
        <v>0</v>
      </c>
      <c r="K123" s="928">
        <v>0</v>
      </c>
      <c r="L123" s="929" t="s">
        <v>239</v>
      </c>
      <c r="M123" s="379" t="s">
        <v>239</v>
      </c>
      <c r="N123" s="367" t="s">
        <v>239</v>
      </c>
      <c r="O123" s="325" t="s">
        <v>239</v>
      </c>
      <c r="P123" s="387" t="s">
        <v>239</v>
      </c>
      <c r="Q123" s="325" t="s">
        <v>239</v>
      </c>
      <c r="R123" s="367" t="s">
        <v>239</v>
      </c>
      <c r="S123" s="380" t="s">
        <v>239</v>
      </c>
      <c r="T123" s="326" t="s">
        <v>245</v>
      </c>
      <c r="U123" s="387">
        <v>250</v>
      </c>
      <c r="V123" s="387">
        <v>2450</v>
      </c>
      <c r="W123" s="387">
        <v>500</v>
      </c>
      <c r="X123" s="387">
        <v>6200</v>
      </c>
      <c r="Y123" s="387">
        <v>180</v>
      </c>
      <c r="Z123" s="387">
        <v>90</v>
      </c>
      <c r="AA123" s="387">
        <v>200</v>
      </c>
      <c r="AB123" s="393">
        <v>9</v>
      </c>
      <c r="AC123" s="34">
        <v>0</v>
      </c>
      <c r="AD123" s="34">
        <v>1</v>
      </c>
      <c r="AE123" s="34">
        <v>1</v>
      </c>
      <c r="AF123" s="34">
        <v>1</v>
      </c>
      <c r="AG123" s="34">
        <v>1</v>
      </c>
      <c r="AH123" s="34">
        <v>1</v>
      </c>
      <c r="AI123" s="34">
        <v>1</v>
      </c>
      <c r="AJ123" s="34">
        <v>1</v>
      </c>
    </row>
    <row r="124" spans="1:36" x14ac:dyDescent="0.25">
      <c r="A124" s="298" t="str">
        <f>IF('Kwaliteit conversie'!$D$4='Prijs karton'!C124,"X"," ")</f>
        <v xml:space="preserve"> </v>
      </c>
      <c r="B124" s="331"/>
      <c r="C124" s="359"/>
      <c r="D124" s="366"/>
      <c r="E124" s="321"/>
      <c r="F124" s="925"/>
      <c r="G124" s="315"/>
      <c r="H124" s="315"/>
      <c r="I124" s="315"/>
      <c r="J124" s="315"/>
      <c r="K124" s="513"/>
      <c r="L124" s="926"/>
      <c r="M124" s="331"/>
      <c r="N124" s="366"/>
      <c r="O124" s="323"/>
      <c r="P124" s="386"/>
      <c r="Q124" s="323"/>
      <c r="R124" s="366"/>
      <c r="S124" s="378"/>
      <c r="T124" s="324"/>
      <c r="U124" s="386"/>
      <c r="V124" s="386"/>
      <c r="W124" s="386"/>
      <c r="X124" s="386"/>
      <c r="Y124" s="386"/>
      <c r="Z124" s="386"/>
      <c r="AA124" s="386"/>
      <c r="AB124" s="392"/>
      <c r="AC124" s="28"/>
      <c r="AD124" s="28"/>
      <c r="AE124" s="28"/>
      <c r="AF124" s="28"/>
      <c r="AG124" s="28"/>
      <c r="AH124" s="28"/>
      <c r="AI124" s="28"/>
      <c r="AJ124" s="28"/>
    </row>
    <row r="125" spans="1:36" x14ac:dyDescent="0.25">
      <c r="A125" s="298" t="str">
        <f>IF('Kwaliteit conversie'!$D$4='Prijs karton'!C125,"X"," ")</f>
        <v xml:space="preserve"> </v>
      </c>
      <c r="B125" s="331"/>
      <c r="C125" s="359"/>
      <c r="D125" s="366"/>
      <c r="E125" s="321"/>
      <c r="F125" s="925"/>
      <c r="G125" s="315"/>
      <c r="H125" s="315"/>
      <c r="I125" s="315"/>
      <c r="J125" s="315"/>
      <c r="K125" s="513"/>
      <c r="L125" s="926"/>
      <c r="M125" s="331"/>
      <c r="N125" s="366"/>
      <c r="O125" s="323"/>
      <c r="P125" s="386"/>
      <c r="Q125" s="323"/>
      <c r="R125" s="366"/>
      <c r="S125" s="378"/>
      <c r="T125" s="324"/>
      <c r="U125" s="386"/>
      <c r="V125" s="386"/>
      <c r="W125" s="386"/>
      <c r="X125" s="386"/>
      <c r="Y125" s="386"/>
      <c r="Z125" s="386"/>
      <c r="AA125" s="386"/>
      <c r="AB125" s="392"/>
      <c r="AC125" s="28"/>
      <c r="AD125" s="28"/>
      <c r="AE125" s="28"/>
      <c r="AF125" s="28"/>
      <c r="AG125" s="28"/>
      <c r="AH125" s="28"/>
      <c r="AI125" s="28"/>
      <c r="AJ125" s="28"/>
    </row>
    <row r="126" spans="1:36" x14ac:dyDescent="0.25">
      <c r="A126" s="298" t="str">
        <f>IF('Kwaliteit conversie'!$D$4='Prijs karton'!C126,"X"," ")</f>
        <v xml:space="preserve"> </v>
      </c>
      <c r="B126" s="331"/>
      <c r="C126" s="359"/>
      <c r="D126" s="366"/>
      <c r="E126" s="321"/>
      <c r="F126" s="925"/>
      <c r="G126" s="315"/>
      <c r="H126" s="315"/>
      <c r="I126" s="315"/>
      <c r="J126" s="315"/>
      <c r="K126" s="513"/>
      <c r="L126" s="926"/>
      <c r="M126" s="331"/>
      <c r="N126" s="366"/>
      <c r="O126" s="323"/>
      <c r="P126" s="386"/>
      <c r="Q126" s="323"/>
      <c r="R126" s="366"/>
      <c r="S126" s="378"/>
      <c r="T126" s="324"/>
      <c r="U126" s="386"/>
      <c r="V126" s="386"/>
      <c r="W126" s="386"/>
      <c r="X126" s="386"/>
      <c r="Y126" s="386"/>
      <c r="Z126" s="386"/>
      <c r="AA126" s="386"/>
      <c r="AB126" s="392"/>
      <c r="AC126" s="28"/>
      <c r="AD126" s="28"/>
      <c r="AE126" s="28"/>
      <c r="AF126" s="28"/>
      <c r="AG126" s="28"/>
      <c r="AH126" s="28"/>
      <c r="AI126" s="28"/>
      <c r="AJ126" s="28"/>
    </row>
    <row r="127" spans="1:36" x14ac:dyDescent="0.25">
      <c r="A127" s="932" t="str">
        <f>IF('Kwaliteit conversie'!$D$4='Prijs karton'!C127,"X"," ")</f>
        <v xml:space="preserve"> </v>
      </c>
      <c r="B127" s="331" t="s">
        <v>32</v>
      </c>
      <c r="C127" s="359" t="s">
        <v>369</v>
      </c>
      <c r="D127" s="366">
        <v>0.36</v>
      </c>
      <c r="E127" s="321">
        <v>3.6</v>
      </c>
      <c r="F127" s="925">
        <v>0</v>
      </c>
      <c r="G127" s="315">
        <v>32.9</v>
      </c>
      <c r="H127" s="315">
        <v>29.9</v>
      </c>
      <c r="I127" s="315">
        <v>29.4</v>
      </c>
      <c r="J127" s="315">
        <v>29.4</v>
      </c>
      <c r="K127" s="513">
        <v>28.9</v>
      </c>
      <c r="L127" s="926" t="s">
        <v>370</v>
      </c>
      <c r="M127" s="331" t="s">
        <v>249</v>
      </c>
      <c r="N127" s="366" t="s">
        <v>244</v>
      </c>
      <c r="O127" s="323" t="s">
        <v>239</v>
      </c>
      <c r="P127" s="386" t="s">
        <v>239</v>
      </c>
      <c r="Q127" s="323" t="s">
        <v>239</v>
      </c>
      <c r="R127" s="366" t="s">
        <v>239</v>
      </c>
      <c r="S127" s="378" t="s">
        <v>249</v>
      </c>
      <c r="T127" s="324" t="s">
        <v>245</v>
      </c>
      <c r="U127" s="386">
        <v>250</v>
      </c>
      <c r="V127" s="386">
        <v>2450</v>
      </c>
      <c r="W127" s="386">
        <v>500</v>
      </c>
      <c r="X127" s="386">
        <v>6200</v>
      </c>
      <c r="Y127" s="386">
        <v>280</v>
      </c>
      <c r="Z127" s="386">
        <v>140</v>
      </c>
      <c r="AA127" s="386">
        <v>200</v>
      </c>
      <c r="AB127" s="392">
        <v>3.7</v>
      </c>
      <c r="AC127" s="28">
        <v>0</v>
      </c>
      <c r="AD127" s="28">
        <v>1</v>
      </c>
      <c r="AE127" s="28">
        <v>1</v>
      </c>
      <c r="AF127" s="28">
        <v>1</v>
      </c>
      <c r="AG127" s="28">
        <v>1</v>
      </c>
      <c r="AH127" s="28">
        <v>1</v>
      </c>
      <c r="AI127" s="28">
        <v>1</v>
      </c>
      <c r="AJ127" s="28">
        <v>1</v>
      </c>
    </row>
    <row r="128" spans="1:36" x14ac:dyDescent="0.25">
      <c r="A128" s="298" t="str">
        <f>IF('Kwaliteit conversie'!$D$4='Prijs karton'!C128,"X"," ")</f>
        <v xml:space="preserve"> </v>
      </c>
      <c r="B128" s="331" t="s">
        <v>32</v>
      </c>
      <c r="C128" s="359" t="s">
        <v>371</v>
      </c>
      <c r="D128" s="366">
        <v>0.38</v>
      </c>
      <c r="E128" s="321">
        <v>3.6</v>
      </c>
      <c r="F128" s="925">
        <v>0</v>
      </c>
      <c r="G128" s="315">
        <v>33.4</v>
      </c>
      <c r="H128" s="315">
        <v>30.4</v>
      </c>
      <c r="I128" s="315">
        <v>29.9</v>
      </c>
      <c r="J128" s="315">
        <v>29.9</v>
      </c>
      <c r="K128" s="513">
        <v>29.4</v>
      </c>
      <c r="L128" s="926" t="s">
        <v>372</v>
      </c>
      <c r="M128" s="331" t="s">
        <v>257</v>
      </c>
      <c r="N128" s="366" t="s">
        <v>244</v>
      </c>
      <c r="O128" s="323" t="s">
        <v>239</v>
      </c>
      <c r="P128" s="386" t="s">
        <v>239</v>
      </c>
      <c r="Q128" s="323" t="s">
        <v>239</v>
      </c>
      <c r="R128" s="366" t="s">
        <v>239</v>
      </c>
      <c r="S128" s="378" t="s">
        <v>249</v>
      </c>
      <c r="T128" s="324" t="s">
        <v>245</v>
      </c>
      <c r="U128" s="386">
        <v>250</v>
      </c>
      <c r="V128" s="386">
        <v>2450</v>
      </c>
      <c r="W128" s="386">
        <v>500</v>
      </c>
      <c r="X128" s="386">
        <v>6200</v>
      </c>
      <c r="Y128" s="386">
        <v>280</v>
      </c>
      <c r="Z128" s="386">
        <v>140</v>
      </c>
      <c r="AA128" s="386">
        <v>200</v>
      </c>
      <c r="AB128" s="392">
        <v>3.9</v>
      </c>
      <c r="AC128" s="28">
        <v>0</v>
      </c>
      <c r="AD128" s="28">
        <v>1</v>
      </c>
      <c r="AE128" s="28">
        <v>1</v>
      </c>
      <c r="AF128" s="28">
        <v>1</v>
      </c>
      <c r="AG128" s="28">
        <v>1</v>
      </c>
      <c r="AH128" s="28">
        <v>1</v>
      </c>
      <c r="AI128" s="28">
        <v>1</v>
      </c>
      <c r="AJ128" s="28">
        <v>1</v>
      </c>
    </row>
    <row r="129" spans="1:36" x14ac:dyDescent="0.25">
      <c r="A129" s="298" t="str">
        <f>IF('Kwaliteit conversie'!$D$4='Prijs karton'!C129,"X"," ")</f>
        <v xml:space="preserve"> </v>
      </c>
      <c r="B129" s="331" t="s">
        <v>32</v>
      </c>
      <c r="C129" s="359"/>
      <c r="D129" s="366"/>
      <c r="E129" s="321"/>
      <c r="F129" s="925"/>
      <c r="G129" s="315"/>
      <c r="H129" s="315"/>
      <c r="I129" s="315"/>
      <c r="J129" s="315"/>
      <c r="K129" s="513"/>
      <c r="L129" s="926"/>
      <c r="M129" s="331"/>
      <c r="N129" s="366"/>
      <c r="O129" s="323"/>
      <c r="P129" s="386"/>
      <c r="Q129" s="323"/>
      <c r="R129" s="366"/>
      <c r="S129" s="378"/>
      <c r="T129" s="324"/>
      <c r="U129" s="386"/>
      <c r="V129" s="386"/>
      <c r="W129" s="386"/>
      <c r="X129" s="386"/>
      <c r="Y129" s="386"/>
      <c r="Z129" s="386"/>
      <c r="AA129" s="386"/>
      <c r="AB129" s="392"/>
      <c r="AC129" s="28"/>
      <c r="AD129" s="28"/>
      <c r="AE129" s="28"/>
      <c r="AF129" s="28"/>
      <c r="AG129" s="28"/>
      <c r="AH129" s="28"/>
      <c r="AI129" s="28"/>
      <c r="AJ129" s="28"/>
    </row>
    <row r="130" spans="1:36" x14ac:dyDescent="0.25">
      <c r="A130" s="298" t="str">
        <f>IF('Kwaliteit conversie'!$D$4='Prijs karton'!C130,"X"," ")</f>
        <v xml:space="preserve"> </v>
      </c>
      <c r="B130" s="331" t="s">
        <v>32</v>
      </c>
      <c r="C130" s="359" t="s">
        <v>373</v>
      </c>
      <c r="D130" s="366">
        <v>0.435</v>
      </c>
      <c r="E130" s="321">
        <v>3.7</v>
      </c>
      <c r="F130" s="925">
        <v>0</v>
      </c>
      <c r="G130" s="315">
        <v>39.6</v>
      </c>
      <c r="H130" s="315">
        <v>36.6</v>
      </c>
      <c r="I130" s="315">
        <v>36.1</v>
      </c>
      <c r="J130" s="315">
        <v>36.1</v>
      </c>
      <c r="K130" s="513">
        <v>35.6</v>
      </c>
      <c r="L130" s="926" t="s">
        <v>374</v>
      </c>
      <c r="M130" s="331" t="s">
        <v>257</v>
      </c>
      <c r="N130" s="366" t="s">
        <v>285</v>
      </c>
      <c r="O130" s="323" t="s">
        <v>239</v>
      </c>
      <c r="P130" s="386" t="s">
        <v>239</v>
      </c>
      <c r="Q130" s="323" t="s">
        <v>239</v>
      </c>
      <c r="R130" s="366" t="s">
        <v>239</v>
      </c>
      <c r="S130" s="378" t="s">
        <v>257</v>
      </c>
      <c r="T130" s="324" t="s">
        <v>245</v>
      </c>
      <c r="U130" s="386">
        <v>250</v>
      </c>
      <c r="V130" s="386">
        <v>2450</v>
      </c>
      <c r="W130" s="386">
        <v>500</v>
      </c>
      <c r="X130" s="386">
        <v>6200</v>
      </c>
      <c r="Y130" s="386">
        <v>280</v>
      </c>
      <c r="Z130" s="386">
        <v>140</v>
      </c>
      <c r="AA130" s="386">
        <v>200</v>
      </c>
      <c r="AB130" s="392">
        <v>4.8</v>
      </c>
      <c r="AC130" s="28">
        <v>0</v>
      </c>
      <c r="AD130" s="28">
        <v>1</v>
      </c>
      <c r="AE130" s="28">
        <v>1</v>
      </c>
      <c r="AF130" s="28">
        <v>1</v>
      </c>
      <c r="AG130" s="28">
        <v>1</v>
      </c>
      <c r="AH130" s="28">
        <v>1</v>
      </c>
      <c r="AI130" s="28">
        <v>1</v>
      </c>
      <c r="AJ130" s="28">
        <v>1</v>
      </c>
    </row>
    <row r="131" spans="1:36" x14ac:dyDescent="0.25">
      <c r="A131" s="298" t="str">
        <f>IF('Kwaliteit conversie'!$D$4='Prijs karton'!C131,"X"," ")</f>
        <v xml:space="preserve"> </v>
      </c>
      <c r="B131" s="331" t="s">
        <v>32</v>
      </c>
      <c r="C131" s="359" t="s">
        <v>375</v>
      </c>
      <c r="D131" s="366">
        <v>0.5</v>
      </c>
      <c r="E131" s="321">
        <v>3.7</v>
      </c>
      <c r="F131" s="925">
        <v>0</v>
      </c>
      <c r="G131" s="315">
        <v>42.1</v>
      </c>
      <c r="H131" s="315">
        <v>39.1</v>
      </c>
      <c r="I131" s="315">
        <v>38.6</v>
      </c>
      <c r="J131" s="315">
        <v>38.6</v>
      </c>
      <c r="K131" s="513">
        <v>38.1</v>
      </c>
      <c r="L131" s="926" t="s">
        <v>376</v>
      </c>
      <c r="M131" s="331" t="s">
        <v>292</v>
      </c>
      <c r="N131" s="366" t="s">
        <v>265</v>
      </c>
      <c r="O131" s="323" t="s">
        <v>239</v>
      </c>
      <c r="P131" s="386" t="s">
        <v>239</v>
      </c>
      <c r="Q131" s="323" t="s">
        <v>239</v>
      </c>
      <c r="R131" s="366" t="s">
        <v>239</v>
      </c>
      <c r="S131" s="378" t="s">
        <v>257</v>
      </c>
      <c r="T131" s="324" t="s">
        <v>245</v>
      </c>
      <c r="U131" s="386">
        <v>250</v>
      </c>
      <c r="V131" s="386">
        <v>2450</v>
      </c>
      <c r="W131" s="386">
        <v>500</v>
      </c>
      <c r="X131" s="386">
        <v>6200</v>
      </c>
      <c r="Y131" s="386">
        <v>280</v>
      </c>
      <c r="Z131" s="386">
        <v>140</v>
      </c>
      <c r="AA131" s="386">
        <v>200</v>
      </c>
      <c r="AB131" s="392">
        <v>5.9</v>
      </c>
      <c r="AC131" s="28">
        <v>0</v>
      </c>
      <c r="AD131" s="28">
        <v>1</v>
      </c>
      <c r="AE131" s="28">
        <v>1</v>
      </c>
      <c r="AF131" s="28">
        <v>1</v>
      </c>
      <c r="AG131" s="28">
        <v>1</v>
      </c>
      <c r="AH131" s="28">
        <v>1</v>
      </c>
      <c r="AI131" s="28">
        <v>1</v>
      </c>
      <c r="AJ131" s="28">
        <v>1</v>
      </c>
    </row>
    <row r="132" spans="1:36" x14ac:dyDescent="0.25">
      <c r="A132" s="298" t="str">
        <f>IF('Kwaliteit conversie'!$D$4='Prijs karton'!C132,"X"," ")</f>
        <v xml:space="preserve"> </v>
      </c>
      <c r="B132" s="331" t="s">
        <v>32</v>
      </c>
      <c r="C132" s="359"/>
      <c r="D132" s="366"/>
      <c r="E132" s="321"/>
      <c r="F132" s="925"/>
      <c r="G132" s="315"/>
      <c r="H132" s="315"/>
      <c r="I132" s="315"/>
      <c r="J132" s="315"/>
      <c r="K132" s="513"/>
      <c r="L132" s="926"/>
      <c r="M132" s="331"/>
      <c r="N132" s="366"/>
      <c r="O132" s="323"/>
      <c r="P132" s="386"/>
      <c r="Q132" s="323"/>
      <c r="R132" s="366"/>
      <c r="S132" s="378"/>
      <c r="T132" s="324"/>
      <c r="U132" s="386"/>
      <c r="V132" s="386"/>
      <c r="W132" s="386"/>
      <c r="X132" s="386"/>
      <c r="Y132" s="386"/>
      <c r="Z132" s="386"/>
      <c r="AA132" s="386"/>
      <c r="AB132" s="392"/>
      <c r="AC132" s="28"/>
      <c r="AD132" s="28"/>
      <c r="AE132" s="28"/>
      <c r="AF132" s="28"/>
      <c r="AG132" s="28"/>
      <c r="AH132" s="28"/>
      <c r="AI132" s="28"/>
      <c r="AJ132" s="28"/>
    </row>
    <row r="133" spans="1:36" x14ac:dyDescent="0.25">
      <c r="A133" s="298" t="str">
        <f>IF('Kwaliteit conversie'!$D$4='Prijs karton'!C133,"X"," ")</f>
        <v xml:space="preserve"> </v>
      </c>
      <c r="B133" s="331" t="s">
        <v>32</v>
      </c>
      <c r="C133" s="359" t="s">
        <v>377</v>
      </c>
      <c r="D133" s="366">
        <v>0.40500000000000003</v>
      </c>
      <c r="E133" s="321">
        <v>3.6</v>
      </c>
      <c r="F133" s="925">
        <v>0</v>
      </c>
      <c r="G133" s="315">
        <v>41.5</v>
      </c>
      <c r="H133" s="315">
        <v>38.5</v>
      </c>
      <c r="I133" s="315">
        <v>38</v>
      </c>
      <c r="J133" s="315">
        <v>38</v>
      </c>
      <c r="K133" s="513">
        <v>37.5</v>
      </c>
      <c r="L133" s="926" t="s">
        <v>378</v>
      </c>
      <c r="M133" s="331" t="s">
        <v>274</v>
      </c>
      <c r="N133" s="366" t="s">
        <v>244</v>
      </c>
      <c r="O133" s="323" t="s">
        <v>239</v>
      </c>
      <c r="P133" s="386" t="s">
        <v>239</v>
      </c>
      <c r="Q133" s="323" t="s">
        <v>239</v>
      </c>
      <c r="R133" s="366" t="s">
        <v>239</v>
      </c>
      <c r="S133" s="378" t="s">
        <v>257</v>
      </c>
      <c r="T133" s="324" t="s">
        <v>245</v>
      </c>
      <c r="U133" s="386">
        <v>250</v>
      </c>
      <c r="V133" s="386">
        <v>2450</v>
      </c>
      <c r="W133" s="386">
        <v>500</v>
      </c>
      <c r="X133" s="386">
        <v>6200</v>
      </c>
      <c r="Y133" s="386">
        <v>280</v>
      </c>
      <c r="Z133" s="386">
        <v>140</v>
      </c>
      <c r="AA133" s="386">
        <v>200</v>
      </c>
      <c r="AB133" s="392">
        <v>4.5</v>
      </c>
      <c r="AC133" s="28">
        <v>0</v>
      </c>
      <c r="AD133" s="28">
        <v>1</v>
      </c>
      <c r="AE133" s="28">
        <v>1</v>
      </c>
      <c r="AF133" s="28">
        <v>1</v>
      </c>
      <c r="AG133" s="28">
        <v>1</v>
      </c>
      <c r="AH133" s="28">
        <v>1</v>
      </c>
      <c r="AI133" s="28">
        <v>1</v>
      </c>
      <c r="AJ133" s="28">
        <v>1</v>
      </c>
    </row>
    <row r="134" spans="1:36" x14ac:dyDescent="0.25">
      <c r="A134" s="298" t="str">
        <f>IF('Kwaliteit conversie'!$D$4='Prijs karton'!C134,"X"," ")</f>
        <v xml:space="preserve"> </v>
      </c>
      <c r="B134" s="331" t="s">
        <v>32</v>
      </c>
      <c r="C134" s="359" t="s">
        <v>379</v>
      </c>
      <c r="D134" s="366">
        <v>0.47</v>
      </c>
      <c r="E134" s="321">
        <v>3.7</v>
      </c>
      <c r="F134" s="925">
        <v>0</v>
      </c>
      <c r="G134" s="315">
        <v>47</v>
      </c>
      <c r="H134" s="315">
        <v>44</v>
      </c>
      <c r="I134" s="315">
        <v>43.5</v>
      </c>
      <c r="J134" s="315">
        <v>43.5</v>
      </c>
      <c r="K134" s="513">
        <v>43</v>
      </c>
      <c r="L134" s="926" t="s">
        <v>380</v>
      </c>
      <c r="M134" s="331" t="s">
        <v>274</v>
      </c>
      <c r="N134" s="366" t="s">
        <v>265</v>
      </c>
      <c r="O134" s="323" t="s">
        <v>239</v>
      </c>
      <c r="P134" s="386" t="s">
        <v>239</v>
      </c>
      <c r="Q134" s="323" t="s">
        <v>239</v>
      </c>
      <c r="R134" s="366" t="s">
        <v>239</v>
      </c>
      <c r="S134" s="378" t="s">
        <v>257</v>
      </c>
      <c r="T134" s="324" t="s">
        <v>245</v>
      </c>
      <c r="U134" s="386">
        <v>250</v>
      </c>
      <c r="V134" s="386">
        <v>2450</v>
      </c>
      <c r="W134" s="386">
        <v>500</v>
      </c>
      <c r="X134" s="386">
        <v>6200</v>
      </c>
      <c r="Y134" s="386">
        <v>280</v>
      </c>
      <c r="Z134" s="386">
        <v>140</v>
      </c>
      <c r="AA134" s="386">
        <v>200</v>
      </c>
      <c r="AB134" s="392">
        <v>5.6</v>
      </c>
      <c r="AC134" s="28">
        <v>0</v>
      </c>
      <c r="AD134" s="28">
        <v>1</v>
      </c>
      <c r="AE134" s="28">
        <v>1</v>
      </c>
      <c r="AF134" s="28">
        <v>1</v>
      </c>
      <c r="AG134" s="28">
        <v>1</v>
      </c>
      <c r="AH134" s="28">
        <v>1</v>
      </c>
      <c r="AI134" s="28">
        <v>1</v>
      </c>
      <c r="AJ134" s="28">
        <v>1</v>
      </c>
    </row>
    <row r="135" spans="1:36" x14ac:dyDescent="0.25">
      <c r="A135" s="298" t="str">
        <f>IF('Kwaliteit conversie'!$D$4='Prijs karton'!C135,"X"," ")</f>
        <v xml:space="preserve"> </v>
      </c>
      <c r="B135" s="331" t="s">
        <v>32</v>
      </c>
      <c r="C135" s="359"/>
      <c r="D135" s="366"/>
      <c r="E135" s="321"/>
      <c r="F135" s="925"/>
      <c r="G135" s="315"/>
      <c r="H135" s="315"/>
      <c r="I135" s="315"/>
      <c r="J135" s="315"/>
      <c r="K135" s="513"/>
      <c r="L135" s="926"/>
      <c r="M135" s="331"/>
      <c r="N135" s="366"/>
      <c r="O135" s="323"/>
      <c r="P135" s="386"/>
      <c r="Q135" s="323"/>
      <c r="R135" s="366"/>
      <c r="S135" s="378"/>
      <c r="T135" s="324"/>
      <c r="U135" s="386"/>
      <c r="V135" s="386"/>
      <c r="W135" s="386"/>
      <c r="X135" s="386"/>
      <c r="Y135" s="386"/>
      <c r="Z135" s="386"/>
      <c r="AA135" s="386"/>
      <c r="AB135" s="392"/>
      <c r="AC135" s="28"/>
      <c r="AD135" s="28"/>
      <c r="AE135" s="28"/>
      <c r="AF135" s="28"/>
      <c r="AG135" s="28"/>
      <c r="AH135" s="28"/>
      <c r="AI135" s="28"/>
      <c r="AJ135" s="28"/>
    </row>
    <row r="136" spans="1:36" x14ac:dyDescent="0.25">
      <c r="A136" s="298" t="str">
        <f>IF('Kwaliteit conversie'!$D$4='Prijs karton'!C136,"X"," ")</f>
        <v xml:space="preserve"> </v>
      </c>
      <c r="B136" s="331" t="s">
        <v>32</v>
      </c>
      <c r="C136" s="359" t="s">
        <v>381</v>
      </c>
      <c r="D136" s="366">
        <v>0.40300000000000002</v>
      </c>
      <c r="E136" s="321">
        <v>4.01</v>
      </c>
      <c r="F136" s="925">
        <v>0</v>
      </c>
      <c r="G136" s="315">
        <v>53.9</v>
      </c>
      <c r="H136" s="315">
        <v>50.9</v>
      </c>
      <c r="I136" s="315">
        <v>50.9</v>
      </c>
      <c r="J136" s="315">
        <v>48.9</v>
      </c>
      <c r="K136" s="513">
        <v>48.9</v>
      </c>
      <c r="L136" s="926" t="s">
        <v>382</v>
      </c>
      <c r="M136" s="331" t="s">
        <v>318</v>
      </c>
      <c r="N136" s="366" t="s">
        <v>238</v>
      </c>
      <c r="O136" s="323" t="s">
        <v>239</v>
      </c>
      <c r="P136" s="386" t="s">
        <v>239</v>
      </c>
      <c r="Q136" s="323" t="s">
        <v>239</v>
      </c>
      <c r="R136" s="366" t="s">
        <v>239</v>
      </c>
      <c r="S136" s="378" t="s">
        <v>260</v>
      </c>
      <c r="T136" s="324" t="s">
        <v>240</v>
      </c>
      <c r="U136" s="386">
        <v>240</v>
      </c>
      <c r="V136" s="386">
        <v>2450</v>
      </c>
      <c r="W136" s="386">
        <v>500</v>
      </c>
      <c r="X136" s="386">
        <v>6000</v>
      </c>
      <c r="Y136" s="386">
        <v>85</v>
      </c>
      <c r="Z136" s="386">
        <v>85</v>
      </c>
      <c r="AA136" s="386">
        <v>200</v>
      </c>
      <c r="AB136" s="392">
        <v>5.21</v>
      </c>
      <c r="AC136" s="28">
        <v>0</v>
      </c>
      <c r="AD136" s="28">
        <v>1</v>
      </c>
      <c r="AE136" s="28">
        <v>1</v>
      </c>
      <c r="AF136" s="28">
        <v>1</v>
      </c>
      <c r="AG136" s="28">
        <v>1</v>
      </c>
      <c r="AH136" s="28">
        <v>1</v>
      </c>
      <c r="AI136" s="28">
        <v>1</v>
      </c>
      <c r="AJ136" s="28">
        <v>1</v>
      </c>
    </row>
    <row r="137" spans="1:36" x14ac:dyDescent="0.25">
      <c r="A137" s="298" t="str">
        <f>IF('Kwaliteit conversie'!$D$4='Prijs karton'!C137,"X"," ")</f>
        <v xml:space="preserve"> </v>
      </c>
      <c r="B137" s="331" t="s">
        <v>32</v>
      </c>
      <c r="C137" s="359"/>
      <c r="D137" s="366"/>
      <c r="E137" s="321"/>
      <c r="F137" s="925"/>
      <c r="G137" s="315"/>
      <c r="H137" s="315"/>
      <c r="I137" s="315"/>
      <c r="J137" s="315"/>
      <c r="K137" s="513"/>
      <c r="L137" s="926"/>
      <c r="M137" s="331"/>
      <c r="N137" s="366"/>
      <c r="O137" s="323"/>
      <c r="P137" s="386"/>
      <c r="Q137" s="323"/>
      <c r="R137" s="366"/>
      <c r="S137" s="378"/>
      <c r="T137" s="324"/>
      <c r="U137" s="386"/>
      <c r="V137" s="386"/>
      <c r="W137" s="386"/>
      <c r="X137" s="386"/>
      <c r="Y137" s="386"/>
      <c r="Z137" s="386"/>
      <c r="AA137" s="386"/>
      <c r="AB137" s="392"/>
      <c r="AC137" s="28"/>
      <c r="AD137" s="28"/>
      <c r="AE137" s="28"/>
      <c r="AF137" s="28"/>
      <c r="AG137" s="28"/>
      <c r="AH137" s="28"/>
      <c r="AI137" s="28"/>
      <c r="AJ137" s="28"/>
    </row>
    <row r="138" spans="1:36" x14ac:dyDescent="0.25">
      <c r="A138" s="298" t="str">
        <f>IF('Kwaliteit conversie'!$D$4='Prijs karton'!C138,"X"," ")</f>
        <v xml:space="preserve"> </v>
      </c>
      <c r="B138" s="331" t="s">
        <v>32</v>
      </c>
      <c r="C138" s="359" t="s">
        <v>383</v>
      </c>
      <c r="D138" s="366">
        <v>0.46500000000000002</v>
      </c>
      <c r="E138" s="321">
        <v>3.7</v>
      </c>
      <c r="F138" s="925">
        <v>0</v>
      </c>
      <c r="G138" s="315">
        <v>48.8</v>
      </c>
      <c r="H138" s="315">
        <v>45.8</v>
      </c>
      <c r="I138" s="315">
        <v>45.3</v>
      </c>
      <c r="J138" s="315">
        <v>45.3</v>
      </c>
      <c r="K138" s="513">
        <v>44.8</v>
      </c>
      <c r="L138" s="926" t="s">
        <v>384</v>
      </c>
      <c r="M138" s="331" t="s">
        <v>277</v>
      </c>
      <c r="N138" s="366" t="s">
        <v>265</v>
      </c>
      <c r="O138" s="323" t="s">
        <v>239</v>
      </c>
      <c r="P138" s="386" t="s">
        <v>239</v>
      </c>
      <c r="Q138" s="323" t="s">
        <v>239</v>
      </c>
      <c r="R138" s="366" t="s">
        <v>239</v>
      </c>
      <c r="S138" s="378" t="s">
        <v>257</v>
      </c>
      <c r="T138" s="324" t="s">
        <v>245</v>
      </c>
      <c r="U138" s="386">
        <v>250</v>
      </c>
      <c r="V138" s="386">
        <v>2450</v>
      </c>
      <c r="W138" s="386">
        <v>500</v>
      </c>
      <c r="X138" s="386">
        <v>6200</v>
      </c>
      <c r="Y138" s="386">
        <v>280</v>
      </c>
      <c r="Z138" s="386">
        <v>140</v>
      </c>
      <c r="AA138" s="386">
        <v>200</v>
      </c>
      <c r="AB138" s="392">
        <v>5.4</v>
      </c>
      <c r="AC138" s="28">
        <v>0</v>
      </c>
      <c r="AD138" s="28">
        <v>1</v>
      </c>
      <c r="AE138" s="28">
        <v>1</v>
      </c>
      <c r="AF138" s="28">
        <v>1</v>
      </c>
      <c r="AG138" s="28">
        <v>1</v>
      </c>
      <c r="AH138" s="28">
        <v>1</v>
      </c>
      <c r="AI138" s="28">
        <v>1</v>
      </c>
      <c r="AJ138" s="28">
        <v>1</v>
      </c>
    </row>
    <row r="139" spans="1:36" x14ac:dyDescent="0.25">
      <c r="A139" s="298" t="str">
        <f>IF('Kwaliteit conversie'!$D$4='Prijs karton'!C139,"X"," ")</f>
        <v xml:space="preserve"> </v>
      </c>
      <c r="B139" s="331" t="s">
        <v>32</v>
      </c>
      <c r="C139" s="359"/>
      <c r="D139" s="366"/>
      <c r="E139" s="321"/>
      <c r="F139" s="925"/>
      <c r="G139" s="315"/>
      <c r="H139" s="315"/>
      <c r="I139" s="315"/>
      <c r="J139" s="315"/>
      <c r="K139" s="513"/>
      <c r="L139" s="926"/>
      <c r="M139" s="331"/>
      <c r="N139" s="366"/>
      <c r="O139" s="323" t="s">
        <v>239</v>
      </c>
      <c r="P139" s="386" t="s">
        <v>239</v>
      </c>
      <c r="Q139" s="323" t="s">
        <v>239</v>
      </c>
      <c r="R139" s="366" t="s">
        <v>239</v>
      </c>
      <c r="S139" s="378"/>
      <c r="T139" s="324"/>
      <c r="U139" s="386"/>
      <c r="V139" s="386"/>
      <c r="W139" s="386"/>
      <c r="X139" s="386"/>
      <c r="Y139" s="386"/>
      <c r="Z139" s="386"/>
      <c r="AA139" s="386"/>
      <c r="AB139" s="392"/>
      <c r="AC139" s="28"/>
      <c r="AD139" s="28"/>
      <c r="AE139" s="28"/>
      <c r="AF139" s="28"/>
      <c r="AG139" s="28"/>
      <c r="AH139" s="28"/>
      <c r="AI139" s="28"/>
      <c r="AJ139" s="28"/>
    </row>
    <row r="140" spans="1:36" x14ac:dyDescent="0.25">
      <c r="A140" s="298" t="str">
        <f>IF('Kwaliteit conversie'!$D$4='Prijs karton'!C140,"X"," ")</f>
        <v xml:space="preserve"> </v>
      </c>
      <c r="B140" s="331" t="s">
        <v>32</v>
      </c>
      <c r="C140" s="359" t="s">
        <v>385</v>
      </c>
      <c r="D140" s="366">
        <v>0.51</v>
      </c>
      <c r="E140" s="321">
        <v>3.7</v>
      </c>
      <c r="F140" s="925">
        <v>0</v>
      </c>
      <c r="G140" s="315">
        <v>55</v>
      </c>
      <c r="H140" s="315">
        <v>52</v>
      </c>
      <c r="I140" s="315">
        <v>51.5</v>
      </c>
      <c r="J140" s="315">
        <v>51.5</v>
      </c>
      <c r="K140" s="513">
        <v>51</v>
      </c>
      <c r="L140" s="926" t="s">
        <v>386</v>
      </c>
      <c r="M140" s="331" t="s">
        <v>294</v>
      </c>
      <c r="N140" s="366" t="s">
        <v>265</v>
      </c>
      <c r="O140" s="323" t="s">
        <v>239</v>
      </c>
      <c r="P140" s="386" t="s">
        <v>239</v>
      </c>
      <c r="Q140" s="323" t="s">
        <v>239</v>
      </c>
      <c r="R140" s="366" t="s">
        <v>239</v>
      </c>
      <c r="S140" s="378" t="s">
        <v>274</v>
      </c>
      <c r="T140" s="324" t="s">
        <v>245</v>
      </c>
      <c r="U140" s="386">
        <v>250</v>
      </c>
      <c r="V140" s="386">
        <v>2450</v>
      </c>
      <c r="W140" s="386">
        <v>500</v>
      </c>
      <c r="X140" s="386">
        <v>6200</v>
      </c>
      <c r="Y140" s="386">
        <v>280</v>
      </c>
      <c r="Z140" s="386">
        <v>140</v>
      </c>
      <c r="AA140" s="386">
        <v>200</v>
      </c>
      <c r="AB140" s="392">
        <v>6.3</v>
      </c>
      <c r="AC140" s="28">
        <v>0</v>
      </c>
      <c r="AD140" s="28">
        <v>1</v>
      </c>
      <c r="AE140" s="28">
        <v>1</v>
      </c>
      <c r="AF140" s="28">
        <v>1</v>
      </c>
      <c r="AG140" s="28">
        <v>1</v>
      </c>
      <c r="AH140" s="28">
        <v>1</v>
      </c>
      <c r="AI140" s="28">
        <v>1</v>
      </c>
      <c r="AJ140" s="28">
        <v>1</v>
      </c>
    </row>
    <row r="141" spans="1:36" x14ac:dyDescent="0.25">
      <c r="A141" s="298" t="str">
        <f>IF('Kwaliteit conversie'!$D$4='Prijs karton'!C141,"X"," ")</f>
        <v xml:space="preserve"> </v>
      </c>
      <c r="B141" s="331" t="s">
        <v>32</v>
      </c>
      <c r="C141" s="359" t="s">
        <v>387</v>
      </c>
      <c r="D141" s="366">
        <v>0.48299999999999998</v>
      </c>
      <c r="E141" s="321">
        <v>4.13</v>
      </c>
      <c r="F141" s="925">
        <v>0</v>
      </c>
      <c r="G141" s="315" t="s">
        <v>239</v>
      </c>
      <c r="H141" s="315">
        <v>60.5</v>
      </c>
      <c r="I141" s="315">
        <v>60.5</v>
      </c>
      <c r="J141" s="315">
        <v>58.5</v>
      </c>
      <c r="K141" s="513">
        <v>58.5</v>
      </c>
      <c r="L141" s="926" t="s">
        <v>388</v>
      </c>
      <c r="M141" s="331" t="s">
        <v>300</v>
      </c>
      <c r="N141" s="366" t="s">
        <v>238</v>
      </c>
      <c r="O141" s="323" t="s">
        <v>239</v>
      </c>
      <c r="P141" s="386" t="s">
        <v>239</v>
      </c>
      <c r="Q141" s="323" t="s">
        <v>239</v>
      </c>
      <c r="R141" s="366" t="s">
        <v>239</v>
      </c>
      <c r="S141" s="378" t="s">
        <v>389</v>
      </c>
      <c r="T141" s="324" t="s">
        <v>240</v>
      </c>
      <c r="U141" s="386">
        <v>240</v>
      </c>
      <c r="V141" s="386">
        <v>2450</v>
      </c>
      <c r="W141" s="386">
        <v>500</v>
      </c>
      <c r="X141" s="386">
        <v>6000</v>
      </c>
      <c r="Y141" s="386">
        <v>85</v>
      </c>
      <c r="Z141" s="386">
        <v>85</v>
      </c>
      <c r="AA141" s="386">
        <v>500</v>
      </c>
      <c r="AB141" s="392">
        <v>5.89</v>
      </c>
      <c r="AC141" s="28">
        <v>0</v>
      </c>
      <c r="AD141" s="28">
        <v>1</v>
      </c>
      <c r="AE141" s="28">
        <v>1</v>
      </c>
      <c r="AF141" s="28">
        <v>1</v>
      </c>
      <c r="AG141" s="28">
        <v>1</v>
      </c>
      <c r="AH141" s="28">
        <v>1</v>
      </c>
      <c r="AI141" s="28">
        <v>1</v>
      </c>
      <c r="AJ141" s="28">
        <v>1</v>
      </c>
    </row>
    <row r="142" spans="1:36" x14ac:dyDescent="0.25">
      <c r="A142" s="298" t="str">
        <f>IF('Kwaliteit conversie'!$D$4='Prijs karton'!C142,"X"," ")</f>
        <v xml:space="preserve"> </v>
      </c>
      <c r="B142" s="331" t="s">
        <v>32</v>
      </c>
      <c r="C142" s="359"/>
      <c r="D142" s="366"/>
      <c r="E142" s="321"/>
      <c r="F142" s="925"/>
      <c r="G142" s="315"/>
      <c r="H142" s="315"/>
      <c r="I142" s="315"/>
      <c r="J142" s="315"/>
      <c r="K142" s="513"/>
      <c r="L142" s="926"/>
      <c r="M142" s="331"/>
      <c r="N142" s="366"/>
      <c r="O142" s="323"/>
      <c r="P142" s="386"/>
      <c r="Q142" s="323"/>
      <c r="R142" s="366"/>
      <c r="S142" s="378"/>
      <c r="T142" s="324"/>
      <c r="U142" s="386"/>
      <c r="V142" s="386"/>
      <c r="W142" s="386"/>
      <c r="X142" s="386"/>
      <c r="Y142" s="386"/>
      <c r="Z142" s="386"/>
      <c r="AA142" s="386"/>
      <c r="AB142" s="392"/>
      <c r="AC142" s="28"/>
      <c r="AD142" s="28"/>
      <c r="AE142" s="28"/>
      <c r="AF142" s="28"/>
      <c r="AG142" s="28"/>
      <c r="AH142" s="28"/>
      <c r="AI142" s="28"/>
      <c r="AJ142" s="28"/>
    </row>
    <row r="143" spans="1:36" x14ac:dyDescent="0.25">
      <c r="A143" s="298" t="str">
        <f>IF('Kwaliteit conversie'!$D$4='Prijs karton'!C143,"X"," ")</f>
        <v xml:space="preserve"> </v>
      </c>
      <c r="B143" s="331" t="s">
        <v>32</v>
      </c>
      <c r="C143" s="359" t="s">
        <v>390</v>
      </c>
      <c r="D143" s="366">
        <v>0.47</v>
      </c>
      <c r="E143" s="321">
        <v>3.7</v>
      </c>
      <c r="F143" s="925">
        <v>0</v>
      </c>
      <c r="G143" s="315">
        <v>51.5</v>
      </c>
      <c r="H143" s="315">
        <v>48.5</v>
      </c>
      <c r="I143" s="315">
        <v>48</v>
      </c>
      <c r="J143" s="315">
        <v>48</v>
      </c>
      <c r="K143" s="513">
        <v>47.5</v>
      </c>
      <c r="L143" s="926" t="s">
        <v>391</v>
      </c>
      <c r="M143" s="331" t="s">
        <v>289</v>
      </c>
      <c r="N143" s="366" t="s">
        <v>357</v>
      </c>
      <c r="O143" s="323" t="s">
        <v>239</v>
      </c>
      <c r="P143" s="386" t="s">
        <v>239</v>
      </c>
      <c r="Q143" s="323" t="s">
        <v>239</v>
      </c>
      <c r="R143" s="366" t="s">
        <v>239</v>
      </c>
      <c r="S143" s="378" t="s">
        <v>257</v>
      </c>
      <c r="T143" s="324" t="s">
        <v>245</v>
      </c>
      <c r="U143" s="386">
        <v>250</v>
      </c>
      <c r="V143" s="386">
        <v>2450</v>
      </c>
      <c r="W143" s="386">
        <v>500</v>
      </c>
      <c r="X143" s="386">
        <v>6200</v>
      </c>
      <c r="Y143" s="386">
        <v>280</v>
      </c>
      <c r="Z143" s="386">
        <v>140</v>
      </c>
      <c r="AA143" s="386">
        <v>200</v>
      </c>
      <c r="AB143" s="392">
        <v>5.9</v>
      </c>
      <c r="AC143" s="28">
        <v>0</v>
      </c>
      <c r="AD143" s="28">
        <v>1</v>
      </c>
      <c r="AE143" s="28">
        <v>1</v>
      </c>
      <c r="AF143" s="28">
        <v>1</v>
      </c>
      <c r="AG143" s="28">
        <v>1</v>
      </c>
      <c r="AH143" s="28">
        <v>1</v>
      </c>
      <c r="AI143" s="28">
        <v>1</v>
      </c>
      <c r="AJ143" s="28">
        <v>1</v>
      </c>
    </row>
    <row r="144" spans="1:36" x14ac:dyDescent="0.25">
      <c r="A144" s="298" t="str">
        <f>IF('Kwaliteit conversie'!$D$4='Prijs karton'!C144,"X"," ")</f>
        <v xml:space="preserve"> </v>
      </c>
      <c r="B144" s="331" t="s">
        <v>32</v>
      </c>
      <c r="C144" s="359"/>
      <c r="D144" s="366"/>
      <c r="E144" s="321"/>
      <c r="F144" s="925"/>
      <c r="G144" s="315"/>
      <c r="H144" s="315"/>
      <c r="I144" s="315"/>
      <c r="J144" s="315"/>
      <c r="K144" s="513"/>
      <c r="L144" s="926"/>
      <c r="M144" s="331"/>
      <c r="N144" s="366"/>
      <c r="O144" s="323"/>
      <c r="P144" s="386"/>
      <c r="Q144" s="323"/>
      <c r="R144" s="366"/>
      <c r="S144" s="378"/>
      <c r="T144" s="324"/>
      <c r="U144" s="386"/>
      <c r="V144" s="386"/>
      <c r="W144" s="386"/>
      <c r="X144" s="386"/>
      <c r="Y144" s="386"/>
      <c r="Z144" s="386"/>
      <c r="AA144" s="386"/>
      <c r="AB144" s="392"/>
      <c r="AC144" s="28"/>
      <c r="AD144" s="28"/>
      <c r="AE144" s="28"/>
      <c r="AF144" s="28"/>
      <c r="AG144" s="28"/>
      <c r="AH144" s="28"/>
      <c r="AI144" s="28"/>
      <c r="AJ144" s="28"/>
    </row>
    <row r="145" spans="1:36" x14ac:dyDescent="0.25">
      <c r="A145" s="298" t="str">
        <f>IF('Kwaliteit conversie'!$D$4='Prijs karton'!C145,"X"," ")</f>
        <v xml:space="preserve"> </v>
      </c>
      <c r="B145" s="331" t="s">
        <v>32</v>
      </c>
      <c r="C145" s="359" t="s">
        <v>1413</v>
      </c>
      <c r="D145" s="366">
        <v>0.38</v>
      </c>
      <c r="E145" s="321">
        <v>3.75</v>
      </c>
      <c r="F145" s="925">
        <v>0</v>
      </c>
      <c r="G145" s="315">
        <v>36.5</v>
      </c>
      <c r="H145" s="315">
        <v>35</v>
      </c>
      <c r="I145" s="315">
        <v>34.700000000000003</v>
      </c>
      <c r="J145" s="315">
        <v>34.5</v>
      </c>
      <c r="K145" s="513">
        <v>34.5</v>
      </c>
      <c r="L145" s="926" t="s">
        <v>1414</v>
      </c>
      <c r="M145" s="331" t="s">
        <v>1363</v>
      </c>
      <c r="N145" s="366" t="s">
        <v>238</v>
      </c>
      <c r="O145" s="323" t="s">
        <v>239</v>
      </c>
      <c r="P145" s="386" t="s">
        <v>239</v>
      </c>
      <c r="Q145" s="323" t="s">
        <v>239</v>
      </c>
      <c r="R145" s="366" t="s">
        <v>239</v>
      </c>
      <c r="S145" s="378" t="s">
        <v>1363</v>
      </c>
      <c r="T145" s="324" t="s">
        <v>1364</v>
      </c>
      <c r="U145" s="386">
        <v>250</v>
      </c>
      <c r="V145" s="386">
        <v>2450</v>
      </c>
      <c r="W145" s="386">
        <v>600</v>
      </c>
      <c r="X145" s="386">
        <v>6000</v>
      </c>
      <c r="Y145" s="386">
        <v>210</v>
      </c>
      <c r="Z145" s="386">
        <v>105</v>
      </c>
      <c r="AA145" s="386">
        <v>200</v>
      </c>
      <c r="AB145" s="392">
        <v>4.21</v>
      </c>
      <c r="AC145" s="28">
        <v>0</v>
      </c>
      <c r="AD145" s="28">
        <v>1</v>
      </c>
      <c r="AE145" s="28">
        <v>1</v>
      </c>
      <c r="AF145" s="28">
        <v>1</v>
      </c>
      <c r="AG145" s="28">
        <v>1</v>
      </c>
      <c r="AH145" s="28">
        <v>1</v>
      </c>
      <c r="AI145" s="28">
        <v>1</v>
      </c>
      <c r="AJ145" s="28">
        <v>1</v>
      </c>
    </row>
    <row r="146" spans="1:36" x14ac:dyDescent="0.25">
      <c r="A146" s="298" t="str">
        <f>IF('Kwaliteit conversie'!$D$4='Prijs karton'!C146,"X"," ")</f>
        <v xml:space="preserve"> </v>
      </c>
      <c r="B146" s="331" t="s">
        <v>32</v>
      </c>
      <c r="C146" s="359" t="s">
        <v>1415</v>
      </c>
      <c r="D146" s="366">
        <v>0.46899999999999997</v>
      </c>
      <c r="E146" s="321">
        <v>3.91</v>
      </c>
      <c r="F146" s="925">
        <v>0</v>
      </c>
      <c r="G146" s="315">
        <v>44.2</v>
      </c>
      <c r="H146" s="315">
        <v>42.8</v>
      </c>
      <c r="I146" s="315">
        <v>42.5</v>
      </c>
      <c r="J146" s="315">
        <v>42.2</v>
      </c>
      <c r="K146" s="513">
        <v>42.2</v>
      </c>
      <c r="L146" s="926" t="s">
        <v>1416</v>
      </c>
      <c r="M146" s="331" t="s">
        <v>1363</v>
      </c>
      <c r="N146" s="366" t="s">
        <v>265</v>
      </c>
      <c r="O146" s="323" t="s">
        <v>239</v>
      </c>
      <c r="P146" s="386" t="s">
        <v>239</v>
      </c>
      <c r="Q146" s="323" t="s">
        <v>239</v>
      </c>
      <c r="R146" s="366" t="s">
        <v>239</v>
      </c>
      <c r="S146" s="378" t="s">
        <v>1367</v>
      </c>
      <c r="T146" s="324" t="s">
        <v>1364</v>
      </c>
      <c r="U146" s="386">
        <v>250</v>
      </c>
      <c r="V146" s="386">
        <v>2450</v>
      </c>
      <c r="W146" s="386">
        <v>600</v>
      </c>
      <c r="X146" s="386">
        <v>6000</v>
      </c>
      <c r="Y146" s="386">
        <v>210</v>
      </c>
      <c r="Z146" s="386">
        <v>105</v>
      </c>
      <c r="AA146" s="386">
        <v>200</v>
      </c>
      <c r="AB146" s="392">
        <v>5.34</v>
      </c>
      <c r="AC146" s="28">
        <v>0</v>
      </c>
      <c r="AD146" s="28">
        <v>1</v>
      </c>
      <c r="AE146" s="28">
        <v>1</v>
      </c>
      <c r="AF146" s="28">
        <v>1</v>
      </c>
      <c r="AG146" s="28">
        <v>1</v>
      </c>
      <c r="AH146" s="28">
        <v>1</v>
      </c>
      <c r="AI146" s="28">
        <v>1</v>
      </c>
      <c r="AJ146" s="28">
        <v>1</v>
      </c>
    </row>
    <row r="147" spans="1:36" x14ac:dyDescent="0.25">
      <c r="A147" s="298" t="str">
        <f>IF('Kwaliteit conversie'!$D$4='Prijs karton'!C147,"X"," ")</f>
        <v xml:space="preserve"> </v>
      </c>
      <c r="B147" s="331" t="s">
        <v>32</v>
      </c>
      <c r="C147" s="359" t="s">
        <v>1417</v>
      </c>
      <c r="D147" s="366">
        <v>0.39500000000000002</v>
      </c>
      <c r="E147" s="321">
        <v>3.77</v>
      </c>
      <c r="F147" s="925">
        <v>0</v>
      </c>
      <c r="G147" s="315">
        <v>41.3</v>
      </c>
      <c r="H147" s="315">
        <v>40</v>
      </c>
      <c r="I147" s="315">
        <v>39.700000000000003</v>
      </c>
      <c r="J147" s="315">
        <v>39.4</v>
      </c>
      <c r="K147" s="513">
        <v>39.4</v>
      </c>
      <c r="L147" s="926" t="s">
        <v>1418</v>
      </c>
      <c r="M147" s="331" t="s">
        <v>1362</v>
      </c>
      <c r="N147" s="366" t="s">
        <v>238</v>
      </c>
      <c r="O147" s="323" t="s">
        <v>239</v>
      </c>
      <c r="P147" s="386" t="s">
        <v>239</v>
      </c>
      <c r="Q147" s="323" t="s">
        <v>239</v>
      </c>
      <c r="R147" s="366" t="s">
        <v>239</v>
      </c>
      <c r="S147" s="378" t="s">
        <v>1363</v>
      </c>
      <c r="T147" s="324" t="s">
        <v>1364</v>
      </c>
      <c r="U147" s="386">
        <v>250</v>
      </c>
      <c r="V147" s="386">
        <v>2450</v>
      </c>
      <c r="W147" s="386">
        <v>600</v>
      </c>
      <c r="X147" s="386">
        <v>6000</v>
      </c>
      <c r="Y147" s="386">
        <v>210</v>
      </c>
      <c r="Z147" s="386">
        <v>105</v>
      </c>
      <c r="AA147" s="386">
        <v>200</v>
      </c>
      <c r="AB147" s="392">
        <v>4.6900000000000004</v>
      </c>
      <c r="AC147" s="28">
        <v>0</v>
      </c>
      <c r="AD147" s="28">
        <v>1</v>
      </c>
      <c r="AE147" s="28">
        <v>1</v>
      </c>
      <c r="AF147" s="28">
        <v>1</v>
      </c>
      <c r="AG147" s="28">
        <v>1</v>
      </c>
      <c r="AH147" s="28">
        <v>1</v>
      </c>
      <c r="AI147" s="28">
        <v>1</v>
      </c>
      <c r="AJ147" s="28">
        <v>1</v>
      </c>
    </row>
    <row r="148" spans="1:36" x14ac:dyDescent="0.25">
      <c r="A148" s="298" t="str">
        <f>IF('Kwaliteit conversie'!$D$4='Prijs karton'!C148,"X"," ")</f>
        <v xml:space="preserve"> </v>
      </c>
      <c r="B148" s="331" t="s">
        <v>32</v>
      </c>
      <c r="C148" s="359" t="s">
        <v>1419</v>
      </c>
      <c r="D148" s="366">
        <v>0.435</v>
      </c>
      <c r="E148" s="321">
        <v>3.83</v>
      </c>
      <c r="F148" s="925">
        <v>0</v>
      </c>
      <c r="G148" s="315">
        <v>43.1</v>
      </c>
      <c r="H148" s="315">
        <v>41.7</v>
      </c>
      <c r="I148" s="315">
        <v>41.5</v>
      </c>
      <c r="J148" s="315">
        <v>41.2</v>
      </c>
      <c r="K148" s="513">
        <v>41.2</v>
      </c>
      <c r="L148" s="926" t="s">
        <v>1420</v>
      </c>
      <c r="M148" s="331" t="s">
        <v>277</v>
      </c>
      <c r="N148" s="366" t="s">
        <v>238</v>
      </c>
      <c r="O148" s="323" t="s">
        <v>239</v>
      </c>
      <c r="P148" s="386" t="s">
        <v>239</v>
      </c>
      <c r="Q148" s="323" t="s">
        <v>239</v>
      </c>
      <c r="R148" s="366" t="s">
        <v>239</v>
      </c>
      <c r="S148" s="378" t="s">
        <v>1367</v>
      </c>
      <c r="T148" s="324" t="s">
        <v>1364</v>
      </c>
      <c r="U148" s="386">
        <v>250</v>
      </c>
      <c r="V148" s="386">
        <v>2450</v>
      </c>
      <c r="W148" s="386">
        <v>600</v>
      </c>
      <c r="X148" s="386">
        <v>6000</v>
      </c>
      <c r="Y148" s="386">
        <v>210</v>
      </c>
      <c r="Z148" s="386">
        <v>105</v>
      </c>
      <c r="AA148" s="386">
        <v>200</v>
      </c>
      <c r="AB148" s="392">
        <v>5.0999999999999996</v>
      </c>
      <c r="AC148" s="28">
        <v>0</v>
      </c>
      <c r="AD148" s="28">
        <v>1</v>
      </c>
      <c r="AE148" s="28">
        <v>1</v>
      </c>
      <c r="AF148" s="28">
        <v>1</v>
      </c>
      <c r="AG148" s="28">
        <v>1</v>
      </c>
      <c r="AH148" s="28">
        <v>1</v>
      </c>
      <c r="AI148" s="28">
        <v>1</v>
      </c>
      <c r="AJ148" s="28">
        <v>1</v>
      </c>
    </row>
    <row r="149" spans="1:36" x14ac:dyDescent="0.25">
      <c r="A149" s="298" t="str">
        <f>IF('Kwaliteit conversie'!$D$4='Prijs karton'!C149,"X"," ")</f>
        <v xml:space="preserve"> </v>
      </c>
      <c r="B149" s="331" t="s">
        <v>32</v>
      </c>
      <c r="C149" s="359" t="s">
        <v>1421</v>
      </c>
      <c r="D149" s="366">
        <v>0.495</v>
      </c>
      <c r="E149" s="321">
        <v>3.91</v>
      </c>
      <c r="F149" s="925">
        <v>0</v>
      </c>
      <c r="G149" s="315">
        <v>50.6</v>
      </c>
      <c r="H149" s="315">
        <v>49.3</v>
      </c>
      <c r="I149" s="315">
        <v>49</v>
      </c>
      <c r="J149" s="315">
        <v>48.7</v>
      </c>
      <c r="K149" s="513">
        <v>48.7</v>
      </c>
      <c r="L149" s="926" t="s">
        <v>1422</v>
      </c>
      <c r="M149" s="331" t="s">
        <v>1372</v>
      </c>
      <c r="N149" s="366" t="s">
        <v>265</v>
      </c>
      <c r="O149" s="323" t="s">
        <v>239</v>
      </c>
      <c r="P149" s="386" t="s">
        <v>239</v>
      </c>
      <c r="Q149" s="323" t="s">
        <v>239</v>
      </c>
      <c r="R149" s="366" t="s">
        <v>239</v>
      </c>
      <c r="S149" s="378" t="s">
        <v>1363</v>
      </c>
      <c r="T149" s="324" t="s">
        <v>1364</v>
      </c>
      <c r="U149" s="386">
        <v>250</v>
      </c>
      <c r="V149" s="386">
        <v>2450</v>
      </c>
      <c r="W149" s="386">
        <v>600</v>
      </c>
      <c r="X149" s="386">
        <v>6000</v>
      </c>
      <c r="Y149" s="386">
        <v>210</v>
      </c>
      <c r="Z149" s="386">
        <v>105</v>
      </c>
      <c r="AA149" s="386">
        <v>200</v>
      </c>
      <c r="AB149" s="392">
        <v>5.82</v>
      </c>
      <c r="AC149" s="28">
        <v>0</v>
      </c>
      <c r="AD149" s="28">
        <v>1</v>
      </c>
      <c r="AE149" s="28">
        <v>1</v>
      </c>
      <c r="AF149" s="28">
        <v>1</v>
      </c>
      <c r="AG149" s="28">
        <v>1</v>
      </c>
      <c r="AH149" s="28">
        <v>1</v>
      </c>
      <c r="AI149" s="28">
        <v>1</v>
      </c>
      <c r="AJ149" s="28">
        <v>1</v>
      </c>
    </row>
    <row r="150" spans="1:36" x14ac:dyDescent="0.25">
      <c r="A150" s="298" t="str">
        <f>IF('Kwaliteit conversie'!$D$4='Prijs karton'!C150,"X"," ")</f>
        <v xml:space="preserve"> </v>
      </c>
      <c r="B150" s="331" t="s">
        <v>32</v>
      </c>
      <c r="C150" s="359"/>
      <c r="D150" s="366"/>
      <c r="E150" s="321"/>
      <c r="F150" s="925"/>
      <c r="G150" s="315"/>
      <c r="H150" s="315"/>
      <c r="I150" s="315"/>
      <c r="J150" s="315"/>
      <c r="K150" s="513"/>
      <c r="L150" s="926"/>
      <c r="M150" s="331"/>
      <c r="N150" s="366"/>
      <c r="O150" s="323"/>
      <c r="P150" s="386"/>
      <c r="Q150" s="323"/>
      <c r="R150" s="366"/>
      <c r="S150" s="378"/>
      <c r="T150" s="324"/>
      <c r="U150" s="386"/>
      <c r="V150" s="386"/>
      <c r="W150" s="386"/>
      <c r="X150" s="386"/>
      <c r="Y150" s="386"/>
      <c r="Z150" s="386"/>
      <c r="AA150" s="386"/>
      <c r="AB150" s="392"/>
      <c r="AC150" s="28"/>
      <c r="AD150" s="28"/>
      <c r="AE150" s="28"/>
      <c r="AF150" s="28"/>
      <c r="AG150" s="28"/>
      <c r="AH150" s="28"/>
      <c r="AI150" s="28"/>
      <c r="AJ150" s="28"/>
    </row>
    <row r="151" spans="1:36" x14ac:dyDescent="0.25">
      <c r="A151" s="298" t="str">
        <f>IF('Kwaliteit conversie'!$D$4='Prijs karton'!C151,"X"," ")</f>
        <v xml:space="preserve"> </v>
      </c>
      <c r="B151" s="331" t="s">
        <v>32</v>
      </c>
      <c r="C151" s="359"/>
      <c r="D151" s="366"/>
      <c r="E151" s="321"/>
      <c r="F151" s="925"/>
      <c r="G151" s="315"/>
      <c r="H151" s="315"/>
      <c r="I151" s="315"/>
      <c r="J151" s="315"/>
      <c r="K151" s="513"/>
      <c r="L151" s="926"/>
      <c r="M151" s="331"/>
      <c r="N151" s="366"/>
      <c r="O151" s="323"/>
      <c r="P151" s="386"/>
      <c r="Q151" s="323"/>
      <c r="R151" s="366"/>
      <c r="S151" s="378"/>
      <c r="T151" s="324"/>
      <c r="U151" s="386"/>
      <c r="V151" s="386"/>
      <c r="W151" s="386"/>
      <c r="X151" s="386"/>
      <c r="Y151" s="386"/>
      <c r="Z151" s="386"/>
      <c r="AA151" s="386"/>
      <c r="AB151" s="392"/>
      <c r="AC151" s="28"/>
      <c r="AD151" s="28"/>
      <c r="AE151" s="28"/>
      <c r="AF151" s="28"/>
      <c r="AG151" s="28"/>
      <c r="AH151" s="28"/>
      <c r="AI151" s="28"/>
      <c r="AJ151" s="28"/>
    </row>
    <row r="152" spans="1:36" x14ac:dyDescent="0.25">
      <c r="A152" s="298" t="str">
        <f>IF('Kwaliteit conversie'!$D$4='Prijs karton'!C152,"X"," ")</f>
        <v xml:space="preserve"> </v>
      </c>
      <c r="B152" s="331" t="s">
        <v>32</v>
      </c>
      <c r="C152" s="359"/>
      <c r="D152" s="366"/>
      <c r="E152" s="321"/>
      <c r="F152" s="925"/>
      <c r="G152" s="315"/>
      <c r="H152" s="315"/>
      <c r="I152" s="315"/>
      <c r="J152" s="315"/>
      <c r="K152" s="513"/>
      <c r="L152" s="926"/>
      <c r="M152" s="331"/>
      <c r="N152" s="366"/>
      <c r="O152" s="323"/>
      <c r="P152" s="386"/>
      <c r="Q152" s="323"/>
      <c r="R152" s="366"/>
      <c r="S152" s="378"/>
      <c r="T152" s="324"/>
      <c r="U152" s="386"/>
      <c r="V152" s="386"/>
      <c r="W152" s="386"/>
      <c r="X152" s="386"/>
      <c r="Y152" s="386"/>
      <c r="Z152" s="386"/>
      <c r="AA152" s="386"/>
      <c r="AB152" s="392"/>
      <c r="AC152" s="28"/>
      <c r="AD152" s="28"/>
      <c r="AE152" s="28"/>
      <c r="AF152" s="28"/>
      <c r="AG152" s="28"/>
      <c r="AH152" s="28"/>
      <c r="AI152" s="28"/>
      <c r="AJ152" s="28"/>
    </row>
    <row r="153" spans="1:36" x14ac:dyDescent="0.25">
      <c r="A153" s="298" t="str">
        <f>IF('Kwaliteit conversie'!$D$4='Prijs karton'!C153,"X"," ")</f>
        <v xml:space="preserve"> </v>
      </c>
      <c r="B153" s="331" t="s">
        <v>32</v>
      </c>
      <c r="C153" s="359"/>
      <c r="D153" s="366"/>
      <c r="E153" s="321"/>
      <c r="F153" s="925"/>
      <c r="G153" s="315"/>
      <c r="H153" s="315"/>
      <c r="I153" s="315"/>
      <c r="J153" s="315"/>
      <c r="K153" s="513"/>
      <c r="L153" s="926"/>
      <c r="M153" s="331"/>
      <c r="N153" s="366"/>
      <c r="O153" s="323"/>
      <c r="P153" s="386"/>
      <c r="Q153" s="323"/>
      <c r="R153" s="366"/>
      <c r="S153" s="378"/>
      <c r="T153" s="324"/>
      <c r="U153" s="386"/>
      <c r="V153" s="386"/>
      <c r="W153" s="386"/>
      <c r="X153" s="386"/>
      <c r="Y153" s="386"/>
      <c r="Z153" s="386"/>
      <c r="AA153" s="386"/>
      <c r="AB153" s="392"/>
      <c r="AC153" s="28"/>
      <c r="AD153" s="28"/>
      <c r="AE153" s="28"/>
      <c r="AF153" s="28"/>
      <c r="AG153" s="28"/>
      <c r="AH153" s="28"/>
      <c r="AI153" s="28"/>
      <c r="AJ153" s="28"/>
    </row>
    <row r="154" spans="1:36" x14ac:dyDescent="0.25">
      <c r="A154" s="298" t="str">
        <f>IF('Kwaliteit conversie'!$D$4='Prijs karton'!C154,"X"," ")</f>
        <v xml:space="preserve"> </v>
      </c>
      <c r="B154" s="331" t="s">
        <v>32</v>
      </c>
      <c r="C154" s="359"/>
      <c r="D154" s="366"/>
      <c r="E154" s="321"/>
      <c r="F154" s="925"/>
      <c r="G154" s="315"/>
      <c r="H154" s="315"/>
      <c r="I154" s="315"/>
      <c r="J154" s="315"/>
      <c r="K154" s="513"/>
      <c r="L154" s="926"/>
      <c r="M154" s="331"/>
      <c r="N154" s="366"/>
      <c r="O154" s="323"/>
      <c r="P154" s="386"/>
      <c r="Q154" s="323"/>
      <c r="R154" s="366"/>
      <c r="S154" s="378"/>
      <c r="T154" s="324"/>
      <c r="U154" s="386"/>
      <c r="V154" s="386"/>
      <c r="W154" s="386"/>
      <c r="X154" s="386"/>
      <c r="Y154" s="386"/>
      <c r="Z154" s="386"/>
      <c r="AA154" s="386"/>
      <c r="AB154" s="392"/>
      <c r="AC154" s="28"/>
      <c r="AD154" s="28"/>
      <c r="AE154" s="28"/>
      <c r="AF154" s="28"/>
      <c r="AG154" s="28"/>
      <c r="AH154" s="28"/>
      <c r="AI154" s="28"/>
      <c r="AJ154" s="28"/>
    </row>
    <row r="155" spans="1:36" x14ac:dyDescent="0.25">
      <c r="A155" s="298" t="str">
        <f>IF('Kwaliteit conversie'!$D$4='Prijs karton'!C155,"X"," ")</f>
        <v xml:space="preserve"> </v>
      </c>
      <c r="B155" s="331" t="s">
        <v>32</v>
      </c>
      <c r="C155" s="359"/>
      <c r="D155" s="366"/>
      <c r="E155" s="321"/>
      <c r="F155" s="925"/>
      <c r="G155" s="315"/>
      <c r="H155" s="315"/>
      <c r="I155" s="315"/>
      <c r="J155" s="315"/>
      <c r="K155" s="513"/>
      <c r="L155" s="926"/>
      <c r="M155" s="331"/>
      <c r="N155" s="366"/>
      <c r="O155" s="323"/>
      <c r="P155" s="386"/>
      <c r="Q155" s="323"/>
      <c r="R155" s="366"/>
      <c r="S155" s="378"/>
      <c r="T155" s="324"/>
      <c r="U155" s="386"/>
      <c r="V155" s="386"/>
      <c r="W155" s="386"/>
      <c r="X155" s="386"/>
      <c r="Y155" s="386"/>
      <c r="Z155" s="386"/>
      <c r="AA155" s="386"/>
      <c r="AB155" s="392"/>
      <c r="AC155" s="28"/>
      <c r="AD155" s="28"/>
      <c r="AE155" s="28"/>
      <c r="AF155" s="28"/>
      <c r="AG155" s="28"/>
      <c r="AH155" s="28"/>
      <c r="AI155" s="28"/>
      <c r="AJ155" s="28"/>
    </row>
    <row r="156" spans="1:36" s="320" customFormat="1" x14ac:dyDescent="0.25">
      <c r="A156" s="329" t="str">
        <f>IF('Kwaliteit conversie'!$D$4='Prijs karton'!C156,"X"," ")</f>
        <v xml:space="preserve"> </v>
      </c>
      <c r="B156" s="332" t="s">
        <v>32</v>
      </c>
      <c r="C156" s="360" t="s">
        <v>392</v>
      </c>
      <c r="D156" s="367">
        <v>0.5</v>
      </c>
      <c r="E156" s="322">
        <v>3.8</v>
      </c>
      <c r="F156" s="927">
        <v>0</v>
      </c>
      <c r="G156" s="319">
        <v>0</v>
      </c>
      <c r="H156" s="319">
        <v>0</v>
      </c>
      <c r="I156" s="319">
        <v>0</v>
      </c>
      <c r="J156" s="319">
        <v>0</v>
      </c>
      <c r="K156" s="928">
        <v>0</v>
      </c>
      <c r="L156" s="929" t="s">
        <v>239</v>
      </c>
      <c r="M156" s="379" t="s">
        <v>239</v>
      </c>
      <c r="N156" s="367" t="s">
        <v>239</v>
      </c>
      <c r="O156" s="325" t="s">
        <v>239</v>
      </c>
      <c r="P156" s="387" t="s">
        <v>239</v>
      </c>
      <c r="Q156" s="325" t="s">
        <v>239</v>
      </c>
      <c r="R156" s="367" t="s">
        <v>239</v>
      </c>
      <c r="S156" s="380" t="s">
        <v>239</v>
      </c>
      <c r="T156" s="326" t="s">
        <v>245</v>
      </c>
      <c r="U156" s="387">
        <v>250</v>
      </c>
      <c r="V156" s="387">
        <v>2450</v>
      </c>
      <c r="W156" s="387">
        <v>500</v>
      </c>
      <c r="X156" s="387">
        <v>6200</v>
      </c>
      <c r="Y156" s="387">
        <v>280</v>
      </c>
      <c r="Z156" s="387">
        <v>140</v>
      </c>
      <c r="AA156" s="387">
        <v>200</v>
      </c>
      <c r="AB156" s="393">
        <v>5</v>
      </c>
      <c r="AC156" s="34">
        <v>0</v>
      </c>
      <c r="AD156" s="34">
        <v>1</v>
      </c>
      <c r="AE156" s="34">
        <v>1</v>
      </c>
      <c r="AF156" s="34">
        <v>1</v>
      </c>
      <c r="AG156" s="34">
        <v>1</v>
      </c>
      <c r="AH156" s="34">
        <v>1</v>
      </c>
      <c r="AI156" s="34">
        <v>1</v>
      </c>
      <c r="AJ156" s="34">
        <v>1</v>
      </c>
    </row>
    <row r="157" spans="1:36" x14ac:dyDescent="0.25">
      <c r="A157" s="298" t="str">
        <f>IF('Kwaliteit conversie'!$D$4='Prijs karton'!C157,"X"," ")</f>
        <v xml:space="preserve"> </v>
      </c>
      <c r="B157" s="331"/>
      <c r="C157" s="359"/>
      <c r="D157" s="366"/>
      <c r="E157" s="321"/>
      <c r="F157" s="925"/>
      <c r="G157" s="315"/>
      <c r="H157" s="315"/>
      <c r="I157" s="315"/>
      <c r="J157" s="315"/>
      <c r="K157" s="513"/>
      <c r="L157" s="926"/>
      <c r="M157" s="331"/>
      <c r="N157" s="366"/>
      <c r="O157" s="323"/>
      <c r="P157" s="386"/>
      <c r="Q157" s="323"/>
      <c r="R157" s="366"/>
      <c r="S157" s="378"/>
      <c r="T157" s="324"/>
      <c r="U157" s="386"/>
      <c r="V157" s="386"/>
      <c r="W157" s="386"/>
      <c r="X157" s="386"/>
      <c r="Y157" s="386"/>
      <c r="Z157" s="386"/>
      <c r="AA157" s="386"/>
      <c r="AB157" s="392"/>
      <c r="AC157" s="28"/>
      <c r="AD157" s="28"/>
      <c r="AE157" s="28"/>
      <c r="AF157" s="28"/>
      <c r="AG157" s="28"/>
      <c r="AH157" s="28"/>
      <c r="AI157" s="28"/>
      <c r="AJ157" s="28"/>
    </row>
    <row r="158" spans="1:36" x14ac:dyDescent="0.25">
      <c r="A158" s="298" t="str">
        <f>IF('Kwaliteit conversie'!$D$4='Prijs karton'!C158,"X"," ")</f>
        <v xml:space="preserve"> </v>
      </c>
      <c r="B158" s="331"/>
      <c r="C158" s="359"/>
      <c r="D158" s="366"/>
      <c r="E158" s="321"/>
      <c r="F158" s="925"/>
      <c r="G158" s="315"/>
      <c r="H158" s="315"/>
      <c r="I158" s="315"/>
      <c r="J158" s="315"/>
      <c r="K158" s="513"/>
      <c r="L158" s="926"/>
      <c r="M158" s="331"/>
      <c r="N158" s="366"/>
      <c r="O158" s="323"/>
      <c r="P158" s="386"/>
      <c r="Q158" s="323"/>
      <c r="R158" s="366"/>
      <c r="S158" s="378"/>
      <c r="T158" s="324"/>
      <c r="U158" s="386"/>
      <c r="V158" s="386"/>
      <c r="W158" s="386"/>
      <c r="X158" s="386"/>
      <c r="Y158" s="386"/>
      <c r="Z158" s="386"/>
      <c r="AA158" s="386"/>
      <c r="AB158" s="392"/>
      <c r="AC158" s="28"/>
      <c r="AD158" s="28"/>
      <c r="AE158" s="28"/>
      <c r="AF158" s="28"/>
      <c r="AG158" s="28"/>
      <c r="AH158" s="28"/>
      <c r="AI158" s="28"/>
      <c r="AJ158" s="28"/>
    </row>
    <row r="159" spans="1:36" x14ac:dyDescent="0.25">
      <c r="A159" s="298" t="str">
        <f>IF('Kwaliteit conversie'!$D$4='Prijs karton'!C159,"X"," ")</f>
        <v xml:space="preserve"> </v>
      </c>
      <c r="B159" s="331"/>
      <c r="C159" s="359"/>
      <c r="D159" s="366"/>
      <c r="E159" s="321"/>
      <c r="F159" s="925"/>
      <c r="G159" s="315"/>
      <c r="H159" s="315"/>
      <c r="I159" s="315"/>
      <c r="J159" s="315"/>
      <c r="K159" s="513"/>
      <c r="L159" s="926"/>
      <c r="M159" s="331"/>
      <c r="N159" s="366"/>
      <c r="O159" s="323"/>
      <c r="P159" s="386"/>
      <c r="Q159" s="323"/>
      <c r="R159" s="366"/>
      <c r="S159" s="378"/>
      <c r="T159" s="324"/>
      <c r="U159" s="386"/>
      <c r="V159" s="386"/>
      <c r="W159" s="386"/>
      <c r="X159" s="386"/>
      <c r="Y159" s="386"/>
      <c r="Z159" s="386"/>
      <c r="AA159" s="386"/>
      <c r="AB159" s="392"/>
      <c r="AC159" s="28"/>
      <c r="AD159" s="28"/>
      <c r="AE159" s="28"/>
      <c r="AF159" s="28"/>
      <c r="AG159" s="28"/>
      <c r="AH159" s="28"/>
      <c r="AI159" s="28"/>
      <c r="AJ159" s="28"/>
    </row>
    <row r="160" spans="1:36" x14ac:dyDescent="0.25">
      <c r="A160" s="298" t="str">
        <f>IF('Kwaliteit conversie'!$D$4='Prijs karton'!C160,"X"," ")</f>
        <v xml:space="preserve"> </v>
      </c>
      <c r="B160" s="331" t="s">
        <v>37</v>
      </c>
      <c r="C160" s="359"/>
      <c r="D160" s="366"/>
      <c r="E160" s="321"/>
      <c r="F160" s="925"/>
      <c r="G160" s="315"/>
      <c r="H160" s="315"/>
      <c r="I160" s="315"/>
      <c r="J160" s="315"/>
      <c r="K160" s="513"/>
      <c r="L160" s="926"/>
      <c r="M160" s="331"/>
      <c r="N160" s="366"/>
      <c r="O160" s="323"/>
      <c r="P160" s="386"/>
      <c r="Q160" s="323"/>
      <c r="R160" s="366"/>
      <c r="S160" s="378"/>
      <c r="T160" s="324"/>
      <c r="U160" s="386"/>
      <c r="V160" s="386"/>
      <c r="W160" s="386"/>
      <c r="X160" s="386"/>
      <c r="Y160" s="386"/>
      <c r="Z160" s="386"/>
      <c r="AA160" s="386"/>
      <c r="AB160" s="392"/>
      <c r="AC160" s="28"/>
      <c r="AD160" s="28"/>
      <c r="AE160" s="28"/>
      <c r="AF160" s="28"/>
      <c r="AG160" s="28"/>
      <c r="AH160" s="28"/>
      <c r="AI160" s="28"/>
      <c r="AJ160" s="28"/>
    </row>
    <row r="161" spans="1:36" x14ac:dyDescent="0.25">
      <c r="A161" s="932" t="str">
        <f>IF('Kwaliteit conversie'!$D$4='Prijs karton'!C161,"X"," ")</f>
        <v xml:space="preserve"> </v>
      </c>
      <c r="B161" s="331" t="s">
        <v>37</v>
      </c>
      <c r="C161" s="359" t="s">
        <v>393</v>
      </c>
      <c r="D161" s="366">
        <v>1.28</v>
      </c>
      <c r="E161" s="321">
        <v>8.6999999999999993</v>
      </c>
      <c r="F161" s="925">
        <v>0</v>
      </c>
      <c r="G161" s="315">
        <v>149</v>
      </c>
      <c r="H161" s="315">
        <v>146</v>
      </c>
      <c r="I161" s="315">
        <v>145.5</v>
      </c>
      <c r="J161" s="315">
        <v>145.5</v>
      </c>
      <c r="K161" s="513">
        <v>145</v>
      </c>
      <c r="L161" s="926" t="s">
        <v>394</v>
      </c>
      <c r="M161" s="331" t="s">
        <v>360</v>
      </c>
      <c r="N161" s="366" t="s">
        <v>357</v>
      </c>
      <c r="O161" s="323" t="s">
        <v>360</v>
      </c>
      <c r="P161" s="386" t="s">
        <v>357</v>
      </c>
      <c r="Q161" s="323" t="s">
        <v>239</v>
      </c>
      <c r="R161" s="366" t="s">
        <v>239</v>
      </c>
      <c r="S161" s="378" t="s">
        <v>360</v>
      </c>
      <c r="T161" s="324" t="s">
        <v>245</v>
      </c>
      <c r="U161" s="386">
        <v>250</v>
      </c>
      <c r="V161" s="386">
        <v>2450</v>
      </c>
      <c r="W161" s="386">
        <v>800</v>
      </c>
      <c r="X161" s="386">
        <v>6200</v>
      </c>
      <c r="Y161" s="386">
        <v>160</v>
      </c>
      <c r="Z161" s="386">
        <v>80</v>
      </c>
      <c r="AA161" s="386">
        <v>300</v>
      </c>
      <c r="AB161" s="392">
        <v>17.2</v>
      </c>
      <c r="AC161" s="28">
        <v>0</v>
      </c>
      <c r="AD161" s="28">
        <v>0</v>
      </c>
      <c r="AE161" s="28">
        <v>1</v>
      </c>
      <c r="AF161" s="28">
        <v>0</v>
      </c>
      <c r="AG161" s="28">
        <v>0</v>
      </c>
      <c r="AH161" s="28">
        <v>1</v>
      </c>
      <c r="AI161" s="28">
        <v>0</v>
      </c>
      <c r="AJ161" s="28">
        <v>1</v>
      </c>
    </row>
    <row r="162" spans="1:36" x14ac:dyDescent="0.25">
      <c r="A162" s="298" t="str">
        <f>IF('Kwaliteit conversie'!$D$4='Prijs karton'!C162,"X"," ")</f>
        <v xml:space="preserve"> </v>
      </c>
      <c r="B162" s="331" t="s">
        <v>37</v>
      </c>
      <c r="C162" s="359" t="s">
        <v>395</v>
      </c>
      <c r="D162" s="366">
        <v>1.415</v>
      </c>
      <c r="E162" s="321">
        <v>8.9</v>
      </c>
      <c r="F162" s="925">
        <v>0</v>
      </c>
      <c r="G162" s="315">
        <v>163.5</v>
      </c>
      <c r="H162" s="315">
        <v>160.5</v>
      </c>
      <c r="I162" s="315">
        <v>160</v>
      </c>
      <c r="J162" s="315">
        <v>160</v>
      </c>
      <c r="K162" s="513">
        <v>159.5</v>
      </c>
      <c r="L162" s="926" t="s">
        <v>396</v>
      </c>
      <c r="M162" s="331" t="s">
        <v>397</v>
      </c>
      <c r="N162" s="366" t="s">
        <v>398</v>
      </c>
      <c r="O162" s="323" t="s">
        <v>399</v>
      </c>
      <c r="P162" s="386" t="s">
        <v>398</v>
      </c>
      <c r="Q162" s="323" t="s">
        <v>239</v>
      </c>
      <c r="R162" s="366" t="s">
        <v>239</v>
      </c>
      <c r="S162" s="378" t="s">
        <v>397</v>
      </c>
      <c r="T162" s="324" t="s">
        <v>245</v>
      </c>
      <c r="U162" s="386">
        <v>250</v>
      </c>
      <c r="V162" s="386">
        <v>2450</v>
      </c>
      <c r="W162" s="386">
        <v>800</v>
      </c>
      <c r="X162" s="386">
        <v>6200</v>
      </c>
      <c r="Y162" s="386">
        <v>160</v>
      </c>
      <c r="Z162" s="386">
        <v>80</v>
      </c>
      <c r="AA162" s="386">
        <v>300</v>
      </c>
      <c r="AB162" s="392">
        <v>19.600000000000001</v>
      </c>
      <c r="AC162" s="28">
        <v>0</v>
      </c>
      <c r="AD162" s="28">
        <v>0</v>
      </c>
      <c r="AE162" s="28">
        <v>1</v>
      </c>
      <c r="AF162" s="28">
        <v>0</v>
      </c>
      <c r="AG162" s="28">
        <v>0</v>
      </c>
      <c r="AH162" s="28">
        <v>1</v>
      </c>
      <c r="AI162" s="28">
        <v>0</v>
      </c>
      <c r="AJ162" s="28">
        <v>1</v>
      </c>
    </row>
    <row r="163" spans="1:36" x14ac:dyDescent="0.25">
      <c r="A163" s="298" t="str">
        <f>IF('Kwaliteit conversie'!$D$4='Prijs karton'!C163,"X"," ")</f>
        <v xml:space="preserve"> </v>
      </c>
      <c r="B163" s="331" t="s">
        <v>37</v>
      </c>
      <c r="C163" s="359"/>
      <c r="D163" s="366"/>
      <c r="E163" s="321"/>
      <c r="F163" s="925"/>
      <c r="G163" s="315"/>
      <c r="H163" s="315"/>
      <c r="I163" s="315"/>
      <c r="J163" s="315"/>
      <c r="K163" s="513"/>
      <c r="L163" s="926"/>
      <c r="M163" s="331"/>
      <c r="N163" s="366"/>
      <c r="O163" s="323"/>
      <c r="P163" s="386"/>
      <c r="Q163" s="323"/>
      <c r="R163" s="366"/>
      <c r="S163" s="378"/>
      <c r="T163" s="324"/>
      <c r="U163" s="386"/>
      <c r="V163" s="386"/>
      <c r="W163" s="386"/>
      <c r="X163" s="386"/>
      <c r="Y163" s="386"/>
      <c r="Z163" s="386"/>
      <c r="AA163" s="386"/>
      <c r="AB163" s="392"/>
      <c r="AC163" s="28"/>
      <c r="AD163" s="28"/>
      <c r="AE163" s="28"/>
      <c r="AF163" s="28"/>
      <c r="AG163" s="28"/>
      <c r="AH163" s="28"/>
      <c r="AI163" s="28"/>
      <c r="AJ163" s="28"/>
    </row>
    <row r="164" spans="1:36" x14ac:dyDescent="0.25">
      <c r="A164" s="298" t="str">
        <f>IF('Kwaliteit conversie'!$D$4='Prijs karton'!C164,"X"," ")</f>
        <v xml:space="preserve"> </v>
      </c>
      <c r="B164" s="331" t="s">
        <v>37</v>
      </c>
      <c r="C164" s="359"/>
      <c r="D164" s="366"/>
      <c r="E164" s="321"/>
      <c r="F164" s="925"/>
      <c r="G164" s="315"/>
      <c r="H164" s="315"/>
      <c r="I164" s="315"/>
      <c r="J164" s="315"/>
      <c r="K164" s="513"/>
      <c r="L164" s="926"/>
      <c r="M164" s="331"/>
      <c r="N164" s="366"/>
      <c r="O164" s="323"/>
      <c r="P164" s="386"/>
      <c r="Q164" s="323"/>
      <c r="R164" s="366"/>
      <c r="S164" s="378"/>
      <c r="T164" s="324"/>
      <c r="U164" s="386"/>
      <c r="V164" s="386"/>
      <c r="W164" s="386"/>
      <c r="X164" s="386"/>
      <c r="Y164" s="386"/>
      <c r="Z164" s="386"/>
      <c r="AA164" s="386"/>
      <c r="AB164" s="392"/>
      <c r="AC164" s="28"/>
      <c r="AD164" s="28"/>
      <c r="AE164" s="28"/>
      <c r="AF164" s="28"/>
      <c r="AG164" s="28"/>
      <c r="AH164" s="28"/>
      <c r="AI164" s="28"/>
      <c r="AJ164" s="28"/>
    </row>
    <row r="165" spans="1:36" x14ac:dyDescent="0.25">
      <c r="A165" s="298" t="str">
        <f>IF('Kwaliteit conversie'!$D$4='Prijs karton'!C165,"X"," ")</f>
        <v xml:space="preserve"> </v>
      </c>
      <c r="B165" s="331" t="s">
        <v>37</v>
      </c>
      <c r="C165" s="359"/>
      <c r="D165" s="366"/>
      <c r="E165" s="321"/>
      <c r="F165" s="925"/>
      <c r="G165" s="315"/>
      <c r="H165" s="315"/>
      <c r="I165" s="315"/>
      <c r="J165" s="315"/>
      <c r="K165" s="513"/>
      <c r="L165" s="926"/>
      <c r="M165" s="331"/>
      <c r="N165" s="366"/>
      <c r="O165" s="323"/>
      <c r="P165" s="386"/>
      <c r="Q165" s="323"/>
      <c r="R165" s="366"/>
      <c r="S165" s="378"/>
      <c r="T165" s="324"/>
      <c r="U165" s="386"/>
      <c r="V165" s="386"/>
      <c r="W165" s="386"/>
      <c r="X165" s="386"/>
      <c r="Y165" s="386"/>
      <c r="Z165" s="386"/>
      <c r="AA165" s="386"/>
      <c r="AB165" s="392"/>
      <c r="AC165" s="28"/>
      <c r="AD165" s="28"/>
      <c r="AE165" s="28"/>
      <c r="AF165" s="28"/>
      <c r="AG165" s="28"/>
      <c r="AH165" s="28"/>
      <c r="AI165" s="28"/>
      <c r="AJ165" s="28"/>
    </row>
    <row r="166" spans="1:36" x14ac:dyDescent="0.25">
      <c r="A166" s="298" t="str">
        <f>IF('Kwaliteit conversie'!$D$4='Prijs karton'!C166,"X"," ")</f>
        <v xml:space="preserve"> </v>
      </c>
      <c r="B166" s="331" t="s">
        <v>37</v>
      </c>
      <c r="C166" s="359"/>
      <c r="D166" s="366"/>
      <c r="E166" s="321"/>
      <c r="F166" s="925"/>
      <c r="G166" s="315"/>
      <c r="H166" s="315"/>
      <c r="I166" s="315"/>
      <c r="J166" s="315"/>
      <c r="K166" s="513"/>
      <c r="L166" s="926"/>
      <c r="M166" s="331"/>
      <c r="N166" s="366"/>
      <c r="O166" s="323"/>
      <c r="P166" s="386"/>
      <c r="Q166" s="323"/>
      <c r="R166" s="366"/>
      <c r="S166" s="378"/>
      <c r="T166" s="324"/>
      <c r="U166" s="386"/>
      <c r="V166" s="386"/>
      <c r="W166" s="386"/>
      <c r="X166" s="386"/>
      <c r="Y166" s="386"/>
      <c r="Z166" s="386"/>
      <c r="AA166" s="386"/>
      <c r="AB166" s="392"/>
      <c r="AC166" s="28"/>
      <c r="AD166" s="28"/>
      <c r="AE166" s="28"/>
      <c r="AF166" s="28"/>
      <c r="AG166" s="28"/>
      <c r="AH166" s="28"/>
      <c r="AI166" s="28"/>
      <c r="AJ166" s="28"/>
    </row>
    <row r="167" spans="1:36" x14ac:dyDescent="0.25">
      <c r="A167" s="298" t="str">
        <f>IF('Kwaliteit conversie'!$D$4='Prijs karton'!C167,"X"," ")</f>
        <v xml:space="preserve"> </v>
      </c>
      <c r="B167" s="331" t="s">
        <v>37</v>
      </c>
      <c r="C167" s="359"/>
      <c r="D167" s="366"/>
      <c r="E167" s="321"/>
      <c r="F167" s="925"/>
      <c r="G167" s="315"/>
      <c r="H167" s="315"/>
      <c r="I167" s="315"/>
      <c r="J167" s="315"/>
      <c r="K167" s="513"/>
      <c r="L167" s="926"/>
      <c r="M167" s="331"/>
      <c r="N167" s="366"/>
      <c r="O167" s="323"/>
      <c r="P167" s="386"/>
      <c r="Q167" s="323"/>
      <c r="R167" s="366"/>
      <c r="S167" s="378"/>
      <c r="T167" s="324"/>
      <c r="U167" s="386"/>
      <c r="V167" s="386"/>
      <c r="W167" s="386"/>
      <c r="X167" s="386"/>
      <c r="Y167" s="386"/>
      <c r="Z167" s="386"/>
      <c r="AA167" s="386"/>
      <c r="AB167" s="392"/>
      <c r="AC167" s="28"/>
      <c r="AD167" s="28"/>
      <c r="AE167" s="28"/>
      <c r="AF167" s="28"/>
      <c r="AG167" s="28"/>
      <c r="AH167" s="28"/>
      <c r="AI167" s="28"/>
      <c r="AJ167" s="28"/>
    </row>
    <row r="168" spans="1:36" x14ac:dyDescent="0.25">
      <c r="A168" s="298" t="str">
        <f>IF('Kwaliteit conversie'!$D$4='Prijs karton'!C168,"X"," ")</f>
        <v xml:space="preserve"> </v>
      </c>
      <c r="B168" s="331" t="s">
        <v>37</v>
      </c>
      <c r="C168" s="359"/>
      <c r="D168" s="366"/>
      <c r="E168" s="321"/>
      <c r="F168" s="925"/>
      <c r="G168" s="315"/>
      <c r="H168" s="315"/>
      <c r="I168" s="315"/>
      <c r="J168" s="315"/>
      <c r="K168" s="513"/>
      <c r="L168" s="926"/>
      <c r="M168" s="331"/>
      <c r="N168" s="366"/>
      <c r="O168" s="323"/>
      <c r="P168" s="386"/>
      <c r="Q168" s="323"/>
      <c r="R168" s="366"/>
      <c r="S168" s="378"/>
      <c r="T168" s="324"/>
      <c r="U168" s="386"/>
      <c r="V168" s="386"/>
      <c r="W168" s="386"/>
      <c r="X168" s="386"/>
      <c r="Y168" s="386"/>
      <c r="Z168" s="386"/>
      <c r="AA168" s="386"/>
      <c r="AB168" s="392"/>
      <c r="AC168" s="28"/>
      <c r="AD168" s="28"/>
      <c r="AE168" s="28"/>
      <c r="AF168" s="28"/>
      <c r="AG168" s="28"/>
      <c r="AH168" s="28"/>
      <c r="AI168" s="28"/>
      <c r="AJ168" s="28"/>
    </row>
    <row r="169" spans="1:36" x14ac:dyDescent="0.25">
      <c r="A169" s="298" t="str">
        <f>IF('Kwaliteit conversie'!$D$4='Prijs karton'!C169,"X"," ")</f>
        <v xml:space="preserve"> </v>
      </c>
      <c r="B169" s="331" t="s">
        <v>37</v>
      </c>
      <c r="C169" s="359"/>
      <c r="D169" s="366"/>
      <c r="E169" s="321"/>
      <c r="F169" s="925"/>
      <c r="G169" s="315"/>
      <c r="H169" s="315"/>
      <c r="I169" s="315"/>
      <c r="J169" s="315"/>
      <c r="K169" s="513"/>
      <c r="L169" s="926"/>
      <c r="M169" s="331"/>
      <c r="N169" s="366"/>
      <c r="O169" s="323"/>
      <c r="P169" s="386"/>
      <c r="Q169" s="323"/>
      <c r="R169" s="366"/>
      <c r="S169" s="378"/>
      <c r="T169" s="324"/>
      <c r="U169" s="386"/>
      <c r="V169" s="386"/>
      <c r="W169" s="386"/>
      <c r="X169" s="386"/>
      <c r="Y169" s="386"/>
      <c r="Z169" s="386"/>
      <c r="AA169" s="386"/>
      <c r="AB169" s="392"/>
      <c r="AC169" s="28"/>
      <c r="AD169" s="28"/>
      <c r="AE169" s="28"/>
      <c r="AF169" s="28"/>
      <c r="AG169" s="28"/>
      <c r="AH169" s="28"/>
      <c r="AI169" s="28"/>
      <c r="AJ169" s="28"/>
    </row>
    <row r="170" spans="1:36" s="320" customFormat="1" x14ac:dyDescent="0.25">
      <c r="A170" s="329" t="str">
        <f>IF('Kwaliteit conversie'!$D$4='Prijs karton'!C170,"X"," ")</f>
        <v xml:space="preserve"> </v>
      </c>
      <c r="B170" s="332" t="s">
        <v>37</v>
      </c>
      <c r="C170" s="360"/>
      <c r="D170" s="367"/>
      <c r="E170" s="322"/>
      <c r="F170" s="927"/>
      <c r="G170" s="319"/>
      <c r="H170" s="319"/>
      <c r="I170" s="319"/>
      <c r="J170" s="319"/>
      <c r="K170" s="928"/>
      <c r="L170" s="929"/>
      <c r="M170" s="379"/>
      <c r="N170" s="367"/>
      <c r="O170" s="325"/>
      <c r="P170" s="387"/>
      <c r="Q170" s="325"/>
      <c r="R170" s="367"/>
      <c r="S170" s="380"/>
      <c r="T170" s="326"/>
      <c r="U170" s="387"/>
      <c r="V170" s="387"/>
      <c r="W170" s="387"/>
      <c r="X170" s="387"/>
      <c r="Y170" s="387"/>
      <c r="Z170" s="387"/>
      <c r="AA170" s="387"/>
      <c r="AB170" s="393"/>
      <c r="AC170" s="34"/>
      <c r="AD170" s="34"/>
      <c r="AE170" s="34"/>
      <c r="AF170" s="34"/>
      <c r="AG170" s="34"/>
      <c r="AH170" s="34"/>
      <c r="AI170" s="34"/>
      <c r="AJ170" s="34"/>
    </row>
    <row r="171" spans="1:36" x14ac:dyDescent="0.25">
      <c r="A171" s="298" t="str">
        <f>IF('Kwaliteit conversie'!$D$4='Prijs karton'!C171,"X"," ")</f>
        <v xml:space="preserve"> </v>
      </c>
      <c r="B171" s="331"/>
      <c r="C171" s="359"/>
      <c r="D171" s="366"/>
      <c r="E171" s="321"/>
      <c r="F171" s="925"/>
      <c r="G171" s="315"/>
      <c r="H171" s="315"/>
      <c r="I171" s="315"/>
      <c r="J171" s="315"/>
      <c r="K171" s="513"/>
      <c r="L171" s="926"/>
      <c r="M171" s="331"/>
      <c r="N171" s="366"/>
      <c r="O171" s="323"/>
      <c r="P171" s="386"/>
      <c r="Q171" s="323"/>
      <c r="R171" s="366"/>
      <c r="S171" s="378"/>
      <c r="T171" s="324"/>
      <c r="U171" s="386"/>
      <c r="V171" s="386"/>
      <c r="W171" s="386"/>
      <c r="X171" s="386"/>
      <c r="Y171" s="386"/>
      <c r="Z171" s="386"/>
      <c r="AA171" s="386"/>
      <c r="AB171" s="392"/>
      <c r="AC171" s="28"/>
      <c r="AD171" s="28"/>
      <c r="AE171" s="28"/>
      <c r="AF171" s="28"/>
      <c r="AG171" s="28"/>
      <c r="AH171" s="28"/>
      <c r="AI171" s="28"/>
      <c r="AJ171" s="28"/>
    </row>
    <row r="172" spans="1:36" x14ac:dyDescent="0.25">
      <c r="A172" s="298" t="str">
        <f>IF('Kwaliteit conversie'!$D$4='Prijs karton'!C172,"X"," ")</f>
        <v xml:space="preserve"> </v>
      </c>
      <c r="B172" s="331"/>
      <c r="C172" s="359"/>
      <c r="D172" s="366"/>
      <c r="E172" s="321"/>
      <c r="F172" s="925"/>
      <c r="G172" s="315"/>
      <c r="H172" s="315"/>
      <c r="I172" s="315"/>
      <c r="J172" s="315"/>
      <c r="K172" s="513"/>
      <c r="L172" s="926"/>
      <c r="M172" s="331"/>
      <c r="N172" s="366"/>
      <c r="O172" s="323"/>
      <c r="P172" s="386"/>
      <c r="Q172" s="323"/>
      <c r="R172" s="366"/>
      <c r="S172" s="378"/>
      <c r="T172" s="324"/>
      <c r="U172" s="386"/>
      <c r="V172" s="386"/>
      <c r="W172" s="386"/>
      <c r="X172" s="386"/>
      <c r="Y172" s="386"/>
      <c r="Z172" s="386"/>
      <c r="AA172" s="386"/>
      <c r="AB172" s="392"/>
      <c r="AC172" s="28"/>
      <c r="AD172" s="28"/>
      <c r="AE172" s="28"/>
      <c r="AF172" s="28"/>
      <c r="AG172" s="28"/>
      <c r="AH172" s="28"/>
      <c r="AI172" s="28"/>
      <c r="AJ172" s="28"/>
    </row>
    <row r="173" spans="1:36" x14ac:dyDescent="0.25">
      <c r="A173" s="298" t="str">
        <f>IF('Kwaliteit conversie'!$D$4='Prijs karton'!C173,"X"," ")</f>
        <v xml:space="preserve"> </v>
      </c>
      <c r="B173" s="331"/>
      <c r="C173" s="359"/>
      <c r="D173" s="366"/>
      <c r="E173" s="321"/>
      <c r="F173" s="925"/>
      <c r="G173" s="315"/>
      <c r="H173" s="315"/>
      <c r="I173" s="315"/>
      <c r="J173" s="315"/>
      <c r="K173" s="513"/>
      <c r="L173" s="926"/>
      <c r="M173" s="331"/>
      <c r="N173" s="366"/>
      <c r="O173" s="323"/>
      <c r="P173" s="386"/>
      <c r="Q173" s="323"/>
      <c r="R173" s="366"/>
      <c r="S173" s="378"/>
      <c r="T173" s="324"/>
      <c r="U173" s="386"/>
      <c r="V173" s="386"/>
      <c r="W173" s="386"/>
      <c r="X173" s="386"/>
      <c r="Y173" s="386"/>
      <c r="Z173" s="386"/>
      <c r="AA173" s="386"/>
      <c r="AB173" s="392"/>
      <c r="AC173" s="28"/>
      <c r="AD173" s="28"/>
      <c r="AE173" s="28"/>
      <c r="AF173" s="28"/>
      <c r="AG173" s="28"/>
      <c r="AH173" s="28"/>
      <c r="AI173" s="28"/>
      <c r="AJ173" s="28"/>
    </row>
    <row r="174" spans="1:36" x14ac:dyDescent="0.25">
      <c r="A174" s="932" t="str">
        <f>IF('Kwaliteit conversie'!$D$4='Prijs karton'!C174,"X"," ")</f>
        <v xml:space="preserve"> </v>
      </c>
      <c r="B174" s="331" t="s">
        <v>38</v>
      </c>
      <c r="C174" s="359" t="s">
        <v>400</v>
      </c>
      <c r="D174" s="366">
        <v>1.085</v>
      </c>
      <c r="E174" s="321">
        <v>12.5</v>
      </c>
      <c r="F174" s="925">
        <v>0</v>
      </c>
      <c r="G174" s="315">
        <v>123.9</v>
      </c>
      <c r="H174" s="315">
        <v>120.9</v>
      </c>
      <c r="I174" s="315">
        <v>120.4</v>
      </c>
      <c r="J174" s="315">
        <v>120.4</v>
      </c>
      <c r="K174" s="513">
        <v>119.9</v>
      </c>
      <c r="L174" s="926" t="s">
        <v>401</v>
      </c>
      <c r="M174" s="331" t="s">
        <v>277</v>
      </c>
      <c r="N174" s="366" t="s">
        <v>265</v>
      </c>
      <c r="O174" s="323" t="s">
        <v>285</v>
      </c>
      <c r="P174" s="386" t="s">
        <v>285</v>
      </c>
      <c r="Q174" s="323" t="s">
        <v>285</v>
      </c>
      <c r="R174" s="366" t="s">
        <v>285</v>
      </c>
      <c r="S174" s="378" t="s">
        <v>277</v>
      </c>
      <c r="T174" s="324" t="s">
        <v>245</v>
      </c>
      <c r="U174" s="386">
        <v>250</v>
      </c>
      <c r="V174" s="386">
        <v>2450</v>
      </c>
      <c r="W174" s="386">
        <v>800</v>
      </c>
      <c r="X174" s="386">
        <v>6200</v>
      </c>
      <c r="Y174" s="386">
        <v>130</v>
      </c>
      <c r="Z174" s="386">
        <v>65</v>
      </c>
      <c r="AA174" s="386">
        <v>300</v>
      </c>
      <c r="AB174" s="392">
        <v>13.1</v>
      </c>
      <c r="AC174" s="28">
        <v>0</v>
      </c>
      <c r="AD174" s="28">
        <v>0</v>
      </c>
      <c r="AE174" s="28">
        <v>1</v>
      </c>
      <c r="AF174" s="28">
        <v>0</v>
      </c>
      <c r="AG174" s="28">
        <v>0</v>
      </c>
      <c r="AH174" s="28">
        <v>0</v>
      </c>
      <c r="AI174" s="28">
        <v>0</v>
      </c>
      <c r="AJ174" s="28">
        <v>1</v>
      </c>
    </row>
    <row r="175" spans="1:36" x14ac:dyDescent="0.25">
      <c r="A175" s="298" t="str">
        <f>IF('Kwaliteit conversie'!$D$4='Prijs karton'!C175,"X"," ")</f>
        <v xml:space="preserve"> </v>
      </c>
      <c r="B175" s="331" t="s">
        <v>38</v>
      </c>
      <c r="C175" s="359" t="s">
        <v>402</v>
      </c>
      <c r="D175" s="366">
        <v>1.21</v>
      </c>
      <c r="E175" s="321">
        <v>12.7</v>
      </c>
      <c r="F175" s="925">
        <v>0</v>
      </c>
      <c r="G175" s="315">
        <v>141</v>
      </c>
      <c r="H175" s="315">
        <v>138</v>
      </c>
      <c r="I175" s="315">
        <v>137.5</v>
      </c>
      <c r="J175" s="315">
        <v>137.5</v>
      </c>
      <c r="K175" s="513">
        <v>137</v>
      </c>
      <c r="L175" s="926" t="s">
        <v>403</v>
      </c>
      <c r="M175" s="331" t="s">
        <v>294</v>
      </c>
      <c r="N175" s="366" t="s">
        <v>357</v>
      </c>
      <c r="O175" s="323" t="s">
        <v>285</v>
      </c>
      <c r="P175" s="386" t="s">
        <v>357</v>
      </c>
      <c r="Q175" s="323" t="s">
        <v>285</v>
      </c>
      <c r="R175" s="366" t="s">
        <v>285</v>
      </c>
      <c r="S175" s="378" t="s">
        <v>294</v>
      </c>
      <c r="T175" s="324" t="s">
        <v>245</v>
      </c>
      <c r="U175" s="386">
        <v>250</v>
      </c>
      <c r="V175" s="386">
        <v>2450</v>
      </c>
      <c r="W175" s="386">
        <v>800</v>
      </c>
      <c r="X175" s="386">
        <v>6200</v>
      </c>
      <c r="Y175" s="386">
        <v>130</v>
      </c>
      <c r="Z175" s="386">
        <v>65</v>
      </c>
      <c r="AA175" s="386">
        <v>300</v>
      </c>
      <c r="AB175" s="392">
        <v>15.5</v>
      </c>
      <c r="AC175" s="28">
        <v>0</v>
      </c>
      <c r="AD175" s="28">
        <v>0</v>
      </c>
      <c r="AE175" s="28">
        <v>1</v>
      </c>
      <c r="AF175" s="28">
        <v>0</v>
      </c>
      <c r="AG175" s="28">
        <v>0</v>
      </c>
      <c r="AH175" s="28">
        <v>0</v>
      </c>
      <c r="AI175" s="28">
        <v>0</v>
      </c>
      <c r="AJ175" s="28">
        <v>1</v>
      </c>
    </row>
    <row r="176" spans="1:36" x14ac:dyDescent="0.25">
      <c r="A176" s="298" t="str">
        <f>IF('Kwaliteit conversie'!$D$4='Prijs karton'!C176,"X"," ")</f>
        <v xml:space="preserve"> </v>
      </c>
      <c r="B176" s="331" t="s">
        <v>38</v>
      </c>
      <c r="C176" s="359" t="s">
        <v>404</v>
      </c>
      <c r="D176" s="366">
        <v>1.4</v>
      </c>
      <c r="E176" s="321">
        <v>12.9</v>
      </c>
      <c r="F176" s="925">
        <v>0</v>
      </c>
      <c r="G176" s="315">
        <v>161.19999999999999</v>
      </c>
      <c r="H176" s="315">
        <v>158.19999999999999</v>
      </c>
      <c r="I176" s="315">
        <v>157.69999999999999</v>
      </c>
      <c r="J176" s="315">
        <v>157.69999999999999</v>
      </c>
      <c r="K176" s="513">
        <v>157.19999999999999</v>
      </c>
      <c r="L176" s="926" t="s">
        <v>405</v>
      </c>
      <c r="M176" s="331" t="s">
        <v>360</v>
      </c>
      <c r="N176" s="366" t="s">
        <v>357</v>
      </c>
      <c r="O176" s="323" t="s">
        <v>398</v>
      </c>
      <c r="P176" s="386" t="s">
        <v>357</v>
      </c>
      <c r="Q176" s="323" t="s">
        <v>398</v>
      </c>
      <c r="R176" s="366" t="s">
        <v>357</v>
      </c>
      <c r="S176" s="378" t="s">
        <v>294</v>
      </c>
      <c r="T176" s="324" t="s">
        <v>245</v>
      </c>
      <c r="U176" s="386">
        <v>250</v>
      </c>
      <c r="V176" s="386">
        <v>2450</v>
      </c>
      <c r="W176" s="386">
        <v>800</v>
      </c>
      <c r="X176" s="386">
        <v>6200</v>
      </c>
      <c r="Y176" s="386">
        <v>130</v>
      </c>
      <c r="Z176" s="386">
        <v>65</v>
      </c>
      <c r="AA176" s="386">
        <v>300</v>
      </c>
      <c r="AB176" s="392">
        <v>19.3</v>
      </c>
      <c r="AC176" s="28">
        <v>0</v>
      </c>
      <c r="AD176" s="28">
        <v>0</v>
      </c>
      <c r="AE176" s="28">
        <v>1</v>
      </c>
      <c r="AF176" s="28">
        <v>0</v>
      </c>
      <c r="AG176" s="28">
        <v>0</v>
      </c>
      <c r="AH176" s="28">
        <v>0</v>
      </c>
      <c r="AI176" s="28">
        <v>0</v>
      </c>
      <c r="AJ176" s="28">
        <v>1</v>
      </c>
    </row>
    <row r="177" spans="1:36" x14ac:dyDescent="0.25">
      <c r="A177" s="298" t="str">
        <f>IF('Kwaliteit conversie'!$D$4='Prijs karton'!C177,"X"," ")</f>
        <v xml:space="preserve"> </v>
      </c>
      <c r="B177" s="331" t="s">
        <v>38</v>
      </c>
      <c r="C177" s="359" t="s">
        <v>406</v>
      </c>
      <c r="D177" s="366">
        <v>1.54</v>
      </c>
      <c r="E177" s="321">
        <v>13.1</v>
      </c>
      <c r="F177" s="925">
        <v>0</v>
      </c>
      <c r="G177" s="315">
        <v>180.8</v>
      </c>
      <c r="H177" s="315">
        <v>177.8</v>
      </c>
      <c r="I177" s="315">
        <v>177.3</v>
      </c>
      <c r="J177" s="315">
        <v>177.3</v>
      </c>
      <c r="K177" s="513">
        <v>176.8</v>
      </c>
      <c r="L177" s="926" t="s">
        <v>407</v>
      </c>
      <c r="M177" s="331" t="s">
        <v>360</v>
      </c>
      <c r="N177" s="366" t="s">
        <v>398</v>
      </c>
      <c r="O177" s="323" t="s">
        <v>398</v>
      </c>
      <c r="P177" s="386" t="s">
        <v>398</v>
      </c>
      <c r="Q177" s="323" t="s">
        <v>399</v>
      </c>
      <c r="R177" s="366" t="s">
        <v>357</v>
      </c>
      <c r="S177" s="378" t="s">
        <v>360</v>
      </c>
      <c r="T177" s="324" t="s">
        <v>245</v>
      </c>
      <c r="U177" s="386">
        <v>250</v>
      </c>
      <c r="V177" s="386">
        <v>2450</v>
      </c>
      <c r="W177" s="386">
        <v>800</v>
      </c>
      <c r="X177" s="386">
        <v>6200</v>
      </c>
      <c r="Y177" s="386">
        <v>130</v>
      </c>
      <c r="Z177" s="386">
        <v>65</v>
      </c>
      <c r="AA177" s="386">
        <v>300</v>
      </c>
      <c r="AB177" s="392">
        <v>22.8</v>
      </c>
      <c r="AC177" s="28">
        <v>0</v>
      </c>
      <c r="AD177" s="28">
        <v>0</v>
      </c>
      <c r="AE177" s="28">
        <v>1</v>
      </c>
      <c r="AF177" s="28">
        <v>0</v>
      </c>
      <c r="AG177" s="28">
        <v>0</v>
      </c>
      <c r="AH177" s="28">
        <v>0</v>
      </c>
      <c r="AI177" s="28">
        <v>0</v>
      </c>
      <c r="AJ177" s="28">
        <v>1</v>
      </c>
    </row>
    <row r="178" spans="1:36" x14ac:dyDescent="0.25">
      <c r="A178" s="298" t="str">
        <f>IF('Kwaliteit conversie'!$D$4='Prijs karton'!C178,"X"," ")</f>
        <v xml:space="preserve"> </v>
      </c>
      <c r="B178" s="331" t="s">
        <v>38</v>
      </c>
      <c r="C178" s="359" t="s">
        <v>408</v>
      </c>
      <c r="D178" s="366">
        <v>1.8149999999999999</v>
      </c>
      <c r="E178" s="321">
        <v>13.4</v>
      </c>
      <c r="F178" s="925">
        <v>0</v>
      </c>
      <c r="G178" s="315">
        <v>215.7</v>
      </c>
      <c r="H178" s="315">
        <v>212.7</v>
      </c>
      <c r="I178" s="315">
        <v>212.2</v>
      </c>
      <c r="J178" s="315">
        <v>212.2</v>
      </c>
      <c r="K178" s="513">
        <v>211.7</v>
      </c>
      <c r="L178" s="926" t="s">
        <v>409</v>
      </c>
      <c r="M178" s="331" t="s">
        <v>397</v>
      </c>
      <c r="N178" s="366" t="s">
        <v>398</v>
      </c>
      <c r="O178" s="323" t="s">
        <v>399</v>
      </c>
      <c r="P178" s="386" t="s">
        <v>398</v>
      </c>
      <c r="Q178" s="323" t="s">
        <v>399</v>
      </c>
      <c r="R178" s="366" t="s">
        <v>398</v>
      </c>
      <c r="S178" s="378" t="s">
        <v>397</v>
      </c>
      <c r="T178" s="324" t="s">
        <v>245</v>
      </c>
      <c r="U178" s="386">
        <v>250</v>
      </c>
      <c r="V178" s="386">
        <v>2450</v>
      </c>
      <c r="W178" s="386">
        <v>800</v>
      </c>
      <c r="X178" s="386">
        <v>6200</v>
      </c>
      <c r="Y178" s="386">
        <v>130</v>
      </c>
      <c r="Z178" s="386">
        <v>65</v>
      </c>
      <c r="AA178" s="386">
        <v>300</v>
      </c>
      <c r="AB178" s="392">
        <v>26.3</v>
      </c>
      <c r="AC178" s="28">
        <v>0</v>
      </c>
      <c r="AD178" s="28">
        <v>0</v>
      </c>
      <c r="AE178" s="28">
        <v>1</v>
      </c>
      <c r="AF178" s="28">
        <v>0</v>
      </c>
      <c r="AG178" s="28">
        <v>0</v>
      </c>
      <c r="AH178" s="28">
        <v>0</v>
      </c>
      <c r="AI178" s="28">
        <v>0</v>
      </c>
      <c r="AJ178" s="28">
        <v>1</v>
      </c>
    </row>
    <row r="179" spans="1:36" x14ac:dyDescent="0.25">
      <c r="A179" s="298" t="str">
        <f>IF('Kwaliteit conversie'!$D$4='Prijs karton'!C179,"X"," ")</f>
        <v xml:space="preserve"> </v>
      </c>
      <c r="B179" s="331" t="s">
        <v>38</v>
      </c>
      <c r="C179" s="359"/>
      <c r="D179" s="366"/>
      <c r="E179" s="321"/>
      <c r="F179" s="925"/>
      <c r="G179" s="315"/>
      <c r="H179" s="315"/>
      <c r="I179" s="315"/>
      <c r="J179" s="315"/>
      <c r="K179" s="513"/>
      <c r="L179" s="926"/>
      <c r="M179" s="331"/>
      <c r="N179" s="366"/>
      <c r="O179" s="323"/>
      <c r="P179" s="386"/>
      <c r="Q179" s="323"/>
      <c r="R179" s="366"/>
      <c r="S179" s="378"/>
      <c r="T179" s="324"/>
      <c r="U179" s="386"/>
      <c r="V179" s="386"/>
      <c r="W179" s="386"/>
      <c r="X179" s="386"/>
      <c r="Y179" s="386"/>
      <c r="Z179" s="386"/>
      <c r="AA179" s="386"/>
      <c r="AB179" s="392"/>
      <c r="AC179" s="28"/>
      <c r="AD179" s="28"/>
      <c r="AE179" s="28"/>
      <c r="AF179" s="28"/>
      <c r="AG179" s="28"/>
      <c r="AH179" s="28"/>
      <c r="AI179" s="28"/>
      <c r="AJ179" s="28"/>
    </row>
    <row r="180" spans="1:36" x14ac:dyDescent="0.25">
      <c r="A180" s="298" t="str">
        <f>IF('Kwaliteit conversie'!$D$4='Prijs karton'!C180,"X"," ")</f>
        <v xml:space="preserve"> </v>
      </c>
      <c r="B180" s="331" t="s">
        <v>38</v>
      </c>
      <c r="C180" s="359"/>
      <c r="D180" s="366"/>
      <c r="E180" s="321"/>
      <c r="F180" s="925"/>
      <c r="G180" s="315"/>
      <c r="H180" s="315"/>
      <c r="I180" s="315"/>
      <c r="J180" s="315"/>
      <c r="K180" s="513"/>
      <c r="L180" s="926"/>
      <c r="M180" s="331"/>
      <c r="N180" s="366"/>
      <c r="O180" s="323"/>
      <c r="P180" s="386"/>
      <c r="Q180" s="323"/>
      <c r="R180" s="366"/>
      <c r="S180" s="378"/>
      <c r="T180" s="324"/>
      <c r="U180" s="386"/>
      <c r="V180" s="386"/>
      <c r="W180" s="386"/>
      <c r="X180" s="386"/>
      <c r="Y180" s="386"/>
      <c r="Z180" s="386"/>
      <c r="AA180" s="386"/>
      <c r="AB180" s="392"/>
      <c r="AC180" s="28"/>
      <c r="AD180" s="28"/>
      <c r="AE180" s="28"/>
      <c r="AF180" s="28"/>
      <c r="AG180" s="28"/>
      <c r="AH180" s="28"/>
      <c r="AI180" s="28"/>
      <c r="AJ180" s="28"/>
    </row>
    <row r="181" spans="1:36" x14ac:dyDescent="0.25">
      <c r="A181" s="298" t="str">
        <f>IF('Kwaliteit conversie'!$D$4='Prijs karton'!C181,"X"," ")</f>
        <v xml:space="preserve"> </v>
      </c>
      <c r="B181" s="331" t="s">
        <v>38</v>
      </c>
      <c r="C181" s="359"/>
      <c r="D181" s="366"/>
      <c r="E181" s="321"/>
      <c r="F181" s="925"/>
      <c r="G181" s="315"/>
      <c r="H181" s="315"/>
      <c r="I181" s="315"/>
      <c r="J181" s="315"/>
      <c r="K181" s="513"/>
      <c r="L181" s="926"/>
      <c r="M181" s="331"/>
      <c r="N181" s="366"/>
      <c r="O181" s="323"/>
      <c r="P181" s="386"/>
      <c r="Q181" s="323"/>
      <c r="R181" s="366"/>
      <c r="S181" s="378"/>
      <c r="T181" s="324"/>
      <c r="U181" s="386"/>
      <c r="V181" s="386"/>
      <c r="W181" s="386"/>
      <c r="X181" s="386"/>
      <c r="Y181" s="386"/>
      <c r="Z181" s="386"/>
      <c r="AA181" s="386"/>
      <c r="AB181" s="392"/>
      <c r="AC181" s="28"/>
      <c r="AD181" s="28"/>
      <c r="AE181" s="28"/>
      <c r="AF181" s="28"/>
      <c r="AG181" s="28"/>
      <c r="AH181" s="28"/>
      <c r="AI181" s="28"/>
      <c r="AJ181" s="28"/>
    </row>
    <row r="182" spans="1:36" x14ac:dyDescent="0.25">
      <c r="A182" s="298" t="str">
        <f>IF('Kwaliteit conversie'!$D$4='Prijs karton'!C182,"X"," ")</f>
        <v xml:space="preserve"> </v>
      </c>
      <c r="B182" s="331" t="s">
        <v>38</v>
      </c>
      <c r="C182" s="359"/>
      <c r="D182" s="366"/>
      <c r="E182" s="321"/>
      <c r="F182" s="925"/>
      <c r="G182" s="315"/>
      <c r="H182" s="315"/>
      <c r="I182" s="315"/>
      <c r="J182" s="315"/>
      <c r="K182" s="513"/>
      <c r="L182" s="926"/>
      <c r="M182" s="331"/>
      <c r="N182" s="366"/>
      <c r="O182" s="323"/>
      <c r="P182" s="386"/>
      <c r="Q182" s="323"/>
      <c r="R182" s="366"/>
      <c r="S182" s="378"/>
      <c r="T182" s="324"/>
      <c r="U182" s="386"/>
      <c r="V182" s="386"/>
      <c r="W182" s="386"/>
      <c r="X182" s="386"/>
      <c r="Y182" s="386"/>
      <c r="Z182" s="386"/>
      <c r="AA182" s="386"/>
      <c r="AB182" s="392"/>
      <c r="AC182" s="28"/>
      <c r="AD182" s="28"/>
      <c r="AE182" s="28"/>
      <c r="AF182" s="28"/>
      <c r="AG182" s="28"/>
      <c r="AH182" s="28"/>
      <c r="AI182" s="28"/>
      <c r="AJ182" s="28"/>
    </row>
    <row r="183" spans="1:36" x14ac:dyDescent="0.25">
      <c r="A183" s="298" t="str">
        <f>IF('Kwaliteit conversie'!$D$4='Prijs karton'!C183,"X"," ")</f>
        <v xml:space="preserve"> </v>
      </c>
      <c r="B183" s="331" t="s">
        <v>38</v>
      </c>
      <c r="C183" s="359"/>
      <c r="D183" s="366"/>
      <c r="E183" s="321"/>
      <c r="F183" s="925"/>
      <c r="G183" s="315"/>
      <c r="H183" s="315"/>
      <c r="I183" s="315"/>
      <c r="J183" s="315"/>
      <c r="K183" s="513"/>
      <c r="L183" s="926"/>
      <c r="M183" s="331"/>
      <c r="N183" s="366"/>
      <c r="O183" s="323"/>
      <c r="P183" s="386"/>
      <c r="Q183" s="323"/>
      <c r="R183" s="366"/>
      <c r="S183" s="378"/>
      <c r="T183" s="324"/>
      <c r="U183" s="386"/>
      <c r="V183" s="386"/>
      <c r="W183" s="386"/>
      <c r="X183" s="386"/>
      <c r="Y183" s="386"/>
      <c r="Z183" s="386"/>
      <c r="AA183" s="386"/>
      <c r="AB183" s="392"/>
      <c r="AC183" s="28"/>
      <c r="AD183" s="28"/>
      <c r="AE183" s="28"/>
      <c r="AF183" s="28"/>
      <c r="AG183" s="28"/>
      <c r="AH183" s="28"/>
      <c r="AI183" s="28"/>
      <c r="AJ183" s="28"/>
    </row>
    <row r="184" spans="1:36" x14ac:dyDescent="0.25">
      <c r="A184" s="298" t="str">
        <f>IF('Kwaliteit conversie'!$D$4='Prijs karton'!C184,"X"," ")</f>
        <v xml:space="preserve"> </v>
      </c>
      <c r="B184" s="331" t="s">
        <v>38</v>
      </c>
      <c r="C184" s="359"/>
      <c r="D184" s="366"/>
      <c r="E184" s="321"/>
      <c r="F184" s="925"/>
      <c r="G184" s="315"/>
      <c r="H184" s="315"/>
      <c r="I184" s="315"/>
      <c r="J184" s="315"/>
      <c r="K184" s="513"/>
      <c r="L184" s="926"/>
      <c r="M184" s="331"/>
      <c r="N184" s="366"/>
      <c r="O184" s="323"/>
      <c r="P184" s="386"/>
      <c r="Q184" s="323"/>
      <c r="R184" s="366"/>
      <c r="S184" s="378"/>
      <c r="T184" s="324"/>
      <c r="U184" s="386"/>
      <c r="V184" s="386"/>
      <c r="W184" s="386"/>
      <c r="X184" s="386"/>
      <c r="Y184" s="386"/>
      <c r="Z184" s="386"/>
      <c r="AA184" s="386"/>
      <c r="AB184" s="392"/>
      <c r="AC184" s="28"/>
      <c r="AD184" s="28"/>
      <c r="AE184" s="28"/>
      <c r="AF184" s="28"/>
      <c r="AG184" s="28"/>
      <c r="AH184" s="28"/>
      <c r="AI184" s="28"/>
      <c r="AJ184" s="28"/>
    </row>
    <row r="185" spans="1:36" s="320" customFormat="1" x14ac:dyDescent="0.25">
      <c r="A185" s="329" t="str">
        <f>IF('Kwaliteit conversie'!$D$4='Prijs karton'!C185,"X"," ")</f>
        <v xml:space="preserve"> </v>
      </c>
      <c r="B185" s="332" t="s">
        <v>38</v>
      </c>
      <c r="C185" s="360"/>
      <c r="D185" s="367"/>
      <c r="E185" s="322"/>
      <c r="F185" s="927"/>
      <c r="G185" s="319"/>
      <c r="H185" s="319"/>
      <c r="I185" s="319"/>
      <c r="J185" s="319"/>
      <c r="K185" s="928"/>
      <c r="L185" s="929"/>
      <c r="M185" s="379"/>
      <c r="N185" s="367"/>
      <c r="O185" s="325"/>
      <c r="P185" s="387"/>
      <c r="Q185" s="325"/>
      <c r="R185" s="367"/>
      <c r="S185" s="380"/>
      <c r="T185" s="326"/>
      <c r="U185" s="387"/>
      <c r="V185" s="387"/>
      <c r="W185" s="387"/>
      <c r="X185" s="387"/>
      <c r="Y185" s="387"/>
      <c r="Z185" s="387"/>
      <c r="AA185" s="387"/>
      <c r="AB185" s="393"/>
      <c r="AC185" s="34"/>
      <c r="AD185" s="34"/>
      <c r="AE185" s="34"/>
      <c r="AF185" s="34"/>
      <c r="AG185" s="34"/>
      <c r="AH185" s="34"/>
      <c r="AI185" s="34"/>
      <c r="AJ185" s="34"/>
    </row>
    <row r="186" spans="1:36" x14ac:dyDescent="0.25">
      <c r="A186" s="298" t="str">
        <f>IF('Kwaliteit conversie'!$D$4='Prijs karton'!C186,"X"," ")</f>
        <v xml:space="preserve"> </v>
      </c>
      <c r="B186" s="331"/>
      <c r="C186" s="359"/>
      <c r="D186" s="366"/>
      <c r="E186" s="321"/>
      <c r="F186" s="925"/>
      <c r="G186" s="315"/>
      <c r="H186" s="315"/>
      <c r="I186" s="315"/>
      <c r="J186" s="315"/>
      <c r="K186" s="513"/>
      <c r="L186" s="926"/>
      <c r="M186" s="331"/>
      <c r="N186" s="366"/>
      <c r="O186" s="323"/>
      <c r="P186" s="386"/>
      <c r="Q186" s="323"/>
      <c r="R186" s="366"/>
      <c r="S186" s="378"/>
      <c r="T186" s="324"/>
      <c r="U186" s="386"/>
      <c r="V186" s="386"/>
      <c r="W186" s="386"/>
      <c r="X186" s="386"/>
      <c r="Y186" s="386"/>
      <c r="Z186" s="386"/>
      <c r="AA186" s="386"/>
      <c r="AB186" s="392"/>
      <c r="AC186" s="28"/>
      <c r="AD186" s="28"/>
      <c r="AE186" s="28"/>
      <c r="AF186" s="28"/>
      <c r="AG186" s="28"/>
      <c r="AH186" s="28"/>
      <c r="AI186" s="28"/>
      <c r="AJ186" s="28"/>
    </row>
    <row r="187" spans="1:36" x14ac:dyDescent="0.25">
      <c r="A187" s="298" t="str">
        <f>IF('Kwaliteit conversie'!$D$4='Prijs karton'!C187,"X"," ")</f>
        <v xml:space="preserve"> </v>
      </c>
      <c r="B187" s="331" t="s">
        <v>30</v>
      </c>
      <c r="C187" s="359" t="s">
        <v>1423</v>
      </c>
      <c r="D187" s="366">
        <v>0.29299999999999998</v>
      </c>
      <c r="E187" s="321">
        <v>1.46</v>
      </c>
      <c r="F187" s="925">
        <v>0</v>
      </c>
      <c r="G187" s="315">
        <v>30.9</v>
      </c>
      <c r="H187" s="315">
        <v>29.4</v>
      </c>
      <c r="I187" s="315">
        <v>29.1</v>
      </c>
      <c r="J187" s="315">
        <v>28.9</v>
      </c>
      <c r="K187" s="513">
        <v>28.9</v>
      </c>
      <c r="L187" s="926" t="s">
        <v>1424</v>
      </c>
      <c r="M187" s="331" t="s">
        <v>244</v>
      </c>
      <c r="N187" s="366" t="s">
        <v>244</v>
      </c>
      <c r="O187" s="323" t="s">
        <v>239</v>
      </c>
      <c r="P187" s="386" t="s">
        <v>239</v>
      </c>
      <c r="Q187" s="323" t="s">
        <v>239</v>
      </c>
      <c r="R187" s="366" t="s">
        <v>239</v>
      </c>
      <c r="S187" s="378" t="s">
        <v>244</v>
      </c>
      <c r="T187" s="324" t="s">
        <v>1364</v>
      </c>
      <c r="U187" s="386">
        <v>250</v>
      </c>
      <c r="V187" s="386">
        <v>2450</v>
      </c>
      <c r="W187" s="386">
        <v>600</v>
      </c>
      <c r="X187" s="386">
        <v>6000</v>
      </c>
      <c r="Y187" s="386">
        <v>500</v>
      </c>
      <c r="Z187" s="386">
        <v>250</v>
      </c>
      <c r="AA187" s="386">
        <v>200</v>
      </c>
      <c r="AB187" s="392">
        <v>3.11</v>
      </c>
      <c r="AC187" s="28">
        <v>0</v>
      </c>
      <c r="AD187" s="28">
        <v>1</v>
      </c>
      <c r="AE187" s="28">
        <v>1</v>
      </c>
      <c r="AF187" s="28">
        <v>0</v>
      </c>
      <c r="AG187" s="28">
        <v>1</v>
      </c>
      <c r="AH187" s="28">
        <v>1</v>
      </c>
      <c r="AI187" s="28">
        <v>1</v>
      </c>
      <c r="AJ187" s="28">
        <v>1</v>
      </c>
    </row>
    <row r="188" spans="1:36" x14ac:dyDescent="0.25">
      <c r="A188" s="298" t="str">
        <f>IF('Kwaliteit conversie'!$D$4='Prijs karton'!C188,"X"," ")</f>
        <v xml:space="preserve"> </v>
      </c>
      <c r="B188" s="331" t="s">
        <v>30</v>
      </c>
      <c r="C188" s="359" t="s">
        <v>1425</v>
      </c>
      <c r="D188" s="366">
        <v>0.35299999999999998</v>
      </c>
      <c r="E188" s="321">
        <v>1.55</v>
      </c>
      <c r="F188" s="925">
        <v>0</v>
      </c>
      <c r="G188" s="315">
        <v>34.4</v>
      </c>
      <c r="H188" s="315">
        <v>33.1</v>
      </c>
      <c r="I188" s="315">
        <v>32.799999999999997</v>
      </c>
      <c r="J188" s="315">
        <v>32.5</v>
      </c>
      <c r="K188" s="513">
        <v>32.5</v>
      </c>
      <c r="L188" s="926" t="s">
        <v>1426</v>
      </c>
      <c r="M188" s="331" t="s">
        <v>1363</v>
      </c>
      <c r="N188" s="366" t="s">
        <v>244</v>
      </c>
      <c r="O188" s="323" t="s">
        <v>239</v>
      </c>
      <c r="P188" s="386" t="s">
        <v>239</v>
      </c>
      <c r="Q188" s="323" t="s">
        <v>239</v>
      </c>
      <c r="R188" s="366" t="s">
        <v>239</v>
      </c>
      <c r="S188" s="378" t="s">
        <v>1363</v>
      </c>
      <c r="T188" s="324" t="s">
        <v>1364</v>
      </c>
      <c r="U188" s="386">
        <v>250</v>
      </c>
      <c r="V188" s="386">
        <v>2450</v>
      </c>
      <c r="W188" s="386">
        <v>600</v>
      </c>
      <c r="X188" s="386">
        <v>6000</v>
      </c>
      <c r="Y188" s="386">
        <v>500</v>
      </c>
      <c r="Z188" s="386">
        <v>250</v>
      </c>
      <c r="AA188" s="386">
        <v>200</v>
      </c>
      <c r="AB188" s="392">
        <v>4.17</v>
      </c>
      <c r="AC188" s="28">
        <v>0</v>
      </c>
      <c r="AD188" s="28">
        <v>1</v>
      </c>
      <c r="AE188" s="28">
        <v>1</v>
      </c>
      <c r="AF188" s="28">
        <v>0</v>
      </c>
      <c r="AG188" s="28">
        <v>1</v>
      </c>
      <c r="AH188" s="28">
        <v>1</v>
      </c>
      <c r="AI188" s="28">
        <v>1</v>
      </c>
      <c r="AJ188" s="28">
        <v>1</v>
      </c>
    </row>
    <row r="189" spans="1:36" x14ac:dyDescent="0.25">
      <c r="A189" s="932" t="str">
        <f>IF('Kwaliteit conversie'!$D$4='Prijs karton'!C189,"X"," ")</f>
        <v xml:space="preserve"> </v>
      </c>
      <c r="B189" s="331" t="s">
        <v>30</v>
      </c>
      <c r="C189" s="359" t="s">
        <v>410</v>
      </c>
      <c r="D189" s="366">
        <v>0.32500000000000001</v>
      </c>
      <c r="E189" s="321">
        <v>1.5</v>
      </c>
      <c r="F189" s="925">
        <v>0</v>
      </c>
      <c r="G189" s="315">
        <v>26.6</v>
      </c>
      <c r="H189" s="315">
        <v>23.6</v>
      </c>
      <c r="I189" s="315">
        <v>23.1</v>
      </c>
      <c r="J189" s="315">
        <v>23.1</v>
      </c>
      <c r="K189" s="513">
        <v>22.6</v>
      </c>
      <c r="L189" s="926" t="s">
        <v>411</v>
      </c>
      <c r="M189" s="331" t="s">
        <v>249</v>
      </c>
      <c r="N189" s="366" t="s">
        <v>412</v>
      </c>
      <c r="O189" s="323" t="s">
        <v>239</v>
      </c>
      <c r="P189" s="386" t="s">
        <v>239</v>
      </c>
      <c r="Q189" s="323" t="s">
        <v>239</v>
      </c>
      <c r="R189" s="366" t="s">
        <v>239</v>
      </c>
      <c r="S189" s="378" t="s">
        <v>249</v>
      </c>
      <c r="T189" s="324" t="s">
        <v>245</v>
      </c>
      <c r="U189" s="386">
        <v>250</v>
      </c>
      <c r="V189" s="386">
        <v>2450</v>
      </c>
      <c r="W189" s="386">
        <v>500</v>
      </c>
      <c r="X189" s="386">
        <v>6200</v>
      </c>
      <c r="Y189" s="386">
        <v>700</v>
      </c>
      <c r="Z189" s="386">
        <v>350</v>
      </c>
      <c r="AA189" s="386">
        <v>200</v>
      </c>
      <c r="AB189" s="392">
        <v>3.6</v>
      </c>
      <c r="AC189" s="28">
        <v>0</v>
      </c>
      <c r="AD189" s="28">
        <v>1</v>
      </c>
      <c r="AE189" s="28">
        <v>1</v>
      </c>
      <c r="AF189" s="28">
        <v>0</v>
      </c>
      <c r="AG189" s="28">
        <v>1</v>
      </c>
      <c r="AH189" s="28">
        <v>1</v>
      </c>
      <c r="AI189" s="28">
        <v>1</v>
      </c>
      <c r="AJ189" s="28">
        <v>1</v>
      </c>
    </row>
    <row r="190" spans="1:36" x14ac:dyDescent="0.25">
      <c r="A190" s="298" t="str">
        <f>IF('Kwaliteit conversie'!$D$4='Prijs karton'!C190,"X"," ")</f>
        <v xml:space="preserve"> </v>
      </c>
      <c r="B190" s="331" t="s">
        <v>30</v>
      </c>
      <c r="C190" s="359"/>
      <c r="D190" s="366"/>
      <c r="E190" s="321"/>
      <c r="F190" s="925"/>
      <c r="G190" s="315"/>
      <c r="H190" s="315"/>
      <c r="I190" s="315"/>
      <c r="J190" s="315"/>
      <c r="K190" s="513"/>
      <c r="L190" s="926"/>
      <c r="M190" s="331"/>
      <c r="N190" s="366"/>
      <c r="O190" s="323"/>
      <c r="P190" s="386"/>
      <c r="Q190" s="323"/>
      <c r="R190" s="366"/>
      <c r="S190" s="378"/>
      <c r="T190" s="324"/>
      <c r="U190" s="386"/>
      <c r="V190" s="386"/>
      <c r="W190" s="386"/>
      <c r="X190" s="386"/>
      <c r="Y190" s="386"/>
      <c r="Z190" s="386"/>
      <c r="AA190" s="386"/>
      <c r="AB190" s="392"/>
      <c r="AC190" s="28"/>
      <c r="AD190" s="28"/>
      <c r="AE190" s="28"/>
      <c r="AF190" s="28"/>
      <c r="AG190" s="28"/>
      <c r="AH190" s="28"/>
      <c r="AI190" s="28"/>
      <c r="AJ190" s="28"/>
    </row>
    <row r="191" spans="1:36" x14ac:dyDescent="0.25">
      <c r="A191" s="298" t="str">
        <f>IF('Kwaliteit conversie'!$D$4='Prijs karton'!C191,"X"," ")</f>
        <v xml:space="preserve"> </v>
      </c>
      <c r="B191" s="331" t="s">
        <v>30</v>
      </c>
      <c r="C191" s="359" t="s">
        <v>1427</v>
      </c>
      <c r="D191" s="366">
        <v>0.36799999999999999</v>
      </c>
      <c r="E191" s="321">
        <v>1.62</v>
      </c>
      <c r="F191" s="925">
        <v>0</v>
      </c>
      <c r="G191" s="315">
        <v>40</v>
      </c>
      <c r="H191" s="315">
        <v>38.5</v>
      </c>
      <c r="I191" s="315">
        <v>38.299999999999997</v>
      </c>
      <c r="J191" s="315">
        <v>38</v>
      </c>
      <c r="K191" s="513">
        <v>38</v>
      </c>
      <c r="L191" s="926" t="s">
        <v>1428</v>
      </c>
      <c r="M191" s="331" t="s">
        <v>1362</v>
      </c>
      <c r="N191" s="366" t="s">
        <v>244</v>
      </c>
      <c r="O191" s="323" t="s">
        <v>239</v>
      </c>
      <c r="P191" s="386" t="s">
        <v>239</v>
      </c>
      <c r="Q191" s="323" t="s">
        <v>239</v>
      </c>
      <c r="R191" s="366" t="s">
        <v>239</v>
      </c>
      <c r="S191" s="378" t="s">
        <v>1429</v>
      </c>
      <c r="T191" s="324" t="s">
        <v>1364</v>
      </c>
      <c r="U191" s="386">
        <v>250</v>
      </c>
      <c r="V191" s="386">
        <v>2450</v>
      </c>
      <c r="W191" s="386">
        <v>600</v>
      </c>
      <c r="X191" s="386">
        <v>6000</v>
      </c>
      <c r="Y191" s="386">
        <v>500</v>
      </c>
      <c r="Z191" s="386">
        <v>250</v>
      </c>
      <c r="AA191" s="386">
        <v>200</v>
      </c>
      <c r="AB191" s="392">
        <v>4.78</v>
      </c>
      <c r="AC191" s="28">
        <v>0</v>
      </c>
      <c r="AD191" s="28">
        <v>1</v>
      </c>
      <c r="AE191" s="28">
        <v>1</v>
      </c>
      <c r="AF191" s="28">
        <v>0</v>
      </c>
      <c r="AG191" s="28">
        <v>1</v>
      </c>
      <c r="AH191" s="28">
        <v>1</v>
      </c>
      <c r="AI191" s="28">
        <v>1</v>
      </c>
      <c r="AJ191" s="28">
        <v>1</v>
      </c>
    </row>
    <row r="192" spans="1:36" x14ac:dyDescent="0.25">
      <c r="A192" s="298" t="str">
        <f>IF('Kwaliteit conversie'!$D$4='Prijs karton'!C192,"X"," ")</f>
        <v xml:space="preserve"> </v>
      </c>
      <c r="B192" s="331" t="s">
        <v>30</v>
      </c>
      <c r="C192" s="359" t="s">
        <v>413</v>
      </c>
      <c r="D192" s="366">
        <v>0.37</v>
      </c>
      <c r="E192" s="321">
        <v>1.5</v>
      </c>
      <c r="F192" s="925">
        <v>0</v>
      </c>
      <c r="G192" s="315">
        <v>31.4</v>
      </c>
      <c r="H192" s="315">
        <v>28.4</v>
      </c>
      <c r="I192" s="315">
        <v>27.9</v>
      </c>
      <c r="J192" s="315">
        <v>27.9</v>
      </c>
      <c r="K192" s="513">
        <v>27.4</v>
      </c>
      <c r="L192" s="926" t="s">
        <v>414</v>
      </c>
      <c r="M192" s="331" t="s">
        <v>257</v>
      </c>
      <c r="N192" s="366" t="s">
        <v>244</v>
      </c>
      <c r="O192" s="323" t="s">
        <v>239</v>
      </c>
      <c r="P192" s="386" t="s">
        <v>239</v>
      </c>
      <c r="Q192" s="323" t="s">
        <v>239</v>
      </c>
      <c r="R192" s="366" t="s">
        <v>239</v>
      </c>
      <c r="S192" s="378" t="s">
        <v>249</v>
      </c>
      <c r="T192" s="324" t="s">
        <v>245</v>
      </c>
      <c r="U192" s="386">
        <v>250</v>
      </c>
      <c r="V192" s="386">
        <v>2450</v>
      </c>
      <c r="W192" s="386">
        <v>500</v>
      </c>
      <c r="X192" s="386">
        <v>6200</v>
      </c>
      <c r="Y192" s="386">
        <v>700</v>
      </c>
      <c r="Z192" s="386">
        <v>350</v>
      </c>
      <c r="AA192" s="386">
        <v>200</v>
      </c>
      <c r="AB192" s="392">
        <v>4.2</v>
      </c>
      <c r="AC192" s="28">
        <v>0</v>
      </c>
      <c r="AD192" s="28">
        <v>1</v>
      </c>
      <c r="AE192" s="28">
        <v>1</v>
      </c>
      <c r="AF192" s="28">
        <v>0</v>
      </c>
      <c r="AG192" s="28">
        <v>1</v>
      </c>
      <c r="AH192" s="28">
        <v>1</v>
      </c>
      <c r="AI192" s="28">
        <v>1</v>
      </c>
      <c r="AJ192" s="28">
        <v>1</v>
      </c>
    </row>
    <row r="193" spans="1:36" x14ac:dyDescent="0.25">
      <c r="A193" s="298" t="str">
        <f>IF('Kwaliteit conversie'!$D$4='Prijs karton'!C193,"X"," ")</f>
        <v xml:space="preserve"> </v>
      </c>
      <c r="B193" s="331" t="s">
        <v>30</v>
      </c>
      <c r="C193" s="359" t="s">
        <v>415</v>
      </c>
      <c r="D193" s="366">
        <v>0.372</v>
      </c>
      <c r="E193" s="321">
        <v>1.55</v>
      </c>
      <c r="F193" s="925">
        <v>0</v>
      </c>
      <c r="G193" s="315" t="s">
        <v>239</v>
      </c>
      <c r="H193" s="315">
        <v>47.9</v>
      </c>
      <c r="I193" s="315">
        <v>47.9</v>
      </c>
      <c r="J193" s="315">
        <v>45.9</v>
      </c>
      <c r="K193" s="513">
        <v>45.9</v>
      </c>
      <c r="L193" s="926" t="s">
        <v>416</v>
      </c>
      <c r="M193" s="331" t="s">
        <v>318</v>
      </c>
      <c r="N193" s="366" t="s">
        <v>244</v>
      </c>
      <c r="O193" s="323" t="s">
        <v>239</v>
      </c>
      <c r="P193" s="386" t="s">
        <v>239</v>
      </c>
      <c r="Q193" s="323" t="s">
        <v>239</v>
      </c>
      <c r="R193" s="366" t="s">
        <v>239</v>
      </c>
      <c r="S193" s="378" t="s">
        <v>260</v>
      </c>
      <c r="T193" s="324" t="s">
        <v>240</v>
      </c>
      <c r="U193" s="386">
        <v>240</v>
      </c>
      <c r="V193" s="386">
        <v>2450</v>
      </c>
      <c r="W193" s="386">
        <v>500</v>
      </c>
      <c r="X193" s="386">
        <v>6000</v>
      </c>
      <c r="Y193" s="386">
        <v>250</v>
      </c>
      <c r="Z193" s="386">
        <v>250</v>
      </c>
      <c r="AA193" s="386">
        <v>500</v>
      </c>
      <c r="AB193" s="392">
        <v>4.8600000000000003</v>
      </c>
      <c r="AC193" s="28">
        <v>0</v>
      </c>
      <c r="AD193" s="28">
        <v>1</v>
      </c>
      <c r="AE193" s="28">
        <v>1</v>
      </c>
      <c r="AF193" s="28">
        <v>0</v>
      </c>
      <c r="AG193" s="28">
        <v>1</v>
      </c>
      <c r="AH193" s="28">
        <v>1</v>
      </c>
      <c r="AI193" s="28">
        <v>1</v>
      </c>
      <c r="AJ193" s="28">
        <v>1</v>
      </c>
    </row>
    <row r="194" spans="1:36" x14ac:dyDescent="0.25">
      <c r="A194" s="298" t="str">
        <f>IF('Kwaliteit conversie'!$D$4='Prijs karton'!C194,"X"," ")</f>
        <v xml:space="preserve"> </v>
      </c>
      <c r="B194" s="331" t="s">
        <v>30</v>
      </c>
      <c r="C194" s="359" t="s">
        <v>417</v>
      </c>
      <c r="D194" s="366">
        <v>0.36499999999999999</v>
      </c>
      <c r="E194" s="321">
        <v>1.5</v>
      </c>
      <c r="F194" s="925">
        <v>0</v>
      </c>
      <c r="G194" s="315">
        <v>33.9</v>
      </c>
      <c r="H194" s="315">
        <v>30.9</v>
      </c>
      <c r="I194" s="315">
        <v>30.4</v>
      </c>
      <c r="J194" s="315">
        <v>30.4</v>
      </c>
      <c r="K194" s="513">
        <v>29.9</v>
      </c>
      <c r="L194" s="926" t="s">
        <v>418</v>
      </c>
      <c r="M194" s="331" t="s">
        <v>269</v>
      </c>
      <c r="N194" s="366" t="s">
        <v>412</v>
      </c>
      <c r="O194" s="323" t="s">
        <v>239</v>
      </c>
      <c r="P194" s="386" t="s">
        <v>239</v>
      </c>
      <c r="Q194" s="323" t="s">
        <v>239</v>
      </c>
      <c r="R194" s="366" t="s">
        <v>239</v>
      </c>
      <c r="S194" s="378" t="s">
        <v>257</v>
      </c>
      <c r="T194" s="324" t="s">
        <v>245</v>
      </c>
      <c r="U194" s="386">
        <v>250</v>
      </c>
      <c r="V194" s="386">
        <v>2450</v>
      </c>
      <c r="W194" s="386">
        <v>500</v>
      </c>
      <c r="X194" s="386">
        <v>6200</v>
      </c>
      <c r="Y194" s="386">
        <v>700</v>
      </c>
      <c r="Z194" s="386">
        <v>350</v>
      </c>
      <c r="AA194" s="386">
        <v>200</v>
      </c>
      <c r="AB194" s="392">
        <v>3.9</v>
      </c>
      <c r="AC194" s="28">
        <v>0</v>
      </c>
      <c r="AD194" s="28">
        <v>1</v>
      </c>
      <c r="AE194" s="28">
        <v>1</v>
      </c>
      <c r="AF194" s="28">
        <v>0</v>
      </c>
      <c r="AG194" s="28">
        <v>1</v>
      </c>
      <c r="AH194" s="28">
        <v>1</v>
      </c>
      <c r="AI194" s="28">
        <v>1</v>
      </c>
      <c r="AJ194" s="28">
        <v>1</v>
      </c>
    </row>
    <row r="195" spans="1:36" x14ac:dyDescent="0.25">
      <c r="A195" s="298" t="str">
        <f>IF('Kwaliteit conversie'!$D$4='Prijs karton'!C195,"X"," ")</f>
        <v xml:space="preserve"> </v>
      </c>
      <c r="B195" s="331" t="s">
        <v>419</v>
      </c>
      <c r="C195" s="359" t="s">
        <v>420</v>
      </c>
      <c r="D195" s="366">
        <v>0.35699999999999998</v>
      </c>
      <c r="E195" s="321">
        <v>1.5</v>
      </c>
      <c r="F195" s="925">
        <v>0</v>
      </c>
      <c r="G195" s="315" t="s">
        <v>239</v>
      </c>
      <c r="H195" s="315">
        <v>46.9</v>
      </c>
      <c r="I195" s="315">
        <v>46.9</v>
      </c>
      <c r="J195" s="315">
        <v>44.9</v>
      </c>
      <c r="K195" s="513">
        <v>44.9</v>
      </c>
      <c r="L195" s="926" t="s">
        <v>421</v>
      </c>
      <c r="M195" s="331" t="s">
        <v>289</v>
      </c>
      <c r="N195" s="366" t="s">
        <v>244</v>
      </c>
      <c r="O195" s="323" t="s">
        <v>239</v>
      </c>
      <c r="P195" s="386" t="s">
        <v>239</v>
      </c>
      <c r="Q195" s="323" t="s">
        <v>239</v>
      </c>
      <c r="R195" s="366" t="s">
        <v>239</v>
      </c>
      <c r="S195" s="378" t="s">
        <v>311</v>
      </c>
      <c r="T195" s="324" t="s">
        <v>240</v>
      </c>
      <c r="U195" s="386">
        <v>240</v>
      </c>
      <c r="V195" s="386">
        <v>2450</v>
      </c>
      <c r="W195" s="386">
        <v>500</v>
      </c>
      <c r="X195" s="386">
        <v>6000</v>
      </c>
      <c r="Y195" s="386">
        <v>250</v>
      </c>
      <c r="Z195" s="386">
        <v>250</v>
      </c>
      <c r="AA195" s="386">
        <v>500</v>
      </c>
      <c r="AB195" s="392">
        <v>4.55</v>
      </c>
      <c r="AC195" s="28">
        <v>0</v>
      </c>
      <c r="AD195" s="28">
        <v>1</v>
      </c>
      <c r="AE195" s="28">
        <v>1</v>
      </c>
      <c r="AF195" s="28">
        <v>0</v>
      </c>
      <c r="AG195" s="28">
        <v>1</v>
      </c>
      <c r="AH195" s="28">
        <v>1</v>
      </c>
      <c r="AI195" s="28">
        <v>1</v>
      </c>
      <c r="AJ195" s="28">
        <v>1</v>
      </c>
    </row>
    <row r="196" spans="1:36" x14ac:dyDescent="0.25">
      <c r="A196" s="298" t="str">
        <f>IF('Kwaliteit conversie'!$D$4='Prijs karton'!C196,"X"," ")</f>
        <v xml:space="preserve"> </v>
      </c>
      <c r="B196" s="331" t="s">
        <v>30</v>
      </c>
      <c r="C196" s="359" t="s">
        <v>422</v>
      </c>
      <c r="D196" s="366">
        <v>0.38200000000000001</v>
      </c>
      <c r="E196" s="321">
        <v>1.49</v>
      </c>
      <c r="F196" s="925">
        <v>0</v>
      </c>
      <c r="G196" s="315" t="s">
        <v>239</v>
      </c>
      <c r="H196" s="315">
        <v>50.5</v>
      </c>
      <c r="I196" s="315">
        <v>50.5</v>
      </c>
      <c r="J196" s="315">
        <v>48.5</v>
      </c>
      <c r="K196" s="513">
        <v>48.5</v>
      </c>
      <c r="L196" s="926" t="s">
        <v>423</v>
      </c>
      <c r="M196" s="331" t="s">
        <v>269</v>
      </c>
      <c r="N196" s="366" t="s">
        <v>244</v>
      </c>
      <c r="O196" s="323" t="s">
        <v>239</v>
      </c>
      <c r="P196" s="386" t="s">
        <v>239</v>
      </c>
      <c r="Q196" s="323" t="s">
        <v>239</v>
      </c>
      <c r="R196" s="366" t="s">
        <v>239</v>
      </c>
      <c r="S196" s="378" t="s">
        <v>269</v>
      </c>
      <c r="T196" s="324" t="s">
        <v>240</v>
      </c>
      <c r="U196" s="386">
        <v>240</v>
      </c>
      <c r="V196" s="386">
        <v>2450</v>
      </c>
      <c r="W196" s="386">
        <v>500</v>
      </c>
      <c r="X196" s="386">
        <v>6000</v>
      </c>
      <c r="Y196" s="386">
        <v>250</v>
      </c>
      <c r="Z196" s="386">
        <v>250</v>
      </c>
      <c r="AA196" s="386">
        <v>500</v>
      </c>
      <c r="AB196" s="392">
        <v>4.0199999999999996</v>
      </c>
      <c r="AC196" s="28">
        <v>0</v>
      </c>
      <c r="AD196" s="28">
        <v>1</v>
      </c>
      <c r="AE196" s="28">
        <v>1</v>
      </c>
      <c r="AF196" s="28">
        <v>0</v>
      </c>
      <c r="AG196" s="28">
        <v>1</v>
      </c>
      <c r="AH196" s="28">
        <v>1</v>
      </c>
      <c r="AI196" s="28">
        <v>1</v>
      </c>
      <c r="AJ196" s="28">
        <v>1</v>
      </c>
    </row>
    <row r="197" spans="1:36" x14ac:dyDescent="0.25">
      <c r="A197" s="298" t="str">
        <f>IF('Kwaliteit conversie'!$D$4='Prijs karton'!C197,"X"," ")</f>
        <v xml:space="preserve"> </v>
      </c>
      <c r="B197" s="331" t="s">
        <v>30</v>
      </c>
      <c r="C197" s="359" t="s">
        <v>1430</v>
      </c>
      <c r="D197" s="366">
        <v>0.35799999999999998</v>
      </c>
      <c r="E197" s="321">
        <v>1.56</v>
      </c>
      <c r="F197" s="925">
        <v>0</v>
      </c>
      <c r="G197" s="315">
        <v>40.700000000000003</v>
      </c>
      <c r="H197" s="315">
        <v>39.299999999999997</v>
      </c>
      <c r="I197" s="315">
        <v>39.1</v>
      </c>
      <c r="J197" s="315">
        <v>38.700000000000003</v>
      </c>
      <c r="K197" s="513">
        <v>38.700000000000003</v>
      </c>
      <c r="L197" s="926" t="s">
        <v>1431</v>
      </c>
      <c r="M197" s="331" t="s">
        <v>1400</v>
      </c>
      <c r="N197" s="366" t="s">
        <v>244</v>
      </c>
      <c r="O197" s="323" t="s">
        <v>239</v>
      </c>
      <c r="P197" s="386" t="s">
        <v>239</v>
      </c>
      <c r="Q197" s="323" t="s">
        <v>239</v>
      </c>
      <c r="R197" s="366" t="s">
        <v>239</v>
      </c>
      <c r="S197" s="378" t="s">
        <v>1363</v>
      </c>
      <c r="T197" s="324" t="s">
        <v>1364</v>
      </c>
      <c r="U197" s="386">
        <v>250</v>
      </c>
      <c r="V197" s="386">
        <v>2450</v>
      </c>
      <c r="W197" s="386">
        <v>600</v>
      </c>
      <c r="X197" s="386">
        <v>6000</v>
      </c>
      <c r="Y197" s="386">
        <v>500</v>
      </c>
      <c r="Z197" s="386">
        <v>250</v>
      </c>
      <c r="AA197" s="386">
        <v>200</v>
      </c>
      <c r="AB197" s="392">
        <v>4.2</v>
      </c>
      <c r="AC197" s="28">
        <v>0</v>
      </c>
      <c r="AD197" s="28">
        <v>1</v>
      </c>
      <c r="AE197" s="28">
        <v>1</v>
      </c>
      <c r="AF197" s="28">
        <v>0</v>
      </c>
      <c r="AG197" s="28">
        <v>1</v>
      </c>
      <c r="AH197" s="28">
        <v>1</v>
      </c>
      <c r="AI197" s="28">
        <v>1</v>
      </c>
      <c r="AJ197" s="28">
        <v>1</v>
      </c>
    </row>
    <row r="198" spans="1:36" x14ac:dyDescent="0.25">
      <c r="A198" s="298" t="str">
        <f>IF('Kwaliteit conversie'!$D$4='Prijs karton'!C198,"X"," ")</f>
        <v xml:space="preserve"> </v>
      </c>
      <c r="B198" s="331" t="s">
        <v>30</v>
      </c>
      <c r="C198" s="359" t="s">
        <v>424</v>
      </c>
      <c r="D198" s="366">
        <v>0.39</v>
      </c>
      <c r="E198" s="321">
        <v>1.5</v>
      </c>
      <c r="F198" s="925">
        <v>0</v>
      </c>
      <c r="G198" s="315">
        <v>43.8</v>
      </c>
      <c r="H198" s="315">
        <v>40.799999999999997</v>
      </c>
      <c r="I198" s="315">
        <v>40.299999999999997</v>
      </c>
      <c r="J198" s="315">
        <v>40.299999999999997</v>
      </c>
      <c r="K198" s="513">
        <v>39.799999999999997</v>
      </c>
      <c r="L198" s="926" t="s">
        <v>425</v>
      </c>
      <c r="M198" s="331" t="s">
        <v>277</v>
      </c>
      <c r="N198" s="366" t="s">
        <v>244</v>
      </c>
      <c r="O198" s="323" t="s">
        <v>239</v>
      </c>
      <c r="P198" s="386" t="s">
        <v>239</v>
      </c>
      <c r="Q198" s="323" t="s">
        <v>239</v>
      </c>
      <c r="R198" s="366" t="s">
        <v>239</v>
      </c>
      <c r="S198" s="378" t="s">
        <v>318</v>
      </c>
      <c r="T198" s="324" t="s">
        <v>245</v>
      </c>
      <c r="U198" s="386">
        <v>250</v>
      </c>
      <c r="V198" s="386">
        <v>2450</v>
      </c>
      <c r="W198" s="386">
        <v>500</v>
      </c>
      <c r="X198" s="386">
        <v>6200</v>
      </c>
      <c r="Y198" s="386">
        <v>700</v>
      </c>
      <c r="Z198" s="386">
        <v>350</v>
      </c>
      <c r="AA198" s="386">
        <v>200</v>
      </c>
      <c r="AB198" s="392">
        <v>4.8</v>
      </c>
      <c r="AC198" s="28">
        <v>0</v>
      </c>
      <c r="AD198" s="28">
        <v>1</v>
      </c>
      <c r="AE198" s="28">
        <v>1</v>
      </c>
      <c r="AF198" s="28">
        <v>0</v>
      </c>
      <c r="AG198" s="28">
        <v>1</v>
      </c>
      <c r="AH198" s="28">
        <v>1</v>
      </c>
      <c r="AI198" s="28">
        <v>1</v>
      </c>
      <c r="AJ198" s="28">
        <v>1</v>
      </c>
    </row>
    <row r="199" spans="1:36" x14ac:dyDescent="0.25">
      <c r="A199" s="298" t="str">
        <f>IF('Kwaliteit conversie'!$D$4='Prijs karton'!C199,"X"," ")</f>
        <v xml:space="preserve"> </v>
      </c>
      <c r="B199" s="331" t="s">
        <v>30</v>
      </c>
      <c r="C199" s="359" t="s">
        <v>426</v>
      </c>
      <c r="D199" s="366">
        <v>0.39</v>
      </c>
      <c r="E199" s="321">
        <v>1.5</v>
      </c>
      <c r="F199" s="925">
        <v>0</v>
      </c>
      <c r="G199" s="315">
        <v>35.1</v>
      </c>
      <c r="H199" s="315">
        <v>32.1</v>
      </c>
      <c r="I199" s="315">
        <v>31.6</v>
      </c>
      <c r="J199" s="315">
        <v>31.6</v>
      </c>
      <c r="K199" s="513">
        <v>31.1</v>
      </c>
      <c r="L199" s="926" t="s">
        <v>427</v>
      </c>
      <c r="M199" s="331" t="s">
        <v>269</v>
      </c>
      <c r="N199" s="366" t="s">
        <v>244</v>
      </c>
      <c r="O199" s="323" t="s">
        <v>239</v>
      </c>
      <c r="P199" s="386" t="s">
        <v>239</v>
      </c>
      <c r="Q199" s="323" t="s">
        <v>239</v>
      </c>
      <c r="R199" s="366" t="s">
        <v>239</v>
      </c>
      <c r="S199" s="378" t="s">
        <v>257</v>
      </c>
      <c r="T199" s="324" t="s">
        <v>245</v>
      </c>
      <c r="U199" s="386">
        <v>250</v>
      </c>
      <c r="V199" s="386">
        <v>2450</v>
      </c>
      <c r="W199" s="386">
        <v>500</v>
      </c>
      <c r="X199" s="386">
        <v>6200</v>
      </c>
      <c r="Y199" s="386">
        <v>700</v>
      </c>
      <c r="Z199" s="386">
        <v>350</v>
      </c>
      <c r="AA199" s="386">
        <v>200</v>
      </c>
      <c r="AB199" s="392">
        <v>4.2</v>
      </c>
      <c r="AC199" s="28">
        <v>0</v>
      </c>
      <c r="AD199" s="28">
        <v>1</v>
      </c>
      <c r="AE199" s="28">
        <v>1</v>
      </c>
      <c r="AF199" s="28">
        <v>0</v>
      </c>
      <c r="AG199" s="28">
        <v>1</v>
      </c>
      <c r="AH199" s="28">
        <v>1</v>
      </c>
      <c r="AI199" s="28">
        <v>1</v>
      </c>
      <c r="AJ199" s="28">
        <v>1</v>
      </c>
    </row>
    <row r="200" spans="1:36" x14ac:dyDescent="0.25">
      <c r="A200" s="298" t="str">
        <f>IF('Kwaliteit conversie'!$D$4='Prijs karton'!C200,"X"," ")</f>
        <v xml:space="preserve"> </v>
      </c>
      <c r="B200" s="331" t="s">
        <v>30</v>
      </c>
      <c r="C200" s="359" t="s">
        <v>428</v>
      </c>
      <c r="D200" s="366">
        <v>0.39</v>
      </c>
      <c r="E200" s="321">
        <v>1.5</v>
      </c>
      <c r="F200" s="925">
        <v>0</v>
      </c>
      <c r="G200" s="315">
        <v>41.3</v>
      </c>
      <c r="H200" s="315">
        <v>38.299999999999997</v>
      </c>
      <c r="I200" s="315">
        <v>37.799999999999997</v>
      </c>
      <c r="J200" s="315">
        <v>37.799999999999997</v>
      </c>
      <c r="K200" s="513">
        <v>37.299999999999997</v>
      </c>
      <c r="L200" s="926" t="s">
        <v>429</v>
      </c>
      <c r="M200" s="331" t="s">
        <v>269</v>
      </c>
      <c r="N200" s="366" t="s">
        <v>244</v>
      </c>
      <c r="O200" s="323" t="s">
        <v>239</v>
      </c>
      <c r="P200" s="386" t="s">
        <v>239</v>
      </c>
      <c r="Q200" s="323" t="s">
        <v>239</v>
      </c>
      <c r="R200" s="366" t="s">
        <v>239</v>
      </c>
      <c r="S200" s="378" t="s">
        <v>269</v>
      </c>
      <c r="T200" s="324" t="s">
        <v>245</v>
      </c>
      <c r="U200" s="386">
        <v>250</v>
      </c>
      <c r="V200" s="386">
        <v>2450</v>
      </c>
      <c r="W200" s="386">
        <v>500</v>
      </c>
      <c r="X200" s="386">
        <v>6200</v>
      </c>
      <c r="Y200" s="386">
        <v>700</v>
      </c>
      <c r="Z200" s="386">
        <v>350</v>
      </c>
      <c r="AA200" s="386">
        <v>200</v>
      </c>
      <c r="AB200" s="392">
        <v>4</v>
      </c>
      <c r="AC200" s="28">
        <v>0</v>
      </c>
      <c r="AD200" s="28">
        <v>1</v>
      </c>
      <c r="AE200" s="28">
        <v>1</v>
      </c>
      <c r="AF200" s="28">
        <v>0</v>
      </c>
      <c r="AG200" s="28">
        <v>1</v>
      </c>
      <c r="AH200" s="28">
        <v>1</v>
      </c>
      <c r="AI200" s="28">
        <v>1</v>
      </c>
      <c r="AJ200" s="28">
        <v>1</v>
      </c>
    </row>
    <row r="201" spans="1:36" x14ac:dyDescent="0.25">
      <c r="A201" s="298" t="str">
        <f>IF('Kwaliteit conversie'!$D$4='Prijs karton'!C201,"X"," ")</f>
        <v xml:space="preserve"> </v>
      </c>
      <c r="B201" s="331" t="s">
        <v>30</v>
      </c>
      <c r="C201" s="359" t="s">
        <v>430</v>
      </c>
      <c r="D201" s="366">
        <v>0.39</v>
      </c>
      <c r="E201" s="321">
        <v>1.5</v>
      </c>
      <c r="F201" s="925">
        <v>0</v>
      </c>
      <c r="G201" s="315">
        <v>44.4</v>
      </c>
      <c r="H201" s="315">
        <v>41.4</v>
      </c>
      <c r="I201" s="315">
        <v>40.9</v>
      </c>
      <c r="J201" s="315">
        <v>40.9</v>
      </c>
      <c r="K201" s="513">
        <v>40.4</v>
      </c>
      <c r="L201" s="926" t="s">
        <v>431</v>
      </c>
      <c r="M201" s="331" t="s">
        <v>289</v>
      </c>
      <c r="N201" s="366" t="s">
        <v>244</v>
      </c>
      <c r="O201" s="323" t="s">
        <v>239</v>
      </c>
      <c r="P201" s="386" t="s">
        <v>239</v>
      </c>
      <c r="Q201" s="323" t="s">
        <v>239</v>
      </c>
      <c r="R201" s="366" t="s">
        <v>239</v>
      </c>
      <c r="S201" s="378" t="s">
        <v>269</v>
      </c>
      <c r="T201" s="324" t="s">
        <v>245</v>
      </c>
      <c r="U201" s="386">
        <v>250</v>
      </c>
      <c r="V201" s="386">
        <v>2450</v>
      </c>
      <c r="W201" s="386">
        <v>500</v>
      </c>
      <c r="X201" s="386">
        <v>6200</v>
      </c>
      <c r="Y201" s="386">
        <v>700</v>
      </c>
      <c r="Z201" s="386">
        <v>350</v>
      </c>
      <c r="AA201" s="386">
        <v>200</v>
      </c>
      <c r="AB201" s="392">
        <v>4.5</v>
      </c>
      <c r="AC201" s="28">
        <v>0</v>
      </c>
      <c r="AD201" s="28">
        <v>1</v>
      </c>
      <c r="AE201" s="28">
        <v>1</v>
      </c>
      <c r="AF201" s="28">
        <v>0</v>
      </c>
      <c r="AG201" s="28">
        <v>1</v>
      </c>
      <c r="AH201" s="28">
        <v>1</v>
      </c>
      <c r="AI201" s="28">
        <v>1</v>
      </c>
      <c r="AJ201" s="28">
        <v>1</v>
      </c>
    </row>
    <row r="202" spans="1:36" x14ac:dyDescent="0.25">
      <c r="A202" s="298" t="str">
        <f>IF('Kwaliteit conversie'!$D$4='Prijs karton'!C202,"X"," ")</f>
        <v xml:space="preserve"> </v>
      </c>
      <c r="B202" s="331" t="s">
        <v>30</v>
      </c>
      <c r="C202" s="359" t="s">
        <v>1432</v>
      </c>
      <c r="D202" s="366">
        <v>0.36299999999999999</v>
      </c>
      <c r="E202" s="321">
        <v>1.53</v>
      </c>
      <c r="F202" s="925">
        <v>0</v>
      </c>
      <c r="G202" s="315">
        <v>43.9</v>
      </c>
      <c r="H202" s="315">
        <v>42.4</v>
      </c>
      <c r="I202" s="315">
        <v>42.1</v>
      </c>
      <c r="J202" s="315">
        <v>41.9</v>
      </c>
      <c r="K202" s="513">
        <v>41.9</v>
      </c>
      <c r="L202" s="926" t="s">
        <v>1433</v>
      </c>
      <c r="M202" s="331" t="s">
        <v>1400</v>
      </c>
      <c r="N202" s="366" t="s">
        <v>244</v>
      </c>
      <c r="O202" s="323" t="s">
        <v>239</v>
      </c>
      <c r="P202" s="386" t="s">
        <v>239</v>
      </c>
      <c r="Q202" s="323" t="s">
        <v>239</v>
      </c>
      <c r="R202" s="366" t="s">
        <v>239</v>
      </c>
      <c r="S202" s="378" t="s">
        <v>1400</v>
      </c>
      <c r="T202" s="324" t="s">
        <v>1364</v>
      </c>
      <c r="U202" s="394">
        <v>250</v>
      </c>
      <c r="V202" s="395">
        <v>2450</v>
      </c>
      <c r="W202" s="395">
        <v>600</v>
      </c>
      <c r="X202" s="394">
        <v>6000</v>
      </c>
      <c r="Y202" s="394">
        <v>500</v>
      </c>
      <c r="Z202" s="394">
        <v>250</v>
      </c>
      <c r="AA202" s="394">
        <v>200</v>
      </c>
      <c r="AB202" s="392">
        <v>3.96</v>
      </c>
      <c r="AC202" s="28">
        <v>0</v>
      </c>
      <c r="AD202" s="28">
        <v>1</v>
      </c>
      <c r="AE202" s="28">
        <v>1</v>
      </c>
      <c r="AF202" s="28">
        <v>0</v>
      </c>
      <c r="AG202" s="28">
        <v>1</v>
      </c>
      <c r="AH202" s="28">
        <v>1</v>
      </c>
      <c r="AI202" s="28">
        <v>1</v>
      </c>
      <c r="AJ202" s="28">
        <v>1</v>
      </c>
    </row>
    <row r="203" spans="1:36" x14ac:dyDescent="0.25">
      <c r="A203" s="298" t="str">
        <f>IF('Kwaliteit conversie'!$D$4='Prijs karton'!C203,"X"," ")</f>
        <v xml:space="preserve"> </v>
      </c>
      <c r="B203" s="331" t="s">
        <v>30</v>
      </c>
      <c r="C203" s="359" t="s">
        <v>1434</v>
      </c>
      <c r="D203" s="366">
        <v>0.38300000000000001</v>
      </c>
      <c r="E203" s="321">
        <v>1.51</v>
      </c>
      <c r="F203" s="925">
        <v>0</v>
      </c>
      <c r="G203" s="315"/>
      <c r="H203" s="315"/>
      <c r="I203" s="315"/>
      <c r="J203" s="315"/>
      <c r="K203" s="513">
        <v>0</v>
      </c>
      <c r="L203" s="926" t="s">
        <v>1435</v>
      </c>
      <c r="M203" s="331" t="s">
        <v>289</v>
      </c>
      <c r="N203" s="366" t="s">
        <v>244</v>
      </c>
      <c r="O203" s="323" t="s">
        <v>239</v>
      </c>
      <c r="P203" s="386" t="s">
        <v>239</v>
      </c>
      <c r="Q203" s="323" t="s">
        <v>239</v>
      </c>
      <c r="R203" s="366" t="s">
        <v>239</v>
      </c>
      <c r="S203" s="378" t="s">
        <v>289</v>
      </c>
      <c r="T203" s="324" t="s">
        <v>1364</v>
      </c>
      <c r="U203" s="394">
        <v>250</v>
      </c>
      <c r="V203" s="395">
        <v>2450</v>
      </c>
      <c r="W203" s="395">
        <v>600</v>
      </c>
      <c r="X203" s="394">
        <v>6000</v>
      </c>
      <c r="Y203" s="394">
        <v>500</v>
      </c>
      <c r="Z203" s="394">
        <v>250</v>
      </c>
      <c r="AA203" s="394">
        <v>200</v>
      </c>
      <c r="AB203" s="392"/>
      <c r="AC203" s="28">
        <v>0</v>
      </c>
      <c r="AD203" s="28">
        <v>1</v>
      </c>
      <c r="AE203" s="28">
        <v>1</v>
      </c>
      <c r="AF203" s="28">
        <v>0</v>
      </c>
      <c r="AG203" s="28">
        <v>1</v>
      </c>
      <c r="AH203" s="28">
        <v>1</v>
      </c>
      <c r="AI203" s="28">
        <v>1</v>
      </c>
      <c r="AJ203" s="28">
        <v>1</v>
      </c>
    </row>
    <row r="204" spans="1:36" x14ac:dyDescent="0.25">
      <c r="A204" s="298" t="str">
        <f>IF('Kwaliteit conversie'!$D$4='Prijs karton'!C204,"X"," ")</f>
        <v xml:space="preserve"> </v>
      </c>
      <c r="B204" s="331" t="s">
        <v>30</v>
      </c>
      <c r="C204" s="359"/>
      <c r="D204" s="366"/>
      <c r="E204" s="321"/>
      <c r="F204" s="925"/>
      <c r="G204" s="315"/>
      <c r="H204" s="315"/>
      <c r="I204" s="315"/>
      <c r="J204" s="315"/>
      <c r="K204" s="513"/>
      <c r="L204" s="926"/>
      <c r="M204" s="331"/>
      <c r="N204" s="366"/>
      <c r="O204" s="323"/>
      <c r="P204" s="386"/>
      <c r="Q204" s="323"/>
      <c r="R204" s="366"/>
      <c r="S204" s="378"/>
      <c r="T204" s="324"/>
      <c r="U204" s="394"/>
      <c r="V204" s="395"/>
      <c r="W204" s="395"/>
      <c r="X204" s="394"/>
      <c r="Y204" s="394"/>
      <c r="Z204" s="394"/>
      <c r="AA204" s="394"/>
      <c r="AB204" s="392"/>
      <c r="AC204" s="28"/>
      <c r="AD204" s="28"/>
      <c r="AE204" s="28"/>
      <c r="AF204" s="28"/>
      <c r="AG204" s="28"/>
      <c r="AH204" s="28"/>
      <c r="AI204" s="28"/>
      <c r="AJ204" s="28"/>
    </row>
    <row r="205" spans="1:36" s="320" customFormat="1" x14ac:dyDescent="0.25">
      <c r="A205" s="329" t="str">
        <f>IF('Kwaliteit conversie'!$D$4='Prijs karton'!C205,"X"," ")</f>
        <v xml:space="preserve"> </v>
      </c>
      <c r="B205" s="332" t="s">
        <v>30</v>
      </c>
      <c r="C205" s="360" t="s">
        <v>432</v>
      </c>
      <c r="D205" s="367"/>
      <c r="E205" s="322">
        <v>1.5</v>
      </c>
      <c r="F205" s="927">
        <v>0</v>
      </c>
      <c r="G205" s="319">
        <v>0</v>
      </c>
      <c r="H205" s="319">
        <v>0</v>
      </c>
      <c r="I205" s="319">
        <v>0</v>
      </c>
      <c r="J205" s="319">
        <v>0</v>
      </c>
      <c r="K205" s="928">
        <v>0</v>
      </c>
      <c r="L205" s="929" t="s">
        <v>239</v>
      </c>
      <c r="M205" s="379" t="s">
        <v>239</v>
      </c>
      <c r="N205" s="367" t="s">
        <v>239</v>
      </c>
      <c r="O205" s="325" t="s">
        <v>239</v>
      </c>
      <c r="P205" s="387" t="s">
        <v>239</v>
      </c>
      <c r="Q205" s="325" t="s">
        <v>239</v>
      </c>
      <c r="R205" s="367" t="s">
        <v>239</v>
      </c>
      <c r="S205" s="380" t="s">
        <v>239</v>
      </c>
      <c r="T205" s="326" t="s">
        <v>245</v>
      </c>
      <c r="U205" s="387">
        <v>250</v>
      </c>
      <c r="V205" s="387">
        <v>2450</v>
      </c>
      <c r="W205" s="387">
        <v>500</v>
      </c>
      <c r="X205" s="387">
        <v>6200</v>
      </c>
      <c r="Y205" s="387">
        <v>700</v>
      </c>
      <c r="Z205" s="387">
        <v>350</v>
      </c>
      <c r="AA205" s="387">
        <v>200</v>
      </c>
      <c r="AB205" s="393">
        <v>4.5</v>
      </c>
      <c r="AC205" s="34">
        <v>0</v>
      </c>
      <c r="AD205" s="34">
        <v>1</v>
      </c>
      <c r="AE205" s="34">
        <v>1</v>
      </c>
      <c r="AF205" s="34">
        <v>0</v>
      </c>
      <c r="AG205" s="34">
        <v>1</v>
      </c>
      <c r="AH205" s="34">
        <v>1</v>
      </c>
      <c r="AI205" s="34">
        <v>1</v>
      </c>
      <c r="AJ205" s="34">
        <v>1</v>
      </c>
    </row>
    <row r="206" spans="1:36" x14ac:dyDescent="0.25">
      <c r="A206" s="298" t="str">
        <f>IF('Kwaliteit conversie'!$D$4='Prijs karton'!C206,"X"," ")</f>
        <v xml:space="preserve"> </v>
      </c>
      <c r="B206" s="331"/>
      <c r="C206" s="359"/>
      <c r="D206" s="366"/>
      <c r="E206" s="321"/>
      <c r="F206" s="925"/>
      <c r="G206" s="315"/>
      <c r="H206" s="315"/>
      <c r="I206" s="315"/>
      <c r="J206" s="315"/>
      <c r="K206" s="513"/>
      <c r="L206" s="926"/>
      <c r="M206" s="331"/>
      <c r="N206" s="366"/>
      <c r="O206" s="323"/>
      <c r="P206" s="386"/>
      <c r="Q206" s="323"/>
      <c r="R206" s="366"/>
      <c r="S206" s="378"/>
      <c r="T206" s="324"/>
      <c r="U206" s="386"/>
      <c r="V206" s="386"/>
      <c r="W206" s="386"/>
      <c r="X206" s="386"/>
      <c r="Y206" s="386"/>
      <c r="Z206" s="386"/>
      <c r="AA206" s="386"/>
      <c r="AB206" s="392"/>
      <c r="AC206" s="28"/>
      <c r="AD206" s="28"/>
      <c r="AE206" s="28"/>
      <c r="AF206" s="28"/>
      <c r="AG206" s="28"/>
      <c r="AH206" s="28"/>
      <c r="AI206" s="28"/>
      <c r="AJ206" s="28"/>
    </row>
    <row r="207" spans="1:36" x14ac:dyDescent="0.25">
      <c r="A207" s="298" t="str">
        <f>IF('Kwaliteit conversie'!$D$4='Prijs karton'!C207,"X"," ")</f>
        <v xml:space="preserve"> </v>
      </c>
      <c r="B207" s="331"/>
      <c r="C207" s="359"/>
      <c r="D207" s="366"/>
      <c r="E207" s="321"/>
      <c r="F207" s="925"/>
      <c r="G207" s="315"/>
      <c r="H207" s="315"/>
      <c r="I207" s="315"/>
      <c r="J207" s="315"/>
      <c r="K207" s="513"/>
      <c r="L207" s="926"/>
      <c r="M207" s="331"/>
      <c r="N207" s="366"/>
      <c r="O207" s="323"/>
      <c r="P207" s="386"/>
      <c r="Q207" s="323"/>
      <c r="R207" s="366"/>
      <c r="S207" s="378"/>
      <c r="T207" s="324"/>
      <c r="U207" s="386"/>
      <c r="V207" s="386"/>
      <c r="W207" s="386"/>
      <c r="X207" s="386"/>
      <c r="Y207" s="386"/>
      <c r="Z207" s="386"/>
      <c r="AA207" s="386"/>
      <c r="AB207" s="392"/>
      <c r="AC207" s="28"/>
      <c r="AD207" s="28"/>
      <c r="AE207" s="28"/>
      <c r="AF207" s="28"/>
      <c r="AG207" s="28"/>
      <c r="AH207" s="28"/>
      <c r="AI207" s="28"/>
      <c r="AJ207" s="28"/>
    </row>
    <row r="208" spans="1:36" x14ac:dyDescent="0.25">
      <c r="A208" s="298" t="str">
        <f>IF('Kwaliteit conversie'!$D$4='Prijs karton'!C208,"X"," ")</f>
        <v xml:space="preserve"> </v>
      </c>
      <c r="B208" s="331"/>
      <c r="C208" s="359"/>
      <c r="D208" s="366"/>
      <c r="E208" s="321"/>
      <c r="F208" s="925"/>
      <c r="G208" s="315"/>
      <c r="H208" s="315"/>
      <c r="I208" s="315"/>
      <c r="J208" s="315"/>
      <c r="K208" s="513"/>
      <c r="L208" s="926"/>
      <c r="M208" s="331"/>
      <c r="N208" s="366"/>
      <c r="O208" s="323"/>
      <c r="P208" s="386"/>
      <c r="Q208" s="323"/>
      <c r="R208" s="366"/>
      <c r="S208" s="378"/>
      <c r="T208" s="324"/>
      <c r="U208" s="386"/>
      <c r="V208" s="386"/>
      <c r="W208" s="386"/>
      <c r="X208" s="386"/>
      <c r="Y208" s="386"/>
      <c r="Z208" s="386"/>
      <c r="AA208" s="386"/>
      <c r="AB208" s="392"/>
      <c r="AC208" s="28"/>
      <c r="AD208" s="28"/>
      <c r="AE208" s="28"/>
      <c r="AF208" s="28"/>
      <c r="AG208" s="28"/>
      <c r="AH208" s="28"/>
      <c r="AI208" s="28"/>
      <c r="AJ208" s="28"/>
    </row>
    <row r="209" spans="1:36" x14ac:dyDescent="0.25">
      <c r="A209" s="932" t="str">
        <f>IF('Kwaliteit conversie'!$D$4='Prijs karton'!C209,"X"," ")</f>
        <v xml:space="preserve"> </v>
      </c>
      <c r="B209" s="331" t="s">
        <v>33</v>
      </c>
      <c r="C209" s="359" t="s">
        <v>433</v>
      </c>
      <c r="D209" s="366">
        <v>0.57299999999999995</v>
      </c>
      <c r="E209" s="321">
        <v>4.18</v>
      </c>
      <c r="F209" s="925">
        <v>0</v>
      </c>
      <c r="G209" s="315">
        <v>63.5</v>
      </c>
      <c r="H209" s="315">
        <v>60.5</v>
      </c>
      <c r="I209" s="315">
        <v>60.5</v>
      </c>
      <c r="J209" s="315">
        <v>58.5</v>
      </c>
      <c r="K209" s="513">
        <v>58.5</v>
      </c>
      <c r="L209" s="926" t="s">
        <v>434</v>
      </c>
      <c r="M209" s="331" t="s">
        <v>260</v>
      </c>
      <c r="N209" s="366" t="s">
        <v>244</v>
      </c>
      <c r="O209" s="323" t="s">
        <v>255</v>
      </c>
      <c r="P209" s="386" t="s">
        <v>238</v>
      </c>
      <c r="Q209" s="323" t="s">
        <v>239</v>
      </c>
      <c r="R209" s="366" t="s">
        <v>239</v>
      </c>
      <c r="S209" s="378" t="s">
        <v>260</v>
      </c>
      <c r="T209" s="324" t="s">
        <v>240</v>
      </c>
      <c r="U209" s="386">
        <v>240</v>
      </c>
      <c r="V209" s="386">
        <v>2450</v>
      </c>
      <c r="W209" s="386">
        <v>500</v>
      </c>
      <c r="X209" s="386">
        <v>6000</v>
      </c>
      <c r="Y209" s="386">
        <v>85</v>
      </c>
      <c r="Z209" s="386">
        <v>85</v>
      </c>
      <c r="AA209" s="386">
        <v>200</v>
      </c>
      <c r="AB209" s="392">
        <v>7.15</v>
      </c>
      <c r="AC209" s="28">
        <v>0</v>
      </c>
      <c r="AD209" s="28">
        <v>1</v>
      </c>
      <c r="AE209" s="28">
        <v>1</v>
      </c>
      <c r="AF209" s="28">
        <v>1</v>
      </c>
      <c r="AG209" s="28">
        <v>1</v>
      </c>
      <c r="AH209" s="28">
        <v>1</v>
      </c>
      <c r="AI209" s="28">
        <v>1</v>
      </c>
      <c r="AJ209" s="28">
        <v>1</v>
      </c>
    </row>
    <row r="210" spans="1:36" x14ac:dyDescent="0.25">
      <c r="A210" s="298" t="str">
        <f>IF('Kwaliteit conversie'!$D$4='Prijs karton'!C210,"X"," ")</f>
        <v xml:space="preserve"> </v>
      </c>
      <c r="B210" s="331" t="s">
        <v>33</v>
      </c>
      <c r="C210" s="359" t="s">
        <v>435</v>
      </c>
      <c r="D210" s="366">
        <v>0.58299999999999996</v>
      </c>
      <c r="E210" s="321">
        <v>4.17</v>
      </c>
      <c r="F210" s="925">
        <v>0</v>
      </c>
      <c r="G210" s="315">
        <v>69.8</v>
      </c>
      <c r="H210" s="315">
        <v>66.8</v>
      </c>
      <c r="I210" s="315">
        <v>66.8</v>
      </c>
      <c r="J210" s="315">
        <v>64.8</v>
      </c>
      <c r="K210" s="513">
        <v>64.8</v>
      </c>
      <c r="L210" s="926" t="s">
        <v>436</v>
      </c>
      <c r="M210" s="331" t="s">
        <v>318</v>
      </c>
      <c r="N210" s="366" t="s">
        <v>244</v>
      </c>
      <c r="O210" s="323" t="s">
        <v>255</v>
      </c>
      <c r="P210" s="386" t="s">
        <v>238</v>
      </c>
      <c r="Q210" s="323" t="s">
        <v>239</v>
      </c>
      <c r="R210" s="366" t="s">
        <v>239</v>
      </c>
      <c r="S210" s="378" t="s">
        <v>260</v>
      </c>
      <c r="T210" s="324" t="s">
        <v>240</v>
      </c>
      <c r="U210" s="386">
        <v>240</v>
      </c>
      <c r="V210" s="386">
        <v>2450</v>
      </c>
      <c r="W210" s="386">
        <v>500</v>
      </c>
      <c r="X210" s="386">
        <v>6000</v>
      </c>
      <c r="Y210" s="386">
        <v>85</v>
      </c>
      <c r="Z210" s="386">
        <v>85</v>
      </c>
      <c r="AA210" s="386">
        <v>200</v>
      </c>
      <c r="AB210" s="392">
        <v>7.35</v>
      </c>
      <c r="AC210" s="28">
        <v>0</v>
      </c>
      <c r="AD210" s="28">
        <v>1</v>
      </c>
      <c r="AE210" s="28">
        <v>1</v>
      </c>
      <c r="AF210" s="28">
        <v>1</v>
      </c>
      <c r="AG210" s="28">
        <v>1</v>
      </c>
      <c r="AH210" s="28">
        <v>1</v>
      </c>
      <c r="AI210" s="28">
        <v>1</v>
      </c>
      <c r="AJ210" s="28">
        <v>1</v>
      </c>
    </row>
    <row r="211" spans="1:36" x14ac:dyDescent="0.25">
      <c r="A211" s="298" t="str">
        <f>IF('Kwaliteit conversie'!$D$4='Prijs karton'!C211,"X"," ")</f>
        <v xml:space="preserve"> </v>
      </c>
      <c r="B211" s="331" t="s">
        <v>33</v>
      </c>
      <c r="C211" s="359" t="s">
        <v>437</v>
      </c>
      <c r="D211" s="366">
        <v>0.62</v>
      </c>
      <c r="E211" s="321">
        <v>4.0999999999999996</v>
      </c>
      <c r="F211" s="925">
        <v>0</v>
      </c>
      <c r="G211" s="315">
        <v>58.5</v>
      </c>
      <c r="H211" s="315">
        <v>55.5</v>
      </c>
      <c r="I211" s="315">
        <v>55</v>
      </c>
      <c r="J211" s="315">
        <v>55</v>
      </c>
      <c r="K211" s="513">
        <v>54.5</v>
      </c>
      <c r="L211" s="926" t="s">
        <v>438</v>
      </c>
      <c r="M211" s="331" t="s">
        <v>277</v>
      </c>
      <c r="N211" s="366" t="s">
        <v>244</v>
      </c>
      <c r="O211" s="323" t="s">
        <v>244</v>
      </c>
      <c r="P211" s="386" t="s">
        <v>285</v>
      </c>
      <c r="Q211" s="323" t="s">
        <v>239</v>
      </c>
      <c r="R211" s="366" t="s">
        <v>239</v>
      </c>
      <c r="S211" s="378" t="s">
        <v>249</v>
      </c>
      <c r="T211" s="324" t="s">
        <v>245</v>
      </c>
      <c r="U211" s="386">
        <v>250</v>
      </c>
      <c r="V211" s="386">
        <v>2450</v>
      </c>
      <c r="W211" s="386">
        <v>500</v>
      </c>
      <c r="X211" s="386">
        <v>6200</v>
      </c>
      <c r="Y211" s="386">
        <v>250</v>
      </c>
      <c r="Z211" s="386">
        <v>125</v>
      </c>
      <c r="AA211" s="386">
        <v>200</v>
      </c>
      <c r="AB211" s="392">
        <v>8</v>
      </c>
      <c r="AC211" s="28">
        <v>0</v>
      </c>
      <c r="AD211" s="28">
        <v>1</v>
      </c>
      <c r="AE211" s="28">
        <v>1</v>
      </c>
      <c r="AF211" s="28">
        <v>1</v>
      </c>
      <c r="AG211" s="28">
        <v>1</v>
      </c>
      <c r="AH211" s="28">
        <v>1</v>
      </c>
      <c r="AI211" s="28">
        <v>1</v>
      </c>
      <c r="AJ211" s="28">
        <v>1</v>
      </c>
    </row>
    <row r="212" spans="1:36" x14ac:dyDescent="0.25">
      <c r="A212" s="298" t="str">
        <f>IF('Kwaliteit conversie'!$D$4='Prijs karton'!C212,"X"," ")</f>
        <v xml:space="preserve"> </v>
      </c>
      <c r="B212" s="331" t="s">
        <v>33</v>
      </c>
      <c r="C212" s="359" t="s">
        <v>439</v>
      </c>
      <c r="D212" s="366">
        <v>0.58299999999999996</v>
      </c>
      <c r="E212" s="321">
        <v>4.1500000000000004</v>
      </c>
      <c r="F212" s="925">
        <v>0</v>
      </c>
      <c r="G212" s="315" t="s">
        <v>239</v>
      </c>
      <c r="H212" s="315">
        <v>68.400000000000006</v>
      </c>
      <c r="I212" s="315">
        <v>68.400000000000006</v>
      </c>
      <c r="J212" s="315">
        <v>66.400000000000006</v>
      </c>
      <c r="K212" s="513">
        <v>66.400000000000006</v>
      </c>
      <c r="L212" s="926" t="s">
        <v>440</v>
      </c>
      <c r="M212" s="331" t="s">
        <v>289</v>
      </c>
      <c r="N212" s="366" t="s">
        <v>244</v>
      </c>
      <c r="O212" s="323" t="s">
        <v>255</v>
      </c>
      <c r="P212" s="386" t="s">
        <v>238</v>
      </c>
      <c r="Q212" s="323" t="s">
        <v>239</v>
      </c>
      <c r="R212" s="366" t="s">
        <v>239</v>
      </c>
      <c r="S212" s="378" t="s">
        <v>260</v>
      </c>
      <c r="T212" s="324" t="s">
        <v>240</v>
      </c>
      <c r="U212" s="386">
        <v>240</v>
      </c>
      <c r="V212" s="386">
        <v>2450</v>
      </c>
      <c r="W212" s="386">
        <v>500</v>
      </c>
      <c r="X212" s="386">
        <v>6000</v>
      </c>
      <c r="Y212" s="386">
        <v>85</v>
      </c>
      <c r="Z212" s="386">
        <v>85</v>
      </c>
      <c r="AA212" s="386">
        <v>500</v>
      </c>
      <c r="AB212" s="392">
        <v>7.47</v>
      </c>
      <c r="AC212" s="28">
        <v>0</v>
      </c>
      <c r="AD212" s="28">
        <v>1</v>
      </c>
      <c r="AE212" s="28">
        <v>1</v>
      </c>
      <c r="AF212" s="28">
        <v>1</v>
      </c>
      <c r="AG212" s="28">
        <v>1</v>
      </c>
      <c r="AH212" s="28">
        <v>1</v>
      </c>
      <c r="AI212" s="28">
        <v>1</v>
      </c>
      <c r="AJ212" s="28">
        <v>1</v>
      </c>
    </row>
    <row r="213" spans="1:36" x14ac:dyDescent="0.25">
      <c r="A213" s="298" t="str">
        <f>IF('Kwaliteit conversie'!$D$4='Prijs karton'!C213,"X"," ")</f>
        <v xml:space="preserve"> </v>
      </c>
      <c r="B213" s="331" t="s">
        <v>33</v>
      </c>
      <c r="C213" s="359" t="s">
        <v>441</v>
      </c>
      <c r="D213" s="366">
        <v>0.51500000000000001</v>
      </c>
      <c r="E213" s="321">
        <v>4</v>
      </c>
      <c r="F213" s="925">
        <v>0</v>
      </c>
      <c r="G213" s="315">
        <v>43.9</v>
      </c>
      <c r="H213" s="315">
        <v>40.9</v>
      </c>
      <c r="I213" s="315">
        <v>40.4</v>
      </c>
      <c r="J213" s="315">
        <v>40.4</v>
      </c>
      <c r="K213" s="513">
        <v>39.9</v>
      </c>
      <c r="L213" s="926" t="s">
        <v>442</v>
      </c>
      <c r="M213" s="331" t="s">
        <v>249</v>
      </c>
      <c r="N213" s="366" t="s">
        <v>412</v>
      </c>
      <c r="O213" s="323" t="s">
        <v>244</v>
      </c>
      <c r="P213" s="386" t="s">
        <v>244</v>
      </c>
      <c r="Q213" s="323" t="s">
        <v>239</v>
      </c>
      <c r="R213" s="366" t="s">
        <v>239</v>
      </c>
      <c r="S213" s="378" t="s">
        <v>243</v>
      </c>
      <c r="T213" s="324" t="s">
        <v>245</v>
      </c>
      <c r="U213" s="386">
        <v>250</v>
      </c>
      <c r="V213" s="386">
        <v>2450</v>
      </c>
      <c r="W213" s="386">
        <v>500</v>
      </c>
      <c r="X213" s="386">
        <v>6200</v>
      </c>
      <c r="Y213" s="386">
        <v>250</v>
      </c>
      <c r="Z213" s="386">
        <v>125</v>
      </c>
      <c r="AA213" s="386">
        <v>200</v>
      </c>
      <c r="AB213" s="392">
        <v>6</v>
      </c>
      <c r="AC213" s="28">
        <v>0</v>
      </c>
      <c r="AD213" s="28">
        <v>1</v>
      </c>
      <c r="AE213" s="28">
        <v>1</v>
      </c>
      <c r="AF213" s="28">
        <v>1</v>
      </c>
      <c r="AG213" s="28">
        <v>1</v>
      </c>
      <c r="AH213" s="28">
        <v>1</v>
      </c>
      <c r="AI213" s="28">
        <v>1</v>
      </c>
      <c r="AJ213" s="28">
        <v>1</v>
      </c>
    </row>
    <row r="214" spans="1:36" x14ac:dyDescent="0.25">
      <c r="A214" s="298" t="str">
        <f>IF('Kwaliteit conversie'!$D$4='Prijs karton'!C214,"X"," ")</f>
        <v xml:space="preserve"> </v>
      </c>
      <c r="B214" s="331" t="s">
        <v>33</v>
      </c>
      <c r="C214" s="359" t="s">
        <v>443</v>
      </c>
      <c r="D214" s="366">
        <v>0.53500000000000003</v>
      </c>
      <c r="E214" s="321">
        <v>4</v>
      </c>
      <c r="F214" s="925">
        <v>0</v>
      </c>
      <c r="G214" s="315">
        <v>54.7</v>
      </c>
      <c r="H214" s="315">
        <v>51.7</v>
      </c>
      <c r="I214" s="315">
        <v>51.2</v>
      </c>
      <c r="J214" s="315">
        <v>51.2</v>
      </c>
      <c r="K214" s="513">
        <v>50.7</v>
      </c>
      <c r="L214" s="926" t="s">
        <v>444</v>
      </c>
      <c r="M214" s="331" t="s">
        <v>269</v>
      </c>
      <c r="N214" s="366" t="s">
        <v>412</v>
      </c>
      <c r="O214" s="323" t="s">
        <v>244</v>
      </c>
      <c r="P214" s="386" t="s">
        <v>244</v>
      </c>
      <c r="Q214" s="323" t="s">
        <v>239</v>
      </c>
      <c r="R214" s="366" t="s">
        <v>239</v>
      </c>
      <c r="S214" s="378" t="s">
        <v>243</v>
      </c>
      <c r="T214" s="324" t="s">
        <v>245</v>
      </c>
      <c r="U214" s="386">
        <v>250</v>
      </c>
      <c r="V214" s="386">
        <v>2450</v>
      </c>
      <c r="W214" s="386">
        <v>500</v>
      </c>
      <c r="X214" s="386">
        <v>6200</v>
      </c>
      <c r="Y214" s="386">
        <v>250</v>
      </c>
      <c r="Z214" s="386">
        <v>125</v>
      </c>
      <c r="AA214" s="386">
        <v>200</v>
      </c>
      <c r="AB214" s="392">
        <v>6.1</v>
      </c>
      <c r="AC214" s="28">
        <v>0</v>
      </c>
      <c r="AD214" s="28">
        <v>1</v>
      </c>
      <c r="AE214" s="28">
        <v>1</v>
      </c>
      <c r="AF214" s="28">
        <v>1</v>
      </c>
      <c r="AG214" s="28">
        <v>1</v>
      </c>
      <c r="AH214" s="28">
        <v>1</v>
      </c>
      <c r="AI214" s="28">
        <v>1</v>
      </c>
      <c r="AJ214" s="28">
        <v>1</v>
      </c>
    </row>
    <row r="215" spans="1:36" x14ac:dyDescent="0.25">
      <c r="A215" s="298" t="str">
        <f>IF('Kwaliteit conversie'!$D$4='Prijs karton'!C215,"X"," ")</f>
        <v xml:space="preserve"> </v>
      </c>
      <c r="B215" s="331" t="s">
        <v>33</v>
      </c>
      <c r="C215" s="359" t="s">
        <v>445</v>
      </c>
      <c r="D215" s="366">
        <v>0.53500000000000003</v>
      </c>
      <c r="E215" s="321">
        <v>4</v>
      </c>
      <c r="F215" s="925">
        <v>0</v>
      </c>
      <c r="G215" s="315">
        <v>55.7</v>
      </c>
      <c r="H215" s="315">
        <v>52.7</v>
      </c>
      <c r="I215" s="315">
        <v>52.2</v>
      </c>
      <c r="J215" s="315">
        <v>52.2</v>
      </c>
      <c r="K215" s="513">
        <v>51.7</v>
      </c>
      <c r="L215" s="926" t="s">
        <v>446</v>
      </c>
      <c r="M215" s="331" t="s">
        <v>289</v>
      </c>
      <c r="N215" s="366" t="s">
        <v>412</v>
      </c>
      <c r="O215" s="323" t="s">
        <v>244</v>
      </c>
      <c r="P215" s="386" t="s">
        <v>244</v>
      </c>
      <c r="Q215" s="323" t="s">
        <v>239</v>
      </c>
      <c r="R215" s="366" t="s">
        <v>239</v>
      </c>
      <c r="S215" s="378" t="s">
        <v>243</v>
      </c>
      <c r="T215" s="324" t="s">
        <v>245</v>
      </c>
      <c r="U215" s="386">
        <v>250</v>
      </c>
      <c r="V215" s="386">
        <v>2450</v>
      </c>
      <c r="W215" s="386">
        <v>500</v>
      </c>
      <c r="X215" s="386">
        <v>6200</v>
      </c>
      <c r="Y215" s="386">
        <v>250</v>
      </c>
      <c r="Z215" s="386">
        <v>125</v>
      </c>
      <c r="AA215" s="386">
        <v>200</v>
      </c>
      <c r="AB215" s="392">
        <v>6.6</v>
      </c>
      <c r="AC215" s="28">
        <v>0</v>
      </c>
      <c r="AD215" s="28">
        <v>1</v>
      </c>
      <c r="AE215" s="28">
        <v>1</v>
      </c>
      <c r="AF215" s="28">
        <v>1</v>
      </c>
      <c r="AG215" s="28">
        <v>1</v>
      </c>
      <c r="AH215" s="28">
        <v>1</v>
      </c>
      <c r="AI215" s="28">
        <v>1</v>
      </c>
      <c r="AJ215" s="28">
        <v>1</v>
      </c>
    </row>
    <row r="216" spans="1:36" x14ac:dyDescent="0.25">
      <c r="A216" s="298" t="str">
        <f>IF('Kwaliteit conversie'!$D$4='Prijs karton'!C216,"X"," ")</f>
        <v xml:space="preserve"> </v>
      </c>
      <c r="B216" s="331" t="s">
        <v>33</v>
      </c>
      <c r="C216" s="359" t="s">
        <v>447</v>
      </c>
      <c r="D216" s="366">
        <v>0.54500000000000004</v>
      </c>
      <c r="E216" s="321">
        <v>4</v>
      </c>
      <c r="F216" s="925">
        <v>0</v>
      </c>
      <c r="G216" s="315">
        <v>50</v>
      </c>
      <c r="H216" s="315">
        <v>47</v>
      </c>
      <c r="I216" s="315">
        <v>46.5</v>
      </c>
      <c r="J216" s="315">
        <v>46.5</v>
      </c>
      <c r="K216" s="513">
        <v>46</v>
      </c>
      <c r="L216" s="926" t="s">
        <v>448</v>
      </c>
      <c r="M216" s="331" t="s">
        <v>331</v>
      </c>
      <c r="N216" s="366" t="s">
        <v>412</v>
      </c>
      <c r="O216" s="323" t="s">
        <v>244</v>
      </c>
      <c r="P216" s="386" t="s">
        <v>244</v>
      </c>
      <c r="Q216" s="323" t="s">
        <v>239</v>
      </c>
      <c r="R216" s="366" t="s">
        <v>239</v>
      </c>
      <c r="S216" s="378" t="s">
        <v>249</v>
      </c>
      <c r="T216" s="324" t="s">
        <v>245</v>
      </c>
      <c r="U216" s="386">
        <v>250</v>
      </c>
      <c r="V216" s="386">
        <v>2450</v>
      </c>
      <c r="W216" s="386">
        <v>500</v>
      </c>
      <c r="X216" s="386">
        <v>6200</v>
      </c>
      <c r="Y216" s="386">
        <v>250</v>
      </c>
      <c r="Z216" s="386">
        <v>125</v>
      </c>
      <c r="AA216" s="386">
        <v>200</v>
      </c>
      <c r="AB216" s="392">
        <v>6.9</v>
      </c>
      <c r="AC216" s="28">
        <v>0</v>
      </c>
      <c r="AD216" s="28">
        <v>1</v>
      </c>
      <c r="AE216" s="28">
        <v>1</v>
      </c>
      <c r="AF216" s="28">
        <v>1</v>
      </c>
      <c r="AG216" s="28">
        <v>1</v>
      </c>
      <c r="AH216" s="28">
        <v>1</v>
      </c>
      <c r="AI216" s="28">
        <v>1</v>
      </c>
      <c r="AJ216" s="28">
        <v>1</v>
      </c>
    </row>
    <row r="217" spans="1:36" x14ac:dyDescent="0.25">
      <c r="A217" s="298" t="str">
        <f>IF('Kwaliteit conversie'!$D$4='Prijs karton'!C217,"X"," ")</f>
        <v xml:space="preserve"> </v>
      </c>
      <c r="B217" s="331" t="s">
        <v>33</v>
      </c>
      <c r="C217" s="359" t="s">
        <v>449</v>
      </c>
      <c r="D217" s="366">
        <v>0.625</v>
      </c>
      <c r="E217" s="321">
        <v>4.0999999999999996</v>
      </c>
      <c r="F217" s="925">
        <v>0</v>
      </c>
      <c r="G217" s="315">
        <v>55.6</v>
      </c>
      <c r="H217" s="315">
        <v>52.6</v>
      </c>
      <c r="I217" s="315">
        <v>52.1</v>
      </c>
      <c r="J217" s="315">
        <v>52.1</v>
      </c>
      <c r="K217" s="513">
        <v>51.6</v>
      </c>
      <c r="L217" s="926" t="s">
        <v>450</v>
      </c>
      <c r="M217" s="331" t="s">
        <v>274</v>
      </c>
      <c r="N217" s="366" t="s">
        <v>244</v>
      </c>
      <c r="O217" s="323" t="s">
        <v>244</v>
      </c>
      <c r="P217" s="386" t="s">
        <v>285</v>
      </c>
      <c r="Q217" s="323" t="s">
        <v>239</v>
      </c>
      <c r="R217" s="366" t="s">
        <v>239</v>
      </c>
      <c r="S217" s="378" t="s">
        <v>249</v>
      </c>
      <c r="T217" s="324" t="s">
        <v>245</v>
      </c>
      <c r="U217" s="386">
        <v>250</v>
      </c>
      <c r="V217" s="386">
        <v>2450</v>
      </c>
      <c r="W217" s="386">
        <v>500</v>
      </c>
      <c r="X217" s="386">
        <v>6200</v>
      </c>
      <c r="Y217" s="386">
        <v>250</v>
      </c>
      <c r="Z217" s="386">
        <v>125</v>
      </c>
      <c r="AA217" s="386">
        <v>200</v>
      </c>
      <c r="AB217" s="392">
        <v>8.1</v>
      </c>
      <c r="AC217" s="28">
        <v>0</v>
      </c>
      <c r="AD217" s="28">
        <v>1</v>
      </c>
      <c r="AE217" s="28">
        <v>1</v>
      </c>
      <c r="AF217" s="28">
        <v>1</v>
      </c>
      <c r="AG217" s="28">
        <v>1</v>
      </c>
      <c r="AH217" s="28">
        <v>1</v>
      </c>
      <c r="AI217" s="28">
        <v>1</v>
      </c>
      <c r="AJ217" s="28">
        <v>1</v>
      </c>
    </row>
    <row r="218" spans="1:36" x14ac:dyDescent="0.25">
      <c r="A218" s="298" t="str">
        <f>IF('Kwaliteit conversie'!$D$4='Prijs karton'!C218,"X"," ")</f>
        <v xml:space="preserve"> </v>
      </c>
      <c r="B218" s="331" t="s">
        <v>33</v>
      </c>
      <c r="C218" s="359" t="s">
        <v>1436</v>
      </c>
      <c r="D218" s="366">
        <v>0.53</v>
      </c>
      <c r="E218" s="321">
        <v>4</v>
      </c>
      <c r="F218" s="925">
        <v>0</v>
      </c>
      <c r="G218" s="315">
        <v>48.1</v>
      </c>
      <c r="H218" s="315">
        <v>46.8</v>
      </c>
      <c r="I218" s="315">
        <v>46.6</v>
      </c>
      <c r="J218" s="315">
        <v>46.4</v>
      </c>
      <c r="K218" s="513">
        <v>46.4</v>
      </c>
      <c r="L218" s="926" t="s">
        <v>1437</v>
      </c>
      <c r="M218" s="331" t="s">
        <v>1392</v>
      </c>
      <c r="N218" s="366" t="s">
        <v>244</v>
      </c>
      <c r="O218" s="323" t="s">
        <v>244</v>
      </c>
      <c r="P218" s="386" t="s">
        <v>244</v>
      </c>
      <c r="Q218" s="323" t="s">
        <v>239</v>
      </c>
      <c r="R218" s="366" t="s">
        <v>239</v>
      </c>
      <c r="S218" s="378" t="s">
        <v>244</v>
      </c>
      <c r="T218" s="324" t="s">
        <v>1364</v>
      </c>
      <c r="U218" s="386">
        <v>250</v>
      </c>
      <c r="V218" s="386">
        <v>2450</v>
      </c>
      <c r="W218" s="386">
        <v>600</v>
      </c>
      <c r="X218" s="386">
        <v>6000</v>
      </c>
      <c r="Y218" s="386">
        <v>190</v>
      </c>
      <c r="Z218" s="386">
        <v>95</v>
      </c>
      <c r="AA218" s="386">
        <v>200</v>
      </c>
      <c r="AB218" s="392">
        <v>7.3</v>
      </c>
      <c r="AC218" s="28">
        <v>0</v>
      </c>
      <c r="AD218" s="28">
        <v>1</v>
      </c>
      <c r="AE218" s="28">
        <v>1</v>
      </c>
      <c r="AF218" s="28">
        <v>1</v>
      </c>
      <c r="AG218" s="28">
        <v>1</v>
      </c>
      <c r="AH218" s="28">
        <v>1</v>
      </c>
      <c r="AI218" s="28">
        <v>1</v>
      </c>
      <c r="AJ218" s="28">
        <v>1</v>
      </c>
    </row>
    <row r="219" spans="1:36" x14ac:dyDescent="0.25">
      <c r="A219" s="298" t="str">
        <f>IF('Kwaliteit conversie'!$D$4='Prijs karton'!C219,"X"," ")</f>
        <v xml:space="preserve"> </v>
      </c>
      <c r="B219" s="331" t="s">
        <v>33</v>
      </c>
      <c r="C219" s="359" t="s">
        <v>1390</v>
      </c>
      <c r="D219" s="366">
        <v>0.59</v>
      </c>
      <c r="E219" s="321">
        <v>4.0599999999999996</v>
      </c>
      <c r="F219" s="925">
        <v>0</v>
      </c>
      <c r="G219" s="315">
        <v>63.9</v>
      </c>
      <c r="H219" s="315">
        <v>62</v>
      </c>
      <c r="I219" s="315">
        <v>61.8</v>
      </c>
      <c r="J219" s="315">
        <v>61.5</v>
      </c>
      <c r="K219" s="513">
        <v>61.5</v>
      </c>
      <c r="L219" s="926" t="s">
        <v>1391</v>
      </c>
      <c r="M219" s="331" t="s">
        <v>289</v>
      </c>
      <c r="N219" s="366" t="s">
        <v>244</v>
      </c>
      <c r="O219" s="323" t="s">
        <v>244</v>
      </c>
      <c r="P219" s="386" t="s">
        <v>238</v>
      </c>
      <c r="Q219" s="323" t="s">
        <v>239</v>
      </c>
      <c r="R219" s="366" t="s">
        <v>239</v>
      </c>
      <c r="S219" s="378" t="s">
        <v>1392</v>
      </c>
      <c r="T219" s="324" t="s">
        <v>1364</v>
      </c>
      <c r="U219" s="386">
        <v>250</v>
      </c>
      <c r="V219" s="386">
        <v>2450</v>
      </c>
      <c r="W219" s="386">
        <v>600</v>
      </c>
      <c r="X219" s="386">
        <v>6000</v>
      </c>
      <c r="Y219" s="386">
        <v>190</v>
      </c>
      <c r="Z219" s="386">
        <v>95</v>
      </c>
      <c r="AA219" s="386">
        <v>200</v>
      </c>
      <c r="AB219" s="392">
        <v>8.1300000000000008</v>
      </c>
      <c r="AC219" s="28">
        <v>0</v>
      </c>
      <c r="AD219" s="28">
        <v>1</v>
      </c>
      <c r="AE219" s="28">
        <v>1</v>
      </c>
      <c r="AF219" s="28">
        <v>1</v>
      </c>
      <c r="AG219" s="28">
        <v>1</v>
      </c>
      <c r="AH219" s="28">
        <v>1</v>
      </c>
      <c r="AI219" s="28">
        <v>1</v>
      </c>
      <c r="AJ219" s="28">
        <v>1</v>
      </c>
    </row>
    <row r="220" spans="1:36" x14ac:dyDescent="0.25">
      <c r="A220" s="298" t="str">
        <f>IF('Kwaliteit conversie'!$D$4='Prijs karton'!C220,"X"," ")</f>
        <v xml:space="preserve"> </v>
      </c>
      <c r="B220" s="331" t="s">
        <v>33</v>
      </c>
      <c r="C220" s="359" t="s">
        <v>1393</v>
      </c>
      <c r="D220" s="366">
        <v>0.58799999999999997</v>
      </c>
      <c r="E220" s="321">
        <v>4.07</v>
      </c>
      <c r="F220" s="925">
        <v>0</v>
      </c>
      <c r="G220" s="315">
        <v>52.6</v>
      </c>
      <c r="H220" s="315">
        <v>51.2</v>
      </c>
      <c r="I220" s="315">
        <v>50.9</v>
      </c>
      <c r="J220" s="315">
        <v>50.8</v>
      </c>
      <c r="K220" s="513">
        <v>50.8</v>
      </c>
      <c r="L220" s="926" t="s">
        <v>1394</v>
      </c>
      <c r="M220" s="331" t="s">
        <v>1362</v>
      </c>
      <c r="N220" s="366" t="s">
        <v>244</v>
      </c>
      <c r="O220" s="323" t="s">
        <v>244</v>
      </c>
      <c r="P220" s="386" t="s">
        <v>238</v>
      </c>
      <c r="Q220" s="323" t="s">
        <v>239</v>
      </c>
      <c r="R220" s="366" t="s">
        <v>239</v>
      </c>
      <c r="S220" s="378" t="s">
        <v>1392</v>
      </c>
      <c r="T220" s="324" t="s">
        <v>1364</v>
      </c>
      <c r="U220" s="386">
        <v>250</v>
      </c>
      <c r="V220" s="386">
        <v>2450</v>
      </c>
      <c r="W220" s="386">
        <v>600</v>
      </c>
      <c r="X220" s="386">
        <v>6000</v>
      </c>
      <c r="Y220" s="386">
        <v>190</v>
      </c>
      <c r="Z220" s="386">
        <v>95</v>
      </c>
      <c r="AA220" s="386">
        <v>200</v>
      </c>
      <c r="AB220" s="392">
        <v>7.8</v>
      </c>
      <c r="AC220" s="28">
        <v>0</v>
      </c>
      <c r="AD220" s="28">
        <v>1</v>
      </c>
      <c r="AE220" s="28">
        <v>1</v>
      </c>
      <c r="AF220" s="28">
        <v>1</v>
      </c>
      <c r="AG220" s="28">
        <v>1</v>
      </c>
      <c r="AH220" s="28">
        <v>1</v>
      </c>
      <c r="AI220" s="28">
        <v>1</v>
      </c>
      <c r="AJ220" s="28">
        <v>1</v>
      </c>
    </row>
    <row r="221" spans="1:36" x14ac:dyDescent="0.25">
      <c r="A221" s="298" t="str">
        <f>IF('Kwaliteit conversie'!$D$4='Prijs karton'!C221,"X"," ")</f>
        <v xml:space="preserve"> </v>
      </c>
      <c r="B221" s="331" t="s">
        <v>33</v>
      </c>
      <c r="C221" s="359" t="s">
        <v>1395</v>
      </c>
      <c r="D221" s="366">
        <v>0.57799999999999996</v>
      </c>
      <c r="E221" s="321">
        <v>4.1100000000000003</v>
      </c>
      <c r="F221" s="925">
        <v>0</v>
      </c>
      <c r="G221" s="315">
        <v>59.2</v>
      </c>
      <c r="H221" s="315">
        <v>57.8</v>
      </c>
      <c r="I221" s="315">
        <v>57.5</v>
      </c>
      <c r="J221" s="315">
        <v>57.2</v>
      </c>
      <c r="K221" s="513">
        <v>57.2</v>
      </c>
      <c r="L221" s="926" t="s">
        <v>1396</v>
      </c>
      <c r="M221" s="331" t="s">
        <v>1397</v>
      </c>
      <c r="N221" s="366" t="s">
        <v>244</v>
      </c>
      <c r="O221" s="323" t="s">
        <v>244</v>
      </c>
      <c r="P221" s="386" t="s">
        <v>238</v>
      </c>
      <c r="Q221" s="323" t="s">
        <v>239</v>
      </c>
      <c r="R221" s="366" t="s">
        <v>239</v>
      </c>
      <c r="S221" s="378" t="s">
        <v>1392</v>
      </c>
      <c r="T221" s="324" t="s">
        <v>1364</v>
      </c>
      <c r="U221" s="386">
        <v>250</v>
      </c>
      <c r="V221" s="386">
        <v>2450</v>
      </c>
      <c r="W221" s="386">
        <v>600</v>
      </c>
      <c r="X221" s="386">
        <v>6000</v>
      </c>
      <c r="Y221" s="386">
        <v>190</v>
      </c>
      <c r="Z221" s="386">
        <v>95</v>
      </c>
      <c r="AA221" s="386">
        <v>200</v>
      </c>
      <c r="AB221" s="392">
        <v>7.7</v>
      </c>
      <c r="AC221" s="28">
        <v>0</v>
      </c>
      <c r="AD221" s="28">
        <v>1</v>
      </c>
      <c r="AE221" s="28">
        <v>1</v>
      </c>
      <c r="AF221" s="28">
        <v>1</v>
      </c>
      <c r="AG221" s="28">
        <v>1</v>
      </c>
      <c r="AH221" s="28">
        <v>1</v>
      </c>
      <c r="AI221" s="28">
        <v>1</v>
      </c>
      <c r="AJ221" s="28">
        <v>1</v>
      </c>
    </row>
    <row r="222" spans="1:36" x14ac:dyDescent="0.25">
      <c r="A222" s="298" t="str">
        <f>IF('Kwaliteit conversie'!$D$4='Prijs karton'!C222,"X"," ")</f>
        <v xml:space="preserve"> </v>
      </c>
      <c r="B222" s="331" t="s">
        <v>33</v>
      </c>
      <c r="C222" s="359" t="s">
        <v>1398</v>
      </c>
      <c r="D222" s="366">
        <v>0.72899999999999998</v>
      </c>
      <c r="E222" s="321">
        <v>4.18</v>
      </c>
      <c r="F222" s="925">
        <v>0</v>
      </c>
      <c r="G222" s="315">
        <v>70.7</v>
      </c>
      <c r="H222" s="315">
        <v>69.2</v>
      </c>
      <c r="I222" s="315">
        <v>68.900000000000006</v>
      </c>
      <c r="J222" s="315">
        <v>68.599999999999994</v>
      </c>
      <c r="K222" s="513">
        <v>68.599999999999994</v>
      </c>
      <c r="L222" s="926" t="s">
        <v>1399</v>
      </c>
      <c r="M222" s="331" t="s">
        <v>277</v>
      </c>
      <c r="N222" s="366" t="s">
        <v>265</v>
      </c>
      <c r="O222" s="323" t="s">
        <v>244</v>
      </c>
      <c r="P222" s="386" t="s">
        <v>265</v>
      </c>
      <c r="Q222" s="323" t="s">
        <v>239</v>
      </c>
      <c r="R222" s="366" t="s">
        <v>239</v>
      </c>
      <c r="S222" s="378" t="s">
        <v>1367</v>
      </c>
      <c r="T222" s="324" t="s">
        <v>1364</v>
      </c>
      <c r="U222" s="386">
        <v>250</v>
      </c>
      <c r="V222" s="386">
        <v>2450</v>
      </c>
      <c r="W222" s="386">
        <v>600</v>
      </c>
      <c r="X222" s="386">
        <v>6000</v>
      </c>
      <c r="Y222" s="386">
        <v>190</v>
      </c>
      <c r="Z222" s="386">
        <v>95</v>
      </c>
      <c r="AA222" s="386">
        <v>200</v>
      </c>
      <c r="AB222" s="392">
        <v>9.6999999999999993</v>
      </c>
      <c r="AC222" s="28">
        <v>0</v>
      </c>
      <c r="AD222" s="28">
        <v>1</v>
      </c>
      <c r="AE222" s="28">
        <v>1</v>
      </c>
      <c r="AF222" s="28">
        <v>1</v>
      </c>
      <c r="AG222" s="28">
        <v>1</v>
      </c>
      <c r="AH222" s="28">
        <v>1</v>
      </c>
      <c r="AI222" s="28">
        <v>1</v>
      </c>
      <c r="AJ222" s="28">
        <v>1</v>
      </c>
    </row>
    <row r="223" spans="1:36" x14ac:dyDescent="0.25">
      <c r="A223" s="298" t="str">
        <f>IF('Kwaliteit conversie'!$D$4='Prijs karton'!C223,"X"," ")</f>
        <v xml:space="preserve"> </v>
      </c>
      <c r="B223" s="331" t="s">
        <v>33</v>
      </c>
      <c r="C223" s="359"/>
      <c r="D223" s="366"/>
      <c r="E223" s="321"/>
      <c r="F223" s="925">
        <v>0</v>
      </c>
      <c r="G223" s="315"/>
      <c r="H223" s="315"/>
      <c r="I223" s="315"/>
      <c r="J223" s="315"/>
      <c r="K223" s="513"/>
      <c r="L223" s="926"/>
      <c r="M223" s="331"/>
      <c r="N223" s="366"/>
      <c r="O223" s="323"/>
      <c r="P223" s="386"/>
      <c r="Q223" s="323"/>
      <c r="R223" s="366"/>
      <c r="S223" s="378"/>
      <c r="T223" s="324"/>
      <c r="U223" s="386"/>
      <c r="V223" s="386"/>
      <c r="W223" s="386"/>
      <c r="X223" s="386"/>
      <c r="Y223" s="386"/>
      <c r="Z223" s="386"/>
      <c r="AA223" s="386"/>
      <c r="AB223" s="392"/>
      <c r="AC223" s="28"/>
      <c r="AD223" s="28"/>
      <c r="AE223" s="28"/>
      <c r="AF223" s="28"/>
      <c r="AG223" s="28"/>
      <c r="AH223" s="28"/>
      <c r="AI223" s="28"/>
      <c r="AJ223" s="28"/>
    </row>
    <row r="224" spans="1:36" x14ac:dyDescent="0.25">
      <c r="A224" s="298" t="str">
        <f>IF('Kwaliteit conversie'!$D$4='Prijs karton'!C224,"X"," ")</f>
        <v xml:space="preserve"> </v>
      </c>
      <c r="B224" s="331" t="s">
        <v>33</v>
      </c>
      <c r="C224" s="359" t="s">
        <v>1438</v>
      </c>
      <c r="D224" s="366">
        <v>0.56999999999999995</v>
      </c>
      <c r="E224" s="321">
        <v>4.05</v>
      </c>
      <c r="F224" s="925">
        <v>0</v>
      </c>
      <c r="G224" s="315">
        <v>49.1</v>
      </c>
      <c r="H224" s="315">
        <v>47.8</v>
      </c>
      <c r="I224" s="315">
        <v>47.6</v>
      </c>
      <c r="J224" s="315">
        <v>47.3</v>
      </c>
      <c r="K224" s="513">
        <v>47.3</v>
      </c>
      <c r="L224" s="926" t="s">
        <v>1439</v>
      </c>
      <c r="M224" s="331" t="s">
        <v>1392</v>
      </c>
      <c r="N224" s="366" t="s">
        <v>244</v>
      </c>
      <c r="O224" s="323" t="s">
        <v>244</v>
      </c>
      <c r="P224" s="386" t="s">
        <v>244</v>
      </c>
      <c r="Q224" s="323" t="s">
        <v>239</v>
      </c>
      <c r="R224" s="366" t="s">
        <v>239</v>
      </c>
      <c r="S224" s="378" t="s">
        <v>1392</v>
      </c>
      <c r="T224" s="324" t="s">
        <v>1364</v>
      </c>
      <c r="U224" s="386">
        <v>250</v>
      </c>
      <c r="V224" s="386">
        <v>2450</v>
      </c>
      <c r="W224" s="386">
        <v>600</v>
      </c>
      <c r="X224" s="386">
        <v>6000</v>
      </c>
      <c r="Y224" s="386">
        <v>190</v>
      </c>
      <c r="Z224" s="386">
        <v>95</v>
      </c>
      <c r="AA224" s="386">
        <v>200</v>
      </c>
      <c r="AB224" s="392">
        <v>7.56</v>
      </c>
      <c r="AC224" s="28">
        <v>0</v>
      </c>
      <c r="AD224" s="28">
        <v>1</v>
      </c>
      <c r="AE224" s="28">
        <v>1</v>
      </c>
      <c r="AF224" s="28">
        <v>1</v>
      </c>
      <c r="AG224" s="28">
        <v>1</v>
      </c>
      <c r="AH224" s="28">
        <v>1</v>
      </c>
      <c r="AI224" s="28">
        <v>1</v>
      </c>
      <c r="AJ224" s="28">
        <v>1</v>
      </c>
    </row>
    <row r="225" spans="1:36" x14ac:dyDescent="0.25">
      <c r="A225" s="298" t="str">
        <f>IF('Kwaliteit conversie'!$D$4='Prijs karton'!C225,"X"," ")</f>
        <v xml:space="preserve"> </v>
      </c>
      <c r="B225" s="331" t="s">
        <v>33</v>
      </c>
      <c r="C225" s="359"/>
      <c r="D225" s="366"/>
      <c r="E225" s="321"/>
      <c r="F225" s="925"/>
      <c r="G225" s="315"/>
      <c r="H225" s="315"/>
      <c r="I225" s="315"/>
      <c r="J225" s="315"/>
      <c r="K225" s="513"/>
      <c r="L225" s="926"/>
      <c r="M225" s="331"/>
      <c r="N225" s="366"/>
      <c r="O225" s="323"/>
      <c r="P225" s="386"/>
      <c r="Q225" s="323"/>
      <c r="R225" s="366"/>
      <c r="S225" s="378"/>
      <c r="T225" s="324"/>
      <c r="U225" s="386"/>
      <c r="V225" s="386"/>
      <c r="W225" s="386"/>
      <c r="X225" s="386"/>
      <c r="Y225" s="386"/>
      <c r="Z225" s="386"/>
      <c r="AA225" s="386"/>
      <c r="AB225" s="392"/>
      <c r="AC225" s="28"/>
      <c r="AD225" s="28"/>
      <c r="AE225" s="28"/>
      <c r="AF225" s="28"/>
      <c r="AG225" s="28"/>
      <c r="AH225" s="28"/>
      <c r="AI225" s="28"/>
      <c r="AJ225" s="28"/>
    </row>
    <row r="226" spans="1:36" s="320" customFormat="1" x14ac:dyDescent="0.25">
      <c r="A226" s="329" t="str">
        <f>IF('Kwaliteit conversie'!$D$4='Prijs karton'!C226,"X"," ")</f>
        <v xml:space="preserve"> </v>
      </c>
      <c r="B226" s="332" t="s">
        <v>33</v>
      </c>
      <c r="C226" s="360" t="s">
        <v>451</v>
      </c>
      <c r="D226" s="367"/>
      <c r="E226" s="322">
        <v>4</v>
      </c>
      <c r="F226" s="927">
        <v>0</v>
      </c>
      <c r="G226" s="319">
        <v>0</v>
      </c>
      <c r="H226" s="319"/>
      <c r="I226" s="319">
        <v>0</v>
      </c>
      <c r="J226" s="319">
        <v>0</v>
      </c>
      <c r="K226" s="928">
        <v>0</v>
      </c>
      <c r="L226" s="929" t="s">
        <v>239</v>
      </c>
      <c r="M226" s="379" t="s">
        <v>239</v>
      </c>
      <c r="N226" s="367" t="s">
        <v>239</v>
      </c>
      <c r="O226" s="325" t="s">
        <v>239</v>
      </c>
      <c r="P226" s="387" t="s">
        <v>239</v>
      </c>
      <c r="Q226" s="325" t="s">
        <v>239</v>
      </c>
      <c r="R226" s="367" t="s">
        <v>239</v>
      </c>
      <c r="S226" s="380" t="s">
        <v>239</v>
      </c>
      <c r="T226" s="326" t="s">
        <v>245</v>
      </c>
      <c r="U226" s="387">
        <v>250</v>
      </c>
      <c r="V226" s="387">
        <v>2450</v>
      </c>
      <c r="W226" s="387">
        <v>500</v>
      </c>
      <c r="X226" s="387">
        <v>6200</v>
      </c>
      <c r="Y226" s="387">
        <v>250</v>
      </c>
      <c r="Z226" s="387">
        <v>125</v>
      </c>
      <c r="AA226" s="387">
        <v>200</v>
      </c>
      <c r="AB226" s="393">
        <v>6</v>
      </c>
      <c r="AC226" s="34">
        <v>0</v>
      </c>
      <c r="AD226" s="34">
        <v>1</v>
      </c>
      <c r="AE226" s="34">
        <v>1</v>
      </c>
      <c r="AF226" s="34">
        <v>1</v>
      </c>
      <c r="AG226" s="34">
        <v>1</v>
      </c>
      <c r="AH226" s="34">
        <v>1</v>
      </c>
      <c r="AI226" s="34">
        <v>1</v>
      </c>
      <c r="AJ226" s="34">
        <v>1</v>
      </c>
    </row>
    <row r="227" spans="1:36" x14ac:dyDescent="0.25">
      <c r="A227" s="298" t="str">
        <f>IF('Kwaliteit conversie'!$D$4='Prijs karton'!C227,"X"," ")</f>
        <v xml:space="preserve"> </v>
      </c>
      <c r="B227" s="331"/>
      <c r="C227" s="359"/>
      <c r="D227" s="366"/>
      <c r="E227" s="321"/>
      <c r="F227" s="925"/>
      <c r="G227" s="315"/>
      <c r="H227" s="315"/>
      <c r="I227" s="315"/>
      <c r="J227" s="315"/>
      <c r="K227" s="513"/>
      <c r="L227" s="926"/>
      <c r="M227" s="331"/>
      <c r="N227" s="366"/>
      <c r="O227" s="323"/>
      <c r="P227" s="386"/>
      <c r="Q227" s="323"/>
      <c r="R227" s="366"/>
      <c r="S227" s="378"/>
      <c r="T227" s="324"/>
      <c r="U227" s="386"/>
      <c r="V227" s="386"/>
      <c r="W227" s="386"/>
      <c r="X227" s="386"/>
      <c r="Y227" s="386"/>
      <c r="Z227" s="386"/>
      <c r="AA227" s="386"/>
      <c r="AB227" s="392"/>
      <c r="AC227" s="28"/>
      <c r="AD227" s="28"/>
      <c r="AE227" s="28"/>
      <c r="AF227" s="28"/>
      <c r="AG227" s="28"/>
      <c r="AH227" s="28"/>
      <c r="AI227" s="28"/>
      <c r="AJ227" s="28"/>
    </row>
    <row r="228" spans="1:36" x14ac:dyDescent="0.25">
      <c r="A228" s="298" t="str">
        <f>IF('Kwaliteit conversie'!$D$4='Prijs karton'!C228,"X"," ")</f>
        <v xml:space="preserve"> </v>
      </c>
      <c r="B228" s="331"/>
      <c r="C228" s="359"/>
      <c r="D228" s="366"/>
      <c r="E228" s="321"/>
      <c r="F228" s="925"/>
      <c r="G228" s="315"/>
      <c r="H228" s="315"/>
      <c r="I228" s="315"/>
      <c r="J228" s="315"/>
      <c r="K228" s="513"/>
      <c r="L228" s="926"/>
      <c r="M228" s="331"/>
      <c r="N228" s="366"/>
      <c r="O228" s="323"/>
      <c r="P228" s="386"/>
      <c r="Q228" s="323"/>
      <c r="R228" s="366"/>
      <c r="S228" s="378"/>
      <c r="T228" s="324"/>
      <c r="U228" s="386"/>
      <c r="V228" s="386"/>
      <c r="W228" s="386"/>
      <c r="X228" s="386"/>
      <c r="Y228" s="386"/>
      <c r="Z228" s="386"/>
      <c r="AA228" s="386"/>
      <c r="AB228" s="392"/>
      <c r="AC228" s="28"/>
      <c r="AD228" s="28"/>
      <c r="AE228" s="28"/>
      <c r="AF228" s="28"/>
      <c r="AG228" s="28"/>
      <c r="AH228" s="28"/>
      <c r="AI228" s="28"/>
      <c r="AJ228" s="28"/>
    </row>
    <row r="229" spans="1:36" x14ac:dyDescent="0.25">
      <c r="A229" s="298" t="str">
        <f>IF('Kwaliteit conversie'!$D$4='Prijs karton'!C229,"X"," ")</f>
        <v xml:space="preserve"> </v>
      </c>
      <c r="B229" s="331"/>
      <c r="C229" s="359"/>
      <c r="D229" s="366"/>
      <c r="E229" s="321"/>
      <c r="F229" s="925"/>
      <c r="G229" s="315"/>
      <c r="H229" s="315"/>
      <c r="I229" s="315"/>
      <c r="J229" s="315"/>
      <c r="K229" s="513"/>
      <c r="L229" s="926"/>
      <c r="M229" s="331"/>
      <c r="N229" s="366"/>
      <c r="O229" s="323"/>
      <c r="P229" s="386"/>
      <c r="Q229" s="323"/>
      <c r="R229" s="366"/>
      <c r="S229" s="378"/>
      <c r="T229" s="324"/>
      <c r="U229" s="386"/>
      <c r="V229" s="386"/>
      <c r="W229" s="386"/>
      <c r="X229" s="386"/>
      <c r="Y229" s="386"/>
      <c r="Z229" s="386"/>
      <c r="AA229" s="386"/>
      <c r="AB229" s="392"/>
      <c r="AC229" s="28"/>
      <c r="AD229" s="28"/>
      <c r="AE229" s="28"/>
      <c r="AF229" s="28"/>
      <c r="AG229" s="28"/>
      <c r="AH229" s="28"/>
      <c r="AI229" s="28"/>
      <c r="AJ229" s="28"/>
    </row>
    <row r="230" spans="1:36" x14ac:dyDescent="0.25">
      <c r="A230" s="932" t="str">
        <f>IF('Kwaliteit conversie'!$D$4='Prijs karton'!C230,"X"," ")</f>
        <v xml:space="preserve"> </v>
      </c>
      <c r="B230" s="331" t="s">
        <v>35</v>
      </c>
      <c r="C230" s="359" t="s">
        <v>452</v>
      </c>
      <c r="D230" s="366">
        <v>0.51500000000000001</v>
      </c>
      <c r="E230" s="321">
        <v>3.5</v>
      </c>
      <c r="F230" s="925">
        <v>0</v>
      </c>
      <c r="G230" s="315">
        <v>43.7</v>
      </c>
      <c r="H230" s="315">
        <v>40.700000000000003</v>
      </c>
      <c r="I230" s="315">
        <v>40.200000000000003</v>
      </c>
      <c r="J230" s="315">
        <v>40.200000000000003</v>
      </c>
      <c r="K230" s="513">
        <v>39.700000000000003</v>
      </c>
      <c r="L230" s="926" t="s">
        <v>453</v>
      </c>
      <c r="M230" s="331" t="s">
        <v>249</v>
      </c>
      <c r="N230" s="366" t="s">
        <v>255</v>
      </c>
      <c r="O230" s="323" t="s">
        <v>244</v>
      </c>
      <c r="P230" s="386" t="s">
        <v>255</v>
      </c>
      <c r="Q230" s="323" t="s">
        <v>239</v>
      </c>
      <c r="R230" s="366" t="s">
        <v>239</v>
      </c>
      <c r="S230" s="378" t="s">
        <v>243</v>
      </c>
      <c r="T230" s="324" t="s">
        <v>245</v>
      </c>
      <c r="U230" s="386">
        <v>250</v>
      </c>
      <c r="V230" s="386">
        <v>2450</v>
      </c>
      <c r="W230" s="386">
        <v>500</v>
      </c>
      <c r="X230" s="386">
        <v>6200</v>
      </c>
      <c r="Y230" s="386">
        <v>300</v>
      </c>
      <c r="Z230" s="386">
        <v>150</v>
      </c>
      <c r="AA230" s="386">
        <v>200</v>
      </c>
      <c r="AB230" s="392">
        <v>6.1</v>
      </c>
      <c r="AC230" s="28">
        <v>0</v>
      </c>
      <c r="AD230" s="28">
        <v>1</v>
      </c>
      <c r="AE230" s="28">
        <v>1</v>
      </c>
      <c r="AF230" s="28">
        <v>1</v>
      </c>
      <c r="AG230" s="28">
        <v>1</v>
      </c>
      <c r="AH230" s="28">
        <v>1</v>
      </c>
      <c r="AI230" s="28">
        <v>1</v>
      </c>
      <c r="AJ230" s="28">
        <v>1</v>
      </c>
    </row>
    <row r="231" spans="1:36" x14ac:dyDescent="0.25">
      <c r="A231" s="298" t="str">
        <f>IF('Kwaliteit conversie'!$D$4='Prijs karton'!C231,"X"," ")</f>
        <v xml:space="preserve"> </v>
      </c>
      <c r="B231" s="331" t="s">
        <v>35</v>
      </c>
      <c r="C231" s="359" t="s">
        <v>454</v>
      </c>
      <c r="D231" s="366">
        <v>0.54500000000000004</v>
      </c>
      <c r="E231" s="321">
        <v>3.5</v>
      </c>
      <c r="F231" s="925">
        <v>0</v>
      </c>
      <c r="G231" s="315">
        <v>49.8</v>
      </c>
      <c r="H231" s="315">
        <v>46.8</v>
      </c>
      <c r="I231" s="315">
        <v>46.3</v>
      </c>
      <c r="J231" s="315">
        <v>46.3</v>
      </c>
      <c r="K231" s="513">
        <v>45.8</v>
      </c>
      <c r="L231" s="926" t="s">
        <v>455</v>
      </c>
      <c r="M231" s="331" t="s">
        <v>331</v>
      </c>
      <c r="N231" s="366" t="s">
        <v>255</v>
      </c>
      <c r="O231" s="323" t="s">
        <v>244</v>
      </c>
      <c r="P231" s="386" t="s">
        <v>255</v>
      </c>
      <c r="Q231" s="323" t="s">
        <v>239</v>
      </c>
      <c r="R231" s="366" t="s">
        <v>239</v>
      </c>
      <c r="S231" s="378" t="s">
        <v>249</v>
      </c>
      <c r="T231" s="324" t="s">
        <v>245</v>
      </c>
      <c r="U231" s="386">
        <v>250</v>
      </c>
      <c r="V231" s="386">
        <v>2450</v>
      </c>
      <c r="W231" s="386">
        <v>500</v>
      </c>
      <c r="X231" s="386">
        <v>6200</v>
      </c>
      <c r="Y231" s="386">
        <v>300</v>
      </c>
      <c r="Z231" s="386">
        <v>150</v>
      </c>
      <c r="AA231" s="386">
        <v>200</v>
      </c>
      <c r="AB231" s="392">
        <v>6.9</v>
      </c>
      <c r="AC231" s="28">
        <v>10</v>
      </c>
      <c r="AD231" s="28">
        <v>1</v>
      </c>
      <c r="AE231" s="28">
        <v>1</v>
      </c>
      <c r="AF231" s="28">
        <v>1</v>
      </c>
      <c r="AG231" s="28">
        <v>1</v>
      </c>
      <c r="AH231" s="28">
        <v>1</v>
      </c>
      <c r="AI231" s="28">
        <v>1</v>
      </c>
      <c r="AJ231" s="28">
        <v>1</v>
      </c>
    </row>
    <row r="232" spans="1:36" x14ac:dyDescent="0.25">
      <c r="A232" s="298" t="str">
        <f>IF('Kwaliteit conversie'!$D$4='Prijs karton'!C232,"X"," ")</f>
        <v xml:space="preserve"> </v>
      </c>
      <c r="B232" s="331" t="s">
        <v>35</v>
      </c>
      <c r="C232" s="359" t="s">
        <v>456</v>
      </c>
      <c r="D232" s="366">
        <v>0.53500000000000003</v>
      </c>
      <c r="E232" s="321">
        <v>3.5</v>
      </c>
      <c r="F232" s="925">
        <v>0</v>
      </c>
      <c r="G232" s="315">
        <v>55.5</v>
      </c>
      <c r="H232" s="315">
        <v>52.5</v>
      </c>
      <c r="I232" s="315">
        <v>52</v>
      </c>
      <c r="J232" s="315">
        <v>52</v>
      </c>
      <c r="K232" s="513">
        <v>51.5</v>
      </c>
      <c r="L232" s="926" t="s">
        <v>457</v>
      </c>
      <c r="M232" s="331" t="s">
        <v>289</v>
      </c>
      <c r="N232" s="366" t="s">
        <v>255</v>
      </c>
      <c r="O232" s="323" t="s">
        <v>244</v>
      </c>
      <c r="P232" s="386" t="s">
        <v>255</v>
      </c>
      <c r="Q232" s="323" t="s">
        <v>239</v>
      </c>
      <c r="R232" s="366" t="s">
        <v>239</v>
      </c>
      <c r="S232" s="378" t="s">
        <v>243</v>
      </c>
      <c r="T232" s="324" t="s">
        <v>245</v>
      </c>
      <c r="U232" s="386">
        <v>250</v>
      </c>
      <c r="V232" s="386">
        <v>2450</v>
      </c>
      <c r="W232" s="386">
        <v>500</v>
      </c>
      <c r="X232" s="386">
        <v>6200</v>
      </c>
      <c r="Y232" s="386">
        <v>300</v>
      </c>
      <c r="Z232" s="386">
        <v>150</v>
      </c>
      <c r="AA232" s="386">
        <v>200</v>
      </c>
      <c r="AB232" s="392">
        <v>6.7</v>
      </c>
      <c r="AC232" s="28">
        <v>0</v>
      </c>
      <c r="AD232" s="28">
        <v>1</v>
      </c>
      <c r="AE232" s="28">
        <v>1</v>
      </c>
      <c r="AF232" s="28">
        <v>1</v>
      </c>
      <c r="AG232" s="28">
        <v>1</v>
      </c>
      <c r="AH232" s="28">
        <v>1</v>
      </c>
      <c r="AI232" s="28">
        <v>1</v>
      </c>
      <c r="AJ232" s="28">
        <v>1</v>
      </c>
    </row>
    <row r="233" spans="1:36" x14ac:dyDescent="0.25">
      <c r="A233" s="298" t="str">
        <f>IF('Kwaliteit conversie'!$D$4='Prijs karton'!C233,"X"," ")</f>
        <v xml:space="preserve"> </v>
      </c>
      <c r="B233" s="331" t="s">
        <v>35</v>
      </c>
      <c r="C233" s="359" t="s">
        <v>458</v>
      </c>
      <c r="D233" s="366">
        <v>0.64500000000000002</v>
      </c>
      <c r="E233" s="321">
        <v>3.6</v>
      </c>
      <c r="F233" s="925">
        <v>0</v>
      </c>
      <c r="G233" s="315">
        <v>59.5</v>
      </c>
      <c r="H233" s="315">
        <v>56.5</v>
      </c>
      <c r="I233" s="315">
        <v>56</v>
      </c>
      <c r="J233" s="315">
        <v>56</v>
      </c>
      <c r="K233" s="513">
        <v>55.5</v>
      </c>
      <c r="L233" s="926" t="s">
        <v>459</v>
      </c>
      <c r="M233" s="331" t="s">
        <v>274</v>
      </c>
      <c r="N233" s="366" t="s">
        <v>285</v>
      </c>
      <c r="O233" s="323" t="s">
        <v>244</v>
      </c>
      <c r="P233" s="386" t="s">
        <v>244</v>
      </c>
      <c r="Q233" s="323" t="s">
        <v>239</v>
      </c>
      <c r="R233" s="366" t="s">
        <v>239</v>
      </c>
      <c r="S233" s="378" t="s">
        <v>257</v>
      </c>
      <c r="T233" s="324" t="s">
        <v>245</v>
      </c>
      <c r="U233" s="386">
        <v>250</v>
      </c>
      <c r="V233" s="386">
        <v>2450</v>
      </c>
      <c r="W233" s="386">
        <v>500</v>
      </c>
      <c r="X233" s="386">
        <v>6200</v>
      </c>
      <c r="Y233" s="386">
        <v>300</v>
      </c>
      <c r="Z233" s="386">
        <v>150</v>
      </c>
      <c r="AA233" s="386">
        <v>200</v>
      </c>
      <c r="AB233" s="392">
        <v>9.1</v>
      </c>
      <c r="AC233" s="28">
        <v>0</v>
      </c>
      <c r="AD233" s="28">
        <v>1</v>
      </c>
      <c r="AE233" s="28">
        <v>1</v>
      </c>
      <c r="AF233" s="28">
        <v>1</v>
      </c>
      <c r="AG233" s="28">
        <v>1</v>
      </c>
      <c r="AH233" s="28">
        <v>1</v>
      </c>
      <c r="AI233" s="28">
        <v>1</v>
      </c>
      <c r="AJ233" s="28">
        <v>1</v>
      </c>
    </row>
    <row r="234" spans="1:36" x14ac:dyDescent="0.25">
      <c r="A234" s="298" t="str">
        <f>IF('Kwaliteit conversie'!$D$4='Prijs karton'!C234,"X"," ")</f>
        <v xml:space="preserve"> </v>
      </c>
      <c r="B234" s="331" t="s">
        <v>35</v>
      </c>
      <c r="C234" s="359" t="s">
        <v>460</v>
      </c>
      <c r="D234" s="366">
        <v>0.64</v>
      </c>
      <c r="E234" s="321">
        <v>3.6</v>
      </c>
      <c r="F234" s="925">
        <v>0</v>
      </c>
      <c r="G234" s="315">
        <v>58.4</v>
      </c>
      <c r="H234" s="315">
        <v>55.4</v>
      </c>
      <c r="I234" s="315">
        <v>54.9</v>
      </c>
      <c r="J234" s="315">
        <v>54.9</v>
      </c>
      <c r="K234" s="513">
        <v>54.4</v>
      </c>
      <c r="L234" s="926" t="s">
        <v>461</v>
      </c>
      <c r="M234" s="331" t="s">
        <v>277</v>
      </c>
      <c r="N234" s="366" t="s">
        <v>285</v>
      </c>
      <c r="O234" s="323" t="s">
        <v>244</v>
      </c>
      <c r="P234" s="386" t="s">
        <v>244</v>
      </c>
      <c r="Q234" s="323" t="s">
        <v>239</v>
      </c>
      <c r="R234" s="366" t="s">
        <v>239</v>
      </c>
      <c r="S234" s="378" t="s">
        <v>257</v>
      </c>
      <c r="T234" s="324" t="s">
        <v>245</v>
      </c>
      <c r="U234" s="386">
        <v>250</v>
      </c>
      <c r="V234" s="386">
        <v>2450</v>
      </c>
      <c r="W234" s="386">
        <v>500</v>
      </c>
      <c r="X234" s="386">
        <v>6200</v>
      </c>
      <c r="Y234" s="386">
        <v>300</v>
      </c>
      <c r="Z234" s="386">
        <v>150</v>
      </c>
      <c r="AA234" s="386">
        <v>200</v>
      </c>
      <c r="AB234" s="392">
        <v>8.6999999999999993</v>
      </c>
      <c r="AC234" s="28">
        <v>0</v>
      </c>
      <c r="AD234" s="28">
        <v>1</v>
      </c>
      <c r="AE234" s="28">
        <v>1</v>
      </c>
      <c r="AF234" s="28">
        <v>1</v>
      </c>
      <c r="AG234" s="28">
        <v>1</v>
      </c>
      <c r="AH234" s="28">
        <v>1</v>
      </c>
      <c r="AI234" s="28">
        <v>1</v>
      </c>
      <c r="AJ234" s="28">
        <v>1</v>
      </c>
    </row>
    <row r="235" spans="1:36" x14ac:dyDescent="0.25">
      <c r="A235" s="298" t="str">
        <f>IF('Kwaliteit conversie'!$D$4='Prijs karton'!C235,"X"," ")</f>
        <v xml:space="preserve"> </v>
      </c>
      <c r="B235" s="331" t="s">
        <v>35</v>
      </c>
      <c r="C235" s="359"/>
      <c r="D235" s="366"/>
      <c r="E235" s="321"/>
      <c r="F235" s="925"/>
      <c r="G235" s="315"/>
      <c r="H235" s="315"/>
      <c r="I235" s="315"/>
      <c r="J235" s="315"/>
      <c r="K235" s="513"/>
      <c r="L235" s="926"/>
      <c r="M235" s="331"/>
      <c r="N235" s="366"/>
      <c r="O235" s="323"/>
      <c r="P235" s="386"/>
      <c r="Q235" s="323"/>
      <c r="R235" s="366"/>
      <c r="S235" s="378"/>
      <c r="T235" s="324"/>
      <c r="U235" s="386"/>
      <c r="V235" s="386"/>
      <c r="W235" s="386"/>
      <c r="X235" s="386"/>
      <c r="Y235" s="386"/>
      <c r="Z235" s="386"/>
      <c r="AA235" s="386"/>
      <c r="AB235" s="392"/>
      <c r="AC235" s="28"/>
      <c r="AD235" s="28"/>
      <c r="AE235" s="28"/>
      <c r="AF235" s="28"/>
      <c r="AG235" s="28"/>
      <c r="AH235" s="28"/>
      <c r="AI235" s="28"/>
      <c r="AJ235" s="28"/>
    </row>
    <row r="236" spans="1:36" x14ac:dyDescent="0.25">
      <c r="A236" s="298" t="str">
        <f>IF('Kwaliteit conversie'!$D$4='Prijs karton'!C236,"X"," ")</f>
        <v xml:space="preserve"> </v>
      </c>
      <c r="B236" s="331" t="s">
        <v>35</v>
      </c>
      <c r="C236" s="359"/>
      <c r="D236" s="366"/>
      <c r="E236" s="321"/>
      <c r="F236" s="925"/>
      <c r="G236" s="315"/>
      <c r="H236" s="315"/>
      <c r="I236" s="315"/>
      <c r="J236" s="315"/>
      <c r="K236" s="513"/>
      <c r="L236" s="926"/>
      <c r="M236" s="331"/>
      <c r="N236" s="366"/>
      <c r="O236" s="323"/>
      <c r="P236" s="386"/>
      <c r="Q236" s="323"/>
      <c r="R236" s="366"/>
      <c r="S236" s="378"/>
      <c r="T236" s="324"/>
      <c r="U236" s="386"/>
      <c r="V236" s="386"/>
      <c r="W236" s="386"/>
      <c r="X236" s="386"/>
      <c r="Y236" s="386"/>
      <c r="Z236" s="386"/>
      <c r="AA236" s="386"/>
      <c r="AB236" s="392"/>
      <c r="AC236" s="28"/>
      <c r="AD236" s="28"/>
      <c r="AE236" s="28"/>
      <c r="AF236" s="28"/>
      <c r="AG236" s="28"/>
      <c r="AH236" s="28"/>
      <c r="AI236" s="28"/>
      <c r="AJ236" s="28"/>
    </row>
    <row r="237" spans="1:36" x14ac:dyDescent="0.25">
      <c r="A237" s="298" t="str">
        <f>IF('Kwaliteit conversie'!$D$4='Prijs karton'!C237,"X"," ")</f>
        <v xml:space="preserve"> </v>
      </c>
      <c r="B237" s="331" t="s">
        <v>35</v>
      </c>
      <c r="C237" s="359"/>
      <c r="D237" s="366"/>
      <c r="E237" s="321"/>
      <c r="F237" s="925"/>
      <c r="G237" s="315"/>
      <c r="H237" s="315"/>
      <c r="I237" s="315"/>
      <c r="J237" s="315"/>
      <c r="K237" s="513"/>
      <c r="L237" s="926"/>
      <c r="M237" s="331"/>
      <c r="N237" s="366"/>
      <c r="O237" s="323"/>
      <c r="P237" s="386"/>
      <c r="Q237" s="323"/>
      <c r="R237" s="366"/>
      <c r="S237" s="378"/>
      <c r="T237" s="324"/>
      <c r="U237" s="386"/>
      <c r="V237" s="386"/>
      <c r="W237" s="386"/>
      <c r="X237" s="386"/>
      <c r="Y237" s="386"/>
      <c r="Z237" s="386"/>
      <c r="AA237" s="386"/>
      <c r="AB237" s="392"/>
      <c r="AC237" s="28"/>
      <c r="AD237" s="28"/>
      <c r="AE237" s="28"/>
      <c r="AF237" s="28"/>
      <c r="AG237" s="28"/>
      <c r="AH237" s="28"/>
      <c r="AI237" s="28"/>
      <c r="AJ237" s="28"/>
    </row>
    <row r="238" spans="1:36" x14ac:dyDescent="0.25">
      <c r="A238" s="298" t="str">
        <f>IF('Kwaliteit conversie'!$D$4='Prijs karton'!C238,"X"," ")</f>
        <v xml:space="preserve"> </v>
      </c>
      <c r="B238" s="331" t="s">
        <v>35</v>
      </c>
      <c r="C238" s="359"/>
      <c r="D238" s="366"/>
      <c r="E238" s="321"/>
      <c r="F238" s="925"/>
      <c r="G238" s="315"/>
      <c r="H238" s="315"/>
      <c r="I238" s="315"/>
      <c r="J238" s="315"/>
      <c r="K238" s="513"/>
      <c r="L238" s="926"/>
      <c r="M238" s="331"/>
      <c r="N238" s="366"/>
      <c r="O238" s="323"/>
      <c r="P238" s="386"/>
      <c r="Q238" s="323"/>
      <c r="R238" s="366"/>
      <c r="S238" s="378"/>
      <c r="T238" s="324"/>
      <c r="U238" s="386"/>
      <c r="V238" s="386"/>
      <c r="W238" s="386"/>
      <c r="X238" s="386"/>
      <c r="Y238" s="386"/>
      <c r="Z238" s="386"/>
      <c r="AA238" s="386"/>
      <c r="AB238" s="392"/>
      <c r="AC238" s="28"/>
      <c r="AD238" s="28"/>
      <c r="AE238" s="28"/>
      <c r="AF238" s="28"/>
      <c r="AG238" s="28"/>
      <c r="AH238" s="28"/>
      <c r="AI238" s="28"/>
      <c r="AJ238" s="28"/>
    </row>
    <row r="239" spans="1:36" x14ac:dyDescent="0.25">
      <c r="A239" s="298" t="str">
        <f>IF('Kwaliteit conversie'!$D$4='Prijs karton'!C239,"X"," ")</f>
        <v xml:space="preserve"> </v>
      </c>
      <c r="B239" s="331" t="s">
        <v>35</v>
      </c>
      <c r="C239" s="359"/>
      <c r="D239" s="366"/>
      <c r="E239" s="321"/>
      <c r="F239" s="925"/>
      <c r="G239" s="315"/>
      <c r="H239" s="315"/>
      <c r="I239" s="315"/>
      <c r="J239" s="315"/>
      <c r="K239" s="513"/>
      <c r="L239" s="926"/>
      <c r="M239" s="331"/>
      <c r="N239" s="366"/>
      <c r="O239" s="323"/>
      <c r="P239" s="386"/>
      <c r="Q239" s="323"/>
      <c r="R239" s="366"/>
      <c r="S239" s="378"/>
      <c r="T239" s="324"/>
      <c r="U239" s="386"/>
      <c r="V239" s="386"/>
      <c r="W239" s="386"/>
      <c r="X239" s="386"/>
      <c r="Y239" s="386"/>
      <c r="Z239" s="386"/>
      <c r="AA239" s="386"/>
      <c r="AB239" s="392"/>
      <c r="AC239" s="28"/>
      <c r="AD239" s="28"/>
      <c r="AE239" s="28"/>
      <c r="AF239" s="28"/>
      <c r="AG239" s="28"/>
      <c r="AH239" s="28"/>
      <c r="AI239" s="28"/>
      <c r="AJ239" s="28"/>
    </row>
    <row r="240" spans="1:36" x14ac:dyDescent="0.25">
      <c r="A240" s="298" t="str">
        <f>IF('Kwaliteit conversie'!$D$4='Prijs karton'!C240,"X"," ")</f>
        <v xml:space="preserve"> </v>
      </c>
      <c r="B240" s="331" t="s">
        <v>35</v>
      </c>
      <c r="C240" s="359"/>
      <c r="D240" s="366"/>
      <c r="E240" s="321"/>
      <c r="F240" s="925"/>
      <c r="G240" s="315"/>
      <c r="H240" s="315"/>
      <c r="I240" s="315"/>
      <c r="J240" s="315"/>
      <c r="K240" s="513"/>
      <c r="L240" s="926"/>
      <c r="M240" s="331"/>
      <c r="N240" s="366"/>
      <c r="O240" s="323"/>
      <c r="P240" s="386"/>
      <c r="Q240" s="323"/>
      <c r="R240" s="366"/>
      <c r="S240" s="378"/>
      <c r="T240" s="324"/>
      <c r="U240" s="386"/>
      <c r="V240" s="386"/>
      <c r="W240" s="386"/>
      <c r="X240" s="386"/>
      <c r="Y240" s="386"/>
      <c r="Z240" s="386"/>
      <c r="AA240" s="386"/>
      <c r="AB240" s="392"/>
      <c r="AC240" s="28"/>
      <c r="AD240" s="28"/>
      <c r="AE240" s="28"/>
      <c r="AF240" s="28"/>
      <c r="AG240" s="28"/>
      <c r="AH240" s="28"/>
      <c r="AI240" s="28"/>
      <c r="AJ240" s="28"/>
    </row>
    <row r="241" spans="1:36" s="320" customFormat="1" x14ac:dyDescent="0.25">
      <c r="A241" s="329" t="str">
        <f>IF('Kwaliteit conversie'!$D$4='Prijs karton'!C241,"X"," ")</f>
        <v xml:space="preserve"> </v>
      </c>
      <c r="B241" s="332" t="s">
        <v>35</v>
      </c>
      <c r="C241" s="360" t="s">
        <v>462</v>
      </c>
      <c r="D241" s="367"/>
      <c r="E241" s="322">
        <v>3.6</v>
      </c>
      <c r="F241" s="927">
        <v>0</v>
      </c>
      <c r="G241" s="319">
        <v>0</v>
      </c>
      <c r="H241" s="319">
        <v>0</v>
      </c>
      <c r="I241" s="319">
        <v>0</v>
      </c>
      <c r="J241" s="319">
        <v>0</v>
      </c>
      <c r="K241" s="928">
        <v>0</v>
      </c>
      <c r="L241" s="929" t="s">
        <v>239</v>
      </c>
      <c r="M241" s="379" t="s">
        <v>239</v>
      </c>
      <c r="N241" s="367" t="s">
        <v>239</v>
      </c>
      <c r="O241" s="325" t="s">
        <v>239</v>
      </c>
      <c r="P241" s="387" t="s">
        <v>239</v>
      </c>
      <c r="Q241" s="325" t="s">
        <v>239</v>
      </c>
      <c r="R241" s="367" t="s">
        <v>239</v>
      </c>
      <c r="S241" s="380" t="s">
        <v>239</v>
      </c>
      <c r="T241" s="326" t="s">
        <v>245</v>
      </c>
      <c r="U241" s="387">
        <v>250</v>
      </c>
      <c r="V241" s="387">
        <v>2450</v>
      </c>
      <c r="W241" s="387">
        <v>500</v>
      </c>
      <c r="X241" s="387">
        <v>6200</v>
      </c>
      <c r="Y241" s="387">
        <v>300</v>
      </c>
      <c r="Z241" s="387">
        <v>150</v>
      </c>
      <c r="AA241" s="387">
        <v>200</v>
      </c>
      <c r="AB241" s="393">
        <v>7</v>
      </c>
      <c r="AC241" s="34">
        <v>0</v>
      </c>
      <c r="AD241" s="34">
        <v>1</v>
      </c>
      <c r="AE241" s="34">
        <v>1</v>
      </c>
      <c r="AF241" s="34">
        <v>1</v>
      </c>
      <c r="AG241" s="34">
        <v>1</v>
      </c>
      <c r="AH241" s="34">
        <v>1</v>
      </c>
      <c r="AI241" s="34">
        <v>1</v>
      </c>
      <c r="AJ241" s="34">
        <v>1</v>
      </c>
    </row>
    <row r="242" spans="1:36" x14ac:dyDescent="0.25">
      <c r="A242" s="298" t="str">
        <f>IF('Kwaliteit conversie'!$D$4='Prijs karton'!C242,"X"," ")</f>
        <v xml:space="preserve"> </v>
      </c>
      <c r="B242" s="331"/>
      <c r="C242" s="359"/>
      <c r="D242" s="366"/>
      <c r="E242" s="321"/>
      <c r="F242" s="925"/>
      <c r="G242" s="315"/>
      <c r="H242" s="315"/>
      <c r="I242" s="315"/>
      <c r="J242" s="315"/>
      <c r="K242" s="513"/>
      <c r="L242" s="926"/>
      <c r="M242" s="331"/>
      <c r="N242" s="366"/>
      <c r="O242" s="323"/>
      <c r="P242" s="386"/>
      <c r="Q242" s="323"/>
      <c r="R242" s="366"/>
      <c r="S242" s="378"/>
      <c r="T242" s="324"/>
      <c r="U242" s="386"/>
      <c r="V242" s="386"/>
      <c r="W242" s="386"/>
      <c r="X242" s="386"/>
      <c r="Y242" s="386"/>
      <c r="Z242" s="386"/>
      <c r="AA242" s="386"/>
      <c r="AB242" s="392"/>
      <c r="AC242" s="28"/>
      <c r="AD242" s="28"/>
      <c r="AE242" s="28"/>
      <c r="AF242" s="28"/>
      <c r="AG242" s="28"/>
      <c r="AH242" s="28"/>
      <c r="AI242" s="28"/>
      <c r="AJ242" s="28"/>
    </row>
    <row r="243" spans="1:36" x14ac:dyDescent="0.25">
      <c r="A243" s="298" t="str">
        <f>IF('Kwaliteit conversie'!$D$4='Prijs karton'!C243,"X"," ")</f>
        <v xml:space="preserve"> </v>
      </c>
      <c r="B243" s="331"/>
      <c r="C243" s="359"/>
      <c r="D243" s="366"/>
      <c r="E243" s="321"/>
      <c r="F243" s="925"/>
      <c r="G243" s="315"/>
      <c r="H243" s="315"/>
      <c r="I243" s="315"/>
      <c r="J243" s="315"/>
      <c r="K243" s="513"/>
      <c r="L243" s="926"/>
      <c r="M243" s="331"/>
      <c r="N243" s="366"/>
      <c r="O243" s="323"/>
      <c r="P243" s="386"/>
      <c r="Q243" s="323"/>
      <c r="R243" s="366"/>
      <c r="S243" s="378"/>
      <c r="T243" s="324"/>
      <c r="U243" s="386"/>
      <c r="V243" s="386"/>
      <c r="W243" s="386"/>
      <c r="X243" s="386"/>
      <c r="Y243" s="386"/>
      <c r="Z243" s="386"/>
      <c r="AA243" s="386"/>
      <c r="AB243" s="392"/>
      <c r="AC243" s="28"/>
      <c r="AD243" s="28"/>
      <c r="AE243" s="28"/>
      <c r="AF243" s="28"/>
      <c r="AG243" s="28"/>
      <c r="AH243" s="28"/>
      <c r="AI243" s="28"/>
      <c r="AJ243" s="28"/>
    </row>
    <row r="244" spans="1:36" x14ac:dyDescent="0.25">
      <c r="A244" s="298" t="str">
        <f>IF('Kwaliteit conversie'!$D$4='Prijs karton'!C244,"X"," ")</f>
        <v xml:space="preserve"> </v>
      </c>
      <c r="B244" s="331"/>
      <c r="C244" s="359"/>
      <c r="D244" s="366"/>
      <c r="E244" s="321"/>
      <c r="F244" s="925"/>
      <c r="G244" s="315"/>
      <c r="H244" s="315"/>
      <c r="I244" s="315"/>
      <c r="J244" s="315"/>
      <c r="K244" s="513"/>
      <c r="L244" s="926"/>
      <c r="M244" s="331"/>
      <c r="N244" s="366"/>
      <c r="O244" s="323"/>
      <c r="P244" s="386"/>
      <c r="Q244" s="323"/>
      <c r="R244" s="366"/>
      <c r="S244" s="378"/>
      <c r="T244" s="324"/>
      <c r="U244" s="386"/>
      <c r="V244" s="386"/>
      <c r="W244" s="386"/>
      <c r="X244" s="386"/>
      <c r="Y244" s="386"/>
      <c r="Z244" s="386"/>
      <c r="AA244" s="386"/>
      <c r="AB244" s="392"/>
      <c r="AC244" s="28"/>
      <c r="AD244" s="28"/>
      <c r="AE244" s="28"/>
      <c r="AF244" s="28"/>
      <c r="AG244" s="28"/>
      <c r="AH244" s="28"/>
      <c r="AI244" s="28"/>
      <c r="AJ244" s="28"/>
    </row>
    <row r="245" spans="1:36" x14ac:dyDescent="0.25">
      <c r="A245" s="298" t="str">
        <f>IF('Kwaliteit conversie'!$D$4='Prijs karton'!C245,"X"," ")</f>
        <v xml:space="preserve"> </v>
      </c>
      <c r="B245" s="331" t="s">
        <v>34</v>
      </c>
      <c r="C245" s="359"/>
      <c r="D245" s="366"/>
      <c r="E245" s="321"/>
      <c r="F245" s="925"/>
      <c r="G245" s="315"/>
      <c r="H245" s="315"/>
      <c r="I245" s="315"/>
      <c r="J245" s="315"/>
      <c r="K245" s="513"/>
      <c r="L245" s="926"/>
      <c r="M245" s="331"/>
      <c r="N245" s="366"/>
      <c r="O245" s="323"/>
      <c r="P245" s="386"/>
      <c r="Q245" s="323"/>
      <c r="R245" s="366"/>
      <c r="S245" s="378"/>
      <c r="T245" s="324"/>
      <c r="U245" s="386"/>
      <c r="V245" s="386"/>
      <c r="W245" s="386"/>
      <c r="X245" s="386"/>
      <c r="Y245" s="386"/>
      <c r="Z245" s="386"/>
      <c r="AA245" s="386"/>
      <c r="AB245" s="392"/>
      <c r="AC245" s="28"/>
      <c r="AD245" s="28"/>
      <c r="AE245" s="28"/>
      <c r="AF245" s="28"/>
      <c r="AG245" s="28"/>
      <c r="AH245" s="28"/>
      <c r="AI245" s="28"/>
      <c r="AJ245" s="28"/>
    </row>
    <row r="246" spans="1:36" x14ac:dyDescent="0.25">
      <c r="A246" s="932" t="str">
        <f>IF('Kwaliteit conversie'!$D$4='Prijs karton'!C246,"X"," ")</f>
        <v xml:space="preserve"> </v>
      </c>
      <c r="B246" s="331" t="s">
        <v>34</v>
      </c>
      <c r="C246" s="359" t="s">
        <v>463</v>
      </c>
      <c r="D246" s="366">
        <v>0.56299999999999994</v>
      </c>
      <c r="E246" s="321">
        <v>2.83</v>
      </c>
      <c r="F246" s="925">
        <v>0</v>
      </c>
      <c r="G246" s="315" t="s">
        <v>239</v>
      </c>
      <c r="H246" s="315">
        <v>68.099999999999994</v>
      </c>
      <c r="I246" s="315">
        <v>68.099999999999994</v>
      </c>
      <c r="J246" s="315">
        <v>66.099999999999994</v>
      </c>
      <c r="K246" s="513">
        <v>66.099999999999994</v>
      </c>
      <c r="L246" s="926" t="s">
        <v>464</v>
      </c>
      <c r="M246" s="331" t="s">
        <v>289</v>
      </c>
      <c r="N246" s="366" t="s">
        <v>244</v>
      </c>
      <c r="O246" s="323" t="s">
        <v>255</v>
      </c>
      <c r="P246" s="386" t="s">
        <v>244</v>
      </c>
      <c r="Q246" s="323" t="s">
        <v>239</v>
      </c>
      <c r="R246" s="366" t="s">
        <v>239</v>
      </c>
      <c r="S246" s="378" t="s">
        <v>260</v>
      </c>
      <c r="T246" s="324" t="s">
        <v>240</v>
      </c>
      <c r="U246" s="386">
        <v>240</v>
      </c>
      <c r="V246" s="386">
        <v>2450</v>
      </c>
      <c r="W246" s="386">
        <v>500</v>
      </c>
      <c r="X246" s="386">
        <v>6000</v>
      </c>
      <c r="Y246" s="386">
        <v>125</v>
      </c>
      <c r="Z246" s="386">
        <v>125</v>
      </c>
      <c r="AA246" s="386">
        <v>500</v>
      </c>
      <c r="AB246" s="392">
        <v>7.26</v>
      </c>
      <c r="AC246" s="28">
        <v>0</v>
      </c>
      <c r="AD246" s="28">
        <v>1</v>
      </c>
      <c r="AE246" s="28">
        <v>1</v>
      </c>
      <c r="AF246" s="28">
        <v>1</v>
      </c>
      <c r="AG246" s="28">
        <v>1</v>
      </c>
      <c r="AH246" s="28">
        <v>1</v>
      </c>
      <c r="AI246" s="28">
        <v>1</v>
      </c>
      <c r="AJ246" s="28">
        <v>1</v>
      </c>
    </row>
    <row r="247" spans="1:36" x14ac:dyDescent="0.25">
      <c r="A247" s="298" t="str">
        <f>IF('Kwaliteit conversie'!$D$4='Prijs karton'!C247,"X"," ")</f>
        <v xml:space="preserve"> </v>
      </c>
      <c r="B247" s="331" t="s">
        <v>34</v>
      </c>
      <c r="C247" s="359" t="s">
        <v>465</v>
      </c>
      <c r="D247" s="366">
        <v>0.60799999999999998</v>
      </c>
      <c r="E247" s="321">
        <v>2.91</v>
      </c>
      <c r="F247" s="925">
        <v>0</v>
      </c>
      <c r="G247" s="315" t="s">
        <v>239</v>
      </c>
      <c r="H247" s="315">
        <v>69.8</v>
      </c>
      <c r="I247" s="315">
        <v>69.8</v>
      </c>
      <c r="J247" s="315">
        <v>67.8</v>
      </c>
      <c r="K247" s="513">
        <v>65.8</v>
      </c>
      <c r="L247" s="926" t="s">
        <v>466</v>
      </c>
      <c r="M247" s="331" t="s">
        <v>318</v>
      </c>
      <c r="N247" s="366" t="s">
        <v>244</v>
      </c>
      <c r="O247" s="323" t="s">
        <v>255</v>
      </c>
      <c r="P247" s="386" t="s">
        <v>244</v>
      </c>
      <c r="Q247" s="323" t="s">
        <v>239</v>
      </c>
      <c r="R247" s="366" t="s">
        <v>239</v>
      </c>
      <c r="S247" s="378" t="s">
        <v>260</v>
      </c>
      <c r="T247" s="324" t="s">
        <v>240</v>
      </c>
      <c r="U247" s="386">
        <v>240</v>
      </c>
      <c r="V247" s="386">
        <v>2450</v>
      </c>
      <c r="W247" s="386">
        <v>500</v>
      </c>
      <c r="X247" s="386">
        <v>6000</v>
      </c>
      <c r="Y247" s="386">
        <v>125</v>
      </c>
      <c r="Z247" s="386">
        <v>125</v>
      </c>
      <c r="AA247" s="386">
        <v>500</v>
      </c>
      <c r="AB247" s="392">
        <v>7.61</v>
      </c>
      <c r="AC247" s="28">
        <v>0</v>
      </c>
      <c r="AD247" s="28">
        <v>1</v>
      </c>
      <c r="AE247" s="28">
        <v>1</v>
      </c>
      <c r="AF247" s="28">
        <v>1</v>
      </c>
      <c r="AG247" s="28">
        <v>1</v>
      </c>
      <c r="AH247" s="28">
        <v>1</v>
      </c>
      <c r="AI247" s="28">
        <v>1</v>
      </c>
      <c r="AJ247" s="28">
        <v>1</v>
      </c>
    </row>
    <row r="248" spans="1:36" x14ac:dyDescent="0.25">
      <c r="A248" s="298" t="str">
        <f>IF('Kwaliteit conversie'!$D$4='Prijs karton'!C248,"X"," ")</f>
        <v xml:space="preserve"> </v>
      </c>
      <c r="B248" s="331" t="s">
        <v>34</v>
      </c>
      <c r="C248" s="359" t="s">
        <v>467</v>
      </c>
      <c r="D248" s="366">
        <v>0.55300000000000005</v>
      </c>
      <c r="E248" s="321">
        <v>2.86</v>
      </c>
      <c r="F248" s="925">
        <v>0</v>
      </c>
      <c r="G248" s="315">
        <v>60.8</v>
      </c>
      <c r="H248" s="315">
        <v>58.8</v>
      </c>
      <c r="I248" s="315">
        <v>58.8</v>
      </c>
      <c r="J248" s="315">
        <v>57.3</v>
      </c>
      <c r="K248" s="513">
        <v>56.8</v>
      </c>
      <c r="L248" s="926" t="s">
        <v>468</v>
      </c>
      <c r="M248" s="331" t="s">
        <v>260</v>
      </c>
      <c r="N248" s="366" t="s">
        <v>244</v>
      </c>
      <c r="O248" s="323" t="s">
        <v>255</v>
      </c>
      <c r="P248" s="386" t="s">
        <v>244</v>
      </c>
      <c r="Q248" s="323" t="s">
        <v>239</v>
      </c>
      <c r="R248" s="366" t="s">
        <v>239</v>
      </c>
      <c r="S248" s="378" t="s">
        <v>260</v>
      </c>
      <c r="T248" s="324" t="s">
        <v>240</v>
      </c>
      <c r="U248" s="386">
        <v>240</v>
      </c>
      <c r="V248" s="386">
        <v>2450</v>
      </c>
      <c r="W248" s="386">
        <v>500</v>
      </c>
      <c r="X248" s="386">
        <v>6000</v>
      </c>
      <c r="Y248" s="386">
        <v>125</v>
      </c>
      <c r="Z248" s="386">
        <v>125</v>
      </c>
      <c r="AA248" s="386">
        <v>200</v>
      </c>
      <c r="AB248" s="392">
        <v>6.94</v>
      </c>
      <c r="AC248" s="28">
        <v>0</v>
      </c>
      <c r="AD248" s="28">
        <v>1</v>
      </c>
      <c r="AE248" s="28">
        <v>1</v>
      </c>
      <c r="AF248" s="28">
        <v>1</v>
      </c>
      <c r="AG248" s="28">
        <v>1</v>
      </c>
      <c r="AH248" s="28">
        <v>1</v>
      </c>
      <c r="AI248" s="28">
        <v>1</v>
      </c>
      <c r="AJ248" s="28">
        <v>1</v>
      </c>
    </row>
    <row r="249" spans="1:36" x14ac:dyDescent="0.25">
      <c r="A249" s="298" t="str">
        <f>IF('Kwaliteit conversie'!$D$4='Prijs karton'!C249,"X"," ")</f>
        <v xml:space="preserve"> </v>
      </c>
      <c r="B249" s="331" t="s">
        <v>34</v>
      </c>
      <c r="C249" s="359" t="s">
        <v>1401</v>
      </c>
      <c r="D249" s="366">
        <v>0.56999999999999995</v>
      </c>
      <c r="E249" s="321">
        <v>2.86</v>
      </c>
      <c r="F249" s="925">
        <v>0</v>
      </c>
      <c r="G249" s="315">
        <v>55.4</v>
      </c>
      <c r="H249" s="315">
        <v>54</v>
      </c>
      <c r="I249" s="315">
        <v>53.7</v>
      </c>
      <c r="J249" s="315">
        <v>53.5</v>
      </c>
      <c r="K249" s="513">
        <v>53.5</v>
      </c>
      <c r="L249" s="926" t="s">
        <v>1402</v>
      </c>
      <c r="M249" s="331" t="s">
        <v>1362</v>
      </c>
      <c r="N249" s="366" t="s">
        <v>244</v>
      </c>
      <c r="O249" s="323" t="s">
        <v>244</v>
      </c>
      <c r="P249" s="386" t="s">
        <v>244</v>
      </c>
      <c r="Q249" s="323" t="s">
        <v>239</v>
      </c>
      <c r="R249" s="366" t="s">
        <v>239</v>
      </c>
      <c r="S249" s="378" t="s">
        <v>1363</v>
      </c>
      <c r="T249" s="324" t="s">
        <v>1364</v>
      </c>
      <c r="U249" s="386">
        <v>250</v>
      </c>
      <c r="V249" s="386">
        <v>2450</v>
      </c>
      <c r="W249" s="386">
        <v>600</v>
      </c>
      <c r="X249" s="386">
        <v>6000</v>
      </c>
      <c r="Y249" s="386">
        <v>270</v>
      </c>
      <c r="Z249" s="386">
        <v>135</v>
      </c>
      <c r="AA249" s="386">
        <v>200</v>
      </c>
      <c r="AB249" s="392">
        <v>8.39</v>
      </c>
      <c r="AC249" s="28">
        <v>0</v>
      </c>
      <c r="AD249" s="28">
        <v>1</v>
      </c>
      <c r="AE249" s="28">
        <v>1</v>
      </c>
      <c r="AF249" s="28">
        <v>1</v>
      </c>
      <c r="AG249" s="28">
        <v>1</v>
      </c>
      <c r="AH249" s="28">
        <v>1</v>
      </c>
      <c r="AI249" s="28">
        <v>1</v>
      </c>
      <c r="AJ249" s="28">
        <v>1</v>
      </c>
    </row>
    <row r="250" spans="1:36" x14ac:dyDescent="0.25">
      <c r="A250" s="298" t="str">
        <f>IF('Kwaliteit conversie'!$D$4='Prijs karton'!C250,"X"," ")</f>
        <v xml:space="preserve"> </v>
      </c>
      <c r="B250" s="331" t="s">
        <v>34</v>
      </c>
      <c r="C250" s="359" t="s">
        <v>1403</v>
      </c>
      <c r="D250" s="366">
        <v>0.55500000000000005</v>
      </c>
      <c r="E250" s="321">
        <v>2.77</v>
      </c>
      <c r="F250" s="925">
        <v>0</v>
      </c>
      <c r="G250" s="315">
        <v>53.6</v>
      </c>
      <c r="H250" s="315">
        <v>52.1</v>
      </c>
      <c r="I250" s="315">
        <v>51.9</v>
      </c>
      <c r="J250" s="315">
        <v>51.9</v>
      </c>
      <c r="K250" s="513">
        <v>51.9</v>
      </c>
      <c r="L250" s="926" t="s">
        <v>1404</v>
      </c>
      <c r="M250" s="331" t="s">
        <v>1363</v>
      </c>
      <c r="N250" s="366" t="s">
        <v>244</v>
      </c>
      <c r="O250" s="323" t="s">
        <v>244</v>
      </c>
      <c r="P250" s="386" t="s">
        <v>244</v>
      </c>
      <c r="Q250" s="323" t="s">
        <v>239</v>
      </c>
      <c r="R250" s="366" t="s">
        <v>239</v>
      </c>
      <c r="S250" s="378" t="s">
        <v>1363</v>
      </c>
      <c r="T250" s="324" t="s">
        <v>1364</v>
      </c>
      <c r="U250" s="386">
        <v>250</v>
      </c>
      <c r="V250" s="386">
        <v>2450</v>
      </c>
      <c r="W250" s="386">
        <v>600</v>
      </c>
      <c r="X250" s="386">
        <v>6000</v>
      </c>
      <c r="Y250" s="386">
        <v>270</v>
      </c>
      <c r="Z250" s="386">
        <v>135</v>
      </c>
      <c r="AA250" s="386">
        <v>200</v>
      </c>
      <c r="AB250" s="392">
        <v>7.33</v>
      </c>
      <c r="AC250" s="28">
        <v>0</v>
      </c>
      <c r="AD250" s="28">
        <v>1</v>
      </c>
      <c r="AE250" s="28">
        <v>1</v>
      </c>
      <c r="AF250" s="28">
        <v>1</v>
      </c>
      <c r="AG250" s="28">
        <v>1</v>
      </c>
      <c r="AH250" s="28">
        <v>1</v>
      </c>
      <c r="AI250" s="28">
        <v>1</v>
      </c>
      <c r="AJ250" s="28">
        <v>1</v>
      </c>
    </row>
    <row r="251" spans="1:36" x14ac:dyDescent="0.25">
      <c r="A251" s="298" t="str">
        <f>IF('Kwaliteit conversie'!$D$4='Prijs karton'!C251,"X"," ")</f>
        <v xml:space="preserve"> </v>
      </c>
      <c r="B251" s="331" t="s">
        <v>34</v>
      </c>
      <c r="C251" s="359" t="s">
        <v>1440</v>
      </c>
      <c r="D251" s="366">
        <v>0.56999999999999995</v>
      </c>
      <c r="E251" s="321">
        <v>2.74</v>
      </c>
      <c r="F251" s="925">
        <v>0</v>
      </c>
      <c r="G251" s="315">
        <v>62.9</v>
      </c>
      <c r="H251" s="315">
        <v>61.5</v>
      </c>
      <c r="I251" s="315">
        <v>61.2</v>
      </c>
      <c r="J251" s="315">
        <v>60.9</v>
      </c>
      <c r="K251" s="513">
        <v>60.9</v>
      </c>
      <c r="L251" s="926" t="s">
        <v>1441</v>
      </c>
      <c r="M251" s="331" t="s">
        <v>289</v>
      </c>
      <c r="N251" s="366" t="s">
        <v>244</v>
      </c>
      <c r="O251" s="323" t="s">
        <v>244</v>
      </c>
      <c r="P251" s="386" t="s">
        <v>244</v>
      </c>
      <c r="Q251" s="323" t="s">
        <v>239</v>
      </c>
      <c r="R251" s="366" t="s">
        <v>239</v>
      </c>
      <c r="S251" s="378" t="s">
        <v>1363</v>
      </c>
      <c r="T251" s="324" t="s">
        <v>1364</v>
      </c>
      <c r="U251" s="386">
        <v>250</v>
      </c>
      <c r="V251" s="386">
        <v>2450</v>
      </c>
      <c r="W251" s="386">
        <v>600</v>
      </c>
      <c r="X251" s="386">
        <v>6000</v>
      </c>
      <c r="Y251" s="386">
        <v>270</v>
      </c>
      <c r="Z251" s="386">
        <v>135</v>
      </c>
      <c r="AA251" s="386">
        <v>200</v>
      </c>
      <c r="AB251" s="392">
        <v>8.19</v>
      </c>
      <c r="AC251" s="28">
        <v>0</v>
      </c>
      <c r="AD251" s="28">
        <v>1</v>
      </c>
      <c r="AE251" s="28">
        <v>1</v>
      </c>
      <c r="AF251" s="28">
        <v>1</v>
      </c>
      <c r="AG251" s="28">
        <v>1</v>
      </c>
      <c r="AH251" s="28">
        <v>1</v>
      </c>
      <c r="AI251" s="28">
        <v>1</v>
      </c>
      <c r="AJ251" s="28">
        <v>1</v>
      </c>
    </row>
    <row r="252" spans="1:36" x14ac:dyDescent="0.25">
      <c r="A252" s="298" t="str">
        <f>IF('Kwaliteit conversie'!$D$4='Prijs karton'!C252,"X"," ")</f>
        <v xml:space="preserve"> </v>
      </c>
      <c r="B252" s="331" t="s">
        <v>34</v>
      </c>
      <c r="C252" s="359" t="s">
        <v>1442</v>
      </c>
      <c r="D252" s="366">
        <v>0.60799999999999998</v>
      </c>
      <c r="E252" s="321">
        <v>2.84</v>
      </c>
      <c r="F252" s="925">
        <v>0</v>
      </c>
      <c r="G252" s="315" t="s">
        <v>315</v>
      </c>
      <c r="H252" s="315">
        <v>62.8</v>
      </c>
      <c r="I252" s="315">
        <v>62.8</v>
      </c>
      <c r="J252" s="315">
        <v>62.8</v>
      </c>
      <c r="K252" s="513">
        <v>62.8</v>
      </c>
      <c r="L252" s="926" t="s">
        <v>1443</v>
      </c>
      <c r="M252" s="331" t="s">
        <v>289</v>
      </c>
      <c r="N252" s="366" t="s">
        <v>238</v>
      </c>
      <c r="O252" s="323" t="s">
        <v>244</v>
      </c>
      <c r="P252" s="386" t="s">
        <v>238</v>
      </c>
      <c r="Q252" s="323" t="s">
        <v>239</v>
      </c>
      <c r="R252" s="366" t="s">
        <v>239</v>
      </c>
      <c r="S252" s="378" t="s">
        <v>289</v>
      </c>
      <c r="T252" s="324" t="s">
        <v>1364</v>
      </c>
      <c r="U252" s="386">
        <v>250</v>
      </c>
      <c r="V252" s="386">
        <v>2450</v>
      </c>
      <c r="W252" s="386">
        <v>600</v>
      </c>
      <c r="X252" s="386">
        <v>6000</v>
      </c>
      <c r="Y252" s="386">
        <v>270</v>
      </c>
      <c r="Z252" s="386">
        <v>135</v>
      </c>
      <c r="AA252" s="386">
        <v>500</v>
      </c>
      <c r="AB252" s="392">
        <v>9.2799999999999994</v>
      </c>
      <c r="AC252" s="28">
        <v>0</v>
      </c>
      <c r="AD252" s="28">
        <v>1</v>
      </c>
      <c r="AE252" s="28">
        <v>1</v>
      </c>
      <c r="AF252" s="28">
        <v>1</v>
      </c>
      <c r="AG252" s="28">
        <v>1</v>
      </c>
      <c r="AH252" s="28">
        <v>1</v>
      </c>
      <c r="AI252" s="28">
        <v>1</v>
      </c>
      <c r="AJ252" s="28">
        <v>1</v>
      </c>
    </row>
    <row r="253" spans="1:36" x14ac:dyDescent="0.25">
      <c r="A253" s="298" t="str">
        <f>IF('Kwaliteit conversie'!$D$4='Prijs karton'!C253,"X"," ")</f>
        <v xml:space="preserve"> </v>
      </c>
      <c r="B253" s="331" t="s">
        <v>34</v>
      </c>
      <c r="C253" s="359"/>
      <c r="D253" s="366"/>
      <c r="E253" s="321"/>
      <c r="F253" s="925"/>
      <c r="G253" s="315"/>
      <c r="H253" s="315"/>
      <c r="I253" s="315"/>
      <c r="J253" s="315"/>
      <c r="K253" s="513"/>
      <c r="L253" s="926"/>
      <c r="M253" s="331"/>
      <c r="N253" s="366"/>
      <c r="O253" s="323"/>
      <c r="P253" s="386"/>
      <c r="Q253" s="323"/>
      <c r="R253" s="366"/>
      <c r="S253" s="378"/>
      <c r="T253" s="324"/>
      <c r="U253" s="386"/>
      <c r="V253" s="386"/>
      <c r="W253" s="386"/>
      <c r="X253" s="386"/>
      <c r="Y253" s="386"/>
      <c r="Z253" s="386"/>
      <c r="AA253" s="386"/>
      <c r="AB253" s="392"/>
      <c r="AC253" s="28"/>
      <c r="AD253" s="28"/>
      <c r="AE253" s="28"/>
      <c r="AF253" s="28"/>
      <c r="AG253" s="28"/>
      <c r="AH253" s="28"/>
      <c r="AI253" s="28"/>
      <c r="AJ253" s="28"/>
    </row>
    <row r="254" spans="1:36" s="320" customFormat="1" ht="15.75" thickBot="1" x14ac:dyDescent="0.3">
      <c r="A254" s="329" t="str">
        <f>IF('Kwaliteit conversie'!$D$4='Prijs karton'!C254,"X"," ")</f>
        <v xml:space="preserve"> </v>
      </c>
      <c r="B254" s="332" t="s">
        <v>34</v>
      </c>
      <c r="C254" s="360" t="s">
        <v>469</v>
      </c>
      <c r="D254" s="367"/>
      <c r="E254" s="322">
        <v>3</v>
      </c>
      <c r="F254" s="930">
        <v>0</v>
      </c>
      <c r="G254" s="369">
        <v>0</v>
      </c>
      <c r="H254" s="369">
        <v>0</v>
      </c>
      <c r="I254" s="369">
        <v>0</v>
      </c>
      <c r="J254" s="369">
        <v>0</v>
      </c>
      <c r="K254" s="931">
        <v>0</v>
      </c>
      <c r="L254" s="929" t="s">
        <v>239</v>
      </c>
      <c r="M254" s="379" t="s">
        <v>239</v>
      </c>
      <c r="N254" s="367" t="s">
        <v>239</v>
      </c>
      <c r="O254" s="325" t="s">
        <v>239</v>
      </c>
      <c r="P254" s="387" t="s">
        <v>239</v>
      </c>
      <c r="Q254" s="325" t="s">
        <v>239</v>
      </c>
      <c r="R254" s="367" t="s">
        <v>239</v>
      </c>
      <c r="S254" s="380" t="s">
        <v>239</v>
      </c>
      <c r="T254" s="326" t="s">
        <v>240</v>
      </c>
      <c r="U254" s="387">
        <v>240</v>
      </c>
      <c r="V254" s="387">
        <v>2450</v>
      </c>
      <c r="W254" s="387">
        <v>500</v>
      </c>
      <c r="X254" s="387">
        <v>6000</v>
      </c>
      <c r="Y254" s="387">
        <v>125</v>
      </c>
      <c r="Z254" s="387">
        <v>125</v>
      </c>
      <c r="AA254" s="387">
        <v>500</v>
      </c>
      <c r="AB254" s="393">
        <v>7</v>
      </c>
      <c r="AC254" s="34">
        <v>0</v>
      </c>
      <c r="AD254" s="34">
        <v>1</v>
      </c>
      <c r="AE254" s="34">
        <v>1</v>
      </c>
      <c r="AF254" s="34">
        <v>1</v>
      </c>
      <c r="AG254" s="34">
        <v>1</v>
      </c>
      <c r="AH254" s="34">
        <v>1</v>
      </c>
      <c r="AI254" s="34">
        <v>1</v>
      </c>
      <c r="AJ254" s="34">
        <v>1</v>
      </c>
    </row>
    <row r="255" spans="1:36" x14ac:dyDescent="0.25">
      <c r="B255" s="298"/>
      <c r="C255" s="312"/>
      <c r="D255" s="298"/>
      <c r="E255" s="311"/>
      <c r="U255" s="310"/>
      <c r="V255" s="310"/>
      <c r="W255" s="310"/>
      <c r="X255" s="310"/>
      <c r="Y255" s="310"/>
      <c r="Z255" s="310"/>
      <c r="AA255" s="310"/>
    </row>
    <row r="256" spans="1:36" x14ac:dyDescent="0.25">
      <c r="B256" s="298"/>
      <c r="C256" s="298"/>
      <c r="D256" s="298"/>
      <c r="E256" s="311"/>
      <c r="U256" s="310"/>
      <c r="V256" s="310"/>
      <c r="W256" s="310"/>
      <c r="X256" s="310"/>
      <c r="Y256" s="310"/>
      <c r="Z256" s="310"/>
      <c r="AA256" s="310"/>
    </row>
    <row r="257" spans="2:5" x14ac:dyDescent="0.25">
      <c r="B257" s="298"/>
      <c r="C257" s="298"/>
      <c r="D257" s="298"/>
      <c r="E257" s="311"/>
    </row>
    <row r="258" spans="2:5" x14ac:dyDescent="0.25">
      <c r="B258" s="298"/>
      <c r="C258" s="298"/>
      <c r="D258" s="298"/>
      <c r="E258" s="3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5365-20D4-4210-9DFA-1F78BB1A3A43}">
  <sheetPr codeName="Blad7"/>
  <dimension ref="B1:AJ118"/>
  <sheetViews>
    <sheetView workbookViewId="0"/>
  </sheetViews>
  <sheetFormatPr defaultRowHeight="15" x14ac:dyDescent="0.25"/>
  <cols>
    <col min="2" max="2" customWidth="true" width="20.5703125"/>
    <col min="3" max="3" customWidth="true" width="16.85546875"/>
    <col min="4" max="4" customWidth="true" width="11.28515625"/>
    <col min="5" max="5" customWidth="true" width="13.28515625"/>
    <col min="6" max="6" customWidth="true" width="13.85546875"/>
    <col min="7" max="7" customWidth="true" width="12.42578125"/>
    <col min="8" max="8" customWidth="true" width="13.42578125"/>
    <col min="9" max="9" customWidth="true" width="10.42578125"/>
    <col min="10" max="10" customWidth="true" width="11.42578125"/>
    <col min="11" max="11" customWidth="true" width="13.7109375"/>
    <col min="12" max="12" customWidth="true" width="13.5703125"/>
    <col min="15" max="15" customWidth="true" width="10.42578125"/>
    <col min="22" max="22" bestFit="true" customWidth="true" width="9.5703125"/>
  </cols>
  <sheetData>
    <row r="1" spans="2:11" x14ac:dyDescent="0.25">
      <c r="H1" s="1185">
        <v>0</v>
      </c>
      <c r="I1" s="1186"/>
      <c r="J1" s="1187">
        <v>0.01</v>
      </c>
      <c r="K1" t="s">
        <v>1284</v>
      </c>
    </row>
    <row r="2" spans="2:11" x14ac:dyDescent="0.25">
      <c r="H2" s="1185">
        <v>-0.06</v>
      </c>
      <c r="I2" s="1186"/>
      <c r="J2" s="1187">
        <v>-0.04</v>
      </c>
      <c r="K2" t="s">
        <v>1285</v>
      </c>
    </row>
    <row r="3" spans="2:11" x14ac:dyDescent="0.25">
      <c r="B3" s="404"/>
      <c r="C3" s="43"/>
      <c r="D3" s="43"/>
      <c r="E3" s="473">
        <f>IF(OR(Rekenblad!E362=1,Rekenblad!F362=1),1,0)</f>
        <v>1</v>
      </c>
      <c r="F3" s="38">
        <f>IF(E3=1,0,1)</f>
        <v>0</v>
      </c>
    </row>
    <row r="4" spans="2:11" x14ac:dyDescent="0.25">
      <c r="B4" s="41"/>
      <c r="C4" s="1317" t="s">
        <v>863</v>
      </c>
      <c r="D4" s="1318"/>
      <c r="E4" s="399" t="s">
        <v>864</v>
      </c>
      <c r="F4" s="399" t="s">
        <v>865</v>
      </c>
      <c r="H4" s="417" t="s">
        <v>144</v>
      </c>
      <c r="I4" s="399" t="s">
        <v>866</v>
      </c>
      <c r="J4" s="399" t="s">
        <v>867</v>
      </c>
    </row>
    <row r="5" spans="2:11" x14ac:dyDescent="0.25">
      <c r="B5" s="52"/>
      <c r="C5" s="1319" t="s">
        <v>868</v>
      </c>
      <c r="D5" s="1320"/>
      <c r="E5" s="120" t="s">
        <v>721</v>
      </c>
      <c r="F5" s="120" t="s">
        <v>721</v>
      </c>
      <c r="H5" s="227" t="s">
        <v>864</v>
      </c>
      <c r="I5" s="804" t="s">
        <v>869</v>
      </c>
      <c r="J5" s="120" t="s">
        <v>870</v>
      </c>
    </row>
    <row r="6" spans="2:11" x14ac:dyDescent="0.25">
      <c r="B6" s="442" t="str">
        <f t="shared" ref="B6:B37" si="0">IF(AND($B$73&gt;C6,$B$73&lt;=D6),1,"")</f>
        <v/>
      </c>
      <c r="C6" s="417">
        <v>1</v>
      </c>
      <c r="D6" s="406">
        <v>25</v>
      </c>
      <c r="E6" s="805">
        <f>I6+H6</f>
        <v>0.74</v>
      </c>
      <c r="F6" s="806">
        <f>J6+I6</f>
        <v>0.75</v>
      </c>
      <c r="H6" s="807">
        <v>-0.06</v>
      </c>
      <c r="I6" s="1190">
        <v>0.8</v>
      </c>
      <c r="J6" s="807">
        <v>-0.05</v>
      </c>
    </row>
    <row r="7" spans="2:11" x14ac:dyDescent="0.25">
      <c r="B7" s="12" t="str">
        <f t="shared" si="0"/>
        <v/>
      </c>
      <c r="C7" s="227">
        <v>25</v>
      </c>
      <c r="D7" s="78">
        <v>50</v>
      </c>
      <c r="E7" s="808">
        <f t="shared" ref="E7:F38" si="1">I7+H7</f>
        <v>0.34</v>
      </c>
      <c r="F7" s="809">
        <f t="shared" si="1"/>
        <v>0.35000000000000003</v>
      </c>
      <c r="H7" s="807">
        <v>-0.06</v>
      </c>
      <c r="I7" s="1191">
        <v>0.4</v>
      </c>
      <c r="J7" s="807">
        <v>-0.05</v>
      </c>
    </row>
    <row r="8" spans="2:11" x14ac:dyDescent="0.25">
      <c r="B8" s="12" t="str">
        <f t="shared" si="0"/>
        <v/>
      </c>
      <c r="C8" s="227">
        <v>50</v>
      </c>
      <c r="D8" s="78">
        <v>55</v>
      </c>
      <c r="E8" s="808">
        <f t="shared" si="1"/>
        <v>0.31</v>
      </c>
      <c r="F8" s="809">
        <f t="shared" si="1"/>
        <v>0.32</v>
      </c>
      <c r="H8" s="807">
        <v>-0.06</v>
      </c>
      <c r="I8" s="1191">
        <v>0.37</v>
      </c>
      <c r="J8" s="807">
        <v>-0.05</v>
      </c>
    </row>
    <row r="9" spans="2:11" x14ac:dyDescent="0.25">
      <c r="B9" s="12" t="str">
        <f t="shared" si="0"/>
        <v/>
      </c>
      <c r="C9" s="227">
        <v>55</v>
      </c>
      <c r="D9" s="78">
        <v>60</v>
      </c>
      <c r="E9" s="808">
        <f t="shared" si="1"/>
        <v>0.28999999999999998</v>
      </c>
      <c r="F9" s="809">
        <f t="shared" si="1"/>
        <v>0.3</v>
      </c>
      <c r="H9" s="807">
        <v>-0.06</v>
      </c>
      <c r="I9" s="1191">
        <v>0.35</v>
      </c>
      <c r="J9" s="807">
        <v>-0.05</v>
      </c>
    </row>
    <row r="10" spans="2:11" x14ac:dyDescent="0.25">
      <c r="B10" s="12" t="str">
        <f t="shared" si="0"/>
        <v/>
      </c>
      <c r="C10" s="227">
        <v>60</v>
      </c>
      <c r="D10" s="78">
        <v>65</v>
      </c>
      <c r="E10" s="808">
        <f t="shared" si="1"/>
        <v>0.22999999999999998</v>
      </c>
      <c r="F10" s="809">
        <f t="shared" si="1"/>
        <v>0.24</v>
      </c>
      <c r="H10" s="807">
        <v>-0.06</v>
      </c>
      <c r="I10" s="1191">
        <v>0.28999999999999998</v>
      </c>
      <c r="J10" s="807">
        <v>-0.05</v>
      </c>
    </row>
    <row r="11" spans="2:11" x14ac:dyDescent="0.25">
      <c r="B11" s="12" t="str">
        <f t="shared" si="0"/>
        <v/>
      </c>
      <c r="C11" s="227">
        <v>65</v>
      </c>
      <c r="D11" s="78">
        <v>70</v>
      </c>
      <c r="E11" s="808">
        <f t="shared" si="1"/>
        <v>0.22000000000000003</v>
      </c>
      <c r="F11" s="809">
        <f t="shared" si="1"/>
        <v>0.23000000000000004</v>
      </c>
      <c r="H11" s="807">
        <v>-0.06</v>
      </c>
      <c r="I11" s="1191">
        <v>0.28000000000000003</v>
      </c>
      <c r="J11" s="807">
        <v>-0.05</v>
      </c>
    </row>
    <row r="12" spans="2:11" x14ac:dyDescent="0.25">
      <c r="B12" s="12" t="str">
        <f t="shared" si="0"/>
        <v/>
      </c>
      <c r="C12" s="227">
        <v>70</v>
      </c>
      <c r="D12" s="78">
        <v>75</v>
      </c>
      <c r="E12" s="808">
        <f t="shared" si="1"/>
        <v>0.21000000000000002</v>
      </c>
      <c r="F12" s="809">
        <f t="shared" si="1"/>
        <v>0.22000000000000003</v>
      </c>
      <c r="H12" s="807">
        <v>-0.06</v>
      </c>
      <c r="I12" s="1191">
        <v>0.27</v>
      </c>
      <c r="J12" s="807">
        <v>-0.05</v>
      </c>
    </row>
    <row r="13" spans="2:11" x14ac:dyDescent="0.25">
      <c r="B13" s="12" t="str">
        <f t="shared" si="0"/>
        <v/>
      </c>
      <c r="C13" s="227">
        <v>75</v>
      </c>
      <c r="D13" s="78">
        <v>80</v>
      </c>
      <c r="E13" s="808">
        <f t="shared" si="1"/>
        <v>0.2</v>
      </c>
      <c r="F13" s="809">
        <f t="shared" si="1"/>
        <v>0.21000000000000002</v>
      </c>
      <c r="H13" s="807">
        <v>-0.06</v>
      </c>
      <c r="I13" s="1191">
        <v>0.26</v>
      </c>
      <c r="J13" s="807">
        <v>-0.05</v>
      </c>
    </row>
    <row r="14" spans="2:11" x14ac:dyDescent="0.25">
      <c r="B14" s="12" t="str">
        <f t="shared" si="0"/>
        <v/>
      </c>
      <c r="C14" s="227">
        <v>80</v>
      </c>
      <c r="D14" s="78">
        <v>85</v>
      </c>
      <c r="E14" s="808">
        <f t="shared" si="1"/>
        <v>0.19</v>
      </c>
      <c r="F14" s="809">
        <f t="shared" si="1"/>
        <v>0.2</v>
      </c>
      <c r="H14" s="807">
        <v>-0.06</v>
      </c>
      <c r="I14" s="1191">
        <v>0.25</v>
      </c>
      <c r="J14" s="807">
        <v>-0.05</v>
      </c>
    </row>
    <row r="15" spans="2:11" x14ac:dyDescent="0.25">
      <c r="B15" s="12" t="str">
        <f t="shared" si="0"/>
        <v/>
      </c>
      <c r="C15" s="227">
        <v>85</v>
      </c>
      <c r="D15" s="78">
        <v>90</v>
      </c>
      <c r="E15" s="808">
        <f t="shared" si="1"/>
        <v>0.18</v>
      </c>
      <c r="F15" s="809">
        <f t="shared" si="1"/>
        <v>0.19</v>
      </c>
      <c r="H15" s="807">
        <v>-0.06</v>
      </c>
      <c r="I15" s="1191">
        <v>0.24</v>
      </c>
      <c r="J15" s="807">
        <v>-0.05</v>
      </c>
    </row>
    <row r="16" spans="2:11" x14ac:dyDescent="0.25">
      <c r="B16" s="12" t="str">
        <f t="shared" si="0"/>
        <v/>
      </c>
      <c r="C16" s="227">
        <v>90</v>
      </c>
      <c r="D16" s="78">
        <v>95</v>
      </c>
      <c r="E16" s="808">
        <f t="shared" si="1"/>
        <v>0.17</v>
      </c>
      <c r="F16" s="809">
        <f t="shared" si="1"/>
        <v>0.18</v>
      </c>
      <c r="H16" s="807">
        <v>-0.06</v>
      </c>
      <c r="I16" s="1191">
        <v>0.23</v>
      </c>
      <c r="J16" s="807">
        <v>-0.05</v>
      </c>
    </row>
    <row r="17" spans="2:10" x14ac:dyDescent="0.25">
      <c r="B17" s="12" t="str">
        <f t="shared" si="0"/>
        <v/>
      </c>
      <c r="C17" s="26">
        <v>95</v>
      </c>
      <c r="D17" s="2">
        <v>100</v>
      </c>
      <c r="E17" s="808">
        <f t="shared" si="1"/>
        <v>0.16</v>
      </c>
      <c r="F17" s="809">
        <f t="shared" si="1"/>
        <v>0.16999999999999998</v>
      </c>
      <c r="H17" s="807">
        <v>-0.06</v>
      </c>
      <c r="I17" s="1191">
        <v>0.22</v>
      </c>
      <c r="J17" s="807">
        <v>-0.05</v>
      </c>
    </row>
    <row r="18" spans="2:10" x14ac:dyDescent="0.25">
      <c r="B18" s="12" t="str">
        <f t="shared" si="0"/>
        <v/>
      </c>
      <c r="C18" s="26">
        <v>100</v>
      </c>
      <c r="D18" s="2">
        <v>105</v>
      </c>
      <c r="E18" s="808">
        <f t="shared" si="1"/>
        <v>0.15</v>
      </c>
      <c r="F18" s="809">
        <f t="shared" si="1"/>
        <v>0.15999999999999998</v>
      </c>
      <c r="H18" s="807">
        <v>-0.06</v>
      </c>
      <c r="I18" s="1191">
        <v>0.21</v>
      </c>
      <c r="J18" s="807">
        <v>-0.05</v>
      </c>
    </row>
    <row r="19" spans="2:10" x14ac:dyDescent="0.25">
      <c r="B19" s="12" t="str">
        <f t="shared" si="0"/>
        <v/>
      </c>
      <c r="C19" s="26">
        <v>105</v>
      </c>
      <c r="D19" s="2">
        <v>110</v>
      </c>
      <c r="E19" s="808">
        <f t="shared" si="1"/>
        <v>0.14499999999999999</v>
      </c>
      <c r="F19" s="809">
        <f t="shared" si="1"/>
        <v>0.15499999999999997</v>
      </c>
      <c r="H19" s="807">
        <v>-0.06</v>
      </c>
      <c r="I19" s="1191">
        <v>0.20499999999999999</v>
      </c>
      <c r="J19" s="807">
        <v>-0.05</v>
      </c>
    </row>
    <row r="20" spans="2:10" x14ac:dyDescent="0.25">
      <c r="B20" s="12" t="str">
        <f t="shared" si="0"/>
        <v/>
      </c>
      <c r="C20" s="26">
        <v>110</v>
      </c>
      <c r="D20" s="2">
        <v>115</v>
      </c>
      <c r="E20" s="808">
        <f t="shared" si="1"/>
        <v>0.14000000000000001</v>
      </c>
      <c r="F20" s="809">
        <f t="shared" si="1"/>
        <v>0.15000000000000002</v>
      </c>
      <c r="H20" s="807">
        <v>-0.06</v>
      </c>
      <c r="I20" s="1191">
        <v>0.2</v>
      </c>
      <c r="J20" s="807">
        <v>-0.05</v>
      </c>
    </row>
    <row r="21" spans="2:10" x14ac:dyDescent="0.25">
      <c r="B21" s="12" t="str">
        <f t="shared" si="0"/>
        <v/>
      </c>
      <c r="C21" s="26">
        <v>115</v>
      </c>
      <c r="D21" s="2">
        <v>120</v>
      </c>
      <c r="E21" s="808">
        <f t="shared" si="1"/>
        <v>0.13500000000000001</v>
      </c>
      <c r="F21" s="809">
        <f t="shared" si="1"/>
        <v>0.14500000000000002</v>
      </c>
      <c r="H21" s="807">
        <v>-0.06</v>
      </c>
      <c r="I21" s="1191">
        <v>0.19500000000000001</v>
      </c>
      <c r="J21" s="807">
        <v>-0.05</v>
      </c>
    </row>
    <row r="22" spans="2:10" x14ac:dyDescent="0.25">
      <c r="B22" s="12" t="str">
        <f t="shared" si="0"/>
        <v/>
      </c>
      <c r="C22" s="26">
        <v>120</v>
      </c>
      <c r="D22" s="2">
        <v>130</v>
      </c>
      <c r="E22" s="808">
        <f t="shared" si="1"/>
        <v>0.13</v>
      </c>
      <c r="F22" s="809">
        <f t="shared" si="1"/>
        <v>0.14000000000000001</v>
      </c>
      <c r="H22" s="807">
        <v>-0.06</v>
      </c>
      <c r="I22" s="1191">
        <v>0.19</v>
      </c>
      <c r="J22" s="807">
        <v>-0.05</v>
      </c>
    </row>
    <row r="23" spans="2:10" x14ac:dyDescent="0.25">
      <c r="B23" s="12" t="str">
        <f t="shared" si="0"/>
        <v/>
      </c>
      <c r="C23" s="26">
        <v>130</v>
      </c>
      <c r="D23" s="2">
        <v>140</v>
      </c>
      <c r="E23" s="808">
        <f t="shared" si="1"/>
        <v>0.125</v>
      </c>
      <c r="F23" s="809">
        <f t="shared" si="1"/>
        <v>0.13500000000000001</v>
      </c>
      <c r="H23" s="807">
        <v>-0.06</v>
      </c>
      <c r="I23" s="1191">
        <v>0.185</v>
      </c>
      <c r="J23" s="807">
        <v>-0.05</v>
      </c>
    </row>
    <row r="24" spans="2:10" x14ac:dyDescent="0.25">
      <c r="B24" s="12" t="str">
        <f t="shared" si="0"/>
        <v/>
      </c>
      <c r="C24" s="26">
        <v>140</v>
      </c>
      <c r="D24" s="2">
        <v>150</v>
      </c>
      <c r="E24" s="808">
        <f t="shared" si="1"/>
        <v>0.12</v>
      </c>
      <c r="F24" s="809">
        <f t="shared" si="1"/>
        <v>0.13</v>
      </c>
      <c r="H24" s="807">
        <v>-0.06</v>
      </c>
      <c r="I24" s="1191">
        <v>0.18</v>
      </c>
      <c r="J24" s="807">
        <v>-0.05</v>
      </c>
    </row>
    <row r="25" spans="2:10" x14ac:dyDescent="0.25">
      <c r="B25" s="12" t="str">
        <f t="shared" si="0"/>
        <v/>
      </c>
      <c r="C25" s="26">
        <v>150</v>
      </c>
      <c r="D25" s="2">
        <v>160</v>
      </c>
      <c r="E25" s="808">
        <f t="shared" si="1"/>
        <v>0.11499999999999999</v>
      </c>
      <c r="F25" s="809">
        <f t="shared" si="1"/>
        <v>0.12499999999999999</v>
      </c>
      <c r="H25" s="807">
        <v>-0.06</v>
      </c>
      <c r="I25" s="1191">
        <v>0.17499999999999999</v>
      </c>
      <c r="J25" s="807">
        <v>-0.05</v>
      </c>
    </row>
    <row r="26" spans="2:10" x14ac:dyDescent="0.25">
      <c r="B26" s="12" t="str">
        <f t="shared" si="0"/>
        <v/>
      </c>
      <c r="C26" s="26">
        <v>160</v>
      </c>
      <c r="D26" s="2">
        <v>170</v>
      </c>
      <c r="E26" s="808">
        <f t="shared" si="1"/>
        <v>0.11000000000000001</v>
      </c>
      <c r="F26" s="809">
        <f t="shared" si="1"/>
        <v>0.12000000000000001</v>
      </c>
      <c r="H26" s="807">
        <v>-0.06</v>
      </c>
      <c r="I26" s="1191">
        <v>0.17</v>
      </c>
      <c r="J26" s="807">
        <v>-0.05</v>
      </c>
    </row>
    <row r="27" spans="2:10" x14ac:dyDescent="0.25">
      <c r="B27" s="12" t="str">
        <f t="shared" si="0"/>
        <v/>
      </c>
      <c r="C27" s="26">
        <v>170</v>
      </c>
      <c r="D27" s="2">
        <v>180</v>
      </c>
      <c r="E27" s="808">
        <f t="shared" si="1"/>
        <v>0.10500000000000001</v>
      </c>
      <c r="F27" s="809">
        <f t="shared" si="1"/>
        <v>0.115</v>
      </c>
      <c r="H27" s="807">
        <v>-0.06</v>
      </c>
      <c r="I27" s="1191">
        <v>0.16500000000000001</v>
      </c>
      <c r="J27" s="807">
        <v>-0.05</v>
      </c>
    </row>
    <row r="28" spans="2:10" x14ac:dyDescent="0.25">
      <c r="B28" s="12" t="str">
        <f t="shared" si="0"/>
        <v/>
      </c>
      <c r="C28" s="26">
        <v>180</v>
      </c>
      <c r="D28" s="2">
        <v>190</v>
      </c>
      <c r="E28" s="808">
        <f t="shared" si="1"/>
        <v>0.1</v>
      </c>
      <c r="F28" s="809">
        <f t="shared" si="1"/>
        <v>0.11</v>
      </c>
      <c r="H28" s="807">
        <v>-0.06</v>
      </c>
      <c r="I28" s="1191">
        <v>0.16</v>
      </c>
      <c r="J28" s="807">
        <v>-0.05</v>
      </c>
    </row>
    <row r="29" spans="2:10" x14ac:dyDescent="0.25">
      <c r="B29" s="12">
        <f t="shared" si="0"/>
        <v>1</v>
      </c>
      <c r="C29" s="26">
        <v>190</v>
      </c>
      <c r="D29" s="2">
        <v>200</v>
      </c>
      <c r="E29" s="808">
        <f t="shared" si="1"/>
        <v>9.5000000000000001E-2</v>
      </c>
      <c r="F29" s="809">
        <f t="shared" si="1"/>
        <v>0.105</v>
      </c>
      <c r="H29" s="807">
        <v>-0.06</v>
      </c>
      <c r="I29" s="1191">
        <v>0.155</v>
      </c>
      <c r="J29" s="807">
        <v>-0.05</v>
      </c>
    </row>
    <row r="30" spans="2:10" x14ac:dyDescent="0.25">
      <c r="B30" s="12" t="str">
        <f t="shared" si="0"/>
        <v/>
      </c>
      <c r="C30" s="26">
        <v>200</v>
      </c>
      <c r="D30" s="2">
        <v>220</v>
      </c>
      <c r="E30" s="808">
        <f t="shared" si="1"/>
        <v>0.09</v>
      </c>
      <c r="F30" s="809">
        <f t="shared" si="1"/>
        <v>9.9999999999999992E-2</v>
      </c>
      <c r="H30" s="807">
        <v>-0.06</v>
      </c>
      <c r="I30" s="1190">
        <v>0.15</v>
      </c>
      <c r="J30" s="807">
        <v>-0.05</v>
      </c>
    </row>
    <row r="31" spans="2:10" x14ac:dyDescent="0.25">
      <c r="B31" s="12" t="str">
        <f t="shared" si="0"/>
        <v/>
      </c>
      <c r="C31" s="26">
        <v>220</v>
      </c>
      <c r="D31" s="2">
        <v>240</v>
      </c>
      <c r="E31" s="808">
        <f t="shared" si="1"/>
        <v>8.4999999999999992E-2</v>
      </c>
      <c r="F31" s="809">
        <f t="shared" si="1"/>
        <v>9.4999999999999987E-2</v>
      </c>
      <c r="H31" s="807">
        <v>-0.06</v>
      </c>
      <c r="I31" s="1191">
        <v>0.14499999999999999</v>
      </c>
      <c r="J31" s="807">
        <v>-0.05</v>
      </c>
    </row>
    <row r="32" spans="2:10" x14ac:dyDescent="0.25">
      <c r="B32" s="12" t="str">
        <f t="shared" si="0"/>
        <v/>
      </c>
      <c r="C32" s="26">
        <v>240</v>
      </c>
      <c r="D32" s="2">
        <v>260</v>
      </c>
      <c r="E32" s="808">
        <f t="shared" si="1"/>
        <v>8.0000000000000016E-2</v>
      </c>
      <c r="F32" s="809">
        <f t="shared" si="1"/>
        <v>9.0000000000000011E-2</v>
      </c>
      <c r="H32" s="807">
        <v>-0.06</v>
      </c>
      <c r="I32" s="1191">
        <v>0.14000000000000001</v>
      </c>
      <c r="J32" s="807">
        <v>-0.05</v>
      </c>
    </row>
    <row r="33" spans="2:10" x14ac:dyDescent="0.25">
      <c r="B33" s="12" t="str">
        <f t="shared" si="0"/>
        <v/>
      </c>
      <c r="C33" s="26">
        <v>260</v>
      </c>
      <c r="D33" s="2">
        <v>280</v>
      </c>
      <c r="E33" s="808">
        <f t="shared" si="1"/>
        <v>7.5000000000000011E-2</v>
      </c>
      <c r="F33" s="809">
        <f t="shared" si="1"/>
        <v>8.5000000000000006E-2</v>
      </c>
      <c r="H33" s="807">
        <v>-0.06</v>
      </c>
      <c r="I33" s="1191">
        <v>0.13500000000000001</v>
      </c>
      <c r="J33" s="807">
        <v>-0.05</v>
      </c>
    </row>
    <row r="34" spans="2:10" x14ac:dyDescent="0.25">
      <c r="B34" s="12" t="str">
        <f t="shared" si="0"/>
        <v/>
      </c>
      <c r="C34" s="26">
        <v>280</v>
      </c>
      <c r="D34" s="2">
        <v>300</v>
      </c>
      <c r="E34" s="808">
        <f t="shared" si="1"/>
        <v>7.0000000000000007E-2</v>
      </c>
      <c r="F34" s="809">
        <f t="shared" si="1"/>
        <v>0.08</v>
      </c>
      <c r="H34" s="807">
        <v>-0.06</v>
      </c>
      <c r="I34" s="1191">
        <v>0.13</v>
      </c>
      <c r="J34" s="807">
        <v>-0.05</v>
      </c>
    </row>
    <row r="35" spans="2:10" x14ac:dyDescent="0.25">
      <c r="B35" s="12" t="str">
        <f t="shared" si="0"/>
        <v/>
      </c>
      <c r="C35" s="26">
        <v>300</v>
      </c>
      <c r="D35" s="2">
        <v>325</v>
      </c>
      <c r="E35" s="808">
        <f t="shared" si="1"/>
        <v>6.9500000000000006E-2</v>
      </c>
      <c r="F35" s="809">
        <f t="shared" si="1"/>
        <v>7.9500000000000001E-2</v>
      </c>
      <c r="H35" s="807">
        <v>-0.06</v>
      </c>
      <c r="I35" s="1191">
        <v>0.1295</v>
      </c>
      <c r="J35" s="807">
        <v>-0.05</v>
      </c>
    </row>
    <row r="36" spans="2:10" x14ac:dyDescent="0.25">
      <c r="B36" s="12" t="str">
        <f t="shared" si="0"/>
        <v/>
      </c>
      <c r="C36" s="26">
        <v>325</v>
      </c>
      <c r="D36" s="2">
        <v>350</v>
      </c>
      <c r="E36" s="808">
        <f t="shared" si="1"/>
        <v>6.9000000000000006E-2</v>
      </c>
      <c r="F36" s="809">
        <f t="shared" si="1"/>
        <v>7.9000000000000001E-2</v>
      </c>
      <c r="H36" s="807">
        <v>-0.06</v>
      </c>
      <c r="I36" s="1191">
        <v>0.129</v>
      </c>
      <c r="J36" s="807">
        <v>-0.05</v>
      </c>
    </row>
    <row r="37" spans="2:10" x14ac:dyDescent="0.25">
      <c r="B37" s="12" t="str">
        <f t="shared" si="0"/>
        <v/>
      </c>
      <c r="C37" s="26">
        <v>350</v>
      </c>
      <c r="D37" s="2">
        <v>400</v>
      </c>
      <c r="E37" s="808">
        <f t="shared" si="1"/>
        <v>6.8500000000000005E-2</v>
      </c>
      <c r="F37" s="809">
        <f t="shared" si="1"/>
        <v>7.85E-2</v>
      </c>
      <c r="H37" s="807">
        <v>-0.06</v>
      </c>
      <c r="I37" s="1191">
        <v>0.1285</v>
      </c>
      <c r="J37" s="807">
        <v>-0.05</v>
      </c>
    </row>
    <row r="38" spans="2:10" x14ac:dyDescent="0.25">
      <c r="B38" s="12" t="str">
        <f t="shared" ref="B38:B65" si="2">IF(AND($B$73&gt;C38,$B$73&lt;=D38),1,"")</f>
        <v/>
      </c>
      <c r="C38" s="26">
        <v>400</v>
      </c>
      <c r="D38" s="2">
        <v>450</v>
      </c>
      <c r="E38" s="808">
        <f t="shared" si="1"/>
        <v>6.8000000000000005E-2</v>
      </c>
      <c r="F38" s="809">
        <f t="shared" si="1"/>
        <v>7.8E-2</v>
      </c>
      <c r="H38" s="807">
        <v>-0.06</v>
      </c>
      <c r="I38" s="1192">
        <v>0.128</v>
      </c>
      <c r="J38" s="807">
        <v>-0.05</v>
      </c>
    </row>
    <row r="39" spans="2:10" x14ac:dyDescent="0.25">
      <c r="B39" s="12" t="str">
        <f t="shared" si="2"/>
        <v/>
      </c>
      <c r="C39" s="26">
        <v>450</v>
      </c>
      <c r="D39" s="2">
        <v>500</v>
      </c>
      <c r="E39" s="808">
        <f t="shared" ref="E39:F65" si="3">I39+H39</f>
        <v>6.7500000000000004E-2</v>
      </c>
      <c r="F39" s="809">
        <f t="shared" si="3"/>
        <v>7.7499999999999999E-2</v>
      </c>
      <c r="H39" s="807">
        <v>-0.06</v>
      </c>
      <c r="I39" s="1191">
        <v>0.1275</v>
      </c>
      <c r="J39" s="807">
        <v>-0.05</v>
      </c>
    </row>
    <row r="40" spans="2:10" x14ac:dyDescent="0.25">
      <c r="B40" s="12" t="str">
        <f t="shared" si="2"/>
        <v/>
      </c>
      <c r="C40" s="26">
        <v>500</v>
      </c>
      <c r="D40" s="2">
        <v>550</v>
      </c>
      <c r="E40" s="808">
        <f t="shared" si="3"/>
        <v>6.7000000000000004E-2</v>
      </c>
      <c r="F40" s="809">
        <f t="shared" si="3"/>
        <v>7.6999999999999999E-2</v>
      </c>
      <c r="H40" s="807">
        <v>-0.06</v>
      </c>
      <c r="I40" s="1191">
        <v>0.127</v>
      </c>
      <c r="J40" s="807">
        <v>-0.05</v>
      </c>
    </row>
    <row r="41" spans="2:10" x14ac:dyDescent="0.25">
      <c r="B41" s="12" t="str">
        <f t="shared" si="2"/>
        <v/>
      </c>
      <c r="C41" s="26">
        <v>550</v>
      </c>
      <c r="D41" s="2">
        <v>600</v>
      </c>
      <c r="E41" s="808">
        <f t="shared" si="3"/>
        <v>6.6500000000000004E-2</v>
      </c>
      <c r="F41" s="809">
        <f t="shared" si="3"/>
        <v>7.6499999999999999E-2</v>
      </c>
      <c r="H41" s="807">
        <v>-0.06</v>
      </c>
      <c r="I41" s="1191">
        <v>0.1265</v>
      </c>
      <c r="J41" s="807">
        <v>-0.05</v>
      </c>
    </row>
    <row r="42" spans="2:10" x14ac:dyDescent="0.25">
      <c r="B42" s="12" t="str">
        <f t="shared" si="2"/>
        <v/>
      </c>
      <c r="C42" s="26">
        <v>600</v>
      </c>
      <c r="D42" s="2">
        <v>650</v>
      </c>
      <c r="E42" s="808">
        <f t="shared" si="3"/>
        <v>6.6000000000000003E-2</v>
      </c>
      <c r="F42" s="809">
        <f t="shared" si="3"/>
        <v>7.5999999999999998E-2</v>
      </c>
      <c r="H42" s="807">
        <v>-0.06</v>
      </c>
      <c r="I42" s="1191">
        <v>0.126</v>
      </c>
      <c r="J42" s="807">
        <v>-0.05</v>
      </c>
    </row>
    <row r="43" spans="2:10" x14ac:dyDescent="0.25">
      <c r="B43" s="12" t="str">
        <f t="shared" si="2"/>
        <v/>
      </c>
      <c r="C43" s="26">
        <v>650</v>
      </c>
      <c r="D43" s="2">
        <v>700</v>
      </c>
      <c r="E43" s="808">
        <f t="shared" si="3"/>
        <v>6.5500000000000003E-2</v>
      </c>
      <c r="F43" s="809">
        <f t="shared" si="3"/>
        <v>7.5499999999999998E-2</v>
      </c>
      <c r="H43" s="807">
        <v>-0.06</v>
      </c>
      <c r="I43" s="1191">
        <v>0.1255</v>
      </c>
      <c r="J43" s="807">
        <v>-0.05</v>
      </c>
    </row>
    <row r="44" spans="2:10" x14ac:dyDescent="0.25">
      <c r="B44" s="12" t="str">
        <f t="shared" si="2"/>
        <v/>
      </c>
      <c r="C44" s="26">
        <v>700</v>
      </c>
      <c r="D44" s="2">
        <v>750</v>
      </c>
      <c r="E44" s="808">
        <f t="shared" si="3"/>
        <v>6.5000000000000002E-2</v>
      </c>
      <c r="F44" s="809">
        <f t="shared" si="3"/>
        <v>7.4999999999999997E-2</v>
      </c>
      <c r="H44" s="807">
        <v>-0.06</v>
      </c>
      <c r="I44" s="1191">
        <v>0.125</v>
      </c>
      <c r="J44" s="807">
        <v>-0.05</v>
      </c>
    </row>
    <row r="45" spans="2:10" x14ac:dyDescent="0.25">
      <c r="B45" s="12" t="str">
        <f t="shared" si="2"/>
        <v/>
      </c>
      <c r="C45" s="26">
        <v>750</v>
      </c>
      <c r="D45" s="2">
        <v>800</v>
      </c>
      <c r="E45" s="808">
        <f t="shared" si="3"/>
        <v>6.4500000000000002E-2</v>
      </c>
      <c r="F45" s="809">
        <f t="shared" si="3"/>
        <v>7.4499999999999997E-2</v>
      </c>
      <c r="H45" s="807">
        <v>-0.06</v>
      </c>
      <c r="I45" s="1191">
        <v>0.1245</v>
      </c>
      <c r="J45" s="807">
        <v>-0.05</v>
      </c>
    </row>
    <row r="46" spans="2:10" x14ac:dyDescent="0.25">
      <c r="B46" s="12" t="str">
        <f t="shared" si="2"/>
        <v/>
      </c>
      <c r="C46" s="26">
        <v>800</v>
      </c>
      <c r="D46" s="2">
        <v>850</v>
      </c>
      <c r="E46" s="808">
        <f t="shared" si="3"/>
        <v>6.3500000000000001E-2</v>
      </c>
      <c r="F46" s="809">
        <f t="shared" si="3"/>
        <v>7.3499999999999996E-2</v>
      </c>
      <c r="H46" s="807">
        <v>-0.06</v>
      </c>
      <c r="I46" s="1191">
        <v>0.1235</v>
      </c>
      <c r="J46" s="807">
        <v>-0.05</v>
      </c>
    </row>
    <row r="47" spans="2:10" x14ac:dyDescent="0.25">
      <c r="B47" s="12" t="str">
        <f t="shared" si="2"/>
        <v/>
      </c>
      <c r="C47" s="26">
        <v>850</v>
      </c>
      <c r="D47" s="2">
        <v>900</v>
      </c>
      <c r="E47" s="808">
        <f t="shared" si="3"/>
        <v>6.25E-2</v>
      </c>
      <c r="F47" s="809">
        <f t="shared" si="3"/>
        <v>7.2499999999999995E-2</v>
      </c>
      <c r="H47" s="807">
        <v>-0.06</v>
      </c>
      <c r="I47" s="1191">
        <v>0.1225</v>
      </c>
      <c r="J47" s="807">
        <v>-0.05</v>
      </c>
    </row>
    <row r="48" spans="2:10" x14ac:dyDescent="0.25">
      <c r="B48" s="12" t="str">
        <f t="shared" si="2"/>
        <v/>
      </c>
      <c r="C48" s="26">
        <v>900</v>
      </c>
      <c r="D48" s="2">
        <v>950</v>
      </c>
      <c r="E48" s="808">
        <f t="shared" si="3"/>
        <v>6.1700000000000005E-2</v>
      </c>
      <c r="F48" s="809">
        <f t="shared" si="3"/>
        <v>7.17E-2</v>
      </c>
      <c r="H48" s="807">
        <v>-0.06</v>
      </c>
      <c r="I48" s="1191">
        <v>0.1217</v>
      </c>
      <c r="J48" s="807">
        <v>-0.05</v>
      </c>
    </row>
    <row r="49" spans="2:10" x14ac:dyDescent="0.25">
      <c r="B49" s="12" t="str">
        <f t="shared" si="2"/>
        <v/>
      </c>
      <c r="C49" s="26">
        <v>950</v>
      </c>
      <c r="D49" s="2">
        <v>1000</v>
      </c>
      <c r="E49" s="808">
        <f t="shared" si="3"/>
        <v>6.0800000000000007E-2</v>
      </c>
      <c r="F49" s="809">
        <f t="shared" si="3"/>
        <v>7.0800000000000002E-2</v>
      </c>
      <c r="H49" s="807">
        <v>-0.06</v>
      </c>
      <c r="I49" s="1191">
        <v>0.1208</v>
      </c>
      <c r="J49" s="807">
        <v>-0.05</v>
      </c>
    </row>
    <row r="50" spans="2:10" x14ac:dyDescent="0.25">
      <c r="B50" s="12" t="str">
        <f t="shared" si="2"/>
        <v/>
      </c>
      <c r="C50" s="26">
        <v>1000</v>
      </c>
      <c r="D50" s="2">
        <v>1200</v>
      </c>
      <c r="E50" s="808">
        <f t="shared" si="3"/>
        <v>0.06</v>
      </c>
      <c r="F50" s="809">
        <f t="shared" si="3"/>
        <v>6.9999999999999993E-2</v>
      </c>
      <c r="H50" s="807">
        <v>-0.06</v>
      </c>
      <c r="I50" s="1190">
        <v>0.12</v>
      </c>
      <c r="J50" s="807">
        <v>-0.05</v>
      </c>
    </row>
    <row r="51" spans="2:10" x14ac:dyDescent="0.25">
      <c r="B51" s="12" t="str">
        <f t="shared" si="2"/>
        <v/>
      </c>
      <c r="C51" s="26">
        <v>1200</v>
      </c>
      <c r="D51" s="2">
        <v>1400</v>
      </c>
      <c r="E51" s="808">
        <f t="shared" si="3"/>
        <v>5.8900000000000008E-2</v>
      </c>
      <c r="F51" s="809">
        <f t="shared" si="3"/>
        <v>6.8900000000000003E-2</v>
      </c>
      <c r="H51" s="807">
        <v>-0.06</v>
      </c>
      <c r="I51" s="1191">
        <v>0.11890000000000001</v>
      </c>
      <c r="J51" s="807">
        <v>-0.05</v>
      </c>
    </row>
    <row r="52" spans="2:10" x14ac:dyDescent="0.25">
      <c r="B52" s="12" t="str">
        <f t="shared" si="2"/>
        <v/>
      </c>
      <c r="C52" s="26">
        <v>1400</v>
      </c>
      <c r="D52" s="2">
        <v>1600</v>
      </c>
      <c r="E52" s="808">
        <f t="shared" si="3"/>
        <v>5.7499999999999996E-2</v>
      </c>
      <c r="F52" s="809">
        <f t="shared" si="3"/>
        <v>6.7499999999999991E-2</v>
      </c>
      <c r="H52" s="807">
        <v>-0.06</v>
      </c>
      <c r="I52" s="1191">
        <v>0.11749999999999999</v>
      </c>
      <c r="J52" s="807">
        <v>-0.05</v>
      </c>
    </row>
    <row r="53" spans="2:10" x14ac:dyDescent="0.25">
      <c r="B53" s="12" t="str">
        <f t="shared" si="2"/>
        <v/>
      </c>
      <c r="C53" s="26">
        <v>1600</v>
      </c>
      <c r="D53" s="2">
        <v>1800</v>
      </c>
      <c r="E53" s="808">
        <f t="shared" si="3"/>
        <v>5.6400000000000006E-2</v>
      </c>
      <c r="F53" s="809">
        <f t="shared" si="3"/>
        <v>6.6400000000000001E-2</v>
      </c>
      <c r="H53" s="807">
        <v>-0.06</v>
      </c>
      <c r="I53" s="1191">
        <v>0.1164</v>
      </c>
      <c r="J53" s="807">
        <v>-0.05</v>
      </c>
    </row>
    <row r="54" spans="2:10" x14ac:dyDescent="0.25">
      <c r="B54" s="12" t="str">
        <f t="shared" si="2"/>
        <v/>
      </c>
      <c r="C54" s="26">
        <v>1800</v>
      </c>
      <c r="D54" s="2">
        <v>2000</v>
      </c>
      <c r="E54" s="808">
        <f t="shared" si="3"/>
        <v>5.5000000000000007E-2</v>
      </c>
      <c r="F54" s="809">
        <f t="shared" si="3"/>
        <v>6.5000000000000002E-2</v>
      </c>
      <c r="H54" s="807">
        <v>-0.06</v>
      </c>
      <c r="I54" s="1192">
        <v>0.115</v>
      </c>
      <c r="J54" s="807">
        <v>-0.05</v>
      </c>
    </row>
    <row r="55" spans="2:10" x14ac:dyDescent="0.25">
      <c r="B55" s="12" t="str">
        <f t="shared" si="2"/>
        <v/>
      </c>
      <c r="C55" s="26">
        <v>2000</v>
      </c>
      <c r="D55" s="2">
        <v>2250</v>
      </c>
      <c r="E55" s="808">
        <f t="shared" si="3"/>
        <v>5.3699999999999998E-2</v>
      </c>
      <c r="F55" s="809">
        <f t="shared" si="3"/>
        <v>6.3699999999999993E-2</v>
      </c>
      <c r="H55" s="807">
        <v>-0.06</v>
      </c>
      <c r="I55" s="1190">
        <v>0.1137</v>
      </c>
      <c r="J55" s="807">
        <v>-0.05</v>
      </c>
    </row>
    <row r="56" spans="2:10" x14ac:dyDescent="0.25">
      <c r="B56" s="12" t="str">
        <f t="shared" si="2"/>
        <v/>
      </c>
      <c r="C56" s="26">
        <v>2250</v>
      </c>
      <c r="D56" s="2">
        <v>2500</v>
      </c>
      <c r="E56" s="808">
        <f t="shared" si="3"/>
        <v>5.2500000000000005E-2</v>
      </c>
      <c r="F56" s="809">
        <f t="shared" si="3"/>
        <v>6.25E-2</v>
      </c>
      <c r="H56" s="807">
        <v>-0.06</v>
      </c>
      <c r="I56" s="1191">
        <v>0.1125</v>
      </c>
      <c r="J56" s="807">
        <v>-0.05</v>
      </c>
    </row>
    <row r="57" spans="2:10" x14ac:dyDescent="0.25">
      <c r="B57" s="12" t="str">
        <f t="shared" si="2"/>
        <v/>
      </c>
      <c r="C57" s="26">
        <v>2500</v>
      </c>
      <c r="D57" s="2">
        <v>2750</v>
      </c>
      <c r="E57" s="808">
        <f t="shared" si="3"/>
        <v>5.1299999999999998E-2</v>
      </c>
      <c r="F57" s="809">
        <f t="shared" si="3"/>
        <v>6.1299999999999993E-2</v>
      </c>
      <c r="H57" s="807">
        <v>-0.06</v>
      </c>
      <c r="I57" s="1191">
        <v>0.1113</v>
      </c>
      <c r="J57" s="807">
        <v>-0.05</v>
      </c>
    </row>
    <row r="58" spans="2:10" x14ac:dyDescent="0.25">
      <c r="B58" s="12" t="str">
        <f t="shared" si="2"/>
        <v/>
      </c>
      <c r="C58" s="26">
        <v>2750</v>
      </c>
      <c r="D58" s="2">
        <v>3000</v>
      </c>
      <c r="E58" s="808">
        <f t="shared" si="3"/>
        <v>0.05</v>
      </c>
      <c r="F58" s="809">
        <f t="shared" si="3"/>
        <v>0.06</v>
      </c>
      <c r="H58" s="807">
        <v>-0.06</v>
      </c>
      <c r="I58" s="1191">
        <v>0.11</v>
      </c>
      <c r="J58" s="807">
        <v>-0.05</v>
      </c>
    </row>
    <row r="59" spans="2:10" x14ac:dyDescent="0.25">
      <c r="B59" s="12" t="str">
        <f t="shared" si="2"/>
        <v/>
      </c>
      <c r="C59" s="26">
        <v>3000</v>
      </c>
      <c r="D59" s="2">
        <v>3500</v>
      </c>
      <c r="E59" s="808">
        <f t="shared" si="3"/>
        <v>4.4999999999999998E-2</v>
      </c>
      <c r="F59" s="809">
        <f t="shared" si="3"/>
        <v>5.4999999999999993E-2</v>
      </c>
      <c r="H59" s="807">
        <v>-0.06</v>
      </c>
      <c r="I59" s="1191">
        <v>0.105</v>
      </c>
      <c r="J59" s="807">
        <v>-0.05</v>
      </c>
    </row>
    <row r="60" spans="2:10" x14ac:dyDescent="0.25">
      <c r="B60" s="12" t="str">
        <f t="shared" si="2"/>
        <v/>
      </c>
      <c r="C60" s="26">
        <v>3500</v>
      </c>
      <c r="D60" s="2">
        <v>4000</v>
      </c>
      <c r="E60" s="808">
        <f t="shared" si="3"/>
        <v>4.0000000000000008E-2</v>
      </c>
      <c r="F60" s="809">
        <f t="shared" si="3"/>
        <v>0.05</v>
      </c>
      <c r="H60" s="807">
        <v>-0.06</v>
      </c>
      <c r="I60" s="1192">
        <v>0.1</v>
      </c>
      <c r="J60" s="807">
        <v>-0.05</v>
      </c>
    </row>
    <row r="61" spans="2:10" x14ac:dyDescent="0.25">
      <c r="B61" s="12" t="str">
        <f t="shared" si="2"/>
        <v/>
      </c>
      <c r="C61" s="26">
        <v>4000</v>
      </c>
      <c r="D61" s="2">
        <v>5000</v>
      </c>
      <c r="E61" s="808">
        <f t="shared" si="3"/>
        <v>3.8000000000000006E-2</v>
      </c>
      <c r="F61" s="809">
        <f t="shared" si="3"/>
        <v>4.8000000000000001E-2</v>
      </c>
      <c r="H61" s="807">
        <v>-0.06</v>
      </c>
      <c r="I61" s="1191">
        <v>9.8000000000000004E-2</v>
      </c>
      <c r="J61" s="807">
        <v>-0.05</v>
      </c>
    </row>
    <row r="62" spans="2:10" x14ac:dyDescent="0.25">
      <c r="B62" s="12" t="str">
        <f t="shared" si="2"/>
        <v/>
      </c>
      <c r="C62" s="26">
        <v>5000</v>
      </c>
      <c r="D62" s="2">
        <v>6000</v>
      </c>
      <c r="E62" s="808">
        <f t="shared" si="3"/>
        <v>3.6000000000000004E-2</v>
      </c>
      <c r="F62" s="809">
        <f t="shared" si="3"/>
        <v>4.5999999999999999E-2</v>
      </c>
      <c r="H62" s="807">
        <v>-0.06</v>
      </c>
      <c r="I62" s="1191">
        <v>9.6000000000000002E-2</v>
      </c>
      <c r="J62" s="807">
        <v>-0.05</v>
      </c>
    </row>
    <row r="63" spans="2:10" x14ac:dyDescent="0.25">
      <c r="B63" s="12" t="str">
        <f t="shared" si="2"/>
        <v/>
      </c>
      <c r="C63" s="26">
        <v>6000</v>
      </c>
      <c r="D63" s="2">
        <v>7000</v>
      </c>
      <c r="E63" s="808">
        <f t="shared" si="3"/>
        <v>3.4000000000000002E-2</v>
      </c>
      <c r="F63" s="809">
        <f t="shared" si="3"/>
        <v>4.3999999999999997E-2</v>
      </c>
      <c r="H63" s="807">
        <v>-0.06</v>
      </c>
      <c r="I63" s="1191">
        <v>9.4E-2</v>
      </c>
      <c r="J63" s="807">
        <v>-0.05</v>
      </c>
    </row>
    <row r="64" spans="2:10" x14ac:dyDescent="0.25">
      <c r="B64" s="12" t="str">
        <f t="shared" si="2"/>
        <v/>
      </c>
      <c r="C64" s="26">
        <v>7000</v>
      </c>
      <c r="D64" s="2">
        <v>8000</v>
      </c>
      <c r="E64" s="808">
        <f t="shared" si="3"/>
        <v>3.2000000000000001E-2</v>
      </c>
      <c r="F64" s="809">
        <f t="shared" si="3"/>
        <v>4.1999999999999996E-2</v>
      </c>
      <c r="H64" s="807">
        <v>-0.06</v>
      </c>
      <c r="I64" s="1191">
        <v>9.1999999999999998E-2</v>
      </c>
      <c r="J64" s="807">
        <v>-0.05</v>
      </c>
    </row>
    <row r="65" spans="2:15" x14ac:dyDescent="0.25">
      <c r="B65" s="13" t="str">
        <f t="shared" si="2"/>
        <v/>
      </c>
      <c r="C65" s="432">
        <v>8000</v>
      </c>
      <c r="D65" s="343">
        <v>1000000</v>
      </c>
      <c r="E65" s="812">
        <f t="shared" si="3"/>
        <v>0.03</v>
      </c>
      <c r="F65" s="804">
        <f t="shared" si="3"/>
        <v>3.9999999999999994E-2</v>
      </c>
      <c r="H65" s="807">
        <v>-0.06</v>
      </c>
      <c r="I65" s="1192">
        <v>0.09</v>
      </c>
      <c r="J65" s="807">
        <v>-0.05</v>
      </c>
    </row>
    <row r="66" spans="2:15" x14ac:dyDescent="0.25">
      <c r="B66" s="213"/>
      <c r="C66" s="43"/>
      <c r="D66" s="43"/>
      <c r="E66" s="621">
        <f>VLOOKUP(1,B6:F65,4,FALSE)</f>
        <v>9.5000000000000001E-2</v>
      </c>
      <c r="F66" s="621">
        <f>VLOOKUP(1,B6:F65,5,FALSE)</f>
        <v>0.105</v>
      </c>
    </row>
    <row r="68" spans="2:15" ht="15.75" thickBot="1" x14ac:dyDescent="0.3">
      <c r="E68" s="2" t="s">
        <v>886</v>
      </c>
      <c r="F68" s="2"/>
      <c r="G68" s="2"/>
      <c r="H68" s="2"/>
    </row>
    <row r="69" spans="2:15" x14ac:dyDescent="0.25">
      <c r="B69" s="213"/>
      <c r="C69" s="472"/>
      <c r="D69" s="514">
        <v>1</v>
      </c>
      <c r="E69" s="473"/>
      <c r="F69" s="473">
        <f>Rekenblad!J372</f>
        <v>0</v>
      </c>
      <c r="G69" s="38">
        <f>Rekenblad!J373</f>
        <v>0</v>
      </c>
      <c r="H69" s="38">
        <f>H79</f>
        <v>0</v>
      </c>
      <c r="I69" s="473">
        <f>IF(AND(Rekenblad!C2=Rekenblad!B50,Rekenblad!J365=1),1,IF(AND(Rekenblad!C2=Rekenblad!B50,Rekenblad!J369=1),1,0))</f>
        <v>0</v>
      </c>
      <c r="J69" s="473">
        <f>C83</f>
        <v>0</v>
      </c>
      <c r="K69" s="208">
        <f>IF(AND(Rekenblad!F347=1,U93=1,J69=0),1,0)</f>
        <v>0</v>
      </c>
      <c r="L69" s="208">
        <v>0</v>
      </c>
      <c r="M69" s="951">
        <v>0</v>
      </c>
      <c r="N69" s="23">
        <v>0</v>
      </c>
      <c r="O69" s="580"/>
    </row>
    <row r="70" spans="2:15" x14ac:dyDescent="0.25">
      <c r="B70" s="6" t="s">
        <v>674</v>
      </c>
      <c r="C70" s="12" t="s">
        <v>872</v>
      </c>
      <c r="D70" s="25" t="s">
        <v>871</v>
      </c>
      <c r="E70" s="12" t="s">
        <v>871</v>
      </c>
      <c r="F70" s="442" t="s">
        <v>874</v>
      </c>
      <c r="G70" s="442" t="s">
        <v>874</v>
      </c>
      <c r="H70" s="442" t="s">
        <v>875</v>
      </c>
      <c r="I70" s="404" t="s">
        <v>876</v>
      </c>
      <c r="J70" s="7" t="s">
        <v>997</v>
      </c>
      <c r="K70" s="6" t="s">
        <v>1013</v>
      </c>
      <c r="L70" s="6"/>
      <c r="M70" s="41"/>
      <c r="O70" s="819" t="s">
        <v>177</v>
      </c>
    </row>
    <row r="71" spans="2:15" x14ac:dyDescent="0.25">
      <c r="B71" s="415"/>
      <c r="C71" s="52"/>
      <c r="D71" s="436" t="s">
        <v>2</v>
      </c>
      <c r="E71" s="13" t="s">
        <v>873</v>
      </c>
      <c r="F71" s="13" t="s">
        <v>569</v>
      </c>
      <c r="G71" s="13" t="s">
        <v>570</v>
      </c>
      <c r="H71" s="13" t="s">
        <v>63</v>
      </c>
      <c r="I71" s="52" t="s">
        <v>877</v>
      </c>
      <c r="J71" s="7" t="s">
        <v>64</v>
      </c>
      <c r="K71" s="6" t="s">
        <v>64</v>
      </c>
      <c r="L71" s="6"/>
      <c r="M71" s="41"/>
      <c r="O71" s="446" t="s">
        <v>643</v>
      </c>
    </row>
    <row r="72" spans="2:15" x14ac:dyDescent="0.25">
      <c r="B72" s="52"/>
      <c r="C72" s="814">
        <f>IF(SUM(B6:B65)&gt;0,HLOOKUP(1,E3:F66,64,FALSE),0)</f>
        <v>9.5000000000000001E-2</v>
      </c>
      <c r="D72" s="821">
        <f>Rekenblad!AU46</f>
        <v>0</v>
      </c>
      <c r="E72" s="815">
        <v>0.03</v>
      </c>
      <c r="F72" s="815">
        <v>0.03</v>
      </c>
      <c r="G72" s="815">
        <v>0.03</v>
      </c>
      <c r="H72" s="815">
        <v>0.1</v>
      </c>
      <c r="I72" s="815">
        <v>0.08</v>
      </c>
      <c r="J72" s="1032">
        <f>D85*H107</f>
        <v>0</v>
      </c>
      <c r="K72" s="1066">
        <f>HLOOKUP(1,Q97:AI100,4,FALSE)</f>
        <v>7.0000000000000007E-2</v>
      </c>
      <c r="L72" s="817"/>
      <c r="M72" s="1035"/>
      <c r="N72" s="1036"/>
      <c r="O72" s="1037"/>
    </row>
    <row r="73" spans="2:15" ht="15.75" thickBot="1" x14ac:dyDescent="0.3">
      <c r="B73" s="813">
        <f>Rekenblad!C1085</f>
        <v>191.28173416800001</v>
      </c>
      <c r="C73" s="813">
        <f>B73*C72</f>
        <v>18.171764745960001</v>
      </c>
      <c r="D73" s="816">
        <f>IF(D72&gt;0,D72*B73*D69,0)</f>
        <v>0</v>
      </c>
      <c r="E73" s="816">
        <f>IF(E72&gt;0,E72*B73*E69,0)</f>
        <v>0</v>
      </c>
      <c r="F73" s="816">
        <f>IF(F72&gt;0,F72*B73*F69,0)</f>
        <v>0</v>
      </c>
      <c r="G73" s="816">
        <f>IF(G72&gt;0,G72*B73*G69,0)</f>
        <v>0</v>
      </c>
      <c r="H73" s="816">
        <f>IF(H72&gt;0,H72*B73*H69,0)</f>
        <v>0</v>
      </c>
      <c r="I73" s="816">
        <f>IF(I72&gt;0,I72*B73*I69,0)</f>
        <v>0</v>
      </c>
      <c r="J73" s="816">
        <f>IF(J72&gt;0,J72*B73*J69,0)</f>
        <v>0</v>
      </c>
      <c r="K73" s="818">
        <f>IF(K72&gt;0,K72*B73*K69,0)</f>
        <v>0</v>
      </c>
      <c r="L73" s="818">
        <f>IF(L72&gt;0,L72*B73*L69,0)</f>
        <v>0</v>
      </c>
      <c r="M73" s="818">
        <f>IF(M72&gt;0,M72*B73*M69,0)</f>
        <v>0</v>
      </c>
      <c r="N73" s="818">
        <f>IF(N72&gt;0,N72*B73*N69,0)</f>
        <v>0</v>
      </c>
      <c r="O73" s="1038">
        <f>SUM(C73:N73)</f>
        <v>18.171764745960001</v>
      </c>
    </row>
    <row r="75" spans="2:15" ht="15.75" thickBot="1" x14ac:dyDescent="0.3"/>
    <row r="76" spans="2:15" x14ac:dyDescent="0.25">
      <c r="B76" s="404"/>
      <c r="C76" s="551">
        <f>Rekenblad!B228</f>
        <v>361</v>
      </c>
      <c r="D76" s="551">
        <f>Rekenblad!C228</f>
        <v>1150</v>
      </c>
      <c r="E76" s="484">
        <v>0</v>
      </c>
      <c r="F76" s="473">
        <f>Rekenblad!C7</f>
        <v>250</v>
      </c>
      <c r="G76" s="213"/>
      <c r="H76" s="222"/>
    </row>
    <row r="77" spans="2:15" x14ac:dyDescent="0.25">
      <c r="B77" s="41"/>
      <c r="C77" s="41" t="s">
        <v>880</v>
      </c>
      <c r="D77" s="41" t="s">
        <v>879</v>
      </c>
      <c r="E77" s="12" t="s">
        <v>881</v>
      </c>
      <c r="F77" s="41" t="s">
        <v>883</v>
      </c>
      <c r="G77" s="431" t="s">
        <v>884</v>
      </c>
      <c r="H77" s="224" t="s">
        <v>885</v>
      </c>
    </row>
    <row r="78" spans="2:15" x14ac:dyDescent="0.25">
      <c r="B78" s="52"/>
      <c r="C78" s="34">
        <v>280</v>
      </c>
      <c r="D78" s="34">
        <v>690</v>
      </c>
      <c r="E78" s="13" t="s">
        <v>882</v>
      </c>
      <c r="F78" s="28">
        <v>125</v>
      </c>
      <c r="G78" s="432" t="s">
        <v>63</v>
      </c>
      <c r="H78" s="224" t="s">
        <v>63</v>
      </c>
    </row>
    <row r="79" spans="2:15" ht="15.75" thickBot="1" x14ac:dyDescent="0.3">
      <c r="B79" s="472" t="s">
        <v>878</v>
      </c>
      <c r="C79" s="208">
        <f>IF(C76&lt;C78,1,0)</f>
        <v>0</v>
      </c>
      <c r="D79" s="473">
        <f>IF(D76&lt;D78,1,0)</f>
        <v>0</v>
      </c>
      <c r="E79" s="473">
        <f>IF(SUM(C79:D79)=E76,0,1)</f>
        <v>0</v>
      </c>
      <c r="F79" s="473">
        <f>IF(F76&lt;F78,1,0)</f>
        <v>0</v>
      </c>
      <c r="G79" s="208">
        <f>Rekenblad!J367</f>
        <v>1</v>
      </c>
      <c r="H79" s="500">
        <f>IF(AND(G79=1,SUM(E79:F79)&gt;1),1,0)</f>
        <v>0</v>
      </c>
    </row>
    <row r="82" spans="2:36" ht="15.75" thickBot="1" x14ac:dyDescent="0.3">
      <c r="B82" t="s">
        <v>998</v>
      </c>
    </row>
    <row r="83" spans="2:36" ht="15.75" thickBot="1" x14ac:dyDescent="0.3">
      <c r="B83" s="14" t="s">
        <v>1014</v>
      </c>
      <c r="C83" s="3">
        <f>IF(AND(Rekenblad!F347,Rekenblad!AA46=1,SUM(B86:B100)+SUM(E83:N83)=2),1,0)</f>
        <v>0</v>
      </c>
      <c r="D83" s="1029">
        <f>IF(AND(SUM(B86:B100)=1,SUM(E83:N83)=1),HLOOKUP(1,E83:N101,19,FALSE),0)</f>
        <v>0</v>
      </c>
      <c r="E83" s="23" t="str">
        <f>IF(AND($C$85&gt;E84,$C$85&lt;=E85),1," ")</f>
        <v xml:space="preserve"> </v>
      </c>
      <c r="F83" s="23" t="str">
        <f t="shared" ref="F83:N83" si="4">IF(AND($C$85&gt;F84,$C$85&lt;=F85),1," ")</f>
        <v xml:space="preserve"> </v>
      </c>
      <c r="G83" s="23" t="str">
        <f t="shared" si="4"/>
        <v xml:space="preserve"> </v>
      </c>
      <c r="H83" s="23" t="str">
        <f t="shared" si="4"/>
        <v xml:space="preserve"> </v>
      </c>
      <c r="I83" s="23" t="str">
        <f t="shared" si="4"/>
        <v xml:space="preserve"> </v>
      </c>
      <c r="J83" s="23">
        <f t="shared" si="4"/>
        <v>1</v>
      </c>
      <c r="K83" s="23" t="str">
        <f t="shared" si="4"/>
        <v xml:space="preserve"> </v>
      </c>
      <c r="L83" s="23" t="str">
        <f t="shared" si="4"/>
        <v xml:space="preserve"> </v>
      </c>
      <c r="M83" s="23" t="str">
        <f t="shared" si="4"/>
        <v xml:space="preserve"> </v>
      </c>
      <c r="N83" s="1008" t="str">
        <f t="shared" si="4"/>
        <v xml:space="preserve"> </v>
      </c>
      <c r="Q83" s="670" t="s">
        <v>801</v>
      </c>
      <c r="R83" s="1028">
        <f>HLOOKUP(1,R84:AJ87,4,FALSE)</f>
        <v>1</v>
      </c>
      <c r="S83" s="2"/>
      <c r="T83" s="1027"/>
      <c r="U83" s="1027"/>
      <c r="V83" s="1027"/>
      <c r="W83" s="1027"/>
      <c r="X83" s="1027"/>
      <c r="Y83" s="1027"/>
      <c r="Z83" s="1027"/>
      <c r="AA83" s="1027"/>
      <c r="AB83" s="1027"/>
      <c r="AC83" s="1027"/>
      <c r="AD83" s="1027"/>
      <c r="AE83" s="1027"/>
      <c r="AF83" s="2"/>
      <c r="AG83" s="2"/>
      <c r="AH83" s="2"/>
      <c r="AI83" s="2"/>
      <c r="AJ83" s="2"/>
    </row>
    <row r="84" spans="2:36" ht="15.75" thickBot="1" x14ac:dyDescent="0.3">
      <c r="B84" s="950" t="s">
        <v>23</v>
      </c>
      <c r="C84" s="951">
        <f>Rekenblad!C645</f>
        <v>361</v>
      </c>
      <c r="D84" s="1030">
        <f>R83</f>
        <v>1</v>
      </c>
      <c r="E84" s="449">
        <v>0</v>
      </c>
      <c r="F84" s="449">
        <v>700</v>
      </c>
      <c r="G84" s="449">
        <v>800</v>
      </c>
      <c r="H84" s="449">
        <v>900</v>
      </c>
      <c r="I84" s="1009">
        <v>1000</v>
      </c>
      <c r="J84" s="1009">
        <v>1100</v>
      </c>
      <c r="K84" s="1009">
        <v>1200</v>
      </c>
      <c r="L84" s="1009">
        <v>1300</v>
      </c>
      <c r="M84" s="1009">
        <v>1450</v>
      </c>
      <c r="N84" s="1010">
        <v>1600</v>
      </c>
      <c r="Q84" s="341" t="s">
        <v>999</v>
      </c>
      <c r="R84" s="202">
        <f>IF(AND($Q$86&gt;=R85,$Q$86&lt;R86),1,0)</f>
        <v>1</v>
      </c>
      <c r="S84" s="1021">
        <f t="shared" ref="S84:AJ84" si="5">IF(AND($Q$86&gt;=S85,$Q$86&lt;S86),1,0)</f>
        <v>0</v>
      </c>
      <c r="T84" s="1021">
        <f t="shared" si="5"/>
        <v>0</v>
      </c>
      <c r="U84" s="1021">
        <f t="shared" si="5"/>
        <v>0</v>
      </c>
      <c r="V84" s="1021">
        <f t="shared" si="5"/>
        <v>0</v>
      </c>
      <c r="W84" s="1021">
        <f t="shared" si="5"/>
        <v>0</v>
      </c>
      <c r="X84" s="1021">
        <f t="shared" si="5"/>
        <v>0</v>
      </c>
      <c r="Y84" s="1021">
        <f t="shared" si="5"/>
        <v>0</v>
      </c>
      <c r="Z84" s="1021">
        <f t="shared" si="5"/>
        <v>0</v>
      </c>
      <c r="AA84" s="1021">
        <f t="shared" si="5"/>
        <v>0</v>
      </c>
      <c r="AB84" s="1021">
        <f t="shared" si="5"/>
        <v>0</v>
      </c>
      <c r="AC84" s="1021">
        <f t="shared" si="5"/>
        <v>0</v>
      </c>
      <c r="AD84" s="1021">
        <f t="shared" si="5"/>
        <v>0</v>
      </c>
      <c r="AE84" s="1021">
        <f t="shared" si="5"/>
        <v>0</v>
      </c>
      <c r="AF84" s="1021">
        <f t="shared" si="5"/>
        <v>0</v>
      </c>
      <c r="AG84" s="1021">
        <f t="shared" si="5"/>
        <v>0</v>
      </c>
      <c r="AH84" s="1021">
        <f t="shared" si="5"/>
        <v>0</v>
      </c>
      <c r="AI84" s="1021">
        <f t="shared" si="5"/>
        <v>0</v>
      </c>
      <c r="AJ84" s="1021">
        <f t="shared" si="5"/>
        <v>0</v>
      </c>
    </row>
    <row r="85" spans="2:36" ht="15.75" thickBot="1" x14ac:dyDescent="0.3">
      <c r="B85" s="6" t="s">
        <v>24</v>
      </c>
      <c r="C85" s="432">
        <f>Rekenblad!C646</f>
        <v>1150</v>
      </c>
      <c r="D85" s="1031">
        <f>D83*D84</f>
        <v>0</v>
      </c>
      <c r="E85" s="965">
        <v>700</v>
      </c>
      <c r="F85" s="965">
        <v>800</v>
      </c>
      <c r="G85" s="965">
        <v>900</v>
      </c>
      <c r="H85" s="965">
        <v>1000</v>
      </c>
      <c r="I85" s="1011">
        <v>1100</v>
      </c>
      <c r="J85" s="1011">
        <v>1200</v>
      </c>
      <c r="K85" s="1011">
        <v>1300</v>
      </c>
      <c r="L85" s="1011">
        <v>1450</v>
      </c>
      <c r="M85" s="1011">
        <v>1600</v>
      </c>
      <c r="N85" s="1012">
        <v>1700</v>
      </c>
      <c r="Q85" s="399" t="s">
        <v>1000</v>
      </c>
      <c r="R85" s="399">
        <v>0</v>
      </c>
      <c r="S85" s="442">
        <v>200</v>
      </c>
      <c r="T85" s="1022">
        <v>500</v>
      </c>
      <c r="U85" s="1022">
        <v>750</v>
      </c>
      <c r="V85" s="1022">
        <v>1000</v>
      </c>
      <c r="W85" s="1022">
        <v>1250</v>
      </c>
      <c r="X85" s="1022">
        <v>1500</v>
      </c>
      <c r="Y85" s="1022">
        <v>1750</v>
      </c>
      <c r="Z85" s="1022">
        <v>2000</v>
      </c>
      <c r="AA85" s="1022">
        <v>2250</v>
      </c>
      <c r="AB85" s="1022">
        <v>2500</v>
      </c>
      <c r="AC85" s="1022">
        <v>2750</v>
      </c>
      <c r="AD85" s="1022">
        <v>3000</v>
      </c>
      <c r="AE85" s="1022">
        <v>3500</v>
      </c>
      <c r="AF85" s="1022">
        <v>4000</v>
      </c>
      <c r="AG85" s="1022">
        <v>5000</v>
      </c>
      <c r="AH85" s="1022">
        <v>6000</v>
      </c>
      <c r="AI85" s="1022">
        <v>8000</v>
      </c>
      <c r="AJ85" s="1022">
        <v>10000</v>
      </c>
    </row>
    <row r="86" spans="2:36" x14ac:dyDescent="0.25">
      <c r="B86" s="1013">
        <f>IF(AND($C$84&gt;C86,$C$84&lt;=D86),1," ")</f>
        <v>1</v>
      </c>
      <c r="C86" s="2">
        <v>0</v>
      </c>
      <c r="D86" s="25">
        <v>400</v>
      </c>
      <c r="E86" s="1014">
        <v>0</v>
      </c>
      <c r="F86" s="1014">
        <v>0</v>
      </c>
      <c r="G86" s="1014">
        <v>0</v>
      </c>
      <c r="H86" s="1014">
        <v>0</v>
      </c>
      <c r="I86" s="1015">
        <v>0</v>
      </c>
      <c r="J86" s="1015">
        <v>0</v>
      </c>
      <c r="K86" s="1015">
        <v>0</v>
      </c>
      <c r="L86" s="1015">
        <v>0</v>
      </c>
      <c r="M86" s="1015">
        <v>0</v>
      </c>
      <c r="N86" s="1016">
        <v>0</v>
      </c>
      <c r="Q86" s="1024">
        <f>Rekenblad!I108</f>
        <v>160.86160000000001</v>
      </c>
      <c r="R86" s="202">
        <v>200</v>
      </c>
      <c r="S86" s="13">
        <v>500</v>
      </c>
      <c r="T86" s="1023">
        <v>750</v>
      </c>
      <c r="U86" s="1023">
        <v>1000</v>
      </c>
      <c r="V86" s="1023">
        <v>1250</v>
      </c>
      <c r="W86" s="1023">
        <v>1500</v>
      </c>
      <c r="X86" s="1023">
        <v>1750</v>
      </c>
      <c r="Y86" s="1023">
        <v>2000</v>
      </c>
      <c r="Z86" s="1023">
        <v>2250</v>
      </c>
      <c r="AA86" s="1023">
        <v>2500</v>
      </c>
      <c r="AB86" s="1023">
        <v>2750</v>
      </c>
      <c r="AC86" s="1023">
        <v>3000</v>
      </c>
      <c r="AD86" s="1023">
        <v>3500</v>
      </c>
      <c r="AE86" s="1023">
        <v>4000</v>
      </c>
      <c r="AF86" s="1023">
        <v>5000</v>
      </c>
      <c r="AG86" s="1023">
        <v>6000</v>
      </c>
      <c r="AH86" s="1023">
        <v>8000</v>
      </c>
      <c r="AI86" s="1023">
        <v>10000</v>
      </c>
      <c r="AJ86" s="1023">
        <v>99999999</v>
      </c>
    </row>
    <row r="87" spans="2:36" x14ac:dyDescent="0.25">
      <c r="B87" s="990" t="str">
        <f t="shared" ref="B87:B100" si="6">IF(AND($C$84&gt;C87,$C$84&lt;=D87),1," ")</f>
        <v xml:space="preserve"> </v>
      </c>
      <c r="C87" s="2">
        <v>400</v>
      </c>
      <c r="D87" s="25">
        <v>450</v>
      </c>
      <c r="E87" s="1014">
        <v>0.03</v>
      </c>
      <c r="F87" s="1014">
        <v>0</v>
      </c>
      <c r="G87" s="1014">
        <v>0</v>
      </c>
      <c r="H87" s="1014">
        <v>0</v>
      </c>
      <c r="I87" s="1015">
        <v>0</v>
      </c>
      <c r="J87" s="1015">
        <v>0</v>
      </c>
      <c r="K87" s="1015">
        <v>0</v>
      </c>
      <c r="L87" s="1015">
        <v>0</v>
      </c>
      <c r="M87" s="1015">
        <v>0</v>
      </c>
      <c r="N87" s="1016">
        <v>0</v>
      </c>
      <c r="Q87" s="1020" t="s">
        <v>801</v>
      </c>
      <c r="R87" s="1025">
        <v>1</v>
      </c>
      <c r="S87" s="1026">
        <v>1</v>
      </c>
      <c r="T87" s="1026">
        <v>1</v>
      </c>
      <c r="U87" s="1026">
        <v>1</v>
      </c>
      <c r="V87" s="1026">
        <v>1</v>
      </c>
      <c r="W87" s="1026">
        <v>1</v>
      </c>
      <c r="X87" s="1026">
        <v>1</v>
      </c>
      <c r="Y87" s="1026">
        <v>1</v>
      </c>
      <c r="Z87" s="1026">
        <v>1</v>
      </c>
      <c r="AA87" s="1026">
        <v>1</v>
      </c>
      <c r="AB87" s="1026">
        <v>0.9</v>
      </c>
      <c r="AC87" s="1026">
        <v>0.8</v>
      </c>
      <c r="AD87" s="1026">
        <v>0.7</v>
      </c>
      <c r="AE87" s="1026">
        <v>0.6</v>
      </c>
      <c r="AF87" s="1026">
        <v>0.6</v>
      </c>
      <c r="AG87" s="1026">
        <v>0.6</v>
      </c>
      <c r="AH87" s="1026">
        <v>0.6</v>
      </c>
      <c r="AI87" s="1026">
        <v>0.6</v>
      </c>
      <c r="AJ87" s="1026">
        <v>0.6</v>
      </c>
    </row>
    <row r="88" spans="2:36" x14ac:dyDescent="0.25">
      <c r="B88" s="990" t="str">
        <f t="shared" si="6"/>
        <v xml:space="preserve"> </v>
      </c>
      <c r="C88" s="2">
        <v>450</v>
      </c>
      <c r="D88" s="25">
        <v>500</v>
      </c>
      <c r="E88" s="1014">
        <v>0.05</v>
      </c>
      <c r="F88" s="1014">
        <v>0.03</v>
      </c>
      <c r="G88" s="1014">
        <v>0</v>
      </c>
      <c r="H88" s="1014">
        <v>0</v>
      </c>
      <c r="I88" s="1015">
        <v>0</v>
      </c>
      <c r="J88" s="1015">
        <v>0</v>
      </c>
      <c r="K88" s="1015">
        <v>0</v>
      </c>
      <c r="L88" s="1015">
        <v>0</v>
      </c>
      <c r="M88" s="1015">
        <v>0</v>
      </c>
      <c r="N88" s="1016">
        <v>0</v>
      </c>
    </row>
    <row r="89" spans="2:36" x14ac:dyDescent="0.25">
      <c r="B89" s="990" t="str">
        <f t="shared" si="6"/>
        <v xml:space="preserve"> </v>
      </c>
      <c r="C89" s="2">
        <v>500</v>
      </c>
      <c r="D89" s="25">
        <v>550</v>
      </c>
      <c r="E89" s="1014">
        <v>0.05</v>
      </c>
      <c r="F89" s="1014">
        <v>0.05</v>
      </c>
      <c r="G89" s="1014">
        <v>0.03</v>
      </c>
      <c r="H89" s="1014">
        <v>0.02</v>
      </c>
      <c r="I89" s="1015">
        <v>0.01</v>
      </c>
      <c r="J89" s="1015">
        <v>0</v>
      </c>
      <c r="K89" s="1015">
        <v>0</v>
      </c>
      <c r="L89" s="1015">
        <v>0</v>
      </c>
      <c r="M89" s="1015">
        <v>0</v>
      </c>
      <c r="N89" s="1016">
        <v>0</v>
      </c>
    </row>
    <row r="90" spans="2:36" x14ac:dyDescent="0.25">
      <c r="B90" s="990" t="str">
        <f t="shared" si="6"/>
        <v xml:space="preserve"> </v>
      </c>
      <c r="C90" s="2">
        <v>550</v>
      </c>
      <c r="D90" s="25">
        <v>600</v>
      </c>
      <c r="E90" s="1014">
        <v>0.1</v>
      </c>
      <c r="F90" s="1014">
        <v>0.08</v>
      </c>
      <c r="G90" s="1014">
        <v>0.05</v>
      </c>
      <c r="H90" s="1014">
        <v>0.03</v>
      </c>
      <c r="I90" s="1015">
        <v>0.02</v>
      </c>
      <c r="J90" s="1015">
        <v>0.01</v>
      </c>
      <c r="K90" s="1015">
        <v>0</v>
      </c>
      <c r="L90" s="1015">
        <v>0</v>
      </c>
      <c r="M90" s="1015">
        <v>0</v>
      </c>
      <c r="N90" s="1016">
        <v>0</v>
      </c>
    </row>
    <row r="91" spans="2:36" x14ac:dyDescent="0.25">
      <c r="B91" s="990" t="str">
        <f t="shared" si="6"/>
        <v xml:space="preserve"> </v>
      </c>
      <c r="C91" s="2">
        <v>600</v>
      </c>
      <c r="D91" s="25">
        <v>700</v>
      </c>
      <c r="E91" s="1014">
        <v>0.15</v>
      </c>
      <c r="F91" s="1014">
        <v>0.1</v>
      </c>
      <c r="G91" s="1014">
        <v>0.08</v>
      </c>
      <c r="H91" s="1014">
        <v>0.06</v>
      </c>
      <c r="I91" s="1015">
        <v>0.04</v>
      </c>
      <c r="J91" s="1015">
        <v>0.02</v>
      </c>
      <c r="K91" s="1015">
        <v>0.02</v>
      </c>
      <c r="L91" s="1015">
        <v>0.01</v>
      </c>
      <c r="M91" s="1015">
        <v>0</v>
      </c>
      <c r="N91" s="1016">
        <v>0</v>
      </c>
      <c r="Q91" t="s">
        <v>1015</v>
      </c>
    </row>
    <row r="92" spans="2:36" x14ac:dyDescent="0.25">
      <c r="B92" s="990" t="str">
        <f t="shared" si="6"/>
        <v xml:space="preserve"> </v>
      </c>
      <c r="C92" s="2">
        <v>700</v>
      </c>
      <c r="D92" s="25">
        <v>800</v>
      </c>
      <c r="E92" s="1014">
        <v>0.16</v>
      </c>
      <c r="F92" s="1014">
        <v>0.13</v>
      </c>
      <c r="G92" s="1014">
        <v>0.12</v>
      </c>
      <c r="H92" s="1014">
        <v>0.08</v>
      </c>
      <c r="I92" s="1015">
        <v>0.06</v>
      </c>
      <c r="J92" s="1015">
        <v>0.04</v>
      </c>
      <c r="K92" s="1015">
        <v>0.03</v>
      </c>
      <c r="L92" s="1015">
        <v>0.02</v>
      </c>
      <c r="M92" s="1015">
        <v>0.01</v>
      </c>
      <c r="N92" s="1016">
        <v>0</v>
      </c>
      <c r="Q92" s="208" t="s">
        <v>19</v>
      </c>
      <c r="R92" s="23" t="s">
        <v>9</v>
      </c>
      <c r="S92" s="208">
        <f>C84</f>
        <v>361</v>
      </c>
      <c r="T92" s="38">
        <f>C85</f>
        <v>1150</v>
      </c>
      <c r="U92" s="951" t="s">
        <v>1016</v>
      </c>
      <c r="V92" s="1062" t="s">
        <v>731</v>
      </c>
    </row>
    <row r="93" spans="2:36" x14ac:dyDescent="0.25">
      <c r="B93" s="990" t="str">
        <f t="shared" si="6"/>
        <v xml:space="preserve"> </v>
      </c>
      <c r="C93" s="2">
        <v>800</v>
      </c>
      <c r="D93" s="25">
        <v>900</v>
      </c>
      <c r="E93" s="1014">
        <v>0.17</v>
      </c>
      <c r="F93" s="1014">
        <v>0.15</v>
      </c>
      <c r="G93" s="1014">
        <v>0.13</v>
      </c>
      <c r="H93" s="1014">
        <v>0.1</v>
      </c>
      <c r="I93" s="1015">
        <v>0.08</v>
      </c>
      <c r="J93" s="1015">
        <v>0.06</v>
      </c>
      <c r="K93" s="1015">
        <v>0.04</v>
      </c>
      <c r="L93" s="1015">
        <v>0.03</v>
      </c>
      <c r="M93" s="1015">
        <v>0.02</v>
      </c>
      <c r="N93" s="1016">
        <v>0.01</v>
      </c>
      <c r="Q93" s="649">
        <v>1100</v>
      </c>
      <c r="R93" s="1039">
        <v>2420</v>
      </c>
      <c r="S93" s="432">
        <f>IF(S92&gt;Q93,1,0)</f>
        <v>0</v>
      </c>
      <c r="T93" s="966">
        <f>IF(T92&gt;R93,1,0)</f>
        <v>0</v>
      </c>
      <c r="U93" s="13">
        <f>IF(SUM(S93:T93)&gt;0,1,0)</f>
        <v>0</v>
      </c>
      <c r="V93" s="1065">
        <v>7.0000000000000007E-2</v>
      </c>
    </row>
    <row r="94" spans="2:36" x14ac:dyDescent="0.25">
      <c r="B94" s="990" t="str">
        <f t="shared" si="6"/>
        <v xml:space="preserve"> </v>
      </c>
      <c r="C94" s="2">
        <v>900</v>
      </c>
      <c r="D94" s="25">
        <v>1000</v>
      </c>
      <c r="E94" s="1014">
        <v>0.18</v>
      </c>
      <c r="F94" s="1014">
        <v>0.16</v>
      </c>
      <c r="G94" s="1014">
        <v>0.14000000000000001</v>
      </c>
      <c r="H94" s="1014">
        <v>0.12</v>
      </c>
      <c r="I94" s="1015">
        <v>0.1</v>
      </c>
      <c r="J94" s="1015">
        <v>0.08</v>
      </c>
      <c r="K94" s="1015">
        <v>0.06</v>
      </c>
      <c r="L94" s="1015">
        <v>0.05</v>
      </c>
      <c r="M94" s="1015">
        <v>0.03</v>
      </c>
      <c r="N94" s="1016">
        <v>0.03</v>
      </c>
    </row>
    <row r="95" spans="2:36" x14ac:dyDescent="0.25">
      <c r="B95" s="990" t="str">
        <f t="shared" si="6"/>
        <v xml:space="preserve"> </v>
      </c>
      <c r="C95" s="2">
        <v>1000</v>
      </c>
      <c r="D95" s="25">
        <v>1150</v>
      </c>
      <c r="E95" s="1014">
        <v>0.2</v>
      </c>
      <c r="F95" s="1014">
        <v>0.2</v>
      </c>
      <c r="G95" s="1014">
        <v>0.16</v>
      </c>
      <c r="H95" s="1014">
        <v>0.14000000000000001</v>
      </c>
      <c r="I95" s="1015">
        <v>0.12</v>
      </c>
      <c r="J95" s="1015">
        <v>0.1</v>
      </c>
      <c r="K95" s="1015">
        <v>0.08</v>
      </c>
      <c r="L95" s="1015">
        <v>7.0000000000000007E-2</v>
      </c>
      <c r="M95" s="1015">
        <v>0.05</v>
      </c>
      <c r="N95" s="1016">
        <v>0.04</v>
      </c>
    </row>
    <row r="96" spans="2:36" x14ac:dyDescent="0.25">
      <c r="B96" s="990" t="str">
        <f t="shared" si="6"/>
        <v xml:space="preserve"> </v>
      </c>
      <c r="C96" s="2">
        <v>1150</v>
      </c>
      <c r="D96" s="25">
        <v>1300</v>
      </c>
      <c r="E96" s="1014">
        <v>0.2</v>
      </c>
      <c r="F96" s="1014">
        <v>0.2</v>
      </c>
      <c r="G96" s="1014">
        <v>0.18</v>
      </c>
      <c r="H96" s="1014">
        <v>0.16</v>
      </c>
      <c r="I96" s="1015">
        <v>0.14000000000000001</v>
      </c>
      <c r="J96" s="1015">
        <v>0.12</v>
      </c>
      <c r="K96" s="1015">
        <v>0.1</v>
      </c>
      <c r="L96" s="1015">
        <v>0.09</v>
      </c>
      <c r="M96" s="1015">
        <v>7.0000000000000007E-2</v>
      </c>
      <c r="N96" s="1016">
        <v>0.06</v>
      </c>
      <c r="Q96" s="1059">
        <v>1</v>
      </c>
      <c r="R96" s="952">
        <v>1</v>
      </c>
      <c r="S96" s="1060">
        <v>1</v>
      </c>
      <c r="T96" s="1060">
        <v>1</v>
      </c>
      <c r="U96" s="1060">
        <v>1</v>
      </c>
      <c r="V96" s="1060">
        <v>1</v>
      </c>
      <c r="W96" s="1060">
        <v>1</v>
      </c>
      <c r="X96" s="1060">
        <v>1</v>
      </c>
      <c r="Y96" s="1060">
        <v>1</v>
      </c>
      <c r="Z96" s="1060">
        <v>0.7</v>
      </c>
      <c r="AA96" s="1060">
        <v>0.3</v>
      </c>
      <c r="AB96" s="1060">
        <v>0</v>
      </c>
      <c r="AC96" s="1060">
        <v>0</v>
      </c>
      <c r="AD96" s="1060">
        <v>0</v>
      </c>
      <c r="AE96" s="952">
        <v>0</v>
      </c>
      <c r="AF96" s="952">
        <v>0</v>
      </c>
      <c r="AG96" s="952">
        <v>0</v>
      </c>
      <c r="AH96" s="952">
        <v>0</v>
      </c>
      <c r="AI96" s="952">
        <v>0</v>
      </c>
    </row>
    <row r="97" spans="2:35" x14ac:dyDescent="0.25">
      <c r="B97" s="990" t="str">
        <f t="shared" si="6"/>
        <v xml:space="preserve"> </v>
      </c>
      <c r="C97" s="2">
        <v>1300</v>
      </c>
      <c r="D97" s="25">
        <v>1450</v>
      </c>
      <c r="E97" s="1014">
        <v>0.2</v>
      </c>
      <c r="F97" s="1014">
        <v>0.2</v>
      </c>
      <c r="G97" s="1014">
        <v>0.2</v>
      </c>
      <c r="H97" s="1014">
        <v>0.18</v>
      </c>
      <c r="I97" s="1015">
        <v>0.16</v>
      </c>
      <c r="J97" s="1015">
        <v>0.16</v>
      </c>
      <c r="K97" s="1015">
        <v>0.12</v>
      </c>
      <c r="L97" s="1015">
        <v>0.11</v>
      </c>
      <c r="M97" s="1015">
        <v>0.09</v>
      </c>
      <c r="N97" s="1016">
        <v>0.08</v>
      </c>
      <c r="Q97" s="1021">
        <f>IF(AND($Q$86&gt;=Q98,$Q$86&lt;Q99),1,0)</f>
        <v>1</v>
      </c>
      <c r="R97" s="1021">
        <f t="shared" ref="R97:AI97" si="7">IF(AND($Q$86&gt;=R98,$Q$86&lt;R99),1,0)</f>
        <v>0</v>
      </c>
      <c r="S97" s="1021">
        <f t="shared" si="7"/>
        <v>0</v>
      </c>
      <c r="T97" s="1021">
        <f t="shared" si="7"/>
        <v>0</v>
      </c>
      <c r="U97" s="1021">
        <f t="shared" si="7"/>
        <v>0</v>
      </c>
      <c r="V97" s="1021">
        <f t="shared" si="7"/>
        <v>0</v>
      </c>
      <c r="W97" s="1021">
        <f t="shared" si="7"/>
        <v>0</v>
      </c>
      <c r="X97" s="1021">
        <f t="shared" si="7"/>
        <v>0</v>
      </c>
      <c r="Y97" s="1021">
        <f t="shared" si="7"/>
        <v>0</v>
      </c>
      <c r="Z97" s="1021">
        <f t="shared" si="7"/>
        <v>0</v>
      </c>
      <c r="AA97" s="1021">
        <f t="shared" si="7"/>
        <v>0</v>
      </c>
      <c r="AB97" s="1021">
        <f t="shared" si="7"/>
        <v>0</v>
      </c>
      <c r="AC97" s="1021">
        <f t="shared" si="7"/>
        <v>0</v>
      </c>
      <c r="AD97" s="1021">
        <f t="shared" si="7"/>
        <v>0</v>
      </c>
      <c r="AE97" s="1021">
        <f t="shared" si="7"/>
        <v>0</v>
      </c>
      <c r="AF97" s="1021">
        <f t="shared" si="7"/>
        <v>0</v>
      </c>
      <c r="AG97" s="1021">
        <f t="shared" si="7"/>
        <v>0</v>
      </c>
      <c r="AH97" s="1021">
        <f t="shared" si="7"/>
        <v>0</v>
      </c>
      <c r="AI97" s="1021">
        <f t="shared" si="7"/>
        <v>0</v>
      </c>
    </row>
    <row r="98" spans="2:35" x14ac:dyDescent="0.25">
      <c r="B98" s="990" t="str">
        <f t="shared" si="6"/>
        <v xml:space="preserve"> </v>
      </c>
      <c r="C98" s="2">
        <v>1450</v>
      </c>
      <c r="D98" s="25">
        <v>1600</v>
      </c>
      <c r="E98" s="1014">
        <v>0.2</v>
      </c>
      <c r="F98" s="1014">
        <v>0.2</v>
      </c>
      <c r="G98" s="1014">
        <v>0.2</v>
      </c>
      <c r="H98" s="1014">
        <v>0.2</v>
      </c>
      <c r="I98" s="1015">
        <v>0.2</v>
      </c>
      <c r="J98" s="1015">
        <v>0.18</v>
      </c>
      <c r="K98" s="1015">
        <v>0.16</v>
      </c>
      <c r="L98" s="1015">
        <v>0.13</v>
      </c>
      <c r="M98" s="1015">
        <v>0.11</v>
      </c>
      <c r="N98" s="1016">
        <v>0.1</v>
      </c>
      <c r="Q98" s="1061">
        <v>0</v>
      </c>
      <c r="R98" s="1062">
        <v>200</v>
      </c>
      <c r="S98" s="1063">
        <v>500</v>
      </c>
      <c r="T98" s="1063">
        <v>750</v>
      </c>
      <c r="U98" s="1063">
        <v>1000</v>
      </c>
      <c r="V98" s="1063">
        <v>1250</v>
      </c>
      <c r="W98" s="1063">
        <v>1500</v>
      </c>
      <c r="X98" s="1063">
        <v>1750</v>
      </c>
      <c r="Y98" s="1063">
        <v>2000</v>
      </c>
      <c r="Z98" s="1063">
        <v>2250</v>
      </c>
      <c r="AA98" s="1063">
        <v>2500</v>
      </c>
      <c r="AB98" s="1063">
        <v>2750</v>
      </c>
      <c r="AC98" s="1063">
        <v>3000</v>
      </c>
      <c r="AD98" s="1063">
        <v>3500</v>
      </c>
      <c r="AE98" s="1063">
        <v>4000</v>
      </c>
      <c r="AF98" s="1063">
        <v>5000</v>
      </c>
      <c r="AG98" s="1063">
        <v>6000</v>
      </c>
      <c r="AH98" s="1063">
        <v>8000</v>
      </c>
      <c r="AI98" s="1063">
        <v>10000</v>
      </c>
    </row>
    <row r="99" spans="2:35" x14ac:dyDescent="0.25">
      <c r="B99" s="990" t="str">
        <f t="shared" si="6"/>
        <v xml:space="preserve"> </v>
      </c>
      <c r="C99" s="2">
        <v>1600</v>
      </c>
      <c r="D99" s="25">
        <v>1750</v>
      </c>
      <c r="E99" s="1014">
        <v>0.25</v>
      </c>
      <c r="F99" s="1014">
        <v>0.25</v>
      </c>
      <c r="G99" s="1014">
        <v>0.25</v>
      </c>
      <c r="H99" s="1014">
        <v>0.25</v>
      </c>
      <c r="I99" s="1015">
        <v>0.25</v>
      </c>
      <c r="J99" s="1015">
        <v>0.22</v>
      </c>
      <c r="K99" s="1015">
        <v>0.2</v>
      </c>
      <c r="L99" s="1015">
        <v>0.17</v>
      </c>
      <c r="M99" s="1015">
        <v>0.14000000000000001</v>
      </c>
      <c r="N99" s="1016">
        <v>0.13</v>
      </c>
      <c r="Q99" s="202">
        <v>200</v>
      </c>
      <c r="R99" s="13">
        <v>500</v>
      </c>
      <c r="S99" s="1023">
        <v>750</v>
      </c>
      <c r="T99" s="1023">
        <v>1000</v>
      </c>
      <c r="U99" s="1023">
        <v>1250</v>
      </c>
      <c r="V99" s="1023">
        <v>1500</v>
      </c>
      <c r="W99" s="1023">
        <v>1750</v>
      </c>
      <c r="X99" s="1023">
        <v>2000</v>
      </c>
      <c r="Y99" s="1023">
        <v>2250</v>
      </c>
      <c r="Z99" s="1023">
        <v>2500</v>
      </c>
      <c r="AA99" s="1023">
        <v>2750</v>
      </c>
      <c r="AB99" s="1023">
        <v>3000</v>
      </c>
      <c r="AC99" s="1023">
        <v>3500</v>
      </c>
      <c r="AD99" s="1023">
        <v>4000</v>
      </c>
      <c r="AE99" s="1023">
        <v>5000</v>
      </c>
      <c r="AF99" s="1023">
        <v>6000</v>
      </c>
      <c r="AG99" s="1023">
        <v>8000</v>
      </c>
      <c r="AH99" s="1023">
        <v>10000</v>
      </c>
      <c r="AI99" s="1023">
        <v>99999999</v>
      </c>
    </row>
    <row r="100" spans="2:35" x14ac:dyDescent="0.25">
      <c r="B100" s="991" t="str">
        <f t="shared" si="6"/>
        <v xml:space="preserve"> </v>
      </c>
      <c r="C100" s="965">
        <v>1750</v>
      </c>
      <c r="D100" s="966">
        <v>9999</v>
      </c>
      <c r="E100" s="1014">
        <v>0.25</v>
      </c>
      <c r="F100" s="1014">
        <v>0.25</v>
      </c>
      <c r="G100" s="1014">
        <v>0.25</v>
      </c>
      <c r="H100" s="1014">
        <v>0.25</v>
      </c>
      <c r="I100" s="1015">
        <v>0.25</v>
      </c>
      <c r="J100" s="1015">
        <v>0.25</v>
      </c>
      <c r="K100" s="1015">
        <v>0.25</v>
      </c>
      <c r="L100" s="1015">
        <v>0.2</v>
      </c>
      <c r="M100" s="1015">
        <v>0.18</v>
      </c>
      <c r="N100" s="1016">
        <v>0.16</v>
      </c>
      <c r="Q100" s="1064">
        <f>$V$93*Q96</f>
        <v>7.0000000000000007E-2</v>
      </c>
      <c r="R100" s="1064">
        <f t="shared" ref="R100:AI100" si="8">$V$93*R96</f>
        <v>7.0000000000000007E-2</v>
      </c>
      <c r="S100" s="1064">
        <f t="shared" si="8"/>
        <v>7.0000000000000007E-2</v>
      </c>
      <c r="T100" s="1064">
        <f t="shared" si="8"/>
        <v>7.0000000000000007E-2</v>
      </c>
      <c r="U100" s="1064">
        <f t="shared" si="8"/>
        <v>7.0000000000000007E-2</v>
      </c>
      <c r="V100" s="1064">
        <f t="shared" si="8"/>
        <v>7.0000000000000007E-2</v>
      </c>
      <c r="W100" s="1064">
        <f t="shared" si="8"/>
        <v>7.0000000000000007E-2</v>
      </c>
      <c r="X100" s="1064">
        <f t="shared" si="8"/>
        <v>7.0000000000000007E-2</v>
      </c>
      <c r="Y100" s="1064">
        <f t="shared" si="8"/>
        <v>7.0000000000000007E-2</v>
      </c>
      <c r="Z100" s="1064">
        <f t="shared" si="8"/>
        <v>4.9000000000000002E-2</v>
      </c>
      <c r="AA100" s="1064">
        <f t="shared" si="8"/>
        <v>2.1000000000000001E-2</v>
      </c>
      <c r="AB100" s="1064">
        <f t="shared" si="8"/>
        <v>0</v>
      </c>
      <c r="AC100" s="1064">
        <f t="shared" si="8"/>
        <v>0</v>
      </c>
      <c r="AD100" s="1064">
        <f t="shared" si="8"/>
        <v>0</v>
      </c>
      <c r="AE100" s="1064">
        <f t="shared" si="8"/>
        <v>0</v>
      </c>
      <c r="AF100" s="1064">
        <f t="shared" si="8"/>
        <v>0</v>
      </c>
      <c r="AG100" s="1064">
        <f t="shared" si="8"/>
        <v>0</v>
      </c>
      <c r="AH100" s="1064">
        <f t="shared" si="8"/>
        <v>0</v>
      </c>
      <c r="AI100" s="1064">
        <f t="shared" si="8"/>
        <v>0</v>
      </c>
    </row>
    <row r="101" spans="2:35" x14ac:dyDescent="0.25">
      <c r="B101" s="415"/>
      <c r="C101" s="43"/>
      <c r="D101" s="43"/>
      <c r="E101" s="1017">
        <f>IF(SUM($B$86:$B$100)=1,VLOOKUP(1,$B$86:$N$100,4,FALSE),0)</f>
        <v>0</v>
      </c>
      <c r="F101" s="1018">
        <f>IF(SUM($B$86:$B$100)=1,VLOOKUP(1,$B$86:$N$100,5,FALSE),0)</f>
        <v>0</v>
      </c>
      <c r="G101" s="1018">
        <f>IF(SUM($B$86:$B$100)=1,VLOOKUP(1,$B$86:$N$100,6,FALSE),0)</f>
        <v>0</v>
      </c>
      <c r="H101" s="1018">
        <f>IF(SUM($B$86:$B$100)=1,VLOOKUP(1,$B$86:$N$100,7,FALSE),0)</f>
        <v>0</v>
      </c>
      <c r="I101" s="1018">
        <f>IF(SUM($B$86:$B$100)=1,VLOOKUP(1,$B$86:$N$100,8,FALSE),0)</f>
        <v>0</v>
      </c>
      <c r="J101" s="1018">
        <f>IF(SUM($B$86:$B$100)=1,VLOOKUP(1,$B$86:$N$100,9,FALSE),0)</f>
        <v>0</v>
      </c>
      <c r="K101" s="1018">
        <f>IF(SUM($B$86:$B$100)=1,VLOOKUP(1,$B$86:$N$100,10,FALSE),0)</f>
        <v>0</v>
      </c>
      <c r="L101" s="1018">
        <f>IF(SUM($B$86:$B$100)=1,VLOOKUP(1,$B$86:$N$100,11,FALSE),0)</f>
        <v>0</v>
      </c>
      <c r="M101" s="1018">
        <f>IF(SUM($B$86:$B$100)=1,VLOOKUP(1,$B$86:$N$100,12,FALSE),0)</f>
        <v>0</v>
      </c>
      <c r="N101" s="1019">
        <f>IF(SUM($B$86:$B$100)=1,VLOOKUP(1,$B$86:$N$100,13,FALSE),0)</f>
        <v>0</v>
      </c>
    </row>
    <row r="104" spans="2:35" x14ac:dyDescent="0.25">
      <c r="B104" s="1188" t="str">
        <f>IF(AND($C$85&gt;B105,$C$85&lt;=B106),1," ")</f>
        <v xml:space="preserve"> </v>
      </c>
      <c r="C104" s="1188" t="str">
        <f t="shared" ref="C104:G104" si="9">IF(AND($C$85&gt;C105,$C$85&lt;=C106),1," ")</f>
        <v xml:space="preserve"> </v>
      </c>
      <c r="D104" s="1188" t="str">
        <f t="shared" si="9"/>
        <v xml:space="preserve"> </v>
      </c>
      <c r="E104" s="1188" t="str">
        <f t="shared" si="9"/>
        <v xml:space="preserve"> </v>
      </c>
      <c r="F104" s="1188" t="str">
        <f t="shared" si="9"/>
        <v xml:space="preserve"> </v>
      </c>
      <c r="G104" s="1188">
        <f t="shared" si="9"/>
        <v>1</v>
      </c>
      <c r="H104" s="1029"/>
      <c r="I104" s="479"/>
      <c r="J104" s="479"/>
      <c r="K104" s="479"/>
      <c r="L104" s="479"/>
      <c r="M104" s="479"/>
      <c r="N104" s="479"/>
      <c r="P104" s="479"/>
      <c r="Q104" s="479"/>
      <c r="R104" s="479"/>
      <c r="S104" s="479"/>
      <c r="T104" s="479"/>
      <c r="U104" s="479"/>
      <c r="V104" s="479"/>
      <c r="W104" s="479"/>
      <c r="X104" s="479"/>
      <c r="Y104" s="479"/>
    </row>
    <row r="105" spans="2:35" x14ac:dyDescent="0.25">
      <c r="B105" s="1022">
        <v>0</v>
      </c>
      <c r="C105" s="442">
        <v>800</v>
      </c>
      <c r="D105" s="1022">
        <v>850</v>
      </c>
      <c r="E105" s="1022">
        <v>900</v>
      </c>
      <c r="F105" s="1022">
        <v>950</v>
      </c>
      <c r="G105" s="1022">
        <v>1000</v>
      </c>
      <c r="H105" s="864"/>
      <c r="I105" s="479"/>
      <c r="J105" s="479"/>
      <c r="K105" s="479"/>
      <c r="L105" s="479"/>
      <c r="M105" s="479"/>
      <c r="N105" s="479"/>
      <c r="P105" s="479"/>
      <c r="Q105" s="479"/>
      <c r="R105" s="479"/>
      <c r="S105" s="479"/>
      <c r="T105" s="479"/>
      <c r="U105" s="479"/>
      <c r="V105" s="479"/>
      <c r="W105" s="479"/>
      <c r="X105" s="479"/>
      <c r="Y105" s="479"/>
    </row>
    <row r="106" spans="2:35" x14ac:dyDescent="0.25">
      <c r="B106" s="1023">
        <v>800</v>
      </c>
      <c r="C106" s="13">
        <v>850</v>
      </c>
      <c r="D106" s="1023">
        <v>900</v>
      </c>
      <c r="E106" s="1023">
        <v>950</v>
      </c>
      <c r="F106" s="1023">
        <v>1000</v>
      </c>
      <c r="G106" s="1023">
        <v>9999999</v>
      </c>
      <c r="H106" s="864"/>
      <c r="I106" s="479"/>
      <c r="J106" s="479"/>
      <c r="K106" s="479"/>
      <c r="L106" s="479"/>
      <c r="M106" s="479"/>
      <c r="N106" s="479"/>
      <c r="P106" s="479"/>
      <c r="Q106" s="479"/>
      <c r="R106" s="479"/>
      <c r="S106" s="479"/>
      <c r="T106" s="479"/>
      <c r="U106" s="479"/>
      <c r="V106" s="479"/>
      <c r="W106" s="479"/>
      <c r="X106" s="479"/>
      <c r="Y106" s="479"/>
    </row>
    <row r="107" spans="2:35" x14ac:dyDescent="0.25">
      <c r="B107" s="1189">
        <v>1</v>
      </c>
      <c r="C107" s="1189">
        <v>0.8</v>
      </c>
      <c r="D107" s="1189">
        <v>0.6</v>
      </c>
      <c r="E107" s="1189">
        <v>0.4</v>
      </c>
      <c r="F107" s="1189">
        <v>0.2</v>
      </c>
      <c r="G107" s="1189">
        <v>0</v>
      </c>
      <c r="H107" s="1029">
        <f>IF(SUM(B104:G104)&gt;0,HLOOKUP(1,B104:G107,4,FALSE),0)</f>
        <v>0</v>
      </c>
      <c r="I107" s="479"/>
      <c r="J107" s="479"/>
      <c r="K107" s="479"/>
      <c r="L107" s="479"/>
      <c r="M107" s="479"/>
      <c r="N107" s="479"/>
      <c r="P107" s="479"/>
      <c r="Q107" s="479"/>
      <c r="R107" s="479"/>
      <c r="S107" s="479"/>
      <c r="T107" s="479"/>
      <c r="U107" s="479"/>
      <c r="V107" s="479"/>
      <c r="W107" s="479"/>
      <c r="X107" s="479"/>
      <c r="Y107" s="479"/>
    </row>
    <row r="108" spans="2:35" x14ac:dyDescent="0.25">
      <c r="E108" s="479"/>
      <c r="F108" s="479"/>
      <c r="G108" s="479"/>
      <c r="H108" s="479"/>
      <c r="I108" s="479"/>
      <c r="J108" s="479"/>
      <c r="K108" s="479"/>
      <c r="L108" s="479"/>
      <c r="M108" s="479"/>
      <c r="N108" s="479"/>
      <c r="P108" s="479"/>
      <c r="Q108" s="479"/>
      <c r="R108" s="479"/>
      <c r="S108" s="479"/>
      <c r="T108" s="479"/>
      <c r="U108" s="479"/>
      <c r="V108" s="479"/>
      <c r="W108" s="479"/>
      <c r="X108" s="479"/>
      <c r="Y108" s="479"/>
    </row>
    <row r="109" spans="2:35" x14ac:dyDescent="0.25">
      <c r="E109" s="479"/>
      <c r="F109" s="479"/>
      <c r="G109" s="479"/>
      <c r="H109" s="479"/>
      <c r="I109" s="479"/>
      <c r="J109" s="479"/>
      <c r="K109" s="479"/>
      <c r="L109" s="479"/>
      <c r="M109" s="479"/>
      <c r="N109" s="479"/>
      <c r="P109" s="479"/>
      <c r="Q109" s="479"/>
      <c r="R109" s="479"/>
      <c r="S109" s="479"/>
      <c r="T109" s="479"/>
      <c r="U109" s="479"/>
      <c r="V109" s="479"/>
      <c r="W109" s="479"/>
      <c r="X109" s="479"/>
      <c r="Y109" s="479"/>
    </row>
    <row r="110" spans="2:35" x14ac:dyDescent="0.25">
      <c r="E110" s="479"/>
      <c r="F110" s="479"/>
      <c r="G110" s="479"/>
      <c r="H110" s="479"/>
      <c r="I110" s="479"/>
      <c r="J110" s="479"/>
      <c r="K110" s="479"/>
      <c r="L110" s="479"/>
      <c r="M110" s="479"/>
      <c r="N110" s="479"/>
      <c r="P110" s="479"/>
      <c r="Q110" s="479"/>
      <c r="R110" s="479"/>
      <c r="S110" s="479"/>
      <c r="T110" s="479"/>
      <c r="U110" s="479"/>
      <c r="V110" s="479"/>
      <c r="W110" s="479"/>
      <c r="X110" s="479"/>
      <c r="Y110" s="479"/>
    </row>
    <row r="111" spans="2:35" x14ac:dyDescent="0.25">
      <c r="E111" s="479"/>
      <c r="F111" s="479"/>
      <c r="G111" s="479"/>
      <c r="H111" s="479"/>
      <c r="I111" s="479"/>
      <c r="J111" s="479"/>
      <c r="K111" s="479"/>
      <c r="L111" s="479"/>
      <c r="M111" s="479"/>
      <c r="N111" s="479"/>
      <c r="P111" s="479"/>
      <c r="Q111" s="479"/>
      <c r="R111" s="479"/>
      <c r="S111" s="479"/>
      <c r="T111" s="479"/>
      <c r="U111" s="479"/>
      <c r="V111" s="479"/>
      <c r="W111" s="479"/>
      <c r="X111" s="479"/>
      <c r="Y111" s="479"/>
    </row>
    <row r="112" spans="2:35" x14ac:dyDescent="0.25">
      <c r="E112" s="479"/>
      <c r="F112" s="479"/>
      <c r="G112" s="479"/>
      <c r="H112" s="479"/>
      <c r="I112" s="479"/>
      <c r="J112" s="479"/>
      <c r="K112" s="479"/>
      <c r="L112" s="479"/>
      <c r="M112" s="479"/>
      <c r="N112" s="479"/>
      <c r="P112" s="479"/>
      <c r="Q112" s="479"/>
      <c r="R112" s="479"/>
      <c r="S112" s="479"/>
      <c r="T112" s="479"/>
      <c r="U112" s="479"/>
      <c r="V112" s="479"/>
      <c r="W112" s="479"/>
      <c r="X112" s="479"/>
      <c r="Y112" s="479"/>
    </row>
    <row r="113" spans="5:25" x14ac:dyDescent="0.25">
      <c r="E113" s="479"/>
      <c r="F113" s="479"/>
      <c r="G113" s="479"/>
      <c r="H113" s="479"/>
      <c r="I113" s="479"/>
      <c r="J113" s="479"/>
      <c r="K113" s="479"/>
      <c r="L113" s="479"/>
      <c r="M113" s="479"/>
      <c r="N113" s="479"/>
      <c r="P113" s="479"/>
      <c r="Q113" s="479"/>
      <c r="R113" s="479"/>
      <c r="S113" s="479"/>
      <c r="T113" s="479"/>
      <c r="U113" s="479"/>
      <c r="V113" s="479"/>
      <c r="W113" s="479"/>
      <c r="X113" s="479"/>
      <c r="Y113" s="479"/>
    </row>
    <row r="114" spans="5:25" x14ac:dyDescent="0.25">
      <c r="E114" s="479"/>
      <c r="F114" s="479"/>
      <c r="G114" s="479"/>
      <c r="H114" s="479"/>
      <c r="I114" s="479"/>
      <c r="J114" s="479"/>
      <c r="K114" s="479"/>
      <c r="L114" s="479"/>
      <c r="M114" s="479"/>
      <c r="N114" s="479"/>
      <c r="P114" s="479"/>
      <c r="Q114" s="479"/>
      <c r="R114" s="479"/>
      <c r="S114" s="479"/>
      <c r="T114" s="479"/>
      <c r="U114" s="479"/>
      <c r="V114" s="479"/>
      <c r="W114" s="479"/>
      <c r="X114" s="479"/>
      <c r="Y114" s="479"/>
    </row>
    <row r="115" spans="5:25" x14ac:dyDescent="0.25">
      <c r="E115" s="479"/>
      <c r="F115" s="479"/>
      <c r="G115" s="479"/>
      <c r="H115" s="479"/>
      <c r="I115" s="479"/>
      <c r="J115" s="479"/>
      <c r="K115" s="479"/>
      <c r="L115" s="479"/>
      <c r="M115" s="479"/>
      <c r="N115" s="479"/>
      <c r="P115" s="479"/>
      <c r="Q115" s="479"/>
      <c r="R115" s="479"/>
      <c r="S115" s="479"/>
      <c r="T115" s="479"/>
      <c r="U115" s="479"/>
      <c r="V115" s="479"/>
      <c r="W115" s="479"/>
      <c r="X115" s="479"/>
      <c r="Y115" s="479"/>
    </row>
    <row r="116" spans="5:25" x14ac:dyDescent="0.25">
      <c r="E116" s="479"/>
      <c r="F116" s="479"/>
      <c r="G116" s="479"/>
      <c r="H116" s="479"/>
      <c r="I116" s="479"/>
      <c r="J116" s="479"/>
      <c r="K116" s="479"/>
      <c r="L116" s="479"/>
      <c r="M116" s="479"/>
      <c r="N116" s="479"/>
      <c r="P116" s="479"/>
      <c r="Q116" s="479"/>
      <c r="R116" s="479"/>
      <c r="S116" s="479"/>
      <c r="T116" s="479"/>
      <c r="U116" s="479"/>
      <c r="V116" s="479"/>
      <c r="W116" s="479"/>
      <c r="X116" s="479"/>
      <c r="Y116" s="479"/>
    </row>
    <row r="117" spans="5:25" x14ac:dyDescent="0.25">
      <c r="E117" s="479"/>
      <c r="F117" s="479"/>
      <c r="G117" s="479"/>
      <c r="H117" s="479"/>
      <c r="I117" s="479"/>
      <c r="J117" s="479"/>
      <c r="K117" s="479"/>
      <c r="L117" s="479"/>
      <c r="M117" s="479"/>
      <c r="N117" s="479"/>
      <c r="P117" s="479"/>
      <c r="Q117" s="479"/>
      <c r="R117" s="479"/>
      <c r="S117" s="479"/>
      <c r="T117" s="479"/>
      <c r="U117" s="479"/>
      <c r="V117" s="479"/>
      <c r="W117" s="479"/>
      <c r="X117" s="479"/>
      <c r="Y117" s="479"/>
    </row>
    <row r="118" spans="5:25" x14ac:dyDescent="0.25">
      <c r="E118" s="479"/>
      <c r="F118" s="479"/>
      <c r="G118" s="479"/>
      <c r="H118" s="479"/>
      <c r="I118" s="479"/>
      <c r="J118" s="479"/>
      <c r="K118" s="479"/>
      <c r="L118" s="479"/>
      <c r="M118" s="479"/>
      <c r="N118" s="479"/>
      <c r="P118" s="479"/>
      <c r="Q118" s="479"/>
      <c r="R118" s="479"/>
      <c r="S118" s="479"/>
      <c r="T118" s="479"/>
      <c r="U118" s="479"/>
      <c r="V118" s="479"/>
      <c r="W118" s="479"/>
      <c r="X118" s="479"/>
      <c r="Y118" s="479"/>
    </row>
  </sheetData>
  <mergeCells count="2">
    <mergeCell ref="C4:D4"/>
    <mergeCell ref="C5:D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ABAD-6CA9-4028-9BA4-596E9F82F145}">
  <sheetPr codeName="Blad8"/>
  <dimension ref="B1:AQ196"/>
  <sheetViews>
    <sheetView topLeftCell="A127" workbookViewId="0">
      <selection activeCell="G158" sqref="G158"/>
    </sheetView>
  </sheetViews>
  <sheetFormatPr defaultRowHeight="15" x14ac:dyDescent="0.25"/>
  <cols>
    <col min="2" max="2" customWidth="true" width="9.28515625"/>
    <col min="3" max="3" customWidth="true" width="31.5703125"/>
    <col min="4" max="4" bestFit="true" customWidth="true" width="9.42578125"/>
    <col min="12" max="12" style="468" width="9.140625"/>
    <col min="13" max="13" customWidth="true" width="10.85546875"/>
    <col min="14" max="14" bestFit="true" customWidth="true" style="2" width="9.42578125"/>
    <col min="15" max="15" customWidth="true" width="10.85546875"/>
    <col min="16" max="17" customWidth="true" width="10.28515625"/>
    <col min="22" max="22" customWidth="true" width="9.7109375"/>
    <col min="23" max="23" customWidth="true" width="10.0"/>
    <col min="29" max="29" bestFit="true" customWidth="true" width="16.7109375"/>
    <col min="36" max="36" customWidth="true" width="11.0"/>
  </cols>
  <sheetData>
    <row r="1" spans="3:29" x14ac:dyDescent="0.25">
      <c r="C1" t="s">
        <v>995</v>
      </c>
      <c r="D1" s="2">
        <f>IF(SUM(Rekenblad!C362:I362)=0,0,1)</f>
        <v>1</v>
      </c>
    </row>
    <row r="2" spans="3:29" x14ac:dyDescent="0.25">
      <c r="T2" s="2"/>
      <c r="U2" s="2"/>
      <c r="V2" s="2"/>
      <c r="W2" s="2"/>
      <c r="X2" s="2"/>
      <c r="Y2" s="2"/>
      <c r="Z2" s="2"/>
      <c r="AA2" s="2"/>
      <c r="AB2" s="2"/>
      <c r="AC2" s="2"/>
    </row>
    <row r="3" spans="3:29" x14ac:dyDescent="0.25">
      <c r="C3" t="s">
        <v>893</v>
      </c>
      <c r="D3" s="2">
        <f>Rekenblad!F108</f>
        <v>361</v>
      </c>
      <c r="E3" t="s">
        <v>25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3:29" x14ac:dyDescent="0.25">
      <c r="C4" t="s">
        <v>894</v>
      </c>
      <c r="D4" s="2">
        <f>Rekenblad!G108</f>
        <v>557</v>
      </c>
      <c r="E4" t="s">
        <v>25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3:29" x14ac:dyDescent="0.25">
      <c r="C5" t="s">
        <v>916</v>
      </c>
      <c r="D5" s="2">
        <f>(D3/1000)*(D4/1000)</f>
        <v>0.20107700000000001</v>
      </c>
      <c r="E5" t="s">
        <v>508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3:29" x14ac:dyDescent="0.25">
      <c r="D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3:29" x14ac:dyDescent="0.25">
      <c r="C7" s="473" t="s">
        <v>31</v>
      </c>
      <c r="D7" s="23" t="s">
        <v>912</v>
      </c>
      <c r="E7" s="472"/>
      <c r="F7" s="23"/>
      <c r="G7" s="47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3:29" x14ac:dyDescent="0.25">
      <c r="C8" s="431">
        <f>IF(AND($D$3&gt;E8,$D$3&lt;=F8),1,0)</f>
        <v>0</v>
      </c>
      <c r="D8" s="442">
        <f>IF(AND($D$4&gt;E8,$D$4&lt;=F8),1,0)</f>
        <v>0</v>
      </c>
      <c r="E8" s="854">
        <v>0</v>
      </c>
      <c r="F8" s="854">
        <v>100</v>
      </c>
      <c r="G8" s="857">
        <v>30</v>
      </c>
      <c r="T8" s="2"/>
      <c r="U8" s="2"/>
      <c r="V8" s="2"/>
      <c r="W8" s="2"/>
      <c r="X8" s="2"/>
      <c r="Y8" s="2"/>
      <c r="Z8" s="2"/>
      <c r="AA8" s="2"/>
      <c r="AB8" s="2"/>
      <c r="AC8" s="2"/>
    </row>
    <row r="9" spans="3:29" x14ac:dyDescent="0.25">
      <c r="C9" s="26">
        <f t="shared" ref="C9:C23" si="0">IF(AND($D$3&gt;E9,$D$3&lt;=F9),1,0)</f>
        <v>0</v>
      </c>
      <c r="D9" s="12">
        <f t="shared" ref="D9:D23" si="1">IF(AND($D$4&gt;E9,$D$4&lt;=F9),1,0)</f>
        <v>0</v>
      </c>
      <c r="E9" s="855">
        <v>100</v>
      </c>
      <c r="F9" s="855">
        <v>200</v>
      </c>
      <c r="G9" s="851">
        <v>40</v>
      </c>
      <c r="T9" s="2"/>
      <c r="U9" s="2"/>
      <c r="V9" s="2"/>
      <c r="W9" s="2"/>
      <c r="X9" s="2"/>
      <c r="Y9" s="2"/>
      <c r="Z9" s="2"/>
      <c r="AA9" s="2"/>
      <c r="AB9" s="2"/>
      <c r="AC9" s="2"/>
    </row>
    <row r="10" spans="3:29" x14ac:dyDescent="0.25">
      <c r="C10" s="26">
        <f t="shared" si="0"/>
        <v>0</v>
      </c>
      <c r="D10" s="12">
        <f t="shared" si="1"/>
        <v>0</v>
      </c>
      <c r="E10" s="855">
        <v>200</v>
      </c>
      <c r="F10" s="855">
        <v>300</v>
      </c>
      <c r="G10" s="851">
        <v>50</v>
      </c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3:29" x14ac:dyDescent="0.25">
      <c r="C11" s="26">
        <f t="shared" si="0"/>
        <v>1</v>
      </c>
      <c r="D11" s="12">
        <f t="shared" si="1"/>
        <v>0</v>
      </c>
      <c r="E11" s="855">
        <v>300</v>
      </c>
      <c r="F11" s="855">
        <v>400</v>
      </c>
      <c r="G11" s="851">
        <v>60</v>
      </c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3:29" x14ac:dyDescent="0.25">
      <c r="C12" s="26">
        <f t="shared" si="0"/>
        <v>0</v>
      </c>
      <c r="D12" s="12">
        <f t="shared" si="1"/>
        <v>0</v>
      </c>
      <c r="E12" s="855">
        <v>400</v>
      </c>
      <c r="F12" s="855">
        <v>500</v>
      </c>
      <c r="G12" s="851">
        <v>70</v>
      </c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3:29" x14ac:dyDescent="0.25">
      <c r="C13" s="26">
        <f t="shared" si="0"/>
        <v>0</v>
      </c>
      <c r="D13" s="12">
        <f t="shared" si="1"/>
        <v>1</v>
      </c>
      <c r="E13" s="855">
        <v>500</v>
      </c>
      <c r="F13" s="855">
        <v>600</v>
      </c>
      <c r="G13" s="851">
        <v>80</v>
      </c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3:29" x14ac:dyDescent="0.25">
      <c r="C14" s="26">
        <f t="shared" si="0"/>
        <v>0</v>
      </c>
      <c r="D14" s="12">
        <f t="shared" si="1"/>
        <v>0</v>
      </c>
      <c r="E14" s="855">
        <v>600</v>
      </c>
      <c r="F14" s="855">
        <v>700</v>
      </c>
      <c r="G14" s="851">
        <v>100</v>
      </c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3:29" x14ac:dyDescent="0.25">
      <c r="C15" s="26">
        <f t="shared" si="0"/>
        <v>0</v>
      </c>
      <c r="D15" s="12">
        <f t="shared" si="1"/>
        <v>0</v>
      </c>
      <c r="E15" s="855">
        <v>700</v>
      </c>
      <c r="F15" s="855">
        <v>800</v>
      </c>
      <c r="G15" s="851">
        <v>120</v>
      </c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3:29" x14ac:dyDescent="0.25">
      <c r="C16" s="26">
        <f t="shared" si="0"/>
        <v>0</v>
      </c>
      <c r="D16" s="12">
        <f t="shared" si="1"/>
        <v>0</v>
      </c>
      <c r="E16" s="855">
        <v>800</v>
      </c>
      <c r="F16" s="855">
        <v>900</v>
      </c>
      <c r="G16" s="851">
        <v>140</v>
      </c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3:29" x14ac:dyDescent="0.25">
      <c r="C17" s="26">
        <f t="shared" si="0"/>
        <v>0</v>
      </c>
      <c r="D17" s="12">
        <f t="shared" si="1"/>
        <v>0</v>
      </c>
      <c r="E17" s="855">
        <v>900</v>
      </c>
      <c r="F17" s="855">
        <v>1000</v>
      </c>
      <c r="G17" s="851">
        <v>160</v>
      </c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3:29" x14ac:dyDescent="0.25">
      <c r="C18" s="26">
        <f t="shared" si="0"/>
        <v>0</v>
      </c>
      <c r="D18" s="12">
        <f t="shared" si="1"/>
        <v>0</v>
      </c>
      <c r="E18" s="855">
        <v>1000</v>
      </c>
      <c r="F18" s="855">
        <v>1200</v>
      </c>
      <c r="G18" s="851">
        <v>180</v>
      </c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3:29" x14ac:dyDescent="0.25">
      <c r="C19" s="26">
        <f t="shared" si="0"/>
        <v>0</v>
      </c>
      <c r="D19" s="12">
        <f t="shared" si="1"/>
        <v>0</v>
      </c>
      <c r="E19" s="855">
        <v>1200</v>
      </c>
      <c r="F19" s="855">
        <v>1400</v>
      </c>
      <c r="G19" s="851">
        <v>190</v>
      </c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3:29" x14ac:dyDescent="0.25">
      <c r="C20" s="26">
        <f t="shared" si="0"/>
        <v>0</v>
      </c>
      <c r="D20" s="12">
        <f t="shared" si="1"/>
        <v>0</v>
      </c>
      <c r="E20" s="855">
        <v>1400</v>
      </c>
      <c r="F20" s="855">
        <v>1600</v>
      </c>
      <c r="G20" s="851">
        <v>200</v>
      </c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3:29" x14ac:dyDescent="0.25">
      <c r="C21" s="26">
        <f t="shared" si="0"/>
        <v>0</v>
      </c>
      <c r="D21" s="12">
        <f t="shared" si="1"/>
        <v>0</v>
      </c>
      <c r="E21" s="855">
        <v>1600</v>
      </c>
      <c r="F21" s="855">
        <v>1800</v>
      </c>
      <c r="G21" s="851">
        <v>210</v>
      </c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3:29" x14ac:dyDescent="0.25">
      <c r="C22" s="26">
        <f t="shared" si="0"/>
        <v>0</v>
      </c>
      <c r="D22" s="12">
        <f t="shared" si="1"/>
        <v>0</v>
      </c>
      <c r="E22" s="855">
        <v>1800</v>
      </c>
      <c r="F22" s="855">
        <v>2000</v>
      </c>
      <c r="G22" s="851">
        <v>220</v>
      </c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3:29" x14ac:dyDescent="0.25">
      <c r="C23" s="432">
        <f t="shared" si="0"/>
        <v>0</v>
      </c>
      <c r="D23" s="13">
        <f t="shared" si="1"/>
        <v>0</v>
      </c>
      <c r="E23" s="856">
        <v>2000</v>
      </c>
      <c r="F23" s="856">
        <v>99999</v>
      </c>
      <c r="G23" s="853">
        <v>240</v>
      </c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3:29" x14ac:dyDescent="0.25">
      <c r="C24" s="208">
        <f>VLOOKUP(1,C8:G23,5,FALSE)</f>
        <v>60</v>
      </c>
      <c r="D24" s="473">
        <f>VLOOKUP(1,D8:G23,4,FALSE)</f>
        <v>80</v>
      </c>
      <c r="E24" s="43"/>
      <c r="F24" s="23"/>
      <c r="G24" s="44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3:29" x14ac:dyDescent="0.25">
      <c r="D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3:29" x14ac:dyDescent="0.25">
      <c r="D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3:29" x14ac:dyDescent="0.25">
      <c r="D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3:29" x14ac:dyDescent="0.25">
      <c r="C28" s="213"/>
      <c r="D28" s="23"/>
      <c r="E28" s="873">
        <v>1</v>
      </c>
      <c r="F28" s="873">
        <v>2</v>
      </c>
      <c r="G28" s="873">
        <v>3</v>
      </c>
      <c r="H28" s="873">
        <v>4</v>
      </c>
      <c r="I28" s="873">
        <v>5</v>
      </c>
      <c r="J28" s="873">
        <v>6</v>
      </c>
      <c r="K28" s="873">
        <v>7</v>
      </c>
      <c r="L28" s="873">
        <v>8</v>
      </c>
      <c r="M28" s="873">
        <v>9</v>
      </c>
      <c r="N28" s="873">
        <v>10</v>
      </c>
      <c r="O28" s="873">
        <v>11</v>
      </c>
      <c r="P28" s="873">
        <v>12</v>
      </c>
      <c r="Q28" s="873">
        <v>13</v>
      </c>
      <c r="R28" s="873">
        <v>14</v>
      </c>
      <c r="S28" s="873">
        <v>15</v>
      </c>
      <c r="T28" s="873">
        <v>16</v>
      </c>
      <c r="U28" s="873">
        <v>17</v>
      </c>
      <c r="V28" s="873">
        <v>18</v>
      </c>
      <c r="W28" s="873">
        <v>19</v>
      </c>
      <c r="X28" s="873">
        <v>20</v>
      </c>
      <c r="Y28" s="873">
        <v>21</v>
      </c>
      <c r="Z28" s="873">
        <v>22</v>
      </c>
      <c r="AA28" s="873">
        <v>23</v>
      </c>
      <c r="AB28" s="873">
        <v>24</v>
      </c>
      <c r="AC28" s="874">
        <v>25</v>
      </c>
    </row>
    <row r="29" spans="3:29" x14ac:dyDescent="0.25">
      <c r="C29" s="845" t="s">
        <v>922</v>
      </c>
      <c r="D29" s="845" t="s">
        <v>898</v>
      </c>
      <c r="E29" s="845" t="s">
        <v>108</v>
      </c>
      <c r="F29" s="845" t="s">
        <v>61</v>
      </c>
      <c r="G29" s="846" t="s">
        <v>899</v>
      </c>
      <c r="H29" s="845" t="s">
        <v>898</v>
      </c>
      <c r="I29" s="845" t="s">
        <v>898</v>
      </c>
      <c r="J29" s="845" t="s">
        <v>898</v>
      </c>
      <c r="L29" s="859" t="s">
        <v>905</v>
      </c>
      <c r="M29" s="845" t="s">
        <v>907</v>
      </c>
      <c r="N29" s="442" t="s">
        <v>910</v>
      </c>
      <c r="O29" s="404" t="s">
        <v>911</v>
      </c>
      <c r="P29" s="442" t="s">
        <v>913</v>
      </c>
      <c r="Q29" s="442" t="s">
        <v>6</v>
      </c>
      <c r="S29" s="845" t="s">
        <v>906</v>
      </c>
      <c r="T29" s="845" t="s">
        <v>907</v>
      </c>
      <c r="U29" s="442" t="s">
        <v>801</v>
      </c>
      <c r="V29" s="404" t="s">
        <v>911</v>
      </c>
      <c r="W29" s="442" t="s">
        <v>913</v>
      </c>
      <c r="X29" s="442" t="s">
        <v>6</v>
      </c>
      <c r="Y29" s="2"/>
      <c r="Z29" s="442" t="s">
        <v>915</v>
      </c>
      <c r="AA29" s="442" t="s">
        <v>605</v>
      </c>
      <c r="AB29" s="442" t="s">
        <v>919</v>
      </c>
      <c r="AC29" s="442" t="s">
        <v>898</v>
      </c>
    </row>
    <row r="30" spans="3:29" x14ac:dyDescent="0.25">
      <c r="C30" s="848">
        <f>MAX(C31:C69)</f>
        <v>39</v>
      </c>
      <c r="D30" s="848" t="s">
        <v>900</v>
      </c>
      <c r="E30" s="848" t="s">
        <v>901</v>
      </c>
      <c r="F30" s="848" t="s">
        <v>810</v>
      </c>
      <c r="G30" s="849" t="s">
        <v>902</v>
      </c>
      <c r="H30" s="848" t="s">
        <v>903</v>
      </c>
      <c r="I30" s="848" t="s">
        <v>897</v>
      </c>
      <c r="J30" s="848" t="s">
        <v>904</v>
      </c>
      <c r="L30" s="342"/>
      <c r="M30" s="52"/>
      <c r="N30" s="13"/>
      <c r="O30" s="52"/>
      <c r="P30" s="13" t="s">
        <v>911</v>
      </c>
      <c r="Q30" s="13" t="s">
        <v>914</v>
      </c>
      <c r="S30" s="13"/>
      <c r="T30" s="52"/>
      <c r="U30" s="13"/>
      <c r="V30" s="52"/>
      <c r="W30" s="13" t="s">
        <v>911</v>
      </c>
      <c r="X30" s="13" t="s">
        <v>914</v>
      </c>
      <c r="Y30" s="2"/>
      <c r="Z30" s="13" t="s">
        <v>898</v>
      </c>
      <c r="AA30" s="13" t="s">
        <v>920</v>
      </c>
      <c r="AB30" s="13" t="s">
        <v>918</v>
      </c>
      <c r="AC30" s="13" t="s">
        <v>921</v>
      </c>
    </row>
    <row r="31" spans="3:29" x14ac:dyDescent="0.25">
      <c r="C31" s="845">
        <f>IF(Z31&gt;0,1,0)</f>
        <v>1</v>
      </c>
      <c r="D31" s="851">
        <v>10</v>
      </c>
      <c r="E31" s="845">
        <v>1</v>
      </c>
      <c r="F31" s="851">
        <v>1</v>
      </c>
      <c r="G31" s="851">
        <v>1200</v>
      </c>
      <c r="H31" s="851">
        <v>800</v>
      </c>
      <c r="I31" s="851">
        <v>1</v>
      </c>
      <c r="J31" s="851">
        <v>0</v>
      </c>
      <c r="L31" s="340">
        <f t="shared" ref="L31:L69" si="2">G31/$D$4</f>
        <v>2.1543985637342908</v>
      </c>
      <c r="M31" s="12">
        <f>FLOOR(L31,1)</f>
        <v>2</v>
      </c>
      <c r="N31" s="860">
        <f>(1-(L31-M31))</f>
        <v>0.84560143626570916</v>
      </c>
      <c r="O31" s="861">
        <f>$D$4-((L31-M31)*$D$4)</f>
        <v>471</v>
      </c>
      <c r="P31" s="846">
        <f>$D$24*2</f>
        <v>160</v>
      </c>
      <c r="Q31" s="861">
        <f>IF(P31&gt;=O31,M31+1,M31)</f>
        <v>2</v>
      </c>
      <c r="S31" s="340">
        <f t="shared" ref="S31:S69" si="3">H31/$D$3</f>
        <v>2.21606648199446</v>
      </c>
      <c r="T31" s="12">
        <f>FLOOR(S31,1)</f>
        <v>2</v>
      </c>
      <c r="U31" s="860">
        <f>(1-(S31-T31))</f>
        <v>0.78393351800554001</v>
      </c>
      <c r="V31" s="861">
        <f>$D$3-((S31-T31)*$D$3)</f>
        <v>282.99999999999994</v>
      </c>
      <c r="W31" s="846">
        <f>$C$24*2</f>
        <v>120</v>
      </c>
      <c r="X31" s="861">
        <f>IF(W31&gt;=V31,T31+1,T31)</f>
        <v>2</v>
      </c>
      <c r="Y31" s="2"/>
      <c r="Z31" s="12">
        <f>Q31*X31</f>
        <v>4</v>
      </c>
      <c r="AA31" s="12">
        <f>Z31*$D$5</f>
        <v>0.80430800000000002</v>
      </c>
      <c r="AB31" s="12">
        <f>(G31/1000)*(H31/1000)</f>
        <v>0.96</v>
      </c>
      <c r="AC31" s="864">
        <f>IF(Z31&gt;0,AA31/AB31,0)</f>
        <v>0.83782083333333335</v>
      </c>
    </row>
    <row r="32" spans="3:29" x14ac:dyDescent="0.25">
      <c r="C32" s="850">
        <f>IF(Z32&gt;0,MAX(C31)+1,0)</f>
        <v>2</v>
      </c>
      <c r="D32" s="851">
        <v>20</v>
      </c>
      <c r="E32" s="850">
        <v>2</v>
      </c>
      <c r="F32" s="851">
        <v>1</v>
      </c>
      <c r="G32" s="851">
        <v>1200</v>
      </c>
      <c r="H32" s="851">
        <v>1000</v>
      </c>
      <c r="I32" s="851">
        <v>0</v>
      </c>
      <c r="J32" s="851">
        <v>1</v>
      </c>
      <c r="L32" s="340">
        <f t="shared" si="2"/>
        <v>2.1543985637342908</v>
      </c>
      <c r="M32" s="12">
        <f t="shared" ref="M32:M69" si="4">FLOOR(L32,1)</f>
        <v>2</v>
      </c>
      <c r="N32" s="860">
        <f t="shared" ref="N32:N69" si="5">(1-(L32-M32))</f>
        <v>0.84560143626570916</v>
      </c>
      <c r="O32" s="861">
        <f>$D$4-((L32-M32)*$D$4)</f>
        <v>471</v>
      </c>
      <c r="P32" s="861">
        <f t="shared" ref="P32:P69" si="6">$D$24*2</f>
        <v>160</v>
      </c>
      <c r="Q32" s="861">
        <f t="shared" ref="Q32:Q69" si="7">IF(P32&gt;=O32,M32+1,M32)</f>
        <v>2</v>
      </c>
      <c r="S32" s="340">
        <f t="shared" si="3"/>
        <v>2.770083102493075</v>
      </c>
      <c r="T32" s="12">
        <f t="shared" ref="T32:T69" si="8">FLOOR(S32,1)</f>
        <v>2</v>
      </c>
      <c r="U32" s="860">
        <f t="shared" ref="U32:U69" si="9">(1-(S32-T32))</f>
        <v>0.22991689750692501</v>
      </c>
      <c r="V32" s="861">
        <f t="shared" ref="V32:V69" si="10">$D$3-((S32-T32)*$D$3)</f>
        <v>82.999999999999943</v>
      </c>
      <c r="W32" s="861">
        <f t="shared" ref="W32:W69" si="11">$C$24*2</f>
        <v>120</v>
      </c>
      <c r="X32" s="861">
        <f t="shared" ref="X32:X69" si="12">IF(W32&gt;=V32,T32+1,T32)</f>
        <v>3</v>
      </c>
      <c r="Y32" s="2"/>
      <c r="Z32" s="12">
        <f t="shared" ref="Z32:Z69" si="13">Q32*X32</f>
        <v>6</v>
      </c>
      <c r="AA32" s="12">
        <f>Z32*$D$5</f>
        <v>1.2064620000000001</v>
      </c>
      <c r="AB32" s="12">
        <f t="shared" ref="AB32:AB69" si="14">(G32/1000)*(H32/1000)</f>
        <v>1.2</v>
      </c>
      <c r="AC32" s="864">
        <f t="shared" ref="AC32:AC69" si="15">IF(Z32&gt;0,AA32/AB32,0)</f>
        <v>1.0053850000000002</v>
      </c>
    </row>
    <row r="33" spans="3:29" x14ac:dyDescent="0.25">
      <c r="C33" s="850">
        <f>IF(Z33&gt;0,MAX(C31:C32)+1,0)</f>
        <v>3</v>
      </c>
      <c r="D33" s="851">
        <v>10</v>
      </c>
      <c r="E33" s="850">
        <v>3</v>
      </c>
      <c r="F33" s="851">
        <v>2</v>
      </c>
      <c r="G33" s="852">
        <v>1600</v>
      </c>
      <c r="H33" s="851">
        <v>1200</v>
      </c>
      <c r="I33" s="851">
        <v>2</v>
      </c>
      <c r="J33" s="851">
        <v>0</v>
      </c>
      <c r="L33" s="340">
        <f t="shared" si="2"/>
        <v>2.8725314183123878</v>
      </c>
      <c r="M33" s="12">
        <f t="shared" si="4"/>
        <v>2</v>
      </c>
      <c r="N33" s="860">
        <f t="shared" si="5"/>
        <v>0.12746858168761221</v>
      </c>
      <c r="O33" s="861">
        <f t="shared" ref="O33:O68" si="16">$D$4-((L33-M33)*$D$4)</f>
        <v>71</v>
      </c>
      <c r="P33" s="861">
        <f t="shared" si="6"/>
        <v>160</v>
      </c>
      <c r="Q33" s="861">
        <f t="shared" si="7"/>
        <v>3</v>
      </c>
      <c r="S33" s="340">
        <f t="shared" si="3"/>
        <v>3.3240997229916895</v>
      </c>
      <c r="T33" s="12">
        <f t="shared" si="8"/>
        <v>3</v>
      </c>
      <c r="U33" s="860">
        <f t="shared" si="9"/>
        <v>0.67590027700831046</v>
      </c>
      <c r="V33" s="861">
        <f t="shared" si="10"/>
        <v>244.00000000000006</v>
      </c>
      <c r="W33" s="861">
        <f t="shared" si="11"/>
        <v>120</v>
      </c>
      <c r="X33" s="861">
        <f t="shared" si="12"/>
        <v>3</v>
      </c>
      <c r="Y33" s="2"/>
      <c r="Z33" s="12">
        <f t="shared" si="13"/>
        <v>9</v>
      </c>
      <c r="AA33" s="12">
        <f t="shared" ref="AA33:AA69" si="17">Z33*$D$5</f>
        <v>1.809693</v>
      </c>
      <c r="AB33" s="12">
        <f t="shared" si="14"/>
        <v>1.92</v>
      </c>
      <c r="AC33" s="864">
        <f t="shared" si="15"/>
        <v>0.94254843750000006</v>
      </c>
    </row>
    <row r="34" spans="3:29" x14ac:dyDescent="0.25">
      <c r="C34" s="850">
        <f>IF(Z34&gt;0,MAX(C31:C33)+1,0)</f>
        <v>4</v>
      </c>
      <c r="D34" s="851">
        <v>10</v>
      </c>
      <c r="E34" s="850">
        <v>4</v>
      </c>
      <c r="F34" s="851">
        <v>2</v>
      </c>
      <c r="G34" s="851">
        <v>2400</v>
      </c>
      <c r="H34" s="851">
        <v>800</v>
      </c>
      <c r="I34" s="851">
        <v>2</v>
      </c>
      <c r="J34" s="851">
        <v>0</v>
      </c>
      <c r="L34" s="340">
        <f t="shared" si="2"/>
        <v>4.3087971274685817</v>
      </c>
      <c r="M34" s="12">
        <f t="shared" si="4"/>
        <v>4</v>
      </c>
      <c r="N34" s="860">
        <f t="shared" si="5"/>
        <v>0.69120287253141832</v>
      </c>
      <c r="O34" s="861">
        <f t="shared" si="16"/>
        <v>385</v>
      </c>
      <c r="P34" s="861">
        <f t="shared" si="6"/>
        <v>160</v>
      </c>
      <c r="Q34" s="861">
        <f t="shared" si="7"/>
        <v>4</v>
      </c>
      <c r="S34" s="340">
        <f t="shared" si="3"/>
        <v>2.21606648199446</v>
      </c>
      <c r="T34" s="12">
        <f t="shared" si="8"/>
        <v>2</v>
      </c>
      <c r="U34" s="860">
        <f t="shared" si="9"/>
        <v>0.78393351800554001</v>
      </c>
      <c r="V34" s="861">
        <f t="shared" si="10"/>
        <v>282.99999999999994</v>
      </c>
      <c r="W34" s="861">
        <f t="shared" si="11"/>
        <v>120</v>
      </c>
      <c r="X34" s="861">
        <f t="shared" si="12"/>
        <v>2</v>
      </c>
      <c r="Y34" s="2"/>
      <c r="Z34" s="12">
        <f t="shared" si="13"/>
        <v>8</v>
      </c>
      <c r="AA34" s="12">
        <f t="shared" si="17"/>
        <v>1.608616</v>
      </c>
      <c r="AB34" s="12">
        <f t="shared" si="14"/>
        <v>1.92</v>
      </c>
      <c r="AC34" s="864">
        <f t="shared" si="15"/>
        <v>0.83782083333333335</v>
      </c>
    </row>
    <row r="35" spans="3:29" x14ac:dyDescent="0.25">
      <c r="C35" s="850">
        <f>IF(Z35&gt;0,MAX(C31:C34)+1,0)</f>
        <v>5</v>
      </c>
      <c r="D35" s="851">
        <v>20</v>
      </c>
      <c r="E35" s="850">
        <v>5</v>
      </c>
      <c r="F35" s="851">
        <v>2</v>
      </c>
      <c r="G35" s="851">
        <v>2000</v>
      </c>
      <c r="H35" s="851">
        <v>1200</v>
      </c>
      <c r="I35" s="851">
        <v>0</v>
      </c>
      <c r="J35" s="851">
        <v>2</v>
      </c>
      <c r="L35" s="340">
        <f t="shared" si="2"/>
        <v>3.5906642728904847</v>
      </c>
      <c r="M35" s="12">
        <f t="shared" si="4"/>
        <v>3</v>
      </c>
      <c r="N35" s="860">
        <f t="shared" si="5"/>
        <v>0.40933572710951527</v>
      </c>
      <c r="O35" s="861">
        <f t="shared" si="16"/>
        <v>228</v>
      </c>
      <c r="P35" s="861">
        <f t="shared" si="6"/>
        <v>160</v>
      </c>
      <c r="Q35" s="861">
        <f t="shared" si="7"/>
        <v>3</v>
      </c>
      <c r="S35" s="340">
        <f t="shared" si="3"/>
        <v>3.3240997229916895</v>
      </c>
      <c r="T35" s="12">
        <f t="shared" si="8"/>
        <v>3</v>
      </c>
      <c r="U35" s="860">
        <f t="shared" si="9"/>
        <v>0.67590027700831046</v>
      </c>
      <c r="V35" s="861">
        <f t="shared" si="10"/>
        <v>244.00000000000006</v>
      </c>
      <c r="W35" s="861">
        <f t="shared" si="11"/>
        <v>120</v>
      </c>
      <c r="X35" s="861">
        <f t="shared" si="12"/>
        <v>3</v>
      </c>
      <c r="Y35" s="2"/>
      <c r="Z35" s="12">
        <f t="shared" si="13"/>
        <v>9</v>
      </c>
      <c r="AA35" s="12">
        <f t="shared" si="17"/>
        <v>1.809693</v>
      </c>
      <c r="AB35" s="12">
        <f t="shared" si="14"/>
        <v>2.4</v>
      </c>
      <c r="AC35" s="864">
        <f t="shared" si="15"/>
        <v>0.75403874999999998</v>
      </c>
    </row>
    <row r="36" spans="3:29" x14ac:dyDescent="0.25">
      <c r="C36" s="850">
        <f>IF(Z36&gt;0,MAX(C31:C35)+1,0)</f>
        <v>6</v>
      </c>
      <c r="D36" s="851">
        <v>20</v>
      </c>
      <c r="E36" s="850">
        <v>6</v>
      </c>
      <c r="F36" s="851">
        <v>2</v>
      </c>
      <c r="G36" s="851">
        <v>2400</v>
      </c>
      <c r="H36" s="851">
        <v>1000</v>
      </c>
      <c r="I36" s="851">
        <v>0</v>
      </c>
      <c r="J36" s="851">
        <v>2</v>
      </c>
      <c r="L36" s="340">
        <f t="shared" si="2"/>
        <v>4.3087971274685817</v>
      </c>
      <c r="M36" s="12">
        <f t="shared" si="4"/>
        <v>4</v>
      </c>
      <c r="N36" s="860">
        <f t="shared" si="5"/>
        <v>0.69120287253141832</v>
      </c>
      <c r="O36" s="861">
        <f t="shared" si="16"/>
        <v>385</v>
      </c>
      <c r="P36" s="861">
        <f t="shared" si="6"/>
        <v>160</v>
      </c>
      <c r="Q36" s="861">
        <f t="shared" si="7"/>
        <v>4</v>
      </c>
      <c r="S36" s="340">
        <f t="shared" si="3"/>
        <v>2.770083102493075</v>
      </c>
      <c r="T36" s="12">
        <f t="shared" si="8"/>
        <v>2</v>
      </c>
      <c r="U36" s="860">
        <f t="shared" si="9"/>
        <v>0.22991689750692501</v>
      </c>
      <c r="V36" s="861">
        <f t="shared" si="10"/>
        <v>82.999999999999943</v>
      </c>
      <c r="W36" s="861">
        <f t="shared" si="11"/>
        <v>120</v>
      </c>
      <c r="X36" s="861">
        <f t="shared" si="12"/>
        <v>3</v>
      </c>
      <c r="Y36" s="2"/>
      <c r="Z36" s="12">
        <f t="shared" si="13"/>
        <v>12</v>
      </c>
      <c r="AA36" s="12">
        <f t="shared" si="17"/>
        <v>2.4129240000000003</v>
      </c>
      <c r="AB36" s="12">
        <f t="shared" si="14"/>
        <v>2.4</v>
      </c>
      <c r="AC36" s="864">
        <f t="shared" si="15"/>
        <v>1.0053850000000002</v>
      </c>
    </row>
    <row r="37" spans="3:29" x14ac:dyDescent="0.25">
      <c r="C37" s="850">
        <f>IF(Z37&gt;0,MAX(C31:C36)+1,0)</f>
        <v>7</v>
      </c>
      <c r="D37" s="851">
        <v>10</v>
      </c>
      <c r="E37" s="850">
        <v>7</v>
      </c>
      <c r="F37" s="851">
        <v>3</v>
      </c>
      <c r="G37" s="851">
        <v>2400</v>
      </c>
      <c r="H37" s="851">
        <v>1200</v>
      </c>
      <c r="I37" s="851">
        <v>3</v>
      </c>
      <c r="J37" s="851">
        <v>0</v>
      </c>
      <c r="L37" s="340">
        <f t="shared" si="2"/>
        <v>4.3087971274685817</v>
      </c>
      <c r="M37" s="12">
        <f t="shared" si="4"/>
        <v>4</v>
      </c>
      <c r="N37" s="860">
        <f t="shared" si="5"/>
        <v>0.69120287253141832</v>
      </c>
      <c r="O37" s="861">
        <f t="shared" si="16"/>
        <v>385</v>
      </c>
      <c r="P37" s="861">
        <f t="shared" si="6"/>
        <v>160</v>
      </c>
      <c r="Q37" s="861">
        <f t="shared" si="7"/>
        <v>4</v>
      </c>
      <c r="S37" s="340">
        <f t="shared" si="3"/>
        <v>3.3240997229916895</v>
      </c>
      <c r="T37" s="12">
        <f t="shared" si="8"/>
        <v>3</v>
      </c>
      <c r="U37" s="860">
        <f t="shared" si="9"/>
        <v>0.67590027700831046</v>
      </c>
      <c r="V37" s="861">
        <f t="shared" si="10"/>
        <v>244.00000000000006</v>
      </c>
      <c r="W37" s="861">
        <f t="shared" si="11"/>
        <v>120</v>
      </c>
      <c r="X37" s="861">
        <f t="shared" si="12"/>
        <v>3</v>
      </c>
      <c r="Y37" s="2"/>
      <c r="Z37" s="12">
        <f t="shared" si="13"/>
        <v>12</v>
      </c>
      <c r="AA37" s="12">
        <f t="shared" si="17"/>
        <v>2.4129240000000003</v>
      </c>
      <c r="AB37" s="12">
        <f t="shared" si="14"/>
        <v>2.88</v>
      </c>
      <c r="AC37" s="864">
        <f t="shared" si="15"/>
        <v>0.83782083333333346</v>
      </c>
    </row>
    <row r="38" spans="3:29" x14ac:dyDescent="0.25">
      <c r="C38" s="850">
        <f>IF(Z38&gt;0,MAX(C31:C37)+1,0)</f>
        <v>8</v>
      </c>
      <c r="D38" s="851">
        <v>10</v>
      </c>
      <c r="E38" s="850">
        <v>8</v>
      </c>
      <c r="F38" s="851">
        <v>3</v>
      </c>
      <c r="G38" s="851">
        <v>3600</v>
      </c>
      <c r="H38" s="851">
        <v>800</v>
      </c>
      <c r="I38" s="851">
        <v>3</v>
      </c>
      <c r="J38" s="851">
        <v>0</v>
      </c>
      <c r="L38" s="340">
        <f t="shared" si="2"/>
        <v>6.4631956912028725</v>
      </c>
      <c r="M38" s="12">
        <f t="shared" si="4"/>
        <v>6</v>
      </c>
      <c r="N38" s="860">
        <f t="shared" si="5"/>
        <v>0.53680430879712748</v>
      </c>
      <c r="O38" s="861">
        <f t="shared" si="16"/>
        <v>299</v>
      </c>
      <c r="P38" s="861">
        <f t="shared" si="6"/>
        <v>160</v>
      </c>
      <c r="Q38" s="861">
        <f t="shared" si="7"/>
        <v>6</v>
      </c>
      <c r="S38" s="340">
        <f t="shared" si="3"/>
        <v>2.21606648199446</v>
      </c>
      <c r="T38" s="12">
        <f t="shared" si="8"/>
        <v>2</v>
      </c>
      <c r="U38" s="860">
        <f t="shared" si="9"/>
        <v>0.78393351800554001</v>
      </c>
      <c r="V38" s="861">
        <f t="shared" si="10"/>
        <v>282.99999999999994</v>
      </c>
      <c r="W38" s="861">
        <f t="shared" si="11"/>
        <v>120</v>
      </c>
      <c r="X38" s="861">
        <f t="shared" si="12"/>
        <v>2</v>
      </c>
      <c r="Y38" s="2"/>
      <c r="Z38" s="12">
        <f t="shared" si="13"/>
        <v>12</v>
      </c>
      <c r="AA38" s="12">
        <f t="shared" si="17"/>
        <v>2.4129240000000003</v>
      </c>
      <c r="AB38" s="12">
        <f t="shared" si="14"/>
        <v>2.8800000000000003</v>
      </c>
      <c r="AC38" s="864">
        <f t="shared" si="15"/>
        <v>0.83782083333333335</v>
      </c>
    </row>
    <row r="39" spans="3:29" x14ac:dyDescent="0.25">
      <c r="C39" s="850">
        <f>IF(Z39&gt;0,MAX(C31:C38)+1,0)</f>
        <v>9</v>
      </c>
      <c r="D39" s="851">
        <v>20</v>
      </c>
      <c r="E39" s="850">
        <v>9</v>
      </c>
      <c r="F39" s="851">
        <v>3</v>
      </c>
      <c r="G39" s="851">
        <v>3000</v>
      </c>
      <c r="H39" s="851">
        <v>1200</v>
      </c>
      <c r="I39" s="851">
        <v>0</v>
      </c>
      <c r="J39" s="851">
        <v>3</v>
      </c>
      <c r="L39" s="340">
        <f t="shared" si="2"/>
        <v>5.3859964093357275</v>
      </c>
      <c r="M39" s="12">
        <f t="shared" si="4"/>
        <v>5</v>
      </c>
      <c r="N39" s="860">
        <f t="shared" si="5"/>
        <v>0.61400359066427246</v>
      </c>
      <c r="O39" s="861">
        <f t="shared" si="16"/>
        <v>341.99999999999977</v>
      </c>
      <c r="P39" s="861">
        <f t="shared" si="6"/>
        <v>160</v>
      </c>
      <c r="Q39" s="861">
        <f t="shared" si="7"/>
        <v>5</v>
      </c>
      <c r="S39" s="340">
        <f t="shared" si="3"/>
        <v>3.3240997229916895</v>
      </c>
      <c r="T39" s="12">
        <f t="shared" si="8"/>
        <v>3</v>
      </c>
      <c r="U39" s="860">
        <f t="shared" si="9"/>
        <v>0.67590027700831046</v>
      </c>
      <c r="V39" s="861">
        <f t="shared" si="10"/>
        <v>244.00000000000006</v>
      </c>
      <c r="W39" s="861">
        <f t="shared" si="11"/>
        <v>120</v>
      </c>
      <c r="X39" s="861">
        <f t="shared" si="12"/>
        <v>3</v>
      </c>
      <c r="Y39" s="2"/>
      <c r="Z39" s="12">
        <f t="shared" si="13"/>
        <v>15</v>
      </c>
      <c r="AA39" s="12">
        <f t="shared" si="17"/>
        <v>3.0161549999999999</v>
      </c>
      <c r="AB39" s="12">
        <f t="shared" si="14"/>
        <v>3.5999999999999996</v>
      </c>
      <c r="AC39" s="864">
        <f t="shared" si="15"/>
        <v>0.83782083333333335</v>
      </c>
    </row>
    <row r="40" spans="3:29" x14ac:dyDescent="0.25">
      <c r="C40" s="850">
        <f>IF(Z40&gt;0,MAX(C31:C39)+1,0)</f>
        <v>10</v>
      </c>
      <c r="D40" s="851">
        <v>20</v>
      </c>
      <c r="E40" s="850">
        <v>10</v>
      </c>
      <c r="F40" s="851">
        <v>3</v>
      </c>
      <c r="G40" s="851">
        <v>3600</v>
      </c>
      <c r="H40" s="851">
        <v>1000</v>
      </c>
      <c r="I40" s="851">
        <v>0</v>
      </c>
      <c r="J40" s="851">
        <v>3</v>
      </c>
      <c r="L40" s="340">
        <f t="shared" si="2"/>
        <v>6.4631956912028725</v>
      </c>
      <c r="M40" s="12">
        <f t="shared" si="4"/>
        <v>6</v>
      </c>
      <c r="N40" s="860">
        <f t="shared" si="5"/>
        <v>0.53680430879712748</v>
      </c>
      <c r="O40" s="861">
        <f t="shared" si="16"/>
        <v>299</v>
      </c>
      <c r="P40" s="861">
        <f t="shared" si="6"/>
        <v>160</v>
      </c>
      <c r="Q40" s="861">
        <f t="shared" si="7"/>
        <v>6</v>
      </c>
      <c r="S40" s="340">
        <f t="shared" si="3"/>
        <v>2.770083102493075</v>
      </c>
      <c r="T40" s="12">
        <f t="shared" si="8"/>
        <v>2</v>
      </c>
      <c r="U40" s="860">
        <f t="shared" si="9"/>
        <v>0.22991689750692501</v>
      </c>
      <c r="V40" s="861">
        <f t="shared" si="10"/>
        <v>82.999999999999943</v>
      </c>
      <c r="W40" s="861">
        <f t="shared" si="11"/>
        <v>120</v>
      </c>
      <c r="X40" s="861">
        <f t="shared" si="12"/>
        <v>3</v>
      </c>
      <c r="Y40" s="2"/>
      <c r="Z40" s="12">
        <f t="shared" si="13"/>
        <v>18</v>
      </c>
      <c r="AA40" s="12">
        <f t="shared" si="17"/>
        <v>3.619386</v>
      </c>
      <c r="AB40" s="12">
        <f t="shared" si="14"/>
        <v>3.6</v>
      </c>
      <c r="AC40" s="864">
        <f t="shared" si="15"/>
        <v>1.005385</v>
      </c>
    </row>
    <row r="41" spans="3:29" x14ac:dyDescent="0.25">
      <c r="C41" s="850">
        <f>IF(Z41&gt;0,MAX(C31:C40)+1,0)</f>
        <v>11</v>
      </c>
      <c r="D41" s="851">
        <v>10</v>
      </c>
      <c r="E41" s="850">
        <v>11</v>
      </c>
      <c r="F41" s="851">
        <v>4</v>
      </c>
      <c r="G41" s="851">
        <v>2400</v>
      </c>
      <c r="H41" s="851">
        <v>1600</v>
      </c>
      <c r="I41" s="851">
        <v>4</v>
      </c>
      <c r="J41" s="851">
        <v>0</v>
      </c>
      <c r="L41" s="340">
        <f t="shared" si="2"/>
        <v>4.3087971274685817</v>
      </c>
      <c r="M41" s="12">
        <f t="shared" si="4"/>
        <v>4</v>
      </c>
      <c r="N41" s="860">
        <f t="shared" si="5"/>
        <v>0.69120287253141832</v>
      </c>
      <c r="O41" s="861">
        <f t="shared" si="16"/>
        <v>385</v>
      </c>
      <c r="P41" s="861">
        <f t="shared" si="6"/>
        <v>160</v>
      </c>
      <c r="Q41" s="861">
        <f t="shared" si="7"/>
        <v>4</v>
      </c>
      <c r="S41" s="340">
        <f t="shared" si="3"/>
        <v>4.43213296398892</v>
      </c>
      <c r="T41" s="12">
        <f t="shared" si="8"/>
        <v>4</v>
      </c>
      <c r="U41" s="860">
        <f t="shared" si="9"/>
        <v>0.56786703601108002</v>
      </c>
      <c r="V41" s="861">
        <f t="shared" si="10"/>
        <v>204.99999999999989</v>
      </c>
      <c r="W41" s="861">
        <f t="shared" si="11"/>
        <v>120</v>
      </c>
      <c r="X41" s="861">
        <f t="shared" si="12"/>
        <v>4</v>
      </c>
      <c r="Y41" s="2"/>
      <c r="Z41" s="12">
        <f t="shared" si="13"/>
        <v>16</v>
      </c>
      <c r="AA41" s="12">
        <f t="shared" si="17"/>
        <v>3.2172320000000001</v>
      </c>
      <c r="AB41" s="12">
        <f t="shared" si="14"/>
        <v>3.84</v>
      </c>
      <c r="AC41" s="864">
        <f t="shared" si="15"/>
        <v>0.83782083333333335</v>
      </c>
    </row>
    <row r="42" spans="3:29" x14ac:dyDescent="0.25">
      <c r="C42" s="850">
        <f>IF(Z42&gt;0,MAX(C31:C41)+1,0)</f>
        <v>12</v>
      </c>
      <c r="D42" s="851">
        <v>10</v>
      </c>
      <c r="E42" s="850">
        <v>12</v>
      </c>
      <c r="F42" s="851">
        <v>4</v>
      </c>
      <c r="G42" s="851">
        <v>3200</v>
      </c>
      <c r="H42" s="851">
        <v>1200</v>
      </c>
      <c r="I42" s="851">
        <v>4</v>
      </c>
      <c r="J42" s="851">
        <v>0</v>
      </c>
      <c r="L42" s="340">
        <f t="shared" si="2"/>
        <v>5.7450628366247756</v>
      </c>
      <c r="M42" s="12">
        <f t="shared" si="4"/>
        <v>5</v>
      </c>
      <c r="N42" s="860">
        <f t="shared" si="5"/>
        <v>0.25493716337522443</v>
      </c>
      <c r="O42" s="861">
        <f t="shared" si="16"/>
        <v>142</v>
      </c>
      <c r="P42" s="861">
        <f t="shared" si="6"/>
        <v>160</v>
      </c>
      <c r="Q42" s="861">
        <f t="shared" si="7"/>
        <v>6</v>
      </c>
      <c r="S42" s="340">
        <f t="shared" si="3"/>
        <v>3.3240997229916895</v>
      </c>
      <c r="T42" s="12">
        <f t="shared" si="8"/>
        <v>3</v>
      </c>
      <c r="U42" s="860">
        <f t="shared" si="9"/>
        <v>0.67590027700831046</v>
      </c>
      <c r="V42" s="861">
        <f t="shared" si="10"/>
        <v>244.00000000000006</v>
      </c>
      <c r="W42" s="861">
        <f t="shared" si="11"/>
        <v>120</v>
      </c>
      <c r="X42" s="861">
        <f t="shared" si="12"/>
        <v>3</v>
      </c>
      <c r="Y42" s="2"/>
      <c r="Z42" s="12">
        <f t="shared" si="13"/>
        <v>18</v>
      </c>
      <c r="AA42" s="12">
        <f t="shared" si="17"/>
        <v>3.619386</v>
      </c>
      <c r="AB42" s="12">
        <f t="shared" si="14"/>
        <v>3.84</v>
      </c>
      <c r="AC42" s="864">
        <f t="shared" si="15"/>
        <v>0.94254843750000006</v>
      </c>
    </row>
    <row r="43" spans="3:29" x14ac:dyDescent="0.25">
      <c r="C43" s="850">
        <f>IF(Z43&gt;0,MAX(C31:C42)+1,0)</f>
        <v>13</v>
      </c>
      <c r="D43" s="851">
        <v>10</v>
      </c>
      <c r="E43" s="850">
        <v>13</v>
      </c>
      <c r="F43" s="851">
        <v>4</v>
      </c>
      <c r="G43" s="851">
        <v>4800</v>
      </c>
      <c r="H43" s="851">
        <v>800</v>
      </c>
      <c r="I43" s="851">
        <v>4</v>
      </c>
      <c r="J43" s="851">
        <v>0</v>
      </c>
      <c r="L43" s="340">
        <f t="shared" si="2"/>
        <v>8.6175942549371634</v>
      </c>
      <c r="M43" s="12">
        <f t="shared" si="4"/>
        <v>8</v>
      </c>
      <c r="N43" s="860">
        <f t="shared" si="5"/>
        <v>0.38240574506283664</v>
      </c>
      <c r="O43" s="861">
        <f t="shared" si="16"/>
        <v>213</v>
      </c>
      <c r="P43" s="861">
        <f t="shared" si="6"/>
        <v>160</v>
      </c>
      <c r="Q43" s="861">
        <f t="shared" si="7"/>
        <v>8</v>
      </c>
      <c r="S43" s="340">
        <f t="shared" si="3"/>
        <v>2.21606648199446</v>
      </c>
      <c r="T43" s="12">
        <f t="shared" si="8"/>
        <v>2</v>
      </c>
      <c r="U43" s="860">
        <f t="shared" si="9"/>
        <v>0.78393351800554001</v>
      </c>
      <c r="V43" s="861">
        <f t="shared" si="10"/>
        <v>282.99999999999994</v>
      </c>
      <c r="W43" s="861">
        <f t="shared" si="11"/>
        <v>120</v>
      </c>
      <c r="X43" s="861">
        <f t="shared" si="12"/>
        <v>2</v>
      </c>
      <c r="Y43" s="2"/>
      <c r="Z43" s="12">
        <f t="shared" si="13"/>
        <v>16</v>
      </c>
      <c r="AA43" s="12">
        <f t="shared" si="17"/>
        <v>3.2172320000000001</v>
      </c>
      <c r="AB43" s="12">
        <f t="shared" si="14"/>
        <v>3.84</v>
      </c>
      <c r="AC43" s="864">
        <f t="shared" si="15"/>
        <v>0.83782083333333335</v>
      </c>
    </row>
    <row r="44" spans="3:29" x14ac:dyDescent="0.25">
      <c r="C44" s="850">
        <f>IF(Z44&gt;0,MAX(C31:C43)+1,0)</f>
        <v>14</v>
      </c>
      <c r="D44" s="851">
        <v>20</v>
      </c>
      <c r="E44" s="850">
        <v>14</v>
      </c>
      <c r="F44" s="851">
        <v>4</v>
      </c>
      <c r="G44" s="851">
        <v>2400</v>
      </c>
      <c r="H44" s="851">
        <v>2000</v>
      </c>
      <c r="I44" s="851">
        <v>0</v>
      </c>
      <c r="J44" s="851">
        <v>4</v>
      </c>
      <c r="L44" s="340">
        <f t="shared" si="2"/>
        <v>4.3087971274685817</v>
      </c>
      <c r="M44" s="12">
        <f t="shared" si="4"/>
        <v>4</v>
      </c>
      <c r="N44" s="860">
        <f t="shared" si="5"/>
        <v>0.69120287253141832</v>
      </c>
      <c r="O44" s="861">
        <f t="shared" si="16"/>
        <v>385</v>
      </c>
      <c r="P44" s="861">
        <f t="shared" si="6"/>
        <v>160</v>
      </c>
      <c r="Q44" s="861">
        <f t="shared" si="7"/>
        <v>4</v>
      </c>
      <c r="S44" s="340">
        <f t="shared" si="3"/>
        <v>5.54016620498615</v>
      </c>
      <c r="T44" s="12">
        <f t="shared" si="8"/>
        <v>5</v>
      </c>
      <c r="U44" s="860">
        <f t="shared" si="9"/>
        <v>0.45983379501385002</v>
      </c>
      <c r="V44" s="861">
        <f t="shared" si="10"/>
        <v>165.99999999999986</v>
      </c>
      <c r="W44" s="861">
        <f t="shared" si="11"/>
        <v>120</v>
      </c>
      <c r="X44" s="861">
        <f t="shared" si="12"/>
        <v>5</v>
      </c>
      <c r="Y44" s="2"/>
      <c r="Z44" s="12">
        <f t="shared" si="13"/>
        <v>20</v>
      </c>
      <c r="AA44" s="12">
        <f t="shared" si="17"/>
        <v>4.0215399999999999</v>
      </c>
      <c r="AB44" s="12">
        <f t="shared" si="14"/>
        <v>4.8</v>
      </c>
      <c r="AC44" s="864">
        <f t="shared" si="15"/>
        <v>0.83782083333333335</v>
      </c>
    </row>
    <row r="45" spans="3:29" x14ac:dyDescent="0.25">
      <c r="C45" s="850">
        <f>IF(Z45&gt;0,MAX(C31:C44)+1,0)</f>
        <v>15</v>
      </c>
      <c r="D45" s="851">
        <v>20</v>
      </c>
      <c r="E45" s="850">
        <v>15</v>
      </c>
      <c r="F45" s="851">
        <v>4</v>
      </c>
      <c r="G45" s="851">
        <v>4000</v>
      </c>
      <c r="H45" s="851">
        <v>1200</v>
      </c>
      <c r="I45" s="851">
        <v>0</v>
      </c>
      <c r="J45" s="851">
        <v>4</v>
      </c>
      <c r="L45" s="340">
        <f t="shared" si="2"/>
        <v>7.1813285457809695</v>
      </c>
      <c r="M45" s="12">
        <f t="shared" si="4"/>
        <v>7</v>
      </c>
      <c r="N45" s="860">
        <f t="shared" si="5"/>
        <v>0.81867145421903054</v>
      </c>
      <c r="O45" s="861">
        <f t="shared" si="16"/>
        <v>456</v>
      </c>
      <c r="P45" s="861">
        <f t="shared" si="6"/>
        <v>160</v>
      </c>
      <c r="Q45" s="861">
        <f t="shared" si="7"/>
        <v>7</v>
      </c>
      <c r="S45" s="340">
        <f t="shared" si="3"/>
        <v>3.3240997229916895</v>
      </c>
      <c r="T45" s="12">
        <f t="shared" si="8"/>
        <v>3</v>
      </c>
      <c r="U45" s="860">
        <f t="shared" si="9"/>
        <v>0.67590027700831046</v>
      </c>
      <c r="V45" s="861">
        <f t="shared" si="10"/>
        <v>244.00000000000006</v>
      </c>
      <c r="W45" s="861">
        <f t="shared" si="11"/>
        <v>120</v>
      </c>
      <c r="X45" s="861">
        <f t="shared" si="12"/>
        <v>3</v>
      </c>
      <c r="Y45" s="2"/>
      <c r="Z45" s="12">
        <f t="shared" si="13"/>
        <v>21</v>
      </c>
      <c r="AA45" s="12">
        <f t="shared" si="17"/>
        <v>4.2226170000000005</v>
      </c>
      <c r="AB45" s="12">
        <f t="shared" si="14"/>
        <v>4.8</v>
      </c>
      <c r="AC45" s="864">
        <f t="shared" si="15"/>
        <v>0.87971187500000014</v>
      </c>
    </row>
    <row r="46" spans="3:29" x14ac:dyDescent="0.25">
      <c r="C46" s="850">
        <f>IF(Z46&gt;0,MAX(C31:C45)+1,0)</f>
        <v>16</v>
      </c>
      <c r="D46" s="851">
        <v>10</v>
      </c>
      <c r="E46" s="850">
        <v>16</v>
      </c>
      <c r="F46" s="851">
        <v>5</v>
      </c>
      <c r="G46" s="851">
        <v>4000</v>
      </c>
      <c r="H46" s="851">
        <v>1200</v>
      </c>
      <c r="I46" s="851">
        <v>5</v>
      </c>
      <c r="J46" s="851">
        <v>0</v>
      </c>
      <c r="L46" s="340">
        <f t="shared" si="2"/>
        <v>7.1813285457809695</v>
      </c>
      <c r="M46" s="12">
        <f t="shared" si="4"/>
        <v>7</v>
      </c>
      <c r="N46" s="860">
        <f t="shared" si="5"/>
        <v>0.81867145421903054</v>
      </c>
      <c r="O46" s="861">
        <f t="shared" si="16"/>
        <v>456</v>
      </c>
      <c r="P46" s="861">
        <f t="shared" si="6"/>
        <v>160</v>
      </c>
      <c r="Q46" s="861">
        <f t="shared" si="7"/>
        <v>7</v>
      </c>
      <c r="S46" s="340">
        <f t="shared" si="3"/>
        <v>3.3240997229916895</v>
      </c>
      <c r="T46" s="12">
        <f t="shared" si="8"/>
        <v>3</v>
      </c>
      <c r="U46" s="860">
        <f t="shared" si="9"/>
        <v>0.67590027700831046</v>
      </c>
      <c r="V46" s="861">
        <f t="shared" si="10"/>
        <v>244.00000000000006</v>
      </c>
      <c r="W46" s="861">
        <f t="shared" si="11"/>
        <v>120</v>
      </c>
      <c r="X46" s="861">
        <f t="shared" si="12"/>
        <v>3</v>
      </c>
      <c r="Y46" s="2"/>
      <c r="Z46" s="12">
        <f t="shared" si="13"/>
        <v>21</v>
      </c>
      <c r="AA46" s="12">
        <f t="shared" si="17"/>
        <v>4.2226170000000005</v>
      </c>
      <c r="AB46" s="12">
        <f t="shared" si="14"/>
        <v>4.8</v>
      </c>
      <c r="AC46" s="864">
        <f t="shared" si="15"/>
        <v>0.87971187500000014</v>
      </c>
    </row>
    <row r="47" spans="3:29" x14ac:dyDescent="0.25">
      <c r="C47" s="850">
        <f>IF(Z47&gt;0,MAX(C31:C46)+1,0)</f>
        <v>17</v>
      </c>
      <c r="D47" s="851">
        <v>20</v>
      </c>
      <c r="E47" s="850">
        <v>17</v>
      </c>
      <c r="F47" s="851">
        <v>4</v>
      </c>
      <c r="G47" s="851">
        <v>4800</v>
      </c>
      <c r="H47" s="851">
        <v>1000</v>
      </c>
      <c r="I47" s="851">
        <v>0</v>
      </c>
      <c r="J47" s="851">
        <v>4</v>
      </c>
      <c r="L47" s="340">
        <f t="shared" si="2"/>
        <v>8.6175942549371634</v>
      </c>
      <c r="M47" s="12">
        <f t="shared" si="4"/>
        <v>8</v>
      </c>
      <c r="N47" s="860">
        <f t="shared" si="5"/>
        <v>0.38240574506283664</v>
      </c>
      <c r="O47" s="861">
        <f t="shared" si="16"/>
        <v>213</v>
      </c>
      <c r="P47" s="861">
        <f t="shared" si="6"/>
        <v>160</v>
      </c>
      <c r="Q47" s="861">
        <f t="shared" si="7"/>
        <v>8</v>
      </c>
      <c r="S47" s="340">
        <f t="shared" si="3"/>
        <v>2.770083102493075</v>
      </c>
      <c r="T47" s="12">
        <f t="shared" si="8"/>
        <v>2</v>
      </c>
      <c r="U47" s="860">
        <f t="shared" si="9"/>
        <v>0.22991689750692501</v>
      </c>
      <c r="V47" s="861">
        <f t="shared" si="10"/>
        <v>82.999999999999943</v>
      </c>
      <c r="W47" s="861">
        <f t="shared" si="11"/>
        <v>120</v>
      </c>
      <c r="X47" s="861">
        <f t="shared" si="12"/>
        <v>3</v>
      </c>
      <c r="Y47" s="2"/>
      <c r="Z47" s="12">
        <f t="shared" si="13"/>
        <v>24</v>
      </c>
      <c r="AA47" s="12">
        <f t="shared" si="17"/>
        <v>4.8258480000000006</v>
      </c>
      <c r="AB47" s="12">
        <f t="shared" si="14"/>
        <v>4.8</v>
      </c>
      <c r="AC47" s="864">
        <f t="shared" si="15"/>
        <v>1.0053850000000002</v>
      </c>
    </row>
    <row r="48" spans="3:29" x14ac:dyDescent="0.25">
      <c r="C48" s="850">
        <f>IF(Z48&gt;0,MAX(C31:C47)+1,0)</f>
        <v>18</v>
      </c>
      <c r="D48" s="851">
        <v>10</v>
      </c>
      <c r="E48" s="850">
        <v>18</v>
      </c>
      <c r="F48" s="851">
        <v>5</v>
      </c>
      <c r="G48" s="851">
        <v>6000</v>
      </c>
      <c r="H48" s="851">
        <v>800</v>
      </c>
      <c r="I48" s="851">
        <v>5</v>
      </c>
      <c r="J48" s="851">
        <v>0</v>
      </c>
      <c r="L48" s="340">
        <f t="shared" si="2"/>
        <v>10.771992818671455</v>
      </c>
      <c r="M48" s="12">
        <f t="shared" si="4"/>
        <v>10</v>
      </c>
      <c r="N48" s="860">
        <f t="shared" si="5"/>
        <v>0.22800718132854492</v>
      </c>
      <c r="O48" s="861">
        <f t="shared" si="16"/>
        <v>126.99999999999955</v>
      </c>
      <c r="P48" s="861">
        <f t="shared" si="6"/>
        <v>160</v>
      </c>
      <c r="Q48" s="861">
        <f t="shared" si="7"/>
        <v>11</v>
      </c>
      <c r="S48" s="340">
        <f t="shared" si="3"/>
        <v>2.21606648199446</v>
      </c>
      <c r="T48" s="12">
        <f t="shared" si="8"/>
        <v>2</v>
      </c>
      <c r="U48" s="860">
        <f t="shared" si="9"/>
        <v>0.78393351800554001</v>
      </c>
      <c r="V48" s="861">
        <f t="shared" si="10"/>
        <v>282.99999999999994</v>
      </c>
      <c r="W48" s="861">
        <f t="shared" si="11"/>
        <v>120</v>
      </c>
      <c r="X48" s="861">
        <f t="shared" si="12"/>
        <v>2</v>
      </c>
      <c r="Y48" s="2"/>
      <c r="Z48" s="12">
        <f t="shared" si="13"/>
        <v>22</v>
      </c>
      <c r="AA48" s="12">
        <f t="shared" si="17"/>
        <v>4.4236940000000002</v>
      </c>
      <c r="AB48" s="12">
        <f t="shared" si="14"/>
        <v>4.8000000000000007</v>
      </c>
      <c r="AC48" s="864">
        <f t="shared" si="15"/>
        <v>0.92160291666666661</v>
      </c>
    </row>
    <row r="49" spans="3:29" x14ac:dyDescent="0.25">
      <c r="C49" s="850">
        <f>IF(Z49&gt;0,MAX(C31:C48)+1,0)</f>
        <v>19</v>
      </c>
      <c r="D49" s="851">
        <v>10</v>
      </c>
      <c r="E49" s="850">
        <v>19</v>
      </c>
      <c r="F49" s="851">
        <v>6</v>
      </c>
      <c r="G49" s="851">
        <v>2400</v>
      </c>
      <c r="H49" s="851">
        <v>2400</v>
      </c>
      <c r="I49" s="851">
        <v>6</v>
      </c>
      <c r="J49" s="851">
        <v>0</v>
      </c>
      <c r="L49" s="340">
        <f t="shared" si="2"/>
        <v>4.3087971274685817</v>
      </c>
      <c r="M49" s="12">
        <f t="shared" si="4"/>
        <v>4</v>
      </c>
      <c r="N49" s="860">
        <f t="shared" si="5"/>
        <v>0.69120287253141832</v>
      </c>
      <c r="O49" s="861">
        <f t="shared" si="16"/>
        <v>385</v>
      </c>
      <c r="P49" s="861">
        <f t="shared" si="6"/>
        <v>160</v>
      </c>
      <c r="Q49" s="861">
        <f t="shared" si="7"/>
        <v>4</v>
      </c>
      <c r="S49" s="340">
        <f t="shared" si="3"/>
        <v>6.6481994459833791</v>
      </c>
      <c r="T49" s="12">
        <f t="shared" si="8"/>
        <v>6</v>
      </c>
      <c r="U49" s="860">
        <f t="shared" si="9"/>
        <v>0.35180055401662091</v>
      </c>
      <c r="V49" s="861">
        <f t="shared" si="10"/>
        <v>127.00000000000014</v>
      </c>
      <c r="W49" s="861">
        <f t="shared" si="11"/>
        <v>120</v>
      </c>
      <c r="X49" s="861">
        <f t="shared" si="12"/>
        <v>6</v>
      </c>
      <c r="Y49" s="2"/>
      <c r="Z49" s="12">
        <f t="shared" si="13"/>
        <v>24</v>
      </c>
      <c r="AA49" s="12">
        <f t="shared" si="17"/>
        <v>4.8258480000000006</v>
      </c>
      <c r="AB49" s="12">
        <f t="shared" si="14"/>
        <v>5.76</v>
      </c>
      <c r="AC49" s="864">
        <f t="shared" si="15"/>
        <v>0.83782083333333346</v>
      </c>
    </row>
    <row r="50" spans="3:29" x14ac:dyDescent="0.25">
      <c r="C50" s="850">
        <f>IF(Z50&gt;0,MAX(C31:C49)+1,0)</f>
        <v>20</v>
      </c>
      <c r="D50" s="851">
        <v>10</v>
      </c>
      <c r="E50" s="850">
        <v>20</v>
      </c>
      <c r="F50" s="851">
        <v>6</v>
      </c>
      <c r="G50" s="851">
        <v>4800</v>
      </c>
      <c r="H50" s="851">
        <v>1200</v>
      </c>
      <c r="I50" s="851">
        <v>6</v>
      </c>
      <c r="J50" s="851">
        <v>0</v>
      </c>
      <c r="L50" s="340">
        <f t="shared" si="2"/>
        <v>8.6175942549371634</v>
      </c>
      <c r="M50" s="12">
        <f t="shared" si="4"/>
        <v>8</v>
      </c>
      <c r="N50" s="860">
        <f t="shared" si="5"/>
        <v>0.38240574506283664</v>
      </c>
      <c r="O50" s="861">
        <f t="shared" si="16"/>
        <v>213</v>
      </c>
      <c r="P50" s="861">
        <f t="shared" si="6"/>
        <v>160</v>
      </c>
      <c r="Q50" s="861">
        <f t="shared" si="7"/>
        <v>8</v>
      </c>
      <c r="S50" s="340">
        <f t="shared" si="3"/>
        <v>3.3240997229916895</v>
      </c>
      <c r="T50" s="12">
        <f t="shared" si="8"/>
        <v>3</v>
      </c>
      <c r="U50" s="860">
        <f t="shared" si="9"/>
        <v>0.67590027700831046</v>
      </c>
      <c r="V50" s="861">
        <f t="shared" si="10"/>
        <v>244.00000000000006</v>
      </c>
      <c r="W50" s="861">
        <f t="shared" si="11"/>
        <v>120</v>
      </c>
      <c r="X50" s="861">
        <f t="shared" si="12"/>
        <v>3</v>
      </c>
      <c r="Y50" s="2"/>
      <c r="Z50" s="12">
        <f t="shared" si="13"/>
        <v>24</v>
      </c>
      <c r="AA50" s="12">
        <f t="shared" si="17"/>
        <v>4.8258480000000006</v>
      </c>
      <c r="AB50" s="12">
        <f t="shared" si="14"/>
        <v>5.76</v>
      </c>
      <c r="AC50" s="864">
        <f t="shared" si="15"/>
        <v>0.83782083333333346</v>
      </c>
    </row>
    <row r="51" spans="3:29" x14ac:dyDescent="0.25">
      <c r="C51" s="850">
        <f>IF(Z51&gt;0,MAX(C31:C50)+1,0)</f>
        <v>21</v>
      </c>
      <c r="D51" s="851">
        <v>10</v>
      </c>
      <c r="E51" s="850">
        <v>21</v>
      </c>
      <c r="F51" s="851">
        <v>6</v>
      </c>
      <c r="G51" s="851">
        <v>3600</v>
      </c>
      <c r="H51" s="851">
        <v>1600</v>
      </c>
      <c r="I51" s="851">
        <v>6</v>
      </c>
      <c r="J51" s="851">
        <v>0</v>
      </c>
      <c r="L51" s="340">
        <f t="shared" si="2"/>
        <v>6.4631956912028725</v>
      </c>
      <c r="M51" s="12">
        <f t="shared" si="4"/>
        <v>6</v>
      </c>
      <c r="N51" s="860">
        <f t="shared" si="5"/>
        <v>0.53680430879712748</v>
      </c>
      <c r="O51" s="861">
        <f t="shared" si="16"/>
        <v>299</v>
      </c>
      <c r="P51" s="861">
        <f t="shared" si="6"/>
        <v>160</v>
      </c>
      <c r="Q51" s="861">
        <f t="shared" si="7"/>
        <v>6</v>
      </c>
      <c r="S51" s="340">
        <f t="shared" si="3"/>
        <v>4.43213296398892</v>
      </c>
      <c r="T51" s="12">
        <f t="shared" si="8"/>
        <v>4</v>
      </c>
      <c r="U51" s="860">
        <f t="shared" si="9"/>
        <v>0.56786703601108002</v>
      </c>
      <c r="V51" s="861">
        <f t="shared" si="10"/>
        <v>204.99999999999989</v>
      </c>
      <c r="W51" s="861">
        <f t="shared" si="11"/>
        <v>120</v>
      </c>
      <c r="X51" s="861">
        <f t="shared" si="12"/>
        <v>4</v>
      </c>
      <c r="Y51" s="2"/>
      <c r="Z51" s="12">
        <f t="shared" si="13"/>
        <v>24</v>
      </c>
      <c r="AA51" s="12">
        <f t="shared" si="17"/>
        <v>4.8258480000000006</v>
      </c>
      <c r="AB51" s="12">
        <f t="shared" si="14"/>
        <v>5.7600000000000007</v>
      </c>
      <c r="AC51" s="864">
        <f t="shared" si="15"/>
        <v>0.83782083333333335</v>
      </c>
    </row>
    <row r="52" spans="3:29" x14ac:dyDescent="0.25">
      <c r="C52" s="850">
        <f>IF(Z52&gt;0,MAX(C31:C51)+1,0)</f>
        <v>22</v>
      </c>
      <c r="D52" s="851">
        <v>20</v>
      </c>
      <c r="E52" s="850">
        <v>22</v>
      </c>
      <c r="F52" s="851">
        <v>5</v>
      </c>
      <c r="G52" s="851">
        <v>5000</v>
      </c>
      <c r="H52" s="851">
        <v>1200</v>
      </c>
      <c r="I52" s="851">
        <v>0</v>
      </c>
      <c r="J52" s="851">
        <v>5</v>
      </c>
      <c r="L52" s="340">
        <f t="shared" si="2"/>
        <v>8.9766606822262123</v>
      </c>
      <c r="M52" s="12">
        <f t="shared" si="4"/>
        <v>8</v>
      </c>
      <c r="N52" s="860">
        <f t="shared" si="5"/>
        <v>2.3339317773787727E-2</v>
      </c>
      <c r="O52" s="861">
        <f t="shared" si="16"/>
        <v>12.999999999999773</v>
      </c>
      <c r="P52" s="861">
        <f t="shared" si="6"/>
        <v>160</v>
      </c>
      <c r="Q52" s="861">
        <f t="shared" si="7"/>
        <v>9</v>
      </c>
      <c r="S52" s="340">
        <f t="shared" si="3"/>
        <v>3.3240997229916895</v>
      </c>
      <c r="T52" s="12">
        <f t="shared" si="8"/>
        <v>3</v>
      </c>
      <c r="U52" s="860">
        <f t="shared" si="9"/>
        <v>0.67590027700831046</v>
      </c>
      <c r="V52" s="861">
        <f t="shared" si="10"/>
        <v>244.00000000000006</v>
      </c>
      <c r="W52" s="861">
        <f t="shared" si="11"/>
        <v>120</v>
      </c>
      <c r="X52" s="861">
        <f t="shared" si="12"/>
        <v>3</v>
      </c>
      <c r="Y52" s="2"/>
      <c r="Z52" s="12">
        <f t="shared" si="13"/>
        <v>27</v>
      </c>
      <c r="AA52" s="12">
        <f t="shared" si="17"/>
        <v>5.4290789999999998</v>
      </c>
      <c r="AB52" s="12">
        <f t="shared" si="14"/>
        <v>6</v>
      </c>
      <c r="AC52" s="864">
        <f t="shared" si="15"/>
        <v>0.9048465</v>
      </c>
    </row>
    <row r="53" spans="3:29" x14ac:dyDescent="0.25">
      <c r="C53" s="850">
        <f>IF(Z53&gt;0,MAX(C31:C52)+1,0)</f>
        <v>23</v>
      </c>
      <c r="D53" s="851">
        <v>20</v>
      </c>
      <c r="E53" s="850">
        <v>23</v>
      </c>
      <c r="F53" s="851">
        <v>5</v>
      </c>
      <c r="G53" s="851">
        <v>6000</v>
      </c>
      <c r="H53" s="851">
        <v>1000</v>
      </c>
      <c r="I53" s="851">
        <v>0</v>
      </c>
      <c r="J53" s="851">
        <v>5</v>
      </c>
      <c r="L53" s="340">
        <f t="shared" si="2"/>
        <v>10.771992818671455</v>
      </c>
      <c r="M53" s="12">
        <f t="shared" si="4"/>
        <v>10</v>
      </c>
      <c r="N53" s="860">
        <f t="shared" si="5"/>
        <v>0.22800718132854492</v>
      </c>
      <c r="O53" s="861">
        <f t="shared" si="16"/>
        <v>126.99999999999955</v>
      </c>
      <c r="P53" s="861">
        <f t="shared" si="6"/>
        <v>160</v>
      </c>
      <c r="Q53" s="861">
        <f t="shared" si="7"/>
        <v>11</v>
      </c>
      <c r="S53" s="340">
        <f t="shared" si="3"/>
        <v>2.770083102493075</v>
      </c>
      <c r="T53" s="12">
        <f t="shared" si="8"/>
        <v>2</v>
      </c>
      <c r="U53" s="860">
        <f t="shared" si="9"/>
        <v>0.22991689750692501</v>
      </c>
      <c r="V53" s="861">
        <f t="shared" si="10"/>
        <v>82.999999999999943</v>
      </c>
      <c r="W53" s="861">
        <f t="shared" si="11"/>
        <v>120</v>
      </c>
      <c r="X53" s="861">
        <f t="shared" si="12"/>
        <v>3</v>
      </c>
      <c r="Y53" s="2"/>
      <c r="Z53" s="12">
        <f t="shared" si="13"/>
        <v>33</v>
      </c>
      <c r="AA53" s="12">
        <f t="shared" si="17"/>
        <v>6.6355409999999999</v>
      </c>
      <c r="AB53" s="12">
        <f t="shared" si="14"/>
        <v>6</v>
      </c>
      <c r="AC53" s="864">
        <f t="shared" si="15"/>
        <v>1.1059235000000001</v>
      </c>
    </row>
    <row r="54" spans="3:29" x14ac:dyDescent="0.25">
      <c r="C54" s="850">
        <f>IF(Z54&gt;0,MAX(C31:C53)+1,0)</f>
        <v>24</v>
      </c>
      <c r="D54" s="851">
        <v>20</v>
      </c>
      <c r="E54" s="850">
        <v>24</v>
      </c>
      <c r="F54" s="851">
        <v>6</v>
      </c>
      <c r="G54" s="851">
        <v>6000</v>
      </c>
      <c r="H54" s="851">
        <v>1200</v>
      </c>
      <c r="I54" s="851">
        <v>0</v>
      </c>
      <c r="J54" s="851">
        <v>6</v>
      </c>
      <c r="L54" s="340">
        <f t="shared" si="2"/>
        <v>10.771992818671455</v>
      </c>
      <c r="M54" s="12">
        <f t="shared" si="4"/>
        <v>10</v>
      </c>
      <c r="N54" s="860">
        <f t="shared" si="5"/>
        <v>0.22800718132854492</v>
      </c>
      <c r="O54" s="861">
        <f t="shared" si="16"/>
        <v>126.99999999999955</v>
      </c>
      <c r="P54" s="861">
        <f t="shared" si="6"/>
        <v>160</v>
      </c>
      <c r="Q54" s="861">
        <f t="shared" si="7"/>
        <v>11</v>
      </c>
      <c r="S54" s="340">
        <f t="shared" si="3"/>
        <v>3.3240997229916895</v>
      </c>
      <c r="T54" s="12">
        <f t="shared" si="8"/>
        <v>3</v>
      </c>
      <c r="U54" s="860">
        <f t="shared" si="9"/>
        <v>0.67590027700831046</v>
      </c>
      <c r="V54" s="861">
        <f t="shared" si="10"/>
        <v>244.00000000000006</v>
      </c>
      <c r="W54" s="861">
        <f t="shared" si="11"/>
        <v>120</v>
      </c>
      <c r="X54" s="861">
        <f t="shared" si="12"/>
        <v>3</v>
      </c>
      <c r="Y54" s="2"/>
      <c r="Z54" s="12">
        <f t="shared" si="13"/>
        <v>33</v>
      </c>
      <c r="AA54" s="12">
        <f t="shared" si="17"/>
        <v>6.6355409999999999</v>
      </c>
      <c r="AB54" s="12">
        <f t="shared" si="14"/>
        <v>7.1999999999999993</v>
      </c>
      <c r="AC54" s="864">
        <f t="shared" si="15"/>
        <v>0.92160291666666672</v>
      </c>
    </row>
    <row r="55" spans="3:29" x14ac:dyDescent="0.25">
      <c r="C55" s="850">
        <f>IF(Z55&gt;0,MAX(C31:C54)+1,0)</f>
        <v>25</v>
      </c>
      <c r="D55" s="851">
        <v>20</v>
      </c>
      <c r="E55" s="850">
        <v>25</v>
      </c>
      <c r="F55" s="851">
        <v>6</v>
      </c>
      <c r="G55" s="851">
        <v>3000</v>
      </c>
      <c r="H55" s="851">
        <v>2400</v>
      </c>
      <c r="I55" s="851">
        <v>0</v>
      </c>
      <c r="J55" s="851">
        <v>6</v>
      </c>
      <c r="L55" s="340">
        <f t="shared" si="2"/>
        <v>5.3859964093357275</v>
      </c>
      <c r="M55" s="12">
        <f t="shared" si="4"/>
        <v>5</v>
      </c>
      <c r="N55" s="860">
        <f t="shared" si="5"/>
        <v>0.61400359066427246</v>
      </c>
      <c r="O55" s="861">
        <f t="shared" si="16"/>
        <v>341.99999999999977</v>
      </c>
      <c r="P55" s="861">
        <f t="shared" si="6"/>
        <v>160</v>
      </c>
      <c r="Q55" s="861">
        <f t="shared" si="7"/>
        <v>5</v>
      </c>
      <c r="S55" s="340">
        <f t="shared" si="3"/>
        <v>6.6481994459833791</v>
      </c>
      <c r="T55" s="12">
        <f t="shared" si="8"/>
        <v>6</v>
      </c>
      <c r="U55" s="860">
        <f t="shared" si="9"/>
        <v>0.35180055401662091</v>
      </c>
      <c r="V55" s="861">
        <f t="shared" si="10"/>
        <v>127.00000000000014</v>
      </c>
      <c r="W55" s="861">
        <f t="shared" si="11"/>
        <v>120</v>
      </c>
      <c r="X55" s="861">
        <f t="shared" si="12"/>
        <v>6</v>
      </c>
      <c r="Y55" s="2"/>
      <c r="Z55" s="12">
        <f t="shared" si="13"/>
        <v>30</v>
      </c>
      <c r="AA55" s="12">
        <f t="shared" si="17"/>
        <v>6.0323099999999998</v>
      </c>
      <c r="AB55" s="12">
        <f t="shared" si="14"/>
        <v>7.1999999999999993</v>
      </c>
      <c r="AC55" s="864">
        <f t="shared" si="15"/>
        <v>0.83782083333333335</v>
      </c>
    </row>
    <row r="56" spans="3:29" x14ac:dyDescent="0.25">
      <c r="C56" s="850">
        <f>IF(Z56&gt;0,MAX(C31:C55)+1,0)</f>
        <v>26</v>
      </c>
      <c r="D56" s="851">
        <v>20</v>
      </c>
      <c r="E56" s="850">
        <v>26</v>
      </c>
      <c r="F56" s="851">
        <v>6</v>
      </c>
      <c r="G56" s="851">
        <v>3600</v>
      </c>
      <c r="H56" s="851">
        <v>2000</v>
      </c>
      <c r="I56" s="851">
        <v>0</v>
      </c>
      <c r="J56" s="851">
        <v>6</v>
      </c>
      <c r="L56" s="340">
        <f t="shared" si="2"/>
        <v>6.4631956912028725</v>
      </c>
      <c r="M56" s="12">
        <f t="shared" si="4"/>
        <v>6</v>
      </c>
      <c r="N56" s="860">
        <f t="shared" si="5"/>
        <v>0.53680430879712748</v>
      </c>
      <c r="O56" s="861">
        <f t="shared" si="16"/>
        <v>299</v>
      </c>
      <c r="P56" s="861">
        <f t="shared" si="6"/>
        <v>160</v>
      </c>
      <c r="Q56" s="861">
        <f t="shared" si="7"/>
        <v>6</v>
      </c>
      <c r="S56" s="340">
        <f t="shared" si="3"/>
        <v>5.54016620498615</v>
      </c>
      <c r="T56" s="12">
        <f t="shared" si="8"/>
        <v>5</v>
      </c>
      <c r="U56" s="860">
        <f t="shared" si="9"/>
        <v>0.45983379501385002</v>
      </c>
      <c r="V56" s="861">
        <f t="shared" si="10"/>
        <v>165.99999999999986</v>
      </c>
      <c r="W56" s="861">
        <f t="shared" si="11"/>
        <v>120</v>
      </c>
      <c r="X56" s="861">
        <f t="shared" si="12"/>
        <v>5</v>
      </c>
      <c r="Y56" s="2"/>
      <c r="Z56" s="12">
        <f t="shared" si="13"/>
        <v>30</v>
      </c>
      <c r="AA56" s="12">
        <f t="shared" si="17"/>
        <v>6.0323099999999998</v>
      </c>
      <c r="AB56" s="12">
        <f t="shared" si="14"/>
        <v>7.2</v>
      </c>
      <c r="AC56" s="864">
        <f t="shared" si="15"/>
        <v>0.83782083333333324</v>
      </c>
    </row>
    <row r="57" spans="3:29" x14ac:dyDescent="0.25">
      <c r="C57" s="850">
        <f>IF(Z57&gt;0,MAX(C31:C56)+1,0)</f>
        <v>27</v>
      </c>
      <c r="D57" s="851">
        <v>10</v>
      </c>
      <c r="E57" s="850">
        <v>27</v>
      </c>
      <c r="F57" s="851">
        <v>8</v>
      </c>
      <c r="G57" s="851">
        <v>6400</v>
      </c>
      <c r="H57" s="851">
        <v>1200</v>
      </c>
      <c r="I57" s="851">
        <v>8</v>
      </c>
      <c r="J57" s="851">
        <v>0</v>
      </c>
      <c r="L57" s="340">
        <f t="shared" si="2"/>
        <v>11.490125673249551</v>
      </c>
      <c r="M57" s="12">
        <f t="shared" si="4"/>
        <v>11</v>
      </c>
      <c r="N57" s="860">
        <f t="shared" si="5"/>
        <v>0.50987432675044886</v>
      </c>
      <c r="O57" s="861">
        <f t="shared" si="16"/>
        <v>284</v>
      </c>
      <c r="P57" s="861">
        <f t="shared" si="6"/>
        <v>160</v>
      </c>
      <c r="Q57" s="861">
        <f t="shared" si="7"/>
        <v>11</v>
      </c>
      <c r="S57" s="340">
        <f t="shared" si="3"/>
        <v>3.3240997229916895</v>
      </c>
      <c r="T57" s="12">
        <f t="shared" si="8"/>
        <v>3</v>
      </c>
      <c r="U57" s="860">
        <f t="shared" si="9"/>
        <v>0.67590027700831046</v>
      </c>
      <c r="V57" s="861">
        <f t="shared" si="10"/>
        <v>244.00000000000006</v>
      </c>
      <c r="W57" s="861">
        <f t="shared" si="11"/>
        <v>120</v>
      </c>
      <c r="X57" s="861">
        <f t="shared" si="12"/>
        <v>3</v>
      </c>
      <c r="Y57" s="2"/>
      <c r="Z57" s="12">
        <f t="shared" si="13"/>
        <v>33</v>
      </c>
      <c r="AA57" s="12">
        <f t="shared" si="17"/>
        <v>6.6355409999999999</v>
      </c>
      <c r="AB57" s="12">
        <f t="shared" si="14"/>
        <v>7.68</v>
      </c>
      <c r="AC57" s="864">
        <f t="shared" si="15"/>
        <v>0.86400273437499997</v>
      </c>
    </row>
    <row r="58" spans="3:29" x14ac:dyDescent="0.25">
      <c r="C58" s="850">
        <f>IF(Z58&gt;0,MAX(C31:C57)+1,0)</f>
        <v>28</v>
      </c>
      <c r="D58" s="851">
        <v>10</v>
      </c>
      <c r="E58" s="850">
        <v>28</v>
      </c>
      <c r="F58" s="851">
        <v>8</v>
      </c>
      <c r="G58" s="851">
        <v>3200</v>
      </c>
      <c r="H58" s="851">
        <v>2400</v>
      </c>
      <c r="I58" s="851">
        <v>8</v>
      </c>
      <c r="J58" s="851">
        <v>0</v>
      </c>
      <c r="L58" s="340">
        <f t="shared" si="2"/>
        <v>5.7450628366247756</v>
      </c>
      <c r="M58" s="12">
        <f t="shared" si="4"/>
        <v>5</v>
      </c>
      <c r="N58" s="860">
        <f t="shared" si="5"/>
        <v>0.25493716337522443</v>
      </c>
      <c r="O58" s="861">
        <f t="shared" si="16"/>
        <v>142</v>
      </c>
      <c r="P58" s="861">
        <f t="shared" si="6"/>
        <v>160</v>
      </c>
      <c r="Q58" s="861">
        <f t="shared" si="7"/>
        <v>6</v>
      </c>
      <c r="S58" s="340">
        <f t="shared" si="3"/>
        <v>6.6481994459833791</v>
      </c>
      <c r="T58" s="12">
        <f t="shared" si="8"/>
        <v>6</v>
      </c>
      <c r="U58" s="860">
        <f t="shared" si="9"/>
        <v>0.35180055401662091</v>
      </c>
      <c r="V58" s="861">
        <f t="shared" si="10"/>
        <v>127.00000000000014</v>
      </c>
      <c r="W58" s="861">
        <f t="shared" si="11"/>
        <v>120</v>
      </c>
      <c r="X58" s="861">
        <f t="shared" si="12"/>
        <v>6</v>
      </c>
      <c r="Y58" s="2"/>
      <c r="Z58" s="12">
        <f t="shared" si="13"/>
        <v>36</v>
      </c>
      <c r="AA58" s="12">
        <f t="shared" si="17"/>
        <v>7.238772</v>
      </c>
      <c r="AB58" s="12">
        <f t="shared" si="14"/>
        <v>7.68</v>
      </c>
      <c r="AC58" s="864">
        <f t="shared" si="15"/>
        <v>0.94254843750000006</v>
      </c>
    </row>
    <row r="59" spans="3:29" x14ac:dyDescent="0.25">
      <c r="C59" s="850">
        <f>IF(Z59&gt;0,MAX(C41:C58)+1,0)</f>
        <v>29</v>
      </c>
      <c r="D59" s="851">
        <v>10</v>
      </c>
      <c r="E59" s="850">
        <v>29</v>
      </c>
      <c r="F59" s="851">
        <v>8</v>
      </c>
      <c r="G59" s="851">
        <v>4800</v>
      </c>
      <c r="H59" s="851">
        <v>1600</v>
      </c>
      <c r="I59" s="851">
        <v>8</v>
      </c>
      <c r="J59" s="851">
        <v>0</v>
      </c>
      <c r="L59" s="340">
        <f t="shared" si="2"/>
        <v>8.6175942549371634</v>
      </c>
      <c r="M59" s="12">
        <f t="shared" si="4"/>
        <v>8</v>
      </c>
      <c r="N59" s="860">
        <f t="shared" si="5"/>
        <v>0.38240574506283664</v>
      </c>
      <c r="O59" s="861">
        <f t="shared" si="16"/>
        <v>213</v>
      </c>
      <c r="P59" s="861">
        <f t="shared" si="6"/>
        <v>160</v>
      </c>
      <c r="Q59" s="861">
        <f t="shared" si="7"/>
        <v>8</v>
      </c>
      <c r="S59" s="340">
        <f t="shared" si="3"/>
        <v>4.43213296398892</v>
      </c>
      <c r="T59" s="12">
        <f t="shared" si="8"/>
        <v>4</v>
      </c>
      <c r="U59" s="860">
        <f t="shared" si="9"/>
        <v>0.56786703601108002</v>
      </c>
      <c r="V59" s="861">
        <f t="shared" si="10"/>
        <v>204.99999999999989</v>
      </c>
      <c r="W59" s="861">
        <f t="shared" si="11"/>
        <v>120</v>
      </c>
      <c r="X59" s="861">
        <f t="shared" si="12"/>
        <v>4</v>
      </c>
      <c r="Y59" s="2"/>
      <c r="Z59" s="12">
        <f t="shared" si="13"/>
        <v>32</v>
      </c>
      <c r="AA59" s="12">
        <f t="shared" si="17"/>
        <v>6.4344640000000002</v>
      </c>
      <c r="AB59" s="12">
        <f t="shared" si="14"/>
        <v>7.68</v>
      </c>
      <c r="AC59" s="864">
        <f t="shared" si="15"/>
        <v>0.83782083333333335</v>
      </c>
    </row>
    <row r="60" spans="3:29" x14ac:dyDescent="0.25">
      <c r="C60" s="850">
        <f>IF(Z60&gt;0,MAX(C31:C59)+1,0)</f>
        <v>30</v>
      </c>
      <c r="D60" s="851">
        <v>20</v>
      </c>
      <c r="E60" s="850">
        <v>30</v>
      </c>
      <c r="F60" s="851">
        <v>8</v>
      </c>
      <c r="G60" s="851">
        <v>4800</v>
      </c>
      <c r="H60" s="851">
        <v>2000</v>
      </c>
      <c r="I60" s="851">
        <v>0</v>
      </c>
      <c r="J60" s="851">
        <v>8</v>
      </c>
      <c r="L60" s="340">
        <f t="shared" si="2"/>
        <v>8.6175942549371634</v>
      </c>
      <c r="M60" s="12">
        <f t="shared" si="4"/>
        <v>8</v>
      </c>
      <c r="N60" s="860">
        <f t="shared" si="5"/>
        <v>0.38240574506283664</v>
      </c>
      <c r="O60" s="861">
        <f t="shared" si="16"/>
        <v>213</v>
      </c>
      <c r="P60" s="861">
        <f t="shared" si="6"/>
        <v>160</v>
      </c>
      <c r="Q60" s="861">
        <f t="shared" si="7"/>
        <v>8</v>
      </c>
      <c r="S60" s="340">
        <f t="shared" si="3"/>
        <v>5.54016620498615</v>
      </c>
      <c r="T60" s="12">
        <f t="shared" si="8"/>
        <v>5</v>
      </c>
      <c r="U60" s="860">
        <f t="shared" si="9"/>
        <v>0.45983379501385002</v>
      </c>
      <c r="V60" s="861">
        <f t="shared" si="10"/>
        <v>165.99999999999986</v>
      </c>
      <c r="W60" s="861">
        <f t="shared" si="11"/>
        <v>120</v>
      </c>
      <c r="X60" s="861">
        <f t="shared" si="12"/>
        <v>5</v>
      </c>
      <c r="Y60" s="2"/>
      <c r="Z60" s="12">
        <f t="shared" si="13"/>
        <v>40</v>
      </c>
      <c r="AA60" s="12">
        <f t="shared" si="17"/>
        <v>8.0430799999999998</v>
      </c>
      <c r="AB60" s="12">
        <f t="shared" si="14"/>
        <v>9.6</v>
      </c>
      <c r="AC60" s="864">
        <f t="shared" si="15"/>
        <v>0.83782083333333335</v>
      </c>
    </row>
    <row r="61" spans="3:29" x14ac:dyDescent="0.25">
      <c r="C61" s="850">
        <f>IF(Z61&gt;0,MAX(C31:C60)+1,0)</f>
        <v>31</v>
      </c>
      <c r="D61" s="851">
        <v>20</v>
      </c>
      <c r="E61" s="850">
        <v>31</v>
      </c>
      <c r="F61" s="851">
        <v>8</v>
      </c>
      <c r="G61" s="851">
        <v>4000</v>
      </c>
      <c r="H61" s="851">
        <v>2400</v>
      </c>
      <c r="I61" s="851">
        <v>0</v>
      </c>
      <c r="J61" s="851">
        <v>8</v>
      </c>
      <c r="L61" s="340">
        <f t="shared" si="2"/>
        <v>7.1813285457809695</v>
      </c>
      <c r="M61" s="12">
        <f t="shared" si="4"/>
        <v>7</v>
      </c>
      <c r="N61" s="860">
        <f t="shared" si="5"/>
        <v>0.81867145421903054</v>
      </c>
      <c r="O61" s="861">
        <f t="shared" si="16"/>
        <v>456</v>
      </c>
      <c r="P61" s="861">
        <f t="shared" si="6"/>
        <v>160</v>
      </c>
      <c r="Q61" s="861">
        <f t="shared" si="7"/>
        <v>7</v>
      </c>
      <c r="S61" s="340">
        <f t="shared" si="3"/>
        <v>6.6481994459833791</v>
      </c>
      <c r="T61" s="12">
        <f t="shared" si="8"/>
        <v>6</v>
      </c>
      <c r="U61" s="860">
        <f t="shared" si="9"/>
        <v>0.35180055401662091</v>
      </c>
      <c r="V61" s="861">
        <f t="shared" si="10"/>
        <v>127.00000000000014</v>
      </c>
      <c r="W61" s="861">
        <f t="shared" si="11"/>
        <v>120</v>
      </c>
      <c r="X61" s="861">
        <f t="shared" si="12"/>
        <v>6</v>
      </c>
      <c r="Y61" s="2"/>
      <c r="Z61" s="12">
        <f t="shared" si="13"/>
        <v>42</v>
      </c>
      <c r="AA61" s="12">
        <f t="shared" si="17"/>
        <v>8.445234000000001</v>
      </c>
      <c r="AB61" s="12">
        <f t="shared" si="14"/>
        <v>9.6</v>
      </c>
      <c r="AC61" s="864">
        <f t="shared" si="15"/>
        <v>0.87971187500000014</v>
      </c>
    </row>
    <row r="62" spans="3:29" x14ac:dyDescent="0.25">
      <c r="C62" s="850">
        <f>IF(Z62&gt;0,MAX(C31:C61)+1,0)</f>
        <v>32</v>
      </c>
      <c r="D62" s="851">
        <v>10</v>
      </c>
      <c r="E62" s="850">
        <v>32</v>
      </c>
      <c r="F62" s="851">
        <v>10</v>
      </c>
      <c r="G62" s="851">
        <v>4000</v>
      </c>
      <c r="H62" s="851">
        <v>2400</v>
      </c>
      <c r="I62" s="851">
        <v>10</v>
      </c>
      <c r="J62" s="851">
        <v>0</v>
      </c>
      <c r="L62" s="340">
        <f t="shared" si="2"/>
        <v>7.1813285457809695</v>
      </c>
      <c r="M62" s="12">
        <f t="shared" si="4"/>
        <v>7</v>
      </c>
      <c r="N62" s="860">
        <f t="shared" si="5"/>
        <v>0.81867145421903054</v>
      </c>
      <c r="O62" s="861">
        <f t="shared" si="16"/>
        <v>456</v>
      </c>
      <c r="P62" s="861">
        <f t="shared" si="6"/>
        <v>160</v>
      </c>
      <c r="Q62" s="861">
        <f t="shared" si="7"/>
        <v>7</v>
      </c>
      <c r="S62" s="340">
        <f t="shared" si="3"/>
        <v>6.6481994459833791</v>
      </c>
      <c r="T62" s="12">
        <f t="shared" si="8"/>
        <v>6</v>
      </c>
      <c r="U62" s="860">
        <f t="shared" si="9"/>
        <v>0.35180055401662091</v>
      </c>
      <c r="V62" s="861">
        <f t="shared" si="10"/>
        <v>127.00000000000014</v>
      </c>
      <c r="W62" s="861">
        <f t="shared" si="11"/>
        <v>120</v>
      </c>
      <c r="X62" s="861">
        <f t="shared" si="12"/>
        <v>6</v>
      </c>
      <c r="Y62" s="2"/>
      <c r="Z62" s="12">
        <f t="shared" si="13"/>
        <v>42</v>
      </c>
      <c r="AA62" s="12">
        <f t="shared" si="17"/>
        <v>8.445234000000001</v>
      </c>
      <c r="AB62" s="12">
        <f t="shared" si="14"/>
        <v>9.6</v>
      </c>
      <c r="AC62" s="864">
        <f t="shared" si="15"/>
        <v>0.87971187500000014</v>
      </c>
    </row>
    <row r="63" spans="3:29" x14ac:dyDescent="0.25">
      <c r="C63" s="850">
        <f>IF(Z63&gt;0,MAX(C31:C62)+1,0)</f>
        <v>33</v>
      </c>
      <c r="D63" s="851">
        <v>10</v>
      </c>
      <c r="E63" s="850">
        <v>33</v>
      </c>
      <c r="F63" s="851">
        <v>10</v>
      </c>
      <c r="G63" s="851">
        <v>6000</v>
      </c>
      <c r="H63" s="851">
        <v>1600</v>
      </c>
      <c r="I63" s="851">
        <v>10</v>
      </c>
      <c r="J63" s="851">
        <v>0</v>
      </c>
      <c r="L63" s="340">
        <f t="shared" si="2"/>
        <v>10.771992818671455</v>
      </c>
      <c r="M63" s="12">
        <f t="shared" si="4"/>
        <v>10</v>
      </c>
      <c r="N63" s="860">
        <f t="shared" si="5"/>
        <v>0.22800718132854492</v>
      </c>
      <c r="O63" s="861">
        <f t="shared" si="16"/>
        <v>126.99999999999955</v>
      </c>
      <c r="P63" s="861">
        <f t="shared" si="6"/>
        <v>160</v>
      </c>
      <c r="Q63" s="861">
        <f t="shared" si="7"/>
        <v>11</v>
      </c>
      <c r="S63" s="340">
        <f t="shared" si="3"/>
        <v>4.43213296398892</v>
      </c>
      <c r="T63" s="12">
        <f t="shared" si="8"/>
        <v>4</v>
      </c>
      <c r="U63" s="860">
        <f t="shared" si="9"/>
        <v>0.56786703601108002</v>
      </c>
      <c r="V63" s="861">
        <f t="shared" si="10"/>
        <v>204.99999999999989</v>
      </c>
      <c r="W63" s="861">
        <f t="shared" si="11"/>
        <v>120</v>
      </c>
      <c r="X63" s="861">
        <f t="shared" si="12"/>
        <v>4</v>
      </c>
      <c r="Y63" s="2"/>
      <c r="Z63" s="12">
        <f t="shared" si="13"/>
        <v>44</v>
      </c>
      <c r="AA63" s="12">
        <f t="shared" si="17"/>
        <v>8.8473880000000005</v>
      </c>
      <c r="AB63" s="12">
        <f t="shared" si="14"/>
        <v>9.6000000000000014</v>
      </c>
      <c r="AC63" s="864">
        <f t="shared" si="15"/>
        <v>0.92160291666666661</v>
      </c>
    </row>
    <row r="64" spans="3:29" x14ac:dyDescent="0.25">
      <c r="C64" s="850">
        <f>IF(Z64&gt;0,MAX(C31:C63)+1,0)</f>
        <v>34</v>
      </c>
      <c r="D64" s="851">
        <v>10</v>
      </c>
      <c r="E64" s="850">
        <v>34</v>
      </c>
      <c r="F64" s="851">
        <v>12</v>
      </c>
      <c r="G64" s="851">
        <v>4800</v>
      </c>
      <c r="H64" s="851">
        <v>2400</v>
      </c>
      <c r="I64" s="851">
        <v>12</v>
      </c>
      <c r="J64" s="851">
        <v>0</v>
      </c>
      <c r="L64" s="340">
        <f t="shared" si="2"/>
        <v>8.6175942549371634</v>
      </c>
      <c r="M64" s="12">
        <f t="shared" si="4"/>
        <v>8</v>
      </c>
      <c r="N64" s="860">
        <f t="shared" si="5"/>
        <v>0.38240574506283664</v>
      </c>
      <c r="O64" s="861">
        <f t="shared" si="16"/>
        <v>213</v>
      </c>
      <c r="P64" s="861">
        <f t="shared" si="6"/>
        <v>160</v>
      </c>
      <c r="Q64" s="861">
        <f t="shared" si="7"/>
        <v>8</v>
      </c>
      <c r="S64" s="340">
        <f t="shared" si="3"/>
        <v>6.6481994459833791</v>
      </c>
      <c r="T64" s="12">
        <f t="shared" si="8"/>
        <v>6</v>
      </c>
      <c r="U64" s="860">
        <f t="shared" si="9"/>
        <v>0.35180055401662091</v>
      </c>
      <c r="V64" s="861">
        <f t="shared" si="10"/>
        <v>127.00000000000014</v>
      </c>
      <c r="W64" s="861">
        <f t="shared" si="11"/>
        <v>120</v>
      </c>
      <c r="X64" s="861">
        <f t="shared" si="12"/>
        <v>6</v>
      </c>
      <c r="Y64" s="2"/>
      <c r="Z64" s="12">
        <f t="shared" si="13"/>
        <v>48</v>
      </c>
      <c r="AA64" s="12">
        <f t="shared" si="17"/>
        <v>9.6516960000000012</v>
      </c>
      <c r="AB64" s="12">
        <f t="shared" si="14"/>
        <v>11.52</v>
      </c>
      <c r="AC64" s="864">
        <f t="shared" si="15"/>
        <v>0.83782083333333346</v>
      </c>
    </row>
    <row r="65" spans="3:29" x14ac:dyDescent="0.25">
      <c r="C65" s="850">
        <f>IF(Z65&gt;0,MAX(C31:C64)+1,0)</f>
        <v>35</v>
      </c>
      <c r="D65" s="851">
        <v>20</v>
      </c>
      <c r="E65" s="850">
        <v>35</v>
      </c>
      <c r="F65" s="851">
        <v>10</v>
      </c>
      <c r="G65" s="851">
        <v>5000</v>
      </c>
      <c r="H65" s="851">
        <v>2400</v>
      </c>
      <c r="I65" s="851">
        <v>0</v>
      </c>
      <c r="J65" s="851">
        <v>10</v>
      </c>
      <c r="L65" s="340">
        <f t="shared" si="2"/>
        <v>8.9766606822262123</v>
      </c>
      <c r="M65" s="12">
        <f t="shared" si="4"/>
        <v>8</v>
      </c>
      <c r="N65" s="860">
        <f t="shared" si="5"/>
        <v>2.3339317773787727E-2</v>
      </c>
      <c r="O65" s="861">
        <f t="shared" si="16"/>
        <v>12.999999999999773</v>
      </c>
      <c r="P65" s="861">
        <f t="shared" si="6"/>
        <v>160</v>
      </c>
      <c r="Q65" s="861">
        <f t="shared" si="7"/>
        <v>9</v>
      </c>
      <c r="S65" s="340">
        <f t="shared" si="3"/>
        <v>6.6481994459833791</v>
      </c>
      <c r="T65" s="12">
        <f t="shared" si="8"/>
        <v>6</v>
      </c>
      <c r="U65" s="860">
        <f t="shared" si="9"/>
        <v>0.35180055401662091</v>
      </c>
      <c r="V65" s="861">
        <f t="shared" si="10"/>
        <v>127.00000000000014</v>
      </c>
      <c r="W65" s="861">
        <f t="shared" si="11"/>
        <v>120</v>
      </c>
      <c r="X65" s="861">
        <f t="shared" si="12"/>
        <v>6</v>
      </c>
      <c r="Y65" s="2"/>
      <c r="Z65" s="12">
        <f t="shared" si="13"/>
        <v>54</v>
      </c>
      <c r="AA65" s="12">
        <f t="shared" si="17"/>
        <v>10.858158</v>
      </c>
      <c r="AB65" s="12">
        <f t="shared" si="14"/>
        <v>12</v>
      </c>
      <c r="AC65" s="864">
        <f t="shared" si="15"/>
        <v>0.9048465</v>
      </c>
    </row>
    <row r="66" spans="3:29" x14ac:dyDescent="0.25">
      <c r="C66" s="850">
        <f>IF(Z66&gt;0,MAX(C31:C65)+1,0)</f>
        <v>36</v>
      </c>
      <c r="D66" s="851">
        <v>20</v>
      </c>
      <c r="E66" s="850">
        <v>36</v>
      </c>
      <c r="F66" s="851">
        <v>10</v>
      </c>
      <c r="G66" s="851">
        <v>6000</v>
      </c>
      <c r="H66" s="851">
        <v>2000</v>
      </c>
      <c r="I66" s="851">
        <v>0</v>
      </c>
      <c r="J66" s="851">
        <v>10</v>
      </c>
      <c r="L66" s="340">
        <f t="shared" si="2"/>
        <v>10.771992818671455</v>
      </c>
      <c r="M66" s="12">
        <f t="shared" si="4"/>
        <v>10</v>
      </c>
      <c r="N66" s="860">
        <f t="shared" si="5"/>
        <v>0.22800718132854492</v>
      </c>
      <c r="O66" s="861">
        <f t="shared" si="16"/>
        <v>126.99999999999955</v>
      </c>
      <c r="P66" s="861">
        <f t="shared" si="6"/>
        <v>160</v>
      </c>
      <c r="Q66" s="861">
        <f t="shared" si="7"/>
        <v>11</v>
      </c>
      <c r="S66" s="340">
        <f t="shared" si="3"/>
        <v>5.54016620498615</v>
      </c>
      <c r="T66" s="12">
        <f t="shared" si="8"/>
        <v>5</v>
      </c>
      <c r="U66" s="860">
        <f t="shared" si="9"/>
        <v>0.45983379501385002</v>
      </c>
      <c r="V66" s="861">
        <f t="shared" si="10"/>
        <v>165.99999999999986</v>
      </c>
      <c r="W66" s="861">
        <f t="shared" si="11"/>
        <v>120</v>
      </c>
      <c r="X66" s="861">
        <f t="shared" si="12"/>
        <v>5</v>
      </c>
      <c r="Y66" s="2"/>
      <c r="Z66" s="12">
        <f t="shared" si="13"/>
        <v>55</v>
      </c>
      <c r="AA66" s="12">
        <f t="shared" si="17"/>
        <v>11.059235000000001</v>
      </c>
      <c r="AB66" s="12">
        <f t="shared" si="14"/>
        <v>12</v>
      </c>
      <c r="AC66" s="864">
        <f t="shared" si="15"/>
        <v>0.92160291666666672</v>
      </c>
    </row>
    <row r="67" spans="3:29" x14ac:dyDescent="0.25">
      <c r="C67" s="850">
        <f>IF(Z67&gt;0,MAX(C31:C66)+1,0)</f>
        <v>37</v>
      </c>
      <c r="D67" s="851">
        <v>10</v>
      </c>
      <c r="E67" s="850">
        <v>37</v>
      </c>
      <c r="F67" s="851">
        <v>14</v>
      </c>
      <c r="G67" s="851">
        <v>5600</v>
      </c>
      <c r="H67" s="851">
        <v>2400</v>
      </c>
      <c r="I67" s="851">
        <v>14</v>
      </c>
      <c r="J67" s="851">
        <v>0</v>
      </c>
      <c r="L67" s="340">
        <f t="shared" si="2"/>
        <v>10.053859964093357</v>
      </c>
      <c r="M67" s="12">
        <f t="shared" si="4"/>
        <v>10</v>
      </c>
      <c r="N67" s="860">
        <f t="shared" si="5"/>
        <v>0.94614003590664275</v>
      </c>
      <c r="O67" s="861">
        <f t="shared" si="16"/>
        <v>527</v>
      </c>
      <c r="P67" s="861">
        <f t="shared" si="6"/>
        <v>160</v>
      </c>
      <c r="Q67" s="861">
        <f t="shared" si="7"/>
        <v>10</v>
      </c>
      <c r="S67" s="340">
        <f t="shared" si="3"/>
        <v>6.6481994459833791</v>
      </c>
      <c r="T67" s="12">
        <f t="shared" si="8"/>
        <v>6</v>
      </c>
      <c r="U67" s="860">
        <f t="shared" si="9"/>
        <v>0.35180055401662091</v>
      </c>
      <c r="V67" s="861">
        <f t="shared" si="10"/>
        <v>127.00000000000014</v>
      </c>
      <c r="W67" s="861">
        <f t="shared" si="11"/>
        <v>120</v>
      </c>
      <c r="X67" s="861">
        <f t="shared" si="12"/>
        <v>6</v>
      </c>
      <c r="Y67" s="2"/>
      <c r="Z67" s="12">
        <f t="shared" si="13"/>
        <v>60</v>
      </c>
      <c r="AA67" s="12">
        <f t="shared" si="17"/>
        <v>12.06462</v>
      </c>
      <c r="AB67" s="12">
        <f t="shared" si="14"/>
        <v>13.44</v>
      </c>
      <c r="AC67" s="864">
        <f t="shared" si="15"/>
        <v>0.89766517857142858</v>
      </c>
    </row>
    <row r="68" spans="3:29" x14ac:dyDescent="0.25">
      <c r="C68" s="850">
        <f>IF(Z68&gt;0,MAX(C31:C67)+1,0)</f>
        <v>38</v>
      </c>
      <c r="D68" s="851">
        <v>20</v>
      </c>
      <c r="E68" s="850">
        <v>38</v>
      </c>
      <c r="F68" s="851">
        <v>12</v>
      </c>
      <c r="G68" s="851">
        <v>6000</v>
      </c>
      <c r="H68" s="851">
        <v>2400</v>
      </c>
      <c r="I68" s="851">
        <v>0</v>
      </c>
      <c r="J68" s="851">
        <v>12</v>
      </c>
      <c r="L68" s="340">
        <f t="shared" si="2"/>
        <v>10.771992818671455</v>
      </c>
      <c r="M68" s="12">
        <f t="shared" si="4"/>
        <v>10</v>
      </c>
      <c r="N68" s="860">
        <f t="shared" si="5"/>
        <v>0.22800718132854492</v>
      </c>
      <c r="O68" s="861">
        <f t="shared" si="16"/>
        <v>126.99999999999955</v>
      </c>
      <c r="P68" s="861">
        <f t="shared" si="6"/>
        <v>160</v>
      </c>
      <c r="Q68" s="861">
        <f t="shared" si="7"/>
        <v>11</v>
      </c>
      <c r="S68" s="340">
        <f t="shared" si="3"/>
        <v>6.6481994459833791</v>
      </c>
      <c r="T68" s="12">
        <f t="shared" si="8"/>
        <v>6</v>
      </c>
      <c r="U68" s="860">
        <f t="shared" si="9"/>
        <v>0.35180055401662091</v>
      </c>
      <c r="V68" s="861">
        <f t="shared" si="10"/>
        <v>127.00000000000014</v>
      </c>
      <c r="W68" s="861">
        <f t="shared" si="11"/>
        <v>120</v>
      </c>
      <c r="X68" s="861">
        <f t="shared" si="12"/>
        <v>6</v>
      </c>
      <c r="Y68" s="2"/>
      <c r="Z68" s="12">
        <f t="shared" si="13"/>
        <v>66</v>
      </c>
      <c r="AA68" s="12">
        <f t="shared" si="17"/>
        <v>13.271082</v>
      </c>
      <c r="AB68" s="12">
        <f t="shared" si="14"/>
        <v>14.399999999999999</v>
      </c>
      <c r="AC68" s="864">
        <f t="shared" si="15"/>
        <v>0.92160291666666672</v>
      </c>
    </row>
    <row r="69" spans="3:29" x14ac:dyDescent="0.25">
      <c r="C69" s="848">
        <f>IF(Z69&gt;0,MAX(C31:C68)+1,0)</f>
        <v>39</v>
      </c>
      <c r="D69" s="853">
        <v>10</v>
      </c>
      <c r="E69" s="848">
        <v>39</v>
      </c>
      <c r="F69" s="853">
        <v>16</v>
      </c>
      <c r="G69" s="853">
        <v>6400</v>
      </c>
      <c r="H69" s="853">
        <v>2400</v>
      </c>
      <c r="I69" s="853">
        <v>16</v>
      </c>
      <c r="J69" s="853">
        <v>0</v>
      </c>
      <c r="L69" s="342">
        <f t="shared" si="2"/>
        <v>11.490125673249551</v>
      </c>
      <c r="M69" s="13">
        <f t="shared" si="4"/>
        <v>11</v>
      </c>
      <c r="N69" s="862">
        <f t="shared" si="5"/>
        <v>0.50987432675044886</v>
      </c>
      <c r="O69" s="849">
        <f>$D$4-((L69-M69)*$D$4)</f>
        <v>284</v>
      </c>
      <c r="P69" s="849">
        <f t="shared" si="6"/>
        <v>160</v>
      </c>
      <c r="Q69" s="849">
        <f t="shared" si="7"/>
        <v>11</v>
      </c>
      <c r="S69" s="342">
        <f t="shared" si="3"/>
        <v>6.6481994459833791</v>
      </c>
      <c r="T69" s="13">
        <f t="shared" si="8"/>
        <v>6</v>
      </c>
      <c r="U69" s="862">
        <f t="shared" si="9"/>
        <v>0.35180055401662091</v>
      </c>
      <c r="V69" s="849">
        <f t="shared" si="10"/>
        <v>127.00000000000014</v>
      </c>
      <c r="W69" s="849">
        <f t="shared" si="11"/>
        <v>120</v>
      </c>
      <c r="X69" s="849">
        <f t="shared" si="12"/>
        <v>6</v>
      </c>
      <c r="Y69" s="2"/>
      <c r="Z69" s="13">
        <f t="shared" si="13"/>
        <v>66</v>
      </c>
      <c r="AA69" s="13">
        <f t="shared" si="17"/>
        <v>13.271082</v>
      </c>
      <c r="AB69" s="13">
        <f t="shared" si="14"/>
        <v>15.36</v>
      </c>
      <c r="AC69" s="865">
        <f t="shared" si="15"/>
        <v>0.86400273437499997</v>
      </c>
    </row>
    <row r="70" spans="3:29" x14ac:dyDescent="0.25">
      <c r="C70" s="6"/>
      <c r="D70" s="2"/>
      <c r="S70" s="2"/>
      <c r="U70" s="2"/>
      <c r="V70" s="2"/>
      <c r="W70" s="2"/>
      <c r="X70" s="2"/>
      <c r="Y70" s="2"/>
      <c r="Z70" s="2"/>
      <c r="AA70" s="2"/>
      <c r="AB70" s="2"/>
      <c r="AC70" s="25"/>
    </row>
    <row r="71" spans="3:29" x14ac:dyDescent="0.25">
      <c r="C71" s="845" t="s">
        <v>922</v>
      </c>
      <c r="D71" s="845" t="s">
        <v>898</v>
      </c>
      <c r="E71" s="845" t="s">
        <v>108</v>
      </c>
      <c r="F71" s="845" t="s">
        <v>61</v>
      </c>
      <c r="G71" s="846" t="s">
        <v>899</v>
      </c>
      <c r="H71" s="845" t="s">
        <v>898</v>
      </c>
      <c r="I71" s="845" t="s">
        <v>898</v>
      </c>
      <c r="J71" s="845" t="s">
        <v>898</v>
      </c>
      <c r="L71" s="859" t="s">
        <v>908</v>
      </c>
      <c r="M71" s="845" t="s">
        <v>907</v>
      </c>
      <c r="N71" s="442" t="s">
        <v>910</v>
      </c>
      <c r="O71" s="404" t="s">
        <v>911</v>
      </c>
      <c r="P71" s="442" t="s">
        <v>913</v>
      </c>
      <c r="Q71" s="442" t="s">
        <v>6</v>
      </c>
      <c r="S71" s="845" t="s">
        <v>909</v>
      </c>
      <c r="T71" s="845" t="s">
        <v>907</v>
      </c>
      <c r="U71" s="442" t="s">
        <v>801</v>
      </c>
      <c r="V71" s="404" t="s">
        <v>911</v>
      </c>
      <c r="W71" s="442" t="s">
        <v>913</v>
      </c>
      <c r="X71" s="442" t="s">
        <v>6</v>
      </c>
      <c r="Y71" s="2"/>
      <c r="Z71" s="442" t="s">
        <v>915</v>
      </c>
      <c r="AA71" s="442" t="s">
        <v>605</v>
      </c>
      <c r="AB71" s="442" t="s">
        <v>917</v>
      </c>
      <c r="AC71" s="442" t="s">
        <v>898</v>
      </c>
    </row>
    <row r="72" spans="3:29" x14ac:dyDescent="0.25">
      <c r="C72" s="848">
        <f>MAX(C73:C111)</f>
        <v>39</v>
      </c>
      <c r="D72" s="848" t="s">
        <v>900</v>
      </c>
      <c r="E72" s="848" t="s">
        <v>901</v>
      </c>
      <c r="F72" s="848" t="s">
        <v>810</v>
      </c>
      <c r="G72" s="849" t="s">
        <v>902</v>
      </c>
      <c r="H72" s="848" t="s">
        <v>903</v>
      </c>
      <c r="I72" s="848" t="s">
        <v>897</v>
      </c>
      <c r="J72" s="848" t="s">
        <v>904</v>
      </c>
      <c r="L72" s="342"/>
      <c r="M72" s="52"/>
      <c r="N72" s="13"/>
      <c r="O72" s="52"/>
      <c r="P72" s="13" t="s">
        <v>911</v>
      </c>
      <c r="Q72" s="13" t="s">
        <v>914</v>
      </c>
      <c r="S72" s="13"/>
      <c r="T72" s="52"/>
      <c r="U72" s="13"/>
      <c r="V72" s="13"/>
      <c r="W72" s="13" t="s">
        <v>911</v>
      </c>
      <c r="X72" s="13" t="s">
        <v>914</v>
      </c>
      <c r="Y72" s="2"/>
      <c r="Z72" s="13" t="s">
        <v>898</v>
      </c>
      <c r="AA72" s="13" t="s">
        <v>920</v>
      </c>
      <c r="AB72" s="13" t="s">
        <v>918</v>
      </c>
      <c r="AC72" s="13" t="s">
        <v>921</v>
      </c>
    </row>
    <row r="73" spans="3:29" x14ac:dyDescent="0.25">
      <c r="C73" s="845">
        <f>IF(Z73&gt;0,1,0)</f>
        <v>1</v>
      </c>
      <c r="D73" s="866">
        <v>10</v>
      </c>
      <c r="E73" s="845">
        <v>101</v>
      </c>
      <c r="F73" s="868">
        <v>1</v>
      </c>
      <c r="G73" s="851">
        <v>1200</v>
      </c>
      <c r="H73" s="851">
        <v>800</v>
      </c>
      <c r="I73" s="851">
        <v>1</v>
      </c>
      <c r="J73" s="851">
        <v>0</v>
      </c>
      <c r="L73" s="340">
        <f t="shared" ref="L73:L111" si="18">G73/$D$3</f>
        <v>3.3240997229916895</v>
      </c>
      <c r="M73" s="12">
        <f>FLOOR(L73,1)</f>
        <v>3</v>
      </c>
      <c r="N73" s="860">
        <f t="shared" ref="N73:N111" si="19">(1-(L73-M73))</f>
        <v>0.67590027700831046</v>
      </c>
      <c r="O73" s="861">
        <f>$D$3-((L73-M73)*$D$3)</f>
        <v>244.00000000000006</v>
      </c>
      <c r="P73" s="846">
        <f>$C$24*2</f>
        <v>120</v>
      </c>
      <c r="Q73" s="861">
        <f t="shared" ref="Q73:Q111" si="20">IF(P73&gt;=O73,M73+1,M73)</f>
        <v>3</v>
      </c>
      <c r="S73" s="340">
        <f t="shared" ref="S73:S111" si="21">H73/$D$4</f>
        <v>1.4362657091561939</v>
      </c>
      <c r="T73" s="12">
        <f>FLOOR(S73,1)</f>
        <v>1</v>
      </c>
      <c r="U73" s="860">
        <f t="shared" ref="U73:U111" si="22">(1-(S73-T73))</f>
        <v>0.56373429084380611</v>
      </c>
      <c r="V73" s="861">
        <f>$D$4-((S73-T73)*$D$4)</f>
        <v>314</v>
      </c>
      <c r="W73" s="846">
        <f>$D$24*2</f>
        <v>160</v>
      </c>
      <c r="X73" s="861">
        <f t="shared" ref="X73:X111" si="23">IF(W73&gt;=V73,T73+1,T73)</f>
        <v>1</v>
      </c>
      <c r="Y73" s="2"/>
      <c r="Z73" s="12">
        <f t="shared" ref="Z73:Z111" si="24">Q73*X73</f>
        <v>3</v>
      </c>
      <c r="AA73" s="12">
        <f t="shared" ref="AA73:AA111" si="25">Z73*$D$5</f>
        <v>0.60323100000000007</v>
      </c>
      <c r="AB73" s="12">
        <f t="shared" ref="AB73:AB111" si="26">(G73/1000)*(H73/1000)</f>
        <v>0.96</v>
      </c>
      <c r="AC73" s="864">
        <f t="shared" ref="AC73:AC111" si="27">IF(Z73&gt;0,AA73/AB73,0)</f>
        <v>0.62836562500000015</v>
      </c>
    </row>
    <row r="74" spans="3:29" x14ac:dyDescent="0.25">
      <c r="C74" s="850">
        <f>IF(Z74&gt;0,MAX(C73)+1,0)</f>
        <v>2</v>
      </c>
      <c r="D74" s="866">
        <v>20</v>
      </c>
      <c r="E74" s="850">
        <v>102</v>
      </c>
      <c r="F74" s="868">
        <v>1</v>
      </c>
      <c r="G74" s="851">
        <v>1200</v>
      </c>
      <c r="H74" s="851">
        <v>1000</v>
      </c>
      <c r="I74" s="851">
        <v>0</v>
      </c>
      <c r="J74" s="851">
        <v>1</v>
      </c>
      <c r="L74" s="340">
        <f t="shared" si="18"/>
        <v>3.3240997229916895</v>
      </c>
      <c r="M74" s="12">
        <f t="shared" ref="M74:M111" si="28">FLOOR(L74,1)</f>
        <v>3</v>
      </c>
      <c r="N74" s="860">
        <f t="shared" si="19"/>
        <v>0.67590027700831046</v>
      </c>
      <c r="O74" s="861">
        <f t="shared" ref="O74:O111" si="29">$D$3-((L74-M74)*$D$3)</f>
        <v>244.00000000000006</v>
      </c>
      <c r="P74" s="861">
        <f t="shared" ref="P74:P111" si="30">$C$24*2</f>
        <v>120</v>
      </c>
      <c r="Q74" s="861">
        <f t="shared" si="20"/>
        <v>3</v>
      </c>
      <c r="S74" s="340">
        <f t="shared" si="21"/>
        <v>1.7953321364452424</v>
      </c>
      <c r="T74" s="12">
        <f t="shared" ref="T74:T111" si="31">FLOOR(S74,1)</f>
        <v>1</v>
      </c>
      <c r="U74" s="860">
        <f t="shared" si="22"/>
        <v>0.20466786355475763</v>
      </c>
      <c r="V74" s="861">
        <f t="shared" ref="V74:V111" si="32">$D$4-((S74-T74)*$D$4)</f>
        <v>114</v>
      </c>
      <c r="W74" s="861">
        <f t="shared" ref="W74:W111" si="33">$D$24*2</f>
        <v>160</v>
      </c>
      <c r="X74" s="861">
        <f t="shared" si="23"/>
        <v>2</v>
      </c>
      <c r="Y74" s="2"/>
      <c r="Z74" s="12">
        <f t="shared" si="24"/>
        <v>6</v>
      </c>
      <c r="AA74" s="12">
        <f t="shared" si="25"/>
        <v>1.2064620000000001</v>
      </c>
      <c r="AB74" s="12">
        <f t="shared" si="26"/>
        <v>1.2</v>
      </c>
      <c r="AC74" s="864">
        <f t="shared" si="27"/>
        <v>1.0053850000000002</v>
      </c>
    </row>
    <row r="75" spans="3:29" x14ac:dyDescent="0.25">
      <c r="C75" s="850">
        <f>IF(Z75&gt;0,MAX(C73:C74)+1,0)</f>
        <v>3</v>
      </c>
      <c r="D75" s="866">
        <v>10</v>
      </c>
      <c r="E75" s="850">
        <v>103</v>
      </c>
      <c r="F75" s="868">
        <v>2</v>
      </c>
      <c r="G75" s="852">
        <v>1600</v>
      </c>
      <c r="H75" s="851">
        <v>1200</v>
      </c>
      <c r="I75" s="851">
        <v>2</v>
      </c>
      <c r="J75" s="851">
        <v>0</v>
      </c>
      <c r="L75" s="340">
        <f t="shared" si="18"/>
        <v>4.43213296398892</v>
      </c>
      <c r="M75" s="12">
        <f t="shared" si="28"/>
        <v>4</v>
      </c>
      <c r="N75" s="860">
        <f t="shared" si="19"/>
        <v>0.56786703601108002</v>
      </c>
      <c r="O75" s="861">
        <f t="shared" si="29"/>
        <v>204.99999999999989</v>
      </c>
      <c r="P75" s="861">
        <f t="shared" si="30"/>
        <v>120</v>
      </c>
      <c r="Q75" s="861">
        <f t="shared" si="20"/>
        <v>4</v>
      </c>
      <c r="S75" s="340">
        <f t="shared" si="21"/>
        <v>2.1543985637342908</v>
      </c>
      <c r="T75" s="12">
        <f t="shared" si="31"/>
        <v>2</v>
      </c>
      <c r="U75" s="860">
        <f t="shared" si="22"/>
        <v>0.84560143626570916</v>
      </c>
      <c r="V75" s="861">
        <f t="shared" si="32"/>
        <v>471</v>
      </c>
      <c r="W75" s="861">
        <f t="shared" si="33"/>
        <v>160</v>
      </c>
      <c r="X75" s="861">
        <f t="shared" si="23"/>
        <v>2</v>
      </c>
      <c r="Y75" s="2"/>
      <c r="Z75" s="12">
        <f t="shared" si="24"/>
        <v>8</v>
      </c>
      <c r="AA75" s="12">
        <f t="shared" si="25"/>
        <v>1.608616</v>
      </c>
      <c r="AB75" s="12">
        <f t="shared" si="26"/>
        <v>1.92</v>
      </c>
      <c r="AC75" s="864">
        <f t="shared" si="27"/>
        <v>0.83782083333333335</v>
      </c>
    </row>
    <row r="76" spans="3:29" x14ac:dyDescent="0.25">
      <c r="C76" s="850">
        <f>IF(Z76&gt;0,MAX(C73:C75)+1,0)</f>
        <v>4</v>
      </c>
      <c r="D76" s="866">
        <v>10</v>
      </c>
      <c r="E76" s="850">
        <v>104</v>
      </c>
      <c r="F76" s="868">
        <v>2</v>
      </c>
      <c r="G76" s="851">
        <v>2400</v>
      </c>
      <c r="H76" s="851">
        <v>800</v>
      </c>
      <c r="I76" s="851">
        <v>2</v>
      </c>
      <c r="J76" s="851">
        <v>0</v>
      </c>
      <c r="L76" s="340">
        <f t="shared" si="18"/>
        <v>6.6481994459833791</v>
      </c>
      <c r="M76" s="12">
        <f t="shared" si="28"/>
        <v>6</v>
      </c>
      <c r="N76" s="860">
        <f t="shared" si="19"/>
        <v>0.35180055401662091</v>
      </c>
      <c r="O76" s="861">
        <f t="shared" si="29"/>
        <v>127.00000000000014</v>
      </c>
      <c r="P76" s="861">
        <f t="shared" si="30"/>
        <v>120</v>
      </c>
      <c r="Q76" s="861">
        <f t="shared" si="20"/>
        <v>6</v>
      </c>
      <c r="S76" s="340">
        <f t="shared" si="21"/>
        <v>1.4362657091561939</v>
      </c>
      <c r="T76" s="12">
        <f t="shared" si="31"/>
        <v>1</v>
      </c>
      <c r="U76" s="860">
        <f t="shared" si="22"/>
        <v>0.56373429084380611</v>
      </c>
      <c r="V76" s="861">
        <f t="shared" si="32"/>
        <v>314</v>
      </c>
      <c r="W76" s="861">
        <f t="shared" si="33"/>
        <v>160</v>
      </c>
      <c r="X76" s="861">
        <f t="shared" si="23"/>
        <v>1</v>
      </c>
      <c r="Y76" s="2"/>
      <c r="Z76" s="12">
        <f t="shared" si="24"/>
        <v>6</v>
      </c>
      <c r="AA76" s="12">
        <f t="shared" si="25"/>
        <v>1.2064620000000001</v>
      </c>
      <c r="AB76" s="12">
        <f t="shared" si="26"/>
        <v>1.92</v>
      </c>
      <c r="AC76" s="864">
        <f t="shared" si="27"/>
        <v>0.62836562500000015</v>
      </c>
    </row>
    <row r="77" spans="3:29" x14ac:dyDescent="0.25">
      <c r="C77" s="850">
        <f>IF(Z77&gt;0,MAX(C73:C76)+1,0)</f>
        <v>5</v>
      </c>
      <c r="D77" s="866">
        <v>20</v>
      </c>
      <c r="E77" s="850">
        <v>105</v>
      </c>
      <c r="F77" s="868">
        <v>2</v>
      </c>
      <c r="G77" s="851">
        <v>2000</v>
      </c>
      <c r="H77" s="851">
        <v>1200</v>
      </c>
      <c r="I77" s="851">
        <v>0</v>
      </c>
      <c r="J77" s="851">
        <v>2</v>
      </c>
      <c r="L77" s="340">
        <f t="shared" si="18"/>
        <v>5.54016620498615</v>
      </c>
      <c r="M77" s="12">
        <f t="shared" si="28"/>
        <v>5</v>
      </c>
      <c r="N77" s="860">
        <f t="shared" si="19"/>
        <v>0.45983379501385002</v>
      </c>
      <c r="O77" s="861">
        <f t="shared" si="29"/>
        <v>165.99999999999986</v>
      </c>
      <c r="P77" s="861">
        <f t="shared" si="30"/>
        <v>120</v>
      </c>
      <c r="Q77" s="861">
        <f t="shared" si="20"/>
        <v>5</v>
      </c>
      <c r="S77" s="340">
        <f t="shared" si="21"/>
        <v>2.1543985637342908</v>
      </c>
      <c r="T77" s="12">
        <f t="shared" si="31"/>
        <v>2</v>
      </c>
      <c r="U77" s="860">
        <f t="shared" si="22"/>
        <v>0.84560143626570916</v>
      </c>
      <c r="V77" s="861">
        <f t="shared" si="32"/>
        <v>471</v>
      </c>
      <c r="W77" s="861">
        <f t="shared" si="33"/>
        <v>160</v>
      </c>
      <c r="X77" s="861">
        <f t="shared" si="23"/>
        <v>2</v>
      </c>
      <c r="Y77" s="2"/>
      <c r="Z77" s="12">
        <f t="shared" si="24"/>
        <v>10</v>
      </c>
      <c r="AA77" s="12">
        <f t="shared" si="25"/>
        <v>2.0107699999999999</v>
      </c>
      <c r="AB77" s="12">
        <f t="shared" si="26"/>
        <v>2.4</v>
      </c>
      <c r="AC77" s="864">
        <f t="shared" si="27"/>
        <v>0.83782083333333335</v>
      </c>
    </row>
    <row r="78" spans="3:29" x14ac:dyDescent="0.25">
      <c r="C78" s="850">
        <f>IF(Z78&gt;0,MAX(C73:C77)+1,0)</f>
        <v>6</v>
      </c>
      <c r="D78" s="866">
        <v>20</v>
      </c>
      <c r="E78" s="850">
        <v>106</v>
      </c>
      <c r="F78" s="868">
        <v>2</v>
      </c>
      <c r="G78" s="851">
        <v>2400</v>
      </c>
      <c r="H78" s="851">
        <v>1000</v>
      </c>
      <c r="I78" s="851">
        <v>0</v>
      </c>
      <c r="J78" s="851">
        <v>2</v>
      </c>
      <c r="L78" s="340">
        <f t="shared" si="18"/>
        <v>6.6481994459833791</v>
      </c>
      <c r="M78" s="12">
        <f t="shared" si="28"/>
        <v>6</v>
      </c>
      <c r="N78" s="860">
        <f t="shared" si="19"/>
        <v>0.35180055401662091</v>
      </c>
      <c r="O78" s="861">
        <f t="shared" si="29"/>
        <v>127.00000000000014</v>
      </c>
      <c r="P78" s="861">
        <f t="shared" si="30"/>
        <v>120</v>
      </c>
      <c r="Q78" s="861">
        <f t="shared" si="20"/>
        <v>6</v>
      </c>
      <c r="S78" s="340">
        <f t="shared" si="21"/>
        <v>1.7953321364452424</v>
      </c>
      <c r="T78" s="12">
        <f t="shared" si="31"/>
        <v>1</v>
      </c>
      <c r="U78" s="860">
        <f t="shared" si="22"/>
        <v>0.20466786355475763</v>
      </c>
      <c r="V78" s="861">
        <f t="shared" si="32"/>
        <v>114</v>
      </c>
      <c r="W78" s="861">
        <f t="shared" si="33"/>
        <v>160</v>
      </c>
      <c r="X78" s="861">
        <f t="shared" si="23"/>
        <v>2</v>
      </c>
      <c r="Y78" s="2"/>
      <c r="Z78" s="12">
        <f t="shared" si="24"/>
        <v>12</v>
      </c>
      <c r="AA78" s="12">
        <f t="shared" si="25"/>
        <v>2.4129240000000003</v>
      </c>
      <c r="AB78" s="12">
        <f t="shared" si="26"/>
        <v>2.4</v>
      </c>
      <c r="AC78" s="864">
        <f t="shared" si="27"/>
        <v>1.0053850000000002</v>
      </c>
    </row>
    <row r="79" spans="3:29" x14ac:dyDescent="0.25">
      <c r="C79" s="850">
        <f>IF(Z79&gt;0,MAX(C73:C78)+1,0)</f>
        <v>7</v>
      </c>
      <c r="D79" s="866">
        <v>10</v>
      </c>
      <c r="E79" s="850">
        <v>107</v>
      </c>
      <c r="F79" s="868">
        <v>3</v>
      </c>
      <c r="G79" s="851">
        <v>2400</v>
      </c>
      <c r="H79" s="851">
        <v>1200</v>
      </c>
      <c r="I79" s="851">
        <v>3</v>
      </c>
      <c r="J79" s="851">
        <v>0</v>
      </c>
      <c r="L79" s="340">
        <f t="shared" si="18"/>
        <v>6.6481994459833791</v>
      </c>
      <c r="M79" s="12">
        <f t="shared" si="28"/>
        <v>6</v>
      </c>
      <c r="N79" s="860">
        <f t="shared" si="19"/>
        <v>0.35180055401662091</v>
      </c>
      <c r="O79" s="861">
        <f t="shared" si="29"/>
        <v>127.00000000000014</v>
      </c>
      <c r="P79" s="861">
        <f t="shared" si="30"/>
        <v>120</v>
      </c>
      <c r="Q79" s="861">
        <f t="shared" si="20"/>
        <v>6</v>
      </c>
      <c r="S79" s="340">
        <f t="shared" si="21"/>
        <v>2.1543985637342908</v>
      </c>
      <c r="T79" s="12">
        <f t="shared" si="31"/>
        <v>2</v>
      </c>
      <c r="U79" s="860">
        <f t="shared" si="22"/>
        <v>0.84560143626570916</v>
      </c>
      <c r="V79" s="861">
        <f t="shared" si="32"/>
        <v>471</v>
      </c>
      <c r="W79" s="861">
        <f t="shared" si="33"/>
        <v>160</v>
      </c>
      <c r="X79" s="861">
        <f t="shared" si="23"/>
        <v>2</v>
      </c>
      <c r="Y79" s="2"/>
      <c r="Z79" s="12">
        <f t="shared" si="24"/>
        <v>12</v>
      </c>
      <c r="AA79" s="12">
        <f t="shared" si="25"/>
        <v>2.4129240000000003</v>
      </c>
      <c r="AB79" s="12">
        <f t="shared" si="26"/>
        <v>2.88</v>
      </c>
      <c r="AC79" s="864">
        <f t="shared" si="27"/>
        <v>0.83782083333333346</v>
      </c>
    </row>
    <row r="80" spans="3:29" x14ac:dyDescent="0.25">
      <c r="C80" s="850">
        <f>IF(Z80&gt;0,MAX(C73:C79)+1,0)</f>
        <v>8</v>
      </c>
      <c r="D80" s="866">
        <v>10</v>
      </c>
      <c r="E80" s="850">
        <v>108</v>
      </c>
      <c r="F80" s="868">
        <v>3</v>
      </c>
      <c r="G80" s="851">
        <v>3600</v>
      </c>
      <c r="H80" s="851">
        <v>800</v>
      </c>
      <c r="I80" s="851">
        <v>3</v>
      </c>
      <c r="J80" s="851">
        <v>0</v>
      </c>
      <c r="L80" s="340">
        <f t="shared" si="18"/>
        <v>9.97229916897507</v>
      </c>
      <c r="M80" s="12">
        <f t="shared" si="28"/>
        <v>9</v>
      </c>
      <c r="N80" s="860">
        <f t="shared" si="19"/>
        <v>2.7700831024930039E-2</v>
      </c>
      <c r="O80" s="861">
        <f t="shared" si="29"/>
        <v>9.9999999999997726</v>
      </c>
      <c r="P80" s="861">
        <f t="shared" si="30"/>
        <v>120</v>
      </c>
      <c r="Q80" s="861">
        <f t="shared" si="20"/>
        <v>10</v>
      </c>
      <c r="S80" s="340">
        <f t="shared" si="21"/>
        <v>1.4362657091561939</v>
      </c>
      <c r="T80" s="12">
        <f t="shared" si="31"/>
        <v>1</v>
      </c>
      <c r="U80" s="860">
        <f t="shared" si="22"/>
        <v>0.56373429084380611</v>
      </c>
      <c r="V80" s="861">
        <f t="shared" si="32"/>
        <v>314</v>
      </c>
      <c r="W80" s="861">
        <f t="shared" si="33"/>
        <v>160</v>
      </c>
      <c r="X80" s="861">
        <f t="shared" si="23"/>
        <v>1</v>
      </c>
      <c r="Y80" s="2"/>
      <c r="Z80" s="12">
        <f t="shared" si="24"/>
        <v>10</v>
      </c>
      <c r="AA80" s="12">
        <f t="shared" si="25"/>
        <v>2.0107699999999999</v>
      </c>
      <c r="AB80" s="12">
        <f t="shared" si="26"/>
        <v>2.8800000000000003</v>
      </c>
      <c r="AC80" s="864">
        <f t="shared" si="27"/>
        <v>0.69818402777777766</v>
      </c>
    </row>
    <row r="81" spans="3:29" x14ac:dyDescent="0.25">
      <c r="C81" s="850">
        <f>IF(Z81&gt;0,MAX(C73:C80)+1,0)</f>
        <v>9</v>
      </c>
      <c r="D81" s="866">
        <v>20</v>
      </c>
      <c r="E81" s="850">
        <v>109</v>
      </c>
      <c r="F81" s="868">
        <v>3</v>
      </c>
      <c r="G81" s="851">
        <v>3000</v>
      </c>
      <c r="H81" s="851">
        <v>1200</v>
      </c>
      <c r="I81" s="851">
        <v>0</v>
      </c>
      <c r="J81" s="851">
        <v>3</v>
      </c>
      <c r="L81" s="340">
        <f t="shared" si="18"/>
        <v>8.310249307479225</v>
      </c>
      <c r="M81" s="12">
        <f t="shared" si="28"/>
        <v>8</v>
      </c>
      <c r="N81" s="860">
        <f t="shared" si="19"/>
        <v>0.68975069252077503</v>
      </c>
      <c r="O81" s="861">
        <f t="shared" si="29"/>
        <v>248.99999999999977</v>
      </c>
      <c r="P81" s="861">
        <f t="shared" si="30"/>
        <v>120</v>
      </c>
      <c r="Q81" s="861">
        <f t="shared" si="20"/>
        <v>8</v>
      </c>
      <c r="S81" s="340">
        <f t="shared" si="21"/>
        <v>2.1543985637342908</v>
      </c>
      <c r="T81" s="12">
        <f t="shared" si="31"/>
        <v>2</v>
      </c>
      <c r="U81" s="860">
        <f t="shared" si="22"/>
        <v>0.84560143626570916</v>
      </c>
      <c r="V81" s="861">
        <f t="shared" si="32"/>
        <v>471</v>
      </c>
      <c r="W81" s="861">
        <f t="shared" si="33"/>
        <v>160</v>
      </c>
      <c r="X81" s="861">
        <f t="shared" si="23"/>
        <v>2</v>
      </c>
      <c r="Y81" s="2"/>
      <c r="Z81" s="12">
        <f t="shared" si="24"/>
        <v>16</v>
      </c>
      <c r="AA81" s="12">
        <f t="shared" si="25"/>
        <v>3.2172320000000001</v>
      </c>
      <c r="AB81" s="12">
        <f t="shared" si="26"/>
        <v>3.5999999999999996</v>
      </c>
      <c r="AC81" s="864">
        <f t="shared" si="27"/>
        <v>0.89367555555555567</v>
      </c>
    </row>
    <row r="82" spans="3:29" x14ac:dyDescent="0.25">
      <c r="C82" s="850">
        <f>IF(Z82&gt;0,MAX(C73:C81)+1,0)</f>
        <v>10</v>
      </c>
      <c r="D82" s="866">
        <v>20</v>
      </c>
      <c r="E82" s="850">
        <v>110</v>
      </c>
      <c r="F82" s="868">
        <v>3</v>
      </c>
      <c r="G82" s="851">
        <v>3600</v>
      </c>
      <c r="H82" s="851">
        <v>1000</v>
      </c>
      <c r="I82" s="851">
        <v>0</v>
      </c>
      <c r="J82" s="851">
        <v>3</v>
      </c>
      <c r="L82" s="340">
        <f t="shared" si="18"/>
        <v>9.97229916897507</v>
      </c>
      <c r="M82" s="12">
        <f t="shared" si="28"/>
        <v>9</v>
      </c>
      <c r="N82" s="860">
        <f t="shared" si="19"/>
        <v>2.7700831024930039E-2</v>
      </c>
      <c r="O82" s="861">
        <f t="shared" si="29"/>
        <v>9.9999999999997726</v>
      </c>
      <c r="P82" s="861">
        <f t="shared" si="30"/>
        <v>120</v>
      </c>
      <c r="Q82" s="861">
        <f t="shared" si="20"/>
        <v>10</v>
      </c>
      <c r="S82" s="340">
        <f t="shared" si="21"/>
        <v>1.7953321364452424</v>
      </c>
      <c r="T82" s="12">
        <f t="shared" si="31"/>
        <v>1</v>
      </c>
      <c r="U82" s="860">
        <f t="shared" si="22"/>
        <v>0.20466786355475763</v>
      </c>
      <c r="V82" s="861">
        <f t="shared" si="32"/>
        <v>114</v>
      </c>
      <c r="W82" s="861">
        <f t="shared" si="33"/>
        <v>160</v>
      </c>
      <c r="X82" s="861">
        <f t="shared" si="23"/>
        <v>2</v>
      </c>
      <c r="Z82" s="12">
        <f t="shared" si="24"/>
        <v>20</v>
      </c>
      <c r="AA82" s="12">
        <f t="shared" si="25"/>
        <v>4.0215399999999999</v>
      </c>
      <c r="AB82" s="12">
        <f t="shared" si="26"/>
        <v>3.6</v>
      </c>
      <c r="AC82" s="864">
        <f t="shared" si="27"/>
        <v>1.1170944444444444</v>
      </c>
    </row>
    <row r="83" spans="3:29" x14ac:dyDescent="0.25">
      <c r="C83" s="850">
        <f>IF(Z83&gt;0,MAX(C73:C82)+1,0)</f>
        <v>11</v>
      </c>
      <c r="D83" s="866">
        <v>10</v>
      </c>
      <c r="E83" s="850">
        <v>111</v>
      </c>
      <c r="F83" s="868">
        <v>4</v>
      </c>
      <c r="G83" s="851">
        <v>2400</v>
      </c>
      <c r="H83" s="851">
        <v>1600</v>
      </c>
      <c r="I83" s="851">
        <v>4</v>
      </c>
      <c r="J83" s="851">
        <v>0</v>
      </c>
      <c r="L83" s="340">
        <f t="shared" si="18"/>
        <v>6.6481994459833791</v>
      </c>
      <c r="M83" s="12">
        <f t="shared" si="28"/>
        <v>6</v>
      </c>
      <c r="N83" s="860">
        <f t="shared" si="19"/>
        <v>0.35180055401662091</v>
      </c>
      <c r="O83" s="861">
        <f t="shared" si="29"/>
        <v>127.00000000000014</v>
      </c>
      <c r="P83" s="861">
        <f t="shared" si="30"/>
        <v>120</v>
      </c>
      <c r="Q83" s="861">
        <f t="shared" si="20"/>
        <v>6</v>
      </c>
      <c r="S83" s="340">
        <f t="shared" si="21"/>
        <v>2.8725314183123878</v>
      </c>
      <c r="T83" s="12">
        <f t="shared" si="31"/>
        <v>2</v>
      </c>
      <c r="U83" s="860">
        <f t="shared" si="22"/>
        <v>0.12746858168761221</v>
      </c>
      <c r="V83" s="861">
        <f t="shared" si="32"/>
        <v>71</v>
      </c>
      <c r="W83" s="861">
        <f t="shared" si="33"/>
        <v>160</v>
      </c>
      <c r="X83" s="861">
        <f t="shared" si="23"/>
        <v>3</v>
      </c>
      <c r="Z83" s="12">
        <f t="shared" si="24"/>
        <v>18</v>
      </c>
      <c r="AA83" s="12">
        <f t="shared" si="25"/>
        <v>3.619386</v>
      </c>
      <c r="AB83" s="12">
        <f t="shared" si="26"/>
        <v>3.84</v>
      </c>
      <c r="AC83" s="864">
        <f t="shared" si="27"/>
        <v>0.94254843750000006</v>
      </c>
    </row>
    <row r="84" spans="3:29" x14ac:dyDescent="0.25">
      <c r="C84" s="850">
        <f>IF(Z84&gt;0,MAX(C73:C83)+1,0)</f>
        <v>12</v>
      </c>
      <c r="D84" s="866">
        <v>10</v>
      </c>
      <c r="E84" s="850">
        <v>112</v>
      </c>
      <c r="F84" s="868">
        <v>4</v>
      </c>
      <c r="G84" s="851">
        <v>3200</v>
      </c>
      <c r="H84" s="851">
        <v>1200</v>
      </c>
      <c r="I84" s="851">
        <v>4</v>
      </c>
      <c r="J84" s="851">
        <v>0</v>
      </c>
      <c r="L84" s="340">
        <f t="shared" si="18"/>
        <v>8.86426592797784</v>
      </c>
      <c r="M84" s="12">
        <f t="shared" si="28"/>
        <v>8</v>
      </c>
      <c r="N84" s="860">
        <f t="shared" si="19"/>
        <v>0.13573407202216003</v>
      </c>
      <c r="O84" s="861">
        <f t="shared" si="29"/>
        <v>48.999999999999773</v>
      </c>
      <c r="P84" s="861">
        <f t="shared" si="30"/>
        <v>120</v>
      </c>
      <c r="Q84" s="861">
        <f t="shared" si="20"/>
        <v>9</v>
      </c>
      <c r="S84" s="340">
        <f t="shared" si="21"/>
        <v>2.1543985637342908</v>
      </c>
      <c r="T84" s="12">
        <f t="shared" si="31"/>
        <v>2</v>
      </c>
      <c r="U84" s="860">
        <f t="shared" si="22"/>
        <v>0.84560143626570916</v>
      </c>
      <c r="V84" s="861">
        <f t="shared" si="32"/>
        <v>471</v>
      </c>
      <c r="W84" s="861">
        <f t="shared" si="33"/>
        <v>160</v>
      </c>
      <c r="X84" s="861">
        <f t="shared" si="23"/>
        <v>2</v>
      </c>
      <c r="Z84" s="12">
        <f t="shared" si="24"/>
        <v>18</v>
      </c>
      <c r="AA84" s="12">
        <f t="shared" si="25"/>
        <v>3.619386</v>
      </c>
      <c r="AB84" s="12">
        <f t="shared" si="26"/>
        <v>3.84</v>
      </c>
      <c r="AC84" s="864">
        <f t="shared" si="27"/>
        <v>0.94254843750000006</v>
      </c>
    </row>
    <row r="85" spans="3:29" x14ac:dyDescent="0.25">
      <c r="C85" s="850">
        <f>IF(Z85&gt;0,MAX(C73:C84)+1,0)</f>
        <v>13</v>
      </c>
      <c r="D85" s="866">
        <v>10</v>
      </c>
      <c r="E85" s="850">
        <v>113</v>
      </c>
      <c r="F85" s="868">
        <v>4</v>
      </c>
      <c r="G85" s="851">
        <v>4800</v>
      </c>
      <c r="H85" s="851">
        <v>800</v>
      </c>
      <c r="I85" s="851">
        <v>4</v>
      </c>
      <c r="J85" s="851">
        <v>0</v>
      </c>
      <c r="L85" s="340">
        <f t="shared" si="18"/>
        <v>13.296398891966758</v>
      </c>
      <c r="M85" s="12">
        <f t="shared" si="28"/>
        <v>13</v>
      </c>
      <c r="N85" s="860">
        <f t="shared" si="19"/>
        <v>0.70360110803324183</v>
      </c>
      <c r="O85" s="861">
        <f t="shared" si="29"/>
        <v>254.00000000000028</v>
      </c>
      <c r="P85" s="861">
        <f t="shared" si="30"/>
        <v>120</v>
      </c>
      <c r="Q85" s="861">
        <f t="shared" si="20"/>
        <v>13</v>
      </c>
      <c r="S85" s="340">
        <f t="shared" si="21"/>
        <v>1.4362657091561939</v>
      </c>
      <c r="T85" s="12">
        <f t="shared" si="31"/>
        <v>1</v>
      </c>
      <c r="U85" s="860">
        <f t="shared" si="22"/>
        <v>0.56373429084380611</v>
      </c>
      <c r="V85" s="861">
        <f t="shared" si="32"/>
        <v>314</v>
      </c>
      <c r="W85" s="861">
        <f t="shared" si="33"/>
        <v>160</v>
      </c>
      <c r="X85" s="861">
        <f t="shared" si="23"/>
        <v>1</v>
      </c>
      <c r="Z85" s="12">
        <f t="shared" si="24"/>
        <v>13</v>
      </c>
      <c r="AA85" s="12">
        <f t="shared" si="25"/>
        <v>2.614001</v>
      </c>
      <c r="AB85" s="12">
        <f t="shared" si="26"/>
        <v>3.84</v>
      </c>
      <c r="AC85" s="864">
        <f t="shared" si="27"/>
        <v>0.68072942708333339</v>
      </c>
    </row>
    <row r="86" spans="3:29" x14ac:dyDescent="0.25">
      <c r="C86" s="850">
        <f>IF(Z86&gt;0,MAX(C73:C85)+1,0)</f>
        <v>14</v>
      </c>
      <c r="D86" s="866">
        <v>20</v>
      </c>
      <c r="E86" s="850">
        <v>114</v>
      </c>
      <c r="F86" s="868">
        <v>4</v>
      </c>
      <c r="G86" s="851">
        <v>2400</v>
      </c>
      <c r="H86" s="851">
        <v>2000</v>
      </c>
      <c r="I86" s="851">
        <v>0</v>
      </c>
      <c r="J86" s="851">
        <v>4</v>
      </c>
      <c r="L86" s="340">
        <f t="shared" si="18"/>
        <v>6.6481994459833791</v>
      </c>
      <c r="M86" s="12">
        <f t="shared" si="28"/>
        <v>6</v>
      </c>
      <c r="N86" s="860">
        <f t="shared" si="19"/>
        <v>0.35180055401662091</v>
      </c>
      <c r="O86" s="861">
        <f t="shared" si="29"/>
        <v>127.00000000000014</v>
      </c>
      <c r="P86" s="861">
        <f t="shared" si="30"/>
        <v>120</v>
      </c>
      <c r="Q86" s="861">
        <f t="shared" si="20"/>
        <v>6</v>
      </c>
      <c r="S86" s="340">
        <f t="shared" si="21"/>
        <v>3.5906642728904847</v>
      </c>
      <c r="T86" s="12">
        <f t="shared" si="31"/>
        <v>3</v>
      </c>
      <c r="U86" s="860">
        <f t="shared" si="22"/>
        <v>0.40933572710951527</v>
      </c>
      <c r="V86" s="861">
        <f t="shared" si="32"/>
        <v>228</v>
      </c>
      <c r="W86" s="861">
        <f t="shared" si="33"/>
        <v>160</v>
      </c>
      <c r="X86" s="861">
        <f t="shared" si="23"/>
        <v>3</v>
      </c>
      <c r="Z86" s="12">
        <f t="shared" si="24"/>
        <v>18</v>
      </c>
      <c r="AA86" s="12">
        <f t="shared" si="25"/>
        <v>3.619386</v>
      </c>
      <c r="AB86" s="12">
        <f t="shared" si="26"/>
        <v>4.8</v>
      </c>
      <c r="AC86" s="864">
        <f t="shared" si="27"/>
        <v>0.75403874999999998</v>
      </c>
    </row>
    <row r="87" spans="3:29" x14ac:dyDescent="0.25">
      <c r="C87" s="850">
        <f>IF(Z87&gt;0,MAX(C73:C86)+1,0)</f>
        <v>15</v>
      </c>
      <c r="D87" s="866">
        <v>20</v>
      </c>
      <c r="E87" s="850">
        <v>115</v>
      </c>
      <c r="F87" s="868">
        <v>4</v>
      </c>
      <c r="G87" s="851">
        <v>4000</v>
      </c>
      <c r="H87" s="851">
        <v>1200</v>
      </c>
      <c r="I87" s="851">
        <v>0</v>
      </c>
      <c r="J87" s="851">
        <v>4</v>
      </c>
      <c r="L87" s="340">
        <f t="shared" si="18"/>
        <v>11.0803324099723</v>
      </c>
      <c r="M87" s="12">
        <f t="shared" si="28"/>
        <v>11</v>
      </c>
      <c r="N87" s="860">
        <f t="shared" si="19"/>
        <v>0.91966759002770004</v>
      </c>
      <c r="O87" s="861">
        <f t="shared" si="29"/>
        <v>331.99999999999972</v>
      </c>
      <c r="P87" s="861">
        <f t="shared" si="30"/>
        <v>120</v>
      </c>
      <c r="Q87" s="861">
        <f t="shared" si="20"/>
        <v>11</v>
      </c>
      <c r="S87" s="340">
        <f t="shared" si="21"/>
        <v>2.1543985637342908</v>
      </c>
      <c r="T87" s="12">
        <f t="shared" si="31"/>
        <v>2</v>
      </c>
      <c r="U87" s="860">
        <f t="shared" si="22"/>
        <v>0.84560143626570916</v>
      </c>
      <c r="V87" s="861">
        <f t="shared" si="32"/>
        <v>471</v>
      </c>
      <c r="W87" s="861">
        <f t="shared" si="33"/>
        <v>160</v>
      </c>
      <c r="X87" s="861">
        <f t="shared" si="23"/>
        <v>2</v>
      </c>
      <c r="Z87" s="12">
        <f t="shared" si="24"/>
        <v>22</v>
      </c>
      <c r="AA87" s="12">
        <f t="shared" si="25"/>
        <v>4.4236940000000002</v>
      </c>
      <c r="AB87" s="12">
        <f t="shared" si="26"/>
        <v>4.8</v>
      </c>
      <c r="AC87" s="864">
        <f t="shared" si="27"/>
        <v>0.92160291666666672</v>
      </c>
    </row>
    <row r="88" spans="3:29" x14ac:dyDescent="0.25">
      <c r="C88" s="850">
        <f>IF(Z88&gt;0,MAX(C73:C87)+1,0)</f>
        <v>16</v>
      </c>
      <c r="D88" s="866">
        <v>10</v>
      </c>
      <c r="E88" s="850">
        <v>116</v>
      </c>
      <c r="F88" s="868">
        <v>5</v>
      </c>
      <c r="G88" s="851">
        <v>4000</v>
      </c>
      <c r="H88" s="851">
        <v>1200</v>
      </c>
      <c r="I88" s="851">
        <v>5</v>
      </c>
      <c r="J88" s="851">
        <v>0</v>
      </c>
      <c r="L88" s="340">
        <f t="shared" si="18"/>
        <v>11.0803324099723</v>
      </c>
      <c r="M88" s="12">
        <f t="shared" si="28"/>
        <v>11</v>
      </c>
      <c r="N88" s="860">
        <f t="shared" si="19"/>
        <v>0.91966759002770004</v>
      </c>
      <c r="O88" s="861">
        <f t="shared" si="29"/>
        <v>331.99999999999972</v>
      </c>
      <c r="P88" s="861">
        <f t="shared" si="30"/>
        <v>120</v>
      </c>
      <c r="Q88" s="861">
        <f t="shared" si="20"/>
        <v>11</v>
      </c>
      <c r="S88" s="340">
        <f t="shared" si="21"/>
        <v>2.1543985637342908</v>
      </c>
      <c r="T88" s="12">
        <f t="shared" si="31"/>
        <v>2</v>
      </c>
      <c r="U88" s="860">
        <f t="shared" si="22"/>
        <v>0.84560143626570916</v>
      </c>
      <c r="V88" s="861">
        <f t="shared" si="32"/>
        <v>471</v>
      </c>
      <c r="W88" s="861">
        <f t="shared" si="33"/>
        <v>160</v>
      </c>
      <c r="X88" s="861">
        <f t="shared" si="23"/>
        <v>2</v>
      </c>
      <c r="Z88" s="12">
        <f t="shared" si="24"/>
        <v>22</v>
      </c>
      <c r="AA88" s="12">
        <f t="shared" si="25"/>
        <v>4.4236940000000002</v>
      </c>
      <c r="AB88" s="12">
        <f t="shared" si="26"/>
        <v>4.8</v>
      </c>
      <c r="AC88" s="864">
        <f t="shared" si="27"/>
        <v>0.92160291666666672</v>
      </c>
    </row>
    <row r="89" spans="3:29" x14ac:dyDescent="0.25">
      <c r="C89" s="850">
        <f>IF(Z89&gt;0,MAX(C73:C88)+1,0)</f>
        <v>17</v>
      </c>
      <c r="D89" s="866">
        <v>20</v>
      </c>
      <c r="E89" s="850">
        <v>117</v>
      </c>
      <c r="F89" s="868">
        <v>4</v>
      </c>
      <c r="G89" s="851">
        <v>4800</v>
      </c>
      <c r="H89" s="851">
        <v>1000</v>
      </c>
      <c r="I89" s="851">
        <v>0</v>
      </c>
      <c r="J89" s="851">
        <v>4</v>
      </c>
      <c r="L89" s="340">
        <f t="shared" si="18"/>
        <v>13.296398891966758</v>
      </c>
      <c r="M89" s="12">
        <f t="shared" si="28"/>
        <v>13</v>
      </c>
      <c r="N89" s="860">
        <f t="shared" si="19"/>
        <v>0.70360110803324183</v>
      </c>
      <c r="O89" s="861">
        <f t="shared" si="29"/>
        <v>254.00000000000028</v>
      </c>
      <c r="P89" s="861">
        <f t="shared" si="30"/>
        <v>120</v>
      </c>
      <c r="Q89" s="861">
        <f t="shared" si="20"/>
        <v>13</v>
      </c>
      <c r="S89" s="340">
        <f t="shared" si="21"/>
        <v>1.7953321364452424</v>
      </c>
      <c r="T89" s="12">
        <f t="shared" si="31"/>
        <v>1</v>
      </c>
      <c r="U89" s="860">
        <f t="shared" si="22"/>
        <v>0.20466786355475763</v>
      </c>
      <c r="V89" s="861">
        <f t="shared" si="32"/>
        <v>114</v>
      </c>
      <c r="W89" s="861">
        <f t="shared" si="33"/>
        <v>160</v>
      </c>
      <c r="X89" s="861">
        <f t="shared" si="23"/>
        <v>2</v>
      </c>
      <c r="Z89" s="12">
        <f t="shared" si="24"/>
        <v>26</v>
      </c>
      <c r="AA89" s="12">
        <f t="shared" si="25"/>
        <v>5.228002</v>
      </c>
      <c r="AB89" s="12">
        <f t="shared" si="26"/>
        <v>4.8</v>
      </c>
      <c r="AC89" s="864">
        <f t="shared" si="27"/>
        <v>1.0891670833333333</v>
      </c>
    </row>
    <row r="90" spans="3:29" x14ac:dyDescent="0.25">
      <c r="C90" s="850">
        <f>IF(Z90&gt;0,MAX(C73:C89)+1,0)</f>
        <v>18</v>
      </c>
      <c r="D90" s="866">
        <v>10</v>
      </c>
      <c r="E90" s="850">
        <v>118</v>
      </c>
      <c r="F90" s="868">
        <v>5</v>
      </c>
      <c r="G90" s="851">
        <v>6000</v>
      </c>
      <c r="H90" s="851">
        <v>800</v>
      </c>
      <c r="I90" s="851">
        <v>5</v>
      </c>
      <c r="J90" s="851">
        <v>0</v>
      </c>
      <c r="L90" s="340">
        <f t="shared" si="18"/>
        <v>16.62049861495845</v>
      </c>
      <c r="M90" s="12">
        <f t="shared" si="28"/>
        <v>16</v>
      </c>
      <c r="N90" s="860">
        <f t="shared" si="19"/>
        <v>0.37950138504155007</v>
      </c>
      <c r="O90" s="861">
        <f t="shared" si="29"/>
        <v>136.99999999999957</v>
      </c>
      <c r="P90" s="861">
        <f t="shared" si="30"/>
        <v>120</v>
      </c>
      <c r="Q90" s="861">
        <f t="shared" si="20"/>
        <v>16</v>
      </c>
      <c r="S90" s="340">
        <f t="shared" si="21"/>
        <v>1.4362657091561939</v>
      </c>
      <c r="T90" s="12">
        <f t="shared" si="31"/>
        <v>1</v>
      </c>
      <c r="U90" s="860">
        <f t="shared" si="22"/>
        <v>0.56373429084380611</v>
      </c>
      <c r="V90" s="861">
        <f t="shared" si="32"/>
        <v>314</v>
      </c>
      <c r="W90" s="861">
        <f t="shared" si="33"/>
        <v>160</v>
      </c>
      <c r="X90" s="861">
        <f t="shared" si="23"/>
        <v>1</v>
      </c>
      <c r="Z90" s="12">
        <f t="shared" si="24"/>
        <v>16</v>
      </c>
      <c r="AA90" s="12">
        <f t="shared" si="25"/>
        <v>3.2172320000000001</v>
      </c>
      <c r="AB90" s="12">
        <f t="shared" si="26"/>
        <v>4.8000000000000007</v>
      </c>
      <c r="AC90" s="864">
        <f t="shared" si="27"/>
        <v>0.67025666666666661</v>
      </c>
    </row>
    <row r="91" spans="3:29" x14ac:dyDescent="0.25">
      <c r="C91" s="850">
        <f>IF(Z91&gt;0,MAX(C73:C90)+1,0)</f>
        <v>19</v>
      </c>
      <c r="D91" s="866">
        <v>10</v>
      </c>
      <c r="E91" s="850">
        <v>119</v>
      </c>
      <c r="F91" s="868">
        <v>6</v>
      </c>
      <c r="G91" s="851">
        <v>2400</v>
      </c>
      <c r="H91" s="851">
        <v>2400</v>
      </c>
      <c r="I91" s="851">
        <v>6</v>
      </c>
      <c r="J91" s="851">
        <v>0</v>
      </c>
      <c r="L91" s="340">
        <f t="shared" si="18"/>
        <v>6.6481994459833791</v>
      </c>
      <c r="M91" s="12">
        <f t="shared" si="28"/>
        <v>6</v>
      </c>
      <c r="N91" s="860">
        <f t="shared" si="19"/>
        <v>0.35180055401662091</v>
      </c>
      <c r="O91" s="861">
        <f t="shared" si="29"/>
        <v>127.00000000000014</v>
      </c>
      <c r="P91" s="861">
        <f t="shared" si="30"/>
        <v>120</v>
      </c>
      <c r="Q91" s="861">
        <f t="shared" si="20"/>
        <v>6</v>
      </c>
      <c r="S91" s="340">
        <f t="shared" si="21"/>
        <v>4.3087971274685817</v>
      </c>
      <c r="T91" s="12">
        <f t="shared" si="31"/>
        <v>4</v>
      </c>
      <c r="U91" s="860">
        <f t="shared" si="22"/>
        <v>0.69120287253141832</v>
      </c>
      <c r="V91" s="861">
        <f t="shared" si="32"/>
        <v>385</v>
      </c>
      <c r="W91" s="861">
        <f t="shared" si="33"/>
        <v>160</v>
      </c>
      <c r="X91" s="861">
        <f t="shared" si="23"/>
        <v>4</v>
      </c>
      <c r="Z91" s="12">
        <f t="shared" si="24"/>
        <v>24</v>
      </c>
      <c r="AA91" s="12">
        <f t="shared" si="25"/>
        <v>4.8258480000000006</v>
      </c>
      <c r="AB91" s="12">
        <f t="shared" si="26"/>
        <v>5.76</v>
      </c>
      <c r="AC91" s="864">
        <f t="shared" si="27"/>
        <v>0.83782083333333346</v>
      </c>
    </row>
    <row r="92" spans="3:29" x14ac:dyDescent="0.25">
      <c r="C92" s="850">
        <f>IF(Z92&gt;0,MAX(C73:C91)+1,0)</f>
        <v>20</v>
      </c>
      <c r="D92" s="866">
        <v>10</v>
      </c>
      <c r="E92" s="850">
        <v>120</v>
      </c>
      <c r="F92" s="868">
        <v>6</v>
      </c>
      <c r="G92" s="851">
        <v>4800</v>
      </c>
      <c r="H92" s="851">
        <v>1200</v>
      </c>
      <c r="I92" s="851">
        <v>6</v>
      </c>
      <c r="J92" s="851">
        <v>0</v>
      </c>
      <c r="L92" s="340">
        <f t="shared" si="18"/>
        <v>13.296398891966758</v>
      </c>
      <c r="M92" s="12">
        <f t="shared" si="28"/>
        <v>13</v>
      </c>
      <c r="N92" s="860">
        <f t="shared" si="19"/>
        <v>0.70360110803324183</v>
      </c>
      <c r="O92" s="861">
        <f t="shared" si="29"/>
        <v>254.00000000000028</v>
      </c>
      <c r="P92" s="861">
        <f t="shared" si="30"/>
        <v>120</v>
      </c>
      <c r="Q92" s="861">
        <f t="shared" si="20"/>
        <v>13</v>
      </c>
      <c r="S92" s="340">
        <f t="shared" si="21"/>
        <v>2.1543985637342908</v>
      </c>
      <c r="T92" s="12">
        <f t="shared" si="31"/>
        <v>2</v>
      </c>
      <c r="U92" s="860">
        <f t="shared" si="22"/>
        <v>0.84560143626570916</v>
      </c>
      <c r="V92" s="861">
        <f t="shared" si="32"/>
        <v>471</v>
      </c>
      <c r="W92" s="861">
        <f t="shared" si="33"/>
        <v>160</v>
      </c>
      <c r="X92" s="861">
        <f t="shared" si="23"/>
        <v>2</v>
      </c>
      <c r="Z92" s="12">
        <f t="shared" si="24"/>
        <v>26</v>
      </c>
      <c r="AA92" s="12">
        <f t="shared" si="25"/>
        <v>5.228002</v>
      </c>
      <c r="AB92" s="12">
        <f t="shared" si="26"/>
        <v>5.76</v>
      </c>
      <c r="AC92" s="864">
        <f t="shared" si="27"/>
        <v>0.90763923611111119</v>
      </c>
    </row>
    <row r="93" spans="3:29" x14ac:dyDescent="0.25">
      <c r="C93" s="850">
        <f>IF(Z93&gt;0,MAX(C73:C92)+1,0)</f>
        <v>21</v>
      </c>
      <c r="D93" s="866">
        <v>10</v>
      </c>
      <c r="E93" s="850">
        <v>121</v>
      </c>
      <c r="F93" s="868">
        <v>6</v>
      </c>
      <c r="G93" s="851">
        <v>3600</v>
      </c>
      <c r="H93" s="851">
        <v>1600</v>
      </c>
      <c r="I93" s="851">
        <v>6</v>
      </c>
      <c r="J93" s="851">
        <v>0</v>
      </c>
      <c r="L93" s="340">
        <f t="shared" si="18"/>
        <v>9.97229916897507</v>
      </c>
      <c r="M93" s="12">
        <f t="shared" si="28"/>
        <v>9</v>
      </c>
      <c r="N93" s="860">
        <f t="shared" si="19"/>
        <v>2.7700831024930039E-2</v>
      </c>
      <c r="O93" s="861">
        <f t="shared" si="29"/>
        <v>9.9999999999997726</v>
      </c>
      <c r="P93" s="861">
        <f t="shared" si="30"/>
        <v>120</v>
      </c>
      <c r="Q93" s="861">
        <f t="shared" si="20"/>
        <v>10</v>
      </c>
      <c r="S93" s="340">
        <f t="shared" si="21"/>
        <v>2.8725314183123878</v>
      </c>
      <c r="T93" s="12">
        <f t="shared" si="31"/>
        <v>2</v>
      </c>
      <c r="U93" s="860">
        <f t="shared" si="22"/>
        <v>0.12746858168761221</v>
      </c>
      <c r="V93" s="861">
        <f t="shared" si="32"/>
        <v>71</v>
      </c>
      <c r="W93" s="861">
        <f t="shared" si="33"/>
        <v>160</v>
      </c>
      <c r="X93" s="861">
        <f t="shared" si="23"/>
        <v>3</v>
      </c>
      <c r="Z93" s="12">
        <f t="shared" si="24"/>
        <v>30</v>
      </c>
      <c r="AA93" s="12">
        <f t="shared" si="25"/>
        <v>6.0323099999999998</v>
      </c>
      <c r="AB93" s="12">
        <f t="shared" si="26"/>
        <v>5.7600000000000007</v>
      </c>
      <c r="AC93" s="864">
        <f t="shared" si="27"/>
        <v>1.0472760416666664</v>
      </c>
    </row>
    <row r="94" spans="3:29" x14ac:dyDescent="0.25">
      <c r="C94" s="850">
        <f>IF(Z94&gt;0,MAX(C73:C93)+1,0)</f>
        <v>22</v>
      </c>
      <c r="D94" s="866">
        <v>20</v>
      </c>
      <c r="E94" s="850">
        <v>122</v>
      </c>
      <c r="F94" s="868">
        <v>5</v>
      </c>
      <c r="G94" s="851">
        <v>5000</v>
      </c>
      <c r="H94" s="851">
        <v>1200</v>
      </c>
      <c r="I94" s="851">
        <v>0</v>
      </c>
      <c r="J94" s="851">
        <v>5</v>
      </c>
      <c r="L94" s="340">
        <f t="shared" si="18"/>
        <v>13.850415512465373</v>
      </c>
      <c r="M94" s="12">
        <f t="shared" si="28"/>
        <v>13</v>
      </c>
      <c r="N94" s="860">
        <f t="shared" si="19"/>
        <v>0.14958448753462683</v>
      </c>
      <c r="O94" s="861">
        <f t="shared" si="29"/>
        <v>54.000000000000284</v>
      </c>
      <c r="P94" s="861">
        <f t="shared" si="30"/>
        <v>120</v>
      </c>
      <c r="Q94" s="861">
        <f t="shared" si="20"/>
        <v>14</v>
      </c>
      <c r="S94" s="340">
        <f t="shared" si="21"/>
        <v>2.1543985637342908</v>
      </c>
      <c r="T94" s="12">
        <f t="shared" si="31"/>
        <v>2</v>
      </c>
      <c r="U94" s="860">
        <f t="shared" si="22"/>
        <v>0.84560143626570916</v>
      </c>
      <c r="V94" s="861">
        <f t="shared" si="32"/>
        <v>471</v>
      </c>
      <c r="W94" s="861">
        <f t="shared" si="33"/>
        <v>160</v>
      </c>
      <c r="X94" s="861">
        <f t="shared" si="23"/>
        <v>2</v>
      </c>
      <c r="Z94" s="12">
        <f t="shared" si="24"/>
        <v>28</v>
      </c>
      <c r="AA94" s="12">
        <f t="shared" si="25"/>
        <v>5.6301560000000004</v>
      </c>
      <c r="AB94" s="12">
        <f t="shared" si="26"/>
        <v>6</v>
      </c>
      <c r="AC94" s="864">
        <f t="shared" si="27"/>
        <v>0.93835933333333343</v>
      </c>
    </row>
    <row r="95" spans="3:29" x14ac:dyDescent="0.25">
      <c r="C95" s="850">
        <f>IF(Z95&gt;0,MAX(C73:C94)+1,0)</f>
        <v>23</v>
      </c>
      <c r="D95" s="866">
        <v>20</v>
      </c>
      <c r="E95" s="850">
        <v>123</v>
      </c>
      <c r="F95" s="868">
        <v>5</v>
      </c>
      <c r="G95" s="851">
        <v>6000</v>
      </c>
      <c r="H95" s="851">
        <v>1000</v>
      </c>
      <c r="I95" s="851">
        <v>0</v>
      </c>
      <c r="J95" s="851">
        <v>5</v>
      </c>
      <c r="L95" s="340">
        <f t="shared" si="18"/>
        <v>16.62049861495845</v>
      </c>
      <c r="M95" s="12">
        <f t="shared" si="28"/>
        <v>16</v>
      </c>
      <c r="N95" s="860">
        <f t="shared" si="19"/>
        <v>0.37950138504155007</v>
      </c>
      <c r="O95" s="861">
        <f t="shared" si="29"/>
        <v>136.99999999999957</v>
      </c>
      <c r="P95" s="861">
        <f t="shared" si="30"/>
        <v>120</v>
      </c>
      <c r="Q95" s="861">
        <f t="shared" si="20"/>
        <v>16</v>
      </c>
      <c r="S95" s="340">
        <f t="shared" si="21"/>
        <v>1.7953321364452424</v>
      </c>
      <c r="T95" s="12">
        <f t="shared" si="31"/>
        <v>1</v>
      </c>
      <c r="U95" s="860">
        <f t="shared" si="22"/>
        <v>0.20466786355475763</v>
      </c>
      <c r="V95" s="861">
        <f t="shared" si="32"/>
        <v>114</v>
      </c>
      <c r="W95" s="861">
        <f t="shared" si="33"/>
        <v>160</v>
      </c>
      <c r="X95" s="861">
        <f t="shared" si="23"/>
        <v>2</v>
      </c>
      <c r="Z95" s="12">
        <f t="shared" si="24"/>
        <v>32</v>
      </c>
      <c r="AA95" s="12">
        <f t="shared" si="25"/>
        <v>6.4344640000000002</v>
      </c>
      <c r="AB95" s="12">
        <f t="shared" si="26"/>
        <v>6</v>
      </c>
      <c r="AC95" s="864">
        <f t="shared" si="27"/>
        <v>1.0724106666666666</v>
      </c>
    </row>
    <row r="96" spans="3:29" x14ac:dyDescent="0.25">
      <c r="C96" s="850">
        <f>IF(Z96&gt;0,MAX(C73:C95)+1,0)</f>
        <v>24</v>
      </c>
      <c r="D96" s="866">
        <v>20</v>
      </c>
      <c r="E96" s="850">
        <v>124</v>
      </c>
      <c r="F96" s="868">
        <v>6</v>
      </c>
      <c r="G96" s="851">
        <v>6000</v>
      </c>
      <c r="H96" s="851">
        <v>1200</v>
      </c>
      <c r="I96" s="851">
        <v>0</v>
      </c>
      <c r="J96" s="851">
        <v>6</v>
      </c>
      <c r="L96" s="340">
        <f t="shared" si="18"/>
        <v>16.62049861495845</v>
      </c>
      <c r="M96" s="12">
        <f t="shared" si="28"/>
        <v>16</v>
      </c>
      <c r="N96" s="860">
        <f t="shared" si="19"/>
        <v>0.37950138504155007</v>
      </c>
      <c r="O96" s="861">
        <f t="shared" si="29"/>
        <v>136.99999999999957</v>
      </c>
      <c r="P96" s="861">
        <f t="shared" si="30"/>
        <v>120</v>
      </c>
      <c r="Q96" s="861">
        <f t="shared" si="20"/>
        <v>16</v>
      </c>
      <c r="S96" s="340">
        <f t="shared" si="21"/>
        <v>2.1543985637342908</v>
      </c>
      <c r="T96" s="12">
        <f t="shared" si="31"/>
        <v>2</v>
      </c>
      <c r="U96" s="860">
        <f t="shared" si="22"/>
        <v>0.84560143626570916</v>
      </c>
      <c r="V96" s="861">
        <f t="shared" si="32"/>
        <v>471</v>
      </c>
      <c r="W96" s="861">
        <f t="shared" si="33"/>
        <v>160</v>
      </c>
      <c r="X96" s="861">
        <f t="shared" si="23"/>
        <v>2</v>
      </c>
      <c r="Z96" s="12">
        <f t="shared" si="24"/>
        <v>32</v>
      </c>
      <c r="AA96" s="12">
        <f t="shared" si="25"/>
        <v>6.4344640000000002</v>
      </c>
      <c r="AB96" s="12">
        <f t="shared" si="26"/>
        <v>7.1999999999999993</v>
      </c>
      <c r="AC96" s="864">
        <f t="shared" si="27"/>
        <v>0.89367555555555567</v>
      </c>
    </row>
    <row r="97" spans="3:29" x14ac:dyDescent="0.25">
      <c r="C97" s="850">
        <f>IF(Z97&gt;0,MAX(C73:C96)+1,0)</f>
        <v>25</v>
      </c>
      <c r="D97" s="866">
        <v>20</v>
      </c>
      <c r="E97" s="850">
        <v>125</v>
      </c>
      <c r="F97" s="868">
        <v>6</v>
      </c>
      <c r="G97" s="851">
        <v>3000</v>
      </c>
      <c r="H97" s="851">
        <v>2400</v>
      </c>
      <c r="I97" s="851">
        <v>0</v>
      </c>
      <c r="J97" s="851">
        <v>6</v>
      </c>
      <c r="L97" s="340">
        <f t="shared" si="18"/>
        <v>8.310249307479225</v>
      </c>
      <c r="M97" s="12">
        <f t="shared" si="28"/>
        <v>8</v>
      </c>
      <c r="N97" s="860">
        <f t="shared" si="19"/>
        <v>0.68975069252077503</v>
      </c>
      <c r="O97" s="861">
        <f t="shared" si="29"/>
        <v>248.99999999999977</v>
      </c>
      <c r="P97" s="861">
        <f t="shared" si="30"/>
        <v>120</v>
      </c>
      <c r="Q97" s="861">
        <f t="shared" si="20"/>
        <v>8</v>
      </c>
      <c r="S97" s="340">
        <f t="shared" si="21"/>
        <v>4.3087971274685817</v>
      </c>
      <c r="T97" s="12">
        <f t="shared" si="31"/>
        <v>4</v>
      </c>
      <c r="U97" s="860">
        <f t="shared" si="22"/>
        <v>0.69120287253141832</v>
      </c>
      <c r="V97" s="861">
        <f t="shared" si="32"/>
        <v>385</v>
      </c>
      <c r="W97" s="861">
        <f t="shared" si="33"/>
        <v>160</v>
      </c>
      <c r="X97" s="861">
        <f t="shared" si="23"/>
        <v>4</v>
      </c>
      <c r="Z97" s="12">
        <f t="shared" si="24"/>
        <v>32</v>
      </c>
      <c r="AA97" s="12">
        <f t="shared" si="25"/>
        <v>6.4344640000000002</v>
      </c>
      <c r="AB97" s="12">
        <f t="shared" si="26"/>
        <v>7.1999999999999993</v>
      </c>
      <c r="AC97" s="864">
        <f t="shared" si="27"/>
        <v>0.89367555555555567</v>
      </c>
    </row>
    <row r="98" spans="3:29" x14ac:dyDescent="0.25">
      <c r="C98" s="850">
        <f>IF(Z98&gt;0,MAX(C73:C97)+1,0)</f>
        <v>26</v>
      </c>
      <c r="D98" s="866">
        <v>20</v>
      </c>
      <c r="E98" s="850">
        <v>126</v>
      </c>
      <c r="F98" s="868">
        <v>6</v>
      </c>
      <c r="G98" s="851">
        <v>3600</v>
      </c>
      <c r="H98" s="851">
        <v>2000</v>
      </c>
      <c r="I98" s="851">
        <v>0</v>
      </c>
      <c r="J98" s="851">
        <v>6</v>
      </c>
      <c r="L98" s="340">
        <f t="shared" si="18"/>
        <v>9.97229916897507</v>
      </c>
      <c r="M98" s="12">
        <f t="shared" si="28"/>
        <v>9</v>
      </c>
      <c r="N98" s="860">
        <f t="shared" si="19"/>
        <v>2.7700831024930039E-2</v>
      </c>
      <c r="O98" s="861">
        <f t="shared" si="29"/>
        <v>9.9999999999997726</v>
      </c>
      <c r="P98" s="861">
        <f t="shared" si="30"/>
        <v>120</v>
      </c>
      <c r="Q98" s="861">
        <f t="shared" si="20"/>
        <v>10</v>
      </c>
      <c r="S98" s="340">
        <f t="shared" si="21"/>
        <v>3.5906642728904847</v>
      </c>
      <c r="T98" s="12">
        <f t="shared" si="31"/>
        <v>3</v>
      </c>
      <c r="U98" s="860">
        <f t="shared" si="22"/>
        <v>0.40933572710951527</v>
      </c>
      <c r="V98" s="861">
        <f t="shared" si="32"/>
        <v>228</v>
      </c>
      <c r="W98" s="861">
        <f t="shared" si="33"/>
        <v>160</v>
      </c>
      <c r="X98" s="861">
        <f t="shared" si="23"/>
        <v>3</v>
      </c>
      <c r="Z98" s="12">
        <f t="shared" si="24"/>
        <v>30</v>
      </c>
      <c r="AA98" s="12">
        <f t="shared" si="25"/>
        <v>6.0323099999999998</v>
      </c>
      <c r="AB98" s="12">
        <f t="shared" si="26"/>
        <v>7.2</v>
      </c>
      <c r="AC98" s="864">
        <f t="shared" si="27"/>
        <v>0.83782083333333324</v>
      </c>
    </row>
    <row r="99" spans="3:29" x14ac:dyDescent="0.25">
      <c r="C99" s="850">
        <f>IF(Z99&gt;0,MAX(C73:C98)+1,0)</f>
        <v>27</v>
      </c>
      <c r="D99" s="866">
        <v>10</v>
      </c>
      <c r="E99" s="850">
        <v>127</v>
      </c>
      <c r="F99" s="868">
        <v>8</v>
      </c>
      <c r="G99" s="851">
        <v>6400</v>
      </c>
      <c r="H99" s="851">
        <v>1200</v>
      </c>
      <c r="I99" s="851">
        <v>8</v>
      </c>
      <c r="J99" s="851">
        <v>0</v>
      </c>
      <c r="L99" s="340">
        <f t="shared" si="18"/>
        <v>17.72853185595568</v>
      </c>
      <c r="M99" s="12">
        <f t="shared" si="28"/>
        <v>17</v>
      </c>
      <c r="N99" s="860">
        <f t="shared" si="19"/>
        <v>0.27146814404432007</v>
      </c>
      <c r="O99" s="861">
        <f t="shared" si="29"/>
        <v>97.999999999999545</v>
      </c>
      <c r="P99" s="861">
        <f t="shared" si="30"/>
        <v>120</v>
      </c>
      <c r="Q99" s="861">
        <f t="shared" si="20"/>
        <v>18</v>
      </c>
      <c r="S99" s="340">
        <f t="shared" si="21"/>
        <v>2.1543985637342908</v>
      </c>
      <c r="T99" s="12">
        <f t="shared" si="31"/>
        <v>2</v>
      </c>
      <c r="U99" s="860">
        <f t="shared" si="22"/>
        <v>0.84560143626570916</v>
      </c>
      <c r="V99" s="861">
        <f t="shared" si="32"/>
        <v>471</v>
      </c>
      <c r="W99" s="861">
        <f t="shared" si="33"/>
        <v>160</v>
      </c>
      <c r="X99" s="861">
        <f t="shared" si="23"/>
        <v>2</v>
      </c>
      <c r="Z99" s="12">
        <f t="shared" si="24"/>
        <v>36</v>
      </c>
      <c r="AA99" s="12">
        <f t="shared" si="25"/>
        <v>7.238772</v>
      </c>
      <c r="AB99" s="12">
        <f t="shared" si="26"/>
        <v>7.68</v>
      </c>
      <c r="AC99" s="864">
        <f t="shared" si="27"/>
        <v>0.94254843750000006</v>
      </c>
    </row>
    <row r="100" spans="3:29" x14ac:dyDescent="0.25">
      <c r="C100" s="850">
        <f>IF(Z100&gt;0,MAX(C73:C99)+1,0)</f>
        <v>28</v>
      </c>
      <c r="D100" s="866">
        <v>10</v>
      </c>
      <c r="E100" s="850">
        <v>128</v>
      </c>
      <c r="F100" s="868">
        <v>8</v>
      </c>
      <c r="G100" s="851">
        <v>3200</v>
      </c>
      <c r="H100" s="851">
        <v>2400</v>
      </c>
      <c r="I100" s="851">
        <v>8</v>
      </c>
      <c r="J100" s="851">
        <v>0</v>
      </c>
      <c r="L100" s="340">
        <f t="shared" si="18"/>
        <v>8.86426592797784</v>
      </c>
      <c r="M100" s="12">
        <f t="shared" si="28"/>
        <v>8</v>
      </c>
      <c r="N100" s="860">
        <f t="shared" si="19"/>
        <v>0.13573407202216003</v>
      </c>
      <c r="O100" s="861">
        <f t="shared" si="29"/>
        <v>48.999999999999773</v>
      </c>
      <c r="P100" s="861">
        <f t="shared" si="30"/>
        <v>120</v>
      </c>
      <c r="Q100" s="861">
        <f t="shared" si="20"/>
        <v>9</v>
      </c>
      <c r="S100" s="340">
        <f t="shared" si="21"/>
        <v>4.3087971274685817</v>
      </c>
      <c r="T100" s="12">
        <f t="shared" si="31"/>
        <v>4</v>
      </c>
      <c r="U100" s="860">
        <f t="shared" si="22"/>
        <v>0.69120287253141832</v>
      </c>
      <c r="V100" s="861">
        <f t="shared" si="32"/>
        <v>385</v>
      </c>
      <c r="W100" s="861">
        <f t="shared" si="33"/>
        <v>160</v>
      </c>
      <c r="X100" s="861">
        <f t="shared" si="23"/>
        <v>4</v>
      </c>
      <c r="Z100" s="12">
        <f t="shared" si="24"/>
        <v>36</v>
      </c>
      <c r="AA100" s="12">
        <f t="shared" si="25"/>
        <v>7.238772</v>
      </c>
      <c r="AB100" s="12">
        <f t="shared" si="26"/>
        <v>7.68</v>
      </c>
      <c r="AC100" s="864">
        <f t="shared" si="27"/>
        <v>0.94254843750000006</v>
      </c>
    </row>
    <row r="101" spans="3:29" x14ac:dyDescent="0.25">
      <c r="C101" s="850">
        <f>IF(Z101&gt;0,MAX(C83:C100)+1,0)</f>
        <v>29</v>
      </c>
      <c r="D101" s="866">
        <v>10</v>
      </c>
      <c r="E101" s="850">
        <v>129</v>
      </c>
      <c r="F101" s="868">
        <v>8</v>
      </c>
      <c r="G101" s="851">
        <v>4800</v>
      </c>
      <c r="H101" s="851">
        <v>1600</v>
      </c>
      <c r="I101" s="851">
        <v>8</v>
      </c>
      <c r="J101" s="851">
        <v>0</v>
      </c>
      <c r="L101" s="340">
        <f t="shared" si="18"/>
        <v>13.296398891966758</v>
      </c>
      <c r="M101" s="12">
        <f t="shared" si="28"/>
        <v>13</v>
      </c>
      <c r="N101" s="860">
        <f t="shared" si="19"/>
        <v>0.70360110803324183</v>
      </c>
      <c r="O101" s="861">
        <f t="shared" si="29"/>
        <v>254.00000000000028</v>
      </c>
      <c r="P101" s="861">
        <f t="shared" si="30"/>
        <v>120</v>
      </c>
      <c r="Q101" s="861">
        <f t="shared" si="20"/>
        <v>13</v>
      </c>
      <c r="S101" s="340">
        <f t="shared" si="21"/>
        <v>2.8725314183123878</v>
      </c>
      <c r="T101" s="12">
        <f t="shared" si="31"/>
        <v>2</v>
      </c>
      <c r="U101" s="860">
        <f t="shared" si="22"/>
        <v>0.12746858168761221</v>
      </c>
      <c r="V101" s="861">
        <f t="shared" si="32"/>
        <v>71</v>
      </c>
      <c r="W101" s="861">
        <f t="shared" si="33"/>
        <v>160</v>
      </c>
      <c r="X101" s="861">
        <f t="shared" si="23"/>
        <v>3</v>
      </c>
      <c r="Z101" s="12">
        <f t="shared" si="24"/>
        <v>39</v>
      </c>
      <c r="AA101" s="12">
        <f t="shared" si="25"/>
        <v>7.8420030000000001</v>
      </c>
      <c r="AB101" s="12">
        <f t="shared" si="26"/>
        <v>7.68</v>
      </c>
      <c r="AC101" s="864">
        <f t="shared" si="27"/>
        <v>1.021094140625</v>
      </c>
    </row>
    <row r="102" spans="3:29" x14ac:dyDescent="0.25">
      <c r="C102" s="850">
        <f>IF(Z102&gt;0,MAX(C73:C101)+1,0)</f>
        <v>30</v>
      </c>
      <c r="D102" s="866">
        <v>20</v>
      </c>
      <c r="E102" s="850">
        <v>130</v>
      </c>
      <c r="F102" s="868">
        <v>8</v>
      </c>
      <c r="G102" s="851">
        <v>4800</v>
      </c>
      <c r="H102" s="851">
        <v>2000</v>
      </c>
      <c r="I102" s="851">
        <v>0</v>
      </c>
      <c r="J102" s="851">
        <v>8</v>
      </c>
      <c r="L102" s="340">
        <f t="shared" si="18"/>
        <v>13.296398891966758</v>
      </c>
      <c r="M102" s="12">
        <f t="shared" si="28"/>
        <v>13</v>
      </c>
      <c r="N102" s="860">
        <f t="shared" si="19"/>
        <v>0.70360110803324183</v>
      </c>
      <c r="O102" s="861">
        <f t="shared" si="29"/>
        <v>254.00000000000028</v>
      </c>
      <c r="P102" s="861">
        <f t="shared" si="30"/>
        <v>120</v>
      </c>
      <c r="Q102" s="861">
        <f t="shared" si="20"/>
        <v>13</v>
      </c>
      <c r="S102" s="340">
        <f t="shared" si="21"/>
        <v>3.5906642728904847</v>
      </c>
      <c r="T102" s="12">
        <f t="shared" si="31"/>
        <v>3</v>
      </c>
      <c r="U102" s="860">
        <f t="shared" si="22"/>
        <v>0.40933572710951527</v>
      </c>
      <c r="V102" s="861">
        <f t="shared" si="32"/>
        <v>228</v>
      </c>
      <c r="W102" s="861">
        <f t="shared" si="33"/>
        <v>160</v>
      </c>
      <c r="X102" s="861">
        <f t="shared" si="23"/>
        <v>3</v>
      </c>
      <c r="Z102" s="12">
        <f t="shared" si="24"/>
        <v>39</v>
      </c>
      <c r="AA102" s="12">
        <f t="shared" si="25"/>
        <v>7.8420030000000001</v>
      </c>
      <c r="AB102" s="12">
        <f t="shared" si="26"/>
        <v>9.6</v>
      </c>
      <c r="AC102" s="864">
        <f t="shared" si="27"/>
        <v>0.81687531250000001</v>
      </c>
    </row>
    <row r="103" spans="3:29" x14ac:dyDescent="0.25">
      <c r="C103" s="850">
        <f>IF(Z103&gt;0,MAX(C73:C102)+1,0)</f>
        <v>31</v>
      </c>
      <c r="D103" s="866">
        <v>20</v>
      </c>
      <c r="E103" s="850">
        <v>131</v>
      </c>
      <c r="F103" s="868">
        <v>8</v>
      </c>
      <c r="G103" s="851">
        <v>4000</v>
      </c>
      <c r="H103" s="851">
        <v>2400</v>
      </c>
      <c r="I103" s="851">
        <v>0</v>
      </c>
      <c r="J103" s="851">
        <v>8</v>
      </c>
      <c r="L103" s="340">
        <f t="shared" si="18"/>
        <v>11.0803324099723</v>
      </c>
      <c r="M103" s="12">
        <f t="shared" si="28"/>
        <v>11</v>
      </c>
      <c r="N103" s="860">
        <f t="shared" si="19"/>
        <v>0.91966759002770004</v>
      </c>
      <c r="O103" s="861">
        <f t="shared" si="29"/>
        <v>331.99999999999972</v>
      </c>
      <c r="P103" s="861">
        <f t="shared" si="30"/>
        <v>120</v>
      </c>
      <c r="Q103" s="861">
        <f t="shared" si="20"/>
        <v>11</v>
      </c>
      <c r="S103" s="340">
        <f t="shared" si="21"/>
        <v>4.3087971274685817</v>
      </c>
      <c r="T103" s="12">
        <f t="shared" si="31"/>
        <v>4</v>
      </c>
      <c r="U103" s="860">
        <f t="shared" si="22"/>
        <v>0.69120287253141832</v>
      </c>
      <c r="V103" s="861">
        <f t="shared" si="32"/>
        <v>385</v>
      </c>
      <c r="W103" s="861">
        <f t="shared" si="33"/>
        <v>160</v>
      </c>
      <c r="X103" s="861">
        <f t="shared" si="23"/>
        <v>4</v>
      </c>
      <c r="Z103" s="12">
        <f t="shared" si="24"/>
        <v>44</v>
      </c>
      <c r="AA103" s="12">
        <f t="shared" si="25"/>
        <v>8.8473880000000005</v>
      </c>
      <c r="AB103" s="12">
        <f t="shared" si="26"/>
        <v>9.6</v>
      </c>
      <c r="AC103" s="864">
        <f t="shared" si="27"/>
        <v>0.92160291666666672</v>
      </c>
    </row>
    <row r="104" spans="3:29" x14ac:dyDescent="0.25">
      <c r="C104" s="850">
        <f>IF(Z104&gt;0,MAX(C73:C103)+1,0)</f>
        <v>32</v>
      </c>
      <c r="D104" s="866">
        <v>10</v>
      </c>
      <c r="E104" s="850">
        <v>132</v>
      </c>
      <c r="F104" s="868">
        <v>10</v>
      </c>
      <c r="G104" s="851">
        <v>4000</v>
      </c>
      <c r="H104" s="851">
        <v>2400</v>
      </c>
      <c r="I104" s="851">
        <v>10</v>
      </c>
      <c r="J104" s="851">
        <v>0</v>
      </c>
      <c r="L104" s="340">
        <f t="shared" si="18"/>
        <v>11.0803324099723</v>
      </c>
      <c r="M104" s="12">
        <f t="shared" si="28"/>
        <v>11</v>
      </c>
      <c r="N104" s="860">
        <f t="shared" si="19"/>
        <v>0.91966759002770004</v>
      </c>
      <c r="O104" s="861">
        <f t="shared" si="29"/>
        <v>331.99999999999972</v>
      </c>
      <c r="P104" s="861">
        <f t="shared" si="30"/>
        <v>120</v>
      </c>
      <c r="Q104" s="861">
        <f t="shared" si="20"/>
        <v>11</v>
      </c>
      <c r="S104" s="340">
        <f t="shared" si="21"/>
        <v>4.3087971274685817</v>
      </c>
      <c r="T104" s="12">
        <f t="shared" si="31"/>
        <v>4</v>
      </c>
      <c r="U104" s="860">
        <f t="shared" si="22"/>
        <v>0.69120287253141832</v>
      </c>
      <c r="V104" s="861">
        <f t="shared" si="32"/>
        <v>385</v>
      </c>
      <c r="W104" s="861">
        <f t="shared" si="33"/>
        <v>160</v>
      </c>
      <c r="X104" s="861">
        <f t="shared" si="23"/>
        <v>4</v>
      </c>
      <c r="Z104" s="12">
        <f t="shared" si="24"/>
        <v>44</v>
      </c>
      <c r="AA104" s="12">
        <f t="shared" si="25"/>
        <v>8.8473880000000005</v>
      </c>
      <c r="AB104" s="12">
        <f t="shared" si="26"/>
        <v>9.6</v>
      </c>
      <c r="AC104" s="864">
        <f t="shared" si="27"/>
        <v>0.92160291666666672</v>
      </c>
    </row>
    <row r="105" spans="3:29" x14ac:dyDescent="0.25">
      <c r="C105" s="850">
        <f>IF(Z105&gt;0,MAX(C73:C104)+1,0)</f>
        <v>33</v>
      </c>
      <c r="D105" s="866">
        <v>10</v>
      </c>
      <c r="E105" s="850">
        <v>133</v>
      </c>
      <c r="F105" s="868">
        <v>10</v>
      </c>
      <c r="G105" s="851">
        <v>6000</v>
      </c>
      <c r="H105" s="851">
        <v>1600</v>
      </c>
      <c r="I105" s="851">
        <v>10</v>
      </c>
      <c r="J105" s="851">
        <v>0</v>
      </c>
      <c r="L105" s="340">
        <f t="shared" si="18"/>
        <v>16.62049861495845</v>
      </c>
      <c r="M105" s="12">
        <f t="shared" si="28"/>
        <v>16</v>
      </c>
      <c r="N105" s="860">
        <f t="shared" si="19"/>
        <v>0.37950138504155007</v>
      </c>
      <c r="O105" s="861">
        <f t="shared" si="29"/>
        <v>136.99999999999957</v>
      </c>
      <c r="P105" s="861">
        <f t="shared" si="30"/>
        <v>120</v>
      </c>
      <c r="Q105" s="861">
        <f t="shared" si="20"/>
        <v>16</v>
      </c>
      <c r="S105" s="340">
        <f t="shared" si="21"/>
        <v>2.8725314183123878</v>
      </c>
      <c r="T105" s="12">
        <f t="shared" si="31"/>
        <v>2</v>
      </c>
      <c r="U105" s="860">
        <f t="shared" si="22"/>
        <v>0.12746858168761221</v>
      </c>
      <c r="V105" s="861">
        <f t="shared" si="32"/>
        <v>71</v>
      </c>
      <c r="W105" s="861">
        <f t="shared" si="33"/>
        <v>160</v>
      </c>
      <c r="X105" s="861">
        <f t="shared" si="23"/>
        <v>3</v>
      </c>
      <c r="Z105" s="12">
        <f t="shared" si="24"/>
        <v>48</v>
      </c>
      <c r="AA105" s="12">
        <f t="shared" si="25"/>
        <v>9.6516960000000012</v>
      </c>
      <c r="AB105" s="12">
        <f t="shared" si="26"/>
        <v>9.6000000000000014</v>
      </c>
      <c r="AC105" s="864">
        <f t="shared" si="27"/>
        <v>1.005385</v>
      </c>
    </row>
    <row r="106" spans="3:29" x14ac:dyDescent="0.25">
      <c r="C106" s="850">
        <f>IF(Z106&gt;0,MAX(C73:C105)+1,0)</f>
        <v>34</v>
      </c>
      <c r="D106" s="866">
        <v>10</v>
      </c>
      <c r="E106" s="850">
        <v>134</v>
      </c>
      <c r="F106" s="868">
        <v>12</v>
      </c>
      <c r="G106" s="851">
        <v>4800</v>
      </c>
      <c r="H106" s="851">
        <v>2400</v>
      </c>
      <c r="I106" s="851">
        <v>12</v>
      </c>
      <c r="J106" s="851">
        <v>0</v>
      </c>
      <c r="L106" s="340">
        <f t="shared" si="18"/>
        <v>13.296398891966758</v>
      </c>
      <c r="M106" s="12">
        <f t="shared" si="28"/>
        <v>13</v>
      </c>
      <c r="N106" s="860">
        <f t="shared" si="19"/>
        <v>0.70360110803324183</v>
      </c>
      <c r="O106" s="861">
        <f t="shared" si="29"/>
        <v>254.00000000000028</v>
      </c>
      <c r="P106" s="861">
        <f t="shared" si="30"/>
        <v>120</v>
      </c>
      <c r="Q106" s="861">
        <f t="shared" si="20"/>
        <v>13</v>
      </c>
      <c r="S106" s="340">
        <f t="shared" si="21"/>
        <v>4.3087971274685817</v>
      </c>
      <c r="T106" s="12">
        <f t="shared" si="31"/>
        <v>4</v>
      </c>
      <c r="U106" s="860">
        <f t="shared" si="22"/>
        <v>0.69120287253141832</v>
      </c>
      <c r="V106" s="861">
        <f t="shared" si="32"/>
        <v>385</v>
      </c>
      <c r="W106" s="861">
        <f t="shared" si="33"/>
        <v>160</v>
      </c>
      <c r="X106" s="861">
        <f t="shared" si="23"/>
        <v>4</v>
      </c>
      <c r="Z106" s="12">
        <f t="shared" si="24"/>
        <v>52</v>
      </c>
      <c r="AA106" s="12">
        <f t="shared" si="25"/>
        <v>10.456004</v>
      </c>
      <c r="AB106" s="12">
        <f t="shared" si="26"/>
        <v>11.52</v>
      </c>
      <c r="AC106" s="864">
        <f t="shared" si="27"/>
        <v>0.90763923611111119</v>
      </c>
    </row>
    <row r="107" spans="3:29" x14ac:dyDescent="0.25">
      <c r="C107" s="850">
        <f>IF(Z107&gt;0,MAX(C73:C106)+1,0)</f>
        <v>35</v>
      </c>
      <c r="D107" s="866">
        <v>20</v>
      </c>
      <c r="E107" s="850">
        <v>135</v>
      </c>
      <c r="F107" s="868">
        <v>10</v>
      </c>
      <c r="G107" s="851">
        <v>5000</v>
      </c>
      <c r="H107" s="851">
        <v>2400</v>
      </c>
      <c r="I107" s="851">
        <v>0</v>
      </c>
      <c r="J107" s="851">
        <v>10</v>
      </c>
      <c r="L107" s="340">
        <f t="shared" si="18"/>
        <v>13.850415512465373</v>
      </c>
      <c r="M107" s="12">
        <f t="shared" si="28"/>
        <v>13</v>
      </c>
      <c r="N107" s="860">
        <f t="shared" si="19"/>
        <v>0.14958448753462683</v>
      </c>
      <c r="O107" s="861">
        <f t="shared" si="29"/>
        <v>54.000000000000284</v>
      </c>
      <c r="P107" s="861">
        <f t="shared" si="30"/>
        <v>120</v>
      </c>
      <c r="Q107" s="861">
        <f t="shared" si="20"/>
        <v>14</v>
      </c>
      <c r="S107" s="340">
        <f t="shared" si="21"/>
        <v>4.3087971274685817</v>
      </c>
      <c r="T107" s="12">
        <f t="shared" si="31"/>
        <v>4</v>
      </c>
      <c r="U107" s="860">
        <f t="shared" si="22"/>
        <v>0.69120287253141832</v>
      </c>
      <c r="V107" s="861">
        <f t="shared" si="32"/>
        <v>385</v>
      </c>
      <c r="W107" s="861">
        <f t="shared" si="33"/>
        <v>160</v>
      </c>
      <c r="X107" s="861">
        <f t="shared" si="23"/>
        <v>4</v>
      </c>
      <c r="Z107" s="12">
        <f t="shared" si="24"/>
        <v>56</v>
      </c>
      <c r="AA107" s="12">
        <f t="shared" si="25"/>
        <v>11.260312000000001</v>
      </c>
      <c r="AB107" s="12">
        <f t="shared" si="26"/>
        <v>12</v>
      </c>
      <c r="AC107" s="864">
        <f t="shared" si="27"/>
        <v>0.93835933333333343</v>
      </c>
    </row>
    <row r="108" spans="3:29" x14ac:dyDescent="0.25">
      <c r="C108" s="850">
        <f>IF(Z108&gt;0,MAX(C73:C107)+1,0)</f>
        <v>36</v>
      </c>
      <c r="D108" s="866">
        <v>20</v>
      </c>
      <c r="E108" s="850">
        <v>136</v>
      </c>
      <c r="F108" s="868">
        <v>10</v>
      </c>
      <c r="G108" s="851">
        <v>6000</v>
      </c>
      <c r="H108" s="851">
        <v>2000</v>
      </c>
      <c r="I108" s="851">
        <v>0</v>
      </c>
      <c r="J108" s="851">
        <v>10</v>
      </c>
      <c r="L108" s="340">
        <f t="shared" si="18"/>
        <v>16.62049861495845</v>
      </c>
      <c r="M108" s="12">
        <f t="shared" si="28"/>
        <v>16</v>
      </c>
      <c r="N108" s="860">
        <f t="shared" si="19"/>
        <v>0.37950138504155007</v>
      </c>
      <c r="O108" s="861">
        <f t="shared" si="29"/>
        <v>136.99999999999957</v>
      </c>
      <c r="P108" s="861">
        <f t="shared" si="30"/>
        <v>120</v>
      </c>
      <c r="Q108" s="861">
        <f t="shared" si="20"/>
        <v>16</v>
      </c>
      <c r="S108" s="340">
        <f t="shared" si="21"/>
        <v>3.5906642728904847</v>
      </c>
      <c r="T108" s="12">
        <f t="shared" si="31"/>
        <v>3</v>
      </c>
      <c r="U108" s="860">
        <f t="shared" si="22"/>
        <v>0.40933572710951527</v>
      </c>
      <c r="V108" s="861">
        <f t="shared" si="32"/>
        <v>228</v>
      </c>
      <c r="W108" s="861">
        <f t="shared" si="33"/>
        <v>160</v>
      </c>
      <c r="X108" s="861">
        <f t="shared" si="23"/>
        <v>3</v>
      </c>
      <c r="Z108" s="12">
        <f t="shared" si="24"/>
        <v>48</v>
      </c>
      <c r="AA108" s="12">
        <f t="shared" si="25"/>
        <v>9.6516960000000012</v>
      </c>
      <c r="AB108" s="12">
        <f t="shared" si="26"/>
        <v>12</v>
      </c>
      <c r="AC108" s="864">
        <f t="shared" si="27"/>
        <v>0.80430800000000013</v>
      </c>
    </row>
    <row r="109" spans="3:29" x14ac:dyDescent="0.25">
      <c r="C109" s="850">
        <f>IF(Z109&gt;0,MAX(C73:C108)+1,0)</f>
        <v>37</v>
      </c>
      <c r="D109" s="866">
        <v>10</v>
      </c>
      <c r="E109" s="850">
        <v>137</v>
      </c>
      <c r="F109" s="868">
        <v>14</v>
      </c>
      <c r="G109" s="851">
        <v>5600</v>
      </c>
      <c r="H109" s="851">
        <v>2400</v>
      </c>
      <c r="I109" s="851">
        <v>14</v>
      </c>
      <c r="J109" s="851">
        <v>0</v>
      </c>
      <c r="L109" s="340">
        <f t="shared" si="18"/>
        <v>15.512465373961218</v>
      </c>
      <c r="M109" s="12">
        <f t="shared" si="28"/>
        <v>15</v>
      </c>
      <c r="N109" s="860">
        <f t="shared" si="19"/>
        <v>0.48753462603878184</v>
      </c>
      <c r="O109" s="861">
        <f t="shared" si="29"/>
        <v>176.00000000000026</v>
      </c>
      <c r="P109" s="861">
        <f t="shared" si="30"/>
        <v>120</v>
      </c>
      <c r="Q109" s="861">
        <f t="shared" si="20"/>
        <v>15</v>
      </c>
      <c r="S109" s="340">
        <f t="shared" si="21"/>
        <v>4.3087971274685817</v>
      </c>
      <c r="T109" s="12">
        <f t="shared" si="31"/>
        <v>4</v>
      </c>
      <c r="U109" s="860">
        <f t="shared" si="22"/>
        <v>0.69120287253141832</v>
      </c>
      <c r="V109" s="861">
        <f t="shared" si="32"/>
        <v>385</v>
      </c>
      <c r="W109" s="861">
        <f t="shared" si="33"/>
        <v>160</v>
      </c>
      <c r="X109" s="861">
        <f t="shared" si="23"/>
        <v>4</v>
      </c>
      <c r="Z109" s="12">
        <f t="shared" si="24"/>
        <v>60</v>
      </c>
      <c r="AA109" s="12">
        <f t="shared" si="25"/>
        <v>12.06462</v>
      </c>
      <c r="AB109" s="12">
        <f t="shared" si="26"/>
        <v>13.44</v>
      </c>
      <c r="AC109" s="864">
        <f t="shared" si="27"/>
        <v>0.89766517857142858</v>
      </c>
    </row>
    <row r="110" spans="3:29" x14ac:dyDescent="0.25">
      <c r="C110" s="850">
        <f>IF(Z110&gt;0,MAX(C73:C109)+1,0)</f>
        <v>38</v>
      </c>
      <c r="D110" s="866">
        <v>20</v>
      </c>
      <c r="E110" s="850">
        <v>138</v>
      </c>
      <c r="F110" s="868">
        <v>12</v>
      </c>
      <c r="G110" s="851">
        <v>6000</v>
      </c>
      <c r="H110" s="851">
        <v>2400</v>
      </c>
      <c r="I110" s="851">
        <v>0</v>
      </c>
      <c r="J110" s="851">
        <v>12</v>
      </c>
      <c r="L110" s="340">
        <f t="shared" si="18"/>
        <v>16.62049861495845</v>
      </c>
      <c r="M110" s="12">
        <f t="shared" si="28"/>
        <v>16</v>
      </c>
      <c r="N110" s="860">
        <f t="shared" si="19"/>
        <v>0.37950138504155007</v>
      </c>
      <c r="O110" s="861">
        <f t="shared" si="29"/>
        <v>136.99999999999957</v>
      </c>
      <c r="P110" s="861">
        <f t="shared" si="30"/>
        <v>120</v>
      </c>
      <c r="Q110" s="861">
        <f t="shared" si="20"/>
        <v>16</v>
      </c>
      <c r="S110" s="340">
        <f t="shared" si="21"/>
        <v>4.3087971274685817</v>
      </c>
      <c r="T110" s="12">
        <f t="shared" si="31"/>
        <v>4</v>
      </c>
      <c r="U110" s="860">
        <f t="shared" si="22"/>
        <v>0.69120287253141832</v>
      </c>
      <c r="V110" s="861">
        <f t="shared" si="32"/>
        <v>385</v>
      </c>
      <c r="W110" s="861">
        <f t="shared" si="33"/>
        <v>160</v>
      </c>
      <c r="X110" s="861">
        <f t="shared" si="23"/>
        <v>4</v>
      </c>
      <c r="Z110" s="12">
        <f t="shared" si="24"/>
        <v>64</v>
      </c>
      <c r="AA110" s="12">
        <f t="shared" si="25"/>
        <v>12.868928</v>
      </c>
      <c r="AB110" s="12">
        <f t="shared" si="26"/>
        <v>14.399999999999999</v>
      </c>
      <c r="AC110" s="864">
        <f t="shared" si="27"/>
        <v>0.89367555555555567</v>
      </c>
    </row>
    <row r="111" spans="3:29" x14ac:dyDescent="0.25">
      <c r="C111" s="848">
        <f>IF(Z111&gt;0,MAX(C73:C110)+1,0)</f>
        <v>39</v>
      </c>
      <c r="D111" s="867">
        <v>10</v>
      </c>
      <c r="E111" s="848">
        <v>139</v>
      </c>
      <c r="F111" s="869">
        <v>16</v>
      </c>
      <c r="G111" s="853">
        <v>6400</v>
      </c>
      <c r="H111" s="853">
        <v>2400</v>
      </c>
      <c r="I111" s="853">
        <v>16</v>
      </c>
      <c r="J111" s="853">
        <v>0</v>
      </c>
      <c r="K111" s="320"/>
      <c r="L111" s="342">
        <f t="shared" si="18"/>
        <v>17.72853185595568</v>
      </c>
      <c r="M111" s="13">
        <f t="shared" si="28"/>
        <v>17</v>
      </c>
      <c r="N111" s="862">
        <f t="shared" si="19"/>
        <v>0.27146814404432007</v>
      </c>
      <c r="O111" s="849">
        <f t="shared" si="29"/>
        <v>97.999999999999545</v>
      </c>
      <c r="P111" s="849">
        <f t="shared" si="30"/>
        <v>120</v>
      </c>
      <c r="Q111" s="849">
        <f t="shared" si="20"/>
        <v>18</v>
      </c>
      <c r="R111" s="320"/>
      <c r="S111" s="342">
        <f t="shared" si="21"/>
        <v>4.3087971274685817</v>
      </c>
      <c r="T111" s="13">
        <f t="shared" si="31"/>
        <v>4</v>
      </c>
      <c r="U111" s="862">
        <f t="shared" si="22"/>
        <v>0.69120287253141832</v>
      </c>
      <c r="V111" s="849">
        <f t="shared" si="32"/>
        <v>385</v>
      </c>
      <c r="W111" s="849">
        <f t="shared" si="33"/>
        <v>160</v>
      </c>
      <c r="X111" s="849">
        <f t="shared" si="23"/>
        <v>4</v>
      </c>
      <c r="Y111" s="320"/>
      <c r="Z111" s="13">
        <f t="shared" si="24"/>
        <v>72</v>
      </c>
      <c r="AA111" s="13">
        <f t="shared" si="25"/>
        <v>14.477544</v>
      </c>
      <c r="AB111" s="13">
        <f t="shared" si="26"/>
        <v>15.36</v>
      </c>
      <c r="AC111" s="865">
        <f t="shared" si="27"/>
        <v>0.94254843750000006</v>
      </c>
    </row>
    <row r="113" spans="2:43" x14ac:dyDescent="0.25">
      <c r="Q113" s="1321" t="s">
        <v>925</v>
      </c>
      <c r="R113" s="1321"/>
    </row>
    <row r="114" spans="2:43" x14ac:dyDescent="0.25">
      <c r="Q114" s="879">
        <v>0</v>
      </c>
      <c r="R114" s="880">
        <v>10</v>
      </c>
    </row>
    <row r="115" spans="2:43" x14ac:dyDescent="0.25">
      <c r="Q115" s="639">
        <v>0.5</v>
      </c>
      <c r="R115" s="557">
        <v>20</v>
      </c>
    </row>
    <row r="116" spans="2:43" x14ac:dyDescent="0.25">
      <c r="Q116" s="639">
        <v>0.7</v>
      </c>
      <c r="R116" s="557">
        <v>25</v>
      </c>
    </row>
    <row r="117" spans="2:43" x14ac:dyDescent="0.25">
      <c r="Q117" s="639">
        <v>0.85</v>
      </c>
      <c r="R117" s="557">
        <v>35</v>
      </c>
    </row>
    <row r="118" spans="2:43" x14ac:dyDescent="0.25">
      <c r="Q118" s="639">
        <v>0.9</v>
      </c>
      <c r="R118" s="557">
        <v>40</v>
      </c>
    </row>
    <row r="119" spans="2:43" x14ac:dyDescent="0.25">
      <c r="Q119" s="639">
        <v>0.95</v>
      </c>
      <c r="R119" s="557">
        <v>45</v>
      </c>
    </row>
    <row r="120" spans="2:43" x14ac:dyDescent="0.25">
      <c r="Q120" s="639">
        <v>1</v>
      </c>
      <c r="R120" s="557">
        <v>50</v>
      </c>
    </row>
    <row r="121" spans="2:43" x14ac:dyDescent="0.25">
      <c r="Q121" s="639">
        <v>1.05</v>
      </c>
      <c r="R121" s="557">
        <v>50</v>
      </c>
    </row>
    <row r="122" spans="2:43" x14ac:dyDescent="0.25">
      <c r="Q122" s="639">
        <v>1.1000000000000001</v>
      </c>
      <c r="R122" s="557">
        <v>45</v>
      </c>
    </row>
    <row r="123" spans="2:43" x14ac:dyDescent="0.25">
      <c r="Q123" s="639">
        <v>1.1499999999999999</v>
      </c>
      <c r="R123" s="557">
        <v>35</v>
      </c>
    </row>
    <row r="124" spans="2:43" x14ac:dyDescent="0.25">
      <c r="Q124" s="639">
        <v>1.3</v>
      </c>
      <c r="R124" s="557">
        <v>20</v>
      </c>
    </row>
    <row r="125" spans="2:43" x14ac:dyDescent="0.25">
      <c r="Q125" s="640">
        <v>1.5</v>
      </c>
      <c r="R125" s="559">
        <v>5</v>
      </c>
    </row>
    <row r="127" spans="2:43" x14ac:dyDescent="0.25">
      <c r="B127" s="404"/>
      <c r="C127" s="845"/>
      <c r="D127" s="858" t="s">
        <v>898</v>
      </c>
      <c r="E127" s="1312" t="s">
        <v>898</v>
      </c>
      <c r="F127" s="1303"/>
      <c r="G127" s="1312" t="s">
        <v>923</v>
      </c>
      <c r="H127" s="1303"/>
      <c r="I127" s="1312" t="s">
        <v>915</v>
      </c>
      <c r="J127" s="1303"/>
      <c r="K127" s="442" t="s">
        <v>61</v>
      </c>
      <c r="L127" s="451" t="s">
        <v>61</v>
      </c>
      <c r="M127" s="442" t="s">
        <v>605</v>
      </c>
      <c r="N127" s="442" t="s">
        <v>605</v>
      </c>
      <c r="O127" s="404" t="s">
        <v>489</v>
      </c>
      <c r="P127" s="486">
        <v>50</v>
      </c>
      <c r="Q127" s="486">
        <v>50</v>
      </c>
      <c r="R127" s="476"/>
      <c r="S127" s="442"/>
      <c r="T127" s="883"/>
      <c r="U127" s="486">
        <v>25</v>
      </c>
      <c r="V127" s="404"/>
      <c r="X127" s="845"/>
      <c r="Y127" s="858" t="s">
        <v>898</v>
      </c>
      <c r="Z127" s="476" t="s">
        <v>898</v>
      </c>
      <c r="AA127" s="433"/>
      <c r="AB127" s="476" t="s">
        <v>923</v>
      </c>
      <c r="AC127" s="433"/>
      <c r="AD127" s="476" t="s">
        <v>915</v>
      </c>
      <c r="AE127" s="433"/>
      <c r="AF127" s="442" t="s">
        <v>61</v>
      </c>
      <c r="AG127" s="451" t="s">
        <v>61</v>
      </c>
      <c r="AH127" s="442" t="s">
        <v>605</v>
      </c>
      <c r="AI127" s="442" t="s">
        <v>605</v>
      </c>
      <c r="AJ127" s="404" t="s">
        <v>489</v>
      </c>
      <c r="AK127" s="486">
        <v>50</v>
      </c>
      <c r="AL127" s="486">
        <v>50</v>
      </c>
      <c r="AM127" s="404"/>
      <c r="AN127" s="404"/>
      <c r="AO127" s="883"/>
      <c r="AP127" s="486">
        <v>25</v>
      </c>
      <c r="AQ127" s="404"/>
    </row>
    <row r="128" spans="2:43" x14ac:dyDescent="0.25">
      <c r="B128" s="41" t="s">
        <v>522</v>
      </c>
      <c r="C128" s="850"/>
      <c r="D128" s="847" t="s">
        <v>901</v>
      </c>
      <c r="E128" s="432" t="s">
        <v>558</v>
      </c>
      <c r="F128" s="436" t="s">
        <v>9</v>
      </c>
      <c r="G128" s="432" t="s">
        <v>558</v>
      </c>
      <c r="H128" s="436" t="s">
        <v>9</v>
      </c>
      <c r="I128" s="432" t="s">
        <v>18</v>
      </c>
      <c r="J128" s="436" t="s">
        <v>9</v>
      </c>
      <c r="K128" s="13" t="s">
        <v>914</v>
      </c>
      <c r="L128" s="342" t="s">
        <v>810</v>
      </c>
      <c r="M128" s="13" t="s">
        <v>918</v>
      </c>
      <c r="N128" s="13" t="s">
        <v>920</v>
      </c>
      <c r="O128" s="13" t="s">
        <v>921</v>
      </c>
      <c r="P128" s="13" t="s">
        <v>924</v>
      </c>
      <c r="Q128" s="13" t="s">
        <v>915</v>
      </c>
      <c r="R128" s="432" t="s">
        <v>925</v>
      </c>
      <c r="S128" s="13" t="s">
        <v>926</v>
      </c>
      <c r="T128" s="884"/>
      <c r="U128" s="12" t="s">
        <v>927</v>
      </c>
      <c r="V128" s="13" t="s">
        <v>39</v>
      </c>
      <c r="X128" s="850" t="s">
        <v>523</v>
      </c>
      <c r="Y128" s="847" t="s">
        <v>901</v>
      </c>
      <c r="Z128" s="432" t="s">
        <v>558</v>
      </c>
      <c r="AA128" s="436" t="s">
        <v>9</v>
      </c>
      <c r="AB128" s="432" t="s">
        <v>558</v>
      </c>
      <c r="AC128" s="436" t="s">
        <v>9</v>
      </c>
      <c r="AD128" s="432" t="s">
        <v>18</v>
      </c>
      <c r="AE128" s="436" t="s">
        <v>9</v>
      </c>
      <c r="AF128" s="13" t="s">
        <v>914</v>
      </c>
      <c r="AG128" s="342" t="s">
        <v>810</v>
      </c>
      <c r="AH128" s="13" t="s">
        <v>918</v>
      </c>
      <c r="AI128" s="13" t="s">
        <v>920</v>
      </c>
      <c r="AJ128" s="13" t="s">
        <v>921</v>
      </c>
      <c r="AK128" s="13" t="s">
        <v>924</v>
      </c>
      <c r="AL128" s="13" t="s">
        <v>915</v>
      </c>
      <c r="AM128" s="13" t="s">
        <v>925</v>
      </c>
      <c r="AN128" s="13" t="s">
        <v>926</v>
      </c>
      <c r="AO128" s="884"/>
      <c r="AP128" s="12" t="s">
        <v>927</v>
      </c>
      <c r="AQ128" s="13" t="s">
        <v>39</v>
      </c>
    </row>
    <row r="129" spans="2:43" x14ac:dyDescent="0.25">
      <c r="B129" s="472"/>
      <c r="C129" s="870">
        <f>C30</f>
        <v>39</v>
      </c>
      <c r="D129" s="871"/>
      <c r="E129" s="6"/>
      <c r="F129" s="7"/>
      <c r="G129" s="6"/>
      <c r="H129" s="7"/>
      <c r="I129" s="6"/>
      <c r="J129" s="7"/>
      <c r="K129" s="473">
        <f>MAX(K130:K134)</f>
        <v>6</v>
      </c>
      <c r="L129" s="12">
        <f>MIN(L130:L134)</f>
        <v>1</v>
      </c>
      <c r="M129" s="472"/>
      <c r="N129" s="13"/>
      <c r="P129" s="472"/>
      <c r="Q129" s="472"/>
      <c r="R129" s="213"/>
      <c r="S129" s="442">
        <f>MAX(S130:S134)</f>
        <v>150</v>
      </c>
      <c r="T129" s="885">
        <f>MIN(T130:T134)</f>
        <v>1.2</v>
      </c>
      <c r="U129" s="472"/>
      <c r="V129" s="442">
        <f>MAX(V130:V134)</f>
        <v>175</v>
      </c>
      <c r="X129" s="870"/>
      <c r="Y129" s="858"/>
      <c r="Z129" s="6"/>
      <c r="AA129" s="7"/>
      <c r="AB129" s="6"/>
      <c r="AC129" s="7"/>
      <c r="AD129" s="6"/>
      <c r="AE129" s="7"/>
      <c r="AF129" s="473">
        <f>MAX(AF130:AF131)</f>
        <v>6</v>
      </c>
      <c r="AG129" s="12">
        <f>MIN(AG130:AG131)</f>
        <v>1</v>
      </c>
      <c r="AH129" s="472"/>
      <c r="AI129" s="13"/>
      <c r="AK129" s="404"/>
      <c r="AL129" s="404"/>
      <c r="AM129" s="404"/>
      <c r="AN129" s="442">
        <f>MAX(AN130:AN131)</f>
        <v>150</v>
      </c>
      <c r="AO129" s="885">
        <f>MIN(AO130:AO131)</f>
        <v>1.2</v>
      </c>
      <c r="AP129" s="472"/>
      <c r="AQ129" s="442">
        <f>MAX(AQ130:AQ134)</f>
        <v>175</v>
      </c>
    </row>
    <row r="130" spans="2:43" x14ac:dyDescent="0.25">
      <c r="B130" s="12">
        <f>IF(AND(SUM(D130:D134)&gt;0,V130=$V$129),1,0)</f>
        <v>0</v>
      </c>
      <c r="C130" s="845">
        <v>1</v>
      </c>
      <c r="D130" s="858">
        <f>IF($C$129&gt;=C130,VLOOKUP(C130,$C$31:$J$69,3,FALSE),0)</f>
        <v>1</v>
      </c>
      <c r="E130" s="431">
        <f>IF($D130&gt;0,VLOOKUP($D130,$E$31:$AC$111,4,FALSE),0)</f>
        <v>800</v>
      </c>
      <c r="F130" s="435">
        <f>IF($D130&gt;0,VLOOKUP($D130,$E$31:$AC$111,3,FALSE),0)</f>
        <v>1200</v>
      </c>
      <c r="G130" s="431">
        <f>IF(D130&gt;0,$D$3)</f>
        <v>361</v>
      </c>
      <c r="H130" s="449">
        <f>IF(D130&gt;0,$D$4)</f>
        <v>557</v>
      </c>
      <c r="I130" s="431">
        <f>IF($D130&gt;0,VLOOKUP($D130,$E$31:$AC$111,20,FALSE),0)</f>
        <v>2</v>
      </c>
      <c r="J130" s="435">
        <f>IF($D130&gt;0,VLOOKUP($D130,$E$31:$AC$111,13,FALSE),0)</f>
        <v>2</v>
      </c>
      <c r="K130" s="26">
        <f>IF(AND(D130&gt;0,L130=$L$129),J130*I130,0)</f>
        <v>4</v>
      </c>
      <c r="L130" s="431">
        <f>IF($D130&gt;0,VLOOKUP($D130,$E$31:$AC$111,2,FALSE),0)</f>
        <v>1</v>
      </c>
      <c r="M130" s="431">
        <f>IF($D130&gt;0,VLOOKUP($D130,$E$31:$AC$111,24,FALSE),0)</f>
        <v>0.96</v>
      </c>
      <c r="N130" s="442">
        <f>IF($D130&gt;0,VLOOKUP($D130,$E$31:$AC$111,23,FALSE),0)</f>
        <v>0.80430800000000002</v>
      </c>
      <c r="O130" s="875">
        <f>IF($D130&gt;0,VLOOKUP($D130,$E$31:$AC$111,25,FALSE),0)</f>
        <v>0.83782083333333335</v>
      </c>
      <c r="P130" s="431">
        <f>IF(AND(D130&gt;0,L130=$L$129),$P$127,0)</f>
        <v>50</v>
      </c>
      <c r="Q130" s="442">
        <f>IF(AND(D130&gt;0,K130=$K$129),$Q$127,0)</f>
        <v>0</v>
      </c>
      <c r="R130" s="431">
        <f>IF(D130&gt;0,VLOOKUP(O130,$Q$114:$R$125,2),0)</f>
        <v>25</v>
      </c>
      <c r="S130" s="442">
        <f>IF(D130&gt;0,SUM(P130:R130),0)</f>
        <v>75</v>
      </c>
      <c r="T130" s="340">
        <f>IF(AND(D130&gt;0,S130=$S$129),M130,9999)</f>
        <v>9999</v>
      </c>
      <c r="U130" s="26">
        <f>IF(AND(D130&gt;0,T130=$T$129),$U$127,0)</f>
        <v>0</v>
      </c>
      <c r="V130" s="442">
        <f>IF(D130&gt;0,S130+U130,0)</f>
        <v>75</v>
      </c>
      <c r="X130" s="858">
        <f>IF(AQ130=AQ129,1,0)</f>
        <v>1</v>
      </c>
      <c r="Y130" s="858">
        <f>IF(SUM(B130:B134)&gt;0,VLOOKUP(1,B130:V134,3,FALSE),0)</f>
        <v>2</v>
      </c>
      <c r="Z130" s="431">
        <f>IF($Y$130&gt;0,VLOOKUP($Y$130,$D$130:$V$134,2,FALSE),0)</f>
        <v>1000</v>
      </c>
      <c r="AA130" s="449">
        <f>IF($Y$130&gt;0,VLOOKUP($Y$130,$D$130:$V$134,3,FALSE),0)</f>
        <v>1200</v>
      </c>
      <c r="AB130" s="431">
        <f>IF($Y$130&gt;0,VLOOKUP($Y$130,$D$130:$V$134,4,FALSE),0)</f>
        <v>361</v>
      </c>
      <c r="AC130" s="449">
        <f>IF($Y$130&gt;0,VLOOKUP($Y$130,$D$130:$V$134,5,FALSE),0)</f>
        <v>557</v>
      </c>
      <c r="AD130" s="431">
        <f>IF($Y$130&gt;0,VLOOKUP($Y$130,$D$130:$V$134,6,FALSE),0)</f>
        <v>3</v>
      </c>
      <c r="AE130" s="435">
        <f>IF($Y$130&gt;0,VLOOKUP($Y$130,$D$130:$V$134,7,FALSE),0)</f>
        <v>2</v>
      </c>
      <c r="AF130" s="442">
        <f>IF(AND(Y130&gt;0,AG130=$AG$129),AE130*AD130,0)</f>
        <v>6</v>
      </c>
      <c r="AG130" s="435">
        <f>IF($Y$130&gt;0,VLOOKUP($Y$130,$D$130:$V$134,9,FALSE),0)</f>
        <v>1</v>
      </c>
      <c r="AH130" s="435">
        <f>IF($Y$130&gt;0,VLOOKUP($Y$130,$D$130:$V$134,10,FALSE),0)</f>
        <v>1.2</v>
      </c>
      <c r="AI130" s="910">
        <f>IF($Y$130&gt;0,VLOOKUP($Y$130,$D$130:$V$134,11,FALSE),0)</f>
        <v>1.2064620000000001</v>
      </c>
      <c r="AJ130" s="881">
        <f>IF($Y$130&gt;0,VLOOKUP($Y$130,$D$130:$V$134,12,FALSE),0)</f>
        <v>1.0053850000000002</v>
      </c>
      <c r="AK130" s="431">
        <f>IF(AND(Y130&gt;0,AG130=$AG$129),$AK$127,0)</f>
        <v>50</v>
      </c>
      <c r="AL130" s="431">
        <f>IF(AND(Y130&gt;0,AF130=$AF$129),$AL$127,0)</f>
        <v>50</v>
      </c>
      <c r="AM130" s="431">
        <f>IF(Y130&gt;0,VLOOKUP(AJ130,$Q$114:$R$125,2),0)</f>
        <v>50</v>
      </c>
      <c r="AN130" s="442">
        <f>IF(Y130&gt;0,SUM(AK130:AM130),0)</f>
        <v>150</v>
      </c>
      <c r="AO130" s="451">
        <f>IF(AND(Y130&gt;0,AN130=$AN$129),AH130,9999)</f>
        <v>1.2</v>
      </c>
      <c r="AP130" s="431">
        <f>IF(AND(Y130&gt;0,AO130=$AO$129),$AP$127,0)</f>
        <v>25</v>
      </c>
      <c r="AQ130" s="442">
        <f>IF(Y130&gt;0,AN130+AP130,0)</f>
        <v>175</v>
      </c>
    </row>
    <row r="131" spans="2:43" x14ac:dyDescent="0.25">
      <c r="B131" s="12">
        <f>IF(AND(SUM(D130:D134)&gt;0,V131=$V$129),1,0)</f>
        <v>1</v>
      </c>
      <c r="C131" s="850">
        <v>2</v>
      </c>
      <c r="D131" s="847">
        <f>IF($C$129&gt;=C131,VLOOKUP(C131,$C$31:$J$69,3,FALSE),0)</f>
        <v>2</v>
      </c>
      <c r="E131" s="26">
        <f>IF(D131&gt;0,VLOOKUP(D131,$E$31:$AC$111,4,FALSE),0)</f>
        <v>1000</v>
      </c>
      <c r="F131" s="25">
        <f>IF(D131&gt;0,VLOOKUP(D131,$E$31:$AC$111,3,FALSE),0)</f>
        <v>1200</v>
      </c>
      <c r="G131" s="26">
        <f t="shared" ref="G131:G134" si="34">IF(D131&gt;0,$D$3)</f>
        <v>361</v>
      </c>
      <c r="H131" s="2">
        <f t="shared" ref="H131:H134" si="35">IF(D131&gt;0,$D$4)</f>
        <v>557</v>
      </c>
      <c r="I131" s="26">
        <f t="shared" ref="I131:I134" si="36">IF($D131&gt;0,VLOOKUP($D131,$E$31:$AC$111,20,FALSE),0)</f>
        <v>3</v>
      </c>
      <c r="J131" s="25">
        <f t="shared" ref="J131:J134" si="37">IF($D131&gt;0,VLOOKUP($D131,$E$31:$AC$111,13,FALSE),0)</f>
        <v>2</v>
      </c>
      <c r="K131" s="26">
        <f t="shared" ref="K131:K134" si="38">IF(AND(D131&gt;0,L131=$L$129),J131*I131,0)</f>
        <v>6</v>
      </c>
      <c r="L131" s="26">
        <f t="shared" ref="L131:L134" si="39">IF($D131&gt;0,VLOOKUP($D131,$E$31:$AC$111,2,FALSE),0)</f>
        <v>1</v>
      </c>
      <c r="M131" s="26">
        <f t="shared" ref="M131:M140" si="40">IF($D131&gt;0,VLOOKUP($D131,$E$31:$AC$111,24,FALSE),0)</f>
        <v>1.2</v>
      </c>
      <c r="N131" s="12">
        <f t="shared" ref="N131:N134" si="41">IF($D131&gt;0,VLOOKUP($D131,$E$31:$AC$111,23,FALSE),0)</f>
        <v>1.2064620000000001</v>
      </c>
      <c r="O131" s="479">
        <f t="shared" ref="O131:O134" si="42">IF($D131&gt;0,VLOOKUP($D131,$E$31:$AC$111,25,FALSE),0)</f>
        <v>1.0053850000000002</v>
      </c>
      <c r="P131" s="26">
        <f>IF(AND(D131&gt;0,L131=$L$129),$P$127,0)</f>
        <v>50</v>
      </c>
      <c r="Q131" s="12">
        <f t="shared" ref="Q131:Q134" si="43">IF(AND(D131&gt;0,K131=$K$129),$Q$127,0)</f>
        <v>50</v>
      </c>
      <c r="R131" s="26">
        <f t="shared" ref="R131:R140" si="44">IF(D131&gt;0,VLOOKUP(O131,$Q$114:$R$125,2),0)</f>
        <v>50</v>
      </c>
      <c r="S131" s="12">
        <f t="shared" ref="S131:S134" si="45">IF(D131&gt;0,SUM(P131:R131),0)</f>
        <v>150</v>
      </c>
      <c r="T131" s="340">
        <f t="shared" ref="T131:T134" si="46">IF(AND(D131&gt;0,S131=$S$129),M131,9999)</f>
        <v>1.2</v>
      </c>
      <c r="U131" s="26">
        <f t="shared" ref="U131:U134" si="47">IF(AND(D131&gt;0,T131=$T$129),$U$127,0)</f>
        <v>25</v>
      </c>
      <c r="V131" s="12">
        <f t="shared" ref="V131:V134" si="48">IF(D131&gt;0,S131+U131,0)</f>
        <v>175</v>
      </c>
      <c r="X131" s="432">
        <f>IF(AQ131=AQ129,1,0)</f>
        <v>1</v>
      </c>
      <c r="Y131" s="872">
        <f>IF(SUM(B136:B140)&gt;0,VLOOKUP(1,B136:V140,3,FALSE),0)</f>
        <v>102</v>
      </c>
      <c r="Z131" s="432">
        <f>IF($Y$131&gt;0,VLOOKUP($Y$131,$D$136:$V$140,2,FALSE),0)</f>
        <v>1000</v>
      </c>
      <c r="AA131" s="343">
        <f>IF($Y$131&gt;0,VLOOKUP($Y$131,$D$136:$V$140,3,FALSE),0)</f>
        <v>1200</v>
      </c>
      <c r="AB131" s="432">
        <f>IF($Y$131&gt;0,VLOOKUP($Y$131,$D$136:$V$140,4,FALSE),0)</f>
        <v>557</v>
      </c>
      <c r="AC131" s="343">
        <f>IF($Y$131&gt;0,VLOOKUP($Y$131,$D$136:$V$140,5,FALSE),0)</f>
        <v>361</v>
      </c>
      <c r="AD131" s="432">
        <f>IF($Y$131&gt;0,VLOOKUP($Y$131,$D$136:$V$140,6,FALSE),0)</f>
        <v>2</v>
      </c>
      <c r="AE131" s="436">
        <f>IF($Y$131&gt;0,VLOOKUP($Y$131,$D$136:$V$140,7,FALSE),0)</f>
        <v>3</v>
      </c>
      <c r="AF131" s="13">
        <f>IF(AND(Y131&gt;0,AG131=$AG$129),AE131*AD131,0)</f>
        <v>6</v>
      </c>
      <c r="AG131" s="436">
        <f>IF($Y$131&gt;0,VLOOKUP($Y$131,$D$136:$V$140,9,FALSE),0)</f>
        <v>1</v>
      </c>
      <c r="AH131" s="436">
        <f>IF($Y$131&gt;0,VLOOKUP($Y$131,$D$136:$V$140,10,FALSE),0)</f>
        <v>1.2</v>
      </c>
      <c r="AI131" s="911">
        <f>IF($Y$131&gt;0,VLOOKUP($Y$131,$D$136:$V$140,11,FALSE),0)</f>
        <v>1.2064620000000001</v>
      </c>
      <c r="AJ131" s="882">
        <f>IF($Y$131&gt;0,VLOOKUP($Y$131,$D$136:$V$140,12,FALSE),0)</f>
        <v>1.0053850000000002</v>
      </c>
      <c r="AK131" s="432">
        <f>IF(AND(Y131&gt;0,AG131=$AG$129),$AK$127,0)</f>
        <v>50</v>
      </c>
      <c r="AL131" s="432">
        <f>IF(AND(Y131&gt;0,AF131=$AF$129),$AL$127,0)</f>
        <v>50</v>
      </c>
      <c r="AM131" s="432">
        <f>IF(Y131&gt;0,VLOOKUP(AJ131,$Q$114:$R$125,2),0)</f>
        <v>50</v>
      </c>
      <c r="AN131" s="13">
        <f>IF(Y131&gt;0,SUM(AK131:AM131),0)</f>
        <v>150</v>
      </c>
      <c r="AO131" s="342">
        <f>IF(AND(Y131&gt;0,AN131=$AN$129),AH131,9999)</f>
        <v>1.2</v>
      </c>
      <c r="AP131" s="432">
        <f>IF(AND(Y131&gt;0,AO131=$AO$129),$AP$127,0)</f>
        <v>25</v>
      </c>
      <c r="AQ131" s="13">
        <f>IF(Y131&gt;0,AN131+AP131,0)</f>
        <v>175</v>
      </c>
    </row>
    <row r="132" spans="2:43" x14ac:dyDescent="0.25">
      <c r="B132" s="12">
        <f>IF(AND(SUM(D130:D134)&gt;0,V132=$V$129),1,0)</f>
        <v>0</v>
      </c>
      <c r="C132" s="850">
        <v>3</v>
      </c>
      <c r="D132" s="847">
        <f>IF($C$129&gt;=C132,VLOOKUP(C132,$C$31:$J$69,3,FALSE),0)</f>
        <v>3</v>
      </c>
      <c r="E132" s="26">
        <f>IF(D132&gt;0,VLOOKUP(D132,$E$31:$AC$111,4,FALSE),0)</f>
        <v>1200</v>
      </c>
      <c r="F132" s="25">
        <f>IF(D132&gt;0,VLOOKUP(D132,$E$31:$AC$111,3,FALSE),0)</f>
        <v>1600</v>
      </c>
      <c r="G132" s="26">
        <f t="shared" si="34"/>
        <v>361</v>
      </c>
      <c r="H132" s="2">
        <f t="shared" si="35"/>
        <v>557</v>
      </c>
      <c r="I132" s="26">
        <f t="shared" si="36"/>
        <v>3</v>
      </c>
      <c r="J132" s="25">
        <f t="shared" si="37"/>
        <v>3</v>
      </c>
      <c r="K132" s="26">
        <f t="shared" si="38"/>
        <v>0</v>
      </c>
      <c r="L132" s="26">
        <f t="shared" si="39"/>
        <v>2</v>
      </c>
      <c r="M132" s="26">
        <f t="shared" si="40"/>
        <v>1.92</v>
      </c>
      <c r="N132" s="12">
        <f t="shared" si="41"/>
        <v>1.809693</v>
      </c>
      <c r="O132" s="479">
        <f t="shared" si="42"/>
        <v>0.94254843750000006</v>
      </c>
      <c r="P132" s="26">
        <f t="shared" ref="P132:P134" si="49">IF(AND(D132&gt;0,L132=$L$129),$P$127,0)</f>
        <v>0</v>
      </c>
      <c r="Q132" s="12">
        <f t="shared" si="43"/>
        <v>0</v>
      </c>
      <c r="R132" s="26">
        <f t="shared" si="44"/>
        <v>40</v>
      </c>
      <c r="S132" s="12">
        <f t="shared" si="45"/>
        <v>40</v>
      </c>
      <c r="T132" s="340">
        <f t="shared" si="46"/>
        <v>9999</v>
      </c>
      <c r="U132" s="26">
        <f t="shared" si="47"/>
        <v>0</v>
      </c>
      <c r="V132" s="12">
        <f t="shared" si="48"/>
        <v>40</v>
      </c>
    </row>
    <row r="133" spans="2:43" x14ac:dyDescent="0.25">
      <c r="B133" s="12">
        <f>IF(AND(SUM(D130:D134)&gt;0,V133=$V$129),1,0)</f>
        <v>0</v>
      </c>
      <c r="C133" s="850">
        <v>4</v>
      </c>
      <c r="D133" s="847">
        <f>IF($C$129&gt;=C133,VLOOKUP(C133,$C$31:$J$69,3,FALSE),0)</f>
        <v>4</v>
      </c>
      <c r="E133" s="26">
        <f>IF(D133&gt;0,VLOOKUP(D133,$E$31:$AC$111,4,FALSE),0)</f>
        <v>800</v>
      </c>
      <c r="F133" s="25">
        <f>IF(D133&gt;0,VLOOKUP(D133,$E$31:$AC$111,3,FALSE),0)</f>
        <v>2400</v>
      </c>
      <c r="G133" s="26">
        <f t="shared" si="34"/>
        <v>361</v>
      </c>
      <c r="H133" s="2">
        <f t="shared" si="35"/>
        <v>557</v>
      </c>
      <c r="I133" s="26">
        <f t="shared" si="36"/>
        <v>2</v>
      </c>
      <c r="J133" s="25">
        <f t="shared" si="37"/>
        <v>4</v>
      </c>
      <c r="K133" s="26">
        <f t="shared" si="38"/>
        <v>0</v>
      </c>
      <c r="L133" s="26">
        <f t="shared" si="39"/>
        <v>2</v>
      </c>
      <c r="M133" s="26">
        <f t="shared" si="40"/>
        <v>1.92</v>
      </c>
      <c r="N133" s="12">
        <f t="shared" si="41"/>
        <v>1.608616</v>
      </c>
      <c r="O133" s="479">
        <f t="shared" si="42"/>
        <v>0.83782083333333335</v>
      </c>
      <c r="P133" s="26">
        <f t="shared" si="49"/>
        <v>0</v>
      </c>
      <c r="Q133" s="12">
        <f t="shared" si="43"/>
        <v>0</v>
      </c>
      <c r="R133" s="26">
        <f t="shared" si="44"/>
        <v>25</v>
      </c>
      <c r="S133" s="12">
        <f t="shared" si="45"/>
        <v>25</v>
      </c>
      <c r="T133" s="340">
        <f t="shared" si="46"/>
        <v>9999</v>
      </c>
      <c r="U133" s="26">
        <f t="shared" si="47"/>
        <v>0</v>
      </c>
      <c r="V133" s="12">
        <f t="shared" si="48"/>
        <v>25</v>
      </c>
      <c r="X133" t="s">
        <v>928</v>
      </c>
      <c r="Z133" s="473">
        <f>VLOOKUP(1,X130:Y131,2,FALSE)</f>
        <v>2</v>
      </c>
    </row>
    <row r="134" spans="2:43" x14ac:dyDescent="0.25">
      <c r="B134" s="12">
        <f>IF(AND(SUM(D130:D134)&gt;0,V134=$V$129),1,0)</f>
        <v>0</v>
      </c>
      <c r="C134" s="848">
        <v>5</v>
      </c>
      <c r="D134" s="872">
        <f>IF($C$129&gt;=C134,VLOOKUP(C134,$C$31:$J$69,3,FALSE),0)</f>
        <v>5</v>
      </c>
      <c r="E134" s="432">
        <f>IF(D134&gt;0,VLOOKUP(D134,$E$31:$AC$111,4,FALSE),0)</f>
        <v>1200</v>
      </c>
      <c r="F134" s="436">
        <f>IF(D134&gt;0,VLOOKUP(D134,$E$31:$AC$111,3,FALSE),0)</f>
        <v>2000</v>
      </c>
      <c r="G134" s="432">
        <f t="shared" si="34"/>
        <v>361</v>
      </c>
      <c r="H134" s="343">
        <f t="shared" si="35"/>
        <v>557</v>
      </c>
      <c r="I134" s="432">
        <f t="shared" si="36"/>
        <v>3</v>
      </c>
      <c r="J134" s="436">
        <f t="shared" si="37"/>
        <v>3</v>
      </c>
      <c r="K134" s="26">
        <f t="shared" si="38"/>
        <v>0</v>
      </c>
      <c r="L134" s="432">
        <f t="shared" si="39"/>
        <v>2</v>
      </c>
      <c r="M134" s="432">
        <f t="shared" si="40"/>
        <v>2.4</v>
      </c>
      <c r="N134" s="13">
        <f t="shared" si="41"/>
        <v>1.809693</v>
      </c>
      <c r="O134" s="876">
        <f t="shared" si="42"/>
        <v>0.75403874999999998</v>
      </c>
      <c r="P134" s="432">
        <f t="shared" si="49"/>
        <v>0</v>
      </c>
      <c r="Q134" s="13">
        <f t="shared" si="43"/>
        <v>0</v>
      </c>
      <c r="R134" s="432">
        <f t="shared" si="44"/>
        <v>25</v>
      </c>
      <c r="S134" s="13">
        <f t="shared" si="45"/>
        <v>25</v>
      </c>
      <c r="T134" s="340">
        <f t="shared" si="46"/>
        <v>9999</v>
      </c>
      <c r="U134" s="26">
        <f t="shared" si="47"/>
        <v>0</v>
      </c>
      <c r="V134" s="13">
        <f t="shared" si="48"/>
        <v>25</v>
      </c>
    </row>
    <row r="135" spans="2:43" x14ac:dyDescent="0.25">
      <c r="B135" s="472"/>
      <c r="C135" s="870">
        <f>C72</f>
        <v>39</v>
      </c>
      <c r="D135" s="871"/>
      <c r="E135" s="26"/>
      <c r="F135" s="25"/>
      <c r="G135" s="6"/>
      <c r="H135" s="7"/>
      <c r="I135" s="6"/>
      <c r="J135" s="7"/>
      <c r="K135" s="442">
        <f>MAX(K136:K140)</f>
        <v>6</v>
      </c>
      <c r="L135" s="12">
        <f>MIN(L136:L140)</f>
        <v>1</v>
      </c>
      <c r="M135" s="473"/>
      <c r="O135" s="472"/>
      <c r="Q135" s="472"/>
      <c r="R135" s="213"/>
      <c r="S135" s="442">
        <f>MAX(S136:S140)</f>
        <v>150</v>
      </c>
      <c r="T135" s="885">
        <f>MIN(T136:T140)</f>
        <v>1.2</v>
      </c>
      <c r="U135" s="472"/>
      <c r="V135" s="12">
        <f>MAX(V136:V140)</f>
        <v>175</v>
      </c>
    </row>
    <row r="136" spans="2:43" x14ac:dyDescent="0.25">
      <c r="B136" s="442">
        <f>IF(AND(SUM(D136:D140)&gt;0,V136=$V$135),1,0)</f>
        <v>0</v>
      </c>
      <c r="C136" s="850">
        <v>1</v>
      </c>
      <c r="D136" s="858">
        <f>IF($C$135&gt;=C136,VLOOKUP(C136,$C$73:$J$111,3,FALSE),0)</f>
        <v>101</v>
      </c>
      <c r="E136" s="431">
        <f>IF(D136&gt;0,VLOOKUP(D136,$E$31:$AC$111,4,FALSE),0)</f>
        <v>800</v>
      </c>
      <c r="F136" s="435">
        <f>IF(D136&gt;0,VLOOKUP(D136,$E$31:$AC$111,3,FALSE),0)</f>
        <v>1200</v>
      </c>
      <c r="G136" s="431">
        <f>IF(D136&gt;0,$D$4)</f>
        <v>557</v>
      </c>
      <c r="H136" s="449">
        <f>IF(D136&gt;0,$D$3)</f>
        <v>361</v>
      </c>
      <c r="I136" s="431">
        <f>IF($D136&gt;0,VLOOKUP($D136,$E$31:$AC$111,20,FALSE),0)</f>
        <v>1</v>
      </c>
      <c r="J136" s="449">
        <f>IF($D136&gt;0,VLOOKUP($D136,$E$31:$AC$111,13,FALSE),0)</f>
        <v>3</v>
      </c>
      <c r="K136" s="442">
        <f>IF(AND(D136&gt;0,L136=$L$135),J136*I136,0)</f>
        <v>3</v>
      </c>
      <c r="L136" s="449">
        <f>IF($D136&gt;0,VLOOKUP($D136,$E$31:$AC$111,2,FALSE),0)</f>
        <v>1</v>
      </c>
      <c r="M136" s="442">
        <f t="shared" si="40"/>
        <v>0.96</v>
      </c>
      <c r="N136" s="442">
        <f>IF($D136&gt;0,VLOOKUP($D136,$E$31:$AC$111,23,FALSE),0)</f>
        <v>0.60323100000000007</v>
      </c>
      <c r="O136" s="877">
        <f>IF($D136&gt;0,VLOOKUP($D136,$E$31:$AC$111,25,FALSE),0)</f>
        <v>0.62836562500000015</v>
      </c>
      <c r="P136" s="431">
        <f>IF(AND(D136&gt;0,L136=$L$135),$P$127,0)</f>
        <v>50</v>
      </c>
      <c r="Q136" s="442">
        <f>IF(AND(D136&gt;0,K136=$K$135),$Q$127,0)</f>
        <v>0</v>
      </c>
      <c r="R136" s="431">
        <f t="shared" si="44"/>
        <v>20</v>
      </c>
      <c r="S136" s="442">
        <f>IF(D136&gt;0,SUM(P136:R136),0)</f>
        <v>70</v>
      </c>
      <c r="T136" s="340">
        <f>IF(AND(D136&gt;0,S136=$S$135),M136,9999)</f>
        <v>9999</v>
      </c>
      <c r="U136" s="431">
        <f>IF(AND(D136&gt;0,T136=$T$135),$U$127,0)</f>
        <v>0</v>
      </c>
      <c r="V136" s="442">
        <f>IF(D136&gt;0,S136+U136,0)</f>
        <v>70</v>
      </c>
    </row>
    <row r="137" spans="2:43" x14ac:dyDescent="0.25">
      <c r="B137" s="12">
        <f>IF(AND(SUM(D136:D140)&gt;0,V137=$V$135),1,0)</f>
        <v>1</v>
      </c>
      <c r="C137" s="850">
        <v>2</v>
      </c>
      <c r="D137" s="847">
        <f>IF($C$135&gt;=C137,VLOOKUP(C137,$C$73:$J$111,3,FALSE),0)</f>
        <v>102</v>
      </c>
      <c r="E137" s="26">
        <f>IF(D137&gt;0,VLOOKUP(D137,$E$31:$AC$111,4,FALSE),0)</f>
        <v>1000</v>
      </c>
      <c r="F137" s="25">
        <f>IF(D137&gt;0,VLOOKUP(D137,$E$31:$AC$111,3,FALSE),0)</f>
        <v>1200</v>
      </c>
      <c r="G137" s="26">
        <f t="shared" ref="G137:G140" si="50">IF(D137&gt;0,$D$4)</f>
        <v>557</v>
      </c>
      <c r="H137" s="2">
        <f t="shared" ref="H137:H140" si="51">IF(D137&gt;0,$D$3)</f>
        <v>361</v>
      </c>
      <c r="I137" s="26">
        <f t="shared" ref="I137:I140" si="52">IF($D137&gt;0,VLOOKUP($D137,$E$31:$AC$111,20,FALSE),0)</f>
        <v>2</v>
      </c>
      <c r="J137" s="2">
        <f t="shared" ref="J137:J140" si="53">IF($D137&gt;0,VLOOKUP($D137,$E$31:$AC$111,13,FALSE),0)</f>
        <v>3</v>
      </c>
      <c r="K137" s="12">
        <f t="shared" ref="K137:K140" si="54">IF(AND(D137&gt;0,L137=$L$135),J137*I137,0)</f>
        <v>6</v>
      </c>
      <c r="L137" s="2">
        <f t="shared" ref="L137:L140" si="55">IF($D137&gt;0,VLOOKUP($D137,$E$31:$AC$111,2,FALSE),0)</f>
        <v>1</v>
      </c>
      <c r="M137" s="12">
        <f t="shared" si="40"/>
        <v>1.2</v>
      </c>
      <c r="N137" s="12">
        <f t="shared" ref="N137:N140" si="56">IF($D137&gt;0,VLOOKUP($D137,$E$31:$AC$111,23,FALSE),0)</f>
        <v>1.2064620000000001</v>
      </c>
      <c r="O137" s="863">
        <f t="shared" ref="O137:O140" si="57">IF($D137&gt;0,VLOOKUP($D137,$E$31:$AC$111,25,FALSE),0)</f>
        <v>1.0053850000000002</v>
      </c>
      <c r="P137" s="26">
        <f t="shared" ref="P137:P140" si="58">IF(AND(D137&gt;0,L137=$L$135),$P$127,0)</f>
        <v>50</v>
      </c>
      <c r="Q137" s="12">
        <f t="shared" ref="Q137:Q140" si="59">IF(AND(D137&gt;0,K137=$K$135),$Q$127,0)</f>
        <v>50</v>
      </c>
      <c r="R137" s="26">
        <f t="shared" si="44"/>
        <v>50</v>
      </c>
      <c r="S137" s="12">
        <f t="shared" ref="S137:S140" si="60">IF(D137&gt;0,SUM(P137:R137),0)</f>
        <v>150</v>
      </c>
      <c r="T137" s="340">
        <f t="shared" ref="T137:T140" si="61">IF(AND(D137&gt;0,S137=$S$135),M137,9999)</f>
        <v>1.2</v>
      </c>
      <c r="U137" s="26">
        <f t="shared" ref="U137:U140" si="62">IF(AND(D137&gt;0,T137=$T$135),$U$127,0)</f>
        <v>25</v>
      </c>
      <c r="V137" s="12">
        <f t="shared" ref="V137:V140" si="63">IF(D137&gt;0,S137+U137,0)</f>
        <v>175</v>
      </c>
    </row>
    <row r="138" spans="2:43" x14ac:dyDescent="0.25">
      <c r="B138" s="12">
        <f>IF(AND(SUM(D136:D140)&gt;0,V138=$V$135),1,0)</f>
        <v>0</v>
      </c>
      <c r="C138" s="850">
        <v>3</v>
      </c>
      <c r="D138" s="847">
        <f>IF($C$135&gt;=C138,VLOOKUP(C138,$C$73:$J$111,3,FALSE),0)</f>
        <v>103</v>
      </c>
      <c r="E138" s="26">
        <f>IF(D138&gt;0,VLOOKUP(D138,$E$31:$AC$111,4,FALSE),0)</f>
        <v>1200</v>
      </c>
      <c r="F138" s="25">
        <f>IF(D138&gt;0,VLOOKUP(D138,$E$31:$AC$111,3,FALSE),0)</f>
        <v>1600</v>
      </c>
      <c r="G138" s="26">
        <f t="shared" si="50"/>
        <v>557</v>
      </c>
      <c r="H138" s="2">
        <f t="shared" si="51"/>
        <v>361</v>
      </c>
      <c r="I138" s="26">
        <f t="shared" si="52"/>
        <v>2</v>
      </c>
      <c r="J138" s="2">
        <f t="shared" si="53"/>
        <v>4</v>
      </c>
      <c r="K138" s="12">
        <f t="shared" si="54"/>
        <v>0</v>
      </c>
      <c r="L138" s="2">
        <f t="shared" si="55"/>
        <v>2</v>
      </c>
      <c r="M138" s="12">
        <f t="shared" si="40"/>
        <v>1.92</v>
      </c>
      <c r="N138" s="12">
        <f t="shared" si="56"/>
        <v>1.608616</v>
      </c>
      <c r="O138" s="863">
        <f t="shared" si="57"/>
        <v>0.83782083333333335</v>
      </c>
      <c r="P138" s="26">
        <f t="shared" si="58"/>
        <v>0</v>
      </c>
      <c r="Q138" s="12">
        <f t="shared" si="59"/>
        <v>0</v>
      </c>
      <c r="R138" s="26">
        <f t="shared" si="44"/>
        <v>25</v>
      </c>
      <c r="S138" s="12">
        <f t="shared" si="60"/>
        <v>25</v>
      </c>
      <c r="T138" s="340">
        <f t="shared" si="61"/>
        <v>9999</v>
      </c>
      <c r="U138" s="26">
        <f t="shared" si="62"/>
        <v>0</v>
      </c>
      <c r="V138" s="12">
        <f t="shared" si="63"/>
        <v>25</v>
      </c>
    </row>
    <row r="139" spans="2:43" x14ac:dyDescent="0.25">
      <c r="B139" s="12">
        <f>IF(AND(SUM(D136:D140)&gt;0,V139=$V$135),1,0)</f>
        <v>0</v>
      </c>
      <c r="C139" s="850">
        <v>4</v>
      </c>
      <c r="D139" s="847">
        <f>IF($C$135&gt;=C139,VLOOKUP(C139,$C$73:$J$111,3,FALSE),0)</f>
        <v>104</v>
      </c>
      <c r="E139" s="26">
        <f>IF(D139&gt;0,VLOOKUP(D139,$E$31:$AC$111,4,FALSE),0)</f>
        <v>800</v>
      </c>
      <c r="F139" s="25">
        <f>IF(D139&gt;0,VLOOKUP(D139,$E$31:$AC$111,3,FALSE),0)</f>
        <v>2400</v>
      </c>
      <c r="G139" s="26">
        <f t="shared" si="50"/>
        <v>557</v>
      </c>
      <c r="H139" s="2">
        <f t="shared" si="51"/>
        <v>361</v>
      </c>
      <c r="I139" s="26">
        <f t="shared" si="52"/>
        <v>1</v>
      </c>
      <c r="J139" s="2">
        <f t="shared" si="53"/>
        <v>6</v>
      </c>
      <c r="K139" s="12">
        <f t="shared" si="54"/>
        <v>0</v>
      </c>
      <c r="L139" s="2">
        <f t="shared" si="55"/>
        <v>2</v>
      </c>
      <c r="M139" s="12">
        <f t="shared" si="40"/>
        <v>1.92</v>
      </c>
      <c r="N139" s="12">
        <f t="shared" si="56"/>
        <v>1.2064620000000001</v>
      </c>
      <c r="O139" s="863">
        <f t="shared" si="57"/>
        <v>0.62836562500000015</v>
      </c>
      <c r="P139" s="26">
        <f t="shared" si="58"/>
        <v>0</v>
      </c>
      <c r="Q139" s="12">
        <f t="shared" si="59"/>
        <v>0</v>
      </c>
      <c r="R139" s="26">
        <f t="shared" si="44"/>
        <v>20</v>
      </c>
      <c r="S139" s="12">
        <f t="shared" si="60"/>
        <v>20</v>
      </c>
      <c r="T139" s="340">
        <f t="shared" si="61"/>
        <v>9999</v>
      </c>
      <c r="U139" s="26">
        <f t="shared" si="62"/>
        <v>0</v>
      </c>
      <c r="V139" s="12">
        <f t="shared" si="63"/>
        <v>20</v>
      </c>
    </row>
    <row r="140" spans="2:43" x14ac:dyDescent="0.25">
      <c r="B140" s="13">
        <f>IF(AND(SUM(D136:D140)&gt;0,V140=$V$135),1,0)</f>
        <v>0</v>
      </c>
      <c r="C140" s="848">
        <v>5</v>
      </c>
      <c r="D140" s="872">
        <f>IF($C$135&gt;=C140,VLOOKUP(C140,$C$73:$J$111,3,FALSE),0)</f>
        <v>105</v>
      </c>
      <c r="E140" s="432">
        <f>IF(D140&gt;0,VLOOKUP(D140,$E$31:$AC$111,4,FALSE),0)</f>
        <v>1200</v>
      </c>
      <c r="F140" s="436">
        <f>IF(D140&gt;0,VLOOKUP(D140,$E$31:$AC$111,3,FALSE),0)</f>
        <v>2000</v>
      </c>
      <c r="G140" s="432">
        <f t="shared" si="50"/>
        <v>557</v>
      </c>
      <c r="H140" s="343">
        <f t="shared" si="51"/>
        <v>361</v>
      </c>
      <c r="I140" s="432">
        <f t="shared" si="52"/>
        <v>2</v>
      </c>
      <c r="J140" s="343">
        <f t="shared" si="53"/>
        <v>5</v>
      </c>
      <c r="K140" s="13">
        <f t="shared" si="54"/>
        <v>0</v>
      </c>
      <c r="L140" s="343">
        <f t="shared" si="55"/>
        <v>2</v>
      </c>
      <c r="M140" s="13">
        <f t="shared" si="40"/>
        <v>2.4</v>
      </c>
      <c r="N140" s="13">
        <f t="shared" si="56"/>
        <v>2.0107699999999999</v>
      </c>
      <c r="O140" s="878">
        <f t="shared" si="57"/>
        <v>0.83782083333333335</v>
      </c>
      <c r="P140" s="432">
        <f t="shared" si="58"/>
        <v>0</v>
      </c>
      <c r="Q140" s="13">
        <f t="shared" si="59"/>
        <v>0</v>
      </c>
      <c r="R140" s="432">
        <f t="shared" si="44"/>
        <v>25</v>
      </c>
      <c r="S140" s="13">
        <f t="shared" si="60"/>
        <v>25</v>
      </c>
      <c r="T140" s="342">
        <f t="shared" si="61"/>
        <v>9999</v>
      </c>
      <c r="U140" s="432">
        <f t="shared" si="62"/>
        <v>0</v>
      </c>
      <c r="V140" s="13">
        <f t="shared" si="63"/>
        <v>25</v>
      </c>
    </row>
    <row r="141" spans="2:43" x14ac:dyDescent="0.25">
      <c r="S141" s="2"/>
    </row>
    <row r="145" spans="3:6" x14ac:dyDescent="0.25">
      <c r="C145" t="s">
        <v>801</v>
      </c>
      <c r="D145" s="442">
        <f>Rekenblad!E108</f>
        <v>2</v>
      </c>
      <c r="E145" t="s">
        <v>25</v>
      </c>
    </row>
    <row r="146" spans="3:6" x14ac:dyDescent="0.25">
      <c r="C146" t="s">
        <v>895</v>
      </c>
      <c r="D146" s="473">
        <f>Rekenblad!C13</f>
        <v>3</v>
      </c>
      <c r="E146" t="s">
        <v>25</v>
      </c>
    </row>
    <row r="147" spans="3:6" x14ac:dyDescent="0.25">
      <c r="C147" t="s">
        <v>896</v>
      </c>
      <c r="D147" s="13">
        <f>D146*D145</f>
        <v>6</v>
      </c>
      <c r="E147" t="s">
        <v>25</v>
      </c>
    </row>
    <row r="149" spans="3:6" x14ac:dyDescent="0.25">
      <c r="C149" t="s">
        <v>929</v>
      </c>
      <c r="D149" s="431">
        <f>VLOOKUP($Z$133,$D$130:$V$140,2,FALSE)</f>
        <v>1000</v>
      </c>
      <c r="E149" s="442">
        <f>VLOOKUP($Z$133,$D$130:$V$140,3,FALSE)</f>
        <v>1200</v>
      </c>
      <c r="F149" t="s">
        <v>25</v>
      </c>
    </row>
    <row r="150" spans="3:6" x14ac:dyDescent="0.25">
      <c r="C150" t="s">
        <v>930</v>
      </c>
      <c r="D150" s="208">
        <f>VLOOKUP($Z$133,$D$130:$V$140,4,FALSE)*VLOOKUP($Z$133,$D$130:$V$140,6,FALSE)</f>
        <v>1083</v>
      </c>
      <c r="E150" s="473">
        <f>VLOOKUP($Z$133,$D$130:$V$140,5,FALSE)*VLOOKUP($Z$133,$D$130:$V$140,7,FALSE)</f>
        <v>1114</v>
      </c>
      <c r="F150" t="s">
        <v>25</v>
      </c>
    </row>
    <row r="151" spans="3:6" x14ac:dyDescent="0.25">
      <c r="C151" t="s">
        <v>931</v>
      </c>
      <c r="D151" s="432">
        <f>MAX(D149:D150)</f>
        <v>1083</v>
      </c>
      <c r="E151" s="13">
        <f>MAX(E149:E150)</f>
        <v>1200</v>
      </c>
      <c r="F151" t="s">
        <v>25</v>
      </c>
    </row>
    <row r="152" spans="3:6" x14ac:dyDescent="0.25">
      <c r="D152" s="2"/>
      <c r="E152" s="2"/>
    </row>
    <row r="153" spans="3:6" x14ac:dyDescent="0.25">
      <c r="C153" t="s">
        <v>959</v>
      </c>
      <c r="D153" s="473">
        <f>IF(D160&gt;0,VLOOKUP($Z$133,$D$130:$V$140,9,FALSE),0)</f>
        <v>1</v>
      </c>
      <c r="E153" s="2"/>
    </row>
    <row r="154" spans="3:6" x14ac:dyDescent="0.25">
      <c r="C154" t="s">
        <v>960</v>
      </c>
      <c r="D154" s="473">
        <f>D153*D174</f>
        <v>1</v>
      </c>
      <c r="E154" s="2"/>
    </row>
    <row r="155" spans="3:6" x14ac:dyDescent="0.25">
      <c r="C155" t="s">
        <v>962</v>
      </c>
      <c r="D155" s="796">
        <f>D154*Tarieven!C14</f>
        <v>4</v>
      </c>
      <c r="E155" s="2"/>
    </row>
    <row r="156" spans="3:6" x14ac:dyDescent="0.25">
      <c r="D156" s="2"/>
      <c r="E156" s="2"/>
    </row>
    <row r="158" spans="3:6" x14ac:dyDescent="0.25">
      <c r="C158" t="s">
        <v>933</v>
      </c>
      <c r="D158" s="473">
        <f>Rekenblad!K362</f>
        <v>1950</v>
      </c>
      <c r="E158" t="s">
        <v>25</v>
      </c>
    </row>
    <row r="159" spans="3:6" x14ac:dyDescent="0.25">
      <c r="C159" t="s">
        <v>934</v>
      </c>
      <c r="D159" s="473">
        <f>Rekenblad!C17</f>
        <v>2100</v>
      </c>
      <c r="E159" t="s">
        <v>25</v>
      </c>
    </row>
    <row r="160" spans="3:6" x14ac:dyDescent="0.25">
      <c r="C160" t="s">
        <v>935</v>
      </c>
      <c r="D160" s="473">
        <f>MIN(D158:D159)</f>
        <v>1950</v>
      </c>
      <c r="E160" t="s">
        <v>25</v>
      </c>
    </row>
    <row r="161" spans="3:5" x14ac:dyDescent="0.25">
      <c r="C161" t="s">
        <v>932</v>
      </c>
      <c r="D161" s="484">
        <v>150</v>
      </c>
      <c r="E161" t="s">
        <v>25</v>
      </c>
    </row>
    <row r="162" spans="3:5" x14ac:dyDescent="0.25">
      <c r="C162" t="s">
        <v>936</v>
      </c>
      <c r="D162" s="473">
        <f>IF(D160&gt;0,D160-D161,0)</f>
        <v>1800</v>
      </c>
      <c r="E162" t="s">
        <v>25</v>
      </c>
    </row>
    <row r="164" spans="3:5" x14ac:dyDescent="0.25">
      <c r="C164" t="s">
        <v>937</v>
      </c>
      <c r="D164" s="473">
        <f>CEILING(D162/D147,5)</f>
        <v>300</v>
      </c>
      <c r="E164" s="59" t="s">
        <v>754</v>
      </c>
    </row>
    <row r="165" spans="3:5" x14ac:dyDescent="0.25">
      <c r="C165" t="s">
        <v>942</v>
      </c>
      <c r="D165" s="473">
        <f>IF(OR(Rekenblad!C988=1,Rekenblad!E362=1,Rekenblad!F362=1),1,0)</f>
        <v>1</v>
      </c>
      <c r="E165" s="59"/>
    </row>
    <row r="166" spans="3:5" x14ac:dyDescent="0.25">
      <c r="C166" t="s">
        <v>939</v>
      </c>
      <c r="D166" s="473">
        <f>Rekenblad!K145</f>
        <v>25</v>
      </c>
      <c r="E166" t="s">
        <v>754</v>
      </c>
    </row>
    <row r="167" spans="3:5" x14ac:dyDescent="0.25">
      <c r="C167" t="s">
        <v>940</v>
      </c>
      <c r="D167" s="473">
        <f>FLOOR(D164/D166,1)*D166</f>
        <v>300</v>
      </c>
      <c r="E167" t="s">
        <v>754</v>
      </c>
    </row>
    <row r="168" spans="3:5" x14ac:dyDescent="0.25">
      <c r="C168" t="s">
        <v>941</v>
      </c>
      <c r="D168" s="473">
        <f>IF(D165=0,D164,D167)</f>
        <v>300</v>
      </c>
      <c r="E168" t="s">
        <v>754</v>
      </c>
    </row>
    <row r="169" spans="3:5" x14ac:dyDescent="0.25">
      <c r="D169" s="2"/>
    </row>
    <row r="170" spans="3:5" x14ac:dyDescent="0.25">
      <c r="C170" t="s">
        <v>943</v>
      </c>
      <c r="D170" s="473">
        <f>IF(D160&gt;0,VLOOKUP($Z$133,$D$130:$V$140,8,FALSE),0)</f>
        <v>6</v>
      </c>
      <c r="E170" t="s">
        <v>754</v>
      </c>
    </row>
    <row r="171" spans="3:5" x14ac:dyDescent="0.25">
      <c r="C171" t="s">
        <v>944</v>
      </c>
      <c r="D171" s="473">
        <f>D170*D168</f>
        <v>1800</v>
      </c>
      <c r="E171" t="s">
        <v>754</v>
      </c>
    </row>
    <row r="173" spans="3:5" x14ac:dyDescent="0.25">
      <c r="C173" t="s">
        <v>945</v>
      </c>
      <c r="D173" s="473">
        <f>Rekenblad!C3</f>
        <v>400</v>
      </c>
      <c r="E173" t="s">
        <v>754</v>
      </c>
    </row>
    <row r="174" spans="3:5" x14ac:dyDescent="0.25">
      <c r="C174" t="s">
        <v>946</v>
      </c>
      <c r="D174" s="473">
        <f>IF(D160&gt;0,CEILING(D173/D171,1),0)</f>
        <v>1</v>
      </c>
      <c r="E174" t="s">
        <v>754</v>
      </c>
    </row>
    <row r="175" spans="3:5" x14ac:dyDescent="0.25">
      <c r="D175" s="2"/>
    </row>
    <row r="176" spans="3:5" x14ac:dyDescent="0.25">
      <c r="D176" s="2"/>
    </row>
    <row r="177" spans="3:5" x14ac:dyDescent="0.25">
      <c r="C177" s="888" t="s">
        <v>949</v>
      </c>
      <c r="D177" s="2"/>
    </row>
    <row r="179" spans="3:5" x14ac:dyDescent="0.25">
      <c r="C179" t="s">
        <v>947</v>
      </c>
      <c r="D179" s="484">
        <v>1150</v>
      </c>
    </row>
    <row r="180" spans="3:5" x14ac:dyDescent="0.25">
      <c r="C180" t="s">
        <v>948</v>
      </c>
      <c r="D180" s="2">
        <f>IF(D162&gt;=D179,1,2)</f>
        <v>1</v>
      </c>
    </row>
    <row r="181" spans="3:5" x14ac:dyDescent="0.25">
      <c r="C181" t="s">
        <v>9</v>
      </c>
      <c r="D181" s="2">
        <f>E151</f>
        <v>1200</v>
      </c>
      <c r="E181" t="s">
        <v>25</v>
      </c>
    </row>
    <row r="182" spans="3:5" x14ac:dyDescent="0.25">
      <c r="C182" t="s">
        <v>903</v>
      </c>
      <c r="D182" s="2">
        <f>D151</f>
        <v>1083</v>
      </c>
      <c r="E182" t="s">
        <v>25</v>
      </c>
    </row>
    <row r="183" spans="3:5" x14ac:dyDescent="0.25">
      <c r="C183" t="s">
        <v>963</v>
      </c>
      <c r="D183" s="2">
        <f>D174/D180</f>
        <v>1</v>
      </c>
    </row>
    <row r="184" spans="3:5" x14ac:dyDescent="0.25">
      <c r="D184" s="2"/>
    </row>
    <row r="185" spans="3:5" x14ac:dyDescent="0.25">
      <c r="C185" t="s">
        <v>951</v>
      </c>
      <c r="D185" s="909">
        <f>(((D181/1000)*(D182/1000))/2.4)*D183</f>
        <v>0.54149999999999998</v>
      </c>
      <c r="E185" t="s">
        <v>950</v>
      </c>
    </row>
    <row r="187" spans="3:5" x14ac:dyDescent="0.25">
      <c r="C187" t="s">
        <v>952</v>
      </c>
      <c r="D187" s="22">
        <v>13.2</v>
      </c>
      <c r="E187" t="s">
        <v>950</v>
      </c>
    </row>
    <row r="190" spans="3:5" x14ac:dyDescent="0.25">
      <c r="C190" s="899" t="s">
        <v>953</v>
      </c>
      <c r="D190" s="900">
        <f>FLOOR(D185/D187,1)</f>
        <v>0</v>
      </c>
      <c r="E190" s="903">
        <f>IF(D190&gt;0,'Transport tarieven'!C81*D190,0)</f>
        <v>0</v>
      </c>
    </row>
    <row r="191" spans="3:5" x14ac:dyDescent="0.25">
      <c r="C191" s="899" t="s">
        <v>954</v>
      </c>
      <c r="D191" s="901">
        <f>D185-(D190*D187)</f>
        <v>0.54149999999999998</v>
      </c>
      <c r="E191" s="904">
        <f>'Transport tarieven'!C82</f>
        <v>63.03</v>
      </c>
    </row>
    <row r="192" spans="3:5" x14ac:dyDescent="0.25">
      <c r="C192" s="899" t="s">
        <v>955</v>
      </c>
      <c r="D192" s="901"/>
      <c r="E192" s="904">
        <f>SUM(E190:E191)</f>
        <v>63.03</v>
      </c>
    </row>
    <row r="193" spans="3:6" x14ac:dyDescent="0.25">
      <c r="C193" s="899" t="s">
        <v>956</v>
      </c>
      <c r="D193" s="901"/>
      <c r="E193" s="904">
        <f>E192*Tarieven!C15</f>
        <v>12.290850000000001</v>
      </c>
    </row>
    <row r="194" spans="3:6" x14ac:dyDescent="0.25">
      <c r="C194" s="899" t="s">
        <v>957</v>
      </c>
      <c r="D194" s="901"/>
      <c r="E194" s="904">
        <f>SUM(E192:E193)</f>
        <v>75.320850000000007</v>
      </c>
      <c r="F194" s="1171"/>
    </row>
    <row r="195" spans="3:6" x14ac:dyDescent="0.25">
      <c r="C195" s="899"/>
      <c r="D195" s="901"/>
      <c r="E195" s="904"/>
    </row>
    <row r="196" spans="3:6" x14ac:dyDescent="0.25">
      <c r="C196" s="899" t="s">
        <v>958</v>
      </c>
      <c r="D196" s="902"/>
      <c r="E196" s="905">
        <f>E194/D173</f>
        <v>0.18830212500000001</v>
      </c>
    </row>
  </sheetData>
  <mergeCells count="4">
    <mergeCell ref="E127:F127"/>
    <mergeCell ref="G127:H127"/>
    <mergeCell ref="I127:J127"/>
    <mergeCell ref="Q113:R1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A82A-7D1F-4316-A731-B9F87D977FFF}">
  <sheetPr codeName="Blad6"/>
  <dimension ref="A4:AF83"/>
  <sheetViews>
    <sheetView topLeftCell="A61" workbookViewId="0">
      <selection activeCell="C82" sqref="C82"/>
    </sheetView>
  </sheetViews>
  <sheetFormatPr defaultRowHeight="15" x14ac:dyDescent="0.25"/>
  <cols>
    <col min="1" max="1" customWidth="true" width="25.140625"/>
    <col min="2" max="3" customWidth="true" width="13.42578125"/>
    <col min="4" max="4" customWidth="true" width="16.7109375"/>
    <col min="9" max="9" customWidth="true" width="13.28515625"/>
    <col min="10" max="10" customWidth="true" width="13.140625"/>
    <col min="11" max="11" customWidth="true" width="14.42578125"/>
    <col min="13" max="13" customWidth="true" width="15.85546875"/>
  </cols>
  <sheetData>
    <row r="4" spans="1:32" s="71" customFormat="1" ht="12.75" x14ac:dyDescent="0.2">
      <c r="A4" s="71" t="s">
        <v>118</v>
      </c>
      <c r="B4" s="72"/>
      <c r="C4" s="72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32" s="71" customFormat="1" ht="12.75" x14ac:dyDescent="0.2">
      <c r="B5" s="893"/>
      <c r="C5" s="72"/>
      <c r="E5" s="74"/>
      <c r="F5" s="74"/>
      <c r="G5" s="75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</row>
    <row r="6" spans="1:32" s="71" customFormat="1" x14ac:dyDescent="0.25">
      <c r="A6" s="891" t="s">
        <v>119</v>
      </c>
      <c r="B6" s="2">
        <f>'Pallet en transport'!D191</f>
        <v>0.54149999999999998</v>
      </c>
      <c r="C6" s="892" t="s">
        <v>120</v>
      </c>
      <c r="D6" s="76"/>
      <c r="E6" s="77"/>
      <c r="F6" s="77"/>
      <c r="G6" s="78"/>
      <c r="H6" s="79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</row>
    <row r="7" spans="1:32" s="71" customFormat="1" ht="12.75" x14ac:dyDescent="0.2">
      <c r="B7" s="894"/>
      <c r="C7" s="72"/>
      <c r="E7" s="80"/>
      <c r="F7" s="80"/>
      <c r="G7" s="81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</row>
    <row r="8" spans="1:32" s="71" customFormat="1" ht="12.75" x14ac:dyDescent="0.2">
      <c r="B8" s="73"/>
      <c r="C8" s="72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82"/>
      <c r="W8" s="82"/>
    </row>
    <row r="9" spans="1:32" s="71" customFormat="1" ht="12.75" x14ac:dyDescent="0.2">
      <c r="A9" s="74"/>
      <c r="B9" s="75"/>
      <c r="C9" s="8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82"/>
      <c r="W9" s="82"/>
    </row>
    <row r="10" spans="1:32" s="71" customFormat="1" x14ac:dyDescent="0.25">
      <c r="A10" s="84"/>
      <c r="B10" s="484">
        <v>1</v>
      </c>
      <c r="C10" s="484">
        <v>0</v>
      </c>
      <c r="D10" s="86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87"/>
      <c r="W10" s="82"/>
    </row>
    <row r="11" spans="1:32" s="71" customFormat="1" ht="12.75" x14ac:dyDescent="0.2">
      <c r="A11" s="88" t="s">
        <v>121</v>
      </c>
      <c r="B11" s="889" t="s">
        <v>122</v>
      </c>
      <c r="C11" s="889" t="s">
        <v>35</v>
      </c>
      <c r="D11" s="86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90"/>
      <c r="V11" s="91"/>
      <c r="W11" s="92"/>
    </row>
    <row r="12" spans="1:32" s="71" customFormat="1" x14ac:dyDescent="0.25">
      <c r="A12" s="93" t="s">
        <v>123</v>
      </c>
      <c r="B12" s="34">
        <v>3030</v>
      </c>
      <c r="C12" s="34">
        <v>8080</v>
      </c>
      <c r="D12" s="86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94"/>
      <c r="W12" s="82"/>
    </row>
    <row r="13" spans="1:32" s="71" customFormat="1" ht="12.75" x14ac:dyDescent="0.2">
      <c r="A13" s="80"/>
      <c r="B13" s="95"/>
      <c r="C13" s="95"/>
      <c r="E13" s="74"/>
      <c r="F13" s="74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82"/>
      <c r="W13" s="82"/>
      <c r="X13" s="74"/>
      <c r="AA13" s="82"/>
      <c r="AB13" s="82"/>
      <c r="AC13" s="96"/>
      <c r="AD13" s="97"/>
      <c r="AE13" s="97"/>
      <c r="AF13" s="98"/>
    </row>
    <row r="14" spans="1:32" s="71" customFormat="1" ht="12.75" x14ac:dyDescent="0.2">
      <c r="B14" s="83"/>
      <c r="C14" s="83"/>
      <c r="D14" s="99"/>
      <c r="E14" s="100">
        <v>4</v>
      </c>
      <c r="F14" s="101">
        <v>5</v>
      </c>
      <c r="G14" s="101">
        <v>6</v>
      </c>
      <c r="H14" s="102">
        <v>7</v>
      </c>
      <c r="I14" s="103">
        <v>8</v>
      </c>
      <c r="J14" s="104">
        <v>9</v>
      </c>
      <c r="K14" s="105">
        <v>10</v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86"/>
      <c r="AA14" s="82"/>
      <c r="AB14" s="82"/>
      <c r="AC14" s="96"/>
      <c r="AD14" s="97"/>
      <c r="AE14" s="97"/>
      <c r="AF14" s="98"/>
    </row>
    <row r="15" spans="1:32" s="71" customFormat="1" ht="12.75" x14ac:dyDescent="0.2">
      <c r="A15" s="76"/>
      <c r="B15" s="106"/>
      <c r="C15" s="107"/>
      <c r="D15" s="108"/>
      <c r="E15" s="105" t="str">
        <f><![CDATA[IF(AND($B$10=1,$B$12>=E17,$B$12<=E18),1,IF(AND($B$10=1,$B$12>=E19,$B$12<=E20),1,IF(AND($B$10=1,$B$12>=E21,$B$12<=E22),1,IF(AND($B$10=1,$B$12>=E23,$B$12<=E24),1,IF(AND($B$10=1,$B$12>=E25,$B$12<=E26),1,IF(AND($B$10=1,$B$12>=E27,$B$12<=E28),1,IF(AND($B$10=1,$B$12>=E29,$B$12<=E30),1,IF(AND($B$10=1,$B$12>=E31,$B$12<=E32),1,IF(AND($B$10=1,$B$12>=E33,$B$12<=E34),1," ")))))))))]]></f>
        <v xml:space="preserve"> </v>
      </c>
      <c r="F15" s="105" t="str">
        <f><![CDATA[IF(AND($B$10=1,$B$12>=F17,$B$12<=F18),1,IF(AND($B$10=1,$B$12>=F19,$B$12<=F20),1,IF(AND($B$10=1,$B$12>=F21,$B$12<=F22),1,IF(AND($B$10=1,$B$12>=F23,$B$12<=F24),1,IF(AND($B$10=1,$B$12>=F25,$B$12<=F26),1,IF(AND($B$10=1,$B$12>=F27,$B$12<=F28),1,IF(AND($B$10=1,$B$12>=F29,$B$12<=F30),1,IF(AND($B$10=1,$B$12>=F31,$B$12<=F32),1,IF(AND($B$10=1,$B$12>=F33,$B$12<=F34),1," ")))))))))]]></f>
        <v xml:space="preserve"> </v>
      </c>
      <c r="G15" s="105">
        <f><![CDATA[IF(AND($B$10=1,$B$12>=G17,$B$12<=G18),1,IF(AND($B$10=1,$B$12>=G19,$B$12<=G20),1,IF(AND($B$10=1,$B$12>=G21,$B$12<=G22),1,IF(AND($B$10=1,$B$12>=G23,$B$12<=G24),1,IF(AND($B$10=1,$B$12>=G25,$B$12<=G26),1,IF(AND($B$10=1,$B$12>=G27,$B$12<=G28),1,IF(AND($B$10=1,$B$12>=G29,$B$12<=G30),1,IF(AND($B$10=1,$B$12>=G31,$B$12<=G32),1,IF(AND($B$10=1,$B$12>=G33,$B$12<=G34),1," ")))))))))]]></f>
        <v>1</v>
      </c>
      <c r="H15" s="109" t="str">
        <f><![CDATA[IF(AND($B$10=1,$B$12>=H17,$B$12<=H18),1,IF(AND($B$10=1,$B$12>=H19,$B$12<=H20),1,IF(AND($B$10=1,$B$12>=H21,$B$12<=H22),1,IF(AND($B$10=1,$B$12>=H23,$B$12<=H24),1,IF(AND($B$10=1,$B$12>=H25,$B$12<=H26),1,IF(AND($B$10=1,$B$12>=H27,$B$12<=H28),1,IF(AND($B$10=1,$B$12>=H29,$B$12<=H30),1,IF(AND($B$10=1,$B$12>=H31,$B$12<=H32),1,IF(AND($B$10=1,$B$12>=H33,$B$12<=H34),1," ")))))))))]]></f>
        <v xml:space="preserve"> </v>
      </c>
      <c r="I15" s="110" t="str">
        <f><![CDATA[IF(AND($C$10=1,$C$12>=I17,$C$12<=I18),1,IF(AND($C$10=1,$C$12>=I19,$C$12<=I20),1,IF(AND($C$10=1,$C$12>=I21,$C$12<=I22),1,IF(AND($C$10=1,$C$12>=I23,$C$12<=I24),1,IF(AND($C$10=1,$C$12>=I25,$C$12<=I26),1,IF(AND($C$10=1,$C$12>=I27,$C$12<=I28),1,IF(AND($C$10=1,$C$12>=I29,$C$12<=I30),1,IF(AND($C$10=1,$C$12>=I31,$C$12<=I32),1,IF(AND($C$10=1,$C$12>=I33,$C$12<=I34),1," ")))))))))]]></f>
        <v xml:space="preserve"> </v>
      </c>
      <c r="J15" s="110" t="str">
        <f><![CDATA[IF(AND($C$10=1,$C$12>=J17,$C$12<=J18),1,IF(AND($C$10=1,$C$12>=J19,$C$12<=J20),1,IF(AND($C$10=1,$C$12>=J21,$C$12<=J22),1,IF(AND($C$10=1,$C$12>=J23,$C$12<=J24),1,IF(AND($C$10=1,$C$12>=J25,$C$12<=J26),1,IF(AND($C$10=1,$C$12>=J27,$C$12<=J28),1,IF(AND($C$10=1,$C$12>=J29,$C$12<=J30),1,IF(AND($C$10=1,$C$12>=J31,$C$12<=J32),1,IF(AND($C$10=1,$C$12>=J33,$C$12<=J34),1," ")))))))))]]></f>
        <v xml:space="preserve"> </v>
      </c>
      <c r="K15" s="85" t="str">
        <f><![CDATA[IF(AND($C$10=1,$C$12>=K17,$C$12<=K18),1,IF(AND($C$10=1,$C$12>=K19,$C$12<=K20),1,IF(AND($C$10=1,$C$12>=K21,$C$12<=K22),1,IF(AND($C$10=1,$C$12>=K23,$C$12<=K24),1,IF(AND($C$10=1,$C$12>=K25,$C$12<=K26),1,IF(AND($C$10=1,$C$12>=K27,$C$12<=K28),1,IF(AND($C$10=1,$C$12>=K29,$C$12<=K30),1,IF(AND($C$10=1,$C$12>=K31,$C$12<=K32),1,IF(AND($C$10=1,$C$12>=K33,$C$12<=K34),1," ")))))))))]]></f>
        <v xml:space="preserve"> </v>
      </c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86"/>
      <c r="AA15" s="82"/>
      <c r="AB15" s="82"/>
      <c r="AC15" s="96"/>
      <c r="AD15" s="97"/>
      <c r="AE15" s="97"/>
      <c r="AF15" s="98"/>
    </row>
    <row r="16" spans="1:32" s="71" customFormat="1" ht="12.75" x14ac:dyDescent="0.2">
      <c r="A16" s="76"/>
      <c r="B16" s="112" t="s">
        <v>124</v>
      </c>
      <c r="C16" s="113" t="s">
        <v>125</v>
      </c>
      <c r="D16" s="114" t="s">
        <v>126</v>
      </c>
      <c r="E16" s="115" t="s">
        <v>127</v>
      </c>
      <c r="F16" s="105" t="s">
        <v>128</v>
      </c>
      <c r="G16" s="105" t="s">
        <v>129</v>
      </c>
      <c r="H16" s="116" t="s">
        <v>130</v>
      </c>
      <c r="I16" s="103" t="s">
        <v>131</v>
      </c>
      <c r="J16" s="103" t="s">
        <v>132</v>
      </c>
      <c r="K16" s="117" t="s">
        <v>133</v>
      </c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86"/>
      <c r="AA16" s="82"/>
      <c r="AB16" s="82"/>
      <c r="AC16" s="96"/>
      <c r="AD16" s="97"/>
      <c r="AE16" s="97"/>
      <c r="AF16" s="98"/>
    </row>
    <row r="17" spans="1:32" s="71" customFormat="1" ht="12.75" x14ac:dyDescent="0.2">
      <c r="A17" s="76"/>
      <c r="B17" s="118"/>
      <c r="C17" s="119"/>
      <c r="D17" s="120" t="s">
        <v>134</v>
      </c>
      <c r="E17" s="121">
        <v>5000</v>
      </c>
      <c r="F17" s="122">
        <v>5100</v>
      </c>
      <c r="G17" s="122">
        <v>1000</v>
      </c>
      <c r="H17" s="123">
        <v>1500</v>
      </c>
      <c r="I17" s="124">
        <v>2300</v>
      </c>
      <c r="J17" s="125">
        <v>1000</v>
      </c>
      <c r="K17" s="125">
        <v>4700</v>
      </c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86"/>
      <c r="AA17" s="82"/>
      <c r="AB17" s="82"/>
      <c r="AC17" s="96"/>
      <c r="AD17" s="97"/>
      <c r="AE17" s="97"/>
      <c r="AF17" s="98"/>
    </row>
    <row r="18" spans="1:32" s="71" customFormat="1" ht="12.75" x14ac:dyDescent="0.2">
      <c r="A18" s="76"/>
      <c r="B18" s="126"/>
      <c r="C18" s="127"/>
      <c r="D18" s="128"/>
      <c r="E18" s="129">
        <v>5099</v>
      </c>
      <c r="F18" s="130">
        <v>5499</v>
      </c>
      <c r="G18" s="130">
        <v>1499</v>
      </c>
      <c r="H18" s="131">
        <v>1999</v>
      </c>
      <c r="I18" s="132">
        <v>2399</v>
      </c>
      <c r="J18" s="132">
        <v>2299</v>
      </c>
      <c r="K18" s="133">
        <v>4999</v>
      </c>
      <c r="L18" s="134"/>
      <c r="M18" s="111"/>
      <c r="N18" s="111"/>
      <c r="O18" s="111"/>
      <c r="P18" s="111"/>
      <c r="Q18" s="111"/>
      <c r="R18" s="111"/>
      <c r="S18" s="111"/>
      <c r="T18" s="111"/>
      <c r="U18" s="111"/>
      <c r="V18" s="86"/>
      <c r="AA18" s="82"/>
      <c r="AB18" s="82"/>
      <c r="AC18" s="96"/>
      <c r="AD18" s="97"/>
      <c r="AE18" s="97"/>
      <c r="AF18" s="98"/>
    </row>
    <row r="19" spans="1:32" s="71" customFormat="1" ht="12.75" x14ac:dyDescent="0.2">
      <c r="A19" s="76"/>
      <c r="B19" s="135"/>
      <c r="C19" s="136"/>
      <c r="D19" s="137" t="s">
        <v>135</v>
      </c>
      <c r="E19" s="138">
        <v>5500</v>
      </c>
      <c r="F19" s="139">
        <v>5700</v>
      </c>
      <c r="G19" s="139">
        <v>2000</v>
      </c>
      <c r="H19" s="140">
        <v>4500</v>
      </c>
      <c r="I19" s="141">
        <v>2400</v>
      </c>
      <c r="J19" s="141">
        <v>2500</v>
      </c>
      <c r="K19" s="125">
        <v>5500</v>
      </c>
      <c r="L19" s="134"/>
      <c r="M19" s="111"/>
      <c r="N19" s="111"/>
      <c r="O19" s="111"/>
      <c r="P19" s="111"/>
      <c r="Q19" s="111"/>
      <c r="R19" s="111"/>
      <c r="S19" s="111"/>
      <c r="T19" s="111"/>
      <c r="U19" s="111"/>
      <c r="V19" s="86"/>
      <c r="AA19" s="82"/>
      <c r="AB19" s="82"/>
      <c r="AC19" s="96"/>
      <c r="AD19" s="97"/>
      <c r="AE19" s="97"/>
      <c r="AF19" s="98"/>
    </row>
    <row r="20" spans="1:32" s="71" customFormat="1" ht="12.75" x14ac:dyDescent="0.2">
      <c r="A20" s="76"/>
      <c r="B20" s="142"/>
      <c r="C20" s="143"/>
      <c r="D20" s="128"/>
      <c r="E20" s="144">
        <v>5599</v>
      </c>
      <c r="F20" s="130">
        <v>6099</v>
      </c>
      <c r="G20" s="130">
        <v>4499</v>
      </c>
      <c r="H20" s="131">
        <v>4599</v>
      </c>
      <c r="I20" s="132">
        <v>2499</v>
      </c>
      <c r="J20" s="132">
        <v>2899</v>
      </c>
      <c r="K20" s="133">
        <v>5999</v>
      </c>
      <c r="L20" s="134"/>
      <c r="M20" s="111"/>
      <c r="N20" s="111"/>
      <c r="O20" s="111"/>
      <c r="P20" s="111"/>
      <c r="Q20" s="111"/>
      <c r="R20" s="111"/>
      <c r="S20" s="111"/>
      <c r="T20" s="111"/>
      <c r="U20" s="111"/>
      <c r="V20" s="86"/>
      <c r="AA20" s="82"/>
      <c r="AB20" s="82"/>
      <c r="AC20" s="96"/>
      <c r="AD20" s="97"/>
      <c r="AE20" s="97"/>
      <c r="AF20" s="98"/>
    </row>
    <row r="21" spans="1:32" s="71" customFormat="1" ht="12.75" x14ac:dyDescent="0.2">
      <c r="A21" s="76"/>
      <c r="B21" s="142"/>
      <c r="C21" s="143"/>
      <c r="D21" s="137" t="s">
        <v>136</v>
      </c>
      <c r="E21" s="138">
        <v>5600</v>
      </c>
      <c r="F21" s="139"/>
      <c r="G21" s="139">
        <v>4600</v>
      </c>
      <c r="H21" s="140">
        <v>7000</v>
      </c>
      <c r="I21" s="141">
        <v>2900</v>
      </c>
      <c r="J21" s="141">
        <v>3000</v>
      </c>
      <c r="K21" s="125">
        <v>6400</v>
      </c>
      <c r="L21" s="134"/>
      <c r="M21" s="111"/>
      <c r="N21" s="111"/>
      <c r="O21" s="111"/>
      <c r="P21" s="111"/>
      <c r="Q21" s="111"/>
      <c r="R21" s="111"/>
      <c r="S21" s="111"/>
      <c r="T21" s="111"/>
      <c r="U21" s="111"/>
      <c r="V21" s="86"/>
      <c r="AA21" s="82"/>
      <c r="AB21" s="82"/>
      <c r="AC21" s="96"/>
      <c r="AD21" s="97"/>
      <c r="AE21" s="97"/>
      <c r="AF21" s="98"/>
    </row>
    <row r="22" spans="1:32" s="71" customFormat="1" ht="12.75" x14ac:dyDescent="0.2">
      <c r="A22" s="76"/>
      <c r="B22" s="142"/>
      <c r="C22" s="143"/>
      <c r="D22" s="145"/>
      <c r="E22" s="144">
        <v>5699</v>
      </c>
      <c r="F22" s="130"/>
      <c r="G22" s="130">
        <v>4999</v>
      </c>
      <c r="H22" s="131">
        <v>9999</v>
      </c>
      <c r="I22" s="132">
        <v>2999</v>
      </c>
      <c r="J22" s="132">
        <v>3499</v>
      </c>
      <c r="K22" s="133">
        <v>6499</v>
      </c>
      <c r="L22" s="134"/>
      <c r="M22" s="111"/>
      <c r="N22" s="111"/>
      <c r="O22" s="111"/>
      <c r="P22" s="111"/>
      <c r="Q22" s="111"/>
      <c r="R22" s="111"/>
      <c r="S22" s="111"/>
      <c r="T22" s="111"/>
      <c r="U22" s="111"/>
      <c r="V22" s="86"/>
      <c r="AA22" s="82"/>
      <c r="AB22" s="82"/>
      <c r="AC22" s="96"/>
      <c r="AD22" s="97"/>
      <c r="AE22" s="97"/>
      <c r="AF22" s="98"/>
    </row>
    <row r="23" spans="1:32" s="71" customFormat="1" ht="12.75" x14ac:dyDescent="0.2">
      <c r="A23" s="76"/>
      <c r="B23" s="142"/>
      <c r="C23" s="143"/>
      <c r="D23" s="137" t="s">
        <v>137</v>
      </c>
      <c r="E23" s="146"/>
      <c r="F23" s="147"/>
      <c r="G23" s="147">
        <v>6100</v>
      </c>
      <c r="H23" s="148"/>
      <c r="I23" s="149">
        <v>3500</v>
      </c>
      <c r="J23" s="149">
        <v>3800</v>
      </c>
      <c r="K23" s="122"/>
      <c r="L23" s="134"/>
      <c r="M23" s="111"/>
      <c r="N23" s="111"/>
      <c r="O23" s="111"/>
      <c r="P23" s="111"/>
      <c r="Q23" s="111"/>
      <c r="R23" s="111"/>
      <c r="S23" s="111"/>
      <c r="T23" s="111"/>
      <c r="U23" s="111"/>
      <c r="V23" s="86"/>
      <c r="AA23" s="82"/>
      <c r="AB23" s="82"/>
      <c r="AC23" s="96"/>
      <c r="AD23" s="97"/>
      <c r="AE23" s="97"/>
      <c r="AF23" s="98"/>
    </row>
    <row r="24" spans="1:32" s="71" customFormat="1" ht="12.75" x14ac:dyDescent="0.2">
      <c r="A24" s="76"/>
      <c r="B24" s="142"/>
      <c r="C24" s="143"/>
      <c r="D24" s="145"/>
      <c r="E24" s="146"/>
      <c r="F24" s="147"/>
      <c r="G24" s="147">
        <v>6999</v>
      </c>
      <c r="H24" s="148"/>
      <c r="I24" s="149">
        <v>3599</v>
      </c>
      <c r="J24" s="149">
        <v>3899</v>
      </c>
      <c r="K24" s="122"/>
      <c r="L24" s="134"/>
      <c r="M24" s="111"/>
      <c r="N24" s="111"/>
      <c r="O24" s="111"/>
      <c r="P24" s="111"/>
      <c r="Q24" s="111"/>
      <c r="R24" s="111"/>
      <c r="S24" s="111"/>
      <c r="T24" s="111"/>
      <c r="U24" s="111"/>
      <c r="V24" s="86"/>
      <c r="AA24" s="82"/>
      <c r="AB24" s="82"/>
      <c r="AC24" s="96"/>
      <c r="AD24" s="97"/>
      <c r="AE24" s="97"/>
      <c r="AF24" s="98"/>
    </row>
    <row r="25" spans="1:32" s="71" customFormat="1" ht="12.75" x14ac:dyDescent="0.2">
      <c r="A25" s="76"/>
      <c r="B25" s="142"/>
      <c r="C25" s="143"/>
      <c r="D25" s="137" t="s">
        <v>138</v>
      </c>
      <c r="E25" s="138"/>
      <c r="F25" s="139"/>
      <c r="G25" s="139"/>
      <c r="H25" s="140"/>
      <c r="I25" s="141">
        <v>3600</v>
      </c>
      <c r="J25" s="141">
        <v>4000</v>
      </c>
      <c r="K25" s="125"/>
      <c r="L25" s="134"/>
      <c r="M25" s="111"/>
      <c r="N25" s="111"/>
      <c r="O25" s="111"/>
      <c r="P25" s="111"/>
      <c r="Q25" s="111"/>
      <c r="R25" s="111"/>
      <c r="S25" s="111"/>
      <c r="T25" s="111"/>
      <c r="U25" s="111"/>
      <c r="V25" s="86"/>
      <c r="AA25" s="82"/>
      <c r="AB25" s="82"/>
      <c r="AC25" s="96"/>
      <c r="AD25" s="97"/>
      <c r="AE25" s="97"/>
      <c r="AF25" s="98"/>
    </row>
    <row r="26" spans="1:32" s="71" customFormat="1" ht="12.75" x14ac:dyDescent="0.2">
      <c r="A26" s="76"/>
      <c r="B26" s="142"/>
      <c r="C26" s="143"/>
      <c r="D26" s="145"/>
      <c r="E26" s="144"/>
      <c r="F26" s="130"/>
      <c r="G26" s="130"/>
      <c r="H26" s="131"/>
      <c r="I26" s="132">
        <v>3699</v>
      </c>
      <c r="J26" s="132">
        <v>4699</v>
      </c>
      <c r="K26" s="133"/>
      <c r="L26" s="134"/>
      <c r="M26" s="111"/>
      <c r="N26" s="111"/>
      <c r="O26" s="111"/>
      <c r="P26" s="111"/>
      <c r="Q26" s="111"/>
      <c r="R26" s="111"/>
      <c r="S26" s="111"/>
      <c r="T26" s="111"/>
      <c r="U26" s="111"/>
      <c r="V26" s="86"/>
      <c r="AA26" s="82"/>
      <c r="AB26" s="82"/>
      <c r="AC26" s="96"/>
      <c r="AD26" s="97"/>
      <c r="AE26" s="97"/>
      <c r="AF26" s="98"/>
    </row>
    <row r="27" spans="1:32" s="71" customFormat="1" ht="12.75" x14ac:dyDescent="0.2">
      <c r="A27" s="76"/>
      <c r="B27" s="142"/>
      <c r="C27" s="143"/>
      <c r="D27" s="137" t="s">
        <v>139</v>
      </c>
      <c r="E27" s="138"/>
      <c r="F27" s="139"/>
      <c r="G27" s="139"/>
      <c r="H27" s="140"/>
      <c r="I27" s="141">
        <v>3700</v>
      </c>
      <c r="J27" s="141">
        <v>5000</v>
      </c>
      <c r="K27" s="125"/>
      <c r="L27" s="134"/>
      <c r="M27" s="111"/>
      <c r="N27" s="111"/>
      <c r="O27" s="111"/>
      <c r="P27" s="111"/>
      <c r="Q27" s="111"/>
      <c r="R27" s="111"/>
      <c r="S27" s="111"/>
      <c r="T27" s="111"/>
      <c r="U27" s="111"/>
      <c r="V27" s="86"/>
      <c r="AA27" s="82"/>
      <c r="AB27" s="82"/>
      <c r="AC27" s="96"/>
      <c r="AD27" s="97"/>
      <c r="AE27" s="97"/>
      <c r="AF27" s="98"/>
    </row>
    <row r="28" spans="1:32" s="71" customFormat="1" ht="12.75" x14ac:dyDescent="0.2">
      <c r="A28" s="76"/>
      <c r="B28" s="142"/>
      <c r="C28" s="143"/>
      <c r="D28" s="145"/>
      <c r="E28" s="144"/>
      <c r="F28" s="130"/>
      <c r="G28" s="130"/>
      <c r="H28" s="131"/>
      <c r="I28" s="132">
        <v>3799</v>
      </c>
      <c r="J28" s="132">
        <v>5499</v>
      </c>
      <c r="K28" s="133"/>
      <c r="L28" s="134"/>
      <c r="M28" s="111"/>
      <c r="N28" s="111"/>
      <c r="O28" s="111"/>
      <c r="P28" s="111"/>
      <c r="Q28" s="111"/>
      <c r="R28" s="111"/>
      <c r="S28" s="111"/>
      <c r="T28" s="111"/>
      <c r="U28" s="111"/>
      <c r="V28" s="86"/>
      <c r="AA28" s="82"/>
      <c r="AB28" s="82"/>
      <c r="AC28" s="96"/>
      <c r="AD28" s="97"/>
      <c r="AE28" s="97"/>
      <c r="AF28" s="98"/>
    </row>
    <row r="29" spans="1:32" s="71" customFormat="1" ht="12.75" x14ac:dyDescent="0.2">
      <c r="A29" s="76"/>
      <c r="B29" s="142"/>
      <c r="C29" s="143"/>
      <c r="D29" s="137" t="s">
        <v>140</v>
      </c>
      <c r="E29" s="138"/>
      <c r="F29" s="139"/>
      <c r="G29" s="139"/>
      <c r="H29" s="140"/>
      <c r="I29" s="141">
        <v>3900</v>
      </c>
      <c r="J29" s="141">
        <v>6000</v>
      </c>
      <c r="K29" s="125"/>
      <c r="L29" s="134"/>
      <c r="M29" s="111"/>
      <c r="N29" s="111"/>
      <c r="O29" s="111"/>
      <c r="P29" s="111"/>
      <c r="Q29" s="111"/>
      <c r="R29" s="111"/>
      <c r="S29" s="111"/>
      <c r="T29" s="111"/>
      <c r="U29" s="111"/>
      <c r="V29" s="86"/>
      <c r="AA29" s="82"/>
      <c r="AB29" s="82"/>
      <c r="AC29" s="96"/>
      <c r="AD29" s="97"/>
      <c r="AE29" s="97"/>
      <c r="AF29" s="98"/>
    </row>
    <row r="30" spans="1:32" s="71" customFormat="1" ht="12.75" x14ac:dyDescent="0.2">
      <c r="A30" s="76"/>
      <c r="B30" s="142"/>
      <c r="C30" s="143"/>
      <c r="D30" s="145"/>
      <c r="E30" s="144"/>
      <c r="F30" s="130"/>
      <c r="G30" s="130"/>
      <c r="H30" s="131"/>
      <c r="I30" s="132">
        <v>3999</v>
      </c>
      <c r="J30" s="132">
        <v>6399</v>
      </c>
      <c r="K30" s="133"/>
      <c r="L30" s="134"/>
      <c r="M30" s="111"/>
      <c r="N30" s="111"/>
      <c r="O30" s="111"/>
      <c r="P30" s="111"/>
      <c r="Q30" s="111"/>
      <c r="R30" s="111"/>
      <c r="S30" s="111"/>
      <c r="T30" s="111"/>
      <c r="U30" s="111"/>
      <c r="V30" s="86"/>
      <c r="AA30" s="82"/>
      <c r="AB30" s="82"/>
      <c r="AC30" s="96"/>
      <c r="AD30" s="97"/>
      <c r="AE30" s="97"/>
      <c r="AF30" s="98"/>
    </row>
    <row r="31" spans="1:32" s="71" customFormat="1" ht="12.75" x14ac:dyDescent="0.2">
      <c r="A31" s="76"/>
      <c r="B31" s="142"/>
      <c r="C31" s="143"/>
      <c r="D31" s="137" t="s">
        <v>141</v>
      </c>
      <c r="E31" s="138"/>
      <c r="F31" s="139"/>
      <c r="G31" s="139"/>
      <c r="H31" s="140"/>
      <c r="I31" s="141"/>
      <c r="J31" s="141">
        <v>7000</v>
      </c>
      <c r="K31" s="125"/>
      <c r="L31" s="134"/>
      <c r="M31" s="111"/>
      <c r="N31" s="111" t="s">
        <v>122</v>
      </c>
      <c r="O31" s="111" t="s">
        <v>35</v>
      </c>
      <c r="P31" s="111"/>
      <c r="Q31" s="111"/>
      <c r="R31" s="111"/>
      <c r="S31" s="111"/>
      <c r="T31" s="111"/>
      <c r="U31" s="111"/>
      <c r="V31" s="86"/>
      <c r="AA31" s="82"/>
      <c r="AB31" s="82"/>
      <c r="AC31" s="96"/>
      <c r="AD31" s="97"/>
      <c r="AE31" s="97"/>
      <c r="AF31" s="98"/>
    </row>
    <row r="32" spans="1:32" s="71" customFormat="1" x14ac:dyDescent="0.25">
      <c r="A32" s="76"/>
      <c r="B32" s="142"/>
      <c r="C32" s="143"/>
      <c r="D32" s="145"/>
      <c r="E32" s="144"/>
      <c r="F32" s="130"/>
      <c r="G32" s="130"/>
      <c r="H32" s="131"/>
      <c r="I32" s="132"/>
      <c r="J32" s="132">
        <v>9999</v>
      </c>
      <c r="K32" s="133"/>
      <c r="L32" s="134"/>
      <c r="M32" s="111" t="s">
        <v>142</v>
      </c>
      <c r="N32" s="885">
        <v>1</v>
      </c>
      <c r="O32" s="885">
        <v>1</v>
      </c>
      <c r="P32" s="111"/>
      <c r="Q32" s="111"/>
      <c r="R32" s="111"/>
      <c r="S32" s="111"/>
      <c r="T32" s="111"/>
      <c r="U32" s="111"/>
      <c r="V32" s="86"/>
      <c r="W32" s="74"/>
      <c r="X32" s="74"/>
      <c r="AA32" s="82"/>
      <c r="AB32" s="82"/>
      <c r="AC32" s="96"/>
      <c r="AD32" s="97"/>
      <c r="AE32" s="97"/>
      <c r="AF32" s="98"/>
    </row>
    <row r="33" spans="1:32" s="71" customFormat="1" ht="12.75" x14ac:dyDescent="0.2">
      <c r="A33" s="76"/>
      <c r="B33" s="142"/>
      <c r="C33" s="143"/>
      <c r="D33" s="150" t="s">
        <v>143</v>
      </c>
      <c r="E33" s="151"/>
      <c r="F33" s="147"/>
      <c r="G33" s="147"/>
      <c r="H33" s="148"/>
      <c r="I33" s="149"/>
      <c r="J33" s="149"/>
      <c r="K33" s="122"/>
      <c r="L33" s="134"/>
      <c r="M33" s="111"/>
      <c r="N33" s="111"/>
      <c r="O33" s="111"/>
      <c r="P33" s="111"/>
      <c r="Q33" s="111"/>
      <c r="R33" s="111"/>
      <c r="S33" s="111"/>
      <c r="T33" s="111"/>
      <c r="U33" s="111" t="s">
        <v>144</v>
      </c>
      <c r="V33" s="152" t="s">
        <v>145</v>
      </c>
      <c r="W33" s="77"/>
      <c r="X33" s="78"/>
      <c r="Y33" s="86"/>
      <c r="AA33" s="82"/>
      <c r="AB33" s="82"/>
      <c r="AC33" s="96"/>
      <c r="AD33" s="97"/>
      <c r="AE33" s="97"/>
      <c r="AF33" s="98"/>
    </row>
    <row r="34" spans="1:32" s="71" customFormat="1" ht="13.5" thickBot="1" x14ac:dyDescent="0.25">
      <c r="A34" s="76"/>
      <c r="B34" s="153"/>
      <c r="C34" s="154"/>
      <c r="D34" s="145"/>
      <c r="E34" s="151"/>
      <c r="F34" s="147"/>
      <c r="G34" s="147"/>
      <c r="H34" s="148"/>
      <c r="I34" s="149"/>
      <c r="J34" s="149"/>
      <c r="K34" s="122"/>
      <c r="L34" s="134"/>
      <c r="M34" s="155" t="s">
        <v>127</v>
      </c>
      <c r="N34" s="156" t="s">
        <v>128</v>
      </c>
      <c r="O34" s="117" t="s">
        <v>129</v>
      </c>
      <c r="P34" s="116" t="s">
        <v>130</v>
      </c>
      <c r="Q34" s="103" t="s">
        <v>131</v>
      </c>
      <c r="R34" s="103" t="s">
        <v>132</v>
      </c>
      <c r="S34" s="117" t="s">
        <v>133</v>
      </c>
      <c r="T34" s="111"/>
      <c r="U34" s="111" t="s">
        <v>146</v>
      </c>
      <c r="V34" s="152" t="s">
        <v>127</v>
      </c>
      <c r="W34" s="77"/>
      <c r="X34" s="78"/>
      <c r="Y34" s="86"/>
      <c r="AA34" s="82"/>
      <c r="AB34" s="82"/>
      <c r="AC34" s="96"/>
      <c r="AD34" s="97"/>
      <c r="AE34" s="97"/>
      <c r="AF34" s="98"/>
    </row>
    <row r="35" spans="1:32" s="71" customFormat="1" ht="12.75" x14ac:dyDescent="0.2">
      <c r="A35" s="76"/>
      <c r="B35" s="118"/>
      <c r="C35" s="89" t="str">
        <f>IF(AND($B$6&gt;0,$B$6&lt;=D35),"D"," ")</f>
        <v xml:space="preserve"> </v>
      </c>
      <c r="D35" s="157">
        <v>0.2</v>
      </c>
      <c r="E35" s="158">
        <f t="shared" ref="E35:E75" si="0">M35*$N$32</f>
        <v>26.605</v>
      </c>
      <c r="F35" s="159">
        <f t="shared" ref="F35:F75" si="1">N35*$N$32</f>
        <v>34.700000000000003</v>
      </c>
      <c r="G35" s="159">
        <f t="shared" ref="G35:G75" si="2">O35*$N$32</f>
        <v>38.1</v>
      </c>
      <c r="H35" s="160">
        <f t="shared" ref="H35:H75" si="3">P35*$N$32</f>
        <v>47.62</v>
      </c>
      <c r="I35" s="159">
        <f t="shared" ref="I35:I75" si="4">Q35*$O$32</f>
        <v>43.66</v>
      </c>
      <c r="J35" s="161">
        <f t="shared" ref="J35:J75" si="5">R35*$O$32</f>
        <v>53.42</v>
      </c>
      <c r="K35" s="161">
        <f t="shared" ref="K35:K75" si="6">S35*$O$32</f>
        <v>65.319999999999993</v>
      </c>
      <c r="L35" s="162"/>
      <c r="M35" s="163">
        <f>U35*V35</f>
        <v>26.605</v>
      </c>
      <c r="N35" s="164">
        <v>34.700000000000003</v>
      </c>
      <c r="O35" s="164">
        <v>38.1</v>
      </c>
      <c r="P35" s="165">
        <v>47.62</v>
      </c>
      <c r="Q35" s="164">
        <v>43.66</v>
      </c>
      <c r="R35" s="166">
        <v>53.42</v>
      </c>
      <c r="S35" s="166">
        <v>65.319999999999993</v>
      </c>
      <c r="T35" s="162"/>
      <c r="U35" s="167">
        <v>0.85</v>
      </c>
      <c r="V35" s="168">
        <v>31.3</v>
      </c>
      <c r="W35" s="169"/>
      <c r="X35" s="162"/>
      <c r="Y35" s="86"/>
      <c r="AA35" s="82"/>
      <c r="AB35" s="82"/>
      <c r="AC35" s="96"/>
      <c r="AD35" s="97"/>
      <c r="AE35" s="97"/>
      <c r="AF35" s="98"/>
    </row>
    <row r="36" spans="1:32" s="71" customFormat="1" ht="12.75" x14ac:dyDescent="0.2">
      <c r="A36" s="76"/>
      <c r="B36" s="170"/>
      <c r="C36" s="171" t="str">
        <f t="shared" ref="C36:C68" si="7">IF(AND($B$6&gt;0,$B$6&gt;D35,$B$6&lt;=D36),"D"," ")</f>
        <v xml:space="preserve"> </v>
      </c>
      <c r="D36" s="157">
        <v>0.4</v>
      </c>
      <c r="E36" s="172">
        <f t="shared" si="0"/>
        <v>32.499299999999998</v>
      </c>
      <c r="F36" s="173">
        <f t="shared" si="1"/>
        <v>42.52</v>
      </c>
      <c r="G36" s="173">
        <f t="shared" si="2"/>
        <v>46.93</v>
      </c>
      <c r="H36" s="174">
        <f t="shared" si="3"/>
        <v>52.37</v>
      </c>
      <c r="I36" s="173">
        <f t="shared" si="4"/>
        <v>50.22</v>
      </c>
      <c r="J36" s="175">
        <f t="shared" si="5"/>
        <v>63.35</v>
      </c>
      <c r="K36" s="175">
        <f t="shared" si="6"/>
        <v>77.2</v>
      </c>
      <c r="L36" s="162"/>
      <c r="M36" s="176">
        <f t="shared" ref="M36:M56" si="8">U36*V36</f>
        <v>32.499299999999998</v>
      </c>
      <c r="N36" s="177">
        <v>42.52</v>
      </c>
      <c r="O36" s="177">
        <v>46.93</v>
      </c>
      <c r="P36" s="178">
        <v>52.37</v>
      </c>
      <c r="Q36" s="177">
        <v>50.22</v>
      </c>
      <c r="R36" s="179">
        <v>63.35</v>
      </c>
      <c r="S36" s="179">
        <v>77.2</v>
      </c>
      <c r="T36" s="162"/>
      <c r="U36" s="180">
        <v>0.85299999999999998</v>
      </c>
      <c r="V36" s="181">
        <v>38.1</v>
      </c>
      <c r="W36" s="169"/>
      <c r="X36" s="162"/>
      <c r="Y36" s="86"/>
      <c r="AA36" s="82"/>
      <c r="AB36" s="82"/>
      <c r="AC36" s="96"/>
      <c r="AD36" s="97"/>
      <c r="AE36" s="97"/>
      <c r="AF36" s="98"/>
    </row>
    <row r="37" spans="1:32" s="71" customFormat="1" ht="12.75" x14ac:dyDescent="0.2">
      <c r="A37" s="76"/>
      <c r="B37" s="170"/>
      <c r="C37" s="171" t="str">
        <f t="shared" si="7"/>
        <v xml:space="preserve"> </v>
      </c>
      <c r="D37" s="157">
        <v>0.5</v>
      </c>
      <c r="E37" s="172">
        <f t="shared" si="0"/>
        <v>36.653919999999999</v>
      </c>
      <c r="F37" s="173">
        <f t="shared" si="1"/>
        <v>48.9</v>
      </c>
      <c r="G37" s="173">
        <f t="shared" si="2"/>
        <v>54.98</v>
      </c>
      <c r="H37" s="174">
        <f t="shared" si="3"/>
        <v>63.07</v>
      </c>
      <c r="I37" s="173">
        <f t="shared" si="4"/>
        <v>58.83</v>
      </c>
      <c r="J37" s="175">
        <f t="shared" si="5"/>
        <v>74.59</v>
      </c>
      <c r="K37" s="175">
        <f t="shared" si="6"/>
        <v>91.39</v>
      </c>
      <c r="L37" s="162"/>
      <c r="M37" s="176">
        <f t="shared" si="8"/>
        <v>36.653919999999999</v>
      </c>
      <c r="N37" s="177">
        <v>48.9</v>
      </c>
      <c r="O37" s="177">
        <v>54.98</v>
      </c>
      <c r="P37" s="178">
        <v>63.07</v>
      </c>
      <c r="Q37" s="177">
        <v>58.83</v>
      </c>
      <c r="R37" s="179">
        <v>74.59</v>
      </c>
      <c r="S37" s="179">
        <v>91.39</v>
      </c>
      <c r="T37" s="162"/>
      <c r="U37" s="180">
        <v>0.85599999999999998</v>
      </c>
      <c r="V37" s="181">
        <v>42.82</v>
      </c>
      <c r="W37" s="169"/>
      <c r="X37" s="162"/>
      <c r="Y37" s="86"/>
      <c r="AA37" s="82"/>
      <c r="AB37" s="82"/>
      <c r="AC37" s="96"/>
      <c r="AD37" s="97"/>
      <c r="AE37" s="97"/>
      <c r="AF37" s="98"/>
    </row>
    <row r="38" spans="1:32" s="71" customFormat="1" ht="12.75" x14ac:dyDescent="0.2">
      <c r="A38" s="76"/>
      <c r="B38" s="170"/>
      <c r="C38" s="171" t="str">
        <f t="shared" si="7"/>
        <v>D</v>
      </c>
      <c r="D38" s="157">
        <v>0.6</v>
      </c>
      <c r="E38" s="172">
        <f t="shared" si="0"/>
        <v>40.836860000000001</v>
      </c>
      <c r="F38" s="173">
        <f t="shared" si="1"/>
        <v>55.29</v>
      </c>
      <c r="G38" s="173">
        <f t="shared" si="2"/>
        <v>63.03</v>
      </c>
      <c r="H38" s="174">
        <f t="shared" si="3"/>
        <v>73.760000000000005</v>
      </c>
      <c r="I38" s="173">
        <f t="shared" si="4"/>
        <v>67.44</v>
      </c>
      <c r="J38" s="175">
        <f t="shared" si="5"/>
        <v>85.82</v>
      </c>
      <c r="K38" s="175">
        <f t="shared" si="6"/>
        <v>105.58</v>
      </c>
      <c r="L38" s="162"/>
      <c r="M38" s="176">
        <f t="shared" si="8"/>
        <v>40.836860000000001</v>
      </c>
      <c r="N38" s="177">
        <v>55.29</v>
      </c>
      <c r="O38" s="177">
        <v>63.03</v>
      </c>
      <c r="P38" s="178">
        <v>73.760000000000005</v>
      </c>
      <c r="Q38" s="177">
        <v>67.44</v>
      </c>
      <c r="R38" s="179">
        <v>85.82</v>
      </c>
      <c r="S38" s="179">
        <v>105.58</v>
      </c>
      <c r="T38" s="162"/>
      <c r="U38" s="180">
        <v>0.85899999999999999</v>
      </c>
      <c r="V38" s="181">
        <v>47.54</v>
      </c>
      <c r="W38" s="169"/>
      <c r="X38" s="162"/>
      <c r="Y38" s="86"/>
    </row>
    <row r="39" spans="1:32" s="71" customFormat="1" ht="12.75" x14ac:dyDescent="0.2">
      <c r="A39" s="76"/>
      <c r="B39" s="170"/>
      <c r="C39" s="171" t="str">
        <f t="shared" si="7"/>
        <v xml:space="preserve"> </v>
      </c>
      <c r="D39" s="157">
        <v>0.7</v>
      </c>
      <c r="E39" s="172">
        <f t="shared" si="0"/>
        <v>45.056740000000005</v>
      </c>
      <c r="F39" s="173">
        <f t="shared" si="1"/>
        <v>51.67</v>
      </c>
      <c r="G39" s="173">
        <f t="shared" si="2"/>
        <v>71.08</v>
      </c>
      <c r="H39" s="174">
        <f t="shared" si="3"/>
        <v>84.46</v>
      </c>
      <c r="I39" s="173">
        <f t="shared" si="4"/>
        <v>76.06</v>
      </c>
      <c r="J39" s="175">
        <f t="shared" si="5"/>
        <v>97.06</v>
      </c>
      <c r="K39" s="175">
        <f t="shared" si="6"/>
        <v>119.77</v>
      </c>
      <c r="L39" s="162"/>
      <c r="M39" s="176">
        <f t="shared" si="8"/>
        <v>45.056740000000005</v>
      </c>
      <c r="N39" s="177">
        <v>51.67</v>
      </c>
      <c r="O39" s="177">
        <v>71.08</v>
      </c>
      <c r="P39" s="178">
        <v>84.46</v>
      </c>
      <c r="Q39" s="177">
        <v>76.06</v>
      </c>
      <c r="R39" s="179">
        <v>97.06</v>
      </c>
      <c r="S39" s="179">
        <v>119.77</v>
      </c>
      <c r="T39" s="162"/>
      <c r="U39" s="180">
        <v>0.86199999999999999</v>
      </c>
      <c r="V39" s="181">
        <v>52.27</v>
      </c>
      <c r="W39" s="169"/>
      <c r="X39" s="162"/>
      <c r="Y39" s="86"/>
    </row>
    <row r="40" spans="1:32" s="71" customFormat="1" ht="12.75" x14ac:dyDescent="0.2">
      <c r="A40" s="76"/>
      <c r="B40" s="170"/>
      <c r="C40" s="171" t="str">
        <f t="shared" si="7"/>
        <v xml:space="preserve"> </v>
      </c>
      <c r="D40" s="157">
        <v>0.8</v>
      </c>
      <c r="E40" s="172">
        <f t="shared" si="0"/>
        <v>49.296350000000004</v>
      </c>
      <c r="F40" s="173">
        <f t="shared" si="1"/>
        <v>68.06</v>
      </c>
      <c r="G40" s="173">
        <f t="shared" si="2"/>
        <v>79.13</v>
      </c>
      <c r="H40" s="174">
        <f t="shared" si="3"/>
        <v>95.15</v>
      </c>
      <c r="I40" s="173">
        <f t="shared" si="4"/>
        <v>84.67</v>
      </c>
      <c r="J40" s="175">
        <f t="shared" si="5"/>
        <v>108.3</v>
      </c>
      <c r="K40" s="175">
        <f t="shared" si="6"/>
        <v>133.94999999999999</v>
      </c>
      <c r="L40" s="162"/>
      <c r="M40" s="176">
        <f t="shared" si="8"/>
        <v>49.296350000000004</v>
      </c>
      <c r="N40" s="177">
        <v>68.06</v>
      </c>
      <c r="O40" s="177">
        <v>79.13</v>
      </c>
      <c r="P40" s="178">
        <v>95.15</v>
      </c>
      <c r="Q40" s="177">
        <v>84.67</v>
      </c>
      <c r="R40" s="179">
        <v>108.3</v>
      </c>
      <c r="S40" s="179">
        <v>133.94999999999999</v>
      </c>
      <c r="T40" s="162"/>
      <c r="U40" s="180">
        <v>0.86499999999999999</v>
      </c>
      <c r="V40" s="181">
        <v>56.99</v>
      </c>
      <c r="W40" s="169"/>
      <c r="X40" s="162"/>
      <c r="Y40" s="86"/>
    </row>
    <row r="41" spans="1:32" s="71" customFormat="1" ht="12.75" x14ac:dyDescent="0.2">
      <c r="A41" s="76"/>
      <c r="B41" s="170"/>
      <c r="C41" s="171" t="str">
        <f t="shared" si="7"/>
        <v xml:space="preserve"> </v>
      </c>
      <c r="D41" s="157">
        <v>0.9</v>
      </c>
      <c r="E41" s="172">
        <f t="shared" si="0"/>
        <v>53.564280000000004</v>
      </c>
      <c r="F41" s="173">
        <f t="shared" si="1"/>
        <v>74.44</v>
      </c>
      <c r="G41" s="173">
        <f t="shared" si="2"/>
        <v>87.18</v>
      </c>
      <c r="H41" s="174">
        <f t="shared" si="3"/>
        <v>105.85</v>
      </c>
      <c r="I41" s="173">
        <f t="shared" si="4"/>
        <v>93.28</v>
      </c>
      <c r="J41" s="175">
        <f t="shared" si="5"/>
        <v>119.53</v>
      </c>
      <c r="K41" s="175">
        <f t="shared" si="6"/>
        <v>148.13999999999999</v>
      </c>
      <c r="L41" s="162"/>
      <c r="M41" s="176">
        <f t="shared" si="8"/>
        <v>53.564280000000004</v>
      </c>
      <c r="N41" s="177">
        <v>74.44</v>
      </c>
      <c r="O41" s="177">
        <v>87.18</v>
      </c>
      <c r="P41" s="178">
        <v>105.85</v>
      </c>
      <c r="Q41" s="177">
        <v>93.28</v>
      </c>
      <c r="R41" s="179">
        <v>119.53</v>
      </c>
      <c r="S41" s="179">
        <v>148.13999999999999</v>
      </c>
      <c r="T41" s="162"/>
      <c r="U41" s="180">
        <v>0.86799999999999999</v>
      </c>
      <c r="V41" s="181">
        <v>61.71</v>
      </c>
      <c r="W41" s="169"/>
      <c r="X41" s="162"/>
      <c r="Y41" s="86"/>
    </row>
    <row r="42" spans="1:32" s="71" customFormat="1" ht="12.75" x14ac:dyDescent="0.2">
      <c r="A42" s="76"/>
      <c r="B42" s="170"/>
      <c r="C42" s="171" t="str">
        <f t="shared" si="7"/>
        <v xml:space="preserve"> </v>
      </c>
      <c r="D42" s="157">
        <v>1</v>
      </c>
      <c r="E42" s="172">
        <f t="shared" si="0"/>
        <v>57.860530000000004</v>
      </c>
      <c r="F42" s="173">
        <f t="shared" si="1"/>
        <v>80.83</v>
      </c>
      <c r="G42" s="173">
        <f t="shared" si="2"/>
        <v>95.23</v>
      </c>
      <c r="H42" s="174">
        <f t="shared" si="3"/>
        <v>116.54</v>
      </c>
      <c r="I42" s="173">
        <f t="shared" si="4"/>
        <v>101.89</v>
      </c>
      <c r="J42" s="175">
        <f t="shared" si="5"/>
        <v>130.77000000000001</v>
      </c>
      <c r="K42" s="175">
        <f t="shared" si="6"/>
        <v>162.33000000000001</v>
      </c>
      <c r="L42" s="162"/>
      <c r="M42" s="176">
        <f t="shared" si="8"/>
        <v>57.860530000000004</v>
      </c>
      <c r="N42" s="177">
        <v>80.83</v>
      </c>
      <c r="O42" s="177">
        <v>95.23</v>
      </c>
      <c r="P42" s="178">
        <v>116.54</v>
      </c>
      <c r="Q42" s="177">
        <v>101.89</v>
      </c>
      <c r="R42" s="179">
        <v>130.77000000000001</v>
      </c>
      <c r="S42" s="179">
        <v>162.33000000000001</v>
      </c>
      <c r="T42" s="162"/>
      <c r="U42" s="180">
        <v>0.871</v>
      </c>
      <c r="V42" s="181">
        <v>66.430000000000007</v>
      </c>
      <c r="W42" s="169"/>
      <c r="X42" s="162"/>
      <c r="Y42" s="86"/>
    </row>
    <row r="43" spans="1:32" s="71" customFormat="1" ht="12.75" x14ac:dyDescent="0.2">
      <c r="A43" s="76"/>
      <c r="B43" s="170"/>
      <c r="C43" s="171" t="str">
        <f t="shared" si="7"/>
        <v xml:space="preserve"> </v>
      </c>
      <c r="D43" s="157">
        <v>1.2</v>
      </c>
      <c r="E43" s="172">
        <f t="shared" si="0"/>
        <v>64.999380000000002</v>
      </c>
      <c r="F43" s="173">
        <f t="shared" si="1"/>
        <v>90.92</v>
      </c>
      <c r="G43" s="173">
        <f t="shared" si="2"/>
        <v>107.47</v>
      </c>
      <c r="H43" s="174">
        <f t="shared" si="3"/>
        <v>132.41</v>
      </c>
      <c r="I43" s="173">
        <f t="shared" si="4"/>
        <v>114.99</v>
      </c>
      <c r="J43" s="175">
        <f t="shared" si="5"/>
        <v>148.58000000000001</v>
      </c>
      <c r="K43" s="175">
        <f t="shared" si="6"/>
        <v>179.75</v>
      </c>
      <c r="L43" s="162"/>
      <c r="M43" s="176">
        <f t="shared" si="8"/>
        <v>64.999380000000002</v>
      </c>
      <c r="N43" s="177">
        <v>90.92</v>
      </c>
      <c r="O43" s="177">
        <v>107.47</v>
      </c>
      <c r="P43" s="178">
        <v>132.41</v>
      </c>
      <c r="Q43" s="177">
        <v>114.99</v>
      </c>
      <c r="R43" s="179">
        <v>148.58000000000001</v>
      </c>
      <c r="S43" s="179">
        <v>179.75</v>
      </c>
      <c r="T43" s="162"/>
      <c r="U43" s="180">
        <v>0.874</v>
      </c>
      <c r="V43" s="181">
        <v>74.37</v>
      </c>
      <c r="W43" s="169"/>
      <c r="X43" s="162"/>
      <c r="Y43" s="86"/>
    </row>
    <row r="44" spans="1:32" s="71" customFormat="1" ht="12.75" x14ac:dyDescent="0.2">
      <c r="A44" s="76"/>
      <c r="B44" s="170"/>
      <c r="C44" s="171" t="str">
        <f t="shared" si="7"/>
        <v xml:space="preserve"> </v>
      </c>
      <c r="D44" s="157">
        <v>1.4</v>
      </c>
      <c r="E44" s="172">
        <f t="shared" si="0"/>
        <v>72.185870000000008</v>
      </c>
      <c r="F44" s="173">
        <f t="shared" si="1"/>
        <v>101.01</v>
      </c>
      <c r="G44" s="173">
        <f t="shared" si="2"/>
        <v>119.72</v>
      </c>
      <c r="H44" s="174">
        <f t="shared" si="3"/>
        <v>148.28</v>
      </c>
      <c r="I44" s="173">
        <f t="shared" si="4"/>
        <v>128.09</v>
      </c>
      <c r="J44" s="175">
        <f t="shared" si="5"/>
        <v>166.38</v>
      </c>
      <c r="K44" s="175">
        <f t="shared" si="6"/>
        <v>197.17</v>
      </c>
      <c r="L44" s="162"/>
      <c r="M44" s="176">
        <f t="shared" si="8"/>
        <v>72.185870000000008</v>
      </c>
      <c r="N44" s="177">
        <v>101.01</v>
      </c>
      <c r="O44" s="177">
        <v>119.72</v>
      </c>
      <c r="P44" s="178">
        <v>148.28</v>
      </c>
      <c r="Q44" s="177">
        <v>128.09</v>
      </c>
      <c r="R44" s="179">
        <v>166.38</v>
      </c>
      <c r="S44" s="179">
        <v>197.17</v>
      </c>
      <c r="T44" s="162"/>
      <c r="U44" s="180">
        <v>0.877</v>
      </c>
      <c r="V44" s="181">
        <v>82.31</v>
      </c>
      <c r="W44" s="169"/>
      <c r="X44" s="162"/>
      <c r="Y44" s="86"/>
    </row>
    <row r="45" spans="1:32" s="71" customFormat="1" ht="12.75" x14ac:dyDescent="0.2">
      <c r="A45" s="76"/>
      <c r="B45" s="170"/>
      <c r="C45" s="171" t="str">
        <f t="shared" si="7"/>
        <v xml:space="preserve"> </v>
      </c>
      <c r="D45" s="157">
        <v>1.6</v>
      </c>
      <c r="E45" s="172">
        <f t="shared" si="0"/>
        <v>79.411199999999994</v>
      </c>
      <c r="F45" s="173">
        <f t="shared" si="1"/>
        <v>111.1</v>
      </c>
      <c r="G45" s="173">
        <f t="shared" si="2"/>
        <v>131.96</v>
      </c>
      <c r="H45" s="174">
        <f t="shared" si="3"/>
        <v>164.14</v>
      </c>
      <c r="I45" s="173">
        <f t="shared" si="4"/>
        <v>141.19999999999999</v>
      </c>
      <c r="J45" s="175">
        <f t="shared" si="5"/>
        <v>184.19</v>
      </c>
      <c r="K45" s="175">
        <f t="shared" si="6"/>
        <v>214.58</v>
      </c>
      <c r="L45" s="162"/>
      <c r="M45" s="176">
        <f t="shared" si="8"/>
        <v>79.411199999999994</v>
      </c>
      <c r="N45" s="177">
        <v>111.1</v>
      </c>
      <c r="O45" s="177">
        <v>131.96</v>
      </c>
      <c r="P45" s="178">
        <v>164.14</v>
      </c>
      <c r="Q45" s="177">
        <v>141.19999999999999</v>
      </c>
      <c r="R45" s="179">
        <v>184.19</v>
      </c>
      <c r="S45" s="179">
        <v>214.58</v>
      </c>
      <c r="T45" s="162"/>
      <c r="U45" s="180">
        <v>0.88</v>
      </c>
      <c r="V45" s="181">
        <v>90.24</v>
      </c>
      <c r="W45" s="169"/>
      <c r="X45" s="162"/>
      <c r="Y45" s="86"/>
    </row>
    <row r="46" spans="1:32" s="71" customFormat="1" ht="12.75" x14ac:dyDescent="0.2">
      <c r="A46" s="76"/>
      <c r="B46" s="170"/>
      <c r="C46" s="171" t="str">
        <f t="shared" si="7"/>
        <v xml:space="preserve"> </v>
      </c>
      <c r="D46" s="157">
        <v>1.8</v>
      </c>
      <c r="E46" s="172">
        <f t="shared" si="0"/>
        <v>86.692940000000007</v>
      </c>
      <c r="F46" s="173">
        <f t="shared" si="1"/>
        <v>121.19</v>
      </c>
      <c r="G46" s="173">
        <f t="shared" si="2"/>
        <v>144.21</v>
      </c>
      <c r="H46" s="174">
        <f t="shared" si="3"/>
        <v>180.01</v>
      </c>
      <c r="I46" s="173">
        <f t="shared" si="4"/>
        <v>154.30000000000001</v>
      </c>
      <c r="J46" s="175">
        <f t="shared" si="5"/>
        <v>201.99</v>
      </c>
      <c r="K46" s="175">
        <f t="shared" si="6"/>
        <v>232</v>
      </c>
      <c r="L46" s="162"/>
      <c r="M46" s="176">
        <f t="shared" si="8"/>
        <v>86.692940000000007</v>
      </c>
      <c r="N46" s="177">
        <v>121.19</v>
      </c>
      <c r="O46" s="177">
        <v>144.21</v>
      </c>
      <c r="P46" s="178">
        <v>180.01</v>
      </c>
      <c r="Q46" s="177">
        <v>154.30000000000001</v>
      </c>
      <c r="R46" s="179">
        <v>201.99</v>
      </c>
      <c r="S46" s="179">
        <v>232</v>
      </c>
      <c r="T46" s="162"/>
      <c r="U46" s="180">
        <v>0.88300000000000001</v>
      </c>
      <c r="V46" s="181">
        <v>98.18</v>
      </c>
      <c r="W46" s="169"/>
      <c r="X46" s="162"/>
      <c r="Y46" s="86"/>
    </row>
    <row r="47" spans="1:32" s="71" customFormat="1" ht="12.75" x14ac:dyDescent="0.2">
      <c r="A47" s="76"/>
      <c r="B47" s="170"/>
      <c r="C47" s="171" t="str">
        <f t="shared" si="7"/>
        <v xml:space="preserve"> </v>
      </c>
      <c r="D47" s="157">
        <v>2</v>
      </c>
      <c r="E47" s="172">
        <f t="shared" si="0"/>
        <v>94.022320000000008</v>
      </c>
      <c r="F47" s="173">
        <f t="shared" si="1"/>
        <v>131.29</v>
      </c>
      <c r="G47" s="173">
        <f t="shared" si="2"/>
        <v>156.44999999999999</v>
      </c>
      <c r="H47" s="174">
        <f t="shared" si="3"/>
        <v>195.88</v>
      </c>
      <c r="I47" s="173">
        <f t="shared" si="4"/>
        <v>167.4</v>
      </c>
      <c r="J47" s="175">
        <f t="shared" si="5"/>
        <v>219.8</v>
      </c>
      <c r="K47" s="175">
        <f t="shared" si="6"/>
        <v>249.42</v>
      </c>
      <c r="L47" s="162"/>
      <c r="M47" s="176">
        <f t="shared" si="8"/>
        <v>94.022320000000008</v>
      </c>
      <c r="N47" s="177">
        <v>131.29</v>
      </c>
      <c r="O47" s="177">
        <v>156.44999999999999</v>
      </c>
      <c r="P47" s="178">
        <v>195.88</v>
      </c>
      <c r="Q47" s="177">
        <v>167.4</v>
      </c>
      <c r="R47" s="179">
        <v>219.8</v>
      </c>
      <c r="S47" s="179">
        <v>249.42</v>
      </c>
      <c r="T47" s="162"/>
      <c r="U47" s="180">
        <v>0.88600000000000001</v>
      </c>
      <c r="V47" s="181">
        <v>106.12</v>
      </c>
      <c r="W47" s="169"/>
      <c r="X47" s="162"/>
      <c r="Y47" s="86"/>
    </row>
    <row r="48" spans="1:32" s="71" customFormat="1" ht="12.75" x14ac:dyDescent="0.2">
      <c r="A48" s="76"/>
      <c r="B48" s="170"/>
      <c r="C48" s="171" t="str">
        <f t="shared" si="7"/>
        <v xml:space="preserve"> </v>
      </c>
      <c r="D48" s="157">
        <v>2.4</v>
      </c>
      <c r="E48" s="172">
        <f t="shared" si="0"/>
        <v>99.79025</v>
      </c>
      <c r="F48" s="173">
        <f t="shared" si="1"/>
        <v>138.63</v>
      </c>
      <c r="G48" s="173">
        <f t="shared" si="2"/>
        <v>165.01</v>
      </c>
      <c r="H48" s="174">
        <f t="shared" si="3"/>
        <v>206.38</v>
      </c>
      <c r="I48" s="173">
        <f t="shared" si="4"/>
        <v>176.28</v>
      </c>
      <c r="J48" s="175">
        <f t="shared" si="5"/>
        <v>231.29</v>
      </c>
      <c r="K48" s="175">
        <f t="shared" si="6"/>
        <v>264.33999999999997</v>
      </c>
      <c r="L48" s="162"/>
      <c r="M48" s="176">
        <f t="shared" si="8"/>
        <v>99.79025</v>
      </c>
      <c r="N48" s="177">
        <v>138.63</v>
      </c>
      <c r="O48" s="177">
        <v>165.01</v>
      </c>
      <c r="P48" s="178">
        <v>206.38</v>
      </c>
      <c r="Q48" s="177">
        <v>176.28</v>
      </c>
      <c r="R48" s="179">
        <v>231.29</v>
      </c>
      <c r="S48" s="179">
        <v>264.33999999999997</v>
      </c>
      <c r="T48" s="162"/>
      <c r="U48" s="180">
        <v>0.88900000000000001</v>
      </c>
      <c r="V48" s="181">
        <v>112.25</v>
      </c>
      <c r="W48" s="169"/>
      <c r="X48" s="162"/>
      <c r="Y48" s="86"/>
    </row>
    <row r="49" spans="1:25" s="71" customFormat="1" ht="12.75" x14ac:dyDescent="0.2">
      <c r="A49" s="76"/>
      <c r="B49" s="170"/>
      <c r="C49" s="171" t="str">
        <f t="shared" si="7"/>
        <v xml:space="preserve"> </v>
      </c>
      <c r="D49" s="157">
        <v>2.8</v>
      </c>
      <c r="E49" s="172">
        <f t="shared" si="0"/>
        <v>105.59496</v>
      </c>
      <c r="F49" s="173">
        <f t="shared" si="1"/>
        <v>145.97</v>
      </c>
      <c r="G49" s="173">
        <f t="shared" si="2"/>
        <v>173.56</v>
      </c>
      <c r="H49" s="174">
        <f t="shared" si="3"/>
        <v>216.88</v>
      </c>
      <c r="I49" s="173">
        <f t="shared" si="4"/>
        <v>185.16</v>
      </c>
      <c r="J49" s="175">
        <f t="shared" si="5"/>
        <v>242.79</v>
      </c>
      <c r="K49" s="175">
        <f t="shared" si="6"/>
        <v>279.26</v>
      </c>
      <c r="L49" s="162"/>
      <c r="M49" s="176">
        <f t="shared" si="8"/>
        <v>105.59496</v>
      </c>
      <c r="N49" s="177">
        <v>145.97</v>
      </c>
      <c r="O49" s="177">
        <v>173.56</v>
      </c>
      <c r="P49" s="178">
        <v>216.88</v>
      </c>
      <c r="Q49" s="177">
        <v>185.16</v>
      </c>
      <c r="R49" s="179">
        <v>242.79</v>
      </c>
      <c r="S49" s="179">
        <v>279.26</v>
      </c>
      <c r="T49" s="162"/>
      <c r="U49" s="180">
        <v>0.89200000000000002</v>
      </c>
      <c r="V49" s="181">
        <v>118.38</v>
      </c>
      <c r="W49" s="169"/>
      <c r="X49" s="162"/>
      <c r="Y49" s="86"/>
    </row>
    <row r="50" spans="1:25" s="71" customFormat="1" ht="12.75" x14ac:dyDescent="0.2">
      <c r="A50" s="76"/>
      <c r="B50" s="170"/>
      <c r="C50" s="171" t="str">
        <f t="shared" si="7"/>
        <v xml:space="preserve"> </v>
      </c>
      <c r="D50" s="157">
        <v>3.2</v>
      </c>
      <c r="E50" s="172">
        <f t="shared" si="0"/>
        <v>111.43645000000001</v>
      </c>
      <c r="F50" s="173">
        <f t="shared" si="1"/>
        <v>153.31</v>
      </c>
      <c r="G50" s="173">
        <f t="shared" si="2"/>
        <v>182.12</v>
      </c>
      <c r="H50" s="174">
        <f t="shared" si="3"/>
        <v>227.38</v>
      </c>
      <c r="I50" s="173">
        <f t="shared" si="4"/>
        <v>194.04</v>
      </c>
      <c r="J50" s="175">
        <f t="shared" si="5"/>
        <v>254.28</v>
      </c>
      <c r="K50" s="175">
        <f t="shared" si="6"/>
        <v>294.18</v>
      </c>
      <c r="L50" s="162"/>
      <c r="M50" s="176">
        <f t="shared" si="8"/>
        <v>111.43645000000001</v>
      </c>
      <c r="N50" s="177">
        <v>153.31</v>
      </c>
      <c r="O50" s="177">
        <v>182.12</v>
      </c>
      <c r="P50" s="178">
        <v>227.38</v>
      </c>
      <c r="Q50" s="177">
        <v>194.04</v>
      </c>
      <c r="R50" s="179">
        <v>254.28</v>
      </c>
      <c r="S50" s="179">
        <v>294.18</v>
      </c>
      <c r="T50" s="162"/>
      <c r="U50" s="180">
        <v>0.89500000000000002</v>
      </c>
      <c r="V50" s="181">
        <v>124.51</v>
      </c>
      <c r="W50" s="169"/>
      <c r="X50" s="162"/>
      <c r="Y50" s="86"/>
    </row>
    <row r="51" spans="1:25" s="71" customFormat="1" ht="12.75" x14ac:dyDescent="0.2">
      <c r="A51" s="76"/>
      <c r="B51" s="170"/>
      <c r="C51" s="171" t="str">
        <f t="shared" si="7"/>
        <v xml:space="preserve"> </v>
      </c>
      <c r="D51" s="157">
        <v>3.6</v>
      </c>
      <c r="E51" s="172">
        <f t="shared" si="0"/>
        <v>117.31471999999999</v>
      </c>
      <c r="F51" s="173">
        <f t="shared" si="1"/>
        <v>160.66</v>
      </c>
      <c r="G51" s="173">
        <f t="shared" si="2"/>
        <v>190.68</v>
      </c>
      <c r="H51" s="174">
        <f t="shared" si="3"/>
        <v>237.88</v>
      </c>
      <c r="I51" s="173">
        <f t="shared" si="4"/>
        <v>202.92</v>
      </c>
      <c r="J51" s="175">
        <f t="shared" si="5"/>
        <v>265.77</v>
      </c>
      <c r="K51" s="175">
        <f t="shared" si="6"/>
        <v>309.10000000000002</v>
      </c>
      <c r="L51" s="162"/>
      <c r="M51" s="176">
        <f t="shared" si="8"/>
        <v>117.31471999999999</v>
      </c>
      <c r="N51" s="177">
        <v>160.66</v>
      </c>
      <c r="O51" s="177">
        <v>190.68</v>
      </c>
      <c r="P51" s="178">
        <v>237.88</v>
      </c>
      <c r="Q51" s="177">
        <v>202.92</v>
      </c>
      <c r="R51" s="179">
        <v>265.77</v>
      </c>
      <c r="S51" s="179">
        <v>309.10000000000002</v>
      </c>
      <c r="T51" s="162"/>
      <c r="U51" s="180">
        <v>0.89800000000000002</v>
      </c>
      <c r="V51" s="181">
        <v>130.63999999999999</v>
      </c>
      <c r="W51" s="169"/>
      <c r="X51" s="162"/>
      <c r="Y51" s="86"/>
    </row>
    <row r="52" spans="1:25" s="71" customFormat="1" ht="12.75" x14ac:dyDescent="0.2">
      <c r="A52" s="76"/>
      <c r="B52" s="170"/>
      <c r="C52" s="171" t="str">
        <f t="shared" si="7"/>
        <v xml:space="preserve"> </v>
      </c>
      <c r="D52" s="157">
        <v>4</v>
      </c>
      <c r="E52" s="172">
        <f t="shared" si="0"/>
        <v>123.09300000000002</v>
      </c>
      <c r="F52" s="173">
        <f t="shared" si="1"/>
        <v>168</v>
      </c>
      <c r="G52" s="173">
        <f t="shared" si="2"/>
        <v>199.23</v>
      </c>
      <c r="H52" s="174">
        <f t="shared" si="3"/>
        <v>248.38</v>
      </c>
      <c r="I52" s="173">
        <f t="shared" si="4"/>
        <v>211.8</v>
      </c>
      <c r="J52" s="175">
        <f t="shared" si="5"/>
        <v>277.26</v>
      </c>
      <c r="K52" s="175">
        <f t="shared" si="6"/>
        <v>324.02</v>
      </c>
      <c r="L52" s="162"/>
      <c r="M52" s="176">
        <f t="shared" si="8"/>
        <v>123.09300000000002</v>
      </c>
      <c r="N52" s="177">
        <v>168</v>
      </c>
      <c r="O52" s="177">
        <v>199.23</v>
      </c>
      <c r="P52" s="178">
        <v>248.38</v>
      </c>
      <c r="Q52" s="177">
        <v>211.8</v>
      </c>
      <c r="R52" s="179">
        <v>277.26</v>
      </c>
      <c r="S52" s="179">
        <v>324.02</v>
      </c>
      <c r="T52" s="162"/>
      <c r="U52" s="180">
        <v>0.9</v>
      </c>
      <c r="V52" s="181">
        <v>136.77000000000001</v>
      </c>
      <c r="W52" s="169"/>
      <c r="X52" s="162"/>
      <c r="Y52" s="86"/>
    </row>
    <row r="53" spans="1:25" s="71" customFormat="1" ht="12.75" x14ac:dyDescent="0.2">
      <c r="A53" s="76"/>
      <c r="B53" s="170"/>
      <c r="C53" s="171" t="str">
        <f t="shared" si="7"/>
        <v xml:space="preserve"> </v>
      </c>
      <c r="D53" s="157">
        <v>4.4000000000000004</v>
      </c>
      <c r="E53" s="172">
        <f t="shared" si="0"/>
        <v>131.46800000000002</v>
      </c>
      <c r="F53" s="173">
        <f t="shared" si="1"/>
        <v>175.34</v>
      </c>
      <c r="G53" s="173">
        <f t="shared" si="2"/>
        <v>207.79</v>
      </c>
      <c r="H53" s="174">
        <f t="shared" si="3"/>
        <v>258.88</v>
      </c>
      <c r="I53" s="173">
        <f t="shared" si="4"/>
        <v>220.68</v>
      </c>
      <c r="J53" s="175">
        <f t="shared" si="5"/>
        <v>288.76</v>
      </c>
      <c r="K53" s="175">
        <f t="shared" si="6"/>
        <v>338.94</v>
      </c>
      <c r="L53" s="182"/>
      <c r="M53" s="176">
        <f t="shared" si="8"/>
        <v>131.46800000000002</v>
      </c>
      <c r="N53" s="177">
        <v>175.34</v>
      </c>
      <c r="O53" s="183">
        <v>207.79</v>
      </c>
      <c r="P53" s="178">
        <v>258.88</v>
      </c>
      <c r="Q53" s="183">
        <v>220.68</v>
      </c>
      <c r="R53" s="184">
        <v>288.76</v>
      </c>
      <c r="S53" s="184">
        <v>338.94</v>
      </c>
      <c r="T53" s="162"/>
      <c r="U53" s="180">
        <v>0.92</v>
      </c>
      <c r="V53" s="185">
        <v>142.9</v>
      </c>
      <c r="W53" s="169"/>
      <c r="X53" s="182"/>
      <c r="Y53" s="86"/>
    </row>
    <row r="54" spans="1:25" s="71" customFormat="1" ht="12.75" x14ac:dyDescent="0.2">
      <c r="A54" s="76"/>
      <c r="B54" s="170"/>
      <c r="C54" s="171" t="str">
        <f t="shared" si="7"/>
        <v xml:space="preserve"> </v>
      </c>
      <c r="D54" s="157">
        <v>4.8</v>
      </c>
      <c r="E54" s="172">
        <f t="shared" si="0"/>
        <v>140.0882</v>
      </c>
      <c r="F54" s="173">
        <f t="shared" si="1"/>
        <v>182.69</v>
      </c>
      <c r="G54" s="173">
        <f t="shared" si="2"/>
        <v>216.35</v>
      </c>
      <c r="H54" s="174">
        <f t="shared" si="3"/>
        <v>269.39</v>
      </c>
      <c r="I54" s="173">
        <f t="shared" si="4"/>
        <v>229.56</v>
      </c>
      <c r="J54" s="175">
        <f t="shared" si="5"/>
        <v>300.25</v>
      </c>
      <c r="K54" s="175">
        <f t="shared" si="6"/>
        <v>353.86</v>
      </c>
      <c r="L54" s="162"/>
      <c r="M54" s="176">
        <f t="shared" si="8"/>
        <v>140.0882</v>
      </c>
      <c r="N54" s="177">
        <v>182.69</v>
      </c>
      <c r="O54" s="183">
        <v>216.35</v>
      </c>
      <c r="P54" s="178">
        <v>269.39</v>
      </c>
      <c r="Q54" s="183">
        <v>229.56</v>
      </c>
      <c r="R54" s="184">
        <v>300.25</v>
      </c>
      <c r="S54" s="184">
        <v>353.86</v>
      </c>
      <c r="T54" s="162"/>
      <c r="U54" s="180">
        <v>0.94</v>
      </c>
      <c r="V54" s="185">
        <v>149.03</v>
      </c>
      <c r="W54" s="169"/>
      <c r="X54" s="182"/>
      <c r="Y54" s="86"/>
    </row>
    <row r="55" spans="1:25" s="71" customFormat="1" ht="12.75" x14ac:dyDescent="0.2">
      <c r="A55" s="76"/>
      <c r="B55" s="170"/>
      <c r="C55" s="171" t="str">
        <f t="shared" si="7"/>
        <v xml:space="preserve"> </v>
      </c>
      <c r="D55" s="157">
        <v>5.2</v>
      </c>
      <c r="E55" s="172">
        <f t="shared" si="0"/>
        <v>148.95359999999999</v>
      </c>
      <c r="F55" s="173">
        <f t="shared" si="1"/>
        <v>190.03</v>
      </c>
      <c r="G55" s="173">
        <f t="shared" si="2"/>
        <v>224.9</v>
      </c>
      <c r="H55" s="174">
        <f t="shared" si="3"/>
        <v>279.89</v>
      </c>
      <c r="I55" s="173">
        <f t="shared" si="4"/>
        <v>238.43</v>
      </c>
      <c r="J55" s="175">
        <f t="shared" si="5"/>
        <v>311.74</v>
      </c>
      <c r="K55" s="175">
        <f t="shared" si="6"/>
        <v>368.78</v>
      </c>
      <c r="L55" s="182"/>
      <c r="M55" s="176">
        <f t="shared" si="8"/>
        <v>148.95359999999999</v>
      </c>
      <c r="N55" s="177">
        <v>190.03</v>
      </c>
      <c r="O55" s="183">
        <v>224.9</v>
      </c>
      <c r="P55" s="178">
        <v>279.89</v>
      </c>
      <c r="Q55" s="183">
        <v>238.43</v>
      </c>
      <c r="R55" s="184">
        <v>311.74</v>
      </c>
      <c r="S55" s="184">
        <v>368.78</v>
      </c>
      <c r="T55" s="162"/>
      <c r="U55" s="180">
        <v>0.96</v>
      </c>
      <c r="V55" s="185">
        <v>155.16</v>
      </c>
      <c r="W55" s="169"/>
      <c r="X55" s="162"/>
      <c r="Y55" s="86"/>
    </row>
    <row r="56" spans="1:25" s="71" customFormat="1" ht="13.5" thickBot="1" x14ac:dyDescent="0.25">
      <c r="A56" s="76"/>
      <c r="B56" s="170"/>
      <c r="C56" s="171" t="str">
        <f t="shared" si="7"/>
        <v xml:space="preserve"> </v>
      </c>
      <c r="D56" s="157">
        <v>5.6</v>
      </c>
      <c r="E56" s="186">
        <f t="shared" si="0"/>
        <v>158.0642</v>
      </c>
      <c r="F56" s="173">
        <f t="shared" si="1"/>
        <v>197.37</v>
      </c>
      <c r="G56" s="173">
        <f t="shared" si="2"/>
        <v>233.46</v>
      </c>
      <c r="H56" s="174">
        <f t="shared" si="3"/>
        <v>290.39</v>
      </c>
      <c r="I56" s="173">
        <f t="shared" si="4"/>
        <v>247.31</v>
      </c>
      <c r="J56" s="175">
        <f t="shared" si="5"/>
        <v>323.24</v>
      </c>
      <c r="K56" s="175">
        <f t="shared" si="6"/>
        <v>383.7</v>
      </c>
      <c r="L56" s="162"/>
      <c r="M56" s="187">
        <f t="shared" si="8"/>
        <v>158.0642</v>
      </c>
      <c r="N56" s="177">
        <v>197.37</v>
      </c>
      <c r="O56" s="183">
        <v>233.46</v>
      </c>
      <c r="P56" s="178">
        <v>290.39</v>
      </c>
      <c r="Q56" s="183">
        <v>247.31</v>
      </c>
      <c r="R56" s="184">
        <v>323.24</v>
      </c>
      <c r="S56" s="184">
        <v>383.7</v>
      </c>
      <c r="T56" s="162"/>
      <c r="U56" s="188">
        <v>0.98</v>
      </c>
      <c r="V56" s="189">
        <v>161.29</v>
      </c>
      <c r="W56" s="169"/>
      <c r="X56" s="182"/>
      <c r="Y56" s="86"/>
    </row>
    <row r="57" spans="1:25" s="71" customFormat="1" ht="12.75" x14ac:dyDescent="0.2">
      <c r="A57" s="76"/>
      <c r="B57" s="170"/>
      <c r="C57" s="171" t="str">
        <f t="shared" si="7"/>
        <v xml:space="preserve"> </v>
      </c>
      <c r="D57" s="157">
        <v>6</v>
      </c>
      <c r="E57" s="190">
        <f t="shared" si="0"/>
        <v>167.42</v>
      </c>
      <c r="F57" s="175">
        <f t="shared" si="1"/>
        <v>204.72</v>
      </c>
      <c r="G57" s="173">
        <f t="shared" si="2"/>
        <v>242.01</v>
      </c>
      <c r="H57" s="174">
        <f t="shared" si="3"/>
        <v>300.89</v>
      </c>
      <c r="I57" s="173">
        <f t="shared" si="4"/>
        <v>256.19</v>
      </c>
      <c r="J57" s="175">
        <f t="shared" si="5"/>
        <v>334.73</v>
      </c>
      <c r="K57" s="175">
        <f t="shared" si="6"/>
        <v>398.62</v>
      </c>
      <c r="L57" s="182"/>
      <c r="M57" s="191">
        <v>167.42</v>
      </c>
      <c r="N57" s="184">
        <v>204.72</v>
      </c>
      <c r="O57" s="183">
        <v>242.01</v>
      </c>
      <c r="P57" s="178">
        <v>300.89</v>
      </c>
      <c r="Q57" s="183">
        <v>256.19</v>
      </c>
      <c r="R57" s="184">
        <v>334.73</v>
      </c>
      <c r="S57" s="184">
        <v>398.62</v>
      </c>
      <c r="T57" s="162"/>
      <c r="U57" s="162"/>
      <c r="V57" s="192"/>
      <c r="W57" s="77"/>
      <c r="X57" s="77"/>
      <c r="Y57" s="86"/>
    </row>
    <row r="58" spans="1:25" s="71" customFormat="1" ht="12.75" x14ac:dyDescent="0.2">
      <c r="A58" s="76"/>
      <c r="B58" s="170"/>
      <c r="C58" s="171" t="str">
        <f t="shared" si="7"/>
        <v xml:space="preserve"> </v>
      </c>
      <c r="D58" s="157">
        <v>6.4</v>
      </c>
      <c r="E58" s="190">
        <f t="shared" si="0"/>
        <v>173.55</v>
      </c>
      <c r="F58" s="175">
        <f t="shared" si="1"/>
        <v>212.06</v>
      </c>
      <c r="G58" s="173">
        <f t="shared" si="2"/>
        <v>250.57</v>
      </c>
      <c r="H58" s="174">
        <f t="shared" si="3"/>
        <v>311.39</v>
      </c>
      <c r="I58" s="173">
        <f t="shared" si="4"/>
        <v>265.07</v>
      </c>
      <c r="J58" s="175">
        <f t="shared" si="5"/>
        <v>346.22</v>
      </c>
      <c r="K58" s="175">
        <f t="shared" si="6"/>
        <v>413.54</v>
      </c>
      <c r="L58" s="162"/>
      <c r="M58" s="191">
        <v>173.55</v>
      </c>
      <c r="N58" s="179">
        <v>212.06</v>
      </c>
      <c r="O58" s="183">
        <v>250.57</v>
      </c>
      <c r="P58" s="178">
        <v>311.39</v>
      </c>
      <c r="Q58" s="183">
        <v>265.07</v>
      </c>
      <c r="R58" s="184">
        <v>346.22</v>
      </c>
      <c r="S58" s="184">
        <v>413.54</v>
      </c>
      <c r="T58" s="162"/>
      <c r="U58" s="162"/>
      <c r="V58" s="86"/>
      <c r="W58" s="80"/>
      <c r="X58" s="80"/>
    </row>
    <row r="59" spans="1:25" s="71" customFormat="1" ht="12.75" x14ac:dyDescent="0.2">
      <c r="A59" s="76"/>
      <c r="B59" s="170"/>
      <c r="C59" s="171" t="str">
        <f t="shared" si="7"/>
        <v xml:space="preserve"> </v>
      </c>
      <c r="D59" s="157">
        <v>6.8</v>
      </c>
      <c r="E59" s="190">
        <f t="shared" si="0"/>
        <v>179.68</v>
      </c>
      <c r="F59" s="175">
        <f t="shared" si="1"/>
        <v>219.4</v>
      </c>
      <c r="G59" s="173">
        <f t="shared" si="2"/>
        <v>259.13</v>
      </c>
      <c r="H59" s="174">
        <f t="shared" si="3"/>
        <v>321.89</v>
      </c>
      <c r="I59" s="173">
        <f t="shared" si="4"/>
        <v>273.95</v>
      </c>
      <c r="J59" s="175">
        <f t="shared" si="5"/>
        <v>357.71</v>
      </c>
      <c r="K59" s="175">
        <f t="shared" si="6"/>
        <v>428.46</v>
      </c>
      <c r="L59" s="182"/>
      <c r="M59" s="191">
        <v>179.68</v>
      </c>
      <c r="N59" s="184">
        <v>219.4</v>
      </c>
      <c r="O59" s="183">
        <v>259.13</v>
      </c>
      <c r="P59" s="178">
        <v>321.89</v>
      </c>
      <c r="Q59" s="183">
        <v>273.95</v>
      </c>
      <c r="R59" s="184">
        <v>357.71</v>
      </c>
      <c r="S59" s="184">
        <v>428.46</v>
      </c>
      <c r="T59" s="162"/>
      <c r="U59" s="162"/>
      <c r="V59" s="86"/>
    </row>
    <row r="60" spans="1:25" s="71" customFormat="1" ht="12.75" x14ac:dyDescent="0.2">
      <c r="A60" s="76"/>
      <c r="B60" s="170"/>
      <c r="C60" s="171" t="str">
        <f t="shared" si="7"/>
        <v xml:space="preserve"> </v>
      </c>
      <c r="D60" s="157">
        <v>7.2</v>
      </c>
      <c r="E60" s="190">
        <f t="shared" si="0"/>
        <v>185.81</v>
      </c>
      <c r="F60" s="175">
        <f t="shared" si="1"/>
        <v>226.74</v>
      </c>
      <c r="G60" s="173">
        <f t="shared" si="2"/>
        <v>267.68</v>
      </c>
      <c r="H60" s="174">
        <f t="shared" si="3"/>
        <v>332.29</v>
      </c>
      <c r="I60" s="173">
        <f t="shared" si="4"/>
        <v>282.83</v>
      </c>
      <c r="J60" s="175">
        <f t="shared" si="5"/>
        <v>369.21</v>
      </c>
      <c r="K60" s="175">
        <f t="shared" si="6"/>
        <v>443.38</v>
      </c>
      <c r="L60" s="162"/>
      <c r="M60" s="191">
        <v>185.81</v>
      </c>
      <c r="N60" s="184">
        <v>226.74</v>
      </c>
      <c r="O60" s="183">
        <v>267.68</v>
      </c>
      <c r="P60" s="178">
        <v>332.29</v>
      </c>
      <c r="Q60" s="183">
        <v>282.83</v>
      </c>
      <c r="R60" s="184">
        <v>369.21</v>
      </c>
      <c r="S60" s="184">
        <v>443.38</v>
      </c>
      <c r="T60" s="162"/>
      <c r="U60" s="162"/>
      <c r="V60" s="86"/>
    </row>
    <row r="61" spans="1:25" s="71" customFormat="1" ht="12.75" x14ac:dyDescent="0.2">
      <c r="A61" s="76"/>
      <c r="B61" s="170"/>
      <c r="C61" s="171" t="str">
        <f t="shared" si="7"/>
        <v xml:space="preserve"> </v>
      </c>
      <c r="D61" s="157">
        <v>7.6</v>
      </c>
      <c r="E61" s="190">
        <f t="shared" si="0"/>
        <v>191.94</v>
      </c>
      <c r="F61" s="175">
        <f t="shared" si="1"/>
        <v>234.09</v>
      </c>
      <c r="G61" s="173">
        <f t="shared" si="2"/>
        <v>276.24</v>
      </c>
      <c r="H61" s="174">
        <f t="shared" si="3"/>
        <v>342.89</v>
      </c>
      <c r="I61" s="173">
        <f t="shared" si="4"/>
        <v>291.70999999999998</v>
      </c>
      <c r="J61" s="175">
        <f t="shared" si="5"/>
        <v>380.7</v>
      </c>
      <c r="K61" s="175">
        <f t="shared" si="6"/>
        <v>458.3</v>
      </c>
      <c r="L61" s="182"/>
      <c r="M61" s="191">
        <v>191.94</v>
      </c>
      <c r="N61" s="179">
        <v>234.09</v>
      </c>
      <c r="O61" s="183">
        <v>276.24</v>
      </c>
      <c r="P61" s="178">
        <v>342.89</v>
      </c>
      <c r="Q61" s="183">
        <v>291.70999999999998</v>
      </c>
      <c r="R61" s="184">
        <v>380.7</v>
      </c>
      <c r="S61" s="184">
        <v>458.3</v>
      </c>
      <c r="T61" s="162"/>
      <c r="U61" s="162"/>
      <c r="V61" s="86"/>
    </row>
    <row r="62" spans="1:25" s="71" customFormat="1" ht="12.75" x14ac:dyDescent="0.2">
      <c r="A62" s="76"/>
      <c r="B62" s="170"/>
      <c r="C62" s="171" t="str">
        <f t="shared" si="7"/>
        <v xml:space="preserve"> </v>
      </c>
      <c r="D62" s="157">
        <v>8</v>
      </c>
      <c r="E62" s="190">
        <f t="shared" si="0"/>
        <v>198.06</v>
      </c>
      <c r="F62" s="175">
        <f t="shared" si="1"/>
        <v>241.43</v>
      </c>
      <c r="G62" s="173">
        <f t="shared" si="2"/>
        <v>284.8</v>
      </c>
      <c r="H62" s="174">
        <f t="shared" si="3"/>
        <v>353.39</v>
      </c>
      <c r="I62" s="173">
        <f t="shared" si="4"/>
        <v>300.58999999999997</v>
      </c>
      <c r="J62" s="175">
        <f t="shared" si="5"/>
        <v>392.19</v>
      </c>
      <c r="K62" s="175">
        <f t="shared" si="6"/>
        <v>473.22</v>
      </c>
      <c r="L62" s="162"/>
      <c r="M62" s="191">
        <v>198.06</v>
      </c>
      <c r="N62" s="184">
        <v>241.43</v>
      </c>
      <c r="O62" s="183">
        <v>284.8</v>
      </c>
      <c r="P62" s="178">
        <v>353.39</v>
      </c>
      <c r="Q62" s="183">
        <v>300.58999999999997</v>
      </c>
      <c r="R62" s="184">
        <v>392.19</v>
      </c>
      <c r="S62" s="184">
        <v>473.22</v>
      </c>
      <c r="T62" s="162"/>
      <c r="U62" s="162"/>
      <c r="V62" s="86"/>
    </row>
    <row r="63" spans="1:25" s="71" customFormat="1" ht="12.75" x14ac:dyDescent="0.2">
      <c r="A63" s="76"/>
      <c r="B63" s="170"/>
      <c r="C63" s="171" t="str">
        <f t="shared" si="7"/>
        <v xml:space="preserve"> </v>
      </c>
      <c r="D63" s="157">
        <v>8.4</v>
      </c>
      <c r="E63" s="190">
        <f t="shared" si="0"/>
        <v>204.19</v>
      </c>
      <c r="F63" s="175">
        <f t="shared" si="1"/>
        <v>248.77</v>
      </c>
      <c r="G63" s="173">
        <f t="shared" si="2"/>
        <v>293.35000000000002</v>
      </c>
      <c r="H63" s="174">
        <f t="shared" si="3"/>
        <v>363.89</v>
      </c>
      <c r="I63" s="173">
        <f t="shared" si="4"/>
        <v>309.47000000000003</v>
      </c>
      <c r="J63" s="175">
        <f t="shared" si="5"/>
        <v>403.69</v>
      </c>
      <c r="K63" s="175">
        <f t="shared" si="6"/>
        <v>488.14</v>
      </c>
      <c r="L63" s="182"/>
      <c r="M63" s="191">
        <v>204.19</v>
      </c>
      <c r="N63" s="184">
        <v>248.77</v>
      </c>
      <c r="O63" s="183">
        <v>293.35000000000002</v>
      </c>
      <c r="P63" s="178">
        <v>363.89</v>
      </c>
      <c r="Q63" s="183">
        <v>309.47000000000003</v>
      </c>
      <c r="R63" s="184">
        <v>403.69</v>
      </c>
      <c r="S63" s="184">
        <v>488.14</v>
      </c>
      <c r="T63" s="162"/>
      <c r="U63" s="162"/>
      <c r="V63" s="86"/>
    </row>
    <row r="64" spans="1:25" s="71" customFormat="1" ht="12.75" x14ac:dyDescent="0.2">
      <c r="A64" s="76"/>
      <c r="B64" s="170"/>
      <c r="C64" s="171" t="str">
        <f t="shared" si="7"/>
        <v xml:space="preserve"> </v>
      </c>
      <c r="D64" s="157">
        <v>8.8000000000000007</v>
      </c>
      <c r="E64" s="190">
        <f t="shared" si="0"/>
        <v>210.32</v>
      </c>
      <c r="F64" s="175">
        <f t="shared" si="1"/>
        <v>256.12</v>
      </c>
      <c r="G64" s="173">
        <f t="shared" si="2"/>
        <v>301.91000000000003</v>
      </c>
      <c r="H64" s="174">
        <f t="shared" si="3"/>
        <v>374.39</v>
      </c>
      <c r="I64" s="173">
        <f t="shared" si="4"/>
        <v>318.35000000000002</v>
      </c>
      <c r="J64" s="175">
        <f t="shared" si="5"/>
        <v>415.18</v>
      </c>
      <c r="K64" s="175">
        <f t="shared" si="6"/>
        <v>503.06</v>
      </c>
      <c r="L64" s="162"/>
      <c r="M64" s="191">
        <v>210.32</v>
      </c>
      <c r="N64" s="179">
        <v>256.12</v>
      </c>
      <c r="O64" s="183">
        <v>301.91000000000003</v>
      </c>
      <c r="P64" s="178">
        <v>374.39</v>
      </c>
      <c r="Q64" s="183">
        <v>318.35000000000002</v>
      </c>
      <c r="R64" s="184">
        <v>415.18</v>
      </c>
      <c r="S64" s="184">
        <v>503.06</v>
      </c>
      <c r="T64" s="162"/>
      <c r="U64" s="162"/>
      <c r="V64" s="86"/>
    </row>
    <row r="65" spans="1:24" s="71" customFormat="1" ht="12.75" x14ac:dyDescent="0.2">
      <c r="A65" s="76"/>
      <c r="B65" s="170"/>
      <c r="C65" s="171" t="str">
        <f t="shared" si="7"/>
        <v xml:space="preserve"> </v>
      </c>
      <c r="D65" s="157">
        <v>9.1999999999999993</v>
      </c>
      <c r="E65" s="190">
        <f t="shared" si="0"/>
        <v>216.45</v>
      </c>
      <c r="F65" s="175">
        <f t="shared" si="1"/>
        <v>263.45999999999998</v>
      </c>
      <c r="G65" s="173">
        <f t="shared" si="2"/>
        <v>310.47000000000003</v>
      </c>
      <c r="H65" s="174">
        <f t="shared" si="3"/>
        <v>384.89</v>
      </c>
      <c r="I65" s="173">
        <f t="shared" si="4"/>
        <v>327.23</v>
      </c>
      <c r="J65" s="175">
        <f t="shared" si="5"/>
        <v>426.67</v>
      </c>
      <c r="K65" s="175">
        <f t="shared" si="6"/>
        <v>517.98</v>
      </c>
      <c r="L65" s="182"/>
      <c r="M65" s="191">
        <v>216.45</v>
      </c>
      <c r="N65" s="184">
        <v>263.45999999999998</v>
      </c>
      <c r="O65" s="183">
        <v>310.47000000000003</v>
      </c>
      <c r="P65" s="178">
        <v>384.89</v>
      </c>
      <c r="Q65" s="183">
        <v>327.23</v>
      </c>
      <c r="R65" s="184">
        <v>426.67</v>
      </c>
      <c r="S65" s="184">
        <v>517.98</v>
      </c>
      <c r="T65" s="162"/>
      <c r="U65" s="162"/>
      <c r="V65" s="86"/>
    </row>
    <row r="66" spans="1:24" s="71" customFormat="1" ht="12.75" x14ac:dyDescent="0.2">
      <c r="A66" s="76"/>
      <c r="B66" s="170"/>
      <c r="C66" s="171" t="str">
        <f t="shared" si="7"/>
        <v xml:space="preserve"> </v>
      </c>
      <c r="D66" s="157">
        <v>9.6</v>
      </c>
      <c r="E66" s="190">
        <f t="shared" si="0"/>
        <v>222.58</v>
      </c>
      <c r="F66" s="175">
        <f t="shared" si="1"/>
        <v>270.8</v>
      </c>
      <c r="G66" s="173">
        <f t="shared" si="2"/>
        <v>319.02</v>
      </c>
      <c r="H66" s="174">
        <f t="shared" si="3"/>
        <v>395.39</v>
      </c>
      <c r="I66" s="173">
        <f t="shared" si="4"/>
        <v>336.11</v>
      </c>
      <c r="J66" s="175">
        <f t="shared" si="5"/>
        <v>438.16</v>
      </c>
      <c r="K66" s="175">
        <f t="shared" si="6"/>
        <v>532.9</v>
      </c>
      <c r="L66" s="162"/>
      <c r="M66" s="191">
        <v>222.58</v>
      </c>
      <c r="N66" s="184">
        <v>270.8</v>
      </c>
      <c r="O66" s="183">
        <v>319.02</v>
      </c>
      <c r="P66" s="178">
        <v>395.39</v>
      </c>
      <c r="Q66" s="183">
        <v>336.11</v>
      </c>
      <c r="R66" s="184">
        <v>438.16</v>
      </c>
      <c r="S66" s="184">
        <v>532.9</v>
      </c>
      <c r="T66" s="162"/>
      <c r="U66" s="162"/>
      <c r="V66" s="86"/>
    </row>
    <row r="67" spans="1:24" s="71" customFormat="1" ht="12.75" x14ac:dyDescent="0.2">
      <c r="A67" s="76"/>
      <c r="B67" s="170"/>
      <c r="C67" s="171" t="str">
        <f t="shared" si="7"/>
        <v xml:space="preserve"> </v>
      </c>
      <c r="D67" s="157">
        <v>10</v>
      </c>
      <c r="E67" s="190">
        <f t="shared" si="0"/>
        <v>228.71</v>
      </c>
      <c r="F67" s="175">
        <f t="shared" si="1"/>
        <v>278.14999999999998</v>
      </c>
      <c r="G67" s="173">
        <f t="shared" si="2"/>
        <v>327.58</v>
      </c>
      <c r="H67" s="174">
        <f t="shared" si="3"/>
        <v>405.89</v>
      </c>
      <c r="I67" s="173">
        <f t="shared" si="4"/>
        <v>344.96899999999999</v>
      </c>
      <c r="J67" s="175">
        <f t="shared" si="5"/>
        <v>449.66</v>
      </c>
      <c r="K67" s="175">
        <f t="shared" si="6"/>
        <v>547.82000000000005</v>
      </c>
      <c r="L67" s="182"/>
      <c r="M67" s="191">
        <v>228.71</v>
      </c>
      <c r="N67" s="179">
        <v>278.14999999999998</v>
      </c>
      <c r="O67" s="183">
        <v>327.58</v>
      </c>
      <c r="P67" s="178">
        <v>405.89</v>
      </c>
      <c r="Q67" s="183">
        <v>344.96899999999999</v>
      </c>
      <c r="R67" s="184">
        <v>449.66</v>
      </c>
      <c r="S67" s="184">
        <v>547.82000000000005</v>
      </c>
      <c r="T67" s="162"/>
      <c r="U67" s="162"/>
      <c r="V67" s="86"/>
    </row>
    <row r="68" spans="1:24" s="71" customFormat="1" ht="12.75" x14ac:dyDescent="0.2">
      <c r="A68" s="76"/>
      <c r="B68" s="170"/>
      <c r="C68" s="171" t="str">
        <f t="shared" si="7"/>
        <v xml:space="preserve"> </v>
      </c>
      <c r="D68" s="157">
        <v>10.4</v>
      </c>
      <c r="E68" s="190">
        <f t="shared" si="0"/>
        <v>234.84</v>
      </c>
      <c r="F68" s="175">
        <f t="shared" si="1"/>
        <v>285.49</v>
      </c>
      <c r="G68" s="173">
        <f t="shared" si="2"/>
        <v>336.14</v>
      </c>
      <c r="H68" s="174">
        <f t="shared" si="3"/>
        <v>416.4</v>
      </c>
      <c r="I68" s="173">
        <f t="shared" si="4"/>
        <v>353.87</v>
      </c>
      <c r="J68" s="175">
        <f t="shared" si="5"/>
        <v>461.15</v>
      </c>
      <c r="K68" s="175">
        <f t="shared" si="6"/>
        <v>562.74</v>
      </c>
      <c r="L68" s="162"/>
      <c r="M68" s="191">
        <v>234.84</v>
      </c>
      <c r="N68" s="184">
        <v>285.49</v>
      </c>
      <c r="O68" s="183">
        <v>336.14</v>
      </c>
      <c r="P68" s="178">
        <v>416.4</v>
      </c>
      <c r="Q68" s="183">
        <v>353.87</v>
      </c>
      <c r="R68" s="184">
        <v>461.15</v>
      </c>
      <c r="S68" s="184">
        <v>562.74</v>
      </c>
      <c r="T68" s="162"/>
      <c r="U68" s="162"/>
      <c r="V68" s="86"/>
    </row>
    <row r="69" spans="1:24" s="71" customFormat="1" ht="12.75" x14ac:dyDescent="0.2">
      <c r="A69" s="76"/>
      <c r="B69" s="170"/>
      <c r="C69" s="171"/>
      <c r="D69" s="157">
        <v>10.8</v>
      </c>
      <c r="E69" s="190">
        <f t="shared" si="0"/>
        <v>240.97</v>
      </c>
      <c r="F69" s="175">
        <f t="shared" si="1"/>
        <v>282.83</v>
      </c>
      <c r="G69" s="173">
        <f t="shared" si="2"/>
        <v>344.69</v>
      </c>
      <c r="H69" s="174">
        <f t="shared" si="3"/>
        <v>426.9</v>
      </c>
      <c r="I69" s="173">
        <f t="shared" si="4"/>
        <v>362.74</v>
      </c>
      <c r="J69" s="175">
        <f t="shared" si="5"/>
        <v>472.64</v>
      </c>
      <c r="K69" s="175">
        <f t="shared" si="6"/>
        <v>577.66</v>
      </c>
      <c r="L69" s="162"/>
      <c r="M69" s="191">
        <v>240.97</v>
      </c>
      <c r="N69" s="184">
        <v>282.83</v>
      </c>
      <c r="O69" s="183">
        <v>344.69</v>
      </c>
      <c r="P69" s="178">
        <v>426.9</v>
      </c>
      <c r="Q69" s="183">
        <v>362.74</v>
      </c>
      <c r="R69" s="184">
        <v>472.64</v>
      </c>
      <c r="S69" s="184">
        <v>577.66</v>
      </c>
      <c r="T69" s="162"/>
      <c r="U69" s="162"/>
      <c r="V69" s="86"/>
    </row>
    <row r="70" spans="1:24" s="71" customFormat="1" ht="12.75" x14ac:dyDescent="0.2">
      <c r="A70" s="76"/>
      <c r="B70" s="170"/>
      <c r="C70" s="171"/>
      <c r="D70" s="157">
        <v>11.2</v>
      </c>
      <c r="E70" s="190">
        <f t="shared" si="0"/>
        <v>247.1</v>
      </c>
      <c r="F70" s="175">
        <f t="shared" si="1"/>
        <v>300.17</v>
      </c>
      <c r="G70" s="173">
        <f t="shared" si="2"/>
        <v>353.25</v>
      </c>
      <c r="H70" s="174">
        <f t="shared" si="3"/>
        <v>437.4</v>
      </c>
      <c r="I70" s="173">
        <f t="shared" si="4"/>
        <v>371.62</v>
      </c>
      <c r="J70" s="175">
        <f t="shared" si="5"/>
        <v>484.14</v>
      </c>
      <c r="K70" s="175">
        <f t="shared" si="6"/>
        <v>592.58000000000004</v>
      </c>
      <c r="L70" s="162"/>
      <c r="M70" s="191">
        <v>247.1</v>
      </c>
      <c r="N70" s="184">
        <v>300.17</v>
      </c>
      <c r="O70" s="183">
        <v>353.25</v>
      </c>
      <c r="P70" s="178">
        <v>437.4</v>
      </c>
      <c r="Q70" s="183">
        <v>371.62</v>
      </c>
      <c r="R70" s="184">
        <v>484.14</v>
      </c>
      <c r="S70" s="184">
        <v>592.58000000000004</v>
      </c>
      <c r="T70" s="162"/>
      <c r="U70" s="162"/>
      <c r="V70" s="86"/>
    </row>
    <row r="71" spans="1:24" s="71" customFormat="1" ht="12.75" x14ac:dyDescent="0.2">
      <c r="A71" s="76"/>
      <c r="B71" s="170"/>
      <c r="C71" s="171"/>
      <c r="D71" s="157">
        <v>11.6</v>
      </c>
      <c r="E71" s="190">
        <f t="shared" si="0"/>
        <v>253.23</v>
      </c>
      <c r="F71" s="175">
        <f t="shared" si="1"/>
        <v>307.52</v>
      </c>
      <c r="G71" s="173">
        <f t="shared" si="2"/>
        <v>361.8</v>
      </c>
      <c r="H71" s="174">
        <f t="shared" si="3"/>
        <v>447.9</v>
      </c>
      <c r="I71" s="173">
        <f t="shared" si="4"/>
        <v>380.5</v>
      </c>
      <c r="J71" s="175">
        <f t="shared" si="5"/>
        <v>495.63</v>
      </c>
      <c r="K71" s="175">
        <f t="shared" si="6"/>
        <v>607.5</v>
      </c>
      <c r="L71" s="162"/>
      <c r="M71" s="191">
        <v>253.23</v>
      </c>
      <c r="N71" s="184">
        <v>307.52</v>
      </c>
      <c r="O71" s="183">
        <v>361.8</v>
      </c>
      <c r="P71" s="178">
        <v>447.9</v>
      </c>
      <c r="Q71" s="183">
        <v>380.5</v>
      </c>
      <c r="R71" s="184">
        <v>495.63</v>
      </c>
      <c r="S71" s="184">
        <v>607.5</v>
      </c>
      <c r="T71" s="162"/>
      <c r="U71" s="162"/>
      <c r="V71" s="86"/>
    </row>
    <row r="72" spans="1:24" s="71" customFormat="1" ht="12.75" x14ac:dyDescent="0.2">
      <c r="A72" s="76"/>
      <c r="B72" s="170"/>
      <c r="C72" s="171"/>
      <c r="D72" s="157">
        <v>12</v>
      </c>
      <c r="E72" s="190">
        <f t="shared" si="0"/>
        <v>259.36</v>
      </c>
      <c r="F72" s="175">
        <f t="shared" si="1"/>
        <v>314.86</v>
      </c>
      <c r="G72" s="173">
        <f t="shared" si="2"/>
        <v>370.36</v>
      </c>
      <c r="H72" s="174">
        <f t="shared" si="3"/>
        <v>458.4</v>
      </c>
      <c r="I72" s="173">
        <f t="shared" si="4"/>
        <v>389.38</v>
      </c>
      <c r="J72" s="175">
        <f t="shared" si="5"/>
        <v>507.12</v>
      </c>
      <c r="K72" s="175">
        <f t="shared" si="6"/>
        <v>622.41999999999996</v>
      </c>
      <c r="L72" s="162"/>
      <c r="M72" s="191">
        <v>259.36</v>
      </c>
      <c r="N72" s="184">
        <v>314.86</v>
      </c>
      <c r="O72" s="183">
        <v>370.36</v>
      </c>
      <c r="P72" s="178">
        <v>458.4</v>
      </c>
      <c r="Q72" s="183">
        <v>389.38</v>
      </c>
      <c r="R72" s="184">
        <v>507.12</v>
      </c>
      <c r="S72" s="184">
        <v>622.41999999999996</v>
      </c>
      <c r="T72" s="162"/>
      <c r="U72" s="162"/>
      <c r="V72" s="86"/>
    </row>
    <row r="73" spans="1:24" s="71" customFormat="1" ht="12.75" x14ac:dyDescent="0.2">
      <c r="A73" s="76"/>
      <c r="B73" s="170"/>
      <c r="C73" s="171" t="str">
        <f>IF(AND($B$6&gt;0,$B$6&gt;D68,$B$6&lt;=D73),"D"," ")</f>
        <v xml:space="preserve"> </v>
      </c>
      <c r="D73" s="157">
        <v>12.4</v>
      </c>
      <c r="E73" s="190">
        <f t="shared" si="0"/>
        <v>265.49</v>
      </c>
      <c r="F73" s="175">
        <f t="shared" si="1"/>
        <v>322.2</v>
      </c>
      <c r="G73" s="173">
        <f t="shared" si="2"/>
        <v>378.92</v>
      </c>
      <c r="H73" s="174">
        <f t="shared" si="3"/>
        <v>468.9</v>
      </c>
      <c r="I73" s="173">
        <f t="shared" si="4"/>
        <v>398.26</v>
      </c>
      <c r="J73" s="175">
        <f t="shared" si="5"/>
        <v>518.61</v>
      </c>
      <c r="K73" s="175">
        <f t="shared" si="6"/>
        <v>637.34</v>
      </c>
      <c r="L73" s="182"/>
      <c r="M73" s="191">
        <v>265.49</v>
      </c>
      <c r="N73" s="184">
        <v>322.2</v>
      </c>
      <c r="O73" s="183">
        <v>378.92</v>
      </c>
      <c r="P73" s="178">
        <v>468.9</v>
      </c>
      <c r="Q73" s="183">
        <v>398.26</v>
      </c>
      <c r="R73" s="184">
        <v>518.61</v>
      </c>
      <c r="S73" s="184">
        <v>637.34</v>
      </c>
      <c r="T73" s="162"/>
      <c r="U73" s="162"/>
      <c r="V73" s="86"/>
    </row>
    <row r="74" spans="1:24" s="71" customFormat="1" ht="12.75" x14ac:dyDescent="0.2">
      <c r="A74" s="76"/>
      <c r="B74" s="170"/>
      <c r="C74" s="171"/>
      <c r="D74" s="157">
        <v>12.8</v>
      </c>
      <c r="E74" s="190">
        <f t="shared" si="0"/>
        <v>271.62</v>
      </c>
      <c r="F74" s="175">
        <f t="shared" si="1"/>
        <v>329.55</v>
      </c>
      <c r="G74" s="173">
        <f t="shared" si="2"/>
        <v>387.47</v>
      </c>
      <c r="H74" s="174">
        <f t="shared" si="3"/>
        <v>479.4</v>
      </c>
      <c r="I74" s="173">
        <f t="shared" si="4"/>
        <v>407.14</v>
      </c>
      <c r="J74" s="175">
        <f t="shared" si="5"/>
        <v>530.11</v>
      </c>
      <c r="K74" s="175">
        <f t="shared" si="6"/>
        <v>652.26</v>
      </c>
      <c r="L74" s="182"/>
      <c r="M74" s="191">
        <v>271.62</v>
      </c>
      <c r="N74" s="184">
        <v>329.55</v>
      </c>
      <c r="O74" s="183">
        <v>387.47</v>
      </c>
      <c r="P74" s="178">
        <v>479.4</v>
      </c>
      <c r="Q74" s="183">
        <v>407.14</v>
      </c>
      <c r="R74" s="184">
        <v>530.11</v>
      </c>
      <c r="S74" s="184">
        <v>652.26</v>
      </c>
      <c r="T74" s="162"/>
      <c r="U74" s="162"/>
      <c r="V74" s="86"/>
    </row>
    <row r="75" spans="1:24" s="71" customFormat="1" ht="12.75" x14ac:dyDescent="0.2">
      <c r="A75" s="76"/>
      <c r="B75" s="193" t="s">
        <v>147</v>
      </c>
      <c r="C75" s="171" t="str">
        <f>IF(AND($B$6&gt;0,$B$6&gt;D73,$B$6&lt;=D75),"D"," ")</f>
        <v xml:space="preserve"> </v>
      </c>
      <c r="D75" s="157">
        <v>13.2</v>
      </c>
      <c r="E75" s="190">
        <f t="shared" si="0"/>
        <v>277.75</v>
      </c>
      <c r="F75" s="175">
        <f t="shared" si="1"/>
        <v>336.89</v>
      </c>
      <c r="G75" s="173">
        <f t="shared" si="2"/>
        <v>396.03</v>
      </c>
      <c r="H75" s="174">
        <f t="shared" si="3"/>
        <v>489.9</v>
      </c>
      <c r="I75" s="173">
        <f t="shared" si="4"/>
        <v>416.2</v>
      </c>
      <c r="J75" s="175">
        <f t="shared" si="5"/>
        <v>541.6</v>
      </c>
      <c r="K75" s="175">
        <f t="shared" si="6"/>
        <v>667.18</v>
      </c>
      <c r="L75" s="162"/>
      <c r="M75" s="191">
        <v>277.75</v>
      </c>
      <c r="N75" s="179">
        <v>336.89</v>
      </c>
      <c r="O75" s="183">
        <v>396.03</v>
      </c>
      <c r="P75" s="178">
        <v>489.9</v>
      </c>
      <c r="Q75" s="183">
        <v>416.2</v>
      </c>
      <c r="R75" s="184">
        <v>541.6</v>
      </c>
      <c r="S75" s="184">
        <v>667.18</v>
      </c>
      <c r="T75" s="162"/>
      <c r="U75" s="162"/>
      <c r="V75" s="86"/>
    </row>
    <row r="76" spans="1:24" s="71" customFormat="1" ht="12.75" x14ac:dyDescent="0.2">
      <c r="A76" s="76"/>
      <c r="B76" s="194"/>
      <c r="C76" s="194" t="str">
        <f>IF(AND($B$6&gt;0,$B$6&gt;D75,$B$6&lt;=D76),"D"," ")</f>
        <v xml:space="preserve"> </v>
      </c>
      <c r="D76" s="195"/>
      <c r="E76" s="196"/>
      <c r="F76" s="197"/>
      <c r="G76" s="198"/>
      <c r="H76" s="199"/>
      <c r="I76" s="198"/>
      <c r="J76" s="198"/>
      <c r="K76" s="197"/>
      <c r="L76" s="182"/>
      <c r="M76" s="196"/>
      <c r="N76" s="197"/>
      <c r="O76" s="198"/>
      <c r="P76" s="200"/>
      <c r="Q76" s="198"/>
      <c r="R76" s="197"/>
      <c r="S76" s="197"/>
      <c r="T76" s="162"/>
      <c r="U76" s="162"/>
      <c r="V76" s="86"/>
    </row>
    <row r="77" spans="1:24" s="71" customFormat="1" ht="12.75" x14ac:dyDescent="0.2">
      <c r="A77" s="76"/>
      <c r="B77" s="95"/>
      <c r="C77" s="201"/>
      <c r="D77" s="110" t="s">
        <v>147</v>
      </c>
      <c r="E77" s="895">
        <f t="shared" ref="E77:K77" si="9">VLOOKUP("V",$B$35:$U$76,E14,FALSE)</f>
        <v>277.75</v>
      </c>
      <c r="F77" s="896">
        <f t="shared" si="9"/>
        <v>336.89</v>
      </c>
      <c r="G77" s="895">
        <f t="shared" si="9"/>
        <v>396.03</v>
      </c>
      <c r="H77" s="897">
        <f t="shared" si="9"/>
        <v>489.9</v>
      </c>
      <c r="I77" s="898">
        <f t="shared" si="9"/>
        <v>416.2</v>
      </c>
      <c r="J77" s="895">
        <f t="shared" si="9"/>
        <v>541.6</v>
      </c>
      <c r="K77" s="895">
        <f t="shared" si="9"/>
        <v>667.18</v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86"/>
    </row>
    <row r="78" spans="1:24" s="71" customFormat="1" ht="12.75" x14ac:dyDescent="0.2">
      <c r="A78" s="76"/>
      <c r="B78" s="72"/>
      <c r="C78" s="203"/>
      <c r="D78" s="204" t="s">
        <v>148</v>
      </c>
      <c r="E78" s="895">
        <f t="shared" ref="E78:K78" si="10">IF($B$6&gt;0,VLOOKUP("D",$C$35:$U$76,E14-1,FALSE)," ")</f>
        <v>40.836860000000001</v>
      </c>
      <c r="F78" s="895">
        <f t="shared" si="10"/>
        <v>55.29</v>
      </c>
      <c r="G78" s="895">
        <f t="shared" si="10"/>
        <v>63.03</v>
      </c>
      <c r="H78" s="897">
        <f t="shared" si="10"/>
        <v>73.760000000000005</v>
      </c>
      <c r="I78" s="898">
        <f t="shared" si="10"/>
        <v>67.44</v>
      </c>
      <c r="J78" s="895">
        <f t="shared" si="10"/>
        <v>85.82</v>
      </c>
      <c r="K78" s="895">
        <f t="shared" si="10"/>
        <v>105.58</v>
      </c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86"/>
    </row>
    <row r="79" spans="1:24" s="71" customFormat="1" ht="12.75" x14ac:dyDescent="0.2">
      <c r="B79" s="72"/>
      <c r="C79" s="72"/>
      <c r="D79" s="80"/>
      <c r="E79" s="80"/>
      <c r="F79" s="80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X79" s="80"/>
    </row>
    <row r="80" spans="1:24" s="71" customFormat="1" ht="12.75" x14ac:dyDescent="0.2">
      <c r="B80" s="72"/>
      <c r="C80" s="72"/>
      <c r="M80" s="79"/>
      <c r="N80" s="73"/>
      <c r="O80" s="73"/>
      <c r="P80" s="73"/>
      <c r="Q80" s="73"/>
      <c r="R80" s="73"/>
      <c r="S80" s="73"/>
      <c r="T80" s="73"/>
      <c r="U80" s="73"/>
    </row>
    <row r="81" spans="1:21" s="71" customFormat="1" ht="12.75" x14ac:dyDescent="0.2">
      <c r="A81" s="71" t="s">
        <v>124</v>
      </c>
      <c r="B81" s="73" t="s">
        <v>147</v>
      </c>
      <c r="C81" s="890">
        <f>IF(SUM(E15:U15)&gt;0,HLOOKUP(1,E15:K78,63,FALSE))</f>
        <v>396.03</v>
      </c>
      <c r="M81" s="79"/>
      <c r="N81" s="73"/>
      <c r="O81" s="73"/>
      <c r="P81" s="73"/>
      <c r="Q81" s="73"/>
      <c r="R81" s="73"/>
      <c r="S81" s="73"/>
      <c r="T81" s="73"/>
      <c r="U81" s="73"/>
    </row>
    <row r="82" spans="1:21" s="71" customFormat="1" ht="12.75" x14ac:dyDescent="0.2">
      <c r="A82" s="71" t="s">
        <v>125</v>
      </c>
      <c r="B82" s="73" t="s">
        <v>148</v>
      </c>
      <c r="C82" s="890">
        <f>IF(SUM(E15:U15)&gt;0,HLOOKUP(1,E15:K78,64,FALSE))</f>
        <v>63.03</v>
      </c>
      <c r="M82" s="79"/>
      <c r="N82" s="73"/>
      <c r="O82" s="73"/>
      <c r="P82" s="73"/>
      <c r="Q82" s="73"/>
      <c r="R82" s="73"/>
      <c r="S82" s="73"/>
      <c r="T82" s="73"/>
      <c r="U82" s="73"/>
    </row>
    <row r="83" spans="1:21" s="71" customFormat="1" ht="12.75" x14ac:dyDescent="0.2">
      <c r="B83" s="72"/>
      <c r="C83" s="72"/>
      <c r="M83" s="79"/>
      <c r="N83" s="73"/>
      <c r="O83" s="73"/>
      <c r="P83" s="73"/>
      <c r="Q83" s="73"/>
      <c r="R83" s="73"/>
      <c r="S83" s="73"/>
      <c r="T83" s="73"/>
      <c r="U83" s="7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7C97-2CE1-4D8E-BDE1-3AAF930CD343}">
  <sheetPr codeName="Blad10"/>
  <dimension ref="A1:E13"/>
  <sheetViews>
    <sheetView workbookViewId="0"/>
  </sheetViews>
  <sheetFormatPr defaultRowHeight="15" x14ac:dyDescent="0.25"/>
  <cols>
    <col min="1" max="1" customWidth="true" style="1197" width="20.85546875"/>
    <col min="2" max="2" bestFit="true" customWidth="true" style="1197" width="9.42578125"/>
    <col min="3" max="3" style="1197" width="9.140625"/>
    <col min="4" max="4" customWidth="true" style="1196" width="93.42578125"/>
    <col min="5" max="5" customWidth="true" style="1196" width="131.140625"/>
  </cols>
  <sheetData>
    <row r="1" spans="1:5" ht="15.75" thickBot="1" x14ac:dyDescent="0.3">
      <c r="A1" s="1193" t="s">
        <v>1029</v>
      </c>
      <c r="B1" s="1194" t="s">
        <v>1030</v>
      </c>
      <c r="C1" s="1194" t="s">
        <v>1031</v>
      </c>
      <c r="D1" s="1194" t="s">
        <v>1032</v>
      </c>
      <c r="E1" s="1195" t="s">
        <v>1033</v>
      </c>
    </row>
    <row r="2" spans="1:5" x14ac:dyDescent="0.25">
      <c r="A2" s="1078" t="s">
        <v>1288</v>
      </c>
      <c r="B2" s="1079">
        <v>45601</v>
      </c>
      <c r="C2" s="1078" t="s">
        <v>1289</v>
      </c>
      <c r="D2" s="1080" t="s">
        <v>1286</v>
      </c>
      <c r="E2" s="1080" t="s">
        <v>1287</v>
      </c>
    </row>
    <row r="3" spans="1:5" x14ac:dyDescent="0.25">
      <c r="A3" s="1197" t="s">
        <v>1288</v>
      </c>
      <c r="B3" s="1198">
        <v>45601</v>
      </c>
      <c r="C3" s="1197" t="s">
        <v>1289</v>
      </c>
      <c r="D3" s="1196" t="s">
        <v>1290</v>
      </c>
      <c r="E3" s="1196" t="s">
        <v>1291</v>
      </c>
    </row>
    <row r="4" spans="1:5" x14ac:dyDescent="0.25">
      <c r="A4" s="1197" t="s">
        <v>1288</v>
      </c>
      <c r="B4" s="1198">
        <v>45603</v>
      </c>
      <c r="C4" s="1197" t="s">
        <v>1289</v>
      </c>
      <c r="D4" s="1196" t="s">
        <v>1293</v>
      </c>
      <c r="E4" s="1196" t="s">
        <v>1294</v>
      </c>
    </row>
    <row r="5" spans="1:5" x14ac:dyDescent="0.25">
      <c r="A5" s="1197" t="s">
        <v>1288</v>
      </c>
      <c r="B5" s="1198">
        <v>45603</v>
      </c>
      <c r="C5" s="1197" t="s">
        <v>1289</v>
      </c>
      <c r="D5" s="1196" t="s">
        <v>1295</v>
      </c>
      <c r="E5" s="1196" t="s">
        <v>1296</v>
      </c>
    </row>
    <row r="6" spans="1:5" x14ac:dyDescent="0.25">
      <c r="A6" s="1197" t="s">
        <v>1288</v>
      </c>
      <c r="B6" s="1198">
        <v>45603</v>
      </c>
      <c r="C6" s="1197" t="s">
        <v>1289</v>
      </c>
      <c r="D6" s="1196" t="s">
        <v>1297</v>
      </c>
      <c r="E6" s="1196" t="s">
        <v>1298</v>
      </c>
    </row>
    <row r="7" spans="1:5" x14ac:dyDescent="0.25">
      <c r="A7" s="1197" t="s">
        <v>1288</v>
      </c>
      <c r="B7" s="1198">
        <v>45603</v>
      </c>
      <c r="C7" s="1197" t="s">
        <v>1289</v>
      </c>
      <c r="D7" s="1196" t="s">
        <v>1313</v>
      </c>
      <c r="E7" s="1196" t="s">
        <v>1314</v>
      </c>
    </row>
    <row r="8" spans="1:5" x14ac:dyDescent="0.25">
      <c r="A8" s="1197" t="s">
        <v>1317</v>
      </c>
      <c r="B8" s="1198">
        <v>45603</v>
      </c>
      <c r="C8" s="1197" t="s">
        <v>1289</v>
      </c>
      <c r="D8" s="1196" t="s">
        <v>1318</v>
      </c>
      <c r="E8" s="1196" t="s">
        <v>1319</v>
      </c>
    </row>
    <row r="9" spans="1:5" x14ac:dyDescent="0.25">
      <c r="A9" s="1197" t="s">
        <v>1317</v>
      </c>
      <c r="B9" s="1198">
        <v>45603</v>
      </c>
      <c r="C9" s="1197" t="s">
        <v>1289</v>
      </c>
      <c r="D9" s="1196" t="s">
        <v>1322</v>
      </c>
      <c r="E9" s="1196" t="s">
        <v>1324</v>
      </c>
    </row>
    <row r="10" spans="1:5" x14ac:dyDescent="0.25">
      <c r="A10" s="1197" t="s">
        <v>1330</v>
      </c>
      <c r="B10" s="1198">
        <v>45603</v>
      </c>
      <c r="C10" s="1197" t="s">
        <v>1289</v>
      </c>
      <c r="D10" s="1196" t="s">
        <v>1332</v>
      </c>
      <c r="E10" s="1196" t="s">
        <v>1333</v>
      </c>
    </row>
    <row r="11" spans="1:5" x14ac:dyDescent="0.25">
      <c r="A11" s="1197" t="s">
        <v>1330</v>
      </c>
      <c r="B11" s="1198">
        <v>45604</v>
      </c>
      <c r="C11" s="1197" t="s">
        <v>1289</v>
      </c>
      <c r="D11" s="1196" t="s">
        <v>1335</v>
      </c>
      <c r="E11" s="1196" t="s">
        <v>1336</v>
      </c>
    </row>
    <row r="12" spans="1:5" x14ac:dyDescent="0.25">
      <c r="A12" s="1197" t="s">
        <v>1330</v>
      </c>
      <c r="B12" s="1198">
        <v>45604</v>
      </c>
      <c r="C12" s="1197" t="s">
        <v>1289</v>
      </c>
      <c r="D12" s="1196" t="s">
        <v>1339</v>
      </c>
      <c r="E12" s="1196" t="s">
        <v>1340</v>
      </c>
    </row>
    <row r="13" spans="1:5" x14ac:dyDescent="0.25">
      <c r="A13" s="1197" t="s">
        <v>1330</v>
      </c>
      <c r="B13" s="1198">
        <v>45604</v>
      </c>
      <c r="C13" s="1197" t="s">
        <v>1289</v>
      </c>
      <c r="D13" s="1196" t="s">
        <v>1341</v>
      </c>
      <c r="E13" s="1196" t="s">
        <v>1342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DB15-9BA2-4A9F-95B5-72A571CD9BD4}">
  <dimension ref="A2:T33"/>
  <sheetViews>
    <sheetView workbookViewId="0">
      <selection activeCell="B12" sqref="B12"/>
    </sheetView>
  </sheetViews>
  <sheetFormatPr defaultRowHeight="15" x14ac:dyDescent="0.25"/>
  <cols>
    <col min="1" max="1" customWidth="true" width="50.42578125"/>
    <col min="2" max="2" customWidth="true" width="27.42578125"/>
    <col min="3" max="3" customWidth="true" width="15.0"/>
    <col min="8" max="8" customWidth="true" width="13.140625"/>
    <col min="10" max="10" customWidth="true" width="11.28515625"/>
    <col min="14" max="14" customWidth="true" width="9.85546875"/>
    <col min="15" max="15" customWidth="true" width="13.7109375"/>
  </cols>
  <sheetData>
    <row r="2" spans="1:20" x14ac:dyDescent="0.25">
      <c r="A2" t="s">
        <v>1085</v>
      </c>
      <c r="B2" s="1127">
        <f>BLO!B6</f>
        <v>10010</v>
      </c>
      <c r="I2" s="14" t="s">
        <v>971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33"/>
    </row>
    <row r="3" spans="1:20" x14ac:dyDescent="0.25">
      <c r="A3" t="s">
        <v>0</v>
      </c>
      <c r="B3" s="1128" t="str">
        <f>'Kwaliteit conversie (2)'!B4</f>
        <v>B</v>
      </c>
      <c r="I3" s="6" t="s">
        <v>1012</v>
      </c>
      <c r="T3" s="7"/>
    </row>
    <row r="4" spans="1:20" x14ac:dyDescent="0.25">
      <c r="A4" t="s">
        <v>1</v>
      </c>
      <c r="B4" s="1128" t="str">
        <f>'Kwaliteit conversie (2)'!C4</f>
        <v>Wit extra sterk</v>
      </c>
      <c r="I4" s="6" t="s">
        <v>991</v>
      </c>
      <c r="T4" s="7"/>
    </row>
    <row r="5" spans="1:20" x14ac:dyDescent="0.25">
      <c r="I5" s="6"/>
      <c r="T5" s="7"/>
    </row>
    <row r="6" spans="1:20" x14ac:dyDescent="0.25">
      <c r="A6" t="s">
        <v>2</v>
      </c>
      <c r="B6" s="22" t="str">
        <f>BLO!B2</f>
        <v>0201</v>
      </c>
      <c r="I6" s="6"/>
      <c r="T6" s="7"/>
    </row>
    <row r="7" spans="1:20" x14ac:dyDescent="0.25">
      <c r="A7" t="s">
        <v>9</v>
      </c>
      <c r="B7" s="22">
        <f>BLO!B3</f>
        <v>300</v>
      </c>
      <c r="C7" t="s">
        <v>25</v>
      </c>
      <c r="I7" s="6"/>
      <c r="T7" s="7"/>
    </row>
    <row r="8" spans="1:20" x14ac:dyDescent="0.25">
      <c r="A8" t="s">
        <v>18</v>
      </c>
      <c r="B8" s="22">
        <f>BLO!B4</f>
        <v>250</v>
      </c>
      <c r="C8" t="s">
        <v>25</v>
      </c>
      <c r="I8" s="6"/>
      <c r="T8" s="7"/>
    </row>
    <row r="9" spans="1:20" x14ac:dyDescent="0.25">
      <c r="A9" t="s">
        <v>19</v>
      </c>
      <c r="B9" s="22">
        <f>BLO!B5</f>
        <v>100</v>
      </c>
      <c r="C9" t="s">
        <v>25</v>
      </c>
      <c r="I9" s="6"/>
      <c r="T9" s="7"/>
    </row>
    <row r="10" spans="1:20" x14ac:dyDescent="0.25">
      <c r="I10" s="6"/>
      <c r="T10" s="7"/>
    </row>
    <row r="11" spans="1:20" x14ac:dyDescent="0.25">
      <c r="A11" t="s">
        <v>3</v>
      </c>
      <c r="B11" s="22" t="str">
        <f>BLO!B12</f>
        <v>onbedrukt</v>
      </c>
      <c r="I11" s="6"/>
      <c r="T11" s="7"/>
    </row>
    <row r="12" spans="1:20" x14ac:dyDescent="0.25">
      <c r="A12" t="s">
        <v>4</v>
      </c>
      <c r="B12" s="22" t="s">
        <v>84</v>
      </c>
      <c r="I12" s="6"/>
      <c r="T12" s="7"/>
    </row>
    <row r="13" spans="1:20" x14ac:dyDescent="0.25">
      <c r="A13" t="s">
        <v>5</v>
      </c>
      <c r="B13" s="22" t="str">
        <f>BLO!B8</f>
        <v>geen handgrepen / stansbewerking</v>
      </c>
      <c r="I13" s="6"/>
      <c r="T13" s="7"/>
    </row>
    <row r="14" spans="1:20" x14ac:dyDescent="0.25">
      <c r="A14" t="s">
        <v>1088</v>
      </c>
      <c r="B14" s="22" t="s">
        <v>1089</v>
      </c>
      <c r="I14" s="6"/>
      <c r="T14" s="7"/>
    </row>
    <row r="15" spans="1:20" x14ac:dyDescent="0.25">
      <c r="A15" t="s">
        <v>969</v>
      </c>
      <c r="B15" s="22"/>
      <c r="C15" t="s">
        <v>25</v>
      </c>
      <c r="I15" s="415"/>
      <c r="J15" s="918"/>
      <c r="K15" s="918"/>
      <c r="L15" s="918"/>
      <c r="M15" s="918"/>
      <c r="N15" s="918"/>
      <c r="O15" s="918"/>
      <c r="P15" s="918"/>
      <c r="Q15" s="918"/>
      <c r="R15" s="918"/>
      <c r="S15" s="918"/>
      <c r="T15" s="912"/>
    </row>
    <row r="17" spans="1:19" x14ac:dyDescent="0.25">
      <c r="A17" t="s">
        <v>6</v>
      </c>
      <c r="B17" s="840">
        <f>Mastersheet!H15</f>
        <v>1800</v>
      </c>
      <c r="C17" t="s">
        <v>26</v>
      </c>
      <c r="I17" s="1005" t="s">
        <v>1080</v>
      </c>
      <c r="J17" s="1005"/>
      <c r="K17" s="1005"/>
      <c r="L17" s="1005"/>
      <c r="M17" s="1005"/>
      <c r="N17" s="1005"/>
      <c r="O17" s="1005"/>
    </row>
    <row r="18" spans="1:19" x14ac:dyDescent="0.25">
      <c r="I18" s="1109" t="s">
        <v>639</v>
      </c>
      <c r="J18" s="1110"/>
      <c r="K18" s="1110"/>
      <c r="L18" s="1111">
        <f>'Rekenblad (2)'!E1081</f>
        <v>0.18900118899999999</v>
      </c>
      <c r="M18" s="1110"/>
      <c r="N18" s="1110"/>
      <c r="O18" s="1112"/>
    </row>
    <row r="19" spans="1:19" x14ac:dyDescent="0.25">
      <c r="I19" s="1113" t="s">
        <v>645</v>
      </c>
      <c r="J19" s="1005"/>
      <c r="K19" s="1005"/>
      <c r="L19" s="1114">
        <f>'Rekenblad (2)'!E1083</f>
        <v>8.6574074074074067E-2</v>
      </c>
      <c r="M19" s="1277">
        <f>L19+L20</f>
        <v>8.879629629629629E-2</v>
      </c>
      <c r="N19" s="1279" t="s">
        <v>1081</v>
      </c>
      <c r="O19" s="1280"/>
      <c r="P19" s="615"/>
      <c r="S19" s="958"/>
    </row>
    <row r="20" spans="1:19" x14ac:dyDescent="0.25">
      <c r="I20" s="1113" t="s">
        <v>644</v>
      </c>
      <c r="J20" s="1005"/>
      <c r="K20" s="1005"/>
      <c r="L20" s="1114">
        <f>'Rekenblad (2)'!E1082</f>
        <v>2.2222222222222222E-3</v>
      </c>
      <c r="M20" s="1278"/>
      <c r="N20" s="1281"/>
      <c r="O20" s="1282"/>
      <c r="P20" s="615"/>
      <c r="S20" s="958"/>
    </row>
    <row r="21" spans="1:19" x14ac:dyDescent="0.25">
      <c r="A21" s="213" t="s">
        <v>660</v>
      </c>
      <c r="B21" s="213"/>
      <c r="C21" s="917" t="str">
        <f>IF('Rekenblad (2)'!I445=0," ",CEILING('Rekenblad (2)'!I445,10))</f>
        <v xml:space="preserve"> </v>
      </c>
      <c r="D21" s="44" t="s">
        <v>26</v>
      </c>
      <c r="I21" s="1113" t="s">
        <v>641</v>
      </c>
      <c r="J21" s="1005"/>
      <c r="K21" s="1005"/>
      <c r="L21" s="1114">
        <f>'Rekenblad (2)'!E1084</f>
        <v>1.1111111111111112E-2</v>
      </c>
      <c r="M21" s="1005"/>
      <c r="N21" s="1005"/>
      <c r="O21" s="1115"/>
      <c r="P21" s="615"/>
      <c r="S21" s="958"/>
    </row>
    <row r="22" spans="1:19" x14ac:dyDescent="0.25">
      <c r="I22" s="1119" t="s">
        <v>642</v>
      </c>
      <c r="J22" s="1120"/>
      <c r="K22" s="1120"/>
      <c r="L22" s="1121">
        <f>'Rekenblad (2)'!E1091</f>
        <v>4.1844916666666669E-2</v>
      </c>
      <c r="M22" s="1120"/>
      <c r="N22" s="1120"/>
      <c r="O22" s="1122"/>
    </row>
    <row r="23" spans="1:19" x14ac:dyDescent="0.25">
      <c r="A23" s="213" t="s">
        <v>970</v>
      </c>
      <c r="B23" s="915">
        <f>'Rekenblad (2)'!C1094</f>
        <v>0.35767043659337033</v>
      </c>
      <c r="C23" s="916">
        <f>B17</f>
        <v>1800</v>
      </c>
      <c r="D23" s="44" t="s">
        <v>661</v>
      </c>
      <c r="I23" s="1109"/>
      <c r="J23" s="1110"/>
      <c r="K23" s="1110"/>
      <c r="L23" s="1111"/>
      <c r="M23" s="1110"/>
      <c r="N23" s="1110"/>
      <c r="O23" s="1112"/>
    </row>
    <row r="24" spans="1:19" x14ac:dyDescent="0.25">
      <c r="I24" s="1119" t="s">
        <v>985</v>
      </c>
      <c r="J24" s="1120"/>
      <c r="K24" s="1120"/>
      <c r="L24" s="1121">
        <f>'Rekenblad (2)'!E1089</f>
        <v>2.6916923519296296E-2</v>
      </c>
      <c r="M24" s="1120"/>
      <c r="N24" s="1120"/>
      <c r="O24" s="1122"/>
    </row>
    <row r="25" spans="1:19" x14ac:dyDescent="0.25">
      <c r="I25" s="1123"/>
      <c r="J25" s="1110"/>
      <c r="K25" s="1110"/>
      <c r="L25" s="1110"/>
      <c r="M25" s="1110"/>
      <c r="N25" s="1110"/>
      <c r="O25" s="1112"/>
    </row>
    <row r="26" spans="1:19" x14ac:dyDescent="0.25">
      <c r="I26" s="1119" t="s">
        <v>651</v>
      </c>
      <c r="J26" s="1120"/>
      <c r="K26" s="1120"/>
      <c r="L26" s="1121">
        <f>'Rekenblad (2)'!E1093</f>
        <v>0.35767043659337033</v>
      </c>
      <c r="M26" s="1120"/>
      <c r="N26" s="1120"/>
      <c r="O26" s="1122"/>
    </row>
    <row r="27" spans="1:19" x14ac:dyDescent="0.25">
      <c r="A27" s="1274" t="s">
        <v>965</v>
      </c>
      <c r="B27" s="1275"/>
      <c r="C27" s="1275"/>
      <c r="D27" s="1276"/>
      <c r="I27" s="1113"/>
      <c r="J27" s="1005"/>
      <c r="K27" s="1005"/>
      <c r="L27" s="1114"/>
      <c r="M27" s="1005"/>
      <c r="N27" s="1005"/>
      <c r="O27" s="1115"/>
    </row>
    <row r="28" spans="1:19" x14ac:dyDescent="0.25">
      <c r="A28" s="944" t="s">
        <v>964</v>
      </c>
      <c r="B28" s="945" t="str">
        <f>IF('Rekenblad (2)'!AV46=1,'Pallet en transport (2)'!D151&amp; " x "&amp;'Pallet en transport (2)'!E151," ")</f>
        <v>1083 x 1200</v>
      </c>
      <c r="C28" s="946" t="s">
        <v>25</v>
      </c>
      <c r="D28" s="947"/>
      <c r="I28" s="1116"/>
      <c r="J28" s="1005"/>
      <c r="K28" s="1005"/>
      <c r="L28" s="1005"/>
      <c r="M28" s="1005"/>
      <c r="N28" s="1005"/>
      <c r="O28" s="1115"/>
    </row>
    <row r="29" spans="1:19" x14ac:dyDescent="0.25">
      <c r="A29" s="41" t="s">
        <v>939</v>
      </c>
      <c r="B29" s="26">
        <f>IF('Rekenblad (2)'!AV46=1,IF('Pallet en transport (2)'!D165=0,0,'Pallet en transport (2)'!D166)," ")</f>
        <v>25</v>
      </c>
      <c r="C29" t="s">
        <v>661</v>
      </c>
      <c r="D29" s="7"/>
      <c r="I29" s="1113"/>
      <c r="J29" s="1005"/>
      <c r="K29" s="1005"/>
      <c r="L29" s="1114"/>
      <c r="M29" s="1005"/>
      <c r="N29" s="1005"/>
      <c r="O29" s="1115"/>
    </row>
    <row r="30" spans="1:19" x14ac:dyDescent="0.25">
      <c r="A30" s="41" t="s">
        <v>943</v>
      </c>
      <c r="B30" s="26">
        <f>IF('Rekenblad (2)'!AV46=1,'Pallet en transport (2)'!D170," ")</f>
        <v>6</v>
      </c>
      <c r="C30" t="s">
        <v>661</v>
      </c>
      <c r="D30" s="7"/>
      <c r="I30" s="1116" t="s">
        <v>1079</v>
      </c>
      <c r="J30" s="1005"/>
      <c r="K30" s="1005"/>
      <c r="L30" s="1005"/>
      <c r="M30" s="1005"/>
      <c r="N30" s="1005"/>
      <c r="O30" s="1115"/>
    </row>
    <row r="31" spans="1:19" x14ac:dyDescent="0.25">
      <c r="A31" s="41" t="s">
        <v>977</v>
      </c>
      <c r="B31" s="26">
        <f>IF('Rekenblad (2)'!AV46=1,'Pallet en transport (2)'!D171," ")</f>
        <v>1800</v>
      </c>
      <c r="C31" t="s">
        <v>661</v>
      </c>
      <c r="D31" s="7"/>
      <c r="I31" s="1117">
        <f>'Rekenblad (2)'!C362</f>
        <v>0</v>
      </c>
      <c r="J31" s="1117">
        <f>'Rekenblad (2)'!D362</f>
        <v>0</v>
      </c>
      <c r="K31" s="1117">
        <f>'Rekenblad (2)'!E362</f>
        <v>0</v>
      </c>
      <c r="L31" s="1117">
        <f>'Rekenblad (2)'!F362</f>
        <v>1</v>
      </c>
      <c r="M31" s="1117">
        <f>'Rekenblad (2)'!G362</f>
        <v>0</v>
      </c>
      <c r="N31" s="1117">
        <f>'Rekenblad (2)'!H362</f>
        <v>0</v>
      </c>
      <c r="O31" s="1117">
        <f>'Rekenblad (2)'!I362</f>
        <v>0</v>
      </c>
    </row>
    <row r="32" spans="1:19" x14ac:dyDescent="0.25">
      <c r="A32" s="41" t="s">
        <v>966</v>
      </c>
      <c r="B32" s="26">
        <f>IF('Rekenblad (2)'!AV46=1,'Pallet en transport (2)'!D160," ")</f>
        <v>1950</v>
      </c>
      <c r="C32" t="s">
        <v>25</v>
      </c>
      <c r="D32" s="7"/>
      <c r="I32" s="1117" t="s">
        <v>66</v>
      </c>
      <c r="J32" s="1117" t="s">
        <v>65</v>
      </c>
      <c r="K32" s="1117" t="s">
        <v>63</v>
      </c>
      <c r="L32" s="1118" t="s">
        <v>64</v>
      </c>
      <c r="M32" s="1117" t="s">
        <v>554</v>
      </c>
      <c r="N32" s="1118" t="s">
        <v>54</v>
      </c>
      <c r="O32" s="1117" t="s">
        <v>67</v>
      </c>
    </row>
    <row r="33" spans="1:4" x14ac:dyDescent="0.25">
      <c r="A33" s="52" t="s">
        <v>978</v>
      </c>
      <c r="B33" s="432">
        <f>IF('Rekenblad (2)'!AV46=1,'Pallet en transport (2)'!D174," ")</f>
        <v>1</v>
      </c>
      <c r="C33" s="918" t="s">
        <v>661</v>
      </c>
      <c r="D33" s="912"/>
    </row>
  </sheetData>
  <mergeCells count="3">
    <mergeCell ref="M19:M20"/>
    <mergeCell ref="N19:O20"/>
    <mergeCell ref="A27:D27"/>
  </mergeCells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4">
        <x14:dataValidation type="list" allowBlank="1" showInputMessage="1" showErrorMessage="1" xr:uid="{BC1A117A-3F26-41F8-A1B7-6F19D8337491}">
          <x14:formula1>
            <xm:f>'Rekenblad (2)'!$B$133:$B$136</xm:f>
          </x14:formula1>
          <xm:sqref>B13</xm:sqref>
        </x14:dataValidation>
        <x14:dataValidation type="list" allowBlank="1" showInputMessage="1" showErrorMessage="1" xr:uid="{F69FBFEA-4111-4809-853E-630E401D2246}">
          <x14:formula1>
            <xm:f>'Rekenblad (2)'!$B$121:$B$128</xm:f>
          </x14:formula1>
          <xm:sqref>B12</xm:sqref>
        </x14:dataValidation>
        <x14:dataValidation type="list" allowBlank="1" showInputMessage="1" showErrorMessage="1" xr:uid="{70612A9B-4739-42BF-884E-9EA701C399A6}">
          <x14:formula1>
            <xm:f>'Rekenblad (2)'!$B$113:$B$116</xm:f>
          </x14:formula1>
          <xm:sqref>B11</xm:sqref>
        </x14:dataValidation>
        <x14:dataValidation type="list" allowBlank="1" showInputMessage="1" showErrorMessage="1" xr:uid="{4B535670-FC75-4198-9193-76AD0953B6A4}">
          <x14:formula1>
            <xm:f>'Rekenblad (2)'!$B$86:$B$107</xm:f>
          </x14:formula1>
          <xm:sqref>B6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ACCD-5BA6-4FDB-9C7D-A40C219FA3A6}">
  <dimension ref="A2:BD1572"/>
  <sheetViews>
    <sheetView topLeftCell="A1078" workbookViewId="0">
      <selection activeCell="C1095" sqref="C1095"/>
    </sheetView>
  </sheetViews>
  <sheetFormatPr defaultRowHeight="15" x14ac:dyDescent="0.25"/>
  <cols>
    <col min="1" max="1" customWidth="true" width="17.5703125"/>
    <col min="2" max="2" customWidth="true" style="1" width="44.28515625"/>
    <col min="3" max="3" customWidth="true" width="32.85546875"/>
    <col min="4" max="4" customWidth="true" width="24.7109375"/>
    <col min="5" max="5" customWidth="true" width="19.7109375"/>
    <col min="6" max="6" customWidth="true" width="16.28515625"/>
    <col min="7" max="7" customWidth="true" width="20.5703125"/>
    <col min="8" max="8" customWidth="true" width="25.0"/>
    <col min="9" max="9" customWidth="true" width="23.140625"/>
    <col min="10" max="10" customWidth="true" width="21.7109375"/>
    <col min="11" max="11" customWidth="true" width="20.28515625"/>
    <col min="12" max="12" customWidth="true" width="25.7109375"/>
    <col min="13" max="13" customWidth="true" width="18.7109375"/>
    <col min="14" max="14" customWidth="true" width="19.85546875"/>
    <col min="15" max="15" customWidth="true" width="20.0"/>
    <col min="16" max="16" customWidth="true" width="21.85546875"/>
    <col min="17" max="17" customWidth="true" width="16.42578125"/>
    <col min="18" max="18" customWidth="true" width="22.7109375"/>
    <col min="19" max="19" customWidth="true" width="20.7109375"/>
    <col min="20" max="20" customWidth="true" width="22.7109375"/>
    <col min="21" max="21" customWidth="true" width="16.42578125"/>
    <col min="22" max="22" customWidth="true" width="16.85546875"/>
    <col min="23" max="23" customWidth="true" width="16.0"/>
    <col min="24" max="24" customWidth="true" width="12.5703125"/>
    <col min="25" max="25" bestFit="true" customWidth="true" style="2" width="9.28515625"/>
    <col min="26" max="26" bestFit="true" customWidth="true" width="9.28515625"/>
    <col min="27" max="27" customWidth="true" width="38.0"/>
    <col min="28" max="28" customWidth="true" width="15.7109375"/>
    <col min="29" max="29" customWidth="true" width="11.85546875"/>
    <col min="32" max="32" customWidth="true" width="13.28515625"/>
    <col min="39" max="39" customWidth="true" width="17.0"/>
    <col min="40" max="40" customWidth="true" width="16.85546875"/>
    <col min="43" max="43" customWidth="true" width="10.0"/>
    <col min="44" max="44" customWidth="true" width="13.5703125"/>
    <col min="46" max="46" customWidth="true" width="11.85546875"/>
    <col min="47" max="47" customWidth="true" width="11.7109375"/>
    <col min="48" max="48" customWidth="true" width="16.7109375"/>
    <col min="49" max="49" customWidth="true" width="21.42578125"/>
    <col min="50" max="50" customWidth="true" width="17.0"/>
    <col min="51" max="51" customWidth="true" width="16.85546875"/>
    <col min="52" max="52" customWidth="true" width="20.7109375"/>
  </cols>
  <sheetData>
    <row r="2" spans="2:5" x14ac:dyDescent="0.25">
      <c r="B2" s="1" t="s">
        <v>77</v>
      </c>
      <c r="C2" s="2" t="str">
        <f>'Input (2)'!B6</f>
        <v>0201</v>
      </c>
    </row>
    <row r="3" spans="2:5" x14ac:dyDescent="0.25">
      <c r="B3" s="1" t="s">
        <v>61</v>
      </c>
      <c r="C3" s="2">
        <f>'Input (2)'!B17</f>
        <v>1800</v>
      </c>
    </row>
    <row r="4" spans="2:5" x14ac:dyDescent="0.25">
      <c r="B4" s="1" t="s">
        <v>584</v>
      </c>
      <c r="C4" s="2" t="str">
        <f>'Kwaliteit conversie (2)'!B4</f>
        <v>B</v>
      </c>
    </row>
    <row r="5" spans="2:5" x14ac:dyDescent="0.25">
      <c r="C5" s="2"/>
    </row>
    <row r="6" spans="2:5" x14ac:dyDescent="0.25">
      <c r="B6" s="1" t="s">
        <v>9</v>
      </c>
      <c r="C6" s="2">
        <f>'Input (2)'!B7</f>
        <v>300</v>
      </c>
    </row>
    <row r="7" spans="2:5" x14ac:dyDescent="0.25">
      <c r="B7" s="1" t="s">
        <v>10</v>
      </c>
      <c r="C7" s="2">
        <f>'Input (2)'!B8</f>
        <v>250</v>
      </c>
    </row>
    <row r="8" spans="2:5" x14ac:dyDescent="0.25">
      <c r="B8" s="1" t="s">
        <v>11</v>
      </c>
      <c r="C8" s="2">
        <f>'Input (2)'!B9</f>
        <v>100</v>
      </c>
    </row>
    <row r="9" spans="2:5" x14ac:dyDescent="0.25">
      <c r="B9" s="1" t="s">
        <v>152</v>
      </c>
      <c r="C9" s="2">
        <f>IF(SUM(D1072:D1074)=3,1,0)</f>
        <v>1</v>
      </c>
    </row>
    <row r="10" spans="2:5" x14ac:dyDescent="0.25">
      <c r="B10" s="1" t="s">
        <v>156</v>
      </c>
      <c r="C10" s="2">
        <f>IF(AND(E1071=1,C6&gt;=C7),1,IF(E1071=0,1,0))</f>
        <v>1</v>
      </c>
      <c r="D10" s="2"/>
      <c r="E10" s="2"/>
    </row>
    <row r="11" spans="2:5" x14ac:dyDescent="0.25">
      <c r="C11" s="2"/>
      <c r="D11" s="2"/>
      <c r="E11" s="2"/>
    </row>
    <row r="12" spans="2:5" x14ac:dyDescent="0.25">
      <c r="B12" s="1" t="s">
        <v>7</v>
      </c>
      <c r="C12" s="2">
        <f>E145</f>
        <v>2</v>
      </c>
    </row>
    <row r="13" spans="2:5" x14ac:dyDescent="0.25">
      <c r="B13" s="1" t="s">
        <v>47</v>
      </c>
      <c r="C13" s="2">
        <f>F145</f>
        <v>3</v>
      </c>
    </row>
    <row r="14" spans="2:5" x14ac:dyDescent="0.25">
      <c r="B14" s="1" t="s">
        <v>80</v>
      </c>
      <c r="C14" s="2" t="str">
        <f>'Input (2)'!B11</f>
        <v>onbedrukt</v>
      </c>
    </row>
    <row r="15" spans="2:5" x14ac:dyDescent="0.25">
      <c r="B15" s="1" t="s">
        <v>83</v>
      </c>
      <c r="C15" s="59" t="str">
        <f>'Input (2)'!B12</f>
        <v>Onbedrukt / minder dan 10%</v>
      </c>
    </row>
    <row r="16" spans="2:5" x14ac:dyDescent="0.25">
      <c r="B16" s="1" t="s">
        <v>94</v>
      </c>
      <c r="C16" s="59" t="str">
        <f>'Input (2)'!B13</f>
        <v>geen handgrepen / stansbewerking</v>
      </c>
    </row>
    <row r="17" spans="1:13" x14ac:dyDescent="0.25">
      <c r="B17" s="1" t="s">
        <v>79</v>
      </c>
      <c r="C17" s="2">
        <f>IF(AND('Input (2)'!B15&gt;0,'Input (2)'!B15&lt;2100),'Input (2)'!B15,2100)</f>
        <v>2100</v>
      </c>
      <c r="D17" t="s">
        <v>25</v>
      </c>
    </row>
    <row r="18" spans="1:13" x14ac:dyDescent="0.25">
      <c r="C18" s="2"/>
    </row>
    <row r="19" spans="1:13" x14ac:dyDescent="0.25">
      <c r="B19" s="286" t="s">
        <v>205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3" x14ac:dyDescent="0.25">
      <c r="B20" s="208">
        <f>IF(AND($C$6&gt;B21,$C$6&lt;=B22),1,0)</f>
        <v>0</v>
      </c>
      <c r="C20" s="208">
        <f t="shared" ref="C20:L20" si="0">IF(AND($C$6&gt;C21,$C$6&lt;=C22),1,0)</f>
        <v>0</v>
      </c>
      <c r="D20" s="208">
        <f t="shared" si="0"/>
        <v>1</v>
      </c>
      <c r="E20" s="208">
        <f t="shared" si="0"/>
        <v>0</v>
      </c>
      <c r="F20" s="208">
        <f t="shared" si="0"/>
        <v>0</v>
      </c>
      <c r="G20" s="208">
        <f t="shared" si="0"/>
        <v>0</v>
      </c>
      <c r="H20" s="208">
        <f t="shared" si="0"/>
        <v>0</v>
      </c>
      <c r="I20" s="208">
        <f t="shared" si="0"/>
        <v>0</v>
      </c>
      <c r="J20" s="208">
        <f t="shared" si="0"/>
        <v>0</v>
      </c>
      <c r="K20" s="208">
        <f t="shared" si="0"/>
        <v>0</v>
      </c>
      <c r="L20" s="216">
        <f t="shared" si="0"/>
        <v>0</v>
      </c>
    </row>
    <row r="21" spans="1:13" x14ac:dyDescent="0.25">
      <c r="B21" s="40">
        <v>0</v>
      </c>
      <c r="C21" s="40">
        <v>200</v>
      </c>
      <c r="D21" s="40">
        <v>250</v>
      </c>
      <c r="E21" s="40">
        <v>300</v>
      </c>
      <c r="F21" s="40">
        <v>350</v>
      </c>
      <c r="G21" s="40">
        <v>400</v>
      </c>
      <c r="H21" s="40">
        <v>500</v>
      </c>
      <c r="I21" s="40">
        <v>600</v>
      </c>
      <c r="J21" s="40">
        <v>750</v>
      </c>
      <c r="K21" s="40">
        <v>1000</v>
      </c>
      <c r="L21" s="40">
        <v>1250</v>
      </c>
    </row>
    <row r="22" spans="1:13" x14ac:dyDescent="0.25">
      <c r="B22" s="34">
        <v>200</v>
      </c>
      <c r="C22" s="34">
        <v>250</v>
      </c>
      <c r="D22" s="34">
        <v>300</v>
      </c>
      <c r="E22" s="34">
        <v>350</v>
      </c>
      <c r="F22" s="34">
        <v>400</v>
      </c>
      <c r="G22" s="34">
        <v>500</v>
      </c>
      <c r="H22" s="34">
        <v>600</v>
      </c>
      <c r="I22" s="34">
        <v>750</v>
      </c>
      <c r="J22" s="34">
        <v>1000</v>
      </c>
      <c r="K22" s="34">
        <v>1250</v>
      </c>
      <c r="L22" s="34">
        <v>99999</v>
      </c>
    </row>
    <row r="23" spans="1:13" x14ac:dyDescent="0.25">
      <c r="A23" t="s">
        <v>202</v>
      </c>
      <c r="B23" s="219">
        <v>60</v>
      </c>
      <c r="C23" s="219">
        <v>65</v>
      </c>
      <c r="D23" s="219">
        <v>70</v>
      </c>
      <c r="E23" s="219">
        <v>75</v>
      </c>
      <c r="F23" s="219">
        <v>80</v>
      </c>
      <c r="G23" s="219">
        <v>85</v>
      </c>
      <c r="H23" s="219">
        <v>90</v>
      </c>
      <c r="I23" s="219">
        <v>95</v>
      </c>
      <c r="J23" s="219">
        <v>100</v>
      </c>
      <c r="K23" s="219">
        <v>105</v>
      </c>
      <c r="L23" s="219">
        <v>110</v>
      </c>
      <c r="M23" s="216">
        <f>HLOOKUP(1,B20:L24,4,FALSE)</f>
        <v>70</v>
      </c>
    </row>
    <row r="24" spans="1:13" x14ac:dyDescent="0.25">
      <c r="A24" t="s">
        <v>203</v>
      </c>
      <c r="B24" s="283" t="s">
        <v>204</v>
      </c>
      <c r="C24" s="219">
        <v>40</v>
      </c>
      <c r="D24" s="219">
        <v>40</v>
      </c>
      <c r="E24" s="219">
        <v>40</v>
      </c>
      <c r="F24" s="219">
        <v>40</v>
      </c>
      <c r="G24" s="219">
        <v>40</v>
      </c>
      <c r="H24" s="219">
        <v>40</v>
      </c>
      <c r="I24" s="219">
        <v>40</v>
      </c>
      <c r="J24" s="219">
        <v>50</v>
      </c>
      <c r="K24" s="219">
        <v>50</v>
      </c>
      <c r="L24" s="219">
        <v>60</v>
      </c>
      <c r="M24" s="13">
        <f>HLOOKUP(1,B20:L24,5,FALSE)</f>
        <v>40</v>
      </c>
    </row>
    <row r="25" spans="1:13" x14ac:dyDescent="0.25">
      <c r="C25" s="2"/>
    </row>
    <row r="26" spans="1:13" x14ac:dyDescent="0.25">
      <c r="B26" s="215" t="s">
        <v>208</v>
      </c>
      <c r="C26" s="2"/>
    </row>
    <row r="27" spans="1:13" x14ac:dyDescent="0.25">
      <c r="B27" s="291"/>
      <c r="C27" s="1283" t="s">
        <v>206</v>
      </c>
      <c r="D27" s="1284"/>
      <c r="E27" s="105" t="s">
        <v>207</v>
      </c>
    </row>
    <row r="28" spans="1:13" x14ac:dyDescent="0.25">
      <c r="B28" s="156">
        <f>IF(AND($C$6&gt;C28,$C$6&lt;=D28),1,0)</f>
        <v>1</v>
      </c>
      <c r="C28" s="27">
        <v>0</v>
      </c>
      <c r="D28" s="288">
        <v>400</v>
      </c>
      <c r="E28" s="40">
        <v>37</v>
      </c>
    </row>
    <row r="29" spans="1:13" x14ac:dyDescent="0.25">
      <c r="B29" s="120">
        <f t="shared" ref="B29:B39" si="1">IF(AND($C$6&gt;C29,$C$6&lt;=D29),1,0)</f>
        <v>0</v>
      </c>
      <c r="C29" s="22">
        <v>400</v>
      </c>
      <c r="D29" s="261">
        <v>450</v>
      </c>
      <c r="E29" s="28">
        <v>40</v>
      </c>
    </row>
    <row r="30" spans="1:13" x14ac:dyDescent="0.25">
      <c r="B30" s="120">
        <f t="shared" si="1"/>
        <v>0</v>
      </c>
      <c r="C30" s="22">
        <v>450</v>
      </c>
      <c r="D30" s="261">
        <v>500</v>
      </c>
      <c r="E30" s="28">
        <v>43</v>
      </c>
    </row>
    <row r="31" spans="1:13" x14ac:dyDescent="0.25">
      <c r="B31" s="120">
        <f t="shared" si="1"/>
        <v>0</v>
      </c>
      <c r="C31" s="22">
        <v>500</v>
      </c>
      <c r="D31" s="261">
        <v>550</v>
      </c>
      <c r="E31" s="28">
        <v>47</v>
      </c>
    </row>
    <row r="32" spans="1:13" x14ac:dyDescent="0.25">
      <c r="B32" s="120">
        <f t="shared" si="1"/>
        <v>0</v>
      </c>
      <c r="C32" s="22">
        <v>550</v>
      </c>
      <c r="D32" s="261">
        <v>600</v>
      </c>
      <c r="E32" s="28">
        <v>50</v>
      </c>
    </row>
    <row r="33" spans="1:52" x14ac:dyDescent="0.25">
      <c r="B33" s="120">
        <f t="shared" si="1"/>
        <v>0</v>
      </c>
      <c r="C33" s="22">
        <v>600</v>
      </c>
      <c r="D33" s="261">
        <v>650</v>
      </c>
      <c r="E33" s="28">
        <v>54</v>
      </c>
    </row>
    <row r="34" spans="1:52" x14ac:dyDescent="0.25">
      <c r="B34" s="120">
        <f t="shared" si="1"/>
        <v>0</v>
      </c>
      <c r="C34" s="22">
        <v>650</v>
      </c>
      <c r="D34" s="261">
        <v>700</v>
      </c>
      <c r="E34" s="28">
        <v>57</v>
      </c>
    </row>
    <row r="35" spans="1:52" x14ac:dyDescent="0.25">
      <c r="B35" s="120">
        <f t="shared" si="1"/>
        <v>0</v>
      </c>
      <c r="C35" s="22">
        <v>700</v>
      </c>
      <c r="D35" s="261">
        <v>850</v>
      </c>
      <c r="E35" s="28">
        <v>60</v>
      </c>
    </row>
    <row r="36" spans="1:52" x14ac:dyDescent="0.25">
      <c r="B36" s="120">
        <f t="shared" si="1"/>
        <v>0</v>
      </c>
      <c r="C36" s="22">
        <v>850</v>
      </c>
      <c r="D36" s="261">
        <v>1000</v>
      </c>
      <c r="E36" s="28">
        <v>70</v>
      </c>
    </row>
    <row r="37" spans="1:52" x14ac:dyDescent="0.25">
      <c r="B37" s="120">
        <f t="shared" si="1"/>
        <v>0</v>
      </c>
      <c r="C37" s="22">
        <v>1000</v>
      </c>
      <c r="D37" s="261">
        <v>1200</v>
      </c>
      <c r="E37" s="28">
        <v>80</v>
      </c>
    </row>
    <row r="38" spans="1:52" x14ac:dyDescent="0.25">
      <c r="B38" s="120">
        <f t="shared" si="1"/>
        <v>0</v>
      </c>
      <c r="C38" s="22">
        <v>1200</v>
      </c>
      <c r="D38" s="261">
        <v>2000</v>
      </c>
      <c r="E38" s="28">
        <v>95</v>
      </c>
    </row>
    <row r="39" spans="1:52" x14ac:dyDescent="0.25">
      <c r="B39" s="202">
        <f t="shared" si="1"/>
        <v>0</v>
      </c>
      <c r="C39" s="32">
        <v>2000</v>
      </c>
      <c r="D39" s="229">
        <v>9999</v>
      </c>
      <c r="E39" s="34">
        <v>110</v>
      </c>
    </row>
    <row r="40" spans="1:52" x14ac:dyDescent="0.25">
      <c r="B40" s="77"/>
      <c r="C40" s="2"/>
      <c r="D40" s="77"/>
    </row>
    <row r="41" spans="1:52" x14ac:dyDescent="0.25">
      <c r="B41" s="289" t="s">
        <v>106</v>
      </c>
      <c r="C41" s="23"/>
      <c r="D41" s="290"/>
      <c r="E41" s="216">
        <f>VLOOKUP(1,B28:E39,4,FALSE)</f>
        <v>37</v>
      </c>
    </row>
    <row r="42" spans="1:52" x14ac:dyDescent="0.25">
      <c r="C42" s="2"/>
    </row>
    <row r="43" spans="1:52" x14ac:dyDescent="0.25">
      <c r="C43" s="2"/>
    </row>
    <row r="44" spans="1:52" x14ac:dyDescent="0.25">
      <c r="A44" s="213"/>
      <c r="B44" s="57"/>
      <c r="C44" s="2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23"/>
      <c r="Z44" s="43"/>
      <c r="AA44" s="43"/>
      <c r="AB44" s="43"/>
      <c r="AC44" s="43"/>
      <c r="AD44" s="43"/>
      <c r="AE44" s="43"/>
      <c r="AF44" s="44"/>
      <c r="AG44" s="1285" t="s">
        <v>159</v>
      </c>
      <c r="AH44" s="1286"/>
      <c r="AI44" s="1286"/>
      <c r="AJ44" s="1286"/>
      <c r="AK44" s="1286"/>
      <c r="AL44" s="1286"/>
      <c r="AM44" s="1286"/>
      <c r="AN44" s="217"/>
      <c r="AO44" s="1285" t="s">
        <v>159</v>
      </c>
      <c r="AP44" s="1286"/>
      <c r="AQ44" s="472"/>
      <c r="AR44" s="472"/>
      <c r="AS44" s="472"/>
      <c r="AT44" s="472"/>
      <c r="AU44" s="950"/>
      <c r="AV44" s="404"/>
      <c r="AW44" s="404"/>
      <c r="AX44" s="404"/>
      <c r="AY44" s="944"/>
      <c r="AZ44" s="944"/>
    </row>
    <row r="45" spans="1:52" s="2" customFormat="1" x14ac:dyDescent="0.25">
      <c r="A45" s="24"/>
      <c r="B45" s="58" t="s">
        <v>78</v>
      </c>
      <c r="C45" s="23">
        <v>3</v>
      </c>
      <c r="D45" s="23">
        <v>4</v>
      </c>
      <c r="E45" s="23">
        <v>5</v>
      </c>
      <c r="F45" s="23">
        <v>6</v>
      </c>
      <c r="G45" s="23">
        <v>7</v>
      </c>
      <c r="H45" s="23">
        <v>8</v>
      </c>
      <c r="I45" s="23">
        <v>9</v>
      </c>
      <c r="J45" s="23">
        <v>10</v>
      </c>
      <c r="K45" s="23">
        <v>11</v>
      </c>
      <c r="L45" s="23">
        <v>12</v>
      </c>
      <c r="M45" s="23">
        <v>13</v>
      </c>
      <c r="N45" s="23">
        <v>14</v>
      </c>
      <c r="O45" s="23">
        <v>15</v>
      </c>
      <c r="P45" s="23">
        <v>16</v>
      </c>
      <c r="Q45" s="23">
        <v>17</v>
      </c>
      <c r="R45" s="23">
        <v>18</v>
      </c>
      <c r="S45" s="23">
        <v>19</v>
      </c>
      <c r="T45" s="4">
        <v>20</v>
      </c>
      <c r="U45" s="4">
        <v>21</v>
      </c>
      <c r="V45" s="4">
        <v>22</v>
      </c>
      <c r="W45" s="4">
        <v>23</v>
      </c>
      <c r="X45" s="4">
        <v>24</v>
      </c>
      <c r="Y45" s="23">
        <v>25</v>
      </c>
      <c r="Z45" s="23">
        <v>26</v>
      </c>
      <c r="AA45" s="23">
        <v>27</v>
      </c>
      <c r="AB45" s="23">
        <v>28</v>
      </c>
      <c r="AC45" s="23">
        <v>29</v>
      </c>
      <c r="AD45" s="23">
        <v>30</v>
      </c>
      <c r="AE45" s="23">
        <v>31</v>
      </c>
      <c r="AF45" s="23">
        <v>32</v>
      </c>
      <c r="AG45" s="4">
        <v>33</v>
      </c>
      <c r="AH45" s="4">
        <v>34</v>
      </c>
      <c r="AI45" s="23">
        <v>35</v>
      </c>
      <c r="AJ45" s="23">
        <v>36</v>
      </c>
      <c r="AK45" s="23">
        <v>37</v>
      </c>
      <c r="AL45" s="23">
        <v>38</v>
      </c>
      <c r="AM45" s="23">
        <v>39</v>
      </c>
      <c r="AN45" s="2">
        <v>40</v>
      </c>
      <c r="AO45" s="2">
        <v>41</v>
      </c>
      <c r="AP45" s="2">
        <v>42</v>
      </c>
      <c r="AQ45" s="2">
        <v>43</v>
      </c>
      <c r="AR45" s="2">
        <v>44</v>
      </c>
      <c r="AS45" s="2">
        <v>45</v>
      </c>
      <c r="AT45" s="2">
        <v>46</v>
      </c>
      <c r="AU45" s="2">
        <v>47</v>
      </c>
      <c r="AV45" s="442">
        <v>48</v>
      </c>
      <c r="AW45" s="951">
        <v>49</v>
      </c>
      <c r="AX45" s="951">
        <v>50</v>
      </c>
      <c r="AY45" s="951">
        <v>51</v>
      </c>
      <c r="AZ45" s="951">
        <v>52</v>
      </c>
    </row>
    <row r="46" spans="1:52" x14ac:dyDescent="0.25">
      <c r="A46" s="17"/>
      <c r="B46" s="42"/>
      <c r="C46" s="24">
        <f>C6</f>
        <v>300</v>
      </c>
      <c r="D46" s="23">
        <f>C7</f>
        <v>250</v>
      </c>
      <c r="E46" s="23">
        <f>C8</f>
        <v>100</v>
      </c>
      <c r="F46" s="23">
        <f>C13</f>
        <v>3</v>
      </c>
      <c r="G46" s="23"/>
      <c r="H46" s="23"/>
      <c r="I46" s="23">
        <f>C12</f>
        <v>2</v>
      </c>
      <c r="J46" s="38"/>
      <c r="K46" s="24">
        <f>C6</f>
        <v>300</v>
      </c>
      <c r="L46" s="23">
        <f>C7</f>
        <v>250</v>
      </c>
      <c r="M46" s="23">
        <f>C8</f>
        <v>100</v>
      </c>
      <c r="N46" s="23">
        <f>C13</f>
        <v>3</v>
      </c>
      <c r="O46" s="23"/>
      <c r="P46" s="23"/>
      <c r="Q46" s="23">
        <f>C12</f>
        <v>2</v>
      </c>
      <c r="R46" s="38"/>
      <c r="S46" s="24"/>
      <c r="T46" s="208">
        <f>VLOOKUP(1,50:70,T45,FALSE)</f>
        <v>1</v>
      </c>
      <c r="U46" s="23">
        <f>VLOOKUP(1,50:70,U45,FALSE)</f>
        <v>1</v>
      </c>
      <c r="V46" s="23">
        <f>VLOOKUP(1,50:70,V45,FALSE)</f>
        <v>0</v>
      </c>
      <c r="W46" s="23">
        <f>VLOOKUP(1,50:70,W45,FALSE)</f>
        <v>0</v>
      </c>
      <c r="X46" s="38">
        <f>VLOOKUP(1,50:70,X45,FALSE)</f>
        <v>0</v>
      </c>
      <c r="Y46" s="43"/>
      <c r="Z46" s="38"/>
      <c r="AA46" s="38">
        <f t="shared" ref="AA46:AU46" si="2">VLOOKUP(1,50:70,AA45,FALSE)</f>
        <v>1</v>
      </c>
      <c r="AB46" s="38">
        <f t="shared" si="2"/>
        <v>1</v>
      </c>
      <c r="AC46" s="24">
        <f t="shared" si="2"/>
        <v>0</v>
      </c>
      <c r="AD46" s="24">
        <f t="shared" si="2"/>
        <v>127</v>
      </c>
      <c r="AE46" s="19">
        <f t="shared" si="2"/>
        <v>127</v>
      </c>
      <c r="AF46" s="18">
        <f t="shared" si="2"/>
        <v>107</v>
      </c>
      <c r="AG46" s="208">
        <f t="shared" si="2"/>
        <v>100</v>
      </c>
      <c r="AH46" s="38">
        <f t="shared" si="2"/>
        <v>2000</v>
      </c>
      <c r="AI46" s="19">
        <f t="shared" si="2"/>
        <v>70</v>
      </c>
      <c r="AJ46" s="19">
        <f t="shared" si="2"/>
        <v>1000</v>
      </c>
      <c r="AK46" s="18">
        <f t="shared" si="2"/>
        <v>37</v>
      </c>
      <c r="AL46" s="20">
        <f t="shared" si="2"/>
        <v>1200</v>
      </c>
      <c r="AM46" s="208">
        <f t="shared" si="2"/>
        <v>1</v>
      </c>
      <c r="AN46" s="208">
        <f t="shared" si="2"/>
        <v>4</v>
      </c>
      <c r="AO46" s="208">
        <f t="shared" si="2"/>
        <v>0</v>
      </c>
      <c r="AP46" s="208">
        <f t="shared" si="2"/>
        <v>0</v>
      </c>
      <c r="AQ46" s="208">
        <f t="shared" si="2"/>
        <v>1</v>
      </c>
      <c r="AR46" s="208">
        <f t="shared" si="2"/>
        <v>1</v>
      </c>
      <c r="AS46" s="208">
        <f t="shared" si="2"/>
        <v>1</v>
      </c>
      <c r="AT46" s="208">
        <f t="shared" si="2"/>
        <v>0</v>
      </c>
      <c r="AU46" s="1006">
        <f t="shared" si="2"/>
        <v>0</v>
      </c>
      <c r="AV46" s="951">
        <f>VLOOKUP(1,50:70,AV45,FALSE)</f>
        <v>1</v>
      </c>
      <c r="AW46" s="951" t="str">
        <f>VLOOKUP(1,50:70,AW45,FALSE)</f>
        <v>0,2</v>
      </c>
      <c r="AX46" s="951">
        <f>VLOOKUP(1,50:70,AX45,FALSE)</f>
        <v>1</v>
      </c>
      <c r="AY46" s="1029">
        <f>VLOOKUP(1,50:70,AY45,FALSE)</f>
        <v>0.9</v>
      </c>
      <c r="AZ46" s="1098">
        <f>VLOOKUP(1,50:70,AZ45,FALSE)</f>
        <v>1</v>
      </c>
    </row>
    <row r="47" spans="1:52" x14ac:dyDescent="0.25">
      <c r="A47" s="17"/>
      <c r="B47" s="39"/>
      <c r="C47" s="16" t="s">
        <v>23</v>
      </c>
      <c r="D47" s="43"/>
      <c r="E47" s="43"/>
      <c r="F47" s="43"/>
      <c r="G47" s="43"/>
      <c r="H47" s="43"/>
      <c r="I47" s="43"/>
      <c r="J47" s="44"/>
      <c r="K47" s="16" t="s">
        <v>24</v>
      </c>
      <c r="L47" s="43"/>
      <c r="M47" s="43"/>
      <c r="N47" s="43"/>
      <c r="O47" s="43"/>
      <c r="P47" s="43"/>
      <c r="Q47" s="43"/>
      <c r="R47" s="44"/>
      <c r="S47" s="24" t="s">
        <v>48</v>
      </c>
      <c r="T47" s="6" t="s">
        <v>53</v>
      </c>
      <c r="X47" s="7"/>
      <c r="Y47" s="43"/>
      <c r="Z47" s="38"/>
      <c r="AA47" s="13" t="s">
        <v>68</v>
      </c>
      <c r="AB47" s="13" t="s">
        <v>72</v>
      </c>
      <c r="AC47" s="51" t="s">
        <v>74</v>
      </c>
      <c r="AD47" s="1290" t="s">
        <v>117</v>
      </c>
      <c r="AE47" s="1291"/>
      <c r="AF47" s="21" t="s">
        <v>116</v>
      </c>
      <c r="AG47" s="18" t="s">
        <v>9</v>
      </c>
      <c r="AH47" s="10"/>
      <c r="AI47" s="16" t="s">
        <v>18</v>
      </c>
      <c r="AJ47" s="44"/>
      <c r="AK47" s="16" t="s">
        <v>19</v>
      </c>
      <c r="AL47" s="44"/>
      <c r="AM47" s="18" t="s">
        <v>154</v>
      </c>
      <c r="AN47" s="217" t="s">
        <v>165</v>
      </c>
      <c r="AO47" s="473" t="s">
        <v>983</v>
      </c>
      <c r="AP47" s="213" t="s">
        <v>530</v>
      </c>
      <c r="AQ47" s="473" t="s">
        <v>575</v>
      </c>
      <c r="AR47" s="473" t="s">
        <v>583</v>
      </c>
      <c r="AS47" s="473" t="s">
        <v>695</v>
      </c>
      <c r="AT47" s="473" t="s">
        <v>755</v>
      </c>
      <c r="AU47" s="1006" t="s">
        <v>871</v>
      </c>
      <c r="AV47" s="959"/>
      <c r="AW47" s="959"/>
      <c r="AX47" s="13" t="s">
        <v>1011</v>
      </c>
      <c r="AY47" s="52"/>
      <c r="AZ47" s="52"/>
    </row>
    <row r="48" spans="1:52" x14ac:dyDescent="0.25">
      <c r="A48" s="51"/>
      <c r="B48" s="35" t="s">
        <v>2</v>
      </c>
      <c r="C48" s="3" t="s">
        <v>9</v>
      </c>
      <c r="D48" s="4" t="s">
        <v>18</v>
      </c>
      <c r="E48" s="4" t="s">
        <v>19</v>
      </c>
      <c r="F48" s="4" t="s">
        <v>21</v>
      </c>
      <c r="G48" s="4" t="s">
        <v>22</v>
      </c>
      <c r="H48" s="4" t="s">
        <v>55</v>
      </c>
      <c r="I48" s="4" t="s">
        <v>20</v>
      </c>
      <c r="J48" s="11" t="s">
        <v>57</v>
      </c>
      <c r="K48" s="3" t="s">
        <v>9</v>
      </c>
      <c r="L48" s="4" t="s">
        <v>18</v>
      </c>
      <c r="M48" s="4" t="s">
        <v>19</v>
      </c>
      <c r="N48" s="4" t="s">
        <v>21</v>
      </c>
      <c r="O48" s="4" t="s">
        <v>22</v>
      </c>
      <c r="P48" s="4" t="s">
        <v>55</v>
      </c>
      <c r="Q48" s="4" t="s">
        <v>20</v>
      </c>
      <c r="R48" s="11" t="s">
        <v>58</v>
      </c>
      <c r="S48" s="11"/>
      <c r="T48" s="3" t="s">
        <v>50</v>
      </c>
      <c r="U48" s="4" t="s">
        <v>51</v>
      </c>
      <c r="V48" s="4" t="s">
        <v>52</v>
      </c>
      <c r="W48" s="4" t="s">
        <v>54</v>
      </c>
      <c r="X48" s="5" t="s">
        <v>67</v>
      </c>
      <c r="Y48" s="3" t="s">
        <v>59</v>
      </c>
      <c r="Z48" s="5" t="s">
        <v>62</v>
      </c>
      <c r="AA48" s="11" t="s">
        <v>69</v>
      </c>
      <c r="AB48" s="3" t="s">
        <v>69</v>
      </c>
      <c r="AC48" s="11" t="s">
        <v>69</v>
      </c>
      <c r="AD48" s="11" t="s">
        <v>75</v>
      </c>
      <c r="AE48" s="3" t="s">
        <v>76</v>
      </c>
      <c r="AF48" s="12"/>
      <c r="AG48" s="3" t="s">
        <v>113</v>
      </c>
      <c r="AH48" s="11" t="s">
        <v>112</v>
      </c>
      <c r="AI48" s="3" t="s">
        <v>111</v>
      </c>
      <c r="AJ48" s="11" t="s">
        <v>110</v>
      </c>
      <c r="AK48" s="4" t="s">
        <v>149</v>
      </c>
      <c r="AL48" s="11" t="s">
        <v>110</v>
      </c>
      <c r="AM48" s="3" t="s">
        <v>155</v>
      </c>
      <c r="AN48" s="12" t="s">
        <v>66</v>
      </c>
      <c r="AO48" s="41"/>
      <c r="AP48" s="6"/>
      <c r="AQ48" s="12" t="s">
        <v>187</v>
      </c>
      <c r="AR48" s="12" t="s">
        <v>178</v>
      </c>
      <c r="AS48" s="12" t="s">
        <v>51</v>
      </c>
      <c r="AT48" s="12" t="s">
        <v>50</v>
      </c>
      <c r="AU48" s="26" t="s">
        <v>2</v>
      </c>
      <c r="AV48" s="404" t="s">
        <v>996</v>
      </c>
      <c r="AW48" s="12" t="s">
        <v>1003</v>
      </c>
      <c r="AX48" s="41"/>
      <c r="AY48" s="1062" t="s">
        <v>1046</v>
      </c>
      <c r="AZ48" s="41" t="s">
        <v>1060</v>
      </c>
    </row>
    <row r="49" spans="1:56" x14ac:dyDescent="0.25">
      <c r="A49" s="41"/>
      <c r="B49" s="36"/>
      <c r="C49" s="6"/>
      <c r="J49" s="41"/>
      <c r="K49" s="6"/>
      <c r="R49" s="41"/>
      <c r="S49" s="12"/>
      <c r="T49" s="6"/>
      <c r="X49" s="7"/>
      <c r="Y49" s="26"/>
      <c r="Z49" s="25"/>
      <c r="AA49" s="41"/>
      <c r="AB49" s="6"/>
      <c r="AC49" s="41"/>
      <c r="AD49" s="41"/>
      <c r="AE49" s="6"/>
      <c r="AF49" s="12"/>
      <c r="AG49" s="6"/>
      <c r="AH49" s="41"/>
      <c r="AI49" s="6"/>
      <c r="AJ49" s="41"/>
      <c r="AL49" s="41"/>
      <c r="AM49" s="6"/>
      <c r="AN49" s="41"/>
      <c r="AO49" s="41"/>
      <c r="AP49" s="6"/>
      <c r="AQ49" s="41"/>
      <c r="AR49" s="41"/>
      <c r="AS49" s="41"/>
      <c r="AT49" s="41"/>
      <c r="AU49" s="6"/>
      <c r="AV49" s="41"/>
      <c r="AW49" s="41"/>
      <c r="AX49" s="41"/>
      <c r="AY49" s="41"/>
      <c r="AZ49" s="41"/>
    </row>
    <row r="50" spans="1:56" x14ac:dyDescent="0.25">
      <c r="A50" s="12" t="str">
        <f>IF($C$2=B50,1," ")</f>
        <v xml:space="preserve"> </v>
      </c>
      <c r="B50" s="36" t="s">
        <v>12</v>
      </c>
      <c r="C50" s="29">
        <v>1</v>
      </c>
      <c r="D50" s="22"/>
      <c r="E50" s="22"/>
      <c r="F50" s="22"/>
      <c r="G50" s="22"/>
      <c r="H50" s="45"/>
      <c r="I50" s="22"/>
      <c r="J50" s="12">
        <f>(C50*$C$46)+(D50*$D$46)+(E50*$E$46)+(F50*$F$46)+(I50*$I$46)+(G50*H50)</f>
        <v>300</v>
      </c>
      <c r="K50" s="29"/>
      <c r="L50" s="22">
        <v>1</v>
      </c>
      <c r="M50" s="22"/>
      <c r="N50" s="22"/>
      <c r="O50" s="22"/>
      <c r="P50" s="45"/>
      <c r="Q50" s="22"/>
      <c r="R50" s="12">
        <f>(K50*$K$46)+(L50*$L$46)+(M50*$M$46)+(N50*$N$46)+(Q50*$Q$46)+(O50*P50)</f>
        <v>250</v>
      </c>
      <c r="S50" s="28">
        <v>1</v>
      </c>
      <c r="T50" s="29">
        <v>1</v>
      </c>
      <c r="U50" s="22">
        <v>1</v>
      </c>
      <c r="V50" s="22"/>
      <c r="W50" s="22">
        <v>1</v>
      </c>
      <c r="X50" s="30">
        <v>1</v>
      </c>
      <c r="Y50" s="47">
        <f t="shared" ref="Y50:Y70" si="3">(J50/1000)*(R50/1000)</f>
        <v>7.4999999999999997E-2</v>
      </c>
      <c r="Z50" s="49">
        <f>Y50*$C$3</f>
        <v>135</v>
      </c>
      <c r="AA50" s="28">
        <v>0</v>
      </c>
      <c r="AB50" s="29">
        <v>0</v>
      </c>
      <c r="AC50" s="28">
        <v>0</v>
      </c>
      <c r="AD50" s="28"/>
      <c r="AE50" s="29"/>
      <c r="AF50" s="12"/>
      <c r="AG50" s="29">
        <v>65</v>
      </c>
      <c r="AH50" s="28">
        <v>2000</v>
      </c>
      <c r="AI50" s="29">
        <v>65</v>
      </c>
      <c r="AJ50" s="28">
        <v>5000</v>
      </c>
      <c r="AK50" s="22">
        <v>0</v>
      </c>
      <c r="AL50" s="28">
        <v>0</v>
      </c>
      <c r="AM50" s="29">
        <v>0</v>
      </c>
      <c r="AN50" s="28">
        <v>4</v>
      </c>
      <c r="AO50" s="28">
        <v>0</v>
      </c>
      <c r="AP50" s="29">
        <v>0</v>
      </c>
      <c r="AQ50" s="28">
        <v>0</v>
      </c>
      <c r="AR50" s="28">
        <v>0</v>
      </c>
      <c r="AS50" s="28">
        <v>0</v>
      </c>
      <c r="AT50" s="28">
        <v>0</v>
      </c>
      <c r="AU50" s="810">
        <v>0</v>
      </c>
      <c r="AV50" s="28">
        <v>1</v>
      </c>
      <c r="AW50" s="1033" t="s">
        <v>1027</v>
      </c>
      <c r="AX50" s="28">
        <v>0</v>
      </c>
      <c r="AY50" s="639">
        <v>0.9</v>
      </c>
      <c r="AZ50" s="557">
        <v>0</v>
      </c>
      <c r="BD50" s="1" t="s">
        <v>12</v>
      </c>
    </row>
    <row r="51" spans="1:56" x14ac:dyDescent="0.25">
      <c r="A51" s="12" t="str">
        <f t="shared" ref="A51:A70" si="4">IF($C$2=B51,1," ")</f>
        <v xml:space="preserve"> </v>
      </c>
      <c r="B51" s="36" t="s">
        <v>13</v>
      </c>
      <c r="C51" s="29"/>
      <c r="D51" s="22">
        <v>0.5</v>
      </c>
      <c r="E51" s="22">
        <v>1</v>
      </c>
      <c r="F51" s="22">
        <v>1</v>
      </c>
      <c r="G51" s="22"/>
      <c r="H51" s="45"/>
      <c r="I51" s="22">
        <v>2</v>
      </c>
      <c r="J51" s="12">
        <f t="shared" ref="J51:J70" si="5">(C51*$C$46)+(D51*$D$46)+(E51*$E$46)+(F51*$F$46)+(I51*$I$46)+(G51*H51)</f>
        <v>232</v>
      </c>
      <c r="K51" s="29">
        <v>2</v>
      </c>
      <c r="L51" s="22">
        <v>2</v>
      </c>
      <c r="M51" s="22"/>
      <c r="N51" s="22"/>
      <c r="O51" s="22"/>
      <c r="P51" s="45"/>
      <c r="Q51" s="22">
        <v>7</v>
      </c>
      <c r="R51" s="12">
        <f t="shared" ref="R51:R70" si="6">(K51*$K$46)+(L51*$L$46)+(M51*$M$46)+(N51*$N$46)+(Q51*$Q$46)+(O51*P51)</f>
        <v>1114</v>
      </c>
      <c r="S51" s="28">
        <v>3</v>
      </c>
      <c r="T51" s="29">
        <v>1</v>
      </c>
      <c r="U51" s="22">
        <v>1</v>
      </c>
      <c r="V51" s="22"/>
      <c r="W51" s="22"/>
      <c r="X51" s="55"/>
      <c r="Y51" s="47">
        <f t="shared" si="3"/>
        <v>0.25844800000000001</v>
      </c>
      <c r="Z51" s="49">
        <f t="shared" ref="Z51:Z70" si="7">Y51*$C$3</f>
        <v>465.20640000000003</v>
      </c>
      <c r="AA51" s="28">
        <v>1</v>
      </c>
      <c r="AB51" s="29">
        <v>1</v>
      </c>
      <c r="AC51" s="28">
        <v>0</v>
      </c>
      <c r="AD51" s="12">
        <f>(0.5*D46)+I46</f>
        <v>127</v>
      </c>
      <c r="AE51" s="26">
        <v>0</v>
      </c>
      <c r="AF51" s="12">
        <f>J51-AD51-AE51</f>
        <v>105</v>
      </c>
      <c r="AG51" s="29">
        <v>100</v>
      </c>
      <c r="AH51" s="28">
        <v>2000</v>
      </c>
      <c r="AI51" s="26">
        <f>M23</f>
        <v>70</v>
      </c>
      <c r="AJ51" s="28">
        <v>1000</v>
      </c>
      <c r="AK51" s="2">
        <f>E41</f>
        <v>37</v>
      </c>
      <c r="AL51" s="28">
        <v>1200</v>
      </c>
      <c r="AM51" s="29">
        <v>1</v>
      </c>
      <c r="AN51" s="28">
        <v>4</v>
      </c>
      <c r="AO51" s="28">
        <v>0</v>
      </c>
      <c r="AP51" s="29">
        <v>0</v>
      </c>
      <c r="AQ51" s="28">
        <v>1</v>
      </c>
      <c r="AR51" s="28">
        <v>1</v>
      </c>
      <c r="AS51" s="28">
        <v>1</v>
      </c>
      <c r="AT51" s="28">
        <v>0</v>
      </c>
      <c r="AU51" s="810">
        <v>0</v>
      </c>
      <c r="AV51" s="28">
        <v>1</v>
      </c>
      <c r="AW51" s="1033" t="s">
        <v>1027</v>
      </c>
      <c r="AX51" s="28">
        <v>1</v>
      </c>
      <c r="AY51" s="639">
        <v>0.9</v>
      </c>
      <c r="AZ51" s="557">
        <v>1</v>
      </c>
      <c r="BD51" s="1" t="s">
        <v>13</v>
      </c>
    </row>
    <row r="52" spans="1:56" x14ac:dyDescent="0.25">
      <c r="A52" s="12">
        <f t="shared" si="4"/>
        <v>1</v>
      </c>
      <c r="B52" s="36" t="s">
        <v>8</v>
      </c>
      <c r="C52" s="29"/>
      <c r="D52" s="22">
        <v>1</v>
      </c>
      <c r="E52" s="22">
        <v>1</v>
      </c>
      <c r="F52" s="22">
        <v>1</v>
      </c>
      <c r="G52" s="22"/>
      <c r="H52" s="45"/>
      <c r="I52" s="22">
        <v>4</v>
      </c>
      <c r="J52" s="12">
        <f t="shared" si="5"/>
        <v>361</v>
      </c>
      <c r="K52" s="29">
        <v>2</v>
      </c>
      <c r="L52" s="22">
        <v>2</v>
      </c>
      <c r="M52" s="22"/>
      <c r="N52" s="22"/>
      <c r="O52" s="22"/>
      <c r="P52" s="45"/>
      <c r="Q52" s="22">
        <v>7</v>
      </c>
      <c r="R52" s="12">
        <f t="shared" si="6"/>
        <v>1114</v>
      </c>
      <c r="S52" s="28">
        <v>3</v>
      </c>
      <c r="T52" s="29">
        <v>1</v>
      </c>
      <c r="U52" s="22">
        <v>1</v>
      </c>
      <c r="V52" s="22"/>
      <c r="W52" s="22"/>
      <c r="X52" s="55"/>
      <c r="Y52" s="47">
        <f t="shared" si="3"/>
        <v>0.40215400000000001</v>
      </c>
      <c r="Z52" s="49">
        <f t="shared" si="7"/>
        <v>723.87720000000002</v>
      </c>
      <c r="AA52" s="28">
        <v>1</v>
      </c>
      <c r="AB52" s="29">
        <v>1</v>
      </c>
      <c r="AC52" s="28">
        <v>0</v>
      </c>
      <c r="AD52" s="12">
        <f>(0.5*D46)+I46</f>
        <v>127</v>
      </c>
      <c r="AE52" s="26">
        <f>(0.5*D46)+I46</f>
        <v>127</v>
      </c>
      <c r="AF52" s="12">
        <f>J52-AD52-AE52</f>
        <v>107</v>
      </c>
      <c r="AG52" s="29">
        <v>100</v>
      </c>
      <c r="AH52" s="28">
        <v>2000</v>
      </c>
      <c r="AI52" s="26">
        <f>M23</f>
        <v>70</v>
      </c>
      <c r="AJ52" s="28">
        <v>1000</v>
      </c>
      <c r="AK52" s="2">
        <f>E41</f>
        <v>37</v>
      </c>
      <c r="AL52" s="28">
        <v>1200</v>
      </c>
      <c r="AM52" s="29">
        <v>1</v>
      </c>
      <c r="AN52" s="28">
        <v>4</v>
      </c>
      <c r="AO52" s="28">
        <v>0</v>
      </c>
      <c r="AP52" s="29">
        <v>0</v>
      </c>
      <c r="AQ52" s="28">
        <v>1</v>
      </c>
      <c r="AR52" s="28">
        <v>1</v>
      </c>
      <c r="AS52" s="28">
        <v>1</v>
      </c>
      <c r="AT52" s="28">
        <v>0</v>
      </c>
      <c r="AU52" s="810">
        <v>0</v>
      </c>
      <c r="AV52" s="28">
        <v>1</v>
      </c>
      <c r="AW52" s="1033" t="s">
        <v>1027</v>
      </c>
      <c r="AX52" s="28">
        <v>1</v>
      </c>
      <c r="AY52" s="639">
        <v>0.9</v>
      </c>
      <c r="AZ52" s="557">
        <v>1</v>
      </c>
      <c r="BD52" s="1" t="s">
        <v>8</v>
      </c>
    </row>
    <row r="53" spans="1:56" x14ac:dyDescent="0.25">
      <c r="A53" s="12" t="str">
        <f t="shared" si="4"/>
        <v xml:space="preserve"> </v>
      </c>
      <c r="B53" s="36" t="s">
        <v>14</v>
      </c>
      <c r="C53" s="29"/>
      <c r="D53" s="22">
        <v>2</v>
      </c>
      <c r="E53" s="22">
        <v>1</v>
      </c>
      <c r="F53" s="22">
        <v>2</v>
      </c>
      <c r="G53" s="22"/>
      <c r="H53" s="45"/>
      <c r="I53" s="22">
        <v>4</v>
      </c>
      <c r="J53" s="12">
        <f t="shared" si="5"/>
        <v>614</v>
      </c>
      <c r="K53" s="29">
        <v>2</v>
      </c>
      <c r="L53" s="22">
        <v>2</v>
      </c>
      <c r="M53" s="22"/>
      <c r="N53" s="22"/>
      <c r="O53" s="22"/>
      <c r="P53" s="45"/>
      <c r="Q53" s="22">
        <v>7</v>
      </c>
      <c r="R53" s="12">
        <f t="shared" si="6"/>
        <v>1114</v>
      </c>
      <c r="S53" s="28">
        <v>3</v>
      </c>
      <c r="T53" s="29">
        <v>1</v>
      </c>
      <c r="U53" s="22">
        <v>1</v>
      </c>
      <c r="V53" s="22"/>
      <c r="W53" s="22"/>
      <c r="X53" s="55"/>
      <c r="Y53" s="47">
        <f t="shared" si="3"/>
        <v>0.68399600000000005</v>
      </c>
      <c r="Z53" s="49">
        <f t="shared" si="7"/>
        <v>1231.1928</v>
      </c>
      <c r="AA53" s="28">
        <v>1</v>
      </c>
      <c r="AB53" s="29">
        <v>1</v>
      </c>
      <c r="AC53" s="28">
        <v>0</v>
      </c>
      <c r="AD53" s="12">
        <f>D46+I46</f>
        <v>252</v>
      </c>
      <c r="AE53" s="26">
        <f>D46+I46</f>
        <v>252</v>
      </c>
      <c r="AF53" s="12">
        <f>J53-AD53-AE53</f>
        <v>110</v>
      </c>
      <c r="AG53" s="29">
        <v>100</v>
      </c>
      <c r="AH53" s="28">
        <v>2000</v>
      </c>
      <c r="AI53" s="26">
        <f>M24</f>
        <v>40</v>
      </c>
      <c r="AJ53" s="28">
        <v>1000</v>
      </c>
      <c r="AK53" s="2">
        <f>E41</f>
        <v>37</v>
      </c>
      <c r="AL53" s="28">
        <v>1200</v>
      </c>
      <c r="AM53" s="29">
        <v>1</v>
      </c>
      <c r="AN53" s="28">
        <v>4</v>
      </c>
      <c r="AO53" s="28">
        <v>0</v>
      </c>
      <c r="AP53" s="29">
        <v>1</v>
      </c>
      <c r="AQ53" s="28">
        <v>1</v>
      </c>
      <c r="AR53" s="28">
        <v>1</v>
      </c>
      <c r="AS53" s="28">
        <v>1</v>
      </c>
      <c r="AT53" s="28">
        <v>0</v>
      </c>
      <c r="AU53" s="810">
        <v>0</v>
      </c>
      <c r="AV53" s="28">
        <v>1</v>
      </c>
      <c r="AW53" s="1033" t="s">
        <v>1027</v>
      </c>
      <c r="AX53" s="28">
        <v>1</v>
      </c>
      <c r="AY53" s="639">
        <v>0.9</v>
      </c>
      <c r="AZ53" s="557">
        <v>1</v>
      </c>
      <c r="BD53" s="1" t="s">
        <v>14</v>
      </c>
    </row>
    <row r="54" spans="1:56" x14ac:dyDescent="0.25">
      <c r="A54" s="12" t="str">
        <f t="shared" si="4"/>
        <v xml:space="preserve"> </v>
      </c>
      <c r="B54" s="36" t="s">
        <v>15</v>
      </c>
      <c r="C54" s="29">
        <v>1</v>
      </c>
      <c r="D54" s="22"/>
      <c r="E54" s="22">
        <v>2</v>
      </c>
      <c r="F54" s="22">
        <v>2</v>
      </c>
      <c r="G54" s="22"/>
      <c r="H54" s="45"/>
      <c r="I54" s="22">
        <v>4</v>
      </c>
      <c r="J54" s="12">
        <f t="shared" si="5"/>
        <v>514</v>
      </c>
      <c r="K54" s="29"/>
      <c r="L54" s="22">
        <v>2</v>
      </c>
      <c r="M54" s="22">
        <v>3</v>
      </c>
      <c r="N54" s="22">
        <v>1</v>
      </c>
      <c r="O54" s="22"/>
      <c r="P54" s="45"/>
      <c r="Q54" s="22">
        <v>8</v>
      </c>
      <c r="R54" s="12">
        <f t="shared" si="6"/>
        <v>819</v>
      </c>
      <c r="S54" s="28">
        <v>4</v>
      </c>
      <c r="T54" s="29">
        <v>1</v>
      </c>
      <c r="U54" s="22"/>
      <c r="V54" s="22"/>
      <c r="W54" s="22"/>
      <c r="X54" s="55"/>
      <c r="Y54" s="47">
        <f t="shared" si="3"/>
        <v>0.42096600000000001</v>
      </c>
      <c r="Z54" s="49">
        <f t="shared" si="7"/>
        <v>757.73879999999997</v>
      </c>
      <c r="AA54" s="28">
        <v>0</v>
      </c>
      <c r="AB54" s="29">
        <v>0</v>
      </c>
      <c r="AC54" s="28">
        <v>0</v>
      </c>
      <c r="AD54" s="12">
        <f>E46+I46</f>
        <v>102</v>
      </c>
      <c r="AE54" s="26">
        <f>E46+I46</f>
        <v>102</v>
      </c>
      <c r="AF54" s="12"/>
      <c r="AG54" s="29">
        <v>200</v>
      </c>
      <c r="AH54" s="28">
        <v>2000</v>
      </c>
      <c r="AI54" s="29">
        <v>100</v>
      </c>
      <c r="AJ54" s="28">
        <v>1200</v>
      </c>
      <c r="AK54" s="22">
        <v>40</v>
      </c>
      <c r="AL54" s="28">
        <v>200</v>
      </c>
      <c r="AM54" s="29">
        <v>1</v>
      </c>
      <c r="AN54" s="28">
        <v>4</v>
      </c>
      <c r="AO54" s="28">
        <v>0</v>
      </c>
      <c r="AP54" s="29">
        <v>0</v>
      </c>
      <c r="AQ54" s="28">
        <v>0</v>
      </c>
      <c r="AR54" s="28">
        <v>0</v>
      </c>
      <c r="AS54" s="28">
        <v>0</v>
      </c>
      <c r="AT54" s="28">
        <v>0</v>
      </c>
      <c r="AU54" s="810">
        <v>0</v>
      </c>
      <c r="AV54" s="28">
        <v>1</v>
      </c>
      <c r="AW54" s="1033" t="s">
        <v>1027</v>
      </c>
      <c r="AX54" s="28">
        <v>0</v>
      </c>
      <c r="AY54" s="639">
        <v>0.9</v>
      </c>
      <c r="AZ54" s="557">
        <v>0</v>
      </c>
      <c r="BD54" s="1" t="s">
        <v>15</v>
      </c>
    </row>
    <row r="55" spans="1:56" x14ac:dyDescent="0.25">
      <c r="A55" s="12" t="str">
        <f t="shared" si="4"/>
        <v xml:space="preserve"> </v>
      </c>
      <c r="B55" s="36" t="s">
        <v>49</v>
      </c>
      <c r="C55" s="29">
        <v>1</v>
      </c>
      <c r="D55" s="22"/>
      <c r="E55" s="22">
        <v>2</v>
      </c>
      <c r="F55" s="22">
        <v>2</v>
      </c>
      <c r="G55" s="22"/>
      <c r="H55" s="45"/>
      <c r="I55" s="22">
        <v>4</v>
      </c>
      <c r="J55" s="12">
        <f t="shared" si="5"/>
        <v>514</v>
      </c>
      <c r="K55" s="29"/>
      <c r="L55" s="22">
        <v>2</v>
      </c>
      <c r="M55" s="22">
        <v>3</v>
      </c>
      <c r="N55" s="22">
        <v>1</v>
      </c>
      <c r="O55" s="22"/>
      <c r="P55" s="45"/>
      <c r="Q55" s="22">
        <v>8</v>
      </c>
      <c r="R55" s="12">
        <f t="shared" si="6"/>
        <v>819</v>
      </c>
      <c r="S55" s="28">
        <v>4</v>
      </c>
      <c r="T55" s="29">
        <v>1</v>
      </c>
      <c r="U55" s="22"/>
      <c r="V55" s="22"/>
      <c r="W55" s="22"/>
      <c r="X55" s="55"/>
      <c r="Y55" s="47">
        <f t="shared" si="3"/>
        <v>0.42096600000000001</v>
      </c>
      <c r="Z55" s="49">
        <f t="shared" si="7"/>
        <v>757.73879999999997</v>
      </c>
      <c r="AA55" s="28">
        <v>0</v>
      </c>
      <c r="AB55" s="29">
        <v>0</v>
      </c>
      <c r="AC55" s="28">
        <v>0</v>
      </c>
      <c r="AD55" s="12">
        <f>E46+I46</f>
        <v>102</v>
      </c>
      <c r="AE55" s="26">
        <f>E46+I46</f>
        <v>102</v>
      </c>
      <c r="AF55" s="12"/>
      <c r="AG55" s="29">
        <v>200</v>
      </c>
      <c r="AH55" s="28">
        <v>2000</v>
      </c>
      <c r="AI55" s="29">
        <v>100</v>
      </c>
      <c r="AJ55" s="28">
        <v>1200</v>
      </c>
      <c r="AK55" s="22">
        <v>40</v>
      </c>
      <c r="AL55" s="28">
        <v>200</v>
      </c>
      <c r="AM55" s="29">
        <v>1</v>
      </c>
      <c r="AN55" s="28">
        <v>4</v>
      </c>
      <c r="AO55" s="28">
        <v>0</v>
      </c>
      <c r="AP55" s="29">
        <v>0</v>
      </c>
      <c r="AQ55" s="28">
        <v>0</v>
      </c>
      <c r="AR55" s="28">
        <v>0</v>
      </c>
      <c r="AS55" s="28">
        <v>0</v>
      </c>
      <c r="AT55" s="12">
        <f>C8+C12</f>
        <v>102</v>
      </c>
      <c r="AU55" s="810">
        <v>0.04</v>
      </c>
      <c r="AV55" s="28">
        <v>1</v>
      </c>
      <c r="AW55" s="1033" t="s">
        <v>1004</v>
      </c>
      <c r="AX55" s="28">
        <v>0</v>
      </c>
      <c r="AY55" s="639">
        <v>0.85</v>
      </c>
      <c r="AZ55" s="557">
        <v>0</v>
      </c>
      <c r="BD55" s="1" t="s">
        <v>49</v>
      </c>
    </row>
    <row r="56" spans="1:56" x14ac:dyDescent="0.25">
      <c r="A56" s="12" t="str">
        <f t="shared" si="4"/>
        <v xml:space="preserve"> </v>
      </c>
      <c r="B56" s="36" t="s">
        <v>56</v>
      </c>
      <c r="C56" s="29"/>
      <c r="D56" s="22">
        <v>3</v>
      </c>
      <c r="E56" s="22">
        <v>2</v>
      </c>
      <c r="F56" s="22">
        <v>4</v>
      </c>
      <c r="G56" s="22"/>
      <c r="H56" s="45"/>
      <c r="I56" s="22">
        <v>8</v>
      </c>
      <c r="J56" s="12">
        <f t="shared" si="5"/>
        <v>978</v>
      </c>
      <c r="K56" s="29">
        <v>1</v>
      </c>
      <c r="L56" s="22"/>
      <c r="M56" s="22">
        <v>2</v>
      </c>
      <c r="N56" s="22"/>
      <c r="O56" s="22">
        <v>2</v>
      </c>
      <c r="P56" s="45">
        <v>50</v>
      </c>
      <c r="Q56" s="22">
        <v>8</v>
      </c>
      <c r="R56" s="12">
        <f t="shared" si="6"/>
        <v>616</v>
      </c>
      <c r="S56" s="28">
        <v>4</v>
      </c>
      <c r="T56" s="29">
        <v>1</v>
      </c>
      <c r="U56" s="22"/>
      <c r="V56" s="22"/>
      <c r="W56" s="22"/>
      <c r="X56" s="55"/>
      <c r="Y56" s="47">
        <f t="shared" si="3"/>
        <v>0.60244799999999998</v>
      </c>
      <c r="Z56" s="49">
        <f t="shared" si="7"/>
        <v>1084.4064000000001</v>
      </c>
      <c r="AA56" s="28">
        <v>0</v>
      </c>
      <c r="AB56" s="29">
        <v>0</v>
      </c>
      <c r="AC56" s="28">
        <v>1</v>
      </c>
      <c r="AD56" s="28"/>
      <c r="AE56" s="29"/>
      <c r="AF56" s="12"/>
      <c r="AG56" s="29">
        <v>300</v>
      </c>
      <c r="AH56" s="28">
        <v>2000</v>
      </c>
      <c r="AI56" s="29">
        <v>100</v>
      </c>
      <c r="AJ56" s="28">
        <v>500</v>
      </c>
      <c r="AK56" s="22">
        <v>80</v>
      </c>
      <c r="AL56" s="28">
        <v>200</v>
      </c>
      <c r="AM56" s="29">
        <v>1</v>
      </c>
      <c r="AN56" s="28">
        <v>2</v>
      </c>
      <c r="AO56" s="28">
        <v>0</v>
      </c>
      <c r="AP56" s="29">
        <v>0</v>
      </c>
      <c r="AQ56" s="28">
        <v>0</v>
      </c>
      <c r="AR56" s="28">
        <v>0</v>
      </c>
      <c r="AS56" s="28">
        <v>0</v>
      </c>
      <c r="AT56" s="12">
        <f>(P56+C12)</f>
        <v>52</v>
      </c>
      <c r="AU56" s="810">
        <v>0.04</v>
      </c>
      <c r="AV56" s="28">
        <v>1</v>
      </c>
      <c r="AW56" s="1033" t="s">
        <v>1078</v>
      </c>
      <c r="AX56" s="28">
        <v>0</v>
      </c>
      <c r="AY56" s="639">
        <v>0.82</v>
      </c>
      <c r="AZ56" s="557">
        <v>0</v>
      </c>
      <c r="BD56" s="1" t="s">
        <v>56</v>
      </c>
    </row>
    <row r="57" spans="1:56" x14ac:dyDescent="0.25">
      <c r="A57" s="12" t="str">
        <f t="shared" si="4"/>
        <v xml:space="preserve"> </v>
      </c>
      <c r="B57" s="36" t="s">
        <v>16</v>
      </c>
      <c r="C57" s="29">
        <v>1</v>
      </c>
      <c r="D57" s="22"/>
      <c r="E57" s="22">
        <v>4</v>
      </c>
      <c r="F57" s="22">
        <v>12</v>
      </c>
      <c r="G57" s="22"/>
      <c r="H57" s="45"/>
      <c r="I57" s="22">
        <v>12</v>
      </c>
      <c r="J57" s="12">
        <f t="shared" si="5"/>
        <v>760</v>
      </c>
      <c r="K57" s="29"/>
      <c r="L57" s="22">
        <v>2</v>
      </c>
      <c r="M57" s="22">
        <v>3</v>
      </c>
      <c r="N57" s="22">
        <v>1</v>
      </c>
      <c r="O57" s="22"/>
      <c r="P57" s="45"/>
      <c r="Q57" s="22">
        <v>8</v>
      </c>
      <c r="R57" s="12">
        <f t="shared" si="6"/>
        <v>819</v>
      </c>
      <c r="S57" s="28"/>
      <c r="T57" s="29"/>
      <c r="U57" s="22"/>
      <c r="V57" s="22">
        <v>0</v>
      </c>
      <c r="W57" s="22"/>
      <c r="X57" s="55"/>
      <c r="Y57" s="47">
        <f t="shared" si="3"/>
        <v>0.62243999999999999</v>
      </c>
      <c r="Z57" s="49">
        <f t="shared" si="7"/>
        <v>1120.3920000000001</v>
      </c>
      <c r="AA57" s="28">
        <v>0</v>
      </c>
      <c r="AB57" s="29">
        <v>0</v>
      </c>
      <c r="AC57" s="28">
        <v>0</v>
      </c>
      <c r="AD57" s="28"/>
      <c r="AE57" s="29"/>
      <c r="AF57" s="12"/>
      <c r="AG57" s="29">
        <v>80</v>
      </c>
      <c r="AH57" s="28">
        <v>1400</v>
      </c>
      <c r="AI57" s="29">
        <v>50</v>
      </c>
      <c r="AJ57" s="28">
        <v>550</v>
      </c>
      <c r="AK57" s="22">
        <v>23</v>
      </c>
      <c r="AL57" s="28">
        <v>200</v>
      </c>
      <c r="AM57" s="29">
        <v>0</v>
      </c>
      <c r="AN57" s="28">
        <v>0</v>
      </c>
      <c r="AO57" s="28">
        <v>1</v>
      </c>
      <c r="AP57" s="29">
        <v>0</v>
      </c>
      <c r="AQ57" s="28">
        <v>0</v>
      </c>
      <c r="AR57" s="28">
        <v>0</v>
      </c>
      <c r="AS57" s="28">
        <v>0</v>
      </c>
      <c r="AT57" s="28">
        <v>0</v>
      </c>
      <c r="AU57" s="810">
        <v>0.02</v>
      </c>
      <c r="AV57" s="28">
        <v>1</v>
      </c>
      <c r="AW57" s="1033" t="s">
        <v>1005</v>
      </c>
      <c r="AX57" s="28">
        <v>0</v>
      </c>
      <c r="AY57" s="639">
        <v>0.9</v>
      </c>
      <c r="AZ57" s="557"/>
      <c r="BD57" s="1" t="s">
        <v>16</v>
      </c>
    </row>
    <row r="58" spans="1:56" x14ac:dyDescent="0.25">
      <c r="A58" s="12" t="str">
        <f t="shared" si="4"/>
        <v xml:space="preserve"> </v>
      </c>
      <c r="B58" s="36" t="s">
        <v>17</v>
      </c>
      <c r="C58" s="29">
        <v>1</v>
      </c>
      <c r="D58" s="22"/>
      <c r="E58" s="22">
        <v>4</v>
      </c>
      <c r="F58" s="22">
        <v>8</v>
      </c>
      <c r="G58" s="22"/>
      <c r="H58" s="45"/>
      <c r="I58" s="22">
        <v>12</v>
      </c>
      <c r="J58" s="12">
        <f t="shared" si="5"/>
        <v>748</v>
      </c>
      <c r="K58" s="29"/>
      <c r="L58" s="22">
        <v>2</v>
      </c>
      <c r="M58" s="22">
        <v>2</v>
      </c>
      <c r="N58" s="22">
        <v>1</v>
      </c>
      <c r="O58" s="22">
        <v>1</v>
      </c>
      <c r="P58" s="45">
        <v>30</v>
      </c>
      <c r="Q58" s="22">
        <v>4</v>
      </c>
      <c r="R58" s="12">
        <f t="shared" si="6"/>
        <v>741</v>
      </c>
      <c r="S58" s="28"/>
      <c r="T58" s="29"/>
      <c r="U58" s="22"/>
      <c r="V58" s="22">
        <v>0</v>
      </c>
      <c r="W58" s="22"/>
      <c r="X58" s="55"/>
      <c r="Y58" s="47">
        <f t="shared" si="3"/>
        <v>0.55426799999999998</v>
      </c>
      <c r="Z58" s="49">
        <f t="shared" si="7"/>
        <v>997.68239999999992</v>
      </c>
      <c r="AA58" s="28">
        <v>0</v>
      </c>
      <c r="AB58" s="29">
        <v>0</v>
      </c>
      <c r="AC58" s="28">
        <v>0</v>
      </c>
      <c r="AD58" s="28"/>
      <c r="AE58" s="29"/>
      <c r="AF58" s="12"/>
      <c r="AG58" s="29">
        <v>80</v>
      </c>
      <c r="AH58" s="28">
        <v>1400</v>
      </c>
      <c r="AI58" s="29">
        <v>50</v>
      </c>
      <c r="AJ58" s="28">
        <v>550</v>
      </c>
      <c r="AK58" s="22">
        <v>23</v>
      </c>
      <c r="AL58" s="28">
        <v>200</v>
      </c>
      <c r="AM58" s="29">
        <v>0</v>
      </c>
      <c r="AN58" s="28">
        <v>0</v>
      </c>
      <c r="AO58" s="28">
        <v>1</v>
      </c>
      <c r="AP58" s="29">
        <v>0</v>
      </c>
      <c r="AQ58" s="28">
        <v>0</v>
      </c>
      <c r="AR58" s="28">
        <v>0</v>
      </c>
      <c r="AS58" s="28">
        <v>0</v>
      </c>
      <c r="AT58" s="28">
        <v>0</v>
      </c>
      <c r="AU58" s="810">
        <v>0.02</v>
      </c>
      <c r="AV58" s="28">
        <v>1</v>
      </c>
      <c r="AW58" s="1033" t="s">
        <v>1005</v>
      </c>
      <c r="AX58" s="28">
        <v>0</v>
      </c>
      <c r="AY58" s="639">
        <v>0.9</v>
      </c>
      <c r="AZ58" s="557"/>
      <c r="BD58" s="1" t="s">
        <v>17</v>
      </c>
    </row>
    <row r="59" spans="1:56" x14ac:dyDescent="0.25">
      <c r="A59" s="12" t="str">
        <f t="shared" si="4"/>
        <v xml:space="preserve"> </v>
      </c>
      <c r="B59" s="36" t="s">
        <v>60</v>
      </c>
      <c r="C59" s="29">
        <v>1</v>
      </c>
      <c r="D59" s="22"/>
      <c r="E59" s="22">
        <v>4</v>
      </c>
      <c r="F59" s="22">
        <v>8</v>
      </c>
      <c r="G59" s="22"/>
      <c r="H59" s="45"/>
      <c r="I59" s="22">
        <v>12</v>
      </c>
      <c r="J59" s="12">
        <f t="shared" si="5"/>
        <v>748</v>
      </c>
      <c r="K59" s="29"/>
      <c r="L59" s="22">
        <v>1</v>
      </c>
      <c r="M59" s="22">
        <v>2</v>
      </c>
      <c r="N59" s="22"/>
      <c r="O59" s="22"/>
      <c r="P59" s="45"/>
      <c r="Q59" s="22">
        <v>4</v>
      </c>
      <c r="R59" s="12">
        <f t="shared" si="6"/>
        <v>458</v>
      </c>
      <c r="S59" s="28"/>
      <c r="T59" s="29"/>
      <c r="U59" s="22"/>
      <c r="V59" s="22">
        <v>0</v>
      </c>
      <c r="W59" s="22"/>
      <c r="X59" s="55"/>
      <c r="Y59" s="47">
        <f t="shared" si="3"/>
        <v>0.342584</v>
      </c>
      <c r="Z59" s="49">
        <f t="shared" si="7"/>
        <v>616.65120000000002</v>
      </c>
      <c r="AA59" s="28">
        <v>0</v>
      </c>
      <c r="AB59" s="29">
        <v>0</v>
      </c>
      <c r="AC59" s="28">
        <v>0</v>
      </c>
      <c r="AD59" s="28"/>
      <c r="AE59" s="29"/>
      <c r="AF59" s="12"/>
      <c r="AG59" s="29">
        <v>100</v>
      </c>
      <c r="AH59" s="28">
        <v>1400</v>
      </c>
      <c r="AI59" s="29">
        <v>50</v>
      </c>
      <c r="AJ59" s="28">
        <v>800</v>
      </c>
      <c r="AK59" s="22">
        <v>30</v>
      </c>
      <c r="AL59" s="28">
        <v>200</v>
      </c>
      <c r="AM59" s="29">
        <v>0</v>
      </c>
      <c r="AN59" s="28">
        <v>0</v>
      </c>
      <c r="AO59" s="28">
        <v>1</v>
      </c>
      <c r="AP59" s="29">
        <v>0</v>
      </c>
      <c r="AQ59" s="28">
        <v>0</v>
      </c>
      <c r="AR59" s="28">
        <v>0</v>
      </c>
      <c r="AS59" s="28">
        <v>0</v>
      </c>
      <c r="AT59" s="28">
        <v>0</v>
      </c>
      <c r="AU59" s="810">
        <v>0.02</v>
      </c>
      <c r="AV59" s="28">
        <v>1</v>
      </c>
      <c r="AW59" s="1033" t="s">
        <v>1005</v>
      </c>
      <c r="AX59" s="28">
        <v>0</v>
      </c>
      <c r="AY59" s="639">
        <v>0.9</v>
      </c>
      <c r="AZ59" s="557"/>
      <c r="BD59" s="1" t="s">
        <v>60</v>
      </c>
    </row>
    <row r="60" spans="1:56" x14ac:dyDescent="0.25">
      <c r="A60" s="12" t="str">
        <f t="shared" si="4"/>
        <v xml:space="preserve"> </v>
      </c>
      <c r="B60" s="36" t="s">
        <v>71</v>
      </c>
      <c r="C60" s="29"/>
      <c r="D60" s="22">
        <v>1</v>
      </c>
      <c r="E60" s="22">
        <v>2</v>
      </c>
      <c r="F60" s="22">
        <v>2</v>
      </c>
      <c r="G60" s="22"/>
      <c r="H60" s="45"/>
      <c r="I60" s="22">
        <v>4</v>
      </c>
      <c r="J60" s="12">
        <f t="shared" si="5"/>
        <v>464</v>
      </c>
      <c r="K60" s="29">
        <v>1</v>
      </c>
      <c r="L60" s="22"/>
      <c r="M60" s="22">
        <v>2</v>
      </c>
      <c r="N60" s="22"/>
      <c r="O60" s="22"/>
      <c r="P60" s="45"/>
      <c r="Q60" s="22">
        <v>4</v>
      </c>
      <c r="R60" s="12">
        <f t="shared" si="6"/>
        <v>508</v>
      </c>
      <c r="S60" s="28">
        <v>2</v>
      </c>
      <c r="T60" s="29">
        <v>1</v>
      </c>
      <c r="U60" s="22"/>
      <c r="V60" s="22"/>
      <c r="W60" s="22"/>
      <c r="X60" s="55"/>
      <c r="Y60" s="47">
        <f t="shared" si="3"/>
        <v>0.235712</v>
      </c>
      <c r="Z60" s="49">
        <f t="shared" si="7"/>
        <v>424.28160000000003</v>
      </c>
      <c r="AA60" s="28">
        <v>0</v>
      </c>
      <c r="AB60" s="29">
        <v>0</v>
      </c>
      <c r="AC60" s="28">
        <v>0</v>
      </c>
      <c r="AD60" s="12">
        <f>E46+I46</f>
        <v>102</v>
      </c>
      <c r="AE60" s="26">
        <f>E46+I46</f>
        <v>102</v>
      </c>
      <c r="AF60" s="12"/>
      <c r="AG60" s="29">
        <v>150</v>
      </c>
      <c r="AH60" s="28">
        <v>2000</v>
      </c>
      <c r="AI60" s="29">
        <v>100</v>
      </c>
      <c r="AJ60" s="28">
        <v>1200</v>
      </c>
      <c r="AK60" s="22">
        <v>45</v>
      </c>
      <c r="AL60" s="28">
        <v>400</v>
      </c>
      <c r="AM60" s="29">
        <v>1</v>
      </c>
      <c r="AN60" s="28">
        <v>4</v>
      </c>
      <c r="AO60" s="28">
        <v>0</v>
      </c>
      <c r="AP60" s="29">
        <v>0</v>
      </c>
      <c r="AQ60" s="28">
        <v>0</v>
      </c>
      <c r="AR60" s="28">
        <v>0</v>
      </c>
      <c r="AS60" s="28">
        <v>0</v>
      </c>
      <c r="AT60" s="28">
        <v>0</v>
      </c>
      <c r="AU60" s="810">
        <v>0</v>
      </c>
      <c r="AV60" s="28">
        <v>1</v>
      </c>
      <c r="AW60" s="1033" t="s">
        <v>1027</v>
      </c>
      <c r="AX60" s="28">
        <v>0</v>
      </c>
      <c r="AY60" s="639">
        <v>0.9</v>
      </c>
      <c r="AZ60" s="557"/>
      <c r="BD60" s="1" t="s">
        <v>71</v>
      </c>
    </row>
    <row r="61" spans="1:56" x14ac:dyDescent="0.25">
      <c r="A61" s="12" t="str">
        <f t="shared" si="4"/>
        <v xml:space="preserve"> </v>
      </c>
      <c r="B61" s="36" t="s">
        <v>70</v>
      </c>
      <c r="C61" s="29"/>
      <c r="D61" s="22"/>
      <c r="E61" s="22">
        <v>1</v>
      </c>
      <c r="F61" s="22"/>
      <c r="G61" s="22"/>
      <c r="H61" s="45"/>
      <c r="I61" s="22">
        <v>0</v>
      </c>
      <c r="J61" s="12">
        <f t="shared" si="5"/>
        <v>100</v>
      </c>
      <c r="K61" s="29">
        <v>2</v>
      </c>
      <c r="L61" s="22">
        <v>2</v>
      </c>
      <c r="M61" s="22"/>
      <c r="N61" s="22"/>
      <c r="O61" s="22"/>
      <c r="P61" s="45"/>
      <c r="Q61" s="22">
        <v>7</v>
      </c>
      <c r="R61" s="12">
        <f t="shared" si="6"/>
        <v>1114</v>
      </c>
      <c r="S61" s="28">
        <v>4</v>
      </c>
      <c r="T61" s="29">
        <v>1</v>
      </c>
      <c r="U61" s="22">
        <v>1</v>
      </c>
      <c r="V61" s="22"/>
      <c r="W61" s="22"/>
      <c r="X61" s="55"/>
      <c r="Y61" s="47">
        <f t="shared" si="3"/>
        <v>0.11140000000000001</v>
      </c>
      <c r="Z61" s="49">
        <f t="shared" si="7"/>
        <v>200.52</v>
      </c>
      <c r="AA61" s="28">
        <v>1</v>
      </c>
      <c r="AB61" s="29">
        <v>1</v>
      </c>
      <c r="AC61" s="28">
        <v>0</v>
      </c>
      <c r="AD61" s="28"/>
      <c r="AE61" s="29"/>
      <c r="AF61" s="12"/>
      <c r="AG61" s="29">
        <v>100</v>
      </c>
      <c r="AH61" s="28">
        <v>2000</v>
      </c>
      <c r="AI61" s="26">
        <f>M24</f>
        <v>40</v>
      </c>
      <c r="AJ61" s="28">
        <v>1000</v>
      </c>
      <c r="AK61" s="22">
        <v>100</v>
      </c>
      <c r="AL61" s="28">
        <v>1200</v>
      </c>
      <c r="AM61" s="29">
        <v>1</v>
      </c>
      <c r="AN61" s="28">
        <v>4</v>
      </c>
      <c r="AO61" s="28">
        <v>0</v>
      </c>
      <c r="AP61" s="29">
        <v>0</v>
      </c>
      <c r="AQ61" s="28">
        <v>1</v>
      </c>
      <c r="AR61" s="28">
        <v>1</v>
      </c>
      <c r="AS61" s="28">
        <v>1</v>
      </c>
      <c r="AT61" s="28">
        <v>0</v>
      </c>
      <c r="AU61" s="810">
        <v>0</v>
      </c>
      <c r="AV61" s="28">
        <v>1</v>
      </c>
      <c r="AW61" s="1033" t="s">
        <v>1005</v>
      </c>
      <c r="AX61" s="28">
        <v>1</v>
      </c>
      <c r="AY61" s="639">
        <v>0.9</v>
      </c>
      <c r="AZ61" s="557">
        <v>1</v>
      </c>
      <c r="BD61" s="1" t="s">
        <v>70</v>
      </c>
    </row>
    <row r="62" spans="1:56" x14ac:dyDescent="0.25">
      <c r="A62" s="12" t="str">
        <f t="shared" si="4"/>
        <v xml:space="preserve"> </v>
      </c>
      <c r="B62" s="36" t="s">
        <v>981</v>
      </c>
      <c r="C62" s="29"/>
      <c r="D62" s="22">
        <v>2</v>
      </c>
      <c r="E62" s="22">
        <v>2</v>
      </c>
      <c r="F62" s="22">
        <v>2</v>
      </c>
      <c r="G62" s="22"/>
      <c r="H62" s="45"/>
      <c r="I62" s="22">
        <v>8</v>
      </c>
      <c r="J62" s="12">
        <f t="shared" si="5"/>
        <v>722</v>
      </c>
      <c r="K62" s="29">
        <v>1</v>
      </c>
      <c r="L62" s="22"/>
      <c r="M62" s="22">
        <v>2</v>
      </c>
      <c r="N62" s="22"/>
      <c r="O62" s="22">
        <v>2</v>
      </c>
      <c r="P62" s="45">
        <v>50</v>
      </c>
      <c r="Q62" s="22">
        <v>8</v>
      </c>
      <c r="R62" s="12">
        <f t="shared" si="6"/>
        <v>616</v>
      </c>
      <c r="S62" s="28">
        <v>4</v>
      </c>
      <c r="T62" s="29">
        <v>1</v>
      </c>
      <c r="U62" s="22"/>
      <c r="V62" s="22"/>
      <c r="W62" s="22"/>
      <c r="X62" s="55"/>
      <c r="Y62" s="47">
        <f t="shared" si="3"/>
        <v>0.44475199999999998</v>
      </c>
      <c r="Z62" s="49">
        <f t="shared" si="7"/>
        <v>800.55359999999996</v>
      </c>
      <c r="AA62" s="28">
        <v>0</v>
      </c>
      <c r="AB62" s="29">
        <v>0</v>
      </c>
      <c r="AC62" s="28">
        <v>1</v>
      </c>
      <c r="AD62" s="12">
        <f>(0.5*D46)+E46+(3*I46)+F46</f>
        <v>234</v>
      </c>
      <c r="AE62" s="26">
        <f>(0.5*D46)+E46+(3*I46)+F46</f>
        <v>234</v>
      </c>
      <c r="AF62" s="12"/>
      <c r="AG62" s="29">
        <v>200</v>
      </c>
      <c r="AH62" s="28">
        <v>2000</v>
      </c>
      <c r="AI62" s="29">
        <v>100</v>
      </c>
      <c r="AJ62" s="28">
        <v>800</v>
      </c>
      <c r="AK62" s="22">
        <v>20</v>
      </c>
      <c r="AL62" s="28">
        <v>80</v>
      </c>
      <c r="AM62" s="29">
        <v>1</v>
      </c>
      <c r="AN62" s="12">
        <f>IF(J62+C166&gt;=I183,1,2)</f>
        <v>1</v>
      </c>
      <c r="AO62" s="28">
        <v>0</v>
      </c>
      <c r="AP62" s="29">
        <v>0</v>
      </c>
      <c r="AQ62" s="28">
        <v>0</v>
      </c>
      <c r="AR62" s="28">
        <v>0</v>
      </c>
      <c r="AS62" s="28">
        <v>0</v>
      </c>
      <c r="AT62" s="12">
        <f>(P62+(C12*3)+C8)</f>
        <v>156</v>
      </c>
      <c r="AU62" s="810">
        <v>0.04</v>
      </c>
      <c r="AV62" s="28">
        <v>1</v>
      </c>
      <c r="AW62" s="28">
        <v>2</v>
      </c>
      <c r="AX62" s="28">
        <v>0</v>
      </c>
      <c r="AY62" s="639">
        <v>0.82</v>
      </c>
      <c r="AZ62" s="557"/>
      <c r="BD62" s="1" t="s">
        <v>981</v>
      </c>
    </row>
    <row r="63" spans="1:56" x14ac:dyDescent="0.25">
      <c r="A63" s="12" t="str">
        <f t="shared" si="4"/>
        <v xml:space="preserve"> </v>
      </c>
      <c r="B63" s="36" t="s">
        <v>982</v>
      </c>
      <c r="C63" s="29"/>
      <c r="D63" s="22">
        <v>2</v>
      </c>
      <c r="E63" s="22">
        <v>3</v>
      </c>
      <c r="F63" s="22">
        <v>2</v>
      </c>
      <c r="G63" s="22"/>
      <c r="H63" s="45"/>
      <c r="I63" s="22">
        <v>8</v>
      </c>
      <c r="J63" s="12">
        <f t="shared" si="5"/>
        <v>822</v>
      </c>
      <c r="K63" s="29">
        <v>1</v>
      </c>
      <c r="L63" s="22">
        <v>2</v>
      </c>
      <c r="M63" s="22"/>
      <c r="N63" s="22">
        <v>6</v>
      </c>
      <c r="O63" s="22"/>
      <c r="P63" s="45"/>
      <c r="Q63" s="22">
        <v>4</v>
      </c>
      <c r="R63" s="12">
        <f t="shared" si="6"/>
        <v>826</v>
      </c>
      <c r="S63" s="28"/>
      <c r="T63" s="29"/>
      <c r="U63" s="22"/>
      <c r="V63" s="22">
        <v>0</v>
      </c>
      <c r="W63" s="22"/>
      <c r="X63" s="55"/>
      <c r="Y63" s="47">
        <f t="shared" si="3"/>
        <v>0.67897199999999991</v>
      </c>
      <c r="Z63" s="49">
        <f t="shared" si="7"/>
        <v>1222.1495999999997</v>
      </c>
      <c r="AA63" s="28">
        <v>0</v>
      </c>
      <c r="AB63" s="29">
        <v>0</v>
      </c>
      <c r="AC63" s="28">
        <v>0</v>
      </c>
      <c r="AD63" s="28"/>
      <c r="AE63" s="29"/>
      <c r="AF63" s="12"/>
      <c r="AG63" s="29">
        <v>180</v>
      </c>
      <c r="AH63" s="28">
        <v>1400</v>
      </c>
      <c r="AI63" s="29">
        <v>80</v>
      </c>
      <c r="AJ63" s="28">
        <v>600</v>
      </c>
      <c r="AK63" s="22">
        <v>60</v>
      </c>
      <c r="AL63" s="28">
        <v>400</v>
      </c>
      <c r="AM63" s="29">
        <v>1</v>
      </c>
      <c r="AN63" s="28">
        <v>0</v>
      </c>
      <c r="AO63" s="28">
        <v>1</v>
      </c>
      <c r="AP63" s="29">
        <v>0</v>
      </c>
      <c r="AQ63" s="28">
        <v>0</v>
      </c>
      <c r="AR63" s="28">
        <v>0</v>
      </c>
      <c r="AS63" s="28">
        <v>0</v>
      </c>
      <c r="AT63" s="28">
        <v>0</v>
      </c>
      <c r="AU63" s="810">
        <v>0.02</v>
      </c>
      <c r="AV63" s="28">
        <v>1</v>
      </c>
      <c r="AW63" s="28">
        <v>0</v>
      </c>
      <c r="AX63" s="28">
        <v>0</v>
      </c>
      <c r="AY63" s="639">
        <v>0.9</v>
      </c>
      <c r="AZ63" s="557"/>
      <c r="BD63" s="1" t="s">
        <v>982</v>
      </c>
    </row>
    <row r="64" spans="1:56" x14ac:dyDescent="0.25">
      <c r="A64" s="12" t="str">
        <f t="shared" si="4"/>
        <v xml:space="preserve"> </v>
      </c>
      <c r="B64" s="36" t="s">
        <v>992</v>
      </c>
      <c r="C64" s="997">
        <v>1</v>
      </c>
      <c r="D64" s="998">
        <v>1</v>
      </c>
      <c r="E64" s="998">
        <v>1</v>
      </c>
      <c r="F64" s="998">
        <v>1</v>
      </c>
      <c r="G64" s="998"/>
      <c r="H64" s="999"/>
      <c r="I64" s="998"/>
      <c r="J64" s="1000">
        <f t="shared" si="5"/>
        <v>653</v>
      </c>
      <c r="K64" s="997">
        <v>1</v>
      </c>
      <c r="L64" s="998">
        <v>1</v>
      </c>
      <c r="M64" s="998">
        <v>1</v>
      </c>
      <c r="N64" s="998">
        <v>1</v>
      </c>
      <c r="O64" s="998">
        <v>1</v>
      </c>
      <c r="P64" s="999"/>
      <c r="Q64" s="998"/>
      <c r="R64" s="1000">
        <f t="shared" si="6"/>
        <v>653</v>
      </c>
      <c r="S64" s="1001"/>
      <c r="T64" s="997">
        <v>0</v>
      </c>
      <c r="U64" s="998">
        <v>0</v>
      </c>
      <c r="V64" s="998">
        <v>0</v>
      </c>
      <c r="W64" s="998">
        <v>0</v>
      </c>
      <c r="X64" s="1002">
        <v>0</v>
      </c>
      <c r="Y64" s="1003">
        <f t="shared" si="3"/>
        <v>0.42640900000000004</v>
      </c>
      <c r="Z64" s="1004">
        <f t="shared" si="7"/>
        <v>767.53620000000012</v>
      </c>
      <c r="AA64" s="1001">
        <v>0</v>
      </c>
      <c r="AB64" s="997">
        <v>0</v>
      </c>
      <c r="AC64" s="1001">
        <v>0</v>
      </c>
      <c r="AD64" s="1001"/>
      <c r="AE64" s="997"/>
      <c r="AF64" s="1000"/>
      <c r="AG64" s="997">
        <v>99</v>
      </c>
      <c r="AH64" s="1001">
        <v>9999</v>
      </c>
      <c r="AI64" s="997">
        <v>99</v>
      </c>
      <c r="AJ64" s="1001">
        <v>9999</v>
      </c>
      <c r="AK64" s="998">
        <v>99</v>
      </c>
      <c r="AL64" s="1001">
        <v>9999</v>
      </c>
      <c r="AM64" s="997">
        <v>0</v>
      </c>
      <c r="AN64" s="1001">
        <v>0</v>
      </c>
      <c r="AO64" s="1001">
        <v>0</v>
      </c>
      <c r="AP64" s="997">
        <v>0</v>
      </c>
      <c r="AQ64" s="1001">
        <v>0</v>
      </c>
      <c r="AR64" s="1001">
        <v>0</v>
      </c>
      <c r="AS64" s="1001">
        <v>0</v>
      </c>
      <c r="AT64" s="1001">
        <v>0</v>
      </c>
      <c r="AU64" s="1007">
        <v>0</v>
      </c>
      <c r="AV64" s="1001">
        <v>0</v>
      </c>
      <c r="AW64" s="1001">
        <v>0</v>
      </c>
      <c r="AX64" s="28">
        <v>0</v>
      </c>
      <c r="AY64" s="639">
        <v>0.9</v>
      </c>
      <c r="AZ64" s="561"/>
      <c r="BA64" s="1005" t="s">
        <v>994</v>
      </c>
      <c r="BD64" s="1" t="s">
        <v>992</v>
      </c>
    </row>
    <row r="65" spans="1:56" x14ac:dyDescent="0.25">
      <c r="A65" s="12" t="str">
        <f t="shared" si="4"/>
        <v xml:space="preserve"> </v>
      </c>
      <c r="B65" s="36" t="s">
        <v>1343</v>
      </c>
      <c r="C65" s="997">
        <v>1</v>
      </c>
      <c r="D65" s="998">
        <v>1</v>
      </c>
      <c r="E65" s="998">
        <v>1</v>
      </c>
      <c r="F65" s="998">
        <v>1</v>
      </c>
      <c r="G65" s="998"/>
      <c r="H65" s="999"/>
      <c r="I65" s="998"/>
      <c r="J65" s="1000">
        <f t="shared" si="5"/>
        <v>653</v>
      </c>
      <c r="K65" s="997">
        <v>1</v>
      </c>
      <c r="L65" s="998">
        <v>1</v>
      </c>
      <c r="M65" s="998">
        <v>1</v>
      </c>
      <c r="N65" s="998">
        <v>1</v>
      </c>
      <c r="O65" s="998">
        <v>1</v>
      </c>
      <c r="P65" s="999"/>
      <c r="Q65" s="998"/>
      <c r="R65" s="1000">
        <f t="shared" si="6"/>
        <v>653</v>
      </c>
      <c r="S65" s="1001"/>
      <c r="T65" s="997">
        <v>0</v>
      </c>
      <c r="U65" s="998">
        <v>0</v>
      </c>
      <c r="V65" s="998">
        <v>0</v>
      </c>
      <c r="W65" s="998">
        <v>0</v>
      </c>
      <c r="X65" s="1002">
        <v>0</v>
      </c>
      <c r="Y65" s="1003">
        <f t="shared" si="3"/>
        <v>0.42640900000000004</v>
      </c>
      <c r="Z65" s="1004">
        <f t="shared" si="7"/>
        <v>767.53620000000012</v>
      </c>
      <c r="AA65" s="1001">
        <v>0</v>
      </c>
      <c r="AB65" s="997">
        <v>0</v>
      </c>
      <c r="AC65" s="1001">
        <v>0</v>
      </c>
      <c r="AD65" s="1001"/>
      <c r="AE65" s="997"/>
      <c r="AF65" s="1000"/>
      <c r="AG65" s="997">
        <v>99</v>
      </c>
      <c r="AH65" s="1001">
        <v>9999</v>
      </c>
      <c r="AI65" s="997">
        <v>99</v>
      </c>
      <c r="AJ65" s="1001">
        <v>9999</v>
      </c>
      <c r="AK65" s="998">
        <v>99</v>
      </c>
      <c r="AL65" s="1001">
        <v>9999</v>
      </c>
      <c r="AM65" s="997">
        <v>0</v>
      </c>
      <c r="AN65" s="1001">
        <v>0</v>
      </c>
      <c r="AO65" s="1001">
        <v>0</v>
      </c>
      <c r="AP65" s="997">
        <v>0</v>
      </c>
      <c r="AQ65" s="1001">
        <v>0</v>
      </c>
      <c r="AR65" s="1001">
        <v>0</v>
      </c>
      <c r="AS65" s="1001">
        <v>0</v>
      </c>
      <c r="AT65" s="1001">
        <v>0</v>
      </c>
      <c r="AU65" s="1007">
        <v>0</v>
      </c>
      <c r="AV65" s="1001">
        <v>0</v>
      </c>
      <c r="AW65" s="1001">
        <v>0</v>
      </c>
      <c r="AX65" s="28">
        <v>0</v>
      </c>
      <c r="AY65" s="639">
        <v>0.9</v>
      </c>
      <c r="AZ65" s="561"/>
      <c r="BA65" s="1005" t="s">
        <v>994</v>
      </c>
      <c r="BD65" s="1" t="s">
        <v>993</v>
      </c>
    </row>
    <row r="66" spans="1:56" x14ac:dyDescent="0.25">
      <c r="A66" s="12" t="str">
        <f t="shared" si="4"/>
        <v xml:space="preserve"> </v>
      </c>
      <c r="B66" s="36"/>
      <c r="C66" s="29"/>
      <c r="D66" s="22"/>
      <c r="E66" s="22"/>
      <c r="F66" s="22"/>
      <c r="G66" s="22"/>
      <c r="H66" s="45"/>
      <c r="I66" s="22"/>
      <c r="J66" s="12">
        <f t="shared" si="5"/>
        <v>0</v>
      </c>
      <c r="K66" s="29"/>
      <c r="L66" s="22"/>
      <c r="M66" s="22"/>
      <c r="N66" s="22"/>
      <c r="O66" s="22"/>
      <c r="P66" s="45"/>
      <c r="Q66" s="22"/>
      <c r="R66" s="12">
        <f t="shared" si="6"/>
        <v>0</v>
      </c>
      <c r="S66" s="28"/>
      <c r="T66" s="29"/>
      <c r="U66" s="22"/>
      <c r="V66" s="22"/>
      <c r="W66" s="22"/>
      <c r="X66" s="55"/>
      <c r="Y66" s="47">
        <f t="shared" si="3"/>
        <v>0</v>
      </c>
      <c r="Z66" s="49">
        <f t="shared" si="7"/>
        <v>0</v>
      </c>
      <c r="AA66" s="28"/>
      <c r="AB66" s="53"/>
      <c r="AC66" s="28"/>
      <c r="AD66" s="28"/>
      <c r="AE66" s="29"/>
      <c r="AF66" s="12"/>
      <c r="AG66" s="29"/>
      <c r="AH66" s="28"/>
      <c r="AI66" s="29"/>
      <c r="AJ66" s="28"/>
      <c r="AK66" s="22"/>
      <c r="AL66" s="28"/>
      <c r="AM66" s="29"/>
      <c r="AN66" s="28"/>
      <c r="AO66" s="28"/>
      <c r="AP66" s="29"/>
      <c r="AQ66" s="28"/>
      <c r="AR66" s="28"/>
      <c r="AS66" s="28"/>
      <c r="AT66" s="28"/>
      <c r="AU66" s="810"/>
      <c r="AV66" s="967"/>
      <c r="AW66" s="28"/>
      <c r="AX66" s="28"/>
      <c r="AY66" s="639"/>
      <c r="AZ66" s="557"/>
    </row>
    <row r="67" spans="1:56" x14ac:dyDescent="0.25">
      <c r="A67" s="12" t="str">
        <f t="shared" si="4"/>
        <v xml:space="preserve"> </v>
      </c>
      <c r="B67" s="36"/>
      <c r="C67" s="29"/>
      <c r="D67" s="22"/>
      <c r="E67" s="22"/>
      <c r="F67" s="22"/>
      <c r="G67" s="22"/>
      <c r="H67" s="45"/>
      <c r="I67" s="22"/>
      <c r="J67" s="12">
        <f t="shared" si="5"/>
        <v>0</v>
      </c>
      <c r="K67" s="29"/>
      <c r="L67" s="22"/>
      <c r="M67" s="22"/>
      <c r="N67" s="22"/>
      <c r="O67" s="22"/>
      <c r="P67" s="45"/>
      <c r="Q67" s="22"/>
      <c r="R67" s="12">
        <f t="shared" si="6"/>
        <v>0</v>
      </c>
      <c r="S67" s="28"/>
      <c r="T67" s="29"/>
      <c r="U67" s="22"/>
      <c r="V67" s="22"/>
      <c r="W67" s="22"/>
      <c r="X67" s="55"/>
      <c r="Y67" s="47">
        <f t="shared" si="3"/>
        <v>0</v>
      </c>
      <c r="Z67" s="49">
        <f t="shared" si="7"/>
        <v>0</v>
      </c>
      <c r="AA67" s="28"/>
      <c r="AB67" s="53"/>
      <c r="AC67" s="28"/>
      <c r="AD67" s="28"/>
      <c r="AE67" s="29"/>
      <c r="AF67" s="12"/>
      <c r="AG67" s="29"/>
      <c r="AH67" s="28"/>
      <c r="AI67" s="29"/>
      <c r="AJ67" s="28"/>
      <c r="AK67" s="22"/>
      <c r="AL67" s="28"/>
      <c r="AM67" s="29"/>
      <c r="AN67" s="28"/>
      <c r="AO67" s="28"/>
      <c r="AP67" s="29"/>
      <c r="AQ67" s="28"/>
      <c r="AR67" s="28"/>
      <c r="AS67" s="28"/>
      <c r="AT67" s="28"/>
      <c r="AU67" s="810"/>
      <c r="AV67" s="967"/>
      <c r="AW67" s="28"/>
      <c r="AX67" s="28"/>
      <c r="AY67" s="639"/>
      <c r="AZ67" s="557"/>
    </row>
    <row r="68" spans="1:56" x14ac:dyDescent="0.25">
      <c r="A68" s="12" t="str">
        <f t="shared" si="4"/>
        <v xml:space="preserve"> </v>
      </c>
      <c r="B68" s="36"/>
      <c r="C68" s="29"/>
      <c r="D68" s="22"/>
      <c r="E68" s="22"/>
      <c r="F68" s="22"/>
      <c r="G68" s="22"/>
      <c r="H68" s="45"/>
      <c r="I68" s="22"/>
      <c r="J68" s="12">
        <f t="shared" si="5"/>
        <v>0</v>
      </c>
      <c r="K68" s="29"/>
      <c r="L68" s="22"/>
      <c r="M68" s="22"/>
      <c r="N68" s="22"/>
      <c r="O68" s="22"/>
      <c r="P68" s="45"/>
      <c r="Q68" s="22"/>
      <c r="R68" s="12">
        <f t="shared" si="6"/>
        <v>0</v>
      </c>
      <c r="S68" s="28"/>
      <c r="T68" s="29"/>
      <c r="U68" s="22"/>
      <c r="V68" s="22"/>
      <c r="W68" s="22"/>
      <c r="X68" s="55"/>
      <c r="Y68" s="47">
        <f t="shared" si="3"/>
        <v>0</v>
      </c>
      <c r="Z68" s="49">
        <f t="shared" si="7"/>
        <v>0</v>
      </c>
      <c r="AA68" s="28"/>
      <c r="AB68" s="53"/>
      <c r="AC68" s="28"/>
      <c r="AD68" s="28"/>
      <c r="AE68" s="29"/>
      <c r="AF68" s="12"/>
      <c r="AG68" s="29"/>
      <c r="AH68" s="28"/>
      <c r="AI68" s="29"/>
      <c r="AJ68" s="28"/>
      <c r="AK68" s="22"/>
      <c r="AL68" s="28"/>
      <c r="AM68" s="29"/>
      <c r="AN68" s="28"/>
      <c r="AO68" s="28"/>
      <c r="AP68" s="29"/>
      <c r="AQ68" s="28"/>
      <c r="AR68" s="28"/>
      <c r="AS68" s="28"/>
      <c r="AT68" s="28"/>
      <c r="AU68" s="810"/>
      <c r="AV68" s="967"/>
      <c r="AW68" s="28"/>
      <c r="AX68" s="28"/>
      <c r="AY68" s="639"/>
      <c r="AZ68" s="557"/>
    </row>
    <row r="69" spans="1:56" x14ac:dyDescent="0.25">
      <c r="A69" s="12" t="str">
        <f t="shared" si="4"/>
        <v xml:space="preserve"> </v>
      </c>
      <c r="B69" s="36"/>
      <c r="C69" s="29"/>
      <c r="D69" s="22"/>
      <c r="E69" s="22"/>
      <c r="F69" s="22"/>
      <c r="G69" s="22"/>
      <c r="H69" s="45"/>
      <c r="I69" s="22"/>
      <c r="J69" s="12">
        <f t="shared" si="5"/>
        <v>0</v>
      </c>
      <c r="K69" s="29"/>
      <c r="L69" s="22"/>
      <c r="M69" s="22"/>
      <c r="N69" s="22"/>
      <c r="O69" s="22"/>
      <c r="P69" s="45"/>
      <c r="Q69" s="22"/>
      <c r="R69" s="12">
        <f t="shared" si="6"/>
        <v>0</v>
      </c>
      <c r="S69" s="28"/>
      <c r="T69" s="29"/>
      <c r="U69" s="22"/>
      <c r="V69" s="22"/>
      <c r="W69" s="22"/>
      <c r="X69" s="55"/>
      <c r="Y69" s="47">
        <f t="shared" si="3"/>
        <v>0</v>
      </c>
      <c r="Z69" s="49">
        <f t="shared" si="7"/>
        <v>0</v>
      </c>
      <c r="AA69" s="28"/>
      <c r="AB69" s="53"/>
      <c r="AC69" s="28"/>
      <c r="AD69" s="28"/>
      <c r="AE69" s="29"/>
      <c r="AF69" s="12"/>
      <c r="AG69" s="29"/>
      <c r="AH69" s="28"/>
      <c r="AI69" s="29"/>
      <c r="AJ69" s="28"/>
      <c r="AK69" s="22"/>
      <c r="AL69" s="28"/>
      <c r="AM69" s="29"/>
      <c r="AN69" s="28"/>
      <c r="AO69" s="28"/>
      <c r="AP69" s="29"/>
      <c r="AQ69" s="28"/>
      <c r="AR69" s="28"/>
      <c r="AS69" s="28"/>
      <c r="AT69" s="28"/>
      <c r="AU69" s="810"/>
      <c r="AV69" s="967"/>
      <c r="AW69" s="28"/>
      <c r="AX69" s="28"/>
      <c r="AY69" s="639"/>
      <c r="AZ69" s="557"/>
    </row>
    <row r="70" spans="1:56" x14ac:dyDescent="0.25">
      <c r="A70" s="13" t="str">
        <f t="shared" si="4"/>
        <v xml:space="preserve"> </v>
      </c>
      <c r="B70" s="37"/>
      <c r="C70" s="31"/>
      <c r="D70" s="32"/>
      <c r="E70" s="32"/>
      <c r="F70" s="32"/>
      <c r="G70" s="32"/>
      <c r="H70" s="46"/>
      <c r="I70" s="32"/>
      <c r="J70" s="13">
        <f t="shared" si="5"/>
        <v>0</v>
      </c>
      <c r="K70" s="31"/>
      <c r="L70" s="32"/>
      <c r="M70" s="32"/>
      <c r="N70" s="32"/>
      <c r="O70" s="32"/>
      <c r="P70" s="46"/>
      <c r="Q70" s="32"/>
      <c r="R70" s="13">
        <f t="shared" si="6"/>
        <v>0</v>
      </c>
      <c r="S70" s="34"/>
      <c r="T70" s="31"/>
      <c r="U70" s="32"/>
      <c r="V70" s="32"/>
      <c r="W70" s="32"/>
      <c r="X70" s="56"/>
      <c r="Y70" s="48">
        <f t="shared" si="3"/>
        <v>0</v>
      </c>
      <c r="Z70" s="50">
        <f t="shared" si="7"/>
        <v>0</v>
      </c>
      <c r="AA70" s="34"/>
      <c r="AB70" s="54"/>
      <c r="AC70" s="34"/>
      <c r="AD70" s="34"/>
      <c r="AE70" s="31"/>
      <c r="AF70" s="13"/>
      <c r="AG70" s="31"/>
      <c r="AH70" s="34"/>
      <c r="AI70" s="31"/>
      <c r="AJ70" s="34"/>
      <c r="AK70" s="32"/>
      <c r="AL70" s="34"/>
      <c r="AM70" s="31"/>
      <c r="AN70" s="34"/>
      <c r="AO70" s="34"/>
      <c r="AP70" s="31"/>
      <c r="AQ70" s="34"/>
      <c r="AR70" s="34"/>
      <c r="AS70" s="34"/>
      <c r="AT70" s="34"/>
      <c r="AU70" s="811"/>
      <c r="AV70" s="474"/>
      <c r="AW70" s="34"/>
      <c r="AX70" s="34"/>
      <c r="AY70" s="640"/>
      <c r="AZ70" s="559"/>
    </row>
    <row r="73" spans="1:56" x14ac:dyDescent="0.25">
      <c r="B73" t="s">
        <v>1009</v>
      </c>
    </row>
    <row r="74" spans="1:56" x14ac:dyDescent="0.25">
      <c r="B74"/>
    </row>
    <row r="75" spans="1:56" x14ac:dyDescent="0.25">
      <c r="B75" s="404"/>
      <c r="C75" s="412"/>
      <c r="D75" s="404"/>
      <c r="E75" s="1313" t="s">
        <v>9</v>
      </c>
      <c r="F75" s="1303"/>
      <c r="G75" s="1313" t="s">
        <v>18</v>
      </c>
      <c r="H75" s="1303"/>
      <c r="I75" s="1314" t="s">
        <v>19</v>
      </c>
      <c r="J75" s="1303"/>
      <c r="K75" s="1285" t="s">
        <v>1010</v>
      </c>
      <c r="L75" s="1286"/>
      <c r="M75" s="1286"/>
      <c r="N75" s="1286"/>
      <c r="O75" s="1286"/>
      <c r="P75" s="1284"/>
      <c r="Q75" s="442" t="s">
        <v>1007</v>
      </c>
    </row>
    <row r="76" spans="1:56" x14ac:dyDescent="0.25">
      <c r="B76" s="12" t="s">
        <v>912</v>
      </c>
      <c r="C76" s="2" t="s">
        <v>31</v>
      </c>
      <c r="D76" s="12" t="s">
        <v>1006</v>
      </c>
      <c r="E76" s="26" t="s">
        <v>150</v>
      </c>
      <c r="F76" s="25" t="s">
        <v>151</v>
      </c>
      <c r="G76" s="26" t="s">
        <v>691</v>
      </c>
      <c r="H76" s="25" t="s">
        <v>151</v>
      </c>
      <c r="I76" s="2" t="s">
        <v>691</v>
      </c>
      <c r="J76" s="25" t="s">
        <v>151</v>
      </c>
      <c r="K76" s="26" t="s">
        <v>983</v>
      </c>
      <c r="L76" s="442" t="s">
        <v>530</v>
      </c>
      <c r="M76" s="2" t="s">
        <v>1011</v>
      </c>
      <c r="N76" s="404"/>
      <c r="P76" s="404"/>
      <c r="Q76" s="12" t="s">
        <v>1008</v>
      </c>
    </row>
    <row r="77" spans="1:56" x14ac:dyDescent="0.25">
      <c r="B77" s="951"/>
      <c r="C77" s="23"/>
      <c r="D77" s="951"/>
      <c r="E77" s="208">
        <f>AG46</f>
        <v>100</v>
      </c>
      <c r="F77" s="208">
        <f t="shared" ref="F77:J77" si="8">AH46</f>
        <v>2000</v>
      </c>
      <c r="G77" s="208">
        <f t="shared" si="8"/>
        <v>70</v>
      </c>
      <c r="H77" s="208">
        <f t="shared" si="8"/>
        <v>1000</v>
      </c>
      <c r="I77" s="208">
        <f t="shared" si="8"/>
        <v>37</v>
      </c>
      <c r="J77" s="951">
        <f t="shared" si="8"/>
        <v>1200</v>
      </c>
      <c r="K77" s="208">
        <f>AO46</f>
        <v>0</v>
      </c>
      <c r="L77" s="951">
        <f>AP46</f>
        <v>0</v>
      </c>
      <c r="M77" s="23">
        <f>AX46</f>
        <v>1</v>
      </c>
      <c r="N77" s="959"/>
      <c r="O77" s="43"/>
      <c r="P77" s="959"/>
      <c r="Q77" s="952">
        <v>9</v>
      </c>
    </row>
    <row r="78" spans="1:56" x14ac:dyDescent="0.25">
      <c r="B78" s="951">
        <f>C6</f>
        <v>300</v>
      </c>
      <c r="C78" s="23">
        <f>C7</f>
        <v>250</v>
      </c>
      <c r="D78" s="951">
        <f>C8</f>
        <v>100</v>
      </c>
      <c r="E78" s="951">
        <f>IF(B78&gt;=E77,1,0)</f>
        <v>1</v>
      </c>
      <c r="F78" s="38">
        <f>IF(B78&lt;=F77,1,0)</f>
        <v>1</v>
      </c>
      <c r="G78" s="951">
        <f>IF(C78&gt;=G77,1,0)</f>
        <v>1</v>
      </c>
      <c r="H78" s="38">
        <f>IF(C78&lt;=H77,1,0)</f>
        <v>1</v>
      </c>
      <c r="I78" s="951">
        <f>IF(D78&gt;=I77,1,0)</f>
        <v>1</v>
      </c>
      <c r="J78" s="38">
        <f>IF(D78&lt;=J77,1,0)</f>
        <v>1</v>
      </c>
      <c r="K78" s="432">
        <f>IF(K77=0,1,IF(AND(K77=1,C8&lt;=C6),1,0))</f>
        <v>1</v>
      </c>
      <c r="L78" s="13">
        <f>IF(L77=0,1,IF(AND(L77=1,C6&gt;=(C7*2)),1,0))</f>
        <v>1</v>
      </c>
      <c r="M78" s="965">
        <f>IF(M77=0,1,IF(AND(M77=1,C8&gt;=(C6*0.1)),1,0))</f>
        <v>1</v>
      </c>
      <c r="N78" s="52"/>
      <c r="O78" s="918"/>
      <c r="P78" s="52"/>
      <c r="Q78" s="13">
        <f>IF(SUM(E78:P78)=Q77,1,0)</f>
        <v>1</v>
      </c>
    </row>
    <row r="79" spans="1:56" x14ac:dyDescent="0.25">
      <c r="B79"/>
    </row>
    <row r="80" spans="1:56" x14ac:dyDescent="0.25">
      <c r="B80"/>
    </row>
    <row r="81" spans="1:7" x14ac:dyDescent="0.25">
      <c r="B81"/>
    </row>
    <row r="82" spans="1:7" x14ac:dyDescent="0.25">
      <c r="B82"/>
    </row>
    <row r="84" spans="1:7" x14ac:dyDescent="0.25">
      <c r="B84" s="1" t="s">
        <v>890</v>
      </c>
    </row>
    <row r="85" spans="1:7" x14ac:dyDescent="0.25">
      <c r="A85" s="17"/>
      <c r="B85" s="42" t="s">
        <v>2</v>
      </c>
      <c r="C85" s="21" t="s">
        <v>57</v>
      </c>
      <c r="D85" s="21" t="s">
        <v>58</v>
      </c>
      <c r="E85" s="473" t="s">
        <v>854</v>
      </c>
      <c r="F85" s="208" t="s">
        <v>891</v>
      </c>
      <c r="G85" s="473" t="s">
        <v>892</v>
      </c>
    </row>
    <row r="86" spans="1:7" x14ac:dyDescent="0.25">
      <c r="A86" s="11"/>
      <c r="B86" s="35"/>
      <c r="C86" s="51"/>
      <c r="D86" s="51"/>
      <c r="E86" s="841"/>
      <c r="F86" s="404"/>
      <c r="G86" s="404"/>
    </row>
    <row r="87" spans="1:7" x14ac:dyDescent="0.25">
      <c r="A87" s="12" t="str">
        <f t="shared" ref="A87:B102" si="9">A50</f>
        <v xml:space="preserve"> </v>
      </c>
      <c r="B87" s="36" t="str">
        <f t="shared" si="9"/>
        <v>0110</v>
      </c>
      <c r="C87" s="12">
        <f t="shared" ref="C87:C107" si="10">J50</f>
        <v>300</v>
      </c>
      <c r="D87" s="12">
        <f t="shared" ref="D87:D107" si="11">R50</f>
        <v>250</v>
      </c>
      <c r="E87" s="557">
        <v>1</v>
      </c>
      <c r="F87" s="12">
        <f>C87</f>
        <v>300</v>
      </c>
      <c r="G87" s="12">
        <f>D87</f>
        <v>250</v>
      </c>
    </row>
    <row r="88" spans="1:7" x14ac:dyDescent="0.25">
      <c r="A88" s="12" t="str">
        <f t="shared" si="9"/>
        <v xml:space="preserve"> </v>
      </c>
      <c r="B88" s="36" t="str">
        <f t="shared" si="9"/>
        <v>0200</v>
      </c>
      <c r="C88" s="12">
        <f t="shared" si="10"/>
        <v>232</v>
      </c>
      <c r="D88" s="12">
        <f t="shared" si="11"/>
        <v>1114</v>
      </c>
      <c r="E88" s="557">
        <v>2</v>
      </c>
      <c r="F88" s="12">
        <f t="shared" ref="F88:G103" si="12">C88</f>
        <v>232</v>
      </c>
      <c r="G88" s="12">
        <f>D88/E88</f>
        <v>557</v>
      </c>
    </row>
    <row r="89" spans="1:7" x14ac:dyDescent="0.25">
      <c r="A89" s="12">
        <f t="shared" si="9"/>
        <v>1</v>
      </c>
      <c r="B89" s="36" t="str">
        <f t="shared" si="9"/>
        <v>0201</v>
      </c>
      <c r="C89" s="12">
        <f t="shared" si="10"/>
        <v>361</v>
      </c>
      <c r="D89" s="12">
        <f t="shared" si="11"/>
        <v>1114</v>
      </c>
      <c r="E89" s="557">
        <v>2</v>
      </c>
      <c r="F89" s="12">
        <f t="shared" si="12"/>
        <v>361</v>
      </c>
      <c r="G89" s="12">
        <f t="shared" ref="G89:G90" si="13">D89/E89</f>
        <v>557</v>
      </c>
    </row>
    <row r="90" spans="1:7" x14ac:dyDescent="0.25">
      <c r="A90" s="12" t="str">
        <f t="shared" si="9"/>
        <v xml:space="preserve"> </v>
      </c>
      <c r="B90" s="36" t="str">
        <f t="shared" si="9"/>
        <v>0203</v>
      </c>
      <c r="C90" s="12">
        <f t="shared" si="10"/>
        <v>614</v>
      </c>
      <c r="D90" s="12">
        <f t="shared" si="11"/>
        <v>1114</v>
      </c>
      <c r="E90" s="557">
        <v>2</v>
      </c>
      <c r="F90" s="12">
        <f t="shared" si="12"/>
        <v>614</v>
      </c>
      <c r="G90" s="12">
        <f t="shared" si="13"/>
        <v>557</v>
      </c>
    </row>
    <row r="91" spans="1:7" x14ac:dyDescent="0.25">
      <c r="A91" s="12" t="str">
        <f t="shared" si="9"/>
        <v xml:space="preserve"> </v>
      </c>
      <c r="B91" s="36" t="str">
        <f t="shared" si="9"/>
        <v>0409</v>
      </c>
      <c r="C91" s="12">
        <f t="shared" si="10"/>
        <v>514</v>
      </c>
      <c r="D91" s="12">
        <f t="shared" si="11"/>
        <v>819</v>
      </c>
      <c r="E91" s="557">
        <v>1</v>
      </c>
      <c r="F91" s="12">
        <f t="shared" si="12"/>
        <v>514</v>
      </c>
      <c r="G91" s="12">
        <f t="shared" si="12"/>
        <v>819</v>
      </c>
    </row>
    <row r="92" spans="1:7" x14ac:dyDescent="0.25">
      <c r="A92" s="12" t="str">
        <f t="shared" si="9"/>
        <v xml:space="preserve"> </v>
      </c>
      <c r="B92" s="36" t="str">
        <f t="shared" si="9"/>
        <v>0410</v>
      </c>
      <c r="C92" s="12">
        <f t="shared" si="10"/>
        <v>514</v>
      </c>
      <c r="D92" s="12">
        <f t="shared" si="11"/>
        <v>819</v>
      </c>
      <c r="E92" s="557">
        <v>1</v>
      </c>
      <c r="F92" s="12">
        <f t="shared" si="12"/>
        <v>514</v>
      </c>
      <c r="G92" s="12">
        <f t="shared" si="12"/>
        <v>819</v>
      </c>
    </row>
    <row r="93" spans="1:7" x14ac:dyDescent="0.25">
      <c r="A93" s="12" t="str">
        <f t="shared" si="9"/>
        <v xml:space="preserve"> </v>
      </c>
      <c r="B93" s="36" t="str">
        <f t="shared" si="9"/>
        <v>0412</v>
      </c>
      <c r="C93" s="12">
        <f t="shared" si="10"/>
        <v>978</v>
      </c>
      <c r="D93" s="12">
        <f t="shared" si="11"/>
        <v>616</v>
      </c>
      <c r="E93" s="557">
        <v>1</v>
      </c>
      <c r="F93" s="12">
        <f t="shared" si="12"/>
        <v>978</v>
      </c>
      <c r="G93" s="12">
        <f t="shared" si="12"/>
        <v>616</v>
      </c>
    </row>
    <row r="94" spans="1:7" x14ac:dyDescent="0.25">
      <c r="A94" s="12" t="str">
        <f t="shared" si="9"/>
        <v xml:space="preserve"> </v>
      </c>
      <c r="B94" s="36" t="str">
        <f t="shared" si="9"/>
        <v>0427</v>
      </c>
      <c r="C94" s="12">
        <f t="shared" si="10"/>
        <v>760</v>
      </c>
      <c r="D94" s="12">
        <f t="shared" si="11"/>
        <v>819</v>
      </c>
      <c r="E94" s="557">
        <v>1</v>
      </c>
      <c r="F94" s="12">
        <f t="shared" si="12"/>
        <v>760</v>
      </c>
      <c r="G94" s="12">
        <f t="shared" si="12"/>
        <v>819</v>
      </c>
    </row>
    <row r="95" spans="1:7" x14ac:dyDescent="0.25">
      <c r="A95" s="12" t="str">
        <f t="shared" si="9"/>
        <v xml:space="preserve"> </v>
      </c>
      <c r="B95" s="36" t="str">
        <f t="shared" si="9"/>
        <v>0421</v>
      </c>
      <c r="C95" s="12">
        <f t="shared" si="10"/>
        <v>748</v>
      </c>
      <c r="D95" s="12">
        <f t="shared" si="11"/>
        <v>741</v>
      </c>
      <c r="E95" s="557">
        <v>1</v>
      </c>
      <c r="F95" s="12">
        <f t="shared" si="12"/>
        <v>748</v>
      </c>
      <c r="G95" s="12">
        <f t="shared" si="12"/>
        <v>741</v>
      </c>
    </row>
    <row r="96" spans="1:7" x14ac:dyDescent="0.25">
      <c r="A96" s="12" t="str">
        <f t="shared" si="9"/>
        <v xml:space="preserve"> </v>
      </c>
      <c r="B96" s="36" t="str">
        <f t="shared" si="9"/>
        <v>0422</v>
      </c>
      <c r="C96" s="12">
        <f t="shared" si="10"/>
        <v>748</v>
      </c>
      <c r="D96" s="12">
        <f t="shared" si="11"/>
        <v>458</v>
      </c>
      <c r="E96" s="557">
        <v>1</v>
      </c>
      <c r="F96" s="12">
        <f t="shared" si="12"/>
        <v>748</v>
      </c>
      <c r="G96" s="12">
        <f t="shared" si="12"/>
        <v>458</v>
      </c>
    </row>
    <row r="97" spans="1:9" x14ac:dyDescent="0.25">
      <c r="A97" s="12" t="str">
        <f t="shared" si="9"/>
        <v xml:space="preserve"> </v>
      </c>
      <c r="B97" s="36" t="str">
        <f t="shared" si="9"/>
        <v>0452</v>
      </c>
      <c r="C97" s="12">
        <f t="shared" si="10"/>
        <v>464</v>
      </c>
      <c r="D97" s="12">
        <f t="shared" si="11"/>
        <v>508</v>
      </c>
      <c r="E97" s="557">
        <v>1</v>
      </c>
      <c r="F97" s="12">
        <f t="shared" si="12"/>
        <v>464</v>
      </c>
      <c r="G97" s="12">
        <f t="shared" si="12"/>
        <v>508</v>
      </c>
    </row>
    <row r="98" spans="1:9" x14ac:dyDescent="0.25">
      <c r="A98" s="12" t="str">
        <f t="shared" si="9"/>
        <v xml:space="preserve"> </v>
      </c>
      <c r="B98" s="36" t="str">
        <f t="shared" si="9"/>
        <v>0501</v>
      </c>
      <c r="C98" s="12">
        <f t="shared" si="10"/>
        <v>100</v>
      </c>
      <c r="D98" s="12">
        <f t="shared" si="11"/>
        <v>1114</v>
      </c>
      <c r="E98" s="557">
        <v>2</v>
      </c>
      <c r="F98" s="12">
        <f t="shared" si="12"/>
        <v>100</v>
      </c>
      <c r="G98" s="12">
        <f>D98/E98</f>
        <v>557</v>
      </c>
    </row>
    <row r="99" spans="1:9" x14ac:dyDescent="0.25">
      <c r="A99" s="12" t="str">
        <f t="shared" si="9"/>
        <v xml:space="preserve"> </v>
      </c>
      <c r="B99" s="36" t="str">
        <f t="shared" si="9"/>
        <v>0401</v>
      </c>
      <c r="C99" s="12">
        <f t="shared" si="10"/>
        <v>722</v>
      </c>
      <c r="D99" s="12">
        <f t="shared" si="11"/>
        <v>616</v>
      </c>
      <c r="E99" s="557">
        <v>1</v>
      </c>
      <c r="F99" s="12">
        <f t="shared" si="12"/>
        <v>722</v>
      </c>
      <c r="G99" s="12">
        <f t="shared" si="12"/>
        <v>616</v>
      </c>
    </row>
    <row r="100" spans="1:9" x14ac:dyDescent="0.25">
      <c r="A100" s="12" t="str">
        <f t="shared" si="9"/>
        <v xml:space="preserve"> </v>
      </c>
      <c r="B100" s="36" t="str">
        <f t="shared" si="9"/>
        <v>0471</v>
      </c>
      <c r="C100" s="12">
        <f t="shared" si="10"/>
        <v>822</v>
      </c>
      <c r="D100" s="12">
        <f t="shared" si="11"/>
        <v>826</v>
      </c>
      <c r="E100" s="557">
        <v>1</v>
      </c>
      <c r="F100" s="12">
        <f t="shared" si="12"/>
        <v>822</v>
      </c>
      <c r="G100" s="12">
        <f t="shared" si="12"/>
        <v>826</v>
      </c>
    </row>
    <row r="101" spans="1:9" x14ac:dyDescent="0.25">
      <c r="A101" s="12" t="str">
        <f t="shared" si="9"/>
        <v xml:space="preserve"> </v>
      </c>
      <c r="B101" s="36" t="str">
        <f t="shared" si="9"/>
        <v>0933</v>
      </c>
      <c r="C101" s="12">
        <f t="shared" si="10"/>
        <v>653</v>
      </c>
      <c r="D101" s="12">
        <f t="shared" si="11"/>
        <v>653</v>
      </c>
      <c r="E101" s="557">
        <v>1</v>
      </c>
      <c r="F101" s="12">
        <f t="shared" si="12"/>
        <v>653</v>
      </c>
      <c r="G101" s="12">
        <f t="shared" si="12"/>
        <v>653</v>
      </c>
    </row>
    <row r="102" spans="1:9" x14ac:dyDescent="0.25">
      <c r="A102" s="12" t="str">
        <f t="shared" si="9"/>
        <v xml:space="preserve"> </v>
      </c>
      <c r="B102" s="36" t="str">
        <f t="shared" si="9"/>
        <v>0701</v>
      </c>
      <c r="C102" s="12">
        <f t="shared" si="10"/>
        <v>653</v>
      </c>
      <c r="D102" s="12">
        <f t="shared" si="11"/>
        <v>653</v>
      </c>
      <c r="E102" s="557">
        <v>1</v>
      </c>
      <c r="F102" s="12">
        <f t="shared" si="12"/>
        <v>653</v>
      </c>
      <c r="G102" s="12">
        <f t="shared" si="12"/>
        <v>653</v>
      </c>
    </row>
    <row r="103" spans="1:9" x14ac:dyDescent="0.25">
      <c r="A103" s="12" t="str">
        <f t="shared" ref="A103:B107" si="14">A66</f>
        <v xml:space="preserve"> </v>
      </c>
      <c r="B103" s="36">
        <f t="shared" si="14"/>
        <v>0</v>
      </c>
      <c r="C103" s="12">
        <f t="shared" si="10"/>
        <v>0</v>
      </c>
      <c r="D103" s="12">
        <f t="shared" si="11"/>
        <v>0</v>
      </c>
      <c r="E103" s="557"/>
      <c r="F103" s="12">
        <f t="shared" si="12"/>
        <v>0</v>
      </c>
      <c r="G103" s="12">
        <f t="shared" si="12"/>
        <v>0</v>
      </c>
    </row>
    <row r="104" spans="1:9" x14ac:dyDescent="0.25">
      <c r="A104" s="12" t="str">
        <f t="shared" si="14"/>
        <v xml:space="preserve"> </v>
      </c>
      <c r="B104" s="36">
        <f t="shared" si="14"/>
        <v>0</v>
      </c>
      <c r="C104" s="12">
        <f t="shared" si="10"/>
        <v>0</v>
      </c>
      <c r="D104" s="12">
        <f t="shared" si="11"/>
        <v>0</v>
      </c>
      <c r="E104" s="557"/>
      <c r="F104" s="12">
        <f t="shared" ref="F104:G107" si="15">C104</f>
        <v>0</v>
      </c>
      <c r="G104" s="12">
        <f t="shared" si="15"/>
        <v>0</v>
      </c>
    </row>
    <row r="105" spans="1:9" x14ac:dyDescent="0.25">
      <c r="A105" s="12" t="str">
        <f t="shared" si="14"/>
        <v xml:space="preserve"> </v>
      </c>
      <c r="B105" s="36">
        <f t="shared" si="14"/>
        <v>0</v>
      </c>
      <c r="C105" s="12">
        <f t="shared" si="10"/>
        <v>0</v>
      </c>
      <c r="D105" s="12">
        <f t="shared" si="11"/>
        <v>0</v>
      </c>
      <c r="E105" s="557"/>
      <c r="F105" s="12">
        <f t="shared" si="15"/>
        <v>0</v>
      </c>
      <c r="G105" s="12">
        <f t="shared" si="15"/>
        <v>0</v>
      </c>
    </row>
    <row r="106" spans="1:9" x14ac:dyDescent="0.25">
      <c r="A106" s="12" t="str">
        <f t="shared" si="14"/>
        <v xml:space="preserve"> </v>
      </c>
      <c r="B106" s="36">
        <f t="shared" si="14"/>
        <v>0</v>
      </c>
      <c r="C106" s="12">
        <f t="shared" si="10"/>
        <v>0</v>
      </c>
      <c r="D106" s="12">
        <f t="shared" si="11"/>
        <v>0</v>
      </c>
      <c r="E106" s="842"/>
      <c r="F106" s="12">
        <f t="shared" si="15"/>
        <v>0</v>
      </c>
      <c r="G106" s="12">
        <f t="shared" si="15"/>
        <v>0</v>
      </c>
      <c r="H106" s="843" t="s">
        <v>508</v>
      </c>
      <c r="I106" s="404" t="s">
        <v>605</v>
      </c>
    </row>
    <row r="107" spans="1:9" x14ac:dyDescent="0.25">
      <c r="A107" s="13" t="str">
        <f t="shared" si="14"/>
        <v xml:space="preserve"> </v>
      </c>
      <c r="B107" s="37">
        <f t="shared" si="14"/>
        <v>0</v>
      </c>
      <c r="C107" s="13">
        <f t="shared" si="10"/>
        <v>0</v>
      </c>
      <c r="D107" s="13">
        <f t="shared" si="11"/>
        <v>0</v>
      </c>
      <c r="E107" s="842"/>
      <c r="F107" s="12">
        <f t="shared" si="15"/>
        <v>0</v>
      </c>
      <c r="G107" s="12">
        <f t="shared" si="15"/>
        <v>0</v>
      </c>
      <c r="H107" s="844" t="s">
        <v>604</v>
      </c>
      <c r="I107" s="52" t="s">
        <v>603</v>
      </c>
    </row>
    <row r="108" spans="1:9" x14ac:dyDescent="0.25">
      <c r="A108" s="16"/>
      <c r="B108" s="57" t="s">
        <v>92</v>
      </c>
      <c r="C108" s="21">
        <f>VLOOKUP(1,A87:G107,3,FALSE)</f>
        <v>361</v>
      </c>
      <c r="D108" s="38">
        <f>VLOOKUP(1,A87:G107,4,FALSE)</f>
        <v>1114</v>
      </c>
      <c r="E108" s="473">
        <f>VLOOKUP(1,A87:G107,5,FALSE)</f>
        <v>2</v>
      </c>
      <c r="F108" s="473">
        <f>VLOOKUP(1,A87:G107,6,FALSE)</f>
        <v>361</v>
      </c>
      <c r="G108" s="473">
        <f>VLOOKUP(1,A87:G107,7,FALSE)</f>
        <v>557</v>
      </c>
      <c r="H108" s="844">
        <f>(C108/1000)*(D108/1000)</f>
        <v>0.40215400000000001</v>
      </c>
      <c r="I108" s="545">
        <f>H108*C3</f>
        <v>723.87720000000002</v>
      </c>
    </row>
    <row r="111" spans="1:9" x14ac:dyDescent="0.25">
      <c r="B111" s="1" t="s">
        <v>82</v>
      </c>
      <c r="C111" s="21">
        <f>VLOOKUP(1,A113:C116,3,FALSE)</f>
        <v>0</v>
      </c>
      <c r="D111" s="21">
        <f>VLOOKUP(1,A113:D116,4,FALSE)</f>
        <v>0</v>
      </c>
    </row>
    <row r="112" spans="1:9" x14ac:dyDescent="0.25">
      <c r="A112" s="16"/>
      <c r="B112" s="42" t="s">
        <v>39</v>
      </c>
      <c r="C112" s="38" t="s">
        <v>95</v>
      </c>
      <c r="D112" s="13" t="s">
        <v>838</v>
      </c>
    </row>
    <row r="113" spans="1:5" x14ac:dyDescent="0.25">
      <c r="A113" s="11">
        <f>IF($C$14=B113,1," ")</f>
        <v>1</v>
      </c>
      <c r="B113" s="469" t="s">
        <v>1146</v>
      </c>
      <c r="C113" s="40">
        <v>0</v>
      </c>
      <c r="D113" s="486">
        <v>0</v>
      </c>
    </row>
    <row r="114" spans="1:5" x14ac:dyDescent="0.25">
      <c r="A114" s="12" t="str">
        <f t="shared" ref="A114:A116" si="16">IF($C$14=B114,1," ")</f>
        <v xml:space="preserve"> </v>
      </c>
      <c r="B114" s="61" t="s">
        <v>1147</v>
      </c>
      <c r="C114" s="28">
        <v>1</v>
      </c>
      <c r="D114" s="28">
        <v>30</v>
      </c>
    </row>
    <row r="115" spans="1:5" x14ac:dyDescent="0.25">
      <c r="A115" s="12" t="str">
        <f t="shared" si="16"/>
        <v xml:space="preserve"> </v>
      </c>
      <c r="B115" s="61" t="s">
        <v>1148</v>
      </c>
      <c r="C115" s="28">
        <v>1</v>
      </c>
      <c r="D115" s="28">
        <v>40</v>
      </c>
    </row>
    <row r="116" spans="1:5" x14ac:dyDescent="0.25">
      <c r="A116" s="13" t="str">
        <f t="shared" si="16"/>
        <v xml:space="preserve"> </v>
      </c>
      <c r="B116" s="1158" t="s">
        <v>1149</v>
      </c>
      <c r="C116" s="34">
        <v>2</v>
      </c>
      <c r="D116" s="34">
        <v>80</v>
      </c>
    </row>
    <row r="118" spans="1:5" x14ac:dyDescent="0.25">
      <c r="E118" s="794">
        <v>0.06</v>
      </c>
    </row>
    <row r="119" spans="1:5" x14ac:dyDescent="0.25">
      <c r="C119" s="620">
        <f>VLOOKUP(1,A121:C128,3,FALSE)</f>
        <v>0.05</v>
      </c>
      <c r="D119" s="480">
        <f>VLOOKUP(1,A121:D128,4,FALSE)</f>
        <v>2.0107700000000003E-2</v>
      </c>
      <c r="E119" s="796">
        <f>IF(VLOOKUP(1,A121:E128,5,FALSE)&lt;=D111,D111,VLOOKUP(1,A121:E128,5,FALSE))</f>
        <v>2.1716316000000004</v>
      </c>
    </row>
    <row r="120" spans="1:5" x14ac:dyDescent="0.25">
      <c r="A120" s="16"/>
      <c r="B120" s="42" t="s">
        <v>39</v>
      </c>
      <c r="C120" s="473" t="s">
        <v>489</v>
      </c>
      <c r="D120" s="473" t="s">
        <v>837</v>
      </c>
      <c r="E120" s="442" t="s">
        <v>839</v>
      </c>
    </row>
    <row r="121" spans="1:5" x14ac:dyDescent="0.25">
      <c r="A121" s="11">
        <f>IF($C$15=B121,1," ")</f>
        <v>1</v>
      </c>
      <c r="B121" s="60" t="s">
        <v>84</v>
      </c>
      <c r="C121" s="639">
        <v>0.05</v>
      </c>
      <c r="D121" s="47">
        <f t="shared" ref="D121:D128" si="17">C121*$H$108</f>
        <v>2.0107700000000003E-2</v>
      </c>
      <c r="E121" s="797">
        <f t="shared" ref="E121:E128" si="18">(D121*$C$3)*$E$118</f>
        <v>2.1716316000000004</v>
      </c>
    </row>
    <row r="122" spans="1:5" x14ac:dyDescent="0.25">
      <c r="A122" s="12" t="str">
        <f t="shared" ref="A122:A128" si="19">IF($C$15=B122,1," ")</f>
        <v xml:space="preserve"> </v>
      </c>
      <c r="B122" s="61" t="s">
        <v>85</v>
      </c>
      <c r="C122" s="639">
        <v>0.1</v>
      </c>
      <c r="D122" s="47">
        <f t="shared" si="17"/>
        <v>4.0215400000000005E-2</v>
      </c>
      <c r="E122" s="798">
        <f t="shared" si="18"/>
        <v>4.3432632000000009</v>
      </c>
    </row>
    <row r="123" spans="1:5" x14ac:dyDescent="0.25">
      <c r="A123" s="12" t="str">
        <f t="shared" si="19"/>
        <v xml:space="preserve"> </v>
      </c>
      <c r="B123" s="61" t="s">
        <v>86</v>
      </c>
      <c r="C123" s="639">
        <v>0.2</v>
      </c>
      <c r="D123" s="47">
        <f t="shared" si="17"/>
        <v>8.0430800000000011E-2</v>
      </c>
      <c r="E123" s="798">
        <f t="shared" si="18"/>
        <v>8.6865264000000018</v>
      </c>
    </row>
    <row r="124" spans="1:5" x14ac:dyDescent="0.25">
      <c r="A124" s="12" t="str">
        <f t="shared" si="19"/>
        <v xml:space="preserve"> </v>
      </c>
      <c r="B124" s="61" t="s">
        <v>87</v>
      </c>
      <c r="C124" s="639">
        <v>0.3</v>
      </c>
      <c r="D124" s="47">
        <f t="shared" si="17"/>
        <v>0.1206462</v>
      </c>
      <c r="E124" s="798">
        <f t="shared" si="18"/>
        <v>13.029789599999999</v>
      </c>
    </row>
    <row r="125" spans="1:5" x14ac:dyDescent="0.25">
      <c r="A125" s="12" t="str">
        <f t="shared" si="19"/>
        <v xml:space="preserve"> </v>
      </c>
      <c r="B125" s="61" t="s">
        <v>88</v>
      </c>
      <c r="C125" s="639">
        <v>0.4</v>
      </c>
      <c r="D125" s="47">
        <f t="shared" si="17"/>
        <v>0.16086160000000002</v>
      </c>
      <c r="E125" s="798">
        <f t="shared" si="18"/>
        <v>17.373052800000004</v>
      </c>
    </row>
    <row r="126" spans="1:5" x14ac:dyDescent="0.25">
      <c r="A126" s="12" t="str">
        <f t="shared" si="19"/>
        <v xml:space="preserve"> </v>
      </c>
      <c r="B126" s="61" t="s">
        <v>89</v>
      </c>
      <c r="C126" s="639">
        <v>0.6</v>
      </c>
      <c r="D126" s="47">
        <f t="shared" si="17"/>
        <v>0.24129239999999999</v>
      </c>
      <c r="E126" s="798">
        <f t="shared" si="18"/>
        <v>26.059579199999998</v>
      </c>
    </row>
    <row r="127" spans="1:5" x14ac:dyDescent="0.25">
      <c r="A127" s="12" t="str">
        <f t="shared" si="19"/>
        <v xml:space="preserve"> </v>
      </c>
      <c r="B127" s="61" t="s">
        <v>90</v>
      </c>
      <c r="C127" s="639">
        <v>0.8</v>
      </c>
      <c r="D127" s="47">
        <f t="shared" si="17"/>
        <v>0.32172320000000004</v>
      </c>
      <c r="E127" s="798">
        <f t="shared" si="18"/>
        <v>34.746105600000007</v>
      </c>
    </row>
    <row r="128" spans="1:5" x14ac:dyDescent="0.25">
      <c r="A128" s="13" t="str">
        <f t="shared" si="19"/>
        <v xml:space="preserve"> </v>
      </c>
      <c r="B128" s="62" t="s">
        <v>91</v>
      </c>
      <c r="C128" s="640">
        <v>1</v>
      </c>
      <c r="D128" s="795">
        <f t="shared" si="17"/>
        <v>0.40215400000000001</v>
      </c>
      <c r="E128" s="799">
        <f t="shared" si="18"/>
        <v>43.432631999999998</v>
      </c>
    </row>
    <row r="131" spans="1:25" x14ac:dyDescent="0.25">
      <c r="B131" s="1" t="s">
        <v>93</v>
      </c>
      <c r="C131" s="21">
        <f>VLOOKUP(1,A133:C136,3,FALSE)</f>
        <v>0</v>
      </c>
    </row>
    <row r="132" spans="1:25" x14ac:dyDescent="0.25">
      <c r="A132" s="213"/>
      <c r="B132" s="509" t="s">
        <v>39</v>
      </c>
      <c r="C132" s="473" t="s">
        <v>562</v>
      </c>
    </row>
    <row r="133" spans="1:25" x14ac:dyDescent="0.25">
      <c r="A133" s="442">
        <f>IF($C$16=B133,1," ")</f>
        <v>1</v>
      </c>
      <c r="B133" s="36" t="s">
        <v>1150</v>
      </c>
      <c r="C133" s="28">
        <v>0</v>
      </c>
    </row>
    <row r="134" spans="1:25" x14ac:dyDescent="0.25">
      <c r="A134" s="12" t="str">
        <f>IF($C$16=B134,1," ")</f>
        <v xml:space="preserve"> </v>
      </c>
      <c r="B134" s="36" t="s">
        <v>1151</v>
      </c>
      <c r="C134" s="28">
        <v>2</v>
      </c>
    </row>
    <row r="135" spans="1:25" x14ac:dyDescent="0.25">
      <c r="A135" s="12" t="str">
        <f>IF($C$16=B135,1," ")</f>
        <v xml:space="preserve"> </v>
      </c>
      <c r="B135" s="36" t="s">
        <v>1152</v>
      </c>
      <c r="C135" s="28">
        <v>2</v>
      </c>
    </row>
    <row r="136" spans="1:25" x14ac:dyDescent="0.25">
      <c r="A136" s="13" t="str">
        <f>IF($C$16=B136,1," ")</f>
        <v xml:space="preserve"> </v>
      </c>
      <c r="B136" s="37"/>
      <c r="C136" s="474"/>
    </row>
    <row r="138" spans="1:25" s="320" customFormat="1" x14ac:dyDescent="0.25">
      <c r="Y138" s="343"/>
    </row>
    <row r="139" spans="1:25" x14ac:dyDescent="0.25">
      <c r="B139"/>
    </row>
    <row r="140" spans="1:25" x14ac:dyDescent="0.25">
      <c r="B140" t="s">
        <v>589</v>
      </c>
      <c r="C140" s="473">
        <f>AR46</f>
        <v>1</v>
      </c>
      <c r="E140" t="s">
        <v>815</v>
      </c>
      <c r="G140" s="484">
        <v>300</v>
      </c>
      <c r="H140" s="473">
        <f>IF(AND(C140=1,C141&lt;=G140),1,0)</f>
        <v>0</v>
      </c>
    </row>
    <row r="141" spans="1:25" x14ac:dyDescent="0.25">
      <c r="B141" t="s">
        <v>588</v>
      </c>
      <c r="C141" s="473">
        <f>C6+C7</f>
        <v>550</v>
      </c>
      <c r="D141" t="s">
        <v>25</v>
      </c>
    </row>
    <row r="142" spans="1:25" x14ac:dyDescent="0.25">
      <c r="B142" t="s">
        <v>590</v>
      </c>
      <c r="C142" s="473">
        <f>C108</f>
        <v>361</v>
      </c>
      <c r="D142" t="s">
        <v>25</v>
      </c>
    </row>
    <row r="143" spans="1:25" x14ac:dyDescent="0.25">
      <c r="B143"/>
    </row>
    <row r="144" spans="1:25" ht="15.75" thickBot="1" x14ac:dyDescent="0.3">
      <c r="B144" s="2">
        <v>2</v>
      </c>
      <c r="C144" s="2">
        <v>3</v>
      </c>
      <c r="D144" s="2">
        <v>4</v>
      </c>
      <c r="E144" s="2">
        <v>5</v>
      </c>
      <c r="F144" s="2">
        <v>6</v>
      </c>
      <c r="G144" s="2">
        <v>7</v>
      </c>
      <c r="H144" s="2">
        <v>8</v>
      </c>
      <c r="I144" s="2">
        <v>9</v>
      </c>
      <c r="J144" s="2">
        <v>10</v>
      </c>
      <c r="K144" s="2">
        <v>11</v>
      </c>
      <c r="L144" s="2">
        <v>12</v>
      </c>
      <c r="M144" s="2">
        <v>13</v>
      </c>
      <c r="N144" s="2">
        <v>14</v>
      </c>
      <c r="O144" s="2"/>
    </row>
    <row r="145" spans="1:25" ht="15.75" thickBot="1" x14ac:dyDescent="0.3">
      <c r="A145" s="670"/>
      <c r="B145" s="671" t="s">
        <v>28</v>
      </c>
      <c r="C145" s="519">
        <f>IF(H140=1,0,IF(AND(C141&lt;=C157,C142&lt;=D158),1,IF(C142&lt;=C158,1,0)))*C140</f>
        <v>0</v>
      </c>
      <c r="D145" s="519">
        <f>IF(H140=1,1,IF(AND(C141&lt;=D157,C142&gt;=D158),1,0))*C140</f>
        <v>0</v>
      </c>
      <c r="E145" s="519">
        <f t="shared" ref="E145:N145" si="20">VLOOKUP(1,148:158,E144,FALSE)</f>
        <v>2</v>
      </c>
      <c r="F145" s="467">
        <f t="shared" si="20"/>
        <v>3</v>
      </c>
      <c r="G145" s="467">
        <f t="shared" si="20"/>
        <v>0.95</v>
      </c>
      <c r="H145" s="467">
        <f t="shared" si="20"/>
        <v>0.8</v>
      </c>
      <c r="I145" s="467">
        <f t="shared" si="20"/>
        <v>3</v>
      </c>
      <c r="J145" s="467">
        <f t="shared" si="20"/>
        <v>0.8</v>
      </c>
      <c r="K145" s="467">
        <f t="shared" si="20"/>
        <v>25</v>
      </c>
      <c r="L145" s="467">
        <f t="shared" si="20"/>
        <v>300</v>
      </c>
      <c r="M145" s="467">
        <f t="shared" si="20"/>
        <v>300</v>
      </c>
      <c r="N145" s="1094">
        <f t="shared" si="20"/>
        <v>1</v>
      </c>
      <c r="O145" s="281"/>
    </row>
    <row r="146" spans="1:25" x14ac:dyDescent="0.25">
      <c r="A146" s="339"/>
      <c r="B146" s="7"/>
      <c r="C146" s="120"/>
      <c r="D146" s="41"/>
      <c r="E146" s="41"/>
      <c r="F146" s="41"/>
      <c r="G146" s="41"/>
      <c r="H146" s="41"/>
      <c r="I146" s="41"/>
      <c r="J146" s="41"/>
      <c r="K146" s="887"/>
      <c r="L146" s="887"/>
      <c r="M146" s="887"/>
      <c r="N146" s="1040"/>
      <c r="O146" s="41"/>
    </row>
    <row r="147" spans="1:25" x14ac:dyDescent="0.25">
      <c r="A147" s="341"/>
      <c r="B147" s="434"/>
      <c r="C147" s="202" t="s">
        <v>585</v>
      </c>
      <c r="D147" s="13" t="s">
        <v>587</v>
      </c>
      <c r="E147" s="13" t="s">
        <v>20</v>
      </c>
      <c r="F147" s="13" t="s">
        <v>713</v>
      </c>
      <c r="G147" s="13" t="s">
        <v>793</v>
      </c>
      <c r="H147" s="13" t="s">
        <v>990</v>
      </c>
      <c r="I147" s="13" t="s">
        <v>855</v>
      </c>
      <c r="J147" s="13" t="s">
        <v>856</v>
      </c>
      <c r="K147" s="12" t="s">
        <v>938</v>
      </c>
      <c r="L147" s="12" t="s">
        <v>967</v>
      </c>
      <c r="M147" s="12" t="s">
        <v>968</v>
      </c>
      <c r="N147" s="432" t="s">
        <v>1058</v>
      </c>
      <c r="O147" s="12"/>
    </row>
    <row r="148" spans="1:25" x14ac:dyDescent="0.25">
      <c r="A148" s="442" t="str">
        <f t="shared" ref="A148:A157" si="21">IF($C$4=B148,1," ")</f>
        <v xml:space="preserve"> </v>
      </c>
      <c r="B148" s="516" t="s">
        <v>30</v>
      </c>
      <c r="C148" s="486">
        <v>390</v>
      </c>
      <c r="D148" s="486">
        <v>390</v>
      </c>
      <c r="E148" s="28">
        <v>1</v>
      </c>
      <c r="F148" s="28">
        <v>1.5</v>
      </c>
      <c r="G148" s="969">
        <v>1</v>
      </c>
      <c r="H148" s="969">
        <v>1</v>
      </c>
      <c r="I148" s="28">
        <v>4</v>
      </c>
      <c r="J148" s="28">
        <v>1</v>
      </c>
      <c r="K148" s="486">
        <v>50</v>
      </c>
      <c r="L148" s="486">
        <v>600</v>
      </c>
      <c r="M148" s="486">
        <v>600</v>
      </c>
      <c r="N148" s="1041">
        <v>1</v>
      </c>
      <c r="O148" s="968"/>
    </row>
    <row r="149" spans="1:25" x14ac:dyDescent="0.25">
      <c r="A149" s="12">
        <f t="shared" si="21"/>
        <v>1</v>
      </c>
      <c r="B149" s="77" t="s">
        <v>31</v>
      </c>
      <c r="C149" s="28">
        <v>400</v>
      </c>
      <c r="D149" s="28">
        <v>400</v>
      </c>
      <c r="E149" s="28">
        <v>2</v>
      </c>
      <c r="F149" s="28">
        <v>3</v>
      </c>
      <c r="G149" s="969">
        <v>0.95</v>
      </c>
      <c r="H149" s="969">
        <v>0.8</v>
      </c>
      <c r="I149" s="28">
        <v>3</v>
      </c>
      <c r="J149" s="28">
        <v>0.8</v>
      </c>
      <c r="K149" s="28">
        <v>25</v>
      </c>
      <c r="L149" s="28">
        <v>300</v>
      </c>
      <c r="M149" s="28">
        <v>300</v>
      </c>
      <c r="N149" s="1042">
        <v>1</v>
      </c>
      <c r="O149" s="969"/>
    </row>
    <row r="150" spans="1:25" x14ac:dyDescent="0.25">
      <c r="A150" s="13" t="str">
        <f t="shared" si="21"/>
        <v xml:space="preserve"> </v>
      </c>
      <c r="B150" s="416" t="s">
        <v>32</v>
      </c>
      <c r="C150" s="34">
        <v>405</v>
      </c>
      <c r="D150" s="34">
        <v>405</v>
      </c>
      <c r="E150" s="28">
        <v>3</v>
      </c>
      <c r="F150" s="28">
        <v>4</v>
      </c>
      <c r="G150" s="969">
        <v>0.9</v>
      </c>
      <c r="H150" s="969">
        <v>0.75</v>
      </c>
      <c r="I150" s="28">
        <v>2</v>
      </c>
      <c r="J150" s="28">
        <v>0.6</v>
      </c>
      <c r="K150" s="34">
        <v>20</v>
      </c>
      <c r="L150" s="34">
        <v>250</v>
      </c>
      <c r="M150" s="34">
        <v>250</v>
      </c>
      <c r="N150" s="1043">
        <v>1</v>
      </c>
      <c r="O150" s="970"/>
    </row>
    <row r="151" spans="1:25" x14ac:dyDescent="0.25">
      <c r="A151" s="12" t="str">
        <f t="shared" si="21"/>
        <v xml:space="preserve"> </v>
      </c>
      <c r="B151" s="77" t="s">
        <v>36</v>
      </c>
      <c r="C151" s="28">
        <v>600</v>
      </c>
      <c r="D151" s="486">
        <v>500</v>
      </c>
      <c r="E151" s="486">
        <v>4</v>
      </c>
      <c r="F151" s="486">
        <v>6</v>
      </c>
      <c r="G151" s="968">
        <v>0.65</v>
      </c>
      <c r="H151" s="968">
        <v>0.6</v>
      </c>
      <c r="I151" s="486">
        <v>1</v>
      </c>
      <c r="J151" s="486">
        <v>0.4</v>
      </c>
      <c r="K151" s="486">
        <v>15</v>
      </c>
      <c r="L151" s="486">
        <v>200</v>
      </c>
      <c r="M151" s="486">
        <v>200</v>
      </c>
      <c r="N151" s="1041">
        <v>1</v>
      </c>
      <c r="O151" s="968"/>
    </row>
    <row r="152" spans="1:25" x14ac:dyDescent="0.25">
      <c r="A152" s="12" t="str">
        <f t="shared" si="21"/>
        <v xml:space="preserve"> </v>
      </c>
      <c r="B152" s="77" t="s">
        <v>34</v>
      </c>
      <c r="C152" s="28">
        <v>410</v>
      </c>
      <c r="D152" s="28">
        <v>410</v>
      </c>
      <c r="E152" s="28">
        <v>2</v>
      </c>
      <c r="F152" s="28">
        <v>3</v>
      </c>
      <c r="G152" s="969">
        <v>1</v>
      </c>
      <c r="H152" s="969">
        <v>0.7</v>
      </c>
      <c r="I152" s="28">
        <v>3</v>
      </c>
      <c r="J152" s="28">
        <v>0.8</v>
      </c>
      <c r="K152" s="28">
        <v>25</v>
      </c>
      <c r="L152" s="28">
        <v>300</v>
      </c>
      <c r="M152" s="28">
        <v>300</v>
      </c>
      <c r="N152" s="1042">
        <v>1</v>
      </c>
      <c r="O152" s="969"/>
    </row>
    <row r="153" spans="1:25" x14ac:dyDescent="0.25">
      <c r="A153" s="12" t="str">
        <f t="shared" si="21"/>
        <v xml:space="preserve"> </v>
      </c>
      <c r="B153" s="77" t="s">
        <v>33</v>
      </c>
      <c r="C153" s="28">
        <v>500</v>
      </c>
      <c r="D153" s="28">
        <v>450</v>
      </c>
      <c r="E153" s="28">
        <v>3</v>
      </c>
      <c r="F153" s="28">
        <v>4</v>
      </c>
      <c r="G153" s="969">
        <v>0.85</v>
      </c>
      <c r="H153" s="969">
        <v>0.7</v>
      </c>
      <c r="I153" s="28">
        <v>2</v>
      </c>
      <c r="J153" s="28">
        <v>0.6</v>
      </c>
      <c r="K153" s="28">
        <v>20</v>
      </c>
      <c r="L153" s="28">
        <v>250</v>
      </c>
      <c r="M153" s="28">
        <v>250</v>
      </c>
      <c r="N153" s="1042">
        <v>1</v>
      </c>
      <c r="O153" s="969"/>
    </row>
    <row r="154" spans="1:25" x14ac:dyDescent="0.25">
      <c r="A154" s="12" t="str">
        <f t="shared" si="21"/>
        <v xml:space="preserve"> </v>
      </c>
      <c r="B154" s="77" t="s">
        <v>35</v>
      </c>
      <c r="C154" s="28">
        <v>500</v>
      </c>
      <c r="D154" s="28">
        <v>450</v>
      </c>
      <c r="E154" s="28">
        <v>3</v>
      </c>
      <c r="F154" s="28">
        <v>3.5</v>
      </c>
      <c r="G154" s="969">
        <v>0.85</v>
      </c>
      <c r="H154" s="969">
        <v>0.7</v>
      </c>
      <c r="I154" s="28">
        <v>2</v>
      </c>
      <c r="J154" s="28">
        <v>0.6</v>
      </c>
      <c r="K154" s="28">
        <v>20</v>
      </c>
      <c r="L154" s="28">
        <v>250</v>
      </c>
      <c r="M154" s="28">
        <v>250</v>
      </c>
      <c r="N154" s="1042">
        <v>1</v>
      </c>
      <c r="O154" s="969"/>
    </row>
    <row r="155" spans="1:25" x14ac:dyDescent="0.25">
      <c r="A155" s="515" t="str">
        <f t="shared" si="21"/>
        <v xml:space="preserve"> </v>
      </c>
      <c r="B155" s="77" t="s">
        <v>37</v>
      </c>
      <c r="C155" s="28">
        <v>600</v>
      </c>
      <c r="D155" s="28">
        <v>500</v>
      </c>
      <c r="E155" s="28">
        <v>6</v>
      </c>
      <c r="F155" s="28">
        <v>9</v>
      </c>
      <c r="G155" s="969">
        <v>0.65</v>
      </c>
      <c r="H155" s="969">
        <v>0.35</v>
      </c>
      <c r="I155" s="28">
        <v>1</v>
      </c>
      <c r="J155" s="28">
        <v>0.2</v>
      </c>
      <c r="K155" s="28">
        <v>1</v>
      </c>
      <c r="L155" s="28">
        <v>1</v>
      </c>
      <c r="M155" s="28">
        <v>1</v>
      </c>
      <c r="N155" s="1042">
        <v>1</v>
      </c>
      <c r="O155" s="969"/>
    </row>
    <row r="156" spans="1:25" x14ac:dyDescent="0.25">
      <c r="A156" s="13" t="str">
        <f t="shared" si="21"/>
        <v xml:space="preserve"> </v>
      </c>
      <c r="B156" s="416" t="s">
        <v>38</v>
      </c>
      <c r="C156" s="34">
        <v>700</v>
      </c>
      <c r="D156" s="34">
        <v>600</v>
      </c>
      <c r="E156" s="34">
        <v>9</v>
      </c>
      <c r="F156" s="34">
        <v>13</v>
      </c>
      <c r="G156" s="970">
        <v>0.5</v>
      </c>
      <c r="H156" s="970">
        <v>0.35</v>
      </c>
      <c r="I156" s="34">
        <v>1</v>
      </c>
      <c r="J156" s="34">
        <v>0.1</v>
      </c>
      <c r="K156" s="28">
        <v>1</v>
      </c>
      <c r="L156" s="28">
        <v>1</v>
      </c>
      <c r="M156" s="28">
        <v>1</v>
      </c>
      <c r="N156" s="1043">
        <v>1</v>
      </c>
      <c r="O156" s="970"/>
    </row>
    <row r="157" spans="1:25" x14ac:dyDescent="0.25">
      <c r="A157" s="411" t="str">
        <f t="shared" si="21"/>
        <v xml:space="preserve"> </v>
      </c>
      <c r="B157" s="405" t="s">
        <v>28</v>
      </c>
      <c r="C157" s="473">
        <f>VLOOKUP(1,A148:C156,3,FALSE)</f>
        <v>400</v>
      </c>
      <c r="D157" s="473">
        <f>VLOOKUP(1,A148:D156,4,FALSE)</f>
        <v>400</v>
      </c>
      <c r="E157" s="486"/>
      <c r="F157" s="486"/>
      <c r="G157" s="486"/>
      <c r="H157" s="486"/>
      <c r="I157" s="486"/>
      <c r="J157" s="486"/>
      <c r="K157" s="886"/>
      <c r="L157" s="886"/>
      <c r="M157" s="886"/>
      <c r="N157" s="53"/>
      <c r="O157" s="967"/>
    </row>
    <row r="158" spans="1:25" x14ac:dyDescent="0.25">
      <c r="A158" s="8"/>
      <c r="B158" s="341" t="s">
        <v>586</v>
      </c>
      <c r="C158" s="484">
        <v>325</v>
      </c>
      <c r="D158" s="34">
        <v>1100</v>
      </c>
      <c r="E158" s="34"/>
      <c r="F158" s="34"/>
      <c r="G158" s="34"/>
      <c r="H158" s="34"/>
      <c r="I158" s="34"/>
      <c r="J158" s="34"/>
      <c r="K158" s="474"/>
      <c r="L158" s="474"/>
      <c r="M158" s="474"/>
      <c r="N158" s="1044"/>
      <c r="O158" s="474"/>
    </row>
    <row r="159" spans="1:25" x14ac:dyDescent="0.25">
      <c r="B159"/>
    </row>
    <row r="160" spans="1:25" s="320" customFormat="1" x14ac:dyDescent="0.25">
      <c r="B160" s="441"/>
      <c r="Y160" s="343"/>
    </row>
    <row r="162" spans="1:10" x14ac:dyDescent="0.25">
      <c r="B162" s="215" t="s">
        <v>194</v>
      </c>
    </row>
    <row r="163" spans="1:10" x14ac:dyDescent="0.25">
      <c r="C163" s="2"/>
    </row>
    <row r="164" spans="1:10" x14ac:dyDescent="0.25">
      <c r="A164" s="2" t="s">
        <v>176</v>
      </c>
      <c r="C164" s="2" t="s">
        <v>168</v>
      </c>
      <c r="D164" s="2" t="s">
        <v>169</v>
      </c>
      <c r="E164" s="2" t="s">
        <v>170</v>
      </c>
      <c r="H164" s="59" t="s">
        <v>1326</v>
      </c>
    </row>
    <row r="165" spans="1:10" x14ac:dyDescent="0.25">
      <c r="A165" s="216">
        <f>IF(SUM(D165:E165)&gt;0,1,0)</f>
        <v>0</v>
      </c>
      <c r="B165" s="221" t="s">
        <v>166</v>
      </c>
      <c r="C165" s="219">
        <v>70</v>
      </c>
      <c r="D165" s="208">
        <f>AC46</f>
        <v>0</v>
      </c>
      <c r="E165" s="216">
        <f>E175</f>
        <v>0</v>
      </c>
      <c r="H165" s="14"/>
      <c r="I165" s="412"/>
      <c r="J165" s="486">
        <v>3</v>
      </c>
    </row>
    <row r="166" spans="1:10" x14ac:dyDescent="0.25">
      <c r="A166" s="13">
        <f>IF(SUM(D166:E166)&gt;0,1,0)</f>
        <v>0</v>
      </c>
      <c r="B166" s="37" t="s">
        <v>167</v>
      </c>
      <c r="C166" s="219">
        <v>50</v>
      </c>
      <c r="D166" s="18">
        <f>AC46</f>
        <v>0</v>
      </c>
      <c r="E166" s="34">
        <v>0</v>
      </c>
      <c r="H166" s="14" t="s">
        <v>1327</v>
      </c>
      <c r="I166" s="547">
        <f>E238</f>
        <v>320</v>
      </c>
      <c r="J166" s="442">
        <f>IF(OR(C184&gt;=I166,C185&gt;=I166,C186&gt;=I166,C187&gt;=I166),1,0)</f>
        <v>1</v>
      </c>
    </row>
    <row r="167" spans="1:10" x14ac:dyDescent="0.25">
      <c r="H167" s="6" t="s">
        <v>1328</v>
      </c>
      <c r="I167" s="556">
        <f>D242</f>
        <v>1400</v>
      </c>
      <c r="J167" s="12">
        <f>IF(OR(C184&lt;=I167,C185&lt;=I167,C186&lt;=I167,C187&lt;=I167),1,0)</f>
        <v>1</v>
      </c>
    </row>
    <row r="168" spans="1:10" x14ac:dyDescent="0.25">
      <c r="H168" s="570" t="s">
        <v>1329</v>
      </c>
      <c r="I168" s="443">
        <f>F242</f>
        <v>1580</v>
      </c>
      <c r="J168" s="13">
        <f>IF(E183&lt;=I168,1,0)</f>
        <v>1</v>
      </c>
    </row>
    <row r="169" spans="1:10" x14ac:dyDescent="0.25">
      <c r="B169" s="221"/>
      <c r="C169" s="216" t="s">
        <v>75</v>
      </c>
      <c r="D169" s="216" t="s">
        <v>76</v>
      </c>
      <c r="E169" s="38" t="s">
        <v>173</v>
      </c>
      <c r="H169" s="950" t="s">
        <v>1292</v>
      </c>
      <c r="I169" s="1204"/>
      <c r="J169" s="951">
        <f>IF(SUM(J166:J168)=J165,1,0)</f>
        <v>1</v>
      </c>
    </row>
    <row r="170" spans="1:10" x14ac:dyDescent="0.25">
      <c r="B170" s="37" t="s">
        <v>172</v>
      </c>
      <c r="C170" s="13">
        <f>AD46</f>
        <v>127</v>
      </c>
      <c r="D170" s="13">
        <f>AE46</f>
        <v>127</v>
      </c>
      <c r="E170" s="20">
        <f>SUM(C170:D170)</f>
        <v>254</v>
      </c>
    </row>
    <row r="171" spans="1:10" x14ac:dyDescent="0.25">
      <c r="C171" s="2"/>
      <c r="D171" s="2"/>
      <c r="E171" s="2"/>
    </row>
    <row r="173" spans="1:10" x14ac:dyDescent="0.25">
      <c r="B173" s="35"/>
      <c r="C173" s="11">
        <v>51</v>
      </c>
      <c r="D173" s="11">
        <v>76</v>
      </c>
      <c r="E173" s="11" t="s">
        <v>174</v>
      </c>
    </row>
    <row r="174" spans="1:10" x14ac:dyDescent="0.25">
      <c r="B174" s="37"/>
      <c r="C174" s="13">
        <v>74</v>
      </c>
      <c r="D174" s="13">
        <v>93</v>
      </c>
      <c r="E174" s="13" t="s">
        <v>175</v>
      </c>
    </row>
    <row r="175" spans="1:10" x14ac:dyDescent="0.25">
      <c r="B175" s="220" t="s">
        <v>171</v>
      </c>
      <c r="C175" s="216">
        <f>IF(AND(E170&gt;=C173,E170&lt;=C174),1,0)</f>
        <v>0</v>
      </c>
      <c r="D175" s="38">
        <f>IF(AND(E170&gt;=D173,E170&lt;=D174),1,0)</f>
        <v>0</v>
      </c>
      <c r="E175" s="216">
        <f>IF(SUM(C175:D175)&gt;0,1,0)</f>
        <v>0</v>
      </c>
    </row>
    <row r="178" spans="1:23" ht="15.75" thickBot="1" x14ac:dyDescent="0.3">
      <c r="S178" s="1285" t="s">
        <v>729</v>
      </c>
      <c r="T178" s="1286"/>
      <c r="U178" s="1286"/>
      <c r="V178" s="1284"/>
    </row>
    <row r="179" spans="1:23" x14ac:dyDescent="0.25">
      <c r="A179" s="243"/>
      <c r="B179" s="278" t="s">
        <v>166</v>
      </c>
      <c r="C179" s="241">
        <f>A165*C165</f>
        <v>0</v>
      </c>
      <c r="D179" s="70">
        <v>2</v>
      </c>
      <c r="E179" s="260"/>
      <c r="F179" s="15"/>
      <c r="G179" s="4"/>
      <c r="H179" s="264"/>
      <c r="I179" s="265"/>
      <c r="J179" s="15"/>
      <c r="K179" s="51"/>
      <c r="L179" s="511" t="s">
        <v>188</v>
      </c>
      <c r="M179" s="438"/>
      <c r="N179" s="476"/>
      <c r="O179" s="431" t="s">
        <v>1325</v>
      </c>
      <c r="P179" s="431" t="s">
        <v>28</v>
      </c>
      <c r="Q179" s="476"/>
      <c r="R179" s="501" t="s">
        <v>555</v>
      </c>
      <c r="S179" s="433"/>
      <c r="T179" s="404"/>
      <c r="U179" s="404"/>
      <c r="V179" s="404"/>
    </row>
    <row r="180" spans="1:23" ht="15.75" thickBot="1" x14ac:dyDescent="0.3">
      <c r="A180" s="244"/>
      <c r="B180" s="279" t="s">
        <v>167</v>
      </c>
      <c r="C180" s="241">
        <f>A166*C166</f>
        <v>0</v>
      </c>
      <c r="D180" s="33">
        <v>40</v>
      </c>
      <c r="E180" s="244"/>
      <c r="F180" s="9"/>
      <c r="G180" s="9"/>
      <c r="H180" s="266"/>
      <c r="I180" s="267"/>
      <c r="J180" s="9"/>
      <c r="K180" s="13"/>
      <c r="L180" s="276">
        <f>AA46</f>
        <v>1</v>
      </c>
      <c r="M180" s="415"/>
      <c r="N180" s="8"/>
      <c r="O180" s="18">
        <f>IF(C111&gt;0,1,0)</f>
        <v>0</v>
      </c>
      <c r="P180" s="18">
        <f>IF(C131=0,0,1)</f>
        <v>0</v>
      </c>
      <c r="Q180" s="415"/>
      <c r="R180" s="445">
        <f>IF(SUM(R184:R187)&gt;0,1,0)</f>
        <v>1</v>
      </c>
      <c r="S180" s="434"/>
      <c r="T180" s="13"/>
      <c r="U180" s="13"/>
      <c r="V180" s="13"/>
      <c r="W180" s="2"/>
    </row>
    <row r="181" spans="1:23" ht="15.75" thickTop="1" x14ac:dyDescent="0.25">
      <c r="A181" s="6"/>
      <c r="B181" s="274" t="s">
        <v>61</v>
      </c>
      <c r="C181" s="256" t="s">
        <v>18</v>
      </c>
      <c r="D181" s="226" t="s">
        <v>24</v>
      </c>
      <c r="E181" s="3" t="s">
        <v>184</v>
      </c>
      <c r="F181" s="248" t="s">
        <v>186</v>
      </c>
      <c r="G181" s="3" t="s">
        <v>184</v>
      </c>
      <c r="H181" s="1287" t="s">
        <v>99</v>
      </c>
      <c r="I181" s="1288"/>
      <c r="J181" s="226" t="s">
        <v>100</v>
      </c>
      <c r="K181" s="137" t="s">
        <v>164</v>
      </c>
      <c r="L181" s="292" t="s">
        <v>189</v>
      </c>
      <c r="M181" s="439" t="s">
        <v>495</v>
      </c>
      <c r="N181" s="476" t="s">
        <v>556</v>
      </c>
      <c r="O181" s="476" t="s">
        <v>567</v>
      </c>
      <c r="P181" s="431" t="s">
        <v>576</v>
      </c>
      <c r="Q181" s="239" t="s">
        <v>714</v>
      </c>
      <c r="R181" s="269" t="s">
        <v>191</v>
      </c>
      <c r="S181" s="235" t="s">
        <v>192</v>
      </c>
      <c r="T181" s="442" t="s">
        <v>726</v>
      </c>
      <c r="U181" s="661" t="s">
        <v>149</v>
      </c>
      <c r="V181" s="661" t="s">
        <v>110</v>
      </c>
      <c r="W181" s="2"/>
    </row>
    <row r="182" spans="1:23" x14ac:dyDescent="0.25">
      <c r="A182" s="6"/>
      <c r="B182" s="256" t="s">
        <v>180</v>
      </c>
      <c r="C182" s="256" t="s">
        <v>109</v>
      </c>
      <c r="D182" s="228" t="s">
        <v>182</v>
      </c>
      <c r="E182" s="26" t="s">
        <v>185</v>
      </c>
      <c r="F182" s="249" t="s">
        <v>181</v>
      </c>
      <c r="G182" s="26" t="s">
        <v>185</v>
      </c>
      <c r="H182" s="268" t="s">
        <v>181</v>
      </c>
      <c r="I182" s="269" t="s">
        <v>182</v>
      </c>
      <c r="J182" s="228" t="s">
        <v>187</v>
      </c>
      <c r="K182" s="120" t="s">
        <v>180</v>
      </c>
      <c r="L182" s="78" t="s">
        <v>190</v>
      </c>
      <c r="M182" s="26" t="s">
        <v>96</v>
      </c>
      <c r="N182" s="8"/>
      <c r="O182" s="227" t="s">
        <v>774</v>
      </c>
      <c r="P182" s="26" t="s">
        <v>577</v>
      </c>
      <c r="Q182" s="242" t="s">
        <v>96</v>
      </c>
      <c r="R182" s="675" t="s">
        <v>96</v>
      </c>
      <c r="S182" s="277" t="s">
        <v>193</v>
      </c>
      <c r="T182" s="120" t="s">
        <v>727</v>
      </c>
      <c r="U182" s="120" t="s">
        <v>728</v>
      </c>
      <c r="V182" s="120" t="s">
        <v>728</v>
      </c>
    </row>
    <row r="183" spans="1:23" x14ac:dyDescent="0.25">
      <c r="A183" s="8"/>
      <c r="B183" s="275"/>
      <c r="C183" s="257" t="s">
        <v>183</v>
      </c>
      <c r="D183" s="70">
        <v>1000</v>
      </c>
      <c r="E183" s="208">
        <f>D108</f>
        <v>1114</v>
      </c>
      <c r="F183" s="250">
        <v>4000</v>
      </c>
      <c r="G183" s="208">
        <f>D108</f>
        <v>1114</v>
      </c>
      <c r="H183" s="263">
        <v>1400</v>
      </c>
      <c r="I183" s="270">
        <v>530</v>
      </c>
      <c r="J183" s="20"/>
      <c r="K183" s="216">
        <f>AN46</f>
        <v>4</v>
      </c>
      <c r="L183" s="262">
        <v>95</v>
      </c>
      <c r="M183" s="213"/>
      <c r="N183" s="31">
        <v>200</v>
      </c>
      <c r="O183" s="473">
        <f>IF(OR(C111=0,C111=1,C111=2),1,0)</f>
        <v>1</v>
      </c>
      <c r="P183" s="208">
        <f>AQ46</f>
        <v>1</v>
      </c>
      <c r="Q183" s="241">
        <f>'Prijs karton (2)'!AD16</f>
        <v>1</v>
      </c>
      <c r="R183" s="676">
        <v>10</v>
      </c>
      <c r="S183" s="230">
        <v>6</v>
      </c>
      <c r="T183" s="41"/>
      <c r="U183" s="52"/>
      <c r="V183" s="52"/>
    </row>
    <row r="184" spans="1:23" x14ac:dyDescent="0.25">
      <c r="A184" s="26" t="str">
        <f>IF(R184=1,B184," ")</f>
        <v xml:space="preserve"> </v>
      </c>
      <c r="B184" s="258">
        <v>1</v>
      </c>
      <c r="C184" s="258">
        <f>(C108*B184)+(2*C180)</f>
        <v>361</v>
      </c>
      <c r="D184" s="251">
        <f>IF(E184&lt;=$D$179,E184*$E$183,IF(E184&gt;$D$179,(E184*$E$183)+$D$180))</f>
        <v>1114</v>
      </c>
      <c r="E184" s="3">
        <f>CEILING(D183/E183,1)</f>
        <v>1</v>
      </c>
      <c r="F184" s="236">
        <f>IF(G184&lt;=$D$179,G184*$G$183,IF(G184&gt;$D$179,(G184*$G$183)+$D$180))</f>
        <v>3382</v>
      </c>
      <c r="G184" s="4">
        <f>IF((F183/G183)&gt;D179,FLOOR((F183-D180)/G183,1),IF((F183/G183)&lt;=D179,FLOOR((F183/G183),1)))</f>
        <v>3</v>
      </c>
      <c r="H184" s="271">
        <f>IF(C184&lt;=$H$183,1,0)</f>
        <v>1</v>
      </c>
      <c r="I184" s="239">
        <f>IF(C184&gt;=$I$183,1,0)</f>
        <v>0</v>
      </c>
      <c r="J184" s="25">
        <f>IF(AND(E184&gt;0,G184&gt;0),1,0)</f>
        <v>1</v>
      </c>
      <c r="K184" s="11">
        <f>IF(B184&lt;=$K$183,1,0)</f>
        <v>1</v>
      </c>
      <c r="L184" s="3">
        <f>IF(L180=0,1,IF(AND(L180=1,C8&gt;=L183),1,IF(AND(L180=1,C8&lt;L183),0)))</f>
        <v>1</v>
      </c>
      <c r="M184" s="26">
        <f>T46</f>
        <v>1</v>
      </c>
      <c r="N184" s="26">
        <f>IF($E$183&gt;=$N$183,1,0)</f>
        <v>1</v>
      </c>
      <c r="O184" s="26">
        <f>$O$183</f>
        <v>1</v>
      </c>
      <c r="P184" s="431">
        <f>IF($P$180=0,1,IF(AND($P$180=1,$P$183=1),1,IF(AND($P$180=1,$P$183=0),0)))</f>
        <v>1</v>
      </c>
      <c r="Q184" s="240">
        <f>$Q$183</f>
        <v>1</v>
      </c>
      <c r="R184" s="485">
        <f>IF(SUM(H184:Q184)=$R$183,1,0)</f>
        <v>0</v>
      </c>
      <c r="S184" s="271">
        <f>IF(SUM(H184:K184)+M184+Q184=$S$183,1,0)</f>
        <v>0</v>
      </c>
      <c r="T184" s="442" t="str">
        <f>IF(S184=1,B184," ")</f>
        <v xml:space="preserve"> </v>
      </c>
      <c r="U184" s="442" t="str">
        <f>IF(S184=1,E184," ")</f>
        <v xml:space="preserve"> </v>
      </c>
      <c r="V184" s="12" t="str">
        <f>IF(S184=1,G184," ")</f>
        <v xml:space="preserve"> </v>
      </c>
    </row>
    <row r="185" spans="1:23" x14ac:dyDescent="0.25">
      <c r="A185" s="26">
        <f>IF(R185=1,B185," ")</f>
        <v>2</v>
      </c>
      <c r="B185" s="259">
        <v>2</v>
      </c>
      <c r="C185" s="259">
        <f>(C108*B185)+(2*C180)+(B184*C179)</f>
        <v>722</v>
      </c>
      <c r="D185" s="252">
        <f>IF(E185&lt;=$D$179,E185*$E$183,IF(E185&gt;$D$179,(E185*$E$183)+$D$180))</f>
        <v>1114</v>
      </c>
      <c r="E185" s="26">
        <f>CEILING(D183/E183,1)</f>
        <v>1</v>
      </c>
      <c r="F185" s="237">
        <f>IF(G185&lt;=$D$179,G185*$G$183,IF(G185&gt;$D$179,(G185*$G$183)+$D$180))</f>
        <v>3382</v>
      </c>
      <c r="G185" s="2">
        <f>IF((F183/G183)&gt;D179,FLOOR((F183-D180)/G183,1),IF((F183/G183)&lt;=D179,FLOOR((F183/G183),1)))</f>
        <v>3</v>
      </c>
      <c r="H185" s="272">
        <f>IF(C185&lt;=$H$183,1,0)</f>
        <v>1</v>
      </c>
      <c r="I185" s="240">
        <f t="shared" ref="I185:I187" si="22">IF(C185&gt;=$I$183,1,0)</f>
        <v>1</v>
      </c>
      <c r="J185" s="25">
        <f>IF(AND(E185&gt;0,G185&gt;0),1,0)</f>
        <v>1</v>
      </c>
      <c r="K185" s="12">
        <f>IF(B185&lt;=$K$183,1,0)</f>
        <v>1</v>
      </c>
      <c r="L185" s="26">
        <f>IF(L180=0,1,IF(AND(L180=1,C8&gt;=L183),1,IF(AND(L180=1,C8&lt;L183),0)))</f>
        <v>1</v>
      </c>
      <c r="M185" s="26">
        <f>T46</f>
        <v>1</v>
      </c>
      <c r="N185" s="26">
        <f>IF($E$183&gt;=$N$183,1,0)</f>
        <v>1</v>
      </c>
      <c r="O185" s="26">
        <f>$O$183</f>
        <v>1</v>
      </c>
      <c r="P185" s="26">
        <f>IF($P$180=0,1,IF(AND($P$180=1,$P$183=1),1,IF(AND($P$180=1,$P$183=0),0)))</f>
        <v>1</v>
      </c>
      <c r="Q185" s="240">
        <f t="shared" ref="Q185:Q187" si="23">$Q$183</f>
        <v>1</v>
      </c>
      <c r="R185" s="246">
        <f t="shared" ref="R185:R187" si="24">IF(SUM(H185:Q185)=$R$183,1,0)</f>
        <v>1</v>
      </c>
      <c r="S185" s="272">
        <f t="shared" ref="S185:S187" si="25">IF(SUM(H185:K185)+M185+Q185=$S$183,1,0)</f>
        <v>1</v>
      </c>
      <c r="T185" s="12">
        <f>IF(S185=1,B185," ")</f>
        <v>2</v>
      </c>
      <c r="U185" s="12">
        <f>IF(S185=1,E185," ")</f>
        <v>1</v>
      </c>
      <c r="V185" s="12">
        <f>IF(S185=1,G185," ")</f>
        <v>3</v>
      </c>
    </row>
    <row r="186" spans="1:23" x14ac:dyDescent="0.25">
      <c r="A186" s="26">
        <f>IF(R186=1,B186," ")</f>
        <v>3</v>
      </c>
      <c r="B186" s="259">
        <v>3</v>
      </c>
      <c r="C186" s="259">
        <f>(C108*B186)+(2*C180)+(B185*C179)</f>
        <v>1083</v>
      </c>
      <c r="D186" s="252">
        <f>IF(E186&lt;=$D$179,E186*$E$183,IF(E186&gt;$D$179,(E186*$E$183)+$D$180))</f>
        <v>1114</v>
      </c>
      <c r="E186" s="26">
        <f>CEILING(D183/E183,1)</f>
        <v>1</v>
      </c>
      <c r="F186" s="237">
        <f>IF(G186&lt;=$D$179,G186*$G$183,IF(G186&gt;$D$179,(G186*$G$183)+$D$180))</f>
        <v>3382</v>
      </c>
      <c r="G186" s="2">
        <f>IF((F183/G183)&gt;D179,FLOOR((F183-D180)/G183,1),IF((F183/G183)&lt;=D179,FLOOR((F183/G183),1)))</f>
        <v>3</v>
      </c>
      <c r="H186" s="272">
        <f>IF(C186&lt;=$H$183,1,0)</f>
        <v>1</v>
      </c>
      <c r="I186" s="240">
        <f t="shared" si="22"/>
        <v>1</v>
      </c>
      <c r="J186" s="25">
        <f>IF(AND(E186&gt;0,G186&gt;0),1,0)</f>
        <v>1</v>
      </c>
      <c r="K186" s="12">
        <f>IF(B186&lt;=$K$183,1,0)</f>
        <v>1</v>
      </c>
      <c r="L186" s="26">
        <f>IF(L180=0,1,IF(AND(L180=1,C8&gt;=L183),1,IF(AND(L180=1,C8&lt;L183),0)))</f>
        <v>1</v>
      </c>
      <c r="M186" s="26">
        <f>T46</f>
        <v>1</v>
      </c>
      <c r="N186" s="26">
        <f>IF($E$183&gt;=$N$183,1,0)</f>
        <v>1</v>
      </c>
      <c r="O186" s="26">
        <f>$O$183</f>
        <v>1</v>
      </c>
      <c r="P186" s="26">
        <f>IF($P$180=0,1,IF(AND($P$180=1,$P$183=1),1,IF(AND($P$180=1,$P$183=0),0)))</f>
        <v>1</v>
      </c>
      <c r="Q186" s="240">
        <f t="shared" si="23"/>
        <v>1</v>
      </c>
      <c r="R186" s="246">
        <f t="shared" si="24"/>
        <v>1</v>
      </c>
      <c r="S186" s="272">
        <f t="shared" si="25"/>
        <v>1</v>
      </c>
      <c r="T186" s="12">
        <f>IF(S186=1,B186," ")</f>
        <v>3</v>
      </c>
      <c r="U186" s="12">
        <f>IF(S186=1,E186," ")</f>
        <v>1</v>
      </c>
      <c r="V186" s="12">
        <f>IF(S186=1,G186," ")</f>
        <v>3</v>
      </c>
    </row>
    <row r="187" spans="1:23" x14ac:dyDescent="0.25">
      <c r="A187" s="18" t="str">
        <f>IF(R187=1,B187," ")</f>
        <v xml:space="preserve"> </v>
      </c>
      <c r="B187" s="255">
        <v>4</v>
      </c>
      <c r="C187" s="255">
        <f>(C108*B187)+(2*C180)+(B186*C179)</f>
        <v>1444</v>
      </c>
      <c r="D187" s="253">
        <f>IF(E187&lt;=$D$179,E187*$E$183,IF(E187&gt;$D$179,(E187*$E$183)+$D$180))</f>
        <v>1114</v>
      </c>
      <c r="E187" s="18">
        <f>CEILING(D183/E183,1)</f>
        <v>1</v>
      </c>
      <c r="F187" s="238">
        <f>IF(G187&lt;=$D$179,G187*$G$183,IF(G187&gt;$D$179,(G187*$G$183)+$D$180))</f>
        <v>3382</v>
      </c>
      <c r="G187" s="19">
        <f>IF((F183/G183)&gt;D179,FLOOR((F183-D180)/G183,1),IF((F183/G183)&lt;=D179,FLOOR((F183/G183),1)))</f>
        <v>3</v>
      </c>
      <c r="H187" s="273">
        <f>IF(C187&lt;=$H$183,1,0)</f>
        <v>0</v>
      </c>
      <c r="I187" s="242">
        <f t="shared" si="22"/>
        <v>1</v>
      </c>
      <c r="J187" s="20">
        <f>IF(AND(E187&gt;0,G187&gt;0),1,0)</f>
        <v>1</v>
      </c>
      <c r="K187" s="13">
        <f>IF(B187&lt;=$K$183,1,0)</f>
        <v>1</v>
      </c>
      <c r="L187" s="18">
        <f>IF(L180=0,1,IF(AND(L180=1,C8&gt;=L183),1,IF(AND(L180=1,C8&lt;L183),0)))</f>
        <v>1</v>
      </c>
      <c r="M187" s="18">
        <f>T46</f>
        <v>1</v>
      </c>
      <c r="N187" s="18">
        <f>IF($E$183&gt;=$N$183,1,0)</f>
        <v>1</v>
      </c>
      <c r="O187" s="18">
        <f>$O$183</f>
        <v>1</v>
      </c>
      <c r="P187" s="432">
        <f>IF($P$180=0,1,IF(AND($P$180=1,$P$183=1),1,IF(AND($P$180=1,$P$183=0),0)))</f>
        <v>1</v>
      </c>
      <c r="Q187" s="242">
        <f t="shared" si="23"/>
        <v>1</v>
      </c>
      <c r="R187" s="677">
        <f t="shared" si="24"/>
        <v>0</v>
      </c>
      <c r="S187" s="273">
        <f t="shared" si="25"/>
        <v>0</v>
      </c>
      <c r="T187" s="13" t="str">
        <f>IF(S187=1,B187," ")</f>
        <v xml:space="preserve"> </v>
      </c>
      <c r="U187" s="13" t="str">
        <f>IF(S187=1,E187," ")</f>
        <v xml:space="preserve"> </v>
      </c>
      <c r="V187" s="13" t="str">
        <f>IF(S187=1,G187," ")</f>
        <v xml:space="preserve"> </v>
      </c>
    </row>
    <row r="188" spans="1:23" x14ac:dyDescent="0.25">
      <c r="M188" s="2"/>
    </row>
    <row r="189" spans="1:23" x14ac:dyDescent="0.25">
      <c r="E189" t="s">
        <v>725</v>
      </c>
      <c r="F189" s="407">
        <f>IF(AND(B402&lt;&gt;"mini",C402="mini"),1,IF(AND(B402&lt;&gt;"mini",C402="Emba 295"),1,0))</f>
        <v>1</v>
      </c>
    </row>
    <row r="190" spans="1:23" x14ac:dyDescent="0.25">
      <c r="A190" s="3" t="s">
        <v>195</v>
      </c>
      <c r="B190" s="218" t="s">
        <v>196</v>
      </c>
      <c r="C190" s="5" t="s">
        <v>197</v>
      </c>
      <c r="E190" s="3" t="s">
        <v>195</v>
      </c>
      <c r="F190" s="218" t="s">
        <v>196</v>
      </c>
      <c r="G190" s="5" t="s">
        <v>197</v>
      </c>
    </row>
    <row r="191" spans="1:23" x14ac:dyDescent="0.25">
      <c r="A191" s="18">
        <f>MIN(A184:A187)</f>
        <v>2</v>
      </c>
      <c r="B191" s="13">
        <f>IF(SUM(A184:A187)&gt;0,VLOOKUP(A191,$A$184:$S$187,5,FALSE),0)</f>
        <v>1</v>
      </c>
      <c r="C191" s="20">
        <f>IF(SUM(A184:A187)&gt;0,VLOOKUP(A191,$A$184:$S$187,7,FALSE),0)</f>
        <v>3</v>
      </c>
      <c r="E191" s="18">
        <f>MIN(T184:T187)</f>
        <v>2</v>
      </c>
      <c r="F191" s="13">
        <f>IF(SUM(S184:S187)&gt;0,VLOOKUP(E191,T184:V187,2,FALSE),0)</f>
        <v>1</v>
      </c>
      <c r="G191" s="20">
        <f>IF(SUM(S184:S187)&gt;0,VLOOKUP(E191,T184:V187,3,FALSE),0)</f>
        <v>3</v>
      </c>
    </row>
    <row r="192" spans="1:23" x14ac:dyDescent="0.25">
      <c r="A192" s="26" t="s">
        <v>165</v>
      </c>
      <c r="B192" s="280" t="s">
        <v>196</v>
      </c>
      <c r="C192" s="25" t="s">
        <v>197</v>
      </c>
      <c r="E192" s="26" t="s">
        <v>165</v>
      </c>
      <c r="F192" s="280" t="s">
        <v>196</v>
      </c>
      <c r="G192" s="25" t="s">
        <v>197</v>
      </c>
    </row>
    <row r="193" spans="1:25" x14ac:dyDescent="0.25">
      <c r="A193" s="18">
        <f>IF(AND(MAX(A184:A187)=4,A191&lt;4,O180=1),MAX(A184:A187)-1,MAX(A184:A187))</f>
        <v>3</v>
      </c>
      <c r="B193" s="13">
        <f>IF(SUM(A184:A187)&gt;0,VLOOKUP(A193,$A$184:$S$187,5,FALSE),0)</f>
        <v>1</v>
      </c>
      <c r="C193" s="20">
        <f>IF(SUM(A184:A187)&gt;0,VLOOKUP(A193,$A$184:$S$187,7,FALSE),0)</f>
        <v>3</v>
      </c>
      <c r="E193" s="18">
        <f>MAX(T184:T187)</f>
        <v>3</v>
      </c>
      <c r="F193" s="13">
        <f>IF(SUM(S184:S187)&gt;0,VLOOKUP(E193,T184:V187,2,FALSE),0)</f>
        <v>1</v>
      </c>
      <c r="G193" s="20">
        <f>IF(SUM(S184:S187)&gt;0,VLOOKUP(E193,T184:V187,3,FALSE),0)</f>
        <v>3</v>
      </c>
    </row>
    <row r="195" spans="1:25" s="320" customFormat="1" x14ac:dyDescent="0.25">
      <c r="B195" s="441"/>
      <c r="Y195" s="343"/>
    </row>
    <row r="196" spans="1:25" x14ac:dyDescent="0.25">
      <c r="L196" s="292"/>
    </row>
    <row r="197" spans="1:25" x14ac:dyDescent="0.25">
      <c r="B197" s="215" t="s">
        <v>199</v>
      </c>
    </row>
    <row r="198" spans="1:25" x14ac:dyDescent="0.25">
      <c r="B198" s="215"/>
    </row>
    <row r="200" spans="1:25" x14ac:dyDescent="0.25">
      <c r="A200" s="14"/>
      <c r="B200" s="282"/>
      <c r="C200" s="15"/>
      <c r="D200" s="15"/>
      <c r="E200" s="15"/>
      <c r="F200" s="15"/>
      <c r="G200" s="15"/>
      <c r="H200" s="1099">
        <v>1000</v>
      </c>
      <c r="I200" s="137" t="s">
        <v>188</v>
      </c>
      <c r="J200" s="14"/>
      <c r="K200" s="15"/>
      <c r="L200" s="412"/>
      <c r="M200" s="404"/>
      <c r="N200" s="442" t="s">
        <v>28</v>
      </c>
      <c r="O200" s="404"/>
      <c r="P200" s="433"/>
    </row>
    <row r="201" spans="1:25" x14ac:dyDescent="0.25">
      <c r="A201" s="8"/>
      <c r="B201" s="9"/>
      <c r="C201" s="9"/>
      <c r="D201" s="9"/>
      <c r="E201" s="9"/>
      <c r="F201" s="9"/>
      <c r="G201" s="9"/>
      <c r="H201" s="34">
        <v>820</v>
      </c>
      <c r="I201" s="145">
        <f>AA46</f>
        <v>1</v>
      </c>
      <c r="J201" s="8"/>
      <c r="K201" s="9"/>
      <c r="L201" s="320"/>
      <c r="M201" s="41"/>
      <c r="N201" s="13">
        <f>IF(C131=0,0,1)</f>
        <v>0</v>
      </c>
      <c r="O201" s="52"/>
      <c r="P201" s="70">
        <v>11</v>
      </c>
    </row>
    <row r="202" spans="1:25" x14ac:dyDescent="0.25">
      <c r="A202" s="14"/>
      <c r="B202" s="35" t="s">
        <v>61</v>
      </c>
      <c r="C202" s="156" t="s">
        <v>18</v>
      </c>
      <c r="D202" s="156" t="s">
        <v>9</v>
      </c>
      <c r="E202" s="231" t="s">
        <v>99</v>
      </c>
      <c r="F202" s="232"/>
      <c r="G202" s="233" t="s">
        <v>100</v>
      </c>
      <c r="H202" s="234"/>
      <c r="I202" s="2" t="s">
        <v>189</v>
      </c>
      <c r="J202" s="156" t="s">
        <v>210</v>
      </c>
      <c r="K202" s="156" t="s">
        <v>209</v>
      </c>
      <c r="L202" s="417" t="s">
        <v>211</v>
      </c>
      <c r="M202" s="437" t="s">
        <v>496</v>
      </c>
      <c r="N202" s="442" t="s">
        <v>576</v>
      </c>
      <c r="O202" s="399" t="s">
        <v>1</v>
      </c>
      <c r="P202" s="423" t="s">
        <v>108</v>
      </c>
    </row>
    <row r="203" spans="1:25" ht="15.75" thickBot="1" x14ac:dyDescent="0.3">
      <c r="A203" s="6"/>
      <c r="B203" s="36" t="s">
        <v>180</v>
      </c>
      <c r="C203" s="120" t="s">
        <v>109</v>
      </c>
      <c r="D203" s="120" t="s">
        <v>109</v>
      </c>
      <c r="E203" s="227" t="s">
        <v>110</v>
      </c>
      <c r="F203" s="228" t="s">
        <v>111</v>
      </c>
      <c r="G203" s="227" t="s">
        <v>110</v>
      </c>
      <c r="H203" s="228" t="s">
        <v>111</v>
      </c>
      <c r="I203" s="78" t="s">
        <v>190</v>
      </c>
      <c r="J203" s="202" t="s">
        <v>180</v>
      </c>
      <c r="K203" s="202" t="s">
        <v>180</v>
      </c>
      <c r="L203" s="227" t="s">
        <v>212</v>
      </c>
      <c r="M203" s="12" t="s">
        <v>96</v>
      </c>
      <c r="N203" s="12" t="s">
        <v>577</v>
      </c>
      <c r="O203" s="202" t="s">
        <v>96</v>
      </c>
      <c r="P203" s="228" t="s">
        <v>96</v>
      </c>
    </row>
    <row r="204" spans="1:25" ht="15.75" thickBot="1" x14ac:dyDescent="0.3">
      <c r="A204" s="225"/>
      <c r="B204" s="37"/>
      <c r="C204" s="52"/>
      <c r="D204" s="41"/>
      <c r="E204" s="262">
        <v>2400</v>
      </c>
      <c r="F204" s="484">
        <v>450</v>
      </c>
      <c r="G204" s="262">
        <v>5960</v>
      </c>
      <c r="H204" s="473">
        <f>IF(OR(C111&gt;0,AT46&gt;0,C131&gt;0),H200,H201)</f>
        <v>820</v>
      </c>
      <c r="I204" s="219">
        <v>95</v>
      </c>
      <c r="J204" s="219">
        <v>800</v>
      </c>
      <c r="K204" s="293">
        <v>4500</v>
      </c>
      <c r="L204" s="208">
        <f>J388</f>
        <v>500</v>
      </c>
      <c r="M204" s="208"/>
      <c r="N204" s="431">
        <f>AQ46</f>
        <v>1</v>
      </c>
      <c r="O204" s="208">
        <f>'Prijs karton (2)'!AE16</f>
        <v>1</v>
      </c>
      <c r="P204" s="281">
        <f>IF(SUM(P205:P206)&gt;0,1,0)</f>
        <v>1</v>
      </c>
    </row>
    <row r="205" spans="1:25" x14ac:dyDescent="0.25">
      <c r="A205" s="156" t="str">
        <f>IF(P205=1,B205," ")</f>
        <v xml:space="preserve"> </v>
      </c>
      <c r="B205" s="12">
        <v>1</v>
      </c>
      <c r="C205" s="11">
        <f>C108</f>
        <v>361</v>
      </c>
      <c r="D205" s="11">
        <f>D108</f>
        <v>1114</v>
      </c>
      <c r="E205" s="2">
        <f>IF(C205&lt;=E204,1,0)</f>
        <v>1</v>
      </c>
      <c r="F205" s="11">
        <f>IF(C205&gt;=F204,1,0)</f>
        <v>0</v>
      </c>
      <c r="G205" s="26">
        <f>IF(D205&lt;=G204,1,0)</f>
        <v>1</v>
      </c>
      <c r="H205" s="11">
        <f>IF(D205&gt;=H204,1,0)</f>
        <v>1</v>
      </c>
      <c r="I205" s="4">
        <f>IF(AND(I201=1,C8&gt;=I204),1,IF(I201=0,1,0))</f>
        <v>1</v>
      </c>
      <c r="J205" s="40">
        <v>1</v>
      </c>
      <c r="K205" s="40">
        <v>1</v>
      </c>
      <c r="L205" s="431">
        <f>IF(D205&gt;=L204,1,0)</f>
        <v>1</v>
      </c>
      <c r="M205" s="26">
        <f>T46</f>
        <v>1</v>
      </c>
      <c r="N205" s="431">
        <f>IF($N$201=0,1,IF(AND($N$201=1,$N$204=1),1,IF(AND($P$180=1,$N$204=0),0)))</f>
        <v>1</v>
      </c>
      <c r="O205" s="12">
        <f>O204</f>
        <v>1</v>
      </c>
      <c r="P205" s="25">
        <f>IF(SUM(E205:O205)=P201,1,0)</f>
        <v>0</v>
      </c>
    </row>
    <row r="206" spans="1:25" x14ac:dyDescent="0.25">
      <c r="A206" s="202">
        <f>IF(P206=1,B206," ")</f>
        <v>2</v>
      </c>
      <c r="B206" s="13">
        <v>2</v>
      </c>
      <c r="C206" s="13">
        <f>B206*C108</f>
        <v>722</v>
      </c>
      <c r="D206" s="13">
        <f>D108</f>
        <v>1114</v>
      </c>
      <c r="E206" s="19">
        <f>IF(C206&lt;=E204,1,0)</f>
        <v>1</v>
      </c>
      <c r="F206" s="13">
        <f>IF(C206&gt;=F204,1,0)</f>
        <v>1</v>
      </c>
      <c r="G206" s="18">
        <f>IF(D206&lt;=G204,1,0)</f>
        <v>1</v>
      </c>
      <c r="H206" s="13">
        <f>IF(D206&gt;=H204,1,0)</f>
        <v>1</v>
      </c>
      <c r="I206" s="19">
        <f>IF(AND(I201=1,C8&gt;=I204),1,IF(I201=0,1,0))</f>
        <v>1</v>
      </c>
      <c r="J206" s="13">
        <f>IF(C205&lt;=J204,1,0)</f>
        <v>1</v>
      </c>
      <c r="K206" s="13">
        <f>IF(D205&lt;=K204,1,0)</f>
        <v>1</v>
      </c>
      <c r="L206" s="432">
        <f>IF(D206&gt;=L204,1,0)</f>
        <v>1</v>
      </c>
      <c r="M206" s="18">
        <f>T46</f>
        <v>1</v>
      </c>
      <c r="N206" s="432">
        <f>IF($N$201=0,1,IF(AND($N$201=1,$N$204=1),1,IF(AND($P$180=1,$N$204=0),0)))</f>
        <v>1</v>
      </c>
      <c r="O206" s="13">
        <f>O204</f>
        <v>1</v>
      </c>
      <c r="P206" s="436">
        <f>IF(SUM(E206:O206)=P201,1,0)</f>
        <v>1</v>
      </c>
    </row>
    <row r="208" spans="1:25" x14ac:dyDescent="0.25">
      <c r="A208" t="s">
        <v>195</v>
      </c>
      <c r="B208" s="216">
        <f>MIN(A205:A206)</f>
        <v>2</v>
      </c>
    </row>
    <row r="209" spans="1:25" x14ac:dyDescent="0.25">
      <c r="A209" t="s">
        <v>165</v>
      </c>
      <c r="B209" s="13">
        <f>MAX(A205:A206)</f>
        <v>2</v>
      </c>
    </row>
    <row r="211" spans="1:25" s="320" customFormat="1" x14ac:dyDescent="0.25">
      <c r="B211" s="441"/>
      <c r="Y211" s="343"/>
    </row>
    <row r="213" spans="1:25" x14ac:dyDescent="0.25">
      <c r="B213" s="215" t="s">
        <v>198</v>
      </c>
    </row>
    <row r="215" spans="1:25" ht="15.75" thickBot="1" x14ac:dyDescent="0.3">
      <c r="B215" s="1" t="s">
        <v>158</v>
      </c>
    </row>
    <row r="216" spans="1:25" x14ac:dyDescent="0.25">
      <c r="A216" s="220" t="s">
        <v>499</v>
      </c>
      <c r="B216" s="403" t="s">
        <v>500</v>
      </c>
      <c r="C216" s="396" t="s">
        <v>497</v>
      </c>
      <c r="D216" s="398" t="s">
        <v>498</v>
      </c>
      <c r="E216" s="444" t="s">
        <v>501</v>
      </c>
    </row>
    <row r="217" spans="1:25" x14ac:dyDescent="0.25">
      <c r="A217" s="447" t="s">
        <v>99</v>
      </c>
      <c r="B217" s="396"/>
      <c r="C217" s="413">
        <f>B228</f>
        <v>361</v>
      </c>
      <c r="D217" s="448">
        <f>H388</f>
        <v>250</v>
      </c>
      <c r="E217" s="446" t="s">
        <v>96</v>
      </c>
    </row>
    <row r="218" spans="1:25" ht="15.75" thickBot="1" x14ac:dyDescent="0.3">
      <c r="A218" s="441" t="s">
        <v>100</v>
      </c>
      <c r="B218" s="34">
        <v>50</v>
      </c>
      <c r="C218" s="443">
        <f>C228</f>
        <v>1150</v>
      </c>
      <c r="D218" s="343">
        <f>J388</f>
        <v>500</v>
      </c>
      <c r="E218" s="445">
        <f>IF(AND(C217&gt;=D217,(C218+B218)&gt;D218),     1,0)</f>
        <v>1</v>
      </c>
      <c r="F218" t="s">
        <v>502</v>
      </c>
    </row>
    <row r="221" spans="1:25" x14ac:dyDescent="0.25">
      <c r="T221" s="442" t="s">
        <v>578</v>
      </c>
    </row>
    <row r="222" spans="1:25" x14ac:dyDescent="0.25">
      <c r="T222" s="473">
        <f>IF(AND(T227=1,T224=1),1,0)</f>
        <v>0</v>
      </c>
    </row>
    <row r="223" spans="1:25" x14ac:dyDescent="0.25">
      <c r="Q223" s="294" t="s">
        <v>163</v>
      </c>
      <c r="T223" s="442" t="s">
        <v>579</v>
      </c>
    </row>
    <row r="224" spans="1:25" ht="15.75" thickBot="1" x14ac:dyDescent="0.3">
      <c r="Q224" s="295">
        <f>C8/C7</f>
        <v>0.4</v>
      </c>
      <c r="T224" s="473">
        <f>IF(C131=0,0,1)</f>
        <v>0</v>
      </c>
    </row>
    <row r="225" spans="2:25" x14ac:dyDescent="0.25">
      <c r="B225" s="63" t="s">
        <v>18</v>
      </c>
      <c r="C225" s="209" t="s">
        <v>9</v>
      </c>
      <c r="D225" s="1294" t="s">
        <v>99</v>
      </c>
      <c r="E225" s="1295"/>
      <c r="F225" s="1296" t="s">
        <v>100</v>
      </c>
      <c r="G225" s="1297"/>
      <c r="H225" s="64" t="s">
        <v>101</v>
      </c>
      <c r="I225" s="63" t="s">
        <v>102</v>
      </c>
      <c r="J225" s="205" t="s">
        <v>103</v>
      </c>
      <c r="K225" s="206"/>
      <c r="L225" s="205" t="s">
        <v>104</v>
      </c>
      <c r="M225" s="206"/>
      <c r="N225" s="205" t="s">
        <v>105</v>
      </c>
      <c r="O225" s="207"/>
      <c r="P225" s="63" t="s">
        <v>106</v>
      </c>
      <c r="Q225" s="63" t="s">
        <v>107</v>
      </c>
      <c r="R225" s="63" t="s">
        <v>161</v>
      </c>
      <c r="S225" s="502" t="s">
        <v>162</v>
      </c>
      <c r="T225" s="431" t="s">
        <v>580</v>
      </c>
      <c r="U225" s="913" t="s">
        <v>660</v>
      </c>
      <c r="V225" s="503" t="s">
        <v>108</v>
      </c>
    </row>
    <row r="226" spans="2:25" x14ac:dyDescent="0.25">
      <c r="B226" s="65" t="s">
        <v>109</v>
      </c>
      <c r="C226" s="210" t="s">
        <v>115</v>
      </c>
      <c r="D226" s="68" t="s">
        <v>110</v>
      </c>
      <c r="E226" s="67" t="s">
        <v>111</v>
      </c>
      <c r="F226" s="66" t="s">
        <v>110</v>
      </c>
      <c r="G226" s="67" t="s">
        <v>111</v>
      </c>
      <c r="H226" s="66" t="s">
        <v>112</v>
      </c>
      <c r="I226" s="65" t="s">
        <v>110</v>
      </c>
      <c r="J226" s="66" t="s">
        <v>111</v>
      </c>
      <c r="K226" s="65" t="s">
        <v>110</v>
      </c>
      <c r="L226" s="41"/>
      <c r="M226" s="41"/>
      <c r="N226" s="68" t="s">
        <v>111</v>
      </c>
      <c r="O226" s="68" t="s">
        <v>110</v>
      </c>
      <c r="P226" s="65"/>
      <c r="Q226" s="65" t="s">
        <v>114</v>
      </c>
      <c r="R226" s="41"/>
      <c r="S226" s="26" t="s">
        <v>96</v>
      </c>
      <c r="T226" s="26"/>
      <c r="U226" s="415"/>
      <c r="V226" s="504" t="s">
        <v>96</v>
      </c>
    </row>
    <row r="227" spans="2:25" x14ac:dyDescent="0.25">
      <c r="B227" s="52"/>
      <c r="C227" s="211">
        <v>36</v>
      </c>
      <c r="D227" s="19">
        <f>IF(C111=0,800,600)</f>
        <v>800</v>
      </c>
      <c r="E227" s="33">
        <v>180</v>
      </c>
      <c r="F227" s="31">
        <v>1700</v>
      </c>
      <c r="G227" s="33">
        <v>440</v>
      </c>
      <c r="H227" s="31">
        <v>200</v>
      </c>
      <c r="I227" s="34">
        <v>370</v>
      </c>
      <c r="J227" s="31">
        <v>50</v>
      </c>
      <c r="K227" s="34">
        <v>740</v>
      </c>
      <c r="L227" s="31">
        <v>50</v>
      </c>
      <c r="M227" s="34">
        <v>740</v>
      </c>
      <c r="N227" s="32">
        <v>180</v>
      </c>
      <c r="O227" s="32">
        <v>840</v>
      </c>
      <c r="P227" s="34">
        <v>50</v>
      </c>
      <c r="Q227" s="34">
        <v>7</v>
      </c>
      <c r="R227" s="52"/>
      <c r="S227" s="18"/>
      <c r="T227" s="208">
        <f>AQ46</f>
        <v>1</v>
      </c>
      <c r="U227" s="26">
        <f>IF(M348=0,L145,M349)</f>
        <v>300</v>
      </c>
      <c r="V227" s="223">
        <v>18</v>
      </c>
    </row>
    <row r="228" spans="2:25" ht="15.75" thickBot="1" x14ac:dyDescent="0.3">
      <c r="B228" s="69">
        <f>C108</f>
        <v>361</v>
      </c>
      <c r="C228" s="212">
        <f>D108+C227</f>
        <v>1150</v>
      </c>
      <c r="D228" s="19">
        <f>IF(B228&lt;=D227,1,0)</f>
        <v>1</v>
      </c>
      <c r="E228" s="21">
        <f>IF(B228&gt;=E227,1,0)</f>
        <v>1</v>
      </c>
      <c r="F228" s="18">
        <f>IF(C228&lt;=F227,1,0)</f>
        <v>1</v>
      </c>
      <c r="G228" s="21">
        <f>IF(C228&gt;=G227,1,0)</f>
        <v>1</v>
      </c>
      <c r="H228" s="18">
        <f>IF(MAX(AD46:AE46)&gt;H227,0,1)</f>
        <v>1</v>
      </c>
      <c r="I228" s="13">
        <f>IF(AF46&lt;=I227,1,0)</f>
        <v>1</v>
      </c>
      <c r="J228" s="18">
        <f>IF(D46&gt;=J227,1,0)</f>
        <v>1</v>
      </c>
      <c r="K228" s="13">
        <f>IF(D46&lt;=K227,1,0)</f>
        <v>1</v>
      </c>
      <c r="L228" s="18">
        <f>IF(C46&gt;=L227,1,0)</f>
        <v>1</v>
      </c>
      <c r="M228" s="13">
        <f>IF(C46&lt;=M227,1,0)</f>
        <v>1</v>
      </c>
      <c r="N228" s="18">
        <f>IF(C46+D46&gt;=N227,1,0)</f>
        <v>1</v>
      </c>
      <c r="O228" s="21">
        <f>IF(C46+D46&lt;=O227,1,0)</f>
        <v>1</v>
      </c>
      <c r="P228" s="13">
        <f>IF(E46&gt;=P227,1,0)</f>
        <v>1</v>
      </c>
      <c r="Q228" s="13">
        <f>IF(Q224&lt;=Q227,1,0)</f>
        <v>1</v>
      </c>
      <c r="R228" s="216">
        <f>'Prijs karton (2)'!AF16</f>
        <v>1</v>
      </c>
      <c r="S228" s="208">
        <f>U46</f>
        <v>1</v>
      </c>
      <c r="T228" s="208">
        <f>IF($T$224=0,1,IF(AND($T$224=1,$T$227=1),1,IF(AND($P$180=1,$T$227=0),0)))</f>
        <v>1</v>
      </c>
      <c r="U228" s="208">
        <f>IF(C3&gt;=U227,1,0)</f>
        <v>1</v>
      </c>
      <c r="V228" s="500">
        <f>IF(SUM(D228:U228)=V227,1,0)</f>
        <v>1</v>
      </c>
    </row>
    <row r="230" spans="2:25" s="320" customFormat="1" x14ac:dyDescent="0.25">
      <c r="B230" s="441"/>
      <c r="Y230" s="343"/>
    </row>
    <row r="233" spans="2:25" x14ac:dyDescent="0.25">
      <c r="B233" s="215" t="s">
        <v>73</v>
      </c>
      <c r="F233" s="484">
        <v>2900</v>
      </c>
    </row>
    <row r="234" spans="2:25" x14ac:dyDescent="0.25">
      <c r="C234" s="473" t="s">
        <v>617</v>
      </c>
      <c r="F234" s="442" t="s">
        <v>831</v>
      </c>
      <c r="Q234" s="216" t="s">
        <v>163</v>
      </c>
      <c r="T234" s="442" t="s">
        <v>579</v>
      </c>
    </row>
    <row r="235" spans="2:25" ht="15.75" thickBot="1" x14ac:dyDescent="0.3">
      <c r="C235" s="473">
        <f>AB46</f>
        <v>1</v>
      </c>
      <c r="F235" s="473">
        <f>IF(C2=B50,1,0)</f>
        <v>0</v>
      </c>
      <c r="P235" s="2"/>
      <c r="Q235" s="473">
        <f>C8/C7</f>
        <v>0.4</v>
      </c>
      <c r="T235" s="473">
        <f>IF(C131=0,0,1)</f>
        <v>0</v>
      </c>
    </row>
    <row r="236" spans="2:25" x14ac:dyDescent="0.25">
      <c r="B236" s="63" t="s">
        <v>18</v>
      </c>
      <c r="C236" s="209" t="s">
        <v>9</v>
      </c>
      <c r="D236" s="1294" t="s">
        <v>99</v>
      </c>
      <c r="E236" s="1295"/>
      <c r="F236" s="1296" t="s">
        <v>512</v>
      </c>
      <c r="G236" s="1297"/>
      <c r="H236" s="64" t="s">
        <v>101</v>
      </c>
      <c r="I236" s="63" t="s">
        <v>102</v>
      </c>
      <c r="J236" s="205" t="s">
        <v>103</v>
      </c>
      <c r="K236" s="206"/>
      <c r="L236" s="205" t="s">
        <v>104</v>
      </c>
      <c r="M236" s="206"/>
      <c r="N236" s="205" t="s">
        <v>105</v>
      </c>
      <c r="O236" s="207"/>
      <c r="P236" s="508" t="s">
        <v>561</v>
      </c>
      <c r="Q236" s="63" t="s">
        <v>107</v>
      </c>
      <c r="R236" s="63" t="s">
        <v>161</v>
      </c>
      <c r="S236" s="502" t="s">
        <v>162</v>
      </c>
      <c r="T236" s="431" t="s">
        <v>580</v>
      </c>
      <c r="U236" s="913" t="s">
        <v>660</v>
      </c>
      <c r="V236" s="503" t="s">
        <v>108</v>
      </c>
    </row>
    <row r="237" spans="2:25" x14ac:dyDescent="0.25">
      <c r="B237" s="65" t="s">
        <v>109</v>
      </c>
      <c r="C237" s="210" t="s">
        <v>115</v>
      </c>
      <c r="D237" s="68" t="s">
        <v>110</v>
      </c>
      <c r="E237" s="67" t="s">
        <v>111</v>
      </c>
      <c r="F237" s="66" t="s">
        <v>110</v>
      </c>
      <c r="G237" s="67" t="s">
        <v>111</v>
      </c>
      <c r="H237" s="66" t="s">
        <v>112</v>
      </c>
      <c r="I237" s="214" t="s">
        <v>160</v>
      </c>
      <c r="J237" s="66" t="s">
        <v>111</v>
      </c>
      <c r="K237" s="65" t="s">
        <v>110</v>
      </c>
      <c r="L237" s="41"/>
      <c r="M237" s="41"/>
      <c r="N237" s="68" t="s">
        <v>111</v>
      </c>
      <c r="O237" s="68" t="s">
        <v>110</v>
      </c>
      <c r="P237" s="507" t="s">
        <v>12</v>
      </c>
      <c r="Q237" s="65" t="s">
        <v>114</v>
      </c>
      <c r="R237" s="41"/>
      <c r="S237" s="26" t="s">
        <v>96</v>
      </c>
      <c r="T237" s="26"/>
      <c r="U237" s="415"/>
      <c r="V237" s="504" t="s">
        <v>96</v>
      </c>
    </row>
    <row r="238" spans="2:25" x14ac:dyDescent="0.25">
      <c r="B238" s="52"/>
      <c r="C238" s="211">
        <f>36</f>
        <v>36</v>
      </c>
      <c r="D238" s="19">
        <f>IF(C111=0,1400,1115)</f>
        <v>1400</v>
      </c>
      <c r="E238" s="33">
        <f>320</f>
        <v>320</v>
      </c>
      <c r="F238" s="18">
        <f>IF(F235=1,F242,F233)</f>
        <v>2900</v>
      </c>
      <c r="G238" s="33">
        <v>740</v>
      </c>
      <c r="H238" s="31">
        <v>386</v>
      </c>
      <c r="I238" s="34"/>
      <c r="J238" s="31">
        <v>135</v>
      </c>
      <c r="K238" s="34">
        <v>1040</v>
      </c>
      <c r="L238" s="31">
        <v>130</v>
      </c>
      <c r="M238" s="34">
        <v>1040</v>
      </c>
      <c r="N238" s="32">
        <v>355</v>
      </c>
      <c r="O238" s="32">
        <v>1440</v>
      </c>
      <c r="P238" s="13">
        <f>IF(C2=P237,0,50)</f>
        <v>50</v>
      </c>
      <c r="Q238" s="34">
        <v>10</v>
      </c>
      <c r="R238" s="52"/>
      <c r="S238" s="18"/>
      <c r="T238" s="208">
        <f>AQ46</f>
        <v>1</v>
      </c>
      <c r="U238" s="26">
        <f>IF(N348=0,M145,N349)</f>
        <v>300</v>
      </c>
      <c r="V238" s="223">
        <v>17</v>
      </c>
    </row>
    <row r="239" spans="2:25" ht="15.75" thickBot="1" x14ac:dyDescent="0.3">
      <c r="B239" s="547">
        <f>C108</f>
        <v>361</v>
      </c>
      <c r="C239" s="548">
        <f>D108+(C238*C235)</f>
        <v>1150</v>
      </c>
      <c r="D239" s="2">
        <f>IF(B239&lt;=D238,1,0)</f>
        <v>1</v>
      </c>
      <c r="E239" s="442">
        <f>IF(B239&gt;=E238,1,0)</f>
        <v>1</v>
      </c>
      <c r="F239" s="26">
        <f>IF(C239&lt;=F238,1,0)</f>
        <v>1</v>
      </c>
      <c r="G239" s="442">
        <f>IF(C239&gt;=G238,1,0)</f>
        <v>1</v>
      </c>
      <c r="H239" s="26">
        <f>IF(MAX(AD67:AE67)&gt;H238,0,1)</f>
        <v>1</v>
      </c>
      <c r="I239" s="549"/>
      <c r="J239" s="26">
        <f>IF(D46&gt;=J238,1,0)</f>
        <v>1</v>
      </c>
      <c r="K239" s="12">
        <f>IF(D46&lt;=K238,1,0)</f>
        <v>1</v>
      </c>
      <c r="L239" s="26">
        <f>IF(C46&gt;=L238,1,0)</f>
        <v>1</v>
      </c>
      <c r="M239" s="12">
        <f>IF(C46&lt;=M238,1,0)</f>
        <v>1</v>
      </c>
      <c r="N239" s="26">
        <f>IF(C46+D46&gt;=N238,1,0)</f>
        <v>1</v>
      </c>
      <c r="O239" s="442">
        <f>IF(C46+D46&lt;=O238,1,0)</f>
        <v>1</v>
      </c>
      <c r="P239" s="12">
        <f>IF(E46&gt;=P238,1,0)</f>
        <v>1</v>
      </c>
      <c r="Q239" s="12">
        <f>IF(Q235&lt;=Q238,1,0)</f>
        <v>1</v>
      </c>
      <c r="R239" s="442">
        <f>'Prijs karton (2)'!AG16</f>
        <v>1</v>
      </c>
      <c r="S239" s="431">
        <f>U46</f>
        <v>1</v>
      </c>
      <c r="T239" s="431">
        <f>IF($T$235=0,1,IF(AND($T$235=1,$T$238=1),1,IF(AND($P$180=1,$T$238=0),0)))</f>
        <v>1</v>
      </c>
      <c r="U239" s="914">
        <f>IF(C3&gt;=U238,1,0)</f>
        <v>1</v>
      </c>
      <c r="V239" s="500">
        <f>IF(SUM(D239:U239)=V238,1,0)</f>
        <v>1</v>
      </c>
    </row>
    <row r="240" spans="2:25" ht="15.75" thickTop="1" x14ac:dyDescent="0.25">
      <c r="B240" s="1298" t="s">
        <v>626</v>
      </c>
      <c r="C240" s="1299"/>
      <c r="D240" s="1299"/>
      <c r="E240" s="1299"/>
      <c r="F240" s="1300"/>
      <c r="G240" s="1301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4"/>
    </row>
    <row r="241" spans="1:25" x14ac:dyDescent="0.25">
      <c r="B241" s="547">
        <f>C108*C247</f>
        <v>361</v>
      </c>
      <c r="C241" s="1207">
        <f>(D108+(C238*C235*C248))*C247</f>
        <v>1114</v>
      </c>
      <c r="D241" s="208">
        <f>IF(AND(B241=0,C246=0,C247=0),0,IF(C246=1,1,IF(AND(C246=0,C247=1,FLOOR(D242/B241,1)&lt;=C242),FLOOR(D242/B241,1),C242)))</f>
        <v>1</v>
      </c>
      <c r="E241" s="562">
        <f>IF(C246=1,1,IF(AND(C246=0,C247=1),CEILING(E242/B241,1),0))</f>
        <v>1</v>
      </c>
      <c r="F241" s="208">
        <f>IF(C246=1,1,IF(AND(C246=0,C247=1),FLOOR(F242/C241,1),0))</f>
        <v>1</v>
      </c>
      <c r="G241" s="550">
        <f>IF(C246=1,1,IF(AND(C246=0,C247=1),CEILING(G242/C241,1),0))</f>
        <v>1</v>
      </c>
      <c r="H241" s="2"/>
      <c r="I241" s="54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5" x14ac:dyDescent="0.25">
      <c r="B242" s="1208" t="s">
        <v>1334</v>
      </c>
      <c r="C242" s="1209">
        <f>IF(AND(C246=0,C247=1),MAX(A184:A187),0)</f>
        <v>0</v>
      </c>
      <c r="D242" s="1206">
        <f>D238</f>
        <v>1400</v>
      </c>
      <c r="E242" s="550">
        <f>E238</f>
        <v>320</v>
      </c>
      <c r="F242" s="565">
        <v>1580</v>
      </c>
      <c r="G242" s="566">
        <v>710</v>
      </c>
      <c r="H242" s="407"/>
      <c r="I242" s="407"/>
      <c r="J242" s="407"/>
      <c r="K242" s="407"/>
      <c r="L242" s="407"/>
      <c r="M242" s="407"/>
      <c r="N242" s="407"/>
      <c r="O242" s="407"/>
      <c r="P242" s="407"/>
      <c r="Q242" s="407"/>
      <c r="R242" s="407"/>
      <c r="S242" s="407"/>
      <c r="T242" s="407"/>
      <c r="U242" s="407"/>
    </row>
    <row r="243" spans="1:25" x14ac:dyDescent="0.25">
      <c r="B243" s="407"/>
      <c r="C243" s="407"/>
      <c r="D243" s="558" t="s">
        <v>622</v>
      </c>
      <c r="E243" s="562" t="s">
        <v>621</v>
      </c>
      <c r="F243" s="558" t="s">
        <v>623</v>
      </c>
      <c r="G243" s="550" t="s">
        <v>624</v>
      </c>
      <c r="H243" s="407"/>
      <c r="I243" s="407"/>
      <c r="J243" s="407"/>
      <c r="K243" s="407"/>
      <c r="L243" s="407"/>
      <c r="M243" s="407"/>
      <c r="N243" s="407"/>
      <c r="O243" s="407"/>
      <c r="P243" s="407"/>
      <c r="Q243" s="407"/>
      <c r="R243" s="407"/>
      <c r="S243" s="407"/>
      <c r="T243" s="407"/>
      <c r="U243" s="407"/>
    </row>
    <row r="244" spans="1:25" x14ac:dyDescent="0.25">
      <c r="B244" s="407"/>
      <c r="C244" s="407"/>
      <c r="E244" s="407"/>
      <c r="F244" s="407"/>
      <c r="G244" s="407"/>
      <c r="H244" s="407"/>
      <c r="I244" s="407"/>
      <c r="J244" s="407"/>
      <c r="K244" s="407"/>
      <c r="L244" s="407"/>
      <c r="M244" s="407"/>
      <c r="N244" s="407"/>
      <c r="O244" s="407"/>
      <c r="P244" s="407"/>
      <c r="Q244" s="407"/>
      <c r="R244" s="407"/>
      <c r="S244" s="407"/>
      <c r="T244" s="407"/>
      <c r="U244" s="407"/>
    </row>
    <row r="245" spans="1:25" x14ac:dyDescent="0.25">
      <c r="B245" s="555"/>
      <c r="C245" s="407"/>
      <c r="D245" s="407"/>
      <c r="F245" s="407"/>
      <c r="G245" s="407"/>
      <c r="H245" s="407"/>
      <c r="I245" s="407"/>
      <c r="J245" s="407"/>
      <c r="K245" s="407"/>
      <c r="L245" s="407"/>
      <c r="M245" s="407"/>
      <c r="N245" s="407"/>
      <c r="O245" s="407"/>
      <c r="P245" s="407"/>
      <c r="Q245" s="407"/>
      <c r="R245" s="407"/>
      <c r="S245" s="407"/>
      <c r="T245" s="407"/>
      <c r="U245" s="407"/>
    </row>
    <row r="246" spans="1:25" x14ac:dyDescent="0.25">
      <c r="A246" s="2" t="s">
        <v>64</v>
      </c>
      <c r="B246" s="555" t="s">
        <v>625</v>
      </c>
      <c r="C246" s="551">
        <f>IF(SUM(C362:I362)&gt;0,IF(B402=A246,1,0))</f>
        <v>1</v>
      </c>
      <c r="D246" s="407"/>
      <c r="E246" s="407"/>
      <c r="F246" s="407"/>
      <c r="G246" s="407"/>
      <c r="H246" s="407"/>
      <c r="I246" s="407"/>
      <c r="J246" s="407"/>
      <c r="K246" s="407"/>
      <c r="L246" s="407"/>
      <c r="M246" s="407"/>
      <c r="N246" s="407"/>
      <c r="O246" s="407"/>
      <c r="P246" s="407"/>
      <c r="Q246" s="407"/>
      <c r="R246" s="407"/>
      <c r="S246" s="407"/>
      <c r="T246" s="407"/>
      <c r="U246" s="407"/>
    </row>
    <row r="247" spans="1:25" x14ac:dyDescent="0.25">
      <c r="A247" s="2" t="s">
        <v>64</v>
      </c>
      <c r="B247" s="555" t="s">
        <v>600</v>
      </c>
      <c r="C247" s="551">
        <f>IF(SUM(C362:I362)&gt;0,IF(C402=A247,1,0),0)</f>
        <v>1</v>
      </c>
      <c r="D247" s="407"/>
      <c r="E247" s="407"/>
      <c r="F247" s="407"/>
      <c r="G247" s="407"/>
      <c r="H247" s="407"/>
      <c r="I247" s="407"/>
      <c r="J247" s="407"/>
      <c r="K247" s="407"/>
      <c r="L247" s="407"/>
      <c r="M247" s="407"/>
      <c r="N247" s="407"/>
      <c r="O247" s="407"/>
      <c r="P247" s="407"/>
      <c r="Q247" s="407"/>
      <c r="R247" s="407"/>
      <c r="S247" s="407"/>
      <c r="T247" s="407"/>
      <c r="U247" s="407"/>
    </row>
    <row r="248" spans="1:25" x14ac:dyDescent="0.25">
      <c r="A248" s="2" t="s">
        <v>64</v>
      </c>
      <c r="B248" s="555" t="s">
        <v>620</v>
      </c>
      <c r="C248" s="551">
        <f>IF(SUM(A250:A254)&gt;0,VLOOKUP(1,A250:C254,3,FALSE),0)</f>
        <v>0</v>
      </c>
      <c r="D248" s="407"/>
      <c r="E248" s="407"/>
      <c r="F248" s="407"/>
      <c r="G248" s="407"/>
      <c r="H248" s="407"/>
      <c r="I248" s="407"/>
      <c r="J248" s="407"/>
      <c r="K248" s="407"/>
      <c r="L248" s="407"/>
      <c r="M248" s="407"/>
      <c r="N248" s="407"/>
      <c r="O248" s="407"/>
      <c r="P248" s="407"/>
      <c r="Q248" s="407"/>
      <c r="R248" s="407"/>
      <c r="S248" s="407"/>
      <c r="T248" s="407"/>
      <c r="U248" s="407"/>
    </row>
    <row r="249" spans="1:25" x14ac:dyDescent="0.25">
      <c r="A249" s="208" t="s">
        <v>615</v>
      </c>
      <c r="B249" s="552" t="s">
        <v>614</v>
      </c>
      <c r="C249" s="551" t="s">
        <v>616</v>
      </c>
      <c r="D249" s="407"/>
      <c r="E249" s="407"/>
      <c r="F249" s="407"/>
      <c r="G249" s="407"/>
      <c r="H249" s="407"/>
      <c r="I249" s="407"/>
      <c r="J249" s="407"/>
      <c r="K249" s="407"/>
      <c r="L249" s="407"/>
      <c r="M249" s="407"/>
      <c r="N249" s="407"/>
      <c r="O249" s="407"/>
      <c r="P249" s="407"/>
      <c r="Q249" s="407"/>
      <c r="R249" s="407"/>
      <c r="S249" s="407"/>
      <c r="T249" s="407"/>
      <c r="U249" s="407"/>
    </row>
    <row r="250" spans="1:25" x14ac:dyDescent="0.25">
      <c r="A250" s="442" t="b">
        <f>IF(SUM(C362:I362)&gt;0,IF(HLOOKUP(1,$C$362:$I$374,2,FALSE)=B250,1),0)</f>
        <v>0</v>
      </c>
      <c r="B250" s="553" t="s">
        <v>65</v>
      </c>
      <c r="C250" s="560">
        <v>0</v>
      </c>
      <c r="D250" s="555" t="s">
        <v>618</v>
      </c>
      <c r="E250" s="407"/>
      <c r="F250" s="407"/>
      <c r="G250" s="407"/>
      <c r="H250" s="407"/>
      <c r="I250" s="407"/>
      <c r="J250" s="407"/>
      <c r="K250" s="407"/>
      <c r="L250" s="407"/>
      <c r="M250" s="407"/>
      <c r="N250" s="407"/>
      <c r="O250" s="407"/>
      <c r="P250" s="407"/>
      <c r="Q250" s="407"/>
      <c r="R250" s="407"/>
      <c r="S250" s="407"/>
      <c r="T250" s="407"/>
      <c r="U250" s="407"/>
    </row>
    <row r="251" spans="1:25" x14ac:dyDescent="0.25">
      <c r="A251" s="12" t="b">
        <f>IF(SUM(C362:I362)&gt;0,IF(HLOOKUP(1,$C$362:$I$374,2,FALSE)=B251,1),0)</f>
        <v>0</v>
      </c>
      <c r="B251" s="554" t="s">
        <v>66</v>
      </c>
      <c r="C251" s="561">
        <v>0</v>
      </c>
      <c r="D251" s="555" t="s">
        <v>618</v>
      </c>
      <c r="E251" s="407"/>
      <c r="F251" s="407"/>
      <c r="G251" s="407"/>
      <c r="H251" s="407"/>
      <c r="I251" s="407"/>
      <c r="J251" s="407"/>
      <c r="K251" s="407"/>
      <c r="L251" s="407"/>
      <c r="M251" s="407"/>
      <c r="N251" s="407"/>
      <c r="O251" s="407"/>
      <c r="P251" s="407"/>
      <c r="Q251" s="407"/>
      <c r="R251" s="407"/>
      <c r="S251" s="407"/>
      <c r="T251" s="407"/>
      <c r="U251" s="407"/>
    </row>
    <row r="252" spans="1:25" x14ac:dyDescent="0.25">
      <c r="A252" s="28">
        <v>0</v>
      </c>
      <c r="B252" s="41" t="s">
        <v>64</v>
      </c>
      <c r="C252" s="557">
        <v>0</v>
      </c>
      <c r="D252" s="407"/>
      <c r="E252" s="407"/>
      <c r="F252" s="407"/>
      <c r="G252" s="407"/>
      <c r="H252" s="407"/>
      <c r="I252" s="407"/>
      <c r="J252" s="407"/>
      <c r="K252" s="407"/>
      <c r="L252" s="407"/>
      <c r="M252" s="407"/>
      <c r="N252" s="407"/>
      <c r="O252" s="407"/>
      <c r="P252" s="407"/>
      <c r="Q252" s="407"/>
      <c r="R252" s="407"/>
      <c r="S252" s="407"/>
      <c r="T252" s="407"/>
      <c r="U252" s="407"/>
    </row>
    <row r="253" spans="1:25" x14ac:dyDescent="0.25">
      <c r="A253" s="12" t="b">
        <f>IF(SUM(C362:I362)&gt;0,IF(HLOOKUP(1,$C$362:$I$374,2,FALSE)=B253,1),0)</f>
        <v>0</v>
      </c>
      <c r="B253" s="41" t="s">
        <v>63</v>
      </c>
      <c r="C253" s="556">
        <f>IF(A253=1,C247,0)</f>
        <v>0</v>
      </c>
      <c r="D253" s="407"/>
      <c r="E253" s="407"/>
      <c r="F253" s="407"/>
      <c r="G253" s="407"/>
      <c r="H253" s="407"/>
      <c r="I253" s="407"/>
      <c r="J253" s="407"/>
      <c r="K253" s="407"/>
      <c r="L253" s="407"/>
      <c r="M253" s="407"/>
      <c r="N253" s="407"/>
      <c r="O253" s="407"/>
      <c r="P253" s="407"/>
      <c r="Q253" s="407"/>
      <c r="R253" s="407"/>
      <c r="S253" s="407"/>
      <c r="T253" s="407"/>
      <c r="U253" s="407"/>
    </row>
    <row r="254" spans="1:25" x14ac:dyDescent="0.25">
      <c r="A254" s="34">
        <v>0</v>
      </c>
      <c r="B254" s="52" t="s">
        <v>554</v>
      </c>
      <c r="C254" s="559">
        <v>0</v>
      </c>
      <c r="D254" s="555" t="s">
        <v>619</v>
      </c>
      <c r="E254" s="407"/>
      <c r="F254" s="407"/>
      <c r="G254" s="407"/>
      <c r="H254" s="407"/>
      <c r="I254" s="407"/>
      <c r="J254" s="407"/>
      <c r="K254" s="407"/>
      <c r="L254" s="407"/>
      <c r="M254" s="407"/>
      <c r="N254" s="407"/>
      <c r="O254" s="407"/>
      <c r="P254" s="407"/>
      <c r="Q254" s="407"/>
      <c r="R254" s="407"/>
      <c r="S254" s="407"/>
      <c r="T254" s="407"/>
      <c r="U254" s="407"/>
    </row>
    <row r="255" spans="1:25" x14ac:dyDescent="0.25">
      <c r="B255" s="407"/>
      <c r="C255" s="407"/>
      <c r="D255" s="407"/>
      <c r="E255" s="407"/>
      <c r="F255" s="407"/>
      <c r="G255" s="407"/>
      <c r="H255" s="407"/>
      <c r="I255" s="407"/>
      <c r="J255" s="407"/>
      <c r="K255" s="407"/>
      <c r="L255" s="407"/>
      <c r="M255" s="407"/>
      <c r="N255" s="407"/>
      <c r="O255" s="407"/>
      <c r="P255" s="407"/>
      <c r="Q255" s="407"/>
      <c r="R255" s="407"/>
      <c r="S255" s="407"/>
      <c r="T255" s="407"/>
      <c r="U255" s="407"/>
    </row>
    <row r="256" spans="1:25" s="320" customFormat="1" x14ac:dyDescent="0.25">
      <c r="B256" s="441"/>
      <c r="Y256" s="343"/>
    </row>
    <row r="258" spans="1:12" x14ac:dyDescent="0.25">
      <c r="B258" s="215" t="s">
        <v>200</v>
      </c>
    </row>
    <row r="259" spans="1:12" x14ac:dyDescent="0.25">
      <c r="B259"/>
      <c r="C259" s="215"/>
    </row>
    <row r="260" spans="1:12" x14ac:dyDescent="0.25">
      <c r="B260" s="440" t="s">
        <v>511</v>
      </c>
      <c r="C260" s="464"/>
      <c r="D260" s="449" t="s">
        <v>18</v>
      </c>
      <c r="E260" s="442" t="s">
        <v>9</v>
      </c>
      <c r="F260" s="442" t="s">
        <v>508</v>
      </c>
      <c r="G260" s="2"/>
    </row>
    <row r="261" spans="1:12" x14ac:dyDescent="0.25">
      <c r="B261" s="438"/>
      <c r="C261" s="464" t="s">
        <v>506</v>
      </c>
      <c r="D261" s="449">
        <f>C108</f>
        <v>361</v>
      </c>
      <c r="E261" s="442">
        <f>D108</f>
        <v>1114</v>
      </c>
      <c r="F261" s="451">
        <f>(D261/1000)*(E261/1000)</f>
        <v>0.40215400000000001</v>
      </c>
      <c r="G261" s="479"/>
      <c r="H261" s="450"/>
    </row>
    <row r="262" spans="1:12" ht="15.75" thickBot="1" x14ac:dyDescent="0.3">
      <c r="B262" s="462"/>
      <c r="C262" s="465" t="s">
        <v>510</v>
      </c>
      <c r="D262" s="463">
        <v>40</v>
      </c>
      <c r="E262" s="460"/>
      <c r="F262" s="460"/>
    </row>
    <row r="263" spans="1:12" ht="15.75" thickTop="1" x14ac:dyDescent="0.25">
      <c r="B263" s="6"/>
      <c r="C263" s="36" t="s">
        <v>503</v>
      </c>
      <c r="D263" s="344">
        <v>500</v>
      </c>
      <c r="E263" s="34">
        <v>500</v>
      </c>
      <c r="F263" s="340"/>
      <c r="G263" s="2"/>
      <c r="H263" s="455"/>
    </row>
    <row r="264" spans="1:12" x14ac:dyDescent="0.25">
      <c r="B264" s="6"/>
      <c r="C264" s="36" t="s">
        <v>504</v>
      </c>
      <c r="D264" s="2">
        <f>H388</f>
        <v>250</v>
      </c>
      <c r="E264" s="12">
        <f>J388</f>
        <v>500</v>
      </c>
      <c r="F264" s="453"/>
      <c r="G264" s="2"/>
    </row>
    <row r="265" spans="1:12" x14ac:dyDescent="0.25">
      <c r="B265" s="6"/>
      <c r="C265" s="36"/>
      <c r="E265" s="41"/>
      <c r="F265" s="452"/>
      <c r="G265" s="459"/>
      <c r="H265" s="456"/>
    </row>
    <row r="266" spans="1:12" x14ac:dyDescent="0.25">
      <c r="B266" s="213"/>
      <c r="C266" s="466" t="s">
        <v>505</v>
      </c>
      <c r="D266" s="397">
        <f>MAX(D263:D264)</f>
        <v>500</v>
      </c>
      <c r="E266" s="403">
        <f>MAX(E263:E264)</f>
        <v>500</v>
      </c>
      <c r="F266" s="480">
        <f>(D266/1000)*(E266/1000)</f>
        <v>0.25</v>
      </c>
      <c r="G266" s="2"/>
      <c r="H266" s="457"/>
    </row>
    <row r="267" spans="1:12" ht="15.75" thickBot="1" x14ac:dyDescent="0.3">
      <c r="B267" s="440">
        <f>C111</f>
        <v>0</v>
      </c>
      <c r="C267" s="464" t="s">
        <v>507</v>
      </c>
      <c r="D267" s="449">
        <f>IF(B267&gt;0,E238,0)</f>
        <v>0</v>
      </c>
      <c r="E267" s="442">
        <f>IF(B267&gt;0,G238-D262,0)</f>
        <v>0</v>
      </c>
      <c r="F267" s="451">
        <f>(D267/1000)*(E267/1000)</f>
        <v>0</v>
      </c>
      <c r="G267" s="2"/>
    </row>
    <row r="268" spans="1:12" ht="15.75" thickBot="1" x14ac:dyDescent="0.3">
      <c r="B268" s="414"/>
      <c r="C268" s="458" t="s">
        <v>509</v>
      </c>
      <c r="D268" s="461">
        <f>MAX(D267,D266)-D262</f>
        <v>460</v>
      </c>
      <c r="E268" s="461">
        <f>MAX(E267,E266)-D262</f>
        <v>460</v>
      </c>
      <c r="F268" s="481">
        <f>(D268/1000)*(E268/1000)</f>
        <v>0.21160000000000001</v>
      </c>
      <c r="G268" s="2"/>
    </row>
    <row r="269" spans="1:12" x14ac:dyDescent="0.25">
      <c r="B269"/>
      <c r="C269" s="1"/>
      <c r="D269" s="407"/>
      <c r="E269" s="407"/>
      <c r="F269" s="468"/>
      <c r="G269" s="2"/>
    </row>
    <row r="270" spans="1:12" x14ac:dyDescent="0.25">
      <c r="B270"/>
      <c r="C270" s="1"/>
      <c r="D270" s="407"/>
      <c r="E270" s="407"/>
      <c r="F270" s="468"/>
      <c r="G270" s="2"/>
    </row>
    <row r="271" spans="1:12" x14ac:dyDescent="0.25">
      <c r="A271" t="s">
        <v>524</v>
      </c>
      <c r="B271" s="2"/>
      <c r="C271" s="1"/>
      <c r="D271" s="407"/>
      <c r="E271" s="407"/>
      <c r="F271" s="468"/>
      <c r="H271" s="2"/>
      <c r="I271" s="951">
        <f>MIN(I274:I275)</f>
        <v>0.190554</v>
      </c>
      <c r="K271" s="403">
        <f>MIN(K274:K275)</f>
        <v>0</v>
      </c>
    </row>
    <row r="272" spans="1:12" x14ac:dyDescent="0.25">
      <c r="A272" s="404"/>
      <c r="B272" s="440"/>
      <c r="C272" s="469"/>
      <c r="D272" s="470"/>
      <c r="E272" s="471"/>
      <c r="F272" s="451"/>
      <c r="G272" s="404"/>
      <c r="H272" s="404"/>
      <c r="I272" s="442" t="s">
        <v>516</v>
      </c>
      <c r="J272" s="404"/>
      <c r="K272" s="442" t="s">
        <v>515</v>
      </c>
      <c r="L272" s="404"/>
    </row>
    <row r="273" spans="1:12" x14ac:dyDescent="0.25">
      <c r="A273" s="13" t="s">
        <v>517</v>
      </c>
      <c r="B273" s="1292" t="s">
        <v>518</v>
      </c>
      <c r="C273" s="1293"/>
      <c r="D273" s="1292" t="s">
        <v>519</v>
      </c>
      <c r="E273" s="1293"/>
      <c r="F273" s="13" t="s">
        <v>520</v>
      </c>
      <c r="G273" s="13" t="s">
        <v>521</v>
      </c>
      <c r="H273" s="52" t="s">
        <v>513</v>
      </c>
      <c r="I273" s="41" t="s">
        <v>514</v>
      </c>
      <c r="J273" s="12" t="s">
        <v>522</v>
      </c>
      <c r="K273" s="41" t="s">
        <v>514</v>
      </c>
      <c r="L273" s="12" t="s">
        <v>523</v>
      </c>
    </row>
    <row r="274" spans="1:12" x14ac:dyDescent="0.25">
      <c r="A274" s="403">
        <f>IF(SUM(L274:L275)=0,1,IF(SUM(L274:L275)=2,1,L274))</f>
        <v>1</v>
      </c>
      <c r="B274" s="208">
        <f>IF(ROUND(D268/D261,0)=0,1,ROUND(D268/D261,0))</f>
        <v>1</v>
      </c>
      <c r="C274" s="38">
        <f>IF(ROUND(E268/E261,0)=0,1,ROUND(E268/E261,0))</f>
        <v>1</v>
      </c>
      <c r="D274" s="208">
        <f>B274*D261</f>
        <v>361</v>
      </c>
      <c r="E274" s="38">
        <f>C274*E261</f>
        <v>1114</v>
      </c>
      <c r="F274" s="403">
        <f>C274*B274</f>
        <v>1</v>
      </c>
      <c r="G274" s="402">
        <f>(D274/1000)*(E274/1000)</f>
        <v>0.40215400000000001</v>
      </c>
      <c r="H274" s="403">
        <f>IF((G274)&gt;=F268,1,0)</f>
        <v>1</v>
      </c>
      <c r="I274" s="403">
        <f>IF(SUM(H274:H275)=2,G274-F268,0)</f>
        <v>0.190554</v>
      </c>
      <c r="J274" s="403">
        <f>IF(AND(H274=1,I274=I271),1,0)</f>
        <v>1</v>
      </c>
      <c r="K274" s="403">
        <f>IF(SUM(H274:H275)=0,F268-G274,0)</f>
        <v>0</v>
      </c>
      <c r="L274" s="403">
        <f>IF(AND(SUM(J274:J275)=0,K274=K271,),1,J274)</f>
        <v>1</v>
      </c>
    </row>
    <row r="275" spans="1:12" x14ac:dyDescent="0.25">
      <c r="A275" s="403">
        <f>IF(SUM(L274:L275)=2,0,L275)</f>
        <v>0</v>
      </c>
      <c r="B275" s="432">
        <f>IF(ROUND(E268/D261,0)=0,1,ROUND(E268/D261,0))</f>
        <v>1</v>
      </c>
      <c r="C275" s="436">
        <f>IF(ROUND(D268/E261,0)=0,1,ROUND(D268/E261,0))</f>
        <v>1</v>
      </c>
      <c r="D275" s="432">
        <f>B275*D261</f>
        <v>361</v>
      </c>
      <c r="E275" s="436">
        <f>C275*E261</f>
        <v>1114</v>
      </c>
      <c r="F275" s="473">
        <f>B275*C275</f>
        <v>1</v>
      </c>
      <c r="G275" s="342">
        <f>(D275/1000)*(E275/1000)</f>
        <v>0.40215400000000001</v>
      </c>
      <c r="H275" s="13">
        <f>IF(G275&gt;=F268,1,0)</f>
        <v>1</v>
      </c>
      <c r="I275" s="13">
        <f>IF(SUM(H274:H275)=2,G275-F268,0)</f>
        <v>0.190554</v>
      </c>
      <c r="J275" s="13">
        <f>IF(AND(H275=1,I275=I271),1,0)</f>
        <v>1</v>
      </c>
      <c r="K275" s="13">
        <f>IF(SUM(H274:H275)=0,F268-G275,0)</f>
        <v>0</v>
      </c>
      <c r="L275" s="13">
        <f>IF(AND(SUM(J274:J275)=0,K275=K271,),1,J275)</f>
        <v>1</v>
      </c>
    </row>
    <row r="276" spans="1:12" x14ac:dyDescent="0.25">
      <c r="A276" s="2"/>
      <c r="B276" s="2"/>
      <c r="C276" s="59" t="s">
        <v>39</v>
      </c>
      <c r="D276" s="477">
        <f>VLOOKUP(1,A274:L275,4,FALSE)</f>
        <v>361</v>
      </c>
      <c r="E276" s="471">
        <f>VLOOKUP(1,A274:L275,5,FALSE)</f>
        <v>1114</v>
      </c>
      <c r="F276" s="2"/>
      <c r="G276" s="2"/>
      <c r="H276" s="2"/>
      <c r="I276" s="2"/>
      <c r="J276" s="2"/>
      <c r="K276" s="2"/>
      <c r="L276" s="2"/>
    </row>
    <row r="277" spans="1:12" ht="15.75" thickBot="1" x14ac:dyDescent="0.3">
      <c r="A277" s="2"/>
      <c r="B277" s="2"/>
      <c r="C277" s="59" t="s">
        <v>533</v>
      </c>
      <c r="D277" s="477">
        <f>MAX(D268,D276)</f>
        <v>460</v>
      </c>
      <c r="E277" s="471">
        <f>MAX(E268,E276)</f>
        <v>1114</v>
      </c>
      <c r="F277" s="2"/>
      <c r="G277" s="2"/>
      <c r="H277" s="2"/>
      <c r="I277" s="2"/>
      <c r="J277" s="2"/>
      <c r="K277" s="2"/>
      <c r="L277" s="2"/>
    </row>
    <row r="278" spans="1:12" ht="15.75" thickBot="1" x14ac:dyDescent="0.3">
      <c r="A278" s="2"/>
      <c r="B278" s="2"/>
      <c r="C278" s="59" t="s">
        <v>785</v>
      </c>
      <c r="D278" s="478">
        <f>D277/VLOOKUP(1,A274:C275,2,FALSE)</f>
        <v>460</v>
      </c>
      <c r="E278" s="738">
        <f>E277/VLOOKUP(1,A274:C275,3,FALSE)</f>
        <v>1114</v>
      </c>
      <c r="F278" s="2"/>
      <c r="G278" s="2"/>
      <c r="H278" s="2"/>
      <c r="I278" s="2"/>
      <c r="J278" s="2"/>
      <c r="K278" s="2"/>
      <c r="L278" s="2"/>
    </row>
    <row r="279" spans="1:12" x14ac:dyDescent="0.25">
      <c r="C279" s="459"/>
    </row>
    <row r="280" spans="1:12" x14ac:dyDescent="0.25">
      <c r="C280" s="2" t="s">
        <v>18</v>
      </c>
      <c r="D280" s="2" t="s">
        <v>9</v>
      </c>
    </row>
    <row r="281" spans="1:12" x14ac:dyDescent="0.25">
      <c r="B281" s="1" t="s">
        <v>525</v>
      </c>
      <c r="C281" s="407">
        <f>D277+D262</f>
        <v>500</v>
      </c>
      <c r="D281" s="407">
        <f>E277+D262</f>
        <v>1154</v>
      </c>
    </row>
    <row r="282" spans="1:12" x14ac:dyDescent="0.25">
      <c r="B282" s="1" t="s">
        <v>526</v>
      </c>
      <c r="C282" s="407">
        <f>MIN(C281:D281)</f>
        <v>500</v>
      </c>
      <c r="D282" s="407">
        <f>MAX(C281:D281)</f>
        <v>1154</v>
      </c>
    </row>
    <row r="284" spans="1:12" x14ac:dyDescent="0.25">
      <c r="B284" s="1" t="s">
        <v>527</v>
      </c>
      <c r="C284" s="454">
        <v>1200</v>
      </c>
      <c r="D284" s="454">
        <v>1690</v>
      </c>
      <c r="E284" s="403" t="s">
        <v>187</v>
      </c>
    </row>
    <row r="285" spans="1:12" x14ac:dyDescent="0.25">
      <c r="B285" s="1" t="s">
        <v>152</v>
      </c>
      <c r="C285" s="208">
        <f>IF(C282&lt;=C284,1,0)</f>
        <v>1</v>
      </c>
      <c r="D285" s="403">
        <f>IF(D282&lt;=D284,1,0)</f>
        <v>1</v>
      </c>
      <c r="E285" s="403">
        <f>IF(SUM(C285:D285)=2,1,0)</f>
        <v>1</v>
      </c>
    </row>
    <row r="287" spans="1:12" x14ac:dyDescent="0.25">
      <c r="B287" s="1" t="s">
        <v>528</v>
      </c>
      <c r="C287" s="208">
        <f>C284</f>
        <v>1200</v>
      </c>
      <c r="D287" s="403">
        <f>D284</f>
        <v>1690</v>
      </c>
      <c r="E287" s="403" t="s">
        <v>187</v>
      </c>
    </row>
    <row r="288" spans="1:12" x14ac:dyDescent="0.25">
      <c r="C288" s="208">
        <f>IF(C282&lt;=C287,1,0)</f>
        <v>1</v>
      </c>
      <c r="D288" s="403">
        <f>IF(D282&lt;=D287,1,0)</f>
        <v>1</v>
      </c>
      <c r="E288" s="403">
        <f>IF(SUM(C288:D288)=2,1,0)</f>
        <v>1</v>
      </c>
    </row>
    <row r="289" spans="2:25" x14ac:dyDescent="0.25">
      <c r="C289" s="2"/>
      <c r="D289" s="2"/>
      <c r="E289" s="2"/>
      <c r="L289" s="512"/>
    </row>
    <row r="290" spans="2:25" ht="15.75" thickBot="1" x14ac:dyDescent="0.3">
      <c r="C290" s="2"/>
      <c r="D290" s="2"/>
      <c r="E290" s="2"/>
    </row>
    <row r="291" spans="2:25" x14ac:dyDescent="0.25">
      <c r="C291" s="2"/>
      <c r="D291" s="2"/>
      <c r="F291" s="498">
        <v>3</v>
      </c>
      <c r="L291" s="450"/>
    </row>
    <row r="292" spans="2:25" x14ac:dyDescent="0.25">
      <c r="B292" s="220"/>
      <c r="C292" s="473" t="s">
        <v>152</v>
      </c>
      <c r="D292" s="208" t="s">
        <v>534</v>
      </c>
      <c r="E292" s="476" t="s">
        <v>161</v>
      </c>
      <c r="F292" s="499" t="s">
        <v>535</v>
      </c>
    </row>
    <row r="293" spans="2:25" ht="15.75" thickBot="1" x14ac:dyDescent="0.3">
      <c r="B293" s="483" t="s">
        <v>529</v>
      </c>
      <c r="C293" s="13">
        <f>IF(SUM(E285,E288)=2,1,0)</f>
        <v>1</v>
      </c>
      <c r="D293" s="18">
        <f>V46</f>
        <v>0</v>
      </c>
      <c r="E293" s="208">
        <f>'Prijs karton (2)'!AH16</f>
        <v>1</v>
      </c>
      <c r="F293" s="500">
        <f>IF(SUM(C293:E293)=F291,1,0)</f>
        <v>0</v>
      </c>
    </row>
    <row r="295" spans="2:25" s="320" customFormat="1" x14ac:dyDescent="0.25">
      <c r="B295" s="441"/>
      <c r="Y295" s="343"/>
    </row>
    <row r="297" spans="2:25" x14ac:dyDescent="0.25">
      <c r="B297" s="215" t="s">
        <v>201</v>
      </c>
    </row>
    <row r="298" spans="2:25" x14ac:dyDescent="0.25">
      <c r="B298" s="215"/>
    </row>
    <row r="299" spans="2:25" ht="15.75" thickBot="1" x14ac:dyDescent="0.3">
      <c r="B299" s="77" t="s">
        <v>544</v>
      </c>
    </row>
    <row r="300" spans="2:25" ht="15.75" thickBot="1" x14ac:dyDescent="0.3">
      <c r="B300" s="484">
        <v>80</v>
      </c>
      <c r="C300" s="262">
        <v>150</v>
      </c>
      <c r="D300" s="281">
        <f>IF(SUM(D301:D302)&gt;0,1,0)</f>
        <v>1</v>
      </c>
    </row>
    <row r="301" spans="2:25" x14ac:dyDescent="0.25">
      <c r="B301" s="399">
        <f>IF(C307&gt;=B300,1,0)</f>
        <v>1</v>
      </c>
      <c r="C301" s="431">
        <f>IF(E307&gt;=C300,1,0)</f>
        <v>1</v>
      </c>
      <c r="D301" s="12">
        <f>IF(SUM(B301:C301)=2,1,0)</f>
        <v>1</v>
      </c>
    </row>
    <row r="302" spans="2:25" x14ac:dyDescent="0.25">
      <c r="B302" s="202">
        <f>IF(C315&gt;=B300,1,0)</f>
        <v>1</v>
      </c>
      <c r="C302" s="18">
        <f>IF(E315&gt;=C300,1,0)</f>
        <v>1</v>
      </c>
      <c r="D302" s="13">
        <f>IF(SUM(B302:C302)=2,1,0)</f>
        <v>1</v>
      </c>
    </row>
    <row r="304" spans="2:25" x14ac:dyDescent="0.25">
      <c r="B304"/>
    </row>
    <row r="305" spans="1:21" x14ac:dyDescent="0.25">
      <c r="A305" s="473" t="s">
        <v>549</v>
      </c>
      <c r="B305" s="399" t="s">
        <v>61</v>
      </c>
      <c r="C305" s="411"/>
      <c r="D305" s="486">
        <v>400</v>
      </c>
      <c r="E305" s="103"/>
      <c r="F305" s="956">
        <v>1000</v>
      </c>
      <c r="G305" s="486">
        <v>2400</v>
      </c>
      <c r="H305" s="488"/>
      <c r="I305" s="43"/>
      <c r="J305" s="417" t="s">
        <v>18</v>
      </c>
      <c r="K305" s="423"/>
      <c r="L305" s="496" t="s">
        <v>9</v>
      </c>
      <c r="M305" s="497"/>
      <c r="N305" s="399" t="s">
        <v>537</v>
      </c>
      <c r="O305" s="431" t="s">
        <v>545</v>
      </c>
      <c r="P305" s="442" t="s">
        <v>566</v>
      </c>
      <c r="Q305" s="435" t="s">
        <v>81</v>
      </c>
      <c r="R305" s="442" t="s">
        <v>582</v>
      </c>
      <c r="S305" s="442" t="s">
        <v>536</v>
      </c>
      <c r="T305" s="399" t="s">
        <v>547</v>
      </c>
      <c r="U305" s="399" t="s">
        <v>547</v>
      </c>
    </row>
    <row r="306" spans="1:21" x14ac:dyDescent="0.25">
      <c r="A306" s="491">
        <f>IF(SUM(S308:S314)=0,0,IF(AND(SUM(S308:S314)&gt;0,A307=1),0,IF(AND(SUM(S308:S314)&gt;0,A307=0),1)))</f>
        <v>0</v>
      </c>
      <c r="B306" s="120" t="s">
        <v>180</v>
      </c>
      <c r="C306" s="287" t="s">
        <v>18</v>
      </c>
      <c r="D306" s="473" t="s">
        <v>539</v>
      </c>
      <c r="E306" s="103" t="s">
        <v>9</v>
      </c>
      <c r="F306" s="489" t="s">
        <v>538</v>
      </c>
      <c r="G306" s="489" t="s">
        <v>548</v>
      </c>
      <c r="H306" s="487" t="s">
        <v>541</v>
      </c>
      <c r="I306" s="401" t="s">
        <v>540</v>
      </c>
      <c r="J306" s="489" t="s">
        <v>542</v>
      </c>
      <c r="K306" s="489" t="s">
        <v>543</v>
      </c>
      <c r="L306" s="489" t="s">
        <v>542</v>
      </c>
      <c r="M306" s="489" t="s">
        <v>181</v>
      </c>
      <c r="N306" s="228"/>
      <c r="O306" s="204" t="s">
        <v>546</v>
      </c>
      <c r="P306" s="41"/>
      <c r="Q306" s="7"/>
      <c r="R306" s="52"/>
      <c r="S306" s="202"/>
      <c r="T306" s="120" t="s">
        <v>113</v>
      </c>
      <c r="U306" s="120" t="s">
        <v>112</v>
      </c>
    </row>
    <row r="307" spans="1:21" x14ac:dyDescent="0.25">
      <c r="A307" s="492">
        <f>IF(SUM(S316:S322)=0,0,IF(SUM(S316:S322)&gt;0,1))</f>
        <v>0</v>
      </c>
      <c r="B307" s="341"/>
      <c r="C307" s="913">
        <f>C6</f>
        <v>300</v>
      </c>
      <c r="D307" s="41"/>
      <c r="E307" s="38">
        <f>C7</f>
        <v>250</v>
      </c>
      <c r="F307" s="473"/>
      <c r="G307" s="41"/>
      <c r="H307" s="241"/>
      <c r="I307" s="70">
        <v>55</v>
      </c>
      <c r="J307" s="34">
        <v>60</v>
      </c>
      <c r="K307" s="490">
        <v>1300</v>
      </c>
      <c r="L307" s="28">
        <v>65</v>
      </c>
      <c r="M307" s="28">
        <v>600</v>
      </c>
      <c r="N307" s="442"/>
      <c r="O307" s="213"/>
      <c r="P307" s="473">
        <f>W46</f>
        <v>0</v>
      </c>
      <c r="Q307" s="473">
        <f>IF(C111=0,1,0)</f>
        <v>1</v>
      </c>
      <c r="R307" s="473">
        <f>IF(C131=0,1,0)</f>
        <v>1</v>
      </c>
      <c r="S307" s="484">
        <v>9</v>
      </c>
      <c r="T307" s="442"/>
      <c r="U307" s="404"/>
    </row>
    <row r="308" spans="1:21" x14ac:dyDescent="0.25">
      <c r="A308" s="510" t="str">
        <f t="shared" ref="A308:A314" si="26">IF(AND($A$306=1,S308=1),B308," ")</f>
        <v xml:space="preserve"> </v>
      </c>
      <c r="B308" s="431">
        <v>1</v>
      </c>
      <c r="C308" s="442">
        <f>B308*$C$307</f>
        <v>300</v>
      </c>
      <c r="D308" s="435">
        <f>CEILING($D$305/$C$307,1)</f>
        <v>2</v>
      </c>
      <c r="E308" s="2">
        <f t="shared" ref="E308:E314" si="27">$E$307</f>
        <v>250</v>
      </c>
      <c r="F308" s="431">
        <f t="shared" ref="F308:F314" si="28">CEILING($F$305/$E$307,1)</f>
        <v>4</v>
      </c>
      <c r="G308" s="442">
        <f>FLOOR($G$305/$E$307,1)</f>
        <v>9</v>
      </c>
      <c r="H308" s="485">
        <v>6</v>
      </c>
      <c r="I308" s="2">
        <f t="shared" ref="I308:I314" si="29">$I$307*H308</f>
        <v>330</v>
      </c>
      <c r="J308" s="442">
        <f t="shared" ref="J308:J314" si="30">IF($C$307&gt;=$J$307,1,0)</f>
        <v>1</v>
      </c>
      <c r="K308" s="449">
        <f t="shared" ref="K308:K314" si="31">IF(C308&lt;=$K$307-I308,1,0)</f>
        <v>1</v>
      </c>
      <c r="L308" s="431">
        <f t="shared" ref="L308:L314" si="32">IF(E308&gt;=$L$307,1,0)</f>
        <v>1</v>
      </c>
      <c r="M308" s="431">
        <f t="shared" ref="M308:M314" si="33">IF(E308&lt;=$M$307,1,0)</f>
        <v>1</v>
      </c>
      <c r="N308" s="442">
        <f>$D$300</f>
        <v>1</v>
      </c>
      <c r="O308" s="2">
        <f t="shared" ref="O308:O314" si="34">IF(B308&gt;=D308,1,0)</f>
        <v>0</v>
      </c>
      <c r="P308" s="442">
        <f>$P$307</f>
        <v>0</v>
      </c>
      <c r="Q308" s="2">
        <f>$Q$307</f>
        <v>1</v>
      </c>
      <c r="R308" s="442">
        <f t="shared" ref="R308:R314" si="35">$R$307</f>
        <v>1</v>
      </c>
      <c r="S308" s="431">
        <f t="shared" ref="S308:S314" si="36">IF(SUM(J308:R308)=$S$307,1,0)</f>
        <v>0</v>
      </c>
      <c r="T308" s="431">
        <f t="shared" ref="T308:T314" si="37">S308*B308*F308</f>
        <v>0</v>
      </c>
      <c r="U308" s="442">
        <f t="shared" ref="U308:U314" si="38">S308*B308*G308</f>
        <v>0</v>
      </c>
    </row>
    <row r="309" spans="1:21" x14ac:dyDescent="0.25">
      <c r="A309" s="510" t="str">
        <f t="shared" si="26"/>
        <v xml:space="preserve"> </v>
      </c>
      <c r="B309" s="26">
        <v>2</v>
      </c>
      <c r="C309" s="12">
        <f t="shared" ref="C309:C314" si="39">B309*$C$307</f>
        <v>600</v>
      </c>
      <c r="D309" s="25">
        <f t="shared" ref="D309:D314" si="40">CEILING($D$305/$C$307,1)</f>
        <v>2</v>
      </c>
      <c r="E309" s="2">
        <f t="shared" si="27"/>
        <v>250</v>
      </c>
      <c r="F309" s="26">
        <f t="shared" si="28"/>
        <v>4</v>
      </c>
      <c r="G309" s="12">
        <f t="shared" ref="G309:G314" si="41">FLOOR($G$305/$E$307,1)</f>
        <v>9</v>
      </c>
      <c r="H309" s="246">
        <v>5</v>
      </c>
      <c r="I309" s="2">
        <f t="shared" si="29"/>
        <v>275</v>
      </c>
      <c r="J309" s="12">
        <f t="shared" si="30"/>
        <v>1</v>
      </c>
      <c r="K309" s="2">
        <f t="shared" si="31"/>
        <v>1</v>
      </c>
      <c r="L309" s="26">
        <f t="shared" si="32"/>
        <v>1</v>
      </c>
      <c r="M309" s="26">
        <f t="shared" si="33"/>
        <v>1</v>
      </c>
      <c r="N309" s="12">
        <f t="shared" ref="N309:N314" si="42">$D$300</f>
        <v>1</v>
      </c>
      <c r="O309" s="2">
        <f t="shared" si="34"/>
        <v>1</v>
      </c>
      <c r="P309" s="12">
        <f>$P$307</f>
        <v>0</v>
      </c>
      <c r="Q309" s="2">
        <f>$Q$307</f>
        <v>1</v>
      </c>
      <c r="R309" s="12">
        <f t="shared" si="35"/>
        <v>1</v>
      </c>
      <c r="S309" s="26">
        <f t="shared" si="36"/>
        <v>0</v>
      </c>
      <c r="T309" s="26">
        <f t="shared" si="37"/>
        <v>0</v>
      </c>
      <c r="U309" s="12">
        <f t="shared" si="38"/>
        <v>0</v>
      </c>
    </row>
    <row r="310" spans="1:21" x14ac:dyDescent="0.25">
      <c r="A310" s="510" t="str">
        <f t="shared" si="26"/>
        <v xml:space="preserve"> </v>
      </c>
      <c r="B310" s="26">
        <v>3</v>
      </c>
      <c r="C310" s="12">
        <f t="shared" si="39"/>
        <v>900</v>
      </c>
      <c r="D310" s="25">
        <f t="shared" si="40"/>
        <v>2</v>
      </c>
      <c r="E310" s="2">
        <f t="shared" si="27"/>
        <v>250</v>
      </c>
      <c r="F310" s="26">
        <f t="shared" si="28"/>
        <v>4</v>
      </c>
      <c r="G310" s="12">
        <f t="shared" si="41"/>
        <v>9</v>
      </c>
      <c r="H310" s="246">
        <v>4</v>
      </c>
      <c r="I310" s="2">
        <f t="shared" si="29"/>
        <v>220</v>
      </c>
      <c r="J310" s="12">
        <f t="shared" si="30"/>
        <v>1</v>
      </c>
      <c r="K310" s="2">
        <f t="shared" si="31"/>
        <v>1</v>
      </c>
      <c r="L310" s="26">
        <f t="shared" si="32"/>
        <v>1</v>
      </c>
      <c r="M310" s="26">
        <f t="shared" si="33"/>
        <v>1</v>
      </c>
      <c r="N310" s="12">
        <f t="shared" si="42"/>
        <v>1</v>
      </c>
      <c r="O310" s="2">
        <f t="shared" si="34"/>
        <v>1</v>
      </c>
      <c r="P310" s="12">
        <f t="shared" ref="P310:P314" si="43">$P$307</f>
        <v>0</v>
      </c>
      <c r="Q310" s="2">
        <f t="shared" ref="Q310:Q314" si="44">$Q$307</f>
        <v>1</v>
      </c>
      <c r="R310" s="12">
        <f t="shared" si="35"/>
        <v>1</v>
      </c>
      <c r="S310" s="26">
        <f t="shared" si="36"/>
        <v>0</v>
      </c>
      <c r="T310" s="26">
        <f t="shared" si="37"/>
        <v>0</v>
      </c>
      <c r="U310" s="12">
        <f t="shared" si="38"/>
        <v>0</v>
      </c>
    </row>
    <row r="311" spans="1:21" x14ac:dyDescent="0.25">
      <c r="A311" s="510" t="str">
        <f t="shared" si="26"/>
        <v xml:space="preserve"> </v>
      </c>
      <c r="B311" s="26">
        <v>4</v>
      </c>
      <c r="C311" s="12">
        <f t="shared" si="39"/>
        <v>1200</v>
      </c>
      <c r="D311" s="25">
        <f t="shared" si="40"/>
        <v>2</v>
      </c>
      <c r="E311" s="2">
        <f t="shared" si="27"/>
        <v>250</v>
      </c>
      <c r="F311" s="26">
        <f t="shared" si="28"/>
        <v>4</v>
      </c>
      <c r="G311" s="12">
        <f t="shared" si="41"/>
        <v>9</v>
      </c>
      <c r="H311" s="246">
        <v>3</v>
      </c>
      <c r="I311" s="2">
        <f t="shared" si="29"/>
        <v>165</v>
      </c>
      <c r="J311" s="12">
        <f t="shared" si="30"/>
        <v>1</v>
      </c>
      <c r="K311" s="2">
        <f t="shared" si="31"/>
        <v>0</v>
      </c>
      <c r="L311" s="26">
        <f t="shared" si="32"/>
        <v>1</v>
      </c>
      <c r="M311" s="26">
        <f t="shared" si="33"/>
        <v>1</v>
      </c>
      <c r="N311" s="12">
        <f t="shared" si="42"/>
        <v>1</v>
      </c>
      <c r="O311" s="2">
        <f t="shared" si="34"/>
        <v>1</v>
      </c>
      <c r="P311" s="12">
        <f t="shared" si="43"/>
        <v>0</v>
      </c>
      <c r="Q311" s="2">
        <f t="shared" si="44"/>
        <v>1</v>
      </c>
      <c r="R311" s="12">
        <f t="shared" si="35"/>
        <v>1</v>
      </c>
      <c r="S311" s="26">
        <f t="shared" si="36"/>
        <v>0</v>
      </c>
      <c r="T311" s="26">
        <f t="shared" si="37"/>
        <v>0</v>
      </c>
      <c r="U311" s="12">
        <f t="shared" si="38"/>
        <v>0</v>
      </c>
    </row>
    <row r="312" spans="1:21" x14ac:dyDescent="0.25">
      <c r="A312" s="510" t="str">
        <f t="shared" si="26"/>
        <v xml:space="preserve"> </v>
      </c>
      <c r="B312" s="26">
        <v>5</v>
      </c>
      <c r="C312" s="12">
        <f t="shared" si="39"/>
        <v>1500</v>
      </c>
      <c r="D312" s="25">
        <f t="shared" si="40"/>
        <v>2</v>
      </c>
      <c r="E312" s="2">
        <f t="shared" si="27"/>
        <v>250</v>
      </c>
      <c r="F312" s="26">
        <f t="shared" si="28"/>
        <v>4</v>
      </c>
      <c r="G312" s="12">
        <f t="shared" si="41"/>
        <v>9</v>
      </c>
      <c r="H312" s="246">
        <v>2</v>
      </c>
      <c r="I312" s="2">
        <f t="shared" si="29"/>
        <v>110</v>
      </c>
      <c r="J312" s="12">
        <f t="shared" si="30"/>
        <v>1</v>
      </c>
      <c r="K312" s="2">
        <f t="shared" si="31"/>
        <v>0</v>
      </c>
      <c r="L312" s="26">
        <f t="shared" si="32"/>
        <v>1</v>
      </c>
      <c r="M312" s="26">
        <f t="shared" si="33"/>
        <v>1</v>
      </c>
      <c r="N312" s="12">
        <f t="shared" si="42"/>
        <v>1</v>
      </c>
      <c r="O312" s="2">
        <f t="shared" si="34"/>
        <v>1</v>
      </c>
      <c r="P312" s="12">
        <f t="shared" si="43"/>
        <v>0</v>
      </c>
      <c r="Q312" s="2">
        <f t="shared" si="44"/>
        <v>1</v>
      </c>
      <c r="R312" s="12">
        <f t="shared" si="35"/>
        <v>1</v>
      </c>
      <c r="S312" s="26">
        <f t="shared" si="36"/>
        <v>0</v>
      </c>
      <c r="T312" s="26">
        <f t="shared" si="37"/>
        <v>0</v>
      </c>
      <c r="U312" s="12">
        <f t="shared" si="38"/>
        <v>0</v>
      </c>
    </row>
    <row r="313" spans="1:21" x14ac:dyDescent="0.25">
      <c r="A313" s="510" t="str">
        <f t="shared" si="26"/>
        <v xml:space="preserve"> </v>
      </c>
      <c r="B313" s="26">
        <v>6</v>
      </c>
      <c r="C313" s="12">
        <f t="shared" si="39"/>
        <v>1800</v>
      </c>
      <c r="D313" s="25">
        <f t="shared" si="40"/>
        <v>2</v>
      </c>
      <c r="E313" s="2">
        <f t="shared" si="27"/>
        <v>250</v>
      </c>
      <c r="F313" s="26">
        <f t="shared" si="28"/>
        <v>4</v>
      </c>
      <c r="G313" s="12">
        <f t="shared" si="41"/>
        <v>9</v>
      </c>
      <c r="H313" s="246">
        <v>1</v>
      </c>
      <c r="I313" s="2">
        <f t="shared" si="29"/>
        <v>55</v>
      </c>
      <c r="J313" s="12">
        <f t="shared" si="30"/>
        <v>1</v>
      </c>
      <c r="K313" s="2">
        <f t="shared" si="31"/>
        <v>0</v>
      </c>
      <c r="L313" s="26">
        <f t="shared" si="32"/>
        <v>1</v>
      </c>
      <c r="M313" s="26">
        <f t="shared" si="33"/>
        <v>1</v>
      </c>
      <c r="N313" s="12">
        <f t="shared" si="42"/>
        <v>1</v>
      </c>
      <c r="O313" s="2">
        <f t="shared" si="34"/>
        <v>1</v>
      </c>
      <c r="P313" s="12">
        <f t="shared" si="43"/>
        <v>0</v>
      </c>
      <c r="Q313" s="2">
        <f t="shared" si="44"/>
        <v>1</v>
      </c>
      <c r="R313" s="12">
        <f t="shared" si="35"/>
        <v>1</v>
      </c>
      <c r="S313" s="26">
        <f t="shared" si="36"/>
        <v>0</v>
      </c>
      <c r="T313" s="26">
        <f t="shared" si="37"/>
        <v>0</v>
      </c>
      <c r="U313" s="12">
        <f t="shared" si="38"/>
        <v>0</v>
      </c>
    </row>
    <row r="314" spans="1:21" x14ac:dyDescent="0.25">
      <c r="A314" s="510" t="str">
        <f t="shared" si="26"/>
        <v xml:space="preserve"> </v>
      </c>
      <c r="B314" s="18">
        <v>7</v>
      </c>
      <c r="C314" s="13">
        <f t="shared" si="39"/>
        <v>2100</v>
      </c>
      <c r="D314" s="436">
        <f t="shared" si="40"/>
        <v>2</v>
      </c>
      <c r="E314" s="2">
        <f t="shared" si="27"/>
        <v>250</v>
      </c>
      <c r="F314" s="18">
        <f t="shared" si="28"/>
        <v>4</v>
      </c>
      <c r="G314" s="13">
        <f t="shared" si="41"/>
        <v>9</v>
      </c>
      <c r="H314" s="247">
        <v>0</v>
      </c>
      <c r="I314" s="2">
        <f t="shared" si="29"/>
        <v>0</v>
      </c>
      <c r="J314" s="12">
        <f t="shared" si="30"/>
        <v>1</v>
      </c>
      <c r="K314" s="2">
        <f t="shared" si="31"/>
        <v>0</v>
      </c>
      <c r="L314" s="18">
        <f t="shared" si="32"/>
        <v>1</v>
      </c>
      <c r="M314" s="18">
        <f t="shared" si="33"/>
        <v>1</v>
      </c>
      <c r="N314" s="13">
        <f t="shared" si="42"/>
        <v>1</v>
      </c>
      <c r="O314" s="2">
        <f t="shared" si="34"/>
        <v>1</v>
      </c>
      <c r="P314" s="12">
        <f t="shared" si="43"/>
        <v>0</v>
      </c>
      <c r="Q314" s="2">
        <f t="shared" si="44"/>
        <v>1</v>
      </c>
      <c r="R314" s="12">
        <f t="shared" si="35"/>
        <v>1</v>
      </c>
      <c r="S314" s="26">
        <f t="shared" si="36"/>
        <v>0</v>
      </c>
      <c r="T314" s="18">
        <f t="shared" si="37"/>
        <v>0</v>
      </c>
      <c r="U314" s="13">
        <f t="shared" si="38"/>
        <v>0</v>
      </c>
    </row>
    <row r="315" spans="1:21" x14ac:dyDescent="0.25">
      <c r="A315" s="472"/>
      <c r="B315" s="12"/>
      <c r="C315" s="26">
        <f>E307</f>
        <v>250</v>
      </c>
      <c r="D315" s="41"/>
      <c r="E315" s="38">
        <f>C307</f>
        <v>300</v>
      </c>
      <c r="F315" s="12"/>
      <c r="G315" s="41"/>
      <c r="H315" s="488"/>
      <c r="I315" s="44"/>
      <c r="J315" s="473"/>
      <c r="K315" s="473"/>
      <c r="L315" s="12"/>
      <c r="M315" s="12"/>
      <c r="N315" s="436"/>
      <c r="O315" s="213"/>
      <c r="P315" s="472"/>
      <c r="Q315" s="43"/>
      <c r="R315" s="473"/>
      <c r="S315" s="442"/>
      <c r="T315" s="12"/>
      <c r="U315" s="52"/>
    </row>
    <row r="316" spans="1:21" x14ac:dyDescent="0.25">
      <c r="A316" s="493" t="str">
        <f t="shared" ref="A316:A322" si="45">IF(AND($A$307=1,S316=1),B316," ")</f>
        <v xml:space="preserve"> </v>
      </c>
      <c r="B316" s="449">
        <v>1</v>
      </c>
      <c r="C316" s="442">
        <f>B316*$C$315</f>
        <v>250</v>
      </c>
      <c r="D316" s="435">
        <f>CEILING($D$305/$C$315,1)</f>
        <v>2</v>
      </c>
      <c r="E316" s="435">
        <f t="shared" ref="E316:E322" si="46">$E$315</f>
        <v>300</v>
      </c>
      <c r="F316" s="431">
        <f t="shared" ref="F316:F322" si="47">CEILING($F$305/$E$315,1)</f>
        <v>4</v>
      </c>
      <c r="G316" s="442">
        <f>FLOOR($G$305/$E$315,1)</f>
        <v>8</v>
      </c>
      <c r="H316" s="485">
        <v>0</v>
      </c>
      <c r="I316" s="435">
        <f t="shared" ref="I316:I322" si="48">$I$307*H316</f>
        <v>0</v>
      </c>
      <c r="J316" s="442">
        <f t="shared" ref="J316:J322" si="49">IF($C$315&gt;=$J$307,1,0)</f>
        <v>1</v>
      </c>
      <c r="K316" s="431">
        <f t="shared" ref="K316:K322" si="50">IF(C316&lt;=$K$307-I316,1,0)</f>
        <v>1</v>
      </c>
      <c r="L316" s="431">
        <f t="shared" ref="L316:L322" si="51">IF(E316&gt;=$L$307,1,0)</f>
        <v>1</v>
      </c>
      <c r="M316" s="442">
        <f t="shared" ref="M316:M322" si="52">IF(E316&lt;=$M$307,1,0)</f>
        <v>1</v>
      </c>
      <c r="N316" s="442">
        <f>$D$300</f>
        <v>1</v>
      </c>
      <c r="O316" s="431">
        <f t="shared" ref="O316:O322" si="53">IF(B316&gt;=D316,1,0)</f>
        <v>0</v>
      </c>
      <c r="P316" s="442">
        <f>$P$307</f>
        <v>0</v>
      </c>
      <c r="Q316" s="431">
        <f>$Q$307</f>
        <v>1</v>
      </c>
      <c r="R316" s="12">
        <f t="shared" ref="R316:R322" si="54">$R$307</f>
        <v>1</v>
      </c>
      <c r="S316" s="442">
        <f t="shared" ref="S316:S322" si="55">IF(SUM(J316:R316)=$S$307,1,0)</f>
        <v>0</v>
      </c>
      <c r="T316" s="442">
        <f t="shared" ref="T316:T322" si="56">S316*B316*F316</f>
        <v>0</v>
      </c>
      <c r="U316" s="442">
        <f t="shared" ref="U316:U322" si="57">S316*B316*G316</f>
        <v>0</v>
      </c>
    </row>
    <row r="317" spans="1:21" x14ac:dyDescent="0.25">
      <c r="A317" s="494" t="str">
        <f t="shared" si="45"/>
        <v xml:space="preserve"> </v>
      </c>
      <c r="B317" s="2">
        <v>2</v>
      </c>
      <c r="C317" s="12">
        <f t="shared" ref="C317:C322" si="58">B317*$C$315</f>
        <v>500</v>
      </c>
      <c r="D317" s="25">
        <f t="shared" ref="D317:D322" si="59">CEILING($D$305/$C$315,1)</f>
        <v>2</v>
      </c>
      <c r="E317" s="25">
        <f t="shared" si="46"/>
        <v>300</v>
      </c>
      <c r="F317" s="26">
        <f t="shared" si="47"/>
        <v>4</v>
      </c>
      <c r="G317" s="12">
        <f t="shared" ref="G317:G322" si="60">FLOOR($G$305/$E$315,1)</f>
        <v>8</v>
      </c>
      <c r="H317" s="246">
        <v>1</v>
      </c>
      <c r="I317" s="25">
        <f t="shared" si="48"/>
        <v>55</v>
      </c>
      <c r="J317" s="12">
        <f t="shared" si="49"/>
        <v>1</v>
      </c>
      <c r="K317" s="26">
        <f t="shared" si="50"/>
        <v>1</v>
      </c>
      <c r="L317" s="26">
        <f t="shared" si="51"/>
        <v>1</v>
      </c>
      <c r="M317" s="12">
        <f t="shared" si="52"/>
        <v>1</v>
      </c>
      <c r="N317" s="12">
        <f t="shared" ref="N317:N322" si="61">$D$300</f>
        <v>1</v>
      </c>
      <c r="O317" s="26">
        <f t="shared" si="53"/>
        <v>1</v>
      </c>
      <c r="P317" s="12">
        <f>$P$307</f>
        <v>0</v>
      </c>
      <c r="Q317" s="26">
        <f>$Q$307</f>
        <v>1</v>
      </c>
      <c r="R317" s="12">
        <f t="shared" si="54"/>
        <v>1</v>
      </c>
      <c r="S317" s="12">
        <f t="shared" si="55"/>
        <v>0</v>
      </c>
      <c r="T317" s="12">
        <f t="shared" si="56"/>
        <v>0</v>
      </c>
      <c r="U317" s="12">
        <f t="shared" si="57"/>
        <v>0</v>
      </c>
    </row>
    <row r="318" spans="1:21" x14ac:dyDescent="0.25">
      <c r="A318" s="494" t="str">
        <f t="shared" si="45"/>
        <v xml:space="preserve"> </v>
      </c>
      <c r="B318" s="2">
        <v>3</v>
      </c>
      <c r="C318" s="12">
        <f t="shared" si="58"/>
        <v>750</v>
      </c>
      <c r="D318" s="25">
        <f t="shared" si="59"/>
        <v>2</v>
      </c>
      <c r="E318" s="25">
        <f t="shared" si="46"/>
        <v>300</v>
      </c>
      <c r="F318" s="26">
        <f t="shared" si="47"/>
        <v>4</v>
      </c>
      <c r="G318" s="12">
        <f t="shared" si="60"/>
        <v>8</v>
      </c>
      <c r="H318" s="246">
        <v>2</v>
      </c>
      <c r="I318" s="25">
        <f t="shared" si="48"/>
        <v>110</v>
      </c>
      <c r="J318" s="12">
        <f t="shared" si="49"/>
        <v>1</v>
      </c>
      <c r="K318" s="26">
        <f t="shared" si="50"/>
        <v>1</v>
      </c>
      <c r="L318" s="26">
        <f t="shared" si="51"/>
        <v>1</v>
      </c>
      <c r="M318" s="12">
        <f t="shared" si="52"/>
        <v>1</v>
      </c>
      <c r="N318" s="12">
        <f t="shared" si="61"/>
        <v>1</v>
      </c>
      <c r="O318" s="26">
        <f t="shared" si="53"/>
        <v>1</v>
      </c>
      <c r="P318" s="12">
        <f t="shared" ref="P318:P322" si="62">$P$307</f>
        <v>0</v>
      </c>
      <c r="Q318" s="26">
        <f t="shared" ref="Q318:Q322" si="63">$Q$307</f>
        <v>1</v>
      </c>
      <c r="R318" s="12">
        <f t="shared" si="54"/>
        <v>1</v>
      </c>
      <c r="S318" s="12">
        <f t="shared" si="55"/>
        <v>0</v>
      </c>
      <c r="T318" s="12">
        <f t="shared" si="56"/>
        <v>0</v>
      </c>
      <c r="U318" s="12">
        <f t="shared" si="57"/>
        <v>0</v>
      </c>
    </row>
    <row r="319" spans="1:21" x14ac:dyDescent="0.25">
      <c r="A319" s="494" t="str">
        <f t="shared" si="45"/>
        <v xml:space="preserve"> </v>
      </c>
      <c r="B319" s="2">
        <v>4</v>
      </c>
      <c r="C319" s="12">
        <f t="shared" si="58"/>
        <v>1000</v>
      </c>
      <c r="D319" s="25">
        <f t="shared" si="59"/>
        <v>2</v>
      </c>
      <c r="E319" s="25">
        <f t="shared" si="46"/>
        <v>300</v>
      </c>
      <c r="F319" s="26">
        <f t="shared" si="47"/>
        <v>4</v>
      </c>
      <c r="G319" s="12">
        <f t="shared" si="60"/>
        <v>8</v>
      </c>
      <c r="H319" s="246">
        <v>3</v>
      </c>
      <c r="I319" s="25">
        <f t="shared" si="48"/>
        <v>165</v>
      </c>
      <c r="J319" s="12">
        <f t="shared" si="49"/>
        <v>1</v>
      </c>
      <c r="K319" s="26">
        <f t="shared" si="50"/>
        <v>1</v>
      </c>
      <c r="L319" s="26">
        <f t="shared" si="51"/>
        <v>1</v>
      </c>
      <c r="M319" s="12">
        <f t="shared" si="52"/>
        <v>1</v>
      </c>
      <c r="N319" s="12">
        <f t="shared" si="61"/>
        <v>1</v>
      </c>
      <c r="O319" s="26">
        <f t="shared" si="53"/>
        <v>1</v>
      </c>
      <c r="P319" s="12">
        <f t="shared" si="62"/>
        <v>0</v>
      </c>
      <c r="Q319" s="26">
        <f t="shared" si="63"/>
        <v>1</v>
      </c>
      <c r="R319" s="12">
        <f t="shared" si="54"/>
        <v>1</v>
      </c>
      <c r="S319" s="12">
        <f t="shared" si="55"/>
        <v>0</v>
      </c>
      <c r="T319" s="12">
        <f t="shared" si="56"/>
        <v>0</v>
      </c>
      <c r="U319" s="12">
        <f t="shared" si="57"/>
        <v>0</v>
      </c>
    </row>
    <row r="320" spans="1:21" x14ac:dyDescent="0.25">
      <c r="A320" s="494" t="str">
        <f t="shared" si="45"/>
        <v xml:space="preserve"> </v>
      </c>
      <c r="B320" s="2">
        <v>5</v>
      </c>
      <c r="C320" s="12">
        <f t="shared" si="58"/>
        <v>1250</v>
      </c>
      <c r="D320" s="25">
        <f t="shared" si="59"/>
        <v>2</v>
      </c>
      <c r="E320" s="25">
        <f t="shared" si="46"/>
        <v>300</v>
      </c>
      <c r="F320" s="26">
        <f t="shared" si="47"/>
        <v>4</v>
      </c>
      <c r="G320" s="12">
        <f t="shared" si="60"/>
        <v>8</v>
      </c>
      <c r="H320" s="246">
        <v>4</v>
      </c>
      <c r="I320" s="25">
        <f t="shared" si="48"/>
        <v>220</v>
      </c>
      <c r="J320" s="12">
        <f t="shared" si="49"/>
        <v>1</v>
      </c>
      <c r="K320" s="26">
        <f t="shared" si="50"/>
        <v>0</v>
      </c>
      <c r="L320" s="26">
        <f t="shared" si="51"/>
        <v>1</v>
      </c>
      <c r="M320" s="12">
        <f t="shared" si="52"/>
        <v>1</v>
      </c>
      <c r="N320" s="12">
        <f t="shared" si="61"/>
        <v>1</v>
      </c>
      <c r="O320" s="26">
        <f t="shared" si="53"/>
        <v>1</v>
      </c>
      <c r="P320" s="12">
        <f t="shared" si="62"/>
        <v>0</v>
      </c>
      <c r="Q320" s="26">
        <f t="shared" si="63"/>
        <v>1</v>
      </c>
      <c r="R320" s="12">
        <f t="shared" si="54"/>
        <v>1</v>
      </c>
      <c r="S320" s="12">
        <f t="shared" si="55"/>
        <v>0</v>
      </c>
      <c r="T320" s="12">
        <f t="shared" si="56"/>
        <v>0</v>
      </c>
      <c r="U320" s="12">
        <f t="shared" si="57"/>
        <v>0</v>
      </c>
    </row>
    <row r="321" spans="1:25" x14ac:dyDescent="0.25">
      <c r="A321" s="494" t="str">
        <f t="shared" si="45"/>
        <v xml:space="preserve"> </v>
      </c>
      <c r="B321" s="2">
        <v>6</v>
      </c>
      <c r="C321" s="12">
        <f t="shared" si="58"/>
        <v>1500</v>
      </c>
      <c r="D321" s="25">
        <f t="shared" si="59"/>
        <v>2</v>
      </c>
      <c r="E321" s="25">
        <f t="shared" si="46"/>
        <v>300</v>
      </c>
      <c r="F321" s="26">
        <f t="shared" si="47"/>
        <v>4</v>
      </c>
      <c r="G321" s="12">
        <f t="shared" si="60"/>
        <v>8</v>
      </c>
      <c r="H321" s="246">
        <v>5</v>
      </c>
      <c r="I321" s="25">
        <f t="shared" si="48"/>
        <v>275</v>
      </c>
      <c r="J321" s="12">
        <f t="shared" si="49"/>
        <v>1</v>
      </c>
      <c r="K321" s="26">
        <f t="shared" si="50"/>
        <v>0</v>
      </c>
      <c r="L321" s="26">
        <f t="shared" si="51"/>
        <v>1</v>
      </c>
      <c r="M321" s="12">
        <f t="shared" si="52"/>
        <v>1</v>
      </c>
      <c r="N321" s="12">
        <f t="shared" si="61"/>
        <v>1</v>
      </c>
      <c r="O321" s="26">
        <f t="shared" si="53"/>
        <v>1</v>
      </c>
      <c r="P321" s="12">
        <f t="shared" si="62"/>
        <v>0</v>
      </c>
      <c r="Q321" s="26">
        <f t="shared" si="63"/>
        <v>1</v>
      </c>
      <c r="R321" s="12">
        <f t="shared" si="54"/>
        <v>1</v>
      </c>
      <c r="S321" s="12">
        <f t="shared" si="55"/>
        <v>0</v>
      </c>
      <c r="T321" s="12">
        <f t="shared" si="56"/>
        <v>0</v>
      </c>
      <c r="U321" s="12">
        <f t="shared" si="57"/>
        <v>0</v>
      </c>
    </row>
    <row r="322" spans="1:25" x14ac:dyDescent="0.25">
      <c r="A322" s="495" t="str">
        <f t="shared" si="45"/>
        <v xml:space="preserve"> </v>
      </c>
      <c r="B322" s="343">
        <v>7</v>
      </c>
      <c r="C322" s="13">
        <f t="shared" si="58"/>
        <v>1750</v>
      </c>
      <c r="D322" s="436">
        <f t="shared" si="59"/>
        <v>2</v>
      </c>
      <c r="E322" s="436">
        <f t="shared" si="46"/>
        <v>300</v>
      </c>
      <c r="F322" s="18">
        <f t="shared" si="47"/>
        <v>4</v>
      </c>
      <c r="G322" s="13">
        <f t="shared" si="60"/>
        <v>8</v>
      </c>
      <c r="H322" s="247">
        <v>6</v>
      </c>
      <c r="I322" s="436">
        <f t="shared" si="48"/>
        <v>330</v>
      </c>
      <c r="J322" s="13">
        <f t="shared" si="49"/>
        <v>1</v>
      </c>
      <c r="K322" s="18">
        <f t="shared" si="50"/>
        <v>0</v>
      </c>
      <c r="L322" s="18">
        <f t="shared" si="51"/>
        <v>1</v>
      </c>
      <c r="M322" s="13">
        <f t="shared" si="52"/>
        <v>1</v>
      </c>
      <c r="N322" s="13">
        <f t="shared" si="61"/>
        <v>1</v>
      </c>
      <c r="O322" s="18">
        <f t="shared" si="53"/>
        <v>1</v>
      </c>
      <c r="P322" s="13">
        <f t="shared" si="62"/>
        <v>0</v>
      </c>
      <c r="Q322" s="18">
        <f t="shared" si="63"/>
        <v>1</v>
      </c>
      <c r="R322" s="13">
        <f t="shared" si="54"/>
        <v>1</v>
      </c>
      <c r="S322" s="13">
        <f t="shared" si="55"/>
        <v>0</v>
      </c>
      <c r="T322" s="13">
        <f t="shared" si="56"/>
        <v>0</v>
      </c>
      <c r="U322" s="13">
        <f t="shared" si="57"/>
        <v>0</v>
      </c>
    </row>
    <row r="323" spans="1:2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2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5" x14ac:dyDescent="0.25">
      <c r="A325" s="2"/>
      <c r="B325" s="2"/>
      <c r="C325" s="2"/>
      <c r="D325" s="486">
        <v>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5" x14ac:dyDescent="0.25">
      <c r="A326" s="213"/>
      <c r="B326" s="473" t="s">
        <v>108</v>
      </c>
      <c r="C326" s="23" t="s">
        <v>1</v>
      </c>
      <c r="D326" s="44" t="s">
        <v>715</v>
      </c>
    </row>
    <row r="327" spans="1:25" x14ac:dyDescent="0.25">
      <c r="A327" s="415" t="s">
        <v>551</v>
      </c>
      <c r="B327" s="13">
        <f>IF(SUM(A308:A322)&gt;0,1,0)</f>
        <v>0</v>
      </c>
      <c r="C327" s="343">
        <f>'Prijs karton (2)'!AH16</f>
        <v>1</v>
      </c>
      <c r="D327" s="13">
        <f>IF(SUM(B327:C327)=D325,1,0)</f>
        <v>0</v>
      </c>
    </row>
    <row r="328" spans="1:25" x14ac:dyDescent="0.25">
      <c r="B328" s="2"/>
    </row>
    <row r="330" spans="1:25" x14ac:dyDescent="0.25">
      <c r="A330" s="3" t="s">
        <v>195</v>
      </c>
      <c r="B330" s="218" t="s">
        <v>550</v>
      </c>
      <c r="C330" s="218" t="s">
        <v>550</v>
      </c>
      <c r="D330" s="404" t="s">
        <v>196</v>
      </c>
    </row>
    <row r="331" spans="1:25" x14ac:dyDescent="0.25">
      <c r="A331" s="18">
        <f>MIN(A308:A322)</f>
        <v>0</v>
      </c>
      <c r="B331" s="13">
        <f>IF(SUM(A308:A322)&gt;0,VLOOKUP(A331,A308:U322,20,FALSE),0)</f>
        <v>0</v>
      </c>
      <c r="C331" s="20">
        <f>IF(SUM(A308:A322)&gt;0,VLOOKUP(A331,A308:U322,21,FALSE),0)</f>
        <v>0</v>
      </c>
      <c r="D331" s="13">
        <f>IF(SUM(A308:A322)&gt;0,VLOOKUP(A331,A308:G322,6,FALSE),0)</f>
        <v>0</v>
      </c>
    </row>
    <row r="332" spans="1:25" x14ac:dyDescent="0.25">
      <c r="A332" s="26" t="s">
        <v>165</v>
      </c>
      <c r="B332" s="218" t="s">
        <v>550</v>
      </c>
      <c r="C332" s="218" t="s">
        <v>550</v>
      </c>
      <c r="D332" s="41" t="s">
        <v>197</v>
      </c>
    </row>
    <row r="333" spans="1:25" x14ac:dyDescent="0.25">
      <c r="A333" s="18">
        <f>MAX(A308:A322)</f>
        <v>0</v>
      </c>
      <c r="B333" s="13">
        <f>IF(SUM(A308:A322)&gt;0,VLOOKUP(A333,A308:U322,20,FALSE),0)</f>
        <v>0</v>
      </c>
      <c r="C333" s="20">
        <f>IF(SUM(A308:A322)&gt;0,VLOOKUP(A333,A308:U322,21,FALSE),0)</f>
        <v>0</v>
      </c>
      <c r="D333" s="13">
        <f>IF(SUM(A308:A322)&gt;0,VLOOKUP(A331,A308:G322,7,FALSE),0)</f>
        <v>0</v>
      </c>
    </row>
    <row r="335" spans="1:25" s="320" customFormat="1" x14ac:dyDescent="0.25">
      <c r="B335" s="441"/>
      <c r="Y335" s="343"/>
    </row>
    <row r="337" spans="2:25" x14ac:dyDescent="0.25">
      <c r="B337" s="215" t="s">
        <v>553</v>
      </c>
    </row>
    <row r="338" spans="2:25" ht="15.75" thickBot="1" x14ac:dyDescent="0.3"/>
    <row r="339" spans="2:25" x14ac:dyDescent="0.25">
      <c r="B339" s="505"/>
      <c r="C339" s="476"/>
      <c r="D339" s="433"/>
      <c r="E339" s="1312" t="s">
        <v>558</v>
      </c>
      <c r="F339" s="1303"/>
      <c r="G339" s="1312" t="s">
        <v>9</v>
      </c>
      <c r="H339" s="1303"/>
      <c r="I339" s="442" t="s">
        <v>565</v>
      </c>
      <c r="J339" s="442" t="s">
        <v>81</v>
      </c>
      <c r="K339" s="431" t="s">
        <v>563</v>
      </c>
      <c r="L339" s="444" t="s">
        <v>535</v>
      </c>
    </row>
    <row r="340" spans="2:25" x14ac:dyDescent="0.25">
      <c r="B340" s="506"/>
      <c r="C340" s="26" t="s">
        <v>18</v>
      </c>
      <c r="D340" s="25" t="s">
        <v>9</v>
      </c>
      <c r="E340" s="442" t="s">
        <v>559</v>
      </c>
      <c r="F340" s="442" t="s">
        <v>560</v>
      </c>
      <c r="G340" s="442" t="s">
        <v>559</v>
      </c>
      <c r="H340" s="442" t="s">
        <v>151</v>
      </c>
      <c r="I340" s="280" t="s">
        <v>12</v>
      </c>
      <c r="J340" s="41"/>
      <c r="K340" s="26" t="s">
        <v>564</v>
      </c>
      <c r="L340" s="224"/>
    </row>
    <row r="341" spans="2:25" x14ac:dyDescent="0.25">
      <c r="B341" s="483"/>
      <c r="C341" s="213"/>
      <c r="D341" s="44"/>
      <c r="E341" s="473">
        <f>H388</f>
        <v>250</v>
      </c>
      <c r="F341" s="473">
        <f>I388</f>
        <v>2450</v>
      </c>
      <c r="G341" s="473">
        <f>J388</f>
        <v>500</v>
      </c>
      <c r="H341" s="473">
        <f>K388</f>
        <v>6000</v>
      </c>
      <c r="I341" s="52"/>
      <c r="J341" s="52"/>
      <c r="K341" s="8"/>
      <c r="L341" s="223">
        <v>7</v>
      </c>
    </row>
    <row r="342" spans="2:25" ht="15.75" thickBot="1" x14ac:dyDescent="0.3">
      <c r="B342" s="220" t="s">
        <v>67</v>
      </c>
      <c r="C342" s="208">
        <f>C6</f>
        <v>300</v>
      </c>
      <c r="D342" s="38">
        <f>C7</f>
        <v>250</v>
      </c>
      <c r="E342" s="473">
        <f>IF(C342&gt;=E341,1,0)</f>
        <v>1</v>
      </c>
      <c r="F342" s="473">
        <f>IF(C342&lt;=F341,1,0)</f>
        <v>1</v>
      </c>
      <c r="G342" s="473">
        <f>IF(D342&gt;=G341,1,0)</f>
        <v>0</v>
      </c>
      <c r="H342" s="473">
        <f>IF(D342&lt;=H341,1,0)</f>
        <v>1</v>
      </c>
      <c r="I342" s="473">
        <f>IF(I340=C2,1,0)</f>
        <v>0</v>
      </c>
      <c r="J342" s="473">
        <f>IF(C111=0,1,0)</f>
        <v>1</v>
      </c>
      <c r="K342" s="208">
        <f>IF(C131=0,1,0)</f>
        <v>1</v>
      </c>
      <c r="L342" s="500">
        <f>IF(SUM(E342:K342)=L341,1,0)</f>
        <v>0</v>
      </c>
    </row>
    <row r="344" spans="2:25" s="320" customFormat="1" x14ac:dyDescent="0.25">
      <c r="B344" s="441"/>
      <c r="Y344" s="343"/>
    </row>
    <row r="346" spans="2:25" ht="15.75" thickBot="1" x14ac:dyDescent="0.3">
      <c r="B346" s="215" t="s">
        <v>552</v>
      </c>
      <c r="P346" t="s">
        <v>1323</v>
      </c>
      <c r="T346" t="s">
        <v>1300</v>
      </c>
    </row>
    <row r="347" spans="2:25" ht="15.75" thickBot="1" x14ac:dyDescent="0.3">
      <c r="B347" s="518" t="s">
        <v>596</v>
      </c>
      <c r="C347" s="519">
        <f>IF(AND(SUM(C348:I348)=0,J358&gt;0,C358=J358),1,IF(SUM(C348:I348)&gt;0,C348,0))</f>
        <v>0</v>
      </c>
      <c r="D347" s="519">
        <f>IF(AND(SUM(C348:I348)=0,J358&gt;0,D358=J358),1,IF(SUM(C348:I348)&gt;0,D348,0))</f>
        <v>0</v>
      </c>
      <c r="E347" s="519">
        <f>IF(AND(SUM(C348:I348)=0,J358&gt;0,E358=J358),1,IF(SUM(C348:I348)&gt;0,E348,0))</f>
        <v>0</v>
      </c>
      <c r="F347" s="519">
        <f>IF(AND(SUM(C348:I348)=0,J358&gt;0,F358=J358),1,IF(SUM(C348:I348)&gt;0,F348,0))</f>
        <v>1</v>
      </c>
      <c r="G347" s="519">
        <f>IF(AND(SUM(C348:I348)=0,J358&gt;0,G358=J358),1,IF(SUM(C348:I348)&gt;0,G348,0))</f>
        <v>0</v>
      </c>
      <c r="H347" s="519">
        <f>IF(AND(SUM(C348:I348)=0,J358&gt;0,H358=J358),1,IF(SUM(C348:I348)&gt;0,H348,0))</f>
        <v>0</v>
      </c>
      <c r="I347" s="467">
        <f>IF(AND(SUM(C348:I348)=0,J358&gt;0,I358=J358),1,IF(SUM(C348:I348)&gt;0,I348,0))</f>
        <v>0</v>
      </c>
      <c r="L347" s="950"/>
      <c r="M347" s="951" t="s">
        <v>63</v>
      </c>
      <c r="N347" s="951" t="s">
        <v>64</v>
      </c>
      <c r="P347" s="952">
        <v>800</v>
      </c>
      <c r="Q347" s="951" t="s">
        <v>63</v>
      </c>
      <c r="R347" s="951" t="s">
        <v>64</v>
      </c>
      <c r="T347" t="s">
        <v>1301</v>
      </c>
      <c r="U347" s="442">
        <f>IF(C111&gt;0,1,0)</f>
        <v>0</v>
      </c>
    </row>
    <row r="348" spans="2:25" ht="15.75" thickBot="1" x14ac:dyDescent="0.3">
      <c r="B348" s="543" t="s">
        <v>595</v>
      </c>
      <c r="C348" s="544">
        <f>IF(AND(SUM(C358:I358)=J358,C358=J358),1,IF(AND(SUM(C358:I358)&gt;J358,C358=J358,C349=1),1,0))</f>
        <v>0</v>
      </c>
      <c r="D348" s="519">
        <f>IF(SUM(E348:F348)&gt;0,0,IF(AND(SUM(C358:I358)=J358,D358=J358),1,IF(AND(SUM(C358:I358)&gt;J358,D358=J358,D349=1),1,0)))</f>
        <v>0</v>
      </c>
      <c r="E348" s="530">
        <f>IF(AND(SUM(C358:I358)=J358,E358=J358),1,IF(AND(SUM(C358:I358)&gt;J358,E358=J358,E349=1),1,0))</f>
        <v>0</v>
      </c>
      <c r="F348" s="519">
        <f>IF(AND(SUM(C358:I358)=J358,F358=J358),1,IF(AND(SUM(C358:I358)&gt;J358,F358=J358,F349=1),1,0))</f>
        <v>1</v>
      </c>
      <c r="G348" s="530">
        <f>IF(AND(SUM(C358:I358)=J358,G358=J358),1,IF(AND(SUM(C358:I358)&gt;J358,G358=J358,G349=1),1,0))</f>
        <v>0</v>
      </c>
      <c r="H348" s="519">
        <f>IF(AND(SUM(C358:I358)=J358,H358=J358),1,IF(AND(SUM(C358:I358)&gt;J358,H358=J358,H349=1),1,0))</f>
        <v>0</v>
      </c>
      <c r="I348" s="531">
        <f>IF(AND(SUM(C358:I358)=J358,I358=J358),1,IF(AND(SUM(C358:I358)&gt;J358,I358=J358,I349=1),1,0))</f>
        <v>0</v>
      </c>
      <c r="L348" s="415" t="s">
        <v>979</v>
      </c>
      <c r="M348" s="13">
        <f>IF(C359+D359+G359+I359=0,1,0)</f>
        <v>0</v>
      </c>
      <c r="N348" s="13">
        <f>IF(C359+D359+G359+H359+I359=0,1,0)</f>
        <v>0</v>
      </c>
      <c r="P348" s="415" t="s">
        <v>987</v>
      </c>
      <c r="Q348" s="951">
        <f>V228</f>
        <v>1</v>
      </c>
      <c r="R348" s="951">
        <f>V239</f>
        <v>1</v>
      </c>
      <c r="T348" t="s">
        <v>1299</v>
      </c>
      <c r="U348" s="951">
        <f>IF(AND(SUM(C358:D358)&gt;0,SUM(E358:I358)=0),1,0)</f>
        <v>0</v>
      </c>
    </row>
    <row r="349" spans="2:25" ht="15.75" thickBot="1" x14ac:dyDescent="0.3">
      <c r="B349" s="518" t="s">
        <v>593</v>
      </c>
      <c r="C349" s="540">
        <f>IF(AND(C351=1,D351=1,C358&lt;=D358),1,IF(AND(C351=1,H351=1),0,0))</f>
        <v>1</v>
      </c>
      <c r="D349" s="531">
        <f>IF(AND(C351=1,D351=1,D358&lt;C358),1,0)</f>
        <v>0</v>
      </c>
      <c r="E349" s="540">
        <f>IF(AND(E351=1,F351=1,E358&lt;F358),1,IF(AND(E351=1,F351=0,E358&lt;F358),1,0))</f>
        <v>0</v>
      </c>
      <c r="F349" s="531">
        <f>IF(AND(E351=1,F351=1),1,IF(AND(E351=0,F351=1),1,0))</f>
        <v>1</v>
      </c>
      <c r="G349" s="541">
        <v>0</v>
      </c>
      <c r="H349" s="540">
        <f>IF(AND(H351=1,C351=1),1,0)</f>
        <v>0</v>
      </c>
      <c r="I349" s="542">
        <v>0</v>
      </c>
      <c r="L349" s="950" t="s">
        <v>163</v>
      </c>
      <c r="M349" s="952">
        <v>1</v>
      </c>
      <c r="N349" s="953">
        <v>1</v>
      </c>
      <c r="P349" s="950" t="s">
        <v>1320</v>
      </c>
      <c r="Q349" s="951">
        <f>IF(AND(Q348=1,C111&lt;=1),1,IF(AND(Q348=1,R348=0,C111=2),1,0))</f>
        <v>1</v>
      </c>
      <c r="R349" s="953">
        <v>1</v>
      </c>
      <c r="T349" t="s">
        <v>1305</v>
      </c>
      <c r="U349" s="951">
        <f>IF(AND(SUM(C351:C357)&gt;0,SUM(D351:D357)&gt;0),1,0)</f>
        <v>1</v>
      </c>
    </row>
    <row r="350" spans="2:25" x14ac:dyDescent="0.25">
      <c r="B350" s="483"/>
      <c r="C350" s="521" t="s">
        <v>66</v>
      </c>
      <c r="D350" s="522" t="s">
        <v>65</v>
      </c>
      <c r="E350" s="521" t="s">
        <v>63</v>
      </c>
      <c r="F350" s="522" t="s">
        <v>64</v>
      </c>
      <c r="G350" s="446" t="s">
        <v>554</v>
      </c>
      <c r="H350" s="532" t="s">
        <v>54</v>
      </c>
      <c r="I350" s="533" t="s">
        <v>67</v>
      </c>
      <c r="P350" s="959" t="s">
        <v>1321</v>
      </c>
      <c r="Q350" s="951">
        <f>IF(AND(SUM(Q348:R348)=1,Q348=1),1,IF(AND(SUM(Q348:R348)=2,Q348=1,$C$3&lt;P347),1,0))</f>
        <v>0</v>
      </c>
      <c r="R350" s="951">
        <f>IF(AND(SUM(Q348:R348)=1,R348=1),1,IF(AND(SUM(Q348:R348)=2,Q348=1,$C$3&gt;=P347),1,0))</f>
        <v>1</v>
      </c>
      <c r="T350" t="s">
        <v>1304</v>
      </c>
      <c r="U350" s="951">
        <f>IF(X356=1,1,IF(AND(W355&gt;0,W356&gt;0,W355*W356&gt;=2,W356&gt;=2),1,0))</f>
        <v>1</v>
      </c>
      <c r="V350" s="2"/>
      <c r="W350" s="2">
        <f>IF(X356=1,1,IF(AND(W355&gt;0,W356&gt;0,W355*W356&gt;2),1,0))</f>
        <v>1</v>
      </c>
    </row>
    <row r="351" spans="2:25" ht="15.75" thickBot="1" x14ac:dyDescent="0.3">
      <c r="B351" s="483" t="s">
        <v>557</v>
      </c>
      <c r="C351" s="521">
        <f>IF(I351=1,0,R180*Q78)</f>
        <v>1</v>
      </c>
      <c r="D351" s="522">
        <f>IF(I351=1,0,P204*Q78)</f>
        <v>1</v>
      </c>
      <c r="E351" s="521">
        <f>IF(I351=1,0,Q351*Q78)</f>
        <v>0</v>
      </c>
      <c r="F351" s="522">
        <f>IF(I351=1,0,R351*Q78)</f>
        <v>1</v>
      </c>
      <c r="G351" s="446">
        <f>IF(I351=1,0,F293*Q78)</f>
        <v>0</v>
      </c>
      <c r="H351" s="532">
        <f>IF(I351=1,0,D327*Q78)</f>
        <v>0</v>
      </c>
      <c r="I351" s="533">
        <f>L342*Q78</f>
        <v>0</v>
      </c>
      <c r="P351" s="950" t="s">
        <v>988</v>
      </c>
      <c r="Q351" s="951">
        <f>IF(AND(SUM(Q348:R348)&lt;2,Q348=1),1,IF(AND(SUM(Q348:R348)=2,SUM(R349:R350)&lt;SUM(Q349:Q350)),1,0))</f>
        <v>0</v>
      </c>
      <c r="R351" s="951">
        <f>IF(AND(SUM(Q348:R348)&lt;2,R348=1),1,IF(AND(SUM(Q348:R348)=2,SUM(R349:R350)&gt;=SUM(Q349:Q350)),1,0))</f>
        <v>1</v>
      </c>
      <c r="T351" t="s">
        <v>1306</v>
      </c>
      <c r="U351" s="442">
        <f>IF(C3&gt;=(V361),1,0)</f>
        <v>1</v>
      </c>
    </row>
    <row r="352" spans="2:25" ht="15.75" thickBot="1" x14ac:dyDescent="0.3">
      <c r="B352" s="220" t="s">
        <v>574</v>
      </c>
      <c r="C352" s="520">
        <f>IF(C351=1,O180,0)</f>
        <v>0</v>
      </c>
      <c r="D352" s="523">
        <v>0</v>
      </c>
      <c r="E352" s="520">
        <f>IF(AND(E351=1,C111&gt;=2),1,0)</f>
        <v>0</v>
      </c>
      <c r="F352" s="523">
        <v>0</v>
      </c>
      <c r="G352" s="499">
        <f>IF(AND(G351=1,C111&gt;0),1,0)</f>
        <v>0</v>
      </c>
      <c r="H352" s="534">
        <v>0</v>
      </c>
      <c r="I352" s="535">
        <v>0</v>
      </c>
      <c r="T352" t="s">
        <v>1312</v>
      </c>
      <c r="U352" s="281">
        <f>IF(SUM(U347:U351)=V352,1,0)</f>
        <v>0</v>
      </c>
      <c r="V352" s="953">
        <v>5</v>
      </c>
    </row>
    <row r="353" spans="1:24" x14ac:dyDescent="0.25">
      <c r="B353" s="220" t="s">
        <v>581</v>
      </c>
      <c r="C353" s="524">
        <v>0</v>
      </c>
      <c r="D353" s="523">
        <v>0</v>
      </c>
      <c r="E353" s="520">
        <f>IF(AND(E351=1,E218=0),1,IF(AND(E351=1,T222=1),1,0))</f>
        <v>0</v>
      </c>
      <c r="F353" s="523">
        <v>0</v>
      </c>
      <c r="G353" s="223">
        <v>0</v>
      </c>
      <c r="H353" s="534">
        <v>0</v>
      </c>
      <c r="I353" s="535">
        <v>0</v>
      </c>
      <c r="Q353" s="2"/>
    </row>
    <row r="354" spans="1:24" x14ac:dyDescent="0.25">
      <c r="B354" s="220" t="s">
        <v>572</v>
      </c>
      <c r="C354" s="520">
        <f>IF(C351=1,AA46,0)</f>
        <v>1</v>
      </c>
      <c r="D354" s="448">
        <f>IF(D351=1,AA46,0)</f>
        <v>1</v>
      </c>
      <c r="E354" s="524">
        <v>0</v>
      </c>
      <c r="F354" s="523">
        <v>0</v>
      </c>
      <c r="G354" s="223">
        <v>0</v>
      </c>
      <c r="H354" s="534">
        <v>0</v>
      </c>
      <c r="I354" s="535">
        <v>0</v>
      </c>
      <c r="T354" t="s">
        <v>1331</v>
      </c>
    </row>
    <row r="355" spans="1:24" x14ac:dyDescent="0.25">
      <c r="B355" s="506" t="s">
        <v>569</v>
      </c>
      <c r="C355" s="525">
        <f>IF(AND(C351=1,C356=1),0,IF(C351=1,C145,0))</f>
        <v>0</v>
      </c>
      <c r="D355" s="526">
        <f>IF(AND(D351=1,D356=1),0,IF(D351=1,C145,0))</f>
        <v>0</v>
      </c>
      <c r="E355" s="527">
        <v>0</v>
      </c>
      <c r="F355" s="528">
        <v>0</v>
      </c>
      <c r="G355" s="538">
        <v>0</v>
      </c>
      <c r="H355" s="536">
        <v>0</v>
      </c>
      <c r="I355" s="537">
        <v>0</v>
      </c>
      <c r="T355" t="s">
        <v>1302</v>
      </c>
      <c r="U355" s="951">
        <f>C108</f>
        <v>361</v>
      </c>
      <c r="V355" s="951">
        <f>H183</f>
        <v>1400</v>
      </c>
      <c r="W355" s="951">
        <f>FLOOR(V355/U355,1)</f>
        <v>3</v>
      </c>
      <c r="X355" s="442" t="s">
        <v>64</v>
      </c>
    </row>
    <row r="356" spans="1:24" x14ac:dyDescent="0.25">
      <c r="B356" s="220" t="s">
        <v>570</v>
      </c>
      <c r="C356" s="520">
        <f>IF(C351=1,D145,0)</f>
        <v>0</v>
      </c>
      <c r="D356" s="448">
        <f>IF(D351=1,D145,0)</f>
        <v>0</v>
      </c>
      <c r="E356" s="524">
        <v>0</v>
      </c>
      <c r="F356" s="523">
        <v>0</v>
      </c>
      <c r="G356" s="223">
        <v>0</v>
      </c>
      <c r="H356" s="534">
        <v>0</v>
      </c>
      <c r="I356" s="535">
        <v>0</v>
      </c>
      <c r="T356" t="s">
        <v>1303</v>
      </c>
      <c r="U356" s="951">
        <f>D108</f>
        <v>1114</v>
      </c>
      <c r="V356" s="13">
        <f>F183</f>
        <v>4000</v>
      </c>
      <c r="W356" s="13">
        <f>FLOOR(V356/U356,1)</f>
        <v>3</v>
      </c>
      <c r="X356" s="951">
        <f>J169</f>
        <v>1</v>
      </c>
    </row>
    <row r="357" spans="1:24" ht="15.75" thickBot="1" x14ac:dyDescent="0.3">
      <c r="B357" s="506" t="s">
        <v>573</v>
      </c>
      <c r="C357" s="527">
        <v>0</v>
      </c>
      <c r="D357" s="528">
        <v>0</v>
      </c>
      <c r="E357" s="527">
        <v>0</v>
      </c>
      <c r="F357" s="528">
        <v>0</v>
      </c>
      <c r="G357" s="539">
        <f>IF(G351=1,1,0)</f>
        <v>0</v>
      </c>
      <c r="H357" s="536">
        <v>0</v>
      </c>
      <c r="I357" s="537">
        <v>0</v>
      </c>
      <c r="J357" s="2" t="s">
        <v>594</v>
      </c>
    </row>
    <row r="358" spans="1:24" ht="15.75" thickBot="1" x14ac:dyDescent="0.3">
      <c r="B358" s="518" t="s">
        <v>591</v>
      </c>
      <c r="C358" s="529">
        <f>IF(SUM(C351:C357)=0," ",SUM(C351:C357))</f>
        <v>2</v>
      </c>
      <c r="D358" s="467">
        <f t="shared" ref="D358:I358" si="64">IF(SUM(D351:D357)=0," ",SUM(D351:D357))</f>
        <v>2</v>
      </c>
      <c r="E358" s="529" t="str">
        <f t="shared" si="64"/>
        <v xml:space="preserve"> </v>
      </c>
      <c r="F358" s="467">
        <f t="shared" si="64"/>
        <v>1</v>
      </c>
      <c r="G358" s="281" t="str">
        <f t="shared" si="64"/>
        <v xml:space="preserve"> </v>
      </c>
      <c r="H358" s="529" t="str">
        <f t="shared" si="64"/>
        <v xml:space="preserve"> </v>
      </c>
      <c r="I358" s="467" t="str">
        <f t="shared" si="64"/>
        <v xml:space="preserve"> </v>
      </c>
      <c r="J358" s="531">
        <f>MIN(C358:I358)+U352</f>
        <v>1</v>
      </c>
      <c r="T358" s="950" t="s">
        <v>1307</v>
      </c>
      <c r="U358" s="1205">
        <f>(U356/1000)*(U355/1000)</f>
        <v>0.40215400000000001</v>
      </c>
      <c r="V358" s="442" t="s">
        <v>1310</v>
      </c>
    </row>
    <row r="359" spans="1:24" x14ac:dyDescent="0.25">
      <c r="B359" s="948" t="s">
        <v>980</v>
      </c>
      <c r="C359" s="949">
        <f>SUM(C351:C357)</f>
        <v>2</v>
      </c>
      <c r="D359" s="949">
        <f t="shared" ref="D359:I359" si="65">SUM(D351:D357)</f>
        <v>2</v>
      </c>
      <c r="E359" s="949">
        <f t="shared" si="65"/>
        <v>0</v>
      </c>
      <c r="F359" s="949">
        <f t="shared" si="65"/>
        <v>1</v>
      </c>
      <c r="G359" s="949">
        <f t="shared" si="65"/>
        <v>0</v>
      </c>
      <c r="H359" s="949">
        <f t="shared" si="65"/>
        <v>0</v>
      </c>
      <c r="I359" s="949">
        <f t="shared" si="65"/>
        <v>0</v>
      </c>
      <c r="T359" s="14" t="s">
        <v>1308</v>
      </c>
      <c r="U359" s="449">
        <f>N388</f>
        <v>200</v>
      </c>
      <c r="V359" s="442">
        <f>CEILING(U359/U358,1)</f>
        <v>498</v>
      </c>
    </row>
    <row r="360" spans="1:24" x14ac:dyDescent="0.25">
      <c r="B360"/>
      <c r="T360" s="6" t="s">
        <v>1309</v>
      </c>
      <c r="U360" s="2">
        <f>M388</f>
        <v>240</v>
      </c>
      <c r="V360" s="12">
        <f>IF(U355&gt;=L387,U360,U360*2)</f>
        <v>480</v>
      </c>
    </row>
    <row r="361" spans="1:24" x14ac:dyDescent="0.25">
      <c r="B361" t="s">
        <v>568</v>
      </c>
      <c r="T361" s="950" t="s">
        <v>1311</v>
      </c>
      <c r="U361" s="1204"/>
      <c r="V361" s="951">
        <f>MAX(V359:V360)</f>
        <v>498</v>
      </c>
    </row>
    <row r="362" spans="1:24" x14ac:dyDescent="0.25">
      <c r="A362" s="404"/>
      <c r="B362" s="213" t="s">
        <v>592</v>
      </c>
      <c r="C362" s="473">
        <f t="shared" ref="C362:I362" si="66">C347</f>
        <v>0</v>
      </c>
      <c r="D362" s="473">
        <f t="shared" si="66"/>
        <v>0</v>
      </c>
      <c r="E362" s="473">
        <f t="shared" si="66"/>
        <v>0</v>
      </c>
      <c r="F362" s="23">
        <f t="shared" si="66"/>
        <v>1</v>
      </c>
      <c r="G362" s="473">
        <f t="shared" si="66"/>
        <v>0</v>
      </c>
      <c r="H362" s="23">
        <f t="shared" si="66"/>
        <v>0</v>
      </c>
      <c r="I362" s="473">
        <f t="shared" si="66"/>
        <v>0</v>
      </c>
      <c r="J362" s="473" t="s">
        <v>597</v>
      </c>
      <c r="K362" s="473">
        <f>IF(J363&gt;0,VLOOKUP(J363,A364:K374,11,FALSE),K375)</f>
        <v>1950</v>
      </c>
    </row>
    <row r="363" spans="1:24" x14ac:dyDescent="0.25">
      <c r="A363" s="52"/>
      <c r="B363" s="213"/>
      <c r="C363" s="473" t="s">
        <v>66</v>
      </c>
      <c r="D363" s="473" t="s">
        <v>65</v>
      </c>
      <c r="E363" s="473" t="s">
        <v>63</v>
      </c>
      <c r="F363" s="23" t="s">
        <v>64</v>
      </c>
      <c r="G363" s="473" t="s">
        <v>554</v>
      </c>
      <c r="H363" s="23" t="s">
        <v>54</v>
      </c>
      <c r="I363" s="473" t="s">
        <v>67</v>
      </c>
      <c r="J363" s="13">
        <f>SUM(J364:J374)</f>
        <v>1</v>
      </c>
      <c r="K363" s="13" t="s">
        <v>79</v>
      </c>
      <c r="M363" s="2"/>
    </row>
    <row r="364" spans="1:24" x14ac:dyDescent="0.25">
      <c r="A364" s="442" t="str">
        <f>IF(J364&gt;0,1," ")</f>
        <v xml:space="preserve"> </v>
      </c>
      <c r="B364" s="6" t="s">
        <v>65</v>
      </c>
      <c r="C364" s="12">
        <f>IF(AND(C352=1,J169=0),1,0)</f>
        <v>0</v>
      </c>
      <c r="D364" s="12">
        <f>D351</f>
        <v>1</v>
      </c>
      <c r="E364" s="28">
        <v>0</v>
      </c>
      <c r="F364" s="22">
        <v>0</v>
      </c>
      <c r="G364" s="28">
        <v>0</v>
      </c>
      <c r="H364" s="22">
        <v>0</v>
      </c>
      <c r="I364" s="28">
        <v>0</v>
      </c>
      <c r="J364" s="442">
        <f>IF(SUM(C362:I362)&gt;0,HLOOKUP(1,$C$362:$I$374,3,FALSE),0)</f>
        <v>0</v>
      </c>
      <c r="K364" s="486">
        <v>1600</v>
      </c>
      <c r="M364" s="2"/>
    </row>
    <row r="365" spans="1:24" x14ac:dyDescent="0.25">
      <c r="A365" s="12" t="str">
        <f>IF(J365&gt;0,SUM(J364:J365)," ")</f>
        <v xml:space="preserve"> </v>
      </c>
      <c r="B365" s="6" t="s">
        <v>66</v>
      </c>
      <c r="C365" s="12">
        <f>C351</f>
        <v>1</v>
      </c>
      <c r="D365" s="28">
        <v>0</v>
      </c>
      <c r="E365" s="12">
        <f>IF(E353=1,1,IF(E352=1,1,0))</f>
        <v>0</v>
      </c>
      <c r="F365" s="22">
        <v>0</v>
      </c>
      <c r="G365" s="28">
        <v>0</v>
      </c>
      <c r="H365" s="22">
        <v>0</v>
      </c>
      <c r="I365" s="28">
        <v>0</v>
      </c>
      <c r="J365" s="12">
        <f>IF(SUM(C362:I362)&gt;0,HLOOKUP(1,$C$362:$I$374,4,FALSE),0)</f>
        <v>0</v>
      </c>
      <c r="K365" s="28">
        <v>2000</v>
      </c>
      <c r="M365" s="2"/>
    </row>
    <row r="366" spans="1:24" x14ac:dyDescent="0.25">
      <c r="A366" s="12">
        <f>IF(J366&gt;0,SUM(J364:J366)," ")</f>
        <v>1</v>
      </c>
      <c r="B366" s="6" t="s">
        <v>64</v>
      </c>
      <c r="C366" s="12">
        <f>IF(AND(C352=1,J169=1),1,0)</f>
        <v>0</v>
      </c>
      <c r="D366" s="28">
        <v>0</v>
      </c>
      <c r="E366" s="12">
        <f>E352</f>
        <v>0</v>
      </c>
      <c r="F366" s="2">
        <f>F351</f>
        <v>1</v>
      </c>
      <c r="G366" s="12">
        <f>G352</f>
        <v>0</v>
      </c>
      <c r="H366" s="22">
        <v>0</v>
      </c>
      <c r="I366" s="28">
        <v>0</v>
      </c>
      <c r="J366" s="12">
        <f>IF(SUM(C362:I362)&gt;0,HLOOKUP(1,$C$362:$I$374,5,FALSE),0)</f>
        <v>1</v>
      </c>
      <c r="K366" s="28">
        <v>1950</v>
      </c>
      <c r="M366" s="2"/>
    </row>
    <row r="367" spans="1:24" x14ac:dyDescent="0.25">
      <c r="A367" s="12" t="str">
        <f>IF(J367&gt;0,SUM(J364:J367)," ")</f>
        <v xml:space="preserve"> </v>
      </c>
      <c r="B367" s="6" t="s">
        <v>63</v>
      </c>
      <c r="C367" s="28">
        <v>0</v>
      </c>
      <c r="D367" s="28">
        <v>0</v>
      </c>
      <c r="E367" s="12">
        <f>E351</f>
        <v>0</v>
      </c>
      <c r="F367" s="22">
        <v>0</v>
      </c>
      <c r="G367" s="28">
        <v>0</v>
      </c>
      <c r="H367" s="22">
        <v>0</v>
      </c>
      <c r="I367" s="28">
        <v>0</v>
      </c>
      <c r="J367" s="12">
        <f>IF(SUM(C362:I362)&gt;0,HLOOKUP(1,$C$362:$I$374,6,FALSE),0)</f>
        <v>0</v>
      </c>
      <c r="K367" s="28">
        <v>1950</v>
      </c>
      <c r="M367" s="2"/>
    </row>
    <row r="368" spans="1:24" x14ac:dyDescent="0.25">
      <c r="A368" s="12" t="str">
        <f>IF(J368&gt;0,SUM(J364:J368)," ")</f>
        <v xml:space="preserve"> </v>
      </c>
      <c r="B368" s="6" t="str">
        <f>G350</f>
        <v>Vlakstans</v>
      </c>
      <c r="C368" s="28">
        <v>0</v>
      </c>
      <c r="D368" s="28">
        <v>0</v>
      </c>
      <c r="E368" s="28">
        <v>0</v>
      </c>
      <c r="F368" s="22">
        <v>0</v>
      </c>
      <c r="G368" s="12">
        <f>G351</f>
        <v>0</v>
      </c>
      <c r="H368" s="22">
        <v>0</v>
      </c>
      <c r="I368" s="28">
        <v>0</v>
      </c>
      <c r="J368" s="12">
        <f>IF(SUM(C362:I362)&gt;0,HLOOKUP(1,$C$362:$I$374,7,FALSE),0)</f>
        <v>0</v>
      </c>
      <c r="K368" s="28">
        <v>2100</v>
      </c>
      <c r="M368" s="2"/>
    </row>
    <row r="369" spans="1:25" x14ac:dyDescent="0.25">
      <c r="A369" s="12" t="str">
        <f>IF(J369&gt;0,SUM(J364:J369)," ")</f>
        <v xml:space="preserve"> </v>
      </c>
      <c r="B369" s="6" t="str">
        <f>H350</f>
        <v>Roda</v>
      </c>
      <c r="C369" s="28">
        <v>0</v>
      </c>
      <c r="D369" s="28">
        <v>0</v>
      </c>
      <c r="E369" s="28">
        <v>0</v>
      </c>
      <c r="F369" s="22">
        <v>0</v>
      </c>
      <c r="G369" s="28">
        <v>0</v>
      </c>
      <c r="H369" s="2">
        <f>H351</f>
        <v>0</v>
      </c>
      <c r="I369" s="28">
        <v>0</v>
      </c>
      <c r="J369" s="12">
        <f>IF(SUM(C362:I362)&gt;0,HLOOKUP(1,$C$362:$I$374,8,FALSE),0)</f>
        <v>0</v>
      </c>
      <c r="K369" s="28">
        <v>1800</v>
      </c>
      <c r="M369" s="2"/>
    </row>
    <row r="370" spans="1:25" x14ac:dyDescent="0.25">
      <c r="A370" s="12" t="str">
        <f>IF(J370&gt;0,SUM(J364:J370)," ")</f>
        <v xml:space="preserve"> </v>
      </c>
      <c r="B370" s="6" t="str">
        <f>I350</f>
        <v>Plaat op maat</v>
      </c>
      <c r="C370" s="28">
        <v>0</v>
      </c>
      <c r="D370" s="28">
        <v>0</v>
      </c>
      <c r="E370" s="28">
        <v>0</v>
      </c>
      <c r="F370" s="22">
        <v>0</v>
      </c>
      <c r="G370" s="28">
        <v>0</v>
      </c>
      <c r="H370" s="22">
        <v>0</v>
      </c>
      <c r="I370" s="12">
        <f>I351</f>
        <v>0</v>
      </c>
      <c r="J370" s="12">
        <f>IF(SUM(C362:I362)&gt;0,HLOOKUP(1,$C$362:$I$374,9,FALSE),0)</f>
        <v>0</v>
      </c>
      <c r="K370" s="28">
        <v>1800</v>
      </c>
      <c r="M370" s="2"/>
    </row>
    <row r="371" spans="1:25" x14ac:dyDescent="0.25">
      <c r="A371" s="12" t="str">
        <f>IF(J371&gt;0,SUM(J364:J371)," ")</f>
        <v xml:space="preserve"> </v>
      </c>
      <c r="B371" s="6" t="s">
        <v>493</v>
      </c>
      <c r="C371" s="12">
        <f t="shared" ref="C371:D373" si="67">C354</f>
        <v>1</v>
      </c>
      <c r="D371" s="12">
        <f t="shared" si="67"/>
        <v>1</v>
      </c>
      <c r="E371" s="28">
        <v>0</v>
      </c>
      <c r="F371" s="22">
        <v>0</v>
      </c>
      <c r="G371" s="28">
        <v>0</v>
      </c>
      <c r="H371" s="22">
        <v>0</v>
      </c>
      <c r="I371" s="28">
        <v>0</v>
      </c>
      <c r="J371" s="12">
        <f>IF(SUM(C362:I362)&gt;0,HLOOKUP(1,$C$362:$I$374,10,FALSE),0)</f>
        <v>0</v>
      </c>
      <c r="K371" s="28">
        <v>1900</v>
      </c>
      <c r="M371" s="2"/>
    </row>
    <row r="372" spans="1:25" x14ac:dyDescent="0.25">
      <c r="A372" s="12" t="str">
        <f>IF(J372&gt;0,SUM(J364:J372)," ")</f>
        <v xml:space="preserve"> </v>
      </c>
      <c r="B372" s="6" t="s">
        <v>569</v>
      </c>
      <c r="C372" s="12">
        <f t="shared" si="67"/>
        <v>0</v>
      </c>
      <c r="D372" s="12">
        <f t="shared" si="67"/>
        <v>0</v>
      </c>
      <c r="E372" s="28">
        <v>0</v>
      </c>
      <c r="F372" s="22">
        <v>0</v>
      </c>
      <c r="G372" s="28">
        <v>0</v>
      </c>
      <c r="H372" s="22">
        <v>0</v>
      </c>
      <c r="I372" s="28">
        <v>0</v>
      </c>
      <c r="J372" s="12">
        <f>IF(SUM(C362:I362)&gt;0,HLOOKUP(1,$C$362:$I$374,11,FALSE),0)</f>
        <v>0</v>
      </c>
      <c r="K372" s="28">
        <v>2000</v>
      </c>
      <c r="M372" s="2"/>
    </row>
    <row r="373" spans="1:25" x14ac:dyDescent="0.25">
      <c r="A373" s="12" t="str">
        <f>IF(J373&gt;0,SUM(J364:J373)," ")</f>
        <v xml:space="preserve"> </v>
      </c>
      <c r="B373" s="6" t="s">
        <v>570</v>
      </c>
      <c r="C373" s="12">
        <f t="shared" si="67"/>
        <v>0</v>
      </c>
      <c r="D373" s="12">
        <f t="shared" si="67"/>
        <v>0</v>
      </c>
      <c r="E373" s="28">
        <v>0</v>
      </c>
      <c r="F373" s="22">
        <v>0</v>
      </c>
      <c r="G373" s="28">
        <v>0</v>
      </c>
      <c r="H373" s="22">
        <v>0</v>
      </c>
      <c r="I373" s="28">
        <v>0</v>
      </c>
      <c r="J373" s="12">
        <f>IF(SUM(C362:I362)&gt;0,HLOOKUP(1,$C$362:$I$374,12,FALSE),0)</f>
        <v>0</v>
      </c>
      <c r="K373" s="28">
        <v>2000</v>
      </c>
      <c r="M373" s="2"/>
    </row>
    <row r="374" spans="1:25" x14ac:dyDescent="0.25">
      <c r="A374" s="13" t="str">
        <f>IF(J374&gt;0,SUM(J364:J374)," ")</f>
        <v xml:space="preserve"> </v>
      </c>
      <c r="B374" s="8" t="s">
        <v>571</v>
      </c>
      <c r="C374" s="34">
        <v>0</v>
      </c>
      <c r="D374" s="34">
        <v>0</v>
      </c>
      <c r="E374" s="34">
        <v>0</v>
      </c>
      <c r="F374" s="344">
        <v>0</v>
      </c>
      <c r="G374" s="13">
        <f>G357</f>
        <v>0</v>
      </c>
      <c r="H374" s="344">
        <v>0</v>
      </c>
      <c r="I374" s="34">
        <v>0</v>
      </c>
      <c r="J374" s="13">
        <f>IF(SUM(C362:I362)&gt;0,HLOOKUP(1,$C$362:$I$374,13,FALSE),0)</f>
        <v>0</v>
      </c>
      <c r="K374" s="34">
        <v>2000</v>
      </c>
      <c r="M374" s="2"/>
    </row>
    <row r="375" spans="1:25" x14ac:dyDescent="0.25">
      <c r="A375" s="472"/>
      <c r="B375" s="472" t="s">
        <v>598</v>
      </c>
      <c r="C375" s="473" t="str">
        <f>IF(AND(C362=1,C366=1),F363,C363)</f>
        <v>Mini</v>
      </c>
      <c r="D375" s="473" t="str">
        <f>D363</f>
        <v>Maxi</v>
      </c>
      <c r="E375" s="473" t="str">
        <f>IF(SUM(E365:E366)=0,E363,IF(AND(E367=1,E365=1,E366=0),C363,IF(AND(SUM(E365:E367)=3,E353=0),F363,IF(AND(SUM(E365:E367)=3,E353=1),F363))))</f>
        <v>Emba 170</v>
      </c>
      <c r="F375" s="473" t="str">
        <f>F363</f>
        <v>Emba 295</v>
      </c>
      <c r="G375" s="473" t="str">
        <f>G363</f>
        <v>Vlakstans</v>
      </c>
      <c r="H375" s="473" t="str">
        <f>H363</f>
        <v>Roda</v>
      </c>
      <c r="I375" s="473" t="str">
        <f>I363</f>
        <v>Plaat op maat</v>
      </c>
      <c r="J375" s="472"/>
      <c r="K375" s="952">
        <v>1900</v>
      </c>
      <c r="M375" s="2"/>
    </row>
    <row r="376" spans="1:25" x14ac:dyDescent="0.25">
      <c r="A376" s="476"/>
      <c r="B376" s="404" t="s">
        <v>655</v>
      </c>
      <c r="C376" s="590">
        <v>0.04</v>
      </c>
      <c r="D376" s="590">
        <v>0.04</v>
      </c>
      <c r="E376" s="590">
        <v>0.04</v>
      </c>
      <c r="F376" s="590">
        <v>0.04</v>
      </c>
      <c r="G376" s="590">
        <v>0.04</v>
      </c>
      <c r="H376" s="590">
        <v>0.04</v>
      </c>
      <c r="I376" s="590">
        <v>0.04</v>
      </c>
      <c r="J376" s="592">
        <f>IF(SUM(C362:I362)&gt;0,HLOOKUP(1,C362:I377,15,FALSE),MAX(C376:I376))</f>
        <v>0.04</v>
      </c>
      <c r="M376" s="2"/>
    </row>
    <row r="377" spans="1:25" x14ac:dyDescent="0.25">
      <c r="A377" s="415"/>
      <c r="B377" s="52" t="s">
        <v>654</v>
      </c>
      <c r="C377" s="591">
        <v>0.04</v>
      </c>
      <c r="D377" s="591">
        <v>0.04</v>
      </c>
      <c r="E377" s="591">
        <v>0.04</v>
      </c>
      <c r="F377" s="591">
        <v>0.04</v>
      </c>
      <c r="G377" s="591">
        <v>0.04</v>
      </c>
      <c r="H377" s="591">
        <v>0.04</v>
      </c>
      <c r="I377" s="591">
        <v>0.04</v>
      </c>
      <c r="J377" s="593">
        <f>IF(SUM(C362:I362)&gt;0,HLOOKUP(1,C362:I377,16,FALSE),MAX(C377:I377))</f>
        <v>0.04</v>
      </c>
    </row>
    <row r="378" spans="1:25" x14ac:dyDescent="0.25">
      <c r="A378" s="950"/>
      <c r="B378" s="959" t="s">
        <v>984</v>
      </c>
      <c r="C378" s="960">
        <v>0.03</v>
      </c>
      <c r="D378" s="962">
        <v>0.03</v>
      </c>
      <c r="E378" s="960">
        <v>0.03</v>
      </c>
      <c r="F378" s="962">
        <v>0.03</v>
      </c>
      <c r="G378" s="960">
        <v>0.03</v>
      </c>
      <c r="H378" s="962">
        <v>0.03</v>
      </c>
      <c r="I378" s="960">
        <v>0.01</v>
      </c>
      <c r="J378" s="961">
        <f>IF(SUM(C362:I362)&gt;0,HLOOKUP(1,C362:I378,17,FALSE),MAX(C378:I378))</f>
        <v>0.03</v>
      </c>
    </row>
    <row r="379" spans="1:25" x14ac:dyDescent="0.25">
      <c r="B379"/>
    </row>
    <row r="380" spans="1:25" s="320" customFormat="1" x14ac:dyDescent="0.25">
      <c r="Y380" s="343"/>
    </row>
    <row r="381" spans="1:25" x14ac:dyDescent="0.25">
      <c r="B381"/>
    </row>
    <row r="382" spans="1:25" x14ac:dyDescent="0.25">
      <c r="B382"/>
    </row>
    <row r="383" spans="1:25" x14ac:dyDescent="0.25">
      <c r="B383" s="215" t="s">
        <v>487</v>
      </c>
    </row>
    <row r="384" spans="1:25" x14ac:dyDescent="0.25">
      <c r="A384" s="289" t="s">
        <v>477</v>
      </c>
      <c r="B384" s="396"/>
      <c r="C384" s="397">
        <f>IF(AND(J445&gt;=C386,J445&lt;C387),1,0)</f>
        <v>0</v>
      </c>
      <c r="D384" s="397">
        <f>IF(AND(J445&gt;=D386,J445&lt;D387),1,0)</f>
        <v>1</v>
      </c>
      <c r="E384" s="397">
        <f>IF(AND(J445&gt;=E386,J445&lt;E387),1,0)</f>
        <v>0</v>
      </c>
      <c r="F384" s="397">
        <f>IF(AND(J445&gt;=F386,J445&lt;F387),1,0)</f>
        <v>0</v>
      </c>
      <c r="G384" s="397">
        <f>IF(AND(J445&gt;=G386,J445&lt;G387),1,0)</f>
        <v>0</v>
      </c>
      <c r="H384" s="398"/>
      <c r="I384" s="398"/>
      <c r="J384" s="398"/>
      <c r="K384" s="398"/>
      <c r="L384" s="398"/>
      <c r="M384" s="398"/>
      <c r="N384" s="44"/>
    </row>
    <row r="385" spans="1:15" x14ac:dyDescent="0.25">
      <c r="A385" s="396" t="str">
        <f>VLOOKUP("x",'Prijs karton (2)'!19:248,20,FALSE)</f>
        <v>Pro</v>
      </c>
      <c r="B385" s="41"/>
      <c r="C385" s="120" t="s">
        <v>478</v>
      </c>
      <c r="D385" s="120" t="s">
        <v>478</v>
      </c>
      <c r="E385" s="120" t="s">
        <v>478</v>
      </c>
      <c r="F385" s="120" t="s">
        <v>478</v>
      </c>
      <c r="G385" s="399" t="s">
        <v>478</v>
      </c>
      <c r="H385" s="120" t="s">
        <v>479</v>
      </c>
      <c r="I385" s="227" t="s">
        <v>480</v>
      </c>
      <c r="J385" s="120" t="s">
        <v>481</v>
      </c>
      <c r="K385" s="78" t="s">
        <v>480</v>
      </c>
      <c r="L385" s="120" t="s">
        <v>111</v>
      </c>
      <c r="M385" s="78" t="s">
        <v>149</v>
      </c>
      <c r="N385" s="120" t="s">
        <v>149</v>
      </c>
      <c r="O385" s="2"/>
    </row>
    <row r="386" spans="1:15" x14ac:dyDescent="0.25">
      <c r="A386" s="41"/>
      <c r="B386" s="41"/>
      <c r="C386" s="12">
        <v>200</v>
      </c>
      <c r="D386" s="12">
        <v>500</v>
      </c>
      <c r="E386" s="12">
        <v>1000</v>
      </c>
      <c r="F386" s="12">
        <v>2000</v>
      </c>
      <c r="G386" s="120">
        <v>5000</v>
      </c>
      <c r="H386" s="120" t="s">
        <v>482</v>
      </c>
      <c r="I386" s="227" t="s">
        <v>482</v>
      </c>
      <c r="J386" s="120" t="s">
        <v>483</v>
      </c>
      <c r="K386" s="78" t="s">
        <v>482</v>
      </c>
      <c r="L386" s="120" t="s">
        <v>484</v>
      </c>
      <c r="M386" s="78" t="s">
        <v>485</v>
      </c>
      <c r="N386" s="120" t="s">
        <v>486</v>
      </c>
    </row>
    <row r="387" spans="1:15" x14ac:dyDescent="0.25">
      <c r="A387" s="341" t="s">
        <v>1</v>
      </c>
      <c r="B387" s="341" t="s">
        <v>0</v>
      </c>
      <c r="C387" s="443">
        <v>500</v>
      </c>
      <c r="D387" s="443">
        <v>1000</v>
      </c>
      <c r="E387" s="443">
        <v>2000</v>
      </c>
      <c r="F387" s="443">
        <v>5000</v>
      </c>
      <c r="G387" s="12">
        <v>999999999</v>
      </c>
      <c r="H387" s="202" t="s">
        <v>18</v>
      </c>
      <c r="I387" s="400" t="s">
        <v>18</v>
      </c>
      <c r="J387" s="202" t="s">
        <v>9</v>
      </c>
      <c r="K387" s="401" t="s">
        <v>9</v>
      </c>
      <c r="L387" s="964">
        <v>550</v>
      </c>
      <c r="M387" s="343"/>
      <c r="N387" s="13"/>
    </row>
    <row r="388" spans="1:15" x14ac:dyDescent="0.25">
      <c r="A388" s="52" t="str">
        <f>VLOOKUP("X",'Prijs karton (2)'!19:248,3,FALSE)</f>
        <v>BKT14WS</v>
      </c>
      <c r="B388" s="41" t="str">
        <f>VLOOKUP("X",'Prijs karton (2)'!19:248,2,FALSE)</f>
        <v>B</v>
      </c>
      <c r="C388" s="342">
        <f>VLOOKUP("X",'Prijs karton (2)'!19:248,7,FALSE)</f>
        <v>47.2</v>
      </c>
      <c r="D388" s="340">
        <f>VLOOKUP("X",'Prijs karton (2)'!19:248,8,FALSE)</f>
        <v>44.2</v>
      </c>
      <c r="E388" s="342">
        <f>VLOOKUP("X",'Prijs karton (2)'!19:248,9,FALSE)</f>
        <v>43.7</v>
      </c>
      <c r="F388" s="340">
        <f>VLOOKUP("X",'Prijs karton (2)'!19:248,10,FALSE)</f>
        <v>43.7</v>
      </c>
      <c r="G388" s="402">
        <f>VLOOKUP("X",'Prijs karton (2)'!19:248,11,FALSE)</f>
        <v>43.2</v>
      </c>
      <c r="H388" s="403">
        <f>VLOOKUP("X",'Prijs karton (2)'!19:248,21,FALSE)</f>
        <v>250</v>
      </c>
      <c r="I388" s="403">
        <f>VLOOKUP("X",'Prijs karton (2)'!19:248,22,FALSE)</f>
        <v>2450</v>
      </c>
      <c r="J388" s="403">
        <f>VLOOKUP("X",'Prijs karton (2)'!19:248,23,FALSE)</f>
        <v>500</v>
      </c>
      <c r="K388" s="403">
        <f>VLOOKUP("X",'Prijs karton (2)'!19:248,24,FALSE)</f>
        <v>6000</v>
      </c>
      <c r="L388" s="403">
        <f>VLOOKUP("X",'Prijs karton (2)'!19:248,25,FALSE)</f>
        <v>480</v>
      </c>
      <c r="M388" s="403">
        <f>VLOOKUP("X",'Prijs karton (2)'!19:248,26,FALSE)</f>
        <v>240</v>
      </c>
      <c r="N388" s="473">
        <f>VLOOKUP("X",'Prijs karton (2)'!19:248,27,FALSE)</f>
        <v>200</v>
      </c>
      <c r="O388" s="2"/>
    </row>
    <row r="389" spans="1:15" x14ac:dyDescent="0.25">
      <c r="A389" s="442">
        <f>IF(F445&lt;C389,1,0)</f>
        <v>0</v>
      </c>
      <c r="B389" s="405" t="str">
        <f>IF($A$385="pro",'Prijs karton (2)'!N4,IF($A$385="kappa",'Prijs karton (2)'!T4," "))</f>
        <v xml:space="preserve">Plaatlengte korter dan </v>
      </c>
      <c r="C389" s="405">
        <f>IF($A$385="pro",'Prijs karton (2)'!O4,IF($A$385="kappa",'Prijs karton (2)'!U4," "))</f>
        <v>600</v>
      </c>
      <c r="D389" s="399">
        <f>IF($A$385="pro",'Prijs karton (2)'!P4,IF($A$385="kappa",'Prijs karton (2)'!V4," "))</f>
        <v>4</v>
      </c>
      <c r="E389" s="411" t="str">
        <f>IF($A$385="pro",'Prijs karton (2)'!Q4,IF($A$385="kappa",'Prijs karton (2)'!W4," "))</f>
        <v>extra per HQM</v>
      </c>
      <c r="F389" s="442">
        <f>D389*A389</f>
        <v>0</v>
      </c>
    </row>
    <row r="390" spans="1:15" x14ac:dyDescent="0.25">
      <c r="A390" s="12">
        <f>IF(AND(F445&lt;C390,F445&gt;=C389),1,0)</f>
        <v>0</v>
      </c>
      <c r="B390" s="339" t="str">
        <f>IF($A$385="pro",'Prijs karton (2)'!N5,IF($A$385="kappa",'Prijs karton (2)'!T5," "))</f>
        <v xml:space="preserve">Plaatlengte korter dan </v>
      </c>
      <c r="C390" s="339">
        <f>IF($A$385="pro",'Prijs karton (2)'!O5,IF($A$385="kappa",'Prijs karton (2)'!U5," "))</f>
        <v>700</v>
      </c>
      <c r="D390" s="120">
        <f>IF($A$385="pro",'Prijs karton (2)'!P5,IF($A$385="kappa",'Prijs karton (2)'!V5," "))</f>
        <v>2</v>
      </c>
      <c r="E390" s="337" t="str">
        <f>IF($A$385="pro",'Prijs karton (2)'!Q5,IF($A$385="kappa",'Prijs karton (2)'!W5," "))</f>
        <v>extra per HQM</v>
      </c>
      <c r="F390" s="12">
        <f>D390*A390</f>
        <v>0</v>
      </c>
    </row>
    <row r="391" spans="1:15" x14ac:dyDescent="0.25">
      <c r="A391" s="12">
        <f>IF(F445&gt;C391,1,0)</f>
        <v>0</v>
      </c>
      <c r="B391" s="339" t="str">
        <f>IF($A$385="pro",'Prijs karton (2)'!N6,IF($A$385="kappa",'Prijs karton (2)'!T6," "))</f>
        <v>Plaatlengte lager dan</v>
      </c>
      <c r="C391" s="339">
        <f>IF($A$385="pro",'Prijs karton (2)'!O6,IF($A$385="kappa",'Prijs karton (2)'!U6," "))</f>
        <v>5000</v>
      </c>
      <c r="D391" s="120">
        <f>IF($A$385="pro",'Prijs karton (2)'!P6,IF($A$385="kappa",'Prijs karton (2)'!V6," "))</f>
        <v>0</v>
      </c>
      <c r="E391" s="337" t="str">
        <f>IF($A$385="pro",'Prijs karton (2)'!Q6,IF($A$385="kappa",'Prijs karton (2)'!W6," "))</f>
        <v>extra per HQM</v>
      </c>
      <c r="F391" s="12">
        <f>D391*A391</f>
        <v>0</v>
      </c>
    </row>
    <row r="392" spans="1:15" x14ac:dyDescent="0.25">
      <c r="A392" s="41"/>
      <c r="B392" s="339" t="str">
        <f>IF($A$385="pro",'Prijs karton (2)'!N7,IF($A$385="kappa",'Prijs karton (2)'!T7," "))</f>
        <v xml:space="preserve"> </v>
      </c>
      <c r="C392" s="339" t="str">
        <f>IF($A$385="pro",'Prijs karton (2)'!O7,IF($A$385="kappa",'Prijs karton (2)'!U7," "))</f>
        <v xml:space="preserve"> </v>
      </c>
      <c r="D392" s="120" t="str">
        <f>IF($A$385="pro",'Prijs karton (2)'!P7,IF($A$385="kappa",'Prijs karton (2)'!V7," "))</f>
        <v xml:space="preserve"> </v>
      </c>
      <c r="E392" s="337" t="str">
        <f>IF($A$385="pro",'Prijs karton (2)'!Q7,IF($A$385="kappa",'Prijs karton (2)'!W7," "))</f>
        <v xml:space="preserve"> </v>
      </c>
      <c r="F392" s="41"/>
      <c r="G392" s="77"/>
    </row>
    <row r="393" spans="1:15" x14ac:dyDescent="0.25">
      <c r="A393" s="41"/>
      <c r="B393" s="339" t="str">
        <f>IF($A$385="pro",'Prijs karton (2)'!N8,IF($A$385="kappa",'Prijs karton (2)'!T8," "))</f>
        <v xml:space="preserve"> </v>
      </c>
      <c r="C393" s="339" t="str">
        <f>IF($A$385="pro",'Prijs karton (2)'!O8,IF($A$385="kappa",'Prijs karton (2)'!U8," "))</f>
        <v xml:space="preserve"> </v>
      </c>
      <c r="D393" s="120" t="str">
        <f>IF($A$385="pro",'Prijs karton (2)'!P8,IF($A$385="kappa",'Prijs karton (2)'!V8," "))</f>
        <v xml:space="preserve"> </v>
      </c>
      <c r="E393" s="337" t="str">
        <f>IF($A$385="pro",'Prijs karton (2)'!Q8,IF($A$385="kappa",'Prijs karton (2)'!W8," "))</f>
        <v xml:space="preserve"> </v>
      </c>
      <c r="F393" s="556"/>
      <c r="G393" s="407"/>
    </row>
    <row r="394" spans="1:15" x14ac:dyDescent="0.25">
      <c r="A394" s="41"/>
      <c r="B394" s="339" t="str">
        <f>IF($A$385="pro",'Prijs karton (2)'!N9,IF($A$385="kappa",'Prijs karton (2)'!T9," "))</f>
        <v xml:space="preserve"> </v>
      </c>
      <c r="C394" s="339" t="str">
        <f>IF($A$385="pro",'Prijs karton (2)'!O9,IF($A$385="kappa",'Prijs karton (2)'!U9," "))</f>
        <v xml:space="preserve"> </v>
      </c>
      <c r="D394" s="120" t="str">
        <f>IF($A$385="pro",'Prijs karton (2)'!P9,IF($A$385="kappa",'Prijs karton (2)'!V9," "))</f>
        <v xml:space="preserve"> </v>
      </c>
      <c r="E394" s="337" t="str">
        <f>IF($A$385="pro",'Prijs karton (2)'!Q9,IF($A$385="kappa",'Prijs karton (2)'!W9," "))</f>
        <v xml:space="preserve"> </v>
      </c>
      <c r="F394" s="41"/>
      <c r="G394" s="77"/>
    </row>
    <row r="395" spans="1:15" x14ac:dyDescent="0.25">
      <c r="A395" s="41"/>
      <c r="B395" s="339" t="str">
        <f>IF($A$385="pro",'Prijs karton (2)'!N10,IF($A$385="kappa",'Prijs karton (2)'!T10," "))</f>
        <v xml:space="preserve"> </v>
      </c>
      <c r="C395" s="339" t="str">
        <f>IF($A$385="pro",'Prijs karton (2)'!O10,IF($A$385="kappa",'Prijs karton (2)'!U10," "))</f>
        <v xml:space="preserve"> </v>
      </c>
      <c r="D395" s="120" t="str">
        <f>IF($A$385="pro",'Prijs karton (2)'!P10,IF($A$385="kappa",'Prijs karton (2)'!V10," "))</f>
        <v xml:space="preserve"> </v>
      </c>
      <c r="E395" s="337" t="str">
        <f>IF($A$385="pro",'Prijs karton (2)'!Q10,IF($A$385="kappa",'Prijs karton (2)'!W10," "))</f>
        <v xml:space="preserve"> </v>
      </c>
      <c r="F395" s="41"/>
      <c r="G395" s="77"/>
    </row>
    <row r="396" spans="1:15" x14ac:dyDescent="0.25">
      <c r="A396" s="41"/>
      <c r="B396" s="339" t="str">
        <f>IF($A$385="pro",'Prijs karton (2)'!N11,IF($A$385="kappa",'Prijs karton (2)'!T11," "))</f>
        <v xml:space="preserve"> </v>
      </c>
      <c r="C396" s="339" t="str">
        <f>IF($A$385="pro",'Prijs karton (2)'!O11,IF($A$385="kappa",'Prijs karton (2)'!U11," "))</f>
        <v xml:space="preserve"> </v>
      </c>
      <c r="D396" s="120" t="str">
        <f>IF($A$385="pro",'Prijs karton (2)'!P11,IF($A$385="kappa",'Prijs karton (2)'!V11," "))</f>
        <v xml:space="preserve"> </v>
      </c>
      <c r="E396" s="337" t="str">
        <f>IF($A$385="pro",'Prijs karton (2)'!Q11,IF($A$385="kappa",'Prijs karton (2)'!W11," "))</f>
        <v xml:space="preserve"> </v>
      </c>
      <c r="F396" s="41"/>
    </row>
    <row r="397" spans="1:15" x14ac:dyDescent="0.25">
      <c r="A397" s="41"/>
      <c r="B397" s="339" t="str">
        <f>IF($A$385="pro",'Prijs karton (2)'!N12,IF($A$385="kappa",'Prijs karton (2)'!T12," "))</f>
        <v xml:space="preserve"> </v>
      </c>
      <c r="C397" s="339" t="str">
        <f>IF($A$385="pro",'Prijs karton (2)'!O12,IF($A$385="kappa",'Prijs karton (2)'!U12," "))</f>
        <v xml:space="preserve"> </v>
      </c>
      <c r="D397" s="120" t="str">
        <f>IF($A$385="pro",'Prijs karton (2)'!P12,IF($A$385="kappa",'Prijs karton (2)'!V12," "))</f>
        <v xml:space="preserve"> </v>
      </c>
      <c r="E397" s="337" t="str">
        <f>IF($A$385="pro",'Prijs karton (2)'!Q12,IF($A$385="kappa",'Prijs karton (2)'!W12," "))</f>
        <v xml:space="preserve"> </v>
      </c>
      <c r="F397" s="41"/>
    </row>
    <row r="398" spans="1:15" x14ac:dyDescent="0.25">
      <c r="A398" s="52"/>
      <c r="B398" s="341" t="str">
        <f>IF($A$385="pro",'Prijs karton (2)'!N13,IF($A$385="kappa",'Prijs karton (2)'!T13," "))</f>
        <v xml:space="preserve"> </v>
      </c>
      <c r="C398" s="341" t="str">
        <f>IF($A$385="pro",'Prijs karton (2)'!O13,IF($A$385="kappa",'Prijs karton (2)'!U13," "))</f>
        <v xml:space="preserve"> </v>
      </c>
      <c r="D398" s="202" t="str">
        <f>IF($A$385="pro",'Prijs karton (2)'!P13,IF($A$385="kappa",'Prijs karton (2)'!V13," "))</f>
        <v xml:space="preserve"> </v>
      </c>
      <c r="E398" s="581" t="str">
        <f>IF($A$385="pro",'Prijs karton (2)'!Q13,IF($A$385="kappa",'Prijs karton (2)'!W13," "))</f>
        <v xml:space="preserve"> </v>
      </c>
      <c r="F398" s="52"/>
    </row>
    <row r="399" spans="1:15" x14ac:dyDescent="0.25">
      <c r="B399" s="77"/>
      <c r="C399" s="77"/>
      <c r="D399" s="77"/>
      <c r="E399" s="77"/>
    </row>
    <row r="400" spans="1:15" x14ac:dyDescent="0.25">
      <c r="B400" s="1" t="s">
        <v>1049</v>
      </c>
      <c r="C400" s="77"/>
    </row>
    <row r="401" spans="1:13" x14ac:dyDescent="0.25">
      <c r="B401" s="489" t="s">
        <v>599</v>
      </c>
      <c r="C401" s="103" t="s">
        <v>600</v>
      </c>
      <c r="D401" s="103" t="s">
        <v>1026</v>
      </c>
      <c r="E401" s="103" t="s">
        <v>547</v>
      </c>
      <c r="F401" s="1077" t="s">
        <v>1047</v>
      </c>
      <c r="G401" s="1021" t="s">
        <v>1048</v>
      </c>
    </row>
    <row r="402" spans="1:13" x14ac:dyDescent="0.25">
      <c r="B402" s="202" t="str">
        <f>IF(SUM(C362:I362)&gt;0,HLOOKUP(1,C362:I375,2,FALSE),0)</f>
        <v>Emba 295</v>
      </c>
      <c r="C402" s="424" t="str">
        <f>IF(SUM(C362:I362)&gt;0,HLOOKUP(1,C362:I375,14,FALSE),0)</f>
        <v>Emba 295</v>
      </c>
      <c r="D402" s="951">
        <f>IF(AND(C402="Emba 295",B402&lt;&gt;"Emba 295"),1,0)</f>
        <v>0</v>
      </c>
      <c r="E402" s="951">
        <f>IF(D402=1,C445*D445,1)</f>
        <v>1</v>
      </c>
      <c r="F402" s="432">
        <f>IF(AND(B402="Maxi",C402="Maxi",C111&gt;0),1,0)</f>
        <v>0</v>
      </c>
      <c r="G402" s="34">
        <v>1</v>
      </c>
    </row>
    <row r="405" spans="1:13" x14ac:dyDescent="0.25">
      <c r="A405" s="404"/>
      <c r="B405" s="437" t="s">
        <v>78</v>
      </c>
      <c r="C405" s="287">
        <v>3</v>
      </c>
      <c r="D405" s="489">
        <v>4</v>
      </c>
      <c r="E405" s="473">
        <v>5</v>
      </c>
      <c r="F405" s="473">
        <v>6</v>
      </c>
      <c r="G405" s="473">
        <v>7</v>
      </c>
      <c r="H405" s="473">
        <v>8</v>
      </c>
      <c r="I405" s="38">
        <v>9</v>
      </c>
      <c r="J405" s="473">
        <v>10</v>
      </c>
      <c r="K405" s="38">
        <v>11</v>
      </c>
      <c r="L405" s="442">
        <v>12</v>
      </c>
      <c r="M405" s="435">
        <v>13</v>
      </c>
    </row>
    <row r="406" spans="1:13" x14ac:dyDescent="0.25">
      <c r="A406" s="41"/>
      <c r="B406" s="36"/>
      <c r="C406" s="208" t="s">
        <v>606</v>
      </c>
      <c r="D406" s="473" t="s">
        <v>607</v>
      </c>
      <c r="E406" s="473" t="s">
        <v>608</v>
      </c>
      <c r="F406" s="38" t="s">
        <v>197</v>
      </c>
      <c r="G406" s="287" t="s">
        <v>611</v>
      </c>
      <c r="H406" s="489" t="s">
        <v>610</v>
      </c>
      <c r="I406" s="103" t="s">
        <v>609</v>
      </c>
      <c r="J406" s="120" t="s">
        <v>612</v>
      </c>
      <c r="K406" s="103" t="s">
        <v>613</v>
      </c>
      <c r="L406" s="489" t="s">
        <v>627</v>
      </c>
      <c r="M406" s="103" t="s">
        <v>628</v>
      </c>
    </row>
    <row r="407" spans="1:13" x14ac:dyDescent="0.25">
      <c r="A407" s="52"/>
      <c r="B407" s="37"/>
      <c r="C407" s="289"/>
      <c r="D407" s="517"/>
      <c r="E407" s="472"/>
      <c r="F407" s="43"/>
      <c r="G407" s="472"/>
      <c r="H407" s="472"/>
      <c r="I407" s="44"/>
      <c r="J407" s="472"/>
      <c r="K407" s="44"/>
      <c r="L407" s="52"/>
      <c r="M407" s="434"/>
    </row>
    <row r="408" spans="1:13" x14ac:dyDescent="0.25">
      <c r="A408" s="442">
        <f>IF($C$402=B408,1,0)</f>
        <v>0</v>
      </c>
      <c r="B408" s="404" t="s">
        <v>66</v>
      </c>
      <c r="C408" s="442">
        <f>IF(F189=0,A191,E191)</f>
        <v>2</v>
      </c>
      <c r="D408" s="442">
        <f>IF(F189=0,A193,E193)</f>
        <v>3</v>
      </c>
      <c r="E408" s="449">
        <f>IF(F189=0,B191,F191)</f>
        <v>1</v>
      </c>
      <c r="F408" s="442">
        <f>IF(F189=0,C191,G191)</f>
        <v>3</v>
      </c>
      <c r="G408" s="449">
        <f>C179</f>
        <v>0</v>
      </c>
      <c r="H408" s="442">
        <f>C180</f>
        <v>0</v>
      </c>
      <c r="I408" s="449">
        <f>IF(F408&gt;2,D180,0)</f>
        <v>40</v>
      </c>
      <c r="J408" s="486">
        <v>0</v>
      </c>
      <c r="K408" s="567">
        <v>0</v>
      </c>
      <c r="L408" s="442">
        <f>IF(B402=B408,C108,IF(AND(C402=B408,B402=B410),B228,0))</f>
        <v>0</v>
      </c>
      <c r="M408" s="442">
        <f>IF(B402=B408,D108,IF(AND(C402=B408,B402=B410),C228,0))</f>
        <v>0</v>
      </c>
    </row>
    <row r="409" spans="1:13" x14ac:dyDescent="0.25">
      <c r="A409" s="12">
        <f t="shared" ref="A409:A414" si="68">IF($C$402=B409,1,0)</f>
        <v>0</v>
      </c>
      <c r="B409" s="41" t="s">
        <v>65</v>
      </c>
      <c r="C409" s="12">
        <f>B208</f>
        <v>2</v>
      </c>
      <c r="D409" s="12">
        <f>B209</f>
        <v>2</v>
      </c>
      <c r="E409" s="22">
        <v>1</v>
      </c>
      <c r="F409" s="28">
        <v>1</v>
      </c>
      <c r="G409" s="22">
        <v>0</v>
      </c>
      <c r="H409" s="28">
        <v>0</v>
      </c>
      <c r="I409" s="22">
        <v>0</v>
      </c>
      <c r="J409" s="28">
        <v>0</v>
      </c>
      <c r="K409" s="30">
        <v>0</v>
      </c>
      <c r="L409" s="12">
        <f>IF(B409=B402,C108,0)</f>
        <v>0</v>
      </c>
      <c r="M409" s="12">
        <f>IF(B409=B402,D108,0)</f>
        <v>0</v>
      </c>
    </row>
    <row r="410" spans="1:13" x14ac:dyDescent="0.25">
      <c r="A410" s="12">
        <f t="shared" si="68"/>
        <v>0</v>
      </c>
      <c r="B410" s="41" t="s">
        <v>63</v>
      </c>
      <c r="C410" s="28">
        <v>1</v>
      </c>
      <c r="D410" s="28">
        <v>1</v>
      </c>
      <c r="E410" s="22">
        <v>1</v>
      </c>
      <c r="F410" s="28">
        <v>1</v>
      </c>
      <c r="G410" s="22">
        <v>0</v>
      </c>
      <c r="H410" s="28">
        <v>0</v>
      </c>
      <c r="I410" s="22">
        <v>0</v>
      </c>
      <c r="J410" s="28">
        <v>0</v>
      </c>
      <c r="K410" s="30">
        <v>0</v>
      </c>
      <c r="L410" s="12">
        <f>IF(C402=B410,B228,0)</f>
        <v>0</v>
      </c>
      <c r="M410" s="12">
        <f>IF(C402=B410,C228,0)</f>
        <v>0</v>
      </c>
    </row>
    <row r="411" spans="1:13" x14ac:dyDescent="0.25">
      <c r="A411" s="12">
        <f t="shared" si="68"/>
        <v>1</v>
      </c>
      <c r="B411" s="41" t="s">
        <v>64</v>
      </c>
      <c r="C411" s="556">
        <f>E241</f>
        <v>1</v>
      </c>
      <c r="D411" s="12">
        <f>D241</f>
        <v>1</v>
      </c>
      <c r="E411" s="407">
        <f>G241</f>
        <v>1</v>
      </c>
      <c r="F411" s="12">
        <f>F241</f>
        <v>1</v>
      </c>
      <c r="G411" s="22">
        <v>0</v>
      </c>
      <c r="H411" s="28">
        <v>0</v>
      </c>
      <c r="I411" s="22">
        <v>0</v>
      </c>
      <c r="J411" s="28">
        <v>0</v>
      </c>
      <c r="K411" s="30">
        <v>0</v>
      </c>
      <c r="L411" s="12">
        <f>IF(B411=B402,B239,B241)</f>
        <v>361</v>
      </c>
      <c r="M411" s="12">
        <f>IF(B411=B402,C239,C241)</f>
        <v>1150</v>
      </c>
    </row>
    <row r="412" spans="1:13" x14ac:dyDescent="0.25">
      <c r="A412" s="12">
        <f t="shared" si="68"/>
        <v>0</v>
      </c>
      <c r="B412" s="41" t="s">
        <v>554</v>
      </c>
      <c r="C412" s="12">
        <f>IF(SUM(A274:A275)&gt;0,VLOOKUP(1,A274:C275,2,FALSE),0)</f>
        <v>1</v>
      </c>
      <c r="D412" s="12">
        <f>IF(SUM(A274:A275)&gt;0,VLOOKUP(1,A274:C275,2,FALSE),0)</f>
        <v>1</v>
      </c>
      <c r="E412" s="2">
        <f>IF(SUM(A274:A275)&gt;0,VLOOKUP(1,A274:C275,3,FALSE),0)</f>
        <v>1</v>
      </c>
      <c r="F412" s="12">
        <f>IF(SUM(A274:A275)&gt;0,VLOOKUP(1,A274:C275,3,FALSE),0)</f>
        <v>1</v>
      </c>
      <c r="G412" s="22">
        <v>0</v>
      </c>
      <c r="H412" s="28">
        <v>0</v>
      </c>
      <c r="I412" s="22">
        <v>0</v>
      </c>
      <c r="J412" s="28">
        <v>20</v>
      </c>
      <c r="K412" s="30">
        <v>0</v>
      </c>
      <c r="L412" s="556">
        <f>IF(B412=B402,D278,0)</f>
        <v>0</v>
      </c>
      <c r="M412" s="556">
        <f>IF(B412=B402,E278,0)</f>
        <v>0</v>
      </c>
    </row>
    <row r="413" spans="1:13" x14ac:dyDescent="0.25">
      <c r="A413" s="12">
        <f t="shared" si="68"/>
        <v>0</v>
      </c>
      <c r="B413" s="41" t="s">
        <v>54</v>
      </c>
      <c r="C413" s="12">
        <f>A331</f>
        <v>0</v>
      </c>
      <c r="D413" s="12">
        <f>A333</f>
        <v>0</v>
      </c>
      <c r="E413" s="2">
        <f>D331</f>
        <v>0</v>
      </c>
      <c r="F413" s="12">
        <f>D333</f>
        <v>0</v>
      </c>
      <c r="G413" s="22">
        <v>0</v>
      </c>
      <c r="H413" s="28">
        <v>0</v>
      </c>
      <c r="I413" s="22">
        <v>0</v>
      </c>
      <c r="J413" s="28">
        <v>0</v>
      </c>
      <c r="K413" s="30">
        <v>80</v>
      </c>
      <c r="L413" s="12">
        <f>IF(B413=B402,C108,0)</f>
        <v>0</v>
      </c>
      <c r="M413" s="12">
        <f>IF(B413=B402,D108,0)</f>
        <v>0</v>
      </c>
    </row>
    <row r="414" spans="1:13" x14ac:dyDescent="0.25">
      <c r="A414" s="13">
        <f t="shared" si="68"/>
        <v>0</v>
      </c>
      <c r="B414" s="52" t="s">
        <v>67</v>
      </c>
      <c r="C414" s="34">
        <v>1</v>
      </c>
      <c r="D414" s="34">
        <v>1</v>
      </c>
      <c r="E414" s="344">
        <v>1</v>
      </c>
      <c r="F414" s="34">
        <v>1</v>
      </c>
      <c r="G414" s="344">
        <v>0</v>
      </c>
      <c r="H414" s="34">
        <v>0</v>
      </c>
      <c r="I414" s="344">
        <v>0</v>
      </c>
      <c r="J414" s="34">
        <v>0</v>
      </c>
      <c r="K414" s="490">
        <v>0</v>
      </c>
      <c r="L414" s="13">
        <f>IF(B414=B402,C108,0)</f>
        <v>0</v>
      </c>
      <c r="M414" s="13">
        <f>IF(B414=B402,D108,0)</f>
        <v>0</v>
      </c>
    </row>
    <row r="415" spans="1:13" x14ac:dyDescent="0.25">
      <c r="B415"/>
    </row>
    <row r="416" spans="1:13" x14ac:dyDescent="0.25">
      <c r="B416"/>
    </row>
    <row r="417" spans="2:37" x14ac:dyDescent="0.25">
      <c r="B417" s="569" t="s">
        <v>18</v>
      </c>
      <c r="C417" s="442">
        <f>IF(SUM($A$408:$A$414)&gt;0,VLOOKUP(1,$A$408:$M$414,L405,FALSE),0)</f>
        <v>361</v>
      </c>
    </row>
    <row r="418" spans="2:37" x14ac:dyDescent="0.25">
      <c r="B418" s="570" t="s">
        <v>9</v>
      </c>
      <c r="C418" s="12">
        <f>IF(SUM($A$408:$A$414)&gt;0,VLOOKUP(1,$A$408:$M$414,M405,FALSE),0)</f>
        <v>1150</v>
      </c>
    </row>
    <row r="419" spans="2:37" x14ac:dyDescent="0.25">
      <c r="B419" s="569" t="s">
        <v>606</v>
      </c>
      <c r="C419" s="442">
        <f>IF(SUM($A$408:$A$414)&gt;0,VLOOKUP(1,$A$408:$M$414,C405,FALSE),0)</f>
        <v>1</v>
      </c>
    </row>
    <row r="420" spans="2:37" x14ac:dyDescent="0.25">
      <c r="B420" s="571" t="s">
        <v>607</v>
      </c>
      <c r="C420" s="12">
        <f>IF(F402=1,G402,IF(SUM($A$408:$A$414)&gt;0,VLOOKUP(1,$A$408:$M$414,D405,FALSE),0))</f>
        <v>1</v>
      </c>
    </row>
    <row r="421" spans="2:37" x14ac:dyDescent="0.25">
      <c r="B421" s="569" t="s">
        <v>608</v>
      </c>
      <c r="C421" s="442">
        <f>IF(SUM($A$408:$A$414)&gt;0,VLOOKUP(1,$A$408:$M$414,E405,FALSE),0)</f>
        <v>1</v>
      </c>
    </row>
    <row r="422" spans="2:37" x14ac:dyDescent="0.25">
      <c r="B422" s="570" t="s">
        <v>629</v>
      </c>
      <c r="C422" s="13">
        <f>IF(SUM($A$408:$A$414)&gt;0,VLOOKUP(1,$A$408:$M$414,F405,FALSE),0)</f>
        <v>1</v>
      </c>
    </row>
    <row r="423" spans="2:37" x14ac:dyDescent="0.25">
      <c r="B423" s="410" t="s">
        <v>611</v>
      </c>
      <c r="C423" s="442">
        <f>IF(SUM($A$408:$A$414)&gt;0,VLOOKUP(1,$A$408:$M$414,G405,FALSE),0)</f>
        <v>0</v>
      </c>
    </row>
    <row r="424" spans="2:37" x14ac:dyDescent="0.25">
      <c r="B424" s="572" t="s">
        <v>610</v>
      </c>
      <c r="C424" s="12">
        <f>IF(SUM($A$408:$A$414)&gt;0,VLOOKUP(1,$A$408:$M$414,H405,FALSE),0)</f>
        <v>0</v>
      </c>
    </row>
    <row r="425" spans="2:37" x14ac:dyDescent="0.25">
      <c r="B425" s="418" t="s">
        <v>609</v>
      </c>
      <c r="C425" s="13">
        <f>IF(SUM($A$408:$A$414)&gt;0,VLOOKUP(1,$A$408:$M$414,I405,FALSE),0)</f>
        <v>0</v>
      </c>
    </row>
    <row r="426" spans="2:37" x14ac:dyDescent="0.25">
      <c r="B426" s="568" t="s">
        <v>612</v>
      </c>
      <c r="C426" s="13">
        <f>IF(SUM($A$408:$A$414)&gt;0,VLOOKUP(1,$A$408:$M$414,J405,FALSE),0)</f>
        <v>0</v>
      </c>
    </row>
    <row r="427" spans="2:37" x14ac:dyDescent="0.25">
      <c r="B427" s="153" t="str">
        <f>K406</f>
        <v>Eindafval roda</v>
      </c>
      <c r="C427" s="13">
        <f>IF(SUM($A$408:$A$414)&gt;0,VLOOKUP(1,$A$408:$M$414,K405,FALSE),0)</f>
        <v>0</v>
      </c>
    </row>
    <row r="428" spans="2:37" x14ac:dyDescent="0.25">
      <c r="B428" s="143"/>
      <c r="C428" s="2"/>
    </row>
    <row r="429" spans="2:37" x14ac:dyDescent="0.25">
      <c r="B429" s="143"/>
      <c r="C429" s="2"/>
    </row>
    <row r="430" spans="2:37" x14ac:dyDescent="0.25">
      <c r="B430" s="625" t="s">
        <v>640</v>
      </c>
      <c r="C430" s="2"/>
    </row>
    <row r="431" spans="2:37" x14ac:dyDescent="0.25">
      <c r="B431" s="616" t="s">
        <v>110</v>
      </c>
      <c r="C431" s="617">
        <f>J376</f>
        <v>0.04</v>
      </c>
    </row>
    <row r="432" spans="2:37" ht="15.75" thickBot="1" x14ac:dyDescent="0.3">
      <c r="B432" s="153" t="s">
        <v>149</v>
      </c>
      <c r="C432" s="593">
        <f>J377</f>
        <v>0.04</v>
      </c>
      <c r="AI432" s="619">
        <f>C437-J437</f>
        <v>0</v>
      </c>
      <c r="AJ432" s="619">
        <f>J437-X437</f>
        <v>0</v>
      </c>
      <c r="AK432" s="619">
        <f>X437-AH437</f>
        <v>0</v>
      </c>
    </row>
    <row r="433" spans="2:37" x14ac:dyDescent="0.25">
      <c r="B433" s="616" t="s">
        <v>656</v>
      </c>
      <c r="C433" s="617">
        <f>C431-C432</f>
        <v>0</v>
      </c>
      <c r="J433" s="614">
        <v>0.15</v>
      </c>
      <c r="X433" s="614">
        <v>0.35</v>
      </c>
      <c r="AH433" s="618">
        <f>1-J433-X433</f>
        <v>0.5</v>
      </c>
      <c r="AI433" s="514">
        <v>7</v>
      </c>
      <c r="AJ433" s="484">
        <v>14</v>
      </c>
      <c r="AK433" s="70">
        <v>11</v>
      </c>
    </row>
    <row r="434" spans="2:37" x14ac:dyDescent="0.25">
      <c r="B434" s="472"/>
      <c r="C434" s="473">
        <f t="shared" ref="C434:AH434" si="69">IF(AND($J$445&gt;=C435,$J$445&lt;C436),1," ")</f>
        <v>1</v>
      </c>
      <c r="D434" s="473" t="str">
        <f t="shared" si="69"/>
        <v xml:space="preserve"> </v>
      </c>
      <c r="E434" s="473" t="str">
        <f t="shared" si="69"/>
        <v xml:space="preserve"> </v>
      </c>
      <c r="F434" s="473" t="str">
        <f t="shared" si="69"/>
        <v xml:space="preserve"> </v>
      </c>
      <c r="G434" s="473" t="str">
        <f t="shared" si="69"/>
        <v xml:space="preserve"> </v>
      </c>
      <c r="H434" s="473" t="str">
        <f t="shared" si="69"/>
        <v xml:space="preserve"> </v>
      </c>
      <c r="I434" s="208" t="str">
        <f t="shared" si="69"/>
        <v xml:space="preserve"> </v>
      </c>
      <c r="J434" s="499" t="str">
        <f t="shared" si="69"/>
        <v xml:space="preserve"> </v>
      </c>
      <c r="K434" s="38" t="str">
        <f t="shared" si="69"/>
        <v xml:space="preserve"> </v>
      </c>
      <c r="L434" s="473" t="str">
        <f t="shared" si="69"/>
        <v xml:space="preserve"> </v>
      </c>
      <c r="M434" s="473" t="str">
        <f t="shared" si="69"/>
        <v xml:space="preserve"> </v>
      </c>
      <c r="N434" s="473" t="str">
        <f t="shared" si="69"/>
        <v xml:space="preserve"> </v>
      </c>
      <c r="O434" s="473" t="str">
        <f t="shared" si="69"/>
        <v xml:space="preserve"> </v>
      </c>
      <c r="P434" s="473" t="str">
        <f t="shared" si="69"/>
        <v xml:space="preserve"> </v>
      </c>
      <c r="Q434" s="473" t="str">
        <f t="shared" si="69"/>
        <v xml:space="preserve"> </v>
      </c>
      <c r="R434" s="473" t="str">
        <f t="shared" si="69"/>
        <v xml:space="preserve"> </v>
      </c>
      <c r="S434" s="473" t="str">
        <f t="shared" si="69"/>
        <v xml:space="preserve"> </v>
      </c>
      <c r="T434" s="473" t="str">
        <f t="shared" si="69"/>
        <v xml:space="preserve"> </v>
      </c>
      <c r="U434" s="473" t="str">
        <f t="shared" si="69"/>
        <v xml:space="preserve"> </v>
      </c>
      <c r="V434" s="473" t="str">
        <f t="shared" si="69"/>
        <v xml:space="preserve"> </v>
      </c>
      <c r="W434" s="208" t="str">
        <f t="shared" si="69"/>
        <v xml:space="preserve"> </v>
      </c>
      <c r="X434" s="499" t="str">
        <f t="shared" si="69"/>
        <v xml:space="preserve"> </v>
      </c>
      <c r="Y434" s="38" t="str">
        <f t="shared" si="69"/>
        <v xml:space="preserve"> </v>
      </c>
      <c r="Z434" s="473" t="str">
        <f t="shared" si="69"/>
        <v xml:space="preserve"> </v>
      </c>
      <c r="AA434" s="473" t="str">
        <f t="shared" si="69"/>
        <v xml:space="preserve"> </v>
      </c>
      <c r="AB434" s="473" t="str">
        <f t="shared" si="69"/>
        <v xml:space="preserve"> </v>
      </c>
      <c r="AC434" s="473" t="str">
        <f t="shared" si="69"/>
        <v xml:space="preserve"> </v>
      </c>
      <c r="AD434" s="473" t="str">
        <f t="shared" si="69"/>
        <v xml:space="preserve"> </v>
      </c>
      <c r="AE434" s="473" t="str">
        <f t="shared" si="69"/>
        <v xml:space="preserve"> </v>
      </c>
      <c r="AF434" s="473" t="str">
        <f t="shared" si="69"/>
        <v xml:space="preserve"> </v>
      </c>
      <c r="AG434" s="208" t="str">
        <f t="shared" si="69"/>
        <v xml:space="preserve"> </v>
      </c>
      <c r="AH434" s="499" t="str">
        <f t="shared" si="69"/>
        <v xml:space="preserve"> </v>
      </c>
      <c r="AI434" s="412" t="s">
        <v>657</v>
      </c>
      <c r="AJ434" s="404" t="s">
        <v>657</v>
      </c>
      <c r="AK434" s="433" t="s">
        <v>657</v>
      </c>
    </row>
    <row r="435" spans="2:37" x14ac:dyDescent="0.25">
      <c r="B435" s="411" t="s">
        <v>652</v>
      </c>
      <c r="C435" s="598">
        <v>0</v>
      </c>
      <c r="D435" s="596">
        <v>800</v>
      </c>
      <c r="E435" s="601">
        <v>1000</v>
      </c>
      <c r="F435" s="597">
        <v>1200</v>
      </c>
      <c r="G435" s="597">
        <v>1400</v>
      </c>
      <c r="H435" s="598">
        <v>1600</v>
      </c>
      <c r="I435" s="599">
        <v>1800</v>
      </c>
      <c r="J435" s="600">
        <v>2000</v>
      </c>
      <c r="K435" s="596">
        <v>2200</v>
      </c>
      <c r="L435" s="598">
        <v>2400</v>
      </c>
      <c r="M435" s="598">
        <v>2600</v>
      </c>
      <c r="N435" s="598">
        <v>2800</v>
      </c>
      <c r="O435" s="598">
        <v>3000</v>
      </c>
      <c r="P435" s="598">
        <v>3200</v>
      </c>
      <c r="Q435" s="598">
        <v>3400</v>
      </c>
      <c r="R435" s="598">
        <v>3600</v>
      </c>
      <c r="S435" s="598">
        <v>3800</v>
      </c>
      <c r="T435" s="597">
        <v>4000</v>
      </c>
      <c r="U435" s="601">
        <v>4200</v>
      </c>
      <c r="V435" s="597">
        <v>4400</v>
      </c>
      <c r="W435" s="601">
        <v>4600</v>
      </c>
      <c r="X435" s="602">
        <v>4800</v>
      </c>
      <c r="Y435" s="603">
        <v>5000</v>
      </c>
      <c r="Z435" s="597">
        <v>6000</v>
      </c>
      <c r="AA435" s="597">
        <v>7000</v>
      </c>
      <c r="AB435" s="597">
        <v>8000</v>
      </c>
      <c r="AC435" s="597">
        <v>9000</v>
      </c>
      <c r="AD435" s="597">
        <v>10000</v>
      </c>
      <c r="AE435" s="597">
        <v>11000</v>
      </c>
      <c r="AF435" s="597">
        <v>12000</v>
      </c>
      <c r="AG435" s="604">
        <v>13000</v>
      </c>
      <c r="AH435" s="602">
        <v>14000</v>
      </c>
      <c r="AI435" t="s">
        <v>658</v>
      </c>
      <c r="AJ435" s="41" t="s">
        <v>658</v>
      </c>
      <c r="AK435" s="7" t="s">
        <v>658</v>
      </c>
    </row>
    <row r="436" spans="2:37" x14ac:dyDescent="0.25">
      <c r="B436" s="581" t="s">
        <v>653</v>
      </c>
      <c r="C436" s="608">
        <v>800</v>
      </c>
      <c r="D436" s="605">
        <v>1000</v>
      </c>
      <c r="E436" s="606">
        <v>1200</v>
      </c>
      <c r="F436" s="607">
        <v>1400</v>
      </c>
      <c r="G436" s="607">
        <v>1600</v>
      </c>
      <c r="H436" s="608">
        <v>1800</v>
      </c>
      <c r="I436" s="609">
        <v>2000</v>
      </c>
      <c r="J436" s="610">
        <v>2200</v>
      </c>
      <c r="K436" s="605">
        <v>2400</v>
      </c>
      <c r="L436" s="608">
        <v>2600</v>
      </c>
      <c r="M436" s="608">
        <v>2800</v>
      </c>
      <c r="N436" s="608">
        <v>3000</v>
      </c>
      <c r="O436" s="608">
        <v>3200</v>
      </c>
      <c r="P436" s="608">
        <v>3400</v>
      </c>
      <c r="Q436" s="608">
        <v>3600</v>
      </c>
      <c r="R436" s="608">
        <v>3800</v>
      </c>
      <c r="S436" s="608">
        <v>4000</v>
      </c>
      <c r="T436" s="607">
        <v>4200</v>
      </c>
      <c r="U436" s="606">
        <v>4400</v>
      </c>
      <c r="V436" s="607">
        <v>4600</v>
      </c>
      <c r="W436" s="606">
        <v>4800</v>
      </c>
      <c r="X436" s="611">
        <v>5000</v>
      </c>
      <c r="Y436" s="612">
        <v>6000</v>
      </c>
      <c r="Z436" s="607">
        <v>7000</v>
      </c>
      <c r="AA436" s="607">
        <v>8000</v>
      </c>
      <c r="AB436" s="607">
        <v>9000</v>
      </c>
      <c r="AC436" s="607">
        <v>10000</v>
      </c>
      <c r="AD436" s="607">
        <v>11000</v>
      </c>
      <c r="AE436" s="607">
        <v>12000</v>
      </c>
      <c r="AF436" s="607">
        <v>13000</v>
      </c>
      <c r="AG436" s="613">
        <v>14000</v>
      </c>
      <c r="AH436" s="611">
        <v>1000000</v>
      </c>
      <c r="AI436" s="320"/>
      <c r="AJ436" s="52"/>
      <c r="AK436" s="434"/>
    </row>
    <row r="437" spans="2:37" ht="15.75" thickBot="1" x14ac:dyDescent="0.3">
      <c r="B437" s="472"/>
      <c r="C437" s="621">
        <f>C431</f>
        <v>0.04</v>
      </c>
      <c r="D437" s="621">
        <f t="shared" ref="D437:I437" si="70">C437-$AI$437</f>
        <v>0.04</v>
      </c>
      <c r="E437" s="621">
        <f t="shared" si="70"/>
        <v>0.04</v>
      </c>
      <c r="F437" s="621">
        <f t="shared" si="70"/>
        <v>0.04</v>
      </c>
      <c r="G437" s="621">
        <f t="shared" si="70"/>
        <v>0.04</v>
      </c>
      <c r="H437" s="621">
        <f t="shared" si="70"/>
        <v>0.04</v>
      </c>
      <c r="I437" s="621">
        <f t="shared" si="70"/>
        <v>0.04</v>
      </c>
      <c r="J437" s="622">
        <f>C437-(J433*C433)</f>
        <v>0.04</v>
      </c>
      <c r="K437" s="621">
        <f t="shared" ref="K437:W437" si="71">J437-$AJ$437</f>
        <v>0.04</v>
      </c>
      <c r="L437" s="621">
        <f t="shared" si="71"/>
        <v>0.04</v>
      </c>
      <c r="M437" s="621">
        <f t="shared" si="71"/>
        <v>0.04</v>
      </c>
      <c r="N437" s="621">
        <f t="shared" si="71"/>
        <v>0.04</v>
      </c>
      <c r="O437" s="621">
        <f t="shared" si="71"/>
        <v>0.04</v>
      </c>
      <c r="P437" s="621">
        <f t="shared" si="71"/>
        <v>0.04</v>
      </c>
      <c r="Q437" s="621">
        <f t="shared" si="71"/>
        <v>0.04</v>
      </c>
      <c r="R437" s="621">
        <f t="shared" si="71"/>
        <v>0.04</v>
      </c>
      <c r="S437" s="621">
        <f t="shared" si="71"/>
        <v>0.04</v>
      </c>
      <c r="T437" s="621">
        <f t="shared" si="71"/>
        <v>0.04</v>
      </c>
      <c r="U437" s="621">
        <f t="shared" si="71"/>
        <v>0.04</v>
      </c>
      <c r="V437" s="621">
        <f t="shared" si="71"/>
        <v>0.04</v>
      </c>
      <c r="W437" s="621">
        <f t="shared" si="71"/>
        <v>0.04</v>
      </c>
      <c r="X437" s="622">
        <f>C437-((J433+X433)*C433)</f>
        <v>0.04</v>
      </c>
      <c r="Y437" s="621">
        <f t="shared" ref="Y437:AG437" si="72">X437-$AK$437</f>
        <v>0.04</v>
      </c>
      <c r="Z437" s="621">
        <f t="shared" si="72"/>
        <v>0.04</v>
      </c>
      <c r="AA437" s="621">
        <f t="shared" si="72"/>
        <v>0.04</v>
      </c>
      <c r="AB437" s="621">
        <f t="shared" si="72"/>
        <v>0.04</v>
      </c>
      <c r="AC437" s="621">
        <f t="shared" si="72"/>
        <v>0.04</v>
      </c>
      <c r="AD437" s="621">
        <f t="shared" si="72"/>
        <v>0.04</v>
      </c>
      <c r="AE437" s="621">
        <f t="shared" si="72"/>
        <v>0.04</v>
      </c>
      <c r="AF437" s="621">
        <f t="shared" si="72"/>
        <v>0.04</v>
      </c>
      <c r="AG437" s="621">
        <f t="shared" si="72"/>
        <v>0.04</v>
      </c>
      <c r="AH437" s="622">
        <f>C437-((J433+X433+AH433)*C433)</f>
        <v>0.04</v>
      </c>
      <c r="AI437" s="43">
        <f>AI432/AI433</f>
        <v>0</v>
      </c>
      <c r="AJ437" s="472">
        <f>AJ432/AJ433</f>
        <v>0</v>
      </c>
      <c r="AK437" s="44">
        <f>AK432/AK433</f>
        <v>0</v>
      </c>
    </row>
    <row r="438" spans="2:37" x14ac:dyDescent="0.25">
      <c r="B438"/>
    </row>
    <row r="439" spans="2:37" x14ac:dyDescent="0.25">
      <c r="B439"/>
    </row>
    <row r="440" spans="2:37" ht="15.75" thickBot="1" x14ac:dyDescent="0.3">
      <c r="B440" s="143" t="s">
        <v>630</v>
      </c>
      <c r="C440" s="473">
        <f>C3</f>
        <v>1800</v>
      </c>
    </row>
    <row r="441" spans="2:37" x14ac:dyDescent="0.25">
      <c r="H441" s="501" t="s">
        <v>751</v>
      </c>
      <c r="J441" s="501" t="s">
        <v>694</v>
      </c>
      <c r="K441" s="450"/>
    </row>
    <row r="442" spans="2:37" ht="15.75" thickBot="1" x14ac:dyDescent="0.3">
      <c r="B442"/>
      <c r="H442" s="445">
        <f>IF(G445&gt;0,CEILING(N388/G445,1),0)</f>
        <v>482</v>
      </c>
      <c r="J442" s="963">
        <f>J378+1</f>
        <v>1.03</v>
      </c>
    </row>
    <row r="443" spans="2:37" x14ac:dyDescent="0.25">
      <c r="B443" s="580"/>
      <c r="C443" s="574">
        <f>AR495</f>
        <v>41</v>
      </c>
      <c r="D443" s="575"/>
      <c r="E443" s="576"/>
      <c r="F443" s="582"/>
      <c r="G443" s="584"/>
      <c r="H443" s="688">
        <f>IF(E445&gt;=L387,M388,L388)</f>
        <v>480</v>
      </c>
      <c r="I443" s="587"/>
      <c r="J443" s="680"/>
      <c r="K443" s="594">
        <f>J445/100</f>
        <v>7.6968809999999994</v>
      </c>
      <c r="L443" s="623">
        <f>IF(SUM(C434:AH434)&gt;0,HLOOKUP(1,C434:AH437,4,FALSE),0)</f>
        <v>0.04</v>
      </c>
    </row>
    <row r="444" spans="2:37" x14ac:dyDescent="0.25">
      <c r="B444" s="499" t="s">
        <v>633</v>
      </c>
      <c r="C444" s="520" t="s">
        <v>631</v>
      </c>
      <c r="D444" s="23" t="s">
        <v>632</v>
      </c>
      <c r="E444" s="473" t="s">
        <v>99</v>
      </c>
      <c r="F444" s="23" t="s">
        <v>100</v>
      </c>
      <c r="G444" s="585" t="s">
        <v>636</v>
      </c>
      <c r="H444" s="38" t="s">
        <v>634</v>
      </c>
      <c r="I444" s="213" t="s">
        <v>635</v>
      </c>
      <c r="J444" s="588" t="s">
        <v>637</v>
      </c>
      <c r="K444" s="588" t="s">
        <v>638</v>
      </c>
      <c r="L444" s="499" t="s">
        <v>640</v>
      </c>
    </row>
    <row r="445" spans="2:37" ht="15.75" thickBot="1" x14ac:dyDescent="0.3">
      <c r="B445" s="445">
        <f>MIN(D453:AQ492)</f>
        <v>1800</v>
      </c>
      <c r="C445" s="577">
        <f>IF(C443=0,B453,HLOOKUP(C443,D449:AR493,45,FALSE))</f>
        <v>1</v>
      </c>
      <c r="D445" s="578">
        <f>IF(C443=0,D451,HLOOKUP(C443,D449:AR493,3,FALSE))</f>
        <v>1</v>
      </c>
      <c r="E445" s="579">
        <f>IF(C443=0,C453,VLOOKUP(C445,B453:C492,2,FALSE))</f>
        <v>361</v>
      </c>
      <c r="F445" s="578">
        <f>IF(C443=0,D452,HLOOKUP(C443,D449:AR493,4,FALSE))</f>
        <v>1150</v>
      </c>
      <c r="G445" s="586">
        <f>(E445/1000)*(F445/1000)</f>
        <v>0.41514999999999996</v>
      </c>
      <c r="H445" s="583">
        <f>IF(H442&gt;=H443,H442,H443)</f>
        <v>482</v>
      </c>
      <c r="I445" s="578">
        <f>IF(C443=0,H445*C445*D445,0)</f>
        <v>0</v>
      </c>
      <c r="J445" s="589">
        <f>IF(AND(B445&gt;0,B445&gt;=H442),B445*G445*J442, IF(AND(B445&gt;0,B445&lt;H442),H442*G445*J442,H445*G445*J442))</f>
        <v>769.68809999999996</v>
      </c>
      <c r="K445" s="595">
        <f>IF(SUM(C384:G384)&gt;0,K443*(HLOOKUP(1,C384:G388,5,FALSE)+SUM(F389:F398)),0)</f>
        <v>340.20214019999997</v>
      </c>
      <c r="L445" s="624">
        <f>K445*L443</f>
        <v>13.608085608</v>
      </c>
    </row>
    <row r="446" spans="2:37" x14ac:dyDescent="0.25">
      <c r="B446"/>
      <c r="C446" s="2"/>
    </row>
    <row r="447" spans="2:37" x14ac:dyDescent="0.25">
      <c r="B447"/>
      <c r="C447" s="2"/>
    </row>
    <row r="448" spans="2:37" x14ac:dyDescent="0.25">
      <c r="B448" t="s">
        <v>487</v>
      </c>
    </row>
    <row r="449" spans="1:44" x14ac:dyDescent="0.25">
      <c r="A449" s="476"/>
      <c r="B449" s="573"/>
      <c r="C449" s="433"/>
      <c r="D449" s="23">
        <f>IF(D493&gt;0,D450," ")</f>
        <v>41</v>
      </c>
      <c r="E449" s="23" t="str">
        <f t="shared" ref="E449:AR449" si="73">IF(E493&gt;0,E450," ")</f>
        <v xml:space="preserve"> </v>
      </c>
      <c r="F449" s="23" t="str">
        <f t="shared" si="73"/>
        <v xml:space="preserve"> </v>
      </c>
      <c r="G449" s="23" t="str">
        <f t="shared" si="73"/>
        <v xml:space="preserve"> </v>
      </c>
      <c r="H449" s="23" t="str">
        <f t="shared" si="73"/>
        <v xml:space="preserve"> </v>
      </c>
      <c r="I449" s="23" t="str">
        <f t="shared" si="73"/>
        <v xml:space="preserve"> </v>
      </c>
      <c r="J449" s="23" t="str">
        <f t="shared" si="73"/>
        <v xml:space="preserve"> </v>
      </c>
      <c r="K449" s="23" t="str">
        <f t="shared" si="73"/>
        <v xml:space="preserve"> </v>
      </c>
      <c r="L449" s="23" t="str">
        <f t="shared" si="73"/>
        <v xml:space="preserve"> </v>
      </c>
      <c r="M449" s="23" t="str">
        <f t="shared" si="73"/>
        <v xml:space="preserve"> </v>
      </c>
      <c r="N449" s="23" t="str">
        <f t="shared" si="73"/>
        <v xml:space="preserve"> </v>
      </c>
      <c r="O449" s="23" t="str">
        <f t="shared" si="73"/>
        <v xml:space="preserve"> </v>
      </c>
      <c r="P449" s="23" t="str">
        <f t="shared" si="73"/>
        <v xml:space="preserve"> </v>
      </c>
      <c r="Q449" s="23" t="str">
        <f t="shared" si="73"/>
        <v xml:space="preserve"> </v>
      </c>
      <c r="R449" s="23" t="str">
        <f t="shared" si="73"/>
        <v xml:space="preserve"> </v>
      </c>
      <c r="S449" s="23" t="str">
        <f t="shared" si="73"/>
        <v xml:space="preserve"> </v>
      </c>
      <c r="T449" s="23" t="str">
        <f t="shared" si="73"/>
        <v xml:space="preserve"> </v>
      </c>
      <c r="U449" s="23" t="str">
        <f t="shared" si="73"/>
        <v xml:space="preserve"> </v>
      </c>
      <c r="V449" s="23" t="str">
        <f t="shared" si="73"/>
        <v xml:space="preserve"> </v>
      </c>
      <c r="W449" s="23" t="str">
        <f t="shared" si="73"/>
        <v xml:space="preserve"> </v>
      </c>
      <c r="X449" s="23" t="str">
        <f t="shared" si="73"/>
        <v xml:space="preserve"> </v>
      </c>
      <c r="Y449" s="23" t="str">
        <f t="shared" si="73"/>
        <v xml:space="preserve"> </v>
      </c>
      <c r="Z449" s="23" t="str">
        <f t="shared" si="73"/>
        <v xml:space="preserve"> </v>
      </c>
      <c r="AA449" s="23" t="str">
        <f t="shared" si="73"/>
        <v xml:space="preserve"> </v>
      </c>
      <c r="AB449" s="23" t="str">
        <f t="shared" si="73"/>
        <v xml:space="preserve"> </v>
      </c>
      <c r="AC449" s="23" t="str">
        <f t="shared" si="73"/>
        <v xml:space="preserve"> </v>
      </c>
      <c r="AD449" s="23" t="str">
        <f t="shared" si="73"/>
        <v xml:space="preserve"> </v>
      </c>
      <c r="AE449" s="23" t="str">
        <f t="shared" si="73"/>
        <v xml:space="preserve"> </v>
      </c>
      <c r="AF449" s="23" t="str">
        <f t="shared" si="73"/>
        <v xml:space="preserve"> </v>
      </c>
      <c r="AG449" s="23" t="str">
        <f t="shared" si="73"/>
        <v xml:space="preserve"> </v>
      </c>
      <c r="AH449" s="23" t="str">
        <f t="shared" si="73"/>
        <v xml:space="preserve"> </v>
      </c>
      <c r="AI449" s="23" t="str">
        <f t="shared" si="73"/>
        <v xml:space="preserve"> </v>
      </c>
      <c r="AJ449" s="23" t="str">
        <f t="shared" si="73"/>
        <v xml:space="preserve"> </v>
      </c>
      <c r="AK449" s="23" t="str">
        <f t="shared" si="73"/>
        <v xml:space="preserve"> </v>
      </c>
      <c r="AL449" s="23" t="str">
        <f t="shared" si="73"/>
        <v xml:space="preserve"> </v>
      </c>
      <c r="AM449" s="23" t="str">
        <f t="shared" si="73"/>
        <v xml:space="preserve"> </v>
      </c>
      <c r="AN449" s="23" t="str">
        <f t="shared" si="73"/>
        <v xml:space="preserve"> </v>
      </c>
      <c r="AO449" s="23" t="str">
        <f t="shared" si="73"/>
        <v xml:space="preserve"> </v>
      </c>
      <c r="AP449" s="23" t="str">
        <f t="shared" si="73"/>
        <v xml:space="preserve"> </v>
      </c>
      <c r="AQ449" s="23" t="str">
        <f t="shared" si="73"/>
        <v xml:space="preserve"> </v>
      </c>
      <c r="AR449" s="23" t="str">
        <f t="shared" si="73"/>
        <v xml:space="preserve"> </v>
      </c>
    </row>
    <row r="450" spans="1:44" x14ac:dyDescent="0.25">
      <c r="A450" s="6"/>
      <c r="B450"/>
      <c r="C450" s="7"/>
      <c r="D450" s="23">
        <v>41</v>
      </c>
      <c r="E450" s="23">
        <v>40</v>
      </c>
      <c r="F450" s="23">
        <v>39</v>
      </c>
      <c r="G450" s="23">
        <v>38</v>
      </c>
      <c r="H450" s="23">
        <v>37</v>
      </c>
      <c r="I450" s="23">
        <v>36</v>
      </c>
      <c r="J450" s="23">
        <v>35</v>
      </c>
      <c r="K450" s="23">
        <v>34</v>
      </c>
      <c r="L450" s="23">
        <v>33</v>
      </c>
      <c r="M450" s="23">
        <v>32</v>
      </c>
      <c r="N450" s="23">
        <v>31</v>
      </c>
      <c r="O450" s="23">
        <v>30</v>
      </c>
      <c r="P450" s="23">
        <v>29</v>
      </c>
      <c r="Q450" s="23">
        <v>28</v>
      </c>
      <c r="R450" s="23">
        <v>27</v>
      </c>
      <c r="S450" s="23">
        <v>26</v>
      </c>
      <c r="T450" s="23">
        <v>25</v>
      </c>
      <c r="U450" s="23">
        <v>24</v>
      </c>
      <c r="V450" s="23">
        <v>23</v>
      </c>
      <c r="W450" s="23">
        <v>22</v>
      </c>
      <c r="X450" s="23">
        <v>21</v>
      </c>
      <c r="Y450" s="23">
        <v>20</v>
      </c>
      <c r="Z450" s="23">
        <v>19</v>
      </c>
      <c r="AA450" s="23">
        <v>18</v>
      </c>
      <c r="AB450" s="23">
        <v>17</v>
      </c>
      <c r="AC450" s="23">
        <v>16</v>
      </c>
      <c r="AD450" s="23">
        <v>15</v>
      </c>
      <c r="AE450" s="23">
        <v>14</v>
      </c>
      <c r="AF450" s="23">
        <v>13</v>
      </c>
      <c r="AG450" s="23">
        <v>12</v>
      </c>
      <c r="AH450" s="23">
        <v>11</v>
      </c>
      <c r="AI450" s="23">
        <v>10</v>
      </c>
      <c r="AJ450" s="23">
        <v>9</v>
      </c>
      <c r="AK450" s="23">
        <v>8</v>
      </c>
      <c r="AL450" s="23">
        <v>7</v>
      </c>
      <c r="AM450" s="23">
        <v>6</v>
      </c>
      <c r="AN450" s="23">
        <v>5</v>
      </c>
      <c r="AO450" s="23">
        <v>4</v>
      </c>
      <c r="AP450" s="23">
        <v>3</v>
      </c>
      <c r="AQ450" s="23">
        <v>2</v>
      </c>
      <c r="AR450" s="38"/>
    </row>
    <row r="451" spans="1:44" x14ac:dyDescent="0.25">
      <c r="A451" s="6"/>
      <c r="B451"/>
      <c r="C451" s="7"/>
      <c r="D451" s="23">
        <f>C421</f>
        <v>1</v>
      </c>
      <c r="E451" s="23">
        <f>IF(C422&gt;C421,C421+1,0)</f>
        <v>0</v>
      </c>
      <c r="F451" s="23">
        <f>IF(AND($C$422&gt;$C$421,($E$451+1)&lt;=$C$422),$C$421+2,0)</f>
        <v>0</v>
      </c>
      <c r="G451" s="23">
        <f>IF(AND($C$422&gt;$C$421,($E$451+2)&lt;=$C$422),$C$421+3,0)</f>
        <v>0</v>
      </c>
      <c r="H451" s="23">
        <f>IF(AND($C$422&gt;$C$421,($E$451+3)&lt;=$C$422),$C$421+4,0)</f>
        <v>0</v>
      </c>
      <c r="I451" s="23">
        <f>IF(AND($C$422&gt;$C$421,($E$451+4)&lt;=$C$422),$C$421+5,0)</f>
        <v>0</v>
      </c>
      <c r="J451" s="23">
        <f>IF(AND($C$422&gt;$C$421,($E$451+5)&lt;=$C$422),$C$421+6,0)</f>
        <v>0</v>
      </c>
      <c r="K451" s="23">
        <f>IF(AND($C$422&gt;$C$421,($E$451+6)&lt;=$C$422),$C$421+7,0)</f>
        <v>0</v>
      </c>
      <c r="L451" s="23">
        <f>IF(AND($C$422&gt;$C$421,($E$451+8)&lt;=$C$422),$C$421+9,0)</f>
        <v>0</v>
      </c>
      <c r="M451" s="23">
        <f>IF(AND($C$422&gt;$C$421,($E$451+9)&lt;=$C$422),$C$421+10,0)</f>
        <v>0</v>
      </c>
      <c r="N451" s="23">
        <f>IF(AND($C$422&gt;$C$421,($E$451+10)&lt;=$C$422),$C$421+11,0)</f>
        <v>0</v>
      </c>
      <c r="O451" s="23">
        <f>IF(AND($C$422&gt;$C$421,($E$451+11)&lt;=$C$422),$C$421+12,0)</f>
        <v>0</v>
      </c>
      <c r="P451" s="23">
        <f>IF(AND($C$422&gt;$C$421,($E$451+12)&lt;=$C$422),$C$421+13,0)</f>
        <v>0</v>
      </c>
      <c r="Q451" s="23">
        <f>IF(AND($C$422&gt;$C$421,($E$451+13)&lt;=$C$422),$C$421+14,0)</f>
        <v>0</v>
      </c>
      <c r="R451" s="23">
        <f>IF(AND($C$422&gt;$C$421,($E$451+14)&lt;=$C$422),$C$421+15,0)</f>
        <v>0</v>
      </c>
      <c r="S451" s="23">
        <f>IF(AND($C$422&gt;$C$421,($E$451+15)&lt;=$C$422),$C$421+16,0)</f>
        <v>0</v>
      </c>
      <c r="T451" s="23">
        <f>IF(AND($C$422&gt;$C$421,($E$451+16)&lt;=$C$422),$C$421+17,0)</f>
        <v>0</v>
      </c>
      <c r="U451" s="23">
        <f>IF(AND($C$422&gt;$C$421,($E$451+17)&lt;=$C$422),$C$421+18,0)</f>
        <v>0</v>
      </c>
      <c r="V451" s="23">
        <f>IF(AND($C$422&gt;$C$421,($E$451+18)&lt;=$C$422),$C$421+19,0)</f>
        <v>0</v>
      </c>
      <c r="W451" s="23">
        <f>IF(AND($C$422&gt;$C$421,($E$451+19)&lt;=$C$422),$C$421+20,0)</f>
        <v>0</v>
      </c>
      <c r="X451" s="23">
        <f>IF(AND($C$422&gt;$C$421,($E$451+20)&lt;=$C$422),$C$421+21,0)</f>
        <v>0</v>
      </c>
      <c r="Y451" s="23">
        <f>IF(AND($C$422&gt;$C$421,($E$451+21)&lt;=$C$422),$C$421+22,0)</f>
        <v>0</v>
      </c>
      <c r="Z451" s="23">
        <f>IF(AND($C$422&gt;$C$421,($E$451+22)&lt;=$C$422),$C$421+23,0)</f>
        <v>0</v>
      </c>
      <c r="AA451" s="23">
        <f>IF(AND($C$422&gt;$C$421,($E$451+23)&lt;=$C$422),$C$421+24,0)</f>
        <v>0</v>
      </c>
      <c r="AB451" s="23">
        <f>IF(AND($C$422&gt;$C$421,($E$451+24)&lt;=$C$422),$C$421+25,0)</f>
        <v>0</v>
      </c>
      <c r="AC451" s="23">
        <f>IF(AND($C$422&gt;$C$421,($E$451+25)&lt;=$C$422),$C$421+26,0)</f>
        <v>0</v>
      </c>
      <c r="AD451" s="23">
        <f>IF(AND($C$422&gt;$C$421,($E$451+26)&lt;=$C$422),$C$421+27,0)</f>
        <v>0</v>
      </c>
      <c r="AE451" s="23">
        <f>IF(AND($C$422&gt;$C$421,($E$451+27)&lt;=$C$422),$C$421+28,0)</f>
        <v>0</v>
      </c>
      <c r="AF451" s="23">
        <f>IF(AND($C$422&gt;$C$421,($E$451+28)&lt;=$C$422),$C$421+29,0)</f>
        <v>0</v>
      </c>
      <c r="AG451" s="23">
        <f>IF(AND($C$422&gt;$C$421,($E$451+29)&lt;=$C$422),$C$421+30,0)</f>
        <v>0</v>
      </c>
      <c r="AH451" s="23">
        <f>IF(AND($C$422&gt;$C$421,($E$451+30)&lt;=$C$422),$C$421+31,0)</f>
        <v>0</v>
      </c>
      <c r="AI451" s="23">
        <f>IF(AND($C$422&gt;$C$421,($E$451+31)&lt;=$C$422),$C$421+32,0)</f>
        <v>0</v>
      </c>
      <c r="AJ451" s="23">
        <f>IF(AND($C$422&gt;$C$421,($E$451+32)&lt;=$C$422),$C$421+33,0)</f>
        <v>0</v>
      </c>
      <c r="AK451" s="23">
        <f>IF(AND($C$422&gt;$C$421,($E$451+33)&lt;=$C$422),$C$421+34,0)</f>
        <v>0</v>
      </c>
      <c r="AL451" s="23">
        <f>IF(AND($C$422&gt;$C$421,($E$451+34)&lt;=$C$422),$C$421+35,0)</f>
        <v>0</v>
      </c>
      <c r="AM451" s="23">
        <f>IF(AND($C$422&gt;$C$421,($E$451+35)&lt;=$C$422),$C$421+36,0)</f>
        <v>0</v>
      </c>
      <c r="AN451" s="23">
        <f>IF(AND($C$422&gt;$C$421,($E$451+36)&lt;=$C$422),$C$421+37,0)</f>
        <v>0</v>
      </c>
      <c r="AO451" s="23">
        <f>IF(AND($C$422&gt;$C$421,($E$451+37)&lt;=$C$422),$C$421+38,0)</f>
        <v>0</v>
      </c>
      <c r="AP451" s="23">
        <f>IF(AND($C$422&gt;$C$421,($E$451+38)&lt;=$C$422),$C$421+39,0)</f>
        <v>0</v>
      </c>
      <c r="AQ451" s="38">
        <f>IF(AND($C$422&gt;$C$421,($E$451+39)&lt;=$C$422),$C$421+40,0)</f>
        <v>0</v>
      </c>
      <c r="AR451" s="472"/>
    </row>
    <row r="452" spans="1:44" x14ac:dyDescent="0.25">
      <c r="A452" s="415"/>
      <c r="B452" s="320"/>
      <c r="C452" s="951">
        <f>MIN(D453:AQ492)</f>
        <v>1800</v>
      </c>
      <c r="D452" s="23">
        <f>IF(D451&gt;0,(D451*$C$418)+(1*$C$425)+(1*$C$427)+(2*$C$426),0)</f>
        <v>1150</v>
      </c>
      <c r="E452" s="23">
        <f>IF(E451&gt;0,(E451*$C$418)+(1*$C$425)+(1*$C$427)+(2*$C$426),0)</f>
        <v>0</v>
      </c>
      <c r="F452" s="23">
        <f t="shared" ref="F452:AQ452" si="74">IF(F451&gt;0,(F451*$C$418)+(1*$C$425)+(1*$C$427)+(2*$C$426),0)</f>
        <v>0</v>
      </c>
      <c r="G452" s="23">
        <f t="shared" si="74"/>
        <v>0</v>
      </c>
      <c r="H452" s="23">
        <f t="shared" si="74"/>
        <v>0</v>
      </c>
      <c r="I452" s="23">
        <f t="shared" si="74"/>
        <v>0</v>
      </c>
      <c r="J452" s="23">
        <f t="shared" si="74"/>
        <v>0</v>
      </c>
      <c r="K452" s="23">
        <f t="shared" si="74"/>
        <v>0</v>
      </c>
      <c r="L452" s="23">
        <f t="shared" si="74"/>
        <v>0</v>
      </c>
      <c r="M452" s="23">
        <f t="shared" si="74"/>
        <v>0</v>
      </c>
      <c r="N452" s="23">
        <f t="shared" si="74"/>
        <v>0</v>
      </c>
      <c r="O452" s="23">
        <f t="shared" si="74"/>
        <v>0</v>
      </c>
      <c r="P452" s="23">
        <f t="shared" si="74"/>
        <v>0</v>
      </c>
      <c r="Q452" s="23">
        <f t="shared" si="74"/>
        <v>0</v>
      </c>
      <c r="R452" s="23">
        <f t="shared" si="74"/>
        <v>0</v>
      </c>
      <c r="S452" s="23">
        <f t="shared" si="74"/>
        <v>0</v>
      </c>
      <c r="T452" s="23">
        <f t="shared" si="74"/>
        <v>0</v>
      </c>
      <c r="U452" s="23">
        <f t="shared" si="74"/>
        <v>0</v>
      </c>
      <c r="V452" s="23">
        <f t="shared" si="74"/>
        <v>0</v>
      </c>
      <c r="W452" s="23">
        <f t="shared" si="74"/>
        <v>0</v>
      </c>
      <c r="X452" s="23">
        <f t="shared" si="74"/>
        <v>0</v>
      </c>
      <c r="Y452" s="23">
        <f t="shared" si="74"/>
        <v>0</v>
      </c>
      <c r="Z452" s="23">
        <f t="shared" si="74"/>
        <v>0</v>
      </c>
      <c r="AA452" s="23">
        <f t="shared" si="74"/>
        <v>0</v>
      </c>
      <c r="AB452" s="23">
        <f t="shared" si="74"/>
        <v>0</v>
      </c>
      <c r="AC452" s="23">
        <f t="shared" si="74"/>
        <v>0</v>
      </c>
      <c r="AD452" s="23">
        <f t="shared" si="74"/>
        <v>0</v>
      </c>
      <c r="AE452" s="23">
        <f t="shared" si="74"/>
        <v>0</v>
      </c>
      <c r="AF452" s="23">
        <f t="shared" si="74"/>
        <v>0</v>
      </c>
      <c r="AG452" s="23">
        <f t="shared" si="74"/>
        <v>0</v>
      </c>
      <c r="AH452" s="23">
        <f t="shared" si="74"/>
        <v>0</v>
      </c>
      <c r="AI452" s="23">
        <f t="shared" si="74"/>
        <v>0</v>
      </c>
      <c r="AJ452" s="23">
        <f t="shared" si="74"/>
        <v>0</v>
      </c>
      <c r="AK452" s="23">
        <f t="shared" si="74"/>
        <v>0</v>
      </c>
      <c r="AL452" s="23">
        <f t="shared" si="74"/>
        <v>0</v>
      </c>
      <c r="AM452" s="23">
        <f t="shared" si="74"/>
        <v>0</v>
      </c>
      <c r="AN452" s="23">
        <f t="shared" si="74"/>
        <v>0</v>
      </c>
      <c r="AO452" s="23">
        <f t="shared" si="74"/>
        <v>0</v>
      </c>
      <c r="AP452" s="23">
        <f t="shared" si="74"/>
        <v>0</v>
      </c>
      <c r="AQ452" s="23">
        <f t="shared" si="74"/>
        <v>0</v>
      </c>
      <c r="AR452" s="52"/>
    </row>
    <row r="453" spans="1:44" x14ac:dyDescent="0.25">
      <c r="A453" s="12">
        <f>IF(C453=0,0,IF(C453&lt;$L$387,$L$388,$M$388))</f>
        <v>480</v>
      </c>
      <c r="B453" s="12">
        <f>C419</f>
        <v>1</v>
      </c>
      <c r="C453" s="26">
        <f>IF(B453&gt;0,(B453*$C$417)+((B453-1)*$C$423)+(2*$C$424)+(2*$C$426),0)</f>
        <v>361</v>
      </c>
      <c r="D453" s="431">
        <f t="shared" ref="D453:S468" si="75">IF(OR($A453=0,D$451=0)," ",IF(AND($B453&gt;0,D$451&gt;0,FLOOR($C$440/(D$451*$B453),1)&gt;=$A453),FLOOR($C$440/(D$451*$B453),1)," "))</f>
        <v>1800</v>
      </c>
      <c r="E453" s="449" t="str">
        <f t="shared" si="75"/>
        <v xml:space="preserve"> </v>
      </c>
      <c r="F453" s="449" t="str">
        <f t="shared" si="75"/>
        <v xml:space="preserve"> </v>
      </c>
      <c r="G453" s="449" t="str">
        <f t="shared" si="75"/>
        <v xml:space="preserve"> </v>
      </c>
      <c r="H453" s="449" t="str">
        <f t="shared" si="75"/>
        <v xml:space="preserve"> </v>
      </c>
      <c r="I453" s="449" t="str">
        <f t="shared" si="75"/>
        <v xml:space="preserve"> </v>
      </c>
      <c r="J453" s="449" t="str">
        <f t="shared" si="75"/>
        <v xml:space="preserve"> </v>
      </c>
      <c r="K453" s="449" t="str">
        <f t="shared" si="75"/>
        <v xml:space="preserve"> </v>
      </c>
      <c r="L453" s="449" t="str">
        <f t="shared" si="75"/>
        <v xml:space="preserve"> </v>
      </c>
      <c r="M453" s="449" t="str">
        <f t="shared" si="75"/>
        <v xml:space="preserve"> </v>
      </c>
      <c r="N453" s="449" t="str">
        <f t="shared" si="75"/>
        <v xml:space="preserve"> </v>
      </c>
      <c r="O453" s="449" t="str">
        <f t="shared" si="75"/>
        <v xml:space="preserve"> </v>
      </c>
      <c r="P453" s="449" t="str">
        <f t="shared" si="75"/>
        <v xml:space="preserve"> </v>
      </c>
      <c r="Q453" s="449" t="str">
        <f t="shared" si="75"/>
        <v xml:space="preserve"> </v>
      </c>
      <c r="R453" s="449" t="str">
        <f t="shared" si="75"/>
        <v xml:space="preserve"> </v>
      </c>
      <c r="S453" s="449" t="str">
        <f t="shared" si="75"/>
        <v xml:space="preserve"> </v>
      </c>
      <c r="T453" s="449" t="str">
        <f t="shared" ref="T453:AI468" si="76">IF(OR($A453=0,T$451=0)," ",IF(AND($B453&gt;0,T$451&gt;0,FLOOR($C$440/(T$451*$B453),1)&gt;=$A453),FLOOR($C$440/(T$451*$B453),1)," "))</f>
        <v xml:space="preserve"> </v>
      </c>
      <c r="U453" s="449" t="str">
        <f t="shared" si="76"/>
        <v xml:space="preserve"> </v>
      </c>
      <c r="V453" s="449" t="str">
        <f t="shared" si="76"/>
        <v xml:space="preserve"> </v>
      </c>
      <c r="W453" s="449" t="str">
        <f t="shared" si="76"/>
        <v xml:space="preserve"> </v>
      </c>
      <c r="X453" s="449" t="str">
        <f t="shared" si="76"/>
        <v xml:space="preserve"> </v>
      </c>
      <c r="Y453" s="449" t="str">
        <f t="shared" si="76"/>
        <v xml:space="preserve"> </v>
      </c>
      <c r="Z453" s="449" t="str">
        <f t="shared" si="76"/>
        <v xml:space="preserve"> </v>
      </c>
      <c r="AA453" s="449" t="str">
        <f t="shared" si="76"/>
        <v xml:space="preserve"> </v>
      </c>
      <c r="AB453" s="449" t="str">
        <f t="shared" si="76"/>
        <v xml:space="preserve"> </v>
      </c>
      <c r="AC453" s="449" t="str">
        <f t="shared" si="76"/>
        <v xml:space="preserve"> </v>
      </c>
      <c r="AD453" s="449" t="str">
        <f t="shared" si="76"/>
        <v xml:space="preserve"> </v>
      </c>
      <c r="AE453" s="449" t="str">
        <f t="shared" si="76"/>
        <v xml:space="preserve"> </v>
      </c>
      <c r="AF453" s="449" t="str">
        <f t="shared" si="76"/>
        <v xml:space="preserve"> </v>
      </c>
      <c r="AG453" s="449" t="str">
        <f t="shared" si="76"/>
        <v xml:space="preserve"> </v>
      </c>
      <c r="AH453" s="449" t="str">
        <f t="shared" si="76"/>
        <v xml:space="preserve"> </v>
      </c>
      <c r="AI453" s="449" t="str">
        <f t="shared" si="76"/>
        <v xml:space="preserve"> </v>
      </c>
      <c r="AJ453" s="449" t="str">
        <f t="shared" ref="AH453:AQ468" si="77">IF(OR($A453=0,AJ$451=0)," ",IF(AND($B453&gt;0,AJ$451&gt;0,FLOOR($C$440/(AJ$451*$B453),1)&gt;=$A453),FLOOR($C$440/(AJ$451*$B453),1)," "))</f>
        <v xml:space="preserve"> </v>
      </c>
      <c r="AK453" s="449" t="str">
        <f t="shared" si="77"/>
        <v xml:space="preserve"> </v>
      </c>
      <c r="AL453" s="449" t="str">
        <f t="shared" si="77"/>
        <v xml:space="preserve"> </v>
      </c>
      <c r="AM453" s="449" t="str">
        <f t="shared" si="77"/>
        <v xml:space="preserve"> </v>
      </c>
      <c r="AN453" s="449" t="str">
        <f t="shared" si="77"/>
        <v xml:space="preserve"> </v>
      </c>
      <c r="AO453" s="449" t="str">
        <f t="shared" si="77"/>
        <v xml:space="preserve"> </v>
      </c>
      <c r="AP453" s="449" t="str">
        <f t="shared" si="77"/>
        <v xml:space="preserve"> </v>
      </c>
      <c r="AQ453" s="435" t="str">
        <f t="shared" si="77"/>
        <v xml:space="preserve"> </v>
      </c>
      <c r="AR453" s="442">
        <f>B453</f>
        <v>1</v>
      </c>
    </row>
    <row r="454" spans="1:44" x14ac:dyDescent="0.25">
      <c r="A454" s="12">
        <f t="shared" ref="A454:A492" si="78">IF(C454=0,0,IF(C454&lt;$L$387,$L$388,$M$388))</f>
        <v>0</v>
      </c>
      <c r="B454" s="12">
        <f>IF(C420&gt;C419,C419+1,0)</f>
        <v>0</v>
      </c>
      <c r="C454" s="26">
        <f>IF(B454&gt;0,(B454*$C$417)+((B454-1)*$C$423)+(2*$C$424)+(2*$C$426),0)</f>
        <v>0</v>
      </c>
      <c r="D454" s="26" t="str">
        <f t="shared" si="75"/>
        <v xml:space="preserve"> </v>
      </c>
      <c r="E454" s="2" t="str">
        <f t="shared" si="75"/>
        <v xml:space="preserve"> </v>
      </c>
      <c r="F454" s="2" t="str">
        <f t="shared" si="75"/>
        <v xml:space="preserve"> </v>
      </c>
      <c r="G454" s="2" t="str">
        <f t="shared" si="75"/>
        <v xml:space="preserve"> </v>
      </c>
      <c r="H454" s="2" t="str">
        <f t="shared" si="75"/>
        <v xml:space="preserve"> </v>
      </c>
      <c r="I454" s="2" t="str">
        <f t="shared" si="75"/>
        <v xml:space="preserve"> </v>
      </c>
      <c r="J454" s="2" t="str">
        <f t="shared" si="75"/>
        <v xml:space="preserve"> </v>
      </c>
      <c r="K454" s="2" t="str">
        <f t="shared" si="75"/>
        <v xml:space="preserve"> </v>
      </c>
      <c r="L454" s="2" t="str">
        <f t="shared" si="75"/>
        <v xml:space="preserve"> </v>
      </c>
      <c r="M454" s="2" t="str">
        <f t="shared" si="75"/>
        <v xml:space="preserve"> </v>
      </c>
      <c r="N454" s="2" t="str">
        <f t="shared" si="75"/>
        <v xml:space="preserve"> </v>
      </c>
      <c r="O454" s="2" t="str">
        <f t="shared" si="75"/>
        <v xml:space="preserve"> </v>
      </c>
      <c r="P454" s="2" t="str">
        <f t="shared" si="75"/>
        <v xml:space="preserve"> </v>
      </c>
      <c r="Q454" s="2" t="str">
        <f t="shared" si="75"/>
        <v xml:space="preserve"> </v>
      </c>
      <c r="R454" s="2" t="str">
        <f t="shared" si="75"/>
        <v xml:space="preserve"> </v>
      </c>
      <c r="S454" s="2" t="str">
        <f t="shared" si="75"/>
        <v xml:space="preserve"> </v>
      </c>
      <c r="T454" s="2" t="str">
        <f t="shared" si="76"/>
        <v xml:space="preserve"> </v>
      </c>
      <c r="U454" s="2" t="str">
        <f t="shared" si="76"/>
        <v xml:space="preserve"> </v>
      </c>
      <c r="V454" s="2" t="str">
        <f t="shared" si="76"/>
        <v xml:space="preserve"> </v>
      </c>
      <c r="W454" s="2" t="str">
        <f t="shared" si="76"/>
        <v xml:space="preserve"> </v>
      </c>
      <c r="X454" s="2" t="str">
        <f t="shared" si="76"/>
        <v xml:space="preserve"> </v>
      </c>
      <c r="Y454" s="2" t="str">
        <f t="shared" si="76"/>
        <v xml:space="preserve"> </v>
      </c>
      <c r="Z454" s="2" t="str">
        <f t="shared" si="76"/>
        <v xml:space="preserve"> </v>
      </c>
      <c r="AA454" s="2" t="str">
        <f t="shared" si="76"/>
        <v xml:space="preserve"> </v>
      </c>
      <c r="AB454" s="2" t="str">
        <f t="shared" si="76"/>
        <v xml:space="preserve"> </v>
      </c>
      <c r="AC454" s="2" t="str">
        <f t="shared" si="76"/>
        <v xml:space="preserve"> </v>
      </c>
      <c r="AD454" s="2" t="str">
        <f t="shared" si="76"/>
        <v xml:space="preserve"> </v>
      </c>
      <c r="AE454" s="2" t="str">
        <f t="shared" si="76"/>
        <v xml:space="preserve"> </v>
      </c>
      <c r="AF454" s="2" t="str">
        <f t="shared" si="76"/>
        <v xml:space="preserve"> </v>
      </c>
      <c r="AG454" s="2" t="str">
        <f t="shared" si="76"/>
        <v xml:space="preserve"> </v>
      </c>
      <c r="AH454" s="2" t="str">
        <f t="shared" si="77"/>
        <v xml:space="preserve"> </v>
      </c>
      <c r="AI454" s="2" t="str">
        <f t="shared" si="77"/>
        <v xml:space="preserve"> </v>
      </c>
      <c r="AJ454" s="2" t="str">
        <f t="shared" si="77"/>
        <v xml:space="preserve"> </v>
      </c>
      <c r="AK454" s="2" t="str">
        <f t="shared" si="77"/>
        <v xml:space="preserve"> </v>
      </c>
      <c r="AL454" s="2" t="str">
        <f t="shared" si="77"/>
        <v xml:space="preserve"> </v>
      </c>
      <c r="AM454" s="2" t="str">
        <f t="shared" si="77"/>
        <v xml:space="preserve"> </v>
      </c>
      <c r="AN454" s="2" t="str">
        <f t="shared" si="77"/>
        <v xml:space="preserve"> </v>
      </c>
      <c r="AO454" s="2" t="str">
        <f t="shared" si="77"/>
        <v xml:space="preserve"> </v>
      </c>
      <c r="AP454" s="2" t="str">
        <f t="shared" si="77"/>
        <v xml:space="preserve"> </v>
      </c>
      <c r="AQ454" s="25" t="str">
        <f t="shared" si="77"/>
        <v xml:space="preserve"> </v>
      </c>
      <c r="AR454" s="12">
        <f t="shared" ref="AR454:AR492" si="79">B454</f>
        <v>0</v>
      </c>
    </row>
    <row r="455" spans="1:44" x14ac:dyDescent="0.25">
      <c r="A455" s="12">
        <f t="shared" si="78"/>
        <v>0</v>
      </c>
      <c r="B455" s="12">
        <f>IF(AND($C$420&gt;$C$419,($B$454+1)&lt;=$C$420),$C$419+2,0)</f>
        <v>0</v>
      </c>
      <c r="C455" s="26">
        <f>IF(B455&gt;0,(B455*$C$417)+((B455-1)*$C$423)+(2*$C$424)+(2*$C$426),0)</f>
        <v>0</v>
      </c>
      <c r="D455" s="26" t="str">
        <f t="shared" si="75"/>
        <v xml:space="preserve"> </v>
      </c>
      <c r="E455" s="2" t="str">
        <f t="shared" si="75"/>
        <v xml:space="preserve"> </v>
      </c>
      <c r="F455" s="2" t="str">
        <f t="shared" si="75"/>
        <v xml:space="preserve"> </v>
      </c>
      <c r="G455" s="2" t="str">
        <f t="shared" si="75"/>
        <v xml:space="preserve"> </v>
      </c>
      <c r="H455" s="2" t="str">
        <f t="shared" si="75"/>
        <v xml:space="preserve"> </v>
      </c>
      <c r="I455" s="2" t="str">
        <f t="shared" si="75"/>
        <v xml:space="preserve"> </v>
      </c>
      <c r="J455" s="2" t="str">
        <f t="shared" si="75"/>
        <v xml:space="preserve"> </v>
      </c>
      <c r="K455" s="2" t="str">
        <f t="shared" si="75"/>
        <v xml:space="preserve"> </v>
      </c>
      <c r="L455" s="2" t="str">
        <f t="shared" si="75"/>
        <v xml:space="preserve"> </v>
      </c>
      <c r="M455" s="2" t="str">
        <f t="shared" si="75"/>
        <v xml:space="preserve"> </v>
      </c>
      <c r="N455" s="2" t="str">
        <f t="shared" si="75"/>
        <v xml:space="preserve"> </v>
      </c>
      <c r="O455" s="2" t="str">
        <f t="shared" si="75"/>
        <v xml:space="preserve"> </v>
      </c>
      <c r="P455" s="2" t="str">
        <f t="shared" si="75"/>
        <v xml:space="preserve"> </v>
      </c>
      <c r="Q455" s="2" t="str">
        <f t="shared" si="75"/>
        <v xml:space="preserve"> </v>
      </c>
      <c r="R455" s="2" t="str">
        <f t="shared" si="75"/>
        <v xml:space="preserve"> </v>
      </c>
      <c r="S455" s="2" t="str">
        <f t="shared" si="75"/>
        <v xml:space="preserve"> </v>
      </c>
      <c r="T455" s="2" t="str">
        <f t="shared" si="76"/>
        <v xml:space="preserve"> </v>
      </c>
      <c r="U455" s="2" t="str">
        <f t="shared" si="76"/>
        <v xml:space="preserve"> </v>
      </c>
      <c r="V455" s="2" t="str">
        <f t="shared" si="76"/>
        <v xml:space="preserve"> </v>
      </c>
      <c r="W455" s="2" t="str">
        <f t="shared" si="76"/>
        <v xml:space="preserve"> </v>
      </c>
      <c r="X455" s="2" t="str">
        <f t="shared" si="76"/>
        <v xml:space="preserve"> </v>
      </c>
      <c r="Y455" s="2" t="str">
        <f t="shared" si="76"/>
        <v xml:space="preserve"> </v>
      </c>
      <c r="Z455" s="2" t="str">
        <f t="shared" si="76"/>
        <v xml:space="preserve"> </v>
      </c>
      <c r="AA455" s="2" t="str">
        <f t="shared" si="76"/>
        <v xml:space="preserve"> </v>
      </c>
      <c r="AB455" s="2" t="str">
        <f t="shared" si="76"/>
        <v xml:space="preserve"> </v>
      </c>
      <c r="AC455" s="2" t="str">
        <f t="shared" si="76"/>
        <v xml:space="preserve"> </v>
      </c>
      <c r="AD455" s="2" t="str">
        <f t="shared" si="76"/>
        <v xml:space="preserve"> </v>
      </c>
      <c r="AE455" s="2" t="str">
        <f t="shared" si="76"/>
        <v xml:space="preserve"> </v>
      </c>
      <c r="AF455" s="2" t="str">
        <f t="shared" si="76"/>
        <v xml:space="preserve"> </v>
      </c>
      <c r="AG455" s="2" t="str">
        <f t="shared" si="76"/>
        <v xml:space="preserve"> </v>
      </c>
      <c r="AH455" s="2" t="str">
        <f t="shared" si="77"/>
        <v xml:space="preserve"> </v>
      </c>
      <c r="AI455" s="2" t="str">
        <f t="shared" si="77"/>
        <v xml:space="preserve"> </v>
      </c>
      <c r="AJ455" s="2" t="str">
        <f t="shared" si="77"/>
        <v xml:space="preserve"> </v>
      </c>
      <c r="AK455" s="2" t="str">
        <f t="shared" si="77"/>
        <v xml:space="preserve"> </v>
      </c>
      <c r="AL455" s="2" t="str">
        <f t="shared" si="77"/>
        <v xml:space="preserve"> </v>
      </c>
      <c r="AM455" s="2" t="str">
        <f t="shared" si="77"/>
        <v xml:space="preserve"> </v>
      </c>
      <c r="AN455" s="2" t="str">
        <f t="shared" si="77"/>
        <v xml:space="preserve"> </v>
      </c>
      <c r="AO455" s="2" t="str">
        <f t="shared" si="77"/>
        <v xml:space="preserve"> </v>
      </c>
      <c r="AP455" s="2" t="str">
        <f t="shared" si="77"/>
        <v xml:space="preserve"> </v>
      </c>
      <c r="AQ455" s="25" t="str">
        <f t="shared" si="77"/>
        <v xml:space="preserve"> </v>
      </c>
      <c r="AR455" s="12">
        <f t="shared" si="79"/>
        <v>0</v>
      </c>
    </row>
    <row r="456" spans="1:44" x14ac:dyDescent="0.25">
      <c r="A456" s="12">
        <f t="shared" si="78"/>
        <v>0</v>
      </c>
      <c r="B456" s="12">
        <f>IF(AND($C$420&gt;$C$419,($B$454+2)&lt;=$C$420),$C$419+3,0)</f>
        <v>0</v>
      </c>
      <c r="C456" s="26">
        <f>IF(B456&gt;0,(B456*$C$417)+((B456-1)*$C$423)+(2*$C$424)+(2*$C$426),0)</f>
        <v>0</v>
      </c>
      <c r="D456" s="26" t="str">
        <f t="shared" si="75"/>
        <v xml:space="preserve"> </v>
      </c>
      <c r="E456" s="2" t="str">
        <f t="shared" si="75"/>
        <v xml:space="preserve"> </v>
      </c>
      <c r="F456" s="2" t="str">
        <f t="shared" si="75"/>
        <v xml:space="preserve"> </v>
      </c>
      <c r="G456" s="2" t="str">
        <f t="shared" si="75"/>
        <v xml:space="preserve"> </v>
      </c>
      <c r="H456" s="2" t="str">
        <f t="shared" si="75"/>
        <v xml:space="preserve"> </v>
      </c>
      <c r="I456" s="2" t="str">
        <f t="shared" si="75"/>
        <v xml:space="preserve"> </v>
      </c>
      <c r="J456" s="2" t="str">
        <f t="shared" si="75"/>
        <v xml:space="preserve"> </v>
      </c>
      <c r="K456" s="2" t="str">
        <f t="shared" si="75"/>
        <v xml:space="preserve"> </v>
      </c>
      <c r="L456" s="2" t="str">
        <f t="shared" si="75"/>
        <v xml:space="preserve"> </v>
      </c>
      <c r="M456" s="2" t="str">
        <f t="shared" si="75"/>
        <v xml:space="preserve"> </v>
      </c>
      <c r="N456" s="2" t="str">
        <f t="shared" si="75"/>
        <v xml:space="preserve"> </v>
      </c>
      <c r="O456" s="2" t="str">
        <f t="shared" si="75"/>
        <v xml:space="preserve"> </v>
      </c>
      <c r="P456" s="2" t="str">
        <f t="shared" si="75"/>
        <v xml:space="preserve"> </v>
      </c>
      <c r="Q456" s="2" t="str">
        <f t="shared" si="75"/>
        <v xml:space="preserve"> </v>
      </c>
      <c r="R456" s="2" t="str">
        <f t="shared" si="75"/>
        <v xml:space="preserve"> </v>
      </c>
      <c r="S456" s="2" t="str">
        <f t="shared" si="75"/>
        <v xml:space="preserve"> </v>
      </c>
      <c r="T456" s="2" t="str">
        <f t="shared" si="76"/>
        <v xml:space="preserve"> </v>
      </c>
      <c r="U456" s="2" t="str">
        <f t="shared" si="76"/>
        <v xml:space="preserve"> </v>
      </c>
      <c r="V456" s="2" t="str">
        <f t="shared" si="76"/>
        <v xml:space="preserve"> </v>
      </c>
      <c r="W456" s="2" t="str">
        <f t="shared" si="76"/>
        <v xml:space="preserve"> </v>
      </c>
      <c r="X456" s="2" t="str">
        <f t="shared" si="76"/>
        <v xml:space="preserve"> </v>
      </c>
      <c r="Y456" s="2" t="str">
        <f t="shared" si="76"/>
        <v xml:space="preserve"> </v>
      </c>
      <c r="Z456" s="2" t="str">
        <f t="shared" si="76"/>
        <v xml:space="preserve"> </v>
      </c>
      <c r="AA456" s="2" t="str">
        <f t="shared" si="76"/>
        <v xml:space="preserve"> </v>
      </c>
      <c r="AB456" s="2" t="str">
        <f t="shared" si="76"/>
        <v xml:space="preserve"> </v>
      </c>
      <c r="AC456" s="2" t="str">
        <f t="shared" si="76"/>
        <v xml:space="preserve"> </v>
      </c>
      <c r="AD456" s="2" t="str">
        <f t="shared" si="76"/>
        <v xml:space="preserve"> </v>
      </c>
      <c r="AE456" s="2" t="str">
        <f t="shared" si="76"/>
        <v xml:space="preserve"> </v>
      </c>
      <c r="AF456" s="2" t="str">
        <f t="shared" si="76"/>
        <v xml:space="preserve"> </v>
      </c>
      <c r="AG456" s="2" t="str">
        <f t="shared" si="76"/>
        <v xml:space="preserve"> </v>
      </c>
      <c r="AH456" s="2" t="str">
        <f t="shared" si="77"/>
        <v xml:space="preserve"> </v>
      </c>
      <c r="AI456" s="2" t="str">
        <f t="shared" si="77"/>
        <v xml:space="preserve"> </v>
      </c>
      <c r="AJ456" s="2" t="str">
        <f t="shared" si="77"/>
        <v xml:space="preserve"> </v>
      </c>
      <c r="AK456" s="2" t="str">
        <f t="shared" si="77"/>
        <v xml:space="preserve"> </v>
      </c>
      <c r="AL456" s="2" t="str">
        <f t="shared" si="77"/>
        <v xml:space="preserve"> </v>
      </c>
      <c r="AM456" s="2" t="str">
        <f t="shared" si="77"/>
        <v xml:space="preserve"> </v>
      </c>
      <c r="AN456" s="2" t="str">
        <f t="shared" si="77"/>
        <v xml:space="preserve"> </v>
      </c>
      <c r="AO456" s="2" t="str">
        <f t="shared" si="77"/>
        <v xml:space="preserve"> </v>
      </c>
      <c r="AP456" s="2" t="str">
        <f t="shared" si="77"/>
        <v xml:space="preserve"> </v>
      </c>
      <c r="AQ456" s="25" t="str">
        <f t="shared" si="77"/>
        <v xml:space="preserve"> </v>
      </c>
      <c r="AR456" s="12">
        <f t="shared" si="79"/>
        <v>0</v>
      </c>
    </row>
    <row r="457" spans="1:44" x14ac:dyDescent="0.25">
      <c r="A457" s="12">
        <f t="shared" si="78"/>
        <v>0</v>
      </c>
      <c r="B457" s="12">
        <f>IF(AND($C$420&gt;$C$419,($B$454+3)&lt;=$C$420),$C$419+4,0)</f>
        <v>0</v>
      </c>
      <c r="C457" s="26">
        <f t="shared" ref="C457:C492" si="80">IF(B457&gt;0,(B457*$C$417)+((B457-1)*$C$423)+(2*$C$424)+(2*$C$426),0)</f>
        <v>0</v>
      </c>
      <c r="D457" s="26" t="str">
        <f t="shared" si="75"/>
        <v xml:space="preserve"> </v>
      </c>
      <c r="E457" s="2" t="str">
        <f t="shared" si="75"/>
        <v xml:space="preserve"> </v>
      </c>
      <c r="F457" s="2" t="str">
        <f t="shared" si="75"/>
        <v xml:space="preserve"> </v>
      </c>
      <c r="G457" s="2" t="str">
        <f t="shared" si="75"/>
        <v xml:space="preserve"> </v>
      </c>
      <c r="H457" s="2" t="str">
        <f t="shared" si="75"/>
        <v xml:space="preserve"> </v>
      </c>
      <c r="I457" s="2" t="str">
        <f t="shared" si="75"/>
        <v xml:space="preserve"> </v>
      </c>
      <c r="J457" s="2" t="str">
        <f t="shared" si="75"/>
        <v xml:space="preserve"> </v>
      </c>
      <c r="K457" s="2" t="str">
        <f t="shared" si="75"/>
        <v xml:space="preserve"> </v>
      </c>
      <c r="L457" s="2" t="str">
        <f t="shared" si="75"/>
        <v xml:space="preserve"> </v>
      </c>
      <c r="M457" s="2" t="str">
        <f t="shared" si="75"/>
        <v xml:space="preserve"> </v>
      </c>
      <c r="N457" s="2" t="str">
        <f t="shared" si="75"/>
        <v xml:space="preserve"> </v>
      </c>
      <c r="O457" s="2" t="str">
        <f t="shared" si="75"/>
        <v xml:space="preserve"> </v>
      </c>
      <c r="P457" s="2" t="str">
        <f t="shared" si="75"/>
        <v xml:space="preserve"> </v>
      </c>
      <c r="Q457" s="2" t="str">
        <f t="shared" si="75"/>
        <v xml:space="preserve"> </v>
      </c>
      <c r="R457" s="2" t="str">
        <f t="shared" si="75"/>
        <v xml:space="preserve"> </v>
      </c>
      <c r="S457" s="2" t="str">
        <f t="shared" si="75"/>
        <v xml:space="preserve"> </v>
      </c>
      <c r="T457" s="2" t="str">
        <f t="shared" si="76"/>
        <v xml:space="preserve"> </v>
      </c>
      <c r="U457" s="2" t="str">
        <f t="shared" si="76"/>
        <v xml:space="preserve"> </v>
      </c>
      <c r="V457" s="2" t="str">
        <f t="shared" si="76"/>
        <v xml:space="preserve"> </v>
      </c>
      <c r="W457" s="2" t="str">
        <f t="shared" si="76"/>
        <v xml:space="preserve"> </v>
      </c>
      <c r="X457" s="2" t="str">
        <f t="shared" si="76"/>
        <v xml:space="preserve"> </v>
      </c>
      <c r="Y457" s="2" t="str">
        <f t="shared" si="76"/>
        <v xml:space="preserve"> </v>
      </c>
      <c r="Z457" s="2" t="str">
        <f t="shared" si="76"/>
        <v xml:space="preserve"> </v>
      </c>
      <c r="AA457" s="2" t="str">
        <f t="shared" si="76"/>
        <v xml:space="preserve"> </v>
      </c>
      <c r="AB457" s="2" t="str">
        <f t="shared" si="76"/>
        <v xml:space="preserve"> </v>
      </c>
      <c r="AC457" s="2" t="str">
        <f t="shared" si="76"/>
        <v xml:space="preserve"> </v>
      </c>
      <c r="AD457" s="2" t="str">
        <f t="shared" si="76"/>
        <v xml:space="preserve"> </v>
      </c>
      <c r="AE457" s="2" t="str">
        <f t="shared" si="76"/>
        <v xml:space="preserve"> </v>
      </c>
      <c r="AF457" s="2" t="str">
        <f t="shared" si="76"/>
        <v xml:space="preserve"> </v>
      </c>
      <c r="AG457" s="2" t="str">
        <f t="shared" si="76"/>
        <v xml:space="preserve"> </v>
      </c>
      <c r="AH457" s="2" t="str">
        <f t="shared" si="77"/>
        <v xml:space="preserve"> </v>
      </c>
      <c r="AI457" s="2" t="str">
        <f t="shared" si="77"/>
        <v xml:space="preserve"> </v>
      </c>
      <c r="AJ457" s="2" t="str">
        <f t="shared" si="77"/>
        <v xml:space="preserve"> </v>
      </c>
      <c r="AK457" s="2" t="str">
        <f t="shared" si="77"/>
        <v xml:space="preserve"> </v>
      </c>
      <c r="AL457" s="2" t="str">
        <f t="shared" si="77"/>
        <v xml:space="preserve"> </v>
      </c>
      <c r="AM457" s="2" t="str">
        <f t="shared" si="77"/>
        <v xml:space="preserve"> </v>
      </c>
      <c r="AN457" s="2" t="str">
        <f t="shared" si="77"/>
        <v xml:space="preserve"> </v>
      </c>
      <c r="AO457" s="2" t="str">
        <f t="shared" si="77"/>
        <v xml:space="preserve"> </v>
      </c>
      <c r="AP457" s="2" t="str">
        <f t="shared" si="77"/>
        <v xml:space="preserve"> </v>
      </c>
      <c r="AQ457" s="25" t="str">
        <f t="shared" si="77"/>
        <v xml:space="preserve"> </v>
      </c>
      <c r="AR457" s="12">
        <f t="shared" si="79"/>
        <v>0</v>
      </c>
    </row>
    <row r="458" spans="1:44" x14ac:dyDescent="0.25">
      <c r="A458" s="12">
        <f t="shared" si="78"/>
        <v>0</v>
      </c>
      <c r="B458" s="12">
        <f>IF(AND($C$420&gt;$C$419,($B$454+4)&lt;=$C$420),$C$419+5,0)</f>
        <v>0</v>
      </c>
      <c r="C458" s="26">
        <f t="shared" si="80"/>
        <v>0</v>
      </c>
      <c r="D458" s="26" t="str">
        <f t="shared" si="75"/>
        <v xml:space="preserve"> </v>
      </c>
      <c r="E458" s="2" t="str">
        <f t="shared" si="75"/>
        <v xml:space="preserve"> </v>
      </c>
      <c r="F458" s="2" t="str">
        <f t="shared" si="75"/>
        <v xml:space="preserve"> </v>
      </c>
      <c r="G458" s="2" t="str">
        <f t="shared" si="75"/>
        <v xml:space="preserve"> </v>
      </c>
      <c r="H458" s="2" t="str">
        <f t="shared" si="75"/>
        <v xml:space="preserve"> </v>
      </c>
      <c r="I458" s="2" t="str">
        <f t="shared" si="75"/>
        <v xml:space="preserve"> </v>
      </c>
      <c r="J458" s="2" t="str">
        <f t="shared" si="75"/>
        <v xml:space="preserve"> </v>
      </c>
      <c r="K458" s="2" t="str">
        <f t="shared" si="75"/>
        <v xml:space="preserve"> </v>
      </c>
      <c r="L458" s="2" t="str">
        <f t="shared" si="75"/>
        <v xml:space="preserve"> </v>
      </c>
      <c r="M458" s="2" t="str">
        <f t="shared" si="75"/>
        <v xml:space="preserve"> </v>
      </c>
      <c r="N458" s="2" t="str">
        <f t="shared" si="75"/>
        <v xml:space="preserve"> </v>
      </c>
      <c r="O458" s="2" t="str">
        <f t="shared" si="75"/>
        <v xml:space="preserve"> </v>
      </c>
      <c r="P458" s="2" t="str">
        <f t="shared" si="75"/>
        <v xml:space="preserve"> </v>
      </c>
      <c r="Q458" s="2" t="str">
        <f t="shared" si="75"/>
        <v xml:space="preserve"> </v>
      </c>
      <c r="R458" s="2" t="str">
        <f t="shared" si="75"/>
        <v xml:space="preserve"> </v>
      </c>
      <c r="S458" s="2" t="str">
        <f t="shared" si="75"/>
        <v xml:space="preserve"> </v>
      </c>
      <c r="T458" s="2" t="str">
        <f t="shared" si="76"/>
        <v xml:space="preserve"> </v>
      </c>
      <c r="U458" s="2" t="str">
        <f t="shared" si="76"/>
        <v xml:space="preserve"> </v>
      </c>
      <c r="V458" s="2" t="str">
        <f t="shared" si="76"/>
        <v xml:space="preserve"> </v>
      </c>
      <c r="W458" s="2" t="str">
        <f t="shared" si="76"/>
        <v xml:space="preserve"> </v>
      </c>
      <c r="X458" s="2" t="str">
        <f t="shared" si="76"/>
        <v xml:space="preserve"> </v>
      </c>
      <c r="Y458" s="2" t="str">
        <f t="shared" si="76"/>
        <v xml:space="preserve"> </v>
      </c>
      <c r="Z458" s="2" t="str">
        <f t="shared" si="76"/>
        <v xml:space="preserve"> </v>
      </c>
      <c r="AA458" s="2" t="str">
        <f t="shared" si="76"/>
        <v xml:space="preserve"> </v>
      </c>
      <c r="AB458" s="2" t="str">
        <f t="shared" si="76"/>
        <v xml:space="preserve"> </v>
      </c>
      <c r="AC458" s="2" t="str">
        <f t="shared" si="76"/>
        <v xml:space="preserve"> </v>
      </c>
      <c r="AD458" s="2" t="str">
        <f t="shared" si="76"/>
        <v xml:space="preserve"> </v>
      </c>
      <c r="AE458" s="2" t="str">
        <f t="shared" si="76"/>
        <v xml:space="preserve"> </v>
      </c>
      <c r="AF458" s="2" t="str">
        <f t="shared" si="76"/>
        <v xml:space="preserve"> </v>
      </c>
      <c r="AG458" s="2" t="str">
        <f t="shared" si="76"/>
        <v xml:space="preserve"> </v>
      </c>
      <c r="AH458" s="2" t="str">
        <f t="shared" si="77"/>
        <v xml:space="preserve"> </v>
      </c>
      <c r="AI458" s="2" t="str">
        <f t="shared" si="77"/>
        <v xml:space="preserve"> </v>
      </c>
      <c r="AJ458" s="2" t="str">
        <f t="shared" si="77"/>
        <v xml:space="preserve"> </v>
      </c>
      <c r="AK458" s="2" t="str">
        <f t="shared" si="77"/>
        <v xml:space="preserve"> </v>
      </c>
      <c r="AL458" s="2" t="str">
        <f t="shared" si="77"/>
        <v xml:space="preserve"> </v>
      </c>
      <c r="AM458" s="2" t="str">
        <f t="shared" si="77"/>
        <v xml:space="preserve"> </v>
      </c>
      <c r="AN458" s="2" t="str">
        <f t="shared" si="77"/>
        <v xml:space="preserve"> </v>
      </c>
      <c r="AO458" s="2" t="str">
        <f t="shared" si="77"/>
        <v xml:space="preserve"> </v>
      </c>
      <c r="AP458" s="2" t="str">
        <f t="shared" si="77"/>
        <v xml:space="preserve"> </v>
      </c>
      <c r="AQ458" s="25" t="str">
        <f t="shared" si="77"/>
        <v xml:space="preserve"> </v>
      </c>
      <c r="AR458" s="12">
        <f t="shared" si="79"/>
        <v>0</v>
      </c>
    </row>
    <row r="459" spans="1:44" x14ac:dyDescent="0.25">
      <c r="A459" s="12">
        <f t="shared" si="78"/>
        <v>0</v>
      </c>
      <c r="B459" s="12">
        <f>IF(AND($C$420&gt;$C$419,($B$454+5)&lt;=$C$420),$C$419+6,0)</f>
        <v>0</v>
      </c>
      <c r="C459" s="26">
        <f t="shared" si="80"/>
        <v>0</v>
      </c>
      <c r="D459" s="26" t="str">
        <f t="shared" si="75"/>
        <v xml:space="preserve"> </v>
      </c>
      <c r="E459" s="2" t="str">
        <f t="shared" si="75"/>
        <v xml:space="preserve"> </v>
      </c>
      <c r="F459" s="2" t="str">
        <f t="shared" si="75"/>
        <v xml:space="preserve"> </v>
      </c>
      <c r="G459" s="2" t="str">
        <f t="shared" si="75"/>
        <v xml:space="preserve"> </v>
      </c>
      <c r="H459" s="2" t="str">
        <f t="shared" si="75"/>
        <v xml:space="preserve"> </v>
      </c>
      <c r="I459" s="2" t="str">
        <f t="shared" si="75"/>
        <v xml:space="preserve"> </v>
      </c>
      <c r="J459" s="2" t="str">
        <f t="shared" si="75"/>
        <v xml:space="preserve"> </v>
      </c>
      <c r="K459" s="2" t="str">
        <f t="shared" si="75"/>
        <v xml:space="preserve"> </v>
      </c>
      <c r="L459" s="2" t="str">
        <f t="shared" si="75"/>
        <v xml:space="preserve"> </v>
      </c>
      <c r="M459" s="2" t="str">
        <f t="shared" si="75"/>
        <v xml:space="preserve"> </v>
      </c>
      <c r="N459" s="2" t="str">
        <f t="shared" si="75"/>
        <v xml:space="preserve"> </v>
      </c>
      <c r="O459" s="2" t="str">
        <f t="shared" si="75"/>
        <v xml:space="preserve"> </v>
      </c>
      <c r="P459" s="2" t="str">
        <f t="shared" si="75"/>
        <v xml:space="preserve"> </v>
      </c>
      <c r="Q459" s="2" t="str">
        <f t="shared" si="75"/>
        <v xml:space="preserve"> </v>
      </c>
      <c r="R459" s="2" t="str">
        <f t="shared" si="75"/>
        <v xml:space="preserve"> </v>
      </c>
      <c r="S459" s="2" t="str">
        <f t="shared" si="75"/>
        <v xml:space="preserve"> </v>
      </c>
      <c r="T459" s="2" t="str">
        <f t="shared" si="76"/>
        <v xml:space="preserve"> </v>
      </c>
      <c r="U459" s="2" t="str">
        <f t="shared" si="76"/>
        <v xml:space="preserve"> </v>
      </c>
      <c r="V459" s="2" t="str">
        <f t="shared" si="76"/>
        <v xml:space="preserve"> </v>
      </c>
      <c r="W459" s="2" t="str">
        <f t="shared" si="76"/>
        <v xml:space="preserve"> </v>
      </c>
      <c r="X459" s="2" t="str">
        <f t="shared" si="76"/>
        <v xml:space="preserve"> </v>
      </c>
      <c r="Y459" s="2" t="str">
        <f t="shared" si="76"/>
        <v xml:space="preserve"> </v>
      </c>
      <c r="Z459" s="2" t="str">
        <f t="shared" si="76"/>
        <v xml:space="preserve"> </v>
      </c>
      <c r="AA459" s="2" t="str">
        <f t="shared" si="76"/>
        <v xml:space="preserve"> </v>
      </c>
      <c r="AB459" s="2" t="str">
        <f t="shared" si="76"/>
        <v xml:space="preserve"> </v>
      </c>
      <c r="AC459" s="2" t="str">
        <f t="shared" si="76"/>
        <v xml:space="preserve"> </v>
      </c>
      <c r="AD459" s="2" t="str">
        <f t="shared" si="76"/>
        <v xml:space="preserve"> </v>
      </c>
      <c r="AE459" s="2" t="str">
        <f t="shared" si="76"/>
        <v xml:space="preserve"> </v>
      </c>
      <c r="AF459" s="2" t="str">
        <f t="shared" si="76"/>
        <v xml:space="preserve"> </v>
      </c>
      <c r="AG459" s="2" t="str">
        <f t="shared" si="76"/>
        <v xml:space="preserve"> </v>
      </c>
      <c r="AH459" s="2" t="str">
        <f t="shared" si="77"/>
        <v xml:space="preserve"> </v>
      </c>
      <c r="AI459" s="2" t="str">
        <f t="shared" si="77"/>
        <v xml:space="preserve"> </v>
      </c>
      <c r="AJ459" s="2" t="str">
        <f t="shared" si="77"/>
        <v xml:space="preserve"> </v>
      </c>
      <c r="AK459" s="2" t="str">
        <f t="shared" si="77"/>
        <v xml:space="preserve"> </v>
      </c>
      <c r="AL459" s="2" t="str">
        <f t="shared" si="77"/>
        <v xml:space="preserve"> </v>
      </c>
      <c r="AM459" s="2" t="str">
        <f t="shared" si="77"/>
        <v xml:space="preserve"> </v>
      </c>
      <c r="AN459" s="2" t="str">
        <f t="shared" si="77"/>
        <v xml:space="preserve"> </v>
      </c>
      <c r="AO459" s="2" t="str">
        <f t="shared" si="77"/>
        <v xml:space="preserve"> </v>
      </c>
      <c r="AP459" s="2" t="str">
        <f t="shared" si="77"/>
        <v xml:space="preserve"> </v>
      </c>
      <c r="AQ459" s="25" t="str">
        <f t="shared" si="77"/>
        <v xml:space="preserve"> </v>
      </c>
      <c r="AR459" s="12">
        <f t="shared" si="79"/>
        <v>0</v>
      </c>
    </row>
    <row r="460" spans="1:44" x14ac:dyDescent="0.25">
      <c r="A460" s="12">
        <f t="shared" si="78"/>
        <v>0</v>
      </c>
      <c r="B460" s="12">
        <f>IF(AND($C$420&gt;$C$419,($B$454+6)&lt;=$C$420),$C$419+7,0)</f>
        <v>0</v>
      </c>
      <c r="C460" s="26">
        <f t="shared" si="80"/>
        <v>0</v>
      </c>
      <c r="D460" s="26" t="str">
        <f t="shared" si="75"/>
        <v xml:space="preserve"> </v>
      </c>
      <c r="E460" s="2" t="str">
        <f t="shared" si="75"/>
        <v xml:space="preserve"> </v>
      </c>
      <c r="F460" s="2" t="str">
        <f t="shared" si="75"/>
        <v xml:space="preserve"> </v>
      </c>
      <c r="G460" s="2" t="str">
        <f t="shared" si="75"/>
        <v xml:space="preserve"> </v>
      </c>
      <c r="H460" s="2" t="str">
        <f t="shared" si="75"/>
        <v xml:space="preserve"> </v>
      </c>
      <c r="I460" s="2" t="str">
        <f t="shared" si="75"/>
        <v xml:space="preserve"> </v>
      </c>
      <c r="J460" s="2" t="str">
        <f t="shared" si="75"/>
        <v xml:space="preserve"> </v>
      </c>
      <c r="K460" s="2" t="str">
        <f t="shared" si="75"/>
        <v xml:space="preserve"> </v>
      </c>
      <c r="L460" s="2" t="str">
        <f t="shared" si="75"/>
        <v xml:space="preserve"> </v>
      </c>
      <c r="M460" s="2" t="str">
        <f t="shared" si="75"/>
        <v xml:space="preserve"> </v>
      </c>
      <c r="N460" s="2" t="str">
        <f t="shared" si="75"/>
        <v xml:space="preserve"> </v>
      </c>
      <c r="O460" s="2" t="str">
        <f t="shared" si="75"/>
        <v xml:space="preserve"> </v>
      </c>
      <c r="P460" s="2" t="str">
        <f t="shared" si="75"/>
        <v xml:space="preserve"> </v>
      </c>
      <c r="Q460" s="2" t="str">
        <f t="shared" si="75"/>
        <v xml:space="preserve"> </v>
      </c>
      <c r="R460" s="2" t="str">
        <f t="shared" si="75"/>
        <v xml:space="preserve"> </v>
      </c>
      <c r="S460" s="2" t="str">
        <f t="shared" si="75"/>
        <v xml:space="preserve"> </v>
      </c>
      <c r="T460" s="2" t="str">
        <f t="shared" si="76"/>
        <v xml:space="preserve"> </v>
      </c>
      <c r="U460" s="2" t="str">
        <f t="shared" si="76"/>
        <v xml:space="preserve"> </v>
      </c>
      <c r="V460" s="2" t="str">
        <f t="shared" si="76"/>
        <v xml:space="preserve"> </v>
      </c>
      <c r="W460" s="2" t="str">
        <f t="shared" si="76"/>
        <v xml:space="preserve"> </v>
      </c>
      <c r="X460" s="2" t="str">
        <f t="shared" si="76"/>
        <v xml:space="preserve"> </v>
      </c>
      <c r="Y460" s="2" t="str">
        <f t="shared" si="76"/>
        <v xml:space="preserve"> </v>
      </c>
      <c r="Z460" s="2" t="str">
        <f t="shared" si="76"/>
        <v xml:space="preserve"> </v>
      </c>
      <c r="AA460" s="2" t="str">
        <f t="shared" si="76"/>
        <v xml:space="preserve"> </v>
      </c>
      <c r="AB460" s="2" t="str">
        <f t="shared" si="76"/>
        <v xml:space="preserve"> </v>
      </c>
      <c r="AC460" s="2" t="str">
        <f t="shared" si="76"/>
        <v xml:space="preserve"> </v>
      </c>
      <c r="AD460" s="2" t="str">
        <f t="shared" si="76"/>
        <v xml:space="preserve"> </v>
      </c>
      <c r="AE460" s="2" t="str">
        <f t="shared" si="76"/>
        <v xml:space="preserve"> </v>
      </c>
      <c r="AF460" s="2" t="str">
        <f t="shared" si="76"/>
        <v xml:space="preserve"> </v>
      </c>
      <c r="AG460" s="2" t="str">
        <f t="shared" si="76"/>
        <v xml:space="preserve"> </v>
      </c>
      <c r="AH460" s="2" t="str">
        <f t="shared" si="77"/>
        <v xml:space="preserve"> </v>
      </c>
      <c r="AI460" s="2" t="str">
        <f t="shared" si="77"/>
        <v xml:space="preserve"> </v>
      </c>
      <c r="AJ460" s="2" t="str">
        <f t="shared" si="77"/>
        <v xml:space="preserve"> </v>
      </c>
      <c r="AK460" s="2" t="str">
        <f t="shared" si="77"/>
        <v xml:space="preserve"> </v>
      </c>
      <c r="AL460" s="2" t="str">
        <f t="shared" si="77"/>
        <v xml:space="preserve"> </v>
      </c>
      <c r="AM460" s="2" t="str">
        <f t="shared" si="77"/>
        <v xml:space="preserve"> </v>
      </c>
      <c r="AN460" s="2" t="str">
        <f t="shared" si="77"/>
        <v xml:space="preserve"> </v>
      </c>
      <c r="AO460" s="2" t="str">
        <f t="shared" si="77"/>
        <v xml:space="preserve"> </v>
      </c>
      <c r="AP460" s="2" t="str">
        <f t="shared" si="77"/>
        <v xml:space="preserve"> </v>
      </c>
      <c r="AQ460" s="25" t="str">
        <f t="shared" si="77"/>
        <v xml:space="preserve"> </v>
      </c>
      <c r="AR460" s="12">
        <f t="shared" si="79"/>
        <v>0</v>
      </c>
    </row>
    <row r="461" spans="1:44" x14ac:dyDescent="0.25">
      <c r="A461" s="12">
        <f t="shared" si="78"/>
        <v>0</v>
      </c>
      <c r="B461" s="12">
        <f>IF(AND($C$420&gt;$C$419,($B$454+7)&lt;=$C$420),$C$419+8,0)</f>
        <v>0</v>
      </c>
      <c r="C461" s="26">
        <f t="shared" si="80"/>
        <v>0</v>
      </c>
      <c r="D461" s="26" t="str">
        <f t="shared" si="75"/>
        <v xml:space="preserve"> </v>
      </c>
      <c r="E461" s="2" t="str">
        <f t="shared" si="75"/>
        <v xml:space="preserve"> </v>
      </c>
      <c r="F461" s="2" t="str">
        <f t="shared" si="75"/>
        <v xml:space="preserve"> </v>
      </c>
      <c r="G461" s="2" t="str">
        <f t="shared" si="75"/>
        <v xml:space="preserve"> </v>
      </c>
      <c r="H461" s="2" t="str">
        <f t="shared" si="75"/>
        <v xml:space="preserve"> </v>
      </c>
      <c r="I461" s="2" t="str">
        <f t="shared" si="75"/>
        <v xml:space="preserve"> </v>
      </c>
      <c r="J461" s="2" t="str">
        <f t="shared" si="75"/>
        <v xml:space="preserve"> </v>
      </c>
      <c r="K461" s="2" t="str">
        <f t="shared" si="75"/>
        <v xml:space="preserve"> </v>
      </c>
      <c r="L461" s="2" t="str">
        <f t="shared" si="75"/>
        <v xml:space="preserve"> </v>
      </c>
      <c r="M461" s="2" t="str">
        <f t="shared" si="75"/>
        <v xml:space="preserve"> </v>
      </c>
      <c r="N461" s="2" t="str">
        <f t="shared" si="75"/>
        <v xml:space="preserve"> </v>
      </c>
      <c r="O461" s="2" t="str">
        <f t="shared" si="75"/>
        <v xml:space="preserve"> </v>
      </c>
      <c r="P461" s="2" t="str">
        <f t="shared" si="75"/>
        <v xml:space="preserve"> </v>
      </c>
      <c r="Q461" s="2" t="str">
        <f t="shared" si="75"/>
        <v xml:space="preserve"> </v>
      </c>
      <c r="R461" s="2" t="str">
        <f t="shared" si="75"/>
        <v xml:space="preserve"> </v>
      </c>
      <c r="S461" s="2" t="str">
        <f t="shared" si="75"/>
        <v xml:space="preserve"> </v>
      </c>
      <c r="T461" s="2" t="str">
        <f t="shared" si="76"/>
        <v xml:space="preserve"> </v>
      </c>
      <c r="U461" s="2" t="str">
        <f t="shared" si="76"/>
        <v xml:space="preserve"> </v>
      </c>
      <c r="V461" s="2" t="str">
        <f t="shared" si="76"/>
        <v xml:space="preserve"> </v>
      </c>
      <c r="W461" s="2" t="str">
        <f t="shared" si="76"/>
        <v xml:space="preserve"> </v>
      </c>
      <c r="X461" s="2" t="str">
        <f t="shared" si="76"/>
        <v xml:space="preserve"> </v>
      </c>
      <c r="Y461" s="2" t="str">
        <f t="shared" si="76"/>
        <v xml:space="preserve"> </v>
      </c>
      <c r="Z461" s="2" t="str">
        <f t="shared" si="76"/>
        <v xml:space="preserve"> </v>
      </c>
      <c r="AA461" s="2" t="str">
        <f t="shared" si="76"/>
        <v xml:space="preserve"> </v>
      </c>
      <c r="AB461" s="2" t="str">
        <f t="shared" si="76"/>
        <v xml:space="preserve"> </v>
      </c>
      <c r="AC461" s="2" t="str">
        <f t="shared" si="76"/>
        <v xml:space="preserve"> </v>
      </c>
      <c r="AD461" s="2" t="str">
        <f t="shared" si="76"/>
        <v xml:space="preserve"> </v>
      </c>
      <c r="AE461" s="2" t="str">
        <f t="shared" si="76"/>
        <v xml:space="preserve"> </v>
      </c>
      <c r="AF461" s="2" t="str">
        <f t="shared" si="76"/>
        <v xml:space="preserve"> </v>
      </c>
      <c r="AG461" s="2" t="str">
        <f t="shared" si="76"/>
        <v xml:space="preserve"> </v>
      </c>
      <c r="AH461" s="2" t="str">
        <f t="shared" si="77"/>
        <v xml:space="preserve"> </v>
      </c>
      <c r="AI461" s="2" t="str">
        <f t="shared" si="77"/>
        <v xml:space="preserve"> </v>
      </c>
      <c r="AJ461" s="2" t="str">
        <f t="shared" si="77"/>
        <v xml:space="preserve"> </v>
      </c>
      <c r="AK461" s="2" t="str">
        <f t="shared" si="77"/>
        <v xml:space="preserve"> </v>
      </c>
      <c r="AL461" s="2" t="str">
        <f t="shared" si="77"/>
        <v xml:space="preserve"> </v>
      </c>
      <c r="AM461" s="2" t="str">
        <f t="shared" si="77"/>
        <v xml:space="preserve"> </v>
      </c>
      <c r="AN461" s="2" t="str">
        <f t="shared" si="77"/>
        <v xml:space="preserve"> </v>
      </c>
      <c r="AO461" s="2" t="str">
        <f t="shared" si="77"/>
        <v xml:space="preserve"> </v>
      </c>
      <c r="AP461" s="2" t="str">
        <f t="shared" si="77"/>
        <v xml:space="preserve"> </v>
      </c>
      <c r="AQ461" s="25" t="str">
        <f t="shared" si="77"/>
        <v xml:space="preserve"> </v>
      </c>
      <c r="AR461" s="12">
        <f t="shared" si="79"/>
        <v>0</v>
      </c>
    </row>
    <row r="462" spans="1:44" x14ac:dyDescent="0.25">
      <c r="A462" s="12">
        <f t="shared" si="78"/>
        <v>0</v>
      </c>
      <c r="B462" s="12">
        <f>IF(AND($C$420&gt;$C$419,($B$454+8)&lt;=$C$420),$C$419+9,0)</f>
        <v>0</v>
      </c>
      <c r="C462" s="26">
        <f t="shared" si="80"/>
        <v>0</v>
      </c>
      <c r="D462" s="26" t="str">
        <f t="shared" si="75"/>
        <v xml:space="preserve"> </v>
      </c>
      <c r="E462" s="2" t="str">
        <f t="shared" si="75"/>
        <v xml:space="preserve"> </v>
      </c>
      <c r="F462" s="2" t="str">
        <f t="shared" si="75"/>
        <v xml:space="preserve"> </v>
      </c>
      <c r="G462" s="2" t="str">
        <f t="shared" si="75"/>
        <v xml:space="preserve"> </v>
      </c>
      <c r="H462" s="2" t="str">
        <f t="shared" si="75"/>
        <v xml:space="preserve"> </v>
      </c>
      <c r="I462" s="2" t="str">
        <f t="shared" si="75"/>
        <v xml:space="preserve"> </v>
      </c>
      <c r="J462" s="2" t="str">
        <f t="shared" si="75"/>
        <v xml:space="preserve"> </v>
      </c>
      <c r="K462" s="2" t="str">
        <f t="shared" si="75"/>
        <v xml:space="preserve"> </v>
      </c>
      <c r="L462" s="2" t="str">
        <f t="shared" si="75"/>
        <v xml:space="preserve"> </v>
      </c>
      <c r="M462" s="2" t="str">
        <f t="shared" si="75"/>
        <v xml:space="preserve"> </v>
      </c>
      <c r="N462" s="2" t="str">
        <f t="shared" si="75"/>
        <v xml:space="preserve"> </v>
      </c>
      <c r="O462" s="2" t="str">
        <f t="shared" si="75"/>
        <v xml:space="preserve"> </v>
      </c>
      <c r="P462" s="2" t="str">
        <f t="shared" si="75"/>
        <v xml:space="preserve"> </v>
      </c>
      <c r="Q462" s="2" t="str">
        <f t="shared" si="75"/>
        <v xml:space="preserve"> </v>
      </c>
      <c r="R462" s="2" t="str">
        <f t="shared" si="75"/>
        <v xml:space="preserve"> </v>
      </c>
      <c r="S462" s="2" t="str">
        <f t="shared" si="75"/>
        <v xml:space="preserve"> </v>
      </c>
      <c r="T462" s="2" t="str">
        <f t="shared" si="76"/>
        <v xml:space="preserve"> </v>
      </c>
      <c r="U462" s="2" t="str">
        <f t="shared" si="76"/>
        <v xml:space="preserve"> </v>
      </c>
      <c r="V462" s="2" t="str">
        <f t="shared" si="76"/>
        <v xml:space="preserve"> </v>
      </c>
      <c r="W462" s="2" t="str">
        <f t="shared" si="76"/>
        <v xml:space="preserve"> </v>
      </c>
      <c r="X462" s="2" t="str">
        <f t="shared" si="76"/>
        <v xml:space="preserve"> </v>
      </c>
      <c r="Y462" s="2" t="str">
        <f t="shared" si="76"/>
        <v xml:space="preserve"> </v>
      </c>
      <c r="Z462" s="2" t="str">
        <f t="shared" si="76"/>
        <v xml:space="preserve"> </v>
      </c>
      <c r="AA462" s="2" t="str">
        <f t="shared" si="76"/>
        <v xml:space="preserve"> </v>
      </c>
      <c r="AB462" s="2" t="str">
        <f t="shared" si="76"/>
        <v xml:space="preserve"> </v>
      </c>
      <c r="AC462" s="2" t="str">
        <f t="shared" si="76"/>
        <v xml:space="preserve"> </v>
      </c>
      <c r="AD462" s="2" t="str">
        <f t="shared" si="76"/>
        <v xml:space="preserve"> </v>
      </c>
      <c r="AE462" s="2" t="str">
        <f t="shared" si="76"/>
        <v xml:space="preserve"> </v>
      </c>
      <c r="AF462" s="2" t="str">
        <f t="shared" si="76"/>
        <v xml:space="preserve"> </v>
      </c>
      <c r="AG462" s="2" t="str">
        <f t="shared" si="76"/>
        <v xml:space="preserve"> </v>
      </c>
      <c r="AH462" s="2" t="str">
        <f t="shared" si="77"/>
        <v xml:space="preserve"> </v>
      </c>
      <c r="AI462" s="2" t="str">
        <f t="shared" si="77"/>
        <v xml:space="preserve"> </v>
      </c>
      <c r="AJ462" s="2" t="str">
        <f t="shared" si="77"/>
        <v xml:space="preserve"> </v>
      </c>
      <c r="AK462" s="2" t="str">
        <f t="shared" si="77"/>
        <v xml:space="preserve"> </v>
      </c>
      <c r="AL462" s="2" t="str">
        <f t="shared" si="77"/>
        <v xml:space="preserve"> </v>
      </c>
      <c r="AM462" s="2" t="str">
        <f t="shared" si="77"/>
        <v xml:space="preserve"> </v>
      </c>
      <c r="AN462" s="2" t="str">
        <f t="shared" si="77"/>
        <v xml:space="preserve"> </v>
      </c>
      <c r="AO462" s="2" t="str">
        <f t="shared" si="77"/>
        <v xml:space="preserve"> </v>
      </c>
      <c r="AP462" s="2" t="str">
        <f t="shared" si="77"/>
        <v xml:space="preserve"> </v>
      </c>
      <c r="AQ462" s="25" t="str">
        <f t="shared" si="77"/>
        <v xml:space="preserve"> </v>
      </c>
      <c r="AR462" s="12">
        <f t="shared" si="79"/>
        <v>0</v>
      </c>
    </row>
    <row r="463" spans="1:44" x14ac:dyDescent="0.25">
      <c r="A463" s="12">
        <f t="shared" si="78"/>
        <v>0</v>
      </c>
      <c r="B463" s="12">
        <f>IF(AND($C$420&gt;$C$419,($B$454+9)&lt;=$C$420),$C$419+10,0)</f>
        <v>0</v>
      </c>
      <c r="C463" s="26">
        <f t="shared" si="80"/>
        <v>0</v>
      </c>
      <c r="D463" s="26" t="str">
        <f t="shared" si="75"/>
        <v xml:space="preserve"> </v>
      </c>
      <c r="E463" s="2" t="str">
        <f t="shared" si="75"/>
        <v xml:space="preserve"> </v>
      </c>
      <c r="F463" s="2" t="str">
        <f t="shared" si="75"/>
        <v xml:space="preserve"> </v>
      </c>
      <c r="G463" s="2" t="str">
        <f t="shared" si="75"/>
        <v xml:space="preserve"> </v>
      </c>
      <c r="H463" s="2" t="str">
        <f t="shared" si="75"/>
        <v xml:space="preserve"> </v>
      </c>
      <c r="I463" s="2" t="str">
        <f t="shared" si="75"/>
        <v xml:space="preserve"> </v>
      </c>
      <c r="J463" s="2" t="str">
        <f t="shared" si="75"/>
        <v xml:space="preserve"> </v>
      </c>
      <c r="K463" s="2" t="str">
        <f t="shared" si="75"/>
        <v xml:space="preserve"> </v>
      </c>
      <c r="L463" s="2" t="str">
        <f t="shared" si="75"/>
        <v xml:space="preserve"> </v>
      </c>
      <c r="M463" s="2" t="str">
        <f t="shared" si="75"/>
        <v xml:space="preserve"> </v>
      </c>
      <c r="N463" s="2" t="str">
        <f t="shared" si="75"/>
        <v xml:space="preserve"> </v>
      </c>
      <c r="O463" s="2" t="str">
        <f t="shared" si="75"/>
        <v xml:space="preserve"> </v>
      </c>
      <c r="P463" s="2" t="str">
        <f t="shared" si="75"/>
        <v xml:space="preserve"> </v>
      </c>
      <c r="Q463" s="2" t="str">
        <f t="shared" si="75"/>
        <v xml:space="preserve"> </v>
      </c>
      <c r="R463" s="2" t="str">
        <f t="shared" si="75"/>
        <v xml:space="preserve"> </v>
      </c>
      <c r="S463" s="2" t="str">
        <f t="shared" si="75"/>
        <v xml:space="preserve"> </v>
      </c>
      <c r="T463" s="2" t="str">
        <f t="shared" si="76"/>
        <v xml:space="preserve"> </v>
      </c>
      <c r="U463" s="2" t="str">
        <f t="shared" si="76"/>
        <v xml:space="preserve"> </v>
      </c>
      <c r="V463" s="2" t="str">
        <f t="shared" si="76"/>
        <v xml:space="preserve"> </v>
      </c>
      <c r="W463" s="2" t="str">
        <f t="shared" si="76"/>
        <v xml:space="preserve"> </v>
      </c>
      <c r="X463" s="2" t="str">
        <f t="shared" si="76"/>
        <v xml:space="preserve"> </v>
      </c>
      <c r="Y463" s="2" t="str">
        <f t="shared" si="76"/>
        <v xml:space="preserve"> </v>
      </c>
      <c r="Z463" s="2" t="str">
        <f t="shared" si="76"/>
        <v xml:space="preserve"> </v>
      </c>
      <c r="AA463" s="2" t="str">
        <f t="shared" si="76"/>
        <v xml:space="preserve"> </v>
      </c>
      <c r="AB463" s="2" t="str">
        <f t="shared" si="76"/>
        <v xml:space="preserve"> </v>
      </c>
      <c r="AC463" s="2" t="str">
        <f t="shared" si="76"/>
        <v xml:space="preserve"> </v>
      </c>
      <c r="AD463" s="2" t="str">
        <f t="shared" si="76"/>
        <v xml:space="preserve"> </v>
      </c>
      <c r="AE463" s="2" t="str">
        <f t="shared" si="76"/>
        <v xml:space="preserve"> </v>
      </c>
      <c r="AF463" s="2" t="str">
        <f t="shared" si="76"/>
        <v xml:space="preserve"> </v>
      </c>
      <c r="AG463" s="2" t="str">
        <f t="shared" si="76"/>
        <v xml:space="preserve"> </v>
      </c>
      <c r="AH463" s="2" t="str">
        <f t="shared" si="77"/>
        <v xml:space="preserve"> </v>
      </c>
      <c r="AI463" s="2" t="str">
        <f t="shared" si="77"/>
        <v xml:space="preserve"> </v>
      </c>
      <c r="AJ463" s="2" t="str">
        <f t="shared" si="77"/>
        <v xml:space="preserve"> </v>
      </c>
      <c r="AK463" s="2" t="str">
        <f t="shared" si="77"/>
        <v xml:space="preserve"> </v>
      </c>
      <c r="AL463" s="2" t="str">
        <f t="shared" si="77"/>
        <v xml:space="preserve"> </v>
      </c>
      <c r="AM463" s="2" t="str">
        <f t="shared" si="77"/>
        <v xml:space="preserve"> </v>
      </c>
      <c r="AN463" s="2" t="str">
        <f t="shared" si="77"/>
        <v xml:space="preserve"> </v>
      </c>
      <c r="AO463" s="2" t="str">
        <f t="shared" si="77"/>
        <v xml:space="preserve"> </v>
      </c>
      <c r="AP463" s="2" t="str">
        <f t="shared" si="77"/>
        <v xml:space="preserve"> </v>
      </c>
      <c r="AQ463" s="25" t="str">
        <f t="shared" si="77"/>
        <v xml:space="preserve"> </v>
      </c>
      <c r="AR463" s="12">
        <f t="shared" si="79"/>
        <v>0</v>
      </c>
    </row>
    <row r="464" spans="1:44" x14ac:dyDescent="0.25">
      <c r="A464" s="12">
        <f t="shared" si="78"/>
        <v>0</v>
      </c>
      <c r="B464" s="12">
        <f>IF(AND($C$420&gt;$C$419,($B$454+10)&lt;=$C$420),$C$419+11,0)</f>
        <v>0</v>
      </c>
      <c r="C464" s="26">
        <f t="shared" si="80"/>
        <v>0</v>
      </c>
      <c r="D464" s="26" t="str">
        <f t="shared" si="75"/>
        <v xml:space="preserve"> </v>
      </c>
      <c r="E464" s="2" t="str">
        <f t="shared" si="75"/>
        <v xml:space="preserve"> </v>
      </c>
      <c r="F464" s="2" t="str">
        <f t="shared" si="75"/>
        <v xml:space="preserve"> </v>
      </c>
      <c r="G464" s="2" t="str">
        <f t="shared" si="75"/>
        <v xml:space="preserve"> </v>
      </c>
      <c r="H464" s="2" t="str">
        <f t="shared" si="75"/>
        <v xml:space="preserve"> </v>
      </c>
      <c r="I464" s="2" t="str">
        <f t="shared" si="75"/>
        <v xml:space="preserve"> </v>
      </c>
      <c r="J464" s="2" t="str">
        <f t="shared" si="75"/>
        <v xml:space="preserve"> </v>
      </c>
      <c r="K464" s="2" t="str">
        <f t="shared" si="75"/>
        <v xml:space="preserve"> </v>
      </c>
      <c r="L464" s="2" t="str">
        <f t="shared" si="75"/>
        <v xml:space="preserve"> </v>
      </c>
      <c r="M464" s="2" t="str">
        <f t="shared" si="75"/>
        <v xml:space="preserve"> </v>
      </c>
      <c r="N464" s="2" t="str">
        <f t="shared" si="75"/>
        <v xml:space="preserve"> </v>
      </c>
      <c r="O464" s="2" t="str">
        <f t="shared" si="75"/>
        <v xml:space="preserve"> </v>
      </c>
      <c r="P464" s="2" t="str">
        <f t="shared" si="75"/>
        <v xml:space="preserve"> </v>
      </c>
      <c r="Q464" s="2" t="str">
        <f t="shared" si="75"/>
        <v xml:space="preserve"> </v>
      </c>
      <c r="R464" s="2" t="str">
        <f t="shared" si="75"/>
        <v xml:space="preserve"> </v>
      </c>
      <c r="S464" s="2" t="str">
        <f t="shared" si="75"/>
        <v xml:space="preserve"> </v>
      </c>
      <c r="T464" s="2" t="str">
        <f t="shared" si="76"/>
        <v xml:space="preserve"> </v>
      </c>
      <c r="U464" s="2" t="str">
        <f t="shared" si="76"/>
        <v xml:space="preserve"> </v>
      </c>
      <c r="V464" s="2" t="str">
        <f t="shared" si="76"/>
        <v xml:space="preserve"> </v>
      </c>
      <c r="W464" s="2" t="str">
        <f t="shared" si="76"/>
        <v xml:space="preserve"> </v>
      </c>
      <c r="X464" s="2" t="str">
        <f t="shared" si="76"/>
        <v xml:space="preserve"> </v>
      </c>
      <c r="Y464" s="2" t="str">
        <f t="shared" si="76"/>
        <v xml:space="preserve"> </v>
      </c>
      <c r="Z464" s="2" t="str">
        <f t="shared" si="76"/>
        <v xml:space="preserve"> </v>
      </c>
      <c r="AA464" s="2" t="str">
        <f t="shared" si="76"/>
        <v xml:space="preserve"> </v>
      </c>
      <c r="AB464" s="2" t="str">
        <f t="shared" si="76"/>
        <v xml:space="preserve"> </v>
      </c>
      <c r="AC464" s="2" t="str">
        <f t="shared" si="76"/>
        <v xml:space="preserve"> </v>
      </c>
      <c r="AD464" s="2" t="str">
        <f t="shared" si="76"/>
        <v xml:space="preserve"> </v>
      </c>
      <c r="AE464" s="2" t="str">
        <f t="shared" si="76"/>
        <v xml:space="preserve"> </v>
      </c>
      <c r="AF464" s="2" t="str">
        <f t="shared" si="76"/>
        <v xml:space="preserve"> </v>
      </c>
      <c r="AG464" s="2" t="str">
        <f t="shared" si="76"/>
        <v xml:space="preserve"> </v>
      </c>
      <c r="AH464" s="2" t="str">
        <f t="shared" si="77"/>
        <v xml:space="preserve"> </v>
      </c>
      <c r="AI464" s="2" t="str">
        <f t="shared" si="77"/>
        <v xml:space="preserve"> </v>
      </c>
      <c r="AJ464" s="2" t="str">
        <f t="shared" si="77"/>
        <v xml:space="preserve"> </v>
      </c>
      <c r="AK464" s="2" t="str">
        <f t="shared" si="77"/>
        <v xml:space="preserve"> </v>
      </c>
      <c r="AL464" s="2" t="str">
        <f t="shared" si="77"/>
        <v xml:space="preserve"> </v>
      </c>
      <c r="AM464" s="2" t="str">
        <f t="shared" si="77"/>
        <v xml:space="preserve"> </v>
      </c>
      <c r="AN464" s="2" t="str">
        <f t="shared" si="77"/>
        <v xml:space="preserve"> </v>
      </c>
      <c r="AO464" s="2" t="str">
        <f t="shared" si="77"/>
        <v xml:space="preserve"> </v>
      </c>
      <c r="AP464" s="2" t="str">
        <f t="shared" si="77"/>
        <v xml:space="preserve"> </v>
      </c>
      <c r="AQ464" s="25" t="str">
        <f t="shared" si="77"/>
        <v xml:space="preserve"> </v>
      </c>
      <c r="AR464" s="12">
        <f t="shared" si="79"/>
        <v>0</v>
      </c>
    </row>
    <row r="465" spans="1:44" x14ac:dyDescent="0.25">
      <c r="A465" s="12">
        <f t="shared" si="78"/>
        <v>0</v>
      </c>
      <c r="B465" s="12">
        <f>IF(AND($C$420&gt;$C$419,($B$454+11)&lt;=$C$420),$C$419+12,0)</f>
        <v>0</v>
      </c>
      <c r="C465" s="26">
        <f t="shared" si="80"/>
        <v>0</v>
      </c>
      <c r="D465" s="26" t="str">
        <f t="shared" si="75"/>
        <v xml:space="preserve"> </v>
      </c>
      <c r="E465" s="2" t="str">
        <f t="shared" si="75"/>
        <v xml:space="preserve"> </v>
      </c>
      <c r="F465" s="2" t="str">
        <f t="shared" si="75"/>
        <v xml:space="preserve"> </v>
      </c>
      <c r="G465" s="2" t="str">
        <f t="shared" si="75"/>
        <v xml:space="preserve"> </v>
      </c>
      <c r="H465" s="2" t="str">
        <f t="shared" si="75"/>
        <v xml:space="preserve"> </v>
      </c>
      <c r="I465" s="2" t="str">
        <f t="shared" si="75"/>
        <v xml:space="preserve"> </v>
      </c>
      <c r="J465" s="2" t="str">
        <f t="shared" si="75"/>
        <v xml:space="preserve"> </v>
      </c>
      <c r="K465" s="2" t="str">
        <f t="shared" si="75"/>
        <v xml:space="preserve"> </v>
      </c>
      <c r="L465" s="2" t="str">
        <f t="shared" si="75"/>
        <v xml:space="preserve"> </v>
      </c>
      <c r="M465" s="2" t="str">
        <f t="shared" si="75"/>
        <v xml:space="preserve"> </v>
      </c>
      <c r="N465" s="2" t="str">
        <f t="shared" si="75"/>
        <v xml:space="preserve"> </v>
      </c>
      <c r="O465" s="2" t="str">
        <f t="shared" si="75"/>
        <v xml:space="preserve"> </v>
      </c>
      <c r="P465" s="2" t="str">
        <f t="shared" si="75"/>
        <v xml:space="preserve"> </v>
      </c>
      <c r="Q465" s="2" t="str">
        <f t="shared" si="75"/>
        <v xml:space="preserve"> </v>
      </c>
      <c r="R465" s="2" t="str">
        <f t="shared" si="75"/>
        <v xml:space="preserve"> </v>
      </c>
      <c r="S465" s="2" t="str">
        <f t="shared" si="75"/>
        <v xml:space="preserve"> </v>
      </c>
      <c r="T465" s="2" t="str">
        <f t="shared" si="76"/>
        <v xml:space="preserve"> </v>
      </c>
      <c r="U465" s="2" t="str">
        <f t="shared" si="76"/>
        <v xml:space="preserve"> </v>
      </c>
      <c r="V465" s="2" t="str">
        <f t="shared" si="76"/>
        <v xml:space="preserve"> </v>
      </c>
      <c r="W465" s="2" t="str">
        <f t="shared" si="76"/>
        <v xml:space="preserve"> </v>
      </c>
      <c r="X465" s="2" t="str">
        <f t="shared" si="76"/>
        <v xml:space="preserve"> </v>
      </c>
      <c r="Y465" s="2" t="str">
        <f t="shared" si="76"/>
        <v xml:space="preserve"> </v>
      </c>
      <c r="Z465" s="2" t="str">
        <f t="shared" si="76"/>
        <v xml:space="preserve"> </v>
      </c>
      <c r="AA465" s="2" t="str">
        <f t="shared" si="76"/>
        <v xml:space="preserve"> </v>
      </c>
      <c r="AB465" s="2" t="str">
        <f t="shared" si="76"/>
        <v xml:space="preserve"> </v>
      </c>
      <c r="AC465" s="2" t="str">
        <f t="shared" si="76"/>
        <v xml:space="preserve"> </v>
      </c>
      <c r="AD465" s="2" t="str">
        <f t="shared" si="76"/>
        <v xml:space="preserve"> </v>
      </c>
      <c r="AE465" s="2" t="str">
        <f t="shared" si="76"/>
        <v xml:space="preserve"> </v>
      </c>
      <c r="AF465" s="2" t="str">
        <f t="shared" si="76"/>
        <v xml:space="preserve"> </v>
      </c>
      <c r="AG465" s="2" t="str">
        <f t="shared" si="76"/>
        <v xml:space="preserve"> </v>
      </c>
      <c r="AH465" s="2" t="str">
        <f t="shared" si="77"/>
        <v xml:space="preserve"> </v>
      </c>
      <c r="AI465" s="2" t="str">
        <f t="shared" si="77"/>
        <v xml:space="preserve"> </v>
      </c>
      <c r="AJ465" s="2" t="str">
        <f t="shared" si="77"/>
        <v xml:space="preserve"> </v>
      </c>
      <c r="AK465" s="2" t="str">
        <f t="shared" si="77"/>
        <v xml:space="preserve"> </v>
      </c>
      <c r="AL465" s="2" t="str">
        <f t="shared" si="77"/>
        <v xml:space="preserve"> </v>
      </c>
      <c r="AM465" s="2" t="str">
        <f t="shared" si="77"/>
        <v xml:space="preserve"> </v>
      </c>
      <c r="AN465" s="2" t="str">
        <f t="shared" si="77"/>
        <v xml:space="preserve"> </v>
      </c>
      <c r="AO465" s="2" t="str">
        <f t="shared" si="77"/>
        <v xml:space="preserve"> </v>
      </c>
      <c r="AP465" s="2" t="str">
        <f t="shared" si="77"/>
        <v xml:space="preserve"> </v>
      </c>
      <c r="AQ465" s="25" t="str">
        <f t="shared" si="77"/>
        <v xml:space="preserve"> </v>
      </c>
      <c r="AR465" s="12">
        <f t="shared" si="79"/>
        <v>0</v>
      </c>
    </row>
    <row r="466" spans="1:44" x14ac:dyDescent="0.25">
      <c r="A466" s="12">
        <f t="shared" si="78"/>
        <v>0</v>
      </c>
      <c r="B466" s="12">
        <f>IF(AND($C$420&gt;$C$419,($B$454+12)&lt;=$C$420),$C$419+13,0)</f>
        <v>0</v>
      </c>
      <c r="C466" s="26">
        <f t="shared" si="80"/>
        <v>0</v>
      </c>
      <c r="D466" s="26" t="str">
        <f t="shared" si="75"/>
        <v xml:space="preserve"> </v>
      </c>
      <c r="E466" s="2" t="str">
        <f t="shared" si="75"/>
        <v xml:space="preserve"> </v>
      </c>
      <c r="F466" s="2" t="str">
        <f t="shared" si="75"/>
        <v xml:space="preserve"> </v>
      </c>
      <c r="G466" s="2" t="str">
        <f t="shared" si="75"/>
        <v xml:space="preserve"> </v>
      </c>
      <c r="H466" s="2" t="str">
        <f t="shared" si="75"/>
        <v xml:space="preserve"> </v>
      </c>
      <c r="I466" s="2" t="str">
        <f t="shared" si="75"/>
        <v xml:space="preserve"> </v>
      </c>
      <c r="J466" s="2" t="str">
        <f t="shared" si="75"/>
        <v xml:space="preserve"> </v>
      </c>
      <c r="K466" s="2" t="str">
        <f t="shared" si="75"/>
        <v xml:space="preserve"> </v>
      </c>
      <c r="L466" s="2" t="str">
        <f t="shared" si="75"/>
        <v xml:space="preserve"> </v>
      </c>
      <c r="M466" s="2" t="str">
        <f t="shared" si="75"/>
        <v xml:space="preserve"> </v>
      </c>
      <c r="N466" s="2" t="str">
        <f t="shared" si="75"/>
        <v xml:space="preserve"> </v>
      </c>
      <c r="O466" s="2" t="str">
        <f t="shared" si="75"/>
        <v xml:space="preserve"> </v>
      </c>
      <c r="P466" s="2" t="str">
        <f t="shared" si="75"/>
        <v xml:space="preserve"> </v>
      </c>
      <c r="Q466" s="2" t="str">
        <f t="shared" si="75"/>
        <v xml:space="preserve"> </v>
      </c>
      <c r="R466" s="2" t="str">
        <f t="shared" si="75"/>
        <v xml:space="preserve"> </v>
      </c>
      <c r="S466" s="2" t="str">
        <f t="shared" si="75"/>
        <v xml:space="preserve"> </v>
      </c>
      <c r="T466" s="2" t="str">
        <f t="shared" si="76"/>
        <v xml:space="preserve"> </v>
      </c>
      <c r="U466" s="2" t="str">
        <f t="shared" si="76"/>
        <v xml:space="preserve"> </v>
      </c>
      <c r="V466" s="2" t="str">
        <f t="shared" si="76"/>
        <v xml:space="preserve"> </v>
      </c>
      <c r="W466" s="2" t="str">
        <f t="shared" si="76"/>
        <v xml:space="preserve"> </v>
      </c>
      <c r="X466" s="2" t="str">
        <f t="shared" si="76"/>
        <v xml:space="preserve"> </v>
      </c>
      <c r="Y466" s="2" t="str">
        <f t="shared" si="76"/>
        <v xml:space="preserve"> </v>
      </c>
      <c r="Z466" s="2" t="str">
        <f t="shared" si="76"/>
        <v xml:space="preserve"> </v>
      </c>
      <c r="AA466" s="2" t="str">
        <f t="shared" si="76"/>
        <v xml:space="preserve"> </v>
      </c>
      <c r="AB466" s="2" t="str">
        <f t="shared" si="76"/>
        <v xml:space="preserve"> </v>
      </c>
      <c r="AC466" s="2" t="str">
        <f t="shared" si="76"/>
        <v xml:space="preserve"> </v>
      </c>
      <c r="AD466" s="2" t="str">
        <f t="shared" si="76"/>
        <v xml:space="preserve"> </v>
      </c>
      <c r="AE466" s="2" t="str">
        <f t="shared" si="76"/>
        <v xml:space="preserve"> </v>
      </c>
      <c r="AF466" s="2" t="str">
        <f t="shared" si="76"/>
        <v xml:space="preserve"> </v>
      </c>
      <c r="AG466" s="2" t="str">
        <f t="shared" si="76"/>
        <v xml:space="preserve"> </v>
      </c>
      <c r="AH466" s="2" t="str">
        <f t="shared" si="77"/>
        <v xml:space="preserve"> </v>
      </c>
      <c r="AI466" s="2" t="str">
        <f t="shared" si="77"/>
        <v xml:space="preserve"> </v>
      </c>
      <c r="AJ466" s="2" t="str">
        <f t="shared" si="77"/>
        <v xml:space="preserve"> </v>
      </c>
      <c r="AK466" s="2" t="str">
        <f t="shared" si="77"/>
        <v xml:space="preserve"> </v>
      </c>
      <c r="AL466" s="2" t="str">
        <f t="shared" si="77"/>
        <v xml:space="preserve"> </v>
      </c>
      <c r="AM466" s="2" t="str">
        <f t="shared" si="77"/>
        <v xml:space="preserve"> </v>
      </c>
      <c r="AN466" s="2" t="str">
        <f t="shared" si="77"/>
        <v xml:space="preserve"> </v>
      </c>
      <c r="AO466" s="2" t="str">
        <f t="shared" si="77"/>
        <v xml:space="preserve"> </v>
      </c>
      <c r="AP466" s="2" t="str">
        <f t="shared" si="77"/>
        <v xml:space="preserve"> </v>
      </c>
      <c r="AQ466" s="25" t="str">
        <f t="shared" si="77"/>
        <v xml:space="preserve"> </v>
      </c>
      <c r="AR466" s="12">
        <f t="shared" si="79"/>
        <v>0</v>
      </c>
    </row>
    <row r="467" spans="1:44" x14ac:dyDescent="0.25">
      <c r="A467" s="12">
        <f t="shared" si="78"/>
        <v>0</v>
      </c>
      <c r="B467" s="12">
        <f>IF(AND($C$420&gt;$C$419,($B$454+13)&lt;=$C$420),$C$419+14,0)</f>
        <v>0</v>
      </c>
      <c r="C467" s="26">
        <f t="shared" si="80"/>
        <v>0</v>
      </c>
      <c r="D467" s="26" t="str">
        <f t="shared" si="75"/>
        <v xml:space="preserve"> </v>
      </c>
      <c r="E467" s="2" t="str">
        <f t="shared" si="75"/>
        <v xml:space="preserve"> </v>
      </c>
      <c r="F467" s="2" t="str">
        <f t="shared" si="75"/>
        <v xml:space="preserve"> </v>
      </c>
      <c r="G467" s="2" t="str">
        <f t="shared" si="75"/>
        <v xml:space="preserve"> </v>
      </c>
      <c r="H467" s="2" t="str">
        <f t="shared" si="75"/>
        <v xml:space="preserve"> </v>
      </c>
      <c r="I467" s="2" t="str">
        <f t="shared" si="75"/>
        <v xml:space="preserve"> </v>
      </c>
      <c r="J467" s="2" t="str">
        <f t="shared" si="75"/>
        <v xml:space="preserve"> </v>
      </c>
      <c r="K467" s="2" t="str">
        <f t="shared" si="75"/>
        <v xml:space="preserve"> </v>
      </c>
      <c r="L467" s="2" t="str">
        <f t="shared" si="75"/>
        <v xml:space="preserve"> </v>
      </c>
      <c r="M467" s="2" t="str">
        <f t="shared" si="75"/>
        <v xml:space="preserve"> </v>
      </c>
      <c r="N467" s="2" t="str">
        <f t="shared" si="75"/>
        <v xml:space="preserve"> </v>
      </c>
      <c r="O467" s="2" t="str">
        <f t="shared" si="75"/>
        <v xml:space="preserve"> </v>
      </c>
      <c r="P467" s="2" t="str">
        <f t="shared" si="75"/>
        <v xml:space="preserve"> </v>
      </c>
      <c r="Q467" s="2" t="str">
        <f t="shared" si="75"/>
        <v xml:space="preserve"> </v>
      </c>
      <c r="R467" s="2" t="str">
        <f t="shared" si="75"/>
        <v xml:space="preserve"> </v>
      </c>
      <c r="S467" s="2" t="str">
        <f t="shared" si="75"/>
        <v xml:space="preserve"> </v>
      </c>
      <c r="T467" s="2" t="str">
        <f t="shared" si="76"/>
        <v xml:space="preserve"> </v>
      </c>
      <c r="U467" s="2" t="str">
        <f t="shared" si="76"/>
        <v xml:space="preserve"> </v>
      </c>
      <c r="V467" s="2" t="str">
        <f t="shared" si="76"/>
        <v xml:space="preserve"> </v>
      </c>
      <c r="W467" s="2" t="str">
        <f t="shared" si="76"/>
        <v xml:space="preserve"> </v>
      </c>
      <c r="X467" s="2" t="str">
        <f t="shared" si="76"/>
        <v xml:space="preserve"> </v>
      </c>
      <c r="Y467" s="2" t="str">
        <f t="shared" si="76"/>
        <v xml:space="preserve"> </v>
      </c>
      <c r="Z467" s="2" t="str">
        <f t="shared" si="76"/>
        <v xml:space="preserve"> </v>
      </c>
      <c r="AA467" s="2" t="str">
        <f t="shared" si="76"/>
        <v xml:space="preserve"> </v>
      </c>
      <c r="AB467" s="2" t="str">
        <f t="shared" si="76"/>
        <v xml:space="preserve"> </v>
      </c>
      <c r="AC467" s="2" t="str">
        <f t="shared" si="76"/>
        <v xml:space="preserve"> </v>
      </c>
      <c r="AD467" s="2" t="str">
        <f t="shared" si="76"/>
        <v xml:space="preserve"> </v>
      </c>
      <c r="AE467" s="2" t="str">
        <f t="shared" si="76"/>
        <v xml:space="preserve"> </v>
      </c>
      <c r="AF467" s="2" t="str">
        <f t="shared" si="76"/>
        <v xml:space="preserve"> </v>
      </c>
      <c r="AG467" s="2" t="str">
        <f t="shared" si="76"/>
        <v xml:space="preserve"> </v>
      </c>
      <c r="AH467" s="2" t="str">
        <f t="shared" si="77"/>
        <v xml:space="preserve"> </v>
      </c>
      <c r="AI467" s="2" t="str">
        <f t="shared" si="77"/>
        <v xml:space="preserve"> </v>
      </c>
      <c r="AJ467" s="2" t="str">
        <f t="shared" si="77"/>
        <v xml:space="preserve"> </v>
      </c>
      <c r="AK467" s="2" t="str">
        <f t="shared" si="77"/>
        <v xml:space="preserve"> </v>
      </c>
      <c r="AL467" s="2" t="str">
        <f t="shared" si="77"/>
        <v xml:space="preserve"> </v>
      </c>
      <c r="AM467" s="2" t="str">
        <f t="shared" si="77"/>
        <v xml:space="preserve"> </v>
      </c>
      <c r="AN467" s="2" t="str">
        <f t="shared" si="77"/>
        <v xml:space="preserve"> </v>
      </c>
      <c r="AO467" s="2" t="str">
        <f t="shared" si="77"/>
        <v xml:space="preserve"> </v>
      </c>
      <c r="AP467" s="2" t="str">
        <f t="shared" si="77"/>
        <v xml:space="preserve"> </v>
      </c>
      <c r="AQ467" s="25" t="str">
        <f t="shared" si="77"/>
        <v xml:space="preserve"> </v>
      </c>
      <c r="AR467" s="12">
        <f t="shared" si="79"/>
        <v>0</v>
      </c>
    </row>
    <row r="468" spans="1:44" x14ac:dyDescent="0.25">
      <c r="A468" s="12">
        <f t="shared" si="78"/>
        <v>0</v>
      </c>
      <c r="B468" s="12">
        <f>IF(AND($C$420&gt;$C$419,($B$454+14)&lt;=$C$420),$C$419+15,0)</f>
        <v>0</v>
      </c>
      <c r="C468" s="26">
        <f t="shared" si="80"/>
        <v>0</v>
      </c>
      <c r="D468" s="26" t="str">
        <f t="shared" si="75"/>
        <v xml:space="preserve"> </v>
      </c>
      <c r="E468" s="2" t="str">
        <f t="shared" si="75"/>
        <v xml:space="preserve"> </v>
      </c>
      <c r="F468" s="2" t="str">
        <f t="shared" si="75"/>
        <v xml:space="preserve"> </v>
      </c>
      <c r="G468" s="2" t="str">
        <f t="shared" si="75"/>
        <v xml:space="preserve"> </v>
      </c>
      <c r="H468" s="2" t="str">
        <f t="shared" si="75"/>
        <v xml:space="preserve"> </v>
      </c>
      <c r="I468" s="2" t="str">
        <f t="shared" si="75"/>
        <v xml:space="preserve"> </v>
      </c>
      <c r="J468" s="2" t="str">
        <f t="shared" si="75"/>
        <v xml:space="preserve"> </v>
      </c>
      <c r="K468" s="2" t="str">
        <f t="shared" si="75"/>
        <v xml:space="preserve"> </v>
      </c>
      <c r="L468" s="2" t="str">
        <f t="shared" si="75"/>
        <v xml:space="preserve"> </v>
      </c>
      <c r="M468" s="2" t="str">
        <f t="shared" si="75"/>
        <v xml:space="preserve"> </v>
      </c>
      <c r="N468" s="2" t="str">
        <f t="shared" si="75"/>
        <v xml:space="preserve"> </v>
      </c>
      <c r="O468" s="2" t="str">
        <f t="shared" si="75"/>
        <v xml:space="preserve"> </v>
      </c>
      <c r="P468" s="2" t="str">
        <f t="shared" si="75"/>
        <v xml:space="preserve"> </v>
      </c>
      <c r="Q468" s="2" t="str">
        <f t="shared" si="75"/>
        <v xml:space="preserve"> </v>
      </c>
      <c r="R468" s="2" t="str">
        <f t="shared" si="75"/>
        <v xml:space="preserve"> </v>
      </c>
      <c r="S468" s="2" t="str">
        <f t="shared" ref="N468:AC483" si="81">IF(OR($A468=0,S$451=0)," ",IF(AND($B468&gt;0,S$451&gt;0,FLOOR($C$440/(S$451*$B468),1)&gt;=$A468),FLOOR($C$440/(S$451*$B468),1)," "))</f>
        <v xml:space="preserve"> </v>
      </c>
      <c r="T468" s="2" t="str">
        <f t="shared" si="81"/>
        <v xml:space="preserve"> </v>
      </c>
      <c r="U468" s="2" t="str">
        <f t="shared" si="81"/>
        <v xml:space="preserve"> </v>
      </c>
      <c r="V468" s="2" t="str">
        <f t="shared" si="81"/>
        <v xml:space="preserve"> </v>
      </c>
      <c r="W468" s="2" t="str">
        <f t="shared" si="81"/>
        <v xml:space="preserve"> </v>
      </c>
      <c r="X468" s="2" t="str">
        <f t="shared" si="76"/>
        <v xml:space="preserve"> </v>
      </c>
      <c r="Y468" s="2" t="str">
        <f t="shared" si="76"/>
        <v xml:space="preserve"> </v>
      </c>
      <c r="Z468" s="2" t="str">
        <f t="shared" si="76"/>
        <v xml:space="preserve"> </v>
      </c>
      <c r="AA468" s="2" t="str">
        <f t="shared" si="76"/>
        <v xml:space="preserve"> </v>
      </c>
      <c r="AB468" s="2" t="str">
        <f t="shared" si="76"/>
        <v xml:space="preserve"> </v>
      </c>
      <c r="AC468" s="2" t="str">
        <f t="shared" si="76"/>
        <v xml:space="preserve"> </v>
      </c>
      <c r="AD468" s="2" t="str">
        <f t="shared" si="76"/>
        <v xml:space="preserve"> </v>
      </c>
      <c r="AE468" s="2" t="str">
        <f t="shared" si="76"/>
        <v xml:space="preserve"> </v>
      </c>
      <c r="AF468" s="2" t="str">
        <f t="shared" si="76"/>
        <v xml:space="preserve"> </v>
      </c>
      <c r="AG468" s="2" t="str">
        <f t="shared" si="76"/>
        <v xml:space="preserve"> </v>
      </c>
      <c r="AH468" s="2" t="str">
        <f t="shared" si="77"/>
        <v xml:space="preserve"> </v>
      </c>
      <c r="AI468" s="2" t="str">
        <f t="shared" si="77"/>
        <v xml:space="preserve"> </v>
      </c>
      <c r="AJ468" s="2" t="str">
        <f t="shared" si="77"/>
        <v xml:space="preserve"> </v>
      </c>
      <c r="AK468" s="2" t="str">
        <f t="shared" si="77"/>
        <v xml:space="preserve"> </v>
      </c>
      <c r="AL468" s="2" t="str">
        <f t="shared" si="77"/>
        <v xml:space="preserve"> </v>
      </c>
      <c r="AM468" s="2" t="str">
        <f t="shared" si="77"/>
        <v xml:space="preserve"> </v>
      </c>
      <c r="AN468" s="2" t="str">
        <f t="shared" si="77"/>
        <v xml:space="preserve"> </v>
      </c>
      <c r="AO468" s="2" t="str">
        <f t="shared" si="77"/>
        <v xml:space="preserve"> </v>
      </c>
      <c r="AP468" s="2" t="str">
        <f t="shared" si="77"/>
        <v xml:space="preserve"> </v>
      </c>
      <c r="AQ468" s="25" t="str">
        <f t="shared" si="77"/>
        <v xml:space="preserve"> </v>
      </c>
      <c r="AR468" s="12">
        <f t="shared" si="79"/>
        <v>0</v>
      </c>
    </row>
    <row r="469" spans="1:44" x14ac:dyDescent="0.25">
      <c r="A469" s="12">
        <f t="shared" si="78"/>
        <v>0</v>
      </c>
      <c r="B469" s="12">
        <f>IF(AND($C$420&gt;$C$419,($B$454+15)&lt;=$C$420),$C$419+16,0)</f>
        <v>0</v>
      </c>
      <c r="C469" s="26">
        <f t="shared" si="80"/>
        <v>0</v>
      </c>
      <c r="D469" s="26" t="str">
        <f t="shared" ref="D469:S484" si="82">IF(OR($A469=0,D$451=0)," ",IF(AND($B469&gt;0,D$451&gt;0,FLOOR($C$440/(D$451*$B469),1)&gt;=$A469),FLOOR($C$440/(D$451*$B469),1)," "))</f>
        <v xml:space="preserve"> </v>
      </c>
      <c r="E469" s="2" t="str">
        <f t="shared" si="82"/>
        <v xml:space="preserve"> </v>
      </c>
      <c r="F469" s="2" t="str">
        <f t="shared" si="82"/>
        <v xml:space="preserve"> </v>
      </c>
      <c r="G469" s="2" t="str">
        <f t="shared" si="82"/>
        <v xml:space="preserve"> </v>
      </c>
      <c r="H469" s="2" t="str">
        <f t="shared" si="82"/>
        <v xml:space="preserve"> </v>
      </c>
      <c r="I469" s="2" t="str">
        <f t="shared" si="82"/>
        <v xml:space="preserve"> </v>
      </c>
      <c r="J469" s="2" t="str">
        <f t="shared" si="82"/>
        <v xml:space="preserve"> </v>
      </c>
      <c r="K469" s="2" t="str">
        <f t="shared" si="82"/>
        <v xml:space="preserve"> </v>
      </c>
      <c r="L469" s="2" t="str">
        <f t="shared" si="82"/>
        <v xml:space="preserve"> </v>
      </c>
      <c r="M469" s="2" t="str">
        <f t="shared" si="82"/>
        <v xml:space="preserve"> </v>
      </c>
      <c r="N469" s="2" t="str">
        <f t="shared" si="81"/>
        <v xml:space="preserve"> </v>
      </c>
      <c r="O469" s="2" t="str">
        <f t="shared" si="81"/>
        <v xml:space="preserve"> </v>
      </c>
      <c r="P469" s="2" t="str">
        <f t="shared" si="81"/>
        <v xml:space="preserve"> </v>
      </c>
      <c r="Q469" s="2" t="str">
        <f t="shared" si="81"/>
        <v xml:space="preserve"> </v>
      </c>
      <c r="R469" s="2" t="str">
        <f t="shared" si="81"/>
        <v xml:space="preserve"> </v>
      </c>
      <c r="S469" s="2" t="str">
        <f t="shared" si="81"/>
        <v xml:space="preserve"> </v>
      </c>
      <c r="T469" s="2" t="str">
        <f t="shared" si="81"/>
        <v xml:space="preserve"> </v>
      </c>
      <c r="U469" s="2" t="str">
        <f t="shared" si="81"/>
        <v xml:space="preserve"> </v>
      </c>
      <c r="V469" s="2" t="str">
        <f t="shared" si="81"/>
        <v xml:space="preserve"> </v>
      </c>
      <c r="W469" s="2" t="str">
        <f t="shared" si="81"/>
        <v xml:space="preserve"> </v>
      </c>
      <c r="X469" s="2" t="str">
        <f t="shared" si="81"/>
        <v xml:space="preserve"> </v>
      </c>
      <c r="Y469" s="2" t="str">
        <f t="shared" si="81"/>
        <v xml:space="preserve"> </v>
      </c>
      <c r="Z469" s="2" t="str">
        <f t="shared" si="81"/>
        <v xml:space="preserve"> </v>
      </c>
      <c r="AA469" s="2" t="str">
        <f t="shared" si="81"/>
        <v xml:space="preserve"> </v>
      </c>
      <c r="AB469" s="2" t="str">
        <f t="shared" si="81"/>
        <v xml:space="preserve"> </v>
      </c>
      <c r="AC469" s="2" t="str">
        <f t="shared" si="81"/>
        <v xml:space="preserve"> </v>
      </c>
      <c r="AD469" s="2" t="str">
        <f t="shared" ref="AD469:AQ484" si="83">IF(OR($A469=0,AD$451=0)," ",IF(AND($B469&gt;0,AD$451&gt;0,FLOOR($C$440/(AD$451*$B469),1)&gt;=$A469),FLOOR($C$440/(AD$451*$B469),1)," "))</f>
        <v xml:space="preserve"> </v>
      </c>
      <c r="AE469" s="2" t="str">
        <f t="shared" si="83"/>
        <v xml:space="preserve"> </v>
      </c>
      <c r="AF469" s="2" t="str">
        <f t="shared" si="83"/>
        <v xml:space="preserve"> </v>
      </c>
      <c r="AG469" s="2" t="str">
        <f t="shared" si="83"/>
        <v xml:space="preserve"> </v>
      </c>
      <c r="AH469" s="2" t="str">
        <f t="shared" si="83"/>
        <v xml:space="preserve"> </v>
      </c>
      <c r="AI469" s="2" t="str">
        <f t="shared" si="83"/>
        <v xml:space="preserve"> </v>
      </c>
      <c r="AJ469" s="2" t="str">
        <f t="shared" si="83"/>
        <v xml:space="preserve"> </v>
      </c>
      <c r="AK469" s="2" t="str">
        <f t="shared" si="83"/>
        <v xml:space="preserve"> </v>
      </c>
      <c r="AL469" s="2" t="str">
        <f t="shared" si="83"/>
        <v xml:space="preserve"> </v>
      </c>
      <c r="AM469" s="2" t="str">
        <f t="shared" si="83"/>
        <v xml:space="preserve"> </v>
      </c>
      <c r="AN469" s="2" t="str">
        <f t="shared" si="83"/>
        <v xml:space="preserve"> </v>
      </c>
      <c r="AO469" s="2" t="str">
        <f t="shared" si="83"/>
        <v xml:space="preserve"> </v>
      </c>
      <c r="AP469" s="2" t="str">
        <f t="shared" si="83"/>
        <v xml:space="preserve"> </v>
      </c>
      <c r="AQ469" s="25" t="str">
        <f t="shared" si="83"/>
        <v xml:space="preserve"> </v>
      </c>
      <c r="AR469" s="12">
        <f t="shared" si="79"/>
        <v>0</v>
      </c>
    </row>
    <row r="470" spans="1:44" x14ac:dyDescent="0.25">
      <c r="A470" s="12">
        <f t="shared" si="78"/>
        <v>0</v>
      </c>
      <c r="B470" s="12">
        <f>IF(AND($C$420&gt;$C$419,($B$454+16)&lt;=$C$420),$C$419+17,0)</f>
        <v>0</v>
      </c>
      <c r="C470" s="26">
        <f t="shared" si="80"/>
        <v>0</v>
      </c>
      <c r="D470" s="26" t="str">
        <f t="shared" si="82"/>
        <v xml:space="preserve"> </v>
      </c>
      <c r="E470" s="2" t="str">
        <f t="shared" si="82"/>
        <v xml:space="preserve"> </v>
      </c>
      <c r="F470" s="2" t="str">
        <f t="shared" si="82"/>
        <v xml:space="preserve"> </v>
      </c>
      <c r="G470" s="2" t="str">
        <f t="shared" si="82"/>
        <v xml:space="preserve"> </v>
      </c>
      <c r="H470" s="2" t="str">
        <f t="shared" si="82"/>
        <v xml:space="preserve"> </v>
      </c>
      <c r="I470" s="2" t="str">
        <f t="shared" si="82"/>
        <v xml:space="preserve"> </v>
      </c>
      <c r="J470" s="2" t="str">
        <f t="shared" si="82"/>
        <v xml:space="preserve"> </v>
      </c>
      <c r="K470" s="2" t="str">
        <f t="shared" si="82"/>
        <v xml:space="preserve"> </v>
      </c>
      <c r="L470" s="2" t="str">
        <f t="shared" si="82"/>
        <v xml:space="preserve"> </v>
      </c>
      <c r="M470" s="2" t="str">
        <f t="shared" si="82"/>
        <v xml:space="preserve"> </v>
      </c>
      <c r="N470" s="2" t="str">
        <f t="shared" si="81"/>
        <v xml:space="preserve"> </v>
      </c>
      <c r="O470" s="2" t="str">
        <f t="shared" si="81"/>
        <v xml:space="preserve"> </v>
      </c>
      <c r="P470" s="2" t="str">
        <f t="shared" si="81"/>
        <v xml:space="preserve"> </v>
      </c>
      <c r="Q470" s="2" t="str">
        <f t="shared" si="81"/>
        <v xml:space="preserve"> </v>
      </c>
      <c r="R470" s="2" t="str">
        <f t="shared" si="81"/>
        <v xml:space="preserve"> </v>
      </c>
      <c r="S470" s="2" t="str">
        <f t="shared" si="81"/>
        <v xml:space="preserve"> </v>
      </c>
      <c r="T470" s="2" t="str">
        <f t="shared" si="81"/>
        <v xml:space="preserve"> </v>
      </c>
      <c r="U470" s="2" t="str">
        <f t="shared" si="81"/>
        <v xml:space="preserve"> </v>
      </c>
      <c r="V470" s="2" t="str">
        <f t="shared" si="81"/>
        <v xml:space="preserve"> </v>
      </c>
      <c r="W470" s="2" t="str">
        <f t="shared" si="81"/>
        <v xml:space="preserve"> </v>
      </c>
      <c r="X470" s="2" t="str">
        <f t="shared" si="81"/>
        <v xml:space="preserve"> </v>
      </c>
      <c r="Y470" s="2" t="str">
        <f t="shared" si="81"/>
        <v xml:space="preserve"> </v>
      </c>
      <c r="Z470" s="2" t="str">
        <f t="shared" si="81"/>
        <v xml:space="preserve"> </v>
      </c>
      <c r="AA470" s="2" t="str">
        <f t="shared" si="81"/>
        <v xml:space="preserve"> </v>
      </c>
      <c r="AB470" s="2" t="str">
        <f t="shared" si="81"/>
        <v xml:space="preserve"> </v>
      </c>
      <c r="AC470" s="2" t="str">
        <f t="shared" si="81"/>
        <v xml:space="preserve"> </v>
      </c>
      <c r="AD470" s="2" t="str">
        <f t="shared" si="83"/>
        <v xml:space="preserve"> </v>
      </c>
      <c r="AE470" s="2" t="str">
        <f t="shared" si="83"/>
        <v xml:space="preserve"> </v>
      </c>
      <c r="AF470" s="2" t="str">
        <f t="shared" si="83"/>
        <v xml:space="preserve"> </v>
      </c>
      <c r="AG470" s="2" t="str">
        <f t="shared" si="83"/>
        <v xml:space="preserve"> </v>
      </c>
      <c r="AH470" s="2" t="str">
        <f t="shared" si="83"/>
        <v xml:space="preserve"> </v>
      </c>
      <c r="AI470" s="2" t="str">
        <f t="shared" si="83"/>
        <v xml:space="preserve"> </v>
      </c>
      <c r="AJ470" s="2" t="str">
        <f t="shared" si="83"/>
        <v xml:space="preserve"> </v>
      </c>
      <c r="AK470" s="2" t="str">
        <f t="shared" si="83"/>
        <v xml:space="preserve"> </v>
      </c>
      <c r="AL470" s="2" t="str">
        <f t="shared" si="83"/>
        <v xml:space="preserve"> </v>
      </c>
      <c r="AM470" s="2" t="str">
        <f t="shared" si="83"/>
        <v xml:space="preserve"> </v>
      </c>
      <c r="AN470" s="2" t="str">
        <f t="shared" si="83"/>
        <v xml:space="preserve"> </v>
      </c>
      <c r="AO470" s="2" t="str">
        <f t="shared" si="83"/>
        <v xml:space="preserve"> </v>
      </c>
      <c r="AP470" s="2" t="str">
        <f t="shared" si="83"/>
        <v xml:space="preserve"> </v>
      </c>
      <c r="AQ470" s="25" t="str">
        <f t="shared" si="83"/>
        <v xml:space="preserve"> </v>
      </c>
      <c r="AR470" s="12">
        <f t="shared" si="79"/>
        <v>0</v>
      </c>
    </row>
    <row r="471" spans="1:44" x14ac:dyDescent="0.25">
      <c r="A471" s="12">
        <f t="shared" si="78"/>
        <v>0</v>
      </c>
      <c r="B471" s="12">
        <f>IF(AND($C$420&gt;$C$419,($B$454+17)&lt;=$C$420),$C$419+18,0)</f>
        <v>0</v>
      </c>
      <c r="C471" s="26">
        <f t="shared" si="80"/>
        <v>0</v>
      </c>
      <c r="D471" s="26" t="str">
        <f t="shared" si="82"/>
        <v xml:space="preserve"> </v>
      </c>
      <c r="E471" s="2" t="str">
        <f t="shared" si="82"/>
        <v xml:space="preserve"> </v>
      </c>
      <c r="F471" s="2" t="str">
        <f t="shared" si="82"/>
        <v xml:space="preserve"> </v>
      </c>
      <c r="G471" s="2" t="str">
        <f t="shared" si="82"/>
        <v xml:space="preserve"> </v>
      </c>
      <c r="H471" s="2" t="str">
        <f t="shared" si="82"/>
        <v xml:space="preserve"> </v>
      </c>
      <c r="I471" s="2" t="str">
        <f t="shared" si="82"/>
        <v xml:space="preserve"> </v>
      </c>
      <c r="J471" s="2" t="str">
        <f t="shared" si="82"/>
        <v xml:space="preserve"> </v>
      </c>
      <c r="K471" s="2" t="str">
        <f t="shared" si="82"/>
        <v xml:space="preserve"> </v>
      </c>
      <c r="L471" s="2" t="str">
        <f t="shared" si="82"/>
        <v xml:space="preserve"> </v>
      </c>
      <c r="M471" s="2" t="str">
        <f t="shared" si="82"/>
        <v xml:space="preserve"> </v>
      </c>
      <c r="N471" s="2" t="str">
        <f t="shared" si="81"/>
        <v xml:space="preserve"> </v>
      </c>
      <c r="O471" s="2" t="str">
        <f t="shared" si="81"/>
        <v xml:space="preserve"> </v>
      </c>
      <c r="P471" s="2" t="str">
        <f t="shared" si="81"/>
        <v xml:space="preserve"> </v>
      </c>
      <c r="Q471" s="2" t="str">
        <f t="shared" si="81"/>
        <v xml:space="preserve"> </v>
      </c>
      <c r="R471" s="2" t="str">
        <f t="shared" si="81"/>
        <v xml:space="preserve"> </v>
      </c>
      <c r="S471" s="2" t="str">
        <f t="shared" si="81"/>
        <v xml:space="preserve"> </v>
      </c>
      <c r="T471" s="2" t="str">
        <f t="shared" si="81"/>
        <v xml:space="preserve"> </v>
      </c>
      <c r="U471" s="2" t="str">
        <f t="shared" si="81"/>
        <v xml:space="preserve"> </v>
      </c>
      <c r="V471" s="2" t="str">
        <f t="shared" si="81"/>
        <v xml:space="preserve"> </v>
      </c>
      <c r="W471" s="2" t="str">
        <f t="shared" si="81"/>
        <v xml:space="preserve"> </v>
      </c>
      <c r="X471" s="2" t="str">
        <f t="shared" si="81"/>
        <v xml:space="preserve"> </v>
      </c>
      <c r="Y471" s="2" t="str">
        <f t="shared" si="81"/>
        <v xml:space="preserve"> </v>
      </c>
      <c r="Z471" s="2" t="str">
        <f t="shared" si="81"/>
        <v xml:space="preserve"> </v>
      </c>
      <c r="AA471" s="2" t="str">
        <f t="shared" si="81"/>
        <v xml:space="preserve"> </v>
      </c>
      <c r="AB471" s="2" t="str">
        <f t="shared" si="81"/>
        <v xml:space="preserve"> </v>
      </c>
      <c r="AC471" s="2" t="str">
        <f t="shared" si="81"/>
        <v xml:space="preserve"> </v>
      </c>
      <c r="AD471" s="2" t="str">
        <f t="shared" si="83"/>
        <v xml:space="preserve"> </v>
      </c>
      <c r="AE471" s="2" t="str">
        <f t="shared" si="83"/>
        <v xml:space="preserve"> </v>
      </c>
      <c r="AF471" s="2" t="str">
        <f t="shared" si="83"/>
        <v xml:space="preserve"> </v>
      </c>
      <c r="AG471" s="2" t="str">
        <f t="shared" si="83"/>
        <v xml:space="preserve"> </v>
      </c>
      <c r="AH471" s="2" t="str">
        <f t="shared" si="83"/>
        <v xml:space="preserve"> </v>
      </c>
      <c r="AI471" s="2" t="str">
        <f t="shared" si="83"/>
        <v xml:space="preserve"> </v>
      </c>
      <c r="AJ471" s="2" t="str">
        <f t="shared" si="83"/>
        <v xml:space="preserve"> </v>
      </c>
      <c r="AK471" s="2" t="str">
        <f t="shared" si="83"/>
        <v xml:space="preserve"> </v>
      </c>
      <c r="AL471" s="2" t="str">
        <f t="shared" si="83"/>
        <v xml:space="preserve"> </v>
      </c>
      <c r="AM471" s="2" t="str">
        <f t="shared" si="83"/>
        <v xml:space="preserve"> </v>
      </c>
      <c r="AN471" s="2" t="str">
        <f t="shared" si="83"/>
        <v xml:space="preserve"> </v>
      </c>
      <c r="AO471" s="2" t="str">
        <f t="shared" si="83"/>
        <v xml:space="preserve"> </v>
      </c>
      <c r="AP471" s="2" t="str">
        <f t="shared" si="83"/>
        <v xml:space="preserve"> </v>
      </c>
      <c r="AQ471" s="25" t="str">
        <f t="shared" si="83"/>
        <v xml:space="preserve"> </v>
      </c>
      <c r="AR471" s="12">
        <f t="shared" si="79"/>
        <v>0</v>
      </c>
    </row>
    <row r="472" spans="1:44" x14ac:dyDescent="0.25">
      <c r="A472" s="12">
        <f t="shared" si="78"/>
        <v>0</v>
      </c>
      <c r="B472" s="12">
        <f>IF(AND($C$420&gt;$C$419,($B$454+18)&lt;=$C$420),$C$419+19,0)</f>
        <v>0</v>
      </c>
      <c r="C472" s="26">
        <f t="shared" si="80"/>
        <v>0</v>
      </c>
      <c r="D472" s="26" t="str">
        <f t="shared" si="82"/>
        <v xml:space="preserve"> </v>
      </c>
      <c r="E472" s="2" t="str">
        <f t="shared" si="82"/>
        <v xml:space="preserve"> </v>
      </c>
      <c r="F472" s="2" t="str">
        <f t="shared" si="82"/>
        <v xml:space="preserve"> </v>
      </c>
      <c r="G472" s="2" t="str">
        <f t="shared" si="82"/>
        <v xml:space="preserve"> </v>
      </c>
      <c r="H472" s="2" t="str">
        <f t="shared" si="82"/>
        <v xml:space="preserve"> </v>
      </c>
      <c r="I472" s="2" t="str">
        <f t="shared" si="82"/>
        <v xml:space="preserve"> </v>
      </c>
      <c r="J472" s="2" t="str">
        <f t="shared" si="82"/>
        <v xml:space="preserve"> </v>
      </c>
      <c r="K472" s="2" t="str">
        <f t="shared" si="82"/>
        <v xml:space="preserve"> </v>
      </c>
      <c r="L472" s="2" t="str">
        <f t="shared" si="82"/>
        <v xml:space="preserve"> </v>
      </c>
      <c r="M472" s="2" t="str">
        <f t="shared" si="82"/>
        <v xml:space="preserve"> </v>
      </c>
      <c r="N472" s="2" t="str">
        <f t="shared" si="81"/>
        <v xml:space="preserve"> </v>
      </c>
      <c r="O472" s="2" t="str">
        <f t="shared" si="81"/>
        <v xml:space="preserve"> </v>
      </c>
      <c r="P472" s="2" t="str">
        <f t="shared" si="81"/>
        <v xml:space="preserve"> </v>
      </c>
      <c r="Q472" s="2" t="str">
        <f t="shared" si="81"/>
        <v xml:space="preserve"> </v>
      </c>
      <c r="R472" s="2" t="str">
        <f t="shared" si="81"/>
        <v xml:space="preserve"> </v>
      </c>
      <c r="S472" s="2" t="str">
        <f t="shared" si="81"/>
        <v xml:space="preserve"> </v>
      </c>
      <c r="T472" s="2" t="str">
        <f t="shared" si="81"/>
        <v xml:space="preserve"> </v>
      </c>
      <c r="U472" s="2" t="str">
        <f t="shared" si="81"/>
        <v xml:space="preserve"> </v>
      </c>
      <c r="V472" s="2" t="str">
        <f t="shared" si="81"/>
        <v xml:space="preserve"> </v>
      </c>
      <c r="W472" s="2" t="str">
        <f t="shared" si="81"/>
        <v xml:space="preserve"> </v>
      </c>
      <c r="X472" s="2" t="str">
        <f t="shared" si="81"/>
        <v xml:space="preserve"> </v>
      </c>
      <c r="Y472" s="2" t="str">
        <f t="shared" si="81"/>
        <v xml:space="preserve"> </v>
      </c>
      <c r="Z472" s="2" t="str">
        <f t="shared" si="81"/>
        <v xml:space="preserve"> </v>
      </c>
      <c r="AA472" s="2" t="str">
        <f t="shared" si="81"/>
        <v xml:space="preserve"> </v>
      </c>
      <c r="AB472" s="2" t="str">
        <f t="shared" si="81"/>
        <v xml:space="preserve"> </v>
      </c>
      <c r="AC472" s="2" t="str">
        <f t="shared" si="81"/>
        <v xml:space="preserve"> </v>
      </c>
      <c r="AD472" s="2" t="str">
        <f t="shared" si="83"/>
        <v xml:space="preserve"> </v>
      </c>
      <c r="AE472" s="2" t="str">
        <f t="shared" si="83"/>
        <v xml:space="preserve"> </v>
      </c>
      <c r="AF472" s="2" t="str">
        <f t="shared" si="83"/>
        <v xml:space="preserve"> </v>
      </c>
      <c r="AG472" s="2" t="str">
        <f t="shared" si="83"/>
        <v xml:space="preserve"> </v>
      </c>
      <c r="AH472" s="2" t="str">
        <f t="shared" si="83"/>
        <v xml:space="preserve"> </v>
      </c>
      <c r="AI472" s="2" t="str">
        <f t="shared" si="83"/>
        <v xml:space="preserve"> </v>
      </c>
      <c r="AJ472" s="2" t="str">
        <f t="shared" si="83"/>
        <v xml:space="preserve"> </v>
      </c>
      <c r="AK472" s="2" t="str">
        <f t="shared" si="83"/>
        <v xml:space="preserve"> </v>
      </c>
      <c r="AL472" s="2" t="str">
        <f t="shared" si="83"/>
        <v xml:space="preserve"> </v>
      </c>
      <c r="AM472" s="2" t="str">
        <f t="shared" si="83"/>
        <v xml:space="preserve"> </v>
      </c>
      <c r="AN472" s="2" t="str">
        <f t="shared" si="83"/>
        <v xml:space="preserve"> </v>
      </c>
      <c r="AO472" s="2" t="str">
        <f t="shared" si="83"/>
        <v xml:space="preserve"> </v>
      </c>
      <c r="AP472" s="2" t="str">
        <f t="shared" si="83"/>
        <v xml:space="preserve"> </v>
      </c>
      <c r="AQ472" s="25" t="str">
        <f t="shared" si="83"/>
        <v xml:space="preserve"> </v>
      </c>
      <c r="AR472" s="12">
        <f t="shared" si="79"/>
        <v>0</v>
      </c>
    </row>
    <row r="473" spans="1:44" x14ac:dyDescent="0.25">
      <c r="A473" s="12">
        <f t="shared" si="78"/>
        <v>0</v>
      </c>
      <c r="B473" s="12">
        <f>IF(AND($C$420&gt;$C$419,($B$454+19)&lt;=$C$420),$C$419+20,0)</f>
        <v>0</v>
      </c>
      <c r="C473" s="26">
        <f t="shared" si="80"/>
        <v>0</v>
      </c>
      <c r="D473" s="26" t="str">
        <f t="shared" si="82"/>
        <v xml:space="preserve"> </v>
      </c>
      <c r="E473" s="2" t="str">
        <f t="shared" si="82"/>
        <v xml:space="preserve"> </v>
      </c>
      <c r="F473" s="2" t="str">
        <f t="shared" si="82"/>
        <v xml:space="preserve"> </v>
      </c>
      <c r="G473" s="2" t="str">
        <f t="shared" si="82"/>
        <v xml:space="preserve"> </v>
      </c>
      <c r="H473" s="2" t="str">
        <f t="shared" si="82"/>
        <v xml:space="preserve"> </v>
      </c>
      <c r="I473" s="2" t="str">
        <f t="shared" si="82"/>
        <v xml:space="preserve"> </v>
      </c>
      <c r="J473" s="2" t="str">
        <f t="shared" si="82"/>
        <v xml:space="preserve"> </v>
      </c>
      <c r="K473" s="2" t="str">
        <f t="shared" si="82"/>
        <v xml:space="preserve"> </v>
      </c>
      <c r="L473" s="2" t="str">
        <f t="shared" si="82"/>
        <v xml:space="preserve"> </v>
      </c>
      <c r="M473" s="2" t="str">
        <f t="shared" si="82"/>
        <v xml:space="preserve"> </v>
      </c>
      <c r="N473" s="2" t="str">
        <f t="shared" si="81"/>
        <v xml:space="preserve"> </v>
      </c>
      <c r="O473" s="2" t="str">
        <f t="shared" si="81"/>
        <v xml:space="preserve"> </v>
      </c>
      <c r="P473" s="2" t="str">
        <f t="shared" si="81"/>
        <v xml:space="preserve"> </v>
      </c>
      <c r="Q473" s="2" t="str">
        <f t="shared" si="81"/>
        <v xml:space="preserve"> </v>
      </c>
      <c r="R473" s="2" t="str">
        <f t="shared" si="81"/>
        <v xml:space="preserve"> </v>
      </c>
      <c r="S473" s="2" t="str">
        <f t="shared" si="81"/>
        <v xml:space="preserve"> </v>
      </c>
      <c r="T473" s="2" t="str">
        <f t="shared" si="81"/>
        <v xml:space="preserve"> </v>
      </c>
      <c r="U473" s="2" t="str">
        <f t="shared" si="81"/>
        <v xml:space="preserve"> </v>
      </c>
      <c r="V473" s="2" t="str">
        <f t="shared" si="81"/>
        <v xml:space="preserve"> </v>
      </c>
      <c r="W473" s="2" t="str">
        <f t="shared" si="81"/>
        <v xml:space="preserve"> </v>
      </c>
      <c r="X473" s="2" t="str">
        <f t="shared" si="81"/>
        <v xml:space="preserve"> </v>
      </c>
      <c r="Y473" s="2" t="str">
        <f t="shared" si="81"/>
        <v xml:space="preserve"> </v>
      </c>
      <c r="Z473" s="2" t="str">
        <f t="shared" si="81"/>
        <v xml:space="preserve"> </v>
      </c>
      <c r="AA473" s="2" t="str">
        <f t="shared" si="81"/>
        <v xml:space="preserve"> </v>
      </c>
      <c r="AB473" s="2" t="str">
        <f t="shared" si="81"/>
        <v xml:space="preserve"> </v>
      </c>
      <c r="AC473" s="2" t="str">
        <f t="shared" si="81"/>
        <v xml:space="preserve"> </v>
      </c>
      <c r="AD473" s="2" t="str">
        <f t="shared" si="83"/>
        <v xml:space="preserve"> </v>
      </c>
      <c r="AE473" s="2" t="str">
        <f t="shared" si="83"/>
        <v xml:space="preserve"> </v>
      </c>
      <c r="AF473" s="2" t="str">
        <f t="shared" si="83"/>
        <v xml:space="preserve"> </v>
      </c>
      <c r="AG473" s="2" t="str">
        <f t="shared" si="83"/>
        <v xml:space="preserve"> </v>
      </c>
      <c r="AH473" s="2" t="str">
        <f t="shared" si="83"/>
        <v xml:space="preserve"> </v>
      </c>
      <c r="AI473" s="2" t="str">
        <f t="shared" si="83"/>
        <v xml:space="preserve"> </v>
      </c>
      <c r="AJ473" s="2" t="str">
        <f t="shared" si="83"/>
        <v xml:space="preserve"> </v>
      </c>
      <c r="AK473" s="2" t="str">
        <f t="shared" si="83"/>
        <v xml:space="preserve"> </v>
      </c>
      <c r="AL473" s="2" t="str">
        <f t="shared" si="83"/>
        <v xml:space="preserve"> </v>
      </c>
      <c r="AM473" s="2" t="str">
        <f t="shared" si="83"/>
        <v xml:space="preserve"> </v>
      </c>
      <c r="AN473" s="2" t="str">
        <f t="shared" si="83"/>
        <v xml:space="preserve"> </v>
      </c>
      <c r="AO473" s="2" t="str">
        <f t="shared" si="83"/>
        <v xml:space="preserve"> </v>
      </c>
      <c r="AP473" s="2" t="str">
        <f t="shared" si="83"/>
        <v xml:space="preserve"> </v>
      </c>
      <c r="AQ473" s="25" t="str">
        <f t="shared" si="83"/>
        <v xml:space="preserve"> </v>
      </c>
      <c r="AR473" s="12">
        <f t="shared" si="79"/>
        <v>0</v>
      </c>
    </row>
    <row r="474" spans="1:44" x14ac:dyDescent="0.25">
      <c r="A474" s="12">
        <f t="shared" si="78"/>
        <v>0</v>
      </c>
      <c r="B474" s="12">
        <f>IF(AND($C$420&gt;$C$419,($B$454+20)&lt;=$C$420),$C$419+21,0)</f>
        <v>0</v>
      </c>
      <c r="C474" s="26">
        <f t="shared" si="80"/>
        <v>0</v>
      </c>
      <c r="D474" s="26" t="str">
        <f t="shared" si="82"/>
        <v xml:space="preserve"> </v>
      </c>
      <c r="E474" s="2" t="str">
        <f t="shared" si="82"/>
        <v xml:space="preserve"> </v>
      </c>
      <c r="F474" s="2" t="str">
        <f t="shared" si="82"/>
        <v xml:space="preserve"> </v>
      </c>
      <c r="G474" s="2" t="str">
        <f t="shared" si="82"/>
        <v xml:space="preserve"> </v>
      </c>
      <c r="H474" s="2" t="str">
        <f t="shared" si="82"/>
        <v xml:space="preserve"> </v>
      </c>
      <c r="I474" s="2" t="str">
        <f t="shared" si="82"/>
        <v xml:space="preserve"> </v>
      </c>
      <c r="J474" s="2" t="str">
        <f t="shared" si="82"/>
        <v xml:space="preserve"> </v>
      </c>
      <c r="K474" s="2" t="str">
        <f t="shared" si="82"/>
        <v xml:space="preserve"> </v>
      </c>
      <c r="L474" s="2" t="str">
        <f t="shared" si="82"/>
        <v xml:space="preserve"> </v>
      </c>
      <c r="M474" s="2" t="str">
        <f t="shared" si="82"/>
        <v xml:space="preserve"> </v>
      </c>
      <c r="N474" s="2" t="str">
        <f t="shared" si="81"/>
        <v xml:space="preserve"> </v>
      </c>
      <c r="O474" s="2" t="str">
        <f t="shared" si="81"/>
        <v xml:space="preserve"> </v>
      </c>
      <c r="P474" s="2" t="str">
        <f t="shared" si="81"/>
        <v xml:space="preserve"> </v>
      </c>
      <c r="Q474" s="2" t="str">
        <f t="shared" si="81"/>
        <v xml:space="preserve"> </v>
      </c>
      <c r="R474" s="2" t="str">
        <f t="shared" si="81"/>
        <v xml:space="preserve"> </v>
      </c>
      <c r="S474" s="2" t="str">
        <f t="shared" si="81"/>
        <v xml:space="preserve"> </v>
      </c>
      <c r="T474" s="2" t="str">
        <f t="shared" si="81"/>
        <v xml:space="preserve"> </v>
      </c>
      <c r="U474" s="2" t="str">
        <f t="shared" si="81"/>
        <v xml:space="preserve"> </v>
      </c>
      <c r="V474" s="2" t="str">
        <f t="shared" si="81"/>
        <v xml:space="preserve"> </v>
      </c>
      <c r="W474" s="2" t="str">
        <f t="shared" si="81"/>
        <v xml:space="preserve"> </v>
      </c>
      <c r="X474" s="2" t="str">
        <f t="shared" si="81"/>
        <v xml:space="preserve"> </v>
      </c>
      <c r="Y474" s="2" t="str">
        <f t="shared" si="81"/>
        <v xml:space="preserve"> </v>
      </c>
      <c r="Z474" s="2" t="str">
        <f t="shared" si="81"/>
        <v xml:space="preserve"> </v>
      </c>
      <c r="AA474" s="2" t="str">
        <f t="shared" si="81"/>
        <v xml:space="preserve"> </v>
      </c>
      <c r="AB474" s="2" t="str">
        <f t="shared" si="81"/>
        <v xml:space="preserve"> </v>
      </c>
      <c r="AC474" s="2" t="str">
        <f t="shared" si="81"/>
        <v xml:space="preserve"> </v>
      </c>
      <c r="AD474" s="2" t="str">
        <f t="shared" si="83"/>
        <v xml:space="preserve"> </v>
      </c>
      <c r="AE474" s="2" t="str">
        <f t="shared" si="83"/>
        <v xml:space="preserve"> </v>
      </c>
      <c r="AF474" s="2" t="str">
        <f t="shared" si="83"/>
        <v xml:space="preserve"> </v>
      </c>
      <c r="AG474" s="2" t="str">
        <f t="shared" si="83"/>
        <v xml:space="preserve"> </v>
      </c>
      <c r="AH474" s="2" t="str">
        <f t="shared" si="83"/>
        <v xml:space="preserve"> </v>
      </c>
      <c r="AI474" s="2" t="str">
        <f t="shared" si="83"/>
        <v xml:space="preserve"> </v>
      </c>
      <c r="AJ474" s="2" t="str">
        <f t="shared" si="83"/>
        <v xml:space="preserve"> </v>
      </c>
      <c r="AK474" s="2" t="str">
        <f t="shared" si="83"/>
        <v xml:space="preserve"> </v>
      </c>
      <c r="AL474" s="2" t="str">
        <f t="shared" si="83"/>
        <v xml:space="preserve"> </v>
      </c>
      <c r="AM474" s="2" t="str">
        <f t="shared" si="83"/>
        <v xml:space="preserve"> </v>
      </c>
      <c r="AN474" s="2" t="str">
        <f t="shared" si="83"/>
        <v xml:space="preserve"> </v>
      </c>
      <c r="AO474" s="2" t="str">
        <f t="shared" si="83"/>
        <v xml:space="preserve"> </v>
      </c>
      <c r="AP474" s="2" t="str">
        <f t="shared" si="83"/>
        <v xml:space="preserve"> </v>
      </c>
      <c r="AQ474" s="25" t="str">
        <f t="shared" si="83"/>
        <v xml:space="preserve"> </v>
      </c>
      <c r="AR474" s="12">
        <f t="shared" si="79"/>
        <v>0</v>
      </c>
    </row>
    <row r="475" spans="1:44" x14ac:dyDescent="0.25">
      <c r="A475" s="12">
        <f t="shared" si="78"/>
        <v>0</v>
      </c>
      <c r="B475" s="12">
        <f>IF(AND($C$420&gt;$C$419,($B$454+21)&lt;=$C$420),$C$419+22,0)</f>
        <v>0</v>
      </c>
      <c r="C475" s="26">
        <f t="shared" si="80"/>
        <v>0</v>
      </c>
      <c r="D475" s="26" t="str">
        <f t="shared" si="82"/>
        <v xml:space="preserve"> </v>
      </c>
      <c r="E475" s="2" t="str">
        <f t="shared" si="82"/>
        <v xml:space="preserve"> </v>
      </c>
      <c r="F475" s="2" t="str">
        <f t="shared" si="82"/>
        <v xml:space="preserve"> </v>
      </c>
      <c r="G475" s="2" t="str">
        <f t="shared" si="82"/>
        <v xml:space="preserve"> </v>
      </c>
      <c r="H475" s="2" t="str">
        <f t="shared" si="82"/>
        <v xml:space="preserve"> </v>
      </c>
      <c r="I475" s="2" t="str">
        <f t="shared" si="82"/>
        <v xml:space="preserve"> </v>
      </c>
      <c r="J475" s="2" t="str">
        <f t="shared" si="82"/>
        <v xml:space="preserve"> </v>
      </c>
      <c r="K475" s="2" t="str">
        <f t="shared" si="82"/>
        <v xml:space="preserve"> </v>
      </c>
      <c r="L475" s="2" t="str">
        <f t="shared" si="82"/>
        <v xml:space="preserve"> </v>
      </c>
      <c r="M475" s="2" t="str">
        <f t="shared" si="82"/>
        <v xml:space="preserve"> </v>
      </c>
      <c r="N475" s="2" t="str">
        <f t="shared" si="81"/>
        <v xml:space="preserve"> </v>
      </c>
      <c r="O475" s="2" t="str">
        <f t="shared" si="81"/>
        <v xml:space="preserve"> </v>
      </c>
      <c r="P475" s="2" t="str">
        <f t="shared" si="81"/>
        <v xml:space="preserve"> </v>
      </c>
      <c r="Q475" s="2" t="str">
        <f t="shared" si="81"/>
        <v xml:space="preserve"> </v>
      </c>
      <c r="R475" s="2" t="str">
        <f t="shared" si="81"/>
        <v xml:space="preserve"> </v>
      </c>
      <c r="S475" s="2" t="str">
        <f t="shared" si="81"/>
        <v xml:space="preserve"> </v>
      </c>
      <c r="T475" s="2" t="str">
        <f t="shared" si="81"/>
        <v xml:space="preserve"> </v>
      </c>
      <c r="U475" s="2" t="str">
        <f t="shared" si="81"/>
        <v xml:space="preserve"> </v>
      </c>
      <c r="V475" s="2" t="str">
        <f t="shared" si="81"/>
        <v xml:space="preserve"> </v>
      </c>
      <c r="W475" s="2" t="str">
        <f t="shared" si="81"/>
        <v xml:space="preserve"> </v>
      </c>
      <c r="X475" s="2" t="str">
        <f t="shared" si="81"/>
        <v xml:space="preserve"> </v>
      </c>
      <c r="Y475" s="2" t="str">
        <f t="shared" si="81"/>
        <v xml:space="preserve"> </v>
      </c>
      <c r="Z475" s="2" t="str">
        <f t="shared" si="81"/>
        <v xml:space="preserve"> </v>
      </c>
      <c r="AA475" s="2" t="str">
        <f t="shared" si="81"/>
        <v xml:space="preserve"> </v>
      </c>
      <c r="AB475" s="2" t="str">
        <f t="shared" si="81"/>
        <v xml:space="preserve"> </v>
      </c>
      <c r="AC475" s="2" t="str">
        <f t="shared" si="81"/>
        <v xml:space="preserve"> </v>
      </c>
      <c r="AD475" s="2" t="str">
        <f t="shared" si="83"/>
        <v xml:space="preserve"> </v>
      </c>
      <c r="AE475" s="2" t="str">
        <f t="shared" si="83"/>
        <v xml:space="preserve"> </v>
      </c>
      <c r="AF475" s="2" t="str">
        <f t="shared" si="83"/>
        <v xml:space="preserve"> </v>
      </c>
      <c r="AG475" s="2" t="str">
        <f t="shared" si="83"/>
        <v xml:space="preserve"> </v>
      </c>
      <c r="AH475" s="2" t="str">
        <f t="shared" si="83"/>
        <v xml:space="preserve"> </v>
      </c>
      <c r="AI475" s="2" t="str">
        <f t="shared" si="83"/>
        <v xml:space="preserve"> </v>
      </c>
      <c r="AJ475" s="2" t="str">
        <f t="shared" si="83"/>
        <v xml:space="preserve"> </v>
      </c>
      <c r="AK475" s="2" t="str">
        <f t="shared" si="83"/>
        <v xml:space="preserve"> </v>
      </c>
      <c r="AL475" s="2" t="str">
        <f t="shared" si="83"/>
        <v xml:space="preserve"> </v>
      </c>
      <c r="AM475" s="2" t="str">
        <f t="shared" si="83"/>
        <v xml:space="preserve"> </v>
      </c>
      <c r="AN475" s="2" t="str">
        <f t="shared" si="83"/>
        <v xml:space="preserve"> </v>
      </c>
      <c r="AO475" s="2" t="str">
        <f t="shared" si="83"/>
        <v xml:space="preserve"> </v>
      </c>
      <c r="AP475" s="2" t="str">
        <f t="shared" si="83"/>
        <v xml:space="preserve"> </v>
      </c>
      <c r="AQ475" s="25" t="str">
        <f t="shared" si="83"/>
        <v xml:space="preserve"> </v>
      </c>
      <c r="AR475" s="12">
        <f t="shared" si="79"/>
        <v>0</v>
      </c>
    </row>
    <row r="476" spans="1:44" x14ac:dyDescent="0.25">
      <c r="A476" s="12">
        <f t="shared" si="78"/>
        <v>0</v>
      </c>
      <c r="B476" s="12">
        <f>IF(AND($C$420&gt;$C$419,($B$454+22)&lt;=$C$420),$C$419+23,0)</f>
        <v>0</v>
      </c>
      <c r="C476" s="26">
        <f t="shared" si="80"/>
        <v>0</v>
      </c>
      <c r="D476" s="26" t="str">
        <f t="shared" si="82"/>
        <v xml:space="preserve"> </v>
      </c>
      <c r="E476" s="2" t="str">
        <f t="shared" si="82"/>
        <v xml:space="preserve"> </v>
      </c>
      <c r="F476" s="2" t="str">
        <f t="shared" si="82"/>
        <v xml:space="preserve"> </v>
      </c>
      <c r="G476" s="2" t="str">
        <f t="shared" si="82"/>
        <v xml:space="preserve"> </v>
      </c>
      <c r="H476" s="2" t="str">
        <f t="shared" si="82"/>
        <v xml:space="preserve"> </v>
      </c>
      <c r="I476" s="2" t="str">
        <f t="shared" si="82"/>
        <v xml:space="preserve"> </v>
      </c>
      <c r="J476" s="2" t="str">
        <f t="shared" si="82"/>
        <v xml:space="preserve"> </v>
      </c>
      <c r="K476" s="2" t="str">
        <f t="shared" si="82"/>
        <v xml:space="preserve"> </v>
      </c>
      <c r="L476" s="2" t="str">
        <f t="shared" si="82"/>
        <v xml:space="preserve"> </v>
      </c>
      <c r="M476" s="2" t="str">
        <f t="shared" si="82"/>
        <v xml:space="preserve"> </v>
      </c>
      <c r="N476" s="2" t="str">
        <f t="shared" si="81"/>
        <v xml:space="preserve"> </v>
      </c>
      <c r="O476" s="2" t="str">
        <f t="shared" si="81"/>
        <v xml:space="preserve"> </v>
      </c>
      <c r="P476" s="2" t="str">
        <f t="shared" si="81"/>
        <v xml:space="preserve"> </v>
      </c>
      <c r="Q476" s="2" t="str">
        <f t="shared" si="81"/>
        <v xml:space="preserve"> </v>
      </c>
      <c r="R476" s="2" t="str">
        <f t="shared" si="81"/>
        <v xml:space="preserve"> </v>
      </c>
      <c r="S476" s="2" t="str">
        <f t="shared" si="81"/>
        <v xml:space="preserve"> </v>
      </c>
      <c r="T476" s="2" t="str">
        <f t="shared" si="81"/>
        <v xml:space="preserve"> </v>
      </c>
      <c r="U476" s="2" t="str">
        <f t="shared" si="81"/>
        <v xml:space="preserve"> </v>
      </c>
      <c r="V476" s="2" t="str">
        <f t="shared" si="81"/>
        <v xml:space="preserve"> </v>
      </c>
      <c r="W476" s="2" t="str">
        <f t="shared" si="81"/>
        <v xml:space="preserve"> </v>
      </c>
      <c r="X476" s="2" t="str">
        <f t="shared" si="81"/>
        <v xml:space="preserve"> </v>
      </c>
      <c r="Y476" s="2" t="str">
        <f t="shared" si="81"/>
        <v xml:space="preserve"> </v>
      </c>
      <c r="Z476" s="2" t="str">
        <f t="shared" si="81"/>
        <v xml:space="preserve"> </v>
      </c>
      <c r="AA476" s="2" t="str">
        <f t="shared" si="81"/>
        <v xml:space="preserve"> </v>
      </c>
      <c r="AB476" s="2" t="str">
        <f t="shared" si="81"/>
        <v xml:space="preserve"> </v>
      </c>
      <c r="AC476" s="2" t="str">
        <f t="shared" si="81"/>
        <v xml:space="preserve"> </v>
      </c>
      <c r="AD476" s="2" t="str">
        <f t="shared" si="83"/>
        <v xml:space="preserve"> </v>
      </c>
      <c r="AE476" s="2" t="str">
        <f t="shared" si="83"/>
        <v xml:space="preserve"> </v>
      </c>
      <c r="AF476" s="2" t="str">
        <f t="shared" si="83"/>
        <v xml:space="preserve"> </v>
      </c>
      <c r="AG476" s="2" t="str">
        <f t="shared" si="83"/>
        <v xml:space="preserve"> </v>
      </c>
      <c r="AH476" s="2" t="str">
        <f t="shared" si="83"/>
        <v xml:space="preserve"> </v>
      </c>
      <c r="AI476" s="2" t="str">
        <f t="shared" si="83"/>
        <v xml:space="preserve"> </v>
      </c>
      <c r="AJ476" s="2" t="str">
        <f t="shared" si="83"/>
        <v xml:space="preserve"> </v>
      </c>
      <c r="AK476" s="2" t="str">
        <f t="shared" si="83"/>
        <v xml:space="preserve"> </v>
      </c>
      <c r="AL476" s="2" t="str">
        <f t="shared" si="83"/>
        <v xml:space="preserve"> </v>
      </c>
      <c r="AM476" s="2" t="str">
        <f t="shared" si="83"/>
        <v xml:space="preserve"> </v>
      </c>
      <c r="AN476" s="2" t="str">
        <f t="shared" si="83"/>
        <v xml:space="preserve"> </v>
      </c>
      <c r="AO476" s="2" t="str">
        <f t="shared" si="83"/>
        <v xml:space="preserve"> </v>
      </c>
      <c r="AP476" s="2" t="str">
        <f t="shared" si="83"/>
        <v xml:space="preserve"> </v>
      </c>
      <c r="AQ476" s="25" t="str">
        <f t="shared" si="83"/>
        <v xml:space="preserve"> </v>
      </c>
      <c r="AR476" s="12">
        <f t="shared" si="79"/>
        <v>0</v>
      </c>
    </row>
    <row r="477" spans="1:44" x14ac:dyDescent="0.25">
      <c r="A477" s="12">
        <f t="shared" si="78"/>
        <v>0</v>
      </c>
      <c r="B477" s="12">
        <f>IF(AND($C$420&gt;$C$419,($B$454+23)&lt;=$C$420),$C$419+24,0)</f>
        <v>0</v>
      </c>
      <c r="C477" s="26">
        <f t="shared" si="80"/>
        <v>0</v>
      </c>
      <c r="D477" s="26" t="str">
        <f t="shared" si="82"/>
        <v xml:space="preserve"> </v>
      </c>
      <c r="E477" s="2" t="str">
        <f t="shared" si="82"/>
        <v xml:space="preserve"> </v>
      </c>
      <c r="F477" s="2" t="str">
        <f t="shared" si="82"/>
        <v xml:space="preserve"> </v>
      </c>
      <c r="G477" s="2" t="str">
        <f t="shared" si="82"/>
        <v xml:space="preserve"> </v>
      </c>
      <c r="H477" s="2" t="str">
        <f t="shared" si="82"/>
        <v xml:space="preserve"> </v>
      </c>
      <c r="I477" s="2" t="str">
        <f t="shared" si="82"/>
        <v xml:space="preserve"> </v>
      </c>
      <c r="J477" s="2" t="str">
        <f t="shared" si="82"/>
        <v xml:space="preserve"> </v>
      </c>
      <c r="K477" s="2" t="str">
        <f t="shared" si="82"/>
        <v xml:space="preserve"> </v>
      </c>
      <c r="L477" s="2" t="str">
        <f t="shared" si="82"/>
        <v xml:space="preserve"> </v>
      </c>
      <c r="M477" s="2" t="str">
        <f t="shared" si="82"/>
        <v xml:space="preserve"> </v>
      </c>
      <c r="N477" s="2" t="str">
        <f t="shared" si="81"/>
        <v xml:space="preserve"> </v>
      </c>
      <c r="O477" s="2" t="str">
        <f t="shared" si="81"/>
        <v xml:space="preserve"> </v>
      </c>
      <c r="P477" s="2" t="str">
        <f t="shared" si="81"/>
        <v xml:space="preserve"> </v>
      </c>
      <c r="Q477" s="2" t="str">
        <f t="shared" si="81"/>
        <v xml:space="preserve"> </v>
      </c>
      <c r="R477" s="2" t="str">
        <f t="shared" si="81"/>
        <v xml:space="preserve"> </v>
      </c>
      <c r="S477" s="2" t="str">
        <f t="shared" si="81"/>
        <v xml:space="preserve"> </v>
      </c>
      <c r="T477" s="2" t="str">
        <f t="shared" si="81"/>
        <v xml:space="preserve"> </v>
      </c>
      <c r="U477" s="2" t="str">
        <f t="shared" si="81"/>
        <v xml:space="preserve"> </v>
      </c>
      <c r="V477" s="2" t="str">
        <f t="shared" si="81"/>
        <v xml:space="preserve"> </v>
      </c>
      <c r="W477" s="2" t="str">
        <f t="shared" si="81"/>
        <v xml:space="preserve"> </v>
      </c>
      <c r="X477" s="2" t="str">
        <f t="shared" si="81"/>
        <v xml:space="preserve"> </v>
      </c>
      <c r="Y477" s="2" t="str">
        <f t="shared" si="81"/>
        <v xml:space="preserve"> </v>
      </c>
      <c r="Z477" s="2" t="str">
        <f t="shared" si="81"/>
        <v xml:space="preserve"> </v>
      </c>
      <c r="AA477" s="2" t="str">
        <f t="shared" si="81"/>
        <v xml:space="preserve"> </v>
      </c>
      <c r="AB477" s="2" t="str">
        <f t="shared" si="81"/>
        <v xml:space="preserve"> </v>
      </c>
      <c r="AC477" s="2" t="str">
        <f t="shared" si="81"/>
        <v xml:space="preserve"> </v>
      </c>
      <c r="AD477" s="2" t="str">
        <f t="shared" si="83"/>
        <v xml:space="preserve"> </v>
      </c>
      <c r="AE477" s="2" t="str">
        <f t="shared" si="83"/>
        <v xml:space="preserve"> </v>
      </c>
      <c r="AF477" s="2" t="str">
        <f t="shared" si="83"/>
        <v xml:space="preserve"> </v>
      </c>
      <c r="AG477" s="2" t="str">
        <f t="shared" si="83"/>
        <v xml:space="preserve"> </v>
      </c>
      <c r="AH477" s="2" t="str">
        <f t="shared" si="83"/>
        <v xml:space="preserve"> </v>
      </c>
      <c r="AI477" s="2" t="str">
        <f t="shared" si="83"/>
        <v xml:space="preserve"> </v>
      </c>
      <c r="AJ477" s="2" t="str">
        <f t="shared" si="83"/>
        <v xml:space="preserve"> </v>
      </c>
      <c r="AK477" s="2" t="str">
        <f t="shared" si="83"/>
        <v xml:space="preserve"> </v>
      </c>
      <c r="AL477" s="2" t="str">
        <f t="shared" si="83"/>
        <v xml:space="preserve"> </v>
      </c>
      <c r="AM477" s="2" t="str">
        <f t="shared" si="83"/>
        <v xml:space="preserve"> </v>
      </c>
      <c r="AN477" s="2" t="str">
        <f t="shared" si="83"/>
        <v xml:space="preserve"> </v>
      </c>
      <c r="AO477" s="2" t="str">
        <f t="shared" si="83"/>
        <v xml:space="preserve"> </v>
      </c>
      <c r="AP477" s="2" t="str">
        <f t="shared" si="83"/>
        <v xml:space="preserve"> </v>
      </c>
      <c r="AQ477" s="25" t="str">
        <f t="shared" si="83"/>
        <v xml:space="preserve"> </v>
      </c>
      <c r="AR477" s="12">
        <f t="shared" si="79"/>
        <v>0</v>
      </c>
    </row>
    <row r="478" spans="1:44" x14ac:dyDescent="0.25">
      <c r="A478" s="12">
        <f t="shared" si="78"/>
        <v>0</v>
      </c>
      <c r="B478" s="12">
        <f>IF(AND($C$420&gt;$C$419,($B$454+24)&lt;=$C$420),$C$419+25,0)</f>
        <v>0</v>
      </c>
      <c r="C478" s="26">
        <f t="shared" si="80"/>
        <v>0</v>
      </c>
      <c r="D478" s="26" t="str">
        <f t="shared" si="82"/>
        <v xml:space="preserve"> </v>
      </c>
      <c r="E478" s="2" t="str">
        <f t="shared" si="82"/>
        <v xml:space="preserve"> </v>
      </c>
      <c r="F478" s="2" t="str">
        <f t="shared" si="82"/>
        <v xml:space="preserve"> </v>
      </c>
      <c r="G478" s="2" t="str">
        <f t="shared" si="82"/>
        <v xml:space="preserve"> </v>
      </c>
      <c r="H478" s="2" t="str">
        <f t="shared" si="82"/>
        <v xml:space="preserve"> </v>
      </c>
      <c r="I478" s="2" t="str">
        <f t="shared" si="82"/>
        <v xml:space="preserve"> </v>
      </c>
      <c r="J478" s="2" t="str">
        <f t="shared" si="82"/>
        <v xml:space="preserve"> </v>
      </c>
      <c r="K478" s="2" t="str">
        <f t="shared" si="82"/>
        <v xml:space="preserve"> </v>
      </c>
      <c r="L478" s="2" t="str">
        <f t="shared" si="82"/>
        <v xml:space="preserve"> </v>
      </c>
      <c r="M478" s="2" t="str">
        <f t="shared" si="82"/>
        <v xml:space="preserve"> </v>
      </c>
      <c r="N478" s="2" t="str">
        <f t="shared" si="81"/>
        <v xml:space="preserve"> </v>
      </c>
      <c r="O478" s="2" t="str">
        <f t="shared" si="81"/>
        <v xml:space="preserve"> </v>
      </c>
      <c r="P478" s="2" t="str">
        <f t="shared" si="81"/>
        <v xml:space="preserve"> </v>
      </c>
      <c r="Q478" s="2" t="str">
        <f t="shared" si="81"/>
        <v xml:space="preserve"> </v>
      </c>
      <c r="R478" s="2" t="str">
        <f t="shared" si="81"/>
        <v xml:space="preserve"> </v>
      </c>
      <c r="S478" s="2" t="str">
        <f t="shared" si="81"/>
        <v xml:space="preserve"> </v>
      </c>
      <c r="T478" s="2" t="str">
        <f t="shared" si="81"/>
        <v xml:space="preserve"> </v>
      </c>
      <c r="U478" s="2" t="str">
        <f t="shared" si="81"/>
        <v xml:space="preserve"> </v>
      </c>
      <c r="V478" s="2" t="str">
        <f t="shared" si="81"/>
        <v xml:space="preserve"> </v>
      </c>
      <c r="W478" s="2" t="str">
        <f t="shared" si="81"/>
        <v xml:space="preserve"> </v>
      </c>
      <c r="X478" s="2" t="str">
        <f t="shared" si="81"/>
        <v xml:space="preserve"> </v>
      </c>
      <c r="Y478" s="2" t="str">
        <f t="shared" si="81"/>
        <v xml:space="preserve"> </v>
      </c>
      <c r="Z478" s="2" t="str">
        <f t="shared" si="81"/>
        <v xml:space="preserve"> </v>
      </c>
      <c r="AA478" s="2" t="str">
        <f t="shared" si="81"/>
        <v xml:space="preserve"> </v>
      </c>
      <c r="AB478" s="2" t="str">
        <f t="shared" si="81"/>
        <v xml:space="preserve"> </v>
      </c>
      <c r="AC478" s="2" t="str">
        <f t="shared" si="81"/>
        <v xml:space="preserve"> </v>
      </c>
      <c r="AD478" s="2" t="str">
        <f t="shared" si="83"/>
        <v xml:space="preserve"> </v>
      </c>
      <c r="AE478" s="2" t="str">
        <f t="shared" si="83"/>
        <v xml:space="preserve"> </v>
      </c>
      <c r="AF478" s="2" t="str">
        <f t="shared" si="83"/>
        <v xml:space="preserve"> </v>
      </c>
      <c r="AG478" s="2" t="str">
        <f t="shared" si="83"/>
        <v xml:space="preserve"> </v>
      </c>
      <c r="AH478" s="2" t="str">
        <f t="shared" si="83"/>
        <v xml:space="preserve"> </v>
      </c>
      <c r="AI478" s="2" t="str">
        <f t="shared" si="83"/>
        <v xml:space="preserve"> </v>
      </c>
      <c r="AJ478" s="2" t="str">
        <f t="shared" si="83"/>
        <v xml:space="preserve"> </v>
      </c>
      <c r="AK478" s="2" t="str">
        <f t="shared" si="83"/>
        <v xml:space="preserve"> </v>
      </c>
      <c r="AL478" s="2" t="str">
        <f t="shared" si="83"/>
        <v xml:space="preserve"> </v>
      </c>
      <c r="AM478" s="2" t="str">
        <f t="shared" si="83"/>
        <v xml:space="preserve"> </v>
      </c>
      <c r="AN478" s="2" t="str">
        <f t="shared" si="83"/>
        <v xml:space="preserve"> </v>
      </c>
      <c r="AO478" s="2" t="str">
        <f t="shared" si="83"/>
        <v xml:space="preserve"> </v>
      </c>
      <c r="AP478" s="2" t="str">
        <f t="shared" si="83"/>
        <v xml:space="preserve"> </v>
      </c>
      <c r="AQ478" s="25" t="str">
        <f t="shared" si="83"/>
        <v xml:space="preserve"> </v>
      </c>
      <c r="AR478" s="12">
        <f t="shared" si="79"/>
        <v>0</v>
      </c>
    </row>
    <row r="479" spans="1:44" x14ac:dyDescent="0.25">
      <c r="A479" s="12">
        <f t="shared" si="78"/>
        <v>0</v>
      </c>
      <c r="B479" s="12">
        <f>IF(AND($C$420&gt;$C$419,($B$454+25)&lt;=$C$420),$C$419+26,0)</f>
        <v>0</v>
      </c>
      <c r="C479" s="26">
        <f t="shared" si="80"/>
        <v>0</v>
      </c>
      <c r="D479" s="26" t="str">
        <f t="shared" si="82"/>
        <v xml:space="preserve"> </v>
      </c>
      <c r="E479" s="2" t="str">
        <f t="shared" si="82"/>
        <v xml:space="preserve"> </v>
      </c>
      <c r="F479" s="2" t="str">
        <f t="shared" si="82"/>
        <v xml:space="preserve"> </v>
      </c>
      <c r="G479" s="2" t="str">
        <f t="shared" si="82"/>
        <v xml:space="preserve"> </v>
      </c>
      <c r="H479" s="2" t="str">
        <f t="shared" si="82"/>
        <v xml:space="preserve"> </v>
      </c>
      <c r="I479" s="2" t="str">
        <f t="shared" si="82"/>
        <v xml:space="preserve"> </v>
      </c>
      <c r="J479" s="2" t="str">
        <f t="shared" si="82"/>
        <v xml:space="preserve"> </v>
      </c>
      <c r="K479" s="2" t="str">
        <f t="shared" si="82"/>
        <v xml:space="preserve"> </v>
      </c>
      <c r="L479" s="2" t="str">
        <f t="shared" si="82"/>
        <v xml:space="preserve"> </v>
      </c>
      <c r="M479" s="2" t="str">
        <f t="shared" si="82"/>
        <v xml:space="preserve"> </v>
      </c>
      <c r="N479" s="2" t="str">
        <f t="shared" si="81"/>
        <v xml:space="preserve"> </v>
      </c>
      <c r="O479" s="2" t="str">
        <f t="shared" si="81"/>
        <v xml:space="preserve"> </v>
      </c>
      <c r="P479" s="2" t="str">
        <f t="shared" si="81"/>
        <v xml:space="preserve"> </v>
      </c>
      <c r="Q479" s="2" t="str">
        <f t="shared" si="81"/>
        <v xml:space="preserve"> </v>
      </c>
      <c r="R479" s="2" t="str">
        <f t="shared" si="81"/>
        <v xml:space="preserve"> </v>
      </c>
      <c r="S479" s="2" t="str">
        <f t="shared" si="81"/>
        <v xml:space="preserve"> </v>
      </c>
      <c r="T479" s="2" t="str">
        <f t="shared" si="81"/>
        <v xml:space="preserve"> </v>
      </c>
      <c r="U479" s="2" t="str">
        <f t="shared" si="81"/>
        <v xml:space="preserve"> </v>
      </c>
      <c r="V479" s="2" t="str">
        <f t="shared" si="81"/>
        <v xml:space="preserve"> </v>
      </c>
      <c r="W479" s="2" t="str">
        <f t="shared" si="81"/>
        <v xml:space="preserve"> </v>
      </c>
      <c r="X479" s="2" t="str">
        <f t="shared" si="81"/>
        <v xml:space="preserve"> </v>
      </c>
      <c r="Y479" s="2" t="str">
        <f t="shared" si="81"/>
        <v xml:space="preserve"> </v>
      </c>
      <c r="Z479" s="2" t="str">
        <f t="shared" si="81"/>
        <v xml:space="preserve"> </v>
      </c>
      <c r="AA479" s="2" t="str">
        <f t="shared" si="81"/>
        <v xml:space="preserve"> </v>
      </c>
      <c r="AB479" s="2" t="str">
        <f t="shared" si="81"/>
        <v xml:space="preserve"> </v>
      </c>
      <c r="AC479" s="2" t="str">
        <f t="shared" si="81"/>
        <v xml:space="preserve"> </v>
      </c>
      <c r="AD479" s="2" t="str">
        <f t="shared" si="83"/>
        <v xml:space="preserve"> </v>
      </c>
      <c r="AE479" s="2" t="str">
        <f t="shared" si="83"/>
        <v xml:space="preserve"> </v>
      </c>
      <c r="AF479" s="2" t="str">
        <f t="shared" si="83"/>
        <v xml:space="preserve"> </v>
      </c>
      <c r="AG479" s="2" t="str">
        <f t="shared" si="83"/>
        <v xml:space="preserve"> </v>
      </c>
      <c r="AH479" s="2" t="str">
        <f t="shared" si="83"/>
        <v xml:space="preserve"> </v>
      </c>
      <c r="AI479" s="2" t="str">
        <f t="shared" si="83"/>
        <v xml:space="preserve"> </v>
      </c>
      <c r="AJ479" s="2" t="str">
        <f t="shared" si="83"/>
        <v xml:space="preserve"> </v>
      </c>
      <c r="AK479" s="2" t="str">
        <f t="shared" si="83"/>
        <v xml:space="preserve"> </v>
      </c>
      <c r="AL479" s="2" t="str">
        <f t="shared" si="83"/>
        <v xml:space="preserve"> </v>
      </c>
      <c r="AM479" s="2" t="str">
        <f t="shared" si="83"/>
        <v xml:space="preserve"> </v>
      </c>
      <c r="AN479" s="2" t="str">
        <f t="shared" si="83"/>
        <v xml:space="preserve"> </v>
      </c>
      <c r="AO479" s="2" t="str">
        <f t="shared" si="83"/>
        <v xml:space="preserve"> </v>
      </c>
      <c r="AP479" s="2" t="str">
        <f t="shared" si="83"/>
        <v xml:space="preserve"> </v>
      </c>
      <c r="AQ479" s="25" t="str">
        <f t="shared" si="83"/>
        <v xml:space="preserve"> </v>
      </c>
      <c r="AR479" s="12">
        <f t="shared" si="79"/>
        <v>0</v>
      </c>
    </row>
    <row r="480" spans="1:44" x14ac:dyDescent="0.25">
      <c r="A480" s="12">
        <f t="shared" si="78"/>
        <v>0</v>
      </c>
      <c r="B480" s="12">
        <f>IF(AND($C$420&gt;$C$419,($B$454+26)&lt;=$C$420),$C$419+27,0)</f>
        <v>0</v>
      </c>
      <c r="C480" s="26">
        <f t="shared" si="80"/>
        <v>0</v>
      </c>
      <c r="D480" s="26" t="str">
        <f t="shared" si="82"/>
        <v xml:space="preserve"> </v>
      </c>
      <c r="E480" s="2" t="str">
        <f t="shared" si="82"/>
        <v xml:space="preserve"> </v>
      </c>
      <c r="F480" s="2" t="str">
        <f t="shared" si="82"/>
        <v xml:space="preserve"> </v>
      </c>
      <c r="G480" s="2" t="str">
        <f t="shared" si="82"/>
        <v xml:space="preserve"> </v>
      </c>
      <c r="H480" s="2" t="str">
        <f t="shared" si="82"/>
        <v xml:space="preserve"> </v>
      </c>
      <c r="I480" s="2" t="str">
        <f t="shared" si="82"/>
        <v xml:space="preserve"> </v>
      </c>
      <c r="J480" s="2" t="str">
        <f t="shared" si="82"/>
        <v xml:space="preserve"> </v>
      </c>
      <c r="K480" s="2" t="str">
        <f t="shared" si="82"/>
        <v xml:space="preserve"> </v>
      </c>
      <c r="L480" s="2" t="str">
        <f t="shared" si="82"/>
        <v xml:space="preserve"> </v>
      </c>
      <c r="M480" s="2" t="str">
        <f t="shared" si="82"/>
        <v xml:space="preserve"> </v>
      </c>
      <c r="N480" s="2" t="str">
        <f t="shared" si="81"/>
        <v xml:space="preserve"> </v>
      </c>
      <c r="O480" s="2" t="str">
        <f t="shared" si="81"/>
        <v xml:space="preserve"> </v>
      </c>
      <c r="P480" s="2" t="str">
        <f t="shared" si="81"/>
        <v xml:space="preserve"> </v>
      </c>
      <c r="Q480" s="2" t="str">
        <f t="shared" si="81"/>
        <v xml:space="preserve"> </v>
      </c>
      <c r="R480" s="2" t="str">
        <f t="shared" si="81"/>
        <v xml:space="preserve"> </v>
      </c>
      <c r="S480" s="2" t="str">
        <f t="shared" si="81"/>
        <v xml:space="preserve"> </v>
      </c>
      <c r="T480" s="2" t="str">
        <f t="shared" si="81"/>
        <v xml:space="preserve"> </v>
      </c>
      <c r="U480" s="2" t="str">
        <f t="shared" si="81"/>
        <v xml:space="preserve"> </v>
      </c>
      <c r="V480" s="2" t="str">
        <f t="shared" si="81"/>
        <v xml:space="preserve"> </v>
      </c>
      <c r="W480" s="2" t="str">
        <f t="shared" si="81"/>
        <v xml:space="preserve"> </v>
      </c>
      <c r="X480" s="2" t="str">
        <f t="shared" si="81"/>
        <v xml:space="preserve"> </v>
      </c>
      <c r="Y480" s="2" t="str">
        <f t="shared" si="81"/>
        <v xml:space="preserve"> </v>
      </c>
      <c r="Z480" s="2" t="str">
        <f t="shared" si="81"/>
        <v xml:space="preserve"> </v>
      </c>
      <c r="AA480" s="2" t="str">
        <f t="shared" si="81"/>
        <v xml:space="preserve"> </v>
      </c>
      <c r="AB480" s="2" t="str">
        <f t="shared" si="81"/>
        <v xml:space="preserve"> </v>
      </c>
      <c r="AC480" s="2" t="str">
        <f t="shared" si="81"/>
        <v xml:space="preserve"> </v>
      </c>
      <c r="AD480" s="2" t="str">
        <f t="shared" si="83"/>
        <v xml:space="preserve"> </v>
      </c>
      <c r="AE480" s="2" t="str">
        <f t="shared" si="83"/>
        <v xml:space="preserve"> </v>
      </c>
      <c r="AF480" s="2" t="str">
        <f t="shared" si="83"/>
        <v xml:space="preserve"> </v>
      </c>
      <c r="AG480" s="2" t="str">
        <f t="shared" si="83"/>
        <v xml:space="preserve"> </v>
      </c>
      <c r="AH480" s="2" t="str">
        <f t="shared" si="83"/>
        <v xml:space="preserve"> </v>
      </c>
      <c r="AI480" s="2" t="str">
        <f t="shared" si="83"/>
        <v xml:space="preserve"> </v>
      </c>
      <c r="AJ480" s="2" t="str">
        <f t="shared" si="83"/>
        <v xml:space="preserve"> </v>
      </c>
      <c r="AK480" s="2" t="str">
        <f t="shared" si="83"/>
        <v xml:space="preserve"> </v>
      </c>
      <c r="AL480" s="2" t="str">
        <f t="shared" si="83"/>
        <v xml:space="preserve"> </v>
      </c>
      <c r="AM480" s="2" t="str">
        <f t="shared" si="83"/>
        <v xml:space="preserve"> </v>
      </c>
      <c r="AN480" s="2" t="str">
        <f t="shared" si="83"/>
        <v xml:space="preserve"> </v>
      </c>
      <c r="AO480" s="2" t="str">
        <f t="shared" si="83"/>
        <v xml:space="preserve"> </v>
      </c>
      <c r="AP480" s="2" t="str">
        <f t="shared" si="83"/>
        <v xml:space="preserve"> </v>
      </c>
      <c r="AQ480" s="25" t="str">
        <f t="shared" si="83"/>
        <v xml:space="preserve"> </v>
      </c>
      <c r="AR480" s="12">
        <f t="shared" si="79"/>
        <v>0</v>
      </c>
    </row>
    <row r="481" spans="1:44" x14ac:dyDescent="0.25">
      <c r="A481" s="12">
        <f t="shared" si="78"/>
        <v>0</v>
      </c>
      <c r="B481" s="12">
        <f>IF(AND($C$420&gt;$C$419,($B$454+27)&lt;=$C$420),$C$419+28,0)</f>
        <v>0</v>
      </c>
      <c r="C481" s="26">
        <f t="shared" si="80"/>
        <v>0</v>
      </c>
      <c r="D481" s="26" t="str">
        <f t="shared" si="82"/>
        <v xml:space="preserve"> </v>
      </c>
      <c r="E481" s="2" t="str">
        <f t="shared" si="82"/>
        <v xml:space="preserve"> </v>
      </c>
      <c r="F481" s="2" t="str">
        <f t="shared" si="82"/>
        <v xml:space="preserve"> </v>
      </c>
      <c r="G481" s="2" t="str">
        <f t="shared" si="82"/>
        <v xml:space="preserve"> </v>
      </c>
      <c r="H481" s="2" t="str">
        <f t="shared" si="82"/>
        <v xml:space="preserve"> </v>
      </c>
      <c r="I481" s="2" t="str">
        <f t="shared" si="82"/>
        <v xml:space="preserve"> </v>
      </c>
      <c r="J481" s="2" t="str">
        <f t="shared" si="82"/>
        <v xml:space="preserve"> </v>
      </c>
      <c r="K481" s="2" t="str">
        <f t="shared" si="82"/>
        <v xml:space="preserve"> </v>
      </c>
      <c r="L481" s="2" t="str">
        <f t="shared" si="82"/>
        <v xml:space="preserve"> </v>
      </c>
      <c r="M481" s="2" t="str">
        <f t="shared" si="82"/>
        <v xml:space="preserve"> </v>
      </c>
      <c r="N481" s="2" t="str">
        <f t="shared" si="81"/>
        <v xml:space="preserve"> </v>
      </c>
      <c r="O481" s="2" t="str">
        <f t="shared" si="81"/>
        <v xml:space="preserve"> </v>
      </c>
      <c r="P481" s="2" t="str">
        <f t="shared" si="81"/>
        <v xml:space="preserve"> </v>
      </c>
      <c r="Q481" s="2" t="str">
        <f t="shared" si="81"/>
        <v xml:space="preserve"> </v>
      </c>
      <c r="R481" s="2" t="str">
        <f t="shared" si="81"/>
        <v xml:space="preserve"> </v>
      </c>
      <c r="S481" s="2" t="str">
        <f t="shared" si="81"/>
        <v xml:space="preserve"> </v>
      </c>
      <c r="T481" s="2" t="str">
        <f t="shared" si="81"/>
        <v xml:space="preserve"> </v>
      </c>
      <c r="U481" s="2" t="str">
        <f t="shared" si="81"/>
        <v xml:space="preserve"> </v>
      </c>
      <c r="V481" s="2" t="str">
        <f t="shared" si="81"/>
        <v xml:space="preserve"> </v>
      </c>
      <c r="W481" s="2" t="str">
        <f t="shared" si="81"/>
        <v xml:space="preserve"> </v>
      </c>
      <c r="X481" s="2" t="str">
        <f t="shared" si="81"/>
        <v xml:space="preserve"> </v>
      </c>
      <c r="Y481" s="2" t="str">
        <f t="shared" si="81"/>
        <v xml:space="preserve"> </v>
      </c>
      <c r="Z481" s="2" t="str">
        <f t="shared" si="81"/>
        <v xml:space="preserve"> </v>
      </c>
      <c r="AA481" s="2" t="str">
        <f t="shared" si="81"/>
        <v xml:space="preserve"> </v>
      </c>
      <c r="AB481" s="2" t="str">
        <f t="shared" si="81"/>
        <v xml:space="preserve"> </v>
      </c>
      <c r="AC481" s="2" t="str">
        <f t="shared" si="81"/>
        <v xml:space="preserve"> </v>
      </c>
      <c r="AD481" s="2" t="str">
        <f t="shared" si="83"/>
        <v xml:space="preserve"> </v>
      </c>
      <c r="AE481" s="2" t="str">
        <f t="shared" si="83"/>
        <v xml:space="preserve"> </v>
      </c>
      <c r="AF481" s="2" t="str">
        <f t="shared" si="83"/>
        <v xml:space="preserve"> </v>
      </c>
      <c r="AG481" s="2" t="str">
        <f t="shared" si="83"/>
        <v xml:space="preserve"> </v>
      </c>
      <c r="AH481" s="2" t="str">
        <f t="shared" si="83"/>
        <v xml:space="preserve"> </v>
      </c>
      <c r="AI481" s="2" t="str">
        <f t="shared" si="83"/>
        <v xml:space="preserve"> </v>
      </c>
      <c r="AJ481" s="2" t="str">
        <f t="shared" si="83"/>
        <v xml:space="preserve"> </v>
      </c>
      <c r="AK481" s="2" t="str">
        <f t="shared" si="83"/>
        <v xml:space="preserve"> </v>
      </c>
      <c r="AL481" s="2" t="str">
        <f t="shared" si="83"/>
        <v xml:space="preserve"> </v>
      </c>
      <c r="AM481" s="2" t="str">
        <f t="shared" si="83"/>
        <v xml:space="preserve"> </v>
      </c>
      <c r="AN481" s="2" t="str">
        <f t="shared" si="83"/>
        <v xml:space="preserve"> </v>
      </c>
      <c r="AO481" s="2" t="str">
        <f t="shared" si="83"/>
        <v xml:space="preserve"> </v>
      </c>
      <c r="AP481" s="2" t="str">
        <f t="shared" si="83"/>
        <v xml:space="preserve"> </v>
      </c>
      <c r="AQ481" s="25" t="str">
        <f t="shared" si="83"/>
        <v xml:space="preserve"> </v>
      </c>
      <c r="AR481" s="12">
        <f t="shared" si="79"/>
        <v>0</v>
      </c>
    </row>
    <row r="482" spans="1:44" x14ac:dyDescent="0.25">
      <c r="A482" s="12">
        <f t="shared" si="78"/>
        <v>0</v>
      </c>
      <c r="B482" s="12">
        <f>IF(AND($C$420&gt;$C$419,($B$454+28)&lt;=$C$420),$C$419+29,0)</f>
        <v>0</v>
      </c>
      <c r="C482" s="26">
        <f t="shared" si="80"/>
        <v>0</v>
      </c>
      <c r="D482" s="26" t="str">
        <f t="shared" si="82"/>
        <v xml:space="preserve"> </v>
      </c>
      <c r="E482" s="2" t="str">
        <f t="shared" si="82"/>
        <v xml:space="preserve"> </v>
      </c>
      <c r="F482" s="2" t="str">
        <f t="shared" si="82"/>
        <v xml:space="preserve"> </v>
      </c>
      <c r="G482" s="2" t="str">
        <f t="shared" si="82"/>
        <v xml:space="preserve"> </v>
      </c>
      <c r="H482" s="2" t="str">
        <f t="shared" si="82"/>
        <v xml:space="preserve"> </v>
      </c>
      <c r="I482" s="2" t="str">
        <f t="shared" si="82"/>
        <v xml:space="preserve"> </v>
      </c>
      <c r="J482" s="2" t="str">
        <f t="shared" si="82"/>
        <v xml:space="preserve"> </v>
      </c>
      <c r="K482" s="2" t="str">
        <f t="shared" si="82"/>
        <v xml:space="preserve"> </v>
      </c>
      <c r="L482" s="2" t="str">
        <f t="shared" si="82"/>
        <v xml:space="preserve"> </v>
      </c>
      <c r="M482" s="2" t="str">
        <f t="shared" si="82"/>
        <v xml:space="preserve"> </v>
      </c>
      <c r="N482" s="2" t="str">
        <f t="shared" si="81"/>
        <v xml:space="preserve"> </v>
      </c>
      <c r="O482" s="2" t="str">
        <f t="shared" si="81"/>
        <v xml:space="preserve"> </v>
      </c>
      <c r="P482" s="2" t="str">
        <f t="shared" si="81"/>
        <v xml:space="preserve"> </v>
      </c>
      <c r="Q482" s="2" t="str">
        <f t="shared" si="81"/>
        <v xml:space="preserve"> </v>
      </c>
      <c r="R482" s="2" t="str">
        <f t="shared" si="81"/>
        <v xml:space="preserve"> </v>
      </c>
      <c r="S482" s="2" t="str">
        <f t="shared" si="81"/>
        <v xml:space="preserve"> </v>
      </c>
      <c r="T482" s="2" t="str">
        <f t="shared" si="81"/>
        <v xml:space="preserve"> </v>
      </c>
      <c r="U482" s="2" t="str">
        <f t="shared" si="81"/>
        <v xml:space="preserve"> </v>
      </c>
      <c r="V482" s="2" t="str">
        <f t="shared" si="81"/>
        <v xml:space="preserve"> </v>
      </c>
      <c r="W482" s="2" t="str">
        <f t="shared" si="81"/>
        <v xml:space="preserve"> </v>
      </c>
      <c r="X482" s="2" t="str">
        <f t="shared" si="81"/>
        <v xml:space="preserve"> </v>
      </c>
      <c r="Y482" s="2" t="str">
        <f t="shared" si="81"/>
        <v xml:space="preserve"> </v>
      </c>
      <c r="Z482" s="2" t="str">
        <f t="shared" si="81"/>
        <v xml:space="preserve"> </v>
      </c>
      <c r="AA482" s="2" t="str">
        <f t="shared" si="81"/>
        <v xml:space="preserve"> </v>
      </c>
      <c r="AB482" s="2" t="str">
        <f t="shared" si="81"/>
        <v xml:space="preserve"> </v>
      </c>
      <c r="AC482" s="2" t="str">
        <f t="shared" si="81"/>
        <v xml:space="preserve"> </v>
      </c>
      <c r="AD482" s="2" t="str">
        <f t="shared" si="83"/>
        <v xml:space="preserve"> </v>
      </c>
      <c r="AE482" s="2" t="str">
        <f t="shared" si="83"/>
        <v xml:space="preserve"> </v>
      </c>
      <c r="AF482" s="2" t="str">
        <f t="shared" si="83"/>
        <v xml:space="preserve"> </v>
      </c>
      <c r="AG482" s="2" t="str">
        <f t="shared" si="83"/>
        <v xml:space="preserve"> </v>
      </c>
      <c r="AH482" s="2" t="str">
        <f t="shared" si="83"/>
        <v xml:space="preserve"> </v>
      </c>
      <c r="AI482" s="2" t="str">
        <f t="shared" si="83"/>
        <v xml:space="preserve"> </v>
      </c>
      <c r="AJ482" s="2" t="str">
        <f t="shared" si="83"/>
        <v xml:space="preserve"> </v>
      </c>
      <c r="AK482" s="2" t="str">
        <f t="shared" si="83"/>
        <v xml:space="preserve"> </v>
      </c>
      <c r="AL482" s="2" t="str">
        <f t="shared" si="83"/>
        <v xml:space="preserve"> </v>
      </c>
      <c r="AM482" s="2" t="str">
        <f t="shared" si="83"/>
        <v xml:space="preserve"> </v>
      </c>
      <c r="AN482" s="2" t="str">
        <f t="shared" si="83"/>
        <v xml:space="preserve"> </v>
      </c>
      <c r="AO482" s="2" t="str">
        <f t="shared" si="83"/>
        <v xml:space="preserve"> </v>
      </c>
      <c r="AP482" s="2" t="str">
        <f t="shared" si="83"/>
        <v xml:space="preserve"> </v>
      </c>
      <c r="AQ482" s="25" t="str">
        <f t="shared" si="83"/>
        <v xml:space="preserve"> </v>
      </c>
      <c r="AR482" s="12">
        <f t="shared" si="79"/>
        <v>0</v>
      </c>
    </row>
    <row r="483" spans="1:44" x14ac:dyDescent="0.25">
      <c r="A483" s="12">
        <f t="shared" si="78"/>
        <v>0</v>
      </c>
      <c r="B483" s="12">
        <f>IF(AND($C$420&gt;$C$419,($B$454+29)&lt;=$C$420),$C$419+30,0)</f>
        <v>0</v>
      </c>
      <c r="C483" s="26">
        <f t="shared" si="80"/>
        <v>0</v>
      </c>
      <c r="D483" s="26" t="str">
        <f t="shared" si="82"/>
        <v xml:space="preserve"> </v>
      </c>
      <c r="E483" s="2" t="str">
        <f t="shared" si="82"/>
        <v xml:space="preserve"> </v>
      </c>
      <c r="F483" s="2" t="str">
        <f t="shared" si="82"/>
        <v xml:space="preserve"> </v>
      </c>
      <c r="G483" s="2" t="str">
        <f t="shared" si="82"/>
        <v xml:space="preserve"> </v>
      </c>
      <c r="H483" s="2" t="str">
        <f t="shared" si="82"/>
        <v xml:space="preserve"> </v>
      </c>
      <c r="I483" s="2" t="str">
        <f t="shared" si="82"/>
        <v xml:space="preserve"> </v>
      </c>
      <c r="J483" s="2" t="str">
        <f t="shared" si="82"/>
        <v xml:space="preserve"> </v>
      </c>
      <c r="K483" s="2" t="str">
        <f t="shared" si="82"/>
        <v xml:space="preserve"> </v>
      </c>
      <c r="L483" s="2" t="str">
        <f t="shared" si="82"/>
        <v xml:space="preserve"> </v>
      </c>
      <c r="M483" s="2" t="str">
        <f t="shared" si="82"/>
        <v xml:space="preserve"> </v>
      </c>
      <c r="N483" s="2" t="str">
        <f t="shared" si="81"/>
        <v xml:space="preserve"> </v>
      </c>
      <c r="O483" s="2" t="str">
        <f t="shared" si="81"/>
        <v xml:space="preserve"> </v>
      </c>
      <c r="P483" s="2" t="str">
        <f t="shared" si="81"/>
        <v xml:space="preserve"> </v>
      </c>
      <c r="Q483" s="2" t="str">
        <f t="shared" si="81"/>
        <v xml:space="preserve"> </v>
      </c>
      <c r="R483" s="2" t="str">
        <f t="shared" si="81"/>
        <v xml:space="preserve"> </v>
      </c>
      <c r="S483" s="2" t="str">
        <f t="shared" si="81"/>
        <v xml:space="preserve"> </v>
      </c>
      <c r="T483" s="2" t="str">
        <f t="shared" si="81"/>
        <v xml:space="preserve"> </v>
      </c>
      <c r="U483" s="2" t="str">
        <f t="shared" si="81"/>
        <v xml:space="preserve"> </v>
      </c>
      <c r="V483" s="2" t="str">
        <f t="shared" si="81"/>
        <v xml:space="preserve"> </v>
      </c>
      <c r="W483" s="2" t="str">
        <f t="shared" si="81"/>
        <v xml:space="preserve"> </v>
      </c>
      <c r="X483" s="2" t="str">
        <f t="shared" si="81"/>
        <v xml:space="preserve"> </v>
      </c>
      <c r="Y483" s="2" t="str">
        <f t="shared" si="81"/>
        <v xml:space="preserve"> </v>
      </c>
      <c r="Z483" s="2" t="str">
        <f t="shared" si="81"/>
        <v xml:space="preserve"> </v>
      </c>
      <c r="AA483" s="2" t="str">
        <f t="shared" si="81"/>
        <v xml:space="preserve"> </v>
      </c>
      <c r="AB483" s="2" t="str">
        <f t="shared" si="81"/>
        <v xml:space="preserve"> </v>
      </c>
      <c r="AC483" s="2" t="str">
        <f t="shared" si="81"/>
        <v xml:space="preserve"> </v>
      </c>
      <c r="AD483" s="2" t="str">
        <f t="shared" si="83"/>
        <v xml:space="preserve"> </v>
      </c>
      <c r="AE483" s="2" t="str">
        <f t="shared" si="83"/>
        <v xml:space="preserve"> </v>
      </c>
      <c r="AF483" s="2" t="str">
        <f t="shared" si="83"/>
        <v xml:space="preserve"> </v>
      </c>
      <c r="AG483" s="2" t="str">
        <f t="shared" si="83"/>
        <v xml:space="preserve"> </v>
      </c>
      <c r="AH483" s="2" t="str">
        <f t="shared" si="83"/>
        <v xml:space="preserve"> </v>
      </c>
      <c r="AI483" s="2" t="str">
        <f t="shared" si="83"/>
        <v xml:space="preserve"> </v>
      </c>
      <c r="AJ483" s="2" t="str">
        <f t="shared" si="83"/>
        <v xml:space="preserve"> </v>
      </c>
      <c r="AK483" s="2" t="str">
        <f t="shared" si="83"/>
        <v xml:space="preserve"> </v>
      </c>
      <c r="AL483" s="2" t="str">
        <f t="shared" si="83"/>
        <v xml:space="preserve"> </v>
      </c>
      <c r="AM483" s="2" t="str">
        <f t="shared" si="83"/>
        <v xml:space="preserve"> </v>
      </c>
      <c r="AN483" s="2" t="str">
        <f t="shared" si="83"/>
        <v xml:space="preserve"> </v>
      </c>
      <c r="AO483" s="2" t="str">
        <f t="shared" si="83"/>
        <v xml:space="preserve"> </v>
      </c>
      <c r="AP483" s="2" t="str">
        <f t="shared" si="83"/>
        <v xml:space="preserve"> </v>
      </c>
      <c r="AQ483" s="25" t="str">
        <f t="shared" si="83"/>
        <v xml:space="preserve"> </v>
      </c>
      <c r="AR483" s="12">
        <f t="shared" si="79"/>
        <v>0</v>
      </c>
    </row>
    <row r="484" spans="1:44" x14ac:dyDescent="0.25">
      <c r="A484" s="12">
        <f t="shared" si="78"/>
        <v>0</v>
      </c>
      <c r="B484" s="12">
        <f>IF(AND($C$420&gt;$C$419,($B$454+30)&lt;=$C$420),$C$419+31,0)</f>
        <v>0</v>
      </c>
      <c r="C484" s="26">
        <f t="shared" si="80"/>
        <v>0</v>
      </c>
      <c r="D484" s="26" t="str">
        <f t="shared" si="82"/>
        <v xml:space="preserve"> </v>
      </c>
      <c r="E484" s="2" t="str">
        <f t="shared" si="82"/>
        <v xml:space="preserve"> </v>
      </c>
      <c r="F484" s="2" t="str">
        <f t="shared" si="82"/>
        <v xml:space="preserve"> </v>
      </c>
      <c r="G484" s="2" t="str">
        <f t="shared" si="82"/>
        <v xml:space="preserve"> </v>
      </c>
      <c r="H484" s="2" t="str">
        <f t="shared" si="82"/>
        <v xml:space="preserve"> </v>
      </c>
      <c r="I484" s="2" t="str">
        <f t="shared" si="82"/>
        <v xml:space="preserve"> </v>
      </c>
      <c r="J484" s="2" t="str">
        <f t="shared" si="82"/>
        <v xml:space="preserve"> </v>
      </c>
      <c r="K484" s="2" t="str">
        <f t="shared" si="82"/>
        <v xml:space="preserve"> </v>
      </c>
      <c r="L484" s="2" t="str">
        <f t="shared" si="82"/>
        <v xml:space="preserve"> </v>
      </c>
      <c r="M484" s="2" t="str">
        <f t="shared" si="82"/>
        <v xml:space="preserve"> </v>
      </c>
      <c r="N484" s="2" t="str">
        <f t="shared" si="82"/>
        <v xml:space="preserve"> </v>
      </c>
      <c r="O484" s="2" t="str">
        <f t="shared" si="82"/>
        <v xml:space="preserve"> </v>
      </c>
      <c r="P484" s="2" t="str">
        <f t="shared" si="82"/>
        <v xml:space="preserve"> </v>
      </c>
      <c r="Q484" s="2" t="str">
        <f t="shared" si="82"/>
        <v xml:space="preserve"> </v>
      </c>
      <c r="R484" s="2" t="str">
        <f t="shared" si="82"/>
        <v xml:space="preserve"> </v>
      </c>
      <c r="S484" s="2" t="str">
        <f t="shared" si="82"/>
        <v xml:space="preserve"> </v>
      </c>
      <c r="T484" s="2" t="str">
        <f t="shared" ref="T484:AI492" si="84">IF(OR($A484=0,T$451=0)," ",IF(AND($B484&gt;0,T$451&gt;0,FLOOR($C$440/(T$451*$B484),1)&gt;=$A484),FLOOR($C$440/(T$451*$B484),1)," "))</f>
        <v xml:space="preserve"> </v>
      </c>
      <c r="U484" s="2" t="str">
        <f t="shared" si="84"/>
        <v xml:space="preserve"> </v>
      </c>
      <c r="V484" s="2" t="str">
        <f t="shared" si="84"/>
        <v xml:space="preserve"> </v>
      </c>
      <c r="W484" s="2" t="str">
        <f t="shared" si="84"/>
        <v xml:space="preserve"> </v>
      </c>
      <c r="X484" s="2" t="str">
        <f t="shared" si="84"/>
        <v xml:space="preserve"> </v>
      </c>
      <c r="Y484" s="2" t="str">
        <f t="shared" si="84"/>
        <v xml:space="preserve"> </v>
      </c>
      <c r="Z484" s="2" t="str">
        <f t="shared" si="84"/>
        <v xml:space="preserve"> </v>
      </c>
      <c r="AA484" s="2" t="str">
        <f t="shared" si="84"/>
        <v xml:space="preserve"> </v>
      </c>
      <c r="AB484" s="2" t="str">
        <f t="shared" si="84"/>
        <v xml:space="preserve"> </v>
      </c>
      <c r="AC484" s="2" t="str">
        <f t="shared" si="84"/>
        <v xml:space="preserve"> </v>
      </c>
      <c r="AD484" s="2" t="str">
        <f t="shared" si="84"/>
        <v xml:space="preserve"> </v>
      </c>
      <c r="AE484" s="2" t="str">
        <f t="shared" si="84"/>
        <v xml:space="preserve"> </v>
      </c>
      <c r="AF484" s="2" t="str">
        <f t="shared" si="84"/>
        <v xml:space="preserve"> </v>
      </c>
      <c r="AG484" s="2" t="str">
        <f t="shared" si="84"/>
        <v xml:space="preserve"> </v>
      </c>
      <c r="AH484" s="2" t="str">
        <f t="shared" si="83"/>
        <v xml:space="preserve"> </v>
      </c>
      <c r="AI484" s="2" t="str">
        <f t="shared" si="83"/>
        <v xml:space="preserve"> </v>
      </c>
      <c r="AJ484" s="2" t="str">
        <f t="shared" si="83"/>
        <v xml:space="preserve"> </v>
      </c>
      <c r="AK484" s="2" t="str">
        <f t="shared" si="83"/>
        <v xml:space="preserve"> </v>
      </c>
      <c r="AL484" s="2" t="str">
        <f t="shared" si="83"/>
        <v xml:space="preserve"> </v>
      </c>
      <c r="AM484" s="2" t="str">
        <f t="shared" si="83"/>
        <v xml:space="preserve"> </v>
      </c>
      <c r="AN484" s="2" t="str">
        <f t="shared" si="83"/>
        <v xml:space="preserve"> </v>
      </c>
      <c r="AO484" s="2" t="str">
        <f t="shared" si="83"/>
        <v xml:space="preserve"> </v>
      </c>
      <c r="AP484" s="2" t="str">
        <f t="shared" si="83"/>
        <v xml:space="preserve"> </v>
      </c>
      <c r="AQ484" s="25" t="str">
        <f t="shared" si="83"/>
        <v xml:space="preserve"> </v>
      </c>
      <c r="AR484" s="12">
        <f t="shared" si="79"/>
        <v>0</v>
      </c>
    </row>
    <row r="485" spans="1:44" x14ac:dyDescent="0.25">
      <c r="A485" s="12">
        <f t="shared" si="78"/>
        <v>0</v>
      </c>
      <c r="B485" s="12">
        <f>IF(AND($C$420&gt;$C$419,($B$454+31)&lt;=$C$420),$C$419+32,0)</f>
        <v>0</v>
      </c>
      <c r="C485" s="26">
        <f t="shared" si="80"/>
        <v>0</v>
      </c>
      <c r="D485" s="26" t="str">
        <f t="shared" ref="D485:S492" si="85">IF(OR($A485=0,D$451=0)," ",IF(AND($B485&gt;0,D$451&gt;0,FLOOR($C$440/(D$451*$B485),1)&gt;=$A485),FLOOR($C$440/(D$451*$B485),1)," "))</f>
        <v xml:space="preserve"> </v>
      </c>
      <c r="E485" s="2" t="str">
        <f t="shared" si="85"/>
        <v xml:space="preserve"> </v>
      </c>
      <c r="F485" s="2" t="str">
        <f t="shared" si="85"/>
        <v xml:space="preserve"> </v>
      </c>
      <c r="G485" s="2" t="str">
        <f t="shared" si="85"/>
        <v xml:space="preserve"> </v>
      </c>
      <c r="H485" s="2" t="str">
        <f t="shared" si="85"/>
        <v xml:space="preserve"> </v>
      </c>
      <c r="I485" s="2" t="str">
        <f t="shared" si="85"/>
        <v xml:space="preserve"> </v>
      </c>
      <c r="J485" s="2" t="str">
        <f t="shared" si="85"/>
        <v xml:space="preserve"> </v>
      </c>
      <c r="K485" s="2" t="str">
        <f t="shared" si="85"/>
        <v xml:space="preserve"> </v>
      </c>
      <c r="L485" s="2" t="str">
        <f t="shared" si="85"/>
        <v xml:space="preserve"> </v>
      </c>
      <c r="M485" s="2" t="str">
        <f t="shared" si="85"/>
        <v xml:space="preserve"> </v>
      </c>
      <c r="N485" s="2" t="str">
        <f t="shared" si="85"/>
        <v xml:space="preserve"> </v>
      </c>
      <c r="O485" s="2" t="str">
        <f t="shared" si="85"/>
        <v xml:space="preserve"> </v>
      </c>
      <c r="P485" s="2" t="str">
        <f t="shared" si="85"/>
        <v xml:space="preserve"> </v>
      </c>
      <c r="Q485" s="2" t="str">
        <f t="shared" si="85"/>
        <v xml:space="preserve"> </v>
      </c>
      <c r="R485" s="2" t="str">
        <f t="shared" si="85"/>
        <v xml:space="preserve"> </v>
      </c>
      <c r="S485" s="2" t="str">
        <f t="shared" si="85"/>
        <v xml:space="preserve"> </v>
      </c>
      <c r="T485" s="2" t="str">
        <f t="shared" si="84"/>
        <v xml:space="preserve"> </v>
      </c>
      <c r="U485" s="2" t="str">
        <f t="shared" si="84"/>
        <v xml:space="preserve"> </v>
      </c>
      <c r="V485" s="2" t="str">
        <f t="shared" si="84"/>
        <v xml:space="preserve"> </v>
      </c>
      <c r="W485" s="2" t="str">
        <f t="shared" si="84"/>
        <v xml:space="preserve"> </v>
      </c>
      <c r="X485" s="2" t="str">
        <f t="shared" si="84"/>
        <v xml:space="preserve"> </v>
      </c>
      <c r="Y485" s="2" t="str">
        <f t="shared" si="84"/>
        <v xml:space="preserve"> </v>
      </c>
      <c r="Z485" s="2" t="str">
        <f t="shared" si="84"/>
        <v xml:space="preserve"> </v>
      </c>
      <c r="AA485" s="2" t="str">
        <f t="shared" si="84"/>
        <v xml:space="preserve"> </v>
      </c>
      <c r="AB485" s="2" t="str">
        <f t="shared" si="84"/>
        <v xml:space="preserve"> </v>
      </c>
      <c r="AC485" s="2" t="str">
        <f t="shared" si="84"/>
        <v xml:space="preserve"> </v>
      </c>
      <c r="AD485" s="2" t="str">
        <f t="shared" si="84"/>
        <v xml:space="preserve"> </v>
      </c>
      <c r="AE485" s="2" t="str">
        <f t="shared" si="84"/>
        <v xml:space="preserve"> </v>
      </c>
      <c r="AF485" s="2" t="str">
        <f t="shared" si="84"/>
        <v xml:space="preserve"> </v>
      </c>
      <c r="AG485" s="2" t="str">
        <f t="shared" si="84"/>
        <v xml:space="preserve"> </v>
      </c>
      <c r="AH485" s="2" t="str">
        <f t="shared" si="84"/>
        <v xml:space="preserve"> </v>
      </c>
      <c r="AI485" s="2" t="str">
        <f t="shared" si="84"/>
        <v xml:space="preserve"> </v>
      </c>
      <c r="AJ485" s="2" t="str">
        <f t="shared" ref="AH485:AQ492" si="86">IF(OR($A485=0,AJ$451=0)," ",IF(AND($B485&gt;0,AJ$451&gt;0,FLOOR($C$440/(AJ$451*$B485),1)&gt;=$A485),FLOOR($C$440/(AJ$451*$B485),1)," "))</f>
        <v xml:space="preserve"> </v>
      </c>
      <c r="AK485" s="2" t="str">
        <f t="shared" si="86"/>
        <v xml:space="preserve"> </v>
      </c>
      <c r="AL485" s="2" t="str">
        <f t="shared" si="86"/>
        <v xml:space="preserve"> </v>
      </c>
      <c r="AM485" s="2" t="str">
        <f t="shared" si="86"/>
        <v xml:space="preserve"> </v>
      </c>
      <c r="AN485" s="2" t="str">
        <f t="shared" si="86"/>
        <v xml:space="preserve"> </v>
      </c>
      <c r="AO485" s="2" t="str">
        <f t="shared" si="86"/>
        <v xml:space="preserve"> </v>
      </c>
      <c r="AP485" s="2" t="str">
        <f t="shared" si="86"/>
        <v xml:space="preserve"> </v>
      </c>
      <c r="AQ485" s="25" t="str">
        <f t="shared" si="86"/>
        <v xml:space="preserve"> </v>
      </c>
      <c r="AR485" s="12">
        <f t="shared" si="79"/>
        <v>0</v>
      </c>
    </row>
    <row r="486" spans="1:44" x14ac:dyDescent="0.25">
      <c r="A486" s="12">
        <f t="shared" si="78"/>
        <v>0</v>
      </c>
      <c r="B486" s="12">
        <f>IF(AND($C$420&gt;$C$419,($B$454+32)&lt;=$C$420),$C$419+33,0)</f>
        <v>0</v>
      </c>
      <c r="C486" s="26">
        <f t="shared" si="80"/>
        <v>0</v>
      </c>
      <c r="D486" s="26" t="str">
        <f t="shared" si="85"/>
        <v xml:space="preserve"> </v>
      </c>
      <c r="E486" s="2" t="str">
        <f t="shared" si="85"/>
        <v xml:space="preserve"> </v>
      </c>
      <c r="F486" s="2" t="str">
        <f t="shared" si="85"/>
        <v xml:space="preserve"> </v>
      </c>
      <c r="G486" s="2" t="str">
        <f t="shared" si="85"/>
        <v xml:space="preserve"> </v>
      </c>
      <c r="H486" s="2" t="str">
        <f t="shared" si="85"/>
        <v xml:space="preserve"> </v>
      </c>
      <c r="I486" s="2" t="str">
        <f t="shared" si="85"/>
        <v xml:space="preserve"> </v>
      </c>
      <c r="J486" s="2" t="str">
        <f t="shared" si="85"/>
        <v xml:space="preserve"> </v>
      </c>
      <c r="K486" s="2" t="str">
        <f t="shared" si="85"/>
        <v xml:space="preserve"> </v>
      </c>
      <c r="L486" s="2" t="str">
        <f t="shared" si="85"/>
        <v xml:space="preserve"> </v>
      </c>
      <c r="M486" s="2" t="str">
        <f t="shared" si="85"/>
        <v xml:space="preserve"> </v>
      </c>
      <c r="N486" s="2" t="str">
        <f t="shared" si="85"/>
        <v xml:space="preserve"> </v>
      </c>
      <c r="O486" s="2" t="str">
        <f t="shared" si="85"/>
        <v xml:space="preserve"> </v>
      </c>
      <c r="P486" s="2" t="str">
        <f t="shared" si="85"/>
        <v xml:space="preserve"> </v>
      </c>
      <c r="Q486" s="2" t="str">
        <f t="shared" si="85"/>
        <v xml:space="preserve"> </v>
      </c>
      <c r="R486" s="2" t="str">
        <f t="shared" si="85"/>
        <v xml:space="preserve"> </v>
      </c>
      <c r="S486" s="2" t="str">
        <f t="shared" si="85"/>
        <v xml:space="preserve"> </v>
      </c>
      <c r="T486" s="2" t="str">
        <f t="shared" si="84"/>
        <v xml:space="preserve"> </v>
      </c>
      <c r="U486" s="2" t="str">
        <f t="shared" si="84"/>
        <v xml:space="preserve"> </v>
      </c>
      <c r="V486" s="2" t="str">
        <f t="shared" si="84"/>
        <v xml:space="preserve"> </v>
      </c>
      <c r="W486" s="2" t="str">
        <f t="shared" si="84"/>
        <v xml:space="preserve"> </v>
      </c>
      <c r="X486" s="2" t="str">
        <f t="shared" si="84"/>
        <v xml:space="preserve"> </v>
      </c>
      <c r="Y486" s="2" t="str">
        <f t="shared" si="84"/>
        <v xml:space="preserve"> </v>
      </c>
      <c r="Z486" s="2" t="str">
        <f t="shared" si="84"/>
        <v xml:space="preserve"> </v>
      </c>
      <c r="AA486" s="2" t="str">
        <f t="shared" si="84"/>
        <v xml:space="preserve"> </v>
      </c>
      <c r="AB486" s="2" t="str">
        <f t="shared" si="84"/>
        <v xml:space="preserve"> </v>
      </c>
      <c r="AC486" s="2" t="str">
        <f t="shared" si="84"/>
        <v xml:space="preserve"> </v>
      </c>
      <c r="AD486" s="2" t="str">
        <f t="shared" si="84"/>
        <v xml:space="preserve"> </v>
      </c>
      <c r="AE486" s="2" t="str">
        <f t="shared" si="84"/>
        <v xml:space="preserve"> </v>
      </c>
      <c r="AF486" s="2" t="str">
        <f t="shared" si="84"/>
        <v xml:space="preserve"> </v>
      </c>
      <c r="AG486" s="2" t="str">
        <f t="shared" si="84"/>
        <v xml:space="preserve"> </v>
      </c>
      <c r="AH486" s="2" t="str">
        <f t="shared" si="86"/>
        <v xml:space="preserve"> </v>
      </c>
      <c r="AI486" s="2" t="str">
        <f t="shared" si="86"/>
        <v xml:space="preserve"> </v>
      </c>
      <c r="AJ486" s="2" t="str">
        <f t="shared" si="86"/>
        <v xml:space="preserve"> </v>
      </c>
      <c r="AK486" s="2" t="str">
        <f t="shared" si="86"/>
        <v xml:space="preserve"> </v>
      </c>
      <c r="AL486" s="2" t="str">
        <f t="shared" si="86"/>
        <v xml:space="preserve"> </v>
      </c>
      <c r="AM486" s="2" t="str">
        <f t="shared" si="86"/>
        <v xml:space="preserve"> </v>
      </c>
      <c r="AN486" s="2" t="str">
        <f t="shared" si="86"/>
        <v xml:space="preserve"> </v>
      </c>
      <c r="AO486" s="2" t="str">
        <f t="shared" si="86"/>
        <v xml:space="preserve"> </v>
      </c>
      <c r="AP486" s="2" t="str">
        <f t="shared" si="86"/>
        <v xml:space="preserve"> </v>
      </c>
      <c r="AQ486" s="25" t="str">
        <f t="shared" si="86"/>
        <v xml:space="preserve"> </v>
      </c>
      <c r="AR486" s="12">
        <f t="shared" si="79"/>
        <v>0</v>
      </c>
    </row>
    <row r="487" spans="1:44" x14ac:dyDescent="0.25">
      <c r="A487" s="12">
        <f t="shared" si="78"/>
        <v>0</v>
      </c>
      <c r="B487" s="12">
        <f>IF(AND($C$420&gt;$C$419,($B$454+33)&lt;=$C$420),$C$419+34,0)</f>
        <v>0</v>
      </c>
      <c r="C487" s="26">
        <f t="shared" si="80"/>
        <v>0</v>
      </c>
      <c r="D487" s="26" t="str">
        <f t="shared" si="85"/>
        <v xml:space="preserve"> </v>
      </c>
      <c r="E487" s="2" t="str">
        <f t="shared" si="85"/>
        <v xml:space="preserve"> </v>
      </c>
      <c r="F487" s="2" t="str">
        <f t="shared" si="85"/>
        <v xml:space="preserve"> </v>
      </c>
      <c r="G487" s="2" t="str">
        <f t="shared" si="85"/>
        <v xml:space="preserve"> </v>
      </c>
      <c r="H487" s="2" t="str">
        <f t="shared" si="85"/>
        <v xml:space="preserve"> </v>
      </c>
      <c r="I487" s="2" t="str">
        <f t="shared" si="85"/>
        <v xml:space="preserve"> </v>
      </c>
      <c r="J487" s="2" t="str">
        <f t="shared" si="85"/>
        <v xml:space="preserve"> </v>
      </c>
      <c r="K487" s="2" t="str">
        <f t="shared" si="85"/>
        <v xml:space="preserve"> </v>
      </c>
      <c r="L487" s="2" t="str">
        <f t="shared" si="85"/>
        <v xml:space="preserve"> </v>
      </c>
      <c r="M487" s="2" t="str">
        <f t="shared" si="85"/>
        <v xml:space="preserve"> </v>
      </c>
      <c r="N487" s="2" t="str">
        <f t="shared" si="85"/>
        <v xml:space="preserve"> </v>
      </c>
      <c r="O487" s="2" t="str">
        <f t="shared" si="85"/>
        <v xml:space="preserve"> </v>
      </c>
      <c r="P487" s="2" t="str">
        <f t="shared" si="85"/>
        <v xml:space="preserve"> </v>
      </c>
      <c r="Q487" s="2" t="str">
        <f t="shared" si="85"/>
        <v xml:space="preserve"> </v>
      </c>
      <c r="R487" s="2" t="str">
        <f t="shared" si="85"/>
        <v xml:space="preserve"> </v>
      </c>
      <c r="S487" s="2" t="str">
        <f t="shared" si="85"/>
        <v xml:space="preserve"> </v>
      </c>
      <c r="T487" s="2" t="str">
        <f t="shared" si="84"/>
        <v xml:space="preserve"> </v>
      </c>
      <c r="U487" s="2" t="str">
        <f t="shared" si="84"/>
        <v xml:space="preserve"> </v>
      </c>
      <c r="V487" s="2" t="str">
        <f t="shared" si="84"/>
        <v xml:space="preserve"> </v>
      </c>
      <c r="W487" s="2" t="str">
        <f t="shared" si="84"/>
        <v xml:space="preserve"> </v>
      </c>
      <c r="X487" s="2" t="str">
        <f t="shared" si="84"/>
        <v xml:space="preserve"> </v>
      </c>
      <c r="Y487" s="2" t="str">
        <f t="shared" si="84"/>
        <v xml:space="preserve"> </v>
      </c>
      <c r="Z487" s="2" t="str">
        <f t="shared" si="84"/>
        <v xml:space="preserve"> </v>
      </c>
      <c r="AA487" s="2" t="str">
        <f t="shared" si="84"/>
        <v xml:space="preserve"> </v>
      </c>
      <c r="AB487" s="2" t="str">
        <f t="shared" si="84"/>
        <v xml:space="preserve"> </v>
      </c>
      <c r="AC487" s="2" t="str">
        <f t="shared" si="84"/>
        <v xml:space="preserve"> </v>
      </c>
      <c r="AD487" s="2" t="str">
        <f t="shared" si="84"/>
        <v xml:space="preserve"> </v>
      </c>
      <c r="AE487" s="2" t="str">
        <f t="shared" si="84"/>
        <v xml:space="preserve"> </v>
      </c>
      <c r="AF487" s="2" t="str">
        <f t="shared" si="84"/>
        <v xml:space="preserve"> </v>
      </c>
      <c r="AG487" s="2" t="str">
        <f t="shared" si="84"/>
        <v xml:space="preserve"> </v>
      </c>
      <c r="AH487" s="2" t="str">
        <f t="shared" si="86"/>
        <v xml:space="preserve"> </v>
      </c>
      <c r="AI487" s="2" t="str">
        <f t="shared" si="86"/>
        <v xml:space="preserve"> </v>
      </c>
      <c r="AJ487" s="2" t="str">
        <f t="shared" si="86"/>
        <v xml:space="preserve"> </v>
      </c>
      <c r="AK487" s="2" t="str">
        <f t="shared" si="86"/>
        <v xml:space="preserve"> </v>
      </c>
      <c r="AL487" s="2" t="str">
        <f t="shared" si="86"/>
        <v xml:space="preserve"> </v>
      </c>
      <c r="AM487" s="2" t="str">
        <f t="shared" si="86"/>
        <v xml:space="preserve"> </v>
      </c>
      <c r="AN487" s="2" t="str">
        <f t="shared" si="86"/>
        <v xml:space="preserve"> </v>
      </c>
      <c r="AO487" s="2" t="str">
        <f t="shared" si="86"/>
        <v xml:space="preserve"> </v>
      </c>
      <c r="AP487" s="2" t="str">
        <f t="shared" si="86"/>
        <v xml:space="preserve"> </v>
      </c>
      <c r="AQ487" s="25" t="str">
        <f t="shared" si="86"/>
        <v xml:space="preserve"> </v>
      </c>
      <c r="AR487" s="12">
        <f t="shared" si="79"/>
        <v>0</v>
      </c>
    </row>
    <row r="488" spans="1:44" x14ac:dyDescent="0.25">
      <c r="A488" s="12">
        <f t="shared" si="78"/>
        <v>0</v>
      </c>
      <c r="B488" s="12">
        <f>IF(AND($C$420&gt;$C$419,($B$454+34)&lt;=$C$420),$C$419+35,0)</f>
        <v>0</v>
      </c>
      <c r="C488" s="26">
        <f t="shared" si="80"/>
        <v>0</v>
      </c>
      <c r="D488" s="26" t="str">
        <f t="shared" si="85"/>
        <v xml:space="preserve"> </v>
      </c>
      <c r="E488" s="2" t="str">
        <f t="shared" si="85"/>
        <v xml:space="preserve"> </v>
      </c>
      <c r="F488" s="2" t="str">
        <f t="shared" si="85"/>
        <v xml:space="preserve"> </v>
      </c>
      <c r="G488" s="2" t="str">
        <f t="shared" si="85"/>
        <v xml:space="preserve"> </v>
      </c>
      <c r="H488" s="2" t="str">
        <f t="shared" si="85"/>
        <v xml:space="preserve"> </v>
      </c>
      <c r="I488" s="2" t="str">
        <f t="shared" si="85"/>
        <v xml:space="preserve"> </v>
      </c>
      <c r="J488" s="2" t="str">
        <f t="shared" si="85"/>
        <v xml:space="preserve"> </v>
      </c>
      <c r="K488" s="2" t="str">
        <f t="shared" si="85"/>
        <v xml:space="preserve"> </v>
      </c>
      <c r="L488" s="2" t="str">
        <f t="shared" si="85"/>
        <v xml:space="preserve"> </v>
      </c>
      <c r="M488" s="2" t="str">
        <f t="shared" si="85"/>
        <v xml:space="preserve"> </v>
      </c>
      <c r="N488" s="2" t="str">
        <f t="shared" si="85"/>
        <v xml:space="preserve"> </v>
      </c>
      <c r="O488" s="2" t="str">
        <f t="shared" si="85"/>
        <v xml:space="preserve"> </v>
      </c>
      <c r="P488" s="2" t="str">
        <f t="shared" si="85"/>
        <v xml:space="preserve"> </v>
      </c>
      <c r="Q488" s="2" t="str">
        <f t="shared" si="85"/>
        <v xml:space="preserve"> </v>
      </c>
      <c r="R488" s="2" t="str">
        <f t="shared" si="85"/>
        <v xml:space="preserve"> </v>
      </c>
      <c r="S488" s="2" t="str">
        <f t="shared" si="85"/>
        <v xml:space="preserve"> </v>
      </c>
      <c r="T488" s="2" t="str">
        <f t="shared" si="84"/>
        <v xml:space="preserve"> </v>
      </c>
      <c r="U488" s="2" t="str">
        <f t="shared" si="84"/>
        <v xml:space="preserve"> </v>
      </c>
      <c r="V488" s="2" t="str">
        <f t="shared" si="84"/>
        <v xml:space="preserve"> </v>
      </c>
      <c r="W488" s="2" t="str">
        <f t="shared" si="84"/>
        <v xml:space="preserve"> </v>
      </c>
      <c r="X488" s="2" t="str">
        <f t="shared" si="84"/>
        <v xml:space="preserve"> </v>
      </c>
      <c r="Y488" s="2" t="str">
        <f t="shared" si="84"/>
        <v xml:space="preserve"> </v>
      </c>
      <c r="Z488" s="2" t="str">
        <f t="shared" si="84"/>
        <v xml:space="preserve"> </v>
      </c>
      <c r="AA488" s="2" t="str">
        <f t="shared" si="84"/>
        <v xml:space="preserve"> </v>
      </c>
      <c r="AB488" s="2" t="str">
        <f t="shared" si="84"/>
        <v xml:space="preserve"> </v>
      </c>
      <c r="AC488" s="2" t="str">
        <f t="shared" si="84"/>
        <v xml:space="preserve"> </v>
      </c>
      <c r="AD488" s="2" t="str">
        <f t="shared" si="84"/>
        <v xml:space="preserve"> </v>
      </c>
      <c r="AE488" s="2" t="str">
        <f t="shared" si="84"/>
        <v xml:space="preserve"> </v>
      </c>
      <c r="AF488" s="2" t="str">
        <f t="shared" si="84"/>
        <v xml:space="preserve"> </v>
      </c>
      <c r="AG488" s="2" t="str">
        <f t="shared" si="84"/>
        <v xml:space="preserve"> </v>
      </c>
      <c r="AH488" s="2" t="str">
        <f t="shared" si="86"/>
        <v xml:space="preserve"> </v>
      </c>
      <c r="AI488" s="2" t="str">
        <f t="shared" si="86"/>
        <v xml:space="preserve"> </v>
      </c>
      <c r="AJ488" s="2" t="str">
        <f t="shared" si="86"/>
        <v xml:space="preserve"> </v>
      </c>
      <c r="AK488" s="2" t="str">
        <f t="shared" si="86"/>
        <v xml:space="preserve"> </v>
      </c>
      <c r="AL488" s="2" t="str">
        <f t="shared" si="86"/>
        <v xml:space="preserve"> </v>
      </c>
      <c r="AM488" s="2" t="str">
        <f t="shared" si="86"/>
        <v xml:space="preserve"> </v>
      </c>
      <c r="AN488" s="2" t="str">
        <f t="shared" si="86"/>
        <v xml:space="preserve"> </v>
      </c>
      <c r="AO488" s="2" t="str">
        <f t="shared" si="86"/>
        <v xml:space="preserve"> </v>
      </c>
      <c r="AP488" s="2" t="str">
        <f t="shared" si="86"/>
        <v xml:space="preserve"> </v>
      </c>
      <c r="AQ488" s="25" t="str">
        <f t="shared" si="86"/>
        <v xml:space="preserve"> </v>
      </c>
      <c r="AR488" s="12">
        <f t="shared" si="79"/>
        <v>0</v>
      </c>
    </row>
    <row r="489" spans="1:44" x14ac:dyDescent="0.25">
      <c r="A489" s="12">
        <f t="shared" si="78"/>
        <v>0</v>
      </c>
      <c r="B489" s="12">
        <f>IF(AND($C$420&gt;$C$419,($B$454+35)&lt;=$C$420),$C$419+36,0)</f>
        <v>0</v>
      </c>
      <c r="C489" s="26">
        <f t="shared" si="80"/>
        <v>0</v>
      </c>
      <c r="D489" s="26" t="str">
        <f t="shared" si="85"/>
        <v xml:space="preserve"> </v>
      </c>
      <c r="E489" s="2" t="str">
        <f t="shared" si="85"/>
        <v xml:space="preserve"> </v>
      </c>
      <c r="F489" s="2" t="str">
        <f t="shared" si="85"/>
        <v xml:space="preserve"> </v>
      </c>
      <c r="G489" s="2" t="str">
        <f t="shared" si="85"/>
        <v xml:space="preserve"> </v>
      </c>
      <c r="H489" s="2" t="str">
        <f t="shared" si="85"/>
        <v xml:space="preserve"> </v>
      </c>
      <c r="I489" s="2" t="str">
        <f t="shared" si="85"/>
        <v xml:space="preserve"> </v>
      </c>
      <c r="J489" s="2" t="str">
        <f t="shared" si="85"/>
        <v xml:space="preserve"> </v>
      </c>
      <c r="K489" s="2" t="str">
        <f t="shared" si="85"/>
        <v xml:space="preserve"> </v>
      </c>
      <c r="L489" s="2" t="str">
        <f t="shared" si="85"/>
        <v xml:space="preserve"> </v>
      </c>
      <c r="M489" s="2" t="str">
        <f t="shared" si="85"/>
        <v xml:space="preserve"> </v>
      </c>
      <c r="N489" s="2" t="str">
        <f t="shared" si="85"/>
        <v xml:space="preserve"> </v>
      </c>
      <c r="O489" s="2" t="str">
        <f t="shared" si="85"/>
        <v xml:space="preserve"> </v>
      </c>
      <c r="P489" s="2" t="str">
        <f t="shared" si="85"/>
        <v xml:space="preserve"> </v>
      </c>
      <c r="Q489" s="2" t="str">
        <f t="shared" si="85"/>
        <v xml:space="preserve"> </v>
      </c>
      <c r="R489" s="2" t="str">
        <f t="shared" si="85"/>
        <v xml:space="preserve"> </v>
      </c>
      <c r="S489" s="2" t="str">
        <f t="shared" si="85"/>
        <v xml:space="preserve"> </v>
      </c>
      <c r="T489" s="2" t="str">
        <f t="shared" si="84"/>
        <v xml:space="preserve"> </v>
      </c>
      <c r="U489" s="2" t="str">
        <f t="shared" si="84"/>
        <v xml:space="preserve"> </v>
      </c>
      <c r="V489" s="2" t="str">
        <f t="shared" si="84"/>
        <v xml:space="preserve"> </v>
      </c>
      <c r="W489" s="2" t="str">
        <f t="shared" si="84"/>
        <v xml:space="preserve"> </v>
      </c>
      <c r="X489" s="2" t="str">
        <f t="shared" si="84"/>
        <v xml:space="preserve"> </v>
      </c>
      <c r="Y489" s="2" t="str">
        <f t="shared" si="84"/>
        <v xml:space="preserve"> </v>
      </c>
      <c r="Z489" s="2" t="str">
        <f t="shared" si="84"/>
        <v xml:space="preserve"> </v>
      </c>
      <c r="AA489" s="2" t="str">
        <f t="shared" si="84"/>
        <v xml:space="preserve"> </v>
      </c>
      <c r="AB489" s="2" t="str">
        <f t="shared" si="84"/>
        <v xml:space="preserve"> </v>
      </c>
      <c r="AC489" s="2" t="str">
        <f t="shared" si="84"/>
        <v xml:space="preserve"> </v>
      </c>
      <c r="AD489" s="2" t="str">
        <f t="shared" si="84"/>
        <v xml:space="preserve"> </v>
      </c>
      <c r="AE489" s="2" t="str">
        <f t="shared" si="84"/>
        <v xml:space="preserve"> </v>
      </c>
      <c r="AF489" s="2" t="str">
        <f t="shared" si="84"/>
        <v xml:space="preserve"> </v>
      </c>
      <c r="AG489" s="2" t="str">
        <f t="shared" si="84"/>
        <v xml:space="preserve"> </v>
      </c>
      <c r="AH489" s="2" t="str">
        <f t="shared" si="86"/>
        <v xml:space="preserve"> </v>
      </c>
      <c r="AI489" s="2" t="str">
        <f t="shared" si="86"/>
        <v xml:space="preserve"> </v>
      </c>
      <c r="AJ489" s="2" t="str">
        <f t="shared" si="86"/>
        <v xml:space="preserve"> </v>
      </c>
      <c r="AK489" s="2" t="str">
        <f t="shared" si="86"/>
        <v xml:space="preserve"> </v>
      </c>
      <c r="AL489" s="2" t="str">
        <f t="shared" si="86"/>
        <v xml:space="preserve"> </v>
      </c>
      <c r="AM489" s="2" t="str">
        <f t="shared" si="86"/>
        <v xml:space="preserve"> </v>
      </c>
      <c r="AN489" s="2" t="str">
        <f t="shared" si="86"/>
        <v xml:space="preserve"> </v>
      </c>
      <c r="AO489" s="2" t="str">
        <f t="shared" si="86"/>
        <v xml:space="preserve"> </v>
      </c>
      <c r="AP489" s="2" t="str">
        <f t="shared" si="86"/>
        <v xml:space="preserve"> </v>
      </c>
      <c r="AQ489" s="25" t="str">
        <f t="shared" si="86"/>
        <v xml:space="preserve"> </v>
      </c>
      <c r="AR489" s="12">
        <f t="shared" si="79"/>
        <v>0</v>
      </c>
    </row>
    <row r="490" spans="1:44" x14ac:dyDescent="0.25">
      <c r="A490" s="12">
        <f t="shared" si="78"/>
        <v>0</v>
      </c>
      <c r="B490" s="12">
        <f>IF(AND($C$420&gt;$C$419,($B$454+36)&lt;=$C$420),$C$419+37,0)</f>
        <v>0</v>
      </c>
      <c r="C490" s="26">
        <f t="shared" si="80"/>
        <v>0</v>
      </c>
      <c r="D490" s="26" t="str">
        <f t="shared" si="85"/>
        <v xml:space="preserve"> </v>
      </c>
      <c r="E490" s="2" t="str">
        <f t="shared" si="85"/>
        <v xml:space="preserve"> </v>
      </c>
      <c r="F490" s="2" t="str">
        <f t="shared" si="85"/>
        <v xml:space="preserve"> </v>
      </c>
      <c r="G490" s="2" t="str">
        <f t="shared" si="85"/>
        <v xml:space="preserve"> </v>
      </c>
      <c r="H490" s="2" t="str">
        <f t="shared" si="85"/>
        <v xml:space="preserve"> </v>
      </c>
      <c r="I490" s="2" t="str">
        <f t="shared" si="85"/>
        <v xml:space="preserve"> </v>
      </c>
      <c r="J490" s="2" t="str">
        <f t="shared" si="85"/>
        <v xml:space="preserve"> </v>
      </c>
      <c r="K490" s="2" t="str">
        <f t="shared" si="85"/>
        <v xml:space="preserve"> </v>
      </c>
      <c r="L490" s="2" t="str">
        <f t="shared" si="85"/>
        <v xml:space="preserve"> </v>
      </c>
      <c r="M490" s="2" t="str">
        <f t="shared" si="85"/>
        <v xml:space="preserve"> </v>
      </c>
      <c r="N490" s="2" t="str">
        <f t="shared" si="85"/>
        <v xml:space="preserve"> </v>
      </c>
      <c r="O490" s="2" t="str">
        <f t="shared" si="85"/>
        <v xml:space="preserve"> </v>
      </c>
      <c r="P490" s="2" t="str">
        <f t="shared" si="85"/>
        <v xml:space="preserve"> </v>
      </c>
      <c r="Q490" s="2" t="str">
        <f t="shared" si="85"/>
        <v xml:space="preserve"> </v>
      </c>
      <c r="R490" s="2" t="str">
        <f t="shared" si="85"/>
        <v xml:space="preserve"> </v>
      </c>
      <c r="S490" s="2" t="str">
        <f t="shared" si="85"/>
        <v xml:space="preserve"> </v>
      </c>
      <c r="T490" s="2" t="str">
        <f t="shared" si="84"/>
        <v xml:space="preserve"> </v>
      </c>
      <c r="U490" s="2" t="str">
        <f t="shared" si="84"/>
        <v xml:space="preserve"> </v>
      </c>
      <c r="V490" s="2" t="str">
        <f t="shared" si="84"/>
        <v xml:space="preserve"> </v>
      </c>
      <c r="W490" s="2" t="str">
        <f t="shared" si="84"/>
        <v xml:space="preserve"> </v>
      </c>
      <c r="X490" s="2" t="str">
        <f t="shared" si="84"/>
        <v xml:space="preserve"> </v>
      </c>
      <c r="Y490" s="2" t="str">
        <f t="shared" si="84"/>
        <v xml:space="preserve"> </v>
      </c>
      <c r="Z490" s="2" t="str">
        <f t="shared" si="84"/>
        <v xml:space="preserve"> </v>
      </c>
      <c r="AA490" s="2" t="str">
        <f t="shared" si="84"/>
        <v xml:space="preserve"> </v>
      </c>
      <c r="AB490" s="2" t="str">
        <f t="shared" si="84"/>
        <v xml:space="preserve"> </v>
      </c>
      <c r="AC490" s="2" t="str">
        <f t="shared" si="84"/>
        <v xml:space="preserve"> </v>
      </c>
      <c r="AD490" s="2" t="str">
        <f t="shared" si="84"/>
        <v xml:space="preserve"> </v>
      </c>
      <c r="AE490" s="2" t="str">
        <f t="shared" si="84"/>
        <v xml:space="preserve"> </v>
      </c>
      <c r="AF490" s="2" t="str">
        <f t="shared" si="84"/>
        <v xml:space="preserve"> </v>
      </c>
      <c r="AG490" s="2" t="str">
        <f t="shared" si="84"/>
        <v xml:space="preserve"> </v>
      </c>
      <c r="AH490" s="2" t="str">
        <f t="shared" si="86"/>
        <v xml:space="preserve"> </v>
      </c>
      <c r="AI490" s="2" t="str">
        <f t="shared" si="86"/>
        <v xml:space="preserve"> </v>
      </c>
      <c r="AJ490" s="2" t="str">
        <f t="shared" si="86"/>
        <v xml:space="preserve"> </v>
      </c>
      <c r="AK490" s="2" t="str">
        <f t="shared" si="86"/>
        <v xml:space="preserve"> </v>
      </c>
      <c r="AL490" s="2" t="str">
        <f t="shared" si="86"/>
        <v xml:space="preserve"> </v>
      </c>
      <c r="AM490" s="2" t="str">
        <f t="shared" si="86"/>
        <v xml:space="preserve"> </v>
      </c>
      <c r="AN490" s="2" t="str">
        <f t="shared" si="86"/>
        <v xml:space="preserve"> </v>
      </c>
      <c r="AO490" s="2" t="str">
        <f t="shared" si="86"/>
        <v xml:space="preserve"> </v>
      </c>
      <c r="AP490" s="2" t="str">
        <f t="shared" si="86"/>
        <v xml:space="preserve"> </v>
      </c>
      <c r="AQ490" s="25" t="str">
        <f t="shared" si="86"/>
        <v xml:space="preserve"> </v>
      </c>
      <c r="AR490" s="12">
        <f t="shared" si="79"/>
        <v>0</v>
      </c>
    </row>
    <row r="491" spans="1:44" x14ac:dyDescent="0.25">
      <c r="A491" s="12">
        <f t="shared" si="78"/>
        <v>0</v>
      </c>
      <c r="B491" s="12">
        <f>IF(AND($C$420&gt;$C$419,($B$454+37)&lt;=$C$420),$C$419+38,0)</f>
        <v>0</v>
      </c>
      <c r="C491" s="26">
        <f t="shared" si="80"/>
        <v>0</v>
      </c>
      <c r="D491" s="26" t="str">
        <f t="shared" si="85"/>
        <v xml:space="preserve"> </v>
      </c>
      <c r="E491" s="2" t="str">
        <f t="shared" si="85"/>
        <v xml:space="preserve"> </v>
      </c>
      <c r="F491" s="2" t="str">
        <f t="shared" si="85"/>
        <v xml:space="preserve"> </v>
      </c>
      <c r="G491" s="2" t="str">
        <f t="shared" si="85"/>
        <v xml:space="preserve"> </v>
      </c>
      <c r="H491" s="2" t="str">
        <f t="shared" si="85"/>
        <v xml:space="preserve"> </v>
      </c>
      <c r="I491" s="2" t="str">
        <f t="shared" si="85"/>
        <v xml:space="preserve"> </v>
      </c>
      <c r="J491" s="2" t="str">
        <f t="shared" si="85"/>
        <v xml:space="preserve"> </v>
      </c>
      <c r="K491" s="2" t="str">
        <f t="shared" si="85"/>
        <v xml:space="preserve"> </v>
      </c>
      <c r="L491" s="2" t="str">
        <f t="shared" si="85"/>
        <v xml:space="preserve"> </v>
      </c>
      <c r="M491" s="2" t="str">
        <f t="shared" si="85"/>
        <v xml:space="preserve"> </v>
      </c>
      <c r="N491" s="2" t="str">
        <f t="shared" si="85"/>
        <v xml:space="preserve"> </v>
      </c>
      <c r="O491" s="2" t="str">
        <f t="shared" si="85"/>
        <v xml:space="preserve"> </v>
      </c>
      <c r="P491" s="2" t="str">
        <f t="shared" si="85"/>
        <v xml:space="preserve"> </v>
      </c>
      <c r="Q491" s="2" t="str">
        <f t="shared" si="85"/>
        <v xml:space="preserve"> </v>
      </c>
      <c r="R491" s="2" t="str">
        <f t="shared" si="85"/>
        <v xml:space="preserve"> </v>
      </c>
      <c r="S491" s="2" t="str">
        <f t="shared" si="85"/>
        <v xml:space="preserve"> </v>
      </c>
      <c r="T491" s="2" t="str">
        <f t="shared" si="84"/>
        <v xml:space="preserve"> </v>
      </c>
      <c r="U491" s="2" t="str">
        <f t="shared" si="84"/>
        <v xml:space="preserve"> </v>
      </c>
      <c r="V491" s="2" t="str">
        <f t="shared" si="84"/>
        <v xml:space="preserve"> </v>
      </c>
      <c r="W491" s="2" t="str">
        <f t="shared" si="84"/>
        <v xml:space="preserve"> </v>
      </c>
      <c r="X491" s="2" t="str">
        <f t="shared" si="84"/>
        <v xml:space="preserve"> </v>
      </c>
      <c r="Y491" s="2" t="str">
        <f t="shared" si="84"/>
        <v xml:space="preserve"> </v>
      </c>
      <c r="Z491" s="2" t="str">
        <f t="shared" si="84"/>
        <v xml:space="preserve"> </v>
      </c>
      <c r="AA491" s="2" t="str">
        <f t="shared" si="84"/>
        <v xml:space="preserve"> </v>
      </c>
      <c r="AB491" s="2" t="str">
        <f t="shared" si="84"/>
        <v xml:space="preserve"> </v>
      </c>
      <c r="AC491" s="2" t="str">
        <f t="shared" si="84"/>
        <v xml:space="preserve"> </v>
      </c>
      <c r="AD491" s="2" t="str">
        <f t="shared" si="84"/>
        <v xml:space="preserve"> </v>
      </c>
      <c r="AE491" s="2" t="str">
        <f t="shared" si="84"/>
        <v xml:space="preserve"> </v>
      </c>
      <c r="AF491" s="2" t="str">
        <f t="shared" si="84"/>
        <v xml:space="preserve"> </v>
      </c>
      <c r="AG491" s="2" t="str">
        <f t="shared" si="84"/>
        <v xml:space="preserve"> </v>
      </c>
      <c r="AH491" s="2" t="str">
        <f t="shared" si="86"/>
        <v xml:space="preserve"> </v>
      </c>
      <c r="AI491" s="2" t="str">
        <f t="shared" si="86"/>
        <v xml:space="preserve"> </v>
      </c>
      <c r="AJ491" s="2" t="str">
        <f t="shared" si="86"/>
        <v xml:space="preserve"> </v>
      </c>
      <c r="AK491" s="2" t="str">
        <f t="shared" si="86"/>
        <v xml:space="preserve"> </v>
      </c>
      <c r="AL491" s="2" t="str">
        <f t="shared" si="86"/>
        <v xml:space="preserve"> </v>
      </c>
      <c r="AM491" s="2" t="str">
        <f t="shared" si="86"/>
        <v xml:space="preserve"> </v>
      </c>
      <c r="AN491" s="2" t="str">
        <f t="shared" si="86"/>
        <v xml:space="preserve"> </v>
      </c>
      <c r="AO491" s="2" t="str">
        <f t="shared" si="86"/>
        <v xml:space="preserve"> </v>
      </c>
      <c r="AP491" s="2" t="str">
        <f t="shared" si="86"/>
        <v xml:space="preserve"> </v>
      </c>
      <c r="AQ491" s="25" t="str">
        <f t="shared" si="86"/>
        <v xml:space="preserve"> </v>
      </c>
      <c r="AR491" s="12">
        <f t="shared" si="79"/>
        <v>0</v>
      </c>
    </row>
    <row r="492" spans="1:44" x14ac:dyDescent="0.25">
      <c r="A492" s="13">
        <f t="shared" si="78"/>
        <v>0</v>
      </c>
      <c r="B492" s="13">
        <f>IF(AND($C$420&gt;$C$419,($B$454+38)&lt;=$C$420),$C$419+39,0)</f>
        <v>0</v>
      </c>
      <c r="C492" s="432">
        <f t="shared" si="80"/>
        <v>0</v>
      </c>
      <c r="D492" s="432" t="str">
        <f t="shared" si="85"/>
        <v xml:space="preserve"> </v>
      </c>
      <c r="E492" s="343" t="str">
        <f t="shared" si="85"/>
        <v xml:space="preserve"> </v>
      </c>
      <c r="F492" s="343" t="str">
        <f t="shared" si="85"/>
        <v xml:space="preserve"> </v>
      </c>
      <c r="G492" s="343" t="str">
        <f t="shared" si="85"/>
        <v xml:space="preserve"> </v>
      </c>
      <c r="H492" s="343" t="str">
        <f t="shared" si="85"/>
        <v xml:space="preserve"> </v>
      </c>
      <c r="I492" s="343" t="str">
        <f t="shared" si="85"/>
        <v xml:space="preserve"> </v>
      </c>
      <c r="J492" s="343" t="str">
        <f t="shared" si="85"/>
        <v xml:space="preserve"> </v>
      </c>
      <c r="K492" s="343" t="str">
        <f t="shared" si="85"/>
        <v xml:space="preserve"> </v>
      </c>
      <c r="L492" s="343" t="str">
        <f t="shared" si="85"/>
        <v xml:space="preserve"> </v>
      </c>
      <c r="M492" s="343" t="str">
        <f t="shared" si="85"/>
        <v xml:space="preserve"> </v>
      </c>
      <c r="N492" s="343" t="str">
        <f t="shared" si="85"/>
        <v xml:space="preserve"> </v>
      </c>
      <c r="O492" s="343" t="str">
        <f t="shared" si="85"/>
        <v xml:space="preserve"> </v>
      </c>
      <c r="P492" s="343" t="str">
        <f t="shared" si="85"/>
        <v xml:space="preserve"> </v>
      </c>
      <c r="Q492" s="343" t="str">
        <f t="shared" si="85"/>
        <v xml:space="preserve"> </v>
      </c>
      <c r="R492" s="343" t="str">
        <f t="shared" si="85"/>
        <v xml:space="preserve"> </v>
      </c>
      <c r="S492" s="343" t="str">
        <f t="shared" si="85"/>
        <v xml:space="preserve"> </v>
      </c>
      <c r="T492" s="343" t="str">
        <f t="shared" si="84"/>
        <v xml:space="preserve"> </v>
      </c>
      <c r="U492" s="343" t="str">
        <f t="shared" si="84"/>
        <v xml:space="preserve"> </v>
      </c>
      <c r="V492" s="343" t="str">
        <f t="shared" si="84"/>
        <v xml:space="preserve"> </v>
      </c>
      <c r="W492" s="343" t="str">
        <f t="shared" si="84"/>
        <v xml:space="preserve"> </v>
      </c>
      <c r="X492" s="343" t="str">
        <f t="shared" si="84"/>
        <v xml:space="preserve"> </v>
      </c>
      <c r="Y492" s="343" t="str">
        <f t="shared" si="84"/>
        <v xml:space="preserve"> </v>
      </c>
      <c r="Z492" s="343" t="str">
        <f t="shared" si="84"/>
        <v xml:space="preserve"> </v>
      </c>
      <c r="AA492" s="343" t="str">
        <f t="shared" si="84"/>
        <v xml:space="preserve"> </v>
      </c>
      <c r="AB492" s="343" t="str">
        <f t="shared" si="84"/>
        <v xml:space="preserve"> </v>
      </c>
      <c r="AC492" s="343" t="str">
        <f t="shared" si="84"/>
        <v xml:space="preserve"> </v>
      </c>
      <c r="AD492" s="343" t="str">
        <f t="shared" si="84"/>
        <v xml:space="preserve"> </v>
      </c>
      <c r="AE492" s="343" t="str">
        <f t="shared" si="84"/>
        <v xml:space="preserve"> </v>
      </c>
      <c r="AF492" s="343" t="str">
        <f t="shared" si="84"/>
        <v xml:space="preserve"> </v>
      </c>
      <c r="AG492" s="343" t="str">
        <f t="shared" si="84"/>
        <v xml:space="preserve"> </v>
      </c>
      <c r="AH492" s="343" t="str">
        <f t="shared" si="86"/>
        <v xml:space="preserve"> </v>
      </c>
      <c r="AI492" s="343" t="str">
        <f t="shared" si="86"/>
        <v xml:space="preserve"> </v>
      </c>
      <c r="AJ492" s="343" t="str">
        <f t="shared" si="86"/>
        <v xml:space="preserve"> </v>
      </c>
      <c r="AK492" s="343" t="str">
        <f t="shared" si="86"/>
        <v xml:space="preserve"> </v>
      </c>
      <c r="AL492" s="343" t="str">
        <f t="shared" si="86"/>
        <v xml:space="preserve"> </v>
      </c>
      <c r="AM492" s="343" t="str">
        <f t="shared" si="86"/>
        <v xml:space="preserve"> </v>
      </c>
      <c r="AN492" s="343" t="str">
        <f t="shared" si="86"/>
        <v xml:space="preserve"> </v>
      </c>
      <c r="AO492" s="343" t="str">
        <f t="shared" si="86"/>
        <v xml:space="preserve"> </v>
      </c>
      <c r="AP492" s="343" t="str">
        <f t="shared" si="86"/>
        <v xml:space="preserve"> </v>
      </c>
      <c r="AQ492" s="436" t="str">
        <f t="shared" si="86"/>
        <v xml:space="preserve"> </v>
      </c>
      <c r="AR492" s="13">
        <f t="shared" si="79"/>
        <v>0</v>
      </c>
    </row>
    <row r="493" spans="1:44" x14ac:dyDescent="0.25">
      <c r="D493" s="208">
        <f t="shared" ref="D493:AQ493" si="87">IFERROR(VLOOKUP($B$445,D$453:AR$492,D450,FALSE),0)</f>
        <v>1</v>
      </c>
      <c r="E493" s="208">
        <f t="shared" si="87"/>
        <v>0</v>
      </c>
      <c r="F493" s="208">
        <f t="shared" si="87"/>
        <v>0</v>
      </c>
      <c r="G493" s="208">
        <f t="shared" si="87"/>
        <v>0</v>
      </c>
      <c r="H493" s="208">
        <f t="shared" si="87"/>
        <v>0</v>
      </c>
      <c r="I493" s="208">
        <f t="shared" si="87"/>
        <v>0</v>
      </c>
      <c r="J493" s="208">
        <f t="shared" si="87"/>
        <v>0</v>
      </c>
      <c r="K493" s="208">
        <f t="shared" si="87"/>
        <v>0</v>
      </c>
      <c r="L493" s="208">
        <f t="shared" si="87"/>
        <v>0</v>
      </c>
      <c r="M493" s="208">
        <f t="shared" si="87"/>
        <v>0</v>
      </c>
      <c r="N493" s="208">
        <f t="shared" si="87"/>
        <v>0</v>
      </c>
      <c r="O493" s="208">
        <f t="shared" si="87"/>
        <v>0</v>
      </c>
      <c r="P493" s="208">
        <f t="shared" si="87"/>
        <v>0</v>
      </c>
      <c r="Q493" s="208">
        <f t="shared" si="87"/>
        <v>0</v>
      </c>
      <c r="R493" s="208">
        <f t="shared" si="87"/>
        <v>0</v>
      </c>
      <c r="S493" s="208">
        <f t="shared" si="87"/>
        <v>0</v>
      </c>
      <c r="T493" s="208">
        <f t="shared" si="87"/>
        <v>0</v>
      </c>
      <c r="U493" s="208">
        <f t="shared" si="87"/>
        <v>0</v>
      </c>
      <c r="V493" s="208">
        <f t="shared" si="87"/>
        <v>0</v>
      </c>
      <c r="W493" s="208">
        <f t="shared" si="87"/>
        <v>0</v>
      </c>
      <c r="X493" s="208">
        <f t="shared" si="87"/>
        <v>0</v>
      </c>
      <c r="Y493" s="208">
        <f t="shared" si="87"/>
        <v>0</v>
      </c>
      <c r="Z493" s="208">
        <f t="shared" si="87"/>
        <v>0</v>
      </c>
      <c r="AA493" s="208">
        <f t="shared" si="87"/>
        <v>0</v>
      </c>
      <c r="AB493" s="208">
        <f t="shared" si="87"/>
        <v>0</v>
      </c>
      <c r="AC493" s="208">
        <f t="shared" si="87"/>
        <v>0</v>
      </c>
      <c r="AD493" s="208">
        <f t="shared" si="87"/>
        <v>0</v>
      </c>
      <c r="AE493" s="208">
        <f t="shared" si="87"/>
        <v>0</v>
      </c>
      <c r="AF493" s="208">
        <f t="shared" si="87"/>
        <v>0</v>
      </c>
      <c r="AG493" s="208">
        <f t="shared" si="87"/>
        <v>0</v>
      </c>
      <c r="AH493" s="208">
        <f t="shared" si="87"/>
        <v>0</v>
      </c>
      <c r="AI493" s="208">
        <f t="shared" si="87"/>
        <v>0</v>
      </c>
      <c r="AJ493" s="208">
        <f t="shared" si="87"/>
        <v>0</v>
      </c>
      <c r="AK493" s="208">
        <f t="shared" si="87"/>
        <v>0</v>
      </c>
      <c r="AL493" s="208">
        <f t="shared" si="87"/>
        <v>0</v>
      </c>
      <c r="AM493" s="208">
        <f t="shared" si="87"/>
        <v>0</v>
      </c>
      <c r="AN493" s="208">
        <f t="shared" si="87"/>
        <v>0</v>
      </c>
      <c r="AO493" s="208">
        <f t="shared" si="87"/>
        <v>0</v>
      </c>
      <c r="AP493" s="208">
        <f t="shared" si="87"/>
        <v>0</v>
      </c>
      <c r="AQ493" s="208">
        <f t="shared" si="87"/>
        <v>0</v>
      </c>
      <c r="AR493" s="472"/>
    </row>
    <row r="494" spans="1:44" x14ac:dyDescent="0.25">
      <c r="C494" t="s">
        <v>1315</v>
      </c>
      <c r="D494" s="951">
        <f>IF(D449&lt;&gt;" ",VLOOKUP($C$452,D$453:$AR$492,D449,FALSE)," ")</f>
        <v>1</v>
      </c>
      <c r="E494" s="951" t="str">
        <f>IF(E449&lt;&gt;" ",VLOOKUP($C$452,E$453:$AR$492,E449,FALSE)," ")</f>
        <v xml:space="preserve"> </v>
      </c>
      <c r="F494" s="951" t="str">
        <f>IF(F449&lt;&gt;" ",VLOOKUP($C$452,F$453:$AR$492,F449,FALSE)," ")</f>
        <v xml:space="preserve"> </v>
      </c>
      <c r="G494" s="951" t="str">
        <f>IF(G449&lt;&gt;" ",VLOOKUP($C$452,G$453:$AR$492,G449,FALSE)," ")</f>
        <v xml:space="preserve"> </v>
      </c>
      <c r="H494" s="951" t="str">
        <f>IF(H449&lt;&gt;" ",VLOOKUP($C$452,H$453:$AR$492,H449,FALSE)," ")</f>
        <v xml:space="preserve"> </v>
      </c>
      <c r="I494" s="951" t="str">
        <f>IF(I449&lt;&gt;" ",VLOOKUP($C$452,I$453:$AR$492,I449,FALSE)," ")</f>
        <v xml:space="preserve"> </v>
      </c>
      <c r="J494" s="951" t="str">
        <f>IF(J449&lt;&gt;" ",VLOOKUP($C$452,J$453:$AR$492,J449,FALSE)," ")</f>
        <v xml:space="preserve"> </v>
      </c>
      <c r="K494" s="951" t="str">
        <f>IF(K449&lt;&gt;" ",VLOOKUP($C$452,K$453:$AR$492,K449,FALSE)," ")</f>
        <v xml:space="preserve"> </v>
      </c>
      <c r="L494" s="951" t="str">
        <f>IF(L449&lt;&gt;" ",VLOOKUP($C$452,L$453:$AR$492,L449,FALSE)," ")</f>
        <v xml:space="preserve"> </v>
      </c>
      <c r="M494" s="951" t="str">
        <f>IF(M449&lt;&gt;" ",VLOOKUP($C$452,M$453:$AR$492,M449,FALSE)," ")</f>
        <v xml:space="preserve"> </v>
      </c>
      <c r="N494" s="951" t="str">
        <f>IF(N449&lt;&gt;" ",VLOOKUP($C$452,N$453:$AR$492,N449,FALSE)," ")</f>
        <v xml:space="preserve"> </v>
      </c>
      <c r="O494" s="951" t="str">
        <f>IF(O449&lt;&gt;" ",VLOOKUP($C$452,O$453:$AR$492,O449,FALSE)," ")</f>
        <v xml:space="preserve"> </v>
      </c>
      <c r="P494" s="951" t="str">
        <f>IF(P449&lt;&gt;" ",VLOOKUP($C$452,P$453:$AR$492,P449,FALSE)," ")</f>
        <v xml:space="preserve"> </v>
      </c>
      <c r="Q494" s="951" t="str">
        <f>IF(Q449&lt;&gt;" ",VLOOKUP($C$452,Q$453:$AR$492,Q449,FALSE)," ")</f>
        <v xml:space="preserve"> </v>
      </c>
      <c r="R494" s="951" t="str">
        <f>IF(R449&lt;&gt;" ",VLOOKUP($C$452,R$453:$AR$492,R449,FALSE)," ")</f>
        <v xml:space="preserve"> </v>
      </c>
      <c r="S494" s="951" t="str">
        <f>IF(S449&lt;&gt;" ",VLOOKUP($C$452,S$453:$AR$492,S449,FALSE)," ")</f>
        <v xml:space="preserve"> </v>
      </c>
      <c r="T494" s="951" t="str">
        <f>IF(T449&lt;&gt;" ",VLOOKUP($C$452,T$453:$AR$492,T449,FALSE)," ")</f>
        <v xml:space="preserve"> </v>
      </c>
      <c r="U494" s="951" t="str">
        <f>IF(U449&lt;&gt;" ",VLOOKUP($C$452,U$453:$AR$492,U449,FALSE)," ")</f>
        <v xml:space="preserve"> </v>
      </c>
      <c r="V494" s="951" t="str">
        <f>IF(V449&lt;&gt;" ",VLOOKUP($C$452,V$453:$AR$492,V449,FALSE)," ")</f>
        <v xml:space="preserve"> </v>
      </c>
      <c r="W494" s="951" t="str">
        <f>IF(W449&lt;&gt;" ",VLOOKUP($C$452,W$453:$AR$492,W449,FALSE)," ")</f>
        <v xml:space="preserve"> </v>
      </c>
      <c r="X494" s="951" t="str">
        <f>IF(X449&lt;&gt;" ",VLOOKUP($C$452,X$453:$AR$492,X449,FALSE)," ")</f>
        <v xml:space="preserve"> </v>
      </c>
      <c r="Y494" s="951" t="str">
        <f>IF(Y449&lt;&gt;" ",VLOOKUP($C$452,Y$453:$AR$492,Y449,FALSE)," ")</f>
        <v xml:space="preserve"> </v>
      </c>
      <c r="Z494" s="951" t="str">
        <f>IF(Z449&lt;&gt;" ",VLOOKUP($C$452,Z$453:$AR$492,Z449,FALSE)," ")</f>
        <v xml:space="preserve"> </v>
      </c>
      <c r="AA494" s="951" t="str">
        <f>IF(AA449&lt;&gt;" ",VLOOKUP($C$452,AA$453:$AR$492,AA449,FALSE)," ")</f>
        <v xml:space="preserve"> </v>
      </c>
      <c r="AB494" s="951" t="str">
        <f>IF(AB449&lt;&gt;" ",VLOOKUP($C$452,AB$453:$AR$492,AB449,FALSE)," ")</f>
        <v xml:space="preserve"> </v>
      </c>
      <c r="AC494" s="951" t="str">
        <f>IF(AC449&lt;&gt;" ",VLOOKUP($C$452,AC$453:$AR$492,AC449,FALSE)," ")</f>
        <v xml:space="preserve"> </v>
      </c>
      <c r="AD494" s="951" t="str">
        <f>IF(AD449&lt;&gt;" ",VLOOKUP($C$452,AD$453:$AR$492,AD449,FALSE)," ")</f>
        <v xml:space="preserve"> </v>
      </c>
      <c r="AE494" s="951" t="str">
        <f>IF(AE449&lt;&gt;" ",VLOOKUP($C$452,AE$453:$AR$492,AE449,FALSE)," ")</f>
        <v xml:space="preserve"> </v>
      </c>
      <c r="AF494" s="951" t="str">
        <f>IF(AF449&lt;&gt;" ",VLOOKUP($C$452,AF$453:$AR$492,AF449,FALSE)," ")</f>
        <v xml:space="preserve"> </v>
      </c>
      <c r="AG494" s="951" t="str">
        <f>IF(AG449&lt;&gt;" ",VLOOKUP($C$452,AG$453:$AR$492,AG449,FALSE)," ")</f>
        <v xml:space="preserve"> </v>
      </c>
      <c r="AH494" s="951" t="str">
        <f>IF(AH449&lt;&gt;" ",VLOOKUP($C$452,AH$453:$AR$492,AH449,FALSE)," ")</f>
        <v xml:space="preserve"> </v>
      </c>
      <c r="AI494" s="951" t="str">
        <f>IF(AI449&lt;&gt;" ",VLOOKUP($C$452,AI$453:$AR$492,AI449,FALSE)," ")</f>
        <v xml:space="preserve"> </v>
      </c>
      <c r="AJ494" s="951" t="str">
        <f>IF(AJ449&lt;&gt;" ",VLOOKUP($C$452,AJ$453:$AR$492,AJ449,FALSE)," ")</f>
        <v xml:space="preserve"> </v>
      </c>
      <c r="AK494" s="951" t="str">
        <f>IF(AK449&lt;&gt;" ",VLOOKUP($C$452,AK$453:$AR$492,AK449,FALSE)," ")</f>
        <v xml:space="preserve"> </v>
      </c>
      <c r="AL494" s="951" t="str">
        <f>IF(AL449&lt;&gt;" ",VLOOKUP($C$452,AL$453:$AR$492,AL449,FALSE)," ")</f>
        <v xml:space="preserve"> </v>
      </c>
      <c r="AM494" s="951" t="str">
        <f>IF(AM449&lt;&gt;" ",VLOOKUP($C$452,AM$453:$AR$492,AM449,FALSE)," ")</f>
        <v xml:space="preserve"> </v>
      </c>
      <c r="AN494" s="951" t="str">
        <f>IF(AN449&lt;&gt;" ",VLOOKUP($C$452,AN$453:$AR$492,AN449,FALSE)," ")</f>
        <v xml:space="preserve"> </v>
      </c>
      <c r="AO494" s="951" t="str">
        <f>IF(AO449&lt;&gt;" ",VLOOKUP($C$452,AO$453:$AR$492,AO449,FALSE)," ")</f>
        <v xml:space="preserve"> </v>
      </c>
      <c r="AP494" s="951" t="str">
        <f>IF(AP449&lt;&gt;" ",VLOOKUP($C$452,AP$453:$AR$492,AP449,FALSE)," ")</f>
        <v xml:space="preserve"> </v>
      </c>
      <c r="AQ494" s="951" t="str">
        <f>IF(AQ449&lt;&gt;" ",VLOOKUP($C$452,AQ$453:$AR$492,AQ449,FALSE)," ")</f>
        <v xml:space="preserve"> </v>
      </c>
      <c r="AR494" s="951">
        <f>MAX(D494:AQ494)</f>
        <v>1</v>
      </c>
    </row>
    <row r="495" spans="1:44" x14ac:dyDescent="0.25">
      <c r="C495" t="s">
        <v>1316</v>
      </c>
      <c r="D495" s="951">
        <f>IF(D494=$AR$494,D449," ")</f>
        <v>41</v>
      </c>
      <c r="E495" s="951" t="str">
        <f t="shared" ref="E495:AQ495" si="88">IF(E494=$AR$494,E449," ")</f>
        <v xml:space="preserve"> </v>
      </c>
      <c r="F495" s="951" t="str">
        <f t="shared" si="88"/>
        <v xml:space="preserve"> </v>
      </c>
      <c r="G495" s="951" t="str">
        <f t="shared" si="88"/>
        <v xml:space="preserve"> </v>
      </c>
      <c r="H495" s="951" t="str">
        <f t="shared" si="88"/>
        <v xml:space="preserve"> </v>
      </c>
      <c r="I495" s="951" t="str">
        <f t="shared" si="88"/>
        <v xml:space="preserve"> </v>
      </c>
      <c r="J495" s="951" t="str">
        <f t="shared" si="88"/>
        <v xml:space="preserve"> </v>
      </c>
      <c r="K495" s="951" t="str">
        <f t="shared" si="88"/>
        <v xml:space="preserve"> </v>
      </c>
      <c r="L495" s="951" t="str">
        <f t="shared" si="88"/>
        <v xml:space="preserve"> </v>
      </c>
      <c r="M495" s="951" t="str">
        <f t="shared" si="88"/>
        <v xml:space="preserve"> </v>
      </c>
      <c r="N495" s="951" t="str">
        <f t="shared" si="88"/>
        <v xml:space="preserve"> </v>
      </c>
      <c r="O495" s="951" t="str">
        <f t="shared" si="88"/>
        <v xml:space="preserve"> </v>
      </c>
      <c r="P495" s="951" t="str">
        <f t="shared" si="88"/>
        <v xml:space="preserve"> </v>
      </c>
      <c r="Q495" s="951" t="str">
        <f t="shared" si="88"/>
        <v xml:space="preserve"> </v>
      </c>
      <c r="R495" s="951" t="str">
        <f t="shared" si="88"/>
        <v xml:space="preserve"> </v>
      </c>
      <c r="S495" s="951" t="str">
        <f t="shared" si="88"/>
        <v xml:space="preserve"> </v>
      </c>
      <c r="T495" s="951" t="str">
        <f t="shared" si="88"/>
        <v xml:space="preserve"> </v>
      </c>
      <c r="U495" s="951" t="str">
        <f t="shared" si="88"/>
        <v xml:space="preserve"> </v>
      </c>
      <c r="V495" s="951" t="str">
        <f t="shared" si="88"/>
        <v xml:space="preserve"> </v>
      </c>
      <c r="W495" s="951" t="str">
        <f t="shared" si="88"/>
        <v xml:space="preserve"> </v>
      </c>
      <c r="X495" s="951" t="str">
        <f t="shared" si="88"/>
        <v xml:space="preserve"> </v>
      </c>
      <c r="Y495" s="951" t="str">
        <f t="shared" si="88"/>
        <v xml:space="preserve"> </v>
      </c>
      <c r="Z495" s="951" t="str">
        <f t="shared" si="88"/>
        <v xml:space="preserve"> </v>
      </c>
      <c r="AA495" s="951" t="str">
        <f t="shared" si="88"/>
        <v xml:space="preserve"> </v>
      </c>
      <c r="AB495" s="951" t="str">
        <f t="shared" si="88"/>
        <v xml:space="preserve"> </v>
      </c>
      <c r="AC495" s="951" t="str">
        <f t="shared" si="88"/>
        <v xml:space="preserve"> </v>
      </c>
      <c r="AD495" s="951" t="str">
        <f t="shared" si="88"/>
        <v xml:space="preserve"> </v>
      </c>
      <c r="AE495" s="951" t="str">
        <f t="shared" si="88"/>
        <v xml:space="preserve"> </v>
      </c>
      <c r="AF495" s="951" t="str">
        <f t="shared" si="88"/>
        <v xml:space="preserve"> </v>
      </c>
      <c r="AG495" s="951" t="str">
        <f t="shared" si="88"/>
        <v xml:space="preserve"> </v>
      </c>
      <c r="AH495" s="951" t="str">
        <f t="shared" si="88"/>
        <v xml:space="preserve"> </v>
      </c>
      <c r="AI495" s="951" t="str">
        <f t="shared" si="88"/>
        <v xml:space="preserve"> </v>
      </c>
      <c r="AJ495" s="951" t="str">
        <f t="shared" si="88"/>
        <v xml:space="preserve"> </v>
      </c>
      <c r="AK495" s="951" t="str">
        <f t="shared" si="88"/>
        <v xml:space="preserve"> </v>
      </c>
      <c r="AL495" s="951" t="str">
        <f t="shared" si="88"/>
        <v xml:space="preserve"> </v>
      </c>
      <c r="AM495" s="951" t="str">
        <f t="shared" si="88"/>
        <v xml:space="preserve"> </v>
      </c>
      <c r="AN495" s="951" t="str">
        <f t="shared" si="88"/>
        <v xml:space="preserve"> </v>
      </c>
      <c r="AO495" s="951" t="str">
        <f t="shared" si="88"/>
        <v xml:space="preserve"> </v>
      </c>
      <c r="AP495" s="951" t="str">
        <f t="shared" si="88"/>
        <v xml:space="preserve"> </v>
      </c>
      <c r="AQ495" s="951" t="str">
        <f t="shared" si="88"/>
        <v xml:space="preserve"> </v>
      </c>
      <c r="AR495" s="951">
        <f>MIN(D495:AQ495)</f>
        <v>41</v>
      </c>
    </row>
    <row r="497" spans="1:29" s="320" customFormat="1" x14ac:dyDescent="0.25">
      <c r="B497" s="441"/>
      <c r="Y497" s="343"/>
    </row>
    <row r="499" spans="1:29" s="426" customFormat="1" ht="13.5" thickBot="1" x14ac:dyDescent="0.25">
      <c r="B499" s="615"/>
      <c r="D499" s="626" t="s">
        <v>674</v>
      </c>
      <c r="Y499" s="626"/>
    </row>
    <row r="500" spans="1:29" s="426" customFormat="1" ht="15.75" thickBot="1" x14ac:dyDescent="0.3">
      <c r="B500" s="641" t="s">
        <v>663</v>
      </c>
      <c r="C500" s="643">
        <f>J364</f>
        <v>0</v>
      </c>
      <c r="D500" s="642">
        <f>IF(C500=1,C559+C563,0)</f>
        <v>0</v>
      </c>
      <c r="Q500" s="77" t="s">
        <v>1050</v>
      </c>
      <c r="R500"/>
      <c r="S500"/>
      <c r="T500"/>
      <c r="U500"/>
      <c r="V500"/>
      <c r="W500"/>
      <c r="Y500" s="626"/>
      <c r="AA500" s="77" t="s">
        <v>1069</v>
      </c>
      <c r="AB500" s="1101">
        <v>1200</v>
      </c>
      <c r="AC500" s="77" t="s">
        <v>1070</v>
      </c>
    </row>
    <row r="501" spans="1:29" s="426" customFormat="1" x14ac:dyDescent="0.25">
      <c r="B501" s="615"/>
      <c r="Q501" s="944"/>
      <c r="R501" s="944"/>
      <c r="S501" s="1087">
        <f>C516</f>
        <v>361</v>
      </c>
      <c r="T501" s="1088">
        <f>C517</f>
        <v>1150</v>
      </c>
      <c r="U501" s="14"/>
      <c r="V501" s="433"/>
      <c r="W501" s="433"/>
      <c r="Y501" s="626"/>
      <c r="AA501" t="s">
        <v>1071</v>
      </c>
      <c r="AB501" s="1035">
        <v>20</v>
      </c>
      <c r="AC501" t="s">
        <v>1072</v>
      </c>
    </row>
    <row r="502" spans="1:29" s="426" customFormat="1" x14ac:dyDescent="0.25">
      <c r="B502" s="426" t="s">
        <v>775</v>
      </c>
      <c r="C502" s="699">
        <f>'Tarieven (2)'!C7</f>
        <v>190</v>
      </c>
      <c r="D502" s="697">
        <f>C502/60</f>
        <v>3.1666666666666665</v>
      </c>
      <c r="Q502" s="41"/>
      <c r="R502" s="339" t="s">
        <v>0</v>
      </c>
      <c r="S502" s="400" t="s">
        <v>1051</v>
      </c>
      <c r="T502" s="1075" t="s">
        <v>1052</v>
      </c>
      <c r="U502" s="1089" t="s">
        <v>903</v>
      </c>
      <c r="V502" s="1076" t="s">
        <v>902</v>
      </c>
      <c r="W502" s="912"/>
      <c r="Y502" s="626"/>
      <c r="AA502" t="s">
        <v>1073</v>
      </c>
      <c r="AB502" s="1035">
        <v>180</v>
      </c>
      <c r="AC502" t="s">
        <v>1074</v>
      </c>
    </row>
    <row r="503" spans="1:29" s="426" customFormat="1" x14ac:dyDescent="0.25">
      <c r="B503" s="615"/>
      <c r="Q503" s="1062" t="str">
        <f>IF($C$4=R503,1," ")</f>
        <v xml:space="preserve"> </v>
      </c>
      <c r="R503" s="777" t="s">
        <v>30</v>
      </c>
      <c r="S503" s="22">
        <v>1000</v>
      </c>
      <c r="T503" s="22">
        <v>2000</v>
      </c>
      <c r="U503" s="26">
        <f>IF($S$501&gt;=S503,1,0)</f>
        <v>0</v>
      </c>
      <c r="V503" s="25">
        <f>IF($T$501&gt;=T503,1,0)</f>
        <v>0</v>
      </c>
      <c r="W503" s="25">
        <f>IF(AND(Q503=1,SUM(U503:V503)&lt;2),1,0)</f>
        <v>0</v>
      </c>
      <c r="Y503" s="626"/>
    </row>
    <row r="504" spans="1:29" s="426" customFormat="1" x14ac:dyDescent="0.25">
      <c r="A504" s="426" t="s">
        <v>61</v>
      </c>
      <c r="B504" s="426" t="s">
        <v>679</v>
      </c>
      <c r="C504" s="636" t="s">
        <v>680</v>
      </c>
      <c r="D504" s="635"/>
      <c r="G504" s="638">
        <v>0.15</v>
      </c>
      <c r="L504" s="426" t="s">
        <v>1017</v>
      </c>
      <c r="N504" s="652" t="s">
        <v>866</v>
      </c>
      <c r="O504" s="971">
        <f>AY46</f>
        <v>0.9</v>
      </c>
      <c r="Q504" s="12">
        <f t="shared" ref="Q504:Q511" si="89">IF($C$4=R504,1," ")</f>
        <v>1</v>
      </c>
      <c r="R504" s="778" t="s">
        <v>31</v>
      </c>
      <c r="S504" s="22">
        <v>720</v>
      </c>
      <c r="T504" s="22">
        <v>1800</v>
      </c>
      <c r="U504" s="26">
        <f t="shared" ref="U504:U511" si="90">IF($S$501&gt;=S504,1,0)</f>
        <v>0</v>
      </c>
      <c r="V504" s="25">
        <f t="shared" ref="V504:V511" si="91">IF($T$501&gt;=T504,1,0)</f>
        <v>0</v>
      </c>
      <c r="W504" s="25">
        <f t="shared" ref="W504:W511" si="92">IF(AND(Q504=1,SUM(U504:V504)&lt;2),1,0)</f>
        <v>1</v>
      </c>
      <c r="Y504" s="626"/>
      <c r="AA504" s="944"/>
      <c r="AB504" s="944" t="s">
        <v>1061</v>
      </c>
    </row>
    <row r="505" spans="1:29" s="426" customFormat="1" x14ac:dyDescent="0.25">
      <c r="A505" s="626">
        <f>IF(AND(C500=1,C512=0),1,IF(AND(C500=1,C512=1),0.5,0))</f>
        <v>0</v>
      </c>
      <c r="B505" s="426" t="s">
        <v>767</v>
      </c>
      <c r="C505" s="637">
        <v>10</v>
      </c>
      <c r="D505" s="426" t="s">
        <v>683</v>
      </c>
      <c r="G505" s="708" t="s">
        <v>777</v>
      </c>
      <c r="H505" s="719" t="s">
        <v>778</v>
      </c>
      <c r="I505" s="719" t="s">
        <v>779</v>
      </c>
      <c r="Q505" s="12" t="str">
        <f t="shared" si="89"/>
        <v xml:space="preserve"> </v>
      </c>
      <c r="R505" s="778" t="s">
        <v>32</v>
      </c>
      <c r="S505" s="22">
        <v>720</v>
      </c>
      <c r="T505" s="22">
        <v>1800</v>
      </c>
      <c r="U505" s="26">
        <f t="shared" si="90"/>
        <v>0</v>
      </c>
      <c r="V505" s="25">
        <f t="shared" si="91"/>
        <v>0</v>
      </c>
      <c r="W505" s="25">
        <f t="shared" si="92"/>
        <v>0</v>
      </c>
      <c r="Y505" s="626"/>
      <c r="AA505" s="52"/>
      <c r="AB505" s="52"/>
    </row>
    <row r="506" spans="1:29" s="426" customFormat="1" ht="15.75" thickBot="1" x14ac:dyDescent="0.3">
      <c r="A506" s="626">
        <f>C111</f>
        <v>0</v>
      </c>
      <c r="B506" s="426" t="s">
        <v>770</v>
      </c>
      <c r="C506" s="637">
        <v>15</v>
      </c>
      <c r="D506" s="426" t="s">
        <v>683</v>
      </c>
      <c r="G506" s="725">
        <f>MAX(B445,H445)</f>
        <v>1800</v>
      </c>
      <c r="H506" s="145">
        <f>C514*C515</f>
        <v>1</v>
      </c>
      <c r="I506" s="145">
        <f>H506*G506</f>
        <v>1800</v>
      </c>
      <c r="L506" s="768">
        <f>IF(AND($C$517&gt;L507,$C$517&lt;=L508),1,0)</f>
        <v>1</v>
      </c>
      <c r="M506" s="768">
        <f t="shared" ref="M506:O506" si="93">IF(AND($C$517&gt;M507,$C$517&lt;=M508),1,0)</f>
        <v>0</v>
      </c>
      <c r="N506" s="768">
        <f t="shared" si="93"/>
        <v>0</v>
      </c>
      <c r="O506" s="1047">
        <f t="shared" si="93"/>
        <v>0</v>
      </c>
      <c r="Q506" s="12" t="str">
        <f t="shared" si="89"/>
        <v xml:space="preserve"> </v>
      </c>
      <c r="R506" s="778" t="s">
        <v>36</v>
      </c>
      <c r="S506" s="22">
        <v>560</v>
      </c>
      <c r="T506" s="22">
        <v>1500</v>
      </c>
      <c r="U506" s="26">
        <f t="shared" si="90"/>
        <v>0</v>
      </c>
      <c r="V506" s="25">
        <f t="shared" si="91"/>
        <v>0</v>
      </c>
      <c r="W506" s="25">
        <f t="shared" si="92"/>
        <v>0</v>
      </c>
      <c r="Y506" s="626"/>
      <c r="AA506" s="944" t="s">
        <v>1062</v>
      </c>
      <c r="AB506" s="25">
        <f>C3</f>
        <v>1800</v>
      </c>
    </row>
    <row r="507" spans="1:29" s="426" customFormat="1" x14ac:dyDescent="0.25">
      <c r="A507" s="626">
        <f>C111</f>
        <v>0</v>
      </c>
      <c r="B507" s="426" t="s">
        <v>771</v>
      </c>
      <c r="C507" s="637">
        <v>10</v>
      </c>
      <c r="D507" s="426" t="s">
        <v>683</v>
      </c>
      <c r="G507" s="735" t="s">
        <v>782</v>
      </c>
      <c r="H507" s="710" t="s">
        <v>781</v>
      </c>
      <c r="I507" s="713" t="s">
        <v>780</v>
      </c>
      <c r="L507" s="725">
        <v>0</v>
      </c>
      <c r="M507" s="150">
        <v>3000</v>
      </c>
      <c r="N507" s="626">
        <v>4000</v>
      </c>
      <c r="O507" s="150">
        <v>5000</v>
      </c>
      <c r="Q507" s="12" t="str">
        <f t="shared" si="89"/>
        <v xml:space="preserve"> </v>
      </c>
      <c r="R507" s="778" t="s">
        <v>34</v>
      </c>
      <c r="S507" s="22">
        <v>660</v>
      </c>
      <c r="T507" s="22">
        <v>1600</v>
      </c>
      <c r="U507" s="26">
        <f t="shared" si="90"/>
        <v>0</v>
      </c>
      <c r="V507" s="25">
        <f t="shared" si="91"/>
        <v>0</v>
      </c>
      <c r="W507" s="25">
        <f t="shared" si="92"/>
        <v>0</v>
      </c>
      <c r="Y507" s="626"/>
      <c r="AA507" s="41" t="s">
        <v>1063</v>
      </c>
      <c r="AB507" s="252">
        <f>C518</f>
        <v>1800</v>
      </c>
    </row>
    <row r="508" spans="1:29" s="426" customFormat="1" ht="15.75" thickBot="1" x14ac:dyDescent="0.3">
      <c r="A508" s="626">
        <f>IF(AND(C500=1,SUM(D525:E525)&gt;0,C512=0),1,0)</f>
        <v>0</v>
      </c>
      <c r="B508" s="426" t="s">
        <v>768</v>
      </c>
      <c r="C508" s="705">
        <v>7</v>
      </c>
      <c r="D508" s="426" t="s">
        <v>683</v>
      </c>
      <c r="G508" s="736">
        <f>IF(CEILING((H508*G504)+H508,1)&lt;=G506,CEILING((H508*G504)+H508,1),G506)</f>
        <v>1800</v>
      </c>
      <c r="H508" s="702">
        <f>CEILING(I508/H506,1)</f>
        <v>1800</v>
      </c>
      <c r="I508" s="145">
        <f>C3</f>
        <v>1800</v>
      </c>
      <c r="L508" s="658">
        <v>3000</v>
      </c>
      <c r="M508" s="145">
        <v>4000</v>
      </c>
      <c r="N508" s="1045">
        <v>5000</v>
      </c>
      <c r="O508" s="145">
        <v>9999</v>
      </c>
      <c r="Q508" s="12" t="str">
        <f t="shared" si="89"/>
        <v xml:space="preserve"> </v>
      </c>
      <c r="R508" s="778" t="s">
        <v>33</v>
      </c>
      <c r="S508" s="22">
        <v>660</v>
      </c>
      <c r="T508" s="22">
        <v>1500</v>
      </c>
      <c r="U508" s="26">
        <f t="shared" si="90"/>
        <v>0</v>
      </c>
      <c r="V508" s="25">
        <f t="shared" si="91"/>
        <v>0</v>
      </c>
      <c r="W508" s="25">
        <f t="shared" si="92"/>
        <v>0</v>
      </c>
      <c r="Y508" s="626"/>
      <c r="AA508" s="41" t="s">
        <v>895</v>
      </c>
      <c r="AB508" s="25">
        <f>F145</f>
        <v>3</v>
      </c>
    </row>
    <row r="509" spans="1:29" s="426" customFormat="1" x14ac:dyDescent="0.25">
      <c r="A509" s="626">
        <f>IF(AND(C500=1,SUM(D525:E525)&gt;0,C512=0),1,0)</f>
        <v>0</v>
      </c>
      <c r="B509" s="426" t="s">
        <v>769</v>
      </c>
      <c r="C509" s="705">
        <v>5</v>
      </c>
      <c r="D509" s="426" t="s">
        <v>683</v>
      </c>
      <c r="L509" s="1046">
        <v>1</v>
      </c>
      <c r="M509" s="1046">
        <v>0.98</v>
      </c>
      <c r="N509" s="1046">
        <v>0.97</v>
      </c>
      <c r="O509" s="1046">
        <v>0.96</v>
      </c>
      <c r="Q509" s="12" t="str">
        <f t="shared" si="89"/>
        <v xml:space="preserve"> </v>
      </c>
      <c r="R509" s="778" t="s">
        <v>35</v>
      </c>
      <c r="S509" s="22">
        <v>660</v>
      </c>
      <c r="T509" s="22">
        <v>1500</v>
      </c>
      <c r="U509" s="26">
        <f t="shared" si="90"/>
        <v>0</v>
      </c>
      <c r="V509" s="25">
        <f t="shared" si="91"/>
        <v>0</v>
      </c>
      <c r="W509" s="25">
        <f t="shared" si="92"/>
        <v>0</v>
      </c>
      <c r="Y509" s="626"/>
      <c r="AA509" s="41" t="s">
        <v>1064</v>
      </c>
      <c r="AB509" s="25">
        <f>CEILING((AB507*AB508)/AB500,1)</f>
        <v>5</v>
      </c>
    </row>
    <row r="510" spans="1:29" s="426" customFormat="1" ht="15.75" thickBot="1" x14ac:dyDescent="0.3">
      <c r="B510" s="426" t="s">
        <v>1001</v>
      </c>
      <c r="C510" s="1034" t="str">
        <f>AW46</f>
        <v>0,2</v>
      </c>
      <c r="D510" s="704" t="s">
        <v>1002</v>
      </c>
      <c r="G510" s="426" t="s">
        <v>1337</v>
      </c>
      <c r="Q510" s="12" t="str">
        <f t="shared" si="89"/>
        <v xml:space="preserve"> </v>
      </c>
      <c r="R510" s="778" t="s">
        <v>37</v>
      </c>
      <c r="S510" s="22">
        <v>500</v>
      </c>
      <c r="T510" s="22">
        <v>1200</v>
      </c>
      <c r="U510" s="26">
        <f t="shared" si="90"/>
        <v>0</v>
      </c>
      <c r="V510" s="25">
        <f t="shared" si="91"/>
        <v>0</v>
      </c>
      <c r="W510" s="25">
        <f t="shared" si="92"/>
        <v>0</v>
      </c>
      <c r="Y510" s="626"/>
      <c r="AA510" s="41" t="s">
        <v>1065</v>
      </c>
      <c r="AB510" s="30">
        <v>2</v>
      </c>
    </row>
    <row r="511" spans="1:29" s="426" customFormat="1" ht="15.75" thickBot="1" x14ac:dyDescent="0.3">
      <c r="B511" s="615"/>
      <c r="G511" s="1108" t="s">
        <v>1338</v>
      </c>
      <c r="H511" s="1108" t="s">
        <v>547</v>
      </c>
      <c r="I511" s="735" t="s">
        <v>782</v>
      </c>
      <c r="N511" s="652" t="s">
        <v>1018</v>
      </c>
      <c r="O511" s="1048">
        <f>O504*HLOOKUP(1,L506:O509,4,FALSE)</f>
        <v>0.9</v>
      </c>
      <c r="Q511" s="12" t="str">
        <f t="shared" si="89"/>
        <v xml:space="preserve"> </v>
      </c>
      <c r="R511" s="778" t="s">
        <v>38</v>
      </c>
      <c r="S511" s="22">
        <v>500</v>
      </c>
      <c r="T511" s="22">
        <v>1200</v>
      </c>
      <c r="U511" s="26">
        <f t="shared" si="90"/>
        <v>0</v>
      </c>
      <c r="V511" s="25">
        <f t="shared" si="91"/>
        <v>0</v>
      </c>
      <c r="W511" s="25">
        <f t="shared" si="92"/>
        <v>0</v>
      </c>
      <c r="Y511" s="626"/>
      <c r="AA511" s="41" t="s">
        <v>1066</v>
      </c>
      <c r="AB511" s="25">
        <f>AB510*AB509*AB501</f>
        <v>200</v>
      </c>
    </row>
    <row r="512" spans="1:29" s="426" customFormat="1" ht="15.75" thickBot="1" x14ac:dyDescent="0.3">
      <c r="B512" s="615" t="s">
        <v>764</v>
      </c>
      <c r="C512" s="626">
        <f>IF(AND(J364=1,J365=1),1,0)</f>
        <v>0</v>
      </c>
      <c r="G512" s="658">
        <f>C3</f>
        <v>1800</v>
      </c>
      <c r="H512" s="658">
        <f>C445*D445</f>
        <v>1</v>
      </c>
      <c r="I512" s="736">
        <f>CEILING((G512/H512)+(G512/H512*G504),1)</f>
        <v>2070</v>
      </c>
      <c r="Q512" s="1090" t="s">
        <v>1053</v>
      </c>
      <c r="R512" s="1091"/>
      <c r="S512" s="1092" t="s">
        <v>1057</v>
      </c>
      <c r="T512" s="1093">
        <f>'Tarieven (2)'!C12/60</f>
        <v>0.6166666666666667</v>
      </c>
      <c r="U512" s="1091"/>
      <c r="V512" s="1091"/>
      <c r="W512" s="281">
        <f>VLOOKUP(1,Q503:W511,7,FALSE)</f>
        <v>1</v>
      </c>
      <c r="Y512" s="626"/>
      <c r="AA512" s="41" t="s">
        <v>1067</v>
      </c>
      <c r="AB512" s="25">
        <f>AB509*AB502</f>
        <v>900</v>
      </c>
    </row>
    <row r="513" spans="1:28" s="426" customFormat="1" x14ac:dyDescent="0.25">
      <c r="B513" s="615" t="s">
        <v>750</v>
      </c>
      <c r="C513" s="626" t="str">
        <f>IF(C512=1,"0110",C2)</f>
        <v>0201</v>
      </c>
      <c r="Y513" s="626"/>
      <c r="AA513" s="950" t="s">
        <v>1068</v>
      </c>
      <c r="AB513" s="1102">
        <f>IF(AB507&gt;0,ROUND(((AB511+AB512)/AB507)*1.5,1),0)</f>
        <v>0.9</v>
      </c>
    </row>
    <row r="514" spans="1:28" s="426" customFormat="1" ht="12.75" x14ac:dyDescent="0.2">
      <c r="B514" s="615" t="s">
        <v>752</v>
      </c>
      <c r="C514" s="626">
        <f>IF(C512=1,1,C445)</f>
        <v>1</v>
      </c>
      <c r="D514" s="426" t="s">
        <v>754</v>
      </c>
      <c r="Y514" s="626"/>
    </row>
    <row r="515" spans="1:28" s="426" customFormat="1" ht="12.75" x14ac:dyDescent="0.2">
      <c r="B515" s="615" t="s">
        <v>753</v>
      </c>
      <c r="C515" s="626">
        <f>D445</f>
        <v>1</v>
      </c>
      <c r="D515" s="426" t="s">
        <v>754</v>
      </c>
      <c r="Y515" s="626"/>
    </row>
    <row r="516" spans="1:28" s="426" customFormat="1" ht="12.75" x14ac:dyDescent="0.2">
      <c r="B516" s="615" t="s">
        <v>99</v>
      </c>
      <c r="C516" s="626">
        <f>E445</f>
        <v>361</v>
      </c>
      <c r="D516" s="426" t="s">
        <v>25</v>
      </c>
      <c r="Y516" s="626"/>
    </row>
    <row r="517" spans="1:28" s="426" customFormat="1" ht="12.75" x14ac:dyDescent="0.2">
      <c r="B517" s="615" t="s">
        <v>100</v>
      </c>
      <c r="C517" s="626">
        <f>F445</f>
        <v>1150</v>
      </c>
      <c r="D517" s="426" t="s">
        <v>25</v>
      </c>
      <c r="Y517" s="626"/>
    </row>
    <row r="518" spans="1:28" s="426" customFormat="1" ht="12.75" x14ac:dyDescent="0.2">
      <c r="B518" s="615" t="s">
        <v>776</v>
      </c>
      <c r="C518" s="134">
        <f>IF(AND(C512=1,I512&gt;0,I512&lt;=G508),I512,G508)</f>
        <v>1800</v>
      </c>
      <c r="D518" s="426" t="s">
        <v>754</v>
      </c>
      <c r="Y518" s="626"/>
    </row>
    <row r="519" spans="1:28" s="426" customFormat="1" ht="12.75" x14ac:dyDescent="0.2">
      <c r="B519" s="615"/>
      <c r="C519" s="626"/>
      <c r="Y519" s="626"/>
    </row>
    <row r="520" spans="1:28" s="426" customFormat="1" ht="12.75" x14ac:dyDescent="0.2">
      <c r="B520" s="615"/>
      <c r="Y520" s="626"/>
    </row>
    <row r="521" spans="1:28" s="426" customFormat="1" ht="12.75" x14ac:dyDescent="0.2">
      <c r="L521" s="1100">
        <v>9</v>
      </c>
      <c r="O521" s="652" t="s">
        <v>773</v>
      </c>
      <c r="P521" s="653"/>
      <c r="Q521" s="634">
        <f>IF(AND(C500=1,A506=2),1,0)</f>
        <v>0</v>
      </c>
      <c r="Y521" s="626"/>
    </row>
    <row r="522" spans="1:28" s="426" customFormat="1" ht="12.75" x14ac:dyDescent="0.2">
      <c r="L522" s="644">
        <v>5.5</v>
      </c>
      <c r="O522" s="428"/>
      <c r="Y522" s="626"/>
    </row>
    <row r="523" spans="1:28" s="426" customFormat="1" x14ac:dyDescent="0.25">
      <c r="A523" s="286"/>
      <c r="B523" s="77"/>
      <c r="C523"/>
      <c r="D523"/>
      <c r="E523" s="484">
        <v>100</v>
      </c>
      <c r="F523"/>
      <c r="G523"/>
      <c r="H523"/>
      <c r="I523" s="78" t="s">
        <v>731</v>
      </c>
      <c r="J523" s="2" t="s">
        <v>765</v>
      </c>
      <c r="K523" s="78" t="s">
        <v>731</v>
      </c>
      <c r="L523" s="78" t="s">
        <v>732</v>
      </c>
      <c r="N523" s="78" t="s">
        <v>733</v>
      </c>
      <c r="O523" s="725" t="s">
        <v>765</v>
      </c>
      <c r="P523" s="78" t="s">
        <v>731</v>
      </c>
      <c r="Q523" s="78" t="s">
        <v>732</v>
      </c>
      <c r="S523" s="78" t="s">
        <v>733</v>
      </c>
      <c r="Y523" s="626"/>
    </row>
    <row r="524" spans="1:28" s="426" customFormat="1" ht="15.75" thickBot="1" x14ac:dyDescent="0.3">
      <c r="A524" s="286"/>
      <c r="E524" s="473">
        <f>AT46</f>
        <v>0</v>
      </c>
      <c r="F524"/>
      <c r="G524" s="2"/>
      <c r="H524"/>
      <c r="I524" s="78" t="s">
        <v>734</v>
      </c>
      <c r="J524" s="2" t="s">
        <v>766</v>
      </c>
      <c r="K524" s="78" t="s">
        <v>735</v>
      </c>
      <c r="L524" s="78" t="s">
        <v>736</v>
      </c>
      <c r="N524" s="78" t="s">
        <v>737</v>
      </c>
      <c r="O524" s="658" t="s">
        <v>766</v>
      </c>
      <c r="P524" s="401" t="s">
        <v>735</v>
      </c>
      <c r="Q524" s="401" t="s">
        <v>736</v>
      </c>
      <c r="S524" s="78" t="s">
        <v>737</v>
      </c>
      <c r="Y524" s="626"/>
    </row>
    <row r="525" spans="1:28" s="426" customFormat="1" x14ac:dyDescent="0.25">
      <c r="A525" s="683"/>
      <c r="B525" s="426" t="s">
        <v>772</v>
      </c>
      <c r="C525" s="77"/>
      <c r="D525" s="473">
        <f>C131</f>
        <v>0</v>
      </c>
      <c r="E525" s="13">
        <f>CEILING(E524/E523,1)</f>
        <v>0</v>
      </c>
      <c r="F525"/>
      <c r="G525"/>
      <c r="H525"/>
      <c r="I525" s="484">
        <v>1.1000000000000001</v>
      </c>
      <c r="J525" s="484">
        <v>1</v>
      </c>
      <c r="K525" s="484">
        <v>1.25</v>
      </c>
      <c r="L525" s="208">
        <f>IF(W512=1,L522,L521)</f>
        <v>5.5</v>
      </c>
      <c r="M525" s="1202">
        <v>5</v>
      </c>
      <c r="N525" s="1049">
        <f>O511</f>
        <v>0.9</v>
      </c>
      <c r="O525" s="703">
        <v>1</v>
      </c>
      <c r="P525" s="34">
        <v>1.25</v>
      </c>
      <c r="Q525" s="432">
        <f>L525</f>
        <v>5.5</v>
      </c>
      <c r="R525" s="1202">
        <v>5</v>
      </c>
      <c r="S525" s="1049">
        <f>O511</f>
        <v>0.9</v>
      </c>
      <c r="Y525" s="626"/>
    </row>
    <row r="526" spans="1:28" s="426" customFormat="1" x14ac:dyDescent="0.25">
      <c r="A526" s="404"/>
      <c r="B526" s="404"/>
      <c r="C526" s="399" t="s">
        <v>562</v>
      </c>
      <c r="D526" s="417" t="s">
        <v>562</v>
      </c>
      <c r="E526" s="399" t="s">
        <v>562</v>
      </c>
      <c r="F526" s="423" t="s">
        <v>738</v>
      </c>
      <c r="G526" s="399" t="s">
        <v>739</v>
      </c>
      <c r="H526" s="406" t="s">
        <v>740</v>
      </c>
      <c r="I526" s="399" t="s">
        <v>741</v>
      </c>
      <c r="J526" s="399" t="s">
        <v>742</v>
      </c>
      <c r="K526" s="399" t="s">
        <v>741</v>
      </c>
      <c r="L526" s="417" t="s">
        <v>743</v>
      </c>
      <c r="M526" s="1201"/>
      <c r="N526" s="715"/>
      <c r="O526" s="701" t="s">
        <v>742</v>
      </c>
      <c r="P526" s="399" t="s">
        <v>741</v>
      </c>
      <c r="Q526" s="417" t="s">
        <v>743</v>
      </c>
      <c r="R526" s="1201"/>
      <c r="S526" s="715"/>
      <c r="Y526" s="626"/>
    </row>
    <row r="527" spans="1:28" s="426" customFormat="1" x14ac:dyDescent="0.25">
      <c r="A527" s="339" t="s">
        <v>28</v>
      </c>
      <c r="B527" s="341" t="s">
        <v>2</v>
      </c>
      <c r="C527" s="120" t="s">
        <v>577</v>
      </c>
      <c r="D527" s="400" t="s">
        <v>575</v>
      </c>
      <c r="E527" s="202" t="s">
        <v>744</v>
      </c>
      <c r="F527" s="424" t="s">
        <v>604</v>
      </c>
      <c r="G527" s="120" t="s">
        <v>745</v>
      </c>
      <c r="H527" s="78" t="s">
        <v>746</v>
      </c>
      <c r="I527" s="120" t="s">
        <v>562</v>
      </c>
      <c r="J527" s="120" t="s">
        <v>747</v>
      </c>
      <c r="K527" s="120" t="s">
        <v>748</v>
      </c>
      <c r="L527" s="227" t="s">
        <v>749</v>
      </c>
      <c r="M527" s="1199"/>
      <c r="N527" s="539"/>
      <c r="O527" s="651" t="s">
        <v>747</v>
      </c>
      <c r="P527" s="120" t="s">
        <v>748</v>
      </c>
      <c r="Q527" s="227" t="s">
        <v>749</v>
      </c>
      <c r="R527" s="1199"/>
      <c r="S527" s="539"/>
      <c r="Y527" s="626"/>
    </row>
    <row r="528" spans="1:28" s="426" customFormat="1" x14ac:dyDescent="0.25">
      <c r="A528" s="473">
        <f>IF($C$513=B528,1,0)</f>
        <v>0</v>
      </c>
      <c r="B528" s="220" t="str">
        <f t="shared" ref="B528:B548" si="94">B50</f>
        <v>0110</v>
      </c>
      <c r="C528" s="473">
        <f>IF(C512=1,0,S50)</f>
        <v>1</v>
      </c>
      <c r="D528" s="514">
        <v>0</v>
      </c>
      <c r="E528" s="484">
        <v>0</v>
      </c>
      <c r="F528" s="23" t="str">
        <f t="shared" ref="F528:F548" si="95">IF(A528=1,SUM(C528:E528)," ")</f>
        <v xml:space="preserve"> </v>
      </c>
      <c r="G528" s="489" t="str">
        <f>IF(A528=1,$C$515," ")</f>
        <v xml:space="preserve"> </v>
      </c>
      <c r="H528" s="115" t="str">
        <f>IF(A528=1,F528*G528," ")</f>
        <v xml:space="preserve"> </v>
      </c>
      <c r="I528" s="287" t="str">
        <f>IF(A528=1,$I$525*H528," ")</f>
        <v xml:space="preserve"> </v>
      </c>
      <c r="J528" s="726" t="str">
        <f>IF(AND(A528=1,C512=1),($C$517/1000)*J525,IF(AND(A528=1,C512=0),($C$517/1000)," "))</f>
        <v xml:space="preserve"> </v>
      </c>
      <c r="K528" s="726" t="str">
        <f>IF(A528=1,J528*$K$525," ")</f>
        <v xml:space="preserve"> </v>
      </c>
      <c r="L528" s="287" t="str">
        <f>IF(A528=1,$L$525," ")</f>
        <v xml:space="preserve"> </v>
      </c>
      <c r="M528" s="1203">
        <f>IF(AND(C512=1,A528=1),M525*(C515-1),0)</f>
        <v>0</v>
      </c>
      <c r="N528" s="716" t="str">
        <f>IF(A528=1,CEILING((I528+K528+L528+M528)/$N$525,1)," ")</f>
        <v xml:space="preserve"> </v>
      </c>
      <c r="O528" s="727" t="str">
        <f>IF(AND(A528=1,C512=1,Q521=1),($C$517/1000)*O525,IF(AND(A528=1,C512=0,Q521=1),($C$517/1000)," "))</f>
        <v xml:space="preserve"> </v>
      </c>
      <c r="P528" s="730" t="str">
        <f t="shared" ref="P528:P548" si="96">IF(AND(A528=1,$Q$521=1),O528*$P$525," ")</f>
        <v xml:space="preserve"> </v>
      </c>
      <c r="Q528" s="712" t="str">
        <f t="shared" ref="Q528:Q548" si="97">IF(AND(A528=1,$Q$521=1),$Q$525," ")</f>
        <v xml:space="preserve"> </v>
      </c>
      <c r="R528" s="1203">
        <f>IF(AND(C512=1,A528=1,Q521=1),R525*(C515-1),0)</f>
        <v>0</v>
      </c>
      <c r="S528" s="720" t="str">
        <f>IF(AND(A528=1,$Q$521=1),CEILING((P528+Q528+R528)/$S$525,1)," ")</f>
        <v xml:space="preserve"> </v>
      </c>
      <c r="Y528" s="626"/>
    </row>
    <row r="529" spans="1:25" s="426" customFormat="1" x14ac:dyDescent="0.25">
      <c r="A529" s="12">
        <f t="shared" ref="A529:A548" si="98">IF($C$513=B529,1,0)</f>
        <v>0</v>
      </c>
      <c r="B529" s="506" t="str">
        <f t="shared" si="94"/>
        <v>0200</v>
      </c>
      <c r="C529" s="12">
        <f t="shared" ref="C529:C548" si="99">S51</f>
        <v>3</v>
      </c>
      <c r="D529" s="2">
        <f>D525</f>
        <v>0</v>
      </c>
      <c r="E529" s="28">
        <v>0</v>
      </c>
      <c r="F529" s="2" t="str">
        <f t="shared" si="95"/>
        <v xml:space="preserve"> </v>
      </c>
      <c r="G529" s="120" t="str">
        <f t="shared" ref="G529:G548" si="100">IF(A529=1,$C$515," ")</f>
        <v xml:space="preserve"> </v>
      </c>
      <c r="H529" s="78" t="str">
        <f t="shared" ref="H529:H548" si="101">IF(A529=1,F529*G529," ")</f>
        <v xml:space="preserve"> </v>
      </c>
      <c r="I529" s="227" t="str">
        <f t="shared" ref="I529:I548" si="102">IF(A529=1,$I$525*H529," ")</f>
        <v xml:space="preserve"> </v>
      </c>
      <c r="J529" s="695" t="str">
        <f t="shared" ref="J529:J548" si="103">IF(A529=1,($C$517/1000)," ")</f>
        <v xml:space="preserve"> </v>
      </c>
      <c r="K529" s="695" t="str">
        <f t="shared" ref="K529:K548" si="104">IF(A529=1,J529*$K$525," ")</f>
        <v xml:space="preserve"> </v>
      </c>
      <c r="L529" s="227" t="str">
        <f t="shared" ref="L529:L548" si="105">IF(A529=1,$L$525," ")</f>
        <v xml:space="preserve"> </v>
      </c>
      <c r="M529" s="1201"/>
      <c r="N529" s="717" t="str">
        <f t="shared" ref="N529:N548" si="106">IF(A529=1,CEILING((I529+K529+L529)/$N$525,1)," ")</f>
        <v xml:space="preserve"> </v>
      </c>
      <c r="O529" s="728" t="str">
        <f t="shared" ref="O529:O548" si="107">IF(AND(A529=1,$Q$521=1),($C$517/1000)," ")</f>
        <v xml:space="preserve"> </v>
      </c>
      <c r="P529" s="731" t="str">
        <f t="shared" si="96"/>
        <v xml:space="preserve"> </v>
      </c>
      <c r="Q529" s="701" t="str">
        <f t="shared" si="97"/>
        <v xml:space="preserve"> </v>
      </c>
      <c r="R529" s="1201"/>
      <c r="S529" s="721" t="str">
        <f t="shared" ref="S529:S548" si="108">IF(AND(A529=1,$Q$521=1),CEILING((P529+Q529)/$S$525,1)," ")</f>
        <v xml:space="preserve"> </v>
      </c>
      <c r="Y529" s="626"/>
    </row>
    <row r="530" spans="1:25" s="426" customFormat="1" x14ac:dyDescent="0.25">
      <c r="A530" s="12">
        <f t="shared" si="98"/>
        <v>1</v>
      </c>
      <c r="B530" s="506" t="str">
        <f t="shared" si="94"/>
        <v>0201</v>
      </c>
      <c r="C530" s="12">
        <f t="shared" si="99"/>
        <v>3</v>
      </c>
      <c r="D530" s="2">
        <f>D525</f>
        <v>0</v>
      </c>
      <c r="E530" s="28">
        <v>0</v>
      </c>
      <c r="F530" s="2">
        <f t="shared" si="95"/>
        <v>3</v>
      </c>
      <c r="G530" s="120">
        <f t="shared" si="100"/>
        <v>1</v>
      </c>
      <c r="H530" s="78">
        <f t="shared" si="101"/>
        <v>3</v>
      </c>
      <c r="I530" s="227">
        <f t="shared" si="102"/>
        <v>3.3000000000000003</v>
      </c>
      <c r="J530" s="695">
        <f t="shared" si="103"/>
        <v>1.1499999999999999</v>
      </c>
      <c r="K530" s="695">
        <f t="shared" si="104"/>
        <v>1.4375</v>
      </c>
      <c r="L530" s="227">
        <f t="shared" si="105"/>
        <v>5.5</v>
      </c>
      <c r="M530" s="1199"/>
      <c r="N530" s="717">
        <f t="shared" si="106"/>
        <v>12</v>
      </c>
      <c r="O530" s="728" t="str">
        <f t="shared" si="107"/>
        <v xml:space="preserve"> </v>
      </c>
      <c r="P530" s="732" t="str">
        <f t="shared" si="96"/>
        <v xml:space="preserve"> </v>
      </c>
      <c r="Q530" s="626" t="str">
        <f t="shared" si="97"/>
        <v xml:space="preserve"> </v>
      </c>
      <c r="R530" s="1199"/>
      <c r="S530" s="723" t="str">
        <f t="shared" si="108"/>
        <v xml:space="preserve"> </v>
      </c>
      <c r="Y530" s="626"/>
    </row>
    <row r="531" spans="1:25" s="426" customFormat="1" x14ac:dyDescent="0.25">
      <c r="A531" s="12">
        <f t="shared" si="98"/>
        <v>0</v>
      </c>
      <c r="B531" s="506" t="str">
        <f t="shared" si="94"/>
        <v>0203</v>
      </c>
      <c r="C531" s="12">
        <f t="shared" si="99"/>
        <v>3</v>
      </c>
      <c r="D531" s="2">
        <f>D525</f>
        <v>0</v>
      </c>
      <c r="E531" s="28">
        <v>0</v>
      </c>
      <c r="F531" s="2" t="str">
        <f t="shared" si="95"/>
        <v xml:space="preserve"> </v>
      </c>
      <c r="G531" s="120" t="str">
        <f t="shared" si="100"/>
        <v xml:space="preserve"> </v>
      </c>
      <c r="H531" s="78" t="str">
        <f t="shared" si="101"/>
        <v xml:space="preserve"> </v>
      </c>
      <c r="I531" s="227" t="str">
        <f t="shared" si="102"/>
        <v xml:space="preserve"> </v>
      </c>
      <c r="J531" s="695" t="str">
        <f t="shared" si="103"/>
        <v xml:space="preserve"> </v>
      </c>
      <c r="K531" s="695" t="str">
        <f t="shared" si="104"/>
        <v xml:space="preserve"> </v>
      </c>
      <c r="L531" s="227" t="str">
        <f t="shared" si="105"/>
        <v xml:space="preserve"> </v>
      </c>
      <c r="M531" s="1199"/>
      <c r="N531" s="717" t="str">
        <f t="shared" si="106"/>
        <v xml:space="preserve"> </v>
      </c>
      <c r="O531" s="728" t="str">
        <f t="shared" si="107"/>
        <v xml:space="preserve"> </v>
      </c>
      <c r="P531" s="732" t="str">
        <f t="shared" si="96"/>
        <v xml:space="preserve"> </v>
      </c>
      <c r="Q531" s="626" t="str">
        <f t="shared" si="97"/>
        <v xml:space="preserve"> </v>
      </c>
      <c r="R531" s="1199"/>
      <c r="S531" s="723" t="str">
        <f t="shared" si="108"/>
        <v xml:space="preserve"> </v>
      </c>
      <c r="Y531" s="626"/>
    </row>
    <row r="532" spans="1:25" s="426" customFormat="1" x14ac:dyDescent="0.25">
      <c r="A532" s="12">
        <f t="shared" si="98"/>
        <v>0</v>
      </c>
      <c r="B532" s="506" t="str">
        <f t="shared" si="94"/>
        <v>0409</v>
      </c>
      <c r="C532" s="12">
        <f t="shared" si="99"/>
        <v>4</v>
      </c>
      <c r="D532" s="22">
        <v>0</v>
      </c>
      <c r="E532" s="28">
        <v>0</v>
      </c>
      <c r="F532" s="2" t="str">
        <f t="shared" si="95"/>
        <v xml:space="preserve"> </v>
      </c>
      <c r="G532" s="120" t="str">
        <f t="shared" si="100"/>
        <v xml:space="preserve"> </v>
      </c>
      <c r="H532" s="78" t="str">
        <f t="shared" si="101"/>
        <v xml:space="preserve"> </v>
      </c>
      <c r="I532" s="227" t="str">
        <f t="shared" si="102"/>
        <v xml:space="preserve"> </v>
      </c>
      <c r="J532" s="695" t="str">
        <f t="shared" si="103"/>
        <v xml:space="preserve"> </v>
      </c>
      <c r="K532" s="695" t="str">
        <f t="shared" si="104"/>
        <v xml:space="preserve"> </v>
      </c>
      <c r="L532" s="227" t="str">
        <f t="shared" si="105"/>
        <v xml:space="preserve"> </v>
      </c>
      <c r="M532" s="1199"/>
      <c r="N532" s="717" t="str">
        <f t="shared" si="106"/>
        <v xml:space="preserve"> </v>
      </c>
      <c r="O532" s="728" t="str">
        <f t="shared" si="107"/>
        <v xml:space="preserve"> </v>
      </c>
      <c r="P532" s="732" t="str">
        <f t="shared" si="96"/>
        <v xml:space="preserve"> </v>
      </c>
      <c r="Q532" s="626" t="str">
        <f t="shared" si="97"/>
        <v xml:space="preserve"> </v>
      </c>
      <c r="R532" s="1199"/>
      <c r="S532" s="723" t="str">
        <f t="shared" si="108"/>
        <v xml:space="preserve"> </v>
      </c>
      <c r="Y532" s="626"/>
    </row>
    <row r="533" spans="1:25" s="426" customFormat="1" x14ac:dyDescent="0.25">
      <c r="A533" s="12">
        <f t="shared" si="98"/>
        <v>0</v>
      </c>
      <c r="B533" s="506" t="str">
        <f t="shared" si="94"/>
        <v>0410</v>
      </c>
      <c r="C533" s="12">
        <f t="shared" si="99"/>
        <v>4</v>
      </c>
      <c r="D533" s="22">
        <v>0</v>
      </c>
      <c r="E533" s="12">
        <f>E525</f>
        <v>0</v>
      </c>
      <c r="F533" s="2" t="str">
        <f t="shared" si="95"/>
        <v xml:space="preserve"> </v>
      </c>
      <c r="G533" s="120" t="str">
        <f t="shared" si="100"/>
        <v xml:space="preserve"> </v>
      </c>
      <c r="H533" s="78" t="str">
        <f t="shared" si="101"/>
        <v xml:space="preserve"> </v>
      </c>
      <c r="I533" s="227" t="str">
        <f t="shared" si="102"/>
        <v xml:space="preserve"> </v>
      </c>
      <c r="J533" s="695" t="str">
        <f t="shared" si="103"/>
        <v xml:space="preserve"> </v>
      </c>
      <c r="K533" s="695" t="str">
        <f t="shared" si="104"/>
        <v xml:space="preserve"> </v>
      </c>
      <c r="L533" s="227" t="str">
        <f t="shared" si="105"/>
        <v xml:space="preserve"> </v>
      </c>
      <c r="M533" s="1199"/>
      <c r="N533" s="717" t="str">
        <f t="shared" si="106"/>
        <v xml:space="preserve"> </v>
      </c>
      <c r="O533" s="728" t="str">
        <f t="shared" si="107"/>
        <v xml:space="preserve"> </v>
      </c>
      <c r="P533" s="732" t="str">
        <f t="shared" si="96"/>
        <v xml:space="preserve"> </v>
      </c>
      <c r="Q533" s="626" t="str">
        <f t="shared" si="97"/>
        <v xml:space="preserve"> </v>
      </c>
      <c r="R533" s="1199"/>
      <c r="S533" s="723" t="str">
        <f t="shared" si="108"/>
        <v xml:space="preserve"> </v>
      </c>
      <c r="Y533" s="626"/>
    </row>
    <row r="534" spans="1:25" s="426" customFormat="1" x14ac:dyDescent="0.25">
      <c r="A534" s="12">
        <f t="shared" si="98"/>
        <v>0</v>
      </c>
      <c r="B534" s="506" t="str">
        <f t="shared" si="94"/>
        <v>0412</v>
      </c>
      <c r="C534" s="12">
        <f t="shared" si="99"/>
        <v>4</v>
      </c>
      <c r="D534" s="22">
        <v>0</v>
      </c>
      <c r="E534" s="12">
        <f>E525*2</f>
        <v>0</v>
      </c>
      <c r="F534" s="2" t="str">
        <f t="shared" si="95"/>
        <v xml:space="preserve"> </v>
      </c>
      <c r="G534" s="120" t="str">
        <f t="shared" si="100"/>
        <v xml:space="preserve"> </v>
      </c>
      <c r="H534" s="78" t="str">
        <f t="shared" si="101"/>
        <v xml:space="preserve"> </v>
      </c>
      <c r="I534" s="227" t="str">
        <f t="shared" si="102"/>
        <v xml:space="preserve"> </v>
      </c>
      <c r="J534" s="695" t="str">
        <f t="shared" si="103"/>
        <v xml:space="preserve"> </v>
      </c>
      <c r="K534" s="695" t="str">
        <f t="shared" si="104"/>
        <v xml:space="preserve"> </v>
      </c>
      <c r="L534" s="227" t="str">
        <f t="shared" si="105"/>
        <v xml:space="preserve"> </v>
      </c>
      <c r="M534" s="1199"/>
      <c r="N534" s="717" t="str">
        <f t="shared" si="106"/>
        <v xml:space="preserve"> </v>
      </c>
      <c r="O534" s="728" t="str">
        <f t="shared" si="107"/>
        <v xml:space="preserve"> </v>
      </c>
      <c r="P534" s="732" t="str">
        <f t="shared" si="96"/>
        <v xml:space="preserve"> </v>
      </c>
      <c r="Q534" s="626" t="str">
        <f t="shared" si="97"/>
        <v xml:space="preserve"> </v>
      </c>
      <c r="R534" s="1199"/>
      <c r="S534" s="723" t="str">
        <f t="shared" si="108"/>
        <v xml:space="preserve"> </v>
      </c>
      <c r="Y534" s="626"/>
    </row>
    <row r="535" spans="1:25" s="426" customFormat="1" x14ac:dyDescent="0.25">
      <c r="A535" s="28">
        <v>0</v>
      </c>
      <c r="B535" s="506" t="str">
        <f t="shared" si="94"/>
        <v>0427</v>
      </c>
      <c r="C535" s="12">
        <f t="shared" si="99"/>
        <v>0</v>
      </c>
      <c r="D535" s="22">
        <v>0</v>
      </c>
      <c r="E535" s="28">
        <v>0</v>
      </c>
      <c r="F535" s="2" t="str">
        <f t="shared" si="95"/>
        <v xml:space="preserve"> </v>
      </c>
      <c r="G535" s="120" t="str">
        <f t="shared" si="100"/>
        <v xml:space="preserve"> </v>
      </c>
      <c r="H535" s="78" t="str">
        <f t="shared" si="101"/>
        <v xml:space="preserve"> </v>
      </c>
      <c r="I535" s="227" t="str">
        <f t="shared" si="102"/>
        <v xml:space="preserve"> </v>
      </c>
      <c r="J535" s="695" t="str">
        <f t="shared" si="103"/>
        <v xml:space="preserve"> </v>
      </c>
      <c r="K535" s="695" t="str">
        <f t="shared" si="104"/>
        <v xml:space="preserve"> </v>
      </c>
      <c r="L535" s="227" t="str">
        <f t="shared" si="105"/>
        <v xml:space="preserve"> </v>
      </c>
      <c r="M535" s="1199"/>
      <c r="N535" s="717" t="str">
        <f t="shared" si="106"/>
        <v xml:space="preserve"> </v>
      </c>
      <c r="O535" s="728" t="str">
        <f t="shared" si="107"/>
        <v xml:space="preserve"> </v>
      </c>
      <c r="P535" s="732" t="str">
        <f t="shared" si="96"/>
        <v xml:space="preserve"> </v>
      </c>
      <c r="Q535" s="626" t="str">
        <f t="shared" si="97"/>
        <v xml:space="preserve"> </v>
      </c>
      <c r="R535" s="1199"/>
      <c r="S535" s="723" t="str">
        <f t="shared" si="108"/>
        <v xml:space="preserve"> </v>
      </c>
      <c r="Y535" s="626"/>
    </row>
    <row r="536" spans="1:25" s="426" customFormat="1" x14ac:dyDescent="0.25">
      <c r="A536" s="28">
        <v>0</v>
      </c>
      <c r="B536" s="506" t="str">
        <f t="shared" si="94"/>
        <v>0421</v>
      </c>
      <c r="C536" s="12">
        <f t="shared" si="99"/>
        <v>0</v>
      </c>
      <c r="D536" s="22">
        <v>0</v>
      </c>
      <c r="E536" s="28">
        <v>0</v>
      </c>
      <c r="F536" s="2" t="str">
        <f t="shared" si="95"/>
        <v xml:space="preserve"> </v>
      </c>
      <c r="G536" s="120" t="str">
        <f t="shared" si="100"/>
        <v xml:space="preserve"> </v>
      </c>
      <c r="H536" s="78" t="str">
        <f t="shared" si="101"/>
        <v xml:space="preserve"> </v>
      </c>
      <c r="I536" s="227" t="str">
        <f t="shared" si="102"/>
        <v xml:space="preserve"> </v>
      </c>
      <c r="J536" s="695" t="str">
        <f t="shared" si="103"/>
        <v xml:space="preserve"> </v>
      </c>
      <c r="K536" s="695" t="str">
        <f t="shared" si="104"/>
        <v xml:space="preserve"> </v>
      </c>
      <c r="L536" s="227" t="str">
        <f t="shared" si="105"/>
        <v xml:space="preserve"> </v>
      </c>
      <c r="M536" s="1199"/>
      <c r="N536" s="717" t="str">
        <f t="shared" si="106"/>
        <v xml:space="preserve"> </v>
      </c>
      <c r="O536" s="728" t="str">
        <f t="shared" si="107"/>
        <v xml:space="preserve"> </v>
      </c>
      <c r="P536" s="732" t="str">
        <f t="shared" si="96"/>
        <v xml:space="preserve"> </v>
      </c>
      <c r="Q536" s="626" t="str">
        <f t="shared" si="97"/>
        <v xml:space="preserve"> </v>
      </c>
      <c r="R536" s="1199"/>
      <c r="S536" s="723" t="str">
        <f t="shared" si="108"/>
        <v xml:space="preserve"> </v>
      </c>
      <c r="Y536" s="626"/>
    </row>
    <row r="537" spans="1:25" s="426" customFormat="1" x14ac:dyDescent="0.25">
      <c r="A537" s="28">
        <v>0</v>
      </c>
      <c r="B537" s="506" t="str">
        <f t="shared" si="94"/>
        <v>0422</v>
      </c>
      <c r="C537" s="12">
        <f t="shared" si="99"/>
        <v>0</v>
      </c>
      <c r="D537" s="22">
        <v>0</v>
      </c>
      <c r="E537" s="28">
        <v>0</v>
      </c>
      <c r="F537" s="2" t="str">
        <f t="shared" si="95"/>
        <v xml:space="preserve"> </v>
      </c>
      <c r="G537" s="120" t="str">
        <f t="shared" si="100"/>
        <v xml:space="preserve"> </v>
      </c>
      <c r="H537" s="78" t="str">
        <f t="shared" si="101"/>
        <v xml:space="preserve"> </v>
      </c>
      <c r="I537" s="227" t="str">
        <f t="shared" si="102"/>
        <v xml:space="preserve"> </v>
      </c>
      <c r="J537" s="695" t="str">
        <f t="shared" si="103"/>
        <v xml:space="preserve"> </v>
      </c>
      <c r="K537" s="695" t="str">
        <f t="shared" si="104"/>
        <v xml:space="preserve"> </v>
      </c>
      <c r="L537" s="227" t="str">
        <f t="shared" si="105"/>
        <v xml:space="preserve"> </v>
      </c>
      <c r="M537" s="1199"/>
      <c r="N537" s="717" t="str">
        <f t="shared" si="106"/>
        <v xml:space="preserve"> </v>
      </c>
      <c r="O537" s="728" t="str">
        <f t="shared" si="107"/>
        <v xml:space="preserve"> </v>
      </c>
      <c r="P537" s="732" t="str">
        <f t="shared" si="96"/>
        <v xml:space="preserve"> </v>
      </c>
      <c r="Q537" s="626" t="str">
        <f t="shared" si="97"/>
        <v xml:space="preserve"> </v>
      </c>
      <c r="R537" s="1199"/>
      <c r="S537" s="723" t="str">
        <f t="shared" si="108"/>
        <v xml:space="preserve"> </v>
      </c>
      <c r="Y537" s="626"/>
    </row>
    <row r="538" spans="1:25" s="426" customFormat="1" x14ac:dyDescent="0.25">
      <c r="A538" s="12">
        <f t="shared" si="98"/>
        <v>0</v>
      </c>
      <c r="B538" s="506" t="str">
        <f t="shared" si="94"/>
        <v>0452</v>
      </c>
      <c r="C538" s="12">
        <f t="shared" si="99"/>
        <v>2</v>
      </c>
      <c r="D538" s="22">
        <v>0</v>
      </c>
      <c r="E538" s="28">
        <v>0</v>
      </c>
      <c r="F538" s="2" t="str">
        <f t="shared" si="95"/>
        <v xml:space="preserve"> </v>
      </c>
      <c r="G538" s="120" t="str">
        <f t="shared" si="100"/>
        <v xml:space="preserve"> </v>
      </c>
      <c r="H538" s="78" t="str">
        <f t="shared" si="101"/>
        <v xml:space="preserve"> </v>
      </c>
      <c r="I538" s="227" t="str">
        <f t="shared" si="102"/>
        <v xml:space="preserve"> </v>
      </c>
      <c r="J538" s="695" t="str">
        <f t="shared" si="103"/>
        <v xml:space="preserve"> </v>
      </c>
      <c r="K538" s="695" t="str">
        <f t="shared" si="104"/>
        <v xml:space="preserve"> </v>
      </c>
      <c r="L538" s="227" t="str">
        <f t="shared" si="105"/>
        <v xml:space="preserve"> </v>
      </c>
      <c r="M538" s="1199"/>
      <c r="N538" s="717" t="str">
        <f t="shared" si="106"/>
        <v xml:space="preserve"> </v>
      </c>
      <c r="O538" s="728" t="str">
        <f t="shared" si="107"/>
        <v xml:space="preserve"> </v>
      </c>
      <c r="P538" s="732" t="str">
        <f t="shared" si="96"/>
        <v xml:space="preserve"> </v>
      </c>
      <c r="Q538" s="626" t="str">
        <f t="shared" si="97"/>
        <v xml:space="preserve"> </v>
      </c>
      <c r="R538" s="1199"/>
      <c r="S538" s="723" t="str">
        <f t="shared" si="108"/>
        <v xml:space="preserve"> </v>
      </c>
      <c r="Y538" s="626"/>
    </row>
    <row r="539" spans="1:25" s="426" customFormat="1" x14ac:dyDescent="0.25">
      <c r="A539" s="12">
        <f t="shared" si="98"/>
        <v>0</v>
      </c>
      <c r="B539" s="506" t="str">
        <f t="shared" si="94"/>
        <v>0501</v>
      </c>
      <c r="C539" s="12">
        <f t="shared" si="99"/>
        <v>4</v>
      </c>
      <c r="D539" s="2">
        <f>D525</f>
        <v>0</v>
      </c>
      <c r="E539" s="28">
        <v>0</v>
      </c>
      <c r="F539" s="2" t="str">
        <f t="shared" si="95"/>
        <v xml:space="preserve"> </v>
      </c>
      <c r="G539" s="120" t="str">
        <f t="shared" si="100"/>
        <v xml:space="preserve"> </v>
      </c>
      <c r="H539" s="78" t="str">
        <f t="shared" si="101"/>
        <v xml:space="preserve"> </v>
      </c>
      <c r="I539" s="227" t="str">
        <f t="shared" si="102"/>
        <v xml:space="preserve"> </v>
      </c>
      <c r="J539" s="695" t="str">
        <f t="shared" si="103"/>
        <v xml:space="preserve"> </v>
      </c>
      <c r="K539" s="695" t="str">
        <f t="shared" si="104"/>
        <v xml:space="preserve"> </v>
      </c>
      <c r="L539" s="227" t="str">
        <f t="shared" si="105"/>
        <v xml:space="preserve"> </v>
      </c>
      <c r="M539" s="1199"/>
      <c r="N539" s="717" t="str">
        <f t="shared" si="106"/>
        <v xml:space="preserve"> </v>
      </c>
      <c r="O539" s="728" t="str">
        <f t="shared" si="107"/>
        <v xml:space="preserve"> </v>
      </c>
      <c r="P539" s="732" t="str">
        <f t="shared" si="96"/>
        <v xml:space="preserve"> </v>
      </c>
      <c r="Q539" s="626" t="str">
        <f t="shared" si="97"/>
        <v xml:space="preserve"> </v>
      </c>
      <c r="R539" s="1199"/>
      <c r="S539" s="723" t="str">
        <f t="shared" si="108"/>
        <v xml:space="preserve"> </v>
      </c>
      <c r="Y539" s="626"/>
    </row>
    <row r="540" spans="1:25" s="426" customFormat="1" x14ac:dyDescent="0.25">
      <c r="A540" s="12">
        <f t="shared" si="98"/>
        <v>0</v>
      </c>
      <c r="B540" s="506" t="str">
        <f t="shared" si="94"/>
        <v>0401</v>
      </c>
      <c r="C540" s="12">
        <f t="shared" si="99"/>
        <v>4</v>
      </c>
      <c r="D540" s="22">
        <v>0</v>
      </c>
      <c r="E540" s="12">
        <f>E525*2</f>
        <v>0</v>
      </c>
      <c r="F540" s="2" t="str">
        <f t="shared" si="95"/>
        <v xml:space="preserve"> </v>
      </c>
      <c r="G540" s="120" t="str">
        <f t="shared" si="100"/>
        <v xml:space="preserve"> </v>
      </c>
      <c r="H540" s="78" t="str">
        <f t="shared" si="101"/>
        <v xml:space="preserve"> </v>
      </c>
      <c r="I540" s="227" t="str">
        <f t="shared" si="102"/>
        <v xml:space="preserve"> </v>
      </c>
      <c r="J540" s="695" t="str">
        <f t="shared" si="103"/>
        <v xml:space="preserve"> </v>
      </c>
      <c r="K540" s="695" t="str">
        <f t="shared" si="104"/>
        <v xml:space="preserve"> </v>
      </c>
      <c r="L540" s="227" t="str">
        <f t="shared" si="105"/>
        <v xml:space="preserve"> </v>
      </c>
      <c r="M540" s="1199"/>
      <c r="N540" s="717" t="str">
        <f t="shared" si="106"/>
        <v xml:space="preserve"> </v>
      </c>
      <c r="O540" s="728" t="str">
        <f t="shared" si="107"/>
        <v xml:space="preserve"> </v>
      </c>
      <c r="P540" s="732" t="str">
        <f t="shared" si="96"/>
        <v xml:space="preserve"> </v>
      </c>
      <c r="Q540" s="626" t="str">
        <f t="shared" si="97"/>
        <v xml:space="preserve"> </v>
      </c>
      <c r="R540" s="1199"/>
      <c r="S540" s="723" t="str">
        <f t="shared" si="108"/>
        <v xml:space="preserve"> </v>
      </c>
      <c r="Y540" s="626"/>
    </row>
    <row r="541" spans="1:25" s="426" customFormat="1" x14ac:dyDescent="0.25">
      <c r="A541" s="12">
        <f t="shared" si="98"/>
        <v>0</v>
      </c>
      <c r="B541" s="506" t="str">
        <f t="shared" si="94"/>
        <v>0471</v>
      </c>
      <c r="C541" s="12">
        <f t="shared" si="99"/>
        <v>0</v>
      </c>
      <c r="D541" s="22">
        <v>0</v>
      </c>
      <c r="E541" s="28">
        <v>0</v>
      </c>
      <c r="F541" s="2" t="str">
        <f t="shared" si="95"/>
        <v xml:space="preserve"> </v>
      </c>
      <c r="G541" s="120" t="str">
        <f t="shared" si="100"/>
        <v xml:space="preserve"> </v>
      </c>
      <c r="H541" s="78" t="str">
        <f t="shared" si="101"/>
        <v xml:space="preserve"> </v>
      </c>
      <c r="I541" s="227" t="str">
        <f t="shared" si="102"/>
        <v xml:space="preserve"> </v>
      </c>
      <c r="J541" s="695" t="str">
        <f t="shared" si="103"/>
        <v xml:space="preserve"> </v>
      </c>
      <c r="K541" s="695" t="str">
        <f t="shared" si="104"/>
        <v xml:space="preserve"> </v>
      </c>
      <c r="L541" s="227" t="str">
        <f t="shared" si="105"/>
        <v xml:space="preserve"> </v>
      </c>
      <c r="M541" s="1199"/>
      <c r="N541" s="717" t="str">
        <f t="shared" si="106"/>
        <v xml:space="preserve"> </v>
      </c>
      <c r="O541" s="728" t="str">
        <f t="shared" si="107"/>
        <v xml:space="preserve"> </v>
      </c>
      <c r="P541" s="732" t="str">
        <f t="shared" si="96"/>
        <v xml:space="preserve"> </v>
      </c>
      <c r="Q541" s="626" t="str">
        <f t="shared" si="97"/>
        <v xml:space="preserve"> </v>
      </c>
      <c r="R541" s="1199"/>
      <c r="S541" s="723" t="str">
        <f t="shared" si="108"/>
        <v xml:space="preserve"> </v>
      </c>
      <c r="Y541" s="626"/>
    </row>
    <row r="542" spans="1:25" s="426" customFormat="1" x14ac:dyDescent="0.25">
      <c r="A542" s="12">
        <f t="shared" si="98"/>
        <v>0</v>
      </c>
      <c r="B542" s="506" t="str">
        <f t="shared" si="94"/>
        <v>0933</v>
      </c>
      <c r="C542" s="12">
        <f t="shared" si="99"/>
        <v>0</v>
      </c>
      <c r="D542" s="707">
        <v>0</v>
      </c>
      <c r="E542" s="690">
        <v>0</v>
      </c>
      <c r="F542" s="426" t="str">
        <f t="shared" si="95"/>
        <v xml:space="preserve"> </v>
      </c>
      <c r="G542" s="120" t="str">
        <f t="shared" si="100"/>
        <v xml:space="preserve"> </v>
      </c>
      <c r="H542" s="78" t="str">
        <f t="shared" si="101"/>
        <v xml:space="preserve"> </v>
      </c>
      <c r="I542" s="227" t="str">
        <f t="shared" si="102"/>
        <v xml:space="preserve"> </v>
      </c>
      <c r="J542" s="695" t="str">
        <f t="shared" si="103"/>
        <v xml:space="preserve"> </v>
      </c>
      <c r="K542" s="695" t="str">
        <f t="shared" si="104"/>
        <v xml:space="preserve"> </v>
      </c>
      <c r="L542" s="227" t="str">
        <f t="shared" si="105"/>
        <v xml:space="preserve"> </v>
      </c>
      <c r="M542" s="1199"/>
      <c r="N542" s="717" t="str">
        <f t="shared" si="106"/>
        <v xml:space="preserve"> </v>
      </c>
      <c r="O542" s="728" t="str">
        <f t="shared" si="107"/>
        <v xml:space="preserve"> </v>
      </c>
      <c r="P542" s="732" t="str">
        <f t="shared" si="96"/>
        <v xml:space="preserve"> </v>
      </c>
      <c r="Q542" s="626" t="str">
        <f t="shared" si="97"/>
        <v xml:space="preserve"> </v>
      </c>
      <c r="R542" s="1199"/>
      <c r="S542" s="723" t="str">
        <f t="shared" si="108"/>
        <v xml:space="preserve"> </v>
      </c>
      <c r="Y542" s="626"/>
    </row>
    <row r="543" spans="1:25" s="426" customFormat="1" x14ac:dyDescent="0.25">
      <c r="A543" s="12">
        <f t="shared" si="98"/>
        <v>0</v>
      </c>
      <c r="B543" s="506" t="str">
        <f t="shared" si="94"/>
        <v>0701</v>
      </c>
      <c r="C543" s="12">
        <f t="shared" si="99"/>
        <v>0</v>
      </c>
      <c r="D543" s="707">
        <v>0</v>
      </c>
      <c r="E543" s="690">
        <v>0</v>
      </c>
      <c r="F543" s="426" t="str">
        <f t="shared" si="95"/>
        <v xml:space="preserve"> </v>
      </c>
      <c r="G543" s="120" t="str">
        <f t="shared" si="100"/>
        <v xml:space="preserve"> </v>
      </c>
      <c r="H543" s="78" t="str">
        <f t="shared" si="101"/>
        <v xml:space="preserve"> </v>
      </c>
      <c r="I543" s="227" t="str">
        <f t="shared" si="102"/>
        <v xml:space="preserve"> </v>
      </c>
      <c r="J543" s="695" t="str">
        <f t="shared" si="103"/>
        <v xml:space="preserve"> </v>
      </c>
      <c r="K543" s="695" t="str">
        <f t="shared" si="104"/>
        <v xml:space="preserve"> </v>
      </c>
      <c r="L543" s="227" t="str">
        <f t="shared" si="105"/>
        <v xml:space="preserve"> </v>
      </c>
      <c r="M543" s="1199"/>
      <c r="N543" s="717" t="str">
        <f t="shared" si="106"/>
        <v xml:space="preserve"> </v>
      </c>
      <c r="O543" s="728" t="str">
        <f t="shared" si="107"/>
        <v xml:space="preserve"> </v>
      </c>
      <c r="P543" s="732" t="str">
        <f t="shared" si="96"/>
        <v xml:space="preserve"> </v>
      </c>
      <c r="Q543" s="626" t="str">
        <f t="shared" si="97"/>
        <v xml:space="preserve"> </v>
      </c>
      <c r="R543" s="1199"/>
      <c r="S543" s="723" t="str">
        <f t="shared" si="108"/>
        <v xml:space="preserve"> </v>
      </c>
      <c r="Y543" s="626"/>
    </row>
    <row r="544" spans="1:25" s="426" customFormat="1" x14ac:dyDescent="0.25">
      <c r="A544" s="12">
        <f t="shared" si="98"/>
        <v>0</v>
      </c>
      <c r="B544" s="506">
        <f t="shared" si="94"/>
        <v>0</v>
      </c>
      <c r="C544" s="12">
        <f t="shared" si="99"/>
        <v>0</v>
      </c>
      <c r="D544" s="707">
        <v>0</v>
      </c>
      <c r="E544" s="690">
        <v>0</v>
      </c>
      <c r="F544" s="426" t="str">
        <f t="shared" si="95"/>
        <v xml:space="preserve"> </v>
      </c>
      <c r="G544" s="120" t="str">
        <f t="shared" si="100"/>
        <v xml:space="preserve"> </v>
      </c>
      <c r="H544" s="78" t="str">
        <f t="shared" si="101"/>
        <v xml:space="preserve"> </v>
      </c>
      <c r="I544" s="227" t="str">
        <f t="shared" si="102"/>
        <v xml:space="preserve"> </v>
      </c>
      <c r="J544" s="695" t="str">
        <f t="shared" si="103"/>
        <v xml:space="preserve"> </v>
      </c>
      <c r="K544" s="695" t="str">
        <f t="shared" si="104"/>
        <v xml:space="preserve"> </v>
      </c>
      <c r="L544" s="227" t="str">
        <f t="shared" si="105"/>
        <v xml:space="preserve"> </v>
      </c>
      <c r="M544" s="1199"/>
      <c r="N544" s="717" t="str">
        <f t="shared" si="106"/>
        <v xml:space="preserve"> </v>
      </c>
      <c r="O544" s="728" t="str">
        <f t="shared" si="107"/>
        <v xml:space="preserve"> </v>
      </c>
      <c r="P544" s="732" t="str">
        <f t="shared" si="96"/>
        <v xml:space="preserve"> </v>
      </c>
      <c r="Q544" s="626" t="str">
        <f t="shared" si="97"/>
        <v xml:space="preserve"> </v>
      </c>
      <c r="R544" s="1199"/>
      <c r="S544" s="723" t="str">
        <f t="shared" si="108"/>
        <v xml:space="preserve"> </v>
      </c>
      <c r="Y544" s="626"/>
    </row>
    <row r="545" spans="1:25" s="426" customFormat="1" x14ac:dyDescent="0.25">
      <c r="A545" s="12">
        <f t="shared" si="98"/>
        <v>0</v>
      </c>
      <c r="B545" s="506">
        <f t="shared" si="94"/>
        <v>0</v>
      </c>
      <c r="C545" s="12">
        <f t="shared" si="99"/>
        <v>0</v>
      </c>
      <c r="D545" s="707">
        <v>0</v>
      </c>
      <c r="E545" s="690">
        <v>0</v>
      </c>
      <c r="F545" s="426" t="str">
        <f t="shared" si="95"/>
        <v xml:space="preserve"> </v>
      </c>
      <c r="G545" s="120" t="str">
        <f t="shared" si="100"/>
        <v xml:space="preserve"> </v>
      </c>
      <c r="H545" s="78" t="str">
        <f t="shared" si="101"/>
        <v xml:space="preserve"> </v>
      </c>
      <c r="I545" s="227" t="str">
        <f t="shared" si="102"/>
        <v xml:space="preserve"> </v>
      </c>
      <c r="J545" s="695" t="str">
        <f t="shared" si="103"/>
        <v xml:space="preserve"> </v>
      </c>
      <c r="K545" s="695" t="str">
        <f t="shared" si="104"/>
        <v xml:space="preserve"> </v>
      </c>
      <c r="L545" s="227" t="str">
        <f t="shared" si="105"/>
        <v xml:space="preserve"> </v>
      </c>
      <c r="M545" s="1199"/>
      <c r="N545" s="717" t="str">
        <f t="shared" si="106"/>
        <v xml:space="preserve"> </v>
      </c>
      <c r="O545" s="728" t="str">
        <f t="shared" si="107"/>
        <v xml:space="preserve"> </v>
      </c>
      <c r="P545" s="732" t="str">
        <f t="shared" si="96"/>
        <v xml:space="preserve"> </v>
      </c>
      <c r="Q545" s="626" t="str">
        <f t="shared" si="97"/>
        <v xml:space="preserve"> </v>
      </c>
      <c r="R545" s="1199"/>
      <c r="S545" s="723" t="str">
        <f t="shared" si="108"/>
        <v xml:space="preserve"> </v>
      </c>
      <c r="Y545" s="626"/>
    </row>
    <row r="546" spans="1:25" s="426" customFormat="1" x14ac:dyDescent="0.25">
      <c r="A546" s="12">
        <f t="shared" si="98"/>
        <v>0</v>
      </c>
      <c r="B546" s="506">
        <f t="shared" si="94"/>
        <v>0</v>
      </c>
      <c r="C546" s="12">
        <f t="shared" si="99"/>
        <v>0</v>
      </c>
      <c r="D546" s="707">
        <v>0</v>
      </c>
      <c r="E546" s="690">
        <v>0</v>
      </c>
      <c r="F546" s="426" t="str">
        <f t="shared" si="95"/>
        <v xml:space="preserve"> </v>
      </c>
      <c r="G546" s="120" t="str">
        <f t="shared" si="100"/>
        <v xml:space="preserve"> </v>
      </c>
      <c r="H546" s="78" t="str">
        <f t="shared" si="101"/>
        <v xml:space="preserve"> </v>
      </c>
      <c r="I546" s="227" t="str">
        <f t="shared" si="102"/>
        <v xml:space="preserve"> </v>
      </c>
      <c r="J546" s="695" t="str">
        <f t="shared" si="103"/>
        <v xml:space="preserve"> </v>
      </c>
      <c r="K546" s="695" t="str">
        <f t="shared" si="104"/>
        <v xml:space="preserve"> </v>
      </c>
      <c r="L546" s="227" t="str">
        <f t="shared" si="105"/>
        <v xml:space="preserve"> </v>
      </c>
      <c r="M546" s="1199"/>
      <c r="N546" s="717" t="str">
        <f t="shared" si="106"/>
        <v xml:space="preserve"> </v>
      </c>
      <c r="O546" s="728" t="str">
        <f t="shared" si="107"/>
        <v xml:space="preserve"> </v>
      </c>
      <c r="P546" s="732" t="str">
        <f t="shared" si="96"/>
        <v xml:space="preserve"> </v>
      </c>
      <c r="Q546" s="626" t="str">
        <f t="shared" si="97"/>
        <v xml:space="preserve"> </v>
      </c>
      <c r="R546" s="1199"/>
      <c r="S546" s="723" t="str">
        <f t="shared" si="108"/>
        <v xml:space="preserve"> </v>
      </c>
      <c r="Y546" s="626"/>
    </row>
    <row r="547" spans="1:25" s="426" customFormat="1" x14ac:dyDescent="0.25">
      <c r="A547" s="12">
        <f t="shared" si="98"/>
        <v>0</v>
      </c>
      <c r="B547" s="506">
        <f t="shared" si="94"/>
        <v>0</v>
      </c>
      <c r="C547" s="12">
        <f t="shared" si="99"/>
        <v>0</v>
      </c>
      <c r="D547" s="707">
        <v>0</v>
      </c>
      <c r="E547" s="690">
        <v>0</v>
      </c>
      <c r="F547" s="426" t="str">
        <f t="shared" si="95"/>
        <v xml:space="preserve"> </v>
      </c>
      <c r="G547" s="120" t="str">
        <f t="shared" si="100"/>
        <v xml:space="preserve"> </v>
      </c>
      <c r="H547" s="78" t="str">
        <f t="shared" si="101"/>
        <v xml:space="preserve"> </v>
      </c>
      <c r="I547" s="227" t="str">
        <f t="shared" si="102"/>
        <v xml:space="preserve"> </v>
      </c>
      <c r="J547" s="695" t="str">
        <f t="shared" si="103"/>
        <v xml:space="preserve"> </v>
      </c>
      <c r="K547" s="695" t="str">
        <f t="shared" si="104"/>
        <v xml:space="preserve"> </v>
      </c>
      <c r="L547" s="227" t="str">
        <f t="shared" si="105"/>
        <v xml:space="preserve"> </v>
      </c>
      <c r="M547" s="1199"/>
      <c r="N547" s="717" t="str">
        <f t="shared" si="106"/>
        <v xml:space="preserve"> </v>
      </c>
      <c r="O547" s="728" t="str">
        <f t="shared" si="107"/>
        <v xml:space="preserve"> </v>
      </c>
      <c r="P547" s="732" t="str">
        <f t="shared" si="96"/>
        <v xml:space="preserve"> </v>
      </c>
      <c r="Q547" s="626" t="str">
        <f t="shared" si="97"/>
        <v xml:space="preserve"> </v>
      </c>
      <c r="R547" s="1199"/>
      <c r="S547" s="723" t="str">
        <f t="shared" si="108"/>
        <v xml:space="preserve"> </v>
      </c>
      <c r="Y547" s="626"/>
    </row>
    <row r="548" spans="1:25" s="426" customFormat="1" x14ac:dyDescent="0.25">
      <c r="A548" s="13">
        <f t="shared" si="98"/>
        <v>0</v>
      </c>
      <c r="B548" s="706">
        <f t="shared" si="94"/>
        <v>0</v>
      </c>
      <c r="C548" s="13">
        <f t="shared" si="99"/>
        <v>0</v>
      </c>
      <c r="D548" s="703">
        <v>0</v>
      </c>
      <c r="E548" s="644">
        <v>0</v>
      </c>
      <c r="F548" s="430" t="str">
        <f t="shared" si="95"/>
        <v xml:space="preserve"> </v>
      </c>
      <c r="G548" s="202" t="str">
        <f t="shared" si="100"/>
        <v xml:space="preserve"> </v>
      </c>
      <c r="H548" s="401" t="str">
        <f t="shared" si="101"/>
        <v xml:space="preserve"> </v>
      </c>
      <c r="I548" s="400" t="str">
        <f t="shared" si="102"/>
        <v xml:space="preserve"> </v>
      </c>
      <c r="J548" s="696" t="str">
        <f t="shared" si="103"/>
        <v xml:space="preserve"> </v>
      </c>
      <c r="K548" s="696" t="str">
        <f t="shared" si="104"/>
        <v xml:space="preserve"> </v>
      </c>
      <c r="L548" s="400" t="str">
        <f t="shared" si="105"/>
        <v xml:space="preserve"> </v>
      </c>
      <c r="M548" s="1200"/>
      <c r="N548" s="717" t="str">
        <f t="shared" si="106"/>
        <v xml:space="preserve"> </v>
      </c>
      <c r="O548" s="729" t="str">
        <f t="shared" si="107"/>
        <v xml:space="preserve"> </v>
      </c>
      <c r="P548" s="733" t="str">
        <f t="shared" si="96"/>
        <v xml:space="preserve"> </v>
      </c>
      <c r="Q548" s="651" t="str">
        <f t="shared" si="97"/>
        <v xml:space="preserve"> </v>
      </c>
      <c r="R548" s="1200"/>
      <c r="S548" s="722" t="str">
        <f t="shared" si="108"/>
        <v xml:space="preserve"> </v>
      </c>
      <c r="Y548" s="626"/>
    </row>
    <row r="549" spans="1:25" s="426" customFormat="1" ht="15.75" thickBot="1" x14ac:dyDescent="0.3">
      <c r="B549" s="2"/>
      <c r="L549" s="426" t="s">
        <v>763</v>
      </c>
      <c r="N549" s="718">
        <f>IF(SUM(A528:A548)&gt;0,VLOOKUP(1,A528:S548,14,FALSE)+AB513,0)</f>
        <v>12.9</v>
      </c>
      <c r="Q549" s="426" t="s">
        <v>763</v>
      </c>
      <c r="S549" s="724">
        <f>IF(AND(SUM(A528:A548)&gt;0,Q521=1),VLOOKUP(1,A528:S548,19,FALSE)+AB513,0)</f>
        <v>0</v>
      </c>
      <c r="Y549" s="626"/>
    </row>
    <row r="550" spans="1:25" s="426" customFormat="1" ht="12.75" x14ac:dyDescent="0.2">
      <c r="Y550" s="626"/>
    </row>
    <row r="551" spans="1:25" s="426" customFormat="1" ht="12.75" x14ac:dyDescent="0.2">
      <c r="Y551" s="626"/>
    </row>
    <row r="552" spans="1:25" s="426" customFormat="1" ht="12.75" x14ac:dyDescent="0.2">
      <c r="A552" s="626"/>
      <c r="B552" s="626"/>
      <c r="Y552" s="626"/>
    </row>
    <row r="553" spans="1:25" s="426" customFormat="1" ht="12.75" x14ac:dyDescent="0.2">
      <c r="A553" s="626">
        <f>A505</f>
        <v>0</v>
      </c>
      <c r="B553" s="426" t="s">
        <v>767</v>
      </c>
      <c r="C553" s="1179">
        <f>IF(A553&gt;0,A553*C505*D502,0)</f>
        <v>0</v>
      </c>
      <c r="Y553" s="626"/>
    </row>
    <row r="554" spans="1:25" s="426" customFormat="1" ht="12.75" x14ac:dyDescent="0.2">
      <c r="A554" s="626">
        <f>A506</f>
        <v>0</v>
      </c>
      <c r="B554" s="426" t="s">
        <v>770</v>
      </c>
      <c r="C554" s="635">
        <f>IF(A554&gt;0,A554*C506*D502,0)</f>
        <v>0</v>
      </c>
      <c r="Y554" s="626"/>
    </row>
    <row r="555" spans="1:25" s="426" customFormat="1" ht="12.75" x14ac:dyDescent="0.2">
      <c r="A555" s="626">
        <f>A507</f>
        <v>0</v>
      </c>
      <c r="B555" s="426" t="s">
        <v>771</v>
      </c>
      <c r="C555" s="635">
        <f>IF(A555&gt;0,A555*C507*D502,0)</f>
        <v>0</v>
      </c>
      <c r="Y555" s="626"/>
    </row>
    <row r="556" spans="1:25" s="426" customFormat="1" ht="12.75" x14ac:dyDescent="0.2">
      <c r="A556" s="626">
        <f>A508</f>
        <v>0</v>
      </c>
      <c r="B556" s="426" t="s">
        <v>768</v>
      </c>
      <c r="C556" s="635">
        <f>IF(A556&gt;0,A556*C508*D502,0)</f>
        <v>0</v>
      </c>
      <c r="Y556" s="626"/>
    </row>
    <row r="557" spans="1:25" s="426" customFormat="1" ht="12.75" x14ac:dyDescent="0.2">
      <c r="A557" s="626">
        <f>A509</f>
        <v>0</v>
      </c>
      <c r="B557" s="426" t="s">
        <v>769</v>
      </c>
      <c r="C557" s="635">
        <f>IF(A557&gt;0,A557*C509*D502,0)</f>
        <v>0</v>
      </c>
      <c r="Y557" s="626"/>
    </row>
    <row r="558" spans="1:25" s="426" customFormat="1" ht="12.75" x14ac:dyDescent="0.2">
      <c r="A558" s="626">
        <f>A553</f>
        <v>0</v>
      </c>
      <c r="B558" s="426" t="s">
        <v>1077</v>
      </c>
      <c r="C558" s="1178">
        <v>0</v>
      </c>
      <c r="D558" s="1182">
        <f>IF(A558=1,((C3*C510)/60)*D502,0)</f>
        <v>0</v>
      </c>
      <c r="Y558" s="626"/>
    </row>
    <row r="559" spans="1:25" s="426" customFormat="1" ht="12.75" x14ac:dyDescent="0.2">
      <c r="B559" s="615" t="s">
        <v>762</v>
      </c>
      <c r="C559" s="629">
        <f>SUM(C553:C558)</f>
        <v>0</v>
      </c>
      <c r="Y559" s="626"/>
    </row>
    <row r="560" spans="1:25" s="426" customFormat="1" ht="12.75" x14ac:dyDescent="0.2">
      <c r="Y560" s="626"/>
    </row>
    <row r="561" spans="1:25" s="426" customFormat="1" ht="12.75" x14ac:dyDescent="0.2">
      <c r="A561" s="626">
        <f>IF(C500=1,1,0)</f>
        <v>0</v>
      </c>
      <c r="B561" s="426" t="s">
        <v>1055</v>
      </c>
      <c r="C561" s="635">
        <f>IF(A561=1,(((N549+S549)*C518)/60)*D502,0)</f>
        <v>0</v>
      </c>
      <c r="Y561" s="626"/>
    </row>
    <row r="562" spans="1:25" s="426" customFormat="1" ht="12.75" x14ac:dyDescent="0.2">
      <c r="A562" s="626">
        <f>IF(AND(C500=1,W512=1),1,0)</f>
        <v>0</v>
      </c>
      <c r="B562" s="426" t="s">
        <v>1056</v>
      </c>
      <c r="C562" s="635">
        <f>IF(A562=1,(((N549+S549)*C518)/60)*T512,0)</f>
        <v>0</v>
      </c>
      <c r="Y562" s="626"/>
    </row>
    <row r="563" spans="1:25" s="426" customFormat="1" ht="12.75" x14ac:dyDescent="0.2">
      <c r="A563" s="626">
        <f>IF(SUM(A561:A562)&gt;0,1,0)</f>
        <v>0</v>
      </c>
      <c r="B563" s="615" t="s">
        <v>1054</v>
      </c>
      <c r="C563" s="1177">
        <f>IF(A563=1,SUM(C561:C562),0)</f>
        <v>0</v>
      </c>
      <c r="Y563" s="626"/>
    </row>
    <row r="564" spans="1:25" s="426" customFormat="1" ht="12.75" x14ac:dyDescent="0.2">
      <c r="Y564" s="626"/>
    </row>
    <row r="565" spans="1:25" s="430" customFormat="1" ht="12.75" x14ac:dyDescent="0.2">
      <c r="B565" s="678"/>
      <c r="Y565" s="651"/>
    </row>
    <row r="566" spans="1:25" s="426" customFormat="1" ht="12.75" x14ac:dyDescent="0.2">
      <c r="B566" s="615"/>
      <c r="Y566" s="626"/>
    </row>
    <row r="567" spans="1:25" s="426" customFormat="1" ht="13.5" thickBot="1" x14ac:dyDescent="0.25">
      <c r="B567" s="615"/>
      <c r="D567" s="626" t="s">
        <v>674</v>
      </c>
      <c r="Y567" s="626"/>
    </row>
    <row r="568" spans="1:25" s="426" customFormat="1" ht="13.5" thickBot="1" x14ac:dyDescent="0.25">
      <c r="B568" s="641" t="s">
        <v>662</v>
      </c>
      <c r="C568" s="643">
        <f>J365</f>
        <v>0</v>
      </c>
      <c r="D568" s="1176">
        <f>IF(C568=1,C621+C624,0)</f>
        <v>0</v>
      </c>
      <c r="Y568" s="626"/>
    </row>
    <row r="569" spans="1:25" s="426" customFormat="1" ht="12.75" x14ac:dyDescent="0.2">
      <c r="B569" s="615"/>
      <c r="M569" s="996"/>
      <c r="Y569" s="626"/>
    </row>
    <row r="570" spans="1:25" s="426" customFormat="1" ht="12.75" x14ac:dyDescent="0.2">
      <c r="B570" s="426" t="s">
        <v>756</v>
      </c>
      <c r="C570" s="699">
        <f>'Tarieven (2)'!C8</f>
        <v>125</v>
      </c>
      <c r="D570" s="697">
        <f>C570/60</f>
        <v>2.0833333333333335</v>
      </c>
      <c r="Y570" s="626"/>
    </row>
    <row r="571" spans="1:25" s="426" customFormat="1" x14ac:dyDescent="0.25">
      <c r="B571" s="426" t="s">
        <v>757</v>
      </c>
      <c r="C571" s="700">
        <f>'Tarieven (2)'!C12</f>
        <v>37</v>
      </c>
      <c r="D571" s="698">
        <f>C571/60</f>
        <v>0.6166666666666667</v>
      </c>
      <c r="L571" s="77" t="s">
        <v>1034</v>
      </c>
      <c r="M571"/>
      <c r="N571"/>
      <c r="O571"/>
      <c r="P571"/>
      <c r="Q571"/>
      <c r="R571"/>
      <c r="S571"/>
      <c r="U571" s="426" t="s">
        <v>1075</v>
      </c>
      <c r="Y571" s="626"/>
    </row>
    <row r="572" spans="1:25" s="426" customFormat="1" x14ac:dyDescent="0.25">
      <c r="C572" s="704"/>
      <c r="D572" s="704"/>
      <c r="L572"/>
      <c r="M572"/>
      <c r="N572"/>
      <c r="O572"/>
      <c r="P572"/>
      <c r="Q572"/>
      <c r="R572"/>
      <c r="S572"/>
      <c r="U572" s="1103"/>
      <c r="V572" s="1047" t="s">
        <v>1076</v>
      </c>
      <c r="W572" s="1047" t="s">
        <v>801</v>
      </c>
      <c r="Y572" s="626"/>
    </row>
    <row r="573" spans="1:25" s="426" customFormat="1" x14ac:dyDescent="0.25">
      <c r="C573" s="704"/>
      <c r="D573" s="704"/>
      <c r="L573" s="77" t="s">
        <v>1035</v>
      </c>
      <c r="M573" s="1035">
        <v>1000</v>
      </c>
      <c r="N573" s="77" t="s">
        <v>25</v>
      </c>
      <c r="O573"/>
      <c r="P573"/>
      <c r="Q573"/>
      <c r="R573"/>
      <c r="S573"/>
      <c r="U573" s="1108">
        <f>IF($C$582=V573,1," ")</f>
        <v>1</v>
      </c>
      <c r="V573" s="150">
        <v>1</v>
      </c>
      <c r="W573" s="1106">
        <v>1</v>
      </c>
      <c r="Y573" s="626"/>
    </row>
    <row r="574" spans="1:25" s="426" customFormat="1" x14ac:dyDescent="0.25">
      <c r="A574" s="426" t="s">
        <v>61</v>
      </c>
      <c r="B574" s="426" t="s">
        <v>679</v>
      </c>
      <c r="C574" s="636" t="s">
        <v>680</v>
      </c>
      <c r="D574" s="635"/>
      <c r="G574" s="638">
        <v>0.15</v>
      </c>
      <c r="L574" s="77" t="s">
        <v>941</v>
      </c>
      <c r="M574" s="1081">
        <f>CEILING(M573/M575,1)</f>
        <v>334</v>
      </c>
      <c r="N574" s="77" t="s">
        <v>26</v>
      </c>
      <c r="O574"/>
      <c r="P574"/>
      <c r="Q574"/>
      <c r="R574"/>
      <c r="S574"/>
      <c r="U574" s="725" t="str">
        <f t="shared" ref="U574:U576" si="109">IF($C$582=V574,1," ")</f>
        <v xml:space="preserve"> </v>
      </c>
      <c r="V574" s="150">
        <v>2</v>
      </c>
      <c r="W574" s="1106">
        <v>1.4</v>
      </c>
      <c r="Y574" s="626"/>
    </row>
    <row r="575" spans="1:25" s="426" customFormat="1" x14ac:dyDescent="0.25">
      <c r="A575" s="626">
        <f>IF(C568=1,1,0)</f>
        <v>0</v>
      </c>
      <c r="B575" s="426" t="s">
        <v>759</v>
      </c>
      <c r="C575" s="637">
        <v>7</v>
      </c>
      <c r="D575" s="426" t="s">
        <v>683</v>
      </c>
      <c r="G575" s="708" t="s">
        <v>777</v>
      </c>
      <c r="H575" s="719" t="s">
        <v>778</v>
      </c>
      <c r="I575" s="719" t="s">
        <v>779</v>
      </c>
      <c r="L575" s="77" t="s">
        <v>895</v>
      </c>
      <c r="M575">
        <f>F145</f>
        <v>3</v>
      </c>
      <c r="N575"/>
      <c r="O575"/>
      <c r="P575"/>
      <c r="Q575"/>
      <c r="R575"/>
      <c r="S575"/>
      <c r="U575" s="725" t="str">
        <f t="shared" si="109"/>
        <v xml:space="preserve"> </v>
      </c>
      <c r="V575" s="150">
        <v>3</v>
      </c>
      <c r="W575" s="1106">
        <v>1.75</v>
      </c>
      <c r="Y575" s="626"/>
    </row>
    <row r="576" spans="1:25" s="426" customFormat="1" ht="15.75" thickBot="1" x14ac:dyDescent="0.3">
      <c r="A576" s="626">
        <f>IF(AND(C568=1,SUM(D591:E591)&gt;0),1,0)</f>
        <v>0</v>
      </c>
      <c r="B576" s="426" t="s">
        <v>760</v>
      </c>
      <c r="C576" s="705">
        <v>10</v>
      </c>
      <c r="D576" s="426" t="s">
        <v>683</v>
      </c>
      <c r="G576" s="725">
        <f>MAX(B445,H445)</f>
        <v>1800</v>
      </c>
      <c r="H576" s="145">
        <f>C582*C583</f>
        <v>1</v>
      </c>
      <c r="I576" s="145">
        <f>H576*G576</f>
        <v>1800</v>
      </c>
      <c r="L576"/>
      <c r="M576"/>
      <c r="N576"/>
      <c r="O576"/>
      <c r="P576"/>
      <c r="Q576"/>
      <c r="R576"/>
      <c r="S576"/>
      <c r="U576" s="658" t="str">
        <f t="shared" si="109"/>
        <v xml:space="preserve"> </v>
      </c>
      <c r="V576" s="145">
        <v>4</v>
      </c>
      <c r="W576" s="1107">
        <v>2.25</v>
      </c>
      <c r="Y576" s="626"/>
    </row>
    <row r="577" spans="1:25" s="426" customFormat="1" x14ac:dyDescent="0.25">
      <c r="A577" s="626">
        <f>IF(AND(C568=1,SUM(D591:E591)&gt;0),1,0)</f>
        <v>0</v>
      </c>
      <c r="B577" s="426" t="s">
        <v>761</v>
      </c>
      <c r="C577" s="705">
        <v>5</v>
      </c>
      <c r="D577" s="426" t="s">
        <v>683</v>
      </c>
      <c r="G577" s="735" t="s">
        <v>782</v>
      </c>
      <c r="H577" s="710" t="s">
        <v>781</v>
      </c>
      <c r="I577" s="713" t="s">
        <v>780</v>
      </c>
      <c r="L577" s="1020"/>
      <c r="M577" s="1082" t="s">
        <v>26</v>
      </c>
      <c r="N577" s="1021" t="s">
        <v>1036</v>
      </c>
      <c r="O577" s="1082" t="s">
        <v>1037</v>
      </c>
      <c r="P577" s="1021" t="s">
        <v>1038</v>
      </c>
      <c r="Q577" s="1082" t="s">
        <v>1039</v>
      </c>
      <c r="R577" s="1021" t="s">
        <v>1040</v>
      </c>
      <c r="S577"/>
      <c r="U577" s="1105"/>
      <c r="V577" s="1104"/>
      <c r="W577" s="1048">
        <f>VLOOKUP(1,U573:W576,3,FALSE)</f>
        <v>1</v>
      </c>
      <c r="Y577" s="626"/>
    </row>
    <row r="578" spans="1:25" s="426" customFormat="1" ht="15.75" thickBot="1" x14ac:dyDescent="0.3">
      <c r="B578" s="426" t="s">
        <v>1001</v>
      </c>
      <c r="C578" s="1034" t="str">
        <f>AW46</f>
        <v>0,2</v>
      </c>
      <c r="D578" s="704" t="s">
        <v>1002</v>
      </c>
      <c r="G578" s="736">
        <f>IF(CEILING((H578*G574)+H578,1)&lt;=G576,CEILING((H578*G574)+H578,1),G576)</f>
        <v>1800</v>
      </c>
      <c r="H578" s="702">
        <f>CEILING(I578/H576,1)</f>
        <v>1800</v>
      </c>
      <c r="I578" s="145">
        <f>C3</f>
        <v>1800</v>
      </c>
      <c r="L578" s="339" t="s">
        <v>1043</v>
      </c>
      <c r="M578" s="407">
        <f>C586</f>
        <v>1800</v>
      </c>
      <c r="N578" s="12">
        <f>FLOOR(M578/M574,1)</f>
        <v>5</v>
      </c>
      <c r="O578" s="2">
        <f>IF(N578=0,M578*M575,(M578-(N578*M574))*M575)</f>
        <v>390</v>
      </c>
      <c r="P578" s="12">
        <f>N578*Q583</f>
        <v>0.70000000000000007</v>
      </c>
      <c r="Q578" s="2">
        <f>IF(O578=0,0,HLOOKUP(1,M582:Q583,2,FALSE))</f>
        <v>0.08</v>
      </c>
      <c r="R578" s="12">
        <f>SUM(P578:Q578)</f>
        <v>0.78</v>
      </c>
      <c r="S578" s="77" t="s">
        <v>1041</v>
      </c>
      <c r="Y578" s="626"/>
    </row>
    <row r="579" spans="1:25" s="426" customFormat="1" x14ac:dyDescent="0.25">
      <c r="C579" s="737"/>
      <c r="L579" s="341"/>
      <c r="M579" s="965"/>
      <c r="N579" s="13"/>
      <c r="O579" s="965"/>
      <c r="P579" s="52"/>
      <c r="Q579" s="965"/>
      <c r="R579" s="13"/>
      <c r="S579" s="77"/>
      <c r="Y579" s="626"/>
    </row>
    <row r="580" spans="1:25" s="426" customFormat="1" ht="12.75" x14ac:dyDescent="0.2">
      <c r="B580" s="615"/>
      <c r="Y580" s="626"/>
    </row>
    <row r="581" spans="1:25" s="426" customFormat="1" x14ac:dyDescent="0.25">
      <c r="B581" s="615" t="s">
        <v>750</v>
      </c>
      <c r="C581" s="626" t="str">
        <f>IF(F189=0,C2,"0110")</f>
        <v>0110</v>
      </c>
      <c r="L581" s="1083" t="s">
        <v>1044</v>
      </c>
      <c r="M581" s="1062">
        <v>200</v>
      </c>
      <c r="N581" s="449">
        <v>400</v>
      </c>
      <c r="O581" s="1062">
        <v>600</v>
      </c>
      <c r="P581" s="449">
        <v>800</v>
      </c>
      <c r="Q581" s="1062">
        <v>1000</v>
      </c>
      <c r="Y581" s="626"/>
    </row>
    <row r="582" spans="1:25" s="426" customFormat="1" x14ac:dyDescent="0.25">
      <c r="B582" s="615" t="s">
        <v>752</v>
      </c>
      <c r="C582" s="626">
        <f>C445</f>
        <v>1</v>
      </c>
      <c r="D582" s="426" t="s">
        <v>754</v>
      </c>
      <c r="L582" s="339" t="s">
        <v>1042</v>
      </c>
      <c r="M582" s="12">
        <f>IF(O578&lt;=M581,1,0)</f>
        <v>0</v>
      </c>
      <c r="N582" s="2">
        <f>IF(AND(O578&gt;M581,O578&lt;=N581),1,0)</f>
        <v>1</v>
      </c>
      <c r="O582" s="12">
        <f>IF(AND(O578&gt;N581,O578&lt;=O581),1,0)</f>
        <v>0</v>
      </c>
      <c r="P582" s="2">
        <f>IF(AND(O578&gt;O581,O578&lt;=P581),1,0)</f>
        <v>0</v>
      </c>
      <c r="Q582" s="12">
        <f>IF(AND(O578&gt;P581,O578&lt;=Q581),1,0)</f>
        <v>0</v>
      </c>
      <c r="Y582" s="626"/>
    </row>
    <row r="583" spans="1:25" s="426" customFormat="1" x14ac:dyDescent="0.25">
      <c r="B583" s="615" t="s">
        <v>753</v>
      </c>
      <c r="C583" s="626">
        <f>D445</f>
        <v>1</v>
      </c>
      <c r="D583" s="426" t="s">
        <v>754</v>
      </c>
      <c r="L583" s="1020" t="s">
        <v>1045</v>
      </c>
      <c r="M583" s="952">
        <f>0.02*2</f>
        <v>0.04</v>
      </c>
      <c r="N583" s="1084">
        <f>0.04*2</f>
        <v>0.08</v>
      </c>
      <c r="O583" s="952">
        <f>0.05*2</f>
        <v>0.1</v>
      </c>
      <c r="P583" s="1084">
        <f>0.06*2</f>
        <v>0.12</v>
      </c>
      <c r="Q583" s="952">
        <v>0.14000000000000001</v>
      </c>
      <c r="Y583" s="626"/>
    </row>
    <row r="584" spans="1:25" s="426" customFormat="1" x14ac:dyDescent="0.25">
      <c r="B584" s="615" t="s">
        <v>99</v>
      </c>
      <c r="C584" s="626">
        <f>E445</f>
        <v>361</v>
      </c>
      <c r="D584" s="426" t="s">
        <v>25</v>
      </c>
      <c r="L584"/>
      <c r="M584"/>
      <c r="N584"/>
      <c r="O584"/>
      <c r="P584"/>
      <c r="Q584"/>
      <c r="Y584" s="626"/>
    </row>
    <row r="585" spans="1:25" s="426" customFormat="1" ht="12.75" x14ac:dyDescent="0.2">
      <c r="B585" s="615" t="s">
        <v>100</v>
      </c>
      <c r="C585" s="626">
        <f>F445</f>
        <v>1150</v>
      </c>
      <c r="D585" s="426" t="s">
        <v>25</v>
      </c>
      <c r="Y585" s="626"/>
    </row>
    <row r="586" spans="1:25" s="426" customFormat="1" ht="12.75" x14ac:dyDescent="0.2">
      <c r="B586" s="615" t="s">
        <v>776</v>
      </c>
      <c r="C586" s="134">
        <f>G578</f>
        <v>1800</v>
      </c>
      <c r="D586" s="426" t="s">
        <v>754</v>
      </c>
      <c r="Y586" s="626"/>
    </row>
    <row r="587" spans="1:25" s="426" customFormat="1" ht="12.75" x14ac:dyDescent="0.2">
      <c r="B587" s="615"/>
      <c r="Y587" s="626"/>
    </row>
    <row r="588" spans="1:25" s="426" customFormat="1" x14ac:dyDescent="0.25">
      <c r="A588" s="286"/>
      <c r="F588"/>
      <c r="G588"/>
      <c r="H588"/>
      <c r="Y588" s="626"/>
    </row>
    <row r="589" spans="1:25" s="426" customFormat="1" x14ac:dyDescent="0.25">
      <c r="A589" s="286"/>
      <c r="B589" s="77"/>
      <c r="C589"/>
      <c r="D589"/>
      <c r="E589" s="484">
        <v>100</v>
      </c>
      <c r="F589"/>
      <c r="G589"/>
      <c r="H589"/>
      <c r="I589" s="78" t="s">
        <v>731</v>
      </c>
      <c r="J589"/>
      <c r="K589" s="78" t="s">
        <v>731</v>
      </c>
      <c r="L589" s="78" t="s">
        <v>732</v>
      </c>
      <c r="M589" s="78" t="s">
        <v>733</v>
      </c>
      <c r="Y589" s="626"/>
    </row>
    <row r="590" spans="1:25" s="426" customFormat="1" x14ac:dyDescent="0.25">
      <c r="A590" s="286"/>
      <c r="E590" s="473">
        <f>AT46</f>
        <v>0</v>
      </c>
      <c r="F590"/>
      <c r="G590" s="2"/>
      <c r="H590"/>
      <c r="I590" s="78" t="s">
        <v>734</v>
      </c>
      <c r="J590"/>
      <c r="K590" s="78" t="s">
        <v>735</v>
      </c>
      <c r="L590" s="78" t="s">
        <v>736</v>
      </c>
      <c r="M590" s="78" t="s">
        <v>737</v>
      </c>
      <c r="Y590" s="626"/>
    </row>
    <row r="591" spans="1:25" s="426" customFormat="1" x14ac:dyDescent="0.25">
      <c r="A591" s="683"/>
      <c r="C591" s="77"/>
      <c r="D591" s="473">
        <f>C131</f>
        <v>0</v>
      </c>
      <c r="E591" s="13">
        <f>CEILING(E590/E589,1)</f>
        <v>0</v>
      </c>
      <c r="F591"/>
      <c r="G591"/>
      <c r="H591"/>
      <c r="I591" s="484">
        <v>0.8</v>
      </c>
      <c r="J591" s="2"/>
      <c r="K591" s="484">
        <v>1.25</v>
      </c>
      <c r="L591" s="484">
        <v>5</v>
      </c>
      <c r="M591" s="1085">
        <f>AY46</f>
        <v>0.9</v>
      </c>
      <c r="Y591" s="626"/>
    </row>
    <row r="592" spans="1:25" s="426" customFormat="1" x14ac:dyDescent="0.25">
      <c r="A592" s="404"/>
      <c r="B592" s="404"/>
      <c r="C592" s="399" t="s">
        <v>562</v>
      </c>
      <c r="D592" s="417" t="s">
        <v>562</v>
      </c>
      <c r="E592" s="399" t="s">
        <v>562</v>
      </c>
      <c r="F592" s="423" t="s">
        <v>738</v>
      </c>
      <c r="G592" s="399" t="s">
        <v>739</v>
      </c>
      <c r="H592" s="406" t="s">
        <v>740</v>
      </c>
      <c r="I592" s="399" t="s">
        <v>741</v>
      </c>
      <c r="J592" s="399" t="s">
        <v>742</v>
      </c>
      <c r="K592" s="399" t="s">
        <v>741</v>
      </c>
      <c r="L592" s="399" t="s">
        <v>743</v>
      </c>
      <c r="M592" s="399"/>
      <c r="Y592" s="626"/>
    </row>
    <row r="593" spans="1:25" s="426" customFormat="1" x14ac:dyDescent="0.25">
      <c r="A593" s="339" t="s">
        <v>28</v>
      </c>
      <c r="B593" s="341" t="s">
        <v>2</v>
      </c>
      <c r="C593" s="202" t="s">
        <v>577</v>
      </c>
      <c r="D593" s="400" t="s">
        <v>575</v>
      </c>
      <c r="E593" s="202" t="s">
        <v>744</v>
      </c>
      <c r="F593" s="424" t="s">
        <v>604</v>
      </c>
      <c r="G593" s="120" t="s">
        <v>745</v>
      </c>
      <c r="H593" s="78" t="s">
        <v>746</v>
      </c>
      <c r="I593" s="120" t="s">
        <v>562</v>
      </c>
      <c r="J593" s="120" t="s">
        <v>747</v>
      </c>
      <c r="K593" s="120" t="s">
        <v>748</v>
      </c>
      <c r="L593" s="120" t="s">
        <v>749</v>
      </c>
      <c r="M593" s="12"/>
      <c r="Y593" s="626"/>
    </row>
    <row r="594" spans="1:25" s="426" customFormat="1" x14ac:dyDescent="0.25">
      <c r="A594" s="442">
        <f>IF($C$581=B594,1,0)</f>
        <v>1</v>
      </c>
      <c r="B594" s="61" t="str">
        <f t="shared" ref="B594:B614" si="110">B50</f>
        <v>0110</v>
      </c>
      <c r="C594" s="442">
        <f>S50</f>
        <v>1</v>
      </c>
      <c r="D594" s="645">
        <v>0</v>
      </c>
      <c r="E594" s="486">
        <v>0</v>
      </c>
      <c r="F594" s="449">
        <f t="shared" ref="F594:F614" si="111">IF(A594=1,SUM(C594:E594)," ")</f>
        <v>1</v>
      </c>
      <c r="G594" s="684">
        <f>IF(A594=1,$C$583," ")</f>
        <v>1</v>
      </c>
      <c r="H594" s="684">
        <f>IF(A594=1,(F594*G594)-1," ")</f>
        <v>0</v>
      </c>
      <c r="I594" s="692">
        <f>IF(A594=1,$I$591*H594," ")</f>
        <v>0</v>
      </c>
      <c r="J594" s="694">
        <f>IF(A594=1,($C$585/1000)," ")</f>
        <v>1.1499999999999999</v>
      </c>
      <c r="K594" s="694">
        <f>IF(A594=1,J594*$K$591," ")</f>
        <v>1.4375</v>
      </c>
      <c r="L594" s="694">
        <f>IF(A594=1,$L$591," ")</f>
        <v>5</v>
      </c>
      <c r="M594" s="686">
        <f>IF(A594=1,CEILING((I594+K594+L594)/$M$591,1)," ")</f>
        <v>8</v>
      </c>
      <c r="Y594" s="626"/>
    </row>
    <row r="595" spans="1:25" s="426" customFormat="1" x14ac:dyDescent="0.25">
      <c r="A595" s="12">
        <f>IF($C$581=B595,1,0)</f>
        <v>0</v>
      </c>
      <c r="B595" s="61" t="str">
        <f t="shared" si="110"/>
        <v>0200</v>
      </c>
      <c r="C595" s="12">
        <f>S51</f>
        <v>3</v>
      </c>
      <c r="D595" s="26">
        <f>D591</f>
        <v>0</v>
      </c>
      <c r="E595" s="28">
        <v>0</v>
      </c>
      <c r="F595" s="2" t="str">
        <f t="shared" si="111"/>
        <v xml:space="preserve"> </v>
      </c>
      <c r="G595" s="685" t="str">
        <f t="shared" ref="G595:G614" si="112">IF(A595=1,$C$583," ")</f>
        <v xml:space="preserve"> </v>
      </c>
      <c r="H595" s="685" t="str">
        <f t="shared" ref="H595:H600" si="113">IF(A595=1,(F595*G595)+G595," ")</f>
        <v xml:space="preserve"> </v>
      </c>
      <c r="I595" s="157" t="str">
        <f t="shared" ref="I595:I614" si="114">IF(A595=1,$I$591*H595," ")</f>
        <v xml:space="preserve"> </v>
      </c>
      <c r="J595" s="695" t="str">
        <f t="shared" ref="J595:J613" si="115">IF(A595=1,($C$585/1000)," ")</f>
        <v xml:space="preserve"> </v>
      </c>
      <c r="K595" s="695" t="str">
        <f t="shared" ref="K595:K614" si="116">IF(A595=1,J595*$K$591," ")</f>
        <v xml:space="preserve"> </v>
      </c>
      <c r="L595" s="695" t="str">
        <f t="shared" ref="L595:L614" si="117">IF(A595=1,$L$591," ")</f>
        <v xml:space="preserve"> </v>
      </c>
      <c r="M595" s="687" t="str">
        <f t="shared" ref="M595:M614" si="118">IF(A595=1,CEILING((I595+K595+L595)/$M$591,1)," ")</f>
        <v xml:space="preserve"> </v>
      </c>
      <c r="Y595" s="626"/>
    </row>
    <row r="596" spans="1:25" s="426" customFormat="1" x14ac:dyDescent="0.25">
      <c r="A596" s="12">
        <f>IF($C$581=B596,1,0)</f>
        <v>0</v>
      </c>
      <c r="B596" s="61" t="str">
        <f t="shared" si="110"/>
        <v>0201</v>
      </c>
      <c r="C596" s="12">
        <f>S52</f>
        <v>3</v>
      </c>
      <c r="D596" s="26">
        <f>D591</f>
        <v>0</v>
      </c>
      <c r="E596" s="28">
        <v>0</v>
      </c>
      <c r="F596" s="2" t="str">
        <f t="shared" si="111"/>
        <v xml:space="preserve"> </v>
      </c>
      <c r="G596" s="685" t="str">
        <f t="shared" si="112"/>
        <v xml:space="preserve"> </v>
      </c>
      <c r="H596" s="685" t="str">
        <f t="shared" si="113"/>
        <v xml:space="preserve"> </v>
      </c>
      <c r="I596" s="157" t="str">
        <f t="shared" si="114"/>
        <v xml:space="preserve"> </v>
      </c>
      <c r="J596" s="695" t="str">
        <f t="shared" si="115"/>
        <v xml:space="preserve"> </v>
      </c>
      <c r="K596" s="695" t="str">
        <f t="shared" si="116"/>
        <v xml:space="preserve"> </v>
      </c>
      <c r="L596" s="695" t="str">
        <f t="shared" si="117"/>
        <v xml:space="preserve"> </v>
      </c>
      <c r="M596" s="687" t="str">
        <f>IF(A596=1,CEILING((I596+K596+L596)/$M$591,1)," ")</f>
        <v xml:space="preserve"> </v>
      </c>
      <c r="Y596" s="626"/>
    </row>
    <row r="597" spans="1:25" s="426" customFormat="1" x14ac:dyDescent="0.25">
      <c r="A597" s="12">
        <f t="shared" ref="A597:A600" si="119">IF($C$581=B597,1,0)</f>
        <v>0</v>
      </c>
      <c r="B597" s="61" t="str">
        <f t="shared" si="110"/>
        <v>0203</v>
      </c>
      <c r="C597" s="12">
        <f>S53</f>
        <v>3</v>
      </c>
      <c r="D597" s="26">
        <f>D591</f>
        <v>0</v>
      </c>
      <c r="E597" s="28">
        <v>0</v>
      </c>
      <c r="F597" s="2" t="str">
        <f t="shared" si="111"/>
        <v xml:space="preserve"> </v>
      </c>
      <c r="G597" s="685" t="str">
        <f t="shared" si="112"/>
        <v xml:space="preserve"> </v>
      </c>
      <c r="H597" s="685" t="str">
        <f t="shared" si="113"/>
        <v xml:space="preserve"> </v>
      </c>
      <c r="I597" s="157" t="str">
        <f t="shared" si="114"/>
        <v xml:space="preserve"> </v>
      </c>
      <c r="J597" s="695" t="str">
        <f t="shared" si="115"/>
        <v xml:space="preserve"> </v>
      </c>
      <c r="K597" s="695" t="str">
        <f t="shared" si="116"/>
        <v xml:space="preserve"> </v>
      </c>
      <c r="L597" s="695" t="str">
        <f t="shared" si="117"/>
        <v xml:space="preserve"> </v>
      </c>
      <c r="M597" s="687" t="str">
        <f t="shared" si="118"/>
        <v xml:space="preserve"> </v>
      </c>
      <c r="Y597" s="626"/>
    </row>
    <row r="598" spans="1:25" s="426" customFormat="1" x14ac:dyDescent="0.25">
      <c r="A598" s="12">
        <f t="shared" si="119"/>
        <v>0</v>
      </c>
      <c r="B598" s="61" t="str">
        <f t="shared" si="110"/>
        <v>0409</v>
      </c>
      <c r="C598" s="12">
        <f>S54</f>
        <v>4</v>
      </c>
      <c r="D598" s="29">
        <v>0</v>
      </c>
      <c r="E598" s="28">
        <v>0</v>
      </c>
      <c r="F598" s="2" t="str">
        <f t="shared" si="111"/>
        <v xml:space="preserve"> </v>
      </c>
      <c r="G598" s="685" t="str">
        <f t="shared" si="112"/>
        <v xml:space="preserve"> </v>
      </c>
      <c r="H598" s="685" t="str">
        <f t="shared" si="113"/>
        <v xml:space="preserve"> </v>
      </c>
      <c r="I598" s="157" t="str">
        <f t="shared" si="114"/>
        <v xml:space="preserve"> </v>
      </c>
      <c r="J598" s="695" t="str">
        <f t="shared" si="115"/>
        <v xml:space="preserve"> </v>
      </c>
      <c r="K598" s="695" t="str">
        <f t="shared" si="116"/>
        <v xml:space="preserve"> </v>
      </c>
      <c r="L598" s="695" t="str">
        <f t="shared" si="117"/>
        <v xml:space="preserve"> </v>
      </c>
      <c r="M598" s="687" t="str">
        <f t="shared" si="118"/>
        <v xml:space="preserve"> </v>
      </c>
      <c r="Y598" s="626"/>
    </row>
    <row r="599" spans="1:25" s="426" customFormat="1" x14ac:dyDescent="0.25">
      <c r="A599" s="12">
        <f t="shared" si="119"/>
        <v>0</v>
      </c>
      <c r="B599" s="61" t="str">
        <f t="shared" si="110"/>
        <v>0410</v>
      </c>
      <c r="C599" s="12">
        <v>4</v>
      </c>
      <c r="D599" s="29">
        <v>0</v>
      </c>
      <c r="E599" s="12">
        <f>E591</f>
        <v>0</v>
      </c>
      <c r="F599" s="2" t="str">
        <f t="shared" si="111"/>
        <v xml:space="preserve"> </v>
      </c>
      <c r="G599" s="685" t="str">
        <f t="shared" si="112"/>
        <v xml:space="preserve"> </v>
      </c>
      <c r="H599" s="685" t="str">
        <f t="shared" si="113"/>
        <v xml:space="preserve"> </v>
      </c>
      <c r="I599" s="157" t="str">
        <f t="shared" si="114"/>
        <v xml:space="preserve"> </v>
      </c>
      <c r="J599" s="695" t="str">
        <f t="shared" si="115"/>
        <v xml:space="preserve"> </v>
      </c>
      <c r="K599" s="695" t="str">
        <f t="shared" si="116"/>
        <v xml:space="preserve"> </v>
      </c>
      <c r="L599" s="695" t="str">
        <f t="shared" si="117"/>
        <v xml:space="preserve"> </v>
      </c>
      <c r="M599" s="687" t="str">
        <f t="shared" si="118"/>
        <v xml:space="preserve"> </v>
      </c>
      <c r="Y599" s="626"/>
    </row>
    <row r="600" spans="1:25" s="426" customFormat="1" x14ac:dyDescent="0.25">
      <c r="A600" s="12">
        <f t="shared" si="119"/>
        <v>0</v>
      </c>
      <c r="B600" s="61" t="str">
        <f t="shared" si="110"/>
        <v>0412</v>
      </c>
      <c r="C600" s="12">
        <f t="shared" ref="C600:C614" si="120">S56</f>
        <v>4</v>
      </c>
      <c r="D600" s="29">
        <v>0</v>
      </c>
      <c r="E600" s="12">
        <f>E591*2</f>
        <v>0</v>
      </c>
      <c r="F600" s="2" t="str">
        <f t="shared" si="111"/>
        <v xml:space="preserve"> </v>
      </c>
      <c r="G600" s="685" t="str">
        <f t="shared" si="112"/>
        <v xml:space="preserve"> </v>
      </c>
      <c r="H600" s="685" t="str">
        <f t="shared" si="113"/>
        <v xml:space="preserve"> </v>
      </c>
      <c r="I600" s="157" t="str">
        <f t="shared" si="114"/>
        <v xml:space="preserve"> </v>
      </c>
      <c r="J600" s="695" t="str">
        <f t="shared" si="115"/>
        <v xml:space="preserve"> </v>
      </c>
      <c r="K600" s="695" t="str">
        <f t="shared" si="116"/>
        <v xml:space="preserve"> </v>
      </c>
      <c r="L600" s="695" t="str">
        <f t="shared" si="117"/>
        <v xml:space="preserve"> </v>
      </c>
      <c r="M600" s="687" t="str">
        <f t="shared" si="118"/>
        <v xml:space="preserve"> </v>
      </c>
      <c r="Y600" s="626"/>
    </row>
    <row r="601" spans="1:25" s="426" customFormat="1" x14ac:dyDescent="0.25">
      <c r="A601" s="28">
        <v>0</v>
      </c>
      <c r="B601" s="61" t="str">
        <f t="shared" si="110"/>
        <v>0427</v>
      </c>
      <c r="C601" s="12">
        <f t="shared" si="120"/>
        <v>0</v>
      </c>
      <c r="D601" s="29">
        <v>0</v>
      </c>
      <c r="E601" s="28">
        <v>0</v>
      </c>
      <c r="F601" s="2" t="str">
        <f t="shared" si="111"/>
        <v xml:space="preserve"> </v>
      </c>
      <c r="G601" s="685" t="str">
        <f t="shared" si="112"/>
        <v xml:space="preserve"> </v>
      </c>
      <c r="H601" s="685" t="str">
        <f t="shared" ref="H601:H614" si="121">IF(A601=1,F601*G601," ")</f>
        <v xml:space="preserve"> </v>
      </c>
      <c r="I601" s="157" t="str">
        <f t="shared" si="114"/>
        <v xml:space="preserve"> </v>
      </c>
      <c r="J601" s="695" t="str">
        <f t="shared" si="115"/>
        <v xml:space="preserve"> </v>
      </c>
      <c r="K601" s="695" t="str">
        <f t="shared" si="116"/>
        <v xml:space="preserve"> </v>
      </c>
      <c r="L601" s="695" t="str">
        <f t="shared" si="117"/>
        <v xml:space="preserve"> </v>
      </c>
      <c r="M601" s="687" t="str">
        <f t="shared" si="118"/>
        <v xml:space="preserve"> </v>
      </c>
      <c r="Y601" s="626"/>
    </row>
    <row r="602" spans="1:25" s="426" customFormat="1" x14ac:dyDescent="0.25">
      <c r="A602" s="28">
        <v>0</v>
      </c>
      <c r="B602" s="61" t="str">
        <f t="shared" si="110"/>
        <v>0421</v>
      </c>
      <c r="C602" s="12">
        <f t="shared" si="120"/>
        <v>0</v>
      </c>
      <c r="D602" s="29">
        <v>0</v>
      </c>
      <c r="E602" s="28">
        <v>0</v>
      </c>
      <c r="F602" s="2" t="str">
        <f t="shared" si="111"/>
        <v xml:space="preserve"> </v>
      </c>
      <c r="G602" s="685" t="str">
        <f t="shared" si="112"/>
        <v xml:space="preserve"> </v>
      </c>
      <c r="H602" s="685" t="str">
        <f t="shared" si="121"/>
        <v xml:space="preserve"> </v>
      </c>
      <c r="I602" s="157" t="str">
        <f t="shared" si="114"/>
        <v xml:space="preserve"> </v>
      </c>
      <c r="J602" s="695" t="str">
        <f t="shared" si="115"/>
        <v xml:space="preserve"> </v>
      </c>
      <c r="K602" s="695" t="str">
        <f t="shared" si="116"/>
        <v xml:space="preserve"> </v>
      </c>
      <c r="L602" s="695" t="str">
        <f t="shared" si="117"/>
        <v xml:space="preserve"> </v>
      </c>
      <c r="M602" s="687" t="str">
        <f t="shared" si="118"/>
        <v xml:space="preserve"> </v>
      </c>
      <c r="Y602" s="626"/>
    </row>
    <row r="603" spans="1:25" s="426" customFormat="1" x14ac:dyDescent="0.25">
      <c r="A603" s="28">
        <v>0</v>
      </c>
      <c r="B603" s="61" t="str">
        <f t="shared" si="110"/>
        <v>0422</v>
      </c>
      <c r="C603" s="12">
        <f t="shared" si="120"/>
        <v>0</v>
      </c>
      <c r="D603" s="29">
        <v>0</v>
      </c>
      <c r="E603" s="28">
        <v>0</v>
      </c>
      <c r="F603" s="2" t="str">
        <f t="shared" si="111"/>
        <v xml:space="preserve"> </v>
      </c>
      <c r="G603" s="685" t="str">
        <f t="shared" si="112"/>
        <v xml:space="preserve"> </v>
      </c>
      <c r="H603" s="685" t="str">
        <f t="shared" si="121"/>
        <v xml:space="preserve"> </v>
      </c>
      <c r="I603" s="157" t="str">
        <f t="shared" si="114"/>
        <v xml:space="preserve"> </v>
      </c>
      <c r="J603" s="695" t="str">
        <f t="shared" si="115"/>
        <v xml:space="preserve"> </v>
      </c>
      <c r="K603" s="695" t="str">
        <f t="shared" si="116"/>
        <v xml:space="preserve"> </v>
      </c>
      <c r="L603" s="695" t="str">
        <f t="shared" si="117"/>
        <v xml:space="preserve"> </v>
      </c>
      <c r="M603" s="687" t="str">
        <f t="shared" si="118"/>
        <v xml:space="preserve"> </v>
      </c>
      <c r="Y603" s="626"/>
    </row>
    <row r="604" spans="1:25" s="426" customFormat="1" x14ac:dyDescent="0.25">
      <c r="A604" s="12">
        <f>IF($C$581=B604,1,0)</f>
        <v>0</v>
      </c>
      <c r="B604" s="61" t="str">
        <f t="shared" si="110"/>
        <v>0452</v>
      </c>
      <c r="C604" s="12">
        <f t="shared" si="120"/>
        <v>2</v>
      </c>
      <c r="D604" s="29">
        <v>0</v>
      </c>
      <c r="E604" s="28">
        <v>0</v>
      </c>
      <c r="F604" s="2" t="str">
        <f t="shared" si="111"/>
        <v xml:space="preserve"> </v>
      </c>
      <c r="G604" s="685" t="str">
        <f t="shared" si="112"/>
        <v xml:space="preserve"> </v>
      </c>
      <c r="H604" s="685" t="str">
        <f>IF(A604=1,(F604*G604)+G604," ")</f>
        <v xml:space="preserve"> </v>
      </c>
      <c r="I604" s="157" t="str">
        <f t="shared" si="114"/>
        <v xml:space="preserve"> </v>
      </c>
      <c r="J604" s="695" t="str">
        <f t="shared" si="115"/>
        <v xml:space="preserve"> </v>
      </c>
      <c r="K604" s="695" t="str">
        <f t="shared" si="116"/>
        <v xml:space="preserve"> </v>
      </c>
      <c r="L604" s="695" t="str">
        <f t="shared" si="117"/>
        <v xml:space="preserve"> </v>
      </c>
      <c r="M604" s="687" t="str">
        <f t="shared" si="118"/>
        <v xml:space="preserve"> </v>
      </c>
      <c r="Y604" s="626"/>
    </row>
    <row r="605" spans="1:25" s="426" customFormat="1" x14ac:dyDescent="0.25">
      <c r="A605" s="12">
        <f t="shared" ref="A605:A614" si="122">IF($C$581=B605,1,0)</f>
        <v>0</v>
      </c>
      <c r="B605" s="61" t="str">
        <f t="shared" si="110"/>
        <v>0501</v>
      </c>
      <c r="C605" s="12">
        <f t="shared" si="120"/>
        <v>4</v>
      </c>
      <c r="D605" s="26">
        <f>D591</f>
        <v>0</v>
      </c>
      <c r="E605" s="28">
        <v>0</v>
      </c>
      <c r="F605" s="2" t="str">
        <f t="shared" si="111"/>
        <v xml:space="preserve"> </v>
      </c>
      <c r="G605" s="685" t="str">
        <f t="shared" si="112"/>
        <v xml:space="preserve"> </v>
      </c>
      <c r="H605" s="685" t="str">
        <f>IF(A605=1,(F605*G605)+G605," ")</f>
        <v xml:space="preserve"> </v>
      </c>
      <c r="I605" s="157" t="str">
        <f t="shared" si="114"/>
        <v xml:space="preserve"> </v>
      </c>
      <c r="J605" s="695" t="str">
        <f t="shared" si="115"/>
        <v xml:space="preserve"> </v>
      </c>
      <c r="K605" s="695" t="str">
        <f t="shared" si="116"/>
        <v xml:space="preserve"> </v>
      </c>
      <c r="L605" s="695" t="str">
        <f t="shared" si="117"/>
        <v xml:space="preserve"> </v>
      </c>
      <c r="M605" s="687" t="str">
        <f t="shared" si="118"/>
        <v xml:space="preserve"> </v>
      </c>
      <c r="Y605" s="626"/>
    </row>
    <row r="606" spans="1:25" s="426" customFormat="1" x14ac:dyDescent="0.25">
      <c r="A606" s="12">
        <f t="shared" si="122"/>
        <v>0</v>
      </c>
      <c r="B606" s="61" t="str">
        <f t="shared" si="110"/>
        <v>0401</v>
      </c>
      <c r="C606" s="12">
        <f t="shared" si="120"/>
        <v>4</v>
      </c>
      <c r="D606" s="29">
        <v>0</v>
      </c>
      <c r="E606" s="12">
        <f>E591*2</f>
        <v>0</v>
      </c>
      <c r="F606" s="2" t="str">
        <f t="shared" si="111"/>
        <v xml:space="preserve"> </v>
      </c>
      <c r="G606" s="685" t="str">
        <f t="shared" si="112"/>
        <v xml:space="preserve"> </v>
      </c>
      <c r="H606" s="685" t="str">
        <f>IF(A606=1,(F606*G606)+G606," ")</f>
        <v xml:space="preserve"> </v>
      </c>
      <c r="I606" s="157" t="str">
        <f t="shared" si="114"/>
        <v xml:space="preserve"> </v>
      </c>
      <c r="J606" s="695" t="str">
        <f t="shared" si="115"/>
        <v xml:space="preserve"> </v>
      </c>
      <c r="K606" s="695" t="str">
        <f t="shared" si="116"/>
        <v xml:space="preserve"> </v>
      </c>
      <c r="L606" s="695" t="str">
        <f t="shared" si="117"/>
        <v xml:space="preserve"> </v>
      </c>
      <c r="M606" s="687" t="str">
        <f t="shared" si="118"/>
        <v xml:space="preserve"> </v>
      </c>
      <c r="Y606" s="626"/>
    </row>
    <row r="607" spans="1:25" s="426" customFormat="1" x14ac:dyDescent="0.25">
      <c r="A607" s="28">
        <v>0</v>
      </c>
      <c r="B607" s="61" t="str">
        <f t="shared" si="110"/>
        <v>0471</v>
      </c>
      <c r="C607" s="12">
        <f t="shared" si="120"/>
        <v>0</v>
      </c>
      <c r="D607" s="29">
        <v>0</v>
      </c>
      <c r="E607" s="28">
        <v>0</v>
      </c>
      <c r="F607" s="2" t="str">
        <f t="shared" si="111"/>
        <v xml:space="preserve"> </v>
      </c>
      <c r="G607" s="685" t="str">
        <f t="shared" si="112"/>
        <v xml:space="preserve"> </v>
      </c>
      <c r="H607" s="685" t="str">
        <f t="shared" si="121"/>
        <v xml:space="preserve"> </v>
      </c>
      <c r="I607" s="157" t="str">
        <f t="shared" si="114"/>
        <v xml:space="preserve"> </v>
      </c>
      <c r="J607" s="695" t="str">
        <f t="shared" si="115"/>
        <v xml:space="preserve"> </v>
      </c>
      <c r="K607" s="695" t="str">
        <f t="shared" si="116"/>
        <v xml:space="preserve"> </v>
      </c>
      <c r="L607" s="695" t="str">
        <f t="shared" si="117"/>
        <v xml:space="preserve"> </v>
      </c>
      <c r="M607" s="687" t="str">
        <f t="shared" si="118"/>
        <v xml:space="preserve"> </v>
      </c>
      <c r="Y607" s="626"/>
    </row>
    <row r="608" spans="1:25" s="426" customFormat="1" x14ac:dyDescent="0.25">
      <c r="A608" s="28">
        <v>0</v>
      </c>
      <c r="B608" s="61" t="str">
        <f t="shared" si="110"/>
        <v>0933</v>
      </c>
      <c r="C608" s="12">
        <f t="shared" si="120"/>
        <v>0</v>
      </c>
      <c r="D608" s="992">
        <v>0</v>
      </c>
      <c r="E608" s="993">
        <v>0</v>
      </c>
      <c r="F608" s="426" t="str">
        <f t="shared" si="111"/>
        <v xml:space="preserve"> </v>
      </c>
      <c r="G608" s="685" t="str">
        <f t="shared" si="112"/>
        <v xml:space="preserve"> </v>
      </c>
      <c r="H608" s="685" t="str">
        <f t="shared" si="121"/>
        <v xml:space="preserve"> </v>
      </c>
      <c r="I608" s="157" t="str">
        <f t="shared" si="114"/>
        <v xml:space="preserve"> </v>
      </c>
      <c r="J608" s="695" t="str">
        <f t="shared" si="115"/>
        <v xml:space="preserve"> </v>
      </c>
      <c r="K608" s="695" t="str">
        <f t="shared" si="116"/>
        <v xml:space="preserve"> </v>
      </c>
      <c r="L608" s="695" t="str">
        <f t="shared" si="117"/>
        <v xml:space="preserve"> </v>
      </c>
      <c r="M608" s="687" t="str">
        <f t="shared" si="118"/>
        <v xml:space="preserve"> </v>
      </c>
      <c r="Y608" s="626"/>
    </row>
    <row r="609" spans="1:25" s="426" customFormat="1" x14ac:dyDescent="0.25">
      <c r="A609" s="28">
        <v>0</v>
      </c>
      <c r="B609" s="61" t="str">
        <f t="shared" si="110"/>
        <v>0701</v>
      </c>
      <c r="C609" s="12">
        <f t="shared" si="120"/>
        <v>0</v>
      </c>
      <c r="D609" s="992">
        <v>0</v>
      </c>
      <c r="E609" s="993">
        <v>0</v>
      </c>
      <c r="F609" s="426" t="str">
        <f t="shared" si="111"/>
        <v xml:space="preserve"> </v>
      </c>
      <c r="G609" s="685" t="str">
        <f t="shared" si="112"/>
        <v xml:space="preserve"> </v>
      </c>
      <c r="H609" s="685" t="str">
        <f t="shared" si="121"/>
        <v xml:space="preserve"> </v>
      </c>
      <c r="I609" s="157" t="str">
        <f t="shared" si="114"/>
        <v xml:space="preserve"> </v>
      </c>
      <c r="J609" s="695" t="str">
        <f t="shared" si="115"/>
        <v xml:space="preserve"> </v>
      </c>
      <c r="K609" s="695" t="str">
        <f t="shared" si="116"/>
        <v xml:space="preserve"> </v>
      </c>
      <c r="L609" s="695" t="str">
        <f t="shared" si="117"/>
        <v xml:space="preserve"> </v>
      </c>
      <c r="M609" s="687" t="str">
        <f t="shared" si="118"/>
        <v xml:space="preserve"> </v>
      </c>
      <c r="Y609" s="626"/>
    </row>
    <row r="610" spans="1:25" s="426" customFormat="1" x14ac:dyDescent="0.25">
      <c r="A610" s="12">
        <f t="shared" si="122"/>
        <v>0</v>
      </c>
      <c r="B610" s="61">
        <f t="shared" si="110"/>
        <v>0</v>
      </c>
      <c r="C610" s="12">
        <f t="shared" si="120"/>
        <v>0</v>
      </c>
      <c r="D610" s="992">
        <v>0</v>
      </c>
      <c r="E610" s="993">
        <v>0</v>
      </c>
      <c r="F610" s="426" t="str">
        <f t="shared" si="111"/>
        <v xml:space="preserve"> </v>
      </c>
      <c r="G610" s="685" t="str">
        <f t="shared" si="112"/>
        <v xml:space="preserve"> </v>
      </c>
      <c r="H610" s="685" t="str">
        <f t="shared" si="121"/>
        <v xml:space="preserve"> </v>
      </c>
      <c r="I610" s="157" t="str">
        <f t="shared" si="114"/>
        <v xml:space="preserve"> </v>
      </c>
      <c r="J610" s="695" t="str">
        <f t="shared" si="115"/>
        <v xml:space="preserve"> </v>
      </c>
      <c r="K610" s="695" t="str">
        <f t="shared" si="116"/>
        <v xml:space="preserve"> </v>
      </c>
      <c r="L610" s="695" t="str">
        <f t="shared" si="117"/>
        <v xml:space="preserve"> </v>
      </c>
      <c r="M610" s="687" t="str">
        <f t="shared" si="118"/>
        <v xml:space="preserve"> </v>
      </c>
      <c r="Y610" s="626"/>
    </row>
    <row r="611" spans="1:25" s="426" customFormat="1" x14ac:dyDescent="0.25">
      <c r="A611" s="12">
        <f t="shared" si="122"/>
        <v>0</v>
      </c>
      <c r="B611" s="61">
        <f t="shared" si="110"/>
        <v>0</v>
      </c>
      <c r="C611" s="12">
        <f t="shared" si="120"/>
        <v>0</v>
      </c>
      <c r="D611" s="992">
        <v>0</v>
      </c>
      <c r="E611" s="993">
        <v>0</v>
      </c>
      <c r="F611" s="426" t="str">
        <f t="shared" si="111"/>
        <v xml:space="preserve"> </v>
      </c>
      <c r="G611" s="685" t="str">
        <f t="shared" si="112"/>
        <v xml:space="preserve"> </v>
      </c>
      <c r="H611" s="685" t="str">
        <f t="shared" si="121"/>
        <v xml:space="preserve"> </v>
      </c>
      <c r="I611" s="157" t="str">
        <f t="shared" si="114"/>
        <v xml:space="preserve"> </v>
      </c>
      <c r="J611" s="695" t="str">
        <f t="shared" si="115"/>
        <v xml:space="preserve"> </v>
      </c>
      <c r="K611" s="695" t="str">
        <f t="shared" si="116"/>
        <v xml:space="preserve"> </v>
      </c>
      <c r="L611" s="695" t="str">
        <f t="shared" si="117"/>
        <v xml:space="preserve"> </v>
      </c>
      <c r="M611" s="687" t="str">
        <f t="shared" si="118"/>
        <v xml:space="preserve"> </v>
      </c>
      <c r="Y611" s="626"/>
    </row>
    <row r="612" spans="1:25" s="426" customFormat="1" x14ac:dyDescent="0.25">
      <c r="A612" s="12">
        <f t="shared" si="122"/>
        <v>0</v>
      </c>
      <c r="B612" s="61">
        <f t="shared" si="110"/>
        <v>0</v>
      </c>
      <c r="C612" s="12">
        <f t="shared" si="120"/>
        <v>0</v>
      </c>
      <c r="D612" s="992">
        <v>0</v>
      </c>
      <c r="E612" s="993">
        <v>0</v>
      </c>
      <c r="F612" s="426" t="str">
        <f t="shared" si="111"/>
        <v xml:space="preserve"> </v>
      </c>
      <c r="G612" s="685" t="str">
        <f t="shared" si="112"/>
        <v xml:space="preserve"> </v>
      </c>
      <c r="H612" s="685" t="str">
        <f t="shared" si="121"/>
        <v xml:space="preserve"> </v>
      </c>
      <c r="I612" s="157" t="str">
        <f t="shared" si="114"/>
        <v xml:space="preserve"> </v>
      </c>
      <c r="J612" s="695" t="str">
        <f t="shared" si="115"/>
        <v xml:space="preserve"> </v>
      </c>
      <c r="K612" s="695" t="str">
        <f t="shared" si="116"/>
        <v xml:space="preserve"> </v>
      </c>
      <c r="L612" s="695" t="str">
        <f t="shared" si="117"/>
        <v xml:space="preserve"> </v>
      </c>
      <c r="M612" s="687" t="str">
        <f t="shared" si="118"/>
        <v xml:space="preserve"> </v>
      </c>
      <c r="Y612" s="626"/>
    </row>
    <row r="613" spans="1:25" s="426" customFormat="1" x14ac:dyDescent="0.25">
      <c r="A613" s="12">
        <f t="shared" si="122"/>
        <v>0</v>
      </c>
      <c r="B613" s="61">
        <f t="shared" si="110"/>
        <v>0</v>
      </c>
      <c r="C613" s="12">
        <f t="shared" si="120"/>
        <v>0</v>
      </c>
      <c r="D613" s="992">
        <v>0</v>
      </c>
      <c r="E613" s="993">
        <v>0</v>
      </c>
      <c r="F613" s="426" t="str">
        <f t="shared" si="111"/>
        <v xml:space="preserve"> </v>
      </c>
      <c r="G613" s="685" t="str">
        <f t="shared" si="112"/>
        <v xml:space="preserve"> </v>
      </c>
      <c r="H613" s="685" t="str">
        <f t="shared" si="121"/>
        <v xml:space="preserve"> </v>
      </c>
      <c r="I613" s="157" t="str">
        <f t="shared" si="114"/>
        <v xml:space="preserve"> </v>
      </c>
      <c r="J613" s="695" t="str">
        <f t="shared" si="115"/>
        <v xml:space="preserve"> </v>
      </c>
      <c r="K613" s="695" t="str">
        <f t="shared" si="116"/>
        <v xml:space="preserve"> </v>
      </c>
      <c r="L613" s="695" t="str">
        <f t="shared" si="117"/>
        <v xml:space="preserve"> </v>
      </c>
      <c r="M613" s="687" t="str">
        <f t="shared" si="118"/>
        <v xml:space="preserve"> </v>
      </c>
      <c r="Y613" s="626"/>
    </row>
    <row r="614" spans="1:25" s="426" customFormat="1" x14ac:dyDescent="0.25">
      <c r="A614" s="13">
        <f t="shared" si="122"/>
        <v>0</v>
      </c>
      <c r="B614" s="689">
        <f t="shared" si="110"/>
        <v>0</v>
      </c>
      <c r="C614" s="13">
        <f t="shared" si="120"/>
        <v>0</v>
      </c>
      <c r="D614" s="994">
        <v>0</v>
      </c>
      <c r="E614" s="995">
        <v>0</v>
      </c>
      <c r="F614" s="430" t="str">
        <f t="shared" si="111"/>
        <v xml:space="preserve"> </v>
      </c>
      <c r="G614" s="691" t="str">
        <f t="shared" si="112"/>
        <v xml:space="preserve"> </v>
      </c>
      <c r="H614" s="691" t="str">
        <f t="shared" si="121"/>
        <v xml:space="preserve"> </v>
      </c>
      <c r="I614" s="693" t="str">
        <f t="shared" si="114"/>
        <v xml:space="preserve"> </v>
      </c>
      <c r="J614" s="696" t="str">
        <f>IF(A614=1,($C$585/1000)," ")</f>
        <v xml:space="preserve"> </v>
      </c>
      <c r="K614" s="696" t="str">
        <f t="shared" si="116"/>
        <v xml:space="preserve"> </v>
      </c>
      <c r="L614" s="696" t="str">
        <f t="shared" si="117"/>
        <v xml:space="preserve"> </v>
      </c>
      <c r="M614" s="197" t="str">
        <f t="shared" si="118"/>
        <v xml:space="preserve"> </v>
      </c>
      <c r="Y614" s="626"/>
    </row>
    <row r="615" spans="1:25" s="426" customFormat="1" x14ac:dyDescent="0.25">
      <c r="B615" s="407"/>
      <c r="L615" s="426" t="s">
        <v>763</v>
      </c>
      <c r="M615" s="634">
        <f>IF(SUM(A594:A614)&gt;0,VLOOKUP(1,A594:M614,13,FALSE),0)</f>
        <v>8</v>
      </c>
      <c r="Y615" s="626"/>
    </row>
    <row r="616" spans="1:25" s="426" customFormat="1" x14ac:dyDescent="0.25">
      <c r="B616" s="407"/>
      <c r="Y616" s="626"/>
    </row>
    <row r="617" spans="1:25" s="426" customFormat="1" ht="12.75" x14ac:dyDescent="0.2">
      <c r="A617" s="426">
        <f>A575</f>
        <v>0</v>
      </c>
      <c r="B617" s="426" t="s">
        <v>759</v>
      </c>
      <c r="C617" s="1179">
        <f>IF(A617=1,C575*D570*W577,0)</f>
        <v>0</v>
      </c>
      <c r="Y617" s="626"/>
    </row>
    <row r="618" spans="1:25" s="426" customFormat="1" ht="12.75" x14ac:dyDescent="0.2">
      <c r="A618" s="426">
        <f>A576</f>
        <v>0</v>
      </c>
      <c r="B618" s="426" t="s">
        <v>760</v>
      </c>
      <c r="C618" s="635">
        <f>IF(A618=1,C576*D570*W577,0)</f>
        <v>0</v>
      </c>
      <c r="Y618" s="626"/>
    </row>
    <row r="619" spans="1:25" s="426" customFormat="1" ht="12.75" x14ac:dyDescent="0.2">
      <c r="A619" s="426">
        <f>A577</f>
        <v>0</v>
      </c>
      <c r="B619" s="426" t="s">
        <v>1028</v>
      </c>
      <c r="C619" s="1178">
        <v>0</v>
      </c>
      <c r="D619" s="426">
        <f>IF(A619=1,(C577*D570)+((C3*C578)/60)*D570,IF(A619=0,((C3*C578)/60)*D570))</f>
        <v>12.5</v>
      </c>
      <c r="Y619" s="626"/>
    </row>
    <row r="620" spans="1:25" s="426" customFormat="1" ht="12.75" x14ac:dyDescent="0.2">
      <c r="A620" s="426">
        <f>A617</f>
        <v>0</v>
      </c>
      <c r="B620" s="426" t="s">
        <v>1043</v>
      </c>
      <c r="C620" s="635">
        <f>R578*C571</f>
        <v>28.86</v>
      </c>
      <c r="Y620" s="626"/>
    </row>
    <row r="621" spans="1:25" s="426" customFormat="1" ht="12.75" x14ac:dyDescent="0.2">
      <c r="B621" s="615" t="s">
        <v>762</v>
      </c>
      <c r="C621" s="629">
        <f>SUM(C617:C620)</f>
        <v>28.86</v>
      </c>
      <c r="D621" s="669"/>
      <c r="Y621" s="626"/>
    </row>
    <row r="622" spans="1:25" s="426" customFormat="1" ht="12.75" x14ac:dyDescent="0.2">
      <c r="B622" s="615"/>
      <c r="Y622" s="626"/>
    </row>
    <row r="623" spans="1:25" s="426" customFormat="1" ht="12.75" x14ac:dyDescent="0.2">
      <c r="B623" s="615"/>
      <c r="Y623" s="626"/>
    </row>
    <row r="624" spans="1:25" s="426" customFormat="1" ht="12.75" x14ac:dyDescent="0.2">
      <c r="A624" s="426">
        <f>IF(C568=1,1,0)</f>
        <v>0</v>
      </c>
      <c r="B624" s="615" t="s">
        <v>711</v>
      </c>
      <c r="C624" s="1177">
        <f>IF(A624=1,((M615*C586)/60)*D570,0)</f>
        <v>0</v>
      </c>
      <c r="Y624" s="626"/>
    </row>
    <row r="625" spans="1:25" s="426" customFormat="1" ht="12.75" x14ac:dyDescent="0.2">
      <c r="B625" s="615"/>
      <c r="Y625" s="626"/>
    </row>
    <row r="626" spans="1:25" s="430" customFormat="1" ht="12.75" x14ac:dyDescent="0.2">
      <c r="B626" s="678"/>
      <c r="Y626" s="651"/>
    </row>
    <row r="627" spans="1:25" s="426" customFormat="1" ht="12.75" x14ac:dyDescent="0.2">
      <c r="B627" s="615"/>
      <c r="Y627" s="626"/>
    </row>
    <row r="628" spans="1:25" s="426" customFormat="1" ht="13.5" thickBot="1" x14ac:dyDescent="0.25">
      <c r="B628" s="615"/>
      <c r="D628" s="626" t="s">
        <v>674</v>
      </c>
      <c r="Y628" s="626"/>
    </row>
    <row r="629" spans="1:25" s="426" customFormat="1" ht="13.5" thickBot="1" x14ac:dyDescent="0.25">
      <c r="B629" s="641" t="s">
        <v>664</v>
      </c>
      <c r="C629" s="643">
        <f>J366</f>
        <v>1</v>
      </c>
      <c r="D629" s="642">
        <f>IF(C629=1,D698+D710,0)</f>
        <v>155.83333333333331</v>
      </c>
      <c r="Y629" s="626"/>
    </row>
    <row r="630" spans="1:25" s="426" customFormat="1" x14ac:dyDescent="0.25">
      <c r="K630" s="77" t="s">
        <v>4</v>
      </c>
      <c r="L630"/>
      <c r="M630"/>
      <c r="Y630" s="626"/>
    </row>
    <row r="631" spans="1:25" s="426" customFormat="1" x14ac:dyDescent="0.25">
      <c r="K631" s="1062" t="str">
        <f>IF(AND(VLOOKUP(1,$A$113:$C$116,3,FALSE)&gt;0,$C$15=L631),1," ")</f>
        <v xml:space="preserve"> </v>
      </c>
      <c r="L631" s="1071" t="str">
        <f t="shared" ref="L631:L638" si="123">B121</f>
        <v>Onbedrukt / minder dan 10%</v>
      </c>
      <c r="M631" s="567">
        <v>200</v>
      </c>
      <c r="Y631" s="626"/>
    </row>
    <row r="632" spans="1:25" s="426" customFormat="1" x14ac:dyDescent="0.25">
      <c r="B632" s="426" t="s">
        <v>678</v>
      </c>
      <c r="C632" s="633">
        <f>'Tarieven (2)'!C5</f>
        <v>550</v>
      </c>
      <c r="D632" s="633">
        <f>C632/60</f>
        <v>9.1666666666666661</v>
      </c>
      <c r="K632" s="12" t="str">
        <f t="shared" ref="K632:K638" si="124">IF(AND(VLOOKUP(1,$A$113:$C$116,3,FALSE)&gt;0,$C$15=L632),1," ")</f>
        <v xml:space="preserve"> </v>
      </c>
      <c r="L632" s="1072" t="str">
        <f t="shared" si="123"/>
        <v>10%</v>
      </c>
      <c r="M632" s="30">
        <v>180</v>
      </c>
      <c r="Y632" s="626"/>
    </row>
    <row r="633" spans="1:25" s="426" customFormat="1" x14ac:dyDescent="0.25">
      <c r="C633" s="635"/>
      <c r="D633" s="635"/>
      <c r="K633" s="12" t="str">
        <f t="shared" si="124"/>
        <v xml:space="preserve"> </v>
      </c>
      <c r="L633" s="1072" t="str">
        <f t="shared" si="123"/>
        <v>20%</v>
      </c>
      <c r="M633" s="30">
        <v>170</v>
      </c>
      <c r="Y633" s="626"/>
    </row>
    <row r="634" spans="1:25" s="426" customFormat="1" x14ac:dyDescent="0.25">
      <c r="A634" s="426" t="s">
        <v>61</v>
      </c>
      <c r="B634" s="426" t="s">
        <v>679</v>
      </c>
      <c r="C634" s="636" t="s">
        <v>680</v>
      </c>
      <c r="D634" s="635"/>
      <c r="K634" s="12" t="str">
        <f t="shared" si="124"/>
        <v xml:space="preserve"> </v>
      </c>
      <c r="L634" s="1072" t="str">
        <f t="shared" si="123"/>
        <v>30%</v>
      </c>
      <c r="M634" s="30">
        <v>160</v>
      </c>
      <c r="Y634" s="626"/>
    </row>
    <row r="635" spans="1:25" s="426" customFormat="1" x14ac:dyDescent="0.25">
      <c r="A635" s="626">
        <f>IF(C629=1,1,0)</f>
        <v>1</v>
      </c>
      <c r="B635" s="426" t="s">
        <v>675</v>
      </c>
      <c r="C635" s="637">
        <v>8</v>
      </c>
      <c r="D635" s="426" t="s">
        <v>683</v>
      </c>
      <c r="F635" s="426" t="s">
        <v>686</v>
      </c>
      <c r="H635" s="626"/>
      <c r="K635" s="12" t="str">
        <f t="shared" si="124"/>
        <v xml:space="preserve"> </v>
      </c>
      <c r="L635" s="1072" t="str">
        <f t="shared" si="123"/>
        <v>40%</v>
      </c>
      <c r="M635" s="30">
        <v>140</v>
      </c>
      <c r="Y635" s="626"/>
    </row>
    <row r="636" spans="1:25" s="426" customFormat="1" x14ac:dyDescent="0.25">
      <c r="A636" s="626">
        <f>IF(AND(C629=1,C131&gt;0),1,0)</f>
        <v>0</v>
      </c>
      <c r="B636" s="426" t="s">
        <v>676</v>
      </c>
      <c r="C636" s="637">
        <v>5</v>
      </c>
      <c r="D636" s="426" t="s">
        <v>683</v>
      </c>
      <c r="F636" s="634">
        <v>1</v>
      </c>
      <c r="G636" s="634">
        <v>2</v>
      </c>
      <c r="H636" s="626"/>
      <c r="K636" s="12" t="str">
        <f t="shared" si="124"/>
        <v xml:space="preserve"> </v>
      </c>
      <c r="L636" s="1072" t="str">
        <f t="shared" si="123"/>
        <v>60%</v>
      </c>
      <c r="M636" s="30">
        <v>100</v>
      </c>
      <c r="Y636" s="626"/>
    </row>
    <row r="637" spans="1:25" s="426" customFormat="1" x14ac:dyDescent="0.25">
      <c r="A637" s="626">
        <f>IF(AND(C629=1,C111&gt;0),C111,0)</f>
        <v>0</v>
      </c>
      <c r="B637" s="426" t="s">
        <v>677</v>
      </c>
      <c r="C637" s="634">
        <f>IF(A637&gt;0,HLOOKUP(A637,F636:G637,2,FALSE),0)</f>
        <v>0</v>
      </c>
      <c r="D637" s="426" t="s">
        <v>683</v>
      </c>
      <c r="F637" s="644">
        <v>2</v>
      </c>
      <c r="G637" s="644">
        <v>3</v>
      </c>
      <c r="K637" s="12" t="str">
        <f t="shared" si="124"/>
        <v xml:space="preserve"> </v>
      </c>
      <c r="L637" s="1072" t="str">
        <f t="shared" si="123"/>
        <v>80%</v>
      </c>
      <c r="M637" s="30">
        <v>80</v>
      </c>
      <c r="Y637" s="626"/>
    </row>
    <row r="638" spans="1:25" s="426" customFormat="1" x14ac:dyDescent="0.25">
      <c r="A638" s="626">
        <f>IF(AND(C629=1,C111&gt;0),C111,0)</f>
        <v>0</v>
      </c>
      <c r="B638" s="426" t="s">
        <v>681</v>
      </c>
      <c r="C638" s="637">
        <v>3</v>
      </c>
      <c r="D638" s="426" t="s">
        <v>683</v>
      </c>
      <c r="K638" s="13" t="str">
        <f t="shared" si="124"/>
        <v xml:space="preserve"> </v>
      </c>
      <c r="L638" s="1073" t="str">
        <f t="shared" si="123"/>
        <v>100%</v>
      </c>
      <c r="M638" s="30">
        <v>80</v>
      </c>
      <c r="Y638" s="626"/>
    </row>
    <row r="639" spans="1:25" s="426" customFormat="1" x14ac:dyDescent="0.25">
      <c r="A639" s="626">
        <f>IF(AND(C629=1,C131&gt;0),1,0)</f>
        <v>0</v>
      </c>
      <c r="B639" s="426" t="s">
        <v>690</v>
      </c>
      <c r="C639" s="637">
        <v>3</v>
      </c>
      <c r="D639" s="426" t="s">
        <v>691</v>
      </c>
      <c r="K639" s="415"/>
      <c r="L639" s="1069" t="s">
        <v>1019</v>
      </c>
      <c r="M639" s="1008">
        <f>IF(SUM(K631:K638)&gt;0,VLOOKUP(1,K631:M638,3,FALSE),9999)</f>
        <v>9999</v>
      </c>
      <c r="Y639" s="626"/>
    </row>
    <row r="640" spans="1:25" s="426" customFormat="1" x14ac:dyDescent="0.25">
      <c r="K640" s="2"/>
      <c r="L640" s="1067"/>
      <c r="M640" s="2"/>
      <c r="Y640" s="626"/>
    </row>
    <row r="641" spans="1:25" s="426" customFormat="1" x14ac:dyDescent="0.25">
      <c r="B641" s="426" t="s">
        <v>682</v>
      </c>
      <c r="C641" s="637">
        <v>6</v>
      </c>
      <c r="D641" s="426" t="s">
        <v>684</v>
      </c>
      <c r="I641" s="972"/>
      <c r="K641" s="2"/>
      <c r="L641" s="1067"/>
      <c r="M641" s="2"/>
      <c r="Y641" s="626"/>
    </row>
    <row r="642" spans="1:25" s="426" customFormat="1" x14ac:dyDescent="0.25">
      <c r="K642" s="2"/>
      <c r="L642" s="1067"/>
      <c r="M642" s="2"/>
      <c r="Y642" s="626"/>
    </row>
    <row r="643" spans="1:25" s="426" customFormat="1" x14ac:dyDescent="0.25">
      <c r="B643" s="426" t="s">
        <v>1292</v>
      </c>
      <c r="C643" s="1047">
        <f>D402</f>
        <v>0</v>
      </c>
      <c r="K643" s="2"/>
      <c r="L643" s="1067"/>
      <c r="M643" s="2"/>
      <c r="Y643" s="626"/>
    </row>
    <row r="644" spans="1:25" s="426" customFormat="1" x14ac:dyDescent="0.25">
      <c r="K644" s="2"/>
      <c r="L644" s="1067"/>
      <c r="M644" s="2"/>
      <c r="Y644" s="626"/>
    </row>
    <row r="645" spans="1:25" s="426" customFormat="1" ht="12.75" x14ac:dyDescent="0.2">
      <c r="B645" s="426" t="s">
        <v>99</v>
      </c>
      <c r="C645" s="628">
        <f>E445</f>
        <v>361</v>
      </c>
      <c r="D645" s="426" t="s">
        <v>25</v>
      </c>
      <c r="Y645" s="626"/>
    </row>
    <row r="646" spans="1:25" s="426" customFormat="1" ht="12.75" x14ac:dyDescent="0.2">
      <c r="B646" s="426" t="s">
        <v>100</v>
      </c>
      <c r="C646" s="628">
        <f>F445</f>
        <v>1150</v>
      </c>
      <c r="D646" s="426" t="s">
        <v>25</v>
      </c>
      <c r="Y646" s="626"/>
    </row>
    <row r="647" spans="1:25" s="426" customFormat="1" ht="12.75" x14ac:dyDescent="0.2">
      <c r="Y647" s="626"/>
    </row>
    <row r="648" spans="1:25" s="426" customFormat="1" ht="12.75" x14ac:dyDescent="0.2">
      <c r="Y648" s="626"/>
    </row>
    <row r="649" spans="1:25" s="426" customFormat="1" ht="12.75" x14ac:dyDescent="0.2">
      <c r="A649" s="652"/>
      <c r="B649" s="653"/>
      <c r="C649" s="628"/>
      <c r="D649" s="628" t="s">
        <v>697</v>
      </c>
      <c r="E649" s="652" t="s">
        <v>698</v>
      </c>
      <c r="F649" s="659" t="s">
        <v>701</v>
      </c>
      <c r="G649" s="634" t="s">
        <v>702</v>
      </c>
      <c r="H649" s="661" t="s">
        <v>989</v>
      </c>
      <c r="I649" s="661" t="s">
        <v>703</v>
      </c>
      <c r="Y649" s="626"/>
    </row>
    <row r="650" spans="1:25" s="426" customFormat="1" ht="12.75" x14ac:dyDescent="0.2">
      <c r="A650" s="429"/>
      <c r="B650" s="430" t="s">
        <v>696</v>
      </c>
      <c r="C650" s="145">
        <f>AS46</f>
        <v>1</v>
      </c>
      <c r="D650" s="145">
        <f>IF(C643=1,1,(C6/C7)*C650)</f>
        <v>1.2</v>
      </c>
      <c r="E650" s="658">
        <f>IF(C643=1,1,C650*(C8/C6))</f>
        <v>0.33333333333333331</v>
      </c>
      <c r="F650" s="660">
        <f>VLOOKUP(1,A655:D660,4,FALSE)*VLOOKUP(1,E655:H660,4,FALSE)</f>
        <v>1</v>
      </c>
      <c r="G650" s="1086">
        <f>AY46</f>
        <v>0.9</v>
      </c>
      <c r="H650" s="971">
        <f>VLOOKUP(1,A148:N156,N145,FALSE)</f>
        <v>1</v>
      </c>
      <c r="I650" s="662">
        <f>F650*G650*H650</f>
        <v>0.9</v>
      </c>
      <c r="Y650" s="626"/>
    </row>
    <row r="651" spans="1:25" s="426" customFormat="1" ht="12.75" x14ac:dyDescent="0.2">
      <c r="C651" s="626"/>
      <c r="Y651" s="626"/>
    </row>
    <row r="652" spans="1:25" s="426" customFormat="1" ht="12.75" x14ac:dyDescent="0.2">
      <c r="C652" s="626"/>
      <c r="Y652" s="626"/>
    </row>
    <row r="653" spans="1:25" s="426" customFormat="1" x14ac:dyDescent="0.25">
      <c r="A653" s="405"/>
      <c r="B653" s="1302" t="s">
        <v>699</v>
      </c>
      <c r="C653" s="1303"/>
      <c r="D653" s="243"/>
      <c r="E653" s="433"/>
      <c r="F653" s="1302" t="s">
        <v>700</v>
      </c>
      <c r="G653" s="1303"/>
      <c r="H653" s="442"/>
      <c r="Y653" s="626"/>
    </row>
    <row r="654" spans="1:25" s="426" customFormat="1" x14ac:dyDescent="0.25">
      <c r="A654" s="339"/>
      <c r="B654" s="1292"/>
      <c r="C654" s="1293"/>
      <c r="D654" s="244"/>
      <c r="E654" s="7"/>
      <c r="F654" s="432"/>
      <c r="G654" s="436"/>
      <c r="H654" s="13"/>
      <c r="Y654" s="626"/>
    </row>
    <row r="655" spans="1:25" s="426" customFormat="1" x14ac:dyDescent="0.25">
      <c r="A655" s="399">
        <f t="shared" ref="A655:A660" si="125">IF(AND($D$650&gt;=B655,$D$650&lt;C655),1,0)</f>
        <v>1</v>
      </c>
      <c r="B655" s="567">
        <v>0</v>
      </c>
      <c r="C655" s="567">
        <v>2.5</v>
      </c>
      <c r="D655" s="655">
        <v>1</v>
      </c>
      <c r="E655" s="423">
        <f>IF(AND($E$650&gt;=F655,$E$650&lt;G655),1,0)</f>
        <v>1</v>
      </c>
      <c r="F655" s="567">
        <v>0</v>
      </c>
      <c r="G655" s="486">
        <v>2</v>
      </c>
      <c r="H655" s="655">
        <v>1</v>
      </c>
      <c r="Y655" s="626"/>
    </row>
    <row r="656" spans="1:25" s="426" customFormat="1" x14ac:dyDescent="0.25">
      <c r="A656" s="120">
        <f t="shared" si="125"/>
        <v>0</v>
      </c>
      <c r="B656" s="30">
        <v>2.5</v>
      </c>
      <c r="C656" s="30">
        <v>3</v>
      </c>
      <c r="D656" s="656">
        <v>0.95</v>
      </c>
      <c r="E656" s="228">
        <f t="shared" ref="E656:E660" si="126">IF(AND($E$650&gt;=F656,$E$650&lt;G656),1,0)</f>
        <v>0</v>
      </c>
      <c r="F656" s="30">
        <v>2</v>
      </c>
      <c r="G656" s="28">
        <v>2.5</v>
      </c>
      <c r="H656" s="656">
        <v>0.95</v>
      </c>
      <c r="Y656" s="626"/>
    </row>
    <row r="657" spans="1:55" s="426" customFormat="1" x14ac:dyDescent="0.25">
      <c r="A657" s="120">
        <f t="shared" si="125"/>
        <v>0</v>
      </c>
      <c r="B657" s="30">
        <v>3</v>
      </c>
      <c r="C657" s="30">
        <v>3.5</v>
      </c>
      <c r="D657" s="656">
        <v>0.9</v>
      </c>
      <c r="E657" s="228">
        <f t="shared" si="126"/>
        <v>0</v>
      </c>
      <c r="F657" s="30">
        <v>2.5</v>
      </c>
      <c r="G657" s="28">
        <v>3.5</v>
      </c>
      <c r="H657" s="656">
        <v>0.9</v>
      </c>
      <c r="Y657" s="626"/>
    </row>
    <row r="658" spans="1:55" s="426" customFormat="1" x14ac:dyDescent="0.25">
      <c r="A658" s="120">
        <f t="shared" si="125"/>
        <v>0</v>
      </c>
      <c r="B658" s="30">
        <v>3.5</v>
      </c>
      <c r="C658" s="30">
        <v>4</v>
      </c>
      <c r="D658" s="656">
        <v>0.8</v>
      </c>
      <c r="E658" s="228">
        <f t="shared" si="126"/>
        <v>0</v>
      </c>
      <c r="F658" s="30">
        <v>3.5</v>
      </c>
      <c r="G658" s="28">
        <v>4</v>
      </c>
      <c r="H658" s="656">
        <v>0.85</v>
      </c>
      <c r="Y658" s="626"/>
    </row>
    <row r="659" spans="1:55" s="426" customFormat="1" x14ac:dyDescent="0.25">
      <c r="A659" s="120">
        <f t="shared" si="125"/>
        <v>0</v>
      </c>
      <c r="B659" s="30">
        <v>4</v>
      </c>
      <c r="C659" s="30">
        <v>5</v>
      </c>
      <c r="D659" s="656">
        <v>0.75</v>
      </c>
      <c r="E659" s="228">
        <f t="shared" si="126"/>
        <v>0</v>
      </c>
      <c r="F659" s="30">
        <v>4</v>
      </c>
      <c r="G659" s="28">
        <v>5.5</v>
      </c>
      <c r="H659" s="656">
        <v>0.8</v>
      </c>
      <c r="Y659" s="626"/>
    </row>
    <row r="660" spans="1:55" s="426" customFormat="1" x14ac:dyDescent="0.25">
      <c r="A660" s="202">
        <f t="shared" si="125"/>
        <v>0</v>
      </c>
      <c r="B660" s="490">
        <v>5</v>
      </c>
      <c r="C660" s="490">
        <v>99</v>
      </c>
      <c r="D660" s="657">
        <v>0.7</v>
      </c>
      <c r="E660" s="424">
        <f t="shared" si="126"/>
        <v>0</v>
      </c>
      <c r="F660" s="490">
        <v>5.5</v>
      </c>
      <c r="G660" s="34">
        <v>99</v>
      </c>
      <c r="H660" s="657">
        <v>0.75</v>
      </c>
      <c r="Y660" s="626"/>
    </row>
    <row r="661" spans="1:55" s="426" customFormat="1" ht="12.75" x14ac:dyDescent="0.2">
      <c r="C661" s="626"/>
      <c r="Y661" s="626"/>
    </row>
    <row r="662" spans="1:55" s="426" customFormat="1" ht="12.75" x14ac:dyDescent="0.2">
      <c r="Y662" s="626"/>
    </row>
    <row r="663" spans="1:55" s="426" customFormat="1" x14ac:dyDescent="0.25">
      <c r="A663"/>
      <c r="B663" s="2"/>
      <c r="C663" s="2"/>
      <c r="D663" s="431">
        <v>4</v>
      </c>
      <c r="E663" s="449">
        <v>5</v>
      </c>
      <c r="F663" s="449">
        <v>6</v>
      </c>
      <c r="G663" s="449">
        <v>7</v>
      </c>
      <c r="H663" s="449">
        <v>8</v>
      </c>
      <c r="I663" s="449">
        <v>9</v>
      </c>
      <c r="J663" s="449">
        <v>10</v>
      </c>
      <c r="K663" s="449">
        <v>11</v>
      </c>
      <c r="L663" s="449">
        <v>12</v>
      </c>
      <c r="M663" s="449">
        <v>13</v>
      </c>
      <c r="N663" s="449">
        <v>14</v>
      </c>
      <c r="O663" s="449">
        <v>15</v>
      </c>
      <c r="P663" s="449">
        <v>16</v>
      </c>
      <c r="Q663" s="449">
        <v>17</v>
      </c>
      <c r="R663" s="449">
        <v>18</v>
      </c>
      <c r="S663" s="449">
        <v>19</v>
      </c>
      <c r="T663" s="449">
        <v>20</v>
      </c>
      <c r="U663" s="449">
        <v>21</v>
      </c>
      <c r="V663" s="449">
        <v>22</v>
      </c>
      <c r="W663" s="449">
        <v>23</v>
      </c>
      <c r="X663" s="449">
        <v>24</v>
      </c>
      <c r="Y663" s="449">
        <v>25</v>
      </c>
      <c r="Z663" s="435">
        <v>26</v>
      </c>
      <c r="AA663"/>
    </row>
    <row r="664" spans="1:55" s="426" customFormat="1" x14ac:dyDescent="0.25">
      <c r="A664" s="405"/>
      <c r="B664" s="449"/>
      <c r="C664" s="449"/>
      <c r="D664" s="208">
        <f>IF(AND($C$646&gt;=D665,$C$646&lt;D666),1,0)</f>
        <v>0</v>
      </c>
      <c r="E664" s="23">
        <f t="shared" ref="E664:Z664" si="127">IF(AND($C$646&gt;=E665,$C$646&lt;E666),1,0)</f>
        <v>0</v>
      </c>
      <c r="F664" s="23">
        <f t="shared" si="127"/>
        <v>0</v>
      </c>
      <c r="G664" s="23">
        <f t="shared" si="127"/>
        <v>0</v>
      </c>
      <c r="H664" s="23">
        <f t="shared" si="127"/>
        <v>0</v>
      </c>
      <c r="I664" s="23">
        <f t="shared" si="127"/>
        <v>1</v>
      </c>
      <c r="J664" s="23">
        <f t="shared" si="127"/>
        <v>0</v>
      </c>
      <c r="K664" s="23">
        <f t="shared" si="127"/>
        <v>0</v>
      </c>
      <c r="L664" s="23">
        <f t="shared" si="127"/>
        <v>0</v>
      </c>
      <c r="M664" s="23">
        <f t="shared" si="127"/>
        <v>0</v>
      </c>
      <c r="N664" s="23">
        <f t="shared" si="127"/>
        <v>0</v>
      </c>
      <c r="O664" s="23">
        <f t="shared" si="127"/>
        <v>0</v>
      </c>
      <c r="P664" s="23">
        <f t="shared" si="127"/>
        <v>0</v>
      </c>
      <c r="Q664" s="23">
        <f t="shared" si="127"/>
        <v>0</v>
      </c>
      <c r="R664" s="23">
        <f t="shared" si="127"/>
        <v>0</v>
      </c>
      <c r="S664" s="23">
        <f t="shared" si="127"/>
        <v>0</v>
      </c>
      <c r="T664" s="23">
        <f t="shared" si="127"/>
        <v>0</v>
      </c>
      <c r="U664" s="23">
        <f t="shared" si="127"/>
        <v>0</v>
      </c>
      <c r="V664" s="23">
        <f t="shared" si="127"/>
        <v>0</v>
      </c>
      <c r="W664" s="23">
        <f t="shared" si="127"/>
        <v>0</v>
      </c>
      <c r="X664" s="23">
        <f t="shared" si="127"/>
        <v>0</v>
      </c>
      <c r="Y664" s="23">
        <f t="shared" si="127"/>
        <v>0</v>
      </c>
      <c r="Z664" s="38">
        <f t="shared" si="127"/>
        <v>0</v>
      </c>
      <c r="AA664"/>
      <c r="AD664" s="719"/>
      <c r="AE664" s="3"/>
      <c r="AF664" s="435"/>
      <c r="AG664" s="208">
        <f>IF(AND($C$646&gt;=AG665,$C$646&lt;AG666),1,0)</f>
        <v>0</v>
      </c>
      <c r="AH664" s="23">
        <f t="shared" ref="AH664:BC664" si="128">IF(AND($C$646&gt;=AH665,$C$646&lt;AH666),1,0)</f>
        <v>0</v>
      </c>
      <c r="AI664" s="23">
        <f t="shared" si="128"/>
        <v>0</v>
      </c>
      <c r="AJ664" s="23">
        <f t="shared" si="128"/>
        <v>0</v>
      </c>
      <c r="AK664" s="23">
        <f t="shared" si="128"/>
        <v>0</v>
      </c>
      <c r="AL664" s="23">
        <f t="shared" si="128"/>
        <v>1</v>
      </c>
      <c r="AM664" s="23">
        <f t="shared" si="128"/>
        <v>0</v>
      </c>
      <c r="AN664" s="23">
        <f t="shared" si="128"/>
        <v>0</v>
      </c>
      <c r="AO664" s="23">
        <f t="shared" si="128"/>
        <v>0</v>
      </c>
      <c r="AP664" s="23">
        <f t="shared" si="128"/>
        <v>0</v>
      </c>
      <c r="AQ664" s="23">
        <f t="shared" si="128"/>
        <v>0</v>
      </c>
      <c r="AR664" s="23">
        <f t="shared" si="128"/>
        <v>0</v>
      </c>
      <c r="AS664" s="23">
        <f t="shared" si="128"/>
        <v>0</v>
      </c>
      <c r="AT664" s="23">
        <f t="shared" si="128"/>
        <v>0</v>
      </c>
      <c r="AU664" s="23">
        <f t="shared" si="128"/>
        <v>0</v>
      </c>
      <c r="AV664" s="23">
        <f t="shared" si="128"/>
        <v>0</v>
      </c>
      <c r="AW664" s="23">
        <f t="shared" si="128"/>
        <v>0</v>
      </c>
      <c r="AX664" s="23">
        <f t="shared" si="128"/>
        <v>0</v>
      </c>
      <c r="AY664" s="23">
        <f t="shared" si="128"/>
        <v>0</v>
      </c>
      <c r="AZ664" s="23">
        <f t="shared" si="128"/>
        <v>0</v>
      </c>
      <c r="BA664" s="23">
        <f t="shared" si="128"/>
        <v>0</v>
      </c>
      <c r="BB664" s="23">
        <f t="shared" si="128"/>
        <v>0</v>
      </c>
      <c r="BC664" s="38">
        <f t="shared" si="128"/>
        <v>0</v>
      </c>
    </row>
    <row r="665" spans="1:55" s="426" customFormat="1" x14ac:dyDescent="0.25">
      <c r="A665" s="339"/>
      <c r="B665" s="2"/>
      <c r="C665" s="25"/>
      <c r="D665" s="2">
        <v>600</v>
      </c>
      <c r="E665" s="2">
        <v>700</v>
      </c>
      <c r="F665" s="2">
        <v>800</v>
      </c>
      <c r="G665" s="2">
        <v>900</v>
      </c>
      <c r="H665" s="2">
        <v>1000</v>
      </c>
      <c r="I665" s="2">
        <v>1100</v>
      </c>
      <c r="J665" s="2">
        <v>1200</v>
      </c>
      <c r="K665" s="2">
        <v>1300</v>
      </c>
      <c r="L665" s="2">
        <v>1400</v>
      </c>
      <c r="M665" s="2">
        <v>1500</v>
      </c>
      <c r="N665" s="2">
        <v>1600</v>
      </c>
      <c r="O665" s="2">
        <v>1700</v>
      </c>
      <c r="P665" s="2">
        <v>1800</v>
      </c>
      <c r="Q665" s="2">
        <v>1900</v>
      </c>
      <c r="R665" s="2">
        <v>2000</v>
      </c>
      <c r="S665" s="2">
        <v>2100</v>
      </c>
      <c r="T665" s="2">
        <v>2200</v>
      </c>
      <c r="U665" s="2">
        <v>2300</v>
      </c>
      <c r="V665" s="2">
        <v>2400</v>
      </c>
      <c r="W665" s="2">
        <v>2500</v>
      </c>
      <c r="X665" s="2">
        <v>2600</v>
      </c>
      <c r="Y665" s="2">
        <v>2700</v>
      </c>
      <c r="Z665" s="25">
        <v>2800</v>
      </c>
      <c r="AA665"/>
      <c r="AD665" s="713"/>
      <c r="AE665" s="26"/>
      <c r="AF665" s="25"/>
      <c r="AG665" s="2">
        <v>600</v>
      </c>
      <c r="AH665" s="2">
        <v>700</v>
      </c>
      <c r="AI665" s="2">
        <v>800</v>
      </c>
      <c r="AJ665" s="2">
        <v>900</v>
      </c>
      <c r="AK665" s="2">
        <v>1000</v>
      </c>
      <c r="AL665" s="2">
        <v>1100</v>
      </c>
      <c r="AM665" s="2">
        <v>1200</v>
      </c>
      <c r="AN665" s="2">
        <v>1300</v>
      </c>
      <c r="AO665" s="2">
        <v>1400</v>
      </c>
      <c r="AP665" s="2">
        <v>1500</v>
      </c>
      <c r="AQ665" s="2">
        <v>1600</v>
      </c>
      <c r="AR665" s="2">
        <v>1700</v>
      </c>
      <c r="AS665" s="2">
        <v>1800</v>
      </c>
      <c r="AT665" s="2">
        <v>1900</v>
      </c>
      <c r="AU665" s="2">
        <v>2000</v>
      </c>
      <c r="AV665" s="2">
        <v>2100</v>
      </c>
      <c r="AW665" s="2">
        <v>2200</v>
      </c>
      <c r="AX665" s="2">
        <v>2300</v>
      </c>
      <c r="AY665" s="2">
        <v>2400</v>
      </c>
      <c r="AZ665" s="2">
        <v>2500</v>
      </c>
      <c r="BA665" s="2">
        <v>2600</v>
      </c>
      <c r="BB665" s="2">
        <v>2700</v>
      </c>
      <c r="BC665" s="25">
        <v>2800</v>
      </c>
    </row>
    <row r="666" spans="1:55" s="426" customFormat="1" ht="15.75" thickBot="1" x14ac:dyDescent="0.3">
      <c r="A666" s="650"/>
      <c r="B666" s="343"/>
      <c r="C666" s="436"/>
      <c r="D666" s="2">
        <v>700</v>
      </c>
      <c r="E666" s="2">
        <v>800</v>
      </c>
      <c r="F666" s="2">
        <v>900</v>
      </c>
      <c r="G666" s="2">
        <v>1000</v>
      </c>
      <c r="H666" s="2">
        <v>1100</v>
      </c>
      <c r="I666" s="2">
        <v>1200</v>
      </c>
      <c r="J666" s="2">
        <v>1300</v>
      </c>
      <c r="K666" s="2">
        <v>1400</v>
      </c>
      <c r="L666" s="2">
        <v>1500</v>
      </c>
      <c r="M666" s="2">
        <v>1600</v>
      </c>
      <c r="N666" s="2">
        <v>1700</v>
      </c>
      <c r="O666" s="2">
        <v>1800</v>
      </c>
      <c r="P666" s="2">
        <v>1900</v>
      </c>
      <c r="Q666" s="2">
        <v>2000</v>
      </c>
      <c r="R666" s="2">
        <v>2100</v>
      </c>
      <c r="S666" s="2">
        <v>2200</v>
      </c>
      <c r="T666" s="2">
        <v>2300</v>
      </c>
      <c r="U666" s="2">
        <v>2400</v>
      </c>
      <c r="V666" s="2">
        <v>2500</v>
      </c>
      <c r="W666" s="2">
        <v>2600</v>
      </c>
      <c r="X666" s="2">
        <v>2700</v>
      </c>
      <c r="Y666" s="2">
        <v>2800</v>
      </c>
      <c r="Z666" s="25">
        <v>3000</v>
      </c>
      <c r="AA666"/>
      <c r="AD666" s="713"/>
      <c r="AE666" s="432"/>
      <c r="AF666" s="966"/>
      <c r="AG666" s="343">
        <v>700</v>
      </c>
      <c r="AH666" s="343">
        <v>800</v>
      </c>
      <c r="AI666" s="343">
        <v>900</v>
      </c>
      <c r="AJ666" s="343">
        <v>1000</v>
      </c>
      <c r="AK666" s="343">
        <v>1100</v>
      </c>
      <c r="AL666" s="343">
        <v>1200</v>
      </c>
      <c r="AM666" s="343">
        <v>1300</v>
      </c>
      <c r="AN666" s="343">
        <v>1400</v>
      </c>
      <c r="AO666" s="343">
        <v>1500</v>
      </c>
      <c r="AP666" s="343">
        <v>1600</v>
      </c>
      <c r="AQ666" s="343">
        <v>1700</v>
      </c>
      <c r="AR666" s="343">
        <v>1800</v>
      </c>
      <c r="AS666" s="343">
        <v>1900</v>
      </c>
      <c r="AT666" s="343">
        <v>2000</v>
      </c>
      <c r="AU666" s="343">
        <v>2100</v>
      </c>
      <c r="AV666" s="343">
        <v>2200</v>
      </c>
      <c r="AW666" s="343">
        <v>2300</v>
      </c>
      <c r="AX666" s="343">
        <v>2400</v>
      </c>
      <c r="AY666" s="343">
        <v>2500</v>
      </c>
      <c r="AZ666" s="343">
        <v>2600</v>
      </c>
      <c r="BA666" s="343">
        <v>2700</v>
      </c>
      <c r="BB666" s="343">
        <v>2800</v>
      </c>
      <c r="BC666" s="436">
        <v>3000</v>
      </c>
    </row>
    <row r="667" spans="1:55" s="426" customFormat="1" ht="15.75" thickBot="1" x14ac:dyDescent="0.3">
      <c r="A667" s="404">
        <f>IF(AND($C$645&gt;=B667,$C$645&lt;C667),1,0)</f>
        <v>0</v>
      </c>
      <c r="B667" s="2">
        <v>300</v>
      </c>
      <c r="C667" s="2">
        <v>350</v>
      </c>
      <c r="D667" s="3">
        <f>FLOOR($AD$667*AG667,1)</f>
        <v>281</v>
      </c>
      <c r="E667" s="449">
        <f t="shared" ref="E667:T671" si="129">FLOOR($AD$667*AH667,1)</f>
        <v>280</v>
      </c>
      <c r="F667" s="449">
        <f t="shared" si="129"/>
        <v>277</v>
      </c>
      <c r="G667" s="449">
        <f t="shared" si="129"/>
        <v>276</v>
      </c>
      <c r="H667" s="449">
        <f t="shared" si="129"/>
        <v>274</v>
      </c>
      <c r="I667" s="449">
        <f t="shared" si="129"/>
        <v>273</v>
      </c>
      <c r="J667" s="449">
        <f t="shared" si="129"/>
        <v>272</v>
      </c>
      <c r="K667" s="449">
        <f t="shared" si="129"/>
        <v>270</v>
      </c>
      <c r="L667" s="449">
        <f t="shared" si="129"/>
        <v>268</v>
      </c>
      <c r="M667" s="449">
        <f t="shared" si="129"/>
        <v>267</v>
      </c>
      <c r="N667" s="449">
        <f t="shared" si="129"/>
        <v>265</v>
      </c>
      <c r="O667" s="449">
        <f t="shared" si="129"/>
        <v>264</v>
      </c>
      <c r="P667" s="449">
        <f t="shared" si="129"/>
        <v>262</v>
      </c>
      <c r="Q667" s="449">
        <f t="shared" si="129"/>
        <v>260</v>
      </c>
      <c r="R667" s="449">
        <f t="shared" si="129"/>
        <v>259</v>
      </c>
      <c r="S667" s="449">
        <f t="shared" si="129"/>
        <v>258</v>
      </c>
      <c r="T667" s="449">
        <f t="shared" si="129"/>
        <v>256</v>
      </c>
      <c r="U667" s="449">
        <f t="shared" ref="U667:Z671" si="130">FLOOR($AD$667*AX667,1)</f>
        <v>255</v>
      </c>
      <c r="V667" s="449">
        <f t="shared" si="130"/>
        <v>253</v>
      </c>
      <c r="W667" s="449">
        <f t="shared" si="130"/>
        <v>252</v>
      </c>
      <c r="X667" s="449">
        <f t="shared" si="130"/>
        <v>250</v>
      </c>
      <c r="Y667" s="449">
        <f t="shared" si="130"/>
        <v>248</v>
      </c>
      <c r="Z667" s="435">
        <f t="shared" si="130"/>
        <v>248</v>
      </c>
      <c r="AA667" s="1304" t="s">
        <v>687</v>
      </c>
      <c r="AD667" s="1058">
        <v>0.8</v>
      </c>
      <c r="AE667" s="2">
        <v>300</v>
      </c>
      <c r="AF667" s="25">
        <v>350</v>
      </c>
      <c r="AG667" s="645">
        <v>352</v>
      </c>
      <c r="AH667" s="646">
        <v>350</v>
      </c>
      <c r="AI667" s="646">
        <v>347</v>
      </c>
      <c r="AJ667" s="646">
        <v>345</v>
      </c>
      <c r="AK667" s="646">
        <v>343</v>
      </c>
      <c r="AL667" s="646">
        <v>342</v>
      </c>
      <c r="AM667" s="646">
        <v>340</v>
      </c>
      <c r="AN667" s="646">
        <v>338</v>
      </c>
      <c r="AO667" s="646">
        <v>336</v>
      </c>
      <c r="AP667" s="646">
        <v>334</v>
      </c>
      <c r="AQ667" s="646">
        <v>332</v>
      </c>
      <c r="AR667" s="646">
        <v>330</v>
      </c>
      <c r="AS667" s="646">
        <v>328</v>
      </c>
      <c r="AT667" s="646">
        <v>326</v>
      </c>
      <c r="AU667" s="646">
        <v>324</v>
      </c>
      <c r="AV667" s="646">
        <v>323</v>
      </c>
      <c r="AW667" s="646">
        <v>321</v>
      </c>
      <c r="AX667" s="22">
        <v>319</v>
      </c>
      <c r="AY667" s="22">
        <v>317</v>
      </c>
      <c r="AZ667" s="22">
        <v>315</v>
      </c>
      <c r="BA667" s="647">
        <v>313</v>
      </c>
      <c r="BB667" s="647">
        <v>311</v>
      </c>
      <c r="BC667" s="567">
        <v>311</v>
      </c>
    </row>
    <row r="668" spans="1:55" s="426" customFormat="1" x14ac:dyDescent="0.25">
      <c r="A668" s="41">
        <f t="shared" ref="A668:A688" si="131">IF(AND($C$645&gt;=B668,$C$645&lt;C668),1,0)</f>
        <v>1</v>
      </c>
      <c r="B668" s="2">
        <v>350</v>
      </c>
      <c r="C668" s="2">
        <v>400</v>
      </c>
      <c r="D668" s="26">
        <f t="shared" ref="D668:D671" si="132">FLOOR($AD$667*AG668,1)</f>
        <v>279</v>
      </c>
      <c r="E668" s="2">
        <f t="shared" si="129"/>
        <v>277</v>
      </c>
      <c r="F668" s="2">
        <f t="shared" si="129"/>
        <v>276</v>
      </c>
      <c r="G668" s="2">
        <f t="shared" si="129"/>
        <v>274</v>
      </c>
      <c r="H668" s="2">
        <f t="shared" si="129"/>
        <v>273</v>
      </c>
      <c r="I668" s="2">
        <f t="shared" si="129"/>
        <v>272</v>
      </c>
      <c r="J668" s="2">
        <f t="shared" si="129"/>
        <v>270</v>
      </c>
      <c r="K668" s="2">
        <f t="shared" si="129"/>
        <v>268</v>
      </c>
      <c r="L668" s="2">
        <f t="shared" si="129"/>
        <v>267</v>
      </c>
      <c r="M668" s="2">
        <f t="shared" si="129"/>
        <v>265</v>
      </c>
      <c r="N668" s="2">
        <f t="shared" si="129"/>
        <v>264</v>
      </c>
      <c r="O668" s="2">
        <f t="shared" si="129"/>
        <v>262</v>
      </c>
      <c r="P668" s="2">
        <f t="shared" si="129"/>
        <v>260</v>
      </c>
      <c r="Q668" s="2">
        <f t="shared" si="129"/>
        <v>259</v>
      </c>
      <c r="R668" s="2">
        <f t="shared" si="129"/>
        <v>258</v>
      </c>
      <c r="S668" s="2">
        <f t="shared" si="129"/>
        <v>256</v>
      </c>
      <c r="T668" s="2">
        <f t="shared" si="129"/>
        <v>255</v>
      </c>
      <c r="U668" s="2">
        <f t="shared" si="130"/>
        <v>253</v>
      </c>
      <c r="V668" s="2">
        <f t="shared" si="130"/>
        <v>252</v>
      </c>
      <c r="W668" s="2">
        <f t="shared" si="130"/>
        <v>250</v>
      </c>
      <c r="X668" s="2">
        <f t="shared" si="130"/>
        <v>180</v>
      </c>
      <c r="Y668" s="2">
        <f t="shared" si="130"/>
        <v>247</v>
      </c>
      <c r="Z668" s="25">
        <f t="shared" si="130"/>
        <v>247</v>
      </c>
      <c r="AA668" s="1305"/>
      <c r="AD668" s="713"/>
      <c r="AE668" s="26">
        <v>350</v>
      </c>
      <c r="AF668" s="25">
        <v>400</v>
      </c>
      <c r="AG668" s="29">
        <v>349</v>
      </c>
      <c r="AH668" s="22">
        <v>347</v>
      </c>
      <c r="AI668" s="22">
        <v>345</v>
      </c>
      <c r="AJ668" s="22">
        <v>343</v>
      </c>
      <c r="AK668" s="22">
        <v>342</v>
      </c>
      <c r="AL668" s="22">
        <v>340</v>
      </c>
      <c r="AM668" s="22">
        <v>338</v>
      </c>
      <c r="AN668" s="22">
        <v>336</v>
      </c>
      <c r="AO668" s="22">
        <v>334</v>
      </c>
      <c r="AP668" s="22">
        <v>332</v>
      </c>
      <c r="AQ668" s="22">
        <v>330</v>
      </c>
      <c r="AR668" s="22">
        <v>328</v>
      </c>
      <c r="AS668" s="22">
        <v>326</v>
      </c>
      <c r="AT668" s="22">
        <v>324</v>
      </c>
      <c r="AU668" s="22">
        <v>323</v>
      </c>
      <c r="AV668" s="22">
        <v>321</v>
      </c>
      <c r="AW668" s="22">
        <v>319</v>
      </c>
      <c r="AX668" s="22">
        <v>317</v>
      </c>
      <c r="AY668" s="22">
        <v>315</v>
      </c>
      <c r="AZ668" s="22">
        <v>313</v>
      </c>
      <c r="BA668" s="647">
        <v>226</v>
      </c>
      <c r="BB668" s="647">
        <v>309</v>
      </c>
      <c r="BC668" s="30">
        <v>309</v>
      </c>
    </row>
    <row r="669" spans="1:55" s="426" customFormat="1" x14ac:dyDescent="0.25">
      <c r="A669" s="41">
        <f t="shared" si="131"/>
        <v>0</v>
      </c>
      <c r="B669" s="2">
        <v>400</v>
      </c>
      <c r="C669" s="2">
        <v>450</v>
      </c>
      <c r="D669" s="26">
        <f t="shared" si="132"/>
        <v>276</v>
      </c>
      <c r="E669" s="2">
        <f t="shared" si="129"/>
        <v>275</v>
      </c>
      <c r="F669" s="2">
        <f t="shared" si="129"/>
        <v>273</v>
      </c>
      <c r="G669" s="2">
        <f t="shared" si="129"/>
        <v>272</v>
      </c>
      <c r="H669" s="2">
        <f t="shared" si="129"/>
        <v>271</v>
      </c>
      <c r="I669" s="2">
        <f t="shared" si="129"/>
        <v>269</v>
      </c>
      <c r="J669" s="2">
        <f t="shared" si="129"/>
        <v>268</v>
      </c>
      <c r="K669" s="2">
        <f t="shared" si="129"/>
        <v>266</v>
      </c>
      <c r="L669" s="2">
        <f t="shared" si="129"/>
        <v>264</v>
      </c>
      <c r="M669" s="2">
        <f t="shared" si="129"/>
        <v>263</v>
      </c>
      <c r="N669" s="2">
        <f t="shared" si="129"/>
        <v>261</v>
      </c>
      <c r="O669" s="2">
        <f t="shared" si="129"/>
        <v>260</v>
      </c>
      <c r="P669" s="2">
        <f t="shared" si="129"/>
        <v>258</v>
      </c>
      <c r="Q669" s="2">
        <f t="shared" si="129"/>
        <v>257</v>
      </c>
      <c r="R669" s="2">
        <f t="shared" si="129"/>
        <v>256</v>
      </c>
      <c r="S669" s="2">
        <f t="shared" si="129"/>
        <v>254</v>
      </c>
      <c r="T669" s="2">
        <f t="shared" si="129"/>
        <v>252</v>
      </c>
      <c r="U669" s="2">
        <f t="shared" si="130"/>
        <v>251</v>
      </c>
      <c r="V669" s="2">
        <f t="shared" si="130"/>
        <v>249</v>
      </c>
      <c r="W669" s="2">
        <f t="shared" si="130"/>
        <v>248</v>
      </c>
      <c r="X669" s="2">
        <f t="shared" si="130"/>
        <v>246</v>
      </c>
      <c r="Y669" s="2">
        <f t="shared" si="130"/>
        <v>244</v>
      </c>
      <c r="Z669" s="25">
        <f t="shared" si="130"/>
        <v>243</v>
      </c>
      <c r="AA669" s="1305"/>
      <c r="AD669" s="713"/>
      <c r="AE669" s="26">
        <v>400</v>
      </c>
      <c r="AF669" s="25">
        <v>450</v>
      </c>
      <c r="AG669" s="29">
        <v>346</v>
      </c>
      <c r="AH669" s="22">
        <v>344</v>
      </c>
      <c r="AI669" s="22">
        <v>342</v>
      </c>
      <c r="AJ669" s="22">
        <v>341</v>
      </c>
      <c r="AK669" s="22">
        <v>339</v>
      </c>
      <c r="AL669" s="22">
        <v>337</v>
      </c>
      <c r="AM669" s="22">
        <v>335</v>
      </c>
      <c r="AN669" s="22">
        <v>333</v>
      </c>
      <c r="AO669" s="22">
        <v>331</v>
      </c>
      <c r="AP669" s="22">
        <v>329</v>
      </c>
      <c r="AQ669" s="22">
        <v>327</v>
      </c>
      <c r="AR669" s="22">
        <v>325</v>
      </c>
      <c r="AS669" s="22">
        <v>323</v>
      </c>
      <c r="AT669" s="22">
        <v>322</v>
      </c>
      <c r="AU669" s="22">
        <v>320</v>
      </c>
      <c r="AV669" s="22">
        <v>318</v>
      </c>
      <c r="AW669" s="22">
        <v>316</v>
      </c>
      <c r="AX669" s="22">
        <v>314</v>
      </c>
      <c r="AY669" s="22">
        <v>312</v>
      </c>
      <c r="AZ669" s="22">
        <v>310</v>
      </c>
      <c r="BA669" s="647">
        <v>308</v>
      </c>
      <c r="BB669" s="647">
        <v>306</v>
      </c>
      <c r="BC669" s="30">
        <v>304</v>
      </c>
    </row>
    <row r="670" spans="1:55" s="426" customFormat="1" x14ac:dyDescent="0.25">
      <c r="A670" s="41">
        <f t="shared" si="131"/>
        <v>0</v>
      </c>
      <c r="B670" s="2">
        <v>450</v>
      </c>
      <c r="C670" s="2">
        <v>500</v>
      </c>
      <c r="D670" s="26">
        <f t="shared" si="132"/>
        <v>274</v>
      </c>
      <c r="E670" s="2">
        <f t="shared" si="129"/>
        <v>273</v>
      </c>
      <c r="F670" s="2">
        <f t="shared" si="129"/>
        <v>273</v>
      </c>
      <c r="G670" s="2">
        <f t="shared" si="129"/>
        <v>272</v>
      </c>
      <c r="H670" s="2">
        <f t="shared" si="129"/>
        <v>270</v>
      </c>
      <c r="I670" s="2">
        <f t="shared" si="129"/>
        <v>268</v>
      </c>
      <c r="J670" s="2">
        <f t="shared" si="129"/>
        <v>267</v>
      </c>
      <c r="K670" s="2">
        <f t="shared" si="129"/>
        <v>265</v>
      </c>
      <c r="L670" s="2">
        <f t="shared" si="129"/>
        <v>264</v>
      </c>
      <c r="M670" s="2">
        <f t="shared" si="129"/>
        <v>262</v>
      </c>
      <c r="N670" s="2">
        <f t="shared" si="129"/>
        <v>260</v>
      </c>
      <c r="O670" s="2">
        <f t="shared" si="129"/>
        <v>259</v>
      </c>
      <c r="P670" s="2">
        <f t="shared" si="129"/>
        <v>258</v>
      </c>
      <c r="Q670" s="2">
        <f t="shared" si="129"/>
        <v>256</v>
      </c>
      <c r="R670" s="2">
        <f t="shared" si="129"/>
        <v>255</v>
      </c>
      <c r="S670" s="2">
        <f t="shared" si="129"/>
        <v>253</v>
      </c>
      <c r="T670" s="2">
        <f t="shared" si="129"/>
        <v>252</v>
      </c>
      <c r="U670" s="2">
        <f t="shared" si="130"/>
        <v>250</v>
      </c>
      <c r="V670" s="2">
        <f t="shared" si="130"/>
        <v>248</v>
      </c>
      <c r="W670" s="2">
        <f t="shared" si="130"/>
        <v>247</v>
      </c>
      <c r="X670" s="2">
        <f t="shared" si="130"/>
        <v>245</v>
      </c>
      <c r="Y670" s="2">
        <f t="shared" si="130"/>
        <v>244</v>
      </c>
      <c r="Z670" s="25">
        <f t="shared" si="130"/>
        <v>241</v>
      </c>
      <c r="AA670" s="1305"/>
      <c r="AD670" s="713"/>
      <c r="AE670" s="26">
        <v>450</v>
      </c>
      <c r="AF670" s="25">
        <v>500</v>
      </c>
      <c r="AG670" s="29">
        <v>343</v>
      </c>
      <c r="AH670" s="22">
        <v>342</v>
      </c>
      <c r="AI670" s="22">
        <v>342</v>
      </c>
      <c r="AJ670" s="22">
        <v>340</v>
      </c>
      <c r="AK670" s="22">
        <v>338</v>
      </c>
      <c r="AL670" s="22">
        <v>336</v>
      </c>
      <c r="AM670" s="22">
        <v>334</v>
      </c>
      <c r="AN670" s="22">
        <v>332</v>
      </c>
      <c r="AO670" s="22">
        <v>330</v>
      </c>
      <c r="AP670" s="22">
        <v>328</v>
      </c>
      <c r="AQ670" s="22">
        <v>326</v>
      </c>
      <c r="AR670" s="22">
        <v>324</v>
      </c>
      <c r="AS670" s="22">
        <v>323</v>
      </c>
      <c r="AT670" s="22">
        <v>321</v>
      </c>
      <c r="AU670" s="22">
        <v>319</v>
      </c>
      <c r="AV670" s="22">
        <v>317</v>
      </c>
      <c r="AW670" s="22">
        <v>315</v>
      </c>
      <c r="AX670" s="22">
        <v>313</v>
      </c>
      <c r="AY670" s="22">
        <v>311</v>
      </c>
      <c r="AZ670" s="22">
        <v>309</v>
      </c>
      <c r="BA670" s="647">
        <v>307</v>
      </c>
      <c r="BB670" s="647">
        <v>305</v>
      </c>
      <c r="BC670" s="30">
        <v>302</v>
      </c>
    </row>
    <row r="671" spans="1:55" s="426" customFormat="1" ht="15.75" thickBot="1" x14ac:dyDescent="0.3">
      <c r="A671" s="52">
        <f t="shared" si="131"/>
        <v>0</v>
      </c>
      <c r="B671" s="2">
        <v>500</v>
      </c>
      <c r="C671" s="2">
        <v>575</v>
      </c>
      <c r="D671" s="26">
        <f t="shared" si="132"/>
        <v>272</v>
      </c>
      <c r="E671" s="2">
        <f t="shared" si="129"/>
        <v>272</v>
      </c>
      <c r="F671" s="2">
        <f t="shared" si="129"/>
        <v>271</v>
      </c>
      <c r="G671" s="2">
        <f t="shared" si="129"/>
        <v>270</v>
      </c>
      <c r="H671" s="2">
        <f t="shared" si="129"/>
        <v>269</v>
      </c>
      <c r="I671" s="2">
        <f t="shared" si="129"/>
        <v>267</v>
      </c>
      <c r="J671" s="2">
        <f t="shared" si="129"/>
        <v>264</v>
      </c>
      <c r="K671" s="2">
        <f t="shared" si="129"/>
        <v>262</v>
      </c>
      <c r="L671" s="2">
        <f t="shared" si="129"/>
        <v>260</v>
      </c>
      <c r="M671" s="2">
        <f t="shared" si="129"/>
        <v>258</v>
      </c>
      <c r="N671" s="2">
        <f t="shared" si="129"/>
        <v>257</v>
      </c>
      <c r="O671" s="2">
        <f t="shared" si="129"/>
        <v>256</v>
      </c>
      <c r="P671" s="2">
        <f t="shared" si="129"/>
        <v>256</v>
      </c>
      <c r="Q671" s="2">
        <f t="shared" si="129"/>
        <v>255</v>
      </c>
      <c r="R671" s="2">
        <f t="shared" si="129"/>
        <v>253</v>
      </c>
      <c r="S671" s="2">
        <f t="shared" si="129"/>
        <v>252</v>
      </c>
      <c r="T671" s="2">
        <f t="shared" si="129"/>
        <v>250</v>
      </c>
      <c r="U671" s="2">
        <f t="shared" si="130"/>
        <v>248</v>
      </c>
      <c r="V671" s="2">
        <f t="shared" si="130"/>
        <v>247</v>
      </c>
      <c r="W671" s="2">
        <f t="shared" si="130"/>
        <v>245</v>
      </c>
      <c r="X671" s="2">
        <f t="shared" si="130"/>
        <v>243</v>
      </c>
      <c r="Y671" s="2">
        <f t="shared" si="130"/>
        <v>242</v>
      </c>
      <c r="Z671" s="25">
        <f t="shared" si="130"/>
        <v>238</v>
      </c>
      <c r="AA671" s="1306"/>
      <c r="AD671" s="713"/>
      <c r="AE671" s="26">
        <v>500</v>
      </c>
      <c r="AF671" s="25">
        <v>575</v>
      </c>
      <c r="AG671" s="29">
        <v>341</v>
      </c>
      <c r="AH671" s="22">
        <v>340</v>
      </c>
      <c r="AI671" s="22">
        <v>339</v>
      </c>
      <c r="AJ671" s="22">
        <v>338</v>
      </c>
      <c r="AK671" s="22">
        <v>337</v>
      </c>
      <c r="AL671" s="22">
        <v>334</v>
      </c>
      <c r="AM671" s="22">
        <v>331</v>
      </c>
      <c r="AN671" s="22">
        <v>328</v>
      </c>
      <c r="AO671" s="22">
        <v>325</v>
      </c>
      <c r="AP671" s="22">
        <v>323</v>
      </c>
      <c r="AQ671" s="22">
        <v>322</v>
      </c>
      <c r="AR671" s="22">
        <v>321</v>
      </c>
      <c r="AS671" s="22">
        <v>320</v>
      </c>
      <c r="AT671" s="22">
        <v>319</v>
      </c>
      <c r="AU671" s="22">
        <v>317</v>
      </c>
      <c r="AV671" s="22">
        <v>315</v>
      </c>
      <c r="AW671" s="22">
        <v>313</v>
      </c>
      <c r="AX671" s="22">
        <v>311</v>
      </c>
      <c r="AY671" s="22">
        <v>309</v>
      </c>
      <c r="AZ671" s="22">
        <v>307</v>
      </c>
      <c r="BA671" s="647">
        <v>304</v>
      </c>
      <c r="BB671" s="647">
        <v>303</v>
      </c>
      <c r="BC671" s="30">
        <v>298</v>
      </c>
    </row>
    <row r="672" spans="1:55" s="426" customFormat="1" ht="15.75" thickBot="1" x14ac:dyDescent="0.3">
      <c r="A672" s="404">
        <f t="shared" si="131"/>
        <v>0</v>
      </c>
      <c r="B672" s="449">
        <v>575</v>
      </c>
      <c r="C672" s="449">
        <v>600</v>
      </c>
      <c r="D672" s="3">
        <f>FLOOR($AD$672*AG672,1)</f>
        <v>191</v>
      </c>
      <c r="E672" s="449">
        <f t="shared" ref="E672:T684" si="133">FLOOR($AD$672*AH672,1)</f>
        <v>188</v>
      </c>
      <c r="F672" s="449">
        <f t="shared" si="133"/>
        <v>186</v>
      </c>
      <c r="G672" s="449">
        <f t="shared" si="133"/>
        <v>184</v>
      </c>
      <c r="H672" s="449">
        <f t="shared" si="133"/>
        <v>181</v>
      </c>
      <c r="I672" s="449">
        <f t="shared" si="133"/>
        <v>179</v>
      </c>
      <c r="J672" s="449">
        <f t="shared" si="133"/>
        <v>177</v>
      </c>
      <c r="K672" s="449">
        <f t="shared" si="133"/>
        <v>174</v>
      </c>
      <c r="L672" s="449">
        <f t="shared" si="133"/>
        <v>172</v>
      </c>
      <c r="M672" s="449">
        <f t="shared" si="133"/>
        <v>170</v>
      </c>
      <c r="N672" s="449">
        <f t="shared" si="133"/>
        <v>167</v>
      </c>
      <c r="O672" s="449">
        <f t="shared" si="133"/>
        <v>166</v>
      </c>
      <c r="P672" s="449">
        <f t="shared" si="133"/>
        <v>163</v>
      </c>
      <c r="Q672" s="449">
        <f t="shared" si="133"/>
        <v>161</v>
      </c>
      <c r="R672" s="449">
        <f t="shared" si="133"/>
        <v>158</v>
      </c>
      <c r="S672" s="449">
        <f t="shared" si="133"/>
        <v>156</v>
      </c>
      <c r="T672" s="449">
        <f t="shared" si="133"/>
        <v>153</v>
      </c>
      <c r="U672" s="449">
        <f t="shared" ref="U672:Z684" si="134">FLOOR($AD$672*AX672,1)</f>
        <v>151</v>
      </c>
      <c r="V672" s="449">
        <f t="shared" si="134"/>
        <v>148</v>
      </c>
      <c r="W672" s="449">
        <f t="shared" si="134"/>
        <v>146</v>
      </c>
      <c r="X672" s="449">
        <f t="shared" si="134"/>
        <v>144</v>
      </c>
      <c r="Y672" s="449">
        <f t="shared" si="134"/>
        <v>141</v>
      </c>
      <c r="Z672" s="435">
        <f t="shared" si="134"/>
        <v>140</v>
      </c>
      <c r="AA672" s="1307" t="s">
        <v>688</v>
      </c>
      <c r="AD672" s="1058">
        <v>0.78</v>
      </c>
      <c r="AE672" s="449">
        <v>575</v>
      </c>
      <c r="AF672" s="435">
        <v>600</v>
      </c>
      <c r="AG672" s="645">
        <v>245</v>
      </c>
      <c r="AH672" s="646">
        <v>242</v>
      </c>
      <c r="AI672" s="646">
        <v>239</v>
      </c>
      <c r="AJ672" s="646">
        <v>236</v>
      </c>
      <c r="AK672" s="646">
        <v>233</v>
      </c>
      <c r="AL672" s="646">
        <v>230</v>
      </c>
      <c r="AM672" s="646">
        <v>227</v>
      </c>
      <c r="AN672" s="646">
        <v>224</v>
      </c>
      <c r="AO672" s="646">
        <v>221</v>
      </c>
      <c r="AP672" s="646">
        <v>218</v>
      </c>
      <c r="AQ672" s="646">
        <v>215</v>
      </c>
      <c r="AR672" s="646">
        <v>213</v>
      </c>
      <c r="AS672" s="646">
        <v>210</v>
      </c>
      <c r="AT672" s="646">
        <v>207</v>
      </c>
      <c r="AU672" s="646">
        <v>203</v>
      </c>
      <c r="AV672" s="646">
        <v>200</v>
      </c>
      <c r="AW672" s="646">
        <v>197</v>
      </c>
      <c r="AX672" s="646">
        <v>194</v>
      </c>
      <c r="AY672" s="646">
        <v>191</v>
      </c>
      <c r="AZ672" s="646">
        <v>188</v>
      </c>
      <c r="BA672" s="648">
        <v>185</v>
      </c>
      <c r="BB672" s="648">
        <v>182</v>
      </c>
      <c r="BC672" s="567">
        <v>180</v>
      </c>
    </row>
    <row r="673" spans="1:55" s="426" customFormat="1" x14ac:dyDescent="0.25">
      <c r="A673" s="41">
        <f t="shared" si="131"/>
        <v>0</v>
      </c>
      <c r="B673" s="2">
        <v>600</v>
      </c>
      <c r="C673" s="2">
        <v>650</v>
      </c>
      <c r="D673" s="26">
        <f t="shared" ref="D673:D684" si="135">FLOOR($AD$672*AG673,1)</f>
        <v>187</v>
      </c>
      <c r="E673" s="2">
        <f t="shared" si="133"/>
        <v>185</v>
      </c>
      <c r="F673" s="2">
        <f t="shared" si="133"/>
        <v>183</v>
      </c>
      <c r="G673" s="2">
        <f t="shared" si="133"/>
        <v>180</v>
      </c>
      <c r="H673" s="2">
        <f t="shared" si="133"/>
        <v>178</v>
      </c>
      <c r="I673" s="2">
        <f t="shared" si="133"/>
        <v>176</v>
      </c>
      <c r="J673" s="2">
        <f t="shared" si="133"/>
        <v>173</v>
      </c>
      <c r="K673" s="2">
        <f t="shared" si="133"/>
        <v>171</v>
      </c>
      <c r="L673" s="2">
        <f t="shared" si="133"/>
        <v>169</v>
      </c>
      <c r="M673" s="2">
        <f t="shared" si="133"/>
        <v>166</v>
      </c>
      <c r="N673" s="2">
        <f t="shared" si="133"/>
        <v>164</v>
      </c>
      <c r="O673" s="2">
        <f t="shared" si="133"/>
        <v>163</v>
      </c>
      <c r="P673" s="2">
        <f t="shared" si="133"/>
        <v>160</v>
      </c>
      <c r="Q673" s="2">
        <f t="shared" si="133"/>
        <v>158</v>
      </c>
      <c r="R673" s="2">
        <f t="shared" si="133"/>
        <v>155</v>
      </c>
      <c r="S673" s="2">
        <f t="shared" si="133"/>
        <v>152</v>
      </c>
      <c r="T673" s="2">
        <f t="shared" si="133"/>
        <v>151</v>
      </c>
      <c r="U673" s="2">
        <f t="shared" si="134"/>
        <v>148</v>
      </c>
      <c r="V673" s="2">
        <f t="shared" si="134"/>
        <v>145</v>
      </c>
      <c r="W673" s="2">
        <f t="shared" si="134"/>
        <v>143</v>
      </c>
      <c r="X673" s="2">
        <f t="shared" si="134"/>
        <v>141</v>
      </c>
      <c r="Y673" s="2">
        <f t="shared" si="134"/>
        <v>138</v>
      </c>
      <c r="Z673" s="25">
        <f t="shared" si="134"/>
        <v>137</v>
      </c>
      <c r="AA673" s="1308"/>
      <c r="AD673" s="713"/>
      <c r="AE673" s="2">
        <v>600</v>
      </c>
      <c r="AF673" s="25">
        <v>650</v>
      </c>
      <c r="AG673" s="29">
        <v>241</v>
      </c>
      <c r="AH673" s="22">
        <v>238</v>
      </c>
      <c r="AI673" s="22">
        <v>235</v>
      </c>
      <c r="AJ673" s="22">
        <v>232</v>
      </c>
      <c r="AK673" s="22">
        <v>229</v>
      </c>
      <c r="AL673" s="22">
        <v>226</v>
      </c>
      <c r="AM673" s="22">
        <v>223</v>
      </c>
      <c r="AN673" s="22">
        <v>220</v>
      </c>
      <c r="AO673" s="22">
        <v>217</v>
      </c>
      <c r="AP673" s="22">
        <v>214</v>
      </c>
      <c r="AQ673" s="22">
        <v>211</v>
      </c>
      <c r="AR673" s="22">
        <v>209</v>
      </c>
      <c r="AS673" s="22">
        <v>206</v>
      </c>
      <c r="AT673" s="22">
        <v>203</v>
      </c>
      <c r="AU673" s="22">
        <v>199</v>
      </c>
      <c r="AV673" s="22">
        <v>196</v>
      </c>
      <c r="AW673" s="22">
        <v>194</v>
      </c>
      <c r="AX673" s="22">
        <v>190</v>
      </c>
      <c r="AY673" s="22">
        <v>187</v>
      </c>
      <c r="AZ673" s="22">
        <v>184</v>
      </c>
      <c r="BA673" s="647">
        <v>181</v>
      </c>
      <c r="BB673" s="647">
        <v>178</v>
      </c>
      <c r="BC673" s="30">
        <v>176</v>
      </c>
    </row>
    <row r="674" spans="1:55" s="426" customFormat="1" x14ac:dyDescent="0.25">
      <c r="A674" s="41">
        <f t="shared" si="131"/>
        <v>0</v>
      </c>
      <c r="B674" s="2">
        <v>650</v>
      </c>
      <c r="C674" s="2">
        <v>700</v>
      </c>
      <c r="D674" s="26">
        <f t="shared" si="135"/>
        <v>184</v>
      </c>
      <c r="E674" s="2">
        <f t="shared" si="133"/>
        <v>182</v>
      </c>
      <c r="F674" s="2">
        <f t="shared" si="133"/>
        <v>180</v>
      </c>
      <c r="G674" s="2">
        <f t="shared" si="133"/>
        <v>177</v>
      </c>
      <c r="H674" s="2">
        <f t="shared" si="133"/>
        <v>175</v>
      </c>
      <c r="I674" s="2">
        <f t="shared" si="133"/>
        <v>173</v>
      </c>
      <c r="J674" s="2">
        <f t="shared" si="133"/>
        <v>170</v>
      </c>
      <c r="K674" s="2">
        <f t="shared" si="133"/>
        <v>168</v>
      </c>
      <c r="L674" s="2">
        <f t="shared" si="133"/>
        <v>166</v>
      </c>
      <c r="M674" s="2">
        <f t="shared" si="133"/>
        <v>163</v>
      </c>
      <c r="N674" s="2">
        <f t="shared" si="133"/>
        <v>161</v>
      </c>
      <c r="O674" s="2">
        <f t="shared" si="133"/>
        <v>159</v>
      </c>
      <c r="P674" s="2">
        <f t="shared" si="133"/>
        <v>157</v>
      </c>
      <c r="Q674" s="2">
        <f t="shared" si="133"/>
        <v>155</v>
      </c>
      <c r="R674" s="2">
        <f t="shared" si="133"/>
        <v>152</v>
      </c>
      <c r="S674" s="2">
        <f t="shared" si="133"/>
        <v>149</v>
      </c>
      <c r="T674" s="2">
        <f t="shared" si="133"/>
        <v>148</v>
      </c>
      <c r="U674" s="2">
        <f t="shared" si="134"/>
        <v>145</v>
      </c>
      <c r="V674" s="2">
        <f t="shared" si="134"/>
        <v>143</v>
      </c>
      <c r="W674" s="2">
        <f t="shared" si="134"/>
        <v>140</v>
      </c>
      <c r="X674" s="2">
        <f t="shared" si="134"/>
        <v>138</v>
      </c>
      <c r="Y674" s="2">
        <f t="shared" si="134"/>
        <v>135</v>
      </c>
      <c r="Z674" s="25">
        <f t="shared" si="134"/>
        <v>134</v>
      </c>
      <c r="AA674" s="1308"/>
      <c r="AD674" s="713"/>
      <c r="AE674" s="2">
        <v>650</v>
      </c>
      <c r="AF674" s="25">
        <v>700</v>
      </c>
      <c r="AG674" s="29">
        <v>237</v>
      </c>
      <c r="AH674" s="22">
        <v>234</v>
      </c>
      <c r="AI674" s="22">
        <v>231</v>
      </c>
      <c r="AJ674" s="22">
        <v>228</v>
      </c>
      <c r="AK674" s="22">
        <v>225</v>
      </c>
      <c r="AL674" s="22">
        <v>222</v>
      </c>
      <c r="AM674" s="22">
        <v>219</v>
      </c>
      <c r="AN674" s="22">
        <v>216</v>
      </c>
      <c r="AO674" s="22">
        <v>214</v>
      </c>
      <c r="AP674" s="22">
        <v>210</v>
      </c>
      <c r="AQ674" s="22">
        <v>207</v>
      </c>
      <c r="AR674" s="22">
        <v>205</v>
      </c>
      <c r="AS674" s="22">
        <v>202</v>
      </c>
      <c r="AT674" s="22">
        <v>199</v>
      </c>
      <c r="AU674" s="22">
        <v>195</v>
      </c>
      <c r="AV674" s="22">
        <v>192</v>
      </c>
      <c r="AW674" s="22">
        <v>190</v>
      </c>
      <c r="AX674" s="22">
        <v>186</v>
      </c>
      <c r="AY674" s="22">
        <v>184</v>
      </c>
      <c r="AZ674" s="22">
        <v>180</v>
      </c>
      <c r="BA674" s="647">
        <v>177</v>
      </c>
      <c r="BB674" s="647">
        <v>174</v>
      </c>
      <c r="BC674" s="30">
        <v>172</v>
      </c>
    </row>
    <row r="675" spans="1:55" s="426" customFormat="1" x14ac:dyDescent="0.25">
      <c r="A675" s="41">
        <f t="shared" si="131"/>
        <v>0</v>
      </c>
      <c r="B675" s="2">
        <v>700</v>
      </c>
      <c r="C675" s="2">
        <v>750</v>
      </c>
      <c r="D675" s="26">
        <f t="shared" si="135"/>
        <v>181</v>
      </c>
      <c r="E675" s="2">
        <f t="shared" si="133"/>
        <v>179</v>
      </c>
      <c r="F675" s="2">
        <f t="shared" si="133"/>
        <v>177</v>
      </c>
      <c r="G675" s="2">
        <f t="shared" si="133"/>
        <v>174</v>
      </c>
      <c r="H675" s="2">
        <f t="shared" si="133"/>
        <v>172</v>
      </c>
      <c r="I675" s="2">
        <f t="shared" si="133"/>
        <v>170</v>
      </c>
      <c r="J675" s="2">
        <f t="shared" si="133"/>
        <v>167</v>
      </c>
      <c r="K675" s="2">
        <f t="shared" si="133"/>
        <v>165</v>
      </c>
      <c r="L675" s="2">
        <f t="shared" si="133"/>
        <v>163</v>
      </c>
      <c r="M675" s="2">
        <f t="shared" si="133"/>
        <v>160</v>
      </c>
      <c r="N675" s="2">
        <f t="shared" si="133"/>
        <v>159</v>
      </c>
      <c r="O675" s="2">
        <f t="shared" si="133"/>
        <v>156</v>
      </c>
      <c r="P675" s="2">
        <f t="shared" si="133"/>
        <v>154</v>
      </c>
      <c r="Q675" s="2">
        <f t="shared" si="133"/>
        <v>152</v>
      </c>
      <c r="R675" s="2">
        <f t="shared" si="133"/>
        <v>148</v>
      </c>
      <c r="S675" s="2">
        <f t="shared" si="133"/>
        <v>146</v>
      </c>
      <c r="T675" s="2">
        <f t="shared" si="133"/>
        <v>145</v>
      </c>
      <c r="U675" s="2">
        <f t="shared" si="134"/>
        <v>141</v>
      </c>
      <c r="V675" s="2">
        <f t="shared" si="134"/>
        <v>140</v>
      </c>
      <c r="W675" s="2">
        <f t="shared" si="134"/>
        <v>137</v>
      </c>
      <c r="X675" s="2">
        <f t="shared" si="134"/>
        <v>134</v>
      </c>
      <c r="Y675" s="2">
        <f t="shared" si="134"/>
        <v>132</v>
      </c>
      <c r="Z675" s="25">
        <f t="shared" si="134"/>
        <v>131</v>
      </c>
      <c r="AA675" s="1308"/>
      <c r="AD675" s="713"/>
      <c r="AE675" s="2">
        <v>700</v>
      </c>
      <c r="AF675" s="25">
        <v>750</v>
      </c>
      <c r="AG675" s="29">
        <v>233</v>
      </c>
      <c r="AH675" s="22">
        <v>230</v>
      </c>
      <c r="AI675" s="22">
        <v>227</v>
      </c>
      <c r="AJ675" s="22">
        <v>224</v>
      </c>
      <c r="AK675" s="22">
        <v>221</v>
      </c>
      <c r="AL675" s="22">
        <v>218</v>
      </c>
      <c r="AM675" s="22">
        <v>215</v>
      </c>
      <c r="AN675" s="22">
        <v>212</v>
      </c>
      <c r="AO675" s="22">
        <v>210</v>
      </c>
      <c r="AP675" s="22">
        <v>206</v>
      </c>
      <c r="AQ675" s="22">
        <v>204</v>
      </c>
      <c r="AR675" s="22">
        <v>201</v>
      </c>
      <c r="AS675" s="22">
        <v>198</v>
      </c>
      <c r="AT675" s="22">
        <v>195</v>
      </c>
      <c r="AU675" s="22">
        <v>191</v>
      </c>
      <c r="AV675" s="22">
        <v>188</v>
      </c>
      <c r="AW675" s="22">
        <v>186</v>
      </c>
      <c r="AX675" s="22">
        <v>182</v>
      </c>
      <c r="AY675" s="22">
        <v>180</v>
      </c>
      <c r="AZ675" s="22">
        <v>176</v>
      </c>
      <c r="BA675" s="647">
        <v>173</v>
      </c>
      <c r="BB675" s="647">
        <v>170</v>
      </c>
      <c r="BC675" s="30">
        <v>168</v>
      </c>
    </row>
    <row r="676" spans="1:55" s="426" customFormat="1" x14ac:dyDescent="0.25">
      <c r="A676" s="41">
        <f t="shared" si="131"/>
        <v>0</v>
      </c>
      <c r="B676" s="2">
        <v>750</v>
      </c>
      <c r="C676" s="2">
        <v>800</v>
      </c>
      <c r="D676" s="26">
        <f t="shared" si="135"/>
        <v>178</v>
      </c>
      <c r="E676" s="2">
        <f t="shared" si="133"/>
        <v>176</v>
      </c>
      <c r="F676" s="2">
        <f t="shared" si="133"/>
        <v>174</v>
      </c>
      <c r="G676" s="2">
        <f t="shared" si="133"/>
        <v>171</v>
      </c>
      <c r="H676" s="2">
        <f t="shared" si="133"/>
        <v>169</v>
      </c>
      <c r="I676" s="2">
        <f t="shared" si="133"/>
        <v>166</v>
      </c>
      <c r="J676" s="2">
        <f t="shared" si="133"/>
        <v>164</v>
      </c>
      <c r="K676" s="2">
        <f t="shared" si="133"/>
        <v>162</v>
      </c>
      <c r="L676" s="2">
        <f t="shared" si="133"/>
        <v>160</v>
      </c>
      <c r="M676" s="2">
        <f t="shared" si="133"/>
        <v>157</v>
      </c>
      <c r="N676" s="2">
        <f t="shared" si="133"/>
        <v>156</v>
      </c>
      <c r="O676" s="2">
        <f t="shared" si="133"/>
        <v>153</v>
      </c>
      <c r="P676" s="2">
        <f t="shared" si="133"/>
        <v>151</v>
      </c>
      <c r="Q676" s="2">
        <f t="shared" si="133"/>
        <v>148</v>
      </c>
      <c r="R676" s="2">
        <f t="shared" si="133"/>
        <v>145</v>
      </c>
      <c r="S676" s="2">
        <f t="shared" si="133"/>
        <v>143</v>
      </c>
      <c r="T676" s="2">
        <f t="shared" si="133"/>
        <v>143</v>
      </c>
      <c r="U676" s="2">
        <f t="shared" si="134"/>
        <v>138</v>
      </c>
      <c r="V676" s="2">
        <f t="shared" si="134"/>
        <v>137</v>
      </c>
      <c r="W676" s="2">
        <f t="shared" si="134"/>
        <v>134</v>
      </c>
      <c r="X676" s="2">
        <f t="shared" si="134"/>
        <v>131</v>
      </c>
      <c r="Y676" s="2">
        <f t="shared" si="134"/>
        <v>129</v>
      </c>
      <c r="Z676" s="25">
        <f t="shared" si="134"/>
        <v>127</v>
      </c>
      <c r="AA676" s="1308"/>
      <c r="AD676" s="713"/>
      <c r="AE676" s="2">
        <v>750</v>
      </c>
      <c r="AF676" s="25">
        <v>800</v>
      </c>
      <c r="AG676" s="29">
        <v>229</v>
      </c>
      <c r="AH676" s="22">
        <v>226</v>
      </c>
      <c r="AI676" s="22">
        <v>224</v>
      </c>
      <c r="AJ676" s="22">
        <v>220</v>
      </c>
      <c r="AK676" s="22">
        <v>217</v>
      </c>
      <c r="AL676" s="22">
        <v>214</v>
      </c>
      <c r="AM676" s="22">
        <v>211</v>
      </c>
      <c r="AN676" s="22">
        <v>208</v>
      </c>
      <c r="AO676" s="22">
        <v>206</v>
      </c>
      <c r="AP676" s="22">
        <v>202</v>
      </c>
      <c r="AQ676" s="22">
        <v>200</v>
      </c>
      <c r="AR676" s="22">
        <v>197</v>
      </c>
      <c r="AS676" s="22">
        <v>194</v>
      </c>
      <c r="AT676" s="22">
        <v>191</v>
      </c>
      <c r="AU676" s="22">
        <v>187</v>
      </c>
      <c r="AV676" s="22">
        <v>184</v>
      </c>
      <c r="AW676" s="22">
        <v>184</v>
      </c>
      <c r="AX676" s="22">
        <v>178</v>
      </c>
      <c r="AY676" s="22">
        <v>176</v>
      </c>
      <c r="AZ676" s="22">
        <v>172</v>
      </c>
      <c r="BA676" s="647">
        <v>169</v>
      </c>
      <c r="BB676" s="647">
        <v>166</v>
      </c>
      <c r="BC676" s="30">
        <v>164</v>
      </c>
    </row>
    <row r="677" spans="1:55" s="426" customFormat="1" x14ac:dyDescent="0.25">
      <c r="A677" s="41">
        <f t="shared" si="131"/>
        <v>0</v>
      </c>
      <c r="B677" s="2">
        <v>800</v>
      </c>
      <c r="C677" s="2">
        <v>850</v>
      </c>
      <c r="D677" s="26">
        <f t="shared" si="135"/>
        <v>175</v>
      </c>
      <c r="E677" s="2">
        <f t="shared" si="133"/>
        <v>173</v>
      </c>
      <c r="F677" s="2">
        <f t="shared" si="133"/>
        <v>171</v>
      </c>
      <c r="G677" s="2">
        <f t="shared" si="133"/>
        <v>168</v>
      </c>
      <c r="H677" s="2">
        <f t="shared" si="133"/>
        <v>166</v>
      </c>
      <c r="I677" s="2">
        <f t="shared" si="133"/>
        <v>163</v>
      </c>
      <c r="J677" s="2">
        <f t="shared" si="133"/>
        <v>160</v>
      </c>
      <c r="K677" s="2">
        <f t="shared" si="133"/>
        <v>159</v>
      </c>
      <c r="L677" s="2">
        <f t="shared" si="133"/>
        <v>157</v>
      </c>
      <c r="M677" s="2">
        <f t="shared" si="133"/>
        <v>154</v>
      </c>
      <c r="N677" s="2">
        <f t="shared" si="133"/>
        <v>152</v>
      </c>
      <c r="O677" s="2">
        <f t="shared" si="133"/>
        <v>151</v>
      </c>
      <c r="P677" s="2">
        <f t="shared" si="133"/>
        <v>148</v>
      </c>
      <c r="Q677" s="2">
        <f t="shared" si="133"/>
        <v>145</v>
      </c>
      <c r="R677" s="2">
        <f t="shared" si="133"/>
        <v>142</v>
      </c>
      <c r="S677" s="2">
        <f t="shared" si="133"/>
        <v>140</v>
      </c>
      <c r="T677" s="2">
        <f t="shared" si="133"/>
        <v>140</v>
      </c>
      <c r="U677" s="2">
        <f t="shared" si="134"/>
        <v>135</v>
      </c>
      <c r="V677" s="2">
        <f t="shared" si="134"/>
        <v>134</v>
      </c>
      <c r="W677" s="2">
        <f t="shared" si="134"/>
        <v>131</v>
      </c>
      <c r="X677" s="2">
        <f t="shared" si="134"/>
        <v>128</v>
      </c>
      <c r="Y677" s="2">
        <f t="shared" si="134"/>
        <v>126</v>
      </c>
      <c r="Z677" s="25">
        <f t="shared" si="134"/>
        <v>124</v>
      </c>
      <c r="AA677" s="1308"/>
      <c r="AD677" s="713"/>
      <c r="AE677" s="2">
        <v>800</v>
      </c>
      <c r="AF677" s="25">
        <v>850</v>
      </c>
      <c r="AG677" s="29">
        <v>225</v>
      </c>
      <c r="AH677" s="22">
        <v>222</v>
      </c>
      <c r="AI677" s="22">
        <v>220</v>
      </c>
      <c r="AJ677" s="22">
        <v>216</v>
      </c>
      <c r="AK677" s="22">
        <v>213</v>
      </c>
      <c r="AL677" s="22">
        <v>210</v>
      </c>
      <c r="AM677" s="22">
        <v>206</v>
      </c>
      <c r="AN677" s="22">
        <v>204</v>
      </c>
      <c r="AO677" s="22">
        <v>202</v>
      </c>
      <c r="AP677" s="22">
        <v>198</v>
      </c>
      <c r="AQ677" s="22">
        <v>196</v>
      </c>
      <c r="AR677" s="22">
        <v>194</v>
      </c>
      <c r="AS677" s="22">
        <v>190</v>
      </c>
      <c r="AT677" s="22">
        <v>187</v>
      </c>
      <c r="AU677" s="22">
        <v>183</v>
      </c>
      <c r="AV677" s="22">
        <v>180</v>
      </c>
      <c r="AW677" s="22">
        <v>180</v>
      </c>
      <c r="AX677" s="22">
        <v>174</v>
      </c>
      <c r="AY677" s="22">
        <v>172</v>
      </c>
      <c r="AZ677" s="22">
        <v>168</v>
      </c>
      <c r="BA677" s="647">
        <v>165</v>
      </c>
      <c r="BB677" s="647">
        <v>162</v>
      </c>
      <c r="BC677" s="30">
        <v>160</v>
      </c>
    </row>
    <row r="678" spans="1:55" s="426" customFormat="1" ht="15.75" thickBot="1" x14ac:dyDescent="0.3">
      <c r="A678" s="41">
        <f t="shared" si="131"/>
        <v>0</v>
      </c>
      <c r="B678" s="1050">
        <v>850</v>
      </c>
      <c r="C678" s="1051">
        <v>900</v>
      </c>
      <c r="D678" s="1050">
        <f t="shared" si="135"/>
        <v>171</v>
      </c>
      <c r="E678" s="1051">
        <f t="shared" si="133"/>
        <v>170</v>
      </c>
      <c r="F678" s="1051">
        <f t="shared" si="133"/>
        <v>168</v>
      </c>
      <c r="G678" s="1051">
        <f t="shared" si="133"/>
        <v>166</v>
      </c>
      <c r="H678" s="1051">
        <f t="shared" si="133"/>
        <v>163</v>
      </c>
      <c r="I678" s="1051">
        <f t="shared" si="133"/>
        <v>160</v>
      </c>
      <c r="J678" s="1051">
        <f t="shared" si="133"/>
        <v>157</v>
      </c>
      <c r="K678" s="1051">
        <f t="shared" si="133"/>
        <v>156</v>
      </c>
      <c r="L678" s="1051">
        <f t="shared" si="133"/>
        <v>154</v>
      </c>
      <c r="M678" s="1051">
        <f t="shared" si="133"/>
        <v>151</v>
      </c>
      <c r="N678" s="1051">
        <f t="shared" si="133"/>
        <v>149</v>
      </c>
      <c r="O678" s="1051">
        <f t="shared" si="133"/>
        <v>148</v>
      </c>
      <c r="P678" s="1051">
        <f t="shared" si="133"/>
        <v>145</v>
      </c>
      <c r="Q678" s="1051">
        <f t="shared" si="133"/>
        <v>142</v>
      </c>
      <c r="R678" s="1051">
        <f t="shared" si="133"/>
        <v>139</v>
      </c>
      <c r="S678" s="1051">
        <f t="shared" si="133"/>
        <v>137</v>
      </c>
      <c r="T678" s="1051">
        <f t="shared" si="133"/>
        <v>137</v>
      </c>
      <c r="U678" s="1051">
        <f t="shared" si="134"/>
        <v>132</v>
      </c>
      <c r="V678" s="1051">
        <f t="shared" si="134"/>
        <v>131</v>
      </c>
      <c r="W678" s="1051">
        <f t="shared" si="134"/>
        <v>127</v>
      </c>
      <c r="X678" s="1051">
        <f t="shared" si="134"/>
        <v>126</v>
      </c>
      <c r="Y678" s="1051">
        <f t="shared" si="134"/>
        <v>123</v>
      </c>
      <c r="Z678" s="1052">
        <f t="shared" si="134"/>
        <v>121</v>
      </c>
      <c r="AA678" s="1308"/>
      <c r="AD678" s="713"/>
      <c r="AE678" s="1050">
        <v>850</v>
      </c>
      <c r="AF678" s="1052">
        <v>900</v>
      </c>
      <c r="AG678" s="1053">
        <v>220</v>
      </c>
      <c r="AH678" s="1054">
        <v>218</v>
      </c>
      <c r="AI678" s="1054">
        <v>216</v>
      </c>
      <c r="AJ678" s="1054">
        <v>214</v>
      </c>
      <c r="AK678" s="1054">
        <v>209</v>
      </c>
      <c r="AL678" s="1054">
        <v>206</v>
      </c>
      <c r="AM678" s="1054">
        <v>202</v>
      </c>
      <c r="AN678" s="1054">
        <v>200</v>
      </c>
      <c r="AO678" s="1054">
        <v>198</v>
      </c>
      <c r="AP678" s="1054">
        <v>194</v>
      </c>
      <c r="AQ678" s="1054">
        <v>192</v>
      </c>
      <c r="AR678" s="1054">
        <v>190</v>
      </c>
      <c r="AS678" s="1054">
        <v>186</v>
      </c>
      <c r="AT678" s="1054">
        <v>183</v>
      </c>
      <c r="AU678" s="1054">
        <v>179</v>
      </c>
      <c r="AV678" s="1054">
        <v>176</v>
      </c>
      <c r="AW678" s="1054">
        <v>176</v>
      </c>
      <c r="AX678" s="1054">
        <v>170</v>
      </c>
      <c r="AY678" s="1054">
        <v>168</v>
      </c>
      <c r="AZ678" s="1054">
        <v>164</v>
      </c>
      <c r="BA678" s="1055">
        <v>162</v>
      </c>
      <c r="BB678" s="1055">
        <v>158</v>
      </c>
      <c r="BC678" s="1056">
        <v>156</v>
      </c>
    </row>
    <row r="679" spans="1:55" s="426" customFormat="1" ht="15.75" thickBot="1" x14ac:dyDescent="0.3">
      <c r="A679" s="41">
        <f t="shared" si="131"/>
        <v>0</v>
      </c>
      <c r="B679" s="2">
        <v>900</v>
      </c>
      <c r="C679" s="2">
        <v>950</v>
      </c>
      <c r="D679" s="26">
        <f>FLOOR($AD$679*AG679,1)</f>
        <v>150</v>
      </c>
      <c r="E679" s="2">
        <f t="shared" si="133"/>
        <v>165</v>
      </c>
      <c r="F679" s="2">
        <f t="shared" si="133"/>
        <v>163</v>
      </c>
      <c r="G679" s="2">
        <f t="shared" si="133"/>
        <v>162</v>
      </c>
      <c r="H679" s="2">
        <f t="shared" si="133"/>
        <v>159</v>
      </c>
      <c r="I679" s="2">
        <f t="shared" si="133"/>
        <v>156</v>
      </c>
      <c r="J679" s="2">
        <f t="shared" si="133"/>
        <v>154</v>
      </c>
      <c r="K679" s="2">
        <f t="shared" si="133"/>
        <v>152</v>
      </c>
      <c r="L679" s="2">
        <f t="shared" si="133"/>
        <v>151</v>
      </c>
      <c r="M679" s="2">
        <f t="shared" si="133"/>
        <v>148</v>
      </c>
      <c r="N679" s="2">
        <f t="shared" si="133"/>
        <v>146</v>
      </c>
      <c r="O679" s="2">
        <f t="shared" si="133"/>
        <v>145</v>
      </c>
      <c r="P679" s="2">
        <f t="shared" si="133"/>
        <v>141</v>
      </c>
      <c r="Q679" s="2">
        <f t="shared" si="133"/>
        <v>139</v>
      </c>
      <c r="R679" s="2">
        <f t="shared" si="133"/>
        <v>136</v>
      </c>
      <c r="S679" s="2">
        <f t="shared" si="133"/>
        <v>134</v>
      </c>
      <c r="T679" s="2">
        <f t="shared" si="133"/>
        <v>134</v>
      </c>
      <c r="U679" s="2">
        <f t="shared" si="134"/>
        <v>129</v>
      </c>
      <c r="V679" s="2">
        <f t="shared" si="134"/>
        <v>127</v>
      </c>
      <c r="W679" s="2">
        <f t="shared" si="134"/>
        <v>124</v>
      </c>
      <c r="X679" s="2">
        <f t="shared" si="134"/>
        <v>123</v>
      </c>
      <c r="Y679" s="2">
        <f t="shared" si="134"/>
        <v>120</v>
      </c>
      <c r="Z679" s="25">
        <f t="shared" si="134"/>
        <v>118</v>
      </c>
      <c r="AA679" s="1308"/>
      <c r="AD679" s="1058">
        <v>0.7</v>
      </c>
      <c r="AE679" s="2">
        <v>900</v>
      </c>
      <c r="AF679" s="25">
        <v>950</v>
      </c>
      <c r="AG679" s="29">
        <v>215</v>
      </c>
      <c r="AH679" s="22">
        <v>212</v>
      </c>
      <c r="AI679" s="22">
        <v>210</v>
      </c>
      <c r="AJ679" s="22">
        <v>208</v>
      </c>
      <c r="AK679" s="22">
        <v>204</v>
      </c>
      <c r="AL679" s="22">
        <v>201</v>
      </c>
      <c r="AM679" s="22">
        <v>198</v>
      </c>
      <c r="AN679" s="22">
        <v>196</v>
      </c>
      <c r="AO679" s="22">
        <v>194</v>
      </c>
      <c r="AP679" s="22">
        <v>190</v>
      </c>
      <c r="AQ679" s="22">
        <v>188</v>
      </c>
      <c r="AR679" s="22">
        <v>186</v>
      </c>
      <c r="AS679" s="22">
        <v>182</v>
      </c>
      <c r="AT679" s="22">
        <v>179</v>
      </c>
      <c r="AU679" s="22">
        <v>175</v>
      </c>
      <c r="AV679" s="22">
        <v>172</v>
      </c>
      <c r="AW679" s="22">
        <v>172</v>
      </c>
      <c r="AX679" s="22">
        <v>166</v>
      </c>
      <c r="AY679" s="22">
        <v>164</v>
      </c>
      <c r="AZ679" s="22">
        <v>160</v>
      </c>
      <c r="BA679" s="647">
        <v>158</v>
      </c>
      <c r="BB679" s="647">
        <v>154</v>
      </c>
      <c r="BC679" s="30">
        <v>152</v>
      </c>
    </row>
    <row r="680" spans="1:55" s="426" customFormat="1" x14ac:dyDescent="0.25">
      <c r="A680" s="41">
        <f t="shared" si="131"/>
        <v>0</v>
      </c>
      <c r="B680" s="2">
        <v>950</v>
      </c>
      <c r="C680" s="2">
        <v>1000</v>
      </c>
      <c r="D680" s="26">
        <f t="shared" si="135"/>
        <v>163</v>
      </c>
      <c r="E680" s="2">
        <f t="shared" si="133"/>
        <v>160</v>
      </c>
      <c r="F680" s="2">
        <f t="shared" si="133"/>
        <v>159</v>
      </c>
      <c r="G680" s="2">
        <f t="shared" si="133"/>
        <v>157</v>
      </c>
      <c r="H680" s="2">
        <f t="shared" si="133"/>
        <v>155</v>
      </c>
      <c r="I680" s="2">
        <f t="shared" si="133"/>
        <v>152</v>
      </c>
      <c r="J680" s="2">
        <f t="shared" si="133"/>
        <v>150</v>
      </c>
      <c r="K680" s="2">
        <f t="shared" si="133"/>
        <v>149</v>
      </c>
      <c r="L680" s="2">
        <f t="shared" si="133"/>
        <v>146</v>
      </c>
      <c r="M680" s="2">
        <f t="shared" si="133"/>
        <v>145</v>
      </c>
      <c r="N680" s="2">
        <f t="shared" si="133"/>
        <v>143</v>
      </c>
      <c r="O680" s="2">
        <f t="shared" si="133"/>
        <v>141</v>
      </c>
      <c r="P680" s="2">
        <f t="shared" si="133"/>
        <v>138</v>
      </c>
      <c r="Q680" s="2">
        <f t="shared" si="133"/>
        <v>136</v>
      </c>
      <c r="R680" s="2">
        <f t="shared" si="133"/>
        <v>133</v>
      </c>
      <c r="S680" s="2">
        <f t="shared" si="133"/>
        <v>131</v>
      </c>
      <c r="T680" s="2">
        <f t="shared" si="133"/>
        <v>131</v>
      </c>
      <c r="U680" s="2">
        <f t="shared" si="134"/>
        <v>127</v>
      </c>
      <c r="V680" s="2">
        <f t="shared" si="134"/>
        <v>124</v>
      </c>
      <c r="W680" s="2">
        <f t="shared" si="134"/>
        <v>122</v>
      </c>
      <c r="X680" s="2">
        <f t="shared" si="134"/>
        <v>120</v>
      </c>
      <c r="Y680" s="2">
        <f t="shared" si="134"/>
        <v>117</v>
      </c>
      <c r="Z680" s="25">
        <f t="shared" si="134"/>
        <v>115</v>
      </c>
      <c r="AA680" s="1308"/>
      <c r="AD680" s="713"/>
      <c r="AE680" s="2">
        <v>950</v>
      </c>
      <c r="AF680" s="25">
        <v>1000</v>
      </c>
      <c r="AG680" s="29">
        <v>210</v>
      </c>
      <c r="AH680" s="22">
        <v>206</v>
      </c>
      <c r="AI680" s="22">
        <v>204</v>
      </c>
      <c r="AJ680" s="22">
        <v>202</v>
      </c>
      <c r="AK680" s="22">
        <v>199</v>
      </c>
      <c r="AL680" s="22">
        <v>195</v>
      </c>
      <c r="AM680" s="22">
        <v>193</v>
      </c>
      <c r="AN680" s="22">
        <v>192</v>
      </c>
      <c r="AO680" s="22">
        <v>188</v>
      </c>
      <c r="AP680" s="22">
        <v>186</v>
      </c>
      <c r="AQ680" s="22">
        <v>184</v>
      </c>
      <c r="AR680" s="22">
        <v>182</v>
      </c>
      <c r="AS680" s="22">
        <v>178</v>
      </c>
      <c r="AT680" s="22">
        <v>175</v>
      </c>
      <c r="AU680" s="22">
        <v>171</v>
      </c>
      <c r="AV680" s="22">
        <v>168</v>
      </c>
      <c r="AW680" s="22">
        <v>168</v>
      </c>
      <c r="AX680" s="22">
        <v>163</v>
      </c>
      <c r="AY680" s="22">
        <v>160</v>
      </c>
      <c r="AZ680" s="22">
        <v>157</v>
      </c>
      <c r="BA680" s="647">
        <v>154</v>
      </c>
      <c r="BB680" s="647">
        <v>150</v>
      </c>
      <c r="BC680" s="30">
        <v>148</v>
      </c>
    </row>
    <row r="681" spans="1:55" s="426" customFormat="1" x14ac:dyDescent="0.25">
      <c r="A681" s="41">
        <f t="shared" si="131"/>
        <v>0</v>
      </c>
      <c r="B681" s="2">
        <v>1000</v>
      </c>
      <c r="C681" s="2">
        <v>1050</v>
      </c>
      <c r="D681" s="26">
        <f t="shared" si="135"/>
        <v>159</v>
      </c>
      <c r="E681" s="2">
        <f t="shared" si="133"/>
        <v>156</v>
      </c>
      <c r="F681" s="2">
        <f t="shared" si="133"/>
        <v>154</v>
      </c>
      <c r="G681" s="2">
        <f t="shared" si="133"/>
        <v>152</v>
      </c>
      <c r="H681" s="2">
        <f t="shared" si="133"/>
        <v>151</v>
      </c>
      <c r="I681" s="2">
        <f t="shared" si="133"/>
        <v>148</v>
      </c>
      <c r="J681" s="2">
        <f t="shared" si="133"/>
        <v>146</v>
      </c>
      <c r="K681" s="2">
        <f t="shared" si="133"/>
        <v>145</v>
      </c>
      <c r="L681" s="2">
        <f t="shared" si="133"/>
        <v>143</v>
      </c>
      <c r="M681" s="2">
        <f t="shared" si="133"/>
        <v>141</v>
      </c>
      <c r="N681" s="2">
        <f t="shared" si="133"/>
        <v>140</v>
      </c>
      <c r="O681" s="2">
        <f t="shared" si="133"/>
        <v>138</v>
      </c>
      <c r="P681" s="2">
        <f t="shared" si="133"/>
        <v>135</v>
      </c>
      <c r="Q681" s="2">
        <f t="shared" si="133"/>
        <v>133</v>
      </c>
      <c r="R681" s="2">
        <f t="shared" si="133"/>
        <v>131</v>
      </c>
      <c r="S681" s="2">
        <f t="shared" si="133"/>
        <v>128</v>
      </c>
      <c r="T681" s="2">
        <f t="shared" si="133"/>
        <v>127</v>
      </c>
      <c r="U681" s="2">
        <f t="shared" si="134"/>
        <v>124</v>
      </c>
      <c r="V681" s="2">
        <f t="shared" si="134"/>
        <v>123</v>
      </c>
      <c r="W681" s="2">
        <f t="shared" si="134"/>
        <v>120</v>
      </c>
      <c r="X681" s="2">
        <f t="shared" si="134"/>
        <v>118</v>
      </c>
      <c r="Y681" s="2">
        <f t="shared" si="134"/>
        <v>115</v>
      </c>
      <c r="Z681" s="25">
        <f t="shared" si="134"/>
        <v>113</v>
      </c>
      <c r="AA681" s="1308"/>
      <c r="AD681" s="713"/>
      <c r="AE681" s="2">
        <v>1000</v>
      </c>
      <c r="AF681" s="25">
        <v>1050</v>
      </c>
      <c r="AG681" s="29">
        <v>205</v>
      </c>
      <c r="AH681" s="22">
        <v>200</v>
      </c>
      <c r="AI681" s="22">
        <v>198</v>
      </c>
      <c r="AJ681" s="22">
        <v>196</v>
      </c>
      <c r="AK681" s="22">
        <v>194</v>
      </c>
      <c r="AL681" s="22">
        <v>190</v>
      </c>
      <c r="AM681" s="22">
        <v>188</v>
      </c>
      <c r="AN681" s="22">
        <v>186</v>
      </c>
      <c r="AO681" s="22">
        <v>184</v>
      </c>
      <c r="AP681" s="22">
        <v>182</v>
      </c>
      <c r="AQ681" s="22">
        <v>180</v>
      </c>
      <c r="AR681" s="22">
        <v>178</v>
      </c>
      <c r="AS681" s="22">
        <v>174</v>
      </c>
      <c r="AT681" s="22">
        <v>171</v>
      </c>
      <c r="AU681" s="22">
        <v>168</v>
      </c>
      <c r="AV681" s="22">
        <v>165</v>
      </c>
      <c r="AW681" s="22">
        <v>164</v>
      </c>
      <c r="AX681" s="22">
        <v>160</v>
      </c>
      <c r="AY681" s="22">
        <v>158</v>
      </c>
      <c r="AZ681" s="22">
        <v>154</v>
      </c>
      <c r="BA681" s="647">
        <v>152</v>
      </c>
      <c r="BB681" s="647">
        <v>148</v>
      </c>
      <c r="BC681" s="30">
        <v>146</v>
      </c>
    </row>
    <row r="682" spans="1:55" s="426" customFormat="1" x14ac:dyDescent="0.25">
      <c r="A682" s="41">
        <f t="shared" si="131"/>
        <v>0</v>
      </c>
      <c r="B682" s="2">
        <v>1050</v>
      </c>
      <c r="C682" s="2">
        <v>1100</v>
      </c>
      <c r="D682" s="26">
        <f t="shared" si="135"/>
        <v>156</v>
      </c>
      <c r="E682" s="2">
        <f t="shared" si="133"/>
        <v>151</v>
      </c>
      <c r="F682" s="2">
        <f t="shared" si="133"/>
        <v>149</v>
      </c>
      <c r="G682" s="2">
        <f t="shared" si="133"/>
        <v>148</v>
      </c>
      <c r="H682" s="2">
        <f t="shared" si="133"/>
        <v>146</v>
      </c>
      <c r="I682" s="2">
        <f t="shared" si="133"/>
        <v>145</v>
      </c>
      <c r="J682" s="2">
        <f t="shared" si="133"/>
        <v>143</v>
      </c>
      <c r="K682" s="2">
        <f t="shared" si="133"/>
        <v>141</v>
      </c>
      <c r="L682" s="2">
        <f t="shared" si="133"/>
        <v>139</v>
      </c>
      <c r="M682" s="2">
        <f t="shared" si="133"/>
        <v>138</v>
      </c>
      <c r="N682" s="2">
        <f t="shared" si="133"/>
        <v>137</v>
      </c>
      <c r="O682" s="2">
        <f t="shared" si="133"/>
        <v>135</v>
      </c>
      <c r="P682" s="2">
        <f t="shared" si="133"/>
        <v>132</v>
      </c>
      <c r="Q682" s="2">
        <f t="shared" si="133"/>
        <v>130</v>
      </c>
      <c r="R682" s="2">
        <f t="shared" si="133"/>
        <v>127</v>
      </c>
      <c r="S682" s="2">
        <f t="shared" si="133"/>
        <v>126</v>
      </c>
      <c r="T682" s="2">
        <f t="shared" si="133"/>
        <v>124</v>
      </c>
      <c r="U682" s="2">
        <f t="shared" si="134"/>
        <v>123</v>
      </c>
      <c r="V682" s="2">
        <f t="shared" si="134"/>
        <v>121</v>
      </c>
      <c r="W682" s="2">
        <f t="shared" si="134"/>
        <v>118</v>
      </c>
      <c r="X682" s="2">
        <f t="shared" si="134"/>
        <v>117</v>
      </c>
      <c r="Y682" s="2">
        <f t="shared" si="134"/>
        <v>113</v>
      </c>
      <c r="Z682" s="25">
        <f t="shared" si="134"/>
        <v>112</v>
      </c>
      <c r="AA682" s="1308"/>
      <c r="AD682" s="713"/>
      <c r="AE682" s="2">
        <v>1050</v>
      </c>
      <c r="AF682" s="25">
        <v>1100</v>
      </c>
      <c r="AG682" s="29">
        <v>200</v>
      </c>
      <c r="AH682" s="22">
        <v>194</v>
      </c>
      <c r="AI682" s="22">
        <v>192</v>
      </c>
      <c r="AJ682" s="22">
        <v>190</v>
      </c>
      <c r="AK682" s="22">
        <v>188</v>
      </c>
      <c r="AL682" s="22">
        <v>186</v>
      </c>
      <c r="AM682" s="22">
        <v>184</v>
      </c>
      <c r="AN682" s="22">
        <v>181</v>
      </c>
      <c r="AO682" s="22">
        <v>179</v>
      </c>
      <c r="AP682" s="22">
        <v>178</v>
      </c>
      <c r="AQ682" s="22">
        <v>176</v>
      </c>
      <c r="AR682" s="22">
        <v>174</v>
      </c>
      <c r="AS682" s="22">
        <v>170</v>
      </c>
      <c r="AT682" s="22">
        <v>167</v>
      </c>
      <c r="AU682" s="22">
        <v>164</v>
      </c>
      <c r="AV682" s="22">
        <v>162</v>
      </c>
      <c r="AW682" s="22">
        <v>160</v>
      </c>
      <c r="AX682" s="22">
        <v>158</v>
      </c>
      <c r="AY682" s="22">
        <v>156</v>
      </c>
      <c r="AZ682" s="22">
        <v>152</v>
      </c>
      <c r="BA682" s="22">
        <v>150</v>
      </c>
      <c r="BB682" s="22">
        <v>146</v>
      </c>
      <c r="BC682" s="30">
        <v>144</v>
      </c>
    </row>
    <row r="683" spans="1:55" s="426" customFormat="1" x14ac:dyDescent="0.25">
      <c r="A683" s="41">
        <f t="shared" si="131"/>
        <v>0</v>
      </c>
      <c r="B683" s="2">
        <v>1100</v>
      </c>
      <c r="C683" s="2">
        <v>1150</v>
      </c>
      <c r="D683" s="26">
        <f t="shared" si="135"/>
        <v>151</v>
      </c>
      <c r="E683" s="2">
        <f t="shared" si="133"/>
        <v>147</v>
      </c>
      <c r="F683" s="2">
        <f t="shared" si="133"/>
        <v>145</v>
      </c>
      <c r="G683" s="2">
        <f t="shared" si="133"/>
        <v>144</v>
      </c>
      <c r="H683" s="2">
        <f t="shared" si="133"/>
        <v>143</v>
      </c>
      <c r="I683" s="2">
        <f t="shared" si="133"/>
        <v>141</v>
      </c>
      <c r="J683" s="2">
        <f t="shared" si="133"/>
        <v>140</v>
      </c>
      <c r="K683" s="2">
        <f t="shared" si="133"/>
        <v>138</v>
      </c>
      <c r="L683" s="2">
        <f t="shared" si="133"/>
        <v>136</v>
      </c>
      <c r="M683" s="2">
        <f t="shared" si="133"/>
        <v>135</v>
      </c>
      <c r="N683" s="2">
        <f t="shared" si="133"/>
        <v>134</v>
      </c>
      <c r="O683" s="2">
        <f t="shared" si="133"/>
        <v>132</v>
      </c>
      <c r="P683" s="2">
        <f t="shared" si="133"/>
        <v>131</v>
      </c>
      <c r="Q683" s="2">
        <f t="shared" si="133"/>
        <v>127</v>
      </c>
      <c r="R683" s="2">
        <f t="shared" si="133"/>
        <v>126</v>
      </c>
      <c r="S683" s="2">
        <f t="shared" si="133"/>
        <v>124</v>
      </c>
      <c r="T683" s="2">
        <f t="shared" si="133"/>
        <v>123</v>
      </c>
      <c r="U683" s="2">
        <f t="shared" si="134"/>
        <v>121</v>
      </c>
      <c r="V683" s="2">
        <f t="shared" si="134"/>
        <v>120</v>
      </c>
      <c r="W683" s="2">
        <f t="shared" si="134"/>
        <v>117</v>
      </c>
      <c r="X683" s="2">
        <f t="shared" si="134"/>
        <v>115</v>
      </c>
      <c r="Y683" s="2">
        <f t="shared" si="134"/>
        <v>112</v>
      </c>
      <c r="Z683" s="25">
        <f t="shared" si="134"/>
        <v>110</v>
      </c>
      <c r="AA683" s="1308"/>
      <c r="AD683" s="713"/>
      <c r="AE683" s="2">
        <v>1100</v>
      </c>
      <c r="AF683" s="25">
        <v>1150</v>
      </c>
      <c r="AG683" s="29">
        <v>194</v>
      </c>
      <c r="AH683" s="22">
        <v>189</v>
      </c>
      <c r="AI683" s="22">
        <v>187</v>
      </c>
      <c r="AJ683" s="22">
        <v>185</v>
      </c>
      <c r="AK683" s="22">
        <v>184</v>
      </c>
      <c r="AL683" s="22">
        <v>182</v>
      </c>
      <c r="AM683" s="22">
        <v>180</v>
      </c>
      <c r="AN683" s="22">
        <v>177</v>
      </c>
      <c r="AO683" s="22">
        <v>175</v>
      </c>
      <c r="AP683" s="22">
        <v>174</v>
      </c>
      <c r="AQ683" s="22">
        <v>172</v>
      </c>
      <c r="AR683" s="22">
        <v>170</v>
      </c>
      <c r="AS683" s="22">
        <v>168</v>
      </c>
      <c r="AT683" s="22">
        <v>164</v>
      </c>
      <c r="AU683" s="22">
        <v>162</v>
      </c>
      <c r="AV683" s="22">
        <v>160</v>
      </c>
      <c r="AW683" s="22">
        <v>158</v>
      </c>
      <c r="AX683" s="22">
        <v>156</v>
      </c>
      <c r="AY683" s="22">
        <v>154</v>
      </c>
      <c r="AZ683" s="22">
        <v>150</v>
      </c>
      <c r="BA683" s="22">
        <v>148</v>
      </c>
      <c r="BB683" s="22">
        <v>144</v>
      </c>
      <c r="BC683" s="30">
        <v>142</v>
      </c>
    </row>
    <row r="684" spans="1:55" s="426" customFormat="1" ht="15.75" thickBot="1" x14ac:dyDescent="0.3">
      <c r="A684" s="52">
        <f t="shared" si="131"/>
        <v>0</v>
      </c>
      <c r="B684" s="343">
        <v>1150</v>
      </c>
      <c r="C684" s="965">
        <v>1200</v>
      </c>
      <c r="D684" s="26">
        <f t="shared" si="135"/>
        <v>146</v>
      </c>
      <c r="E684" s="2">
        <f t="shared" si="133"/>
        <v>145</v>
      </c>
      <c r="F684" s="2">
        <f t="shared" si="133"/>
        <v>143</v>
      </c>
      <c r="G684" s="2">
        <f t="shared" si="133"/>
        <v>141</v>
      </c>
      <c r="H684" s="2">
        <f t="shared" si="133"/>
        <v>140</v>
      </c>
      <c r="I684" s="2">
        <f t="shared" si="133"/>
        <v>138</v>
      </c>
      <c r="J684" s="2">
        <f t="shared" si="133"/>
        <v>137</v>
      </c>
      <c r="K684" s="2">
        <f t="shared" si="133"/>
        <v>135</v>
      </c>
      <c r="L684" s="2">
        <f t="shared" si="133"/>
        <v>134</v>
      </c>
      <c r="M684" s="2">
        <f t="shared" si="133"/>
        <v>132</v>
      </c>
      <c r="N684" s="2">
        <f t="shared" si="133"/>
        <v>131</v>
      </c>
      <c r="O684" s="2">
        <f t="shared" si="133"/>
        <v>129</v>
      </c>
      <c r="P684" s="2">
        <f t="shared" si="133"/>
        <v>127</v>
      </c>
      <c r="Q684" s="2">
        <f t="shared" si="133"/>
        <v>126</v>
      </c>
      <c r="R684" s="2">
        <f t="shared" si="133"/>
        <v>124</v>
      </c>
      <c r="S684" s="2">
        <f t="shared" si="133"/>
        <v>123</v>
      </c>
      <c r="T684" s="2">
        <f t="shared" si="133"/>
        <v>121</v>
      </c>
      <c r="U684" s="2">
        <f t="shared" si="134"/>
        <v>120</v>
      </c>
      <c r="V684" s="2">
        <f t="shared" si="134"/>
        <v>117</v>
      </c>
      <c r="W684" s="2">
        <f t="shared" si="134"/>
        <v>115</v>
      </c>
      <c r="X684" s="2">
        <f t="shared" si="134"/>
        <v>113</v>
      </c>
      <c r="Y684" s="2">
        <f t="shared" si="134"/>
        <v>110</v>
      </c>
      <c r="Z684" s="25">
        <f t="shared" si="134"/>
        <v>108</v>
      </c>
      <c r="AA684" s="1309"/>
      <c r="AD684" s="713"/>
      <c r="AE684" s="965">
        <v>1150</v>
      </c>
      <c r="AF684" s="966">
        <v>1200</v>
      </c>
      <c r="AG684" s="649">
        <v>188</v>
      </c>
      <c r="AH684" s="344">
        <v>186</v>
      </c>
      <c r="AI684" s="344">
        <v>184</v>
      </c>
      <c r="AJ684" s="344">
        <v>182</v>
      </c>
      <c r="AK684" s="344">
        <v>180</v>
      </c>
      <c r="AL684" s="344">
        <v>178</v>
      </c>
      <c r="AM684" s="344">
        <v>176</v>
      </c>
      <c r="AN684" s="344">
        <v>174</v>
      </c>
      <c r="AO684" s="344">
        <v>172</v>
      </c>
      <c r="AP684" s="344">
        <v>170</v>
      </c>
      <c r="AQ684" s="344">
        <v>168</v>
      </c>
      <c r="AR684" s="344">
        <v>166</v>
      </c>
      <c r="AS684" s="344">
        <v>164</v>
      </c>
      <c r="AT684" s="344">
        <v>162</v>
      </c>
      <c r="AU684" s="344">
        <v>160</v>
      </c>
      <c r="AV684" s="344">
        <v>158</v>
      </c>
      <c r="AW684" s="344">
        <v>156</v>
      </c>
      <c r="AX684" s="344">
        <v>154</v>
      </c>
      <c r="AY684" s="344">
        <v>151</v>
      </c>
      <c r="AZ684" s="344">
        <v>148</v>
      </c>
      <c r="BA684" s="344">
        <v>145</v>
      </c>
      <c r="BB684" s="344">
        <v>142</v>
      </c>
      <c r="BC684" s="490">
        <v>139</v>
      </c>
    </row>
    <row r="685" spans="1:55" s="426" customFormat="1" ht="15.75" thickBot="1" x14ac:dyDescent="0.3">
      <c r="A685" s="404">
        <f t="shared" si="131"/>
        <v>0</v>
      </c>
      <c r="B685" s="449">
        <v>1200</v>
      </c>
      <c r="C685" s="449">
        <v>1250</v>
      </c>
      <c r="D685" s="3">
        <f>FLOOR($AD$685*AG685,1)</f>
        <v>92</v>
      </c>
      <c r="E685" s="449">
        <f t="shared" ref="E685:T688" si="136">FLOOR($AD$685*AH685,1)</f>
        <v>91</v>
      </c>
      <c r="F685" s="449">
        <f t="shared" si="136"/>
        <v>90</v>
      </c>
      <c r="G685" s="449">
        <f t="shared" si="136"/>
        <v>89</v>
      </c>
      <c r="H685" s="449">
        <f t="shared" si="136"/>
        <v>88</v>
      </c>
      <c r="I685" s="449">
        <f t="shared" si="136"/>
        <v>88</v>
      </c>
      <c r="J685" s="449">
        <f t="shared" si="136"/>
        <v>87</v>
      </c>
      <c r="K685" s="449">
        <f t="shared" si="136"/>
        <v>86</v>
      </c>
      <c r="L685" s="449">
        <f t="shared" si="136"/>
        <v>85</v>
      </c>
      <c r="M685" s="449">
        <f t="shared" si="136"/>
        <v>84</v>
      </c>
      <c r="N685" s="449">
        <f t="shared" si="136"/>
        <v>84</v>
      </c>
      <c r="O685" s="449">
        <f t="shared" si="136"/>
        <v>83</v>
      </c>
      <c r="P685" s="449">
        <f t="shared" si="136"/>
        <v>82</v>
      </c>
      <c r="Q685" s="449">
        <f t="shared" si="136"/>
        <v>81</v>
      </c>
      <c r="R685" s="449">
        <f t="shared" si="136"/>
        <v>80</v>
      </c>
      <c r="S685" s="449">
        <f t="shared" si="136"/>
        <v>80</v>
      </c>
      <c r="T685" s="449">
        <f t="shared" si="136"/>
        <v>79</v>
      </c>
      <c r="U685" s="449">
        <f t="shared" ref="U685:Z688" si="137">FLOOR($AD$685*AX685,1)</f>
        <v>77</v>
      </c>
      <c r="V685" s="449">
        <f t="shared" si="137"/>
        <v>76</v>
      </c>
      <c r="W685" s="449">
        <f t="shared" si="137"/>
        <v>74</v>
      </c>
      <c r="X685" s="449">
        <f t="shared" si="137"/>
        <v>72</v>
      </c>
      <c r="Y685" s="449">
        <f t="shared" si="137"/>
        <v>72</v>
      </c>
      <c r="Z685" s="435">
        <f t="shared" si="137"/>
        <v>72</v>
      </c>
      <c r="AA685" s="1307" t="s">
        <v>689</v>
      </c>
      <c r="AD685" s="1058">
        <v>0.8</v>
      </c>
      <c r="AE685" s="449">
        <v>1200</v>
      </c>
      <c r="AF685" s="435">
        <v>1250</v>
      </c>
      <c r="AG685" s="645">
        <v>115</v>
      </c>
      <c r="AH685" s="22">
        <v>114</v>
      </c>
      <c r="AI685" s="22">
        <v>113</v>
      </c>
      <c r="AJ685" s="22">
        <v>112</v>
      </c>
      <c r="AK685" s="22">
        <v>111</v>
      </c>
      <c r="AL685" s="22">
        <v>110</v>
      </c>
      <c r="AM685" s="22">
        <v>109</v>
      </c>
      <c r="AN685" s="22">
        <v>108</v>
      </c>
      <c r="AO685" s="22">
        <v>107</v>
      </c>
      <c r="AP685" s="22">
        <v>106</v>
      </c>
      <c r="AQ685" s="22">
        <v>105</v>
      </c>
      <c r="AR685" s="22">
        <v>104</v>
      </c>
      <c r="AS685" s="22">
        <v>103</v>
      </c>
      <c r="AT685" s="22">
        <v>102</v>
      </c>
      <c r="AU685" s="22">
        <v>101</v>
      </c>
      <c r="AV685" s="22">
        <v>100</v>
      </c>
      <c r="AW685" s="22">
        <v>99</v>
      </c>
      <c r="AX685" s="22">
        <v>97</v>
      </c>
      <c r="AY685" s="22">
        <v>95</v>
      </c>
      <c r="AZ685" s="22">
        <v>93</v>
      </c>
      <c r="BA685" s="22">
        <v>91</v>
      </c>
      <c r="BB685" s="22">
        <v>91</v>
      </c>
      <c r="BC685" s="30">
        <v>91</v>
      </c>
    </row>
    <row r="686" spans="1:55" s="426" customFormat="1" x14ac:dyDescent="0.25">
      <c r="A686" s="41">
        <f t="shared" si="131"/>
        <v>0</v>
      </c>
      <c r="B686" s="2">
        <v>1250</v>
      </c>
      <c r="C686" s="2">
        <v>1300</v>
      </c>
      <c r="D686" s="26">
        <f t="shared" ref="D686:D688" si="138">FLOOR($AD$685*AG686,1)</f>
        <v>88</v>
      </c>
      <c r="E686" s="2">
        <f t="shared" si="136"/>
        <v>87</v>
      </c>
      <c r="F686" s="2">
        <f t="shared" si="136"/>
        <v>86</v>
      </c>
      <c r="G686" s="2">
        <f t="shared" si="136"/>
        <v>85</v>
      </c>
      <c r="H686" s="2">
        <f t="shared" si="136"/>
        <v>84</v>
      </c>
      <c r="I686" s="2">
        <f t="shared" si="136"/>
        <v>84</v>
      </c>
      <c r="J686" s="2">
        <f t="shared" si="136"/>
        <v>83</v>
      </c>
      <c r="K686" s="2">
        <f t="shared" si="136"/>
        <v>82</v>
      </c>
      <c r="L686" s="2">
        <f t="shared" si="136"/>
        <v>81</v>
      </c>
      <c r="M686" s="2">
        <f t="shared" si="136"/>
        <v>80</v>
      </c>
      <c r="N686" s="2">
        <f t="shared" si="136"/>
        <v>80</v>
      </c>
      <c r="O686" s="2">
        <f t="shared" si="136"/>
        <v>80</v>
      </c>
      <c r="P686" s="2">
        <f t="shared" si="136"/>
        <v>79</v>
      </c>
      <c r="Q686" s="2">
        <f t="shared" si="136"/>
        <v>78</v>
      </c>
      <c r="R686" s="2">
        <f t="shared" si="136"/>
        <v>77</v>
      </c>
      <c r="S686" s="2">
        <f t="shared" si="136"/>
        <v>76</v>
      </c>
      <c r="T686" s="2">
        <f t="shared" si="136"/>
        <v>75</v>
      </c>
      <c r="U686" s="2">
        <f t="shared" si="137"/>
        <v>73</v>
      </c>
      <c r="V686" s="2">
        <f t="shared" si="137"/>
        <v>72</v>
      </c>
      <c r="W686" s="2">
        <f t="shared" si="137"/>
        <v>70</v>
      </c>
      <c r="X686" s="2">
        <f t="shared" si="137"/>
        <v>68</v>
      </c>
      <c r="Y686" s="2">
        <f t="shared" si="137"/>
        <v>68</v>
      </c>
      <c r="Z686" s="25">
        <f t="shared" si="137"/>
        <v>68</v>
      </c>
      <c r="AA686" s="1310"/>
      <c r="AD686" s="713"/>
      <c r="AE686" s="26">
        <v>1250</v>
      </c>
      <c r="AF686" s="25">
        <v>1300</v>
      </c>
      <c r="AG686" s="29">
        <v>110</v>
      </c>
      <c r="AH686" s="22">
        <v>109</v>
      </c>
      <c r="AI686" s="22">
        <v>108</v>
      </c>
      <c r="AJ686" s="22">
        <v>107</v>
      </c>
      <c r="AK686" s="22">
        <v>106</v>
      </c>
      <c r="AL686" s="22">
        <v>105</v>
      </c>
      <c r="AM686" s="22">
        <v>104</v>
      </c>
      <c r="AN686" s="22">
        <v>103</v>
      </c>
      <c r="AO686" s="22">
        <v>102</v>
      </c>
      <c r="AP686" s="22">
        <v>101</v>
      </c>
      <c r="AQ686" s="22">
        <v>100</v>
      </c>
      <c r="AR686" s="22">
        <v>100</v>
      </c>
      <c r="AS686" s="22">
        <v>99</v>
      </c>
      <c r="AT686" s="22">
        <v>98</v>
      </c>
      <c r="AU686" s="22">
        <v>97</v>
      </c>
      <c r="AV686" s="22">
        <v>96</v>
      </c>
      <c r="AW686" s="22">
        <v>94</v>
      </c>
      <c r="AX686" s="22">
        <v>92</v>
      </c>
      <c r="AY686" s="22">
        <v>90</v>
      </c>
      <c r="AZ686" s="22">
        <v>88</v>
      </c>
      <c r="BA686" s="22">
        <v>86</v>
      </c>
      <c r="BB686" s="22">
        <v>86</v>
      </c>
      <c r="BC686" s="30">
        <v>86</v>
      </c>
    </row>
    <row r="687" spans="1:55" s="426" customFormat="1" x14ac:dyDescent="0.25">
      <c r="A687" s="41">
        <f t="shared" si="131"/>
        <v>0</v>
      </c>
      <c r="B687" s="2">
        <v>1300</v>
      </c>
      <c r="C687" s="2">
        <v>1350</v>
      </c>
      <c r="D687" s="26">
        <f t="shared" si="138"/>
        <v>84</v>
      </c>
      <c r="E687" s="2">
        <f t="shared" si="136"/>
        <v>83</v>
      </c>
      <c r="F687" s="2">
        <f t="shared" si="136"/>
        <v>82</v>
      </c>
      <c r="G687" s="2">
        <f t="shared" si="136"/>
        <v>81</v>
      </c>
      <c r="H687" s="2">
        <f t="shared" si="136"/>
        <v>80</v>
      </c>
      <c r="I687" s="2">
        <f t="shared" si="136"/>
        <v>80</v>
      </c>
      <c r="J687" s="2">
        <f t="shared" si="136"/>
        <v>80</v>
      </c>
      <c r="K687" s="2">
        <f t="shared" si="136"/>
        <v>79</v>
      </c>
      <c r="L687" s="2">
        <f t="shared" si="136"/>
        <v>78</v>
      </c>
      <c r="M687" s="2">
        <f t="shared" si="136"/>
        <v>77</v>
      </c>
      <c r="N687" s="2">
        <f t="shared" si="136"/>
        <v>76</v>
      </c>
      <c r="O687" s="2">
        <f t="shared" si="136"/>
        <v>76</v>
      </c>
      <c r="P687" s="2">
        <f t="shared" si="136"/>
        <v>75</v>
      </c>
      <c r="Q687" s="2">
        <f t="shared" si="136"/>
        <v>74</v>
      </c>
      <c r="R687" s="2">
        <f t="shared" si="136"/>
        <v>73</v>
      </c>
      <c r="S687" s="2">
        <f t="shared" si="136"/>
        <v>72</v>
      </c>
      <c r="T687" s="2">
        <f t="shared" si="136"/>
        <v>71</v>
      </c>
      <c r="U687" s="2">
        <f t="shared" si="137"/>
        <v>69</v>
      </c>
      <c r="V687" s="2">
        <f t="shared" si="137"/>
        <v>68</v>
      </c>
      <c r="W687" s="2">
        <f t="shared" si="137"/>
        <v>66</v>
      </c>
      <c r="X687" s="2">
        <f t="shared" si="137"/>
        <v>64</v>
      </c>
      <c r="Y687" s="2">
        <f t="shared" si="137"/>
        <v>64</v>
      </c>
      <c r="Z687" s="25">
        <f t="shared" si="137"/>
        <v>64</v>
      </c>
      <c r="AA687" s="1310"/>
      <c r="AD687" s="713"/>
      <c r="AE687" s="26">
        <v>1300</v>
      </c>
      <c r="AF687" s="25">
        <v>1350</v>
      </c>
      <c r="AG687" s="29">
        <v>105</v>
      </c>
      <c r="AH687" s="22">
        <v>104</v>
      </c>
      <c r="AI687" s="22">
        <v>103</v>
      </c>
      <c r="AJ687" s="22">
        <v>102</v>
      </c>
      <c r="AK687" s="22">
        <v>101</v>
      </c>
      <c r="AL687" s="22">
        <v>100</v>
      </c>
      <c r="AM687" s="22">
        <v>100</v>
      </c>
      <c r="AN687" s="22">
        <v>99</v>
      </c>
      <c r="AO687" s="22">
        <v>98</v>
      </c>
      <c r="AP687" s="22">
        <v>97</v>
      </c>
      <c r="AQ687" s="22">
        <v>96</v>
      </c>
      <c r="AR687" s="22">
        <v>95</v>
      </c>
      <c r="AS687" s="22">
        <v>94</v>
      </c>
      <c r="AT687" s="22">
        <v>93</v>
      </c>
      <c r="AU687" s="22">
        <v>92</v>
      </c>
      <c r="AV687" s="22">
        <v>91</v>
      </c>
      <c r="AW687" s="22">
        <v>89</v>
      </c>
      <c r="AX687" s="22">
        <v>87</v>
      </c>
      <c r="AY687" s="22">
        <v>85</v>
      </c>
      <c r="AZ687" s="22">
        <v>83</v>
      </c>
      <c r="BA687" s="22">
        <v>81</v>
      </c>
      <c r="BB687" s="22">
        <v>81</v>
      </c>
      <c r="BC687" s="30">
        <v>81</v>
      </c>
    </row>
    <row r="688" spans="1:55" s="426" customFormat="1" x14ac:dyDescent="0.25">
      <c r="A688" s="52">
        <f t="shared" si="131"/>
        <v>0</v>
      </c>
      <c r="B688" s="343">
        <v>1350</v>
      </c>
      <c r="C688" s="965">
        <v>1400</v>
      </c>
      <c r="D688" s="432">
        <f t="shared" si="138"/>
        <v>80</v>
      </c>
      <c r="E688" s="965">
        <f t="shared" si="136"/>
        <v>80</v>
      </c>
      <c r="F688" s="965">
        <f t="shared" si="136"/>
        <v>79</v>
      </c>
      <c r="G688" s="965">
        <f t="shared" si="136"/>
        <v>78</v>
      </c>
      <c r="H688" s="965">
        <f t="shared" si="136"/>
        <v>77</v>
      </c>
      <c r="I688" s="965">
        <f t="shared" si="136"/>
        <v>76</v>
      </c>
      <c r="J688" s="965">
        <f t="shared" si="136"/>
        <v>76</v>
      </c>
      <c r="K688" s="965">
        <f t="shared" si="136"/>
        <v>75</v>
      </c>
      <c r="L688" s="965">
        <f t="shared" si="136"/>
        <v>74</v>
      </c>
      <c r="M688" s="965">
        <f t="shared" si="136"/>
        <v>73</v>
      </c>
      <c r="N688" s="965">
        <f t="shared" si="136"/>
        <v>72</v>
      </c>
      <c r="O688" s="965">
        <f t="shared" si="136"/>
        <v>72</v>
      </c>
      <c r="P688" s="965">
        <f t="shared" si="136"/>
        <v>71</v>
      </c>
      <c r="Q688" s="965">
        <f t="shared" si="136"/>
        <v>70</v>
      </c>
      <c r="R688" s="965">
        <f t="shared" si="136"/>
        <v>69</v>
      </c>
      <c r="S688" s="965">
        <f t="shared" si="136"/>
        <v>68</v>
      </c>
      <c r="T688" s="965">
        <f t="shared" si="136"/>
        <v>67</v>
      </c>
      <c r="U688" s="965">
        <f t="shared" si="137"/>
        <v>65</v>
      </c>
      <c r="V688" s="965">
        <f t="shared" si="137"/>
        <v>64</v>
      </c>
      <c r="W688" s="965">
        <f t="shared" si="137"/>
        <v>62</v>
      </c>
      <c r="X688" s="965">
        <f t="shared" si="137"/>
        <v>60</v>
      </c>
      <c r="Y688" s="965">
        <f t="shared" si="137"/>
        <v>60</v>
      </c>
      <c r="Z688" s="966">
        <f t="shared" si="137"/>
        <v>60</v>
      </c>
      <c r="AA688" s="1311"/>
      <c r="AD688" s="714"/>
      <c r="AE688" s="432">
        <v>1350</v>
      </c>
      <c r="AF688" s="966">
        <v>1400</v>
      </c>
      <c r="AG688" s="649">
        <v>100</v>
      </c>
      <c r="AH688" s="1039">
        <v>100</v>
      </c>
      <c r="AI688" s="1039">
        <v>99</v>
      </c>
      <c r="AJ688" s="1039">
        <v>98</v>
      </c>
      <c r="AK688" s="1039">
        <v>97</v>
      </c>
      <c r="AL688" s="1039">
        <v>96</v>
      </c>
      <c r="AM688" s="1039">
        <v>95</v>
      </c>
      <c r="AN688" s="1039">
        <v>94</v>
      </c>
      <c r="AO688" s="1039">
        <v>93</v>
      </c>
      <c r="AP688" s="1039">
        <v>92</v>
      </c>
      <c r="AQ688" s="1039">
        <v>91</v>
      </c>
      <c r="AR688" s="1039">
        <v>90</v>
      </c>
      <c r="AS688" s="1039">
        <v>89</v>
      </c>
      <c r="AT688" s="1039">
        <v>88</v>
      </c>
      <c r="AU688" s="1039">
        <v>87</v>
      </c>
      <c r="AV688" s="1039">
        <v>86</v>
      </c>
      <c r="AW688" s="1039">
        <v>84</v>
      </c>
      <c r="AX688" s="1039">
        <v>82</v>
      </c>
      <c r="AY688" s="1039">
        <v>80</v>
      </c>
      <c r="AZ688" s="1039">
        <v>78</v>
      </c>
      <c r="BA688" s="1039">
        <v>76</v>
      </c>
      <c r="BB688" s="1039">
        <v>76</v>
      </c>
      <c r="BC688" s="1057">
        <v>75</v>
      </c>
    </row>
    <row r="689" spans="1:27" s="426" customFormat="1" x14ac:dyDescent="0.25">
      <c r="A689"/>
      <c r="B689" s="2"/>
      <c r="C689" s="2"/>
      <c r="D689" s="432">
        <f>IF(SUM($A$667:$A$688)&gt;0,VLOOKUP(1,$A$667:$Z$688,D663,FALSE),0)</f>
        <v>279</v>
      </c>
      <c r="E689" s="965">
        <f>IF(SUM($A$667:$A$688)&gt;0,VLOOKUP(1,$A$667:$Z$688,E663,FALSE),0)</f>
        <v>277</v>
      </c>
      <c r="F689" s="965">
        <f t="shared" ref="F689:Z689" si="139">IF(SUM($A$667:$A$688)&gt;0,VLOOKUP(1,$A$667:$Z$688,F663,FALSE),0)</f>
        <v>276</v>
      </c>
      <c r="G689" s="965">
        <f t="shared" si="139"/>
        <v>274</v>
      </c>
      <c r="H689" s="965">
        <f t="shared" si="139"/>
        <v>273</v>
      </c>
      <c r="I689" s="965">
        <f t="shared" si="139"/>
        <v>272</v>
      </c>
      <c r="J689" s="965">
        <f t="shared" si="139"/>
        <v>270</v>
      </c>
      <c r="K689" s="965">
        <f t="shared" si="139"/>
        <v>268</v>
      </c>
      <c r="L689" s="965">
        <f t="shared" si="139"/>
        <v>267</v>
      </c>
      <c r="M689" s="965">
        <f t="shared" si="139"/>
        <v>265</v>
      </c>
      <c r="N689" s="965">
        <f t="shared" si="139"/>
        <v>264</v>
      </c>
      <c r="O689" s="965">
        <f t="shared" si="139"/>
        <v>262</v>
      </c>
      <c r="P689" s="965">
        <f t="shared" si="139"/>
        <v>260</v>
      </c>
      <c r="Q689" s="965">
        <f t="shared" si="139"/>
        <v>259</v>
      </c>
      <c r="R689" s="965">
        <f t="shared" si="139"/>
        <v>258</v>
      </c>
      <c r="S689" s="965">
        <f t="shared" si="139"/>
        <v>256</v>
      </c>
      <c r="T689" s="965">
        <f t="shared" si="139"/>
        <v>255</v>
      </c>
      <c r="U689" s="965">
        <f t="shared" si="139"/>
        <v>253</v>
      </c>
      <c r="V689" s="965">
        <f t="shared" si="139"/>
        <v>252</v>
      </c>
      <c r="W689" s="965">
        <f t="shared" si="139"/>
        <v>250</v>
      </c>
      <c r="X689" s="965">
        <f t="shared" si="139"/>
        <v>180</v>
      </c>
      <c r="Y689" s="965">
        <f t="shared" si="139"/>
        <v>247</v>
      </c>
      <c r="Z689" s="966">
        <f t="shared" si="139"/>
        <v>247</v>
      </c>
      <c r="AA689"/>
    </row>
    <row r="690" spans="1:27" s="426" customFormat="1" ht="12.75" x14ac:dyDescent="0.2">
      <c r="Y690" s="626"/>
    </row>
    <row r="691" spans="1:27" s="426" customFormat="1" ht="12.75" x14ac:dyDescent="0.2">
      <c r="B691" s="426" t="s">
        <v>692</v>
      </c>
      <c r="Y691" s="626"/>
    </row>
    <row r="692" spans="1:27" s="426" customFormat="1" ht="12.75" x14ac:dyDescent="0.2">
      <c r="Y692" s="626"/>
    </row>
    <row r="693" spans="1:27" s="426" customFormat="1" ht="12.75" x14ac:dyDescent="0.2">
      <c r="A693" s="426">
        <f>A635</f>
        <v>1</v>
      </c>
      <c r="B693" s="426" t="s">
        <v>675</v>
      </c>
      <c r="C693" s="626">
        <f>A693*C635</f>
        <v>8</v>
      </c>
      <c r="D693" s="635">
        <f>C693*$D$632</f>
        <v>73.333333333333329</v>
      </c>
      <c r="Y693" s="626"/>
    </row>
    <row r="694" spans="1:27" s="426" customFormat="1" ht="12.75" x14ac:dyDescent="0.2">
      <c r="A694" s="426">
        <f>A636</f>
        <v>0</v>
      </c>
      <c r="B694" s="426" t="s">
        <v>676</v>
      </c>
      <c r="C694" s="626">
        <f>A694*C636</f>
        <v>0</v>
      </c>
      <c r="D694" s="635">
        <f t="shared" ref="D694:D697" si="140">C694*$D$632</f>
        <v>0</v>
      </c>
      <c r="Y694" s="626"/>
    </row>
    <row r="695" spans="1:27" s="426" customFormat="1" ht="12.75" x14ac:dyDescent="0.2">
      <c r="A695" s="426">
        <f>A637</f>
        <v>0</v>
      </c>
      <c r="B695" s="426" t="s">
        <v>677</v>
      </c>
      <c r="C695" s="626">
        <f>A695*C637</f>
        <v>0</v>
      </c>
      <c r="D695" s="635">
        <f t="shared" si="140"/>
        <v>0</v>
      </c>
      <c r="Y695" s="626"/>
    </row>
    <row r="696" spans="1:27" s="426" customFormat="1" ht="12.75" x14ac:dyDescent="0.2">
      <c r="A696" s="426">
        <f>A638</f>
        <v>0</v>
      </c>
      <c r="B696" s="426" t="s">
        <v>681</v>
      </c>
      <c r="C696" s="626">
        <f>A696*C638</f>
        <v>0</v>
      </c>
      <c r="D696" s="635">
        <f t="shared" si="140"/>
        <v>0</v>
      </c>
      <c r="Y696" s="626"/>
    </row>
    <row r="697" spans="1:27" s="426" customFormat="1" ht="12" customHeight="1" x14ac:dyDescent="0.2">
      <c r="A697" s="426">
        <f>A639</f>
        <v>0</v>
      </c>
      <c r="B697" s="426" t="s">
        <v>690</v>
      </c>
      <c r="C697" s="626">
        <f>C639*A697</f>
        <v>0</v>
      </c>
      <c r="D697" s="635">
        <f t="shared" si="140"/>
        <v>0</v>
      </c>
      <c r="Y697" s="626"/>
    </row>
    <row r="698" spans="1:27" s="426" customFormat="1" ht="12.75" x14ac:dyDescent="0.2">
      <c r="B698" s="615" t="s">
        <v>693</v>
      </c>
      <c r="D698" s="633">
        <f>SUM(D693:D697)</f>
        <v>73.333333333333329</v>
      </c>
      <c r="Y698" s="626"/>
    </row>
    <row r="699" spans="1:27" s="426" customFormat="1" ht="12.75" x14ac:dyDescent="0.2">
      <c r="B699" s="615"/>
      <c r="Y699" s="626"/>
    </row>
    <row r="700" spans="1:27" s="426" customFormat="1" ht="12.75" x14ac:dyDescent="0.2">
      <c r="B700" s="615"/>
      <c r="Y700" s="626"/>
    </row>
    <row r="701" spans="1:27" s="426" customFormat="1" ht="12.75" x14ac:dyDescent="0.2">
      <c r="B701" s="615"/>
      <c r="C701" s="626" t="s">
        <v>1020</v>
      </c>
      <c r="D701" s="626" t="s">
        <v>1021</v>
      </c>
      <c r="E701" s="426" t="s">
        <v>1022</v>
      </c>
      <c r="Y701" s="626"/>
    </row>
    <row r="702" spans="1:27" s="426" customFormat="1" ht="12.75" x14ac:dyDescent="0.2">
      <c r="B702" s="652" t="s">
        <v>704</v>
      </c>
      <c r="C702" s="634">
        <f>IF(C629=1,HLOOKUP(1,D664:Z689,26,FALSE),9999)</f>
        <v>272</v>
      </c>
      <c r="D702" s="1047">
        <f>M639</f>
        <v>9999</v>
      </c>
      <c r="E702" s="1047">
        <f>FLOOR(MIN(C702:D702)*I650,5)</f>
        <v>240</v>
      </c>
      <c r="Y702" s="626"/>
    </row>
    <row r="703" spans="1:27" s="426" customFormat="1" ht="12.75" x14ac:dyDescent="0.2">
      <c r="C703" s="626"/>
      <c r="D703" s="626"/>
      <c r="E703" s="626"/>
      <c r="Y703" s="626"/>
    </row>
    <row r="704" spans="1:27" s="426" customFormat="1" ht="12.75" x14ac:dyDescent="0.2">
      <c r="Y704" s="626"/>
    </row>
    <row r="705" spans="1:25" s="426" customFormat="1" ht="12.75" x14ac:dyDescent="0.2">
      <c r="B705" s="634" t="s">
        <v>706</v>
      </c>
      <c r="C705" s="653" t="s">
        <v>707</v>
      </c>
      <c r="D705" s="628" t="s">
        <v>708</v>
      </c>
      <c r="E705" s="664" t="s">
        <v>709</v>
      </c>
      <c r="Y705" s="626"/>
    </row>
    <row r="706" spans="1:25" s="426" customFormat="1" ht="12.75" x14ac:dyDescent="0.2">
      <c r="B706" s="634">
        <f>(IF(C3&gt;=I445,C3,I445)/E402)</f>
        <v>1800</v>
      </c>
      <c r="C706" s="665">
        <v>200</v>
      </c>
      <c r="D706" s="634">
        <f>B706-C706</f>
        <v>1600</v>
      </c>
      <c r="E706" s="654"/>
      <c r="Y706" s="626"/>
    </row>
    <row r="707" spans="1:25" s="426" customFormat="1" ht="12.75" x14ac:dyDescent="0.2">
      <c r="B707" s="634" t="s">
        <v>710</v>
      </c>
      <c r="C707" s="666">
        <f>IF(E702&gt;0,C706/(E702/2),0)</f>
        <v>1.6666666666666667</v>
      </c>
      <c r="D707" s="668">
        <f>IF(E702&gt;0,D706/E702,0)</f>
        <v>6.666666666666667</v>
      </c>
      <c r="E707" s="667">
        <f>CEILING(D707+C707,1)</f>
        <v>9</v>
      </c>
      <c r="Y707" s="626"/>
    </row>
    <row r="708" spans="1:25" s="426" customFormat="1" ht="12.75" x14ac:dyDescent="0.2">
      <c r="B708" s="615"/>
      <c r="Y708" s="626"/>
    </row>
    <row r="709" spans="1:25" s="426" customFormat="1" ht="12.75" x14ac:dyDescent="0.2">
      <c r="B709" s="615"/>
      <c r="Y709" s="626"/>
    </row>
    <row r="710" spans="1:25" s="426" customFormat="1" ht="12.75" x14ac:dyDescent="0.2">
      <c r="A710" s="426">
        <f>IF(C629=1,1,0)</f>
        <v>1</v>
      </c>
      <c r="B710" s="615" t="s">
        <v>712</v>
      </c>
      <c r="C710" s="134">
        <f>IF(E707&gt;=C641,E707,C641)</f>
        <v>9</v>
      </c>
      <c r="D710" s="629">
        <f>IF(A710=1,C710*D632,0)</f>
        <v>82.5</v>
      </c>
      <c r="F710" s="669"/>
      <c r="Y710" s="626"/>
    </row>
    <row r="711" spans="1:25" s="426" customFormat="1" ht="12.75" x14ac:dyDescent="0.2">
      <c r="B711" s="615"/>
      <c r="Y711" s="626"/>
    </row>
    <row r="712" spans="1:25" s="430" customFormat="1" ht="12.75" x14ac:dyDescent="0.2">
      <c r="B712" s="678"/>
      <c r="Y712" s="651"/>
    </row>
    <row r="713" spans="1:25" s="426" customFormat="1" ht="12.75" x14ac:dyDescent="0.2">
      <c r="B713" s="615"/>
      <c r="Y713" s="626"/>
    </row>
    <row r="714" spans="1:25" s="426" customFormat="1" ht="13.5" thickBot="1" x14ac:dyDescent="0.25">
      <c r="B714" s="615"/>
      <c r="D714" s="626" t="s">
        <v>674</v>
      </c>
      <c r="Y714" s="626"/>
    </row>
    <row r="715" spans="1:25" s="426" customFormat="1" ht="13.5" thickBot="1" x14ac:dyDescent="0.25">
      <c r="B715" s="641" t="s">
        <v>665</v>
      </c>
      <c r="C715" s="643">
        <f>J367</f>
        <v>0</v>
      </c>
      <c r="D715" s="642">
        <f>IF(C715=1,D778+D790,0)</f>
        <v>0</v>
      </c>
      <c r="Y715" s="626"/>
    </row>
    <row r="716" spans="1:25" s="426" customFormat="1" ht="12.75" x14ac:dyDescent="0.2">
      <c r="Y716" s="626"/>
    </row>
    <row r="717" spans="1:25" s="426" customFormat="1" ht="12.75" x14ac:dyDescent="0.2">
      <c r="Y717" s="626"/>
    </row>
    <row r="718" spans="1:25" s="426" customFormat="1" ht="12.75" x14ac:dyDescent="0.2">
      <c r="Y718" s="626"/>
    </row>
    <row r="719" spans="1:25" s="426" customFormat="1" x14ac:dyDescent="0.25">
      <c r="B719" s="426" t="s">
        <v>716</v>
      </c>
      <c r="C719" s="633">
        <f>'Tarieven (2)'!C6</f>
        <v>300</v>
      </c>
      <c r="D719" s="633">
        <f>C719/60</f>
        <v>5</v>
      </c>
      <c r="H719" s="77" t="s">
        <v>4</v>
      </c>
      <c r="I719"/>
      <c r="J719"/>
      <c r="Y719" s="626"/>
    </row>
    <row r="720" spans="1:25" s="426" customFormat="1" x14ac:dyDescent="0.25">
      <c r="C720" s="635"/>
      <c r="D720" s="635"/>
      <c r="H720" s="3" t="str">
        <f>IF(AND(VLOOKUP(1,$A$113:$C$116,3,FALSE)&gt;0,$C$15=I720),1," ")</f>
        <v xml:space="preserve"> </v>
      </c>
      <c r="I720" s="1068" t="str">
        <f t="shared" ref="I720:I727" si="141">B121</f>
        <v>Onbedrukt / minder dan 10%</v>
      </c>
      <c r="J720" s="567">
        <v>200</v>
      </c>
      <c r="L720" s="155" t="s">
        <v>1025</v>
      </c>
      <c r="M720" s="1315" t="s">
        <v>61</v>
      </c>
      <c r="N720" s="1316"/>
      <c r="O720" s="959"/>
      <c r="Y720" s="626"/>
    </row>
    <row r="721" spans="1:25" s="426" customFormat="1" x14ac:dyDescent="0.25">
      <c r="A721" s="426" t="s">
        <v>61</v>
      </c>
      <c r="B721" s="426" t="s">
        <v>679</v>
      </c>
      <c r="C721" s="636" t="s">
        <v>680</v>
      </c>
      <c r="D721" s="635"/>
      <c r="H721" s="26" t="str">
        <f t="shared" ref="H721:H727" si="142">IF(AND(VLOOKUP(1,$A$113:$C$116,3,FALSE)&gt;0,$C$15=I721),1," ")</f>
        <v xml:space="preserve"> </v>
      </c>
      <c r="I721" s="280" t="str">
        <f t="shared" si="141"/>
        <v>10%</v>
      </c>
      <c r="J721" s="30">
        <v>190</v>
      </c>
      <c r="L721" s="1061">
        <f>IF(AND($C$3&gt;M721,$C$3&lt;=N721),1,0)</f>
        <v>0</v>
      </c>
      <c r="M721" s="406">
        <v>0</v>
      </c>
      <c r="N721" s="423">
        <v>1000</v>
      </c>
      <c r="O721" s="1074">
        <v>0.8</v>
      </c>
      <c r="Y721" s="626"/>
    </row>
    <row r="722" spans="1:25" s="426" customFormat="1" x14ac:dyDescent="0.25">
      <c r="A722" s="626">
        <f>IF(C715=1,1,0)</f>
        <v>0</v>
      </c>
      <c r="B722" s="426" t="s">
        <v>717</v>
      </c>
      <c r="C722" s="637">
        <v>8</v>
      </c>
      <c r="D722" s="426" t="s">
        <v>683</v>
      </c>
      <c r="H722" s="26" t="str">
        <f t="shared" si="142"/>
        <v xml:space="preserve"> </v>
      </c>
      <c r="I722" s="280" t="str">
        <f t="shared" si="141"/>
        <v>20%</v>
      </c>
      <c r="J722" s="30">
        <v>180</v>
      </c>
      <c r="L722" s="120">
        <f t="shared" ref="L722:L730" si="143">IF(AND($C$3&gt;M722,$C$3&lt;=N722),1,0)</f>
        <v>1</v>
      </c>
      <c r="M722" s="78">
        <v>1000</v>
      </c>
      <c r="N722" s="228">
        <v>2000</v>
      </c>
      <c r="O722" s="969">
        <v>0.81</v>
      </c>
      <c r="Y722" s="626"/>
    </row>
    <row r="723" spans="1:25" s="426" customFormat="1" x14ac:dyDescent="0.25">
      <c r="A723" s="626">
        <f>IF(AND(C715=1,C629=0,C111&gt;0),C111,IF(AND(C715=1,C629=1,C111&gt;0),0,0))</f>
        <v>0</v>
      </c>
      <c r="B723" s="426" t="s">
        <v>677</v>
      </c>
      <c r="C723" s="637">
        <v>8</v>
      </c>
      <c r="D723" s="426" t="s">
        <v>683</v>
      </c>
      <c r="F723" s="626"/>
      <c r="G723" s="626"/>
      <c r="H723" s="26" t="str">
        <f t="shared" si="142"/>
        <v xml:space="preserve"> </v>
      </c>
      <c r="I723" s="280" t="str">
        <f t="shared" si="141"/>
        <v>30%</v>
      </c>
      <c r="J723" s="30">
        <v>170</v>
      </c>
      <c r="L723" s="120">
        <f t="shared" si="143"/>
        <v>0</v>
      </c>
      <c r="M723" s="78">
        <v>2000</v>
      </c>
      <c r="N723" s="228">
        <v>3000</v>
      </c>
      <c r="O723" s="969">
        <v>0.82</v>
      </c>
      <c r="Y723" s="626"/>
    </row>
    <row r="724" spans="1:25" s="426" customFormat="1" x14ac:dyDescent="0.25">
      <c r="A724" s="626">
        <f>IF(AND(C715=1,C629=0,C111&gt;0),C111,IF(AND(C715=1,C629=1,C111&gt;0),0,0))</f>
        <v>0</v>
      </c>
      <c r="B724" s="426" t="s">
        <v>681</v>
      </c>
      <c r="C724" s="637">
        <v>6</v>
      </c>
      <c r="D724" s="426" t="s">
        <v>683</v>
      </c>
      <c r="H724" s="26" t="str">
        <f t="shared" si="142"/>
        <v xml:space="preserve"> </v>
      </c>
      <c r="I724" s="280" t="str">
        <f t="shared" si="141"/>
        <v>40%</v>
      </c>
      <c r="J724" s="30">
        <v>160</v>
      </c>
      <c r="L724" s="120">
        <f t="shared" si="143"/>
        <v>0</v>
      </c>
      <c r="M724" s="78">
        <v>3000</v>
      </c>
      <c r="N724" s="228">
        <v>4000</v>
      </c>
      <c r="O724" s="969">
        <v>0.83</v>
      </c>
      <c r="Y724" s="626"/>
    </row>
    <row r="725" spans="1:25" s="426" customFormat="1" x14ac:dyDescent="0.25">
      <c r="A725" s="626"/>
      <c r="C725" s="626"/>
      <c r="H725" s="26" t="str">
        <f t="shared" si="142"/>
        <v xml:space="preserve"> </v>
      </c>
      <c r="I725" s="280" t="str">
        <f t="shared" si="141"/>
        <v>60%</v>
      </c>
      <c r="J725" s="30">
        <v>140</v>
      </c>
      <c r="L725" s="120">
        <f t="shared" si="143"/>
        <v>0</v>
      </c>
      <c r="M725" s="78">
        <v>4000</v>
      </c>
      <c r="N725" s="228">
        <v>5000</v>
      </c>
      <c r="O725" s="969">
        <v>0.84</v>
      </c>
      <c r="Y725" s="626"/>
    </row>
    <row r="726" spans="1:25" s="426" customFormat="1" x14ac:dyDescent="0.25">
      <c r="B726" s="426" t="s">
        <v>682</v>
      </c>
      <c r="C726" s="637">
        <v>6</v>
      </c>
      <c r="D726" s="426" t="s">
        <v>684</v>
      </c>
      <c r="H726" s="26" t="str">
        <f t="shared" si="142"/>
        <v xml:space="preserve"> </v>
      </c>
      <c r="I726" s="280" t="str">
        <f t="shared" si="141"/>
        <v>80%</v>
      </c>
      <c r="J726" s="30">
        <v>120</v>
      </c>
      <c r="L726" s="120">
        <f t="shared" si="143"/>
        <v>0</v>
      </c>
      <c r="M726" s="78">
        <v>5000</v>
      </c>
      <c r="N726" s="228">
        <v>7500</v>
      </c>
      <c r="O726" s="969">
        <v>0.85</v>
      </c>
      <c r="Y726" s="626"/>
    </row>
    <row r="727" spans="1:25" s="426" customFormat="1" x14ac:dyDescent="0.25">
      <c r="H727" s="432" t="str">
        <f t="shared" si="142"/>
        <v xml:space="preserve"> </v>
      </c>
      <c r="I727" s="1070" t="str">
        <f t="shared" si="141"/>
        <v>100%</v>
      </c>
      <c r="J727" s="30">
        <v>120</v>
      </c>
      <c r="L727" s="120">
        <f t="shared" si="143"/>
        <v>0</v>
      </c>
      <c r="M727" s="78">
        <v>7500</v>
      </c>
      <c r="N727" s="228">
        <v>10000</v>
      </c>
      <c r="O727" s="969">
        <v>0.87</v>
      </c>
      <c r="Y727" s="626"/>
    </row>
    <row r="728" spans="1:25" s="426" customFormat="1" x14ac:dyDescent="0.25">
      <c r="H728" s="415"/>
      <c r="I728" s="1069" t="s">
        <v>1019</v>
      </c>
      <c r="J728" s="1008">
        <f>IF(SUM(H720:H727)&gt;0,VLOOKUP(1,H720:J727,3,FALSE),9999)</f>
        <v>9999</v>
      </c>
      <c r="L728" s="120">
        <f t="shared" si="143"/>
        <v>0</v>
      </c>
      <c r="M728" s="78">
        <v>10000</v>
      </c>
      <c r="N728" s="228">
        <v>15000</v>
      </c>
      <c r="O728" s="969">
        <v>0.88</v>
      </c>
      <c r="Y728" s="626"/>
    </row>
    <row r="729" spans="1:25" s="426" customFormat="1" x14ac:dyDescent="0.25">
      <c r="B729" s="426" t="s">
        <v>99</v>
      </c>
      <c r="C729" s="679">
        <f>B228</f>
        <v>361</v>
      </c>
      <c r="D729" s="426" t="s">
        <v>25</v>
      </c>
      <c r="L729" s="120">
        <f t="shared" si="143"/>
        <v>0</v>
      </c>
      <c r="M729" s="78">
        <v>15000</v>
      </c>
      <c r="N729" s="228">
        <v>20000</v>
      </c>
      <c r="O729" s="969">
        <v>0.89</v>
      </c>
      <c r="Y729" s="626"/>
    </row>
    <row r="730" spans="1:25" s="426" customFormat="1" x14ac:dyDescent="0.25">
      <c r="B730" s="426" t="s">
        <v>100</v>
      </c>
      <c r="C730" s="679">
        <f>C228</f>
        <v>1150</v>
      </c>
      <c r="D730" s="426" t="s">
        <v>25</v>
      </c>
      <c r="L730" s="202">
        <f t="shared" si="143"/>
        <v>0</v>
      </c>
      <c r="M730" s="1075">
        <v>20000</v>
      </c>
      <c r="N730" s="1076">
        <v>999999999</v>
      </c>
      <c r="O730" s="970">
        <v>0.9</v>
      </c>
      <c r="Y730" s="626"/>
    </row>
    <row r="731" spans="1:25" s="426" customFormat="1" ht="12.75" x14ac:dyDescent="0.2">
      <c r="Y731" s="626"/>
    </row>
    <row r="732" spans="1:25" s="426" customFormat="1" ht="12.75" x14ac:dyDescent="0.2">
      <c r="Y732" s="626"/>
    </row>
    <row r="733" spans="1:25" s="426" customFormat="1" ht="12.75" x14ac:dyDescent="0.2">
      <c r="A733" s="652"/>
      <c r="B733" s="653"/>
      <c r="C733" s="628"/>
      <c r="D733" s="628" t="s">
        <v>697</v>
      </c>
      <c r="E733" s="652" t="s">
        <v>698</v>
      </c>
      <c r="F733" s="659" t="s">
        <v>701</v>
      </c>
      <c r="G733" s="634" t="s">
        <v>702</v>
      </c>
      <c r="H733" s="661" t="s">
        <v>703</v>
      </c>
      <c r="Y733" s="626"/>
    </row>
    <row r="734" spans="1:25" s="426" customFormat="1" ht="12.75" x14ac:dyDescent="0.2">
      <c r="A734" s="429"/>
      <c r="B734" s="430" t="s">
        <v>696</v>
      </c>
      <c r="C734" s="145">
        <f>AS46</f>
        <v>1</v>
      </c>
      <c r="D734" s="145">
        <f>(C6/C7)*C734</f>
        <v>1.2</v>
      </c>
      <c r="E734" s="658">
        <f>C734*(C8/C6)</f>
        <v>0.33333333333333331</v>
      </c>
      <c r="F734" s="660">
        <f>VLOOKUP(1,A739:D744,4,FALSE)*VLOOKUP(1,E739:H744,4,FALSE)</f>
        <v>1</v>
      </c>
      <c r="G734" s="1086">
        <f>AY46</f>
        <v>0.9</v>
      </c>
      <c r="H734" s="662">
        <f>F734*G734</f>
        <v>0.9</v>
      </c>
      <c r="Y734" s="626"/>
    </row>
    <row r="735" spans="1:25" s="426" customFormat="1" ht="12.75" x14ac:dyDescent="0.2">
      <c r="C735" s="626"/>
      <c r="Y735" s="626"/>
    </row>
    <row r="736" spans="1:25" s="426" customFormat="1" ht="12.75" x14ac:dyDescent="0.2">
      <c r="C736" s="626"/>
      <c r="Y736" s="626"/>
    </row>
    <row r="737" spans="1:25" s="426" customFormat="1" x14ac:dyDescent="0.25">
      <c r="A737" s="405"/>
      <c r="B737" s="1302" t="s">
        <v>699</v>
      </c>
      <c r="C737" s="1303"/>
      <c r="D737" s="243"/>
      <c r="E737" s="433"/>
      <c r="F737" s="1302" t="s">
        <v>700</v>
      </c>
      <c r="G737" s="1303"/>
      <c r="H737" s="442"/>
      <c r="Y737" s="626"/>
    </row>
    <row r="738" spans="1:25" s="426" customFormat="1" x14ac:dyDescent="0.25">
      <c r="A738" s="339"/>
      <c r="B738" s="1292"/>
      <c r="C738" s="1293"/>
      <c r="D738" s="244"/>
      <c r="E738" s="7"/>
      <c r="F738" s="432"/>
      <c r="G738" s="436"/>
      <c r="H738" s="13"/>
      <c r="Y738" s="626"/>
    </row>
    <row r="739" spans="1:25" s="426" customFormat="1" x14ac:dyDescent="0.25">
      <c r="A739" s="399">
        <f>IF(AND($D$734&gt;=B739,$D$734&lt;C739),1,0)</f>
        <v>1</v>
      </c>
      <c r="B739" s="567">
        <v>0</v>
      </c>
      <c r="C739" s="567">
        <v>2.5</v>
      </c>
      <c r="D739" s="655">
        <v>1</v>
      </c>
      <c r="E739" s="423">
        <f>IF(AND($E$650&gt;=F739,$E$650&lt;G739),1,0)</f>
        <v>1</v>
      </c>
      <c r="F739" s="567">
        <v>0</v>
      </c>
      <c r="G739" s="486">
        <v>2</v>
      </c>
      <c r="H739" s="655">
        <v>1</v>
      </c>
      <c r="Y739" s="626"/>
    </row>
    <row r="740" spans="1:25" s="426" customFormat="1" x14ac:dyDescent="0.25">
      <c r="A740" s="120">
        <f t="shared" ref="A740:A744" si="144">IF(AND($D$734&gt;=B740,$D$734&lt;C740),1,0)</f>
        <v>0</v>
      </c>
      <c r="B740" s="30">
        <v>2.5</v>
      </c>
      <c r="C740" s="30">
        <v>3</v>
      </c>
      <c r="D740" s="656">
        <v>0.93</v>
      </c>
      <c r="E740" s="228">
        <f t="shared" ref="E740:E744" si="145">IF(AND($E$650&gt;=F740,$E$650&lt;G740),1,0)</f>
        <v>0</v>
      </c>
      <c r="F740" s="30">
        <v>2</v>
      </c>
      <c r="G740" s="28">
        <v>2.5</v>
      </c>
      <c r="H740" s="656">
        <v>0.95</v>
      </c>
      <c r="Y740" s="626"/>
    </row>
    <row r="741" spans="1:25" s="426" customFormat="1" x14ac:dyDescent="0.25">
      <c r="A741" s="120">
        <f t="shared" si="144"/>
        <v>0</v>
      </c>
      <c r="B741" s="30">
        <v>3</v>
      </c>
      <c r="C741" s="30">
        <v>3.5</v>
      </c>
      <c r="D741" s="656">
        <v>0.9</v>
      </c>
      <c r="E741" s="228">
        <f t="shared" si="145"/>
        <v>0</v>
      </c>
      <c r="F741" s="30">
        <v>2.5</v>
      </c>
      <c r="G741" s="28">
        <v>3.5</v>
      </c>
      <c r="H741" s="656">
        <v>0.9</v>
      </c>
      <c r="Y741" s="626"/>
    </row>
    <row r="742" spans="1:25" s="426" customFormat="1" x14ac:dyDescent="0.25">
      <c r="A742" s="120">
        <f t="shared" si="144"/>
        <v>0</v>
      </c>
      <c r="B742" s="30">
        <v>3.5</v>
      </c>
      <c r="C742" s="30">
        <v>4</v>
      </c>
      <c r="D742" s="656">
        <v>0.85</v>
      </c>
      <c r="E742" s="228">
        <f t="shared" si="145"/>
        <v>0</v>
      </c>
      <c r="F742" s="30">
        <v>3.5</v>
      </c>
      <c r="G742" s="28">
        <v>4</v>
      </c>
      <c r="H742" s="656">
        <v>0.85</v>
      </c>
      <c r="Y742" s="626"/>
    </row>
    <row r="743" spans="1:25" s="426" customFormat="1" x14ac:dyDescent="0.25">
      <c r="A743" s="120">
        <f t="shared" si="144"/>
        <v>0</v>
      </c>
      <c r="B743" s="30">
        <v>4</v>
      </c>
      <c r="C743" s="30">
        <v>5</v>
      </c>
      <c r="D743" s="656">
        <v>0.8</v>
      </c>
      <c r="E743" s="228">
        <f t="shared" si="145"/>
        <v>0</v>
      </c>
      <c r="F743" s="30">
        <v>4</v>
      </c>
      <c r="G743" s="28">
        <v>5.5</v>
      </c>
      <c r="H743" s="656">
        <v>0.8</v>
      </c>
      <c r="Y743" s="626"/>
    </row>
    <row r="744" spans="1:25" s="426" customFormat="1" x14ac:dyDescent="0.25">
      <c r="A744" s="202">
        <f t="shared" si="144"/>
        <v>0</v>
      </c>
      <c r="B744" s="490">
        <v>5</v>
      </c>
      <c r="C744" s="490">
        <v>99</v>
      </c>
      <c r="D744" s="657">
        <v>0.75</v>
      </c>
      <c r="E744" s="424">
        <f t="shared" si="145"/>
        <v>0</v>
      </c>
      <c r="F744" s="490">
        <v>5.5</v>
      </c>
      <c r="G744" s="34">
        <v>99</v>
      </c>
      <c r="H744" s="657">
        <v>0.75</v>
      </c>
      <c r="Y744" s="626"/>
    </row>
    <row r="745" spans="1:25" s="426" customFormat="1" ht="12.75" x14ac:dyDescent="0.2">
      <c r="C745" s="626"/>
      <c r="Y745" s="626"/>
    </row>
    <row r="746" spans="1:25" s="426" customFormat="1" ht="12.75" x14ac:dyDescent="0.2">
      <c r="C746" s="626"/>
      <c r="Y746" s="626"/>
    </row>
    <row r="747" spans="1:25" s="426" customFormat="1" x14ac:dyDescent="0.25">
      <c r="A747" s="77" t="s">
        <v>718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 s="2"/>
      <c r="Y747" s="626"/>
    </row>
    <row r="748" spans="1:25" s="426" customFormat="1" x14ac:dyDescent="0.25">
      <c r="A748"/>
      <c r="B748" s="2"/>
      <c r="C748"/>
      <c r="D748"/>
      <c r="E748"/>
      <c r="F748"/>
      <c r="G748"/>
      <c r="H748"/>
      <c r="I748"/>
      <c r="J748"/>
      <c r="K748"/>
      <c r="L748"/>
      <c r="M748"/>
      <c r="N748"/>
      <c r="O748" s="2"/>
      <c r="Y748" s="626"/>
    </row>
    <row r="749" spans="1:25" s="426" customFormat="1" x14ac:dyDescent="0.25">
      <c r="A749"/>
      <c r="B749" s="489" t="s">
        <v>99</v>
      </c>
      <c r="C749"/>
      <c r="D749"/>
      <c r="E749"/>
      <c r="F749"/>
      <c r="G749"/>
      <c r="H749"/>
      <c r="I749"/>
      <c r="J749"/>
      <c r="K749"/>
      <c r="L749"/>
      <c r="M749"/>
      <c r="N749"/>
      <c r="O749" s="2"/>
      <c r="Y749" s="626"/>
    </row>
    <row r="750" spans="1:25" s="426" customFormat="1" x14ac:dyDescent="0.25">
      <c r="A750"/>
      <c r="B750" s="472">
        <v>800</v>
      </c>
      <c r="C750" s="208">
        <f>IF(AND($C$730&gt;C757,$C$730&lt;=D757),1,0)</f>
        <v>0</v>
      </c>
      <c r="D750" s="208">
        <f t="shared" ref="D750:H750" si="146">IF(AND($C$730&gt;D757,$C$730&lt;=E757),1,0)</f>
        <v>0</v>
      </c>
      <c r="E750" s="208">
        <f t="shared" si="146"/>
        <v>0</v>
      </c>
      <c r="F750" s="208">
        <f t="shared" si="146"/>
        <v>1</v>
      </c>
      <c r="G750" s="208">
        <f t="shared" si="146"/>
        <v>0</v>
      </c>
      <c r="H750" s="473">
        <f t="shared" si="146"/>
        <v>0</v>
      </c>
      <c r="I750"/>
      <c r="J750"/>
      <c r="K750"/>
      <c r="L750"/>
      <c r="M750"/>
      <c r="N750"/>
      <c r="O750" s="2"/>
      <c r="Y750" s="626"/>
    </row>
    <row r="751" spans="1:25" s="426" customFormat="1" x14ac:dyDescent="0.25">
      <c r="A751" s="473">
        <f>IF(AND($C$729&gt;B751,$C$729&lt;=B750),1,0)</f>
        <v>0</v>
      </c>
      <c r="B751" s="434">
        <v>600</v>
      </c>
      <c r="C751" s="484">
        <v>5.5</v>
      </c>
      <c r="D751" s="484">
        <v>5.5</v>
      </c>
      <c r="E751" s="484">
        <v>5.5</v>
      </c>
      <c r="F751" s="484">
        <v>5</v>
      </c>
      <c r="G751" s="484">
        <v>4.5</v>
      </c>
      <c r="H751" s="484">
        <v>4</v>
      </c>
      <c r="I751"/>
      <c r="J751"/>
      <c r="K751"/>
      <c r="L751"/>
      <c r="M751"/>
      <c r="N751"/>
      <c r="O751" s="2"/>
      <c r="Y751" s="626"/>
    </row>
    <row r="752" spans="1:25" s="426" customFormat="1" x14ac:dyDescent="0.25">
      <c r="A752" s="473">
        <f t="shared" ref="A752:A756" si="147">IF(AND($C$729&gt;B752,$C$729&lt;=B751),1,0)</f>
        <v>0</v>
      </c>
      <c r="B752" s="434">
        <v>500</v>
      </c>
      <c r="C752" s="484">
        <v>6</v>
      </c>
      <c r="D752" s="484">
        <v>6</v>
      </c>
      <c r="E752" s="484">
        <v>5.5</v>
      </c>
      <c r="F752" s="484">
        <v>5</v>
      </c>
      <c r="G752" s="484">
        <v>4.5</v>
      </c>
      <c r="H752" s="484">
        <v>4</v>
      </c>
      <c r="I752"/>
      <c r="J752"/>
      <c r="K752"/>
      <c r="L752"/>
      <c r="M752"/>
      <c r="N752"/>
      <c r="O752" s="2"/>
      <c r="Y752" s="626"/>
    </row>
    <row r="753" spans="1:25" s="426" customFormat="1" x14ac:dyDescent="0.25">
      <c r="A753" s="473">
        <f t="shared" si="147"/>
        <v>1</v>
      </c>
      <c r="B753" s="434">
        <v>350</v>
      </c>
      <c r="C753" s="484">
        <v>6.5</v>
      </c>
      <c r="D753" s="484">
        <v>6</v>
      </c>
      <c r="E753" s="484">
        <v>5.5</v>
      </c>
      <c r="F753" s="484">
        <v>5.5</v>
      </c>
      <c r="G753" s="484">
        <v>5</v>
      </c>
      <c r="H753" s="484">
        <v>4.5</v>
      </c>
      <c r="I753"/>
      <c r="J753"/>
      <c r="K753"/>
      <c r="L753"/>
      <c r="M753"/>
      <c r="N753"/>
      <c r="O753" s="2"/>
      <c r="Y753" s="626"/>
    </row>
    <row r="754" spans="1:25" s="426" customFormat="1" x14ac:dyDescent="0.25">
      <c r="A754" s="473">
        <f t="shared" si="147"/>
        <v>0</v>
      </c>
      <c r="B754" s="434">
        <v>250</v>
      </c>
      <c r="C754" s="484">
        <v>7</v>
      </c>
      <c r="D754" s="484">
        <v>6.5</v>
      </c>
      <c r="E754" s="484">
        <v>6</v>
      </c>
      <c r="F754" s="484">
        <v>5.5</v>
      </c>
      <c r="G754" s="484">
        <v>5</v>
      </c>
      <c r="H754" s="484">
        <v>5</v>
      </c>
      <c r="I754"/>
      <c r="J754"/>
      <c r="K754"/>
      <c r="L754"/>
      <c r="M754"/>
      <c r="N754"/>
      <c r="O754" s="2"/>
      <c r="Y754" s="626"/>
    </row>
    <row r="755" spans="1:25" s="426" customFormat="1" x14ac:dyDescent="0.25">
      <c r="A755" s="473">
        <f t="shared" si="147"/>
        <v>0</v>
      </c>
      <c r="B755" s="434">
        <v>180</v>
      </c>
      <c r="C755" s="484">
        <v>6.5</v>
      </c>
      <c r="D755" s="484">
        <v>6.5</v>
      </c>
      <c r="E755" s="484">
        <v>6.5</v>
      </c>
      <c r="F755" s="484">
        <v>6</v>
      </c>
      <c r="G755" s="484">
        <v>5.5</v>
      </c>
      <c r="H755" s="484">
        <v>4.5</v>
      </c>
      <c r="I755"/>
      <c r="J755"/>
      <c r="K755"/>
      <c r="L755"/>
      <c r="M755"/>
      <c r="N755"/>
      <c r="O755" s="2"/>
      <c r="Y755" s="626"/>
    </row>
    <row r="756" spans="1:25" s="426" customFormat="1" x14ac:dyDescent="0.25">
      <c r="A756" s="473">
        <f t="shared" si="147"/>
        <v>0</v>
      </c>
      <c r="B756" s="44">
        <v>0</v>
      </c>
      <c r="C756" s="484">
        <v>6</v>
      </c>
      <c r="D756" s="484">
        <v>6</v>
      </c>
      <c r="E756" s="484">
        <v>5.5</v>
      </c>
      <c r="F756" s="484">
        <v>5</v>
      </c>
      <c r="G756" s="484">
        <v>4.5</v>
      </c>
      <c r="H756" s="484">
        <v>4</v>
      </c>
      <c r="I756"/>
      <c r="J756"/>
      <c r="K756"/>
      <c r="L756"/>
      <c r="M756"/>
      <c r="N756"/>
      <c r="O756" s="2"/>
      <c r="Y756" s="626"/>
    </row>
    <row r="757" spans="1:25" s="426" customFormat="1" ht="15.75" thickBot="1" x14ac:dyDescent="0.3">
      <c r="A757"/>
      <c r="B757"/>
      <c r="C757" s="431">
        <v>0</v>
      </c>
      <c r="D757" s="431">
        <v>500</v>
      </c>
      <c r="E757" s="431">
        <v>750</v>
      </c>
      <c r="F757" s="431">
        <v>1000</v>
      </c>
      <c r="G757" s="431">
        <v>1250</v>
      </c>
      <c r="H757" s="431">
        <v>1500</v>
      </c>
      <c r="I757" s="473">
        <v>1750</v>
      </c>
      <c r="J757" s="517" t="s">
        <v>100</v>
      </c>
      <c r="K757"/>
      <c r="L757"/>
      <c r="M757"/>
      <c r="N757"/>
      <c r="O757" s="2"/>
      <c r="Y757" s="626"/>
    </row>
    <row r="758" spans="1:25" s="426" customFormat="1" ht="15.75" thickBot="1" x14ac:dyDescent="0.3">
      <c r="A758" s="414" t="s">
        <v>719</v>
      </c>
      <c r="B758" s="531">
        <f>HLOOKUP(1,C750:H758,9,FALSE)</f>
        <v>5.5</v>
      </c>
      <c r="C758" s="23">
        <f>VLOOKUP(1,A751:H756,3,FALSE)</f>
        <v>6.5</v>
      </c>
      <c r="D758" s="23">
        <f>VLOOKUP(1,A751:H756,4,FALSE)</f>
        <v>6</v>
      </c>
      <c r="E758" s="23">
        <f>VLOOKUP(1,A751:H756,5,FALSE)</f>
        <v>5.5</v>
      </c>
      <c r="F758" s="23">
        <f>VLOOKUP(1,A751:H756,6,FALSE)</f>
        <v>5.5</v>
      </c>
      <c r="G758" s="23">
        <f>VLOOKUP(1,A751:H756,7,FALSE)</f>
        <v>5</v>
      </c>
      <c r="H758" s="38">
        <f>VLOOKUP(1,A751:H756,8,FALSE)</f>
        <v>4.5</v>
      </c>
      <c r="I758"/>
      <c r="J758"/>
      <c r="K758"/>
      <c r="L758"/>
      <c r="M758"/>
      <c r="N758"/>
      <c r="O758" s="2"/>
      <c r="Y758" s="626"/>
    </row>
    <row r="759" spans="1:25" s="426" customFormat="1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 s="2"/>
      <c r="Y759" s="626"/>
    </row>
    <row r="760" spans="1:25" s="426" customFormat="1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 s="2"/>
      <c r="Y760" s="626"/>
    </row>
    <row r="761" spans="1:25" s="426" customFormat="1" x14ac:dyDescent="0.25">
      <c r="A761" s="404"/>
      <c r="B761" s="399" t="s">
        <v>0</v>
      </c>
      <c r="C761" s="399" t="s">
        <v>720</v>
      </c>
      <c r="D761" s="442" t="s">
        <v>721</v>
      </c>
      <c r="E761" s="431" t="s">
        <v>722</v>
      </c>
      <c r="F761" s="208" t="str">
        <f>IF(F762=$B$758,1," ")</f>
        <v xml:space="preserve"> </v>
      </c>
      <c r="G761" s="23" t="str">
        <f t="shared" ref="G761:N761" si="148">IF(G762=$B$758,1," ")</f>
        <v xml:space="preserve"> </v>
      </c>
      <c r="H761" s="23" t="str">
        <f t="shared" si="148"/>
        <v xml:space="preserve"> </v>
      </c>
      <c r="I761" s="23">
        <f t="shared" si="148"/>
        <v>1</v>
      </c>
      <c r="J761" s="23" t="str">
        <f t="shared" si="148"/>
        <v xml:space="preserve"> </v>
      </c>
      <c r="K761" s="23" t="str">
        <f t="shared" si="148"/>
        <v xml:space="preserve"> </v>
      </c>
      <c r="L761" s="23" t="str">
        <f t="shared" si="148"/>
        <v xml:space="preserve"> </v>
      </c>
      <c r="M761" s="23" t="str">
        <f t="shared" si="148"/>
        <v xml:space="preserve"> </v>
      </c>
      <c r="N761" s="38" t="str">
        <f t="shared" si="148"/>
        <v xml:space="preserve"> </v>
      </c>
      <c r="O761" s="2"/>
      <c r="Y761" s="626"/>
    </row>
    <row r="762" spans="1:25" s="426" customFormat="1" x14ac:dyDescent="0.25">
      <c r="A762" s="41"/>
      <c r="B762" s="13"/>
      <c r="C762" s="52"/>
      <c r="D762" s="681">
        <f>VLOOKUP(1,L721:O730,4,FALSE)</f>
        <v>0.81</v>
      </c>
      <c r="E762" s="26" t="s">
        <v>723</v>
      </c>
      <c r="F762" s="26">
        <v>7</v>
      </c>
      <c r="G762" s="2">
        <v>6.5</v>
      </c>
      <c r="H762" s="2">
        <v>6</v>
      </c>
      <c r="I762" s="2">
        <v>5.5</v>
      </c>
      <c r="J762" s="2">
        <v>5</v>
      </c>
      <c r="K762" s="2">
        <v>4.5</v>
      </c>
      <c r="L762" s="2">
        <v>4</v>
      </c>
      <c r="M762" s="2">
        <v>3.5</v>
      </c>
      <c r="N762" s="25">
        <v>3</v>
      </c>
      <c r="O762" s="2"/>
      <c r="Y762" s="626"/>
    </row>
    <row r="763" spans="1:25" s="426" customFormat="1" x14ac:dyDescent="0.25">
      <c r="A763" s="442" t="str">
        <f>IF($C$4=B763,1," ")</f>
        <v xml:space="preserve"> </v>
      </c>
      <c r="B763" s="435" t="s">
        <v>30</v>
      </c>
      <c r="C763" s="486">
        <v>90</v>
      </c>
      <c r="D763" s="645">
        <v>1.5</v>
      </c>
      <c r="E763" s="431">
        <f>FLOOR(C763/D763,1)</f>
        <v>60</v>
      </c>
      <c r="F763" s="431">
        <f>FLOOR((E763*$F$762)*$D$762,1)</f>
        <v>340</v>
      </c>
      <c r="G763" s="449">
        <f>FLOOR((E763*$G$762)*$D$762,1)</f>
        <v>315</v>
      </c>
      <c r="H763" s="449">
        <f>FLOOR((E763*$H$762)*$D$762,1)</f>
        <v>291</v>
      </c>
      <c r="I763" s="449">
        <f>FLOOR((E763*$I$762)*$D$762,1)</f>
        <v>267</v>
      </c>
      <c r="J763" s="449">
        <f>FLOOR((E763*$J$762)*$D$762,1)</f>
        <v>243</v>
      </c>
      <c r="K763" s="449">
        <f>FLOOR((E763*$K$762)*$D$762,1)</f>
        <v>218</v>
      </c>
      <c r="L763" s="449">
        <f>FLOOR((E763*$L$762)*$D$762,1)</f>
        <v>194</v>
      </c>
      <c r="M763" s="449">
        <f>FLOOR((E763*$M$762)*$D$762,1)</f>
        <v>170</v>
      </c>
      <c r="N763" s="435">
        <f>FLOOR((E763*$N$762)*$D$762,1)</f>
        <v>145</v>
      </c>
      <c r="O763" s="2"/>
      <c r="Y763" s="626"/>
    </row>
    <row r="764" spans="1:25" s="426" customFormat="1" x14ac:dyDescent="0.25">
      <c r="A764" s="12">
        <f t="shared" ref="A764:A769" si="149">IF($C$4=B764,1," ")</f>
        <v>1</v>
      </c>
      <c r="B764" s="25" t="s">
        <v>31</v>
      </c>
      <c r="C764" s="28">
        <v>90</v>
      </c>
      <c r="D764" s="29">
        <v>2.8</v>
      </c>
      <c r="E764" s="26">
        <f t="shared" ref="E764:E769" si="150">FLOOR(C764/D764,1)</f>
        <v>32</v>
      </c>
      <c r="F764" s="26">
        <f t="shared" ref="F764:F769" si="151">FLOOR((E764*$F$762)*$D$762,1)</f>
        <v>181</v>
      </c>
      <c r="G764" s="2">
        <f t="shared" ref="G764:G769" si="152">FLOOR((E764*$G$762)*$D$762,1)</f>
        <v>168</v>
      </c>
      <c r="H764" s="2">
        <f t="shared" ref="H764:H769" si="153">FLOOR((E764*$H$762)*$D$762,1)</f>
        <v>155</v>
      </c>
      <c r="I764" s="2">
        <f t="shared" ref="I764:I769" si="154">FLOOR((E764*$I$762)*$D$762,1)</f>
        <v>142</v>
      </c>
      <c r="J764" s="2">
        <f t="shared" ref="J764:J769" si="155">FLOOR((E764*$J$762)*$D$762,1)</f>
        <v>129</v>
      </c>
      <c r="K764" s="2">
        <f t="shared" ref="K764:K769" si="156">FLOOR((E764*$K$762)*$D$762,1)</f>
        <v>116</v>
      </c>
      <c r="L764" s="2">
        <f t="shared" ref="L764:L769" si="157">FLOOR((E764*$L$762)*$D$762,1)</f>
        <v>103</v>
      </c>
      <c r="M764" s="2">
        <f t="shared" ref="M764:M769" si="158">FLOOR((E764*$M$762)*$D$762,1)</f>
        <v>90</v>
      </c>
      <c r="N764" s="25">
        <f t="shared" ref="N764:N769" si="159">FLOOR((E764*$N$762)*$D$762,1)</f>
        <v>77</v>
      </c>
      <c r="O764" s="2"/>
      <c r="Y764" s="626"/>
    </row>
    <row r="765" spans="1:25" s="426" customFormat="1" x14ac:dyDescent="0.25">
      <c r="A765" s="12" t="str">
        <f t="shared" si="149"/>
        <v xml:space="preserve"> </v>
      </c>
      <c r="B765" s="25" t="s">
        <v>32</v>
      </c>
      <c r="C765" s="28">
        <v>90</v>
      </c>
      <c r="D765" s="29">
        <v>3.8</v>
      </c>
      <c r="E765" s="26">
        <f t="shared" si="150"/>
        <v>23</v>
      </c>
      <c r="F765" s="26">
        <f t="shared" si="151"/>
        <v>130</v>
      </c>
      <c r="G765" s="2">
        <f t="shared" si="152"/>
        <v>121</v>
      </c>
      <c r="H765" s="2">
        <f t="shared" si="153"/>
        <v>111</v>
      </c>
      <c r="I765" s="2">
        <f t="shared" si="154"/>
        <v>102</v>
      </c>
      <c r="J765" s="2">
        <f t="shared" si="155"/>
        <v>93</v>
      </c>
      <c r="K765" s="2">
        <f t="shared" si="156"/>
        <v>83</v>
      </c>
      <c r="L765" s="2">
        <f t="shared" si="157"/>
        <v>74</v>
      </c>
      <c r="M765" s="2">
        <f t="shared" si="158"/>
        <v>65</v>
      </c>
      <c r="N765" s="25">
        <f t="shared" si="159"/>
        <v>55</v>
      </c>
      <c r="O765" s="2"/>
      <c r="Y765" s="626"/>
    </row>
    <row r="766" spans="1:25" s="426" customFormat="1" x14ac:dyDescent="0.25">
      <c r="A766" s="12" t="str">
        <f t="shared" si="149"/>
        <v xml:space="preserve"> </v>
      </c>
      <c r="B766" s="25" t="s">
        <v>34</v>
      </c>
      <c r="C766" s="28">
        <v>90</v>
      </c>
      <c r="D766" s="29">
        <v>3</v>
      </c>
      <c r="E766" s="26">
        <f t="shared" si="150"/>
        <v>30</v>
      </c>
      <c r="F766" s="26">
        <f t="shared" si="151"/>
        <v>170</v>
      </c>
      <c r="G766" s="2">
        <f t="shared" si="152"/>
        <v>157</v>
      </c>
      <c r="H766" s="2">
        <f t="shared" si="153"/>
        <v>145</v>
      </c>
      <c r="I766" s="2">
        <f t="shared" si="154"/>
        <v>133</v>
      </c>
      <c r="J766" s="2">
        <f t="shared" si="155"/>
        <v>121</v>
      </c>
      <c r="K766" s="2">
        <f t="shared" si="156"/>
        <v>109</v>
      </c>
      <c r="L766" s="2">
        <f t="shared" si="157"/>
        <v>97</v>
      </c>
      <c r="M766" s="2">
        <f t="shared" si="158"/>
        <v>85</v>
      </c>
      <c r="N766" s="25">
        <f t="shared" si="159"/>
        <v>72</v>
      </c>
      <c r="O766" s="2"/>
      <c r="Y766" s="626"/>
    </row>
    <row r="767" spans="1:25" s="426" customFormat="1" x14ac:dyDescent="0.25">
      <c r="A767" s="12" t="str">
        <f t="shared" si="149"/>
        <v xml:space="preserve"> </v>
      </c>
      <c r="B767" s="25" t="s">
        <v>33</v>
      </c>
      <c r="C767" s="28">
        <v>90</v>
      </c>
      <c r="D767" s="29">
        <v>3.8</v>
      </c>
      <c r="E767" s="26">
        <f t="shared" si="150"/>
        <v>23</v>
      </c>
      <c r="F767" s="26">
        <f t="shared" si="151"/>
        <v>130</v>
      </c>
      <c r="G767" s="2">
        <f t="shared" si="152"/>
        <v>121</v>
      </c>
      <c r="H767" s="2">
        <f t="shared" si="153"/>
        <v>111</v>
      </c>
      <c r="I767" s="2">
        <f t="shared" si="154"/>
        <v>102</v>
      </c>
      <c r="J767" s="2">
        <f t="shared" si="155"/>
        <v>93</v>
      </c>
      <c r="K767" s="2">
        <f t="shared" si="156"/>
        <v>83</v>
      </c>
      <c r="L767" s="2">
        <f t="shared" si="157"/>
        <v>74</v>
      </c>
      <c r="M767" s="2">
        <f t="shared" si="158"/>
        <v>65</v>
      </c>
      <c r="N767" s="25">
        <f t="shared" si="159"/>
        <v>55</v>
      </c>
      <c r="O767" s="2"/>
      <c r="Y767" s="626"/>
    </row>
    <row r="768" spans="1:25" s="426" customFormat="1" x14ac:dyDescent="0.25">
      <c r="A768" s="12" t="str">
        <f t="shared" si="149"/>
        <v xml:space="preserve"> </v>
      </c>
      <c r="B768" s="25" t="s">
        <v>35</v>
      </c>
      <c r="C768" s="28">
        <v>90</v>
      </c>
      <c r="D768" s="29">
        <v>3.6</v>
      </c>
      <c r="E768" s="26">
        <f t="shared" si="150"/>
        <v>25</v>
      </c>
      <c r="F768" s="26">
        <f t="shared" si="151"/>
        <v>141</v>
      </c>
      <c r="G768" s="2">
        <f t="shared" si="152"/>
        <v>131</v>
      </c>
      <c r="H768" s="2">
        <f t="shared" si="153"/>
        <v>121</v>
      </c>
      <c r="I768" s="2">
        <f t="shared" si="154"/>
        <v>111</v>
      </c>
      <c r="J768" s="2">
        <f t="shared" si="155"/>
        <v>101</v>
      </c>
      <c r="K768" s="2">
        <f t="shared" si="156"/>
        <v>91</v>
      </c>
      <c r="L768" s="2">
        <f t="shared" si="157"/>
        <v>81</v>
      </c>
      <c r="M768" s="2">
        <f t="shared" si="158"/>
        <v>70</v>
      </c>
      <c r="N768" s="25">
        <f t="shared" si="159"/>
        <v>60</v>
      </c>
      <c r="O768" s="2"/>
      <c r="Y768" s="626"/>
    </row>
    <row r="769" spans="1:25" s="426" customFormat="1" ht="15.75" thickBot="1" x14ac:dyDescent="0.3">
      <c r="A769" s="12" t="str">
        <f t="shared" si="149"/>
        <v xml:space="preserve"> </v>
      </c>
      <c r="B769" s="25" t="s">
        <v>36</v>
      </c>
      <c r="C769" s="34">
        <v>90</v>
      </c>
      <c r="D769" s="649">
        <v>5.6</v>
      </c>
      <c r="E769" s="432">
        <f t="shared" si="150"/>
        <v>16</v>
      </c>
      <c r="F769" s="432">
        <f t="shared" si="151"/>
        <v>90</v>
      </c>
      <c r="G769" s="343">
        <f t="shared" si="152"/>
        <v>84</v>
      </c>
      <c r="H769" s="343">
        <f t="shared" si="153"/>
        <v>77</v>
      </c>
      <c r="I769" s="343">
        <f t="shared" si="154"/>
        <v>71</v>
      </c>
      <c r="J769" s="343">
        <f t="shared" si="155"/>
        <v>64</v>
      </c>
      <c r="K769" s="343">
        <f t="shared" si="156"/>
        <v>58</v>
      </c>
      <c r="L769" s="343">
        <f t="shared" si="157"/>
        <v>51</v>
      </c>
      <c r="M769" s="343">
        <f t="shared" si="158"/>
        <v>45</v>
      </c>
      <c r="N769" s="436">
        <f t="shared" si="159"/>
        <v>38</v>
      </c>
      <c r="O769" s="2"/>
      <c r="Y769" s="626"/>
    </row>
    <row r="770" spans="1:25" s="426" customFormat="1" ht="15.75" thickBot="1" x14ac:dyDescent="0.3">
      <c r="A770" s="414" t="s">
        <v>724</v>
      </c>
      <c r="B770" s="682">
        <f>HLOOKUP(1,F761:N770,10,FALSE)</f>
        <v>142</v>
      </c>
      <c r="C770" s="43"/>
      <c r="D770" s="43"/>
      <c r="E770" s="43"/>
      <c r="F770" s="208">
        <f>VLOOKUP(1,A763:N769,6,FALSE)</f>
        <v>181</v>
      </c>
      <c r="G770" s="23">
        <f>VLOOKUP(1,A763:N769,7,FALSE)</f>
        <v>168</v>
      </c>
      <c r="H770" s="23">
        <f>VLOOKUP(1,A763:N769,8,FALSE)</f>
        <v>155</v>
      </c>
      <c r="I770" s="23">
        <f>VLOOKUP(1,A763:N769,9,FALSE)</f>
        <v>142</v>
      </c>
      <c r="J770" s="23">
        <f>VLOOKUP(1,A763:N769,10,FALSE)</f>
        <v>129</v>
      </c>
      <c r="K770" s="23">
        <f>VLOOKUP(1,A763:N769,11,FALSE)</f>
        <v>116</v>
      </c>
      <c r="L770" s="23">
        <f>VLOOKUP(1,A763:N769,12,FALSE)</f>
        <v>103</v>
      </c>
      <c r="M770" s="23">
        <f>VLOOKUP(1,A763:N769,13,FALSE)</f>
        <v>90</v>
      </c>
      <c r="N770" s="38">
        <f>VLOOKUP(1,A763:N769,14,FALSE)</f>
        <v>77</v>
      </c>
      <c r="O770" s="2"/>
      <c r="Y770" s="626"/>
    </row>
    <row r="771" spans="1:25" s="426" customFormat="1" x14ac:dyDescent="0.25">
      <c r="A771"/>
      <c r="B771"/>
      <c r="C771"/>
      <c r="D771"/>
      <c r="E771"/>
      <c r="F771" s="2"/>
      <c r="G771" s="2"/>
      <c r="H771" s="2"/>
      <c r="I771" s="2"/>
      <c r="J771" s="2"/>
      <c r="K771" s="2"/>
      <c r="L771" s="2"/>
      <c r="M771" s="2"/>
      <c r="N771" s="2"/>
      <c r="O771" s="2"/>
      <c r="Y771" s="626"/>
    </row>
    <row r="772" spans="1:25" s="426" customFormat="1" ht="12.75" x14ac:dyDescent="0.2">
      <c r="Y772" s="626"/>
    </row>
    <row r="773" spans="1:25" s="426" customFormat="1" ht="12.75" x14ac:dyDescent="0.2">
      <c r="B773" s="426" t="s">
        <v>692</v>
      </c>
      <c r="Y773" s="626"/>
    </row>
    <row r="774" spans="1:25" s="426" customFormat="1" ht="12.75" x14ac:dyDescent="0.2">
      <c r="Y774" s="626"/>
    </row>
    <row r="775" spans="1:25" s="426" customFormat="1" ht="12.75" x14ac:dyDescent="0.2">
      <c r="A775" s="426">
        <f>A722</f>
        <v>0</v>
      </c>
      <c r="B775" s="426" t="s">
        <v>717</v>
      </c>
      <c r="C775" s="626">
        <f>A775*C722</f>
        <v>0</v>
      </c>
      <c r="D775" s="635">
        <f>C775*$D$719</f>
        <v>0</v>
      </c>
      <c r="Y775" s="626"/>
    </row>
    <row r="776" spans="1:25" s="426" customFormat="1" ht="12.75" x14ac:dyDescent="0.2">
      <c r="A776" s="426">
        <f>A723</f>
        <v>0</v>
      </c>
      <c r="B776" s="426" t="s">
        <v>677</v>
      </c>
      <c r="C776" s="626">
        <f>A776*C723</f>
        <v>0</v>
      </c>
      <c r="D776" s="635">
        <f>C776*$D$719</f>
        <v>0</v>
      </c>
      <c r="Y776" s="626"/>
    </row>
    <row r="777" spans="1:25" s="426" customFormat="1" ht="12.75" x14ac:dyDescent="0.2">
      <c r="A777" s="426">
        <f>A724</f>
        <v>0</v>
      </c>
      <c r="B777" s="426" t="s">
        <v>681</v>
      </c>
      <c r="C777" s="626">
        <f>A777*C724</f>
        <v>0</v>
      </c>
      <c r="D777" s="635">
        <f>C777*$D$719</f>
        <v>0</v>
      </c>
      <c r="Y777" s="626"/>
    </row>
    <row r="778" spans="1:25" s="426" customFormat="1" ht="12.75" x14ac:dyDescent="0.2">
      <c r="B778" s="615" t="s">
        <v>693</v>
      </c>
      <c r="D778" s="633">
        <f>SUM(D775:D777)</f>
        <v>0</v>
      </c>
      <c r="Y778" s="626"/>
    </row>
    <row r="779" spans="1:25" s="426" customFormat="1" ht="12.75" x14ac:dyDescent="0.2">
      <c r="B779" s="615"/>
      <c r="Y779" s="626"/>
    </row>
    <row r="780" spans="1:25" s="426" customFormat="1" ht="12.75" x14ac:dyDescent="0.2">
      <c r="B780" s="615"/>
      <c r="Y780" s="626"/>
    </row>
    <row r="781" spans="1:25" s="426" customFormat="1" ht="12.75" x14ac:dyDescent="0.2">
      <c r="B781" s="615"/>
      <c r="C781" s="626" t="s">
        <v>1020</v>
      </c>
      <c r="D781" s="426" t="s">
        <v>1023</v>
      </c>
      <c r="E781" s="626" t="s">
        <v>1024</v>
      </c>
      <c r="Y781" s="626"/>
    </row>
    <row r="782" spans="1:25" s="426" customFormat="1" ht="12.75" x14ac:dyDescent="0.2">
      <c r="B782" s="652" t="s">
        <v>704</v>
      </c>
      <c r="C782" s="634">
        <f>B770</f>
        <v>142</v>
      </c>
      <c r="D782" s="1047">
        <f>J728</f>
        <v>9999</v>
      </c>
      <c r="E782" s="1047">
        <f>MIN(C782:D782)*H734</f>
        <v>127.8</v>
      </c>
      <c r="Y782" s="626"/>
    </row>
    <row r="783" spans="1:25" s="426" customFormat="1" ht="12.75" x14ac:dyDescent="0.2">
      <c r="C783" s="626"/>
      <c r="Y783" s="626"/>
    </row>
    <row r="784" spans="1:25" s="426" customFormat="1" ht="12.75" x14ac:dyDescent="0.2">
      <c r="Y784" s="626"/>
    </row>
    <row r="785" spans="1:25" s="426" customFormat="1" ht="12.75" x14ac:dyDescent="0.2">
      <c r="B785" s="634" t="s">
        <v>706</v>
      </c>
      <c r="C785" s="653" t="s">
        <v>707</v>
      </c>
      <c r="D785" s="628" t="s">
        <v>708</v>
      </c>
      <c r="E785" s="664" t="s">
        <v>709</v>
      </c>
      <c r="Y785" s="626"/>
    </row>
    <row r="786" spans="1:25" s="426" customFormat="1" ht="12.75" x14ac:dyDescent="0.2">
      <c r="B786" s="634">
        <f>IF(C3&gt;=I445,C3,I445)</f>
        <v>1800</v>
      </c>
      <c r="C786" s="665">
        <v>150</v>
      </c>
      <c r="D786" s="634">
        <f>B786-C786</f>
        <v>1650</v>
      </c>
      <c r="E786" s="654"/>
      <c r="Y786" s="626"/>
    </row>
    <row r="787" spans="1:25" s="426" customFormat="1" ht="12.75" x14ac:dyDescent="0.2">
      <c r="B787" s="634" t="s">
        <v>710</v>
      </c>
      <c r="C787" s="666">
        <f>C786/(E782/2)</f>
        <v>2.347417840375587</v>
      </c>
      <c r="D787" s="668">
        <f>D786/E782</f>
        <v>12.910798122065728</v>
      </c>
      <c r="E787" s="667">
        <f>CEILING(D787+C787,1)</f>
        <v>16</v>
      </c>
      <c r="Y787" s="626"/>
    </row>
    <row r="788" spans="1:25" s="426" customFormat="1" ht="12.75" x14ac:dyDescent="0.2">
      <c r="B788" s="615"/>
      <c r="Y788" s="626"/>
    </row>
    <row r="789" spans="1:25" s="426" customFormat="1" ht="12.75" x14ac:dyDescent="0.2">
      <c r="B789" s="615"/>
      <c r="Y789" s="626"/>
    </row>
    <row r="790" spans="1:25" s="426" customFormat="1" ht="12.75" x14ac:dyDescent="0.2">
      <c r="A790" s="426">
        <f>IF(C715=1,1,0)</f>
        <v>0</v>
      </c>
      <c r="B790" s="615" t="s">
        <v>712</v>
      </c>
      <c r="C790" s="134">
        <f>IF(E787&gt;=C726,E787,C726)</f>
        <v>16</v>
      </c>
      <c r="D790" s="629">
        <f>IF(A790=1,C790*D719,0)</f>
        <v>0</v>
      </c>
      <c r="F790" s="669"/>
      <c r="Y790" s="626"/>
    </row>
    <row r="791" spans="1:25" s="426" customFormat="1" ht="12.75" x14ac:dyDescent="0.2">
      <c r="B791" s="615"/>
      <c r="Y791" s="626"/>
    </row>
    <row r="792" spans="1:25" s="430" customFormat="1" ht="12.75" x14ac:dyDescent="0.2">
      <c r="B792" s="678"/>
      <c r="Y792" s="651"/>
    </row>
    <row r="793" spans="1:25" s="426" customFormat="1" ht="12.75" x14ac:dyDescent="0.2">
      <c r="Y793" s="626"/>
    </row>
    <row r="794" spans="1:25" s="426" customFormat="1" ht="13.5" thickBot="1" x14ac:dyDescent="0.25">
      <c r="B794" s="615"/>
      <c r="D794" s="626" t="s">
        <v>674</v>
      </c>
      <c r="Y794" s="626"/>
    </row>
    <row r="795" spans="1:25" s="426" customFormat="1" ht="13.5" thickBot="1" x14ac:dyDescent="0.25">
      <c r="B795" s="641" t="s">
        <v>666</v>
      </c>
      <c r="C795" s="643">
        <f>J368</f>
        <v>0</v>
      </c>
      <c r="D795" s="642">
        <f>IF(C795=1,C847+C850,0)</f>
        <v>0</v>
      </c>
      <c r="Y795" s="626"/>
    </row>
    <row r="796" spans="1:25" s="426" customFormat="1" ht="12.75" x14ac:dyDescent="0.2">
      <c r="B796" s="627"/>
      <c r="C796" s="626"/>
      <c r="D796" s="704"/>
      <c r="Y796" s="626"/>
    </row>
    <row r="797" spans="1:25" s="426" customFormat="1" ht="12.75" x14ac:dyDescent="0.2">
      <c r="Y797" s="626"/>
    </row>
    <row r="798" spans="1:25" s="426" customFormat="1" ht="12.75" x14ac:dyDescent="0.2">
      <c r="Y798" s="626"/>
    </row>
    <row r="799" spans="1:25" s="426" customFormat="1" ht="12.75" x14ac:dyDescent="0.2">
      <c r="B799" s="426" t="s">
        <v>783</v>
      </c>
      <c r="C799" s="633">
        <f>'Tarieven (2)'!C10</f>
        <v>150</v>
      </c>
      <c r="D799" s="633">
        <f>C799/60</f>
        <v>2.5</v>
      </c>
      <c r="Y799" s="626"/>
    </row>
    <row r="800" spans="1:25" s="426" customFormat="1" ht="12.75" x14ac:dyDescent="0.2">
      <c r="C800" s="635"/>
      <c r="D800" s="635"/>
      <c r="Y800" s="626"/>
    </row>
    <row r="801" spans="1:25" s="426" customFormat="1" ht="12.75" x14ac:dyDescent="0.2">
      <c r="A801" s="426" t="s">
        <v>61</v>
      </c>
      <c r="B801" s="426" t="s">
        <v>679</v>
      </c>
      <c r="C801" s="636" t="s">
        <v>680</v>
      </c>
      <c r="D801" s="635"/>
      <c r="G801" s="638">
        <v>0.01</v>
      </c>
      <c r="Y801" s="626"/>
    </row>
    <row r="802" spans="1:25" s="426" customFormat="1" ht="12.75" x14ac:dyDescent="0.2">
      <c r="A802" s="626">
        <f>IF(C795=1,1,0)</f>
        <v>0</v>
      </c>
      <c r="B802" s="426" t="s">
        <v>784</v>
      </c>
      <c r="C802" s="637">
        <v>25</v>
      </c>
      <c r="D802" s="426" t="s">
        <v>683</v>
      </c>
      <c r="G802" s="708" t="s">
        <v>777</v>
      </c>
      <c r="H802" s="719" t="s">
        <v>778</v>
      </c>
      <c r="I802" s="719" t="s">
        <v>779</v>
      </c>
      <c r="Y802" s="626"/>
    </row>
    <row r="803" spans="1:25" s="426" customFormat="1" ht="13.5" thickBot="1" x14ac:dyDescent="0.25">
      <c r="A803" s="626">
        <f>IF(C795=1,1,0)</f>
        <v>0</v>
      </c>
      <c r="B803" s="426" t="s">
        <v>786</v>
      </c>
      <c r="C803" s="637">
        <v>10</v>
      </c>
      <c r="D803" s="426" t="s">
        <v>683</v>
      </c>
      <c r="G803" s="725">
        <f>MAX(B445,H445)</f>
        <v>1800</v>
      </c>
      <c r="H803" s="145">
        <f>C807*C808</f>
        <v>1</v>
      </c>
      <c r="I803" s="145">
        <f>H803*G803</f>
        <v>1800</v>
      </c>
      <c r="Y803" s="626"/>
    </row>
    <row r="804" spans="1:25" s="426" customFormat="1" ht="12.75" x14ac:dyDescent="0.2">
      <c r="A804" s="626"/>
      <c r="C804" s="626"/>
      <c r="G804" s="735" t="s">
        <v>782</v>
      </c>
      <c r="H804" s="710" t="s">
        <v>781</v>
      </c>
      <c r="I804" s="713" t="s">
        <v>780</v>
      </c>
      <c r="Y804" s="626"/>
    </row>
    <row r="805" spans="1:25" s="426" customFormat="1" ht="13.5" thickBot="1" x14ac:dyDescent="0.25">
      <c r="B805" s="426" t="s">
        <v>796</v>
      </c>
      <c r="C805" s="637">
        <v>12</v>
      </c>
      <c r="D805" s="426" t="s">
        <v>683</v>
      </c>
      <c r="G805" s="736">
        <f>IF(CEILING((H805*G801)+H805,1)&lt;=G803,CEILING((H805*G801)+H805,1),G803)</f>
        <v>1800</v>
      </c>
      <c r="H805" s="702">
        <f>CEILING(I805/H803,1)</f>
        <v>1800</v>
      </c>
      <c r="I805" s="145">
        <f>C3</f>
        <v>1800</v>
      </c>
      <c r="Y805" s="626"/>
    </row>
    <row r="806" spans="1:25" s="426" customFormat="1" ht="12.75" x14ac:dyDescent="0.2">
      <c r="Y806" s="626"/>
    </row>
    <row r="807" spans="1:25" s="426" customFormat="1" ht="12.75" x14ac:dyDescent="0.2">
      <c r="B807" s="615" t="s">
        <v>752</v>
      </c>
      <c r="C807" s="626">
        <f>C445</f>
        <v>1</v>
      </c>
      <c r="D807" s="426" t="s">
        <v>754</v>
      </c>
      <c r="Y807" s="626"/>
    </row>
    <row r="808" spans="1:25" s="426" customFormat="1" ht="12.75" x14ac:dyDescent="0.2">
      <c r="B808" s="615" t="s">
        <v>753</v>
      </c>
      <c r="C808" s="626">
        <f>D445</f>
        <v>1</v>
      </c>
      <c r="D808" s="426" t="s">
        <v>754</v>
      </c>
      <c r="Y808" s="626"/>
    </row>
    <row r="809" spans="1:25" s="426" customFormat="1" ht="12.75" x14ac:dyDescent="0.2">
      <c r="B809" s="615" t="s">
        <v>99</v>
      </c>
      <c r="C809" s="626">
        <f>E445</f>
        <v>361</v>
      </c>
      <c r="D809" s="426" t="s">
        <v>25</v>
      </c>
      <c r="Y809" s="626"/>
    </row>
    <row r="810" spans="1:25" s="426" customFormat="1" ht="12.75" x14ac:dyDescent="0.2">
      <c r="B810" s="615" t="s">
        <v>100</v>
      </c>
      <c r="C810" s="626">
        <f>F445</f>
        <v>1150</v>
      </c>
      <c r="D810" s="426" t="s">
        <v>25</v>
      </c>
      <c r="Y810" s="626"/>
    </row>
    <row r="811" spans="1:25" s="426" customFormat="1" ht="12.75" x14ac:dyDescent="0.2">
      <c r="B811" s="615" t="s">
        <v>776</v>
      </c>
      <c r="C811" s="134">
        <f>G805</f>
        <v>1800</v>
      </c>
      <c r="D811" s="426" t="s">
        <v>754</v>
      </c>
      <c r="Y811" s="626"/>
    </row>
    <row r="812" spans="1:25" s="426" customFormat="1" ht="12.75" x14ac:dyDescent="0.2">
      <c r="Y812" s="626"/>
    </row>
    <row r="813" spans="1:25" s="426" customFormat="1" x14ac:dyDescent="0.25">
      <c r="D813" s="77"/>
      <c r="F813"/>
      <c r="G813"/>
      <c r="H813"/>
      <c r="I813"/>
      <c r="J813"/>
      <c r="K813"/>
      <c r="L813"/>
      <c r="M813"/>
      <c r="N813"/>
      <c r="O813"/>
      <c r="P813"/>
      <c r="Q813"/>
      <c r="Y813" s="626"/>
    </row>
    <row r="814" spans="1:25" s="426" customFormat="1" x14ac:dyDescent="0.25">
      <c r="A814" s="708"/>
      <c r="B814" s="405" t="s">
        <v>787</v>
      </c>
      <c r="C814" s="442">
        <f>MAX(C809:C810)</f>
        <v>1150</v>
      </c>
      <c r="D814" s="516"/>
      <c r="E814" s="427"/>
      <c r="F814" s="412"/>
      <c r="G814" s="412"/>
      <c r="H814" s="412"/>
      <c r="I814" s="412"/>
      <c r="J814" s="412"/>
      <c r="K814" s="412"/>
      <c r="L814" s="412"/>
      <c r="M814" s="412"/>
      <c r="N814" s="412"/>
      <c r="O814" s="433"/>
      <c r="P814"/>
      <c r="Q814"/>
      <c r="Y814" s="626"/>
    </row>
    <row r="815" spans="1:25" s="426" customFormat="1" x14ac:dyDescent="0.25">
      <c r="A815" s="429"/>
      <c r="B815" s="341" t="s">
        <v>788</v>
      </c>
      <c r="C815" s="13">
        <f>MIN(C809:C810)</f>
        <v>361</v>
      </c>
      <c r="D815" s="416"/>
      <c r="E815" s="430"/>
      <c r="F815" s="320"/>
      <c r="G815" s="320"/>
      <c r="H815" s="320"/>
      <c r="I815" s="320"/>
      <c r="J815" s="320"/>
      <c r="K815" s="320"/>
      <c r="L815" s="320"/>
      <c r="M815" s="320"/>
      <c r="N815" s="320"/>
      <c r="O815" s="434"/>
      <c r="P815"/>
      <c r="Q815"/>
      <c r="Y815" s="626"/>
    </row>
    <row r="816" spans="1:25" s="426" customFormat="1" x14ac:dyDescent="0.25">
      <c r="A816" s="476"/>
      <c r="B816" s="412"/>
      <c r="C816" s="412"/>
      <c r="D816" s="23">
        <v>4</v>
      </c>
      <c r="E816" s="23">
        <v>5</v>
      </c>
      <c r="F816" s="23">
        <v>6</v>
      </c>
      <c r="G816" s="23">
        <v>7</v>
      </c>
      <c r="H816" s="23">
        <v>8</v>
      </c>
      <c r="I816" s="23">
        <v>9</v>
      </c>
      <c r="J816" s="23">
        <v>10</v>
      </c>
      <c r="K816" s="23">
        <v>11</v>
      </c>
      <c r="L816" s="23">
        <v>12</v>
      </c>
      <c r="M816" s="23">
        <v>13</v>
      </c>
      <c r="N816" s="23">
        <v>14</v>
      </c>
      <c r="O816" s="38">
        <v>15</v>
      </c>
      <c r="P816"/>
      <c r="Q816"/>
      <c r="Y816" s="626"/>
    </row>
    <row r="817" spans="1:29" s="426" customFormat="1" x14ac:dyDescent="0.25">
      <c r="A817" s="431"/>
      <c r="B817" s="412"/>
      <c r="C817" s="433"/>
      <c r="D817" s="208">
        <f t="shared" ref="D817:O817" si="160">IF(AND($C$814&gt;D818,$C$814&lt;=D819),1,0)</f>
        <v>0</v>
      </c>
      <c r="E817" s="23">
        <f t="shared" si="160"/>
        <v>0</v>
      </c>
      <c r="F817" s="23">
        <f t="shared" si="160"/>
        <v>0</v>
      </c>
      <c r="G817" s="23">
        <f t="shared" si="160"/>
        <v>0</v>
      </c>
      <c r="H817" s="23">
        <f t="shared" si="160"/>
        <v>0</v>
      </c>
      <c r="I817" s="23">
        <f t="shared" si="160"/>
        <v>0</v>
      </c>
      <c r="J817" s="23">
        <f t="shared" si="160"/>
        <v>1</v>
      </c>
      <c r="K817" s="23">
        <f t="shared" si="160"/>
        <v>0</v>
      </c>
      <c r="L817" s="23">
        <f t="shared" si="160"/>
        <v>0</v>
      </c>
      <c r="M817" s="23">
        <f t="shared" si="160"/>
        <v>0</v>
      </c>
      <c r="N817" s="23">
        <f t="shared" si="160"/>
        <v>0</v>
      </c>
      <c r="O817" s="38">
        <f t="shared" si="160"/>
        <v>0</v>
      </c>
      <c r="P817"/>
      <c r="Q817"/>
      <c r="Y817" s="626"/>
    </row>
    <row r="818" spans="1:29" s="426" customFormat="1" x14ac:dyDescent="0.25">
      <c r="A818" s="6"/>
      <c r="B818"/>
      <c r="C818" s="7"/>
      <c r="D818" s="26">
        <v>0</v>
      </c>
      <c r="E818" s="2">
        <v>600</v>
      </c>
      <c r="F818" s="2">
        <v>700</v>
      </c>
      <c r="G818" s="2">
        <v>800</v>
      </c>
      <c r="H818" s="2">
        <v>900</v>
      </c>
      <c r="I818" s="2">
        <v>1000</v>
      </c>
      <c r="J818" s="2">
        <v>1100</v>
      </c>
      <c r="K818" s="2">
        <v>1200</v>
      </c>
      <c r="L818" s="2">
        <v>1300</v>
      </c>
      <c r="M818" s="2">
        <v>1400</v>
      </c>
      <c r="N818" s="2">
        <v>1500</v>
      </c>
      <c r="O818" s="25">
        <v>1600</v>
      </c>
      <c r="P818"/>
      <c r="Q818"/>
      <c r="Y818" s="626"/>
    </row>
    <row r="819" spans="1:29" s="426" customFormat="1" ht="15.75" thickBot="1" x14ac:dyDescent="0.3">
      <c r="A819" s="415"/>
      <c r="B819" s="320"/>
      <c r="C819" s="434"/>
      <c r="D819" s="26">
        <v>600</v>
      </c>
      <c r="E819" s="2">
        <v>700</v>
      </c>
      <c r="F819" s="2">
        <v>800</v>
      </c>
      <c r="G819" s="2">
        <v>900</v>
      </c>
      <c r="H819" s="2">
        <v>1000</v>
      </c>
      <c r="I819" s="2">
        <v>1100</v>
      </c>
      <c r="J819" s="2">
        <v>1200</v>
      </c>
      <c r="K819" s="2">
        <v>1300</v>
      </c>
      <c r="L819" s="343">
        <v>1400</v>
      </c>
      <c r="M819" s="343">
        <v>1500</v>
      </c>
      <c r="N819" s="343">
        <v>1600</v>
      </c>
      <c r="O819" s="436">
        <v>1700</v>
      </c>
      <c r="P819"/>
      <c r="Q819" s="2" t="s">
        <v>801</v>
      </c>
      <c r="Y819" s="626"/>
    </row>
    <row r="820" spans="1:29" s="426" customFormat="1" ht="15.75" thickBot="1" x14ac:dyDescent="0.3">
      <c r="A820" s="442">
        <f t="shared" ref="A820:A832" si="161">IF(AND($C$815&gt;B820,$C$815&lt;=C820),1,0)</f>
        <v>1</v>
      </c>
      <c r="B820" s="449">
        <v>0</v>
      </c>
      <c r="C820" s="449">
        <v>600</v>
      </c>
      <c r="D820" s="984">
        <f>FLOOR($Q$820*R820,5)</f>
        <v>3040</v>
      </c>
      <c r="E820" s="977">
        <f t="shared" ref="E820:H825" si="162">FLOOR($Q$820*S820,5)</f>
        <v>3040</v>
      </c>
      <c r="F820" s="977">
        <f t="shared" si="162"/>
        <v>3040</v>
      </c>
      <c r="G820" s="977">
        <f t="shared" si="162"/>
        <v>3040</v>
      </c>
      <c r="H820" s="978">
        <f t="shared" si="162"/>
        <v>3040</v>
      </c>
      <c r="I820" s="977">
        <f t="shared" ref="I820:K825" si="163">FLOOR($Q$826*W820,5)</f>
        <v>2945</v>
      </c>
      <c r="J820" s="977">
        <f t="shared" si="163"/>
        <v>2850</v>
      </c>
      <c r="K820" s="978">
        <f t="shared" si="163"/>
        <v>2755</v>
      </c>
      <c r="L820" s="977">
        <f t="shared" ref="L820:O828" si="164">FLOOR($Q$829*Z820,5)</f>
        <v>2660</v>
      </c>
      <c r="M820" s="977">
        <f t="shared" si="164"/>
        <v>2565</v>
      </c>
      <c r="N820" s="977">
        <f t="shared" si="164"/>
        <v>2470</v>
      </c>
      <c r="O820" s="978">
        <f t="shared" si="164"/>
        <v>2375</v>
      </c>
      <c r="P820" s="741"/>
      <c r="Q820" s="982">
        <v>0.95</v>
      </c>
      <c r="R820" s="739">
        <v>3200</v>
      </c>
      <c r="S820" s="739">
        <v>3200</v>
      </c>
      <c r="T820" s="739">
        <v>3200</v>
      </c>
      <c r="U820" s="739">
        <v>3200</v>
      </c>
      <c r="V820" s="740">
        <v>3200</v>
      </c>
      <c r="W820" s="739">
        <v>3100</v>
      </c>
      <c r="X820" s="739">
        <v>3000</v>
      </c>
      <c r="Y820" s="740">
        <v>2900</v>
      </c>
      <c r="Z820" s="739">
        <v>2800</v>
      </c>
      <c r="AA820" s="648">
        <v>2700</v>
      </c>
      <c r="AB820" s="648">
        <v>2600</v>
      </c>
      <c r="AC820" s="740">
        <v>2500</v>
      </c>
    </row>
    <row r="821" spans="1:29" s="426" customFormat="1" x14ac:dyDescent="0.25">
      <c r="A821" s="12">
        <f t="shared" si="161"/>
        <v>0</v>
      </c>
      <c r="B821" s="2">
        <v>600</v>
      </c>
      <c r="C821" s="2">
        <v>650</v>
      </c>
      <c r="D821" s="979">
        <f t="shared" ref="D821:D825" si="165">FLOOR($Q$820*R821,5)</f>
        <v>3040</v>
      </c>
      <c r="E821" s="741">
        <f t="shared" si="162"/>
        <v>3040</v>
      </c>
      <c r="F821" s="741">
        <f t="shared" si="162"/>
        <v>3040</v>
      </c>
      <c r="G821" s="741">
        <f t="shared" si="162"/>
        <v>3040</v>
      </c>
      <c r="H821" s="980">
        <f t="shared" si="162"/>
        <v>3040</v>
      </c>
      <c r="I821" s="741">
        <f t="shared" si="163"/>
        <v>2925</v>
      </c>
      <c r="J821" s="741">
        <f t="shared" si="163"/>
        <v>2815</v>
      </c>
      <c r="K821" s="980">
        <f t="shared" si="163"/>
        <v>2705</v>
      </c>
      <c r="L821" s="741">
        <f t="shared" si="164"/>
        <v>2595</v>
      </c>
      <c r="M821" s="741">
        <f t="shared" si="164"/>
        <v>2495</v>
      </c>
      <c r="N821" s="741">
        <f t="shared" si="164"/>
        <v>2395</v>
      </c>
      <c r="O821" s="980">
        <f t="shared" si="164"/>
        <v>2295</v>
      </c>
      <c r="P821" s="741"/>
      <c r="Q821" s="976"/>
      <c r="R821" s="742">
        <v>3200</v>
      </c>
      <c r="S821" s="743">
        <v>3200</v>
      </c>
      <c r="T821" s="743">
        <v>3200</v>
      </c>
      <c r="U821" s="743">
        <v>3200</v>
      </c>
      <c r="V821" s="744">
        <v>3200</v>
      </c>
      <c r="W821" s="743">
        <v>3080</v>
      </c>
      <c r="X821" s="743">
        <v>2965</v>
      </c>
      <c r="Y821" s="744">
        <v>2850</v>
      </c>
      <c r="Z821" s="743">
        <v>2735</v>
      </c>
      <c r="AA821" s="647">
        <v>2630</v>
      </c>
      <c r="AB821" s="647">
        <v>2525</v>
      </c>
      <c r="AC821" s="744">
        <v>2420</v>
      </c>
    </row>
    <row r="822" spans="1:29" s="426" customFormat="1" x14ac:dyDescent="0.25">
      <c r="A822" s="12">
        <f t="shared" si="161"/>
        <v>0</v>
      </c>
      <c r="B822" s="2">
        <v>650</v>
      </c>
      <c r="C822" s="2">
        <v>700</v>
      </c>
      <c r="D822" s="979">
        <f t="shared" si="165"/>
        <v>3040</v>
      </c>
      <c r="E822" s="741">
        <f t="shared" si="162"/>
        <v>3040</v>
      </c>
      <c r="F822" s="741">
        <f t="shared" si="162"/>
        <v>3040</v>
      </c>
      <c r="G822" s="741">
        <f t="shared" si="162"/>
        <v>3040</v>
      </c>
      <c r="H822" s="980">
        <f t="shared" si="162"/>
        <v>3040</v>
      </c>
      <c r="I822" s="741">
        <f t="shared" si="163"/>
        <v>2905</v>
      </c>
      <c r="J822" s="741">
        <f t="shared" si="163"/>
        <v>2780</v>
      </c>
      <c r="K822" s="980">
        <f t="shared" si="163"/>
        <v>2660</v>
      </c>
      <c r="L822" s="741">
        <f t="shared" si="164"/>
        <v>2535</v>
      </c>
      <c r="M822" s="741">
        <f t="shared" si="164"/>
        <v>2430</v>
      </c>
      <c r="N822" s="741">
        <f t="shared" si="164"/>
        <v>2325</v>
      </c>
      <c r="O822" s="980">
        <f t="shared" si="164"/>
        <v>2220</v>
      </c>
      <c r="P822" s="741"/>
      <c r="Q822" s="976"/>
      <c r="R822" s="742">
        <v>3200</v>
      </c>
      <c r="S822" s="743">
        <v>3200</v>
      </c>
      <c r="T822" s="743">
        <v>3200</v>
      </c>
      <c r="U822" s="743">
        <v>3200</v>
      </c>
      <c r="V822" s="744">
        <v>3200</v>
      </c>
      <c r="W822" s="743">
        <v>3060</v>
      </c>
      <c r="X822" s="743">
        <v>2930</v>
      </c>
      <c r="Y822" s="744">
        <v>2800</v>
      </c>
      <c r="Z822" s="743">
        <v>2670</v>
      </c>
      <c r="AA822" s="647">
        <v>2560</v>
      </c>
      <c r="AB822" s="647">
        <v>2450</v>
      </c>
      <c r="AC822" s="744">
        <v>2340</v>
      </c>
    </row>
    <row r="823" spans="1:29" s="426" customFormat="1" x14ac:dyDescent="0.25">
      <c r="A823" s="12">
        <f t="shared" si="161"/>
        <v>0</v>
      </c>
      <c r="B823" s="2">
        <v>700</v>
      </c>
      <c r="C823" s="2">
        <v>750</v>
      </c>
      <c r="D823" s="979">
        <f t="shared" si="165"/>
        <v>3040</v>
      </c>
      <c r="E823" s="741">
        <f t="shared" si="162"/>
        <v>3040</v>
      </c>
      <c r="F823" s="741">
        <f t="shared" si="162"/>
        <v>3040</v>
      </c>
      <c r="G823" s="741">
        <f t="shared" si="162"/>
        <v>3040</v>
      </c>
      <c r="H823" s="980">
        <f t="shared" si="162"/>
        <v>3040</v>
      </c>
      <c r="I823" s="741">
        <f t="shared" si="163"/>
        <v>2885</v>
      </c>
      <c r="J823" s="741">
        <f t="shared" si="163"/>
        <v>2750</v>
      </c>
      <c r="K823" s="980">
        <f t="shared" si="163"/>
        <v>2610</v>
      </c>
      <c r="L823" s="741">
        <f t="shared" si="164"/>
        <v>2470</v>
      </c>
      <c r="M823" s="741">
        <f t="shared" si="164"/>
        <v>2365</v>
      </c>
      <c r="N823" s="741">
        <f t="shared" si="164"/>
        <v>2255</v>
      </c>
      <c r="O823" s="980">
        <f t="shared" si="164"/>
        <v>2145</v>
      </c>
      <c r="P823" s="741"/>
      <c r="Q823" s="976"/>
      <c r="R823" s="742">
        <v>3200</v>
      </c>
      <c r="S823" s="743">
        <v>3200</v>
      </c>
      <c r="T823" s="743">
        <v>3200</v>
      </c>
      <c r="U823" s="743">
        <v>3200</v>
      </c>
      <c r="V823" s="744">
        <v>3200</v>
      </c>
      <c r="W823" s="743">
        <v>3040</v>
      </c>
      <c r="X823" s="743">
        <v>2895</v>
      </c>
      <c r="Y823" s="744">
        <v>2750</v>
      </c>
      <c r="Z823" s="743">
        <v>2605</v>
      </c>
      <c r="AA823" s="647">
        <v>2490</v>
      </c>
      <c r="AB823" s="647">
        <v>2375</v>
      </c>
      <c r="AC823" s="744">
        <v>2260</v>
      </c>
    </row>
    <row r="824" spans="1:29" s="426" customFormat="1" x14ac:dyDescent="0.25">
      <c r="A824" s="12">
        <f t="shared" si="161"/>
        <v>0</v>
      </c>
      <c r="B824" s="2">
        <v>750</v>
      </c>
      <c r="C824" s="2">
        <v>800</v>
      </c>
      <c r="D824" s="979">
        <f t="shared" si="165"/>
        <v>3040</v>
      </c>
      <c r="E824" s="741">
        <f t="shared" si="162"/>
        <v>3040</v>
      </c>
      <c r="F824" s="741">
        <f t="shared" si="162"/>
        <v>3040</v>
      </c>
      <c r="G824" s="741">
        <f t="shared" si="162"/>
        <v>3040</v>
      </c>
      <c r="H824" s="980">
        <f t="shared" si="162"/>
        <v>3040</v>
      </c>
      <c r="I824" s="741">
        <f t="shared" si="163"/>
        <v>2885</v>
      </c>
      <c r="J824" s="741">
        <f t="shared" si="163"/>
        <v>2715</v>
      </c>
      <c r="K824" s="980">
        <f t="shared" si="163"/>
        <v>2565</v>
      </c>
      <c r="L824" s="741">
        <f t="shared" si="164"/>
        <v>2410</v>
      </c>
      <c r="M824" s="741">
        <f t="shared" si="164"/>
        <v>2295</v>
      </c>
      <c r="N824" s="741">
        <f t="shared" si="164"/>
        <v>2185</v>
      </c>
      <c r="O824" s="980">
        <f t="shared" si="164"/>
        <v>2070</v>
      </c>
      <c r="P824" s="741"/>
      <c r="Q824" s="976"/>
      <c r="R824" s="742">
        <v>3200</v>
      </c>
      <c r="S824" s="743">
        <v>3200</v>
      </c>
      <c r="T824" s="743">
        <v>3200</v>
      </c>
      <c r="U824" s="743">
        <v>3200</v>
      </c>
      <c r="V824" s="744">
        <v>3200</v>
      </c>
      <c r="W824" s="743">
        <v>3040</v>
      </c>
      <c r="X824" s="743">
        <v>2860</v>
      </c>
      <c r="Y824" s="744">
        <v>2700</v>
      </c>
      <c r="Z824" s="743">
        <v>2540</v>
      </c>
      <c r="AA824" s="647">
        <v>2420</v>
      </c>
      <c r="AB824" s="647">
        <v>2300</v>
      </c>
      <c r="AC824" s="744">
        <v>2180</v>
      </c>
    </row>
    <row r="825" spans="1:29" s="426" customFormat="1" ht="15.75" thickBot="1" x14ac:dyDescent="0.3">
      <c r="A825" s="12">
        <f t="shared" si="161"/>
        <v>0</v>
      </c>
      <c r="B825" s="2">
        <v>800</v>
      </c>
      <c r="C825" s="2">
        <v>850</v>
      </c>
      <c r="D825" s="979">
        <f t="shared" si="165"/>
        <v>3040</v>
      </c>
      <c r="E825" s="741">
        <f t="shared" si="162"/>
        <v>3040</v>
      </c>
      <c r="F825" s="741">
        <f t="shared" si="162"/>
        <v>3040</v>
      </c>
      <c r="G825" s="741">
        <f t="shared" si="162"/>
        <v>3040</v>
      </c>
      <c r="H825" s="986">
        <f t="shared" si="162"/>
        <v>3040</v>
      </c>
      <c r="I825" s="741">
        <f t="shared" si="163"/>
        <v>2850</v>
      </c>
      <c r="J825" s="741">
        <f t="shared" si="163"/>
        <v>2680</v>
      </c>
      <c r="K825" s="980">
        <f t="shared" si="163"/>
        <v>2515</v>
      </c>
      <c r="L825" s="741">
        <f t="shared" si="164"/>
        <v>2350</v>
      </c>
      <c r="M825" s="741">
        <f t="shared" si="164"/>
        <v>2230</v>
      </c>
      <c r="N825" s="741">
        <f t="shared" si="164"/>
        <v>2110</v>
      </c>
      <c r="O825" s="980">
        <f t="shared" si="164"/>
        <v>1995</v>
      </c>
      <c r="P825" s="741"/>
      <c r="Q825" s="976"/>
      <c r="R825" s="745">
        <v>3200</v>
      </c>
      <c r="S825" s="746">
        <v>3200</v>
      </c>
      <c r="T825" s="746">
        <v>3200</v>
      </c>
      <c r="U825" s="746">
        <v>3200</v>
      </c>
      <c r="V825" s="747">
        <v>3200</v>
      </c>
      <c r="W825" s="743">
        <v>3000</v>
      </c>
      <c r="X825" s="743">
        <v>2825</v>
      </c>
      <c r="Y825" s="744">
        <v>2650</v>
      </c>
      <c r="Z825" s="743">
        <v>2475</v>
      </c>
      <c r="AA825" s="647">
        <v>2350</v>
      </c>
      <c r="AB825" s="647">
        <v>2225</v>
      </c>
      <c r="AC825" s="744">
        <v>2100</v>
      </c>
    </row>
    <row r="826" spans="1:29" s="426" customFormat="1" ht="15.75" thickBot="1" x14ac:dyDescent="0.3">
      <c r="A826" s="12">
        <f t="shared" si="161"/>
        <v>0</v>
      </c>
      <c r="B826" s="2">
        <v>850</v>
      </c>
      <c r="C826" s="2">
        <v>900</v>
      </c>
      <c r="D826" s="984">
        <f>FLOOR($Q$826*R826,5)</f>
        <v>2905</v>
      </c>
      <c r="E826" s="977">
        <f t="shared" ref="E826:K828" si="166">FLOOR($Q$826*S826,5)</f>
        <v>2905</v>
      </c>
      <c r="F826" s="977">
        <f t="shared" si="166"/>
        <v>2905</v>
      </c>
      <c r="G826" s="977">
        <f t="shared" si="166"/>
        <v>2905</v>
      </c>
      <c r="H826" s="977">
        <f t="shared" si="166"/>
        <v>2905</v>
      </c>
      <c r="I826" s="741">
        <f t="shared" si="166"/>
        <v>2820</v>
      </c>
      <c r="J826" s="741">
        <f t="shared" si="166"/>
        <v>3600</v>
      </c>
      <c r="K826" s="980">
        <f t="shared" si="166"/>
        <v>2470</v>
      </c>
      <c r="L826" s="741">
        <f t="shared" si="164"/>
        <v>2285</v>
      </c>
      <c r="M826" s="741">
        <f t="shared" si="164"/>
        <v>2165</v>
      </c>
      <c r="N826" s="741">
        <f t="shared" si="164"/>
        <v>2040</v>
      </c>
      <c r="O826" s="980">
        <f t="shared" si="164"/>
        <v>1915</v>
      </c>
      <c r="P826" s="741"/>
      <c r="Q826" s="982">
        <v>0.95</v>
      </c>
      <c r="R826" s="743">
        <v>3060</v>
      </c>
      <c r="S826" s="743">
        <v>3060</v>
      </c>
      <c r="T826" s="743">
        <v>3060</v>
      </c>
      <c r="U826" s="743">
        <v>3060</v>
      </c>
      <c r="V826" s="743">
        <v>3060</v>
      </c>
      <c r="W826" s="743">
        <v>2970</v>
      </c>
      <c r="X826" s="743">
        <v>3790</v>
      </c>
      <c r="Y826" s="744">
        <v>2600</v>
      </c>
      <c r="Z826" s="743">
        <v>2410</v>
      </c>
      <c r="AA826" s="647">
        <v>2280</v>
      </c>
      <c r="AB826" s="647">
        <v>2150</v>
      </c>
      <c r="AC826" s="744">
        <v>2020</v>
      </c>
    </row>
    <row r="827" spans="1:29" s="426" customFormat="1" x14ac:dyDescent="0.25">
      <c r="A827" s="12">
        <f t="shared" si="161"/>
        <v>0</v>
      </c>
      <c r="B827" s="2">
        <v>900</v>
      </c>
      <c r="C827" s="2">
        <v>950</v>
      </c>
      <c r="D827" s="979">
        <f t="shared" ref="D827:D828" si="167">FLOOR($Q$826*R827,5)</f>
        <v>2770</v>
      </c>
      <c r="E827" s="741">
        <f t="shared" si="166"/>
        <v>2770</v>
      </c>
      <c r="F827" s="741">
        <f t="shared" si="166"/>
        <v>2770</v>
      </c>
      <c r="G827" s="741">
        <f t="shared" si="166"/>
        <v>2770</v>
      </c>
      <c r="H827" s="741">
        <f t="shared" si="166"/>
        <v>2770</v>
      </c>
      <c r="I827" s="741">
        <f t="shared" si="166"/>
        <v>2680</v>
      </c>
      <c r="J827" s="741">
        <f t="shared" si="166"/>
        <v>2600</v>
      </c>
      <c r="K827" s="980">
        <f t="shared" si="166"/>
        <v>2420</v>
      </c>
      <c r="L827" s="741">
        <f t="shared" si="164"/>
        <v>2225</v>
      </c>
      <c r="M827" s="741">
        <f t="shared" si="164"/>
        <v>2095</v>
      </c>
      <c r="N827" s="741">
        <f t="shared" si="164"/>
        <v>1970</v>
      </c>
      <c r="O827" s="980">
        <f t="shared" si="164"/>
        <v>1840</v>
      </c>
      <c r="P827" s="741"/>
      <c r="Q827" s="976"/>
      <c r="R827" s="742">
        <v>2920</v>
      </c>
      <c r="S827" s="743">
        <v>2920</v>
      </c>
      <c r="T827" s="743">
        <v>2920</v>
      </c>
      <c r="U827" s="743">
        <v>2920</v>
      </c>
      <c r="V827" s="743">
        <v>2920</v>
      </c>
      <c r="W827" s="743">
        <v>2825</v>
      </c>
      <c r="X827" s="743">
        <v>2740</v>
      </c>
      <c r="Y827" s="744">
        <v>2550</v>
      </c>
      <c r="Z827" s="743">
        <v>2345</v>
      </c>
      <c r="AA827" s="647">
        <v>2210</v>
      </c>
      <c r="AB827" s="647">
        <v>2075</v>
      </c>
      <c r="AC827" s="744">
        <v>1940</v>
      </c>
    </row>
    <row r="828" spans="1:29" s="426" customFormat="1" ht="15.75" thickBot="1" x14ac:dyDescent="0.3">
      <c r="A828" s="12">
        <f t="shared" si="161"/>
        <v>0</v>
      </c>
      <c r="B828" s="2">
        <v>950</v>
      </c>
      <c r="C828" s="2">
        <v>1000</v>
      </c>
      <c r="D828" s="981">
        <f t="shared" si="167"/>
        <v>2640</v>
      </c>
      <c r="E828" s="985">
        <f t="shared" si="166"/>
        <v>2640</v>
      </c>
      <c r="F828" s="985">
        <f t="shared" si="166"/>
        <v>2640</v>
      </c>
      <c r="G828" s="985">
        <f t="shared" si="166"/>
        <v>2640</v>
      </c>
      <c r="H828" s="985">
        <f t="shared" si="166"/>
        <v>2640</v>
      </c>
      <c r="I828" s="985">
        <f t="shared" si="166"/>
        <v>2545</v>
      </c>
      <c r="J828" s="985">
        <f t="shared" si="166"/>
        <v>2460</v>
      </c>
      <c r="K828" s="986">
        <f t="shared" si="166"/>
        <v>2375</v>
      </c>
      <c r="L828" s="741">
        <f t="shared" si="164"/>
        <v>2165</v>
      </c>
      <c r="M828" s="741">
        <f t="shared" si="164"/>
        <v>2030</v>
      </c>
      <c r="N828" s="741">
        <f t="shared" si="164"/>
        <v>1900</v>
      </c>
      <c r="O828" s="980">
        <f t="shared" si="164"/>
        <v>1765</v>
      </c>
      <c r="P828" s="741"/>
      <c r="Q828" s="976"/>
      <c r="R828" s="745">
        <v>2780</v>
      </c>
      <c r="S828" s="746">
        <v>2780</v>
      </c>
      <c r="T828" s="746">
        <v>2780</v>
      </c>
      <c r="U828" s="746">
        <v>2780</v>
      </c>
      <c r="V828" s="746">
        <v>2780</v>
      </c>
      <c r="W828" s="746">
        <v>2680</v>
      </c>
      <c r="X828" s="746">
        <v>2590</v>
      </c>
      <c r="Y828" s="747">
        <v>2500</v>
      </c>
      <c r="Z828" s="743">
        <v>2280</v>
      </c>
      <c r="AA828" s="647">
        <v>2140</v>
      </c>
      <c r="AB828" s="647">
        <v>2000</v>
      </c>
      <c r="AC828" s="744">
        <v>1860</v>
      </c>
    </row>
    <row r="829" spans="1:29" s="426" customFormat="1" ht="15.75" thickBot="1" x14ac:dyDescent="0.3">
      <c r="A829" s="12">
        <f t="shared" si="161"/>
        <v>0</v>
      </c>
      <c r="B829" s="2">
        <v>1000</v>
      </c>
      <c r="C829" s="2">
        <v>1050</v>
      </c>
      <c r="D829" s="979">
        <f>FLOOR($Q$829*R829,5)</f>
        <v>2505</v>
      </c>
      <c r="E829" s="741">
        <f t="shared" ref="E829:O832" si="168">FLOOR($Q$829*S829,5)</f>
        <v>2505</v>
      </c>
      <c r="F829" s="741">
        <f t="shared" si="168"/>
        <v>2505</v>
      </c>
      <c r="G829" s="741">
        <f t="shared" si="168"/>
        <v>2505</v>
      </c>
      <c r="H829" s="741">
        <f t="shared" si="168"/>
        <v>2505</v>
      </c>
      <c r="I829" s="741">
        <f t="shared" si="168"/>
        <v>2405</v>
      </c>
      <c r="J829" s="741">
        <f t="shared" si="168"/>
        <v>2325</v>
      </c>
      <c r="K829" s="741">
        <f t="shared" si="168"/>
        <v>2230</v>
      </c>
      <c r="L829" s="741">
        <f t="shared" si="168"/>
        <v>2145</v>
      </c>
      <c r="M829" s="741">
        <f t="shared" si="168"/>
        <v>1965</v>
      </c>
      <c r="N829" s="741">
        <f t="shared" si="168"/>
        <v>1825</v>
      </c>
      <c r="O829" s="980">
        <f t="shared" si="168"/>
        <v>1690</v>
      </c>
      <c r="P829"/>
      <c r="Q829" s="983">
        <v>0.95</v>
      </c>
      <c r="R829" s="647">
        <v>2640</v>
      </c>
      <c r="S829" s="647">
        <v>2640</v>
      </c>
      <c r="T829" s="647">
        <v>2640</v>
      </c>
      <c r="U829" s="647">
        <v>2640</v>
      </c>
      <c r="V829" s="647">
        <v>2640</v>
      </c>
      <c r="W829" s="647">
        <v>2535</v>
      </c>
      <c r="X829" s="647">
        <v>2450</v>
      </c>
      <c r="Y829" s="647">
        <v>2350</v>
      </c>
      <c r="Z829" s="647">
        <v>2260</v>
      </c>
      <c r="AA829" s="647">
        <v>2070</v>
      </c>
      <c r="AB829" s="647">
        <v>1925</v>
      </c>
      <c r="AC829" s="749">
        <v>1780</v>
      </c>
    </row>
    <row r="830" spans="1:29" s="426" customFormat="1" x14ac:dyDescent="0.25">
      <c r="A830" s="12">
        <f t="shared" si="161"/>
        <v>0</v>
      </c>
      <c r="B830" s="2">
        <v>1050</v>
      </c>
      <c r="C830" s="2">
        <v>1100</v>
      </c>
      <c r="D830" s="979">
        <f t="shared" ref="D830:D832" si="169">FLOOR($Q$829*R830,5)</f>
        <v>2375</v>
      </c>
      <c r="E830" s="741">
        <f t="shared" si="168"/>
        <v>2375</v>
      </c>
      <c r="F830" s="741">
        <f t="shared" si="168"/>
        <v>2375</v>
      </c>
      <c r="G830" s="741">
        <f t="shared" si="168"/>
        <v>2375</v>
      </c>
      <c r="H830" s="741">
        <f t="shared" si="168"/>
        <v>2375</v>
      </c>
      <c r="I830" s="741">
        <f t="shared" si="168"/>
        <v>2270</v>
      </c>
      <c r="J830" s="741">
        <f t="shared" si="168"/>
        <v>2190</v>
      </c>
      <c r="K830" s="741">
        <f t="shared" si="168"/>
        <v>2090</v>
      </c>
      <c r="L830" s="741">
        <f t="shared" si="168"/>
        <v>2000</v>
      </c>
      <c r="M830" s="741">
        <f t="shared" si="168"/>
        <v>1905</v>
      </c>
      <c r="N830" s="741">
        <f t="shared" si="168"/>
        <v>1755</v>
      </c>
      <c r="O830" s="980">
        <f t="shared" si="168"/>
        <v>1615</v>
      </c>
      <c r="P830"/>
      <c r="Q830" s="41"/>
      <c r="R830" s="748">
        <v>2500</v>
      </c>
      <c r="S830" s="647">
        <v>2500</v>
      </c>
      <c r="T830" s="647">
        <v>2500</v>
      </c>
      <c r="U830" s="647">
        <v>2500</v>
      </c>
      <c r="V830" s="647">
        <v>2500</v>
      </c>
      <c r="W830" s="647">
        <v>2390</v>
      </c>
      <c r="X830" s="647">
        <v>2310</v>
      </c>
      <c r="Y830" s="647">
        <v>2200</v>
      </c>
      <c r="Z830" s="647">
        <v>2110</v>
      </c>
      <c r="AA830" s="647">
        <v>2010</v>
      </c>
      <c r="AB830" s="647">
        <v>1850</v>
      </c>
      <c r="AC830" s="749">
        <v>1700</v>
      </c>
    </row>
    <row r="831" spans="1:29" s="426" customFormat="1" x14ac:dyDescent="0.25">
      <c r="A831" s="12">
        <f t="shared" si="161"/>
        <v>0</v>
      </c>
      <c r="B831" s="2">
        <v>1100</v>
      </c>
      <c r="C831" s="2">
        <v>1150</v>
      </c>
      <c r="D831" s="979">
        <f t="shared" si="169"/>
        <v>2240</v>
      </c>
      <c r="E831" s="741">
        <f t="shared" si="168"/>
        <v>2240</v>
      </c>
      <c r="F831" s="741">
        <f t="shared" si="168"/>
        <v>2240</v>
      </c>
      <c r="G831" s="741">
        <f t="shared" si="168"/>
        <v>2240</v>
      </c>
      <c r="H831" s="741">
        <f t="shared" si="168"/>
        <v>2240</v>
      </c>
      <c r="I831" s="741">
        <f t="shared" si="168"/>
        <v>2130</v>
      </c>
      <c r="J831" s="741">
        <f t="shared" si="168"/>
        <v>2060</v>
      </c>
      <c r="K831" s="741">
        <f t="shared" si="168"/>
        <v>1945</v>
      </c>
      <c r="L831" s="741">
        <f t="shared" si="168"/>
        <v>1860</v>
      </c>
      <c r="M831" s="741">
        <f t="shared" si="168"/>
        <v>1745</v>
      </c>
      <c r="N831" s="741">
        <f t="shared" si="168"/>
        <v>1670</v>
      </c>
      <c r="O831" s="980">
        <f t="shared" si="168"/>
        <v>1535</v>
      </c>
      <c r="P831"/>
      <c r="Q831" s="41"/>
      <c r="R831" s="748">
        <v>2360</v>
      </c>
      <c r="S831" s="647">
        <v>2360</v>
      </c>
      <c r="T831" s="647">
        <v>2360</v>
      </c>
      <c r="U831" s="647">
        <v>2360</v>
      </c>
      <c r="V831" s="647">
        <v>2360</v>
      </c>
      <c r="W831" s="647">
        <v>2245</v>
      </c>
      <c r="X831" s="647">
        <v>2170</v>
      </c>
      <c r="Y831" s="647">
        <v>2050</v>
      </c>
      <c r="Z831" s="647">
        <v>1960</v>
      </c>
      <c r="AA831" s="647">
        <v>1840</v>
      </c>
      <c r="AB831" s="647">
        <v>1760</v>
      </c>
      <c r="AC831" s="749">
        <v>1620</v>
      </c>
    </row>
    <row r="832" spans="1:29" s="426" customFormat="1" x14ac:dyDescent="0.25">
      <c r="A832" s="13">
        <f t="shared" si="161"/>
        <v>0</v>
      </c>
      <c r="B832" s="343">
        <v>1150</v>
      </c>
      <c r="C832" s="965">
        <v>1250</v>
      </c>
      <c r="D832" s="981">
        <f t="shared" si="169"/>
        <v>2090</v>
      </c>
      <c r="E832" s="985">
        <f t="shared" si="168"/>
        <v>2090</v>
      </c>
      <c r="F832" s="985">
        <f t="shared" si="168"/>
        <v>2090</v>
      </c>
      <c r="G832" s="985">
        <f t="shared" si="168"/>
        <v>2090</v>
      </c>
      <c r="H832" s="985">
        <f t="shared" si="168"/>
        <v>2090</v>
      </c>
      <c r="I832" s="985">
        <f t="shared" si="168"/>
        <v>1995</v>
      </c>
      <c r="J832" s="985">
        <f t="shared" si="168"/>
        <v>1900</v>
      </c>
      <c r="K832" s="985">
        <f t="shared" si="168"/>
        <v>1805</v>
      </c>
      <c r="L832" s="985">
        <f t="shared" si="168"/>
        <v>1710</v>
      </c>
      <c r="M832" s="985">
        <f t="shared" si="168"/>
        <v>1615</v>
      </c>
      <c r="N832" s="985">
        <f t="shared" si="168"/>
        <v>1520</v>
      </c>
      <c r="O832" s="986">
        <f t="shared" si="168"/>
        <v>1450</v>
      </c>
      <c r="P832"/>
      <c r="Q832" s="52"/>
      <c r="R832" s="750">
        <v>2200</v>
      </c>
      <c r="S832" s="565">
        <v>2200</v>
      </c>
      <c r="T832" s="565">
        <v>2200</v>
      </c>
      <c r="U832" s="565">
        <v>2200</v>
      </c>
      <c r="V832" s="565">
        <v>2200</v>
      </c>
      <c r="W832" s="565">
        <v>2100</v>
      </c>
      <c r="X832" s="565">
        <v>2000</v>
      </c>
      <c r="Y832" s="565">
        <v>1900</v>
      </c>
      <c r="Z832" s="565">
        <v>1800</v>
      </c>
      <c r="AA832" s="565">
        <v>1700</v>
      </c>
      <c r="AB832" s="565">
        <v>1600</v>
      </c>
      <c r="AC832" s="566">
        <v>1530</v>
      </c>
    </row>
    <row r="833" spans="1:25" s="426" customFormat="1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Y833" s="626"/>
    </row>
    <row r="834" spans="1:25" s="426" customFormat="1" x14ac:dyDescent="0.25">
      <c r="A834" s="741"/>
      <c r="B834" s="741"/>
      <c r="C834" s="741"/>
      <c r="D834" s="987">
        <f>IF(SUM($A$820:$A$832)&gt;0,VLOOKUP(1,$A$820:$O$832,D816,FALSE),0)</f>
        <v>3040</v>
      </c>
      <c r="E834" s="988">
        <f>IF(SUM($A$820:$A$832)&gt;0,VLOOKUP(1,$A$820:$O$832,E816,FALSE),0)</f>
        <v>3040</v>
      </c>
      <c r="F834" s="988">
        <f t="shared" ref="F834:O834" si="170">IF(SUM($A$820:$A$832)&gt;0,VLOOKUP(1,$A$820:$O$832,F816,FALSE),0)</f>
        <v>3040</v>
      </c>
      <c r="G834" s="988">
        <f t="shared" si="170"/>
        <v>3040</v>
      </c>
      <c r="H834" s="988">
        <f t="shared" si="170"/>
        <v>3040</v>
      </c>
      <c r="I834" s="988">
        <f t="shared" si="170"/>
        <v>2945</v>
      </c>
      <c r="J834" s="988">
        <f t="shared" si="170"/>
        <v>2850</v>
      </c>
      <c r="K834" s="988">
        <f t="shared" si="170"/>
        <v>2755</v>
      </c>
      <c r="L834" s="988">
        <f t="shared" si="170"/>
        <v>2660</v>
      </c>
      <c r="M834" s="988">
        <f t="shared" si="170"/>
        <v>2565</v>
      </c>
      <c r="N834" s="988">
        <f t="shared" si="170"/>
        <v>2470</v>
      </c>
      <c r="O834" s="989">
        <f t="shared" si="170"/>
        <v>2375</v>
      </c>
      <c r="P834"/>
      <c r="Q834"/>
      <c r="Y834" s="626"/>
    </row>
    <row r="835" spans="1:25" s="426" customFormat="1" x14ac:dyDescent="0.25">
      <c r="A835" s="741"/>
      <c r="B835" s="741"/>
      <c r="C835" s="741"/>
      <c r="D835" s="741"/>
      <c r="E835" s="741"/>
      <c r="F835" s="741"/>
      <c r="G835" s="741"/>
      <c r="H835" s="741"/>
      <c r="I835" s="741"/>
      <c r="J835"/>
      <c r="K835"/>
      <c r="L835"/>
      <c r="M835"/>
      <c r="N835"/>
      <c r="O835"/>
      <c r="P835"/>
      <c r="Q835"/>
      <c r="Y835" s="626"/>
    </row>
    <row r="836" spans="1:25" s="426" customFormat="1" x14ac:dyDescent="0.25">
      <c r="A836" s="741"/>
      <c r="B836" s="741"/>
      <c r="C836" s="741"/>
      <c r="D836" s="741"/>
      <c r="E836" s="741"/>
      <c r="F836" s="741"/>
      <c r="G836" s="741"/>
      <c r="H836" s="741"/>
      <c r="I836" s="741"/>
      <c r="J836"/>
      <c r="K836"/>
      <c r="L836"/>
      <c r="M836"/>
      <c r="N836"/>
      <c r="O836"/>
      <c r="P836"/>
      <c r="Q836"/>
      <c r="Y836" s="626"/>
    </row>
    <row r="837" spans="1:25" s="426" customFormat="1" x14ac:dyDescent="0.25">
      <c r="B837" s="754" t="s">
        <v>789</v>
      </c>
      <c r="C837" s="755">
        <f>IF(SUM(D817:O817)&gt;0,HLOOKUP(1,D817:O834,18,FALSE),0)</f>
        <v>2850</v>
      </c>
      <c r="D837" s="756" t="s">
        <v>790</v>
      </c>
      <c r="F837" s="741"/>
      <c r="G837" s="741"/>
      <c r="H837" s="741"/>
      <c r="I837" s="741"/>
      <c r="J837"/>
      <c r="K837"/>
      <c r="L837"/>
      <c r="M837"/>
      <c r="N837"/>
      <c r="O837"/>
      <c r="P837"/>
      <c r="Q837"/>
      <c r="Y837" s="626"/>
    </row>
    <row r="838" spans="1:25" s="426" customFormat="1" x14ac:dyDescent="0.25">
      <c r="B838" s="754" t="s">
        <v>791</v>
      </c>
      <c r="C838" s="757">
        <f>G145</f>
        <v>0.95</v>
      </c>
      <c r="D838" s="741"/>
      <c r="F838" s="741"/>
      <c r="G838" s="741"/>
      <c r="H838" s="741"/>
      <c r="I838" s="741"/>
      <c r="J838"/>
      <c r="K838"/>
      <c r="L838"/>
      <c r="M838"/>
      <c r="N838"/>
      <c r="O838"/>
      <c r="P838"/>
      <c r="Q838"/>
      <c r="Y838" s="626"/>
    </row>
    <row r="839" spans="1:25" s="426" customFormat="1" x14ac:dyDescent="0.25">
      <c r="B839" s="754" t="s">
        <v>792</v>
      </c>
      <c r="C839" s="755">
        <f>C837*C838</f>
        <v>2707.5</v>
      </c>
      <c r="D839" s="756" t="s">
        <v>790</v>
      </c>
      <c r="F839" s="741"/>
      <c r="G839" s="741"/>
      <c r="H839" s="741"/>
      <c r="I839" s="741"/>
      <c r="J839"/>
      <c r="K839"/>
      <c r="L839"/>
      <c r="M839"/>
      <c r="N839"/>
      <c r="O839"/>
      <c r="P839"/>
      <c r="Q839"/>
      <c r="Y839" s="626"/>
    </row>
    <row r="840" spans="1:25" s="426" customFormat="1" ht="14.25" x14ac:dyDescent="0.2">
      <c r="B840" s="426" t="s">
        <v>794</v>
      </c>
      <c r="C840" s="973">
        <v>0.6</v>
      </c>
      <c r="D840" s="134"/>
      <c r="Y840" s="626"/>
    </row>
    <row r="841" spans="1:25" s="426" customFormat="1" ht="14.25" x14ac:dyDescent="0.2">
      <c r="B841" s="426" t="s">
        <v>795</v>
      </c>
      <c r="C841" s="974">
        <f>C840*C839</f>
        <v>1624.5</v>
      </c>
      <c r="D841" s="134" t="s">
        <v>790</v>
      </c>
      <c r="Y841" s="626"/>
    </row>
    <row r="842" spans="1:25" s="426" customFormat="1" ht="14.25" x14ac:dyDescent="0.2">
      <c r="B842" s="426" t="s">
        <v>797</v>
      </c>
      <c r="C842" s="975">
        <f>IF(C811/(C841/60)&gt;=C805,C811/(C841/60),C805)</f>
        <v>66.4819944598338</v>
      </c>
      <c r="D842" s="134" t="s">
        <v>798</v>
      </c>
      <c r="Y842" s="626"/>
    </row>
    <row r="843" spans="1:25" s="426" customFormat="1" ht="12.75" x14ac:dyDescent="0.2">
      <c r="D843" s="134"/>
      <c r="Y843" s="626"/>
    </row>
    <row r="844" spans="1:25" s="426" customFormat="1" ht="12.75" x14ac:dyDescent="0.2">
      <c r="D844" s="134"/>
      <c r="Y844" s="626"/>
    </row>
    <row r="845" spans="1:25" s="426" customFormat="1" ht="12.75" x14ac:dyDescent="0.2">
      <c r="A845" s="626">
        <f>A802</f>
        <v>0</v>
      </c>
      <c r="B845" s="426" t="s">
        <v>784</v>
      </c>
      <c r="C845" s="635" t="b">
        <f>IF(A845=1,C802*D799)</f>
        <v>0</v>
      </c>
      <c r="D845" s="134"/>
      <c r="Y845" s="626"/>
    </row>
    <row r="846" spans="1:25" s="426" customFormat="1" ht="12.75" x14ac:dyDescent="0.2">
      <c r="A846" s="626">
        <f>A803</f>
        <v>0</v>
      </c>
      <c r="B846" s="426" t="s">
        <v>786</v>
      </c>
      <c r="C846" s="758" t="b">
        <f>IF(A846=1,C803*D799)</f>
        <v>0</v>
      </c>
      <c r="D846" s="134"/>
      <c r="Y846" s="626"/>
    </row>
    <row r="847" spans="1:25" s="426" customFormat="1" ht="12.75" x14ac:dyDescent="0.2">
      <c r="B847" s="426" t="s">
        <v>762</v>
      </c>
      <c r="C847" s="635">
        <f>SUM(C845:C846)</f>
        <v>0</v>
      </c>
      <c r="D847" s="134"/>
      <c r="Y847" s="626"/>
    </row>
    <row r="848" spans="1:25" s="426" customFormat="1" ht="12.75" x14ac:dyDescent="0.2">
      <c r="D848" s="134"/>
      <c r="Y848" s="626"/>
    </row>
    <row r="849" spans="1:25" s="426" customFormat="1" ht="12.75" x14ac:dyDescent="0.2">
      <c r="D849" s="134"/>
      <c r="Y849" s="626"/>
    </row>
    <row r="850" spans="1:25" s="426" customFormat="1" ht="12.75" x14ac:dyDescent="0.2">
      <c r="A850" s="626">
        <f>IF(C795=1,1,0)</f>
        <v>0</v>
      </c>
      <c r="B850" s="615" t="s">
        <v>712</v>
      </c>
      <c r="C850" s="669">
        <f>IF(A850=1,C842*D799,0)</f>
        <v>0</v>
      </c>
      <c r="Y850" s="626"/>
    </row>
    <row r="851" spans="1:25" s="426" customFormat="1" ht="12.75" x14ac:dyDescent="0.2">
      <c r="D851" s="134"/>
      <c r="Y851" s="626"/>
    </row>
    <row r="852" spans="1:25" s="430" customFormat="1" ht="12.75" x14ac:dyDescent="0.2">
      <c r="D852" s="790"/>
      <c r="Y852" s="651"/>
    </row>
    <row r="853" spans="1:25" s="426" customFormat="1" ht="12.75" x14ac:dyDescent="0.2">
      <c r="Y853" s="626"/>
    </row>
    <row r="854" spans="1:25" s="426" customFormat="1" ht="13.5" thickBot="1" x14ac:dyDescent="0.25">
      <c r="B854" s="615"/>
      <c r="D854" s="626" t="s">
        <v>674</v>
      </c>
      <c r="Y854" s="626"/>
    </row>
    <row r="855" spans="1:25" s="426" customFormat="1" ht="13.5" thickBot="1" x14ac:dyDescent="0.25">
      <c r="B855" s="641" t="s">
        <v>667</v>
      </c>
      <c r="C855" s="643">
        <f>J369</f>
        <v>0</v>
      </c>
      <c r="D855" s="642">
        <f>IF(C855=1,C891,0)</f>
        <v>0</v>
      </c>
      <c r="Y855" s="626"/>
    </row>
    <row r="856" spans="1:25" s="426" customFormat="1" ht="12.75" x14ac:dyDescent="0.2">
      <c r="Y856" s="626"/>
    </row>
    <row r="857" spans="1:25" s="426" customFormat="1" ht="12.75" x14ac:dyDescent="0.2">
      <c r="Y857" s="626"/>
    </row>
    <row r="858" spans="1:25" s="426" customFormat="1" ht="12.75" x14ac:dyDescent="0.2">
      <c r="B858" s="426" t="s">
        <v>840</v>
      </c>
      <c r="C858" s="633">
        <f>'Tarieven (2)'!C11</f>
        <v>96</v>
      </c>
      <c r="D858" s="633">
        <f>C858/60</f>
        <v>1.6</v>
      </c>
      <c r="G858" s="638">
        <v>0.15</v>
      </c>
      <c r="Y858" s="626"/>
    </row>
    <row r="859" spans="1:25" s="426" customFormat="1" ht="12.75" x14ac:dyDescent="0.2">
      <c r="G859" s="708" t="s">
        <v>777</v>
      </c>
      <c r="H859" s="719" t="s">
        <v>778</v>
      </c>
      <c r="I859" s="719" t="s">
        <v>779</v>
      </c>
      <c r="Y859" s="626"/>
    </row>
    <row r="860" spans="1:25" s="426" customFormat="1" ht="13.5" thickBot="1" x14ac:dyDescent="0.25">
      <c r="A860" s="767">
        <f>IF(D860&gt;=D861,1,0)</f>
        <v>0</v>
      </c>
      <c r="B860" s="802" t="s">
        <v>752</v>
      </c>
      <c r="C860" s="661">
        <f>C445</f>
        <v>1</v>
      </c>
      <c r="D860" s="709">
        <f>E445</f>
        <v>361</v>
      </c>
      <c r="G860" s="725">
        <f>MAX(B445,H445)</f>
        <v>1800</v>
      </c>
      <c r="H860" s="145">
        <f>C860*C861</f>
        <v>1</v>
      </c>
      <c r="I860" s="145">
        <f>H860*G860</f>
        <v>1800</v>
      </c>
      <c r="Y860" s="626"/>
    </row>
    <row r="861" spans="1:25" s="426" customFormat="1" ht="12.75" x14ac:dyDescent="0.2">
      <c r="A861" s="658">
        <f>IF(D861&gt;D860,1,0)</f>
        <v>1</v>
      </c>
      <c r="B861" s="803" t="s">
        <v>753</v>
      </c>
      <c r="C861" s="145">
        <f>D445</f>
        <v>1</v>
      </c>
      <c r="D861" s="711">
        <f>F445</f>
        <v>1150</v>
      </c>
      <c r="G861" s="735" t="s">
        <v>782</v>
      </c>
      <c r="H861" s="710" t="s">
        <v>781</v>
      </c>
      <c r="I861" s="713" t="s">
        <v>780</v>
      </c>
      <c r="Y861" s="626"/>
    </row>
    <row r="862" spans="1:25" s="426" customFormat="1" ht="13.5" thickBot="1" x14ac:dyDescent="0.25">
      <c r="G862" s="736">
        <f>IF(CEILING((H862*G858)+H862,1)&lt;=G860,CEILING((H862*G858)+H862,1),G860)</f>
        <v>1800</v>
      </c>
      <c r="H862" s="702">
        <f>CEILING(I862/H860,1)</f>
        <v>1800</v>
      </c>
      <c r="I862" s="145">
        <f>C3</f>
        <v>1800</v>
      </c>
      <c r="Y862" s="626"/>
    </row>
    <row r="863" spans="1:25" s="426" customFormat="1" ht="12.75" x14ac:dyDescent="0.2">
      <c r="A863" s="626">
        <f>IF(C855=1,1,0)</f>
        <v>0</v>
      </c>
      <c r="B863" s="426" t="s">
        <v>859</v>
      </c>
      <c r="C863" s="637">
        <v>15</v>
      </c>
      <c r="D863" s="426" t="s">
        <v>683</v>
      </c>
      <c r="G863" s="134"/>
      <c r="H863" s="626"/>
      <c r="I863" s="626"/>
      <c r="Y863" s="626"/>
    </row>
    <row r="864" spans="1:25" s="426" customFormat="1" ht="12.75" x14ac:dyDescent="0.2">
      <c r="G864" s="134"/>
      <c r="H864" s="626"/>
      <c r="I864" s="626"/>
      <c r="Y864" s="626"/>
    </row>
    <row r="865" spans="1:31" s="426" customFormat="1" ht="12.75" x14ac:dyDescent="0.2">
      <c r="B865" s="426" t="s">
        <v>845</v>
      </c>
      <c r="C865" s="626">
        <f>I145</f>
        <v>3</v>
      </c>
      <c r="D865" s="426" t="s">
        <v>754</v>
      </c>
      <c r="G865" s="134"/>
      <c r="H865" s="626"/>
      <c r="I865" s="626"/>
      <c r="Y865" s="626"/>
    </row>
    <row r="866" spans="1:31" s="426" customFormat="1" ht="12.75" x14ac:dyDescent="0.2">
      <c r="B866" s="426" t="s">
        <v>846</v>
      </c>
      <c r="C866" s="626">
        <f>CEILING(G862/C865,1)</f>
        <v>600</v>
      </c>
      <c r="D866" s="426" t="s">
        <v>754</v>
      </c>
      <c r="Y866" s="626"/>
    </row>
    <row r="867" spans="1:31" s="426" customFormat="1" ht="12.75" x14ac:dyDescent="0.2">
      <c r="B867" s="426" t="s">
        <v>847</v>
      </c>
      <c r="C867" s="626">
        <f>VLOOKUP(1,A860:D861,3,FALSE)+2</f>
        <v>3</v>
      </c>
      <c r="Y867" s="626"/>
    </row>
    <row r="868" spans="1:31" s="426" customFormat="1" ht="12.75" x14ac:dyDescent="0.2">
      <c r="B868" s="426" t="s">
        <v>848</v>
      </c>
      <c r="C868" s="1096">
        <f>AY46</f>
        <v>0.9</v>
      </c>
      <c r="Y868" s="626"/>
    </row>
    <row r="869" spans="1:31" s="426" customFormat="1" ht="12.75" x14ac:dyDescent="0.2">
      <c r="B869" s="426" t="s">
        <v>851</v>
      </c>
      <c r="C869" s="1097">
        <v>0.7</v>
      </c>
      <c r="Y869" s="626"/>
    </row>
    <row r="870" spans="1:31" s="426" customFormat="1" ht="12.75" x14ac:dyDescent="0.2">
      <c r="B870" s="426" t="s">
        <v>682</v>
      </c>
      <c r="C870" s="637">
        <v>15</v>
      </c>
      <c r="Y870" s="626"/>
    </row>
    <row r="871" spans="1:31" s="426" customFormat="1" ht="12.75" x14ac:dyDescent="0.2">
      <c r="Y871" s="626"/>
    </row>
    <row r="872" spans="1:31" s="426" customFormat="1" x14ac:dyDescent="0.25">
      <c r="A872" s="634">
        <f>IF(SUM(A308:A322)=0,0,IF(SUM(A308:A314)&gt;0,E307,E315))</f>
        <v>0</v>
      </c>
      <c r="B872" s="517" t="s">
        <v>841</v>
      </c>
      <c r="C872" s="473" t="str">
        <f>IF(AND($A$872&gt;C873,$A$872&lt;=C874),1," ")</f>
        <v xml:space="preserve"> </v>
      </c>
      <c r="D872" s="473" t="str">
        <f t="shared" ref="D872:AE872" si="171">IF(AND($A$872&gt;D873,$A$872&lt;=D874),1," ")</f>
        <v xml:space="preserve"> </v>
      </c>
      <c r="E872" s="473" t="str">
        <f t="shared" si="171"/>
        <v xml:space="preserve"> </v>
      </c>
      <c r="F872" s="473" t="str">
        <f t="shared" si="171"/>
        <v xml:space="preserve"> </v>
      </c>
      <c r="G872" s="473" t="str">
        <f t="shared" si="171"/>
        <v xml:space="preserve"> </v>
      </c>
      <c r="H872" s="473" t="str">
        <f t="shared" si="171"/>
        <v xml:space="preserve"> </v>
      </c>
      <c r="I872" s="473" t="str">
        <f t="shared" si="171"/>
        <v xml:space="preserve"> </v>
      </c>
      <c r="J872" s="473" t="str">
        <f t="shared" si="171"/>
        <v xml:space="preserve"> </v>
      </c>
      <c r="K872" s="473" t="str">
        <f t="shared" si="171"/>
        <v xml:space="preserve"> </v>
      </c>
      <c r="L872" s="473" t="str">
        <f t="shared" si="171"/>
        <v xml:space="preserve"> </v>
      </c>
      <c r="M872" s="473" t="str">
        <f t="shared" si="171"/>
        <v xml:space="preserve"> </v>
      </c>
      <c r="N872" s="473" t="str">
        <f t="shared" si="171"/>
        <v xml:space="preserve"> </v>
      </c>
      <c r="O872" s="473" t="str">
        <f t="shared" si="171"/>
        <v xml:space="preserve"> </v>
      </c>
      <c r="P872" s="473" t="str">
        <f t="shared" si="171"/>
        <v xml:space="preserve"> </v>
      </c>
      <c r="Q872" s="473" t="str">
        <f t="shared" si="171"/>
        <v xml:space="preserve"> </v>
      </c>
      <c r="R872" s="473" t="str">
        <f t="shared" si="171"/>
        <v xml:space="preserve"> </v>
      </c>
      <c r="S872" s="473" t="str">
        <f t="shared" si="171"/>
        <v xml:space="preserve"> </v>
      </c>
      <c r="T872" s="473" t="str">
        <f t="shared" si="171"/>
        <v xml:space="preserve"> </v>
      </c>
      <c r="U872" s="473" t="str">
        <f t="shared" si="171"/>
        <v xml:space="preserve"> </v>
      </c>
      <c r="V872" s="473" t="str">
        <f t="shared" si="171"/>
        <v xml:space="preserve"> </v>
      </c>
      <c r="W872" s="473" t="str">
        <f t="shared" si="171"/>
        <v xml:space="preserve"> </v>
      </c>
      <c r="X872" s="473" t="str">
        <f t="shared" si="171"/>
        <v xml:space="preserve"> </v>
      </c>
      <c r="Y872" s="473" t="str">
        <f t="shared" si="171"/>
        <v xml:space="preserve"> </v>
      </c>
      <c r="Z872" s="473" t="str">
        <f t="shared" si="171"/>
        <v xml:space="preserve"> </v>
      </c>
      <c r="AA872" s="473" t="str">
        <f t="shared" si="171"/>
        <v xml:space="preserve"> </v>
      </c>
      <c r="AB872" s="473" t="str">
        <f t="shared" si="171"/>
        <v xml:space="preserve"> </v>
      </c>
      <c r="AC872" s="473" t="str">
        <f t="shared" si="171"/>
        <v xml:space="preserve"> </v>
      </c>
      <c r="AD872" s="473" t="str">
        <f t="shared" si="171"/>
        <v xml:space="preserve"> </v>
      </c>
      <c r="AE872" s="473" t="str">
        <f t="shared" si="171"/>
        <v xml:space="preserve"> </v>
      </c>
    </row>
    <row r="873" spans="1:31" s="426" customFormat="1" x14ac:dyDescent="0.25">
      <c r="A873" s="41"/>
      <c r="B873" s="405" t="s">
        <v>842</v>
      </c>
      <c r="C873" s="442">
        <v>0</v>
      </c>
      <c r="D873" s="442">
        <v>25</v>
      </c>
      <c r="E873" s="442">
        <v>35</v>
      </c>
      <c r="F873" s="442">
        <v>45</v>
      </c>
      <c r="G873" s="442">
        <v>55</v>
      </c>
      <c r="H873" s="442">
        <v>65</v>
      </c>
      <c r="I873" s="442">
        <v>75</v>
      </c>
      <c r="J873" s="442">
        <v>85</v>
      </c>
      <c r="K873" s="442">
        <v>95</v>
      </c>
      <c r="L873" s="442">
        <v>100</v>
      </c>
      <c r="M873" s="442">
        <v>125</v>
      </c>
      <c r="N873" s="442">
        <v>150</v>
      </c>
      <c r="O873" s="442">
        <v>175</v>
      </c>
      <c r="P873" s="442">
        <v>200</v>
      </c>
      <c r="Q873" s="442">
        <v>225</v>
      </c>
      <c r="R873" s="442">
        <v>250</v>
      </c>
      <c r="S873" s="442">
        <v>275</v>
      </c>
      <c r="T873" s="442">
        <v>300</v>
      </c>
      <c r="U873" s="442">
        <v>325</v>
      </c>
      <c r="V873" s="442">
        <v>350</v>
      </c>
      <c r="W873" s="442">
        <v>375</v>
      </c>
      <c r="X873" s="442">
        <v>400</v>
      </c>
      <c r="Y873" s="442">
        <v>425</v>
      </c>
      <c r="Z873" s="442">
        <v>450</v>
      </c>
      <c r="AA873" s="442">
        <v>475</v>
      </c>
      <c r="AB873" s="442">
        <v>500</v>
      </c>
      <c r="AC873" s="442">
        <v>525</v>
      </c>
      <c r="AD873" s="442">
        <v>550</v>
      </c>
      <c r="AE873" s="442">
        <v>575</v>
      </c>
    </row>
    <row r="874" spans="1:31" s="426" customFormat="1" x14ac:dyDescent="0.25">
      <c r="A874" s="52"/>
      <c r="B874" s="341" t="s">
        <v>843</v>
      </c>
      <c r="C874" s="13">
        <v>25</v>
      </c>
      <c r="D874" s="13">
        <v>35</v>
      </c>
      <c r="E874" s="13">
        <v>45</v>
      </c>
      <c r="F874" s="13">
        <v>55</v>
      </c>
      <c r="G874" s="13">
        <v>65</v>
      </c>
      <c r="H874" s="13">
        <v>75</v>
      </c>
      <c r="I874" s="13">
        <v>85</v>
      </c>
      <c r="J874" s="13">
        <v>95</v>
      </c>
      <c r="K874" s="13">
        <v>100</v>
      </c>
      <c r="L874" s="13">
        <v>125</v>
      </c>
      <c r="M874" s="13">
        <v>150</v>
      </c>
      <c r="N874" s="13">
        <v>175</v>
      </c>
      <c r="O874" s="13">
        <v>200</v>
      </c>
      <c r="P874" s="13">
        <v>225</v>
      </c>
      <c r="Q874" s="13">
        <v>250</v>
      </c>
      <c r="R874" s="13">
        <v>275</v>
      </c>
      <c r="S874" s="13">
        <v>300</v>
      </c>
      <c r="T874" s="13">
        <v>325</v>
      </c>
      <c r="U874" s="13">
        <v>350</v>
      </c>
      <c r="V874" s="13">
        <v>375</v>
      </c>
      <c r="W874" s="13">
        <v>400</v>
      </c>
      <c r="X874" s="13">
        <v>425</v>
      </c>
      <c r="Y874" s="13">
        <v>450</v>
      </c>
      <c r="Z874" s="13">
        <v>475</v>
      </c>
      <c r="AA874" s="13">
        <v>500</v>
      </c>
      <c r="AB874" s="13">
        <v>525</v>
      </c>
      <c r="AC874" s="13">
        <v>550</v>
      </c>
      <c r="AD874" s="13">
        <v>575</v>
      </c>
      <c r="AE874" s="13">
        <v>999</v>
      </c>
    </row>
    <row r="875" spans="1:31" s="426" customFormat="1" x14ac:dyDescent="0.25">
      <c r="A875" s="472"/>
      <c r="B875" s="517" t="s">
        <v>844</v>
      </c>
      <c r="C875" s="484">
        <v>180</v>
      </c>
      <c r="D875" s="484">
        <v>160</v>
      </c>
      <c r="E875" s="484">
        <v>140</v>
      </c>
      <c r="F875" s="484">
        <v>120</v>
      </c>
      <c r="G875" s="484">
        <v>110</v>
      </c>
      <c r="H875" s="484">
        <v>100</v>
      </c>
      <c r="I875" s="484">
        <v>93</v>
      </c>
      <c r="J875" s="484">
        <v>87</v>
      </c>
      <c r="K875" s="484">
        <v>80</v>
      </c>
      <c r="L875" s="484">
        <v>78</v>
      </c>
      <c r="M875" s="484">
        <v>76</v>
      </c>
      <c r="N875" s="484">
        <v>74</v>
      </c>
      <c r="O875" s="484">
        <v>72</v>
      </c>
      <c r="P875" s="484">
        <v>70</v>
      </c>
      <c r="Q875" s="484">
        <v>68</v>
      </c>
      <c r="R875" s="484">
        <v>66</v>
      </c>
      <c r="S875" s="484">
        <v>63</v>
      </c>
      <c r="T875" s="484">
        <v>60</v>
      </c>
      <c r="U875" s="484">
        <v>57</v>
      </c>
      <c r="V875" s="484">
        <v>54</v>
      </c>
      <c r="W875" s="484">
        <v>52</v>
      </c>
      <c r="X875" s="484">
        <v>50</v>
      </c>
      <c r="Y875" s="484">
        <v>47</v>
      </c>
      <c r="Z875" s="484">
        <v>44</v>
      </c>
      <c r="AA875" s="484">
        <v>42</v>
      </c>
      <c r="AB875" s="484">
        <v>40</v>
      </c>
      <c r="AC875" s="484">
        <v>36</v>
      </c>
      <c r="AD875" s="484">
        <v>33</v>
      </c>
      <c r="AE875" s="484">
        <v>30</v>
      </c>
    </row>
    <row r="876" spans="1:31" s="426" customFormat="1" ht="12.75" x14ac:dyDescent="0.2">
      <c r="B876" s="652" t="s">
        <v>850</v>
      </c>
      <c r="C876" s="679">
        <f>IF(SUM(C872:AE872)&gt;0,HLOOKUP(1,C872:AE875,4,FALSE)*C868,0)</f>
        <v>0</v>
      </c>
      <c r="D876" s="634">
        <f>C876*C869</f>
        <v>0</v>
      </c>
      <c r="Y876" s="626"/>
    </row>
    <row r="877" spans="1:31" s="426" customFormat="1" ht="12.75" x14ac:dyDescent="0.2">
      <c r="Y877" s="626"/>
    </row>
    <row r="878" spans="1:31" s="426" customFormat="1" ht="12.75" x14ac:dyDescent="0.2">
      <c r="Y878" s="626"/>
    </row>
    <row r="879" spans="1:31" s="426" customFormat="1" ht="12.75" x14ac:dyDescent="0.2">
      <c r="B879" s="426" t="s">
        <v>849</v>
      </c>
      <c r="C879" s="626">
        <f>C866*C867</f>
        <v>1800</v>
      </c>
      <c r="Y879" s="626"/>
    </row>
    <row r="880" spans="1:31" s="426" customFormat="1" ht="12.75" x14ac:dyDescent="0.2">
      <c r="B880" s="426" t="s">
        <v>852</v>
      </c>
      <c r="C880" s="762" t="e">
        <f>IF(C879/D876&lt;=C870,C870,C879/D876)</f>
        <v>#DIV/0!</v>
      </c>
      <c r="D880" s="426" t="s">
        <v>684</v>
      </c>
      <c r="Y880" s="626"/>
    </row>
    <row r="881" spans="1:25" s="426" customFormat="1" ht="12.75" x14ac:dyDescent="0.2">
      <c r="Y881" s="626"/>
    </row>
    <row r="882" spans="1:25" s="426" customFormat="1" ht="12.75" x14ac:dyDescent="0.2">
      <c r="C882" s="134"/>
      <c r="Y882" s="626"/>
    </row>
    <row r="883" spans="1:25" s="426" customFormat="1" ht="12.75" x14ac:dyDescent="0.2">
      <c r="B883" s="426" t="s">
        <v>853</v>
      </c>
      <c r="C883" s="707">
        <v>180</v>
      </c>
      <c r="D883" s="426" t="s">
        <v>754</v>
      </c>
      <c r="Y883" s="626"/>
    </row>
    <row r="884" spans="1:25" s="426" customFormat="1" ht="12.75" x14ac:dyDescent="0.2">
      <c r="B884" s="426" t="s">
        <v>854</v>
      </c>
      <c r="C884" s="626">
        <f>J145</f>
        <v>0.8</v>
      </c>
      <c r="Y884" s="626"/>
    </row>
    <row r="885" spans="1:25" s="426" customFormat="1" ht="12.75" x14ac:dyDescent="0.2">
      <c r="B885" s="426" t="s">
        <v>857</v>
      </c>
      <c r="C885" s="626">
        <f>C884*C883</f>
        <v>144</v>
      </c>
      <c r="D885" s="426" t="s">
        <v>754</v>
      </c>
      <c r="Y885" s="626"/>
    </row>
    <row r="886" spans="1:25" s="426" customFormat="1" ht="12.75" x14ac:dyDescent="0.2">
      <c r="B886" s="426" t="s">
        <v>858</v>
      </c>
      <c r="C886" s="134">
        <f>C3/C885</f>
        <v>12.5</v>
      </c>
      <c r="D886" s="426" t="s">
        <v>684</v>
      </c>
      <c r="Y886" s="626"/>
    </row>
    <row r="887" spans="1:25" s="426" customFormat="1" ht="12.75" x14ac:dyDescent="0.2">
      <c r="Y887" s="626"/>
    </row>
    <row r="888" spans="1:25" s="426" customFormat="1" ht="12.75" x14ac:dyDescent="0.2">
      <c r="Y888" s="626"/>
    </row>
    <row r="889" spans="1:25" s="426" customFormat="1" ht="12.75" x14ac:dyDescent="0.2">
      <c r="A889" s="626">
        <f>IF(C855=1,1,0)</f>
        <v>0</v>
      </c>
      <c r="B889" s="426" t="s">
        <v>860</v>
      </c>
      <c r="C889" s="635" t="b">
        <f>IF(A889=1,C863*D858)</f>
        <v>0</v>
      </c>
      <c r="Y889" s="626"/>
    </row>
    <row r="890" spans="1:25" s="426" customFormat="1" ht="12.75" x14ac:dyDescent="0.2">
      <c r="A890" s="626">
        <f>IF(C855=1,1,0)</f>
        <v>0</v>
      </c>
      <c r="B890" s="426" t="s">
        <v>861</v>
      </c>
      <c r="C890" s="758">
        <f>IF(A890=1,MAX(C886,C880)*D858,0)</f>
        <v>0</v>
      </c>
      <c r="Y890" s="626"/>
    </row>
    <row r="891" spans="1:25" s="426" customFormat="1" ht="12.75" x14ac:dyDescent="0.2">
      <c r="B891" s="426" t="s">
        <v>862</v>
      </c>
      <c r="C891" s="635">
        <f>SUM(C889:C890)</f>
        <v>0</v>
      </c>
      <c r="Y891" s="626"/>
    </row>
    <row r="892" spans="1:25" s="426" customFormat="1" ht="12.75" x14ac:dyDescent="0.2">
      <c r="Y892" s="626"/>
    </row>
    <row r="893" spans="1:25" s="430" customFormat="1" ht="12.75" x14ac:dyDescent="0.2">
      <c r="B893" s="678"/>
      <c r="Y893" s="651"/>
    </row>
    <row r="894" spans="1:25" s="426" customFormat="1" ht="12.75" x14ac:dyDescent="0.2">
      <c r="B894" s="615"/>
      <c r="Y894" s="626"/>
    </row>
    <row r="895" spans="1:25" s="426" customFormat="1" ht="13.5" thickBot="1" x14ac:dyDescent="0.25">
      <c r="B895" s="615"/>
      <c r="D895" s="626" t="s">
        <v>674</v>
      </c>
      <c r="Y895" s="626"/>
    </row>
    <row r="896" spans="1:25" s="426" customFormat="1" ht="13.5" thickBot="1" x14ac:dyDescent="0.25">
      <c r="B896" s="641" t="s">
        <v>668</v>
      </c>
      <c r="C896" s="643">
        <f>J370</f>
        <v>0</v>
      </c>
      <c r="D896" s="642">
        <f>IF(C896=1,C925,0)</f>
        <v>0</v>
      </c>
      <c r="Y896" s="626"/>
    </row>
    <row r="897" spans="1:25" s="426" customFormat="1" ht="12.75" x14ac:dyDescent="0.2">
      <c r="Y897" s="626"/>
    </row>
    <row r="898" spans="1:25" s="426" customFormat="1" ht="12.75" x14ac:dyDescent="0.2">
      <c r="Y898" s="626"/>
    </row>
    <row r="899" spans="1:25" s="426" customFormat="1" ht="12.75" x14ac:dyDescent="0.2">
      <c r="B899" s="426" t="s">
        <v>758</v>
      </c>
      <c r="C899" s="633">
        <f>'Tarieven (2)'!C12</f>
        <v>37</v>
      </c>
      <c r="D899" s="633">
        <f>C899/60</f>
        <v>0.6166666666666667</v>
      </c>
      <c r="Y899" s="626"/>
    </row>
    <row r="900" spans="1:25" s="426" customFormat="1" ht="12.75" x14ac:dyDescent="0.2">
      <c r="Y900" s="626"/>
    </row>
    <row r="901" spans="1:25" s="426" customFormat="1" ht="12.75" x14ac:dyDescent="0.2">
      <c r="Y901" s="626"/>
    </row>
    <row r="902" spans="1:25" s="426" customFormat="1" ht="12.75" x14ac:dyDescent="0.2">
      <c r="B902" s="426" t="s">
        <v>807</v>
      </c>
      <c r="C902" s="637">
        <v>1200</v>
      </c>
      <c r="D902" s="426" t="s">
        <v>25</v>
      </c>
      <c r="Y902" s="626"/>
    </row>
    <row r="903" spans="1:25" s="426" customFormat="1" ht="12.75" x14ac:dyDescent="0.2">
      <c r="B903" s="615" t="s">
        <v>99</v>
      </c>
      <c r="C903" s="626">
        <f>E445</f>
        <v>361</v>
      </c>
      <c r="D903" s="426" t="s">
        <v>25</v>
      </c>
      <c r="Y903" s="626"/>
    </row>
    <row r="904" spans="1:25" s="426" customFormat="1" ht="12.75" x14ac:dyDescent="0.2">
      <c r="B904" s="615" t="s">
        <v>100</v>
      </c>
      <c r="C904" s="626">
        <f>F445</f>
        <v>1150</v>
      </c>
      <c r="D904" s="426" t="s">
        <v>25</v>
      </c>
      <c r="Y904" s="626"/>
    </row>
    <row r="905" spans="1:25" s="426" customFormat="1" ht="12.75" x14ac:dyDescent="0.2">
      <c r="B905" s="615" t="s">
        <v>776</v>
      </c>
      <c r="C905" s="134">
        <f>C3</f>
        <v>1800</v>
      </c>
      <c r="D905" s="426" t="s">
        <v>754</v>
      </c>
      <c r="Y905" s="626"/>
    </row>
    <row r="906" spans="1:25" s="426" customFormat="1" ht="12.75" x14ac:dyDescent="0.2">
      <c r="B906" s="615" t="s">
        <v>808</v>
      </c>
      <c r="C906" s="134">
        <f>C902/C13</f>
        <v>400</v>
      </c>
      <c r="Y906" s="626"/>
    </row>
    <row r="907" spans="1:25" s="426" customFormat="1" ht="12.75" x14ac:dyDescent="0.2">
      <c r="B907" s="615" t="s">
        <v>809</v>
      </c>
      <c r="C907" s="134">
        <f>CEILING(C905/C906,1)</f>
        <v>5</v>
      </c>
      <c r="D907" s="426" t="s">
        <v>810</v>
      </c>
      <c r="Y907" s="626"/>
    </row>
    <row r="908" spans="1:25" s="426" customFormat="1" ht="12.75" x14ac:dyDescent="0.2">
      <c r="B908" s="615"/>
      <c r="C908" s="134"/>
      <c r="Y908" s="626"/>
    </row>
    <row r="909" spans="1:25" s="426" customFormat="1" ht="12.75" x14ac:dyDescent="0.2">
      <c r="B909" s="615"/>
      <c r="C909" s="134"/>
      <c r="Y909" s="626"/>
    </row>
    <row r="910" spans="1:25" s="426" customFormat="1" ht="12.75" x14ac:dyDescent="0.2">
      <c r="A910" s="708"/>
      <c r="B910" s="769"/>
      <c r="C910" s="770"/>
      <c r="D910" s="712">
        <v>4</v>
      </c>
      <c r="E910" s="712">
        <v>5</v>
      </c>
      <c r="F910" s="712">
        <v>6</v>
      </c>
      <c r="G910" s="712">
        <v>7</v>
      </c>
      <c r="H910" s="712">
        <v>8</v>
      </c>
      <c r="I910" s="712">
        <v>9</v>
      </c>
      <c r="J910" s="712">
        <v>10</v>
      </c>
      <c r="K910" s="712">
        <v>11</v>
      </c>
      <c r="L910" s="712">
        <v>12</v>
      </c>
      <c r="M910" s="712">
        <v>13</v>
      </c>
      <c r="N910" s="712">
        <v>14</v>
      </c>
      <c r="O910" s="664">
        <v>15</v>
      </c>
      <c r="Y910" s="626"/>
    </row>
    <row r="911" spans="1:25" s="426" customFormat="1" ht="12.75" x14ac:dyDescent="0.2">
      <c r="A911" s="428"/>
      <c r="C911" s="710"/>
      <c r="D911" s="712">
        <f>IF(AND(MAX($C$903:$C$904)&gt;D912,MAX($C$903:$C$904)&lt;=D913),1,0)</f>
        <v>1</v>
      </c>
      <c r="E911" s="712">
        <f t="shared" ref="E911:O911" si="172">IF(AND(MAX($C$903:$C$904)&gt;E912,MAX($C$903:$C$904)&lt;=E913),1,0)</f>
        <v>0</v>
      </c>
      <c r="F911" s="712">
        <f t="shared" si="172"/>
        <v>0</v>
      </c>
      <c r="G911" s="712">
        <f t="shared" si="172"/>
        <v>0</v>
      </c>
      <c r="H911" s="712">
        <f t="shared" si="172"/>
        <v>0</v>
      </c>
      <c r="I911" s="712">
        <f t="shared" si="172"/>
        <v>0</v>
      </c>
      <c r="J911" s="712">
        <f t="shared" si="172"/>
        <v>0</v>
      </c>
      <c r="K911" s="712">
        <f t="shared" si="172"/>
        <v>0</v>
      </c>
      <c r="L911" s="712">
        <f t="shared" si="172"/>
        <v>0</v>
      </c>
      <c r="M911" s="712">
        <f t="shared" si="172"/>
        <v>0</v>
      </c>
      <c r="N911" s="712">
        <f t="shared" si="172"/>
        <v>0</v>
      </c>
      <c r="O911" s="664">
        <f t="shared" si="172"/>
        <v>0</v>
      </c>
      <c r="Y911" s="626"/>
    </row>
    <row r="912" spans="1:25" s="426" customFormat="1" ht="12.75" x14ac:dyDescent="0.2">
      <c r="A912" s="428"/>
      <c r="C912" s="710"/>
      <c r="D912" s="701">
        <v>0</v>
      </c>
      <c r="E912" s="701">
        <v>1200</v>
      </c>
      <c r="F912" s="701">
        <v>1600</v>
      </c>
      <c r="G912" s="701">
        <v>2000</v>
      </c>
      <c r="H912" s="701">
        <v>2400</v>
      </c>
      <c r="I912" s="701">
        <v>2800</v>
      </c>
      <c r="J912" s="701">
        <v>3200</v>
      </c>
      <c r="K912" s="701">
        <v>3600</v>
      </c>
      <c r="L912" s="701">
        <v>4000</v>
      </c>
      <c r="M912" s="701">
        <v>4400</v>
      </c>
      <c r="N912" s="701">
        <v>4800</v>
      </c>
      <c r="O912" s="663">
        <v>5200</v>
      </c>
      <c r="Y912" s="626"/>
    </row>
    <row r="913" spans="1:25" s="426" customFormat="1" ht="12.75" x14ac:dyDescent="0.2">
      <c r="A913" s="429"/>
      <c r="B913" s="430"/>
      <c r="C913" s="711"/>
      <c r="D913" s="651">
        <v>1200</v>
      </c>
      <c r="E913" s="651">
        <v>1600</v>
      </c>
      <c r="F913" s="651">
        <v>2000</v>
      </c>
      <c r="G913" s="651">
        <v>2400</v>
      </c>
      <c r="H913" s="651">
        <v>2800</v>
      </c>
      <c r="I913" s="651">
        <v>3200</v>
      </c>
      <c r="J913" s="651">
        <v>3600</v>
      </c>
      <c r="K913" s="651">
        <v>4000</v>
      </c>
      <c r="L913" s="651">
        <v>4400</v>
      </c>
      <c r="M913" s="651">
        <v>4800</v>
      </c>
      <c r="N913" s="651">
        <v>5200</v>
      </c>
      <c r="O913" s="702">
        <v>6500</v>
      </c>
      <c r="Y913" s="626"/>
    </row>
    <row r="914" spans="1:25" s="426" customFormat="1" ht="12.75" x14ac:dyDescent="0.2">
      <c r="A914" s="150">
        <f>IF(AND(MIN($C$903:$C$904)&gt;B914,MIN($C$903:$C$904)&lt;=C914),1,0)</f>
        <v>1</v>
      </c>
      <c r="B914" s="725">
        <v>0</v>
      </c>
      <c r="C914" s="734">
        <v>800</v>
      </c>
      <c r="D914" s="771">
        <v>1</v>
      </c>
      <c r="E914" s="772">
        <v>1.5</v>
      </c>
      <c r="F914" s="772">
        <v>1.7</v>
      </c>
      <c r="G914" s="772">
        <v>1.8</v>
      </c>
      <c r="H914" s="772">
        <v>1.9</v>
      </c>
      <c r="I914" s="772">
        <v>2</v>
      </c>
      <c r="J914" s="772">
        <v>2.2000000000000002</v>
      </c>
      <c r="K914" s="772">
        <v>2.2999999999999998</v>
      </c>
      <c r="L914" s="772">
        <v>2.4</v>
      </c>
      <c r="M914" s="772">
        <v>2.5</v>
      </c>
      <c r="N914" s="772">
        <v>2.8</v>
      </c>
      <c r="O914" s="773">
        <v>3</v>
      </c>
      <c r="Y914" s="626"/>
    </row>
    <row r="915" spans="1:25" s="426" customFormat="1" ht="12.75" x14ac:dyDescent="0.2">
      <c r="A915" s="150">
        <f t="shared" ref="A915:A918" si="173">IF(AND(MIN($C$903:$C$904)&gt;B915,MIN($C$903:$C$904)&lt;=C915),1,0)</f>
        <v>0</v>
      </c>
      <c r="B915" s="725">
        <v>800</v>
      </c>
      <c r="C915" s="734">
        <v>1200</v>
      </c>
      <c r="D915" s="774">
        <v>1.5</v>
      </c>
      <c r="E915" s="775">
        <v>1.7</v>
      </c>
      <c r="F915" s="775">
        <v>1.8</v>
      </c>
      <c r="G915" s="775">
        <v>1.9</v>
      </c>
      <c r="H915" s="775">
        <v>2</v>
      </c>
      <c r="I915" s="775">
        <v>2.1</v>
      </c>
      <c r="J915" s="775">
        <v>2.2999999999999998</v>
      </c>
      <c r="K915" s="775">
        <v>2.5</v>
      </c>
      <c r="L915" s="775">
        <v>2.7</v>
      </c>
      <c r="M915" s="775">
        <v>2.8</v>
      </c>
      <c r="N915" s="775">
        <v>3.2</v>
      </c>
      <c r="O915" s="776">
        <v>3.3</v>
      </c>
      <c r="Y915" s="626"/>
    </row>
    <row r="916" spans="1:25" s="426" customFormat="1" ht="12.75" x14ac:dyDescent="0.2">
      <c r="A916" s="150">
        <f t="shared" si="173"/>
        <v>0</v>
      </c>
      <c r="B916" s="725">
        <v>1200</v>
      </c>
      <c r="C916" s="734">
        <v>1600</v>
      </c>
      <c r="D916" s="774">
        <v>1.7</v>
      </c>
      <c r="E916" s="775">
        <v>1.8</v>
      </c>
      <c r="F916" s="775">
        <v>1.9</v>
      </c>
      <c r="G916" s="775">
        <v>2</v>
      </c>
      <c r="H916" s="775">
        <v>2.2000000000000002</v>
      </c>
      <c r="I916" s="775">
        <v>2.2999999999999998</v>
      </c>
      <c r="J916" s="775">
        <v>2.5</v>
      </c>
      <c r="K916" s="775">
        <v>2.7</v>
      </c>
      <c r="L916" s="775">
        <v>3</v>
      </c>
      <c r="M916" s="775">
        <v>3.7</v>
      </c>
      <c r="N916" s="775">
        <v>3.8</v>
      </c>
      <c r="O916" s="776">
        <v>4</v>
      </c>
      <c r="Y916" s="626"/>
    </row>
    <row r="917" spans="1:25" s="426" customFormat="1" ht="12.75" x14ac:dyDescent="0.2">
      <c r="A917" s="150">
        <f t="shared" si="173"/>
        <v>0</v>
      </c>
      <c r="B917" s="725">
        <v>1600</v>
      </c>
      <c r="C917" s="734">
        <v>2000</v>
      </c>
      <c r="D917" s="774">
        <v>1.8</v>
      </c>
      <c r="E917" s="775">
        <v>1.9</v>
      </c>
      <c r="F917" s="775">
        <v>2.1</v>
      </c>
      <c r="G917" s="775">
        <v>2.2000000000000002</v>
      </c>
      <c r="H917" s="775">
        <v>2.4</v>
      </c>
      <c r="I917" s="775">
        <v>2.5</v>
      </c>
      <c r="J917" s="775">
        <v>2.7</v>
      </c>
      <c r="K917" s="775">
        <v>2.9</v>
      </c>
      <c r="L917" s="775">
        <v>3.2</v>
      </c>
      <c r="M917" s="775">
        <v>3.8</v>
      </c>
      <c r="N917" s="775">
        <v>4.2</v>
      </c>
      <c r="O917" s="776">
        <v>4.2</v>
      </c>
      <c r="Y917" s="626"/>
    </row>
    <row r="918" spans="1:25" s="426" customFormat="1" ht="12.75" x14ac:dyDescent="0.2">
      <c r="A918" s="145">
        <f t="shared" si="173"/>
        <v>0</v>
      </c>
      <c r="B918" s="658">
        <v>2000</v>
      </c>
      <c r="C918" s="702">
        <v>2500</v>
      </c>
      <c r="D918" s="774">
        <v>2</v>
      </c>
      <c r="E918" s="775">
        <v>2.1</v>
      </c>
      <c r="F918" s="775">
        <v>2.2000000000000002</v>
      </c>
      <c r="G918" s="775">
        <v>2.5</v>
      </c>
      <c r="H918" s="775">
        <v>2.6</v>
      </c>
      <c r="I918" s="775">
        <v>2.7</v>
      </c>
      <c r="J918" s="775">
        <v>2.9</v>
      </c>
      <c r="K918" s="775">
        <v>3.2</v>
      </c>
      <c r="L918" s="775">
        <v>3.5</v>
      </c>
      <c r="M918" s="775">
        <v>4</v>
      </c>
      <c r="N918" s="775">
        <v>4.4000000000000004</v>
      </c>
      <c r="O918" s="776">
        <v>4.8</v>
      </c>
      <c r="Y918" s="626"/>
    </row>
    <row r="919" spans="1:25" s="426" customFormat="1" ht="12.75" x14ac:dyDescent="0.2">
      <c r="A919" s="652"/>
      <c r="B919" s="653"/>
      <c r="C919" s="653"/>
      <c r="D919" s="768">
        <f>IF(SUM($A$914:$A$918)&gt;0,VLOOKUP(1,$A$914:$O$918,D910,FALSE),0)</f>
        <v>1</v>
      </c>
      <c r="E919" s="712">
        <f t="shared" ref="E919:O919" si="174">IF(SUM($A$914:$A$918)&gt;0,VLOOKUP(1,$A$914:$O$918,E910,FALSE),0)</f>
        <v>1.5</v>
      </c>
      <c r="F919" s="712">
        <f t="shared" si="174"/>
        <v>1.7</v>
      </c>
      <c r="G919" s="712">
        <f t="shared" si="174"/>
        <v>1.8</v>
      </c>
      <c r="H919" s="712">
        <f t="shared" si="174"/>
        <v>1.9</v>
      </c>
      <c r="I919" s="712">
        <f t="shared" si="174"/>
        <v>2</v>
      </c>
      <c r="J919" s="712">
        <f t="shared" si="174"/>
        <v>2.2000000000000002</v>
      </c>
      <c r="K919" s="712">
        <f t="shared" si="174"/>
        <v>2.2999999999999998</v>
      </c>
      <c r="L919" s="712">
        <f t="shared" si="174"/>
        <v>2.4</v>
      </c>
      <c r="M919" s="712">
        <f t="shared" si="174"/>
        <v>2.5</v>
      </c>
      <c r="N919" s="712">
        <f t="shared" si="174"/>
        <v>2.8</v>
      </c>
      <c r="O919" s="664">
        <f t="shared" si="174"/>
        <v>3</v>
      </c>
      <c r="Y919" s="626"/>
    </row>
    <row r="920" spans="1:25" s="426" customFormat="1" ht="12.75" x14ac:dyDescent="0.2">
      <c r="B920" s="615"/>
      <c r="Y920" s="626"/>
    </row>
    <row r="921" spans="1:25" s="426" customFormat="1" ht="12.75" x14ac:dyDescent="0.2">
      <c r="B921" s="615"/>
      <c r="Y921" s="626"/>
    </row>
    <row r="922" spans="1:25" s="426" customFormat="1" ht="12.75" x14ac:dyDescent="0.2">
      <c r="A922" s="626">
        <f>IF(C896=1,1,0)</f>
        <v>0</v>
      </c>
      <c r="B922" s="615" t="s">
        <v>811</v>
      </c>
      <c r="C922" s="626">
        <f>IF(A922=1,HLOOKUP(1,D911:O919,9,FALSE),0)</f>
        <v>0</v>
      </c>
      <c r="D922" s="426" t="s">
        <v>812</v>
      </c>
      <c r="Y922" s="626"/>
    </row>
    <row r="923" spans="1:25" s="426" customFormat="1" ht="12.75" x14ac:dyDescent="0.2">
      <c r="A923" s="626"/>
      <c r="B923" s="615" t="s">
        <v>813</v>
      </c>
      <c r="C923" s="626">
        <f>C922*C907</f>
        <v>0</v>
      </c>
      <c r="D923" s="426" t="s">
        <v>691</v>
      </c>
      <c r="Y923" s="626"/>
    </row>
    <row r="924" spans="1:25" s="426" customFormat="1" ht="12.75" x14ac:dyDescent="0.2">
      <c r="B924" s="615"/>
      <c r="Y924" s="626"/>
    </row>
    <row r="925" spans="1:25" s="426" customFormat="1" ht="12.75" x14ac:dyDescent="0.2">
      <c r="A925" s="626">
        <f>IF(C896=1,1,0)</f>
        <v>0</v>
      </c>
      <c r="B925" s="615" t="s">
        <v>814</v>
      </c>
      <c r="C925" s="669">
        <f>IF(A925=1,C923*D899,0)</f>
        <v>0</v>
      </c>
      <c r="Y925" s="626"/>
    </row>
    <row r="926" spans="1:25" s="426" customFormat="1" ht="12.75" x14ac:dyDescent="0.2">
      <c r="B926" s="615"/>
      <c r="Y926" s="626"/>
    </row>
    <row r="927" spans="1:25" s="430" customFormat="1" ht="12.75" x14ac:dyDescent="0.2">
      <c r="B927" s="678"/>
      <c r="Y927" s="651"/>
    </row>
    <row r="928" spans="1:25" s="426" customFormat="1" ht="12.75" x14ac:dyDescent="0.2">
      <c r="B928" s="615"/>
      <c r="Y928" s="626"/>
    </row>
    <row r="929" spans="1:25" s="426" customFormat="1" ht="12.75" x14ac:dyDescent="0.2">
      <c r="B929" s="615"/>
      <c r="Y929" s="626"/>
    </row>
    <row r="930" spans="1:25" s="426" customFormat="1" ht="13.5" thickBot="1" x14ac:dyDescent="0.25">
      <c r="B930" s="615"/>
      <c r="D930" s="626" t="s">
        <v>674</v>
      </c>
      <c r="Y930" s="626"/>
    </row>
    <row r="931" spans="1:25" s="426" customFormat="1" ht="13.5" thickBot="1" x14ac:dyDescent="0.25">
      <c r="B931" s="641" t="s">
        <v>669</v>
      </c>
      <c r="C931" s="643">
        <f>J371</f>
        <v>0</v>
      </c>
      <c r="D931" s="642">
        <f>IF(C931=1,C967,0)</f>
        <v>0</v>
      </c>
      <c r="Y931" s="626"/>
    </row>
    <row r="932" spans="1:25" s="426" customFormat="1" ht="12.75" x14ac:dyDescent="0.2">
      <c r="Y932" s="626"/>
    </row>
    <row r="933" spans="1:25" s="426" customFormat="1" ht="12.75" x14ac:dyDescent="0.2">
      <c r="Y933" s="626"/>
    </row>
    <row r="934" spans="1:25" s="426" customFormat="1" ht="12.75" x14ac:dyDescent="0.2">
      <c r="B934" s="426" t="s">
        <v>758</v>
      </c>
      <c r="C934" s="633">
        <f>'Tarieven (2)'!C9</f>
        <v>94</v>
      </c>
      <c r="D934" s="633">
        <f>C934/60</f>
        <v>1.5666666666666667</v>
      </c>
      <c r="E934" s="669"/>
      <c r="F934" s="669"/>
      <c r="Y934" s="626"/>
    </row>
    <row r="935" spans="1:25" s="426" customFormat="1" ht="12.75" x14ac:dyDescent="0.2">
      <c r="C935" s="704"/>
      <c r="D935" s="704"/>
      <c r="Y935" s="626"/>
    </row>
    <row r="936" spans="1:25" s="426" customFormat="1" ht="12.75" x14ac:dyDescent="0.2">
      <c r="B936" s="426" t="s">
        <v>826</v>
      </c>
      <c r="C936" s="705">
        <v>10</v>
      </c>
      <c r="D936" s="704" t="s">
        <v>683</v>
      </c>
      <c r="Y936" s="626"/>
    </row>
    <row r="937" spans="1:25" s="426" customFormat="1" ht="12.75" x14ac:dyDescent="0.2">
      <c r="C937" s="626"/>
      <c r="Y937" s="626"/>
    </row>
    <row r="938" spans="1:25" s="426" customFormat="1" ht="12.75" x14ac:dyDescent="0.2">
      <c r="B938" s="426" t="s">
        <v>821</v>
      </c>
      <c r="C938" s="626">
        <f>C6+C7</f>
        <v>550</v>
      </c>
      <c r="D938" s="426" t="s">
        <v>25</v>
      </c>
      <c r="Y938" s="626"/>
    </row>
    <row r="939" spans="1:25" s="426" customFormat="1" ht="12.75" x14ac:dyDescent="0.2">
      <c r="B939" s="426" t="s">
        <v>817</v>
      </c>
      <c r="C939" s="626">
        <f>C108</f>
        <v>361</v>
      </c>
      <c r="D939" s="426" t="s">
        <v>25</v>
      </c>
      <c r="Y939" s="626"/>
    </row>
    <row r="940" spans="1:25" s="426" customFormat="1" ht="12.75" x14ac:dyDescent="0.2">
      <c r="Y940" s="626"/>
    </row>
    <row r="941" spans="1:25" s="426" customFormat="1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Y941" s="626"/>
    </row>
    <row r="942" spans="1:25" s="426" customFormat="1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Y942" s="626"/>
    </row>
    <row r="943" spans="1:25" s="426" customFormat="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 s="426" t="s">
        <v>820</v>
      </c>
      <c r="Y943" s="626"/>
    </row>
    <row r="944" spans="1:25" s="426" customFormat="1" x14ac:dyDescent="0.25">
      <c r="A944" s="77" t="s">
        <v>816</v>
      </c>
      <c r="B944"/>
      <c r="C944" s="208">
        <v>3</v>
      </c>
      <c r="D944" s="23">
        <v>4</v>
      </c>
      <c r="E944" s="23">
        <v>5</v>
      </c>
      <c r="F944" s="23">
        <v>6</v>
      </c>
      <c r="G944" s="23">
        <v>7</v>
      </c>
      <c r="H944" s="23">
        <v>8</v>
      </c>
      <c r="I944" s="23">
        <v>9</v>
      </c>
      <c r="J944" s="23">
        <v>10</v>
      </c>
      <c r="K944" s="23">
        <v>11</v>
      </c>
      <c r="L944" s="23">
        <v>12</v>
      </c>
      <c r="M944" s="38">
        <v>13</v>
      </c>
      <c r="N944"/>
      <c r="O944" s="708"/>
      <c r="P944" s="427"/>
      <c r="Q944" s="427"/>
      <c r="R944" s="767">
        <v>4</v>
      </c>
      <c r="S944" s="701">
        <v>5</v>
      </c>
      <c r="T944" s="701">
        <v>6</v>
      </c>
      <c r="U944" s="701">
        <v>7</v>
      </c>
      <c r="V944" s="701">
        <v>8</v>
      </c>
      <c r="W944" s="663">
        <v>9</v>
      </c>
      <c r="Y944" s="626"/>
    </row>
    <row r="945" spans="1:25" s="426" customFormat="1" x14ac:dyDescent="0.25">
      <c r="A945" s="289"/>
      <c r="B945" s="44"/>
      <c r="C945" s="473">
        <f>IF(AND($C$939&gt;C946,$C$939&lt;=C947),1,0)</f>
        <v>0</v>
      </c>
      <c r="D945" s="473">
        <f t="shared" ref="D945:M945" si="175">IF(AND($C$939&gt;D946,$C$939&lt;=D947),1,0)</f>
        <v>1</v>
      </c>
      <c r="E945" s="473">
        <f t="shared" si="175"/>
        <v>0</v>
      </c>
      <c r="F945" s="473">
        <f t="shared" si="175"/>
        <v>0</v>
      </c>
      <c r="G945" s="473">
        <f t="shared" si="175"/>
        <v>0</v>
      </c>
      <c r="H945" s="473">
        <f t="shared" si="175"/>
        <v>0</v>
      </c>
      <c r="I945" s="473">
        <f t="shared" si="175"/>
        <v>0</v>
      </c>
      <c r="J945" s="473">
        <f t="shared" si="175"/>
        <v>0</v>
      </c>
      <c r="K945" s="473">
        <f t="shared" si="175"/>
        <v>0</v>
      </c>
      <c r="L945" s="473">
        <f t="shared" si="175"/>
        <v>0</v>
      </c>
      <c r="M945" s="473">
        <f t="shared" si="175"/>
        <v>0</v>
      </c>
      <c r="N945"/>
      <c r="O945" s="428"/>
      <c r="R945" s="768">
        <f>IF(AND($C$938&gt;R946,$C$938&lt;=R947),1,0)</f>
        <v>0</v>
      </c>
      <c r="S945" s="768">
        <f t="shared" ref="S945:W945" si="176">IF(AND($C$938&gt;S946,$C$938&lt;=S947),1,0)</f>
        <v>1</v>
      </c>
      <c r="T945" s="768">
        <f t="shared" si="176"/>
        <v>0</v>
      </c>
      <c r="U945" s="768">
        <f t="shared" si="176"/>
        <v>0</v>
      </c>
      <c r="V945" s="768">
        <f t="shared" si="176"/>
        <v>0</v>
      </c>
      <c r="W945" s="634">
        <f t="shared" si="176"/>
        <v>0</v>
      </c>
      <c r="Y945" s="626"/>
    </row>
    <row r="946" spans="1:25" s="426" customFormat="1" x14ac:dyDescent="0.25">
      <c r="A946" s="476"/>
      <c r="B946" s="433"/>
      <c r="C946" s="442">
        <v>0</v>
      </c>
      <c r="D946" s="442">
        <v>250</v>
      </c>
      <c r="E946" s="442">
        <v>500</v>
      </c>
      <c r="F946" s="442">
        <v>750</v>
      </c>
      <c r="G946" s="442">
        <v>1000</v>
      </c>
      <c r="H946" s="442">
        <v>1250</v>
      </c>
      <c r="I946" s="442">
        <v>1500</v>
      </c>
      <c r="J946" s="442">
        <v>1750</v>
      </c>
      <c r="K946" s="442">
        <v>2000</v>
      </c>
      <c r="L946" s="442">
        <v>2250</v>
      </c>
      <c r="M946" s="442">
        <v>2500</v>
      </c>
      <c r="N946"/>
      <c r="O946" s="428"/>
      <c r="R946" s="661">
        <v>0</v>
      </c>
      <c r="S946" s="701">
        <v>500</v>
      </c>
      <c r="T946" s="661">
        <v>1000</v>
      </c>
      <c r="U946" s="701">
        <v>1500</v>
      </c>
      <c r="V946" s="661">
        <v>2000</v>
      </c>
      <c r="W946" s="663">
        <v>2500</v>
      </c>
      <c r="Y946" s="626"/>
    </row>
    <row r="947" spans="1:25" s="426" customFormat="1" x14ac:dyDescent="0.25">
      <c r="A947" s="6"/>
      <c r="B947" s="434"/>
      <c r="C947" s="13">
        <v>250</v>
      </c>
      <c r="D947" s="13">
        <v>500</v>
      </c>
      <c r="E947" s="13">
        <v>750</v>
      </c>
      <c r="F947" s="13">
        <v>1000</v>
      </c>
      <c r="G947" s="13">
        <v>1250</v>
      </c>
      <c r="H947" s="13">
        <v>1500</v>
      </c>
      <c r="I947" s="13">
        <v>1750</v>
      </c>
      <c r="J947" s="13">
        <v>2000</v>
      </c>
      <c r="K947" s="13">
        <v>2250</v>
      </c>
      <c r="L947" s="13">
        <v>2500</v>
      </c>
      <c r="M947" s="13">
        <v>99999</v>
      </c>
      <c r="N947"/>
      <c r="O947" s="428"/>
      <c r="R947" s="145">
        <v>500</v>
      </c>
      <c r="S947" s="651">
        <v>1000</v>
      </c>
      <c r="T947" s="145">
        <v>1500</v>
      </c>
      <c r="U947" s="651">
        <v>2000</v>
      </c>
      <c r="V947" s="145">
        <v>2500</v>
      </c>
      <c r="W947" s="702">
        <v>999999</v>
      </c>
      <c r="Y947" s="626"/>
    </row>
    <row r="948" spans="1:25" s="426" customFormat="1" x14ac:dyDescent="0.25">
      <c r="A948" s="442">
        <f>IF($C$4=B948,1,0)</f>
        <v>0</v>
      </c>
      <c r="B948" s="777" t="s">
        <v>30</v>
      </c>
      <c r="C948" s="486">
        <v>800</v>
      </c>
      <c r="D948" s="486">
        <v>775</v>
      </c>
      <c r="E948" s="486">
        <v>750</v>
      </c>
      <c r="F948" s="486">
        <v>700</v>
      </c>
      <c r="G948" s="486">
        <v>650</v>
      </c>
      <c r="H948" s="486">
        <v>600</v>
      </c>
      <c r="I948" s="486">
        <v>575</v>
      </c>
      <c r="J948" s="486">
        <v>550</v>
      </c>
      <c r="K948" s="486">
        <v>525</v>
      </c>
      <c r="L948" s="486">
        <v>500</v>
      </c>
      <c r="M948" s="486">
        <v>450</v>
      </c>
      <c r="N948"/>
      <c r="O948" s="661">
        <f>IF(AND($C$939&gt;P948,$C$939&lt;=Q948),1,0)</f>
        <v>1</v>
      </c>
      <c r="P948" s="701">
        <v>0</v>
      </c>
      <c r="Q948" s="701">
        <v>500</v>
      </c>
      <c r="R948" s="786">
        <v>0.85</v>
      </c>
      <c r="S948" s="780">
        <v>0.83</v>
      </c>
      <c r="T948" s="786">
        <v>0.81</v>
      </c>
      <c r="U948" s="780">
        <v>0.79</v>
      </c>
      <c r="V948" s="786">
        <v>0.77</v>
      </c>
      <c r="W948" s="781">
        <v>0.75</v>
      </c>
      <c r="Y948" s="626"/>
    </row>
    <row r="949" spans="1:25" s="426" customFormat="1" x14ac:dyDescent="0.25">
      <c r="A949" s="12">
        <f t="shared" ref="A949:A956" si="177">IF($C$4=B949,1,0)</f>
        <v>1</v>
      </c>
      <c r="B949" s="778" t="s">
        <v>31</v>
      </c>
      <c r="C949" s="28">
        <v>800</v>
      </c>
      <c r="D949" s="28">
        <v>775</v>
      </c>
      <c r="E949" s="28">
        <v>750</v>
      </c>
      <c r="F949" s="28">
        <v>700</v>
      </c>
      <c r="G949" s="28">
        <v>650</v>
      </c>
      <c r="H949" s="28">
        <v>600</v>
      </c>
      <c r="I949" s="28">
        <v>575</v>
      </c>
      <c r="J949" s="28">
        <v>550</v>
      </c>
      <c r="K949" s="28">
        <v>525</v>
      </c>
      <c r="L949" s="28">
        <v>500</v>
      </c>
      <c r="M949" s="28">
        <v>450</v>
      </c>
      <c r="N949"/>
      <c r="O949" s="150">
        <f t="shared" ref="O949:O957" si="178">IF(AND($C$939&gt;P949,$C$939&lt;=Q949),1,0)</f>
        <v>0</v>
      </c>
      <c r="P949" s="626">
        <v>500</v>
      </c>
      <c r="Q949" s="626">
        <v>750</v>
      </c>
      <c r="R949" s="787">
        <v>0.85</v>
      </c>
      <c r="S949" s="782">
        <v>0.83</v>
      </c>
      <c r="T949" s="787">
        <v>0.81</v>
      </c>
      <c r="U949" s="782">
        <v>0.79</v>
      </c>
      <c r="V949" s="787">
        <v>0.77</v>
      </c>
      <c r="W949" s="783">
        <v>0.75</v>
      </c>
      <c r="Y949" s="626"/>
    </row>
    <row r="950" spans="1:25" s="426" customFormat="1" x14ac:dyDescent="0.25">
      <c r="A950" s="13">
        <f t="shared" si="177"/>
        <v>0</v>
      </c>
      <c r="B950" s="778" t="s">
        <v>32</v>
      </c>
      <c r="C950" s="34">
        <v>800</v>
      </c>
      <c r="D950" s="34">
        <v>775</v>
      </c>
      <c r="E950" s="34">
        <v>750</v>
      </c>
      <c r="F950" s="34">
        <v>700</v>
      </c>
      <c r="G950" s="34">
        <v>650</v>
      </c>
      <c r="H950" s="34">
        <v>600</v>
      </c>
      <c r="I950" s="34">
        <v>575</v>
      </c>
      <c r="J950" s="34">
        <v>550</v>
      </c>
      <c r="K950" s="34">
        <v>525</v>
      </c>
      <c r="L950" s="34">
        <v>500</v>
      </c>
      <c r="M950" s="34">
        <v>450</v>
      </c>
      <c r="N950"/>
      <c r="O950" s="150">
        <f t="shared" si="178"/>
        <v>0</v>
      </c>
      <c r="P950" s="626">
        <v>750</v>
      </c>
      <c r="Q950" s="626">
        <v>1000</v>
      </c>
      <c r="R950" s="787">
        <v>0.84</v>
      </c>
      <c r="S950" s="782">
        <v>0.82</v>
      </c>
      <c r="T950" s="787">
        <v>0.81</v>
      </c>
      <c r="U950" s="782">
        <v>0.78</v>
      </c>
      <c r="V950" s="787">
        <v>0.76</v>
      </c>
      <c r="W950" s="783">
        <v>0.74</v>
      </c>
      <c r="Y950" s="626"/>
    </row>
    <row r="951" spans="1:25" s="426" customFormat="1" x14ac:dyDescent="0.25">
      <c r="A951" s="12">
        <f t="shared" si="177"/>
        <v>0</v>
      </c>
      <c r="B951" s="777" t="s">
        <v>36</v>
      </c>
      <c r="C951" s="28">
        <v>700</v>
      </c>
      <c r="D951" s="28">
        <v>675</v>
      </c>
      <c r="E951" s="28">
        <v>650</v>
      </c>
      <c r="F951" s="28">
        <v>600</v>
      </c>
      <c r="G951" s="28">
        <v>550</v>
      </c>
      <c r="H951" s="28">
        <v>500</v>
      </c>
      <c r="I951" s="28">
        <v>475</v>
      </c>
      <c r="J951" s="28">
        <v>450</v>
      </c>
      <c r="K951" s="28">
        <v>425</v>
      </c>
      <c r="L951" s="28">
        <v>400</v>
      </c>
      <c r="M951" s="28">
        <v>350</v>
      </c>
      <c r="N951"/>
      <c r="O951" s="150">
        <f t="shared" si="178"/>
        <v>0</v>
      </c>
      <c r="P951" s="626">
        <v>1000</v>
      </c>
      <c r="Q951" s="626">
        <v>1250</v>
      </c>
      <c r="R951" s="787">
        <v>0.84</v>
      </c>
      <c r="S951" s="782">
        <v>0.82</v>
      </c>
      <c r="T951" s="787">
        <v>0.8</v>
      </c>
      <c r="U951" s="782">
        <v>0.78</v>
      </c>
      <c r="V951" s="787">
        <v>0.76</v>
      </c>
      <c r="W951" s="783">
        <v>0.74</v>
      </c>
      <c r="Y951" s="626"/>
    </row>
    <row r="952" spans="1:25" s="426" customFormat="1" x14ac:dyDescent="0.25">
      <c r="A952" s="12">
        <f t="shared" si="177"/>
        <v>0</v>
      </c>
      <c r="B952" s="778" t="s">
        <v>34</v>
      </c>
      <c r="C952" s="28">
        <v>700</v>
      </c>
      <c r="D952" s="28">
        <v>675</v>
      </c>
      <c r="E952" s="28">
        <v>650</v>
      </c>
      <c r="F952" s="28">
        <v>600</v>
      </c>
      <c r="G952" s="28">
        <v>550</v>
      </c>
      <c r="H952" s="28">
        <v>500</v>
      </c>
      <c r="I952" s="28">
        <v>475</v>
      </c>
      <c r="J952" s="28">
        <v>450</v>
      </c>
      <c r="K952" s="28">
        <v>425</v>
      </c>
      <c r="L952" s="28">
        <v>400</v>
      </c>
      <c r="M952" s="28">
        <v>350</v>
      </c>
      <c r="N952"/>
      <c r="O952" s="150">
        <f t="shared" si="178"/>
        <v>0</v>
      </c>
      <c r="P952" s="626">
        <v>1250</v>
      </c>
      <c r="Q952" s="626">
        <v>1500</v>
      </c>
      <c r="R952" s="787">
        <v>0.83</v>
      </c>
      <c r="S952" s="782">
        <v>0.82</v>
      </c>
      <c r="T952" s="787">
        <v>0.79</v>
      </c>
      <c r="U952" s="782">
        <v>0.77</v>
      </c>
      <c r="V952" s="787">
        <v>0.75</v>
      </c>
      <c r="W952" s="783">
        <v>0.73</v>
      </c>
      <c r="Y952" s="626"/>
    </row>
    <row r="953" spans="1:25" s="426" customFormat="1" x14ac:dyDescent="0.25">
      <c r="A953" s="12">
        <f t="shared" si="177"/>
        <v>0</v>
      </c>
      <c r="B953" s="778" t="s">
        <v>33</v>
      </c>
      <c r="C953" s="28">
        <v>700</v>
      </c>
      <c r="D953" s="28">
        <v>675</v>
      </c>
      <c r="E953" s="28">
        <v>650</v>
      </c>
      <c r="F953" s="28">
        <v>600</v>
      </c>
      <c r="G953" s="28">
        <v>550</v>
      </c>
      <c r="H953" s="28">
        <v>500</v>
      </c>
      <c r="I953" s="28">
        <v>475</v>
      </c>
      <c r="J953" s="28">
        <v>450</v>
      </c>
      <c r="K953" s="28">
        <v>425</v>
      </c>
      <c r="L953" s="28">
        <v>400</v>
      </c>
      <c r="M953" s="28">
        <v>350</v>
      </c>
      <c r="N953"/>
      <c r="O953" s="150">
        <f t="shared" si="178"/>
        <v>0</v>
      </c>
      <c r="P953" s="626">
        <v>1500</v>
      </c>
      <c r="Q953" s="626">
        <v>1750</v>
      </c>
      <c r="R953" s="787">
        <v>0.83</v>
      </c>
      <c r="S953" s="782">
        <v>0.81</v>
      </c>
      <c r="T953" s="787">
        <v>0.79</v>
      </c>
      <c r="U953" s="782">
        <v>0.76</v>
      </c>
      <c r="V953" s="787">
        <v>0.75</v>
      </c>
      <c r="W953" s="783">
        <v>0.73</v>
      </c>
      <c r="Y953" s="626"/>
    </row>
    <row r="954" spans="1:25" s="426" customFormat="1" x14ac:dyDescent="0.25">
      <c r="A954" s="12">
        <f t="shared" si="177"/>
        <v>0</v>
      </c>
      <c r="B954" s="778" t="s">
        <v>35</v>
      </c>
      <c r="C954" s="28">
        <v>700</v>
      </c>
      <c r="D954" s="28">
        <v>675</v>
      </c>
      <c r="E954" s="28">
        <v>650</v>
      </c>
      <c r="F954" s="28">
        <v>600</v>
      </c>
      <c r="G954" s="28">
        <v>550</v>
      </c>
      <c r="H954" s="28">
        <v>500</v>
      </c>
      <c r="I954" s="28">
        <v>475</v>
      </c>
      <c r="J954" s="28">
        <v>450</v>
      </c>
      <c r="K954" s="28">
        <v>425</v>
      </c>
      <c r="L954" s="28">
        <v>400</v>
      </c>
      <c r="M954" s="28">
        <v>350</v>
      </c>
      <c r="N954"/>
      <c r="O954" s="150">
        <f t="shared" si="178"/>
        <v>0</v>
      </c>
      <c r="P954" s="626">
        <v>1750</v>
      </c>
      <c r="Q954" s="626">
        <v>2000</v>
      </c>
      <c r="R954" s="787">
        <v>0.82</v>
      </c>
      <c r="S954" s="782">
        <v>0.81</v>
      </c>
      <c r="T954" s="787">
        <v>0.78</v>
      </c>
      <c r="U954" s="782">
        <v>0.76</v>
      </c>
      <c r="V954" s="787">
        <v>0.75</v>
      </c>
      <c r="W954" s="783">
        <v>0.72</v>
      </c>
      <c r="Y954" s="626"/>
    </row>
    <row r="955" spans="1:25" s="426" customFormat="1" x14ac:dyDescent="0.25">
      <c r="A955" s="12">
        <f t="shared" si="177"/>
        <v>0</v>
      </c>
      <c r="B955" s="778" t="s">
        <v>37</v>
      </c>
      <c r="C955" s="28">
        <v>700</v>
      </c>
      <c r="D955" s="28">
        <v>675</v>
      </c>
      <c r="E955" s="28">
        <v>650</v>
      </c>
      <c r="F955" s="28">
        <v>600</v>
      </c>
      <c r="G955" s="28">
        <v>550</v>
      </c>
      <c r="H955" s="28">
        <v>500</v>
      </c>
      <c r="I955" s="28">
        <v>475</v>
      </c>
      <c r="J955" s="28">
        <v>450</v>
      </c>
      <c r="K955" s="28">
        <v>425</v>
      </c>
      <c r="L955" s="28">
        <v>400</v>
      </c>
      <c r="M955" s="28">
        <v>350</v>
      </c>
      <c r="N955"/>
      <c r="O955" s="150">
        <f t="shared" si="178"/>
        <v>0</v>
      </c>
      <c r="P955" s="626">
        <v>2000</v>
      </c>
      <c r="Q955" s="626">
        <v>2250</v>
      </c>
      <c r="R955" s="787">
        <v>0.81</v>
      </c>
      <c r="S955" s="782">
        <v>0.8</v>
      </c>
      <c r="T955" s="787">
        <v>0.77</v>
      </c>
      <c r="U955" s="782">
        <v>0.75</v>
      </c>
      <c r="V955" s="787">
        <v>0.74</v>
      </c>
      <c r="W955" s="783">
        <v>0.72</v>
      </c>
      <c r="Y955" s="626"/>
    </row>
    <row r="956" spans="1:25" s="426" customFormat="1" x14ac:dyDescent="0.25">
      <c r="A956" s="13">
        <f t="shared" si="177"/>
        <v>0</v>
      </c>
      <c r="B956" s="779" t="s">
        <v>38</v>
      </c>
      <c r="C956" s="34">
        <v>700</v>
      </c>
      <c r="D956" s="34">
        <v>675</v>
      </c>
      <c r="E956" s="34">
        <v>650</v>
      </c>
      <c r="F956" s="34">
        <v>600</v>
      </c>
      <c r="G956" s="34">
        <v>550</v>
      </c>
      <c r="H956" s="34">
        <v>500</v>
      </c>
      <c r="I956" s="34">
        <v>475</v>
      </c>
      <c r="J956" s="34">
        <v>450</v>
      </c>
      <c r="K956" s="34">
        <v>425</v>
      </c>
      <c r="L956" s="34">
        <v>400</v>
      </c>
      <c r="M956" s="34">
        <v>350</v>
      </c>
      <c r="N956"/>
      <c r="O956" s="150">
        <f t="shared" si="178"/>
        <v>0</v>
      </c>
      <c r="P956" s="626">
        <v>2250</v>
      </c>
      <c r="Q956" s="626">
        <v>2500</v>
      </c>
      <c r="R956" s="787">
        <v>0.8</v>
      </c>
      <c r="S956" s="782">
        <v>0.78</v>
      </c>
      <c r="T956" s="787">
        <v>0.76</v>
      </c>
      <c r="U956" s="782">
        <v>0.74</v>
      </c>
      <c r="V956" s="787">
        <v>0.73</v>
      </c>
      <c r="W956" s="783">
        <v>0.72</v>
      </c>
      <c r="Y956" s="626"/>
    </row>
    <row r="957" spans="1:25" s="426" customFormat="1" x14ac:dyDescent="0.25">
      <c r="A957" s="415"/>
      <c r="B957" s="44"/>
      <c r="C957" s="473">
        <f>IF(SUM($A$948:$A$956)&gt;0,VLOOKUP(1,$A$948:$M$957,C944,FALSE),0)</f>
        <v>800</v>
      </c>
      <c r="D957" s="473">
        <f t="shared" ref="D957:M957" si="179">IF(SUM($A$948:$A$956)&gt;0,VLOOKUP(1,$A$948:$M$957,D944,FALSE),0)</f>
        <v>775</v>
      </c>
      <c r="E957" s="473">
        <f t="shared" si="179"/>
        <v>750</v>
      </c>
      <c r="F957" s="473">
        <f t="shared" si="179"/>
        <v>700</v>
      </c>
      <c r="G957" s="473">
        <f t="shared" si="179"/>
        <v>650</v>
      </c>
      <c r="H957" s="473">
        <f t="shared" si="179"/>
        <v>600</v>
      </c>
      <c r="I957" s="473">
        <f t="shared" si="179"/>
        <v>575</v>
      </c>
      <c r="J957" s="473">
        <f t="shared" si="179"/>
        <v>550</v>
      </c>
      <c r="K957" s="473">
        <f t="shared" si="179"/>
        <v>525</v>
      </c>
      <c r="L957" s="473">
        <f t="shared" si="179"/>
        <v>500</v>
      </c>
      <c r="M957" s="473">
        <f t="shared" si="179"/>
        <v>450</v>
      </c>
      <c r="N957"/>
      <c r="O957" s="145">
        <f t="shared" si="178"/>
        <v>0</v>
      </c>
      <c r="P957" s="651">
        <v>2500</v>
      </c>
      <c r="Q957" s="651">
        <v>3500</v>
      </c>
      <c r="R957" s="788">
        <v>0.8</v>
      </c>
      <c r="S957" s="784">
        <v>0.78</v>
      </c>
      <c r="T957" s="788">
        <v>0.76</v>
      </c>
      <c r="U957" s="784">
        <v>0.74</v>
      </c>
      <c r="V957" s="788">
        <v>0.72</v>
      </c>
      <c r="W957" s="785">
        <v>0.7</v>
      </c>
      <c r="Y957" s="626"/>
    </row>
    <row r="958" spans="1:25" s="426" customFormat="1" x14ac:dyDescent="0.25">
      <c r="A958"/>
      <c r="B95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/>
      <c r="O958" s="429"/>
      <c r="P958" s="653"/>
      <c r="Q958" s="653"/>
      <c r="R958" s="634">
        <f>IF(SUM($O$948:$O$957)&gt;0,VLOOKUP(1,$O$948:$W$957,R944,FALSE),0)</f>
        <v>0.85</v>
      </c>
      <c r="S958" s="634">
        <f t="shared" ref="S958:W958" si="180">IF(SUM($O$948:$O$957)&gt;0,VLOOKUP(1,$O$948:$W$957,S944,FALSE),0)</f>
        <v>0.83</v>
      </c>
      <c r="T958" s="634">
        <f t="shared" si="180"/>
        <v>0.81</v>
      </c>
      <c r="U958" s="634">
        <f t="shared" si="180"/>
        <v>0.79</v>
      </c>
      <c r="V958" s="634">
        <f t="shared" si="180"/>
        <v>0.77</v>
      </c>
      <c r="W958" s="634">
        <f t="shared" si="180"/>
        <v>0.75</v>
      </c>
      <c r="Y958" s="626"/>
    </row>
    <row r="959" spans="1:25" s="426" customFormat="1" ht="12.75" x14ac:dyDescent="0.2">
      <c r="B959" s="615"/>
      <c r="Y959" s="626"/>
    </row>
    <row r="960" spans="1:25" s="426" customFormat="1" ht="12.75" x14ac:dyDescent="0.2">
      <c r="B960" s="615" t="s">
        <v>823</v>
      </c>
      <c r="C960" s="762">
        <f>IF(SUM(C945:M945)&gt;0,HLOOKUP(1,C945:M957,13,FALSE)/60,0)</f>
        <v>12.916666666666666</v>
      </c>
      <c r="D960" s="426" t="s">
        <v>705</v>
      </c>
      <c r="Y960" s="626"/>
    </row>
    <row r="961" spans="1:25" s="426" customFormat="1" ht="12.75" x14ac:dyDescent="0.2">
      <c r="B961" s="615" t="s">
        <v>822</v>
      </c>
      <c r="C961" s="1210">
        <f>IF(SUM(R945:W945)&gt;0,HLOOKUP(1,R945:W958,14,FALSE),0)</f>
        <v>0.83</v>
      </c>
      <c r="Y961" s="626"/>
    </row>
    <row r="962" spans="1:25" s="426" customFormat="1" ht="12.75" x14ac:dyDescent="0.2">
      <c r="B962" s="615" t="s">
        <v>795</v>
      </c>
      <c r="C962" s="651">
        <f>C961*C960</f>
        <v>10.720833333333331</v>
      </c>
      <c r="D962" s="426" t="s">
        <v>705</v>
      </c>
      <c r="Y962" s="626"/>
    </row>
    <row r="963" spans="1:25" s="426" customFormat="1" ht="12.75" x14ac:dyDescent="0.2">
      <c r="B963" s="615" t="s">
        <v>813</v>
      </c>
      <c r="C963" s="134">
        <f>C3/C962</f>
        <v>167.89739603575595</v>
      </c>
      <c r="D963" s="426" t="s">
        <v>683</v>
      </c>
      <c r="Y963" s="626"/>
    </row>
    <row r="964" spans="1:25" s="426" customFormat="1" ht="12.75" x14ac:dyDescent="0.2">
      <c r="B964" s="615"/>
      <c r="C964" s="134"/>
      <c r="Y964" s="626"/>
    </row>
    <row r="965" spans="1:25" s="426" customFormat="1" ht="12.75" x14ac:dyDescent="0.2">
      <c r="A965" s="626">
        <f>IF(C931=1,1,0)</f>
        <v>0</v>
      </c>
      <c r="B965" s="615" t="s">
        <v>824</v>
      </c>
      <c r="C965" s="1184">
        <f>IF(C931=1,C936*D934,0)</f>
        <v>0</v>
      </c>
      <c r="Y965" s="626"/>
    </row>
    <row r="966" spans="1:25" s="426" customFormat="1" ht="12.75" x14ac:dyDescent="0.2">
      <c r="A966" s="626">
        <f>IF(C931=1,1,0)</f>
        <v>0</v>
      </c>
      <c r="B966" s="615" t="s">
        <v>825</v>
      </c>
      <c r="C966" s="758">
        <f>IF(A966=1,C963*D934,0)</f>
        <v>0</v>
      </c>
      <c r="Y966" s="626"/>
    </row>
    <row r="967" spans="1:25" s="426" customFormat="1" ht="12.75" x14ac:dyDescent="0.2">
      <c r="B967" s="615" t="s">
        <v>177</v>
      </c>
      <c r="C967" s="635">
        <f>SUM(C965:C966)</f>
        <v>0</v>
      </c>
      <c r="Y967" s="626"/>
    </row>
    <row r="968" spans="1:25" s="426" customFormat="1" ht="12.75" x14ac:dyDescent="0.2">
      <c r="B968" s="615"/>
      <c r="Y968" s="626"/>
    </row>
    <row r="969" spans="1:25" s="430" customFormat="1" ht="12.75" x14ac:dyDescent="0.2">
      <c r="B969" s="678"/>
      <c r="Y969" s="651"/>
    </row>
    <row r="970" spans="1:25" s="426" customFormat="1" ht="12.75" x14ac:dyDescent="0.2">
      <c r="B970" s="615"/>
      <c r="Y970" s="626"/>
    </row>
    <row r="971" spans="1:25" s="426" customFormat="1" ht="13.5" thickBot="1" x14ac:dyDescent="0.25">
      <c r="B971" s="615"/>
      <c r="D971" s="626" t="s">
        <v>674</v>
      </c>
      <c r="Y971" s="626"/>
    </row>
    <row r="972" spans="1:25" s="426" customFormat="1" ht="13.5" thickBot="1" x14ac:dyDescent="0.25">
      <c r="B972" s="641" t="s">
        <v>670</v>
      </c>
      <c r="C972" s="643">
        <f>J372</f>
        <v>0</v>
      </c>
      <c r="D972" s="642">
        <f>IF(C972=1,C982,0)</f>
        <v>0</v>
      </c>
      <c r="Y972" s="626"/>
    </row>
    <row r="973" spans="1:25" s="426" customFormat="1" ht="12.75" x14ac:dyDescent="0.2">
      <c r="Y973" s="626"/>
    </row>
    <row r="974" spans="1:25" s="426" customFormat="1" ht="12.75" x14ac:dyDescent="0.2">
      <c r="Y974" s="626"/>
    </row>
    <row r="975" spans="1:25" s="426" customFormat="1" ht="12.75" x14ac:dyDescent="0.2">
      <c r="B975" s="426" t="s">
        <v>827</v>
      </c>
      <c r="C975" s="633">
        <f>'Tarieven (2)'!C12</f>
        <v>37</v>
      </c>
      <c r="D975" s="633">
        <f>C975/60</f>
        <v>0.6166666666666667</v>
      </c>
      <c r="Y975" s="626"/>
    </row>
    <row r="976" spans="1:25" s="426" customFormat="1" ht="12.75" x14ac:dyDescent="0.2">
      <c r="B976" s="615"/>
      <c r="Y976" s="626"/>
    </row>
    <row r="977" spans="1:25" s="426" customFormat="1" ht="12.75" x14ac:dyDescent="0.2">
      <c r="B977" s="615"/>
      <c r="Y977" s="626"/>
    </row>
    <row r="978" spans="1:25" s="426" customFormat="1" ht="12.75" x14ac:dyDescent="0.2">
      <c r="B978" s="615" t="s">
        <v>829</v>
      </c>
      <c r="C978" s="637">
        <v>1500</v>
      </c>
      <c r="D978" s="426" t="s">
        <v>790</v>
      </c>
      <c r="Y978" s="626"/>
    </row>
    <row r="979" spans="1:25" s="426" customFormat="1" ht="12.75" x14ac:dyDescent="0.2">
      <c r="B979" s="615"/>
      <c r="Y979" s="626"/>
    </row>
    <row r="980" spans="1:25" s="426" customFormat="1" ht="12.75" x14ac:dyDescent="0.2">
      <c r="B980" s="615" t="s">
        <v>61</v>
      </c>
      <c r="C980" s="626">
        <f>C3</f>
        <v>1800</v>
      </c>
      <c r="D980" s="426" t="s">
        <v>754</v>
      </c>
      <c r="Y980" s="626"/>
    </row>
    <row r="981" spans="1:25" s="426" customFormat="1" ht="12.75" x14ac:dyDescent="0.2">
      <c r="B981" s="615"/>
      <c r="Y981" s="626"/>
    </row>
    <row r="982" spans="1:25" s="426" customFormat="1" ht="12.75" x14ac:dyDescent="0.2">
      <c r="A982" s="626">
        <f>IF(C972=1,1,0)</f>
        <v>0</v>
      </c>
      <c r="B982" s="615" t="s">
        <v>825</v>
      </c>
      <c r="C982" s="669">
        <f>IF(A982=1,(C980/C978)*C975,0)</f>
        <v>0</v>
      </c>
      <c r="Y982" s="626"/>
    </row>
    <row r="983" spans="1:25" s="426" customFormat="1" ht="12.75" x14ac:dyDescent="0.2">
      <c r="B983" s="615"/>
      <c r="Y983" s="626"/>
    </row>
    <row r="984" spans="1:25" s="430" customFormat="1" ht="12.75" x14ac:dyDescent="0.2">
      <c r="B984" s="678"/>
      <c r="Y984" s="651"/>
    </row>
    <row r="985" spans="1:25" s="426" customFormat="1" ht="12.75" x14ac:dyDescent="0.2">
      <c r="B985" s="615"/>
      <c r="Y985" s="626"/>
    </row>
    <row r="986" spans="1:25" s="426" customFormat="1" ht="12.75" x14ac:dyDescent="0.2">
      <c r="B986" s="615"/>
      <c r="Y986" s="626"/>
    </row>
    <row r="987" spans="1:25" s="426" customFormat="1" ht="13.5" thickBot="1" x14ac:dyDescent="0.25">
      <c r="B987" s="615"/>
      <c r="D987" s="626" t="s">
        <v>674</v>
      </c>
      <c r="Y987" s="626"/>
    </row>
    <row r="988" spans="1:25" s="426" customFormat="1" ht="13.5" thickBot="1" x14ac:dyDescent="0.25">
      <c r="B988" s="641" t="s">
        <v>671</v>
      </c>
      <c r="C988" s="643">
        <f>J373</f>
        <v>0</v>
      </c>
      <c r="D988" s="642">
        <f>IF(C988=1,C1002,0)</f>
        <v>0</v>
      </c>
      <c r="Y988" s="626"/>
    </row>
    <row r="989" spans="1:25" s="426" customFormat="1" ht="12.75" x14ac:dyDescent="0.2">
      <c r="Y989" s="626"/>
    </row>
    <row r="990" spans="1:25" s="426" customFormat="1" ht="12.75" x14ac:dyDescent="0.2">
      <c r="B990" s="615"/>
      <c r="Y990" s="626"/>
    </row>
    <row r="991" spans="1:25" s="426" customFormat="1" ht="12.75" x14ac:dyDescent="0.2">
      <c r="B991" s="426" t="s">
        <v>827</v>
      </c>
      <c r="C991" s="633">
        <f>'Tarieven (2)'!C12</f>
        <v>37</v>
      </c>
      <c r="D991" s="633">
        <f>C991/60</f>
        <v>0.6166666666666667</v>
      </c>
      <c r="Y991" s="626"/>
    </row>
    <row r="992" spans="1:25" s="426" customFormat="1" ht="12.75" x14ac:dyDescent="0.2">
      <c r="B992" s="615"/>
      <c r="Y992" s="626"/>
    </row>
    <row r="993" spans="1:25" s="426" customFormat="1" ht="12.75" x14ac:dyDescent="0.2">
      <c r="B993" s="615" t="s">
        <v>828</v>
      </c>
      <c r="C993" s="637">
        <v>8</v>
      </c>
      <c r="D993" s="426" t="s">
        <v>683</v>
      </c>
      <c r="Y993" s="626"/>
    </row>
    <row r="994" spans="1:25" s="426" customFormat="1" ht="12.75" x14ac:dyDescent="0.2">
      <c r="B994" s="615"/>
      <c r="Y994" s="626"/>
    </row>
    <row r="995" spans="1:25" s="426" customFormat="1" ht="12.75" x14ac:dyDescent="0.2">
      <c r="B995" s="615" t="s">
        <v>829</v>
      </c>
      <c r="C995" s="637">
        <v>900</v>
      </c>
      <c r="D995" s="426" t="s">
        <v>790</v>
      </c>
      <c r="Y995" s="626"/>
    </row>
    <row r="996" spans="1:25" s="426" customFormat="1" ht="12.75" x14ac:dyDescent="0.2">
      <c r="B996" s="615"/>
      <c r="Y996" s="626"/>
    </row>
    <row r="997" spans="1:25" s="426" customFormat="1" ht="12.75" x14ac:dyDescent="0.2">
      <c r="B997" s="615" t="s">
        <v>61</v>
      </c>
      <c r="C997" s="626">
        <f>C3</f>
        <v>1800</v>
      </c>
      <c r="D997" s="426" t="s">
        <v>754</v>
      </c>
      <c r="Y997" s="626"/>
    </row>
    <row r="998" spans="1:25" s="426" customFormat="1" ht="12.75" x14ac:dyDescent="0.2">
      <c r="B998" s="615"/>
      <c r="Y998" s="626"/>
    </row>
    <row r="999" spans="1:25" s="426" customFormat="1" ht="12.75" x14ac:dyDescent="0.2">
      <c r="B999" s="615"/>
      <c r="Y999" s="626"/>
    </row>
    <row r="1000" spans="1:25" s="426" customFormat="1" ht="12.75" x14ac:dyDescent="0.2">
      <c r="A1000" s="626">
        <f>IF(C988=1,1,0)</f>
        <v>0</v>
      </c>
      <c r="B1000" s="615" t="s">
        <v>824</v>
      </c>
      <c r="C1000" s="635">
        <f>IF(A1000=1,C993*D991,0)</f>
        <v>0</v>
      </c>
      <c r="Y1000" s="626"/>
    </row>
    <row r="1001" spans="1:25" s="426" customFormat="1" ht="12.75" x14ac:dyDescent="0.2">
      <c r="A1001" s="626">
        <f>IF(C988=1,1,0)</f>
        <v>0</v>
      </c>
      <c r="B1001" s="615" t="s">
        <v>830</v>
      </c>
      <c r="C1001" s="758">
        <f>IF(A1001=1,(C997/C995)*C991,0)</f>
        <v>0</v>
      </c>
      <c r="Y1001" s="626"/>
    </row>
    <row r="1002" spans="1:25" s="426" customFormat="1" ht="12.75" x14ac:dyDescent="0.2">
      <c r="B1002" s="615" t="s">
        <v>177</v>
      </c>
      <c r="C1002" s="635">
        <f>SUM(C1000:C1001)</f>
        <v>0</v>
      </c>
      <c r="Y1002" s="626"/>
    </row>
    <row r="1003" spans="1:25" s="426" customFormat="1" ht="12.75" x14ac:dyDescent="0.2">
      <c r="B1003" s="615"/>
      <c r="Y1003" s="626"/>
    </row>
    <row r="1004" spans="1:25" s="430" customFormat="1" ht="12.75" x14ac:dyDescent="0.2">
      <c r="B1004" s="678"/>
      <c r="Y1004" s="651"/>
    </row>
    <row r="1005" spans="1:25" s="426" customFormat="1" ht="12.75" x14ac:dyDescent="0.2">
      <c r="B1005" s="615"/>
      <c r="Y1005" s="626"/>
    </row>
    <row r="1006" spans="1:25" s="426" customFormat="1" ht="13.5" thickBot="1" x14ac:dyDescent="0.25">
      <c r="B1006" s="615"/>
      <c r="D1006" s="626" t="s">
        <v>674</v>
      </c>
      <c r="Y1006" s="626"/>
    </row>
    <row r="1007" spans="1:25" s="426" customFormat="1" ht="13.5" thickBot="1" x14ac:dyDescent="0.25">
      <c r="B1007" s="641" t="s">
        <v>672</v>
      </c>
      <c r="C1007" s="643">
        <f>J374</f>
        <v>0</v>
      </c>
      <c r="D1007" s="642">
        <f>IF(C1007=1,C1043,0)</f>
        <v>0</v>
      </c>
      <c r="Y1007" s="626"/>
    </row>
    <row r="1008" spans="1:25" s="426" customFormat="1" ht="12.75" x14ac:dyDescent="0.2">
      <c r="B1008" s="615"/>
      <c r="Y1008" s="626"/>
    </row>
    <row r="1009" spans="1:25" s="426" customFormat="1" ht="12.75" x14ac:dyDescent="0.2">
      <c r="B1009" s="615"/>
      <c r="Y1009" s="626"/>
    </row>
    <row r="1010" spans="1:25" s="426" customFormat="1" ht="12.75" x14ac:dyDescent="0.2">
      <c r="B1010" s="426" t="s">
        <v>827</v>
      </c>
      <c r="C1010" s="633">
        <f>'Tarieven (2)'!C12</f>
        <v>37</v>
      </c>
      <c r="D1010" s="633">
        <f>C1010/60</f>
        <v>0.6166666666666667</v>
      </c>
      <c r="Y1010" s="626"/>
    </row>
    <row r="1011" spans="1:25" s="426" customFormat="1" ht="12.75" x14ac:dyDescent="0.2">
      <c r="B1011" s="615"/>
      <c r="Y1011" s="626"/>
    </row>
    <row r="1012" spans="1:25" s="426" customFormat="1" ht="12.75" x14ac:dyDescent="0.2">
      <c r="B1012" s="615"/>
      <c r="O1012" s="626" t="s">
        <v>800</v>
      </c>
      <c r="P1012" s="626" t="s">
        <v>801</v>
      </c>
      <c r="Y1012" s="626"/>
    </row>
    <row r="1013" spans="1:25" s="426" customFormat="1" x14ac:dyDescent="0.25">
      <c r="A1013" s="719"/>
      <c r="B1013" s="411" t="s">
        <v>799</v>
      </c>
      <c r="C1013" s="435">
        <f>C814</f>
        <v>1150</v>
      </c>
      <c r="D1013" s="411"/>
      <c r="E1013" s="412"/>
      <c r="F1013" s="412"/>
      <c r="G1013" s="412"/>
      <c r="H1013" s="412"/>
      <c r="I1013" s="412"/>
      <c r="J1013" s="412"/>
      <c r="K1013" s="412"/>
      <c r="L1013" s="433"/>
      <c r="N1013" s="661">
        <f>IF($H$803=O1013,1,0)</f>
        <v>1</v>
      </c>
      <c r="O1013" s="449">
        <v>1</v>
      </c>
      <c r="P1013" s="486">
        <v>1</v>
      </c>
      <c r="Y1013" s="626"/>
    </row>
    <row r="1014" spans="1:25" s="426" customFormat="1" x14ac:dyDescent="0.25">
      <c r="A1014" s="714"/>
      <c r="B1014" s="581" t="s">
        <v>99</v>
      </c>
      <c r="C1014" s="436">
        <f>C815</f>
        <v>361</v>
      </c>
      <c r="D1014" s="581"/>
      <c r="E1014" s="320"/>
      <c r="F1014" s="320"/>
      <c r="G1014" s="320"/>
      <c r="H1014" s="320"/>
      <c r="I1014" s="320"/>
      <c r="J1014" s="320"/>
      <c r="K1014" s="320"/>
      <c r="L1014" s="434"/>
      <c r="N1014" s="150">
        <f t="shared" ref="N1014:N1021" si="181">IF($H$803=O1014,1,0)</f>
        <v>0</v>
      </c>
      <c r="O1014" s="2">
        <v>2</v>
      </c>
      <c r="P1014" s="28">
        <v>1.1299999999999999</v>
      </c>
      <c r="Y1014" s="626"/>
    </row>
    <row r="1015" spans="1:25" s="426" customFormat="1" x14ac:dyDescent="0.25">
      <c r="A1015" s="208"/>
      <c r="B1015" s="23"/>
      <c r="C1015" s="23"/>
      <c r="D1015" s="449">
        <v>4</v>
      </c>
      <c r="E1015" s="449">
        <v>5</v>
      </c>
      <c r="F1015" s="449">
        <v>6</v>
      </c>
      <c r="G1015" s="449">
        <v>7</v>
      </c>
      <c r="H1015" s="449">
        <v>8</v>
      </c>
      <c r="I1015" s="449">
        <v>9</v>
      </c>
      <c r="J1015" s="449">
        <v>10</v>
      </c>
      <c r="K1015" s="449">
        <v>11</v>
      </c>
      <c r="L1015" s="435">
        <v>12</v>
      </c>
      <c r="N1015" s="150">
        <f t="shared" si="181"/>
        <v>0</v>
      </c>
      <c r="O1015" s="2">
        <v>3</v>
      </c>
      <c r="P1015" s="28">
        <v>1.26</v>
      </c>
      <c r="Y1015" s="626"/>
    </row>
    <row r="1016" spans="1:25" s="426" customFormat="1" x14ac:dyDescent="0.25">
      <c r="A1016" s="473">
        <f>IF(SUM(D1016:L1016)&gt;0,HLOOKUP(1,D1016:L1028,13,FALSE),0)</f>
        <v>922.25</v>
      </c>
      <c r="B1016" s="412"/>
      <c r="C1016" s="412"/>
      <c r="D1016" s="208">
        <f>IF(AND($C$1013&gt;D1017,$C$1013&lt;=D1018),1,0)</f>
        <v>0</v>
      </c>
      <c r="E1016" s="23">
        <f t="shared" ref="E1016:L1016" si="182">IF(AND($C$1013&gt;E1017,$C$1013&lt;=E1018),1,0)</f>
        <v>0</v>
      </c>
      <c r="F1016" s="23">
        <f t="shared" si="182"/>
        <v>0</v>
      </c>
      <c r="G1016" s="23">
        <f t="shared" si="182"/>
        <v>0</v>
      </c>
      <c r="H1016" s="23">
        <f t="shared" si="182"/>
        <v>0</v>
      </c>
      <c r="I1016" s="23">
        <f t="shared" si="182"/>
        <v>1</v>
      </c>
      <c r="J1016" s="23">
        <f t="shared" si="182"/>
        <v>0</v>
      </c>
      <c r="K1016" s="23">
        <f t="shared" si="182"/>
        <v>0</v>
      </c>
      <c r="L1016" s="38">
        <f t="shared" si="182"/>
        <v>0</v>
      </c>
      <c r="N1016" s="150">
        <f t="shared" si="181"/>
        <v>0</v>
      </c>
      <c r="O1016" s="2">
        <v>4</v>
      </c>
      <c r="P1016" s="28">
        <v>1.39</v>
      </c>
      <c r="Y1016" s="626"/>
    </row>
    <row r="1017" spans="1:25" s="426" customFormat="1" x14ac:dyDescent="0.25">
      <c r="A1017" s="6"/>
      <c r="B1017"/>
      <c r="C1017"/>
      <c r="D1017" s="26">
        <v>0</v>
      </c>
      <c r="E1017" s="2">
        <v>200</v>
      </c>
      <c r="F1017" s="2">
        <v>400</v>
      </c>
      <c r="G1017" s="2">
        <v>600</v>
      </c>
      <c r="H1017" s="2">
        <v>800</v>
      </c>
      <c r="I1017" s="2">
        <v>1000</v>
      </c>
      <c r="J1017" s="2">
        <v>1200</v>
      </c>
      <c r="K1017" s="2">
        <v>1400</v>
      </c>
      <c r="L1017" s="25">
        <v>1600</v>
      </c>
      <c r="N1017" s="150">
        <f t="shared" si="181"/>
        <v>0</v>
      </c>
      <c r="O1017" s="2">
        <v>5</v>
      </c>
      <c r="P1017" s="28">
        <v>1.52</v>
      </c>
      <c r="Y1017" s="626"/>
    </row>
    <row r="1018" spans="1:25" s="426" customFormat="1" x14ac:dyDescent="0.25">
      <c r="A1018" s="6"/>
      <c r="B1018" s="320"/>
      <c r="C1018" s="320"/>
      <c r="D1018" s="432">
        <v>200</v>
      </c>
      <c r="E1018" s="343">
        <v>400</v>
      </c>
      <c r="F1018" s="343">
        <v>600</v>
      </c>
      <c r="G1018" s="343">
        <v>800</v>
      </c>
      <c r="H1018" s="343">
        <v>1000</v>
      </c>
      <c r="I1018" s="343">
        <v>1200</v>
      </c>
      <c r="J1018" s="343">
        <v>1400</v>
      </c>
      <c r="K1018" s="343">
        <v>1600</v>
      </c>
      <c r="L1018" s="436">
        <v>1800</v>
      </c>
      <c r="N1018" s="150">
        <f t="shared" si="181"/>
        <v>0</v>
      </c>
      <c r="O1018" s="2">
        <v>6</v>
      </c>
      <c r="P1018" s="28">
        <v>1.65</v>
      </c>
      <c r="Y1018" s="626"/>
    </row>
    <row r="1019" spans="1:25" s="426" customFormat="1" x14ac:dyDescent="0.25">
      <c r="A1019" s="442">
        <f>IF(AND($C$1014&gt;B1019,$C$1014&lt;=C1019),1,0)</f>
        <v>0</v>
      </c>
      <c r="B1019" s="449">
        <v>0</v>
      </c>
      <c r="C1019" s="435">
        <v>200</v>
      </c>
      <c r="D1019" s="759">
        <v>1100</v>
      </c>
      <c r="E1019" s="739">
        <v>1068.5</v>
      </c>
      <c r="F1019" s="739">
        <v>1037</v>
      </c>
      <c r="G1019" s="739">
        <v>1005.5</v>
      </c>
      <c r="H1019" s="739">
        <v>974</v>
      </c>
      <c r="I1019" s="739">
        <v>942.5</v>
      </c>
      <c r="J1019" s="739">
        <v>911</v>
      </c>
      <c r="K1019" s="739">
        <v>879.5</v>
      </c>
      <c r="L1019" s="740">
        <v>875</v>
      </c>
      <c r="N1019" s="150">
        <f t="shared" si="181"/>
        <v>0</v>
      </c>
      <c r="O1019" s="2">
        <v>7</v>
      </c>
      <c r="P1019" s="28">
        <v>1.78</v>
      </c>
      <c r="Y1019" s="626"/>
    </row>
    <row r="1020" spans="1:25" s="426" customFormat="1" x14ac:dyDescent="0.25">
      <c r="A1020" s="12">
        <f t="shared" ref="A1020:A1027" si="183">IF(AND($C$1014&gt;B1020,$C$1014&lt;=C1020),1,0)</f>
        <v>1</v>
      </c>
      <c r="B1020" s="2">
        <v>200</v>
      </c>
      <c r="C1020" s="25">
        <v>400</v>
      </c>
      <c r="D1020" s="742">
        <v>1068.5</v>
      </c>
      <c r="E1020" s="759">
        <v>1048.25</v>
      </c>
      <c r="F1020" s="743">
        <v>1016.75</v>
      </c>
      <c r="G1020" s="743">
        <v>985.25</v>
      </c>
      <c r="H1020" s="743">
        <v>953.75</v>
      </c>
      <c r="I1020" s="743">
        <v>922.25</v>
      </c>
      <c r="J1020" s="743">
        <v>890.75</v>
      </c>
      <c r="K1020" s="743">
        <v>859.25</v>
      </c>
      <c r="L1020" s="744">
        <v>857</v>
      </c>
      <c r="N1020" s="150">
        <f t="shared" si="181"/>
        <v>0</v>
      </c>
      <c r="O1020" s="2">
        <v>8</v>
      </c>
      <c r="P1020" s="28">
        <v>1.91</v>
      </c>
      <c r="Y1020" s="626"/>
    </row>
    <row r="1021" spans="1:25" s="426" customFormat="1" x14ac:dyDescent="0.25">
      <c r="A1021" s="12">
        <f t="shared" si="183"/>
        <v>0</v>
      </c>
      <c r="B1021" s="2">
        <v>400</v>
      </c>
      <c r="C1021" s="25">
        <v>600</v>
      </c>
      <c r="D1021" s="742">
        <v>1037</v>
      </c>
      <c r="E1021" s="743">
        <v>1016.75</v>
      </c>
      <c r="F1021" s="759">
        <v>996.5</v>
      </c>
      <c r="G1021" s="743">
        <v>965</v>
      </c>
      <c r="H1021" s="743">
        <v>933.5</v>
      </c>
      <c r="I1021" s="743">
        <v>902</v>
      </c>
      <c r="J1021" s="743">
        <v>870.5</v>
      </c>
      <c r="K1021" s="743">
        <v>839</v>
      </c>
      <c r="L1021" s="744">
        <v>830</v>
      </c>
      <c r="N1021" s="145">
        <f t="shared" si="181"/>
        <v>0</v>
      </c>
      <c r="O1021" s="343">
        <v>9</v>
      </c>
      <c r="P1021" s="34">
        <v>1.99</v>
      </c>
      <c r="Y1021" s="626"/>
    </row>
    <row r="1022" spans="1:25" s="426" customFormat="1" x14ac:dyDescent="0.25">
      <c r="A1022" s="12">
        <f t="shared" si="183"/>
        <v>0</v>
      </c>
      <c r="B1022" s="2">
        <v>600</v>
      </c>
      <c r="C1022" s="25">
        <v>800</v>
      </c>
      <c r="D1022" s="742">
        <v>1005.5</v>
      </c>
      <c r="E1022" s="743">
        <v>985.25</v>
      </c>
      <c r="F1022" s="743">
        <v>965</v>
      </c>
      <c r="G1022" s="759">
        <v>926.75</v>
      </c>
      <c r="H1022" s="743">
        <v>895.25</v>
      </c>
      <c r="I1022" s="743">
        <v>863.75</v>
      </c>
      <c r="J1022" s="743">
        <v>832.25</v>
      </c>
      <c r="K1022" s="743">
        <v>800.75</v>
      </c>
      <c r="L1022" s="744">
        <v>803</v>
      </c>
      <c r="P1022" s="634">
        <f>VLOOKUP(1,N1013:P1021,3,FALSE)</f>
        <v>1</v>
      </c>
      <c r="Y1022" s="626"/>
    </row>
    <row r="1023" spans="1:25" s="426" customFormat="1" x14ac:dyDescent="0.25">
      <c r="A1023" s="12">
        <f t="shared" si="183"/>
        <v>0</v>
      </c>
      <c r="B1023" s="2">
        <v>800</v>
      </c>
      <c r="C1023" s="25">
        <v>1000</v>
      </c>
      <c r="D1023" s="742">
        <v>974</v>
      </c>
      <c r="E1023" s="743">
        <v>953.75</v>
      </c>
      <c r="F1023" s="743">
        <v>933.5</v>
      </c>
      <c r="G1023" s="743">
        <v>895.25</v>
      </c>
      <c r="H1023" s="759">
        <v>893</v>
      </c>
      <c r="I1023" s="743">
        <v>857</v>
      </c>
      <c r="J1023" s="743">
        <v>821</v>
      </c>
      <c r="K1023" s="743">
        <v>785</v>
      </c>
      <c r="L1023" s="744">
        <v>776</v>
      </c>
      <c r="Y1023" s="626"/>
    </row>
    <row r="1024" spans="1:25" s="426" customFormat="1" x14ac:dyDescent="0.25">
      <c r="A1024" s="12">
        <f t="shared" si="183"/>
        <v>0</v>
      </c>
      <c r="B1024" s="2">
        <v>1000</v>
      </c>
      <c r="C1024" s="25">
        <v>1200</v>
      </c>
      <c r="D1024" s="742">
        <v>942.5</v>
      </c>
      <c r="E1024" s="743">
        <v>922.25</v>
      </c>
      <c r="F1024" s="743">
        <v>902</v>
      </c>
      <c r="G1024" s="743">
        <v>863.75</v>
      </c>
      <c r="H1024" s="743">
        <v>857</v>
      </c>
      <c r="I1024" s="759">
        <v>841.25</v>
      </c>
      <c r="J1024" s="743">
        <v>800.75</v>
      </c>
      <c r="K1024" s="743">
        <v>760.25</v>
      </c>
      <c r="L1024" s="744">
        <v>749</v>
      </c>
      <c r="Y1024" s="626"/>
    </row>
    <row r="1025" spans="1:25" s="426" customFormat="1" x14ac:dyDescent="0.25">
      <c r="A1025" s="12">
        <f t="shared" si="183"/>
        <v>0</v>
      </c>
      <c r="B1025" s="2">
        <v>1200</v>
      </c>
      <c r="C1025" s="25">
        <v>1400</v>
      </c>
      <c r="D1025" s="742">
        <v>911</v>
      </c>
      <c r="E1025" s="743">
        <v>890.75</v>
      </c>
      <c r="F1025" s="743">
        <v>870.5</v>
      </c>
      <c r="G1025" s="743">
        <v>832.25</v>
      </c>
      <c r="H1025" s="743">
        <v>821</v>
      </c>
      <c r="I1025" s="743">
        <v>800.75</v>
      </c>
      <c r="J1025" s="759">
        <v>789.5</v>
      </c>
      <c r="K1025" s="743">
        <v>753.5</v>
      </c>
      <c r="L1025" s="744">
        <v>722</v>
      </c>
      <c r="Y1025" s="626"/>
    </row>
    <row r="1026" spans="1:25" s="426" customFormat="1" x14ac:dyDescent="0.25">
      <c r="A1026" s="12">
        <f t="shared" si="183"/>
        <v>0</v>
      </c>
      <c r="B1026" s="2">
        <v>1400</v>
      </c>
      <c r="C1026" s="25">
        <v>1600</v>
      </c>
      <c r="D1026" s="742">
        <v>879.5</v>
      </c>
      <c r="E1026" s="743">
        <v>859.25</v>
      </c>
      <c r="F1026" s="743">
        <v>839</v>
      </c>
      <c r="G1026" s="743">
        <v>800.75</v>
      </c>
      <c r="H1026" s="743">
        <v>785</v>
      </c>
      <c r="I1026" s="743">
        <v>760.25</v>
      </c>
      <c r="J1026" s="743">
        <v>753.5</v>
      </c>
      <c r="K1026" s="759">
        <v>737.75</v>
      </c>
      <c r="L1026" s="744">
        <v>695</v>
      </c>
      <c r="Y1026" s="626"/>
    </row>
    <row r="1027" spans="1:25" s="426" customFormat="1" x14ac:dyDescent="0.25">
      <c r="A1027" s="13">
        <f t="shared" si="183"/>
        <v>0</v>
      </c>
      <c r="B1027" s="343">
        <v>1600</v>
      </c>
      <c r="C1027" s="436">
        <v>1800</v>
      </c>
      <c r="D1027" s="742">
        <v>875</v>
      </c>
      <c r="E1027" s="743">
        <v>857</v>
      </c>
      <c r="F1027" s="743">
        <v>830</v>
      </c>
      <c r="G1027" s="743">
        <v>803</v>
      </c>
      <c r="H1027" s="743">
        <v>776</v>
      </c>
      <c r="I1027" s="743">
        <v>749</v>
      </c>
      <c r="J1027" s="743">
        <v>722</v>
      </c>
      <c r="K1027" s="743">
        <v>695</v>
      </c>
      <c r="L1027" s="760">
        <v>686</v>
      </c>
      <c r="Y1027" s="626"/>
    </row>
    <row r="1028" spans="1:25" s="426" customFormat="1" x14ac:dyDescent="0.25">
      <c r="A1028"/>
      <c r="B1028"/>
      <c r="C1028"/>
      <c r="D1028" s="751">
        <f>IF(SUM($A$1019:$A$1027)&gt;0,VLOOKUP(1,$A$1019:$L$1027,D1015,FALSE),0)</f>
        <v>1068.5</v>
      </c>
      <c r="E1028" s="752">
        <f t="shared" ref="E1028:L1028" si="184">IF(SUM($A$1019:$A$1027)&gt;0,VLOOKUP(1,$A$1019:$L$1027,E1015,FALSE),0)</f>
        <v>1048.25</v>
      </c>
      <c r="F1028" s="752">
        <f t="shared" si="184"/>
        <v>1016.75</v>
      </c>
      <c r="G1028" s="752">
        <f t="shared" si="184"/>
        <v>985.25</v>
      </c>
      <c r="H1028" s="752">
        <f t="shared" si="184"/>
        <v>953.75</v>
      </c>
      <c r="I1028" s="752">
        <f t="shared" si="184"/>
        <v>922.25</v>
      </c>
      <c r="J1028" s="752">
        <f t="shared" si="184"/>
        <v>890.75</v>
      </c>
      <c r="K1028" s="752">
        <f t="shared" si="184"/>
        <v>859.25</v>
      </c>
      <c r="L1028" s="753">
        <f t="shared" si="184"/>
        <v>857</v>
      </c>
      <c r="Y1028" s="626"/>
    </row>
    <row r="1029" spans="1:25" s="426" customFormat="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Y1029" s="626"/>
    </row>
    <row r="1030" spans="1:25" s="426" customFormat="1" ht="12.75" x14ac:dyDescent="0.2">
      <c r="B1030" s="615"/>
      <c r="Y1030" s="626"/>
    </row>
    <row r="1031" spans="1:25" s="426" customFormat="1" x14ac:dyDescent="0.2">
      <c r="A1031" s="754" t="s">
        <v>789</v>
      </c>
      <c r="B1031" s="755">
        <f>IF(SUM(D1016:L1016)&gt;0,HLOOKUP(1,D1016:L1028,13,FALSE),0)</f>
        <v>922.25</v>
      </c>
      <c r="C1031" s="754" t="s">
        <v>806</v>
      </c>
      <c r="Y1031" s="626"/>
    </row>
    <row r="1032" spans="1:25" s="426" customFormat="1" x14ac:dyDescent="0.2">
      <c r="A1032" s="754" t="s">
        <v>803</v>
      </c>
      <c r="B1032" s="761">
        <f>H145</f>
        <v>0.8</v>
      </c>
      <c r="C1032" s="763"/>
      <c r="Y1032" s="626"/>
    </row>
    <row r="1033" spans="1:25" s="426" customFormat="1" x14ac:dyDescent="0.2">
      <c r="A1033" s="426" t="s">
        <v>804</v>
      </c>
      <c r="B1033" s="634">
        <f>B1031*B1032</f>
        <v>737.80000000000007</v>
      </c>
      <c r="C1033" s="754" t="s">
        <v>806</v>
      </c>
      <c r="E1033" s="754"/>
      <c r="F1033" s="741"/>
      <c r="Y1033" s="626"/>
    </row>
    <row r="1034" spans="1:25" s="426" customFormat="1" x14ac:dyDescent="0.2">
      <c r="A1034" s="754" t="s">
        <v>802</v>
      </c>
      <c r="B1034" s="757">
        <f>P1022</f>
        <v>1</v>
      </c>
      <c r="C1034" s="754"/>
      <c r="Y1034" s="626"/>
    </row>
    <row r="1035" spans="1:25" s="426" customFormat="1" ht="12.75" x14ac:dyDescent="0.2">
      <c r="A1035" s="426" t="s">
        <v>805</v>
      </c>
      <c r="B1035" s="679">
        <f>B1033/B1034</f>
        <v>737.80000000000007</v>
      </c>
      <c r="C1035" s="764" t="s">
        <v>806</v>
      </c>
      <c r="Y1035" s="626"/>
    </row>
    <row r="1036" spans="1:25" s="426" customFormat="1" ht="12.75" x14ac:dyDescent="0.2">
      <c r="A1036" s="426" t="s">
        <v>794</v>
      </c>
      <c r="B1036" s="638">
        <v>0.95</v>
      </c>
      <c r="Y1036" s="626"/>
    </row>
    <row r="1037" spans="1:25" s="426" customFormat="1" ht="12.75" x14ac:dyDescent="0.2">
      <c r="A1037" s="426" t="s">
        <v>795</v>
      </c>
      <c r="B1037" s="679">
        <f>B1036*B1035</f>
        <v>700.91000000000008</v>
      </c>
      <c r="C1037" s="765" t="s">
        <v>806</v>
      </c>
      <c r="Y1037" s="626"/>
    </row>
    <row r="1038" spans="1:25" s="426" customFormat="1" ht="12.75" x14ac:dyDescent="0.2">
      <c r="C1038" s="134"/>
      <c r="Y1038" s="626"/>
    </row>
    <row r="1039" spans="1:25" s="426" customFormat="1" ht="12.75" x14ac:dyDescent="0.2">
      <c r="Y1039" s="626"/>
    </row>
    <row r="1040" spans="1:25" s="426" customFormat="1" ht="12.75" x14ac:dyDescent="0.2">
      <c r="A1040" s="426" t="s">
        <v>797</v>
      </c>
      <c r="B1040" s="679">
        <f>C811/(B1037/60)</f>
        <v>154.08540326147434</v>
      </c>
      <c r="C1040" s="134" t="s">
        <v>798</v>
      </c>
      <c r="Y1040" s="626"/>
    </row>
    <row r="1041" spans="1:25" s="426" customFormat="1" ht="12.75" x14ac:dyDescent="0.2">
      <c r="B1041" s="615"/>
      <c r="Y1041" s="626"/>
    </row>
    <row r="1042" spans="1:25" s="426" customFormat="1" ht="12.75" x14ac:dyDescent="0.2">
      <c r="B1042" s="615"/>
      <c r="Y1042" s="626"/>
    </row>
    <row r="1043" spans="1:25" s="426" customFormat="1" ht="12.75" x14ac:dyDescent="0.2">
      <c r="A1043" s="626">
        <f>IF(C1007=1,1,0)</f>
        <v>0</v>
      </c>
      <c r="B1043" s="615" t="s">
        <v>712</v>
      </c>
      <c r="C1043" s="669">
        <f>IF(A1043=1,B1040*D1010,0)</f>
        <v>0</v>
      </c>
      <c r="Y1043" s="626"/>
    </row>
    <row r="1044" spans="1:25" s="426" customFormat="1" ht="12.75" x14ac:dyDescent="0.2">
      <c r="A1044" s="626"/>
      <c r="B1044" s="615"/>
      <c r="C1044" s="669"/>
      <c r="Y1044" s="626"/>
    </row>
    <row r="1045" spans="1:25" s="430" customFormat="1" ht="12.75" x14ac:dyDescent="0.2">
      <c r="A1045" s="651"/>
      <c r="B1045" s="678"/>
      <c r="C1045" s="766"/>
      <c r="Y1045" s="651"/>
    </row>
    <row r="1046" spans="1:25" s="426" customFormat="1" ht="12.75" x14ac:dyDescent="0.2">
      <c r="B1046" s="615"/>
      <c r="Y1046" s="626"/>
    </row>
    <row r="1047" spans="1:25" s="426" customFormat="1" ht="13.5" thickBot="1" x14ac:dyDescent="0.25">
      <c r="B1047" s="615"/>
      <c r="D1047" s="626" t="s">
        <v>674</v>
      </c>
      <c r="Y1047" s="626"/>
    </row>
    <row r="1048" spans="1:25" s="426" customFormat="1" ht="13.5" thickBot="1" x14ac:dyDescent="0.25">
      <c r="B1048" s="641" t="s">
        <v>673</v>
      </c>
      <c r="C1048" s="800"/>
      <c r="D1048" s="642">
        <f>C1052+C1058+C1064</f>
        <v>4</v>
      </c>
      <c r="Y1048" s="626"/>
    </row>
    <row r="1049" spans="1:25" s="426" customFormat="1" ht="12.75" x14ac:dyDescent="0.2">
      <c r="B1049" s="615"/>
      <c r="Y1049" s="626"/>
    </row>
    <row r="1050" spans="1:25" s="426" customFormat="1" ht="12.75" x14ac:dyDescent="0.2">
      <c r="B1050" s="615"/>
      <c r="Y1050" s="626"/>
    </row>
    <row r="1051" spans="1:25" s="426" customFormat="1" ht="13.5" thickBot="1" x14ac:dyDescent="0.25">
      <c r="B1051" s="615" t="s">
        <v>685</v>
      </c>
      <c r="C1051" s="634">
        <f>IF(C111&gt;0,C111,0)</f>
        <v>0</v>
      </c>
      <c r="Y1051" s="626"/>
    </row>
    <row r="1052" spans="1:25" s="426" customFormat="1" ht="13.5" thickBot="1" x14ac:dyDescent="0.25">
      <c r="B1052" s="791" t="s">
        <v>834</v>
      </c>
      <c r="C1052" s="792">
        <f>IF(C1051&gt;0,E119,0)</f>
        <v>0</v>
      </c>
      <c r="Y1052" s="626"/>
    </row>
    <row r="1053" spans="1:25" s="426" customFormat="1" ht="12.75" x14ac:dyDescent="0.2">
      <c r="B1053" s="615"/>
      <c r="C1053" s="793"/>
      <c r="Y1053" s="626"/>
    </row>
    <row r="1054" spans="1:25" s="426" customFormat="1" ht="12.75" x14ac:dyDescent="0.2">
      <c r="B1054" s="615"/>
      <c r="C1054" s="793"/>
      <c r="Y1054" s="626"/>
    </row>
    <row r="1055" spans="1:25" s="426" customFormat="1" ht="12.75" x14ac:dyDescent="0.2">
      <c r="B1055" s="615"/>
      <c r="Y1055" s="626"/>
    </row>
    <row r="1056" spans="1:25" s="426" customFormat="1" ht="12.75" x14ac:dyDescent="0.2">
      <c r="B1056" s="615" t="s">
        <v>835</v>
      </c>
      <c r="C1056" s="637">
        <v>1</v>
      </c>
      <c r="Y1056" s="626"/>
    </row>
    <row r="1057" spans="1:25" s="426" customFormat="1" ht="13.5" thickBot="1" x14ac:dyDescent="0.25">
      <c r="B1057" s="615"/>
      <c r="Y1057" s="626"/>
    </row>
    <row r="1058" spans="1:25" s="426" customFormat="1" ht="13.5" thickBot="1" x14ac:dyDescent="0.25">
      <c r="B1058" s="791" t="s">
        <v>836</v>
      </c>
      <c r="C1058" s="801">
        <f>'Pallet en transport (2)'!D155</f>
        <v>4</v>
      </c>
      <c r="Y1058" s="626"/>
    </row>
    <row r="1059" spans="1:25" s="426" customFormat="1" ht="12.75" x14ac:dyDescent="0.2">
      <c r="B1059" s="615"/>
      <c r="Y1059" s="626"/>
    </row>
    <row r="1060" spans="1:25" s="426" customFormat="1" ht="12.75" x14ac:dyDescent="0.2">
      <c r="B1060" s="615"/>
      <c r="Y1060" s="626"/>
    </row>
    <row r="1061" spans="1:25" s="426" customFormat="1" ht="12.75" x14ac:dyDescent="0.2">
      <c r="B1061" s="615" t="s">
        <v>669</v>
      </c>
      <c r="C1061" s="634">
        <f>C931</f>
        <v>0</v>
      </c>
      <c r="Y1061" s="626"/>
    </row>
    <row r="1062" spans="1:25" s="426" customFormat="1" ht="12.75" x14ac:dyDescent="0.2">
      <c r="B1062" s="426" t="s">
        <v>818</v>
      </c>
      <c r="C1062" s="626">
        <f>C8/1000</f>
        <v>0.1</v>
      </c>
      <c r="D1062" s="426" t="s">
        <v>819</v>
      </c>
      <c r="Y1062" s="626"/>
    </row>
    <row r="1063" spans="1:25" s="426" customFormat="1" ht="13.5" thickBot="1" x14ac:dyDescent="0.25">
      <c r="B1063" s="615" t="s">
        <v>832</v>
      </c>
      <c r="C1063" s="921">
        <f>'Tarieven (2)'!C16</f>
        <v>9.1200000000000003E-2</v>
      </c>
      <c r="Y1063" s="626"/>
    </row>
    <row r="1064" spans="1:25" s="426" customFormat="1" ht="13.5" thickBot="1" x14ac:dyDescent="0.25">
      <c r="B1064" s="791" t="s">
        <v>833</v>
      </c>
      <c r="C1064" s="792">
        <f>IF(C1061=1,C3*C1062*C1063,0)</f>
        <v>0</v>
      </c>
      <c r="Y1064" s="626"/>
    </row>
    <row r="1065" spans="1:25" s="426" customFormat="1" ht="12.75" x14ac:dyDescent="0.2">
      <c r="B1065" s="615"/>
      <c r="Y1065" s="626"/>
    </row>
    <row r="1066" spans="1:25" s="426" customFormat="1" ht="12.75" x14ac:dyDescent="0.2">
      <c r="B1066" s="615"/>
      <c r="Y1066" s="626"/>
    </row>
    <row r="1067" spans="1:25" s="430" customFormat="1" ht="12.75" x14ac:dyDescent="0.2">
      <c r="B1067" s="678"/>
      <c r="Y1067" s="651"/>
    </row>
    <row r="1068" spans="1:25" s="426" customFormat="1" ht="12.75" x14ac:dyDescent="0.2">
      <c r="B1068" s="615"/>
      <c r="Y1068" s="626"/>
    </row>
    <row r="1069" spans="1:25" s="426" customFormat="1" ht="15.75" thickBot="1" x14ac:dyDescent="0.3">
      <c r="A1069"/>
      <c r="B1069" t="s">
        <v>179</v>
      </c>
      <c r="C1069"/>
      <c r="D1069"/>
      <c r="E1069"/>
      <c r="F1069"/>
      <c r="G1069"/>
      <c r="H1069"/>
      <c r="I1069"/>
      <c r="J1069"/>
      <c r="Y1069" s="626"/>
    </row>
    <row r="1070" spans="1:25" s="426" customFormat="1" x14ac:dyDescent="0.25">
      <c r="A1070" s="217"/>
      <c r="B1070" s="1285" t="s">
        <v>152</v>
      </c>
      <c r="C1070" s="1286"/>
      <c r="D1070" s="1289"/>
      <c r="E1070" s="284" t="s">
        <v>157</v>
      </c>
      <c r="F1070" s="23" t="s">
        <v>531</v>
      </c>
      <c r="G1070" s="254" t="s">
        <v>532</v>
      </c>
      <c r="H1070" s="254" t="s">
        <v>601</v>
      </c>
      <c r="I1070" s="448" t="s">
        <v>730</v>
      </c>
      <c r="J1070" s="222" t="s">
        <v>178</v>
      </c>
      <c r="Y1070" s="626"/>
    </row>
    <row r="1071" spans="1:25" s="426" customFormat="1" x14ac:dyDescent="0.25">
      <c r="A1071" s="41"/>
      <c r="B1071" s="3" t="s">
        <v>150</v>
      </c>
      <c r="C1071" s="11" t="s">
        <v>151</v>
      </c>
      <c r="D1071" s="245" t="s">
        <v>153</v>
      </c>
      <c r="E1071" s="254">
        <f>VLOOKUP(1,50:70,39,FALSE)</f>
        <v>1</v>
      </c>
      <c r="F1071" s="23">
        <f>VLOOKUP(1,50:70,41,FALSE)</f>
        <v>0</v>
      </c>
      <c r="G1071" s="254">
        <f>VLOOKUP(1,50:70,42,FALSE)</f>
        <v>0</v>
      </c>
      <c r="H1071" s="254">
        <f>IF(SUM(C362:I362)=0,0,1)</f>
        <v>1</v>
      </c>
      <c r="I1071" s="522">
        <f>IF(AND(C1081&gt;0,C1083&gt;0,C1082&gt;0),1,0)</f>
        <v>1</v>
      </c>
      <c r="J1071" s="223">
        <v>6</v>
      </c>
      <c r="Y1071" s="626"/>
    </row>
    <row r="1072" spans="1:25" s="426" customFormat="1" x14ac:dyDescent="0.25">
      <c r="A1072" s="41" t="s">
        <v>9</v>
      </c>
      <c r="B1072" s="26">
        <f>VLOOKUP(1,50:70,33,FALSE)</f>
        <v>100</v>
      </c>
      <c r="C1072" s="12">
        <f>VLOOKUP(1,50:70,34,FALSE)</f>
        <v>2000</v>
      </c>
      <c r="D1072" s="246">
        <f>IF(AND(C6&gt;=B1072,C6&lt;=C1072),1,0)</f>
        <v>1</v>
      </c>
      <c r="E1072" s="285"/>
      <c r="F1072"/>
      <c r="G1072" s="285"/>
      <c r="H1072" s="285"/>
      <c r="I1072" s="475"/>
      <c r="J1072" s="224"/>
      <c r="Y1072" s="626"/>
    </row>
    <row r="1073" spans="1:25" s="426" customFormat="1" x14ac:dyDescent="0.25">
      <c r="A1073" s="41" t="s">
        <v>18</v>
      </c>
      <c r="B1073" s="26">
        <f>VLOOKUP(1,50:70,35,FALSE)</f>
        <v>70</v>
      </c>
      <c r="C1073" s="12">
        <f>VLOOKUP(1,50:70,36,FALSE)</f>
        <v>1000</v>
      </c>
      <c r="D1073" s="246">
        <f>IF(AND(C7&gt;=B1073,C7&lt;=C1073),1,0)</f>
        <v>1</v>
      </c>
      <c r="E1073" s="285"/>
      <c r="F1073"/>
      <c r="G1073" s="285"/>
      <c r="H1073" s="285"/>
      <c r="I1073" s="475"/>
      <c r="J1073" s="224"/>
      <c r="Y1073" s="626"/>
    </row>
    <row r="1074" spans="1:25" s="426" customFormat="1" ht="15.75" thickBot="1" x14ac:dyDescent="0.3">
      <c r="A1074" s="41" t="s">
        <v>11</v>
      </c>
      <c r="B1074" s="18">
        <f>VLOOKUP(1,50:70,37,FALSE)</f>
        <v>37</v>
      </c>
      <c r="C1074" s="13">
        <f>VLOOKUP(1,50:70,38,FALSE)</f>
        <v>1200</v>
      </c>
      <c r="D1074" s="247">
        <f>IF(AND(C8&gt;=B1074,C8&lt;=C1074),1,IF(C2=B50,1,0))</f>
        <v>1</v>
      </c>
      <c r="E1074" s="257"/>
      <c r="F1074"/>
      <c r="G1074" s="285"/>
      <c r="H1074" s="285"/>
      <c r="I1074" s="482"/>
      <c r="J1074" s="224"/>
      <c r="Y1074" s="626"/>
    </row>
    <row r="1075" spans="1:25" s="426" customFormat="1" ht="15.75" thickBot="1" x14ac:dyDescent="0.3">
      <c r="A1075" s="217"/>
      <c r="B1075" s="208" t="s">
        <v>177</v>
      </c>
      <c r="C1075" s="23"/>
      <c r="D1075" s="241">
        <f>IF(SUM(D1072:D1074)=3,1,0)</f>
        <v>1</v>
      </c>
      <c r="E1075" s="254">
        <f>IF(E1071=0,1,IF(AND(E1071=1,C6&gt;=C7),1,IF(AND(E1071=1,C6&lt;C7),0)))</f>
        <v>1</v>
      </c>
      <c r="F1075" s="23">
        <f>IF(F1071=0,1,IF(AND(F1071=1,C8&gt;C6),0,1))</f>
        <v>1</v>
      </c>
      <c r="G1075" s="254">
        <f>IF(G1071=0,1,IF(AND(G1071=1,C6&lt;(2*C7)),0,1))</f>
        <v>1</v>
      </c>
      <c r="H1075" s="254">
        <f>H1071</f>
        <v>1</v>
      </c>
      <c r="I1075" s="522">
        <f>I1071</f>
        <v>1</v>
      </c>
      <c r="J1075" s="281">
        <f>IF(SUM(D1075:I1075)=J1071,1,0)</f>
        <v>1</v>
      </c>
      <c r="Y1075" s="626"/>
    </row>
    <row r="1076" spans="1:25" s="426" customFormat="1" ht="12.75" x14ac:dyDescent="0.2">
      <c r="B1076" s="615"/>
      <c r="Y1076" s="626"/>
    </row>
    <row r="1077" spans="1:25" s="430" customFormat="1" ht="12.75" x14ac:dyDescent="0.2">
      <c r="B1077" s="678"/>
      <c r="Y1077" s="651"/>
    </row>
    <row r="1078" spans="1:25" s="426" customFormat="1" ht="12.75" x14ac:dyDescent="0.2">
      <c r="B1078" s="615"/>
      <c r="Y1078" s="626"/>
    </row>
    <row r="1079" spans="1:25" s="426" customFormat="1" ht="12.75" x14ac:dyDescent="0.2">
      <c r="B1079" s="615"/>
      <c r="Y1079" s="626"/>
    </row>
    <row r="1080" spans="1:25" s="426" customFormat="1" ht="12.75" x14ac:dyDescent="0.2">
      <c r="B1080" s="627" t="s">
        <v>646</v>
      </c>
      <c r="G1080" s="426" t="s">
        <v>1268</v>
      </c>
      <c r="H1080" s="1183"/>
      <c r="Y1080" s="626"/>
    </row>
    <row r="1081" spans="1:25" s="426" customFormat="1" ht="12.75" x14ac:dyDescent="0.2">
      <c r="B1081" s="615" t="s">
        <v>639</v>
      </c>
      <c r="C1081" s="1174">
        <f>K445</f>
        <v>340.20214019999997</v>
      </c>
      <c r="E1081" s="629">
        <f>C1081/$C$3</f>
        <v>0.18900118899999999</v>
      </c>
      <c r="F1081" s="426" t="s">
        <v>573</v>
      </c>
      <c r="G1081" s="669">
        <f>D1007</f>
        <v>0</v>
      </c>
      <c r="Y1081" s="626"/>
    </row>
    <row r="1082" spans="1:25" s="426" customFormat="1" ht="12.75" x14ac:dyDescent="0.2">
      <c r="B1082" s="615" t="s">
        <v>644</v>
      </c>
      <c r="C1082" s="1175">
        <f>D1048</f>
        <v>4</v>
      </c>
      <c r="E1082" s="629">
        <f t="shared" ref="E1082:E1085" si="185">C1082/$C$3</f>
        <v>2.2222222222222222E-3</v>
      </c>
      <c r="F1082" s="426" t="s">
        <v>570</v>
      </c>
      <c r="G1082" s="669">
        <f>D988</f>
        <v>0</v>
      </c>
      <c r="Y1082" s="626"/>
    </row>
    <row r="1083" spans="1:25" s="426" customFormat="1" ht="12.75" x14ac:dyDescent="0.2">
      <c r="B1083" s="615" t="s">
        <v>645</v>
      </c>
      <c r="C1083" s="1181">
        <f>D1007+D988+D972+D931+D896+D855+D795+D715+D629+D568+D500</f>
        <v>155.83333333333331</v>
      </c>
      <c r="D1083" s="669"/>
      <c r="E1083" s="629">
        <f t="shared" si="185"/>
        <v>8.6574074074074067E-2</v>
      </c>
      <c r="F1083" s="426" t="s">
        <v>1269</v>
      </c>
      <c r="G1083" s="669">
        <f>D972</f>
        <v>0</v>
      </c>
      <c r="Y1083" s="626"/>
    </row>
    <row r="1084" spans="1:25" s="426" customFormat="1" ht="13.5" thickBot="1" x14ac:dyDescent="0.25">
      <c r="B1084" s="615" t="s">
        <v>641</v>
      </c>
      <c r="C1084" s="630">
        <f>'Tarieven (2)'!C13</f>
        <v>20</v>
      </c>
      <c r="E1084" s="632">
        <f t="shared" si="185"/>
        <v>1.1111111111111112E-2</v>
      </c>
      <c r="F1084" s="426" t="s">
        <v>190</v>
      </c>
      <c r="G1084" s="669">
        <f>D931</f>
        <v>0</v>
      </c>
      <c r="Y1084" s="626"/>
    </row>
    <row r="1085" spans="1:25" s="426" customFormat="1" ht="13.5" thickBot="1" x14ac:dyDescent="0.25">
      <c r="B1085" s="615" t="s">
        <v>649</v>
      </c>
      <c r="C1085" s="631">
        <f>SUM(C1081:C1084)</f>
        <v>520.03547353333329</v>
      </c>
      <c r="E1085" s="631">
        <f t="shared" si="185"/>
        <v>0.2889085964074074</v>
      </c>
      <c r="F1085" s="426" t="s">
        <v>1270</v>
      </c>
      <c r="G1085" s="669">
        <f>D896</f>
        <v>0</v>
      </c>
      <c r="Y1085" s="626"/>
    </row>
    <row r="1086" spans="1:25" s="426" customFormat="1" ht="12.75" x14ac:dyDescent="0.2">
      <c r="B1086" s="615"/>
      <c r="F1086" s="426" t="s">
        <v>1271</v>
      </c>
      <c r="G1086" s="669">
        <f>D855</f>
        <v>0</v>
      </c>
      <c r="Y1086" s="626"/>
    </row>
    <row r="1087" spans="1:25" s="426" customFormat="1" ht="12.75" x14ac:dyDescent="0.2">
      <c r="B1087" s="615" t="s">
        <v>648</v>
      </c>
      <c r="C1087" s="629">
        <f>L445</f>
        <v>13.608085608</v>
      </c>
      <c r="E1087" s="629">
        <f>C1087/$C$3</f>
        <v>7.5600475599999998E-3</v>
      </c>
      <c r="F1087" s="426" t="s">
        <v>1272</v>
      </c>
      <c r="G1087" s="669">
        <f>D795</f>
        <v>0</v>
      </c>
      <c r="Y1087" s="626"/>
    </row>
    <row r="1088" spans="1:25" s="426" customFormat="1" ht="13.5" thickBot="1" x14ac:dyDescent="0.25">
      <c r="B1088" s="615" t="s">
        <v>643</v>
      </c>
      <c r="C1088" s="632">
        <f>'Marge tabel (2)'!O73</f>
        <v>34.842376726733335</v>
      </c>
      <c r="E1088" s="632">
        <f t="shared" ref="E1088:E1093" si="186">C1088/$C$3</f>
        <v>1.9356875959296298E-2</v>
      </c>
      <c r="F1088" s="426" t="s">
        <v>1273</v>
      </c>
      <c r="G1088" s="669">
        <f>D629</f>
        <v>155.83333333333331</v>
      </c>
      <c r="Y1088" s="626"/>
    </row>
    <row r="1089" spans="2:25" s="426" customFormat="1" ht="13.5" thickBot="1" x14ac:dyDescent="0.25">
      <c r="B1089" s="615" t="s">
        <v>647</v>
      </c>
      <c r="C1089" s="631">
        <f>SUM(C1087:C1088)</f>
        <v>48.450462334733331</v>
      </c>
      <c r="E1089" s="631">
        <f t="shared" si="186"/>
        <v>2.6916923519296296E-2</v>
      </c>
      <c r="F1089" s="426" t="s">
        <v>1274</v>
      </c>
      <c r="G1089" s="669">
        <f>D568</f>
        <v>0</v>
      </c>
      <c r="Y1089" s="626"/>
    </row>
    <row r="1090" spans="2:25" s="426" customFormat="1" ht="13.5" thickBot="1" x14ac:dyDescent="0.25">
      <c r="B1090" s="615"/>
      <c r="F1090" s="426" t="s">
        <v>1275</v>
      </c>
      <c r="G1090" s="669">
        <f>D500</f>
        <v>0</v>
      </c>
      <c r="Y1090" s="626"/>
    </row>
    <row r="1091" spans="2:25" s="426" customFormat="1" ht="13.5" thickBot="1" x14ac:dyDescent="0.25">
      <c r="B1091" s="615" t="s">
        <v>642</v>
      </c>
      <c r="C1091" s="906">
        <f>'Pallet en transport (2)'!E194</f>
        <v>75.320850000000007</v>
      </c>
      <c r="E1091" s="631">
        <f t="shared" si="186"/>
        <v>4.1844916666666669E-2</v>
      </c>
      <c r="F1091" s="426" t="s">
        <v>1276</v>
      </c>
      <c r="G1091" s="669">
        <f>D715</f>
        <v>0</v>
      </c>
      <c r="Y1091" s="626"/>
    </row>
    <row r="1092" spans="2:25" s="426" customFormat="1" ht="13.5" thickBot="1" x14ac:dyDescent="0.25">
      <c r="B1092" s="615"/>
      <c r="G1092" s="669"/>
      <c r="Y1092" s="626"/>
    </row>
    <row r="1093" spans="2:25" s="426" customFormat="1" ht="13.5" thickBot="1" x14ac:dyDescent="0.25">
      <c r="B1093" s="615" t="s">
        <v>650</v>
      </c>
      <c r="C1093" s="631">
        <f>SUM(C1091+C1089+C1085)</f>
        <v>643.80678586806664</v>
      </c>
      <c r="E1093" s="631">
        <f t="shared" si="186"/>
        <v>0.35767043659337033</v>
      </c>
      <c r="Y1093" s="626"/>
    </row>
    <row r="1094" spans="2:25" s="426" customFormat="1" ht="13.5" thickBot="1" x14ac:dyDescent="0.25">
      <c r="B1094" s="615" t="s">
        <v>651</v>
      </c>
      <c r="C1094" s="820">
        <f>((C1093/C3)*J1075)+C1096</f>
        <v>0.35767043659337033</v>
      </c>
      <c r="E1094" s="957"/>
      <c r="Y1094" s="626"/>
    </row>
    <row r="1095" spans="2:25" s="426" customFormat="1" ht="12.75" x14ac:dyDescent="0.2">
      <c r="B1095" s="615"/>
      <c r="Y1095" s="626"/>
    </row>
    <row r="1096" spans="2:25" s="426" customFormat="1" ht="12.75" x14ac:dyDescent="0.2">
      <c r="B1096" s="615" t="s">
        <v>1527</v>
      </c>
      <c r="C1096" s="669">
        <f>Digitaaldruk!H40</f>
        <v>0</v>
      </c>
      <c r="Y1096" s="626"/>
    </row>
    <row r="1097" spans="2:25" s="426" customFormat="1" ht="12.75" x14ac:dyDescent="0.2">
      <c r="B1097" s="615"/>
      <c r="Y1097" s="626"/>
    </row>
    <row r="1098" spans="2:25" s="426" customFormat="1" ht="12.75" x14ac:dyDescent="0.2">
      <c r="B1098" s="615"/>
      <c r="Y1098" s="626"/>
    </row>
    <row r="1099" spans="2:25" s="426" customFormat="1" ht="12.75" x14ac:dyDescent="0.2">
      <c r="B1099" s="615"/>
      <c r="Y1099" s="626"/>
    </row>
    <row r="1100" spans="2:25" s="426" customFormat="1" ht="12.75" x14ac:dyDescent="0.2">
      <c r="B1100" s="615"/>
      <c r="Y1100" s="626"/>
    </row>
    <row r="1101" spans="2:25" s="426" customFormat="1" ht="12.75" x14ac:dyDescent="0.2">
      <c r="B1101" s="615"/>
      <c r="Y1101" s="626"/>
    </row>
    <row r="1102" spans="2:25" s="426" customFormat="1" ht="12.75" x14ac:dyDescent="0.2">
      <c r="B1102" s="615"/>
      <c r="Y1102" s="626"/>
    </row>
    <row r="1103" spans="2:25" s="426" customFormat="1" ht="12.75" x14ac:dyDescent="0.2">
      <c r="B1103" s="615"/>
      <c r="Y1103" s="626"/>
    </row>
    <row r="1104" spans="2:25" s="426" customFormat="1" ht="12.75" x14ac:dyDescent="0.2">
      <c r="B1104" s="615"/>
      <c r="Y1104" s="626"/>
    </row>
    <row r="1105" spans="2:25" s="426" customFormat="1" ht="12.75" x14ac:dyDescent="0.2">
      <c r="B1105" s="615"/>
      <c r="Y1105" s="626"/>
    </row>
    <row r="1106" spans="2:25" s="426" customFormat="1" ht="12.75" x14ac:dyDescent="0.2">
      <c r="B1106" s="615"/>
      <c r="Y1106" s="626"/>
    </row>
    <row r="1107" spans="2:25" s="426" customFormat="1" ht="12.75" x14ac:dyDescent="0.2">
      <c r="B1107" s="615"/>
      <c r="Y1107" s="626"/>
    </row>
    <row r="1108" spans="2:25" s="426" customFormat="1" ht="12.75" x14ac:dyDescent="0.2">
      <c r="B1108" s="615"/>
      <c r="Y1108" s="626"/>
    </row>
    <row r="1109" spans="2:25" s="426" customFormat="1" ht="12.75" x14ac:dyDescent="0.2">
      <c r="B1109" s="615"/>
      <c r="Y1109" s="626"/>
    </row>
    <row r="1110" spans="2:25" s="426" customFormat="1" ht="12.75" x14ac:dyDescent="0.2">
      <c r="B1110" s="615"/>
      <c r="Y1110" s="626"/>
    </row>
    <row r="1111" spans="2:25" s="426" customFormat="1" ht="12.75" x14ac:dyDescent="0.2">
      <c r="B1111" s="615"/>
      <c r="Y1111" s="626"/>
    </row>
    <row r="1112" spans="2:25" s="426" customFormat="1" ht="12.75" x14ac:dyDescent="0.2">
      <c r="B1112" s="615"/>
      <c r="Y1112" s="626"/>
    </row>
    <row r="1113" spans="2:25" s="426" customFormat="1" ht="12.75" x14ac:dyDescent="0.2">
      <c r="B1113" s="615"/>
      <c r="Y1113" s="626"/>
    </row>
    <row r="1114" spans="2:25" s="426" customFormat="1" ht="12.75" x14ac:dyDescent="0.2">
      <c r="B1114" s="615"/>
      <c r="Y1114" s="626"/>
    </row>
    <row r="1115" spans="2:25" s="426" customFormat="1" ht="12.75" x14ac:dyDescent="0.2">
      <c r="B1115" s="615"/>
      <c r="Y1115" s="626"/>
    </row>
    <row r="1116" spans="2:25" s="426" customFormat="1" ht="12.75" x14ac:dyDescent="0.2">
      <c r="B1116" s="615"/>
      <c r="Y1116" s="626"/>
    </row>
    <row r="1117" spans="2:25" s="426" customFormat="1" ht="12.75" x14ac:dyDescent="0.2">
      <c r="B1117" s="615"/>
      <c r="Y1117" s="626"/>
    </row>
    <row r="1118" spans="2:25" s="426" customFormat="1" ht="12.75" x14ac:dyDescent="0.2">
      <c r="B1118" s="615"/>
      <c r="Y1118" s="626"/>
    </row>
    <row r="1119" spans="2:25" s="426" customFormat="1" ht="12.75" x14ac:dyDescent="0.2">
      <c r="B1119" s="615"/>
      <c r="Y1119" s="626"/>
    </row>
    <row r="1120" spans="2:25" s="426" customFormat="1" ht="12.75" x14ac:dyDescent="0.2">
      <c r="B1120" s="615"/>
      <c r="Y1120" s="626"/>
    </row>
    <row r="1121" spans="2:25" s="426" customFormat="1" ht="12.75" x14ac:dyDescent="0.2">
      <c r="B1121" s="615"/>
      <c r="Y1121" s="626"/>
    </row>
    <row r="1122" spans="2:25" s="426" customFormat="1" ht="12.75" x14ac:dyDescent="0.2">
      <c r="B1122" s="615"/>
      <c r="Y1122" s="626"/>
    </row>
    <row r="1123" spans="2:25" s="426" customFormat="1" ht="12.75" x14ac:dyDescent="0.2">
      <c r="B1123" s="615"/>
      <c r="Y1123" s="626"/>
    </row>
    <row r="1124" spans="2:25" s="426" customFormat="1" ht="12.75" x14ac:dyDescent="0.2">
      <c r="B1124" s="615"/>
      <c r="Y1124" s="626"/>
    </row>
    <row r="1125" spans="2:25" s="426" customFormat="1" ht="12.75" x14ac:dyDescent="0.2">
      <c r="B1125" s="615"/>
      <c r="Y1125" s="626"/>
    </row>
    <row r="1126" spans="2:25" s="426" customFormat="1" ht="12.75" x14ac:dyDescent="0.2">
      <c r="B1126" s="615"/>
      <c r="Y1126" s="626"/>
    </row>
    <row r="1127" spans="2:25" s="426" customFormat="1" ht="12.75" x14ac:dyDescent="0.2">
      <c r="B1127" s="615"/>
      <c r="Y1127" s="626"/>
    </row>
    <row r="1128" spans="2:25" s="426" customFormat="1" ht="12.75" x14ac:dyDescent="0.2">
      <c r="B1128" s="615"/>
      <c r="Y1128" s="626"/>
    </row>
    <row r="1129" spans="2:25" s="426" customFormat="1" ht="12.75" x14ac:dyDescent="0.2">
      <c r="B1129" s="615"/>
      <c r="Y1129" s="626"/>
    </row>
    <row r="1130" spans="2:25" s="426" customFormat="1" ht="12.75" x14ac:dyDescent="0.2">
      <c r="B1130" s="615"/>
      <c r="Y1130" s="626"/>
    </row>
    <row r="1131" spans="2:25" s="426" customFormat="1" ht="12.75" x14ac:dyDescent="0.2">
      <c r="B1131" s="615"/>
      <c r="Y1131" s="626"/>
    </row>
    <row r="1132" spans="2:25" s="426" customFormat="1" ht="12.75" x14ac:dyDescent="0.2">
      <c r="B1132" s="615"/>
      <c r="Y1132" s="626"/>
    </row>
    <row r="1133" spans="2:25" s="426" customFormat="1" ht="12.75" x14ac:dyDescent="0.2">
      <c r="B1133" s="615"/>
      <c r="Y1133" s="626"/>
    </row>
    <row r="1134" spans="2:25" s="426" customFormat="1" ht="12.75" x14ac:dyDescent="0.2">
      <c r="B1134" s="615"/>
      <c r="Y1134" s="626"/>
    </row>
    <row r="1135" spans="2:25" s="426" customFormat="1" ht="12.75" x14ac:dyDescent="0.2">
      <c r="B1135" s="615"/>
      <c r="Y1135" s="626"/>
    </row>
    <row r="1136" spans="2:25" s="426" customFormat="1" ht="12.75" x14ac:dyDescent="0.2">
      <c r="B1136" s="615"/>
      <c r="Y1136" s="626"/>
    </row>
    <row r="1137" spans="2:25" s="426" customFormat="1" ht="12.75" x14ac:dyDescent="0.2">
      <c r="B1137" s="615"/>
      <c r="Y1137" s="626"/>
    </row>
    <row r="1138" spans="2:25" s="426" customFormat="1" ht="12.75" x14ac:dyDescent="0.2">
      <c r="B1138" s="615"/>
      <c r="Y1138" s="626"/>
    </row>
    <row r="1139" spans="2:25" s="426" customFormat="1" ht="12.75" x14ac:dyDescent="0.2">
      <c r="B1139" s="615"/>
      <c r="Y1139" s="626"/>
    </row>
    <row r="1140" spans="2:25" s="426" customFormat="1" ht="12.75" x14ac:dyDescent="0.2">
      <c r="B1140" s="615"/>
      <c r="Y1140" s="626"/>
    </row>
    <row r="1141" spans="2:25" s="426" customFormat="1" ht="12.75" x14ac:dyDescent="0.2">
      <c r="B1141" s="615"/>
      <c r="Y1141" s="626"/>
    </row>
    <row r="1142" spans="2:25" s="426" customFormat="1" ht="12.75" x14ac:dyDescent="0.2">
      <c r="B1142" s="615"/>
      <c r="Y1142" s="626"/>
    </row>
    <row r="1143" spans="2:25" s="426" customFormat="1" ht="12.75" x14ac:dyDescent="0.2">
      <c r="B1143" s="615"/>
      <c r="Y1143" s="626"/>
    </row>
    <row r="1144" spans="2:25" s="426" customFormat="1" ht="12.75" x14ac:dyDescent="0.2">
      <c r="B1144" s="615"/>
      <c r="Y1144" s="626"/>
    </row>
    <row r="1145" spans="2:25" s="426" customFormat="1" ht="12.75" x14ac:dyDescent="0.2">
      <c r="B1145" s="615"/>
      <c r="Y1145" s="626"/>
    </row>
    <row r="1146" spans="2:25" s="426" customFormat="1" ht="12.75" x14ac:dyDescent="0.2">
      <c r="B1146" s="615"/>
      <c r="Y1146" s="626"/>
    </row>
    <row r="1147" spans="2:25" s="426" customFormat="1" ht="12.75" x14ac:dyDescent="0.2">
      <c r="B1147" s="615"/>
      <c r="Y1147" s="626"/>
    </row>
    <row r="1148" spans="2:25" s="426" customFormat="1" ht="12.75" x14ac:dyDescent="0.2">
      <c r="B1148" s="615"/>
      <c r="Y1148" s="626"/>
    </row>
    <row r="1149" spans="2:25" s="426" customFormat="1" ht="12.75" x14ac:dyDescent="0.2">
      <c r="B1149" s="615"/>
      <c r="Y1149" s="626"/>
    </row>
    <row r="1150" spans="2:25" s="426" customFormat="1" ht="12.75" x14ac:dyDescent="0.2">
      <c r="B1150" s="615"/>
      <c r="Y1150" s="626"/>
    </row>
    <row r="1151" spans="2:25" s="426" customFormat="1" ht="12.75" x14ac:dyDescent="0.2">
      <c r="B1151" s="615"/>
      <c r="Y1151" s="626"/>
    </row>
    <row r="1152" spans="2:25" s="426" customFormat="1" ht="12.75" x14ac:dyDescent="0.2">
      <c r="B1152" s="615"/>
      <c r="Y1152" s="626"/>
    </row>
    <row r="1153" spans="2:25" s="426" customFormat="1" ht="12.75" x14ac:dyDescent="0.2">
      <c r="B1153" s="615"/>
      <c r="Y1153" s="626"/>
    </row>
    <row r="1154" spans="2:25" s="426" customFormat="1" ht="12.75" x14ac:dyDescent="0.2">
      <c r="B1154" s="615"/>
      <c r="Y1154" s="626"/>
    </row>
    <row r="1155" spans="2:25" s="426" customFormat="1" ht="12.75" x14ac:dyDescent="0.2">
      <c r="B1155" s="615"/>
      <c r="Y1155" s="626"/>
    </row>
    <row r="1156" spans="2:25" s="426" customFormat="1" ht="12.75" x14ac:dyDescent="0.2">
      <c r="B1156" s="615"/>
      <c r="Y1156" s="626"/>
    </row>
    <row r="1157" spans="2:25" s="426" customFormat="1" ht="12.75" x14ac:dyDescent="0.2">
      <c r="B1157" s="615"/>
      <c r="Y1157" s="626"/>
    </row>
    <row r="1158" spans="2:25" s="426" customFormat="1" ht="12.75" x14ac:dyDescent="0.2">
      <c r="B1158" s="615"/>
      <c r="Y1158" s="626"/>
    </row>
    <row r="1159" spans="2:25" s="426" customFormat="1" ht="12.75" x14ac:dyDescent="0.2">
      <c r="B1159" s="615"/>
      <c r="Y1159" s="626"/>
    </row>
    <row r="1160" spans="2:25" s="426" customFormat="1" ht="12.75" x14ac:dyDescent="0.2">
      <c r="B1160" s="615"/>
      <c r="Y1160" s="626"/>
    </row>
    <row r="1161" spans="2:25" s="426" customFormat="1" ht="12.75" x14ac:dyDescent="0.2">
      <c r="B1161" s="615"/>
      <c r="Y1161" s="626"/>
    </row>
    <row r="1162" spans="2:25" s="426" customFormat="1" ht="12.75" x14ac:dyDescent="0.2">
      <c r="B1162" s="615"/>
      <c r="Y1162" s="626"/>
    </row>
    <row r="1163" spans="2:25" s="426" customFormat="1" ht="12.75" x14ac:dyDescent="0.2">
      <c r="B1163" s="615"/>
      <c r="Y1163" s="626"/>
    </row>
    <row r="1164" spans="2:25" s="426" customFormat="1" ht="12.75" x14ac:dyDescent="0.2">
      <c r="B1164" s="615"/>
      <c r="Y1164" s="626"/>
    </row>
    <row r="1165" spans="2:25" s="426" customFormat="1" ht="12.75" x14ac:dyDescent="0.2">
      <c r="B1165" s="615"/>
      <c r="Y1165" s="626"/>
    </row>
    <row r="1166" spans="2:25" s="426" customFormat="1" ht="12.75" x14ac:dyDescent="0.2">
      <c r="B1166" s="615"/>
      <c r="Y1166" s="626"/>
    </row>
    <row r="1167" spans="2:25" s="426" customFormat="1" ht="12.75" x14ac:dyDescent="0.2">
      <c r="B1167" s="615"/>
      <c r="Y1167" s="626"/>
    </row>
    <row r="1168" spans="2:25" s="426" customFormat="1" ht="12.75" x14ac:dyDescent="0.2">
      <c r="B1168" s="615"/>
      <c r="Y1168" s="626"/>
    </row>
    <row r="1169" spans="2:25" s="426" customFormat="1" ht="12.75" x14ac:dyDescent="0.2">
      <c r="B1169" s="615"/>
      <c r="Y1169" s="626"/>
    </row>
    <row r="1170" spans="2:25" s="426" customFormat="1" ht="12.75" x14ac:dyDescent="0.2">
      <c r="B1170" s="615"/>
      <c r="Y1170" s="626"/>
    </row>
    <row r="1171" spans="2:25" s="426" customFormat="1" ht="12.75" x14ac:dyDescent="0.2">
      <c r="B1171" s="615"/>
      <c r="Y1171" s="626"/>
    </row>
    <row r="1172" spans="2:25" s="426" customFormat="1" ht="12.75" x14ac:dyDescent="0.2">
      <c r="B1172" s="615"/>
      <c r="Y1172" s="626"/>
    </row>
    <row r="1173" spans="2:25" s="426" customFormat="1" ht="12.75" x14ac:dyDescent="0.2">
      <c r="B1173" s="615"/>
      <c r="Y1173" s="626"/>
    </row>
    <row r="1174" spans="2:25" s="426" customFormat="1" ht="12.75" x14ac:dyDescent="0.2">
      <c r="B1174" s="615"/>
      <c r="Y1174" s="626"/>
    </row>
    <row r="1175" spans="2:25" s="426" customFormat="1" ht="12.75" x14ac:dyDescent="0.2">
      <c r="B1175" s="615"/>
      <c r="Y1175" s="626"/>
    </row>
    <row r="1176" spans="2:25" s="426" customFormat="1" ht="12.75" x14ac:dyDescent="0.2">
      <c r="B1176" s="615"/>
      <c r="Y1176" s="626"/>
    </row>
    <row r="1177" spans="2:25" s="426" customFormat="1" ht="12.75" x14ac:dyDescent="0.2">
      <c r="B1177" s="615"/>
      <c r="Y1177" s="626"/>
    </row>
    <row r="1178" spans="2:25" s="426" customFormat="1" ht="12.75" x14ac:dyDescent="0.2">
      <c r="B1178" s="615"/>
      <c r="Y1178" s="626"/>
    </row>
    <row r="1179" spans="2:25" s="426" customFormat="1" ht="12.75" x14ac:dyDescent="0.2">
      <c r="B1179" s="615"/>
      <c r="Y1179" s="626"/>
    </row>
    <row r="1180" spans="2:25" s="426" customFormat="1" ht="12.75" x14ac:dyDescent="0.2">
      <c r="B1180" s="615"/>
      <c r="Y1180" s="626"/>
    </row>
    <row r="1181" spans="2:25" s="426" customFormat="1" ht="12.75" x14ac:dyDescent="0.2">
      <c r="B1181" s="615"/>
      <c r="Y1181" s="626"/>
    </row>
    <row r="1182" spans="2:25" s="426" customFormat="1" ht="12.75" x14ac:dyDescent="0.2">
      <c r="B1182" s="615"/>
      <c r="Y1182" s="626"/>
    </row>
    <row r="1183" spans="2:25" s="426" customFormat="1" ht="12.75" x14ac:dyDescent="0.2">
      <c r="B1183" s="615"/>
      <c r="Y1183" s="626"/>
    </row>
    <row r="1184" spans="2:25" s="426" customFormat="1" ht="12.75" x14ac:dyDescent="0.2">
      <c r="B1184" s="615"/>
      <c r="Y1184" s="626"/>
    </row>
    <row r="1185" spans="2:25" s="426" customFormat="1" ht="12.75" x14ac:dyDescent="0.2">
      <c r="B1185" s="615"/>
      <c r="Y1185" s="626"/>
    </row>
    <row r="1186" spans="2:25" s="426" customFormat="1" ht="12.75" x14ac:dyDescent="0.2">
      <c r="B1186" s="615"/>
      <c r="Y1186" s="626"/>
    </row>
    <row r="1187" spans="2:25" s="426" customFormat="1" ht="12.75" x14ac:dyDescent="0.2">
      <c r="B1187" s="615"/>
      <c r="Y1187" s="626"/>
    </row>
    <row r="1188" spans="2:25" s="426" customFormat="1" ht="12.75" x14ac:dyDescent="0.2">
      <c r="B1188" s="615"/>
      <c r="Y1188" s="626"/>
    </row>
    <row r="1189" spans="2:25" s="426" customFormat="1" ht="12.75" x14ac:dyDescent="0.2">
      <c r="B1189" s="615"/>
      <c r="Y1189" s="626"/>
    </row>
    <row r="1190" spans="2:25" s="426" customFormat="1" ht="12.75" x14ac:dyDescent="0.2">
      <c r="B1190" s="615"/>
      <c r="Y1190" s="626"/>
    </row>
    <row r="1191" spans="2:25" s="426" customFormat="1" ht="12.75" x14ac:dyDescent="0.2">
      <c r="B1191" s="615"/>
      <c r="Y1191" s="626"/>
    </row>
    <row r="1192" spans="2:25" s="426" customFormat="1" ht="12.75" x14ac:dyDescent="0.2">
      <c r="B1192" s="615"/>
      <c r="Y1192" s="626"/>
    </row>
    <row r="1193" spans="2:25" s="426" customFormat="1" ht="12.75" x14ac:dyDescent="0.2">
      <c r="B1193" s="615"/>
      <c r="Y1193" s="626"/>
    </row>
    <row r="1194" spans="2:25" s="426" customFormat="1" ht="12.75" x14ac:dyDescent="0.2">
      <c r="B1194" s="615"/>
      <c r="Y1194" s="626"/>
    </row>
    <row r="1195" spans="2:25" s="426" customFormat="1" ht="12.75" x14ac:dyDescent="0.2">
      <c r="B1195" s="615"/>
      <c r="Y1195" s="626"/>
    </row>
    <row r="1196" spans="2:25" s="426" customFormat="1" ht="12.75" x14ac:dyDescent="0.2">
      <c r="B1196" s="615"/>
      <c r="Y1196" s="626"/>
    </row>
    <row r="1197" spans="2:25" s="426" customFormat="1" ht="12.75" x14ac:dyDescent="0.2">
      <c r="B1197" s="615"/>
      <c r="Y1197" s="626"/>
    </row>
    <row r="1198" spans="2:25" s="426" customFormat="1" ht="12.75" x14ac:dyDescent="0.2">
      <c r="B1198" s="615"/>
      <c r="Y1198" s="626"/>
    </row>
    <row r="1199" spans="2:25" s="426" customFormat="1" ht="12.75" x14ac:dyDescent="0.2">
      <c r="B1199" s="615"/>
      <c r="Y1199" s="626"/>
    </row>
    <row r="1200" spans="2:25" s="426" customFormat="1" ht="12.75" x14ac:dyDescent="0.2">
      <c r="B1200" s="615"/>
      <c r="Y1200" s="626"/>
    </row>
    <row r="1201" spans="2:25" s="426" customFormat="1" ht="12.75" x14ac:dyDescent="0.2">
      <c r="B1201" s="615"/>
      <c r="Y1201" s="626"/>
    </row>
    <row r="1202" spans="2:25" s="426" customFormat="1" ht="12.75" x14ac:dyDescent="0.2">
      <c r="B1202" s="615"/>
      <c r="Y1202" s="626"/>
    </row>
    <row r="1203" spans="2:25" s="426" customFormat="1" ht="12.75" x14ac:dyDescent="0.2">
      <c r="B1203" s="615"/>
      <c r="Y1203" s="626"/>
    </row>
    <row r="1204" spans="2:25" s="426" customFormat="1" ht="12.75" x14ac:dyDescent="0.2">
      <c r="B1204" s="615"/>
      <c r="Y1204" s="626"/>
    </row>
    <row r="1205" spans="2:25" s="426" customFormat="1" ht="12.75" x14ac:dyDescent="0.2">
      <c r="B1205" s="615"/>
      <c r="Y1205" s="626"/>
    </row>
    <row r="1206" spans="2:25" s="426" customFormat="1" ht="12.75" x14ac:dyDescent="0.2">
      <c r="B1206" s="615"/>
      <c r="Y1206" s="626"/>
    </row>
    <row r="1207" spans="2:25" s="426" customFormat="1" ht="12.75" x14ac:dyDescent="0.2">
      <c r="B1207" s="615"/>
      <c r="Y1207" s="626"/>
    </row>
    <row r="1208" spans="2:25" s="426" customFormat="1" ht="12.75" x14ac:dyDescent="0.2">
      <c r="B1208" s="615"/>
      <c r="Y1208" s="626"/>
    </row>
    <row r="1209" spans="2:25" s="426" customFormat="1" ht="12.75" x14ac:dyDescent="0.2">
      <c r="B1209" s="615"/>
      <c r="Y1209" s="626"/>
    </row>
    <row r="1210" spans="2:25" s="426" customFormat="1" ht="12.75" x14ac:dyDescent="0.2">
      <c r="B1210" s="615"/>
      <c r="Y1210" s="626"/>
    </row>
    <row r="1211" spans="2:25" s="426" customFormat="1" ht="12.75" x14ac:dyDescent="0.2">
      <c r="B1211" s="615"/>
      <c r="Y1211" s="626"/>
    </row>
    <row r="1212" spans="2:25" s="426" customFormat="1" ht="12.75" x14ac:dyDescent="0.2">
      <c r="B1212" s="615"/>
      <c r="Y1212" s="626"/>
    </row>
    <row r="1213" spans="2:25" s="426" customFormat="1" ht="12.75" x14ac:dyDescent="0.2">
      <c r="B1213" s="615"/>
      <c r="Y1213" s="626"/>
    </row>
    <row r="1214" spans="2:25" s="426" customFormat="1" ht="12.75" x14ac:dyDescent="0.2">
      <c r="B1214" s="615"/>
      <c r="Y1214" s="626"/>
    </row>
    <row r="1215" spans="2:25" s="426" customFormat="1" ht="12.75" x14ac:dyDescent="0.2">
      <c r="B1215" s="615"/>
      <c r="Y1215" s="626"/>
    </row>
    <row r="1216" spans="2:25" s="426" customFormat="1" ht="12.75" x14ac:dyDescent="0.2">
      <c r="B1216" s="615"/>
      <c r="Y1216" s="626"/>
    </row>
    <row r="1217" spans="2:25" s="426" customFormat="1" ht="12.75" x14ac:dyDescent="0.2">
      <c r="B1217" s="615"/>
      <c r="Y1217" s="626"/>
    </row>
    <row r="1218" spans="2:25" s="426" customFormat="1" ht="12.75" x14ac:dyDescent="0.2">
      <c r="B1218" s="615"/>
      <c r="Y1218" s="626"/>
    </row>
    <row r="1219" spans="2:25" s="426" customFormat="1" ht="12.75" x14ac:dyDescent="0.2">
      <c r="B1219" s="615"/>
      <c r="Y1219" s="626"/>
    </row>
    <row r="1220" spans="2:25" s="426" customFormat="1" ht="12.75" x14ac:dyDescent="0.2">
      <c r="B1220" s="615"/>
      <c r="Y1220" s="626"/>
    </row>
    <row r="1221" spans="2:25" s="426" customFormat="1" ht="12.75" x14ac:dyDescent="0.2">
      <c r="B1221" s="615"/>
      <c r="Y1221" s="626"/>
    </row>
    <row r="1222" spans="2:25" s="426" customFormat="1" ht="12.75" x14ac:dyDescent="0.2">
      <c r="B1222" s="615"/>
      <c r="Y1222" s="626"/>
    </row>
    <row r="1223" spans="2:25" s="426" customFormat="1" ht="12.75" x14ac:dyDescent="0.2">
      <c r="B1223" s="615"/>
      <c r="Y1223" s="626"/>
    </row>
    <row r="1224" spans="2:25" s="426" customFormat="1" ht="12.75" x14ac:dyDescent="0.2">
      <c r="B1224" s="615"/>
      <c r="Y1224" s="626"/>
    </row>
    <row r="1225" spans="2:25" s="426" customFormat="1" ht="12.75" x14ac:dyDescent="0.2">
      <c r="B1225" s="615"/>
      <c r="Y1225" s="626"/>
    </row>
    <row r="1226" spans="2:25" s="426" customFormat="1" ht="12.75" x14ac:dyDescent="0.2">
      <c r="B1226" s="615"/>
      <c r="Y1226" s="626"/>
    </row>
    <row r="1227" spans="2:25" s="426" customFormat="1" ht="12.75" x14ac:dyDescent="0.2">
      <c r="B1227" s="615"/>
      <c r="Y1227" s="626"/>
    </row>
    <row r="1228" spans="2:25" s="426" customFormat="1" ht="12.75" x14ac:dyDescent="0.2">
      <c r="B1228" s="615"/>
      <c r="Y1228" s="626"/>
    </row>
    <row r="1229" spans="2:25" s="426" customFormat="1" ht="12.75" x14ac:dyDescent="0.2">
      <c r="B1229" s="615"/>
      <c r="Y1229" s="626"/>
    </row>
    <row r="1230" spans="2:25" s="426" customFormat="1" ht="12.75" x14ac:dyDescent="0.2">
      <c r="B1230" s="615"/>
      <c r="Y1230" s="626"/>
    </row>
    <row r="1231" spans="2:25" s="426" customFormat="1" ht="12.75" x14ac:dyDescent="0.2">
      <c r="B1231" s="615"/>
      <c r="Y1231" s="626"/>
    </row>
    <row r="1232" spans="2:25" s="426" customFormat="1" ht="12.75" x14ac:dyDescent="0.2">
      <c r="B1232" s="615"/>
      <c r="Y1232" s="626"/>
    </row>
    <row r="1233" spans="2:25" s="426" customFormat="1" ht="12.75" x14ac:dyDescent="0.2">
      <c r="B1233" s="615"/>
      <c r="Y1233" s="626"/>
    </row>
    <row r="1234" spans="2:25" s="426" customFormat="1" ht="12.75" x14ac:dyDescent="0.2">
      <c r="B1234" s="615"/>
      <c r="Y1234" s="626"/>
    </row>
    <row r="1235" spans="2:25" s="426" customFormat="1" ht="12.75" x14ac:dyDescent="0.2">
      <c r="B1235" s="615"/>
      <c r="Y1235" s="626"/>
    </row>
    <row r="1236" spans="2:25" s="426" customFormat="1" ht="12.75" x14ac:dyDescent="0.2">
      <c r="B1236" s="615"/>
      <c r="Y1236" s="626"/>
    </row>
    <row r="1237" spans="2:25" s="426" customFormat="1" ht="12.75" x14ac:dyDescent="0.2">
      <c r="B1237" s="615"/>
      <c r="Y1237" s="626"/>
    </row>
    <row r="1238" spans="2:25" s="426" customFormat="1" ht="12.75" x14ac:dyDescent="0.2">
      <c r="B1238" s="615"/>
      <c r="Y1238" s="626"/>
    </row>
    <row r="1239" spans="2:25" s="426" customFormat="1" ht="12.75" x14ac:dyDescent="0.2">
      <c r="B1239" s="615"/>
      <c r="Y1239" s="626"/>
    </row>
    <row r="1240" spans="2:25" s="426" customFormat="1" ht="12.75" x14ac:dyDescent="0.2">
      <c r="B1240" s="615"/>
      <c r="Y1240" s="626"/>
    </row>
    <row r="1241" spans="2:25" s="426" customFormat="1" ht="12.75" x14ac:dyDescent="0.2">
      <c r="B1241" s="615"/>
      <c r="Y1241" s="626"/>
    </row>
    <row r="1242" spans="2:25" s="426" customFormat="1" ht="12.75" x14ac:dyDescent="0.2">
      <c r="B1242" s="615"/>
      <c r="Y1242" s="626"/>
    </row>
    <row r="1243" spans="2:25" s="426" customFormat="1" ht="12.75" x14ac:dyDescent="0.2">
      <c r="B1243" s="615"/>
      <c r="Y1243" s="626"/>
    </row>
    <row r="1244" spans="2:25" s="426" customFormat="1" ht="12.75" x14ac:dyDescent="0.2">
      <c r="B1244" s="615"/>
      <c r="Y1244" s="626"/>
    </row>
    <row r="1245" spans="2:25" s="426" customFormat="1" ht="12.75" x14ac:dyDescent="0.2">
      <c r="B1245" s="615"/>
      <c r="Y1245" s="626"/>
    </row>
    <row r="1246" spans="2:25" s="426" customFormat="1" ht="12.75" x14ac:dyDescent="0.2">
      <c r="B1246" s="615"/>
      <c r="Y1246" s="626"/>
    </row>
    <row r="1247" spans="2:25" s="426" customFormat="1" ht="12.75" x14ac:dyDescent="0.2">
      <c r="B1247" s="615"/>
      <c r="Y1247" s="626"/>
    </row>
    <row r="1248" spans="2:25" s="426" customFormat="1" ht="12.75" x14ac:dyDescent="0.2">
      <c r="B1248" s="615"/>
      <c r="Y1248" s="626"/>
    </row>
    <row r="1249" spans="2:25" s="426" customFormat="1" ht="12.75" x14ac:dyDescent="0.2">
      <c r="B1249" s="615"/>
      <c r="Y1249" s="626"/>
    </row>
    <row r="1250" spans="2:25" s="426" customFormat="1" ht="12.75" x14ac:dyDescent="0.2">
      <c r="B1250" s="615"/>
      <c r="Y1250" s="626"/>
    </row>
    <row r="1251" spans="2:25" s="426" customFormat="1" ht="12.75" x14ac:dyDescent="0.2">
      <c r="B1251" s="615"/>
      <c r="Y1251" s="626"/>
    </row>
    <row r="1252" spans="2:25" s="426" customFormat="1" ht="12.75" x14ac:dyDescent="0.2">
      <c r="B1252" s="615"/>
      <c r="Y1252" s="626"/>
    </row>
    <row r="1253" spans="2:25" s="426" customFormat="1" ht="12.75" x14ac:dyDescent="0.2">
      <c r="B1253" s="615"/>
      <c r="Y1253" s="626"/>
    </row>
    <row r="1254" spans="2:25" s="426" customFormat="1" ht="12.75" x14ac:dyDescent="0.2">
      <c r="B1254" s="615"/>
      <c r="Y1254" s="626"/>
    </row>
    <row r="1255" spans="2:25" s="426" customFormat="1" ht="12.75" x14ac:dyDescent="0.2">
      <c r="B1255" s="615"/>
      <c r="Y1255" s="626"/>
    </row>
    <row r="1256" spans="2:25" s="426" customFormat="1" ht="12.75" x14ac:dyDescent="0.2">
      <c r="B1256" s="615"/>
      <c r="Y1256" s="626"/>
    </row>
    <row r="1257" spans="2:25" s="426" customFormat="1" ht="12.75" x14ac:dyDescent="0.2">
      <c r="B1257" s="615"/>
      <c r="Y1257" s="626"/>
    </row>
    <row r="1258" spans="2:25" s="426" customFormat="1" ht="12.75" x14ac:dyDescent="0.2">
      <c r="B1258" s="615"/>
      <c r="Y1258" s="626"/>
    </row>
    <row r="1259" spans="2:25" s="426" customFormat="1" ht="12.75" x14ac:dyDescent="0.2">
      <c r="B1259" s="615"/>
      <c r="Y1259" s="626"/>
    </row>
    <row r="1260" spans="2:25" s="426" customFormat="1" ht="12.75" x14ac:dyDescent="0.2">
      <c r="B1260" s="615"/>
      <c r="Y1260" s="626"/>
    </row>
    <row r="1261" spans="2:25" s="426" customFormat="1" ht="12.75" x14ac:dyDescent="0.2">
      <c r="B1261" s="615"/>
      <c r="Y1261" s="626"/>
    </row>
    <row r="1262" spans="2:25" s="426" customFormat="1" ht="12.75" x14ac:dyDescent="0.2">
      <c r="B1262" s="615"/>
      <c r="Y1262" s="626"/>
    </row>
    <row r="1263" spans="2:25" s="426" customFormat="1" ht="12.75" x14ac:dyDescent="0.2">
      <c r="B1263" s="615"/>
      <c r="Y1263" s="626"/>
    </row>
    <row r="1264" spans="2:25" s="426" customFormat="1" ht="12.75" x14ac:dyDescent="0.2">
      <c r="B1264" s="615"/>
      <c r="Y1264" s="626"/>
    </row>
    <row r="1265" spans="2:25" s="426" customFormat="1" ht="12.75" x14ac:dyDescent="0.2">
      <c r="B1265" s="615"/>
      <c r="Y1265" s="626"/>
    </row>
    <row r="1266" spans="2:25" s="426" customFormat="1" ht="12.75" x14ac:dyDescent="0.2">
      <c r="B1266" s="615"/>
      <c r="Y1266" s="626"/>
    </row>
    <row r="1267" spans="2:25" s="426" customFormat="1" ht="12.75" x14ac:dyDescent="0.2">
      <c r="B1267" s="615"/>
      <c r="Y1267" s="626"/>
    </row>
    <row r="1268" spans="2:25" s="426" customFormat="1" ht="12.75" x14ac:dyDescent="0.2">
      <c r="B1268" s="615"/>
      <c r="Y1268" s="626"/>
    </row>
    <row r="1269" spans="2:25" s="426" customFormat="1" ht="12.75" x14ac:dyDescent="0.2">
      <c r="B1269" s="615"/>
      <c r="Y1269" s="626"/>
    </row>
    <row r="1270" spans="2:25" s="426" customFormat="1" ht="12.75" x14ac:dyDescent="0.2">
      <c r="B1270" s="615"/>
      <c r="Y1270" s="626"/>
    </row>
    <row r="1271" spans="2:25" s="426" customFormat="1" ht="12.75" x14ac:dyDescent="0.2">
      <c r="B1271" s="615"/>
      <c r="Y1271" s="626"/>
    </row>
    <row r="1272" spans="2:25" s="426" customFormat="1" ht="12.75" x14ac:dyDescent="0.2">
      <c r="B1272" s="615"/>
      <c r="Y1272" s="626"/>
    </row>
    <row r="1273" spans="2:25" s="426" customFormat="1" ht="12.75" x14ac:dyDescent="0.2">
      <c r="B1273" s="615"/>
      <c r="Y1273" s="626"/>
    </row>
    <row r="1274" spans="2:25" s="426" customFormat="1" ht="12.75" x14ac:dyDescent="0.2">
      <c r="B1274" s="615"/>
      <c r="Y1274" s="626"/>
    </row>
    <row r="1275" spans="2:25" s="426" customFormat="1" ht="12.75" x14ac:dyDescent="0.2">
      <c r="B1275" s="615"/>
      <c r="Y1275" s="626"/>
    </row>
    <row r="1276" spans="2:25" s="426" customFormat="1" ht="12.75" x14ac:dyDescent="0.2">
      <c r="B1276" s="615"/>
      <c r="Y1276" s="626"/>
    </row>
    <row r="1277" spans="2:25" s="426" customFormat="1" ht="12.75" x14ac:dyDescent="0.2">
      <c r="B1277" s="615"/>
      <c r="Y1277" s="626"/>
    </row>
    <row r="1278" spans="2:25" s="426" customFormat="1" ht="12.75" x14ac:dyDescent="0.2">
      <c r="B1278" s="615"/>
      <c r="Y1278" s="626"/>
    </row>
    <row r="1279" spans="2:25" s="426" customFormat="1" ht="12.75" x14ac:dyDescent="0.2">
      <c r="B1279" s="615"/>
      <c r="Y1279" s="626"/>
    </row>
    <row r="1280" spans="2:25" s="426" customFormat="1" ht="12.75" x14ac:dyDescent="0.2">
      <c r="B1280" s="615"/>
      <c r="Y1280" s="626"/>
    </row>
    <row r="1281" spans="2:25" s="426" customFormat="1" ht="12.75" x14ac:dyDescent="0.2">
      <c r="B1281" s="615"/>
      <c r="Y1281" s="626"/>
    </row>
    <row r="1282" spans="2:25" s="426" customFormat="1" ht="12.75" x14ac:dyDescent="0.2">
      <c r="B1282" s="615"/>
      <c r="Y1282" s="626"/>
    </row>
    <row r="1283" spans="2:25" s="426" customFormat="1" ht="12.75" x14ac:dyDescent="0.2">
      <c r="B1283" s="615"/>
      <c r="Y1283" s="626"/>
    </row>
    <row r="1284" spans="2:25" s="426" customFormat="1" ht="12.75" x14ac:dyDescent="0.2">
      <c r="B1284" s="615"/>
      <c r="Y1284" s="626"/>
    </row>
    <row r="1285" spans="2:25" s="426" customFormat="1" ht="12.75" x14ac:dyDescent="0.2">
      <c r="B1285" s="615"/>
      <c r="Y1285" s="626"/>
    </row>
    <row r="1286" spans="2:25" s="426" customFormat="1" ht="12.75" x14ac:dyDescent="0.2">
      <c r="B1286" s="615"/>
      <c r="Y1286" s="626"/>
    </row>
    <row r="1287" spans="2:25" s="426" customFormat="1" ht="12.75" x14ac:dyDescent="0.2">
      <c r="B1287" s="615"/>
      <c r="Y1287" s="626"/>
    </row>
    <row r="1288" spans="2:25" s="426" customFormat="1" ht="12.75" x14ac:dyDescent="0.2">
      <c r="B1288" s="615"/>
      <c r="Y1288" s="626"/>
    </row>
    <row r="1289" spans="2:25" s="426" customFormat="1" ht="12.75" x14ac:dyDescent="0.2">
      <c r="B1289" s="615"/>
      <c r="Y1289" s="626"/>
    </row>
    <row r="1290" spans="2:25" s="426" customFormat="1" ht="12.75" x14ac:dyDescent="0.2">
      <c r="B1290" s="615"/>
      <c r="Y1290" s="626"/>
    </row>
    <row r="1291" spans="2:25" s="426" customFormat="1" ht="12.75" x14ac:dyDescent="0.2">
      <c r="B1291" s="615"/>
      <c r="Y1291" s="626"/>
    </row>
    <row r="1292" spans="2:25" s="426" customFormat="1" ht="12.75" x14ac:dyDescent="0.2">
      <c r="B1292" s="615"/>
      <c r="Y1292" s="626"/>
    </row>
    <row r="1293" spans="2:25" s="426" customFormat="1" ht="12.75" x14ac:dyDescent="0.2">
      <c r="B1293" s="615"/>
      <c r="Y1293" s="626"/>
    </row>
    <row r="1294" spans="2:25" s="426" customFormat="1" ht="12.75" x14ac:dyDescent="0.2">
      <c r="B1294" s="615"/>
      <c r="Y1294" s="626"/>
    </row>
    <row r="1295" spans="2:25" s="426" customFormat="1" ht="12.75" x14ac:dyDescent="0.2">
      <c r="B1295" s="615"/>
      <c r="Y1295" s="626"/>
    </row>
    <row r="1296" spans="2:25" s="426" customFormat="1" ht="12.75" x14ac:dyDescent="0.2">
      <c r="B1296" s="615"/>
      <c r="Y1296" s="626"/>
    </row>
    <row r="1297" spans="2:25" s="426" customFormat="1" ht="12.75" x14ac:dyDescent="0.2">
      <c r="B1297" s="615"/>
      <c r="Y1297" s="626"/>
    </row>
    <row r="1298" spans="2:25" s="426" customFormat="1" ht="12.75" x14ac:dyDescent="0.2">
      <c r="B1298" s="615"/>
      <c r="Y1298" s="626"/>
    </row>
    <row r="1299" spans="2:25" s="426" customFormat="1" ht="12.75" x14ac:dyDescent="0.2">
      <c r="B1299" s="615"/>
      <c r="Y1299" s="626"/>
    </row>
    <row r="1300" spans="2:25" s="426" customFormat="1" ht="12.75" x14ac:dyDescent="0.2">
      <c r="B1300" s="615"/>
      <c r="Y1300" s="626"/>
    </row>
    <row r="1301" spans="2:25" s="426" customFormat="1" ht="12.75" x14ac:dyDescent="0.2">
      <c r="B1301" s="615"/>
      <c r="Y1301" s="626"/>
    </row>
    <row r="1302" spans="2:25" s="426" customFormat="1" ht="12.75" x14ac:dyDescent="0.2">
      <c r="B1302" s="615"/>
      <c r="Y1302" s="626"/>
    </row>
    <row r="1303" spans="2:25" s="426" customFormat="1" ht="12.75" x14ac:dyDescent="0.2">
      <c r="B1303" s="615"/>
      <c r="Y1303" s="626"/>
    </row>
    <row r="1304" spans="2:25" s="426" customFormat="1" ht="12.75" x14ac:dyDescent="0.2">
      <c r="B1304" s="615"/>
      <c r="Y1304" s="626"/>
    </row>
    <row r="1305" spans="2:25" s="426" customFormat="1" ht="12.75" x14ac:dyDescent="0.2">
      <c r="B1305" s="615"/>
      <c r="Y1305" s="626"/>
    </row>
    <row r="1306" spans="2:25" s="426" customFormat="1" ht="12.75" x14ac:dyDescent="0.2">
      <c r="B1306" s="615"/>
      <c r="Y1306" s="626"/>
    </row>
    <row r="1307" spans="2:25" s="426" customFormat="1" ht="12.75" x14ac:dyDescent="0.2">
      <c r="B1307" s="615"/>
      <c r="Y1307" s="626"/>
    </row>
    <row r="1308" spans="2:25" s="426" customFormat="1" ht="12.75" x14ac:dyDescent="0.2">
      <c r="B1308" s="615"/>
      <c r="Y1308" s="626"/>
    </row>
    <row r="1309" spans="2:25" s="426" customFormat="1" ht="12.75" x14ac:dyDescent="0.2">
      <c r="B1309" s="615"/>
      <c r="Y1309" s="626"/>
    </row>
    <row r="1310" spans="2:25" s="426" customFormat="1" ht="12.75" x14ac:dyDescent="0.2">
      <c r="B1310" s="615"/>
      <c r="Y1310" s="626"/>
    </row>
    <row r="1311" spans="2:25" s="426" customFormat="1" ht="12.75" x14ac:dyDescent="0.2">
      <c r="B1311" s="615"/>
      <c r="Y1311" s="626"/>
    </row>
    <row r="1312" spans="2:25" s="426" customFormat="1" ht="12.75" x14ac:dyDescent="0.2">
      <c r="B1312" s="615"/>
      <c r="Y1312" s="626"/>
    </row>
    <row r="1313" spans="2:25" s="426" customFormat="1" ht="12.75" x14ac:dyDescent="0.2">
      <c r="B1313" s="615"/>
      <c r="Y1313" s="626"/>
    </row>
    <row r="1314" spans="2:25" s="426" customFormat="1" ht="12.75" x14ac:dyDescent="0.2">
      <c r="B1314" s="615"/>
      <c r="Y1314" s="626"/>
    </row>
    <row r="1315" spans="2:25" s="426" customFormat="1" ht="12.75" x14ac:dyDescent="0.2">
      <c r="B1315" s="615"/>
      <c r="Y1315" s="626"/>
    </row>
    <row r="1316" spans="2:25" s="426" customFormat="1" ht="12.75" x14ac:dyDescent="0.2">
      <c r="B1316" s="615"/>
      <c r="Y1316" s="626"/>
    </row>
    <row r="1317" spans="2:25" s="426" customFormat="1" ht="12.75" x14ac:dyDescent="0.2">
      <c r="B1317" s="615"/>
      <c r="Y1317" s="626"/>
    </row>
    <row r="1318" spans="2:25" s="426" customFormat="1" ht="12.75" x14ac:dyDescent="0.2">
      <c r="B1318" s="615"/>
      <c r="Y1318" s="626"/>
    </row>
    <row r="1319" spans="2:25" s="426" customFormat="1" ht="12.75" x14ac:dyDescent="0.2">
      <c r="B1319" s="615"/>
      <c r="Y1319" s="626"/>
    </row>
    <row r="1320" spans="2:25" s="426" customFormat="1" ht="12.75" x14ac:dyDescent="0.2">
      <c r="B1320" s="615"/>
      <c r="Y1320" s="626"/>
    </row>
    <row r="1321" spans="2:25" s="426" customFormat="1" ht="12.75" x14ac:dyDescent="0.2">
      <c r="B1321" s="615"/>
      <c r="Y1321" s="626"/>
    </row>
    <row r="1322" spans="2:25" s="426" customFormat="1" ht="12.75" x14ac:dyDescent="0.2">
      <c r="B1322" s="615"/>
      <c r="Y1322" s="626"/>
    </row>
    <row r="1323" spans="2:25" s="426" customFormat="1" ht="12.75" x14ac:dyDescent="0.2">
      <c r="B1323" s="615"/>
      <c r="Y1323" s="626"/>
    </row>
    <row r="1324" spans="2:25" s="426" customFormat="1" ht="12.75" x14ac:dyDescent="0.2">
      <c r="B1324" s="615"/>
      <c r="Y1324" s="626"/>
    </row>
    <row r="1325" spans="2:25" s="426" customFormat="1" ht="12.75" x14ac:dyDescent="0.2">
      <c r="B1325" s="615"/>
      <c r="Y1325" s="626"/>
    </row>
    <row r="1326" spans="2:25" s="426" customFormat="1" ht="12.75" x14ac:dyDescent="0.2">
      <c r="B1326" s="615"/>
      <c r="Y1326" s="626"/>
    </row>
    <row r="1327" spans="2:25" s="426" customFormat="1" ht="12.75" x14ac:dyDescent="0.2">
      <c r="B1327" s="615"/>
      <c r="Y1327" s="626"/>
    </row>
    <row r="1328" spans="2:25" s="426" customFormat="1" ht="12.75" x14ac:dyDescent="0.2">
      <c r="B1328" s="615"/>
      <c r="Y1328" s="626"/>
    </row>
    <row r="1329" spans="2:25" s="426" customFormat="1" ht="12.75" x14ac:dyDescent="0.2">
      <c r="B1329" s="615"/>
      <c r="Y1329" s="626"/>
    </row>
    <row r="1330" spans="2:25" s="426" customFormat="1" ht="12.75" x14ac:dyDescent="0.2">
      <c r="B1330" s="615"/>
      <c r="Y1330" s="626"/>
    </row>
    <row r="1331" spans="2:25" s="426" customFormat="1" ht="12.75" x14ac:dyDescent="0.2">
      <c r="B1331" s="615"/>
      <c r="Y1331" s="626"/>
    </row>
    <row r="1332" spans="2:25" s="426" customFormat="1" ht="12.75" x14ac:dyDescent="0.2">
      <c r="B1332" s="615"/>
      <c r="Y1332" s="626"/>
    </row>
    <row r="1333" spans="2:25" s="426" customFormat="1" ht="12.75" x14ac:dyDescent="0.2">
      <c r="B1333" s="615"/>
      <c r="Y1333" s="626"/>
    </row>
    <row r="1334" spans="2:25" s="426" customFormat="1" ht="12.75" x14ac:dyDescent="0.2">
      <c r="B1334" s="615"/>
      <c r="Y1334" s="626"/>
    </row>
    <row r="1335" spans="2:25" s="426" customFormat="1" ht="12.75" x14ac:dyDescent="0.2">
      <c r="B1335" s="615"/>
      <c r="Y1335" s="626"/>
    </row>
    <row r="1336" spans="2:25" s="426" customFormat="1" ht="12.75" x14ac:dyDescent="0.2">
      <c r="B1336" s="615"/>
      <c r="Y1336" s="626"/>
    </row>
    <row r="1337" spans="2:25" s="426" customFormat="1" ht="12.75" x14ac:dyDescent="0.2">
      <c r="B1337" s="615"/>
      <c r="Y1337" s="626"/>
    </row>
    <row r="1338" spans="2:25" s="426" customFormat="1" ht="12.75" x14ac:dyDescent="0.2">
      <c r="B1338" s="615"/>
      <c r="Y1338" s="626"/>
    </row>
    <row r="1339" spans="2:25" s="426" customFormat="1" ht="12.75" x14ac:dyDescent="0.2">
      <c r="B1339" s="615"/>
      <c r="Y1339" s="626"/>
    </row>
    <row r="1340" spans="2:25" s="426" customFormat="1" ht="12.75" x14ac:dyDescent="0.2">
      <c r="B1340" s="615"/>
      <c r="Y1340" s="626"/>
    </row>
    <row r="1341" spans="2:25" s="426" customFormat="1" ht="12.75" x14ac:dyDescent="0.2">
      <c r="B1341" s="615"/>
      <c r="Y1341" s="626"/>
    </row>
    <row r="1342" spans="2:25" s="426" customFormat="1" ht="12.75" x14ac:dyDescent="0.2">
      <c r="B1342" s="615"/>
      <c r="Y1342" s="626"/>
    </row>
    <row r="1343" spans="2:25" s="426" customFormat="1" ht="12.75" x14ac:dyDescent="0.2">
      <c r="B1343" s="615"/>
      <c r="Y1343" s="626"/>
    </row>
    <row r="1344" spans="2:25" s="426" customFormat="1" ht="12.75" x14ac:dyDescent="0.2">
      <c r="B1344" s="615"/>
      <c r="Y1344" s="626"/>
    </row>
    <row r="1345" spans="2:25" s="426" customFormat="1" ht="12.75" x14ac:dyDescent="0.2">
      <c r="B1345" s="615"/>
      <c r="Y1345" s="626"/>
    </row>
    <row r="1346" spans="2:25" s="426" customFormat="1" ht="12.75" x14ac:dyDescent="0.2">
      <c r="B1346" s="615"/>
      <c r="Y1346" s="626"/>
    </row>
    <row r="1347" spans="2:25" s="426" customFormat="1" ht="12.75" x14ac:dyDescent="0.2">
      <c r="B1347" s="615"/>
      <c r="Y1347" s="626"/>
    </row>
    <row r="1348" spans="2:25" s="426" customFormat="1" ht="12.75" x14ac:dyDescent="0.2">
      <c r="B1348" s="615"/>
      <c r="Y1348" s="626"/>
    </row>
    <row r="1349" spans="2:25" s="426" customFormat="1" ht="12.75" x14ac:dyDescent="0.2">
      <c r="B1349" s="615"/>
      <c r="Y1349" s="626"/>
    </row>
    <row r="1350" spans="2:25" s="426" customFormat="1" ht="12.75" x14ac:dyDescent="0.2">
      <c r="B1350" s="615"/>
      <c r="Y1350" s="626"/>
    </row>
    <row r="1351" spans="2:25" s="426" customFormat="1" ht="12.75" x14ac:dyDescent="0.2">
      <c r="B1351" s="615"/>
      <c r="Y1351" s="626"/>
    </row>
    <row r="1352" spans="2:25" s="426" customFormat="1" ht="12.75" x14ac:dyDescent="0.2">
      <c r="B1352" s="615"/>
      <c r="Y1352" s="626"/>
    </row>
    <row r="1353" spans="2:25" s="426" customFormat="1" ht="12.75" x14ac:dyDescent="0.2">
      <c r="B1353" s="615"/>
      <c r="Y1353" s="626"/>
    </row>
    <row r="1354" spans="2:25" s="426" customFormat="1" ht="12.75" x14ac:dyDescent="0.2">
      <c r="B1354" s="615"/>
      <c r="Y1354" s="626"/>
    </row>
    <row r="1355" spans="2:25" s="426" customFormat="1" ht="12.75" x14ac:dyDescent="0.2">
      <c r="B1355" s="615"/>
      <c r="Y1355" s="626"/>
    </row>
    <row r="1356" spans="2:25" s="426" customFormat="1" ht="12.75" x14ac:dyDescent="0.2">
      <c r="B1356" s="615"/>
      <c r="Y1356" s="626"/>
    </row>
    <row r="1357" spans="2:25" s="426" customFormat="1" ht="12.75" x14ac:dyDescent="0.2">
      <c r="B1357" s="615"/>
      <c r="Y1357" s="626"/>
    </row>
    <row r="1358" spans="2:25" s="426" customFormat="1" ht="12.75" x14ac:dyDescent="0.2">
      <c r="B1358" s="615"/>
      <c r="Y1358" s="626"/>
    </row>
    <row r="1359" spans="2:25" s="426" customFormat="1" ht="12.75" x14ac:dyDescent="0.2">
      <c r="B1359" s="615"/>
      <c r="Y1359" s="626"/>
    </row>
    <row r="1360" spans="2:25" s="426" customFormat="1" ht="12.75" x14ac:dyDescent="0.2">
      <c r="B1360" s="615"/>
      <c r="Y1360" s="626"/>
    </row>
    <row r="1361" spans="2:25" s="426" customFormat="1" ht="12.75" x14ac:dyDescent="0.2">
      <c r="B1361" s="615"/>
      <c r="Y1361" s="626"/>
    </row>
    <row r="1362" spans="2:25" s="426" customFormat="1" ht="12.75" x14ac:dyDescent="0.2">
      <c r="B1362" s="615"/>
      <c r="Y1362" s="626"/>
    </row>
    <row r="1363" spans="2:25" s="426" customFormat="1" ht="12.75" x14ac:dyDescent="0.2">
      <c r="B1363" s="615"/>
      <c r="Y1363" s="626"/>
    </row>
    <row r="1364" spans="2:25" s="426" customFormat="1" ht="12.75" x14ac:dyDescent="0.2">
      <c r="B1364" s="615"/>
      <c r="Y1364" s="626"/>
    </row>
    <row r="1365" spans="2:25" s="426" customFormat="1" ht="12.75" x14ac:dyDescent="0.2">
      <c r="B1365" s="615"/>
      <c r="Y1365" s="626"/>
    </row>
    <row r="1366" spans="2:25" s="426" customFormat="1" ht="12.75" x14ac:dyDescent="0.2">
      <c r="B1366" s="615"/>
      <c r="Y1366" s="626"/>
    </row>
    <row r="1367" spans="2:25" s="426" customFormat="1" ht="12.75" x14ac:dyDescent="0.2">
      <c r="B1367" s="615"/>
      <c r="Y1367" s="626"/>
    </row>
    <row r="1368" spans="2:25" s="426" customFormat="1" ht="12.75" x14ac:dyDescent="0.2">
      <c r="B1368" s="615"/>
      <c r="Y1368" s="626"/>
    </row>
    <row r="1369" spans="2:25" s="426" customFormat="1" ht="12.75" x14ac:dyDescent="0.2">
      <c r="B1369" s="615"/>
      <c r="Y1369" s="626"/>
    </row>
    <row r="1370" spans="2:25" s="426" customFormat="1" ht="12.75" x14ac:dyDescent="0.2">
      <c r="B1370" s="615"/>
      <c r="Y1370" s="626"/>
    </row>
    <row r="1371" spans="2:25" s="426" customFormat="1" ht="12.75" x14ac:dyDescent="0.2">
      <c r="B1371" s="615"/>
      <c r="Y1371" s="626"/>
    </row>
    <row r="1372" spans="2:25" s="426" customFormat="1" ht="12.75" x14ac:dyDescent="0.2">
      <c r="B1372" s="615"/>
      <c r="Y1372" s="626"/>
    </row>
    <row r="1373" spans="2:25" s="426" customFormat="1" ht="12.75" x14ac:dyDescent="0.2">
      <c r="B1373" s="615"/>
      <c r="Y1373" s="626"/>
    </row>
    <row r="1374" spans="2:25" s="426" customFormat="1" ht="12.75" x14ac:dyDescent="0.2">
      <c r="B1374" s="615"/>
      <c r="Y1374" s="626"/>
    </row>
    <row r="1375" spans="2:25" s="426" customFormat="1" ht="12.75" x14ac:dyDescent="0.2">
      <c r="B1375" s="615"/>
      <c r="Y1375" s="626"/>
    </row>
    <row r="1376" spans="2:25" s="426" customFormat="1" ht="12.75" x14ac:dyDescent="0.2">
      <c r="B1376" s="615"/>
      <c r="Y1376" s="626"/>
    </row>
    <row r="1377" spans="2:25" s="426" customFormat="1" ht="12.75" x14ac:dyDescent="0.2">
      <c r="B1377" s="615"/>
      <c r="Y1377" s="626"/>
    </row>
    <row r="1378" spans="2:25" s="426" customFormat="1" ht="12.75" x14ac:dyDescent="0.2">
      <c r="B1378" s="615"/>
      <c r="Y1378" s="626"/>
    </row>
    <row r="1379" spans="2:25" s="426" customFormat="1" ht="12.75" x14ac:dyDescent="0.2">
      <c r="B1379" s="615"/>
      <c r="Y1379" s="626"/>
    </row>
    <row r="1380" spans="2:25" s="426" customFormat="1" ht="12.75" x14ac:dyDescent="0.2">
      <c r="B1380" s="615"/>
      <c r="Y1380" s="626"/>
    </row>
    <row r="1381" spans="2:25" s="426" customFormat="1" ht="12.75" x14ac:dyDescent="0.2">
      <c r="B1381" s="615"/>
      <c r="Y1381" s="626"/>
    </row>
    <row r="1382" spans="2:25" s="426" customFormat="1" ht="12.75" x14ac:dyDescent="0.2">
      <c r="B1382" s="615"/>
      <c r="Y1382" s="626"/>
    </row>
    <row r="1383" spans="2:25" s="426" customFormat="1" ht="12.75" x14ac:dyDescent="0.2">
      <c r="B1383" s="615"/>
      <c r="Y1383" s="626"/>
    </row>
    <row r="1384" spans="2:25" s="426" customFormat="1" ht="12.75" x14ac:dyDescent="0.2">
      <c r="B1384" s="615"/>
      <c r="Y1384" s="626"/>
    </row>
    <row r="1385" spans="2:25" s="426" customFormat="1" ht="12.75" x14ac:dyDescent="0.2">
      <c r="B1385" s="615"/>
      <c r="Y1385" s="626"/>
    </row>
    <row r="1386" spans="2:25" s="426" customFormat="1" ht="12.75" x14ac:dyDescent="0.2">
      <c r="B1386" s="615"/>
      <c r="Y1386" s="626"/>
    </row>
    <row r="1387" spans="2:25" s="426" customFormat="1" ht="12.75" x14ac:dyDescent="0.2">
      <c r="B1387" s="615"/>
      <c r="Y1387" s="626"/>
    </row>
    <row r="1388" spans="2:25" s="426" customFormat="1" ht="12.75" x14ac:dyDescent="0.2">
      <c r="B1388" s="615"/>
      <c r="Y1388" s="626"/>
    </row>
    <row r="1389" spans="2:25" s="426" customFormat="1" ht="12.75" x14ac:dyDescent="0.2">
      <c r="B1389" s="615"/>
      <c r="Y1389" s="626"/>
    </row>
    <row r="1390" spans="2:25" s="426" customFormat="1" ht="12.75" x14ac:dyDescent="0.2">
      <c r="B1390" s="615"/>
      <c r="Y1390" s="626"/>
    </row>
    <row r="1391" spans="2:25" s="426" customFormat="1" ht="12.75" x14ac:dyDescent="0.2">
      <c r="B1391" s="615"/>
      <c r="Y1391" s="626"/>
    </row>
    <row r="1392" spans="2:25" s="426" customFormat="1" ht="12.75" x14ac:dyDescent="0.2">
      <c r="B1392" s="615"/>
      <c r="Y1392" s="626"/>
    </row>
    <row r="1393" spans="2:25" s="426" customFormat="1" ht="12.75" x14ac:dyDescent="0.2">
      <c r="B1393" s="615"/>
      <c r="Y1393" s="626"/>
    </row>
    <row r="1394" spans="2:25" s="426" customFormat="1" ht="12.75" x14ac:dyDescent="0.2">
      <c r="B1394" s="615"/>
      <c r="Y1394" s="626"/>
    </row>
    <row r="1395" spans="2:25" s="426" customFormat="1" ht="12.75" x14ac:dyDescent="0.2">
      <c r="B1395" s="615"/>
      <c r="Y1395" s="626"/>
    </row>
    <row r="1396" spans="2:25" s="426" customFormat="1" ht="12.75" x14ac:dyDescent="0.2">
      <c r="B1396" s="615"/>
      <c r="Y1396" s="626"/>
    </row>
    <row r="1397" spans="2:25" s="426" customFormat="1" ht="12.75" x14ac:dyDescent="0.2">
      <c r="B1397" s="615"/>
      <c r="Y1397" s="626"/>
    </row>
    <row r="1398" spans="2:25" s="426" customFormat="1" ht="12.75" x14ac:dyDescent="0.2">
      <c r="B1398" s="615"/>
      <c r="Y1398" s="626"/>
    </row>
    <row r="1399" spans="2:25" s="426" customFormat="1" ht="12.75" x14ac:dyDescent="0.2">
      <c r="B1399" s="615"/>
      <c r="Y1399" s="626"/>
    </row>
    <row r="1400" spans="2:25" s="426" customFormat="1" ht="12.75" x14ac:dyDescent="0.2">
      <c r="B1400" s="615"/>
      <c r="Y1400" s="626"/>
    </row>
    <row r="1401" spans="2:25" s="426" customFormat="1" ht="12.75" x14ac:dyDescent="0.2">
      <c r="B1401" s="615"/>
      <c r="Y1401" s="626"/>
    </row>
    <row r="1402" spans="2:25" s="426" customFormat="1" ht="12.75" x14ac:dyDescent="0.2">
      <c r="B1402" s="615"/>
      <c r="Y1402" s="626"/>
    </row>
    <row r="1403" spans="2:25" s="426" customFormat="1" ht="12.75" x14ac:dyDescent="0.2">
      <c r="B1403" s="615"/>
      <c r="Y1403" s="626"/>
    </row>
    <row r="1404" spans="2:25" s="426" customFormat="1" ht="12.75" x14ac:dyDescent="0.2">
      <c r="B1404" s="615"/>
      <c r="Y1404" s="626"/>
    </row>
    <row r="1405" spans="2:25" s="426" customFormat="1" ht="12.75" x14ac:dyDescent="0.2">
      <c r="B1405" s="615"/>
      <c r="Y1405" s="626"/>
    </row>
    <row r="1406" spans="2:25" s="426" customFormat="1" ht="12.75" x14ac:dyDescent="0.2">
      <c r="B1406" s="615"/>
      <c r="Y1406" s="626"/>
    </row>
    <row r="1407" spans="2:25" s="426" customFormat="1" ht="12.75" x14ac:dyDescent="0.2">
      <c r="B1407" s="615"/>
      <c r="Y1407" s="626"/>
    </row>
    <row r="1408" spans="2:25" s="426" customFormat="1" ht="12.75" x14ac:dyDescent="0.2">
      <c r="B1408" s="615"/>
      <c r="Y1408" s="626"/>
    </row>
    <row r="1409" spans="2:25" s="426" customFormat="1" ht="12.75" x14ac:dyDescent="0.2">
      <c r="B1409" s="615"/>
      <c r="Y1409" s="626"/>
    </row>
    <row r="1410" spans="2:25" s="426" customFormat="1" ht="12.75" x14ac:dyDescent="0.2">
      <c r="B1410" s="615"/>
      <c r="Y1410" s="626"/>
    </row>
    <row r="1411" spans="2:25" s="426" customFormat="1" ht="12.75" x14ac:dyDescent="0.2">
      <c r="B1411" s="615"/>
      <c r="Y1411" s="626"/>
    </row>
    <row r="1412" spans="2:25" s="426" customFormat="1" ht="12.75" x14ac:dyDescent="0.2">
      <c r="B1412" s="615"/>
      <c r="Y1412" s="626"/>
    </row>
    <row r="1413" spans="2:25" s="426" customFormat="1" ht="12.75" x14ac:dyDescent="0.2">
      <c r="B1413" s="615"/>
      <c r="Y1413" s="626"/>
    </row>
    <row r="1414" spans="2:25" s="426" customFormat="1" ht="12.75" x14ac:dyDescent="0.2">
      <c r="B1414" s="615"/>
      <c r="Y1414" s="626"/>
    </row>
    <row r="1415" spans="2:25" s="426" customFormat="1" ht="12.75" x14ac:dyDescent="0.2">
      <c r="B1415" s="615"/>
      <c r="Y1415" s="626"/>
    </row>
    <row r="1416" spans="2:25" s="426" customFormat="1" ht="12.75" x14ac:dyDescent="0.2">
      <c r="B1416" s="615"/>
      <c r="Y1416" s="626"/>
    </row>
    <row r="1417" spans="2:25" s="426" customFormat="1" ht="12.75" x14ac:dyDescent="0.2">
      <c r="B1417" s="615"/>
      <c r="Y1417" s="626"/>
    </row>
    <row r="1418" spans="2:25" s="426" customFormat="1" ht="12.75" x14ac:dyDescent="0.2">
      <c r="B1418" s="615"/>
      <c r="Y1418" s="626"/>
    </row>
    <row r="1419" spans="2:25" s="426" customFormat="1" ht="12.75" x14ac:dyDescent="0.2">
      <c r="B1419" s="615"/>
      <c r="Y1419" s="626"/>
    </row>
    <row r="1420" spans="2:25" s="426" customFormat="1" ht="12.75" x14ac:dyDescent="0.2">
      <c r="B1420" s="615"/>
      <c r="Y1420" s="626"/>
    </row>
    <row r="1421" spans="2:25" s="426" customFormat="1" ht="12.75" x14ac:dyDescent="0.2">
      <c r="B1421" s="615"/>
      <c r="Y1421" s="626"/>
    </row>
    <row r="1422" spans="2:25" s="426" customFormat="1" ht="12.75" x14ac:dyDescent="0.2">
      <c r="B1422" s="615"/>
      <c r="Y1422" s="626"/>
    </row>
    <row r="1423" spans="2:25" s="426" customFormat="1" ht="12.75" x14ac:dyDescent="0.2">
      <c r="B1423" s="615"/>
      <c r="Y1423" s="626"/>
    </row>
    <row r="1424" spans="2:25" s="426" customFormat="1" ht="12.75" x14ac:dyDescent="0.2">
      <c r="B1424" s="615"/>
      <c r="Y1424" s="626"/>
    </row>
    <row r="1425" spans="2:25" s="426" customFormat="1" ht="12.75" x14ac:dyDescent="0.2">
      <c r="B1425" s="615"/>
      <c r="Y1425" s="626"/>
    </row>
    <row r="1426" spans="2:25" s="426" customFormat="1" ht="12.75" x14ac:dyDescent="0.2">
      <c r="B1426" s="615"/>
      <c r="Y1426" s="626"/>
    </row>
    <row r="1427" spans="2:25" s="426" customFormat="1" ht="12.75" x14ac:dyDescent="0.2">
      <c r="B1427" s="615"/>
      <c r="Y1427" s="626"/>
    </row>
    <row r="1428" spans="2:25" s="426" customFormat="1" ht="12.75" x14ac:dyDescent="0.2">
      <c r="B1428" s="615"/>
      <c r="Y1428" s="626"/>
    </row>
    <row r="1429" spans="2:25" s="426" customFormat="1" ht="12.75" x14ac:dyDescent="0.2">
      <c r="B1429" s="615"/>
      <c r="Y1429" s="626"/>
    </row>
    <row r="1430" spans="2:25" s="426" customFormat="1" ht="12.75" x14ac:dyDescent="0.2">
      <c r="B1430" s="615"/>
      <c r="Y1430" s="626"/>
    </row>
    <row r="1431" spans="2:25" s="426" customFormat="1" ht="12.75" x14ac:dyDescent="0.2">
      <c r="B1431" s="615"/>
      <c r="Y1431" s="626"/>
    </row>
    <row r="1432" spans="2:25" s="426" customFormat="1" ht="12.75" x14ac:dyDescent="0.2">
      <c r="B1432" s="615"/>
      <c r="Y1432" s="626"/>
    </row>
    <row r="1433" spans="2:25" s="426" customFormat="1" ht="12.75" x14ac:dyDescent="0.2">
      <c r="B1433" s="615"/>
      <c r="Y1433" s="626"/>
    </row>
    <row r="1434" spans="2:25" s="426" customFormat="1" ht="12.75" x14ac:dyDescent="0.2">
      <c r="B1434" s="615"/>
      <c r="Y1434" s="626"/>
    </row>
    <row r="1435" spans="2:25" s="426" customFormat="1" ht="12.75" x14ac:dyDescent="0.2">
      <c r="B1435" s="615"/>
      <c r="Y1435" s="626"/>
    </row>
    <row r="1436" spans="2:25" s="426" customFormat="1" ht="12.75" x14ac:dyDescent="0.2">
      <c r="B1436" s="615"/>
      <c r="Y1436" s="626"/>
    </row>
    <row r="1437" spans="2:25" s="426" customFormat="1" ht="12.75" x14ac:dyDescent="0.2">
      <c r="B1437" s="615"/>
      <c r="Y1437" s="626"/>
    </row>
    <row r="1438" spans="2:25" s="426" customFormat="1" ht="12.75" x14ac:dyDescent="0.2">
      <c r="B1438" s="615"/>
      <c r="Y1438" s="626"/>
    </row>
    <row r="1439" spans="2:25" s="426" customFormat="1" ht="12.75" x14ac:dyDescent="0.2">
      <c r="B1439" s="615"/>
      <c r="Y1439" s="626"/>
    </row>
    <row r="1440" spans="2:25" s="426" customFormat="1" ht="12.75" x14ac:dyDescent="0.2">
      <c r="B1440" s="615"/>
      <c r="Y1440" s="626"/>
    </row>
    <row r="1441" spans="2:25" s="426" customFormat="1" ht="12.75" x14ac:dyDescent="0.2">
      <c r="B1441" s="615"/>
      <c r="Y1441" s="626"/>
    </row>
    <row r="1442" spans="2:25" s="426" customFormat="1" ht="12.75" x14ac:dyDescent="0.2">
      <c r="B1442" s="615"/>
      <c r="Y1442" s="626"/>
    </row>
    <row r="1443" spans="2:25" s="426" customFormat="1" ht="12.75" x14ac:dyDescent="0.2">
      <c r="B1443" s="615"/>
      <c r="Y1443" s="626"/>
    </row>
    <row r="1444" spans="2:25" s="426" customFormat="1" ht="12.75" x14ac:dyDescent="0.2">
      <c r="B1444" s="615"/>
      <c r="Y1444" s="626"/>
    </row>
    <row r="1445" spans="2:25" s="426" customFormat="1" ht="12.75" x14ac:dyDescent="0.2">
      <c r="B1445" s="615"/>
      <c r="Y1445" s="626"/>
    </row>
    <row r="1446" spans="2:25" s="426" customFormat="1" ht="12.75" x14ac:dyDescent="0.2">
      <c r="B1446" s="615"/>
      <c r="Y1446" s="626"/>
    </row>
    <row r="1447" spans="2:25" s="426" customFormat="1" ht="12.75" x14ac:dyDescent="0.2">
      <c r="B1447" s="615"/>
      <c r="Y1447" s="626"/>
    </row>
    <row r="1448" spans="2:25" s="426" customFormat="1" ht="12.75" x14ac:dyDescent="0.2">
      <c r="B1448" s="615"/>
      <c r="Y1448" s="626"/>
    </row>
    <row r="1449" spans="2:25" s="426" customFormat="1" ht="12.75" x14ac:dyDescent="0.2">
      <c r="B1449" s="615"/>
      <c r="Y1449" s="626"/>
    </row>
    <row r="1450" spans="2:25" s="426" customFormat="1" ht="12.75" x14ac:dyDescent="0.2">
      <c r="B1450" s="615"/>
      <c r="Y1450" s="626"/>
    </row>
    <row r="1451" spans="2:25" s="426" customFormat="1" ht="12.75" x14ac:dyDescent="0.2">
      <c r="B1451" s="615"/>
      <c r="Y1451" s="626"/>
    </row>
    <row r="1452" spans="2:25" s="426" customFormat="1" ht="12.75" x14ac:dyDescent="0.2">
      <c r="B1452" s="615"/>
      <c r="Y1452" s="626"/>
    </row>
    <row r="1453" spans="2:25" s="426" customFormat="1" ht="12.75" x14ac:dyDescent="0.2">
      <c r="B1453" s="615"/>
      <c r="Y1453" s="626"/>
    </row>
    <row r="1454" spans="2:25" s="426" customFormat="1" ht="12.75" x14ac:dyDescent="0.2">
      <c r="B1454" s="615"/>
      <c r="Y1454" s="626"/>
    </row>
    <row r="1455" spans="2:25" s="426" customFormat="1" ht="12.75" x14ac:dyDescent="0.2">
      <c r="B1455" s="615"/>
      <c r="Y1455" s="626"/>
    </row>
    <row r="1456" spans="2:25" s="426" customFormat="1" ht="12.75" x14ac:dyDescent="0.2">
      <c r="B1456" s="615"/>
      <c r="Y1456" s="626"/>
    </row>
    <row r="1457" spans="2:25" s="426" customFormat="1" ht="12.75" x14ac:dyDescent="0.2">
      <c r="B1457" s="615"/>
      <c r="Y1457" s="626"/>
    </row>
    <row r="1458" spans="2:25" s="426" customFormat="1" ht="12.75" x14ac:dyDescent="0.2">
      <c r="B1458" s="615"/>
      <c r="Y1458" s="626"/>
    </row>
    <row r="1459" spans="2:25" s="426" customFormat="1" ht="12.75" x14ac:dyDescent="0.2">
      <c r="B1459" s="615"/>
      <c r="Y1459" s="626"/>
    </row>
    <row r="1460" spans="2:25" s="426" customFormat="1" ht="12.75" x14ac:dyDescent="0.2">
      <c r="B1460" s="615"/>
      <c r="Y1460" s="626"/>
    </row>
    <row r="1461" spans="2:25" s="426" customFormat="1" ht="12.75" x14ac:dyDescent="0.2">
      <c r="B1461" s="615"/>
      <c r="Y1461" s="626"/>
    </row>
    <row r="1462" spans="2:25" s="426" customFormat="1" ht="12.75" x14ac:dyDescent="0.2">
      <c r="B1462" s="615"/>
      <c r="Y1462" s="626"/>
    </row>
    <row r="1463" spans="2:25" s="426" customFormat="1" ht="12.75" x14ac:dyDescent="0.2">
      <c r="B1463" s="615"/>
      <c r="Y1463" s="626"/>
    </row>
    <row r="1464" spans="2:25" s="426" customFormat="1" ht="12.75" x14ac:dyDescent="0.2">
      <c r="B1464" s="615"/>
      <c r="Y1464" s="626"/>
    </row>
    <row r="1465" spans="2:25" s="426" customFormat="1" ht="12.75" x14ac:dyDescent="0.2">
      <c r="B1465" s="615"/>
      <c r="Y1465" s="626"/>
    </row>
    <row r="1466" spans="2:25" s="426" customFormat="1" ht="12.75" x14ac:dyDescent="0.2">
      <c r="B1466" s="615"/>
      <c r="Y1466" s="626"/>
    </row>
    <row r="1467" spans="2:25" s="426" customFormat="1" ht="12.75" x14ac:dyDescent="0.2">
      <c r="B1467" s="615"/>
      <c r="Y1467" s="626"/>
    </row>
    <row r="1468" spans="2:25" s="426" customFormat="1" ht="12.75" x14ac:dyDescent="0.2">
      <c r="B1468" s="615"/>
      <c r="Y1468" s="626"/>
    </row>
    <row r="1469" spans="2:25" s="426" customFormat="1" ht="12.75" x14ac:dyDescent="0.2">
      <c r="B1469" s="615"/>
      <c r="Y1469" s="626"/>
    </row>
    <row r="1470" spans="2:25" s="426" customFormat="1" ht="12.75" x14ac:dyDescent="0.2">
      <c r="B1470" s="615"/>
      <c r="Y1470" s="626"/>
    </row>
    <row r="1471" spans="2:25" s="426" customFormat="1" ht="12.75" x14ac:dyDescent="0.2">
      <c r="B1471" s="615"/>
      <c r="Y1471" s="626"/>
    </row>
    <row r="1472" spans="2:25" s="426" customFormat="1" ht="12.75" x14ac:dyDescent="0.2">
      <c r="B1472" s="615"/>
      <c r="Y1472" s="626"/>
    </row>
    <row r="1473" spans="2:25" s="426" customFormat="1" ht="12.75" x14ac:dyDescent="0.2">
      <c r="B1473" s="615"/>
      <c r="Y1473" s="626"/>
    </row>
    <row r="1474" spans="2:25" s="426" customFormat="1" ht="12.75" x14ac:dyDescent="0.2">
      <c r="B1474" s="615"/>
      <c r="Y1474" s="626"/>
    </row>
    <row r="1475" spans="2:25" s="426" customFormat="1" ht="12.75" x14ac:dyDescent="0.2">
      <c r="B1475" s="615"/>
      <c r="Y1475" s="626"/>
    </row>
    <row r="1476" spans="2:25" s="426" customFormat="1" ht="12.75" x14ac:dyDescent="0.2">
      <c r="B1476" s="615"/>
      <c r="Y1476" s="626"/>
    </row>
    <row r="1477" spans="2:25" s="426" customFormat="1" ht="12.75" x14ac:dyDescent="0.2">
      <c r="B1477" s="615"/>
      <c r="Y1477" s="626"/>
    </row>
    <row r="1478" spans="2:25" s="426" customFormat="1" ht="12.75" x14ac:dyDescent="0.2">
      <c r="B1478" s="615"/>
      <c r="Y1478" s="626"/>
    </row>
    <row r="1479" spans="2:25" s="426" customFormat="1" ht="12.75" x14ac:dyDescent="0.2">
      <c r="B1479" s="615"/>
      <c r="Y1479" s="626"/>
    </row>
    <row r="1480" spans="2:25" s="426" customFormat="1" ht="12.75" x14ac:dyDescent="0.2">
      <c r="B1480" s="615"/>
      <c r="Y1480" s="626"/>
    </row>
    <row r="1481" spans="2:25" s="426" customFormat="1" ht="12.75" x14ac:dyDescent="0.2">
      <c r="B1481" s="615"/>
      <c r="Y1481" s="626"/>
    </row>
    <row r="1482" spans="2:25" s="426" customFormat="1" ht="12.75" x14ac:dyDescent="0.2">
      <c r="B1482" s="615"/>
      <c r="Y1482" s="626"/>
    </row>
    <row r="1483" spans="2:25" s="426" customFormat="1" ht="12.75" x14ac:dyDescent="0.2">
      <c r="B1483" s="615"/>
      <c r="Y1483" s="626"/>
    </row>
    <row r="1484" spans="2:25" s="426" customFormat="1" ht="12.75" x14ac:dyDescent="0.2">
      <c r="B1484" s="615"/>
      <c r="Y1484" s="626"/>
    </row>
    <row r="1485" spans="2:25" s="426" customFormat="1" ht="12.75" x14ac:dyDescent="0.2">
      <c r="B1485" s="615"/>
      <c r="Y1485" s="626"/>
    </row>
    <row r="1486" spans="2:25" s="426" customFormat="1" ht="12.75" x14ac:dyDescent="0.2">
      <c r="B1486" s="615"/>
      <c r="Y1486" s="626"/>
    </row>
    <row r="1487" spans="2:25" s="426" customFormat="1" ht="12.75" x14ac:dyDescent="0.2">
      <c r="B1487" s="615"/>
      <c r="Y1487" s="626"/>
    </row>
    <row r="1488" spans="2:25" s="426" customFormat="1" ht="12.75" x14ac:dyDescent="0.2">
      <c r="B1488" s="615"/>
      <c r="Y1488" s="626"/>
    </row>
    <row r="1489" spans="2:25" s="426" customFormat="1" ht="12.75" x14ac:dyDescent="0.2">
      <c r="B1489" s="615"/>
      <c r="Y1489" s="626"/>
    </row>
    <row r="1490" spans="2:25" s="426" customFormat="1" ht="12.75" x14ac:dyDescent="0.2">
      <c r="B1490" s="615"/>
      <c r="Y1490" s="626"/>
    </row>
    <row r="1491" spans="2:25" s="426" customFormat="1" ht="12.75" x14ac:dyDescent="0.2">
      <c r="B1491" s="615"/>
      <c r="Y1491" s="626"/>
    </row>
    <row r="1492" spans="2:25" s="426" customFormat="1" ht="12.75" x14ac:dyDescent="0.2">
      <c r="B1492" s="615"/>
      <c r="Y1492" s="626"/>
    </row>
    <row r="1493" spans="2:25" s="426" customFormat="1" ht="12.75" x14ac:dyDescent="0.2">
      <c r="B1493" s="615"/>
      <c r="Y1493" s="626"/>
    </row>
    <row r="1494" spans="2:25" s="426" customFormat="1" ht="12.75" x14ac:dyDescent="0.2">
      <c r="B1494" s="615"/>
      <c r="Y1494" s="626"/>
    </row>
    <row r="1495" spans="2:25" s="426" customFormat="1" ht="12.75" x14ac:dyDescent="0.2">
      <c r="B1495" s="615"/>
      <c r="Y1495" s="626"/>
    </row>
    <row r="1496" spans="2:25" s="426" customFormat="1" ht="12.75" x14ac:dyDescent="0.2">
      <c r="B1496" s="615"/>
      <c r="Y1496" s="626"/>
    </row>
    <row r="1497" spans="2:25" s="426" customFormat="1" ht="12.75" x14ac:dyDescent="0.2">
      <c r="B1497" s="615"/>
      <c r="Y1497" s="626"/>
    </row>
    <row r="1498" spans="2:25" s="426" customFormat="1" ht="12.75" x14ac:dyDescent="0.2">
      <c r="B1498" s="615"/>
      <c r="Y1498" s="626"/>
    </row>
    <row r="1499" spans="2:25" s="426" customFormat="1" ht="12.75" x14ac:dyDescent="0.2">
      <c r="B1499" s="615"/>
      <c r="Y1499" s="626"/>
    </row>
    <row r="1500" spans="2:25" s="426" customFormat="1" ht="12.75" x14ac:dyDescent="0.2">
      <c r="B1500" s="615"/>
      <c r="Y1500" s="626"/>
    </row>
    <row r="1501" spans="2:25" s="426" customFormat="1" ht="12.75" x14ac:dyDescent="0.2">
      <c r="B1501" s="615"/>
      <c r="Y1501" s="626"/>
    </row>
    <row r="1502" spans="2:25" s="426" customFormat="1" ht="12.75" x14ac:dyDescent="0.2">
      <c r="B1502" s="615"/>
      <c r="Y1502" s="626"/>
    </row>
    <row r="1503" spans="2:25" s="426" customFormat="1" ht="12.75" x14ac:dyDescent="0.2">
      <c r="B1503" s="615"/>
      <c r="Y1503" s="626"/>
    </row>
    <row r="1504" spans="2:25" s="426" customFormat="1" ht="12.75" x14ac:dyDescent="0.2">
      <c r="B1504" s="615"/>
      <c r="Y1504" s="626"/>
    </row>
    <row r="1505" spans="2:25" s="426" customFormat="1" ht="12.75" x14ac:dyDescent="0.2">
      <c r="B1505" s="615"/>
      <c r="Y1505" s="626"/>
    </row>
    <row r="1506" spans="2:25" s="426" customFormat="1" ht="12.75" x14ac:dyDescent="0.2">
      <c r="B1506" s="615"/>
      <c r="Y1506" s="626"/>
    </row>
    <row r="1507" spans="2:25" s="426" customFormat="1" ht="12.75" x14ac:dyDescent="0.2">
      <c r="B1507" s="615"/>
      <c r="Y1507" s="626"/>
    </row>
    <row r="1508" spans="2:25" s="426" customFormat="1" ht="12.75" x14ac:dyDescent="0.2">
      <c r="B1508" s="615"/>
      <c r="Y1508" s="626"/>
    </row>
    <row r="1509" spans="2:25" s="426" customFormat="1" ht="12.75" x14ac:dyDescent="0.2">
      <c r="B1509" s="615"/>
      <c r="Y1509" s="626"/>
    </row>
    <row r="1510" spans="2:25" s="426" customFormat="1" ht="12.75" x14ac:dyDescent="0.2">
      <c r="B1510" s="615"/>
      <c r="Y1510" s="626"/>
    </row>
    <row r="1511" spans="2:25" s="426" customFormat="1" ht="12.75" x14ac:dyDescent="0.2">
      <c r="B1511" s="615"/>
      <c r="Y1511" s="626"/>
    </row>
    <row r="1512" spans="2:25" s="426" customFormat="1" ht="12.75" x14ac:dyDescent="0.2">
      <c r="B1512" s="615"/>
      <c r="Y1512" s="626"/>
    </row>
    <row r="1513" spans="2:25" s="426" customFormat="1" ht="12.75" x14ac:dyDescent="0.2">
      <c r="B1513" s="615"/>
      <c r="Y1513" s="626"/>
    </row>
    <row r="1514" spans="2:25" s="426" customFormat="1" ht="12.75" x14ac:dyDescent="0.2">
      <c r="B1514" s="615"/>
      <c r="Y1514" s="626"/>
    </row>
    <row r="1515" spans="2:25" s="426" customFormat="1" ht="12.75" x14ac:dyDescent="0.2">
      <c r="B1515" s="615"/>
      <c r="Y1515" s="626"/>
    </row>
    <row r="1516" spans="2:25" s="426" customFormat="1" ht="12.75" x14ac:dyDescent="0.2">
      <c r="B1516" s="615"/>
      <c r="Y1516" s="626"/>
    </row>
    <row r="1517" spans="2:25" s="426" customFormat="1" ht="12.75" x14ac:dyDescent="0.2">
      <c r="B1517" s="615"/>
      <c r="Y1517" s="626"/>
    </row>
    <row r="1518" spans="2:25" s="426" customFormat="1" ht="12.75" x14ac:dyDescent="0.2">
      <c r="B1518" s="615"/>
      <c r="Y1518" s="626"/>
    </row>
    <row r="1519" spans="2:25" s="426" customFormat="1" ht="12.75" x14ac:dyDescent="0.2">
      <c r="B1519" s="615"/>
      <c r="Y1519" s="626"/>
    </row>
    <row r="1520" spans="2:25" s="426" customFormat="1" ht="12.75" x14ac:dyDescent="0.2">
      <c r="B1520" s="615"/>
      <c r="Y1520" s="626"/>
    </row>
    <row r="1521" spans="2:25" s="426" customFormat="1" ht="12.75" x14ac:dyDescent="0.2">
      <c r="B1521" s="615"/>
      <c r="Y1521" s="626"/>
    </row>
    <row r="1522" spans="2:25" s="426" customFormat="1" ht="12.75" x14ac:dyDescent="0.2">
      <c r="B1522" s="615"/>
      <c r="Y1522" s="626"/>
    </row>
    <row r="1523" spans="2:25" s="426" customFormat="1" ht="12.75" x14ac:dyDescent="0.2">
      <c r="B1523" s="615"/>
      <c r="Y1523" s="626"/>
    </row>
    <row r="1524" spans="2:25" s="426" customFormat="1" ht="12.75" x14ac:dyDescent="0.2">
      <c r="B1524" s="615"/>
      <c r="Y1524" s="626"/>
    </row>
    <row r="1525" spans="2:25" s="426" customFormat="1" ht="12.75" x14ac:dyDescent="0.2">
      <c r="B1525" s="615"/>
      <c r="Y1525" s="626"/>
    </row>
    <row r="1526" spans="2:25" s="426" customFormat="1" ht="12.75" x14ac:dyDescent="0.2">
      <c r="B1526" s="615"/>
      <c r="Y1526" s="626"/>
    </row>
    <row r="1527" spans="2:25" s="426" customFormat="1" ht="12.75" x14ac:dyDescent="0.2">
      <c r="B1527" s="615"/>
      <c r="Y1527" s="626"/>
    </row>
    <row r="1528" spans="2:25" s="426" customFormat="1" ht="12.75" x14ac:dyDescent="0.2">
      <c r="B1528" s="615"/>
      <c r="Y1528" s="626"/>
    </row>
    <row r="1529" spans="2:25" s="426" customFormat="1" ht="12.75" x14ac:dyDescent="0.2">
      <c r="B1529" s="615"/>
      <c r="Y1529" s="626"/>
    </row>
    <row r="1530" spans="2:25" s="426" customFormat="1" ht="12.75" x14ac:dyDescent="0.2">
      <c r="B1530" s="615"/>
      <c r="Y1530" s="626"/>
    </row>
    <row r="1531" spans="2:25" s="426" customFormat="1" ht="12.75" x14ac:dyDescent="0.2">
      <c r="B1531" s="615"/>
      <c r="Y1531" s="626"/>
    </row>
    <row r="1532" spans="2:25" s="426" customFormat="1" ht="12.75" x14ac:dyDescent="0.2">
      <c r="B1532" s="615"/>
      <c r="Y1532" s="626"/>
    </row>
    <row r="1533" spans="2:25" s="426" customFormat="1" ht="12.75" x14ac:dyDescent="0.2">
      <c r="B1533" s="615"/>
      <c r="Y1533" s="626"/>
    </row>
    <row r="1534" spans="2:25" s="426" customFormat="1" ht="12.75" x14ac:dyDescent="0.2">
      <c r="B1534" s="615"/>
      <c r="Y1534" s="626"/>
    </row>
    <row r="1535" spans="2:25" s="426" customFormat="1" ht="12.75" x14ac:dyDescent="0.2">
      <c r="B1535" s="615"/>
      <c r="Y1535" s="626"/>
    </row>
    <row r="1536" spans="2:25" s="426" customFormat="1" ht="12.75" x14ac:dyDescent="0.2">
      <c r="B1536" s="615"/>
      <c r="Y1536" s="626"/>
    </row>
    <row r="1537" spans="2:25" s="426" customFormat="1" ht="12.75" x14ac:dyDescent="0.2">
      <c r="B1537" s="615"/>
      <c r="Y1537" s="626"/>
    </row>
    <row r="1538" spans="2:25" s="426" customFormat="1" ht="12.75" x14ac:dyDescent="0.2">
      <c r="B1538" s="615"/>
      <c r="Y1538" s="626"/>
    </row>
    <row r="1539" spans="2:25" s="426" customFormat="1" ht="12.75" x14ac:dyDescent="0.2">
      <c r="B1539" s="615"/>
      <c r="Y1539" s="626"/>
    </row>
    <row r="1540" spans="2:25" s="426" customFormat="1" ht="12.75" x14ac:dyDescent="0.2">
      <c r="B1540" s="615"/>
      <c r="Y1540" s="626"/>
    </row>
    <row r="1541" spans="2:25" s="426" customFormat="1" ht="12.75" x14ac:dyDescent="0.2">
      <c r="B1541" s="615"/>
      <c r="Y1541" s="626"/>
    </row>
    <row r="1542" spans="2:25" s="426" customFormat="1" ht="12.75" x14ac:dyDescent="0.2">
      <c r="B1542" s="615"/>
      <c r="Y1542" s="626"/>
    </row>
    <row r="1543" spans="2:25" s="426" customFormat="1" ht="12.75" x14ac:dyDescent="0.2">
      <c r="B1543" s="615"/>
      <c r="Y1543" s="626"/>
    </row>
    <row r="1544" spans="2:25" s="426" customFormat="1" ht="12.75" x14ac:dyDescent="0.2">
      <c r="B1544" s="615"/>
      <c r="Y1544" s="626"/>
    </row>
    <row r="1545" spans="2:25" s="426" customFormat="1" ht="12.75" x14ac:dyDescent="0.2">
      <c r="B1545" s="615"/>
      <c r="Y1545" s="626"/>
    </row>
    <row r="1546" spans="2:25" s="426" customFormat="1" ht="12.75" x14ac:dyDescent="0.2">
      <c r="B1546" s="615"/>
      <c r="Y1546" s="626"/>
    </row>
    <row r="1547" spans="2:25" s="426" customFormat="1" ht="12.75" x14ac:dyDescent="0.2">
      <c r="B1547" s="615"/>
      <c r="Y1547" s="626"/>
    </row>
    <row r="1548" spans="2:25" s="426" customFormat="1" ht="12.75" x14ac:dyDescent="0.2">
      <c r="B1548" s="615"/>
      <c r="Y1548" s="626"/>
    </row>
    <row r="1549" spans="2:25" s="426" customFormat="1" ht="12.75" x14ac:dyDescent="0.2">
      <c r="B1549" s="615"/>
      <c r="Y1549" s="626"/>
    </row>
    <row r="1550" spans="2:25" s="426" customFormat="1" ht="12.75" x14ac:dyDescent="0.2">
      <c r="B1550" s="615"/>
      <c r="Y1550" s="626"/>
    </row>
    <row r="1551" spans="2:25" s="426" customFormat="1" ht="12.75" x14ac:dyDescent="0.2">
      <c r="B1551" s="615"/>
      <c r="Y1551" s="626"/>
    </row>
    <row r="1552" spans="2:25" s="426" customFormat="1" ht="12.75" x14ac:dyDescent="0.2">
      <c r="B1552" s="615"/>
      <c r="Y1552" s="626"/>
    </row>
    <row r="1553" spans="2:25" s="426" customFormat="1" ht="12.75" x14ac:dyDescent="0.2">
      <c r="B1553" s="615"/>
      <c r="Y1553" s="626"/>
    </row>
    <row r="1554" spans="2:25" s="426" customFormat="1" ht="12.75" x14ac:dyDescent="0.2">
      <c r="B1554" s="615"/>
      <c r="Y1554" s="626"/>
    </row>
    <row r="1555" spans="2:25" s="426" customFormat="1" ht="12.75" x14ac:dyDescent="0.2">
      <c r="B1555" s="615"/>
      <c r="Y1555" s="626"/>
    </row>
    <row r="1556" spans="2:25" s="426" customFormat="1" ht="12.75" x14ac:dyDescent="0.2">
      <c r="B1556" s="615"/>
      <c r="Y1556" s="626"/>
    </row>
    <row r="1557" spans="2:25" s="426" customFormat="1" ht="12.75" x14ac:dyDescent="0.2">
      <c r="B1557" s="615"/>
      <c r="Y1557" s="626"/>
    </row>
    <row r="1558" spans="2:25" s="426" customFormat="1" ht="12.75" x14ac:dyDescent="0.2">
      <c r="B1558" s="615"/>
      <c r="Y1558" s="626"/>
    </row>
    <row r="1559" spans="2:25" s="426" customFormat="1" ht="12.75" x14ac:dyDescent="0.2">
      <c r="B1559" s="615"/>
      <c r="Y1559" s="626"/>
    </row>
    <row r="1560" spans="2:25" s="426" customFormat="1" ht="12.75" x14ac:dyDescent="0.2">
      <c r="B1560" s="615"/>
      <c r="Y1560" s="626"/>
    </row>
    <row r="1561" spans="2:25" s="426" customFormat="1" ht="12.75" x14ac:dyDescent="0.2">
      <c r="B1561" s="615"/>
      <c r="Y1561" s="626"/>
    </row>
    <row r="1562" spans="2:25" s="426" customFormat="1" ht="12.75" x14ac:dyDescent="0.2">
      <c r="B1562" s="615"/>
      <c r="Y1562" s="626"/>
    </row>
    <row r="1563" spans="2:25" s="426" customFormat="1" ht="12.75" x14ac:dyDescent="0.2">
      <c r="B1563" s="615"/>
      <c r="Y1563" s="626"/>
    </row>
    <row r="1564" spans="2:25" s="426" customFormat="1" ht="12.75" x14ac:dyDescent="0.2">
      <c r="B1564" s="615"/>
      <c r="Y1564" s="626"/>
    </row>
    <row r="1565" spans="2:25" s="426" customFormat="1" ht="12.75" x14ac:dyDescent="0.2">
      <c r="B1565" s="615"/>
      <c r="Y1565" s="626"/>
    </row>
    <row r="1566" spans="2:25" s="426" customFormat="1" ht="12.75" x14ac:dyDescent="0.2">
      <c r="B1566" s="615"/>
      <c r="Y1566" s="626"/>
    </row>
    <row r="1567" spans="2:25" s="426" customFormat="1" ht="12.75" x14ac:dyDescent="0.2">
      <c r="B1567" s="615"/>
      <c r="Y1567" s="626"/>
    </row>
    <row r="1568" spans="2:25" s="426" customFormat="1" ht="12.75" x14ac:dyDescent="0.2">
      <c r="B1568" s="615"/>
      <c r="Y1568" s="626"/>
    </row>
    <row r="1569" spans="2:25" s="426" customFormat="1" ht="12.75" x14ac:dyDescent="0.2">
      <c r="B1569" s="615"/>
      <c r="Y1569" s="626"/>
    </row>
    <row r="1570" spans="2:25" s="426" customFormat="1" ht="12.75" x14ac:dyDescent="0.2">
      <c r="B1570" s="615"/>
      <c r="Y1570" s="626"/>
    </row>
    <row r="1571" spans="2:25" s="426" customFormat="1" ht="12.75" x14ac:dyDescent="0.2">
      <c r="B1571" s="615"/>
      <c r="Y1571" s="626"/>
    </row>
    <row r="1572" spans="2:25" s="426" customFormat="1" ht="12.75" x14ac:dyDescent="0.2">
      <c r="B1572" s="615"/>
      <c r="Y1572" s="626"/>
    </row>
  </sheetData>
  <mergeCells count="30">
    <mergeCell ref="B738:C738"/>
    <mergeCell ref="B1070:D1070"/>
    <mergeCell ref="B654:C654"/>
    <mergeCell ref="AA667:AA671"/>
    <mergeCell ref="AA672:AA684"/>
    <mergeCell ref="AA685:AA688"/>
    <mergeCell ref="M720:N720"/>
    <mergeCell ref="B737:C737"/>
    <mergeCell ref="F737:G737"/>
    <mergeCell ref="B653:C653"/>
    <mergeCell ref="F653:G653"/>
    <mergeCell ref="S178:V178"/>
    <mergeCell ref="H181:I181"/>
    <mergeCell ref="D225:E225"/>
    <mergeCell ref="F225:G225"/>
    <mergeCell ref="D236:E236"/>
    <mergeCell ref="F236:G236"/>
    <mergeCell ref="B240:G240"/>
    <mergeCell ref="B273:C273"/>
    <mergeCell ref="D273:E273"/>
    <mergeCell ref="E339:F339"/>
    <mergeCell ref="G339:H339"/>
    <mergeCell ref="C27:D27"/>
    <mergeCell ref="AG44:AM44"/>
    <mergeCell ref="AO44:AP44"/>
    <mergeCell ref="AD47:AE47"/>
    <mergeCell ref="E75:F75"/>
    <mergeCell ref="G75:H75"/>
    <mergeCell ref="I75:J75"/>
    <mergeCell ref="K75:P75"/>
  </mergeCells>
  <printOptions gridLines="1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E360-B3A4-4424-90D4-EF7CB4459A45}">
  <dimension ref="A4:P132"/>
  <sheetViews>
    <sheetView workbookViewId="0"/>
  </sheetViews>
  <sheetFormatPr defaultRowHeight="15" x14ac:dyDescent="0.25"/>
  <cols>
    <col min="2" max="2" style="2" width="8.7109375"/>
    <col min="3" max="3" customWidth="true" width="18.7109375"/>
    <col min="4" max="4" customWidth="true" width="14.85546875"/>
    <col min="7" max="7" customWidth="true" width="16.85546875"/>
    <col min="8" max="8" customWidth="true" width="16.5703125"/>
    <col min="9" max="9" customWidth="true" width="16.140625"/>
    <col min="10" max="10" customWidth="true" width="15.42578125"/>
    <col min="11" max="11" customWidth="true" width="14.28515625"/>
    <col min="12" max="12" customWidth="true" width="14.42578125"/>
    <col min="13" max="13" customWidth="true" width="14.140625"/>
    <col min="14" max="14" customWidth="true" width="16.0"/>
    <col min="15" max="15" customWidth="true" width="15.7109375"/>
    <col min="16" max="16" customWidth="true" width="15.140625"/>
  </cols>
  <sheetData>
    <row r="4" spans="1:16" x14ac:dyDescent="0.25">
      <c r="A4" s="21"/>
      <c r="B4" s="473" t="str">
        <f>VLOOKUP(BLO!B6,$A$5:$D$70,2,0)</f>
        <v>B</v>
      </c>
      <c r="C4" s="23" t="str">
        <f>VLOOKUP(BLO!B6,$A$5:$D$70,3,0)</f>
        <v>Wit extra sterk</v>
      </c>
      <c r="D4" s="472" t="str">
        <f>VLOOKUP(BLO!B6,$A$5:$D$70,4,0)</f>
        <v>BKT14WS</v>
      </c>
      <c r="G4" t="s">
        <v>39</v>
      </c>
      <c r="H4" s="2">
        <f>IF(H5='Input (2)'!$B$3,1,0)</f>
        <v>0</v>
      </c>
      <c r="I4" s="2">
        <f>IF(I5='Input (2)'!$B$3,1,0)</f>
        <v>1</v>
      </c>
      <c r="J4" s="2">
        <f>IF(J5='Input (2)'!$B$3,1,0)</f>
        <v>0</v>
      </c>
      <c r="K4" s="2">
        <f>IF(K5='Input (2)'!$B$3,1,0)</f>
        <v>0</v>
      </c>
      <c r="L4" s="2">
        <f>IF(L5='Input (2)'!$B$3,1,0)</f>
        <v>0</v>
      </c>
      <c r="M4" s="2">
        <f>IF(M5='Input (2)'!$B$3,1,0)</f>
        <v>0</v>
      </c>
      <c r="N4" s="2">
        <f>IF(N5='Input (2)'!$B$3,1,0)</f>
        <v>0</v>
      </c>
      <c r="O4" s="2">
        <f>IF(O5='Input (2)'!$B$3,1,0)</f>
        <v>0</v>
      </c>
      <c r="P4" s="2">
        <f>IF(P5='Input (2)'!$B$3,1,0)</f>
        <v>0</v>
      </c>
    </row>
    <row r="5" spans="1:16" x14ac:dyDescent="0.25">
      <c r="A5" s="13" t="s">
        <v>28</v>
      </c>
      <c r="B5" s="432" t="s">
        <v>0</v>
      </c>
      <c r="C5" s="343" t="s">
        <v>27</v>
      </c>
      <c r="D5" s="436" t="s">
        <v>29</v>
      </c>
      <c r="G5" s="11"/>
      <c r="H5" s="3" t="s">
        <v>30</v>
      </c>
      <c r="I5" s="4" t="s">
        <v>31</v>
      </c>
      <c r="J5" s="4" t="s">
        <v>32</v>
      </c>
      <c r="K5" s="4" t="s">
        <v>34</v>
      </c>
      <c r="L5" s="4" t="s">
        <v>33</v>
      </c>
      <c r="M5" s="4" t="s">
        <v>35</v>
      </c>
      <c r="N5" s="4" t="s">
        <v>36</v>
      </c>
      <c r="O5" s="4" t="s">
        <v>37</v>
      </c>
      <c r="P5" s="5" t="s">
        <v>38</v>
      </c>
    </row>
    <row r="6" spans="1:16" x14ac:dyDescent="0.25">
      <c r="A6" s="1125">
        <v>10095</v>
      </c>
      <c r="B6" s="1126" t="s">
        <v>30</v>
      </c>
      <c r="C6" s="822" t="s">
        <v>97</v>
      </c>
      <c r="D6" s="823" t="s">
        <v>410</v>
      </c>
      <c r="F6">
        <v>3</v>
      </c>
      <c r="G6" s="12" t="str">
        <f t="shared" ref="G6:G23" si="0">HLOOKUP(1,$H$4:$Q$24,F6,FALSE)</f>
        <v>Bruin budget</v>
      </c>
      <c r="H6" s="6" t="s">
        <v>97</v>
      </c>
      <c r="I6" t="s">
        <v>97</v>
      </c>
      <c r="J6" t="s">
        <v>97</v>
      </c>
      <c r="K6" t="s">
        <v>40</v>
      </c>
      <c r="L6" t="s">
        <v>97</v>
      </c>
      <c r="M6" t="s">
        <v>97</v>
      </c>
      <c r="N6" t="s">
        <v>97</v>
      </c>
      <c r="O6" t="s">
        <v>40</v>
      </c>
      <c r="P6" s="7" t="s">
        <v>97</v>
      </c>
    </row>
    <row r="7" spans="1:16" x14ac:dyDescent="0.25">
      <c r="A7" s="1125">
        <v>10097</v>
      </c>
      <c r="B7" s="29" t="s">
        <v>30</v>
      </c>
      <c r="C7" s="789" t="s">
        <v>40</v>
      </c>
      <c r="D7" s="55" t="s">
        <v>413</v>
      </c>
      <c r="F7">
        <v>4</v>
      </c>
      <c r="G7" s="12" t="str">
        <f t="shared" si="0"/>
        <v>Bruin standaard</v>
      </c>
      <c r="H7" s="6" t="s">
        <v>40</v>
      </c>
      <c r="I7" t="s">
        <v>40</v>
      </c>
      <c r="J7" t="s">
        <v>40</v>
      </c>
      <c r="K7" t="str">
        <f t="shared" ref="K7:K10" si="1">" "</f>
        <v xml:space="preserve"> </v>
      </c>
      <c r="L7" t="s">
        <v>40</v>
      </c>
      <c r="M7" t="s">
        <v>40</v>
      </c>
      <c r="N7" t="s">
        <v>40</v>
      </c>
      <c r="O7" t="s">
        <v>889</v>
      </c>
      <c r="P7" s="7" t="s">
        <v>40</v>
      </c>
    </row>
    <row r="8" spans="1:16" x14ac:dyDescent="0.25">
      <c r="A8" s="1125">
        <v>10134</v>
      </c>
      <c r="B8" s="29" t="s">
        <v>30</v>
      </c>
      <c r="C8" s="789" t="s">
        <v>889</v>
      </c>
      <c r="D8" s="55" t="s">
        <v>424</v>
      </c>
      <c r="F8">
        <v>5</v>
      </c>
      <c r="G8" s="12" t="str">
        <f t="shared" si="0"/>
        <v>bruin extra sterk</v>
      </c>
      <c r="H8" s="6" t="s">
        <v>887</v>
      </c>
      <c r="I8" t="s">
        <v>887</v>
      </c>
      <c r="J8" t="s">
        <v>887</v>
      </c>
      <c r="K8" t="str">
        <f t="shared" si="1"/>
        <v xml:space="preserve"> </v>
      </c>
      <c r="L8" t="s">
        <v>98</v>
      </c>
      <c r="M8" t="s">
        <v>41</v>
      </c>
      <c r="N8" t="s">
        <v>887</v>
      </c>
      <c r="O8" t="str">
        <f t="shared" ref="H8:P23" si="2">" "</f>
        <v xml:space="preserve"> </v>
      </c>
      <c r="P8" s="7" t="s">
        <v>887</v>
      </c>
    </row>
    <row r="9" spans="1:16" x14ac:dyDescent="0.25">
      <c r="A9" s="1125">
        <v>10099</v>
      </c>
      <c r="B9" s="29" t="s">
        <v>30</v>
      </c>
      <c r="C9" s="789" t="s">
        <v>41</v>
      </c>
      <c r="D9" s="55" t="s">
        <v>417</v>
      </c>
      <c r="F9">
        <v>6</v>
      </c>
      <c r="G9" s="12" t="str">
        <f t="shared" si="0"/>
        <v>Wit standaard</v>
      </c>
      <c r="H9" s="6" t="s">
        <v>41</v>
      </c>
      <c r="I9" t="s">
        <v>41</v>
      </c>
      <c r="J9" t="s">
        <v>41</v>
      </c>
      <c r="K9" t="str">
        <f t="shared" si="1"/>
        <v xml:space="preserve"> </v>
      </c>
      <c r="L9" t="s">
        <v>41</v>
      </c>
      <c r="M9" t="str">
        <f t="shared" si="2"/>
        <v xml:space="preserve"> </v>
      </c>
      <c r="N9" t="s">
        <v>41</v>
      </c>
      <c r="O9" t="str">
        <f t="shared" si="2"/>
        <v xml:space="preserve"> </v>
      </c>
      <c r="P9" s="7" t="str">
        <f t="shared" si="2"/>
        <v xml:space="preserve"> </v>
      </c>
    </row>
    <row r="10" spans="1:16" x14ac:dyDescent="0.25">
      <c r="A10" s="1125">
        <v>10131</v>
      </c>
      <c r="B10" s="29" t="s">
        <v>30</v>
      </c>
      <c r="C10" s="789" t="s">
        <v>888</v>
      </c>
      <c r="D10" s="55" t="s">
        <v>426</v>
      </c>
      <c r="F10">
        <v>7</v>
      </c>
      <c r="G10" s="12" t="str">
        <f t="shared" si="0"/>
        <v>Wit extra sterk</v>
      </c>
      <c r="H10" s="6" t="s">
        <v>888</v>
      </c>
      <c r="I10" t="s">
        <v>888</v>
      </c>
      <c r="J10" t="str">
        <f t="shared" si="2"/>
        <v xml:space="preserve"> </v>
      </c>
      <c r="K10" t="str">
        <f t="shared" si="1"/>
        <v xml:space="preserve"> </v>
      </c>
      <c r="L10" t="str">
        <f t="shared" si="2"/>
        <v xml:space="preserve"> </v>
      </c>
      <c r="M10" t="str">
        <f t="shared" si="2"/>
        <v xml:space="preserve"> </v>
      </c>
      <c r="N10" t="str">
        <f t="shared" si="2"/>
        <v xml:space="preserve"> </v>
      </c>
      <c r="O10" t="str">
        <f t="shared" si="2"/>
        <v xml:space="preserve"> </v>
      </c>
      <c r="P10" s="7" t="str">
        <f t="shared" si="2"/>
        <v xml:space="preserve"> </v>
      </c>
    </row>
    <row r="11" spans="1:16" x14ac:dyDescent="0.25">
      <c r="A11" s="1125">
        <v>10326</v>
      </c>
      <c r="B11" s="29" t="s">
        <v>31</v>
      </c>
      <c r="C11" s="789" t="s">
        <v>97</v>
      </c>
      <c r="D11" s="55" t="s">
        <v>278</v>
      </c>
      <c r="F11">
        <v>8</v>
      </c>
      <c r="G11" s="12" t="str">
        <f t="shared" si="0"/>
        <v xml:space="preserve"> </v>
      </c>
      <c r="H11" s="6" t="str">
        <f t="shared" si="2"/>
        <v xml:space="preserve"> </v>
      </c>
      <c r="I11" t="str">
        <f>" "</f>
        <v xml:space="preserve"> </v>
      </c>
      <c r="J11" t="str">
        <f t="shared" si="2"/>
        <v xml:space="preserve"> </v>
      </c>
      <c r="K11" t="str">
        <f t="shared" si="2"/>
        <v xml:space="preserve"> </v>
      </c>
      <c r="L11" t="str">
        <f t="shared" si="2"/>
        <v xml:space="preserve"> </v>
      </c>
      <c r="M11" t="str">
        <f t="shared" si="2"/>
        <v xml:space="preserve"> </v>
      </c>
      <c r="N11" t="str">
        <f t="shared" si="2"/>
        <v xml:space="preserve"> </v>
      </c>
      <c r="O11" t="str">
        <f t="shared" si="2"/>
        <v xml:space="preserve"> </v>
      </c>
      <c r="P11" s="7" t="str">
        <f t="shared" si="2"/>
        <v xml:space="preserve"> </v>
      </c>
    </row>
    <row r="12" spans="1:16" x14ac:dyDescent="0.25">
      <c r="A12" s="1125">
        <v>10005</v>
      </c>
      <c r="B12" s="29" t="s">
        <v>31</v>
      </c>
      <c r="C12" s="789" t="s">
        <v>40</v>
      </c>
      <c r="D12" s="55" t="s">
        <v>43</v>
      </c>
      <c r="F12">
        <v>9</v>
      </c>
      <c r="G12" s="12" t="str">
        <f t="shared" si="0"/>
        <v xml:space="preserve"> </v>
      </c>
      <c r="H12" s="6" t="str">
        <f t="shared" si="2"/>
        <v xml:space="preserve"> </v>
      </c>
      <c r="I12" t="str">
        <f t="shared" si="2"/>
        <v xml:space="preserve"> </v>
      </c>
      <c r="J12" t="str">
        <f t="shared" si="2"/>
        <v xml:space="preserve"> </v>
      </c>
      <c r="K12" t="str">
        <f t="shared" si="2"/>
        <v xml:space="preserve"> </v>
      </c>
      <c r="L12" t="str">
        <f t="shared" si="2"/>
        <v xml:space="preserve"> </v>
      </c>
      <c r="M12" t="str">
        <f t="shared" si="2"/>
        <v xml:space="preserve"> </v>
      </c>
      <c r="N12" t="str">
        <f t="shared" si="2"/>
        <v xml:space="preserve"> </v>
      </c>
      <c r="O12" t="str">
        <f t="shared" si="2"/>
        <v xml:space="preserve"> </v>
      </c>
      <c r="P12" s="7" t="str">
        <f t="shared" si="2"/>
        <v xml:space="preserve"> </v>
      </c>
    </row>
    <row r="13" spans="1:16" x14ac:dyDescent="0.25">
      <c r="A13" s="1125">
        <v>10017</v>
      </c>
      <c r="B13" s="29" t="s">
        <v>31</v>
      </c>
      <c r="C13" s="789" t="s">
        <v>887</v>
      </c>
      <c r="D13" s="55" t="s">
        <v>44</v>
      </c>
      <c r="F13">
        <v>10</v>
      </c>
      <c r="G13" s="12" t="str">
        <f t="shared" si="0"/>
        <v xml:space="preserve"> </v>
      </c>
      <c r="H13" s="6" t="str">
        <f t="shared" si="2"/>
        <v xml:space="preserve"> </v>
      </c>
      <c r="I13" t="str">
        <f t="shared" si="2"/>
        <v xml:space="preserve"> </v>
      </c>
      <c r="J13" t="str">
        <f t="shared" si="2"/>
        <v xml:space="preserve"> </v>
      </c>
      <c r="K13" t="str">
        <f t="shared" si="2"/>
        <v xml:space="preserve"> </v>
      </c>
      <c r="L13" t="str">
        <f t="shared" si="2"/>
        <v xml:space="preserve"> </v>
      </c>
      <c r="M13" t="str">
        <f t="shared" si="2"/>
        <v xml:space="preserve"> </v>
      </c>
      <c r="N13" t="str">
        <f t="shared" si="2"/>
        <v xml:space="preserve"> </v>
      </c>
      <c r="O13" t="str">
        <f t="shared" si="2"/>
        <v xml:space="preserve"> </v>
      </c>
      <c r="P13" s="7" t="str">
        <f t="shared" si="2"/>
        <v xml:space="preserve"> </v>
      </c>
    </row>
    <row r="14" spans="1:16" x14ac:dyDescent="0.25">
      <c r="A14" s="1125">
        <v>10002</v>
      </c>
      <c r="B14" s="29" t="s">
        <v>31</v>
      </c>
      <c r="C14" s="789" t="s">
        <v>41</v>
      </c>
      <c r="D14" s="55" t="s">
        <v>45</v>
      </c>
      <c r="F14">
        <v>11</v>
      </c>
      <c r="G14" s="12" t="str">
        <f t="shared" si="0"/>
        <v xml:space="preserve"> </v>
      </c>
      <c r="H14" s="6" t="str">
        <f t="shared" si="2"/>
        <v xml:space="preserve"> </v>
      </c>
      <c r="I14" t="str">
        <f t="shared" si="2"/>
        <v xml:space="preserve"> </v>
      </c>
      <c r="J14" t="str">
        <f t="shared" si="2"/>
        <v xml:space="preserve"> </v>
      </c>
      <c r="K14" t="str">
        <f t="shared" si="2"/>
        <v xml:space="preserve"> </v>
      </c>
      <c r="L14" t="str">
        <f t="shared" si="2"/>
        <v xml:space="preserve"> </v>
      </c>
      <c r="M14" t="str">
        <f t="shared" si="2"/>
        <v xml:space="preserve"> </v>
      </c>
      <c r="N14" t="str">
        <f t="shared" si="2"/>
        <v xml:space="preserve"> </v>
      </c>
      <c r="O14" t="str">
        <f t="shared" si="2"/>
        <v xml:space="preserve"> </v>
      </c>
      <c r="P14" s="7" t="str">
        <f t="shared" si="2"/>
        <v xml:space="preserve"> </v>
      </c>
    </row>
    <row r="15" spans="1:16" x14ac:dyDescent="0.25">
      <c r="A15" s="1125">
        <v>10010</v>
      </c>
      <c r="B15" s="29" t="s">
        <v>31</v>
      </c>
      <c r="C15" s="789" t="s">
        <v>888</v>
      </c>
      <c r="D15" s="55" t="s">
        <v>46</v>
      </c>
      <c r="F15">
        <v>12</v>
      </c>
      <c r="G15" s="12" t="str">
        <f t="shared" si="0"/>
        <v xml:space="preserve"> </v>
      </c>
      <c r="H15" s="6" t="str">
        <f t="shared" si="2"/>
        <v xml:space="preserve"> </v>
      </c>
      <c r="I15" t="str">
        <f t="shared" si="2"/>
        <v xml:space="preserve"> </v>
      </c>
      <c r="J15" t="str">
        <f t="shared" si="2"/>
        <v xml:space="preserve"> </v>
      </c>
      <c r="K15" t="str">
        <f t="shared" si="2"/>
        <v xml:space="preserve"> </v>
      </c>
      <c r="L15" t="str">
        <f t="shared" si="2"/>
        <v xml:space="preserve"> </v>
      </c>
      <c r="M15" t="str">
        <f t="shared" si="2"/>
        <v xml:space="preserve"> </v>
      </c>
      <c r="N15" t="str">
        <f t="shared" si="2"/>
        <v xml:space="preserve"> </v>
      </c>
      <c r="O15" t="str">
        <f t="shared" si="2"/>
        <v xml:space="preserve"> </v>
      </c>
      <c r="P15" s="7" t="str">
        <f t="shared" si="2"/>
        <v xml:space="preserve"> </v>
      </c>
    </row>
    <row r="16" spans="1:16" x14ac:dyDescent="0.25">
      <c r="A16" s="1125">
        <v>10053</v>
      </c>
      <c r="B16" s="29" t="s">
        <v>32</v>
      </c>
      <c r="C16" s="789" t="s">
        <v>97</v>
      </c>
      <c r="D16" s="55" t="s">
        <v>371</v>
      </c>
      <c r="F16">
        <v>13</v>
      </c>
      <c r="G16" s="12" t="str">
        <f t="shared" si="0"/>
        <v xml:space="preserve"> </v>
      </c>
      <c r="H16" s="6" t="str">
        <f t="shared" si="2"/>
        <v xml:space="preserve"> </v>
      </c>
      <c r="I16" t="str">
        <f t="shared" si="2"/>
        <v xml:space="preserve"> </v>
      </c>
      <c r="J16" t="str">
        <f t="shared" si="2"/>
        <v xml:space="preserve"> </v>
      </c>
      <c r="K16" t="str">
        <f t="shared" si="2"/>
        <v xml:space="preserve"> </v>
      </c>
      <c r="L16" t="str">
        <f t="shared" si="2"/>
        <v xml:space="preserve"> </v>
      </c>
      <c r="M16" t="str">
        <f t="shared" si="2"/>
        <v xml:space="preserve"> </v>
      </c>
      <c r="N16" t="str">
        <f t="shared" si="2"/>
        <v xml:space="preserve"> </v>
      </c>
      <c r="O16" t="str">
        <f t="shared" si="2"/>
        <v xml:space="preserve"> </v>
      </c>
      <c r="P16" s="7" t="str">
        <f t="shared" si="2"/>
        <v xml:space="preserve"> </v>
      </c>
    </row>
    <row r="17" spans="1:16" x14ac:dyDescent="0.25">
      <c r="A17" s="1125">
        <v>10193</v>
      </c>
      <c r="B17" s="29" t="s">
        <v>32</v>
      </c>
      <c r="C17" s="789" t="s">
        <v>40</v>
      </c>
      <c r="D17" s="55" t="s">
        <v>379</v>
      </c>
      <c r="F17">
        <v>14</v>
      </c>
      <c r="G17" s="12" t="str">
        <f t="shared" si="0"/>
        <v xml:space="preserve"> </v>
      </c>
      <c r="H17" s="6" t="str">
        <f t="shared" si="2"/>
        <v xml:space="preserve"> </v>
      </c>
      <c r="I17" t="str">
        <f t="shared" si="2"/>
        <v xml:space="preserve"> </v>
      </c>
      <c r="J17" t="str">
        <f t="shared" si="2"/>
        <v xml:space="preserve"> </v>
      </c>
      <c r="K17" t="str">
        <f t="shared" si="2"/>
        <v xml:space="preserve"> </v>
      </c>
      <c r="L17" t="str">
        <f t="shared" si="2"/>
        <v xml:space="preserve"> </v>
      </c>
      <c r="M17" t="str">
        <f t="shared" si="2"/>
        <v xml:space="preserve"> </v>
      </c>
      <c r="N17" t="str">
        <f t="shared" si="2"/>
        <v xml:space="preserve"> </v>
      </c>
      <c r="O17" t="str">
        <f t="shared" si="2"/>
        <v xml:space="preserve"> </v>
      </c>
      <c r="P17" s="7" t="str">
        <f t="shared" si="2"/>
        <v xml:space="preserve"> </v>
      </c>
    </row>
    <row r="18" spans="1:16" x14ac:dyDescent="0.25">
      <c r="A18" s="1125">
        <v>10050</v>
      </c>
      <c r="B18" s="29" t="s">
        <v>32</v>
      </c>
      <c r="C18" s="789" t="s">
        <v>889</v>
      </c>
      <c r="D18" s="55" t="s">
        <v>385</v>
      </c>
      <c r="F18">
        <v>15</v>
      </c>
      <c r="G18" s="12" t="str">
        <f t="shared" si="0"/>
        <v xml:space="preserve"> </v>
      </c>
      <c r="H18" s="6" t="str">
        <f t="shared" si="2"/>
        <v xml:space="preserve"> </v>
      </c>
      <c r="I18" t="str">
        <f t="shared" si="2"/>
        <v xml:space="preserve"> </v>
      </c>
      <c r="J18" t="str">
        <f t="shared" si="2"/>
        <v xml:space="preserve"> </v>
      </c>
      <c r="K18" t="str">
        <f t="shared" si="2"/>
        <v xml:space="preserve"> </v>
      </c>
      <c r="L18" t="str">
        <f t="shared" si="2"/>
        <v xml:space="preserve"> </v>
      </c>
      <c r="M18" t="str">
        <f t="shared" si="2"/>
        <v xml:space="preserve"> </v>
      </c>
      <c r="N18" t="str">
        <f t="shared" si="2"/>
        <v xml:space="preserve"> </v>
      </c>
      <c r="O18" t="str">
        <f t="shared" si="2"/>
        <v xml:space="preserve"> </v>
      </c>
      <c r="P18" s="7" t="str">
        <f t="shared" si="2"/>
        <v xml:space="preserve"> </v>
      </c>
    </row>
    <row r="19" spans="1:16" x14ac:dyDescent="0.25">
      <c r="A19" s="1125">
        <v>10221</v>
      </c>
      <c r="B19" s="29" t="s">
        <v>32</v>
      </c>
      <c r="C19" s="789" t="s">
        <v>41</v>
      </c>
      <c r="D19" s="55" t="s">
        <v>390</v>
      </c>
      <c r="F19">
        <v>16</v>
      </c>
      <c r="G19" s="12" t="str">
        <f t="shared" si="0"/>
        <v xml:space="preserve"> </v>
      </c>
      <c r="H19" s="6" t="str">
        <f t="shared" si="2"/>
        <v xml:space="preserve"> </v>
      </c>
      <c r="I19" t="str">
        <f t="shared" si="2"/>
        <v xml:space="preserve"> </v>
      </c>
      <c r="J19" t="str">
        <f t="shared" si="2"/>
        <v xml:space="preserve"> </v>
      </c>
      <c r="K19" t="str">
        <f t="shared" si="2"/>
        <v xml:space="preserve"> </v>
      </c>
      <c r="L19" t="str">
        <f t="shared" si="2"/>
        <v xml:space="preserve"> </v>
      </c>
      <c r="M19" t="str">
        <f t="shared" si="2"/>
        <v xml:space="preserve"> </v>
      </c>
      <c r="N19" t="str">
        <f t="shared" si="2"/>
        <v xml:space="preserve"> </v>
      </c>
      <c r="O19" t="str">
        <f t="shared" si="2"/>
        <v xml:space="preserve"> </v>
      </c>
      <c r="P19" s="7" t="str">
        <f t="shared" si="2"/>
        <v xml:space="preserve"> </v>
      </c>
    </row>
    <row r="20" spans="1:16" x14ac:dyDescent="0.25">
      <c r="A20" s="1125">
        <v>10339</v>
      </c>
      <c r="B20" s="29" t="s">
        <v>34</v>
      </c>
      <c r="C20" s="789" t="s">
        <v>40</v>
      </c>
      <c r="D20" s="55" t="s">
        <v>1087</v>
      </c>
      <c r="F20">
        <v>17</v>
      </c>
      <c r="G20" s="12" t="str">
        <f t="shared" si="0"/>
        <v xml:space="preserve"> </v>
      </c>
      <c r="H20" s="6" t="str">
        <f t="shared" si="2"/>
        <v xml:space="preserve"> </v>
      </c>
      <c r="I20" t="str">
        <f t="shared" si="2"/>
        <v xml:space="preserve"> </v>
      </c>
      <c r="J20" t="str">
        <f t="shared" si="2"/>
        <v xml:space="preserve"> </v>
      </c>
      <c r="K20" t="str">
        <f t="shared" si="2"/>
        <v xml:space="preserve"> </v>
      </c>
      <c r="L20" t="str">
        <f t="shared" si="2"/>
        <v xml:space="preserve"> </v>
      </c>
      <c r="M20" t="str">
        <f t="shared" si="2"/>
        <v xml:space="preserve"> </v>
      </c>
      <c r="N20" t="str">
        <f t="shared" si="2"/>
        <v xml:space="preserve"> </v>
      </c>
      <c r="O20" t="str">
        <f t="shared" si="2"/>
        <v xml:space="preserve"> </v>
      </c>
      <c r="P20" s="7" t="str">
        <f t="shared" si="2"/>
        <v xml:space="preserve"> </v>
      </c>
    </row>
    <row r="21" spans="1:16" x14ac:dyDescent="0.25">
      <c r="A21" s="1125">
        <v>10335</v>
      </c>
      <c r="B21" s="29" t="s">
        <v>33</v>
      </c>
      <c r="C21" s="789" t="s">
        <v>97</v>
      </c>
      <c r="D21" s="55" t="s">
        <v>441</v>
      </c>
      <c r="F21">
        <v>18</v>
      </c>
      <c r="G21" s="12" t="str">
        <f t="shared" si="0"/>
        <v xml:space="preserve"> </v>
      </c>
      <c r="H21" s="6" t="str">
        <f t="shared" si="2"/>
        <v xml:space="preserve"> </v>
      </c>
      <c r="I21" t="str">
        <f t="shared" si="2"/>
        <v xml:space="preserve"> </v>
      </c>
      <c r="J21" t="str">
        <f t="shared" si="2"/>
        <v xml:space="preserve"> </v>
      </c>
      <c r="K21" t="str">
        <f t="shared" si="2"/>
        <v xml:space="preserve"> </v>
      </c>
      <c r="L21" t="str">
        <f t="shared" si="2"/>
        <v xml:space="preserve"> </v>
      </c>
      <c r="M21" t="str">
        <f t="shared" si="2"/>
        <v xml:space="preserve"> </v>
      </c>
      <c r="N21" t="str">
        <f t="shared" si="2"/>
        <v xml:space="preserve"> </v>
      </c>
      <c r="O21" t="str">
        <f t="shared" si="2"/>
        <v xml:space="preserve"> </v>
      </c>
      <c r="P21" s="7" t="str">
        <f t="shared" si="2"/>
        <v xml:space="preserve"> </v>
      </c>
    </row>
    <row r="22" spans="1:16" x14ac:dyDescent="0.25">
      <c r="A22" s="1125">
        <v>10368</v>
      </c>
      <c r="B22" s="29" t="s">
        <v>33</v>
      </c>
      <c r="C22" s="789" t="s">
        <v>40</v>
      </c>
      <c r="D22" s="55" t="s">
        <v>449</v>
      </c>
      <c r="F22">
        <v>19</v>
      </c>
      <c r="G22" s="12" t="str">
        <f t="shared" si="0"/>
        <v xml:space="preserve"> </v>
      </c>
      <c r="H22" s="6" t="str">
        <f t="shared" si="2"/>
        <v xml:space="preserve"> </v>
      </c>
      <c r="I22" t="str">
        <f t="shared" si="2"/>
        <v xml:space="preserve"> </v>
      </c>
      <c r="J22" t="str">
        <f t="shared" si="2"/>
        <v xml:space="preserve"> </v>
      </c>
      <c r="K22" t="str">
        <f t="shared" si="2"/>
        <v xml:space="preserve"> </v>
      </c>
      <c r="L22" t="str">
        <f t="shared" si="2"/>
        <v xml:space="preserve"> </v>
      </c>
      <c r="M22" t="str">
        <f t="shared" si="2"/>
        <v xml:space="preserve"> </v>
      </c>
      <c r="N22" t="str">
        <f t="shared" si="2"/>
        <v xml:space="preserve"> </v>
      </c>
      <c r="O22" t="str">
        <f t="shared" si="2"/>
        <v xml:space="preserve"> </v>
      </c>
      <c r="P22" s="7" t="str">
        <f t="shared" si="2"/>
        <v xml:space="preserve"> </v>
      </c>
    </row>
    <row r="23" spans="1:16" x14ac:dyDescent="0.25">
      <c r="A23" s="1125">
        <v>10136</v>
      </c>
      <c r="B23" s="29" t="s">
        <v>33</v>
      </c>
      <c r="C23" s="789" t="s">
        <v>98</v>
      </c>
      <c r="D23" s="55" t="s">
        <v>443</v>
      </c>
      <c r="F23">
        <v>20</v>
      </c>
      <c r="G23" s="13" t="str">
        <f t="shared" si="0"/>
        <v xml:space="preserve"> </v>
      </c>
      <c r="H23" s="8" t="str">
        <f t="shared" si="2"/>
        <v xml:space="preserve"> </v>
      </c>
      <c r="I23" s="9" t="str">
        <f t="shared" si="2"/>
        <v xml:space="preserve"> </v>
      </c>
      <c r="J23" s="9" t="str">
        <f t="shared" si="2"/>
        <v xml:space="preserve"> </v>
      </c>
      <c r="K23" s="9" t="str">
        <f t="shared" si="2"/>
        <v xml:space="preserve"> </v>
      </c>
      <c r="L23" s="9" t="str">
        <f t="shared" si="2"/>
        <v xml:space="preserve"> </v>
      </c>
      <c r="M23" s="9" t="str">
        <f t="shared" si="2"/>
        <v xml:space="preserve"> </v>
      </c>
      <c r="N23" s="9" t="str">
        <f t="shared" si="2"/>
        <v xml:space="preserve"> </v>
      </c>
      <c r="O23" s="9" t="str">
        <f t="shared" si="2"/>
        <v xml:space="preserve"> </v>
      </c>
      <c r="P23" s="10" t="str">
        <f t="shared" si="2"/>
        <v xml:space="preserve"> </v>
      </c>
    </row>
    <row r="24" spans="1:16" x14ac:dyDescent="0.25">
      <c r="A24" s="1125">
        <v>10140</v>
      </c>
      <c r="B24" s="29" t="s">
        <v>33</v>
      </c>
      <c r="C24" s="789" t="s">
        <v>41</v>
      </c>
      <c r="D24" s="55" t="s">
        <v>445</v>
      </c>
    </row>
    <row r="25" spans="1:16" x14ac:dyDescent="0.25">
      <c r="A25" s="1125">
        <v>10197</v>
      </c>
      <c r="B25" s="29" t="s">
        <v>35</v>
      </c>
      <c r="C25" s="789" t="s">
        <v>97</v>
      </c>
      <c r="D25" s="55" t="s">
        <v>452</v>
      </c>
    </row>
    <row r="26" spans="1:16" x14ac:dyDescent="0.25">
      <c r="A26" s="1125">
        <v>10199</v>
      </c>
      <c r="B26" s="29" t="s">
        <v>35</v>
      </c>
      <c r="C26" s="789" t="s">
        <v>40</v>
      </c>
      <c r="D26" s="55" t="s">
        <v>454</v>
      </c>
    </row>
    <row r="27" spans="1:16" x14ac:dyDescent="0.25">
      <c r="A27" s="1125">
        <v>10200</v>
      </c>
      <c r="B27" s="29" t="s">
        <v>35</v>
      </c>
      <c r="C27" s="789" t="s">
        <v>41</v>
      </c>
      <c r="D27" s="55" t="s">
        <v>456</v>
      </c>
    </row>
    <row r="28" spans="1:16" x14ac:dyDescent="0.25">
      <c r="A28" s="1125">
        <v>10178</v>
      </c>
      <c r="B28" s="29" t="s">
        <v>36</v>
      </c>
      <c r="C28" s="789" t="s">
        <v>97</v>
      </c>
      <c r="D28" s="55" t="s">
        <v>327</v>
      </c>
    </row>
    <row r="29" spans="1:16" x14ac:dyDescent="0.25">
      <c r="A29" s="1125">
        <v>10158</v>
      </c>
      <c r="B29" s="29" t="s">
        <v>36</v>
      </c>
      <c r="C29" s="789" t="s">
        <v>40</v>
      </c>
      <c r="D29" s="55" t="s">
        <v>336</v>
      </c>
    </row>
    <row r="30" spans="1:16" x14ac:dyDescent="0.25">
      <c r="A30" s="1125">
        <v>10183</v>
      </c>
      <c r="B30" s="29" t="s">
        <v>36</v>
      </c>
      <c r="C30" s="789" t="s">
        <v>887</v>
      </c>
      <c r="D30" s="55" t="s">
        <v>347</v>
      </c>
    </row>
    <row r="31" spans="1:16" x14ac:dyDescent="0.25">
      <c r="A31" s="1125">
        <v>10181</v>
      </c>
      <c r="B31" s="29" t="s">
        <v>36</v>
      </c>
      <c r="C31" s="789" t="s">
        <v>41</v>
      </c>
      <c r="D31" s="55" t="s">
        <v>332</v>
      </c>
    </row>
    <row r="32" spans="1:16" x14ac:dyDescent="0.25">
      <c r="A32" s="1125">
        <v>10214</v>
      </c>
      <c r="B32" s="29" t="s">
        <v>37</v>
      </c>
      <c r="C32" s="789" t="s">
        <v>40</v>
      </c>
      <c r="D32" s="55" t="s">
        <v>393</v>
      </c>
      <c r="G32" s="2"/>
      <c r="H32" s="2"/>
      <c r="I32" s="2"/>
      <c r="J32" s="2"/>
      <c r="K32" s="2"/>
    </row>
    <row r="33" spans="1:4" x14ac:dyDescent="0.25">
      <c r="A33" s="1125">
        <v>10215</v>
      </c>
      <c r="B33" s="29" t="s">
        <v>37</v>
      </c>
      <c r="C33" s="789" t="s">
        <v>889</v>
      </c>
      <c r="D33" s="55" t="s">
        <v>395</v>
      </c>
    </row>
    <row r="34" spans="1:4" x14ac:dyDescent="0.25">
      <c r="A34" s="1125">
        <v>10216</v>
      </c>
      <c r="B34" s="29" t="s">
        <v>38</v>
      </c>
      <c r="C34" s="789" t="s">
        <v>97</v>
      </c>
      <c r="D34" s="55" t="s">
        <v>400</v>
      </c>
    </row>
    <row r="35" spans="1:4" x14ac:dyDescent="0.25">
      <c r="A35" s="1125">
        <v>10218</v>
      </c>
      <c r="B35" s="29" t="s">
        <v>38</v>
      </c>
      <c r="C35" s="789" t="s">
        <v>40</v>
      </c>
      <c r="D35" s="55" t="s">
        <v>404</v>
      </c>
    </row>
    <row r="36" spans="1:4" x14ac:dyDescent="0.25">
      <c r="A36" s="1125">
        <v>10220</v>
      </c>
      <c r="B36" s="29" t="s">
        <v>38</v>
      </c>
      <c r="C36" s="789" t="s">
        <v>887</v>
      </c>
      <c r="D36" s="55" t="s">
        <v>408</v>
      </c>
    </row>
    <row r="37" spans="1:4" x14ac:dyDescent="0.25">
      <c r="A37" s="12"/>
      <c r="B37" s="29"/>
      <c r="C37" s="789"/>
      <c r="D37" s="55"/>
    </row>
    <row r="38" spans="1:4" x14ac:dyDescent="0.25">
      <c r="A38" s="12"/>
      <c r="B38" s="29"/>
      <c r="C38" s="789"/>
      <c r="D38" s="55"/>
    </row>
    <row r="39" spans="1:4" x14ac:dyDescent="0.25">
      <c r="A39" s="12"/>
      <c r="B39" s="29"/>
      <c r="C39" s="789"/>
      <c r="D39" s="55"/>
    </row>
    <row r="40" spans="1:4" x14ac:dyDescent="0.25">
      <c r="A40" s="12"/>
      <c r="B40" s="29"/>
      <c r="C40" s="789"/>
      <c r="D40" s="55"/>
    </row>
    <row r="41" spans="1:4" x14ac:dyDescent="0.25">
      <c r="A41" s="12"/>
      <c r="B41" s="29"/>
      <c r="C41" s="789"/>
      <c r="D41" s="55"/>
    </row>
    <row r="42" spans="1:4" x14ac:dyDescent="0.25">
      <c r="A42" s="12"/>
      <c r="B42" s="29"/>
      <c r="C42" s="789"/>
      <c r="D42" s="55"/>
    </row>
    <row r="43" spans="1:4" x14ac:dyDescent="0.25">
      <c r="A43" s="12"/>
      <c r="B43" s="29"/>
      <c r="C43" s="789"/>
      <c r="D43" s="55"/>
    </row>
    <row r="44" spans="1:4" x14ac:dyDescent="0.25">
      <c r="A44" s="12"/>
      <c r="B44" s="29"/>
      <c r="C44" s="789"/>
      <c r="D44" s="55"/>
    </row>
    <row r="45" spans="1:4" x14ac:dyDescent="0.25">
      <c r="A45" s="12"/>
      <c r="B45" s="29"/>
      <c r="C45" s="789"/>
      <c r="D45" s="55"/>
    </row>
    <row r="46" spans="1:4" x14ac:dyDescent="0.25">
      <c r="A46" s="12"/>
      <c r="B46" s="29"/>
      <c r="C46" s="789"/>
      <c r="D46" s="55"/>
    </row>
    <row r="47" spans="1:4" x14ac:dyDescent="0.25">
      <c r="A47" s="12"/>
      <c r="B47" s="29"/>
      <c r="C47" s="789"/>
      <c r="D47" s="55"/>
    </row>
    <row r="48" spans="1:4" x14ac:dyDescent="0.25">
      <c r="A48" s="12"/>
      <c r="B48" s="29"/>
      <c r="C48" s="789"/>
      <c r="D48" s="55"/>
    </row>
    <row r="49" spans="1:4" x14ac:dyDescent="0.25">
      <c r="A49" s="12"/>
      <c r="B49" s="29"/>
      <c r="C49" s="789"/>
      <c r="D49" s="55"/>
    </row>
    <row r="50" spans="1:4" x14ac:dyDescent="0.25">
      <c r="A50" s="12"/>
      <c r="B50" s="29"/>
      <c r="C50" s="789"/>
      <c r="D50" s="55"/>
    </row>
    <row r="51" spans="1:4" x14ac:dyDescent="0.25">
      <c r="A51" s="12"/>
      <c r="B51" s="29"/>
      <c r="C51" s="789"/>
      <c r="D51" s="55"/>
    </row>
    <row r="52" spans="1:4" x14ac:dyDescent="0.25">
      <c r="A52" s="12"/>
      <c r="B52" s="29"/>
      <c r="C52" s="789"/>
      <c r="D52" s="55"/>
    </row>
    <row r="53" spans="1:4" x14ac:dyDescent="0.25">
      <c r="A53" s="12"/>
      <c r="B53" s="29"/>
      <c r="C53" s="789"/>
      <c r="D53" s="55"/>
    </row>
    <row r="54" spans="1:4" x14ac:dyDescent="0.25">
      <c r="A54" s="12"/>
      <c r="B54" s="29"/>
      <c r="C54" s="789"/>
      <c r="D54" s="55"/>
    </row>
    <row r="55" spans="1:4" x14ac:dyDescent="0.25">
      <c r="A55" s="12"/>
      <c r="B55" s="29"/>
      <c r="C55" s="789"/>
      <c r="D55" s="55"/>
    </row>
    <row r="56" spans="1:4" x14ac:dyDescent="0.25">
      <c r="A56" s="12"/>
      <c r="B56" s="29"/>
      <c r="C56" s="789"/>
      <c r="D56" s="55"/>
    </row>
    <row r="57" spans="1:4" x14ac:dyDescent="0.25">
      <c r="A57" s="12"/>
      <c r="B57" s="29"/>
      <c r="C57" s="789"/>
      <c r="D57" s="55"/>
    </row>
    <row r="58" spans="1:4" x14ac:dyDescent="0.25">
      <c r="A58" s="12"/>
      <c r="B58" s="29"/>
      <c r="C58" s="789"/>
      <c r="D58" s="55"/>
    </row>
    <row r="59" spans="1:4" x14ac:dyDescent="0.25">
      <c r="A59" s="12"/>
      <c r="B59" s="29"/>
      <c r="C59" s="789"/>
      <c r="D59" s="55"/>
    </row>
    <row r="60" spans="1:4" x14ac:dyDescent="0.25">
      <c r="A60" s="12"/>
      <c r="B60" s="29"/>
      <c r="C60" s="789"/>
      <c r="D60" s="55"/>
    </row>
    <row r="61" spans="1:4" x14ac:dyDescent="0.25">
      <c r="A61" s="12"/>
      <c r="B61" s="29"/>
      <c r="C61" s="789"/>
      <c r="D61" s="55"/>
    </row>
    <row r="62" spans="1:4" x14ac:dyDescent="0.25">
      <c r="A62" s="12"/>
      <c r="B62" s="29"/>
      <c r="C62" s="789"/>
      <c r="D62" s="55"/>
    </row>
    <row r="63" spans="1:4" x14ac:dyDescent="0.25">
      <c r="A63" s="12"/>
      <c r="B63" s="29"/>
      <c r="C63" s="789"/>
      <c r="D63" s="55"/>
    </row>
    <row r="64" spans="1:4" x14ac:dyDescent="0.25">
      <c r="A64" s="12"/>
      <c r="B64" s="29"/>
      <c r="C64" s="789"/>
      <c r="D64" s="55"/>
    </row>
    <row r="65" spans="1:4" x14ac:dyDescent="0.25">
      <c r="A65" s="12"/>
      <c r="B65" s="29"/>
      <c r="C65" s="789"/>
      <c r="D65" s="55"/>
    </row>
    <row r="66" spans="1:4" x14ac:dyDescent="0.25">
      <c r="A66" s="12"/>
      <c r="B66" s="29"/>
      <c r="C66" s="789"/>
      <c r="D66" s="55"/>
    </row>
    <row r="67" spans="1:4" x14ac:dyDescent="0.25">
      <c r="A67" s="12"/>
      <c r="B67" s="29"/>
      <c r="C67" s="789"/>
      <c r="D67" s="55"/>
    </row>
    <row r="68" spans="1:4" x14ac:dyDescent="0.25">
      <c r="A68" s="12"/>
      <c r="B68" s="29"/>
      <c r="C68" s="789"/>
      <c r="D68" s="55"/>
    </row>
    <row r="69" spans="1:4" x14ac:dyDescent="0.25">
      <c r="A69" s="12"/>
      <c r="B69" s="29"/>
      <c r="C69" s="789"/>
      <c r="D69" s="55"/>
    </row>
    <row r="70" spans="1:4" x14ac:dyDescent="0.25">
      <c r="A70" s="12"/>
      <c r="B70" s="29"/>
      <c r="C70" s="789"/>
      <c r="D70" s="55"/>
    </row>
    <row r="71" spans="1:4" x14ac:dyDescent="0.25">
      <c r="A71" s="12"/>
      <c r="B71" s="29"/>
      <c r="C71" s="789"/>
      <c r="D71" s="55"/>
    </row>
    <row r="72" spans="1:4" x14ac:dyDescent="0.25">
      <c r="A72" s="12"/>
      <c r="B72" s="29"/>
      <c r="C72" s="789"/>
      <c r="D72" s="55"/>
    </row>
    <row r="73" spans="1:4" x14ac:dyDescent="0.25">
      <c r="A73" s="12"/>
      <c r="B73" s="29"/>
      <c r="C73" s="789"/>
      <c r="D73" s="55"/>
    </row>
    <row r="74" spans="1:4" x14ac:dyDescent="0.25">
      <c r="A74" s="12"/>
      <c r="B74" s="29"/>
      <c r="C74" s="789"/>
      <c r="D74" s="55"/>
    </row>
    <row r="75" spans="1:4" x14ac:dyDescent="0.25">
      <c r="A75" s="12"/>
      <c r="B75" s="29"/>
      <c r="C75" s="789"/>
      <c r="D75" s="55"/>
    </row>
    <row r="76" spans="1:4" x14ac:dyDescent="0.25">
      <c r="A76" s="12"/>
      <c r="B76" s="29"/>
      <c r="C76" s="789"/>
      <c r="D76" s="55"/>
    </row>
    <row r="77" spans="1:4" x14ac:dyDescent="0.25">
      <c r="A77" s="12"/>
      <c r="B77" s="29"/>
      <c r="C77" s="789"/>
      <c r="D77" s="55"/>
    </row>
    <row r="78" spans="1:4" x14ac:dyDescent="0.25">
      <c r="A78" s="12"/>
      <c r="B78" s="29"/>
      <c r="C78" s="789"/>
      <c r="D78" s="55"/>
    </row>
    <row r="79" spans="1:4" x14ac:dyDescent="0.25">
      <c r="A79" s="12"/>
      <c r="B79" s="29"/>
      <c r="C79" s="789"/>
      <c r="D79" s="55"/>
    </row>
    <row r="80" spans="1:4" x14ac:dyDescent="0.25">
      <c r="A80" s="12"/>
      <c r="B80" s="29"/>
      <c r="C80" s="789"/>
      <c r="D80" s="55"/>
    </row>
    <row r="81" spans="1:4" x14ac:dyDescent="0.25">
      <c r="A81" s="12"/>
      <c r="B81" s="29"/>
      <c r="C81" s="789"/>
      <c r="D81" s="55"/>
    </row>
    <row r="82" spans="1:4" x14ac:dyDescent="0.25">
      <c r="A82" s="12"/>
      <c r="B82" s="29"/>
      <c r="C82" s="789"/>
      <c r="D82" s="55"/>
    </row>
    <row r="83" spans="1:4" x14ac:dyDescent="0.25">
      <c r="A83" s="12"/>
      <c r="B83" s="29"/>
      <c r="C83" s="789"/>
      <c r="D83" s="55"/>
    </row>
    <row r="84" spans="1:4" x14ac:dyDescent="0.25">
      <c r="A84" s="12"/>
      <c r="B84" s="29"/>
      <c r="C84" s="789"/>
      <c r="D84" s="55"/>
    </row>
    <row r="85" spans="1:4" x14ac:dyDescent="0.25">
      <c r="A85" s="12"/>
      <c r="B85" s="29"/>
      <c r="C85" s="789"/>
      <c r="D85" s="55"/>
    </row>
    <row r="86" spans="1:4" x14ac:dyDescent="0.25">
      <c r="A86" s="12"/>
      <c r="B86" s="29"/>
      <c r="C86" s="789"/>
      <c r="D86" s="55"/>
    </row>
    <row r="87" spans="1:4" x14ac:dyDescent="0.25">
      <c r="A87" s="12"/>
      <c r="B87" s="29"/>
      <c r="C87" s="789"/>
      <c r="D87" s="55"/>
    </row>
    <row r="88" spans="1:4" x14ac:dyDescent="0.25">
      <c r="A88" s="12"/>
      <c r="B88" s="29"/>
      <c r="C88" s="789"/>
      <c r="D88" s="55"/>
    </row>
    <row r="89" spans="1:4" x14ac:dyDescent="0.25">
      <c r="A89" s="12"/>
      <c r="B89" s="29"/>
      <c r="C89" s="789"/>
      <c r="D89" s="55"/>
    </row>
    <row r="90" spans="1:4" x14ac:dyDescent="0.25">
      <c r="A90" s="12"/>
      <c r="B90" s="29"/>
      <c r="C90" s="789"/>
      <c r="D90" s="55"/>
    </row>
    <row r="91" spans="1:4" x14ac:dyDescent="0.25">
      <c r="A91" s="12"/>
      <c r="B91" s="29"/>
      <c r="C91" s="789"/>
      <c r="D91" s="55"/>
    </row>
    <row r="92" spans="1:4" x14ac:dyDescent="0.25">
      <c r="A92" s="12"/>
      <c r="B92" s="29"/>
      <c r="C92" s="789"/>
      <c r="D92" s="55"/>
    </row>
    <row r="93" spans="1:4" x14ac:dyDescent="0.25">
      <c r="A93" s="12"/>
      <c r="B93" s="29"/>
      <c r="C93" s="789"/>
      <c r="D93" s="55"/>
    </row>
    <row r="94" spans="1:4" x14ac:dyDescent="0.25">
      <c r="A94" s="12"/>
      <c r="B94" s="29"/>
      <c r="C94" s="789"/>
      <c r="D94" s="55"/>
    </row>
    <row r="95" spans="1:4" x14ac:dyDescent="0.25">
      <c r="A95" s="12"/>
      <c r="B95" s="29"/>
      <c r="C95" s="789"/>
      <c r="D95" s="55"/>
    </row>
    <row r="96" spans="1:4" x14ac:dyDescent="0.25">
      <c r="A96" s="12"/>
      <c r="B96" s="29"/>
      <c r="C96" s="789"/>
      <c r="D96" s="55"/>
    </row>
    <row r="97" spans="1:4" x14ac:dyDescent="0.25">
      <c r="A97" s="12"/>
      <c r="B97" s="29"/>
      <c r="C97" s="789"/>
      <c r="D97" s="55"/>
    </row>
    <row r="98" spans="1:4" x14ac:dyDescent="0.25">
      <c r="A98" s="12"/>
      <c r="B98" s="29"/>
      <c r="C98" s="789"/>
      <c r="D98" s="55"/>
    </row>
    <row r="99" spans="1:4" x14ac:dyDescent="0.25">
      <c r="A99" s="12"/>
      <c r="B99" s="29"/>
      <c r="C99" s="789"/>
      <c r="D99" s="55"/>
    </row>
    <row r="100" spans="1:4" x14ac:dyDescent="0.25">
      <c r="A100" s="12"/>
      <c r="B100" s="29"/>
      <c r="C100" s="789"/>
      <c r="D100" s="55"/>
    </row>
    <row r="101" spans="1:4" x14ac:dyDescent="0.25">
      <c r="A101" s="12"/>
      <c r="B101" s="29"/>
      <c r="C101" s="789"/>
      <c r="D101" s="55"/>
    </row>
    <row r="102" spans="1:4" x14ac:dyDescent="0.25">
      <c r="A102" s="12"/>
      <c r="B102" s="29"/>
      <c r="C102" s="789"/>
      <c r="D102" s="55"/>
    </row>
    <row r="103" spans="1:4" x14ac:dyDescent="0.25">
      <c r="A103" s="12"/>
      <c r="B103" s="29"/>
      <c r="C103" s="789"/>
      <c r="D103" s="55"/>
    </row>
    <row r="104" spans="1:4" x14ac:dyDescent="0.25">
      <c r="A104" s="12"/>
      <c r="B104" s="29"/>
      <c r="C104" s="789"/>
      <c r="D104" s="55"/>
    </row>
    <row r="105" spans="1:4" x14ac:dyDescent="0.25">
      <c r="A105" s="12"/>
      <c r="B105" s="29"/>
      <c r="C105" s="789"/>
      <c r="D105" s="55"/>
    </row>
    <row r="106" spans="1:4" x14ac:dyDescent="0.25">
      <c r="A106" s="12"/>
      <c r="B106" s="29"/>
      <c r="C106" s="789"/>
      <c r="D106" s="55"/>
    </row>
    <row r="107" spans="1:4" x14ac:dyDescent="0.25">
      <c r="A107" s="12"/>
      <c r="B107" s="29"/>
      <c r="C107" s="789"/>
      <c r="D107" s="55"/>
    </row>
    <row r="108" spans="1:4" x14ac:dyDescent="0.25">
      <c r="A108" s="12"/>
      <c r="B108" s="29"/>
      <c r="C108" s="789"/>
      <c r="D108" s="55"/>
    </row>
    <row r="109" spans="1:4" x14ac:dyDescent="0.25">
      <c r="A109" s="12"/>
      <c r="B109" s="29"/>
      <c r="C109" s="789"/>
      <c r="D109" s="55"/>
    </row>
    <row r="110" spans="1:4" x14ac:dyDescent="0.25">
      <c r="A110" s="12"/>
      <c r="B110" s="29"/>
      <c r="C110" s="789"/>
      <c r="D110" s="55"/>
    </row>
    <row r="111" spans="1:4" x14ac:dyDescent="0.25">
      <c r="A111" s="12"/>
      <c r="B111" s="29"/>
      <c r="C111" s="789"/>
      <c r="D111" s="55"/>
    </row>
    <row r="112" spans="1:4" x14ac:dyDescent="0.25">
      <c r="A112" s="12"/>
      <c r="B112" s="29"/>
      <c r="C112" s="789"/>
      <c r="D112" s="55"/>
    </row>
    <row r="113" spans="1:4" x14ac:dyDescent="0.25">
      <c r="A113" s="12"/>
      <c r="B113" s="29"/>
      <c r="C113" s="789"/>
      <c r="D113" s="55"/>
    </row>
    <row r="114" spans="1:4" x14ac:dyDescent="0.25">
      <c r="A114" s="12"/>
      <c r="B114" s="29"/>
      <c r="C114" s="789"/>
      <c r="D114" s="55"/>
    </row>
    <row r="115" spans="1:4" x14ac:dyDescent="0.25">
      <c r="A115" s="12"/>
      <c r="B115" s="29"/>
      <c r="C115" s="789"/>
      <c r="D115" s="55"/>
    </row>
    <row r="116" spans="1:4" x14ac:dyDescent="0.25">
      <c r="A116" s="12"/>
      <c r="B116" s="29"/>
      <c r="C116" s="789"/>
      <c r="D116" s="55"/>
    </row>
    <row r="117" spans="1:4" x14ac:dyDescent="0.25">
      <c r="A117" s="12"/>
      <c r="B117" s="29"/>
      <c r="C117" s="789"/>
      <c r="D117" s="55"/>
    </row>
    <row r="118" spans="1:4" x14ac:dyDescent="0.25">
      <c r="A118" s="12"/>
      <c r="B118" s="29"/>
      <c r="C118" s="789"/>
      <c r="D118" s="55"/>
    </row>
    <row r="119" spans="1:4" x14ac:dyDescent="0.25">
      <c r="A119" s="12"/>
      <c r="B119" s="29"/>
      <c r="C119" s="789"/>
      <c r="D119" s="55"/>
    </row>
    <row r="120" spans="1:4" x14ac:dyDescent="0.25">
      <c r="A120" s="12"/>
      <c r="B120" s="29"/>
      <c r="C120" s="789"/>
      <c r="D120" s="55"/>
    </row>
    <row r="121" spans="1:4" x14ac:dyDescent="0.25">
      <c r="A121" s="12"/>
      <c r="B121" s="29"/>
      <c r="C121" s="789"/>
      <c r="D121" s="55"/>
    </row>
    <row r="122" spans="1:4" x14ac:dyDescent="0.25">
      <c r="A122" s="12"/>
      <c r="B122" s="29"/>
      <c r="C122" s="789"/>
      <c r="D122" s="55"/>
    </row>
    <row r="123" spans="1:4" x14ac:dyDescent="0.25">
      <c r="A123" s="12"/>
      <c r="B123" s="29"/>
      <c r="C123" s="789"/>
      <c r="D123" s="55"/>
    </row>
    <row r="124" spans="1:4" x14ac:dyDescent="0.25">
      <c r="A124" s="12"/>
      <c r="B124" s="29"/>
      <c r="C124" s="789"/>
      <c r="D124" s="55"/>
    </row>
    <row r="125" spans="1:4" x14ac:dyDescent="0.25">
      <c r="A125" s="12"/>
      <c r="B125" s="29"/>
      <c r="C125" s="789"/>
      <c r="D125" s="55"/>
    </row>
    <row r="126" spans="1:4" x14ac:dyDescent="0.25">
      <c r="A126" s="12"/>
      <c r="B126" s="29"/>
      <c r="C126" s="789"/>
      <c r="D126" s="55"/>
    </row>
    <row r="127" spans="1:4" x14ac:dyDescent="0.25">
      <c r="A127" s="12"/>
      <c r="B127" s="29"/>
      <c r="C127" s="789"/>
      <c r="D127" s="55"/>
    </row>
    <row r="128" spans="1:4" x14ac:dyDescent="0.25">
      <c r="A128" s="12"/>
      <c r="B128" s="29"/>
      <c r="C128" s="789"/>
      <c r="D128" s="55"/>
    </row>
    <row r="129" spans="1:4" x14ac:dyDescent="0.25">
      <c r="A129" s="12"/>
      <c r="B129" s="29"/>
      <c r="C129" s="789"/>
      <c r="D129" s="55"/>
    </row>
    <row r="130" spans="1:4" x14ac:dyDescent="0.25">
      <c r="A130" s="12"/>
      <c r="B130" s="29"/>
      <c r="C130" s="789"/>
      <c r="D130" s="55"/>
    </row>
    <row r="131" spans="1:4" x14ac:dyDescent="0.25">
      <c r="A131" s="12"/>
      <c r="B131" s="29"/>
      <c r="C131" s="789"/>
      <c r="D131" s="55"/>
    </row>
    <row r="132" spans="1:4" x14ac:dyDescent="0.25">
      <c r="A132" s="13"/>
      <c r="B132" s="649"/>
      <c r="C132" s="824"/>
      <c r="D132" s="825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27B6-1D54-4B5F-968B-B41A3A7B5B71}">
  <dimension ref="B1:J37"/>
  <sheetViews>
    <sheetView workbookViewId="0">
      <selection activeCell="C5" sqref="C5:C12"/>
    </sheetView>
  </sheetViews>
  <sheetFormatPr defaultRowHeight="15" x14ac:dyDescent="0.25"/>
  <cols>
    <col min="2" max="2" customWidth="true" style="420" width="21.7109375"/>
    <col min="3" max="3" customWidth="true" style="420" width="18.28515625"/>
    <col min="4" max="4" customWidth="true" style="420" width="22.28515625"/>
    <col min="5" max="5" customWidth="true" style="420" width="19.85546875"/>
    <col min="6" max="6" customWidth="true" style="420" width="15.140625"/>
    <col min="7" max="7" customWidth="true" style="420" width="18.0"/>
    <col min="8" max="8" customWidth="true" style="420" width="17.85546875"/>
    <col min="9" max="14" style="420" width="8.7109375"/>
  </cols>
  <sheetData>
    <row r="1" spans="2:10" x14ac:dyDescent="0.25">
      <c r="B1" s="286"/>
      <c r="C1" s="77"/>
      <c r="D1" s="419"/>
      <c r="E1" s="419"/>
      <c r="F1" s="419"/>
      <c r="G1" s="419"/>
      <c r="H1" s="419"/>
      <c r="I1" s="419"/>
      <c r="J1" s="419"/>
    </row>
    <row r="2" spans="2:10" x14ac:dyDescent="0.25">
      <c r="D2" s="419"/>
      <c r="E2" s="419"/>
      <c r="F2" s="419"/>
      <c r="G2" s="419"/>
      <c r="H2" s="419"/>
      <c r="I2" s="419"/>
      <c r="J2" s="419"/>
    </row>
    <row r="3" spans="2:10" x14ac:dyDescent="0.25">
      <c r="B3" s="830"/>
      <c r="C3" s="422"/>
      <c r="D3" s="421"/>
      <c r="E3" s="408"/>
      <c r="F3" s="408"/>
      <c r="G3" s="408"/>
      <c r="H3" s="408"/>
      <c r="I3" s="408"/>
      <c r="J3" s="408"/>
    </row>
    <row r="4" spans="2:10" x14ac:dyDescent="0.25">
      <c r="B4" s="581" t="s">
        <v>488</v>
      </c>
      <c r="C4" s="339" t="s">
        <v>490</v>
      </c>
      <c r="D4" s="286"/>
      <c r="E4" s="78"/>
      <c r="F4" s="1095"/>
      <c r="G4" s="78"/>
      <c r="H4" s="286"/>
      <c r="I4" s="286"/>
      <c r="J4" s="286"/>
    </row>
    <row r="5" spans="2:10" x14ac:dyDescent="0.25">
      <c r="B5" s="831" t="s">
        <v>64</v>
      </c>
      <c r="C5" s="836">
        <v>550</v>
      </c>
      <c r="E5" s="78"/>
      <c r="F5" s="78"/>
      <c r="I5" s="421"/>
      <c r="J5" s="408"/>
    </row>
    <row r="6" spans="2:10" x14ac:dyDescent="0.25">
      <c r="B6" s="832" t="s">
        <v>63</v>
      </c>
      <c r="C6" s="837">
        <v>300</v>
      </c>
      <c r="I6" s="77"/>
      <c r="J6" s="78"/>
    </row>
    <row r="7" spans="2:10" x14ac:dyDescent="0.25">
      <c r="B7" s="832" t="s">
        <v>491</v>
      </c>
      <c r="C7" s="837">
        <v>190</v>
      </c>
      <c r="F7" s="833"/>
      <c r="G7" s="833"/>
      <c r="I7" s="111"/>
      <c r="J7" s="409"/>
    </row>
    <row r="8" spans="2:10" x14ac:dyDescent="0.25">
      <c r="B8" s="832" t="s">
        <v>492</v>
      </c>
      <c r="C8" s="837">
        <v>125</v>
      </c>
      <c r="F8" s="833"/>
      <c r="G8" s="833"/>
      <c r="I8" s="111"/>
      <c r="J8" s="111"/>
    </row>
    <row r="9" spans="2:10" x14ac:dyDescent="0.25">
      <c r="B9" s="832" t="s">
        <v>1059</v>
      </c>
      <c r="C9" s="837">
        <v>94</v>
      </c>
      <c r="F9" s="833"/>
      <c r="G9" s="833"/>
      <c r="I9" s="111"/>
      <c r="J9" s="111"/>
    </row>
    <row r="10" spans="2:10" x14ac:dyDescent="0.25">
      <c r="B10" s="832" t="s">
        <v>494</v>
      </c>
      <c r="C10" s="837">
        <v>150</v>
      </c>
      <c r="F10" s="833"/>
      <c r="G10" s="833"/>
      <c r="I10" s="111"/>
      <c r="J10" s="111"/>
    </row>
    <row r="11" spans="2:10" x14ac:dyDescent="0.25">
      <c r="B11" s="832" t="s">
        <v>54</v>
      </c>
      <c r="C11" s="826">
        <v>96</v>
      </c>
      <c r="F11" s="833"/>
      <c r="G11" s="833"/>
      <c r="I11" s="111"/>
      <c r="J11" s="111"/>
    </row>
    <row r="12" spans="2:10" x14ac:dyDescent="0.25">
      <c r="B12" s="572" t="s">
        <v>758</v>
      </c>
      <c r="C12" s="838">
        <v>37</v>
      </c>
      <c r="F12" s="833"/>
      <c r="G12" s="833"/>
      <c r="I12" s="111"/>
      <c r="J12" s="111"/>
    </row>
    <row r="13" spans="2:10" x14ac:dyDescent="0.25">
      <c r="B13" s="289" t="s">
        <v>659</v>
      </c>
      <c r="C13" s="839">
        <v>20</v>
      </c>
      <c r="F13" s="833"/>
      <c r="G13" s="833"/>
      <c r="I13" s="111"/>
      <c r="J13" s="111"/>
    </row>
    <row r="14" spans="2:10" x14ac:dyDescent="0.25">
      <c r="B14" s="907" t="s">
        <v>961</v>
      </c>
      <c r="C14" s="908">
        <v>4</v>
      </c>
      <c r="F14" s="833"/>
      <c r="G14" s="833"/>
      <c r="I14" s="111"/>
      <c r="J14" s="111"/>
    </row>
    <row r="15" spans="2:10" x14ac:dyDescent="0.25">
      <c r="B15" s="472" t="s">
        <v>956</v>
      </c>
      <c r="C15" s="919">
        <v>0.19500000000000001</v>
      </c>
      <c r="F15" s="833"/>
      <c r="G15" s="833"/>
      <c r="I15" s="111"/>
      <c r="J15" s="111"/>
    </row>
    <row r="16" spans="2:10" x14ac:dyDescent="0.25">
      <c r="B16" s="616" t="s">
        <v>972</v>
      </c>
      <c r="C16" s="920">
        <v>9.1200000000000003E-2</v>
      </c>
      <c r="F16" s="833"/>
      <c r="G16" s="77"/>
      <c r="I16" s="111"/>
      <c r="J16" s="111"/>
    </row>
    <row r="17" spans="2:10" x14ac:dyDescent="0.25">
      <c r="B17" s="77"/>
      <c r="C17" s="286"/>
      <c r="F17" s="833"/>
      <c r="G17" s="77"/>
      <c r="I17" s="78"/>
      <c r="J17" s="78"/>
    </row>
    <row r="18" spans="2:10" x14ac:dyDescent="0.25">
      <c r="B18" s="77"/>
      <c r="C18" s="77"/>
      <c r="F18" s="835"/>
      <c r="G18" s="77"/>
      <c r="I18" s="78"/>
      <c r="J18" s="78"/>
    </row>
    <row r="19" spans="2:10" x14ac:dyDescent="0.25">
      <c r="B19" s="77"/>
      <c r="C19" s="286"/>
      <c r="F19" s="834"/>
      <c r="G19" s="77"/>
      <c r="I19" s="78"/>
      <c r="J19" s="78"/>
    </row>
    <row r="20" spans="2:10" x14ac:dyDescent="0.25">
      <c r="B20" s="77"/>
      <c r="C20" s="286"/>
      <c r="F20" s="78"/>
      <c r="G20" s="78"/>
      <c r="I20" s="78"/>
      <c r="J20" s="78"/>
    </row>
    <row r="21" spans="2:10" x14ac:dyDescent="0.25">
      <c r="B21" s="77"/>
      <c r="C21" s="77"/>
      <c r="F21" s="78"/>
      <c r="G21" s="78"/>
      <c r="H21" s="78"/>
      <c r="I21" s="78"/>
      <c r="J21" s="78"/>
    </row>
    <row r="22" spans="2:10" x14ac:dyDescent="0.25">
      <c r="B22" s="77"/>
      <c r="C22" s="77"/>
      <c r="D22" s="77"/>
      <c r="E22" s="426"/>
      <c r="F22" s="426"/>
      <c r="G22" s="426"/>
      <c r="H22" s="426"/>
      <c r="I22" s="78"/>
      <c r="J22" s="78"/>
    </row>
    <row r="23" spans="2:10" x14ac:dyDescent="0.25">
      <c r="B23" s="77"/>
      <c r="C23" s="77"/>
      <c r="D23" s="77"/>
      <c r="E23" s="426"/>
      <c r="F23" s="426"/>
      <c r="G23" s="827"/>
      <c r="H23" s="426"/>
      <c r="I23" s="78"/>
      <c r="J23" s="78"/>
    </row>
    <row r="24" spans="2:10" x14ac:dyDescent="0.25">
      <c r="B24" s="77"/>
      <c r="C24" s="77"/>
      <c r="D24" s="426"/>
      <c r="E24" s="426"/>
      <c r="F24" s="426"/>
      <c r="G24" s="827"/>
      <c r="H24" s="77"/>
      <c r="I24" s="78"/>
      <c r="J24" s="78"/>
    </row>
    <row r="25" spans="2:10" x14ac:dyDescent="0.25">
      <c r="B25" s="77"/>
      <c r="C25" s="77"/>
      <c r="D25" s="77"/>
      <c r="E25" s="426"/>
      <c r="F25" s="426"/>
      <c r="G25" s="827"/>
      <c r="H25" s="134"/>
      <c r="I25" s="143"/>
      <c r="J25" s="78"/>
    </row>
    <row r="26" spans="2:10" x14ac:dyDescent="0.25">
      <c r="B26" s="77"/>
      <c r="C26" s="77"/>
      <c r="D26" s="426"/>
      <c r="E26" s="426"/>
      <c r="F26" s="426"/>
      <c r="G26" s="828"/>
      <c r="H26" s="426"/>
      <c r="I26" s="78"/>
      <c r="J26" s="78"/>
    </row>
    <row r="27" spans="2:10" x14ac:dyDescent="0.25">
      <c r="B27" s="77"/>
      <c r="C27" s="77"/>
      <c r="D27" s="426"/>
      <c r="E27" s="426"/>
      <c r="F27" s="426"/>
      <c r="G27" s="828"/>
      <c r="H27" s="426"/>
      <c r="I27" s="78"/>
      <c r="J27" s="78"/>
    </row>
    <row r="28" spans="2:10" x14ac:dyDescent="0.25">
      <c r="B28" s="77"/>
      <c r="C28" s="77"/>
      <c r="D28" s="426"/>
      <c r="E28" s="426"/>
      <c r="F28" s="426"/>
      <c r="G28" s="828"/>
      <c r="H28" s="626"/>
      <c r="I28" s="143"/>
      <c r="J28" s="78"/>
    </row>
    <row r="29" spans="2:10" x14ac:dyDescent="0.25">
      <c r="B29" s="77"/>
      <c r="C29" s="77"/>
      <c r="D29" s="426"/>
      <c r="E29" s="426"/>
      <c r="F29" s="426"/>
      <c r="G29" s="828"/>
      <c r="H29" s="77"/>
      <c r="I29" s="78"/>
      <c r="J29" s="78"/>
    </row>
    <row r="30" spans="2:10" x14ac:dyDescent="0.25">
      <c r="B30" s="77"/>
      <c r="C30" s="77"/>
      <c r="D30" s="286"/>
      <c r="E30" s="286"/>
      <c r="F30" s="286"/>
      <c r="G30" s="286"/>
      <c r="H30" s="286"/>
      <c r="I30" s="286"/>
      <c r="J30" s="286"/>
    </row>
    <row r="31" spans="2:10" x14ac:dyDescent="0.25">
      <c r="B31" s="77"/>
      <c r="C31" s="77"/>
      <c r="D31" s="286"/>
      <c r="E31" s="286"/>
      <c r="F31" s="286"/>
      <c r="G31" s="286"/>
      <c r="H31" s="286"/>
      <c r="I31" s="286"/>
      <c r="J31" s="286"/>
    </row>
    <row r="32" spans="2:10" x14ac:dyDescent="0.25">
      <c r="B32" s="77"/>
      <c r="C32" s="77"/>
      <c r="D32" s="78"/>
      <c r="E32" s="78"/>
      <c r="F32" s="78"/>
      <c r="G32" s="78"/>
      <c r="H32" s="78"/>
      <c r="I32" s="78"/>
      <c r="J32" s="78"/>
    </row>
    <row r="33" spans="2:10" x14ac:dyDescent="0.25">
      <c r="B33" s="77"/>
      <c r="C33" s="77"/>
      <c r="D33" s="78"/>
      <c r="E33" s="78"/>
      <c r="F33" s="78"/>
      <c r="G33" s="78"/>
      <c r="H33" s="78"/>
      <c r="I33" s="78"/>
      <c r="J33" s="78"/>
    </row>
    <row r="34" spans="2:10" x14ac:dyDescent="0.25">
      <c r="B34" s="77"/>
      <c r="C34" s="77"/>
      <c r="D34" s="143"/>
      <c r="E34" s="78"/>
      <c r="F34" s="78"/>
      <c r="G34" s="78"/>
      <c r="H34" s="78"/>
      <c r="I34" s="78"/>
      <c r="J34" s="78"/>
    </row>
    <row r="35" spans="2:10" x14ac:dyDescent="0.25">
      <c r="B35" s="77"/>
      <c r="C35" s="77"/>
      <c r="D35" s="143"/>
      <c r="E35" s="78"/>
      <c r="F35" s="78"/>
      <c r="G35" s="78"/>
      <c r="H35" s="78"/>
      <c r="I35" s="78"/>
      <c r="J35" s="78"/>
    </row>
    <row r="36" spans="2:10" x14ac:dyDescent="0.25">
      <c r="B36" s="77"/>
      <c r="C36" s="77"/>
      <c r="D36" s="143"/>
      <c r="E36" s="419"/>
      <c r="F36" s="829"/>
      <c r="G36" s="78"/>
      <c r="H36" s="78"/>
      <c r="I36" s="78"/>
      <c r="J36" s="78"/>
    </row>
    <row r="37" spans="2:10" x14ac:dyDescent="0.25">
      <c r="B37" s="77"/>
      <c r="C37" s="77"/>
      <c r="D37" s="78"/>
      <c r="E37" s="78"/>
      <c r="F37" s="78"/>
      <c r="G37" s="78"/>
      <c r="H37" s="425"/>
      <c r="I37" s="78"/>
      <c r="J37" s="7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A778-CD9A-4CB5-B155-6435B482ACB1}">
  <dimension ref="A1:AJ258"/>
  <sheetViews>
    <sheetView workbookViewId="0">
      <selection activeCell="K23" sqref="K23"/>
    </sheetView>
  </sheetViews>
  <sheetFormatPr defaultRowHeight="15" x14ac:dyDescent="0.25"/>
  <cols>
    <col min="1" max="1" customWidth="true" style="298" width="10.7109375"/>
    <col min="2" max="2" bestFit="true" customWidth="true" style="299" width="10.0"/>
    <col min="3" max="3" bestFit="true" customWidth="true" style="299" width="24.28515625"/>
    <col min="4" max="4" bestFit="true" customWidth="true" style="299" width="10.85546875"/>
    <col min="5" max="5" bestFit="true" customWidth="true" style="300" width="11.42578125"/>
    <col min="6" max="6" customWidth="true" style="300" width="14.5703125"/>
    <col min="7" max="11" customWidth="true" style="303" width="12.28515625"/>
    <col min="12" max="12" customWidth="true" style="301" width="12.28515625"/>
    <col min="13" max="13" customWidth="true" style="299" width="12.28515625"/>
    <col min="14" max="14" customWidth="true" style="299" width="20.0"/>
    <col min="15" max="16" customWidth="true" style="302" width="12.28515625"/>
    <col min="17" max="17" customWidth="true" style="302" width="13.0"/>
    <col min="18" max="19" customWidth="true" style="299" width="12.28515625"/>
    <col min="20" max="20" customWidth="true" style="299" width="19.7109375"/>
    <col min="21" max="21" customWidth="true" style="299" width="17.7109375"/>
    <col min="22" max="23" customWidth="true" style="303" width="17.7109375"/>
    <col min="24" max="28" customWidth="true" style="299" width="17.7109375"/>
    <col min="29" max="29" customWidth="true" style="2" width="23.140625"/>
    <col min="36" max="36" bestFit="true" customWidth="true" width="13.140625"/>
  </cols>
  <sheetData>
    <row r="1" spans="1:36" ht="15.75" thickBot="1" x14ac:dyDescent="0.3">
      <c r="A1" s="296" t="s">
        <v>213</v>
      </c>
      <c r="B1" s="297">
        <v>2</v>
      </c>
      <c r="C1" s="297">
        <v>3</v>
      </c>
      <c r="D1" s="297">
        <v>4</v>
      </c>
      <c r="E1" s="297">
        <v>5</v>
      </c>
      <c r="F1" s="297">
        <v>6</v>
      </c>
      <c r="G1" s="297">
        <v>7</v>
      </c>
      <c r="H1" s="297">
        <v>8</v>
      </c>
      <c r="I1" s="297">
        <v>9</v>
      </c>
      <c r="J1" s="297">
        <v>10</v>
      </c>
      <c r="K1" s="297">
        <v>11</v>
      </c>
      <c r="L1" s="297">
        <v>12</v>
      </c>
      <c r="M1" s="297">
        <v>13</v>
      </c>
      <c r="N1" s="297">
        <v>14</v>
      </c>
      <c r="O1" s="297">
        <v>15</v>
      </c>
      <c r="P1" s="297">
        <v>16</v>
      </c>
      <c r="Q1" s="297">
        <v>17</v>
      </c>
      <c r="R1" s="297">
        <v>18</v>
      </c>
      <c r="S1" s="297">
        <v>19</v>
      </c>
      <c r="T1" s="297">
        <v>20</v>
      </c>
      <c r="U1" s="297">
        <v>21</v>
      </c>
      <c r="V1" s="297">
        <v>22</v>
      </c>
      <c r="W1" s="297">
        <v>23</v>
      </c>
      <c r="X1" s="297">
        <v>24</v>
      </c>
      <c r="Y1" s="297">
        <v>25</v>
      </c>
      <c r="Z1" s="297">
        <v>26</v>
      </c>
      <c r="AA1" s="297">
        <v>27</v>
      </c>
      <c r="AB1" s="297">
        <v>28</v>
      </c>
      <c r="AC1" s="297">
        <v>29</v>
      </c>
    </row>
    <row r="2" spans="1:36" x14ac:dyDescent="0.25">
      <c r="A2" s="309"/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</row>
    <row r="3" spans="1:36" x14ac:dyDescent="0.25">
      <c r="A3" s="309"/>
      <c r="B3" s="310"/>
      <c r="D3" s="298"/>
      <c r="E3" s="298"/>
      <c r="F3" s="298"/>
      <c r="G3" s="299"/>
      <c r="H3" s="299"/>
      <c r="I3" s="299"/>
      <c r="J3" s="299"/>
      <c r="K3" s="299"/>
      <c r="L3" s="310"/>
      <c r="M3"/>
      <c r="N3" s="77" t="s">
        <v>470</v>
      </c>
      <c r="O3"/>
      <c r="P3"/>
      <c r="Q3"/>
      <c r="R3" s="310"/>
      <c r="S3"/>
      <c r="T3" s="77" t="s">
        <v>474</v>
      </c>
      <c r="U3"/>
      <c r="V3"/>
      <c r="W3"/>
      <c r="X3"/>
      <c r="Y3" s="310"/>
      <c r="Z3" s="310"/>
      <c r="AA3" s="310"/>
      <c r="AB3" s="310"/>
    </row>
    <row r="4" spans="1:36" x14ac:dyDescent="0.25">
      <c r="A4" s="309"/>
      <c r="B4" s="310"/>
      <c r="C4" s="943" t="s">
        <v>973</v>
      </c>
      <c r="D4" s="933"/>
      <c r="E4" s="934"/>
      <c r="F4" s="934"/>
      <c r="G4" s="934"/>
      <c r="H4" s="934"/>
      <c r="I4" s="934"/>
      <c r="J4" s="934"/>
      <c r="K4" s="935"/>
      <c r="L4" s="310"/>
      <c r="M4">
        <v>1</v>
      </c>
      <c r="N4" s="333" t="s">
        <v>471</v>
      </c>
      <c r="O4" s="334">
        <v>600</v>
      </c>
      <c r="P4" s="335">
        <v>4</v>
      </c>
      <c r="Q4" s="336" t="s">
        <v>472</v>
      </c>
      <c r="R4" s="310"/>
      <c r="S4">
        <v>1</v>
      </c>
      <c r="T4" s="333" t="s">
        <v>471</v>
      </c>
      <c r="U4" s="334">
        <v>600</v>
      </c>
      <c r="V4" s="335">
        <v>4</v>
      </c>
      <c r="W4" s="336" t="s">
        <v>472</v>
      </c>
      <c r="X4"/>
      <c r="Y4" s="310"/>
      <c r="Z4" s="310"/>
      <c r="AA4" s="310"/>
      <c r="AB4" s="310"/>
    </row>
    <row r="5" spans="1:36" x14ac:dyDescent="0.25">
      <c r="A5" s="309"/>
      <c r="B5" s="310"/>
      <c r="C5" s="936" t="s">
        <v>974</v>
      </c>
      <c r="D5" s="298"/>
      <c r="E5" s="298"/>
      <c r="F5" s="298"/>
      <c r="G5" s="298"/>
      <c r="H5" s="298"/>
      <c r="I5" s="298"/>
      <c r="J5" s="298"/>
      <c r="K5" s="937"/>
      <c r="L5" s="310"/>
      <c r="M5">
        <v>2</v>
      </c>
      <c r="N5" s="337" t="s">
        <v>471</v>
      </c>
      <c r="O5" s="12">
        <v>700</v>
      </c>
      <c r="P5" s="338">
        <v>2</v>
      </c>
      <c r="Q5" s="339" t="s">
        <v>472</v>
      </c>
      <c r="R5" s="310"/>
      <c r="S5">
        <v>2</v>
      </c>
      <c r="T5" s="337" t="s">
        <v>471</v>
      </c>
      <c r="U5" s="12">
        <v>750</v>
      </c>
      <c r="V5" s="338">
        <v>2</v>
      </c>
      <c r="W5" s="339" t="s">
        <v>472</v>
      </c>
      <c r="X5"/>
      <c r="Y5" s="310"/>
      <c r="Z5" s="310"/>
      <c r="AA5" s="310"/>
      <c r="AB5" s="310"/>
    </row>
    <row r="6" spans="1:36" x14ac:dyDescent="0.25">
      <c r="A6" s="309"/>
      <c r="B6" s="310"/>
      <c r="C6" s="936" t="s">
        <v>975</v>
      </c>
      <c r="D6" s="298"/>
      <c r="E6" s="298"/>
      <c r="F6" s="298"/>
      <c r="G6" s="298"/>
      <c r="H6" s="298"/>
      <c r="I6" s="298"/>
      <c r="J6" s="298"/>
      <c r="K6" s="937"/>
      <c r="L6" s="310"/>
      <c r="M6">
        <v>3</v>
      </c>
      <c r="N6" s="337" t="s">
        <v>473</v>
      </c>
      <c r="O6" s="12">
        <v>5000</v>
      </c>
      <c r="P6" s="340">
        <f>VLOOKUP("X",19:254,29,FALSE)</f>
        <v>0</v>
      </c>
      <c r="Q6" s="339" t="s">
        <v>472</v>
      </c>
      <c r="R6" s="310"/>
      <c r="S6">
        <v>3</v>
      </c>
      <c r="T6" s="337" t="s">
        <v>475</v>
      </c>
      <c r="U6" s="12">
        <v>5000</v>
      </c>
      <c r="V6" s="338">
        <v>5</v>
      </c>
      <c r="W6" s="339" t="s">
        <v>472</v>
      </c>
      <c r="X6"/>
      <c r="Y6" s="310"/>
      <c r="Z6" s="310"/>
      <c r="AA6" s="310"/>
      <c r="AB6" s="310"/>
    </row>
    <row r="7" spans="1:36" x14ac:dyDescent="0.25">
      <c r="A7" s="309"/>
      <c r="B7" s="310"/>
      <c r="C7" s="936"/>
      <c r="D7" s="298"/>
      <c r="E7" s="298"/>
      <c r="F7" s="298"/>
      <c r="G7" s="299"/>
      <c r="H7" s="299"/>
      <c r="I7" s="299"/>
      <c r="J7" s="299"/>
      <c r="K7" s="938"/>
      <c r="L7" s="310"/>
      <c r="M7">
        <v>4</v>
      </c>
      <c r="N7" s="337" t="str">
        <f>" "</f>
        <v xml:space="preserve"> </v>
      </c>
      <c r="O7" s="339" t="str">
        <f>" "</f>
        <v xml:space="preserve"> </v>
      </c>
      <c r="P7" s="340" t="str">
        <f>" "</f>
        <v xml:space="preserve"> </v>
      </c>
      <c r="Q7" s="339" t="str">
        <f>" "</f>
        <v xml:space="preserve"> </v>
      </c>
      <c r="R7" s="310"/>
      <c r="S7">
        <v>4</v>
      </c>
      <c r="T7" s="339" t="str">
        <f>" "</f>
        <v xml:space="preserve"> </v>
      </c>
      <c r="U7" s="12" t="str">
        <f>" "</f>
        <v xml:space="preserve"> </v>
      </c>
      <c r="V7" s="340" t="str">
        <f>" "</f>
        <v xml:space="preserve"> </v>
      </c>
      <c r="W7" s="339" t="str">
        <f>" "</f>
        <v xml:space="preserve"> </v>
      </c>
      <c r="X7" s="286"/>
      <c r="Y7" s="310"/>
      <c r="Z7" s="310"/>
      <c r="AA7" s="310"/>
      <c r="AB7" s="310"/>
    </row>
    <row r="8" spans="1:36" x14ac:dyDescent="0.25">
      <c r="A8" s="309"/>
      <c r="B8" s="310"/>
      <c r="C8" s="936"/>
      <c r="D8" s="298"/>
      <c r="E8" s="298"/>
      <c r="F8" s="298"/>
      <c r="G8" s="299"/>
      <c r="H8" s="299"/>
      <c r="I8" s="299"/>
      <c r="J8" s="299"/>
      <c r="K8" s="938"/>
      <c r="L8" s="310"/>
      <c r="M8">
        <v>5</v>
      </c>
      <c r="N8" s="337" t="str">
        <f t="shared" ref="N8:Q13" si="0">" "</f>
        <v xml:space="preserve"> </v>
      </c>
      <c r="O8" s="339" t="str">
        <f t="shared" si="0"/>
        <v xml:space="preserve"> </v>
      </c>
      <c r="P8" s="337" t="str">
        <f t="shared" si="0"/>
        <v xml:space="preserve"> </v>
      </c>
      <c r="Q8" s="339" t="str">
        <f t="shared" si="0"/>
        <v xml:space="preserve"> </v>
      </c>
      <c r="R8" s="310"/>
      <c r="S8">
        <v>5</v>
      </c>
      <c r="T8" s="337" t="str">
        <f>" "</f>
        <v xml:space="preserve"> </v>
      </c>
      <c r="U8" s="12"/>
      <c r="V8" s="340"/>
      <c r="W8" s="339"/>
      <c r="X8" s="286"/>
      <c r="Y8" s="310"/>
      <c r="Z8" s="310"/>
      <c r="AA8" s="310"/>
      <c r="AB8" s="310"/>
    </row>
    <row r="9" spans="1:36" x14ac:dyDescent="0.25">
      <c r="A9" s="309"/>
      <c r="B9" s="310"/>
      <c r="C9" s="939"/>
      <c r="D9" s="940"/>
      <c r="E9" s="940"/>
      <c r="F9" s="940"/>
      <c r="G9" s="941"/>
      <c r="H9" s="941"/>
      <c r="I9" s="941"/>
      <c r="J9" s="941"/>
      <c r="K9" s="942"/>
      <c r="L9" s="310"/>
      <c r="M9">
        <v>6</v>
      </c>
      <c r="N9" s="337" t="str">
        <f t="shared" si="0"/>
        <v xml:space="preserve"> </v>
      </c>
      <c r="O9" s="339" t="str">
        <f t="shared" si="0"/>
        <v xml:space="preserve"> </v>
      </c>
      <c r="P9" s="337" t="str">
        <f t="shared" si="0"/>
        <v xml:space="preserve"> </v>
      </c>
      <c r="Q9" s="339" t="str">
        <f t="shared" si="0"/>
        <v xml:space="preserve"> </v>
      </c>
      <c r="R9" s="310"/>
      <c r="S9">
        <v>6</v>
      </c>
      <c r="T9" s="337"/>
      <c r="U9" s="12"/>
      <c r="V9" s="340"/>
      <c r="W9" s="339"/>
      <c r="X9"/>
      <c r="Y9" s="310"/>
      <c r="Z9" s="310"/>
      <c r="AA9" s="310"/>
      <c r="AB9" s="310"/>
    </row>
    <row r="10" spans="1:36" x14ac:dyDescent="0.25">
      <c r="A10" s="309"/>
      <c r="B10" s="310"/>
      <c r="D10" s="298"/>
      <c r="E10" s="298"/>
      <c r="F10" s="298"/>
      <c r="G10" s="299"/>
      <c r="H10" s="299"/>
      <c r="I10" s="299"/>
      <c r="J10" s="299"/>
      <c r="K10" s="299"/>
      <c r="L10" s="310"/>
      <c r="M10">
        <v>7</v>
      </c>
      <c r="N10" s="337" t="str">
        <f t="shared" si="0"/>
        <v xml:space="preserve"> </v>
      </c>
      <c r="O10" s="339" t="str">
        <f t="shared" si="0"/>
        <v xml:space="preserve"> </v>
      </c>
      <c r="P10" s="337" t="str">
        <f t="shared" si="0"/>
        <v xml:space="preserve"> </v>
      </c>
      <c r="Q10" s="339" t="str">
        <f t="shared" si="0"/>
        <v xml:space="preserve"> </v>
      </c>
      <c r="R10" s="310"/>
      <c r="S10">
        <v>7</v>
      </c>
      <c r="T10" s="337"/>
      <c r="U10" s="12"/>
      <c r="V10" s="340"/>
      <c r="W10" s="339"/>
      <c r="X10"/>
      <c r="Y10" s="310"/>
      <c r="Z10" s="310"/>
      <c r="AA10" s="310"/>
      <c r="AB10" s="310"/>
    </row>
    <row r="11" spans="1:36" x14ac:dyDescent="0.25">
      <c r="A11" s="309"/>
      <c r="B11" s="310"/>
      <c r="D11" s="298"/>
      <c r="E11" s="298"/>
      <c r="F11" s="298"/>
      <c r="G11" s="299"/>
      <c r="H11" s="299"/>
      <c r="I11" s="299"/>
      <c r="J11" s="299"/>
      <c r="K11" s="299"/>
      <c r="L11" s="310"/>
      <c r="M11">
        <v>8</v>
      </c>
      <c r="N11" s="337" t="str">
        <f t="shared" si="0"/>
        <v xml:space="preserve"> </v>
      </c>
      <c r="O11" s="339" t="str">
        <f t="shared" si="0"/>
        <v xml:space="preserve"> </v>
      </c>
      <c r="P11" s="337" t="str">
        <f t="shared" si="0"/>
        <v xml:space="preserve"> </v>
      </c>
      <c r="Q11" s="339" t="str">
        <f t="shared" si="0"/>
        <v xml:space="preserve"> </v>
      </c>
      <c r="R11" s="310"/>
      <c r="S11">
        <v>8</v>
      </c>
      <c r="T11" s="337"/>
      <c r="U11" s="12"/>
      <c r="V11" s="340"/>
      <c r="W11" s="339"/>
      <c r="X11"/>
      <c r="Y11" s="310"/>
      <c r="Z11" s="310"/>
      <c r="AA11" s="310"/>
      <c r="AB11" s="310"/>
    </row>
    <row r="12" spans="1:36" x14ac:dyDescent="0.25">
      <c r="A12" s="309"/>
      <c r="B12" s="310"/>
      <c r="C12" s="346"/>
      <c r="D12" s="347"/>
      <c r="E12" s="347"/>
      <c r="F12" s="347"/>
      <c r="G12" s="299"/>
      <c r="H12" s="299"/>
      <c r="I12" s="299"/>
      <c r="J12" s="299"/>
      <c r="K12" s="299"/>
      <c r="L12" s="310"/>
      <c r="M12">
        <v>9</v>
      </c>
      <c r="N12" s="337" t="str">
        <f t="shared" si="0"/>
        <v xml:space="preserve"> </v>
      </c>
      <c r="O12" s="339" t="str">
        <f t="shared" si="0"/>
        <v xml:space="preserve"> </v>
      </c>
      <c r="P12" s="337" t="str">
        <f t="shared" si="0"/>
        <v xml:space="preserve"> </v>
      </c>
      <c r="Q12" s="339" t="str">
        <f t="shared" si="0"/>
        <v xml:space="preserve"> </v>
      </c>
      <c r="R12" s="310"/>
      <c r="S12">
        <v>9</v>
      </c>
      <c r="T12" s="337"/>
      <c r="U12" s="12"/>
      <c r="V12" s="340"/>
      <c r="W12" s="339"/>
      <c r="X12"/>
      <c r="Y12" s="310"/>
      <c r="Z12" s="310"/>
      <c r="AA12" s="310"/>
      <c r="AB12" s="310"/>
    </row>
    <row r="13" spans="1:36" x14ac:dyDescent="0.25">
      <c r="A13" s="309"/>
      <c r="B13" s="310"/>
      <c r="C13" s="346"/>
      <c r="D13" s="347"/>
      <c r="E13" s="347"/>
      <c r="F13" s="347"/>
      <c r="G13" s="299"/>
      <c r="H13" s="299"/>
      <c r="I13" s="299"/>
      <c r="J13" s="299"/>
      <c r="K13" s="299"/>
      <c r="L13" s="310"/>
      <c r="M13">
        <v>10</v>
      </c>
      <c r="N13" s="225" t="str">
        <f t="shared" si="0"/>
        <v xml:space="preserve"> </v>
      </c>
      <c r="O13" s="341" t="str">
        <f t="shared" si="0"/>
        <v xml:space="preserve"> </v>
      </c>
      <c r="P13" s="225" t="str">
        <f t="shared" si="0"/>
        <v xml:space="preserve"> </v>
      </c>
      <c r="Q13" s="341" t="str">
        <f t="shared" si="0"/>
        <v xml:space="preserve"> </v>
      </c>
      <c r="R13" s="310"/>
      <c r="S13">
        <v>10</v>
      </c>
      <c r="T13" s="225"/>
      <c r="U13" s="13"/>
      <c r="V13" s="342"/>
      <c r="W13" s="341"/>
      <c r="X13"/>
      <c r="Y13" s="310"/>
      <c r="Z13" s="310"/>
      <c r="AA13" s="310"/>
      <c r="AB13" s="310"/>
    </row>
    <row r="14" spans="1:36" x14ac:dyDescent="0.25">
      <c r="A14" s="309"/>
      <c r="B14" s="310"/>
      <c r="C14"/>
      <c r="D14"/>
      <c r="E14"/>
      <c r="F14"/>
      <c r="G14"/>
      <c r="H14"/>
      <c r="I14"/>
      <c r="J14"/>
      <c r="K14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</row>
    <row r="15" spans="1:36" ht="15.75" thickBot="1" x14ac:dyDescent="0.3">
      <c r="B15" s="298">
        <v>2</v>
      </c>
      <c r="C15" s="298">
        <v>3</v>
      </c>
      <c r="D15" s="298">
        <v>4</v>
      </c>
      <c r="E15" s="298">
        <v>5</v>
      </c>
      <c r="F15" s="298">
        <v>6</v>
      </c>
      <c r="G15" s="298">
        <v>7</v>
      </c>
      <c r="H15" s="298">
        <v>8</v>
      </c>
      <c r="I15" s="298">
        <v>9</v>
      </c>
      <c r="J15" s="298">
        <v>10</v>
      </c>
      <c r="K15" s="298">
        <v>11</v>
      </c>
      <c r="L15" s="298">
        <v>12</v>
      </c>
      <c r="M15" s="298">
        <v>13</v>
      </c>
      <c r="N15" s="298">
        <v>14</v>
      </c>
      <c r="O15" s="298">
        <v>15</v>
      </c>
      <c r="P15" s="298">
        <v>16</v>
      </c>
      <c r="Q15" s="298">
        <v>17</v>
      </c>
      <c r="R15" s="298">
        <v>18</v>
      </c>
      <c r="S15" s="298">
        <v>19</v>
      </c>
      <c r="T15" s="298">
        <v>20</v>
      </c>
      <c r="U15" s="298">
        <v>21</v>
      </c>
      <c r="V15" s="298">
        <v>22</v>
      </c>
      <c r="W15" s="298">
        <v>23</v>
      </c>
      <c r="X15" s="298">
        <v>24</v>
      </c>
      <c r="Y15" s="298">
        <v>25</v>
      </c>
      <c r="Z15" s="298">
        <v>26</v>
      </c>
      <c r="AA15" s="298">
        <v>27</v>
      </c>
      <c r="AB15" s="298">
        <v>28</v>
      </c>
      <c r="AC15" s="298">
        <v>29</v>
      </c>
      <c r="AD15" s="298">
        <v>30</v>
      </c>
      <c r="AE15" s="298">
        <v>31</v>
      </c>
      <c r="AF15" s="298">
        <v>32</v>
      </c>
      <c r="AG15" s="298">
        <v>33</v>
      </c>
      <c r="AH15" s="298">
        <v>34</v>
      </c>
      <c r="AI15" s="298">
        <v>35</v>
      </c>
      <c r="AJ15" s="298">
        <v>36</v>
      </c>
    </row>
    <row r="16" spans="1:36" ht="15.75" thickBot="1" x14ac:dyDescent="0.3">
      <c r="A16" s="327" t="s">
        <v>39</v>
      </c>
      <c r="B16" s="304" t="s">
        <v>214</v>
      </c>
      <c r="C16" s="304" t="s">
        <v>215</v>
      </c>
      <c r="D16" s="363" t="s">
        <v>216</v>
      </c>
      <c r="E16" s="361" t="s">
        <v>217</v>
      </c>
      <c r="F16" s="348">
        <v>0</v>
      </c>
      <c r="G16" s="349">
        <v>200</v>
      </c>
      <c r="H16" s="350">
        <v>500</v>
      </c>
      <c r="I16" s="349">
        <v>1000</v>
      </c>
      <c r="J16" s="350">
        <v>2000</v>
      </c>
      <c r="K16" s="351">
        <v>5000</v>
      </c>
      <c r="L16" s="370"/>
      <c r="M16" s="381"/>
      <c r="N16" s="375"/>
      <c r="O16" s="383"/>
      <c r="P16" s="375"/>
      <c r="Q16" s="383"/>
      <c r="R16" s="375"/>
      <c r="S16" s="372"/>
      <c r="T16" s="383"/>
      <c r="U16" s="375"/>
      <c r="V16" s="375"/>
      <c r="W16" s="375"/>
      <c r="X16" s="375"/>
      <c r="Y16" s="375"/>
      <c r="Z16" s="375"/>
      <c r="AA16" s="375"/>
      <c r="AB16" s="375"/>
      <c r="AC16" s="672" t="s">
        <v>476</v>
      </c>
      <c r="AD16" s="529">
        <f>VLOOKUP("X",19:254,AD15,FALSE)</f>
        <v>1</v>
      </c>
      <c r="AE16" s="529">
        <f>VLOOKUP("X",19:254,AE15,FALSE)</f>
        <v>1</v>
      </c>
      <c r="AF16" s="529">
        <f t="shared" ref="AF16:AJ16" si="1">VLOOKUP("X",19:254,AF15,FALSE)</f>
        <v>1</v>
      </c>
      <c r="AG16" s="529">
        <f t="shared" si="1"/>
        <v>1</v>
      </c>
      <c r="AH16" s="529">
        <f t="shared" si="1"/>
        <v>1</v>
      </c>
      <c r="AI16" s="529">
        <f t="shared" si="1"/>
        <v>1</v>
      </c>
      <c r="AJ16" s="281">
        <f t="shared" si="1"/>
        <v>1</v>
      </c>
    </row>
    <row r="17" spans="1:36" x14ac:dyDescent="0.25">
      <c r="A17" s="328"/>
      <c r="B17" s="305"/>
      <c r="C17" s="305"/>
      <c r="D17" s="364"/>
      <c r="E17" s="362"/>
      <c r="F17" s="316">
        <v>200</v>
      </c>
      <c r="G17" s="306">
        <v>500</v>
      </c>
      <c r="H17" s="317">
        <v>1000</v>
      </c>
      <c r="I17" s="306">
        <v>2000</v>
      </c>
      <c r="J17" s="317">
        <v>5000</v>
      </c>
      <c r="K17" s="318">
        <v>999999</v>
      </c>
      <c r="L17" s="371"/>
      <c r="M17" s="382"/>
      <c r="N17" s="376"/>
      <c r="O17" s="384"/>
      <c r="P17" s="376"/>
      <c r="Q17" s="384"/>
      <c r="R17" s="376"/>
      <c r="S17" s="373"/>
      <c r="T17" s="384" t="s">
        <v>218</v>
      </c>
      <c r="U17" s="388"/>
      <c r="V17" s="388"/>
      <c r="W17" s="388"/>
      <c r="X17" s="345"/>
      <c r="Y17" s="345"/>
      <c r="Z17" s="345"/>
      <c r="AA17" s="345"/>
      <c r="AB17" s="345"/>
      <c r="AC17" s="673">
        <v>5000</v>
      </c>
      <c r="AD17" s="12" t="s">
        <v>66</v>
      </c>
      <c r="AE17" s="2" t="s">
        <v>65</v>
      </c>
      <c r="AF17" s="12" t="s">
        <v>63</v>
      </c>
      <c r="AG17" s="2" t="s">
        <v>64</v>
      </c>
      <c r="AH17" s="12" t="s">
        <v>52</v>
      </c>
      <c r="AI17" s="2" t="s">
        <v>54</v>
      </c>
      <c r="AJ17" s="12" t="s">
        <v>67</v>
      </c>
    </row>
    <row r="18" spans="1:36" ht="15.75" thickBot="1" x14ac:dyDescent="0.3">
      <c r="A18" s="328"/>
      <c r="B18" s="307"/>
      <c r="C18" s="307"/>
      <c r="D18" s="364"/>
      <c r="E18" s="362"/>
      <c r="F18" s="352" t="s">
        <v>219</v>
      </c>
      <c r="G18" s="353" t="s">
        <v>220</v>
      </c>
      <c r="H18" s="354" t="s">
        <v>221</v>
      </c>
      <c r="I18" s="353" t="s">
        <v>222</v>
      </c>
      <c r="J18" s="355" t="s">
        <v>223</v>
      </c>
      <c r="K18" s="356" t="s">
        <v>224</v>
      </c>
      <c r="L18" s="308" t="s">
        <v>29</v>
      </c>
      <c r="M18" s="382" t="s">
        <v>225</v>
      </c>
      <c r="N18" s="376" t="s">
        <v>0</v>
      </c>
      <c r="O18" s="385" t="s">
        <v>174</v>
      </c>
      <c r="P18" s="377" t="s">
        <v>0</v>
      </c>
      <c r="Q18" s="385" t="s">
        <v>174</v>
      </c>
      <c r="R18" s="377" t="s">
        <v>0</v>
      </c>
      <c r="S18" s="374" t="s">
        <v>226</v>
      </c>
      <c r="T18" s="385"/>
      <c r="U18" s="389" t="s">
        <v>227</v>
      </c>
      <c r="V18" s="390" t="s">
        <v>228</v>
      </c>
      <c r="W18" s="390" t="s">
        <v>229</v>
      </c>
      <c r="X18" s="390" t="s">
        <v>230</v>
      </c>
      <c r="Y18" s="389" t="s">
        <v>231</v>
      </c>
      <c r="Z18" s="389" t="s">
        <v>232</v>
      </c>
      <c r="AA18" s="389" t="s">
        <v>233</v>
      </c>
      <c r="AB18" s="389" t="s">
        <v>234</v>
      </c>
      <c r="AC18" s="674">
        <v>6200</v>
      </c>
      <c r="AD18" s="13" t="s">
        <v>96</v>
      </c>
      <c r="AE18" s="343" t="s">
        <v>96</v>
      </c>
      <c r="AF18" s="13" t="s">
        <v>96</v>
      </c>
      <c r="AG18" s="343" t="s">
        <v>96</v>
      </c>
      <c r="AH18" s="13" t="s">
        <v>96</v>
      </c>
      <c r="AI18" s="343" t="s">
        <v>96</v>
      </c>
      <c r="AJ18" s="13" t="s">
        <v>96</v>
      </c>
    </row>
    <row r="19" spans="1:36" x14ac:dyDescent="0.25">
      <c r="A19" s="298" t="str">
        <f>IF('Kwaliteit conversie'!$D$4='Prijs karton'!C19,"X"," ")</f>
        <v xml:space="preserve"> </v>
      </c>
      <c r="B19" s="330" t="s">
        <v>31</v>
      </c>
      <c r="C19" s="358" t="s">
        <v>235</v>
      </c>
      <c r="D19" s="365">
        <v>0.35099999999999998</v>
      </c>
      <c r="E19" s="357">
        <v>2.84</v>
      </c>
      <c r="F19" s="922">
        <v>0</v>
      </c>
      <c r="G19" s="368">
        <v>40.5</v>
      </c>
      <c r="H19" s="368">
        <v>37.5</v>
      </c>
      <c r="I19" s="368">
        <v>37.5</v>
      </c>
      <c r="J19" s="368">
        <v>35.5</v>
      </c>
      <c r="K19" s="923">
        <v>35.5</v>
      </c>
      <c r="L19" s="924" t="s">
        <v>236</v>
      </c>
      <c r="M19" s="331" t="s">
        <v>237</v>
      </c>
      <c r="N19" s="366" t="s">
        <v>238</v>
      </c>
      <c r="O19" s="313" t="s">
        <v>239</v>
      </c>
      <c r="P19" s="366" t="s">
        <v>239</v>
      </c>
      <c r="Q19" s="313" t="s">
        <v>239</v>
      </c>
      <c r="R19" s="366" t="s">
        <v>239</v>
      </c>
      <c r="S19" s="378" t="s">
        <v>237</v>
      </c>
      <c r="T19" s="314" t="s">
        <v>240</v>
      </c>
      <c r="U19" s="391">
        <v>240</v>
      </c>
      <c r="V19" s="391">
        <v>2450</v>
      </c>
      <c r="W19" s="391">
        <v>500</v>
      </c>
      <c r="X19" s="391">
        <v>6000</v>
      </c>
      <c r="Y19" s="391">
        <v>125</v>
      </c>
      <c r="Z19" s="391">
        <v>125</v>
      </c>
      <c r="AA19" s="391">
        <v>200</v>
      </c>
      <c r="AB19" s="184">
        <v>4.0199999999999996</v>
      </c>
      <c r="AC19" s="28">
        <v>0</v>
      </c>
      <c r="AD19" s="486">
        <v>1</v>
      </c>
      <c r="AE19" s="486">
        <v>1</v>
      </c>
      <c r="AF19" s="486">
        <v>1</v>
      </c>
      <c r="AG19" s="486">
        <v>1</v>
      </c>
      <c r="AH19" s="486">
        <v>1</v>
      </c>
      <c r="AI19" s="486">
        <v>1</v>
      </c>
      <c r="AJ19" s="486">
        <v>1</v>
      </c>
    </row>
    <row r="20" spans="1:36" x14ac:dyDescent="0.25">
      <c r="A20" s="298" t="str">
        <f>IF('Kwaliteit conversie'!$D$4='Prijs karton'!C20,"X"," ")</f>
        <v xml:space="preserve"> </v>
      </c>
      <c r="B20" s="331" t="s">
        <v>31</v>
      </c>
      <c r="C20" s="359" t="s">
        <v>241</v>
      </c>
      <c r="D20" s="366">
        <v>0.30499999999999999</v>
      </c>
      <c r="E20" s="321">
        <v>2.7</v>
      </c>
      <c r="F20" s="925">
        <v>0</v>
      </c>
      <c r="G20" s="315">
        <v>27.7</v>
      </c>
      <c r="H20" s="315">
        <v>24.7</v>
      </c>
      <c r="I20" s="315">
        <v>24.2</v>
      </c>
      <c r="J20" s="315">
        <v>24.2</v>
      </c>
      <c r="K20" s="513">
        <v>23.7</v>
      </c>
      <c r="L20" s="926" t="s">
        <v>242</v>
      </c>
      <c r="M20" s="331" t="s">
        <v>243</v>
      </c>
      <c r="N20" s="366" t="s">
        <v>244</v>
      </c>
      <c r="O20" s="323" t="s">
        <v>239</v>
      </c>
      <c r="P20" s="386" t="s">
        <v>239</v>
      </c>
      <c r="Q20" s="323" t="s">
        <v>239</v>
      </c>
      <c r="R20" s="366" t="s">
        <v>239</v>
      </c>
      <c r="S20" s="378" t="s">
        <v>244</v>
      </c>
      <c r="T20" s="324" t="s">
        <v>245</v>
      </c>
      <c r="U20" s="386">
        <v>250</v>
      </c>
      <c r="V20" s="386">
        <v>2450</v>
      </c>
      <c r="W20" s="386">
        <v>500</v>
      </c>
      <c r="X20" s="386">
        <v>6200</v>
      </c>
      <c r="Y20" s="386">
        <v>480</v>
      </c>
      <c r="Z20" s="386">
        <v>240</v>
      </c>
      <c r="AA20" s="386">
        <v>200</v>
      </c>
      <c r="AB20" s="392">
        <v>3</v>
      </c>
      <c r="AC20" s="28">
        <v>0</v>
      </c>
      <c r="AD20" s="28">
        <v>1</v>
      </c>
      <c r="AE20" s="28">
        <v>1</v>
      </c>
      <c r="AF20" s="28">
        <v>1</v>
      </c>
      <c r="AG20" s="28">
        <v>1</v>
      </c>
      <c r="AH20" s="28">
        <v>1</v>
      </c>
      <c r="AI20" s="28">
        <v>1</v>
      </c>
      <c r="AJ20" s="28">
        <v>1</v>
      </c>
    </row>
    <row r="21" spans="1:36" x14ac:dyDescent="0.25">
      <c r="A21" s="298" t="str">
        <f>IF('Kwaliteit conversie'!$D$4='Prijs karton'!C21,"X"," ")</f>
        <v xml:space="preserve"> </v>
      </c>
      <c r="B21" s="331" t="s">
        <v>31</v>
      </c>
      <c r="C21" s="359" t="s">
        <v>246</v>
      </c>
      <c r="D21" s="366">
        <v>0.36499999999999999</v>
      </c>
      <c r="E21" s="321">
        <v>2.8</v>
      </c>
      <c r="F21" s="925">
        <v>0</v>
      </c>
      <c r="G21" s="315">
        <v>31</v>
      </c>
      <c r="H21" s="315">
        <v>28</v>
      </c>
      <c r="I21" s="315">
        <v>27.5</v>
      </c>
      <c r="J21" s="315">
        <v>27.5</v>
      </c>
      <c r="K21" s="513">
        <v>27</v>
      </c>
      <c r="L21" s="926" t="s">
        <v>247</v>
      </c>
      <c r="M21" s="331" t="s">
        <v>248</v>
      </c>
      <c r="N21" s="366" t="s">
        <v>238</v>
      </c>
      <c r="O21" s="323" t="s">
        <v>239</v>
      </c>
      <c r="P21" s="386" t="s">
        <v>239</v>
      </c>
      <c r="Q21" s="323" t="s">
        <v>239</v>
      </c>
      <c r="R21" s="366" t="s">
        <v>239</v>
      </c>
      <c r="S21" s="378" t="s">
        <v>249</v>
      </c>
      <c r="T21" s="324" t="s">
        <v>245</v>
      </c>
      <c r="U21" s="386">
        <v>250</v>
      </c>
      <c r="V21" s="386">
        <v>2450</v>
      </c>
      <c r="W21" s="386">
        <v>500</v>
      </c>
      <c r="X21" s="386">
        <v>6200</v>
      </c>
      <c r="Y21" s="386">
        <v>480</v>
      </c>
      <c r="Z21" s="386">
        <v>240</v>
      </c>
      <c r="AA21" s="386">
        <v>200</v>
      </c>
      <c r="AB21" s="392">
        <v>4</v>
      </c>
      <c r="AC21" s="28">
        <v>0</v>
      </c>
      <c r="AD21" s="28">
        <v>1</v>
      </c>
      <c r="AE21" s="28">
        <v>1</v>
      </c>
      <c r="AF21" s="28">
        <v>1</v>
      </c>
      <c r="AG21" s="28">
        <v>1</v>
      </c>
      <c r="AH21" s="28">
        <v>1</v>
      </c>
      <c r="AI21" s="28">
        <v>1</v>
      </c>
      <c r="AJ21" s="28">
        <v>1</v>
      </c>
    </row>
    <row r="22" spans="1:36" x14ac:dyDescent="0.25">
      <c r="A22" s="298" t="str">
        <f>IF('Kwaliteit conversie'!$D$4='Prijs karton'!C22,"X"," ")</f>
        <v xml:space="preserve"> </v>
      </c>
      <c r="B22" s="331" t="s">
        <v>31</v>
      </c>
      <c r="C22" s="359" t="s">
        <v>250</v>
      </c>
      <c r="D22" s="366">
        <v>0.35499999999999998</v>
      </c>
      <c r="E22" s="321">
        <v>2.8</v>
      </c>
      <c r="F22" s="925">
        <v>0</v>
      </c>
      <c r="G22" s="315">
        <v>28.8</v>
      </c>
      <c r="H22" s="315">
        <v>25.8</v>
      </c>
      <c r="I22" s="315">
        <v>25.3</v>
      </c>
      <c r="J22" s="315">
        <v>25.3</v>
      </c>
      <c r="K22" s="513">
        <v>24.8</v>
      </c>
      <c r="L22" s="926" t="s">
        <v>251</v>
      </c>
      <c r="M22" s="331" t="s">
        <v>249</v>
      </c>
      <c r="N22" s="366" t="s">
        <v>244</v>
      </c>
      <c r="O22" s="323" t="s">
        <v>239</v>
      </c>
      <c r="P22" s="386" t="s">
        <v>239</v>
      </c>
      <c r="Q22" s="323" t="s">
        <v>239</v>
      </c>
      <c r="R22" s="366" t="s">
        <v>239</v>
      </c>
      <c r="S22" s="378" t="s">
        <v>249</v>
      </c>
      <c r="T22" s="324" t="s">
        <v>245</v>
      </c>
      <c r="U22" s="386">
        <v>250</v>
      </c>
      <c r="V22" s="386">
        <v>2450</v>
      </c>
      <c r="W22" s="386">
        <v>500</v>
      </c>
      <c r="X22" s="386">
        <v>6200</v>
      </c>
      <c r="Y22" s="386">
        <v>480</v>
      </c>
      <c r="Z22" s="386">
        <v>240</v>
      </c>
      <c r="AA22" s="386">
        <v>200</v>
      </c>
      <c r="AB22" s="392">
        <v>3.6</v>
      </c>
      <c r="AC22" s="28">
        <v>10</v>
      </c>
      <c r="AD22" s="28">
        <v>1</v>
      </c>
      <c r="AE22" s="28">
        <v>1</v>
      </c>
      <c r="AF22" s="28">
        <v>1</v>
      </c>
      <c r="AG22" s="28">
        <v>1</v>
      </c>
      <c r="AH22" s="28">
        <v>1</v>
      </c>
      <c r="AI22" s="28">
        <v>1</v>
      </c>
      <c r="AJ22" s="28">
        <v>1</v>
      </c>
    </row>
    <row r="23" spans="1:36" x14ac:dyDescent="0.25">
      <c r="A23" s="298" t="str">
        <f>IF('Kwaliteit conversie'!$D$4='Prijs karton'!C23,"X"," ")</f>
        <v xml:space="preserve"> </v>
      </c>
      <c r="B23" s="331" t="s">
        <v>31</v>
      </c>
      <c r="C23" s="359" t="s">
        <v>252</v>
      </c>
      <c r="D23" s="366">
        <v>0.36499999999999999</v>
      </c>
      <c r="E23" s="321">
        <v>2.84</v>
      </c>
      <c r="F23" s="925">
        <v>0</v>
      </c>
      <c r="G23" s="315">
        <v>41.1</v>
      </c>
      <c r="H23" s="315">
        <v>38.1</v>
      </c>
      <c r="I23" s="315">
        <v>38.1</v>
      </c>
      <c r="J23" s="315">
        <v>36.1</v>
      </c>
      <c r="K23" s="513">
        <v>36.1</v>
      </c>
      <c r="L23" s="926" t="s">
        <v>253</v>
      </c>
      <c r="M23" s="331" t="s">
        <v>254</v>
      </c>
      <c r="N23" s="366" t="s">
        <v>238</v>
      </c>
      <c r="O23" s="323" t="s">
        <v>239</v>
      </c>
      <c r="P23" s="386" t="s">
        <v>239</v>
      </c>
      <c r="Q23" s="323" t="s">
        <v>239</v>
      </c>
      <c r="R23" s="366" t="s">
        <v>239</v>
      </c>
      <c r="S23" s="378" t="s">
        <v>254</v>
      </c>
      <c r="T23" s="324" t="s">
        <v>240</v>
      </c>
      <c r="U23" s="386">
        <v>240</v>
      </c>
      <c r="V23" s="386">
        <v>2450</v>
      </c>
      <c r="W23" s="386">
        <v>500</v>
      </c>
      <c r="X23" s="386">
        <v>6000</v>
      </c>
      <c r="Y23" s="386">
        <v>125</v>
      </c>
      <c r="Z23" s="386">
        <v>125</v>
      </c>
      <c r="AA23" s="386">
        <v>200</v>
      </c>
      <c r="AB23" s="392">
        <v>4</v>
      </c>
      <c r="AC23" s="28">
        <v>0</v>
      </c>
      <c r="AD23" s="28">
        <v>1</v>
      </c>
      <c r="AE23" s="28">
        <v>1</v>
      </c>
      <c r="AF23" s="28">
        <v>1</v>
      </c>
      <c r="AG23" s="28">
        <v>1</v>
      </c>
      <c r="AH23" s="28">
        <v>1</v>
      </c>
      <c r="AI23" s="28">
        <v>1</v>
      </c>
      <c r="AJ23" s="28">
        <v>1</v>
      </c>
    </row>
    <row r="24" spans="1:36" x14ac:dyDescent="0.25">
      <c r="A24" s="298" t="str">
        <f>IF('Kwaliteit conversie'!$D$4='Prijs karton'!C24,"X"," ")</f>
        <v xml:space="preserve"> </v>
      </c>
      <c r="B24" s="331" t="s">
        <v>31</v>
      </c>
      <c r="C24" s="359"/>
      <c r="D24" s="366"/>
      <c r="E24" s="321"/>
      <c r="F24" s="925"/>
      <c r="G24" s="315"/>
      <c r="H24" s="315"/>
      <c r="I24" s="315"/>
      <c r="J24" s="315"/>
      <c r="K24" s="513"/>
      <c r="L24" s="926"/>
      <c r="M24" s="331"/>
      <c r="N24" s="366"/>
      <c r="O24" s="323"/>
      <c r="P24" s="386"/>
      <c r="Q24" s="323"/>
      <c r="R24" s="366"/>
      <c r="S24" s="378"/>
      <c r="T24" s="324"/>
      <c r="U24" s="386"/>
      <c r="V24" s="386"/>
      <c r="W24" s="386"/>
      <c r="X24" s="386"/>
      <c r="Y24" s="386"/>
      <c r="Z24" s="386"/>
      <c r="AA24" s="386"/>
      <c r="AB24" s="392"/>
      <c r="AC24" s="28"/>
      <c r="AD24" s="28"/>
      <c r="AE24" s="28"/>
      <c r="AF24" s="28"/>
      <c r="AG24" s="28"/>
      <c r="AH24" s="28"/>
      <c r="AI24" s="28"/>
      <c r="AJ24" s="28"/>
    </row>
    <row r="25" spans="1:36" x14ac:dyDescent="0.25">
      <c r="A25" s="298" t="str">
        <f>IF('Kwaliteit conversie'!$D$4='Prijs karton'!C25,"X"," ")</f>
        <v xml:space="preserve"> </v>
      </c>
      <c r="B25" s="331" t="s">
        <v>31</v>
      </c>
      <c r="C25" s="359" t="s">
        <v>42</v>
      </c>
      <c r="D25" s="366">
        <v>0.375</v>
      </c>
      <c r="E25" s="321">
        <v>2.8</v>
      </c>
      <c r="F25" s="925">
        <v>0</v>
      </c>
      <c r="G25" s="315">
        <v>29.8</v>
      </c>
      <c r="H25" s="315">
        <v>26.8</v>
      </c>
      <c r="I25" s="315">
        <v>26.3</v>
      </c>
      <c r="J25" s="315">
        <v>26.3</v>
      </c>
      <c r="K25" s="513">
        <v>25.8</v>
      </c>
      <c r="L25" s="926" t="s">
        <v>256</v>
      </c>
      <c r="M25" s="331" t="s">
        <v>257</v>
      </c>
      <c r="N25" s="366" t="s">
        <v>244</v>
      </c>
      <c r="O25" s="323" t="s">
        <v>239</v>
      </c>
      <c r="P25" s="386" t="s">
        <v>239</v>
      </c>
      <c r="Q25" s="323" t="s">
        <v>239</v>
      </c>
      <c r="R25" s="366" t="s">
        <v>239</v>
      </c>
      <c r="S25" s="378" t="s">
        <v>249</v>
      </c>
      <c r="T25" s="324" t="s">
        <v>245</v>
      </c>
      <c r="U25" s="386">
        <v>250</v>
      </c>
      <c r="V25" s="386">
        <v>2450</v>
      </c>
      <c r="W25" s="386">
        <v>500</v>
      </c>
      <c r="X25" s="386">
        <v>6200</v>
      </c>
      <c r="Y25" s="386">
        <v>480</v>
      </c>
      <c r="Z25" s="386">
        <v>240</v>
      </c>
      <c r="AA25" s="386">
        <v>200</v>
      </c>
      <c r="AB25" s="392">
        <v>3.9</v>
      </c>
      <c r="AC25" s="28">
        <v>10</v>
      </c>
      <c r="AD25" s="28">
        <v>1</v>
      </c>
      <c r="AE25" s="28">
        <v>1</v>
      </c>
      <c r="AF25" s="28">
        <v>1</v>
      </c>
      <c r="AG25" s="28">
        <v>1</v>
      </c>
      <c r="AH25" s="28">
        <v>1</v>
      </c>
      <c r="AI25" s="28">
        <v>1</v>
      </c>
      <c r="AJ25" s="28">
        <v>1</v>
      </c>
    </row>
    <row r="26" spans="1:36" x14ac:dyDescent="0.25">
      <c r="A26" s="298" t="str">
        <f>IF('Kwaliteit conversie'!$D$4='Prijs karton'!C26,"X"," ")</f>
        <v xml:space="preserve"> </v>
      </c>
      <c r="B26" s="331" t="s">
        <v>31</v>
      </c>
      <c r="C26" s="359"/>
      <c r="D26" s="366"/>
      <c r="E26" s="321"/>
      <c r="F26" s="925"/>
      <c r="G26" s="315"/>
      <c r="H26" s="315"/>
      <c r="I26" s="315"/>
      <c r="J26" s="315"/>
      <c r="K26" s="513"/>
      <c r="L26" s="926"/>
      <c r="M26" s="331"/>
      <c r="N26" s="366"/>
      <c r="O26" s="323"/>
      <c r="P26" s="386"/>
      <c r="Q26" s="323"/>
      <c r="R26" s="366"/>
      <c r="S26" s="378"/>
      <c r="T26" s="324"/>
      <c r="U26" s="386"/>
      <c r="V26" s="386"/>
      <c r="W26" s="386"/>
      <c r="X26" s="386"/>
      <c r="Y26" s="386"/>
      <c r="Z26" s="386"/>
      <c r="AA26" s="386"/>
      <c r="AB26" s="392"/>
      <c r="AC26" s="28"/>
      <c r="AD26" s="28"/>
      <c r="AE26" s="28"/>
      <c r="AF26" s="28"/>
      <c r="AG26" s="28"/>
      <c r="AH26" s="28"/>
      <c r="AI26" s="28"/>
      <c r="AJ26" s="28"/>
    </row>
    <row r="27" spans="1:36" x14ac:dyDescent="0.25">
      <c r="A27" s="298" t="str">
        <f>IF('Kwaliteit conversie'!$D$4='Prijs karton'!C27,"X"," ")</f>
        <v xml:space="preserve"> </v>
      </c>
      <c r="B27" s="331" t="s">
        <v>31</v>
      </c>
      <c r="C27" s="359" t="s">
        <v>258</v>
      </c>
      <c r="D27" s="366">
        <v>0.38100000000000001</v>
      </c>
      <c r="E27" s="321">
        <v>2.88</v>
      </c>
      <c r="F27" s="925">
        <v>0</v>
      </c>
      <c r="G27" s="315">
        <v>44.9</v>
      </c>
      <c r="H27" s="315">
        <v>41.9</v>
      </c>
      <c r="I27" s="315">
        <v>41.9</v>
      </c>
      <c r="J27" s="315">
        <v>39.9</v>
      </c>
      <c r="K27" s="513">
        <v>39.9</v>
      </c>
      <c r="L27" s="926" t="s">
        <v>259</v>
      </c>
      <c r="M27" s="331" t="s">
        <v>260</v>
      </c>
      <c r="N27" s="366" t="s">
        <v>238</v>
      </c>
      <c r="O27" s="323" t="s">
        <v>239</v>
      </c>
      <c r="P27" s="386" t="s">
        <v>239</v>
      </c>
      <c r="Q27" s="323" t="s">
        <v>239</v>
      </c>
      <c r="R27" s="366" t="s">
        <v>239</v>
      </c>
      <c r="S27" s="378" t="s">
        <v>260</v>
      </c>
      <c r="T27" s="324" t="s">
        <v>240</v>
      </c>
      <c r="U27" s="386">
        <v>240</v>
      </c>
      <c r="V27" s="386">
        <v>2450</v>
      </c>
      <c r="W27" s="386">
        <v>500</v>
      </c>
      <c r="X27" s="386">
        <v>6000</v>
      </c>
      <c r="Y27" s="386">
        <v>125</v>
      </c>
      <c r="Z27" s="386">
        <v>125</v>
      </c>
      <c r="AA27" s="386">
        <v>200</v>
      </c>
      <c r="AB27" s="392">
        <v>4.87</v>
      </c>
      <c r="AC27" s="28">
        <v>0</v>
      </c>
      <c r="AD27" s="28">
        <v>1</v>
      </c>
      <c r="AE27" s="28">
        <v>1</v>
      </c>
      <c r="AF27" s="28">
        <v>1</v>
      </c>
      <c r="AG27" s="28">
        <v>1</v>
      </c>
      <c r="AH27" s="28">
        <v>1</v>
      </c>
      <c r="AI27" s="28">
        <v>1</v>
      </c>
      <c r="AJ27" s="28">
        <v>1</v>
      </c>
    </row>
    <row r="28" spans="1:36" x14ac:dyDescent="0.25">
      <c r="A28" s="298" t="str">
        <f>IF('Kwaliteit conversie'!$D$4='Prijs karton'!C28,"X"," ")</f>
        <v xml:space="preserve"> </v>
      </c>
      <c r="B28" s="331" t="s">
        <v>31</v>
      </c>
      <c r="C28" s="359" t="s">
        <v>261</v>
      </c>
      <c r="D28" s="366">
        <v>0.36</v>
      </c>
      <c r="E28" s="321">
        <v>2.2999999999999998</v>
      </c>
      <c r="F28" s="925">
        <v>0</v>
      </c>
      <c r="G28" s="315">
        <v>29.6</v>
      </c>
      <c r="H28" s="315">
        <v>26.6</v>
      </c>
      <c r="I28" s="315">
        <v>26.1</v>
      </c>
      <c r="J28" s="315">
        <v>26.1</v>
      </c>
      <c r="K28" s="513">
        <v>25.6</v>
      </c>
      <c r="L28" s="926" t="s">
        <v>262</v>
      </c>
      <c r="M28" s="331" t="s">
        <v>257</v>
      </c>
      <c r="N28" s="366" t="s">
        <v>255</v>
      </c>
      <c r="O28" s="323" t="s">
        <v>239</v>
      </c>
      <c r="P28" s="386" t="s">
        <v>239</v>
      </c>
      <c r="Q28" s="323" t="s">
        <v>239</v>
      </c>
      <c r="R28" s="366" t="s">
        <v>239</v>
      </c>
      <c r="S28" s="378" t="s">
        <v>249</v>
      </c>
      <c r="T28" s="324" t="s">
        <v>245</v>
      </c>
      <c r="U28" s="386">
        <v>250</v>
      </c>
      <c r="V28" s="386">
        <v>2450</v>
      </c>
      <c r="W28" s="386">
        <v>500</v>
      </c>
      <c r="X28" s="386">
        <v>6200</v>
      </c>
      <c r="Y28" s="386">
        <v>480</v>
      </c>
      <c r="Z28" s="386">
        <v>240</v>
      </c>
      <c r="AA28" s="386">
        <v>200</v>
      </c>
      <c r="AB28" s="392">
        <v>4.0999999999999996</v>
      </c>
      <c r="AC28" s="28">
        <v>0</v>
      </c>
      <c r="AD28" s="28">
        <v>1</v>
      </c>
      <c r="AE28" s="28">
        <v>1</v>
      </c>
      <c r="AF28" s="28">
        <v>1</v>
      </c>
      <c r="AG28" s="28">
        <v>1</v>
      </c>
      <c r="AH28" s="28">
        <v>1</v>
      </c>
      <c r="AI28" s="28">
        <v>1</v>
      </c>
      <c r="AJ28" s="28">
        <v>1</v>
      </c>
    </row>
    <row r="29" spans="1:36" x14ac:dyDescent="0.25">
      <c r="A29" s="298" t="str">
        <f>IF('Kwaliteit conversie'!$D$4='Prijs karton'!C29,"X"," ")</f>
        <v xml:space="preserve"> </v>
      </c>
      <c r="B29" s="331" t="s">
        <v>31</v>
      </c>
      <c r="C29" s="359" t="s">
        <v>263</v>
      </c>
      <c r="D29" s="366">
        <v>0.43</v>
      </c>
      <c r="E29" s="321">
        <v>2.8</v>
      </c>
      <c r="F29" s="925">
        <v>0</v>
      </c>
      <c r="G29" s="315">
        <v>37.5</v>
      </c>
      <c r="H29" s="315">
        <v>34.5</v>
      </c>
      <c r="I29" s="315">
        <v>34</v>
      </c>
      <c r="J29" s="315">
        <v>34</v>
      </c>
      <c r="K29" s="513">
        <v>33.5</v>
      </c>
      <c r="L29" s="926" t="s">
        <v>264</v>
      </c>
      <c r="M29" s="331" t="s">
        <v>257</v>
      </c>
      <c r="N29" s="366" t="s">
        <v>265</v>
      </c>
      <c r="O29" s="323" t="s">
        <v>239</v>
      </c>
      <c r="P29" s="386" t="s">
        <v>239</v>
      </c>
      <c r="Q29" s="323" t="s">
        <v>239</v>
      </c>
      <c r="R29" s="366" t="s">
        <v>239</v>
      </c>
      <c r="S29" s="378" t="s">
        <v>249</v>
      </c>
      <c r="T29" s="324" t="s">
        <v>245</v>
      </c>
      <c r="U29" s="386">
        <v>250</v>
      </c>
      <c r="V29" s="386">
        <v>2450</v>
      </c>
      <c r="W29" s="386">
        <v>500</v>
      </c>
      <c r="X29" s="386">
        <v>6200</v>
      </c>
      <c r="Y29" s="386">
        <v>480</v>
      </c>
      <c r="Z29" s="386">
        <v>240</v>
      </c>
      <c r="AA29" s="386">
        <v>200</v>
      </c>
      <c r="AB29" s="392">
        <v>5</v>
      </c>
      <c r="AC29" s="28">
        <v>0</v>
      </c>
      <c r="AD29" s="28">
        <v>1</v>
      </c>
      <c r="AE29" s="28">
        <v>1</v>
      </c>
      <c r="AF29" s="28">
        <v>1</v>
      </c>
      <c r="AG29" s="28">
        <v>1</v>
      </c>
      <c r="AH29" s="28">
        <v>1</v>
      </c>
      <c r="AI29" s="28">
        <v>1</v>
      </c>
      <c r="AJ29" s="28">
        <v>1</v>
      </c>
    </row>
    <row r="30" spans="1:36" x14ac:dyDescent="0.25">
      <c r="A30" s="298" t="str">
        <f>IF('Kwaliteit conversie'!$D$4='Prijs karton'!C30,"X"," ")</f>
        <v xml:space="preserve"> </v>
      </c>
      <c r="B30" s="331" t="s">
        <v>31</v>
      </c>
      <c r="C30" s="359" t="s">
        <v>266</v>
      </c>
      <c r="D30" s="366">
        <v>0.45</v>
      </c>
      <c r="E30" s="321">
        <v>2.8</v>
      </c>
      <c r="F30" s="925">
        <v>0</v>
      </c>
      <c r="G30" s="315">
        <v>38.5</v>
      </c>
      <c r="H30" s="315">
        <v>35.5</v>
      </c>
      <c r="I30" s="315">
        <v>35</v>
      </c>
      <c r="J30" s="315">
        <v>35</v>
      </c>
      <c r="K30" s="513">
        <v>34.5</v>
      </c>
      <c r="L30" s="926" t="s">
        <v>267</v>
      </c>
      <c r="M30" s="331" t="s">
        <v>257</v>
      </c>
      <c r="N30" s="366" t="s">
        <v>265</v>
      </c>
      <c r="O30" s="323" t="s">
        <v>239</v>
      </c>
      <c r="P30" s="386" t="s">
        <v>239</v>
      </c>
      <c r="Q30" s="323" t="s">
        <v>239</v>
      </c>
      <c r="R30" s="366" t="s">
        <v>239</v>
      </c>
      <c r="S30" s="378" t="s">
        <v>257</v>
      </c>
      <c r="T30" s="324" t="s">
        <v>245</v>
      </c>
      <c r="U30" s="386">
        <v>250</v>
      </c>
      <c r="V30" s="386">
        <v>2450</v>
      </c>
      <c r="W30" s="386">
        <v>500</v>
      </c>
      <c r="X30" s="386">
        <v>6200</v>
      </c>
      <c r="Y30" s="386">
        <v>480</v>
      </c>
      <c r="Z30" s="386">
        <v>240</v>
      </c>
      <c r="AA30" s="386">
        <v>200</v>
      </c>
      <c r="AB30" s="392">
        <v>5.2</v>
      </c>
      <c r="AC30" s="28">
        <v>0</v>
      </c>
      <c r="AD30" s="28">
        <v>1</v>
      </c>
      <c r="AE30" s="28">
        <v>1</v>
      </c>
      <c r="AF30" s="28">
        <v>1</v>
      </c>
      <c r="AG30" s="28">
        <v>1</v>
      </c>
      <c r="AH30" s="28">
        <v>1</v>
      </c>
      <c r="AI30" s="28">
        <v>1</v>
      </c>
      <c r="AJ30" s="28">
        <v>1</v>
      </c>
    </row>
    <row r="31" spans="1:36" x14ac:dyDescent="0.25">
      <c r="A31" s="298" t="str">
        <f>IF('Kwaliteit conversie'!$D$4='Prijs karton'!C31,"X"," ")</f>
        <v xml:space="preserve"> </v>
      </c>
      <c r="B31" s="331" t="s">
        <v>31</v>
      </c>
      <c r="C31" s="359" t="s">
        <v>45</v>
      </c>
      <c r="D31" s="366">
        <v>0.39500000000000002</v>
      </c>
      <c r="E31" s="321">
        <v>2.8</v>
      </c>
      <c r="F31" s="925">
        <v>0</v>
      </c>
      <c r="G31" s="315">
        <v>39.299999999999997</v>
      </c>
      <c r="H31" s="315">
        <v>36.299999999999997</v>
      </c>
      <c r="I31" s="315">
        <v>35.799999999999997</v>
      </c>
      <c r="J31" s="315">
        <v>35.799999999999997</v>
      </c>
      <c r="K31" s="513">
        <v>35.299999999999997</v>
      </c>
      <c r="L31" s="926" t="s">
        <v>268</v>
      </c>
      <c r="M31" s="331" t="s">
        <v>269</v>
      </c>
      <c r="N31" s="366" t="s">
        <v>244</v>
      </c>
      <c r="O31" s="323" t="s">
        <v>239</v>
      </c>
      <c r="P31" s="386" t="s">
        <v>239</v>
      </c>
      <c r="Q31" s="323" t="s">
        <v>239</v>
      </c>
      <c r="R31" s="366" t="s">
        <v>239</v>
      </c>
      <c r="S31" s="378" t="s">
        <v>257</v>
      </c>
      <c r="T31" s="324" t="s">
        <v>245</v>
      </c>
      <c r="U31" s="386">
        <v>250</v>
      </c>
      <c r="V31" s="386">
        <v>2450</v>
      </c>
      <c r="W31" s="386">
        <v>500</v>
      </c>
      <c r="X31" s="386">
        <v>6200</v>
      </c>
      <c r="Y31" s="386">
        <v>480</v>
      </c>
      <c r="Z31" s="386">
        <v>240</v>
      </c>
      <c r="AA31" s="386">
        <v>200</v>
      </c>
      <c r="AB31" s="392">
        <v>3.9</v>
      </c>
      <c r="AC31" s="28">
        <v>0</v>
      </c>
      <c r="AD31" s="28">
        <v>1</v>
      </c>
      <c r="AE31" s="28">
        <v>1</v>
      </c>
      <c r="AF31" s="28">
        <v>1</v>
      </c>
      <c r="AG31" s="28">
        <v>1</v>
      </c>
      <c r="AH31" s="28">
        <v>1</v>
      </c>
      <c r="AI31" s="28">
        <v>1</v>
      </c>
      <c r="AJ31" s="28">
        <v>1</v>
      </c>
    </row>
    <row r="32" spans="1:36" x14ac:dyDescent="0.25">
      <c r="A32" s="298" t="str">
        <f>IF('Kwaliteit conversie'!$D$4='Prijs karton'!C32,"X"," ")</f>
        <v xml:space="preserve"> </v>
      </c>
      <c r="B32" s="331" t="s">
        <v>31</v>
      </c>
      <c r="C32" s="359" t="s">
        <v>270</v>
      </c>
      <c r="D32" s="366">
        <v>0.39100000000000001</v>
      </c>
      <c r="E32" s="321">
        <v>2.85</v>
      </c>
      <c r="F32" s="925">
        <v>0</v>
      </c>
      <c r="G32" s="315" t="s">
        <v>239</v>
      </c>
      <c r="H32" s="315">
        <v>47.3</v>
      </c>
      <c r="I32" s="315">
        <v>47.3</v>
      </c>
      <c r="J32" s="315">
        <v>45.3</v>
      </c>
      <c r="K32" s="513">
        <v>45.3</v>
      </c>
      <c r="L32" s="926" t="s">
        <v>271</v>
      </c>
      <c r="M32" s="331" t="s">
        <v>269</v>
      </c>
      <c r="N32" s="366" t="s">
        <v>238</v>
      </c>
      <c r="O32" s="323" t="s">
        <v>239</v>
      </c>
      <c r="P32" s="386" t="s">
        <v>239</v>
      </c>
      <c r="Q32" s="323" t="s">
        <v>239</v>
      </c>
      <c r="R32" s="366" t="s">
        <v>239</v>
      </c>
      <c r="S32" s="378" t="s">
        <v>260</v>
      </c>
      <c r="T32" s="324" t="s">
        <v>240</v>
      </c>
      <c r="U32" s="386">
        <v>240</v>
      </c>
      <c r="V32" s="386">
        <v>2450</v>
      </c>
      <c r="W32" s="386">
        <v>500</v>
      </c>
      <c r="X32" s="386">
        <v>6000</v>
      </c>
      <c r="Y32" s="386">
        <v>125</v>
      </c>
      <c r="Z32" s="386">
        <v>125</v>
      </c>
      <c r="AA32" s="386">
        <v>500</v>
      </c>
      <c r="AB32" s="392">
        <v>4.55</v>
      </c>
      <c r="AC32" s="28">
        <v>0</v>
      </c>
      <c r="AD32" s="28">
        <v>1</v>
      </c>
      <c r="AE32" s="28">
        <v>1</v>
      </c>
      <c r="AF32" s="28">
        <v>1</v>
      </c>
      <c r="AG32" s="28">
        <v>1</v>
      </c>
      <c r="AH32" s="28">
        <v>1</v>
      </c>
      <c r="AI32" s="28">
        <v>1</v>
      </c>
      <c r="AJ32" s="28">
        <v>1</v>
      </c>
    </row>
    <row r="33" spans="1:36" x14ac:dyDescent="0.25">
      <c r="A33" s="298" t="str">
        <f>IF('Kwaliteit conversie'!$D$4='Prijs karton'!C33,"X"," ")</f>
        <v xml:space="preserve"> </v>
      </c>
      <c r="B33" s="331" t="s">
        <v>31</v>
      </c>
      <c r="C33" s="359"/>
      <c r="D33" s="366"/>
      <c r="E33" s="321"/>
      <c r="F33" s="925"/>
      <c r="G33" s="315"/>
      <c r="H33" s="315"/>
      <c r="I33" s="315"/>
      <c r="J33" s="315"/>
      <c r="K33" s="513"/>
      <c r="L33" s="926"/>
      <c r="M33" s="331"/>
      <c r="N33" s="366"/>
      <c r="O33" s="323"/>
      <c r="P33" s="386"/>
      <c r="Q33" s="323"/>
      <c r="R33" s="366"/>
      <c r="S33" s="378"/>
      <c r="T33" s="324"/>
      <c r="U33" s="386"/>
      <c r="V33" s="386"/>
      <c r="W33" s="386"/>
      <c r="X33" s="386"/>
      <c r="Y33" s="386"/>
      <c r="Z33" s="386"/>
      <c r="AA33" s="386"/>
      <c r="AB33" s="392"/>
      <c r="AC33" s="28"/>
      <c r="AD33" s="28"/>
      <c r="AE33" s="28"/>
      <c r="AF33" s="28"/>
      <c r="AG33" s="28"/>
      <c r="AH33" s="28"/>
      <c r="AI33" s="28"/>
      <c r="AJ33" s="28"/>
    </row>
    <row r="34" spans="1:36" x14ac:dyDescent="0.25">
      <c r="A34" s="298" t="str">
        <f>IF('Kwaliteit conversie'!$D$4='Prijs karton'!C34,"X"," ")</f>
        <v xml:space="preserve"> </v>
      </c>
      <c r="B34" s="331" t="s">
        <v>31</v>
      </c>
      <c r="C34" s="359"/>
      <c r="D34" s="366"/>
      <c r="E34" s="321"/>
      <c r="F34" s="925"/>
      <c r="G34" s="315"/>
      <c r="H34" s="315"/>
      <c r="I34" s="315"/>
      <c r="J34" s="315"/>
      <c r="K34" s="513"/>
      <c r="L34" s="926"/>
      <c r="M34" s="331"/>
      <c r="N34" s="366"/>
      <c r="O34" s="323"/>
      <c r="P34" s="386"/>
      <c r="Q34" s="323"/>
      <c r="R34" s="366"/>
      <c r="S34" s="378"/>
      <c r="T34" s="324"/>
      <c r="U34" s="386"/>
      <c r="V34" s="386"/>
      <c r="W34" s="386"/>
      <c r="X34" s="386"/>
      <c r="Y34" s="386"/>
      <c r="Z34" s="386"/>
      <c r="AA34" s="386"/>
      <c r="AB34" s="392"/>
      <c r="AC34" s="28"/>
      <c r="AD34" s="28"/>
      <c r="AE34" s="28"/>
      <c r="AF34" s="28"/>
      <c r="AG34" s="28"/>
      <c r="AH34" s="28"/>
      <c r="AI34" s="28"/>
      <c r="AJ34" s="28"/>
    </row>
    <row r="35" spans="1:36" x14ac:dyDescent="0.25">
      <c r="A35" s="298" t="str">
        <f>IF('Kwaliteit conversie'!$D$4='Prijs karton'!C35,"X"," ")</f>
        <v xml:space="preserve"> </v>
      </c>
      <c r="B35" s="331" t="s">
        <v>31</v>
      </c>
      <c r="C35" s="359" t="s">
        <v>272</v>
      </c>
      <c r="D35" s="366">
        <v>0.4</v>
      </c>
      <c r="E35" s="321">
        <v>2.8</v>
      </c>
      <c r="F35" s="925">
        <v>0</v>
      </c>
      <c r="G35" s="315">
        <v>38.700000000000003</v>
      </c>
      <c r="H35" s="315">
        <v>35.700000000000003</v>
      </c>
      <c r="I35" s="315">
        <v>35.200000000000003</v>
      </c>
      <c r="J35" s="315">
        <v>35.200000000000003</v>
      </c>
      <c r="K35" s="513">
        <v>34.700000000000003</v>
      </c>
      <c r="L35" s="926" t="s">
        <v>273</v>
      </c>
      <c r="M35" s="331" t="s">
        <v>274</v>
      </c>
      <c r="N35" s="366" t="s">
        <v>244</v>
      </c>
      <c r="O35" s="323" t="s">
        <v>239</v>
      </c>
      <c r="P35" s="386" t="s">
        <v>239</v>
      </c>
      <c r="Q35" s="323" t="s">
        <v>239</v>
      </c>
      <c r="R35" s="366" t="s">
        <v>239</v>
      </c>
      <c r="S35" s="378" t="s">
        <v>257</v>
      </c>
      <c r="T35" s="324" t="s">
        <v>245</v>
      </c>
      <c r="U35" s="386">
        <v>250</v>
      </c>
      <c r="V35" s="386">
        <v>2450</v>
      </c>
      <c r="W35" s="386">
        <v>500</v>
      </c>
      <c r="X35" s="386">
        <v>6200</v>
      </c>
      <c r="Y35" s="386">
        <v>480</v>
      </c>
      <c r="Z35" s="386">
        <v>240</v>
      </c>
      <c r="AA35" s="386">
        <v>200</v>
      </c>
      <c r="AB35" s="392">
        <v>4.5999999999999996</v>
      </c>
      <c r="AC35" s="28">
        <v>0</v>
      </c>
      <c r="AD35" s="28">
        <v>1</v>
      </c>
      <c r="AE35" s="28">
        <v>1</v>
      </c>
      <c r="AF35" s="28">
        <v>1</v>
      </c>
      <c r="AG35" s="28">
        <v>1</v>
      </c>
      <c r="AH35" s="28">
        <v>1</v>
      </c>
      <c r="AI35" s="28">
        <v>1</v>
      </c>
      <c r="AJ35" s="28">
        <v>1</v>
      </c>
    </row>
    <row r="36" spans="1:36" x14ac:dyDescent="0.25">
      <c r="A36" s="298" t="str">
        <f>IF('Kwaliteit conversie'!$D$4='Prijs karton'!C36,"X"," ")</f>
        <v xml:space="preserve"> </v>
      </c>
      <c r="B36" s="331" t="s">
        <v>31</v>
      </c>
      <c r="C36" s="359" t="s">
        <v>275</v>
      </c>
      <c r="D36" s="366">
        <v>0.39100000000000001</v>
      </c>
      <c r="E36" s="321">
        <v>2.87</v>
      </c>
      <c r="F36" s="925">
        <v>0</v>
      </c>
      <c r="G36" s="315">
        <v>50.6</v>
      </c>
      <c r="H36" s="315">
        <v>47.6</v>
      </c>
      <c r="I36" s="315">
        <v>47.6</v>
      </c>
      <c r="J36" s="315">
        <v>45.6</v>
      </c>
      <c r="K36" s="513">
        <v>45.6</v>
      </c>
      <c r="L36" s="926" t="s">
        <v>276</v>
      </c>
      <c r="M36" s="331" t="s">
        <v>277</v>
      </c>
      <c r="N36" s="366" t="s">
        <v>238</v>
      </c>
      <c r="O36" s="323" t="s">
        <v>239</v>
      </c>
      <c r="P36" s="386" t="s">
        <v>239</v>
      </c>
      <c r="Q36" s="323" t="s">
        <v>239</v>
      </c>
      <c r="R36" s="366" t="s">
        <v>239</v>
      </c>
      <c r="S36" s="378" t="s">
        <v>260</v>
      </c>
      <c r="T36" s="324" t="s">
        <v>240</v>
      </c>
      <c r="U36" s="386">
        <v>240</v>
      </c>
      <c r="V36" s="386">
        <v>2450</v>
      </c>
      <c r="W36" s="386">
        <v>500</v>
      </c>
      <c r="X36" s="386">
        <v>6000</v>
      </c>
      <c r="Y36" s="386">
        <v>125</v>
      </c>
      <c r="Z36" s="386">
        <v>125</v>
      </c>
      <c r="AA36" s="386">
        <v>200</v>
      </c>
      <c r="AB36" s="392">
        <v>5.07</v>
      </c>
      <c r="AC36" s="28">
        <v>0</v>
      </c>
      <c r="AD36" s="28">
        <v>1</v>
      </c>
      <c r="AE36" s="28">
        <v>1</v>
      </c>
      <c r="AF36" s="28">
        <v>1</v>
      </c>
      <c r="AG36" s="28">
        <v>1</v>
      </c>
      <c r="AH36" s="28">
        <v>1</v>
      </c>
      <c r="AI36" s="28">
        <v>1</v>
      </c>
      <c r="AJ36" s="28">
        <v>1</v>
      </c>
    </row>
    <row r="37" spans="1:36" x14ac:dyDescent="0.25">
      <c r="A37" s="298" t="str">
        <f>IF('Kwaliteit conversie'!$D$4='Prijs karton'!C37,"X"," ")</f>
        <v xml:space="preserve"> </v>
      </c>
      <c r="B37" s="331" t="s">
        <v>31</v>
      </c>
      <c r="C37" s="359"/>
      <c r="D37" s="366"/>
      <c r="E37" s="321"/>
      <c r="F37" s="925"/>
      <c r="G37" s="315"/>
      <c r="H37" s="315"/>
      <c r="I37" s="315"/>
      <c r="J37" s="315"/>
      <c r="K37" s="513"/>
      <c r="L37" s="926"/>
      <c r="M37" s="331"/>
      <c r="N37" s="366"/>
      <c r="O37" s="323"/>
      <c r="P37" s="386"/>
      <c r="Q37" s="323"/>
      <c r="R37" s="366"/>
      <c r="S37" s="378"/>
      <c r="T37" s="324"/>
      <c r="U37" s="386"/>
      <c r="V37" s="386"/>
      <c r="W37" s="386"/>
      <c r="X37" s="386"/>
      <c r="Y37" s="386"/>
      <c r="Z37" s="386"/>
      <c r="AA37" s="386"/>
      <c r="AB37" s="392"/>
      <c r="AC37" s="28"/>
      <c r="AD37" s="28"/>
      <c r="AE37" s="28"/>
      <c r="AF37" s="28"/>
      <c r="AG37" s="28"/>
      <c r="AH37" s="28"/>
      <c r="AI37" s="28"/>
      <c r="AJ37" s="28"/>
    </row>
    <row r="38" spans="1:36" x14ac:dyDescent="0.25">
      <c r="A38" s="298" t="str">
        <f>IF('Kwaliteit conversie'!$D$4='Prijs karton'!C38,"X"," ")</f>
        <v xml:space="preserve"> </v>
      </c>
      <c r="B38" s="331" t="s">
        <v>31</v>
      </c>
      <c r="C38" s="359"/>
      <c r="D38" s="366"/>
      <c r="E38" s="321"/>
      <c r="F38" s="925"/>
      <c r="G38" s="315"/>
      <c r="H38" s="315"/>
      <c r="I38" s="315"/>
      <c r="J38" s="315"/>
      <c r="K38" s="513"/>
      <c r="L38" s="926"/>
      <c r="M38" s="331"/>
      <c r="N38" s="366"/>
      <c r="O38" s="323"/>
      <c r="P38" s="386"/>
      <c r="Q38" s="323"/>
      <c r="R38" s="366"/>
      <c r="S38" s="378"/>
      <c r="T38" s="324"/>
      <c r="U38" s="386"/>
      <c r="V38" s="386"/>
      <c r="W38" s="386"/>
      <c r="X38" s="386"/>
      <c r="Y38" s="386"/>
      <c r="Z38" s="386"/>
      <c r="AA38" s="386"/>
      <c r="AB38" s="392"/>
      <c r="AC38" s="28"/>
      <c r="AD38" s="28"/>
      <c r="AE38" s="28"/>
      <c r="AF38" s="28"/>
      <c r="AG38" s="28"/>
      <c r="AH38" s="28"/>
      <c r="AI38" s="28"/>
      <c r="AJ38" s="28"/>
    </row>
    <row r="39" spans="1:36" x14ac:dyDescent="0.25">
      <c r="A39" s="298" t="str">
        <f>IF('Kwaliteit conversie'!$D$4='Prijs karton'!C39,"X"," ")</f>
        <v xml:space="preserve"> </v>
      </c>
      <c r="B39" s="331" t="s">
        <v>31</v>
      </c>
      <c r="C39" s="359" t="s">
        <v>278</v>
      </c>
      <c r="D39" s="366">
        <v>0.38500000000000001</v>
      </c>
      <c r="E39" s="321">
        <v>2.8</v>
      </c>
      <c r="F39" s="925">
        <v>0</v>
      </c>
      <c r="G39" s="315">
        <v>33.9</v>
      </c>
      <c r="H39" s="315">
        <v>30.9</v>
      </c>
      <c r="I39" s="315">
        <v>30.4</v>
      </c>
      <c r="J39" s="315">
        <v>30.4</v>
      </c>
      <c r="K39" s="513">
        <v>29.9</v>
      </c>
      <c r="L39" s="926" t="s">
        <v>279</v>
      </c>
      <c r="M39" s="331" t="s">
        <v>257</v>
      </c>
      <c r="N39" s="366" t="s">
        <v>238</v>
      </c>
      <c r="O39" s="323" t="s">
        <v>239</v>
      </c>
      <c r="P39" s="386" t="s">
        <v>239</v>
      </c>
      <c r="Q39" s="323" t="s">
        <v>239</v>
      </c>
      <c r="R39" s="366" t="s">
        <v>239</v>
      </c>
      <c r="S39" s="378" t="s">
        <v>249</v>
      </c>
      <c r="T39" s="324" t="s">
        <v>245</v>
      </c>
      <c r="U39" s="386">
        <v>250</v>
      </c>
      <c r="V39" s="386">
        <v>2450</v>
      </c>
      <c r="W39" s="386">
        <v>500</v>
      </c>
      <c r="X39" s="386">
        <v>6200</v>
      </c>
      <c r="Y39" s="386">
        <v>480</v>
      </c>
      <c r="Z39" s="386">
        <v>240</v>
      </c>
      <c r="AA39" s="386">
        <v>200</v>
      </c>
      <c r="AB39" s="392">
        <v>4.4000000000000004</v>
      </c>
      <c r="AC39" s="28">
        <v>0</v>
      </c>
      <c r="AD39" s="28">
        <v>1</v>
      </c>
      <c r="AE39" s="28">
        <v>1</v>
      </c>
      <c r="AF39" s="28">
        <v>1</v>
      </c>
      <c r="AG39" s="28">
        <v>1</v>
      </c>
      <c r="AH39" s="28">
        <v>1</v>
      </c>
      <c r="AI39" s="28">
        <v>1</v>
      </c>
      <c r="AJ39" s="28">
        <v>1</v>
      </c>
    </row>
    <row r="40" spans="1:36" x14ac:dyDescent="0.25">
      <c r="A40" s="298" t="str">
        <f>IF('Kwaliteit conversie'!$D$4='Prijs karton'!C40,"X"," ")</f>
        <v xml:space="preserve"> </v>
      </c>
      <c r="B40" s="331" t="s">
        <v>31</v>
      </c>
      <c r="C40" s="359" t="s">
        <v>43</v>
      </c>
      <c r="D40" s="366">
        <v>0.45500000000000002</v>
      </c>
      <c r="E40" s="321">
        <v>2.8</v>
      </c>
      <c r="F40" s="925">
        <v>0</v>
      </c>
      <c r="G40" s="315">
        <v>39.4</v>
      </c>
      <c r="H40" s="315">
        <v>36.4</v>
      </c>
      <c r="I40" s="315">
        <v>35.9</v>
      </c>
      <c r="J40" s="315">
        <v>35.9</v>
      </c>
      <c r="K40" s="513">
        <v>35.4</v>
      </c>
      <c r="L40" s="926" t="s">
        <v>280</v>
      </c>
      <c r="M40" s="331" t="s">
        <v>274</v>
      </c>
      <c r="N40" s="366" t="s">
        <v>265</v>
      </c>
      <c r="O40" s="323" t="s">
        <v>239</v>
      </c>
      <c r="P40" s="386" t="s">
        <v>239</v>
      </c>
      <c r="Q40" s="323" t="s">
        <v>239</v>
      </c>
      <c r="R40" s="366" t="s">
        <v>239</v>
      </c>
      <c r="S40" s="378" t="s">
        <v>257</v>
      </c>
      <c r="T40" s="324" t="s">
        <v>245</v>
      </c>
      <c r="U40" s="386">
        <v>250</v>
      </c>
      <c r="V40" s="386">
        <v>2450</v>
      </c>
      <c r="W40" s="386">
        <v>500</v>
      </c>
      <c r="X40" s="386">
        <v>6200</v>
      </c>
      <c r="Y40" s="386">
        <v>480</v>
      </c>
      <c r="Z40" s="386">
        <v>240</v>
      </c>
      <c r="AA40" s="386">
        <v>200</v>
      </c>
      <c r="AB40" s="392">
        <v>5.6</v>
      </c>
      <c r="AC40" s="28">
        <v>10</v>
      </c>
      <c r="AD40" s="28">
        <v>1</v>
      </c>
      <c r="AE40" s="28">
        <v>1</v>
      </c>
      <c r="AF40" s="28">
        <v>1</v>
      </c>
      <c r="AG40" s="28">
        <v>1</v>
      </c>
      <c r="AH40" s="28">
        <v>1</v>
      </c>
      <c r="AI40" s="28">
        <v>1</v>
      </c>
      <c r="AJ40" s="28">
        <v>1</v>
      </c>
    </row>
    <row r="41" spans="1:36" x14ac:dyDescent="0.25">
      <c r="A41" s="298" t="str">
        <f>IF('Kwaliteit conversie'!$D$4='Prijs karton'!C41,"X"," ")</f>
        <v xml:space="preserve"> </v>
      </c>
      <c r="B41" s="331" t="s">
        <v>31</v>
      </c>
      <c r="C41" s="359" t="s">
        <v>281</v>
      </c>
      <c r="D41" s="366">
        <v>0.45</v>
      </c>
      <c r="E41" s="321">
        <v>2.8</v>
      </c>
      <c r="F41" s="925">
        <v>0</v>
      </c>
      <c r="G41" s="315">
        <v>44</v>
      </c>
      <c r="H41" s="315">
        <v>41</v>
      </c>
      <c r="I41" s="315">
        <v>40.5</v>
      </c>
      <c r="J41" s="315">
        <v>40.5</v>
      </c>
      <c r="K41" s="513">
        <v>40</v>
      </c>
      <c r="L41" s="926" t="s">
        <v>282</v>
      </c>
      <c r="M41" s="331" t="s">
        <v>277</v>
      </c>
      <c r="N41" s="366" t="s">
        <v>265</v>
      </c>
      <c r="O41" s="323" t="s">
        <v>239</v>
      </c>
      <c r="P41" s="386" t="s">
        <v>239</v>
      </c>
      <c r="Q41" s="323" t="s">
        <v>239</v>
      </c>
      <c r="R41" s="366" t="s">
        <v>239</v>
      </c>
      <c r="S41" s="378" t="s">
        <v>257</v>
      </c>
      <c r="T41" s="324" t="s">
        <v>245</v>
      </c>
      <c r="U41" s="386">
        <v>250</v>
      </c>
      <c r="V41" s="386">
        <v>2450</v>
      </c>
      <c r="W41" s="386">
        <v>500</v>
      </c>
      <c r="X41" s="386">
        <v>6200</v>
      </c>
      <c r="Y41" s="386">
        <v>480</v>
      </c>
      <c r="Z41" s="386">
        <v>240</v>
      </c>
      <c r="AA41" s="386">
        <v>200</v>
      </c>
      <c r="AB41" s="392">
        <v>5.4</v>
      </c>
      <c r="AC41" s="28">
        <v>0</v>
      </c>
      <c r="AD41" s="28">
        <v>1</v>
      </c>
      <c r="AE41" s="28">
        <v>1</v>
      </c>
      <c r="AF41" s="28">
        <v>1</v>
      </c>
      <c r="AG41" s="28">
        <v>1</v>
      </c>
      <c r="AH41" s="28">
        <v>1</v>
      </c>
      <c r="AI41" s="28">
        <v>1</v>
      </c>
      <c r="AJ41" s="28">
        <v>1</v>
      </c>
    </row>
    <row r="42" spans="1:36" x14ac:dyDescent="0.25">
      <c r="A42" s="298" t="str">
        <f>IF('Kwaliteit conversie'!$D$4='Prijs karton'!C42,"X"," ")</f>
        <v xml:space="preserve"> </v>
      </c>
      <c r="B42" s="331" t="s">
        <v>31</v>
      </c>
      <c r="C42" s="359" t="s">
        <v>283</v>
      </c>
      <c r="D42" s="366">
        <v>0.42499999999999999</v>
      </c>
      <c r="E42" s="321">
        <v>2.2999999999999998</v>
      </c>
      <c r="F42" s="925">
        <v>0</v>
      </c>
      <c r="G42" s="315">
        <v>36.200000000000003</v>
      </c>
      <c r="H42" s="315">
        <v>33.200000000000003</v>
      </c>
      <c r="I42" s="315">
        <v>32.700000000000003</v>
      </c>
      <c r="J42" s="315">
        <v>32.700000000000003</v>
      </c>
      <c r="K42" s="513">
        <v>32.200000000000003</v>
      </c>
      <c r="L42" s="926" t="s">
        <v>284</v>
      </c>
      <c r="M42" s="331" t="s">
        <v>257</v>
      </c>
      <c r="N42" s="366" t="s">
        <v>285</v>
      </c>
      <c r="O42" s="323" t="s">
        <v>239</v>
      </c>
      <c r="P42" s="386" t="s">
        <v>239</v>
      </c>
      <c r="Q42" s="323" t="s">
        <v>239</v>
      </c>
      <c r="R42" s="366" t="s">
        <v>239</v>
      </c>
      <c r="S42" s="378" t="s">
        <v>257</v>
      </c>
      <c r="T42" s="324" t="s">
        <v>245</v>
      </c>
      <c r="U42" s="386">
        <v>250</v>
      </c>
      <c r="V42" s="386">
        <v>2450</v>
      </c>
      <c r="W42" s="386">
        <v>500</v>
      </c>
      <c r="X42" s="386">
        <v>6200</v>
      </c>
      <c r="Y42" s="386">
        <v>480</v>
      </c>
      <c r="Z42" s="386">
        <v>240</v>
      </c>
      <c r="AA42" s="386">
        <v>200</v>
      </c>
      <c r="AB42" s="392">
        <v>5</v>
      </c>
      <c r="AC42" s="28">
        <v>0</v>
      </c>
      <c r="AD42" s="28">
        <v>1</v>
      </c>
      <c r="AE42" s="28">
        <v>1</v>
      </c>
      <c r="AF42" s="28">
        <v>1</v>
      </c>
      <c r="AG42" s="28">
        <v>1</v>
      </c>
      <c r="AH42" s="28">
        <v>1</v>
      </c>
      <c r="AI42" s="28">
        <v>1</v>
      </c>
      <c r="AJ42" s="28">
        <v>1</v>
      </c>
    </row>
    <row r="43" spans="1:36" x14ac:dyDescent="0.25">
      <c r="A43" s="298" t="str">
        <f>IF('Kwaliteit conversie'!$D$4='Prijs karton'!C43,"X"," ")</f>
        <v xml:space="preserve"> </v>
      </c>
      <c r="B43" s="331" t="s">
        <v>31</v>
      </c>
      <c r="C43" s="359" t="s">
        <v>286</v>
      </c>
      <c r="D43" s="366">
        <v>0.43</v>
      </c>
      <c r="E43" s="321">
        <v>2.8</v>
      </c>
      <c r="F43" s="925">
        <v>0</v>
      </c>
      <c r="G43" s="315">
        <v>38.700000000000003</v>
      </c>
      <c r="H43" s="315">
        <v>35.700000000000003</v>
      </c>
      <c r="I43" s="315">
        <v>35.200000000000003</v>
      </c>
      <c r="J43" s="315">
        <v>35.200000000000003</v>
      </c>
      <c r="K43" s="513">
        <v>34.700000000000003</v>
      </c>
      <c r="L43" s="926" t="s">
        <v>287</v>
      </c>
      <c r="M43" s="331" t="s">
        <v>274</v>
      </c>
      <c r="N43" s="366" t="s">
        <v>285</v>
      </c>
      <c r="O43" s="323" t="s">
        <v>239</v>
      </c>
      <c r="P43" s="386" t="s">
        <v>239</v>
      </c>
      <c r="Q43" s="323" t="s">
        <v>239</v>
      </c>
      <c r="R43" s="366" t="s">
        <v>239</v>
      </c>
      <c r="S43" s="378" t="s">
        <v>257</v>
      </c>
      <c r="T43" s="324" t="s">
        <v>245</v>
      </c>
      <c r="U43" s="386">
        <v>250</v>
      </c>
      <c r="V43" s="386">
        <v>2450</v>
      </c>
      <c r="W43" s="386">
        <v>500</v>
      </c>
      <c r="X43" s="386">
        <v>6200</v>
      </c>
      <c r="Y43" s="386">
        <v>480</v>
      </c>
      <c r="Z43" s="386">
        <v>240</v>
      </c>
      <c r="AA43" s="386">
        <v>200</v>
      </c>
      <c r="AB43" s="392">
        <v>5.3</v>
      </c>
      <c r="AC43" s="28">
        <v>0</v>
      </c>
      <c r="AD43" s="28">
        <v>1</v>
      </c>
      <c r="AE43" s="28">
        <v>1</v>
      </c>
      <c r="AF43" s="28">
        <v>1</v>
      </c>
      <c r="AG43" s="28">
        <v>1</v>
      </c>
      <c r="AH43" s="28">
        <v>1</v>
      </c>
      <c r="AI43" s="28">
        <v>1</v>
      </c>
      <c r="AJ43" s="28">
        <v>1</v>
      </c>
    </row>
    <row r="44" spans="1:36" x14ac:dyDescent="0.25">
      <c r="A44" s="298" t="str">
        <f>IF('Kwaliteit conversie'!$D$4='Prijs karton'!C44,"X"," ")</f>
        <v>X</v>
      </c>
      <c r="B44" s="331" t="s">
        <v>31</v>
      </c>
      <c r="C44" s="359" t="s">
        <v>46</v>
      </c>
      <c r="D44" s="366">
        <v>0.45</v>
      </c>
      <c r="E44" s="321">
        <v>2.8</v>
      </c>
      <c r="F44" s="925">
        <v>0</v>
      </c>
      <c r="G44" s="315">
        <v>47.2</v>
      </c>
      <c r="H44" s="315">
        <v>44.2</v>
      </c>
      <c r="I44" s="315">
        <v>43.7</v>
      </c>
      <c r="J44" s="315">
        <v>43.7</v>
      </c>
      <c r="K44" s="513">
        <v>43.2</v>
      </c>
      <c r="L44" s="926" t="s">
        <v>288</v>
      </c>
      <c r="M44" s="331" t="s">
        <v>289</v>
      </c>
      <c r="N44" s="366" t="s">
        <v>265</v>
      </c>
      <c r="O44" s="323" t="s">
        <v>239</v>
      </c>
      <c r="P44" s="386" t="s">
        <v>239</v>
      </c>
      <c r="Q44" s="323" t="s">
        <v>239</v>
      </c>
      <c r="R44" s="366" t="s">
        <v>239</v>
      </c>
      <c r="S44" s="378" t="s">
        <v>257</v>
      </c>
      <c r="T44" s="324" t="s">
        <v>245</v>
      </c>
      <c r="U44" s="386">
        <v>250</v>
      </c>
      <c r="V44" s="386">
        <v>2450</v>
      </c>
      <c r="W44" s="386">
        <v>500</v>
      </c>
      <c r="X44" s="386">
        <v>6000</v>
      </c>
      <c r="Y44" s="386">
        <v>480</v>
      </c>
      <c r="Z44" s="386">
        <v>240</v>
      </c>
      <c r="AA44" s="386">
        <v>200</v>
      </c>
      <c r="AB44" s="392">
        <v>5.3</v>
      </c>
      <c r="AC44" s="28">
        <v>0</v>
      </c>
      <c r="AD44" s="28">
        <v>1</v>
      </c>
      <c r="AE44" s="28">
        <v>1</v>
      </c>
      <c r="AF44" s="28">
        <v>1</v>
      </c>
      <c r="AG44" s="28">
        <v>1</v>
      </c>
      <c r="AH44" s="28">
        <v>1</v>
      </c>
      <c r="AI44" s="28">
        <v>1</v>
      </c>
      <c r="AJ44" s="28">
        <v>1</v>
      </c>
    </row>
    <row r="45" spans="1:36" x14ac:dyDescent="0.25">
      <c r="A45" s="298" t="str">
        <f>IF('Kwaliteit conversie'!$D$4='Prijs karton'!C45,"X"," ")</f>
        <v xml:space="preserve"> </v>
      </c>
      <c r="B45" s="331" t="s">
        <v>31</v>
      </c>
      <c r="C45" s="359"/>
      <c r="D45" s="366"/>
      <c r="E45" s="321"/>
      <c r="F45" s="925"/>
      <c r="G45" s="315"/>
      <c r="H45" s="315"/>
      <c r="I45" s="315"/>
      <c r="J45" s="315"/>
      <c r="K45" s="513"/>
      <c r="L45" s="926"/>
      <c r="M45" s="331"/>
      <c r="N45" s="366"/>
      <c r="O45" s="323"/>
      <c r="P45" s="386"/>
      <c r="Q45" s="323"/>
      <c r="R45" s="366"/>
      <c r="S45" s="378"/>
      <c r="T45" s="324"/>
      <c r="U45" s="386"/>
      <c r="V45" s="386"/>
      <c r="W45" s="386"/>
      <c r="X45" s="386"/>
      <c r="Y45" s="386"/>
      <c r="Z45" s="386"/>
      <c r="AA45" s="386"/>
      <c r="AB45" s="392"/>
      <c r="AC45" s="28"/>
      <c r="AD45" s="28"/>
      <c r="AE45" s="28"/>
      <c r="AF45" s="28"/>
      <c r="AG45" s="28"/>
      <c r="AH45" s="28"/>
      <c r="AI45" s="28"/>
      <c r="AJ45" s="28"/>
    </row>
    <row r="46" spans="1:36" x14ac:dyDescent="0.25">
      <c r="A46" s="298" t="str">
        <f>IF('Kwaliteit conversie'!$D$4='Prijs karton'!C46,"X"," ")</f>
        <v xml:space="preserve"> </v>
      </c>
      <c r="B46" s="331" t="s">
        <v>31</v>
      </c>
      <c r="C46" s="359" t="s">
        <v>290</v>
      </c>
      <c r="D46" s="366">
        <v>0.52</v>
      </c>
      <c r="E46" s="321">
        <v>2.9</v>
      </c>
      <c r="F46" s="925">
        <v>0</v>
      </c>
      <c r="G46" s="315">
        <v>43.4</v>
      </c>
      <c r="H46" s="315">
        <v>40.4</v>
      </c>
      <c r="I46" s="315">
        <v>39.9</v>
      </c>
      <c r="J46" s="315">
        <v>39.9</v>
      </c>
      <c r="K46" s="513">
        <v>39.4</v>
      </c>
      <c r="L46" s="926" t="s">
        <v>291</v>
      </c>
      <c r="M46" s="331" t="s">
        <v>292</v>
      </c>
      <c r="N46" s="366" t="s">
        <v>265</v>
      </c>
      <c r="O46" s="323" t="s">
        <v>239</v>
      </c>
      <c r="P46" s="386" t="s">
        <v>239</v>
      </c>
      <c r="Q46" s="323" t="s">
        <v>239</v>
      </c>
      <c r="R46" s="366" t="s">
        <v>239</v>
      </c>
      <c r="S46" s="378" t="s">
        <v>292</v>
      </c>
      <c r="T46" s="324" t="s">
        <v>245</v>
      </c>
      <c r="U46" s="386">
        <v>250</v>
      </c>
      <c r="V46" s="386">
        <v>2450</v>
      </c>
      <c r="W46" s="386">
        <v>500</v>
      </c>
      <c r="X46" s="386">
        <v>6000</v>
      </c>
      <c r="Y46" s="386">
        <v>480</v>
      </c>
      <c r="Z46" s="386">
        <v>240</v>
      </c>
      <c r="AA46" s="386">
        <v>200</v>
      </c>
      <c r="AB46" s="392">
        <v>6.3</v>
      </c>
      <c r="AC46" s="28">
        <v>0</v>
      </c>
      <c r="AD46" s="28">
        <v>1</v>
      </c>
      <c r="AE46" s="28">
        <v>1</v>
      </c>
      <c r="AF46" s="28">
        <v>1</v>
      </c>
      <c r="AG46" s="28">
        <v>1</v>
      </c>
      <c r="AH46" s="28">
        <v>1</v>
      </c>
      <c r="AI46" s="28">
        <v>1</v>
      </c>
      <c r="AJ46" s="28">
        <v>1</v>
      </c>
    </row>
    <row r="47" spans="1:36" x14ac:dyDescent="0.25">
      <c r="A47" s="298" t="str">
        <f>IF('Kwaliteit conversie'!$D$4='Prijs karton'!C47,"X"," ")</f>
        <v xml:space="preserve"> </v>
      </c>
      <c r="B47" s="331" t="s">
        <v>31</v>
      </c>
      <c r="C47" s="359" t="s">
        <v>44</v>
      </c>
      <c r="D47" s="366">
        <v>0.495</v>
      </c>
      <c r="E47" s="321">
        <v>2.9</v>
      </c>
      <c r="F47" s="925">
        <v>0</v>
      </c>
      <c r="G47" s="315">
        <v>52.5</v>
      </c>
      <c r="H47" s="315">
        <v>49.5</v>
      </c>
      <c r="I47" s="315">
        <v>49</v>
      </c>
      <c r="J47" s="315">
        <v>49</v>
      </c>
      <c r="K47" s="513">
        <v>48.5</v>
      </c>
      <c r="L47" s="926" t="s">
        <v>293</v>
      </c>
      <c r="M47" s="331" t="s">
        <v>294</v>
      </c>
      <c r="N47" s="366" t="s">
        <v>265</v>
      </c>
      <c r="O47" s="323" t="s">
        <v>239</v>
      </c>
      <c r="P47" s="386" t="s">
        <v>239</v>
      </c>
      <c r="Q47" s="323" t="s">
        <v>239</v>
      </c>
      <c r="R47" s="366" t="s">
        <v>239</v>
      </c>
      <c r="S47" s="378" t="s">
        <v>274</v>
      </c>
      <c r="T47" s="324" t="s">
        <v>245</v>
      </c>
      <c r="U47" s="386">
        <v>250</v>
      </c>
      <c r="V47" s="386">
        <v>2450</v>
      </c>
      <c r="W47" s="386">
        <v>500</v>
      </c>
      <c r="X47" s="386">
        <v>6200</v>
      </c>
      <c r="Y47" s="386">
        <v>480</v>
      </c>
      <c r="Z47" s="386">
        <v>240</v>
      </c>
      <c r="AA47" s="386">
        <v>200</v>
      </c>
      <c r="AB47" s="392">
        <v>6.2</v>
      </c>
      <c r="AC47" s="28">
        <v>0</v>
      </c>
      <c r="AD47" s="28">
        <v>1</v>
      </c>
      <c r="AE47" s="28">
        <v>1</v>
      </c>
      <c r="AF47" s="28">
        <v>1</v>
      </c>
      <c r="AG47" s="28">
        <v>1</v>
      </c>
      <c r="AH47" s="28">
        <v>1</v>
      </c>
      <c r="AI47" s="28">
        <v>1</v>
      </c>
      <c r="AJ47" s="28">
        <v>1</v>
      </c>
    </row>
    <row r="48" spans="1:36" x14ac:dyDescent="0.25">
      <c r="A48" s="298" t="str">
        <f>IF('Kwaliteit conversie'!$D$4='Prijs karton'!C48,"X"," ")</f>
        <v xml:space="preserve"> </v>
      </c>
      <c r="B48" s="331" t="s">
        <v>31</v>
      </c>
      <c r="C48" s="359" t="s">
        <v>295</v>
      </c>
      <c r="D48" s="366">
        <v>0.495</v>
      </c>
      <c r="E48" s="321">
        <v>2.9</v>
      </c>
      <c r="F48" s="925">
        <v>0</v>
      </c>
      <c r="G48" s="315">
        <v>50</v>
      </c>
      <c r="H48" s="315">
        <v>47</v>
      </c>
      <c r="I48" s="315">
        <v>46.5</v>
      </c>
      <c r="J48" s="315">
        <v>46.5</v>
      </c>
      <c r="K48" s="513">
        <v>46</v>
      </c>
      <c r="L48" s="926" t="s">
        <v>296</v>
      </c>
      <c r="M48" s="331" t="s">
        <v>297</v>
      </c>
      <c r="N48" s="366" t="s">
        <v>265</v>
      </c>
      <c r="O48" s="323" t="s">
        <v>239</v>
      </c>
      <c r="P48" s="386" t="s">
        <v>239</v>
      </c>
      <c r="Q48" s="323" t="s">
        <v>239</v>
      </c>
      <c r="R48" s="366" t="s">
        <v>239</v>
      </c>
      <c r="S48" s="378" t="s">
        <v>274</v>
      </c>
      <c r="T48" s="324" t="s">
        <v>245</v>
      </c>
      <c r="U48" s="386">
        <v>250</v>
      </c>
      <c r="V48" s="386">
        <v>2450</v>
      </c>
      <c r="W48" s="386">
        <v>500</v>
      </c>
      <c r="X48" s="386">
        <v>6200</v>
      </c>
      <c r="Y48" s="386">
        <v>480</v>
      </c>
      <c r="Z48" s="386">
        <v>240</v>
      </c>
      <c r="AA48" s="386">
        <v>200</v>
      </c>
      <c r="AB48" s="392">
        <v>6.5</v>
      </c>
      <c r="AC48" s="28">
        <v>0</v>
      </c>
      <c r="AD48" s="28">
        <v>1</v>
      </c>
      <c r="AE48" s="28">
        <v>1</v>
      </c>
      <c r="AF48" s="28">
        <v>1</v>
      </c>
      <c r="AG48" s="28">
        <v>1</v>
      </c>
      <c r="AH48" s="28">
        <v>1</v>
      </c>
      <c r="AI48" s="28">
        <v>1</v>
      </c>
      <c r="AJ48" s="28">
        <v>1</v>
      </c>
    </row>
    <row r="49" spans="1:36" x14ac:dyDescent="0.25">
      <c r="A49" s="298" t="str">
        <f>IF('Kwaliteit conversie'!$D$4='Prijs karton'!C49,"X"," ")</f>
        <v xml:space="preserve"> </v>
      </c>
      <c r="B49" s="331" t="s">
        <v>31</v>
      </c>
      <c r="C49" s="359" t="s">
        <v>298</v>
      </c>
      <c r="D49" s="366">
        <v>0.47099999999999997</v>
      </c>
      <c r="E49" s="321">
        <v>3</v>
      </c>
      <c r="F49" s="925">
        <v>0</v>
      </c>
      <c r="G49" s="315">
        <v>56.5</v>
      </c>
      <c r="H49" s="315">
        <v>53.5</v>
      </c>
      <c r="I49" s="315">
        <v>53.5</v>
      </c>
      <c r="J49" s="315">
        <v>51.5</v>
      </c>
      <c r="K49" s="513">
        <v>51.5</v>
      </c>
      <c r="L49" s="926" t="s">
        <v>299</v>
      </c>
      <c r="M49" s="331" t="s">
        <v>300</v>
      </c>
      <c r="N49" s="366" t="s">
        <v>238</v>
      </c>
      <c r="O49" s="323" t="s">
        <v>239</v>
      </c>
      <c r="P49" s="386" t="s">
        <v>239</v>
      </c>
      <c r="Q49" s="323" t="s">
        <v>239</v>
      </c>
      <c r="R49" s="366" t="s">
        <v>239</v>
      </c>
      <c r="S49" s="378" t="s">
        <v>301</v>
      </c>
      <c r="T49" s="324" t="s">
        <v>240</v>
      </c>
      <c r="U49" s="386">
        <v>240</v>
      </c>
      <c r="V49" s="386">
        <v>2450</v>
      </c>
      <c r="W49" s="386">
        <v>500</v>
      </c>
      <c r="X49" s="386">
        <v>6000</v>
      </c>
      <c r="Y49" s="386">
        <v>125</v>
      </c>
      <c r="Z49" s="386">
        <v>125</v>
      </c>
      <c r="AA49" s="386">
        <v>200</v>
      </c>
      <c r="AB49" s="392">
        <v>5.74</v>
      </c>
      <c r="AC49" s="28">
        <v>0</v>
      </c>
      <c r="AD49" s="28">
        <v>1</v>
      </c>
      <c r="AE49" s="28">
        <v>1</v>
      </c>
      <c r="AF49" s="28">
        <v>1</v>
      </c>
      <c r="AG49" s="28">
        <v>1</v>
      </c>
      <c r="AH49" s="28">
        <v>1</v>
      </c>
      <c r="AI49" s="28">
        <v>1</v>
      </c>
      <c r="AJ49" s="28">
        <v>1</v>
      </c>
    </row>
    <row r="50" spans="1:36" x14ac:dyDescent="0.25">
      <c r="A50" s="298" t="str">
        <f>IF('Kwaliteit conversie'!$D$4='Prijs karton'!C50,"X"," ")</f>
        <v xml:space="preserve"> </v>
      </c>
      <c r="B50" s="331" t="s">
        <v>31</v>
      </c>
      <c r="C50" s="359"/>
      <c r="D50" s="366"/>
      <c r="E50" s="321"/>
      <c r="F50" s="925"/>
      <c r="G50" s="315"/>
      <c r="H50" s="315"/>
      <c r="I50" s="315"/>
      <c r="J50" s="315"/>
      <c r="K50" s="513"/>
      <c r="L50" s="926"/>
      <c r="M50" s="331"/>
      <c r="N50" s="366"/>
      <c r="O50" s="323" t="s">
        <v>239</v>
      </c>
      <c r="P50" s="386" t="s">
        <v>239</v>
      </c>
      <c r="Q50" s="323" t="s">
        <v>239</v>
      </c>
      <c r="R50" s="366" t="s">
        <v>239</v>
      </c>
      <c r="S50" s="378"/>
      <c r="T50" s="324"/>
      <c r="U50" s="386"/>
      <c r="V50" s="386"/>
      <c r="W50" s="386"/>
      <c r="X50" s="386"/>
      <c r="Y50" s="386"/>
      <c r="Z50" s="386"/>
      <c r="AA50" s="386"/>
      <c r="AB50" s="392"/>
      <c r="AC50" s="28"/>
      <c r="AD50" s="28"/>
      <c r="AE50" s="28"/>
      <c r="AF50" s="28"/>
      <c r="AG50" s="28"/>
      <c r="AH50" s="28"/>
      <c r="AI50" s="28"/>
      <c r="AJ50" s="28"/>
    </row>
    <row r="51" spans="1:36" x14ac:dyDescent="0.25">
      <c r="A51" s="298" t="str">
        <f>IF('Kwaliteit conversie'!$D$4='Prijs karton'!C51,"X"," ")</f>
        <v xml:space="preserve"> </v>
      </c>
      <c r="B51" s="331" t="s">
        <v>31</v>
      </c>
      <c r="C51" s="359"/>
      <c r="D51" s="366"/>
      <c r="E51" s="321"/>
      <c r="F51" s="925"/>
      <c r="G51" s="315"/>
      <c r="H51" s="315"/>
      <c r="I51" s="315"/>
      <c r="J51" s="315"/>
      <c r="K51" s="513"/>
      <c r="L51" s="926"/>
      <c r="M51" s="331"/>
      <c r="N51" s="366"/>
      <c r="O51" s="323" t="s">
        <v>239</v>
      </c>
      <c r="P51" s="386" t="s">
        <v>239</v>
      </c>
      <c r="Q51" s="323" t="s">
        <v>239</v>
      </c>
      <c r="R51" s="366" t="s">
        <v>239</v>
      </c>
      <c r="S51" s="378"/>
      <c r="T51" s="324"/>
      <c r="U51" s="386"/>
      <c r="V51" s="386"/>
      <c r="W51" s="386"/>
      <c r="X51" s="386"/>
      <c r="Y51" s="386"/>
      <c r="Z51" s="386"/>
      <c r="AA51" s="386"/>
      <c r="AB51" s="392"/>
      <c r="AC51" s="28"/>
      <c r="AD51" s="28"/>
      <c r="AE51" s="28"/>
      <c r="AF51" s="28"/>
      <c r="AG51" s="28"/>
      <c r="AH51" s="28"/>
      <c r="AI51" s="28"/>
      <c r="AJ51" s="28"/>
    </row>
    <row r="52" spans="1:36" x14ac:dyDescent="0.25">
      <c r="A52" s="298" t="str">
        <f>IF('Kwaliteit conversie'!$D$4='Prijs karton'!C52,"X"," ")</f>
        <v xml:space="preserve"> </v>
      </c>
      <c r="B52" s="331" t="s">
        <v>31</v>
      </c>
      <c r="C52" s="359" t="s">
        <v>302</v>
      </c>
      <c r="D52" s="366">
        <v>0.39500000000000002</v>
      </c>
      <c r="E52" s="321">
        <v>2.8</v>
      </c>
      <c r="F52" s="925">
        <v>0</v>
      </c>
      <c r="G52" s="315">
        <v>43.2</v>
      </c>
      <c r="H52" s="315">
        <v>40.200000000000003</v>
      </c>
      <c r="I52" s="315">
        <v>39.700000000000003</v>
      </c>
      <c r="J52" s="315">
        <v>39.700000000000003</v>
      </c>
      <c r="K52" s="513">
        <v>39.200000000000003</v>
      </c>
      <c r="L52" s="926" t="s">
        <v>303</v>
      </c>
      <c r="M52" s="331" t="s">
        <v>289</v>
      </c>
      <c r="N52" s="366" t="s">
        <v>244</v>
      </c>
      <c r="O52" s="323" t="s">
        <v>239</v>
      </c>
      <c r="P52" s="386" t="s">
        <v>239</v>
      </c>
      <c r="Q52" s="323" t="s">
        <v>239</v>
      </c>
      <c r="R52" s="366" t="s">
        <v>239</v>
      </c>
      <c r="S52" s="378" t="s">
        <v>257</v>
      </c>
      <c r="T52" s="324" t="s">
        <v>245</v>
      </c>
      <c r="U52" s="386">
        <v>250</v>
      </c>
      <c r="V52" s="386">
        <v>2450</v>
      </c>
      <c r="W52" s="386">
        <v>500</v>
      </c>
      <c r="X52" s="386">
        <v>6200</v>
      </c>
      <c r="Y52" s="386">
        <v>480</v>
      </c>
      <c r="Z52" s="386">
        <v>240</v>
      </c>
      <c r="AA52" s="386">
        <v>200</v>
      </c>
      <c r="AB52" s="392">
        <v>4.4000000000000004</v>
      </c>
      <c r="AC52" s="28">
        <v>0</v>
      </c>
      <c r="AD52" s="28">
        <v>1</v>
      </c>
      <c r="AE52" s="28">
        <v>1</v>
      </c>
      <c r="AF52" s="28">
        <v>1</v>
      </c>
      <c r="AG52" s="28">
        <v>1</v>
      </c>
      <c r="AH52" s="28">
        <v>1</v>
      </c>
      <c r="AI52" s="28">
        <v>1</v>
      </c>
      <c r="AJ52" s="28">
        <v>1</v>
      </c>
    </row>
    <row r="53" spans="1:36" x14ac:dyDescent="0.25">
      <c r="A53" s="298" t="str">
        <f>IF('Kwaliteit conversie'!$D$4='Prijs karton'!C53,"X"," ")</f>
        <v xml:space="preserve"> </v>
      </c>
      <c r="B53" s="331" t="s">
        <v>31</v>
      </c>
      <c r="C53" s="359" t="s">
        <v>304</v>
      </c>
      <c r="D53" s="366">
        <v>0.45</v>
      </c>
      <c r="E53" s="321">
        <v>2.8</v>
      </c>
      <c r="F53" s="925">
        <v>0</v>
      </c>
      <c r="G53" s="315">
        <v>43.5</v>
      </c>
      <c r="H53" s="315">
        <v>40.5</v>
      </c>
      <c r="I53" s="315">
        <v>40</v>
      </c>
      <c r="J53" s="315">
        <v>40</v>
      </c>
      <c r="K53" s="513">
        <v>39.5</v>
      </c>
      <c r="L53" s="926" t="s">
        <v>305</v>
      </c>
      <c r="M53" s="331" t="s">
        <v>269</v>
      </c>
      <c r="N53" s="366" t="s">
        <v>265</v>
      </c>
      <c r="O53" s="323" t="s">
        <v>239</v>
      </c>
      <c r="P53" s="386" t="s">
        <v>239</v>
      </c>
      <c r="Q53" s="323" t="s">
        <v>239</v>
      </c>
      <c r="R53" s="366" t="s">
        <v>239</v>
      </c>
      <c r="S53" s="378" t="s">
        <v>306</v>
      </c>
      <c r="T53" s="324" t="s">
        <v>245</v>
      </c>
      <c r="U53" s="386">
        <v>250</v>
      </c>
      <c r="V53" s="386">
        <v>2450</v>
      </c>
      <c r="W53" s="386">
        <v>500</v>
      </c>
      <c r="X53" s="386">
        <v>6200</v>
      </c>
      <c r="Y53" s="386">
        <v>480</v>
      </c>
      <c r="Z53" s="386">
        <v>240</v>
      </c>
      <c r="AA53" s="386">
        <v>200</v>
      </c>
      <c r="AB53" s="392">
        <v>4.8</v>
      </c>
      <c r="AC53" s="28">
        <v>0</v>
      </c>
      <c r="AD53" s="28">
        <v>1</v>
      </c>
      <c r="AE53" s="28">
        <v>1</v>
      </c>
      <c r="AF53" s="28">
        <v>1</v>
      </c>
      <c r="AG53" s="28">
        <v>1</v>
      </c>
      <c r="AH53" s="28">
        <v>1</v>
      </c>
      <c r="AI53" s="28">
        <v>1</v>
      </c>
      <c r="AJ53" s="28">
        <v>1</v>
      </c>
    </row>
    <row r="54" spans="1:36" x14ac:dyDescent="0.25">
      <c r="A54" s="298" t="str">
        <f>IF('Kwaliteit conversie'!$D$4='Prijs karton'!C54,"X"," ")</f>
        <v xml:space="preserve"> </v>
      </c>
      <c r="B54" s="331" t="s">
        <v>31</v>
      </c>
      <c r="C54" s="359" t="s">
        <v>307</v>
      </c>
      <c r="D54" s="366">
        <v>0.40500000000000003</v>
      </c>
      <c r="E54" s="321">
        <v>2.8</v>
      </c>
      <c r="F54" s="925">
        <v>0</v>
      </c>
      <c r="G54" s="315">
        <v>40.5</v>
      </c>
      <c r="H54" s="315">
        <v>37.5</v>
      </c>
      <c r="I54" s="315">
        <v>37</v>
      </c>
      <c r="J54" s="315">
        <v>37</v>
      </c>
      <c r="K54" s="513">
        <v>36.5</v>
      </c>
      <c r="L54" s="926" t="s">
        <v>308</v>
      </c>
      <c r="M54" s="331" t="s">
        <v>269</v>
      </c>
      <c r="N54" s="366" t="s">
        <v>238</v>
      </c>
      <c r="O54" s="323" t="s">
        <v>239</v>
      </c>
      <c r="P54" s="386" t="s">
        <v>239</v>
      </c>
      <c r="Q54" s="323" t="s">
        <v>239</v>
      </c>
      <c r="R54" s="366" t="s">
        <v>239</v>
      </c>
      <c r="S54" s="378" t="s">
        <v>306</v>
      </c>
      <c r="T54" s="324" t="s">
        <v>245</v>
      </c>
      <c r="U54" s="386">
        <v>250</v>
      </c>
      <c r="V54" s="386">
        <v>2450</v>
      </c>
      <c r="W54" s="386">
        <v>500</v>
      </c>
      <c r="X54" s="386">
        <v>6200</v>
      </c>
      <c r="Y54" s="386">
        <v>480</v>
      </c>
      <c r="Z54" s="386">
        <v>240</v>
      </c>
      <c r="AA54" s="386">
        <v>200</v>
      </c>
      <c r="AB54" s="392">
        <v>4.3</v>
      </c>
      <c r="AC54" s="28">
        <v>0</v>
      </c>
      <c r="AD54" s="28">
        <v>1</v>
      </c>
      <c r="AE54" s="28">
        <v>1</v>
      </c>
      <c r="AF54" s="28">
        <v>1</v>
      </c>
      <c r="AG54" s="28">
        <v>1</v>
      </c>
      <c r="AH54" s="28">
        <v>1</v>
      </c>
      <c r="AI54" s="28">
        <v>1</v>
      </c>
      <c r="AJ54" s="28">
        <v>1</v>
      </c>
    </row>
    <row r="55" spans="1:36" x14ac:dyDescent="0.25">
      <c r="A55" s="298" t="str">
        <f>IF('Kwaliteit conversie'!$D$4='Prijs karton'!C55,"X"," ")</f>
        <v xml:space="preserve"> </v>
      </c>
      <c r="B55" s="331" t="s">
        <v>31</v>
      </c>
      <c r="C55" s="359" t="s">
        <v>309</v>
      </c>
      <c r="D55" s="366">
        <v>0.376</v>
      </c>
      <c r="E55" s="321">
        <v>2.83</v>
      </c>
      <c r="F55" s="925">
        <v>0</v>
      </c>
      <c r="G55" s="315">
        <v>53.6</v>
      </c>
      <c r="H55" s="315">
        <v>50.6</v>
      </c>
      <c r="I55" s="315">
        <v>50.6</v>
      </c>
      <c r="J55" s="315">
        <v>48.6</v>
      </c>
      <c r="K55" s="513">
        <v>48.6</v>
      </c>
      <c r="L55" s="926" t="s">
        <v>310</v>
      </c>
      <c r="M55" s="331" t="s">
        <v>289</v>
      </c>
      <c r="N55" s="366" t="s">
        <v>238</v>
      </c>
      <c r="O55" s="323" t="s">
        <v>239</v>
      </c>
      <c r="P55" s="386" t="s">
        <v>239</v>
      </c>
      <c r="Q55" s="323" t="s">
        <v>239</v>
      </c>
      <c r="R55" s="366" t="s">
        <v>239</v>
      </c>
      <c r="S55" s="378" t="s">
        <v>311</v>
      </c>
      <c r="T55" s="324" t="s">
        <v>240</v>
      </c>
      <c r="U55" s="386">
        <v>240</v>
      </c>
      <c r="V55" s="386">
        <v>2450</v>
      </c>
      <c r="W55" s="386">
        <v>500</v>
      </c>
      <c r="X55" s="386">
        <v>6000</v>
      </c>
      <c r="Y55" s="386">
        <v>125</v>
      </c>
      <c r="Z55" s="386">
        <v>125</v>
      </c>
      <c r="AA55" s="386">
        <v>200</v>
      </c>
      <c r="AB55" s="392">
        <v>4.7699999999999996</v>
      </c>
      <c r="AC55" s="28">
        <v>0</v>
      </c>
      <c r="AD55" s="28">
        <v>1</v>
      </c>
      <c r="AE55" s="28">
        <v>1</v>
      </c>
      <c r="AF55" s="28">
        <v>1</v>
      </c>
      <c r="AG55" s="28">
        <v>1</v>
      </c>
      <c r="AH55" s="28">
        <v>1</v>
      </c>
      <c r="AI55" s="28">
        <v>1</v>
      </c>
      <c r="AJ55" s="28">
        <v>1</v>
      </c>
    </row>
    <row r="56" spans="1:36" x14ac:dyDescent="0.25">
      <c r="A56" s="298" t="str">
        <f>IF('Kwaliteit conversie'!$D$4='Prijs karton'!C56,"X"," ")</f>
        <v xml:space="preserve"> </v>
      </c>
      <c r="B56" s="331" t="s">
        <v>31</v>
      </c>
      <c r="C56" s="359" t="s">
        <v>312</v>
      </c>
      <c r="D56" s="366">
        <v>0.40100000000000002</v>
      </c>
      <c r="E56" s="321">
        <v>2.82</v>
      </c>
      <c r="F56" s="925">
        <v>0</v>
      </c>
      <c r="G56" s="315" t="s">
        <v>239</v>
      </c>
      <c r="H56" s="315">
        <v>57.4</v>
      </c>
      <c r="I56" s="315">
        <v>57.4</v>
      </c>
      <c r="J56" s="315">
        <v>55.4</v>
      </c>
      <c r="K56" s="513">
        <v>55.4</v>
      </c>
      <c r="L56" s="926" t="s">
        <v>313</v>
      </c>
      <c r="M56" s="331" t="s">
        <v>289</v>
      </c>
      <c r="N56" s="366" t="s">
        <v>238</v>
      </c>
      <c r="O56" s="323" t="s">
        <v>239</v>
      </c>
      <c r="P56" s="386" t="s">
        <v>239</v>
      </c>
      <c r="Q56" s="323" t="s">
        <v>239</v>
      </c>
      <c r="R56" s="366" t="s">
        <v>239</v>
      </c>
      <c r="S56" s="378" t="s">
        <v>289</v>
      </c>
      <c r="T56" s="324" t="s">
        <v>240</v>
      </c>
      <c r="U56" s="386">
        <v>240</v>
      </c>
      <c r="V56" s="386">
        <v>2450</v>
      </c>
      <c r="W56" s="386">
        <v>500</v>
      </c>
      <c r="X56" s="386">
        <v>6000</v>
      </c>
      <c r="Y56" s="386">
        <v>125</v>
      </c>
      <c r="Z56" s="386">
        <v>125</v>
      </c>
      <c r="AA56" s="386">
        <v>500</v>
      </c>
      <c r="AB56" s="392">
        <v>5.51</v>
      </c>
      <c r="AC56" s="28">
        <v>0</v>
      </c>
      <c r="AD56" s="28">
        <v>1</v>
      </c>
      <c r="AE56" s="28">
        <v>1</v>
      </c>
      <c r="AF56" s="28">
        <v>1</v>
      </c>
      <c r="AG56" s="28">
        <v>1</v>
      </c>
      <c r="AH56" s="28">
        <v>1</v>
      </c>
      <c r="AI56" s="28">
        <v>1</v>
      </c>
      <c r="AJ56" s="28">
        <v>1</v>
      </c>
    </row>
    <row r="57" spans="1:36" x14ac:dyDescent="0.25">
      <c r="A57" s="298" t="str">
        <f>IF('Kwaliteit conversie'!$D$4='Prijs karton'!C57,"X"," ")</f>
        <v xml:space="preserve"> </v>
      </c>
      <c r="B57" s="331" t="s">
        <v>31</v>
      </c>
      <c r="C57" s="359"/>
      <c r="D57" s="366"/>
      <c r="E57" s="321"/>
      <c r="F57" s="925"/>
      <c r="G57" s="315"/>
      <c r="H57" s="315"/>
      <c r="I57" s="315"/>
      <c r="J57" s="315"/>
      <c r="K57" s="513"/>
      <c r="L57" s="926"/>
      <c r="M57" s="331"/>
      <c r="N57" s="366"/>
      <c r="O57" s="323"/>
      <c r="P57" s="386"/>
      <c r="Q57" s="323"/>
      <c r="R57" s="366"/>
      <c r="S57" s="378"/>
      <c r="T57" s="324"/>
      <c r="U57" s="386"/>
      <c r="V57" s="386"/>
      <c r="W57" s="386"/>
      <c r="X57" s="386"/>
      <c r="Y57" s="386"/>
      <c r="Z57" s="386"/>
      <c r="AA57" s="386"/>
      <c r="AB57" s="392"/>
      <c r="AC57" s="28"/>
      <c r="AD57" s="28"/>
      <c r="AE57" s="28"/>
      <c r="AF57" s="28"/>
      <c r="AG57" s="28"/>
      <c r="AH57" s="28"/>
      <c r="AI57" s="28"/>
      <c r="AJ57" s="28"/>
    </row>
    <row r="58" spans="1:36" x14ac:dyDescent="0.25">
      <c r="A58" s="298" t="str">
        <f>IF('Kwaliteit conversie'!$D$4='Prijs karton'!C58,"X"," ")</f>
        <v xml:space="preserve"> </v>
      </c>
      <c r="B58" s="331" t="s">
        <v>31</v>
      </c>
      <c r="C58" s="359" t="s">
        <v>1360</v>
      </c>
      <c r="D58" s="366">
        <v>0.38500000000000001</v>
      </c>
      <c r="E58" s="321">
        <v>2.75</v>
      </c>
      <c r="F58" s="925">
        <v>0</v>
      </c>
      <c r="G58" s="315">
        <v>35.9</v>
      </c>
      <c r="H58" s="315">
        <v>34.5</v>
      </c>
      <c r="I58" s="315">
        <v>34.299999999999997</v>
      </c>
      <c r="J58" s="315">
        <v>34.1</v>
      </c>
      <c r="K58" s="513">
        <v>34.1</v>
      </c>
      <c r="L58" s="926" t="s">
        <v>1361</v>
      </c>
      <c r="M58" s="331" t="s">
        <v>1362</v>
      </c>
      <c r="N58" s="366" t="s">
        <v>238</v>
      </c>
      <c r="O58" s="323" t="s">
        <v>239</v>
      </c>
      <c r="P58" s="386" t="s">
        <v>239</v>
      </c>
      <c r="Q58" s="323" t="s">
        <v>239</v>
      </c>
      <c r="R58" s="366" t="s">
        <v>239</v>
      </c>
      <c r="S58" s="378" t="s">
        <v>1363</v>
      </c>
      <c r="T58" s="324" t="s">
        <v>1364</v>
      </c>
      <c r="U58" s="386">
        <v>250</v>
      </c>
      <c r="V58" s="386">
        <v>2450</v>
      </c>
      <c r="W58" s="386">
        <v>600</v>
      </c>
      <c r="X58" s="386">
        <v>6000</v>
      </c>
      <c r="Y58" s="386">
        <v>290</v>
      </c>
      <c r="Z58" s="386">
        <v>145</v>
      </c>
      <c r="AA58" s="386">
        <v>200</v>
      </c>
      <c r="AB58" s="392">
        <v>5</v>
      </c>
      <c r="AC58" s="28">
        <v>0</v>
      </c>
      <c r="AD58" s="28">
        <v>1</v>
      </c>
      <c r="AE58" s="28">
        <v>1</v>
      </c>
      <c r="AF58" s="28">
        <v>1</v>
      </c>
      <c r="AG58" s="28">
        <v>1</v>
      </c>
      <c r="AH58" s="28">
        <v>1</v>
      </c>
      <c r="AI58" s="28">
        <v>1</v>
      </c>
      <c r="AJ58" s="28">
        <v>1</v>
      </c>
    </row>
    <row r="59" spans="1:36" x14ac:dyDescent="0.25">
      <c r="A59" s="298" t="str">
        <f>IF('Kwaliteit conversie'!$D$4='Prijs karton'!C59,"X"," ")</f>
        <v xml:space="preserve"> </v>
      </c>
      <c r="B59" s="331" t="s">
        <v>31</v>
      </c>
      <c r="C59" s="359" t="s">
        <v>1365</v>
      </c>
      <c r="D59" s="366">
        <v>0.44</v>
      </c>
      <c r="E59" s="321">
        <v>2.8</v>
      </c>
      <c r="F59" s="925">
        <v>0</v>
      </c>
      <c r="G59" s="315">
        <v>39.299999999999997</v>
      </c>
      <c r="H59" s="315">
        <v>38</v>
      </c>
      <c r="I59" s="315">
        <v>37.799999999999997</v>
      </c>
      <c r="J59" s="315">
        <v>37.5</v>
      </c>
      <c r="K59" s="513">
        <v>37.5</v>
      </c>
      <c r="L59" s="926" t="s">
        <v>1366</v>
      </c>
      <c r="M59" s="331" t="s">
        <v>277</v>
      </c>
      <c r="N59" s="366" t="s">
        <v>238</v>
      </c>
      <c r="O59" s="323" t="s">
        <v>239</v>
      </c>
      <c r="P59" s="386" t="s">
        <v>239</v>
      </c>
      <c r="Q59" s="323" t="s">
        <v>239</v>
      </c>
      <c r="R59" s="366" t="s">
        <v>239</v>
      </c>
      <c r="S59" s="378" t="s">
        <v>1367</v>
      </c>
      <c r="T59" s="324" t="s">
        <v>1364</v>
      </c>
      <c r="U59" s="386">
        <v>250</v>
      </c>
      <c r="V59" s="386">
        <v>2450</v>
      </c>
      <c r="W59" s="386">
        <v>600</v>
      </c>
      <c r="X59" s="386">
        <v>6000</v>
      </c>
      <c r="Y59" s="386">
        <v>290</v>
      </c>
      <c r="Z59" s="386">
        <v>145</v>
      </c>
      <c r="AA59" s="386">
        <v>200</v>
      </c>
      <c r="AB59" s="392">
        <v>5.3</v>
      </c>
      <c r="AC59" s="28">
        <v>0</v>
      </c>
      <c r="AD59" s="28">
        <v>1</v>
      </c>
      <c r="AE59" s="28">
        <v>1</v>
      </c>
      <c r="AF59" s="28">
        <v>1</v>
      </c>
      <c r="AG59" s="28">
        <v>1</v>
      </c>
      <c r="AH59" s="28">
        <v>1</v>
      </c>
      <c r="AI59" s="28">
        <v>1</v>
      </c>
      <c r="AJ59" s="28">
        <v>1</v>
      </c>
    </row>
    <row r="60" spans="1:36" x14ac:dyDescent="0.25">
      <c r="A60" s="298" t="str">
        <f>IF('Kwaliteit conversie'!$D$4='Prijs karton'!C60,"X"," ")</f>
        <v xml:space="preserve"> </v>
      </c>
      <c r="B60" s="331" t="s">
        <v>31</v>
      </c>
      <c r="C60" s="359" t="s">
        <v>1368</v>
      </c>
      <c r="D60" s="366">
        <v>0.42499999999999999</v>
      </c>
      <c r="E60" s="321">
        <v>2.74</v>
      </c>
      <c r="F60" s="925">
        <v>0</v>
      </c>
      <c r="G60" s="315">
        <v>46.5</v>
      </c>
      <c r="H60" s="315">
        <v>45</v>
      </c>
      <c r="I60" s="315">
        <v>44.8</v>
      </c>
      <c r="J60" s="315">
        <v>44.5</v>
      </c>
      <c r="K60" s="513">
        <v>44.5</v>
      </c>
      <c r="L60" s="926" t="s">
        <v>1369</v>
      </c>
      <c r="M60" s="331" t="s">
        <v>289</v>
      </c>
      <c r="N60" s="366" t="s">
        <v>238</v>
      </c>
      <c r="O60" s="323" t="s">
        <v>239</v>
      </c>
      <c r="P60" s="386" t="s">
        <v>239</v>
      </c>
      <c r="Q60" s="323" t="s">
        <v>239</v>
      </c>
      <c r="R60" s="366" t="s">
        <v>239</v>
      </c>
      <c r="S60" s="378" t="s">
        <v>1367</v>
      </c>
      <c r="T60" s="324" t="s">
        <v>1364</v>
      </c>
      <c r="U60" s="386">
        <v>250</v>
      </c>
      <c r="V60" s="386">
        <v>2450</v>
      </c>
      <c r="W60" s="386">
        <v>600</v>
      </c>
      <c r="X60" s="386">
        <v>6000</v>
      </c>
      <c r="Y60" s="386">
        <v>290</v>
      </c>
      <c r="Z60" s="386">
        <v>145</v>
      </c>
      <c r="AA60" s="386">
        <v>200</v>
      </c>
      <c r="AB60" s="392">
        <v>5.21</v>
      </c>
      <c r="AC60" s="28">
        <v>0</v>
      </c>
      <c r="AD60" s="28">
        <v>1</v>
      </c>
      <c r="AE60" s="28">
        <v>1</v>
      </c>
      <c r="AF60" s="28">
        <v>1</v>
      </c>
      <c r="AG60" s="28">
        <v>1</v>
      </c>
      <c r="AH60" s="28">
        <v>1</v>
      </c>
      <c r="AI60" s="28">
        <v>1</v>
      </c>
      <c r="AJ60" s="28">
        <v>1</v>
      </c>
    </row>
    <row r="61" spans="1:36" x14ac:dyDescent="0.25">
      <c r="A61" s="298" t="str">
        <f>IF('Kwaliteit conversie'!$D$4='Prijs karton'!C61,"X"," ")</f>
        <v xml:space="preserve"> </v>
      </c>
      <c r="B61" s="331" t="s">
        <v>31</v>
      </c>
      <c r="C61" s="359" t="s">
        <v>1370</v>
      </c>
      <c r="D61" s="366">
        <v>0.48199999999999998</v>
      </c>
      <c r="E61" s="321">
        <v>2.82</v>
      </c>
      <c r="F61" s="925">
        <v>0</v>
      </c>
      <c r="G61" s="315">
        <v>49.9</v>
      </c>
      <c r="H61" s="315">
        <v>48.4</v>
      </c>
      <c r="I61" s="315">
        <v>48.1</v>
      </c>
      <c r="J61" s="315">
        <v>47.8</v>
      </c>
      <c r="K61" s="513">
        <v>47.8</v>
      </c>
      <c r="L61" s="926" t="s">
        <v>1371</v>
      </c>
      <c r="M61" s="331" t="s">
        <v>1372</v>
      </c>
      <c r="N61" s="366" t="s">
        <v>265</v>
      </c>
      <c r="O61" s="323" t="s">
        <v>239</v>
      </c>
      <c r="P61" s="386" t="s">
        <v>239</v>
      </c>
      <c r="Q61" s="323" t="s">
        <v>239</v>
      </c>
      <c r="R61" s="366" t="s">
        <v>239</v>
      </c>
      <c r="S61" s="378" t="s">
        <v>1363</v>
      </c>
      <c r="T61" s="324" t="s">
        <v>1364</v>
      </c>
      <c r="U61" s="386">
        <v>250</v>
      </c>
      <c r="V61" s="386">
        <v>2450</v>
      </c>
      <c r="W61" s="386">
        <v>600</v>
      </c>
      <c r="X61" s="386">
        <v>6000</v>
      </c>
      <c r="Y61" s="386">
        <v>290</v>
      </c>
      <c r="Z61" s="386">
        <v>145</v>
      </c>
      <c r="AA61" s="386">
        <v>200</v>
      </c>
      <c r="AB61" s="392">
        <v>5.78</v>
      </c>
      <c r="AC61" s="28">
        <v>0</v>
      </c>
      <c r="AD61" s="28">
        <v>1</v>
      </c>
      <c r="AE61" s="28">
        <v>1</v>
      </c>
      <c r="AF61" s="28">
        <v>1</v>
      </c>
      <c r="AG61" s="28">
        <v>1</v>
      </c>
      <c r="AH61" s="28">
        <v>1</v>
      </c>
      <c r="AI61" s="28">
        <v>1</v>
      </c>
      <c r="AJ61" s="28">
        <v>1</v>
      </c>
    </row>
    <row r="62" spans="1:36" x14ac:dyDescent="0.25">
      <c r="A62" s="298" t="str">
        <f>IF('Kwaliteit conversie'!$D$4='Prijs karton'!C62,"X"," ")</f>
        <v xml:space="preserve"> </v>
      </c>
      <c r="B62" s="331" t="s">
        <v>31</v>
      </c>
      <c r="C62" s="359" t="s">
        <v>1373</v>
      </c>
      <c r="D62" s="366">
        <v>0.37</v>
      </c>
      <c r="E62" s="321">
        <v>2.72</v>
      </c>
      <c r="F62" s="925">
        <v>0</v>
      </c>
      <c r="G62" s="315">
        <v>31.6</v>
      </c>
      <c r="H62" s="315">
        <v>30.4</v>
      </c>
      <c r="I62" s="315">
        <v>30.2</v>
      </c>
      <c r="J62" s="315">
        <v>29.9</v>
      </c>
      <c r="K62" s="513">
        <v>29.9</v>
      </c>
      <c r="L62" s="926" t="s">
        <v>1374</v>
      </c>
      <c r="M62" s="331" t="s">
        <v>1363</v>
      </c>
      <c r="N62" s="366" t="s">
        <v>238</v>
      </c>
      <c r="O62" s="323" t="s">
        <v>239</v>
      </c>
      <c r="P62" s="386" t="s">
        <v>239</v>
      </c>
      <c r="Q62" s="323" t="s">
        <v>239</v>
      </c>
      <c r="R62" s="366" t="s">
        <v>239</v>
      </c>
      <c r="S62" s="378" t="s">
        <v>1363</v>
      </c>
      <c r="T62" s="324" t="s">
        <v>1364</v>
      </c>
      <c r="U62" s="386">
        <v>250</v>
      </c>
      <c r="V62" s="386">
        <v>2450</v>
      </c>
      <c r="W62" s="386">
        <v>600</v>
      </c>
      <c r="X62" s="386">
        <v>6000</v>
      </c>
      <c r="Y62" s="386">
        <v>290</v>
      </c>
      <c r="Z62" s="386">
        <v>145</v>
      </c>
      <c r="AA62" s="386">
        <v>200</v>
      </c>
      <c r="AB62" s="392">
        <v>4.3099999999999996</v>
      </c>
      <c r="AC62" s="28">
        <v>0</v>
      </c>
      <c r="AD62" s="28">
        <v>1</v>
      </c>
      <c r="AE62" s="28">
        <v>1</v>
      </c>
      <c r="AF62" s="28">
        <v>1</v>
      </c>
      <c r="AG62" s="28">
        <v>1</v>
      </c>
      <c r="AH62" s="28">
        <v>1</v>
      </c>
      <c r="AI62" s="28">
        <v>1</v>
      </c>
      <c r="AJ62" s="28">
        <v>1</v>
      </c>
    </row>
    <row r="63" spans="1:36" x14ac:dyDescent="0.25">
      <c r="A63" s="298" t="str">
        <f>IF('Kwaliteit conversie'!$D$4='Prijs karton'!C63,"X"," ")</f>
        <v xml:space="preserve"> </v>
      </c>
      <c r="B63" s="331" t="s">
        <v>31</v>
      </c>
      <c r="C63" s="359" t="s">
        <v>1405</v>
      </c>
      <c r="D63" s="366">
        <v>0.375</v>
      </c>
      <c r="E63" s="321">
        <v>2.72</v>
      </c>
      <c r="F63" s="925">
        <v>0</v>
      </c>
      <c r="G63" s="315">
        <v>40</v>
      </c>
      <c r="H63" s="315">
        <v>38.700000000000003</v>
      </c>
      <c r="I63" s="315">
        <v>38.4</v>
      </c>
      <c r="J63" s="315">
        <v>38.1</v>
      </c>
      <c r="K63" s="513">
        <v>38.1</v>
      </c>
      <c r="L63" s="926" t="s">
        <v>1406</v>
      </c>
      <c r="M63" s="331" t="s">
        <v>1400</v>
      </c>
      <c r="N63" s="366" t="s">
        <v>238</v>
      </c>
      <c r="O63" s="323" t="s">
        <v>239</v>
      </c>
      <c r="P63" s="386" t="s">
        <v>239</v>
      </c>
      <c r="Q63" s="323" t="s">
        <v>239</v>
      </c>
      <c r="R63" s="366" t="s">
        <v>239</v>
      </c>
      <c r="S63" s="378" t="s">
        <v>1363</v>
      </c>
      <c r="T63" s="324" t="s">
        <v>1364</v>
      </c>
      <c r="U63" s="386">
        <v>250</v>
      </c>
      <c r="V63" s="386">
        <v>2450</v>
      </c>
      <c r="W63" s="386">
        <v>600</v>
      </c>
      <c r="X63" s="386">
        <v>6000</v>
      </c>
      <c r="Y63" s="386">
        <v>290</v>
      </c>
      <c r="Z63" s="386">
        <v>145</v>
      </c>
      <c r="AA63" s="386">
        <v>200</v>
      </c>
      <c r="AB63" s="392">
        <v>4.22</v>
      </c>
      <c r="AC63" s="28">
        <v>0</v>
      </c>
      <c r="AD63" s="28">
        <v>1</v>
      </c>
      <c r="AE63" s="28">
        <v>1</v>
      </c>
      <c r="AF63" s="28">
        <v>1</v>
      </c>
      <c r="AG63" s="28">
        <v>1</v>
      </c>
      <c r="AH63" s="28">
        <v>1</v>
      </c>
      <c r="AI63" s="28">
        <v>1</v>
      </c>
      <c r="AJ63" s="28">
        <v>1</v>
      </c>
    </row>
    <row r="64" spans="1:36" x14ac:dyDescent="0.25">
      <c r="A64" s="298" t="str">
        <f>IF('Kwaliteit conversie'!$D$4='Prijs karton'!C64,"X"," ")</f>
        <v xml:space="preserve"> </v>
      </c>
      <c r="B64" s="331" t="s">
        <v>31</v>
      </c>
      <c r="C64" s="359" t="s">
        <v>1407</v>
      </c>
      <c r="D64" s="366">
        <v>0.4</v>
      </c>
      <c r="E64" s="321">
        <v>2.72</v>
      </c>
      <c r="F64" s="925">
        <v>0</v>
      </c>
      <c r="G64" s="315">
        <v>49.5</v>
      </c>
      <c r="H64" s="315">
        <v>48.1</v>
      </c>
      <c r="I64" s="315">
        <v>48</v>
      </c>
      <c r="J64" s="315">
        <v>47.7</v>
      </c>
      <c r="K64" s="513">
        <v>47.7</v>
      </c>
      <c r="L64" s="926" t="s">
        <v>1408</v>
      </c>
      <c r="M64" s="331" t="s">
        <v>289</v>
      </c>
      <c r="N64" s="366" t="s">
        <v>238</v>
      </c>
      <c r="O64" s="323" t="s">
        <v>239</v>
      </c>
      <c r="P64" s="386" t="s">
        <v>239</v>
      </c>
      <c r="Q64" s="323" t="s">
        <v>239</v>
      </c>
      <c r="R64" s="366" t="s">
        <v>239</v>
      </c>
      <c r="S64" s="378" t="s">
        <v>289</v>
      </c>
      <c r="T64" s="324" t="s">
        <v>1364</v>
      </c>
      <c r="U64" s="386">
        <v>250</v>
      </c>
      <c r="V64" s="386">
        <v>2450</v>
      </c>
      <c r="W64" s="386">
        <v>600</v>
      </c>
      <c r="X64" s="386">
        <v>6000</v>
      </c>
      <c r="Y64" s="386">
        <v>290</v>
      </c>
      <c r="Z64" s="386">
        <v>145</v>
      </c>
      <c r="AA64" s="386">
        <v>200</v>
      </c>
      <c r="AB64" s="392">
        <v>5.22</v>
      </c>
      <c r="AC64" s="28">
        <v>0</v>
      </c>
      <c r="AD64" s="28">
        <v>1</v>
      </c>
      <c r="AE64" s="28">
        <v>1</v>
      </c>
      <c r="AF64" s="28">
        <v>1</v>
      </c>
      <c r="AG64" s="28">
        <v>1</v>
      </c>
      <c r="AH64" s="28">
        <v>1</v>
      </c>
      <c r="AI64" s="28">
        <v>1</v>
      </c>
      <c r="AJ64" s="28">
        <v>1</v>
      </c>
    </row>
    <row r="65" spans="1:36" x14ac:dyDescent="0.25">
      <c r="A65" s="298" t="str">
        <f>IF('Kwaliteit conversie'!$D$4='Prijs karton'!C65,"X"," ")</f>
        <v xml:space="preserve"> </v>
      </c>
      <c r="B65" s="331" t="s">
        <v>31</v>
      </c>
      <c r="C65" s="359" t="s">
        <v>1409</v>
      </c>
      <c r="D65" s="366">
        <v>0.29699999999999999</v>
      </c>
      <c r="E65" s="321">
        <v>2.61</v>
      </c>
      <c r="F65" s="925">
        <v>0</v>
      </c>
      <c r="G65" s="315">
        <v>28.1</v>
      </c>
      <c r="H65" s="315">
        <v>26.8</v>
      </c>
      <c r="I65" s="315">
        <v>26.5</v>
      </c>
      <c r="J65" s="315">
        <v>26.2</v>
      </c>
      <c r="K65" s="513">
        <v>26.2</v>
      </c>
      <c r="L65" s="926" t="s">
        <v>1410</v>
      </c>
      <c r="M65" s="331" t="s">
        <v>244</v>
      </c>
      <c r="N65" s="366" t="s">
        <v>244</v>
      </c>
      <c r="O65" s="323" t="s">
        <v>239</v>
      </c>
      <c r="P65" s="386" t="s">
        <v>239</v>
      </c>
      <c r="Q65" s="323" t="s">
        <v>239</v>
      </c>
      <c r="R65" s="366" t="s">
        <v>239</v>
      </c>
      <c r="S65" s="378" t="s">
        <v>244</v>
      </c>
      <c r="T65" s="324" t="s">
        <v>1364</v>
      </c>
      <c r="U65" s="386">
        <v>250</v>
      </c>
      <c r="V65" s="386">
        <v>2450</v>
      </c>
      <c r="W65" s="386">
        <v>600</v>
      </c>
      <c r="X65" s="386">
        <v>6000</v>
      </c>
      <c r="Y65" s="386">
        <v>290</v>
      </c>
      <c r="Z65" s="386">
        <v>145</v>
      </c>
      <c r="AA65" s="386">
        <v>200</v>
      </c>
      <c r="AB65" s="392">
        <v>3.06</v>
      </c>
      <c r="AC65" s="28">
        <v>0</v>
      </c>
      <c r="AD65" s="28">
        <v>1</v>
      </c>
      <c r="AE65" s="28">
        <v>1</v>
      </c>
      <c r="AF65" s="28">
        <v>1</v>
      </c>
      <c r="AG65" s="28">
        <v>1</v>
      </c>
      <c r="AH65" s="28">
        <v>1</v>
      </c>
      <c r="AI65" s="28">
        <v>1</v>
      </c>
      <c r="AJ65" s="28">
        <v>1</v>
      </c>
    </row>
    <row r="66" spans="1:36" x14ac:dyDescent="0.25">
      <c r="A66" s="298" t="str">
        <f>IF('Kwaliteit conversie'!$D$4='Prijs karton'!C66,"X"," ")</f>
        <v xml:space="preserve"> </v>
      </c>
      <c r="B66" s="331" t="s">
        <v>31</v>
      </c>
      <c r="C66" s="359"/>
      <c r="D66" s="366"/>
      <c r="E66" s="321"/>
      <c r="F66" s="925"/>
      <c r="G66" s="315"/>
      <c r="H66" s="315"/>
      <c r="I66" s="315"/>
      <c r="J66" s="315"/>
      <c r="K66" s="513"/>
      <c r="L66" s="926"/>
      <c r="M66" s="331"/>
      <c r="N66" s="366"/>
      <c r="O66" s="323"/>
      <c r="P66" s="386"/>
      <c r="Q66" s="323"/>
      <c r="R66" s="366"/>
      <c r="S66" s="378"/>
      <c r="T66" s="324"/>
      <c r="U66" s="386"/>
      <c r="V66" s="386"/>
      <c r="W66" s="386"/>
      <c r="X66" s="386"/>
      <c r="Y66" s="386"/>
      <c r="Z66" s="386"/>
      <c r="AA66" s="386"/>
      <c r="AB66" s="392"/>
      <c r="AC66" s="28"/>
      <c r="AD66" s="28"/>
      <c r="AE66" s="28"/>
      <c r="AF66" s="28"/>
      <c r="AG66" s="28"/>
      <c r="AH66" s="28"/>
      <c r="AI66" s="28"/>
      <c r="AJ66" s="28"/>
    </row>
    <row r="67" spans="1:36" x14ac:dyDescent="0.25">
      <c r="A67" s="298" t="str">
        <f>IF('Kwaliteit conversie'!$D$4='Prijs karton'!C67,"X"," ")</f>
        <v xml:space="preserve"> </v>
      </c>
      <c r="B67" s="331" t="s">
        <v>31</v>
      </c>
      <c r="C67" s="359"/>
      <c r="D67" s="366"/>
      <c r="E67" s="321"/>
      <c r="F67" s="925"/>
      <c r="G67" s="315"/>
      <c r="H67" s="315"/>
      <c r="I67" s="315"/>
      <c r="J67" s="315"/>
      <c r="K67" s="513"/>
      <c r="L67" s="926"/>
      <c r="M67" s="331"/>
      <c r="N67" s="366"/>
      <c r="O67" s="323"/>
      <c r="P67" s="386"/>
      <c r="Q67" s="323"/>
      <c r="R67" s="366"/>
      <c r="S67" s="378"/>
      <c r="T67" s="324"/>
      <c r="U67" s="386"/>
      <c r="V67" s="386"/>
      <c r="W67" s="386"/>
      <c r="X67" s="386"/>
      <c r="Y67" s="386"/>
      <c r="Z67" s="386"/>
      <c r="AA67" s="386"/>
      <c r="AB67" s="392"/>
      <c r="AC67" s="28"/>
      <c r="AD67" s="28"/>
      <c r="AE67" s="28"/>
      <c r="AF67" s="28"/>
      <c r="AG67" s="28"/>
      <c r="AH67" s="28"/>
      <c r="AI67" s="28"/>
      <c r="AJ67" s="28"/>
    </row>
    <row r="68" spans="1:36" x14ac:dyDescent="0.25">
      <c r="A68" s="298" t="str">
        <f>IF('Kwaliteit conversie'!$D$4='Prijs karton'!C68,"X"," ")</f>
        <v xml:space="preserve"> </v>
      </c>
      <c r="B68" s="331" t="s">
        <v>31</v>
      </c>
      <c r="C68" s="359"/>
      <c r="D68" s="366"/>
      <c r="E68" s="321"/>
      <c r="F68" s="925"/>
      <c r="G68" s="315"/>
      <c r="H68" s="315"/>
      <c r="I68" s="315"/>
      <c r="J68" s="315"/>
      <c r="K68" s="513"/>
      <c r="L68" s="926"/>
      <c r="M68" s="331"/>
      <c r="N68" s="366"/>
      <c r="O68" s="323"/>
      <c r="P68" s="386"/>
      <c r="Q68" s="323"/>
      <c r="R68" s="366"/>
      <c r="S68" s="378"/>
      <c r="T68" s="324"/>
      <c r="U68" s="386"/>
      <c r="V68" s="386"/>
      <c r="W68" s="386"/>
      <c r="X68" s="386"/>
      <c r="Y68" s="386"/>
      <c r="Z68" s="386"/>
      <c r="AA68" s="386"/>
      <c r="AB68" s="392"/>
      <c r="AC68" s="28"/>
      <c r="AD68" s="28"/>
      <c r="AE68" s="28"/>
      <c r="AF68" s="28"/>
      <c r="AG68" s="28"/>
      <c r="AH68" s="28"/>
      <c r="AI68" s="28"/>
      <c r="AJ68" s="28"/>
    </row>
    <row r="69" spans="1:36" x14ac:dyDescent="0.25">
      <c r="A69" s="298" t="str">
        <f>IF('Kwaliteit conversie'!$D$4='Prijs karton'!C69,"X"," ")</f>
        <v xml:space="preserve"> </v>
      </c>
      <c r="B69" s="331" t="s">
        <v>31</v>
      </c>
      <c r="C69" s="359"/>
      <c r="D69" s="366"/>
      <c r="E69" s="321"/>
      <c r="F69" s="925"/>
      <c r="G69" s="315"/>
      <c r="H69" s="315"/>
      <c r="I69" s="315"/>
      <c r="J69" s="315"/>
      <c r="K69" s="513"/>
      <c r="L69" s="926"/>
      <c r="M69" s="331"/>
      <c r="N69" s="366"/>
      <c r="O69" s="323"/>
      <c r="P69" s="386"/>
      <c r="Q69" s="323"/>
      <c r="R69" s="366"/>
      <c r="S69" s="378"/>
      <c r="T69" s="324"/>
      <c r="U69" s="386"/>
      <c r="V69" s="386"/>
      <c r="W69" s="386"/>
      <c r="X69" s="386"/>
      <c r="Y69" s="386"/>
      <c r="Z69" s="386"/>
      <c r="AA69" s="386"/>
      <c r="AB69" s="392"/>
      <c r="AC69" s="28"/>
      <c r="AD69" s="28"/>
      <c r="AE69" s="28"/>
      <c r="AF69" s="28"/>
      <c r="AG69" s="28"/>
      <c r="AH69" s="28"/>
      <c r="AI69" s="28"/>
      <c r="AJ69" s="28"/>
    </row>
    <row r="70" spans="1:36" x14ac:dyDescent="0.25">
      <c r="A70" s="298" t="str">
        <f>IF('Kwaliteit conversie'!$D$4='Prijs karton'!C70,"X"," ")</f>
        <v xml:space="preserve"> </v>
      </c>
      <c r="B70" s="331" t="s">
        <v>31</v>
      </c>
      <c r="C70" s="359"/>
      <c r="D70" s="366"/>
      <c r="E70" s="321"/>
      <c r="F70" s="925"/>
      <c r="G70" s="315"/>
      <c r="H70" s="315"/>
      <c r="I70" s="315"/>
      <c r="J70" s="315"/>
      <c r="K70" s="513"/>
      <c r="L70" s="926"/>
      <c r="M70" s="331"/>
      <c r="N70" s="366"/>
      <c r="O70" s="323"/>
      <c r="P70" s="386"/>
      <c r="Q70" s="323"/>
      <c r="R70" s="366"/>
      <c r="S70" s="378"/>
      <c r="T70" s="324"/>
      <c r="U70" s="386"/>
      <c r="V70" s="386"/>
      <c r="W70" s="386"/>
      <c r="X70" s="386"/>
      <c r="Y70" s="386"/>
      <c r="Z70" s="386"/>
      <c r="AA70" s="386"/>
      <c r="AB70" s="392"/>
      <c r="AC70" s="28"/>
      <c r="AD70" s="28"/>
      <c r="AE70" s="28"/>
      <c r="AF70" s="28"/>
      <c r="AG70" s="28"/>
      <c r="AH70" s="28"/>
      <c r="AI70" s="28"/>
      <c r="AJ70" s="28"/>
    </row>
    <row r="71" spans="1:36" x14ac:dyDescent="0.25">
      <c r="A71" s="298" t="str">
        <f>IF('Kwaliteit conversie'!$D$4='Prijs karton'!C71,"X"," ")</f>
        <v xml:space="preserve"> </v>
      </c>
      <c r="B71" s="331" t="s">
        <v>31</v>
      </c>
      <c r="C71" s="359"/>
      <c r="D71" s="366"/>
      <c r="E71" s="321"/>
      <c r="F71" s="925"/>
      <c r="G71" s="315"/>
      <c r="H71" s="315"/>
      <c r="I71" s="315"/>
      <c r="J71" s="315"/>
      <c r="K71" s="513"/>
      <c r="L71" s="926"/>
      <c r="M71" s="331"/>
      <c r="N71" s="366"/>
      <c r="O71" s="323"/>
      <c r="P71" s="386"/>
      <c r="Q71" s="323"/>
      <c r="R71" s="366"/>
      <c r="S71" s="378"/>
      <c r="T71" s="324"/>
      <c r="U71" s="386"/>
      <c r="V71" s="386"/>
      <c r="W71" s="386"/>
      <c r="X71" s="386"/>
      <c r="Y71" s="386"/>
      <c r="Z71" s="386"/>
      <c r="AA71" s="386"/>
      <c r="AB71" s="392"/>
      <c r="AC71" s="28"/>
      <c r="AD71" s="28"/>
      <c r="AE71" s="28"/>
      <c r="AF71" s="28"/>
      <c r="AG71" s="28"/>
      <c r="AH71" s="28"/>
      <c r="AI71" s="28"/>
      <c r="AJ71" s="28"/>
    </row>
    <row r="72" spans="1:36" x14ac:dyDescent="0.25">
      <c r="A72" s="298" t="str">
        <f>IF('Kwaliteit conversie'!$D$4='Prijs karton'!C72,"X"," ")</f>
        <v xml:space="preserve"> </v>
      </c>
      <c r="B72" s="331" t="s">
        <v>31</v>
      </c>
      <c r="C72" s="359"/>
      <c r="D72" s="366"/>
      <c r="E72" s="321"/>
      <c r="F72" s="925"/>
      <c r="G72" s="315"/>
      <c r="H72" s="315"/>
      <c r="I72" s="315"/>
      <c r="J72" s="315"/>
      <c r="K72" s="513"/>
      <c r="L72" s="926"/>
      <c r="M72" s="331"/>
      <c r="N72" s="366"/>
      <c r="O72" s="323"/>
      <c r="P72" s="386"/>
      <c r="Q72" s="323"/>
      <c r="R72" s="366"/>
      <c r="S72" s="378"/>
      <c r="T72" s="324"/>
      <c r="U72" s="386"/>
      <c r="V72" s="386"/>
      <c r="W72" s="386"/>
      <c r="X72" s="386"/>
      <c r="Y72" s="386"/>
      <c r="Z72" s="386"/>
      <c r="AA72" s="386"/>
      <c r="AB72" s="392"/>
      <c r="AC72" s="28"/>
      <c r="AD72" s="28"/>
      <c r="AE72" s="28"/>
      <c r="AF72" s="28"/>
      <c r="AG72" s="28"/>
      <c r="AH72" s="28"/>
      <c r="AI72" s="28"/>
      <c r="AJ72" s="28"/>
    </row>
    <row r="73" spans="1:36" x14ac:dyDescent="0.25">
      <c r="A73" s="298" t="str">
        <f>IF('Kwaliteit conversie'!$D$4='Prijs karton'!C73,"X"," ")</f>
        <v xml:space="preserve"> </v>
      </c>
      <c r="B73" s="331" t="s">
        <v>31</v>
      </c>
      <c r="C73" s="359"/>
      <c r="D73" s="366"/>
      <c r="E73" s="321"/>
      <c r="F73" s="925"/>
      <c r="G73" s="315"/>
      <c r="H73" s="315"/>
      <c r="I73" s="315"/>
      <c r="J73" s="315"/>
      <c r="K73" s="513"/>
      <c r="L73" s="926"/>
      <c r="M73" s="331"/>
      <c r="N73" s="366"/>
      <c r="O73" s="323"/>
      <c r="P73" s="386"/>
      <c r="Q73" s="323"/>
      <c r="R73" s="366"/>
      <c r="S73" s="378"/>
      <c r="T73" s="324"/>
      <c r="U73" s="386"/>
      <c r="V73" s="386"/>
      <c r="W73" s="386"/>
      <c r="X73" s="386"/>
      <c r="Y73" s="386"/>
      <c r="Z73" s="386"/>
      <c r="AA73" s="386"/>
      <c r="AB73" s="392"/>
      <c r="AC73" s="28"/>
      <c r="AD73" s="28"/>
      <c r="AE73" s="28"/>
      <c r="AF73" s="28"/>
      <c r="AG73" s="28"/>
      <c r="AH73" s="28"/>
      <c r="AI73" s="28"/>
      <c r="AJ73" s="28"/>
    </row>
    <row r="74" spans="1:36" x14ac:dyDescent="0.25">
      <c r="A74" s="298" t="str">
        <f>IF('Kwaliteit conversie'!$D$4='Prijs karton'!C74,"X"," ")</f>
        <v xml:space="preserve"> </v>
      </c>
      <c r="B74" s="331" t="s">
        <v>31</v>
      </c>
      <c r="C74" s="359"/>
      <c r="D74" s="366"/>
      <c r="E74" s="321"/>
      <c r="F74" s="925"/>
      <c r="G74" s="315"/>
      <c r="H74" s="315"/>
      <c r="I74" s="315"/>
      <c r="J74" s="315"/>
      <c r="K74" s="513"/>
      <c r="L74" s="926"/>
      <c r="M74" s="331"/>
      <c r="N74" s="366"/>
      <c r="O74" s="323"/>
      <c r="P74" s="386"/>
      <c r="Q74" s="323"/>
      <c r="R74" s="366"/>
      <c r="S74" s="378"/>
      <c r="T74" s="324"/>
      <c r="U74" s="386"/>
      <c r="V74" s="386"/>
      <c r="W74" s="386"/>
      <c r="X74" s="386"/>
      <c r="Y74" s="386"/>
      <c r="Z74" s="386"/>
      <c r="AA74" s="386"/>
      <c r="AB74" s="392"/>
      <c r="AC74" s="28"/>
      <c r="AD74" s="28"/>
      <c r="AE74" s="28"/>
      <c r="AF74" s="28"/>
      <c r="AG74" s="28"/>
      <c r="AH74" s="28"/>
      <c r="AI74" s="28"/>
      <c r="AJ74" s="28"/>
    </row>
    <row r="75" spans="1:36" x14ac:dyDescent="0.25">
      <c r="A75" s="298" t="str">
        <f>IF('Kwaliteit conversie'!$D$4='Prijs karton'!C75,"X"," ")</f>
        <v xml:space="preserve"> </v>
      </c>
      <c r="B75" s="331" t="s">
        <v>31</v>
      </c>
      <c r="C75" s="359"/>
      <c r="D75" s="366"/>
      <c r="E75" s="321"/>
      <c r="F75" s="925"/>
      <c r="G75" s="315"/>
      <c r="H75" s="315"/>
      <c r="I75" s="315"/>
      <c r="J75" s="315"/>
      <c r="K75" s="513"/>
      <c r="L75" s="926"/>
      <c r="M75" s="331"/>
      <c r="N75" s="366"/>
      <c r="O75" s="323"/>
      <c r="P75" s="386"/>
      <c r="Q75" s="323"/>
      <c r="R75" s="366"/>
      <c r="S75" s="378"/>
      <c r="T75" s="324"/>
      <c r="U75" s="386"/>
      <c r="V75" s="386"/>
      <c r="W75" s="386"/>
      <c r="X75" s="386"/>
      <c r="Y75" s="386"/>
      <c r="Z75" s="386"/>
      <c r="AA75" s="386"/>
      <c r="AB75" s="392"/>
      <c r="AC75" s="28"/>
      <c r="AD75" s="28"/>
      <c r="AE75" s="28"/>
      <c r="AF75" s="28"/>
      <c r="AG75" s="28"/>
      <c r="AH75" s="28"/>
      <c r="AI75" s="28"/>
      <c r="AJ75" s="28"/>
    </row>
    <row r="76" spans="1:36" x14ac:dyDescent="0.25">
      <c r="A76" s="298" t="str">
        <f>IF('Kwaliteit conversie'!$D$4='Prijs karton'!C76,"X"," ")</f>
        <v xml:space="preserve"> </v>
      </c>
      <c r="B76" s="331" t="s">
        <v>31</v>
      </c>
      <c r="C76" s="359"/>
      <c r="D76" s="366"/>
      <c r="E76" s="321"/>
      <c r="F76" s="925"/>
      <c r="G76" s="315"/>
      <c r="H76" s="315"/>
      <c r="I76" s="315"/>
      <c r="J76" s="315"/>
      <c r="K76" s="513"/>
      <c r="L76" s="926"/>
      <c r="M76" s="331"/>
      <c r="N76" s="366"/>
      <c r="O76" s="323"/>
      <c r="P76" s="386"/>
      <c r="Q76" s="323"/>
      <c r="R76" s="366"/>
      <c r="S76" s="378"/>
      <c r="T76" s="324"/>
      <c r="U76" s="386"/>
      <c r="V76" s="386"/>
      <c r="W76" s="386"/>
      <c r="X76" s="386"/>
      <c r="Y76" s="386"/>
      <c r="Z76" s="386"/>
      <c r="AA76" s="386"/>
      <c r="AB76" s="392"/>
      <c r="AC76" s="28"/>
      <c r="AD76" s="28"/>
      <c r="AE76" s="28"/>
      <c r="AF76" s="28"/>
      <c r="AG76" s="28"/>
      <c r="AH76" s="28"/>
      <c r="AI76" s="28"/>
      <c r="AJ76" s="28"/>
    </row>
    <row r="77" spans="1:36" s="320" customFormat="1" x14ac:dyDescent="0.25">
      <c r="A77" s="329" t="str">
        <f>IF('Kwaliteit conversie'!$D$4='Prijs karton'!C77,"X"," ")</f>
        <v xml:space="preserve"> </v>
      </c>
      <c r="B77" s="332" t="s">
        <v>31</v>
      </c>
      <c r="C77" s="360" t="s">
        <v>314</v>
      </c>
      <c r="D77" s="367">
        <v>0.5</v>
      </c>
      <c r="E77" s="322">
        <v>2.9</v>
      </c>
      <c r="F77" s="927">
        <v>0</v>
      </c>
      <c r="G77" s="319">
        <v>0</v>
      </c>
      <c r="H77" s="319">
        <v>0</v>
      </c>
      <c r="I77" s="319">
        <v>0</v>
      </c>
      <c r="J77" s="319">
        <v>0</v>
      </c>
      <c r="K77" s="928">
        <v>0</v>
      </c>
      <c r="L77" s="929" t="s">
        <v>315</v>
      </c>
      <c r="M77" s="379" t="s">
        <v>239</v>
      </c>
      <c r="N77" s="367" t="s">
        <v>239</v>
      </c>
      <c r="O77" s="325" t="s">
        <v>239</v>
      </c>
      <c r="P77" s="387" t="s">
        <v>239</v>
      </c>
      <c r="Q77" s="325" t="s">
        <v>239</v>
      </c>
      <c r="R77" s="367" t="s">
        <v>239</v>
      </c>
      <c r="S77" s="380" t="s">
        <v>239</v>
      </c>
      <c r="T77" s="326" t="s">
        <v>245</v>
      </c>
      <c r="U77" s="387">
        <v>250</v>
      </c>
      <c r="V77" s="387">
        <v>2450</v>
      </c>
      <c r="W77" s="387">
        <v>500</v>
      </c>
      <c r="X77" s="387">
        <v>6200</v>
      </c>
      <c r="Y77" s="387">
        <v>480</v>
      </c>
      <c r="Z77" s="387">
        <v>240</v>
      </c>
      <c r="AA77" s="387">
        <v>200</v>
      </c>
      <c r="AB77" s="393">
        <v>5</v>
      </c>
      <c r="AC77" s="34">
        <v>0</v>
      </c>
      <c r="AD77" s="34">
        <v>1</v>
      </c>
      <c r="AE77" s="34">
        <v>1</v>
      </c>
      <c r="AF77" s="34">
        <v>1</v>
      </c>
      <c r="AG77" s="34">
        <v>1</v>
      </c>
      <c r="AH77" s="34">
        <v>1</v>
      </c>
      <c r="AI77" s="34">
        <v>1</v>
      </c>
      <c r="AJ77" s="34">
        <v>1</v>
      </c>
    </row>
    <row r="78" spans="1:36" x14ac:dyDescent="0.25">
      <c r="A78" s="298" t="str">
        <f>IF('Kwaliteit conversie'!$D$4='Prijs karton'!C78,"X"," ")</f>
        <v xml:space="preserve"> </v>
      </c>
      <c r="B78" s="331"/>
      <c r="C78" s="359"/>
      <c r="D78" s="366"/>
      <c r="E78" s="321"/>
      <c r="F78" s="925"/>
      <c r="G78" s="315"/>
      <c r="H78" s="315"/>
      <c r="I78" s="315"/>
      <c r="J78" s="315"/>
      <c r="K78" s="513"/>
      <c r="L78" s="926"/>
      <c r="M78" s="331"/>
      <c r="N78" s="366"/>
      <c r="O78" s="323"/>
      <c r="P78" s="386"/>
      <c r="Q78" s="323"/>
      <c r="R78" s="366"/>
      <c r="S78" s="378"/>
      <c r="T78" s="324"/>
      <c r="U78" s="386"/>
      <c r="V78" s="386"/>
      <c r="W78" s="386"/>
      <c r="X78" s="386"/>
      <c r="Y78" s="386"/>
      <c r="Z78" s="386"/>
      <c r="AA78" s="386"/>
      <c r="AB78" s="392"/>
      <c r="AC78" s="28"/>
      <c r="AD78" s="28"/>
      <c r="AE78" s="28"/>
      <c r="AF78" s="28"/>
      <c r="AG78" s="28"/>
      <c r="AH78" s="28"/>
      <c r="AI78" s="28"/>
      <c r="AJ78" s="28"/>
    </row>
    <row r="79" spans="1:36" x14ac:dyDescent="0.25">
      <c r="A79" s="298" t="str">
        <f>IF('Kwaliteit conversie'!$D$4='Prijs karton'!C79,"X"," ")</f>
        <v xml:space="preserve"> </v>
      </c>
      <c r="B79" s="331"/>
      <c r="C79" s="359"/>
      <c r="D79" s="366"/>
      <c r="E79" s="321"/>
      <c r="F79" s="925"/>
      <c r="G79" s="315"/>
      <c r="H79" s="315"/>
      <c r="I79" s="315"/>
      <c r="J79" s="315"/>
      <c r="K79" s="513"/>
      <c r="L79" s="926"/>
      <c r="M79" s="331"/>
      <c r="N79" s="366"/>
      <c r="O79" s="323"/>
      <c r="P79" s="386"/>
      <c r="Q79" s="323"/>
      <c r="R79" s="366"/>
      <c r="S79" s="378"/>
      <c r="T79" s="324"/>
      <c r="U79" s="386"/>
      <c r="V79" s="386"/>
      <c r="W79" s="386"/>
      <c r="X79" s="386"/>
      <c r="Y79" s="386"/>
      <c r="Z79" s="386"/>
      <c r="AA79" s="386"/>
      <c r="AB79" s="392"/>
      <c r="AC79" s="28"/>
      <c r="AD79" s="28"/>
      <c r="AE79" s="28"/>
      <c r="AF79" s="28"/>
      <c r="AG79" s="28"/>
      <c r="AH79" s="28"/>
      <c r="AI79" s="28"/>
      <c r="AJ79" s="28"/>
    </row>
    <row r="80" spans="1:36" x14ac:dyDescent="0.25">
      <c r="A80" s="298" t="str">
        <f>IF('Kwaliteit conversie'!$D$4='Prijs karton'!C80,"X"," ")</f>
        <v xml:space="preserve"> </v>
      </c>
      <c r="B80" s="331"/>
      <c r="C80" s="359"/>
      <c r="D80" s="366"/>
      <c r="E80" s="321"/>
      <c r="F80" s="925"/>
      <c r="G80" s="315"/>
      <c r="H80" s="315"/>
      <c r="I80" s="315"/>
      <c r="J80" s="315"/>
      <c r="K80" s="513"/>
      <c r="L80" s="926"/>
      <c r="M80" s="331"/>
      <c r="N80" s="366"/>
      <c r="O80" s="323"/>
      <c r="P80" s="386"/>
      <c r="Q80" s="323"/>
      <c r="R80" s="366"/>
      <c r="S80" s="378"/>
      <c r="T80" s="324"/>
      <c r="U80" s="386"/>
      <c r="V80" s="386"/>
      <c r="W80" s="386"/>
      <c r="X80" s="386"/>
      <c r="Y80" s="386"/>
      <c r="Z80" s="386"/>
      <c r="AA80" s="386"/>
      <c r="AB80" s="392"/>
      <c r="AC80" s="28"/>
      <c r="AD80" s="28"/>
      <c r="AE80" s="28"/>
      <c r="AF80" s="28"/>
      <c r="AG80" s="28"/>
      <c r="AH80" s="28"/>
      <c r="AI80" s="28"/>
      <c r="AJ80" s="28"/>
    </row>
    <row r="81" spans="1:36" x14ac:dyDescent="0.25">
      <c r="A81" s="932" t="str">
        <f>IF('Kwaliteit conversie'!$D$4='Prijs karton'!C81,"X"," ")</f>
        <v xml:space="preserve"> </v>
      </c>
      <c r="B81" s="331" t="s">
        <v>36</v>
      </c>
      <c r="C81" s="359" t="s">
        <v>316</v>
      </c>
      <c r="D81" s="366">
        <v>0.56000000000000005</v>
      </c>
      <c r="E81" s="321">
        <v>5.6</v>
      </c>
      <c r="F81" s="925">
        <v>0</v>
      </c>
      <c r="G81" s="315">
        <v>57.7</v>
      </c>
      <c r="H81" s="315">
        <v>54.7</v>
      </c>
      <c r="I81" s="315">
        <v>54.2</v>
      </c>
      <c r="J81" s="315">
        <v>54.2</v>
      </c>
      <c r="K81" s="513">
        <v>53.7</v>
      </c>
      <c r="L81" s="926" t="s">
        <v>317</v>
      </c>
      <c r="M81" s="331" t="s">
        <v>318</v>
      </c>
      <c r="N81" s="366" t="s">
        <v>255</v>
      </c>
      <c r="O81" s="323" t="s">
        <v>244</v>
      </c>
      <c r="P81" s="386" t="s">
        <v>244</v>
      </c>
      <c r="Q81" s="323" t="s">
        <v>239</v>
      </c>
      <c r="R81" s="366" t="s">
        <v>239</v>
      </c>
      <c r="S81" s="378" t="s">
        <v>243</v>
      </c>
      <c r="T81" s="324" t="s">
        <v>245</v>
      </c>
      <c r="U81" s="386">
        <v>250</v>
      </c>
      <c r="V81" s="386">
        <v>2450</v>
      </c>
      <c r="W81" s="386">
        <v>500</v>
      </c>
      <c r="X81" s="386">
        <v>6200</v>
      </c>
      <c r="Y81" s="386">
        <v>180</v>
      </c>
      <c r="Z81" s="386">
        <v>90</v>
      </c>
      <c r="AA81" s="386">
        <v>200</v>
      </c>
      <c r="AB81" s="392">
        <v>6.6</v>
      </c>
      <c r="AC81" s="28">
        <v>0</v>
      </c>
      <c r="AD81" s="28">
        <v>1</v>
      </c>
      <c r="AE81" s="28">
        <v>1</v>
      </c>
      <c r="AF81" s="28">
        <v>1</v>
      </c>
      <c r="AG81" s="28">
        <v>1</v>
      </c>
      <c r="AH81" s="28">
        <v>1</v>
      </c>
      <c r="AI81" s="28">
        <v>1</v>
      </c>
      <c r="AJ81" s="28">
        <v>1</v>
      </c>
    </row>
    <row r="82" spans="1:36" x14ac:dyDescent="0.25">
      <c r="A82" s="298" t="str">
        <f>IF('Kwaliteit conversie'!$D$4='Prijs karton'!C82,"X"," ")</f>
        <v xml:space="preserve"> </v>
      </c>
      <c r="B82" s="331" t="s">
        <v>36</v>
      </c>
      <c r="C82" s="359" t="s">
        <v>319</v>
      </c>
      <c r="D82" s="366">
        <v>0.54</v>
      </c>
      <c r="E82" s="321">
        <v>5.6</v>
      </c>
      <c r="F82" s="925">
        <v>0</v>
      </c>
      <c r="G82" s="315">
        <v>45.5</v>
      </c>
      <c r="H82" s="315">
        <v>42.5</v>
      </c>
      <c r="I82" s="315">
        <v>42</v>
      </c>
      <c r="J82" s="315">
        <v>42</v>
      </c>
      <c r="K82" s="513">
        <v>41.5</v>
      </c>
      <c r="L82" s="926" t="s">
        <v>320</v>
      </c>
      <c r="M82" s="331" t="s">
        <v>249</v>
      </c>
      <c r="N82" s="366" t="s">
        <v>255</v>
      </c>
      <c r="O82" s="323" t="s">
        <v>244</v>
      </c>
      <c r="P82" s="386" t="s">
        <v>244</v>
      </c>
      <c r="Q82" s="323" t="s">
        <v>239</v>
      </c>
      <c r="R82" s="366" t="s">
        <v>239</v>
      </c>
      <c r="S82" s="378" t="s">
        <v>243</v>
      </c>
      <c r="T82" s="324" t="s">
        <v>245</v>
      </c>
      <c r="U82" s="386">
        <v>250</v>
      </c>
      <c r="V82" s="386">
        <v>2450</v>
      </c>
      <c r="W82" s="386">
        <v>500</v>
      </c>
      <c r="X82" s="386">
        <v>6200</v>
      </c>
      <c r="Y82" s="386">
        <v>180</v>
      </c>
      <c r="Z82" s="386">
        <v>90</v>
      </c>
      <c r="AA82" s="386">
        <v>200</v>
      </c>
      <c r="AB82" s="392">
        <v>6</v>
      </c>
      <c r="AC82" s="28">
        <v>10</v>
      </c>
      <c r="AD82" s="28">
        <v>1</v>
      </c>
      <c r="AE82" s="28">
        <v>1</v>
      </c>
      <c r="AF82" s="28">
        <v>1</v>
      </c>
      <c r="AG82" s="28">
        <v>1</v>
      </c>
      <c r="AH82" s="28">
        <v>1</v>
      </c>
      <c r="AI82" s="28">
        <v>1</v>
      </c>
      <c r="AJ82" s="28">
        <v>1</v>
      </c>
    </row>
    <row r="83" spans="1:36" x14ac:dyDescent="0.25">
      <c r="A83" s="298" t="str">
        <f>IF('Kwaliteit conversie'!$D$4='Prijs karton'!C83,"X"," ")</f>
        <v xml:space="preserve"> </v>
      </c>
      <c r="B83" s="331" t="s">
        <v>36</v>
      </c>
      <c r="C83" s="359" t="s">
        <v>321</v>
      </c>
      <c r="D83" s="366">
        <v>0.61799999999999999</v>
      </c>
      <c r="E83" s="321">
        <v>6.62</v>
      </c>
      <c r="F83" s="925">
        <v>0</v>
      </c>
      <c r="G83" s="315">
        <v>64.7</v>
      </c>
      <c r="H83" s="315">
        <v>61.7</v>
      </c>
      <c r="I83" s="315">
        <v>61.7</v>
      </c>
      <c r="J83" s="315">
        <v>59.7</v>
      </c>
      <c r="K83" s="513">
        <v>59.7</v>
      </c>
      <c r="L83" s="926" t="s">
        <v>322</v>
      </c>
      <c r="M83" s="331" t="s">
        <v>260</v>
      </c>
      <c r="N83" s="366" t="s">
        <v>323</v>
      </c>
      <c r="O83" s="323" t="s">
        <v>324</v>
      </c>
      <c r="P83" s="386" t="s">
        <v>323</v>
      </c>
      <c r="Q83" s="323" t="s">
        <v>239</v>
      </c>
      <c r="R83" s="366" t="s">
        <v>239</v>
      </c>
      <c r="S83" s="378" t="s">
        <v>260</v>
      </c>
      <c r="T83" s="324" t="s">
        <v>240</v>
      </c>
      <c r="U83" s="386">
        <v>240</v>
      </c>
      <c r="V83" s="386">
        <v>2450</v>
      </c>
      <c r="W83" s="386">
        <v>500</v>
      </c>
      <c r="X83" s="386">
        <v>6000</v>
      </c>
      <c r="Y83" s="386">
        <v>60</v>
      </c>
      <c r="Z83" s="386">
        <v>60</v>
      </c>
      <c r="AA83" s="386">
        <v>200</v>
      </c>
      <c r="AB83" s="392">
        <v>7.54</v>
      </c>
      <c r="AC83" s="28"/>
      <c r="AD83" s="28">
        <v>1</v>
      </c>
      <c r="AE83" s="28">
        <v>1</v>
      </c>
      <c r="AF83" s="28">
        <v>1</v>
      </c>
      <c r="AG83" s="28">
        <v>1</v>
      </c>
      <c r="AH83" s="28">
        <v>1</v>
      </c>
      <c r="AI83" s="28">
        <v>1</v>
      </c>
      <c r="AJ83" s="28">
        <v>1</v>
      </c>
    </row>
    <row r="84" spans="1:36" x14ac:dyDescent="0.25">
      <c r="A84" s="298" t="str">
        <f>IF('Kwaliteit conversie'!$D$4='Prijs karton'!C84,"X"," ")</f>
        <v xml:space="preserve"> </v>
      </c>
      <c r="B84" s="331" t="s">
        <v>36</v>
      </c>
      <c r="C84" s="359" t="s">
        <v>325</v>
      </c>
      <c r="D84" s="366">
        <v>0.62</v>
      </c>
      <c r="E84" s="321">
        <v>5.6</v>
      </c>
      <c r="F84" s="925">
        <v>0</v>
      </c>
      <c r="G84" s="315">
        <v>53.9</v>
      </c>
      <c r="H84" s="315">
        <v>50.9</v>
      </c>
      <c r="I84" s="315">
        <v>50.4</v>
      </c>
      <c r="J84" s="315">
        <v>50.4</v>
      </c>
      <c r="K84" s="513">
        <v>49.9</v>
      </c>
      <c r="L84" s="926" t="s">
        <v>326</v>
      </c>
      <c r="M84" s="331" t="s">
        <v>257</v>
      </c>
      <c r="N84" s="366" t="s">
        <v>255</v>
      </c>
      <c r="O84" s="323" t="s">
        <v>244</v>
      </c>
      <c r="P84" s="386" t="s">
        <v>285</v>
      </c>
      <c r="Q84" s="323" t="s">
        <v>239</v>
      </c>
      <c r="R84" s="366" t="s">
        <v>239</v>
      </c>
      <c r="S84" s="378" t="s">
        <v>249</v>
      </c>
      <c r="T84" s="324" t="s">
        <v>245</v>
      </c>
      <c r="U84" s="386">
        <v>250</v>
      </c>
      <c r="V84" s="386">
        <v>2450</v>
      </c>
      <c r="W84" s="386">
        <v>500</v>
      </c>
      <c r="X84" s="386">
        <v>6200</v>
      </c>
      <c r="Y84" s="386">
        <v>180</v>
      </c>
      <c r="Z84" s="386">
        <v>90</v>
      </c>
      <c r="AA84" s="386">
        <v>200</v>
      </c>
      <c r="AB84" s="392">
        <v>7.2</v>
      </c>
      <c r="AC84" s="28">
        <v>0</v>
      </c>
      <c r="AD84" s="28">
        <v>1</v>
      </c>
      <c r="AE84" s="28">
        <v>1</v>
      </c>
      <c r="AF84" s="28">
        <v>1</v>
      </c>
      <c r="AG84" s="28">
        <v>1</v>
      </c>
      <c r="AH84" s="28">
        <v>1</v>
      </c>
      <c r="AI84" s="28">
        <v>1</v>
      </c>
      <c r="AJ84" s="28">
        <v>1</v>
      </c>
    </row>
    <row r="85" spans="1:36" x14ac:dyDescent="0.25">
      <c r="A85" s="298" t="str">
        <f>IF('Kwaliteit conversie'!$D$4='Prijs karton'!C85,"X"," ")</f>
        <v xml:space="preserve"> </v>
      </c>
      <c r="B85" s="331" t="s">
        <v>36</v>
      </c>
      <c r="C85" s="359" t="s">
        <v>327</v>
      </c>
      <c r="D85" s="366">
        <v>0.58499999999999996</v>
      </c>
      <c r="E85" s="321">
        <v>5.6</v>
      </c>
      <c r="F85" s="925">
        <v>0</v>
      </c>
      <c r="G85" s="315">
        <v>47.4</v>
      </c>
      <c r="H85" s="315">
        <v>44.4</v>
      </c>
      <c r="I85" s="315">
        <v>43.9</v>
      </c>
      <c r="J85" s="315">
        <v>43.9</v>
      </c>
      <c r="K85" s="513">
        <v>43.4</v>
      </c>
      <c r="L85" s="926" t="s">
        <v>328</v>
      </c>
      <c r="M85" s="331" t="s">
        <v>257</v>
      </c>
      <c r="N85" s="366" t="s">
        <v>255</v>
      </c>
      <c r="O85" s="323" t="s">
        <v>244</v>
      </c>
      <c r="P85" s="386" t="s">
        <v>244</v>
      </c>
      <c r="Q85" s="323" t="s">
        <v>239</v>
      </c>
      <c r="R85" s="366" t="s">
        <v>239</v>
      </c>
      <c r="S85" s="378" t="s">
        <v>249</v>
      </c>
      <c r="T85" s="324" t="s">
        <v>245</v>
      </c>
      <c r="U85" s="386">
        <v>250</v>
      </c>
      <c r="V85" s="386">
        <v>2450</v>
      </c>
      <c r="W85" s="386">
        <v>500</v>
      </c>
      <c r="X85" s="386">
        <v>6200</v>
      </c>
      <c r="Y85" s="386">
        <v>180</v>
      </c>
      <c r="Z85" s="386">
        <v>90</v>
      </c>
      <c r="AA85" s="386">
        <v>200</v>
      </c>
      <c r="AB85" s="392">
        <v>6.6</v>
      </c>
      <c r="AC85" s="28">
        <v>0</v>
      </c>
      <c r="AD85" s="28">
        <v>1</v>
      </c>
      <c r="AE85" s="28">
        <v>1</v>
      </c>
      <c r="AF85" s="28">
        <v>1</v>
      </c>
      <c r="AG85" s="28">
        <v>1</v>
      </c>
      <c r="AH85" s="28">
        <v>1</v>
      </c>
      <c r="AI85" s="28">
        <v>1</v>
      </c>
      <c r="AJ85" s="28">
        <v>1</v>
      </c>
    </row>
    <row r="86" spans="1:36" x14ac:dyDescent="0.25">
      <c r="A86" s="298" t="str">
        <f>IF('Kwaliteit conversie'!$D$4='Prijs karton'!C86,"X"," ")</f>
        <v xml:space="preserve"> </v>
      </c>
      <c r="B86" s="331" t="s">
        <v>36</v>
      </c>
      <c r="C86" s="359" t="s">
        <v>329</v>
      </c>
      <c r="D86" s="366">
        <v>0.56999999999999995</v>
      </c>
      <c r="E86" s="321">
        <v>5.6</v>
      </c>
      <c r="F86" s="925">
        <v>0</v>
      </c>
      <c r="G86" s="315">
        <v>52.6</v>
      </c>
      <c r="H86" s="315">
        <v>49.6</v>
      </c>
      <c r="I86" s="315">
        <v>49.1</v>
      </c>
      <c r="J86" s="315">
        <v>49.1</v>
      </c>
      <c r="K86" s="513">
        <v>48.6</v>
      </c>
      <c r="L86" s="926" t="s">
        <v>330</v>
      </c>
      <c r="M86" s="331" t="s">
        <v>331</v>
      </c>
      <c r="N86" s="366" t="s">
        <v>255</v>
      </c>
      <c r="O86" s="323" t="s">
        <v>244</v>
      </c>
      <c r="P86" s="386" t="s">
        <v>244</v>
      </c>
      <c r="Q86" s="323" t="s">
        <v>239</v>
      </c>
      <c r="R86" s="366" t="s">
        <v>239</v>
      </c>
      <c r="S86" s="378" t="s">
        <v>249</v>
      </c>
      <c r="T86" s="324" t="s">
        <v>245</v>
      </c>
      <c r="U86" s="386">
        <v>250</v>
      </c>
      <c r="V86" s="386">
        <v>2450</v>
      </c>
      <c r="W86" s="386">
        <v>500</v>
      </c>
      <c r="X86" s="386">
        <v>6200</v>
      </c>
      <c r="Y86" s="386">
        <v>180</v>
      </c>
      <c r="Z86" s="386">
        <v>90</v>
      </c>
      <c r="AA86" s="386">
        <v>200</v>
      </c>
      <c r="AB86" s="392">
        <v>6.8</v>
      </c>
      <c r="AC86" s="28">
        <v>0</v>
      </c>
      <c r="AD86" s="28">
        <v>1</v>
      </c>
      <c r="AE86" s="28">
        <v>1</v>
      </c>
      <c r="AF86" s="28">
        <v>1</v>
      </c>
      <c r="AG86" s="28">
        <v>1</v>
      </c>
      <c r="AH86" s="28">
        <v>1</v>
      </c>
      <c r="AI86" s="28">
        <v>1</v>
      </c>
      <c r="AJ86" s="28">
        <v>1</v>
      </c>
    </row>
    <row r="87" spans="1:36" x14ac:dyDescent="0.25">
      <c r="A87" s="298" t="str">
        <f>IF('Kwaliteit conversie'!$D$4='Prijs karton'!C87,"X"," ")</f>
        <v xml:space="preserve"> </v>
      </c>
      <c r="B87" s="331" t="s">
        <v>36</v>
      </c>
      <c r="C87" s="359" t="s">
        <v>332</v>
      </c>
      <c r="D87" s="366">
        <v>0.56000000000000005</v>
      </c>
      <c r="E87" s="321">
        <v>5.6</v>
      </c>
      <c r="F87" s="925">
        <v>0</v>
      </c>
      <c r="G87" s="315">
        <v>59.4</v>
      </c>
      <c r="H87" s="315">
        <v>56.4</v>
      </c>
      <c r="I87" s="315">
        <v>55.9</v>
      </c>
      <c r="J87" s="315">
        <v>55.9</v>
      </c>
      <c r="K87" s="513">
        <v>55.4</v>
      </c>
      <c r="L87" s="926" t="s">
        <v>333</v>
      </c>
      <c r="M87" s="331" t="s">
        <v>289</v>
      </c>
      <c r="N87" s="366" t="s">
        <v>255</v>
      </c>
      <c r="O87" s="323" t="s">
        <v>244</v>
      </c>
      <c r="P87" s="386" t="s">
        <v>244</v>
      </c>
      <c r="Q87" s="323" t="s">
        <v>239</v>
      </c>
      <c r="R87" s="366" t="s">
        <v>239</v>
      </c>
      <c r="S87" s="378" t="s">
        <v>243</v>
      </c>
      <c r="T87" s="324" t="s">
        <v>245</v>
      </c>
      <c r="U87" s="386">
        <v>250</v>
      </c>
      <c r="V87" s="386">
        <v>2450</v>
      </c>
      <c r="W87" s="386">
        <v>500</v>
      </c>
      <c r="X87" s="386">
        <v>6200</v>
      </c>
      <c r="Y87" s="386">
        <v>180</v>
      </c>
      <c r="Z87" s="386">
        <v>90</v>
      </c>
      <c r="AA87" s="386">
        <v>200</v>
      </c>
      <c r="AB87" s="392">
        <v>6.5</v>
      </c>
      <c r="AC87" s="28">
        <v>0</v>
      </c>
      <c r="AD87" s="28">
        <v>1</v>
      </c>
      <c r="AE87" s="28">
        <v>1</v>
      </c>
      <c r="AF87" s="28">
        <v>1</v>
      </c>
      <c r="AG87" s="28">
        <v>1</v>
      </c>
      <c r="AH87" s="28">
        <v>1</v>
      </c>
      <c r="AI87" s="28">
        <v>1</v>
      </c>
      <c r="AJ87" s="28">
        <v>1</v>
      </c>
    </row>
    <row r="88" spans="1:36" x14ac:dyDescent="0.25">
      <c r="A88" s="298" t="str">
        <f>IF('Kwaliteit conversie'!$D$4='Prijs karton'!C88,"X"," ")</f>
        <v xml:space="preserve"> </v>
      </c>
      <c r="B88" s="331" t="s">
        <v>36</v>
      </c>
      <c r="C88" s="359" t="s">
        <v>334</v>
      </c>
      <c r="D88" s="366">
        <v>0.60399999999999998</v>
      </c>
      <c r="E88" s="321">
        <v>6.58</v>
      </c>
      <c r="F88" s="925">
        <v>0</v>
      </c>
      <c r="G88" s="315" t="s">
        <v>315</v>
      </c>
      <c r="H88" s="315">
        <v>69.099999999999994</v>
      </c>
      <c r="I88" s="315">
        <v>69.099999999999994</v>
      </c>
      <c r="J88" s="315">
        <v>68.099999999999994</v>
      </c>
      <c r="K88" s="513">
        <v>67.599999999999994</v>
      </c>
      <c r="L88" s="926" t="s">
        <v>335</v>
      </c>
      <c r="M88" s="331" t="s">
        <v>289</v>
      </c>
      <c r="N88" s="366" t="s">
        <v>238</v>
      </c>
      <c r="O88" s="323" t="s">
        <v>255</v>
      </c>
      <c r="P88" s="386" t="s">
        <v>238</v>
      </c>
      <c r="Q88" s="323" t="s">
        <v>239</v>
      </c>
      <c r="R88" s="366" t="s">
        <v>239</v>
      </c>
      <c r="S88" s="378" t="s">
        <v>260</v>
      </c>
      <c r="T88" s="324" t="s">
        <v>240</v>
      </c>
      <c r="U88" s="386">
        <v>240</v>
      </c>
      <c r="V88" s="386">
        <v>2450</v>
      </c>
      <c r="W88" s="386">
        <v>500</v>
      </c>
      <c r="X88" s="386">
        <v>6000</v>
      </c>
      <c r="Y88" s="386">
        <v>60</v>
      </c>
      <c r="Z88" s="386">
        <v>60</v>
      </c>
      <c r="AA88" s="386">
        <v>500</v>
      </c>
      <c r="AB88" s="392">
        <v>7.51</v>
      </c>
      <c r="AC88" s="28"/>
      <c r="AD88" s="28">
        <v>1</v>
      </c>
      <c r="AE88" s="28">
        <v>1</v>
      </c>
      <c r="AF88" s="28">
        <v>1</v>
      </c>
      <c r="AG88" s="28">
        <v>1</v>
      </c>
      <c r="AH88" s="28">
        <v>1</v>
      </c>
      <c r="AI88" s="28">
        <v>1</v>
      </c>
      <c r="AJ88" s="28">
        <v>1</v>
      </c>
    </row>
    <row r="89" spans="1:36" x14ac:dyDescent="0.25">
      <c r="A89" s="298" t="str">
        <f>IF('Kwaliteit conversie'!$D$4='Prijs karton'!C89,"X"," ")</f>
        <v xml:space="preserve"> </v>
      </c>
      <c r="B89" s="331" t="s">
        <v>36</v>
      </c>
      <c r="C89" s="359" t="s">
        <v>336</v>
      </c>
      <c r="D89" s="366">
        <v>0.64500000000000002</v>
      </c>
      <c r="E89" s="321">
        <v>5.6</v>
      </c>
      <c r="F89" s="925">
        <v>0</v>
      </c>
      <c r="G89" s="315">
        <v>56.4</v>
      </c>
      <c r="H89" s="315">
        <v>53.4</v>
      </c>
      <c r="I89" s="315">
        <v>52.9</v>
      </c>
      <c r="J89" s="315">
        <v>52.9</v>
      </c>
      <c r="K89" s="513">
        <v>52.4</v>
      </c>
      <c r="L89" s="926" t="s">
        <v>337</v>
      </c>
      <c r="M89" s="331" t="s">
        <v>274</v>
      </c>
      <c r="N89" s="366" t="s">
        <v>255</v>
      </c>
      <c r="O89" s="323" t="s">
        <v>244</v>
      </c>
      <c r="P89" s="386" t="s">
        <v>285</v>
      </c>
      <c r="Q89" s="323" t="s">
        <v>239</v>
      </c>
      <c r="R89" s="366" t="s">
        <v>239</v>
      </c>
      <c r="S89" s="378" t="s">
        <v>257</v>
      </c>
      <c r="T89" s="324" t="s">
        <v>245</v>
      </c>
      <c r="U89" s="386">
        <v>250</v>
      </c>
      <c r="V89" s="386">
        <v>2450</v>
      </c>
      <c r="W89" s="386">
        <v>500</v>
      </c>
      <c r="X89" s="386">
        <v>6200</v>
      </c>
      <c r="Y89" s="386">
        <v>180</v>
      </c>
      <c r="Z89" s="386">
        <v>90</v>
      </c>
      <c r="AA89" s="386">
        <v>200</v>
      </c>
      <c r="AB89" s="392">
        <v>8.1</v>
      </c>
      <c r="AC89" s="28">
        <v>10</v>
      </c>
      <c r="AD89" s="28">
        <v>1</v>
      </c>
      <c r="AE89" s="28">
        <v>1</v>
      </c>
      <c r="AF89" s="28">
        <v>1</v>
      </c>
      <c r="AG89" s="28">
        <v>1</v>
      </c>
      <c r="AH89" s="28">
        <v>1</v>
      </c>
      <c r="AI89" s="28">
        <v>1</v>
      </c>
      <c r="AJ89" s="28">
        <v>1</v>
      </c>
    </row>
    <row r="90" spans="1:36" x14ac:dyDescent="0.25">
      <c r="A90" s="298" t="str">
        <f>IF('Kwaliteit conversie'!$D$4='Prijs karton'!C90,"X"," ")</f>
        <v xml:space="preserve"> </v>
      </c>
      <c r="B90" s="331" t="s">
        <v>36</v>
      </c>
      <c r="C90" s="359" t="s">
        <v>338</v>
      </c>
      <c r="D90" s="366">
        <v>0.58899999999999997</v>
      </c>
      <c r="E90" s="321">
        <v>6.59</v>
      </c>
      <c r="F90" s="925">
        <v>0</v>
      </c>
      <c r="G90" s="315">
        <v>67.2</v>
      </c>
      <c r="H90" s="315">
        <v>64.2</v>
      </c>
      <c r="I90" s="315">
        <v>64.2</v>
      </c>
      <c r="J90" s="315">
        <v>63.7</v>
      </c>
      <c r="K90" s="513">
        <v>63.2</v>
      </c>
      <c r="L90" s="926" t="s">
        <v>339</v>
      </c>
      <c r="M90" s="331" t="s">
        <v>340</v>
      </c>
      <c r="N90" s="366" t="s">
        <v>238</v>
      </c>
      <c r="O90" s="323" t="s">
        <v>255</v>
      </c>
      <c r="P90" s="386" t="s">
        <v>238</v>
      </c>
      <c r="Q90" s="323" t="s">
        <v>239</v>
      </c>
      <c r="R90" s="366" t="s">
        <v>239</v>
      </c>
      <c r="S90" s="378" t="s">
        <v>260</v>
      </c>
      <c r="T90" s="324" t="s">
        <v>240</v>
      </c>
      <c r="U90" s="386">
        <v>240</v>
      </c>
      <c r="V90" s="386">
        <v>2450</v>
      </c>
      <c r="W90" s="386">
        <v>500</v>
      </c>
      <c r="X90" s="386">
        <v>6000</v>
      </c>
      <c r="Y90" s="386">
        <v>60</v>
      </c>
      <c r="Z90" s="386">
        <v>60</v>
      </c>
      <c r="AA90" s="386">
        <v>200</v>
      </c>
      <c r="AB90" s="392">
        <v>7.35</v>
      </c>
      <c r="AC90" s="28">
        <v>0</v>
      </c>
      <c r="AD90" s="28">
        <v>1</v>
      </c>
      <c r="AE90" s="28">
        <v>1</v>
      </c>
      <c r="AF90" s="28">
        <v>1</v>
      </c>
      <c r="AG90" s="28">
        <v>1</v>
      </c>
      <c r="AH90" s="28">
        <v>1</v>
      </c>
      <c r="AI90" s="28">
        <v>1</v>
      </c>
      <c r="AJ90" s="28">
        <v>1</v>
      </c>
    </row>
    <row r="91" spans="1:36" x14ac:dyDescent="0.25">
      <c r="A91" s="298" t="str">
        <f>IF('Kwaliteit conversie'!$D$4='Prijs karton'!C91,"X"," ")</f>
        <v xml:space="preserve"> </v>
      </c>
      <c r="B91" s="331" t="s">
        <v>36</v>
      </c>
      <c r="C91" s="359"/>
      <c r="D91" s="366"/>
      <c r="E91" s="321"/>
      <c r="F91" s="925"/>
      <c r="G91" s="315"/>
      <c r="H91" s="315"/>
      <c r="I91" s="315"/>
      <c r="J91" s="315"/>
      <c r="K91" s="513"/>
      <c r="L91" s="926"/>
      <c r="M91" s="331"/>
      <c r="N91" s="366"/>
      <c r="O91" s="323"/>
      <c r="P91" s="386"/>
      <c r="Q91" s="323"/>
      <c r="R91" s="366"/>
      <c r="S91" s="378"/>
      <c r="T91" s="324"/>
      <c r="U91" s="386"/>
      <c r="V91" s="386"/>
      <c r="W91" s="386"/>
      <c r="X91" s="386"/>
      <c r="Y91" s="386"/>
      <c r="Z91" s="386"/>
      <c r="AA91" s="386"/>
      <c r="AB91" s="392"/>
      <c r="AC91" s="28">
        <v>0</v>
      </c>
      <c r="AD91" s="28"/>
      <c r="AE91" s="28"/>
      <c r="AF91" s="28"/>
      <c r="AG91" s="28"/>
      <c r="AH91" s="28"/>
      <c r="AI91" s="28"/>
      <c r="AJ91" s="28"/>
    </row>
    <row r="92" spans="1:36" x14ac:dyDescent="0.25">
      <c r="A92" s="298" t="str">
        <f>IF('Kwaliteit conversie'!$D$4='Prijs karton'!C92,"X"," ")</f>
        <v xml:space="preserve"> </v>
      </c>
      <c r="B92" s="331" t="s">
        <v>36</v>
      </c>
      <c r="C92" s="359" t="s">
        <v>341</v>
      </c>
      <c r="D92" s="366">
        <v>0.61399999999999999</v>
      </c>
      <c r="E92" s="321">
        <v>6.62</v>
      </c>
      <c r="F92" s="925">
        <v>0</v>
      </c>
      <c r="G92" s="315">
        <v>72.2</v>
      </c>
      <c r="H92" s="315">
        <v>69.2</v>
      </c>
      <c r="I92" s="315">
        <v>69.2</v>
      </c>
      <c r="J92" s="315">
        <v>67.2</v>
      </c>
      <c r="K92" s="513">
        <v>67.2</v>
      </c>
      <c r="L92" s="926" t="s">
        <v>342</v>
      </c>
      <c r="M92" s="331" t="s">
        <v>277</v>
      </c>
      <c r="N92" s="366" t="s">
        <v>238</v>
      </c>
      <c r="O92" s="323" t="s">
        <v>255</v>
      </c>
      <c r="P92" s="386" t="s">
        <v>238</v>
      </c>
      <c r="Q92" s="323" t="s">
        <v>239</v>
      </c>
      <c r="R92" s="366" t="s">
        <v>239</v>
      </c>
      <c r="S92" s="378" t="s">
        <v>260</v>
      </c>
      <c r="T92" s="324" t="s">
        <v>240</v>
      </c>
      <c r="U92" s="386">
        <v>240</v>
      </c>
      <c r="V92" s="386">
        <v>2450</v>
      </c>
      <c r="W92" s="386">
        <v>500</v>
      </c>
      <c r="X92" s="386">
        <v>6000</v>
      </c>
      <c r="Y92" s="386">
        <v>60</v>
      </c>
      <c r="Z92" s="386">
        <v>60</v>
      </c>
      <c r="AA92" s="386">
        <v>200</v>
      </c>
      <c r="AB92" s="392">
        <v>7.7</v>
      </c>
      <c r="AC92" s="28">
        <v>0</v>
      </c>
      <c r="AD92" s="28">
        <v>1</v>
      </c>
      <c r="AE92" s="28">
        <v>1</v>
      </c>
      <c r="AF92" s="28">
        <v>1</v>
      </c>
      <c r="AG92" s="28">
        <v>1</v>
      </c>
      <c r="AH92" s="28">
        <v>1</v>
      </c>
      <c r="AI92" s="28">
        <v>1</v>
      </c>
      <c r="AJ92" s="28">
        <v>1</v>
      </c>
    </row>
    <row r="93" spans="1:36" x14ac:dyDescent="0.25">
      <c r="A93" s="298" t="str">
        <f>IF('Kwaliteit conversie'!$D$4='Prijs karton'!C93,"X"," ")</f>
        <v xml:space="preserve"> </v>
      </c>
      <c r="B93" s="331" t="s">
        <v>36</v>
      </c>
      <c r="C93" s="359" t="s">
        <v>343</v>
      </c>
      <c r="D93" s="366">
        <v>0.66500000000000004</v>
      </c>
      <c r="E93" s="321">
        <v>5.7</v>
      </c>
      <c r="F93" s="925">
        <v>0</v>
      </c>
      <c r="G93" s="315">
        <v>63.4</v>
      </c>
      <c r="H93" s="315">
        <v>60.4</v>
      </c>
      <c r="I93" s="315">
        <v>59.9</v>
      </c>
      <c r="J93" s="315">
        <v>59.9</v>
      </c>
      <c r="K93" s="513">
        <v>59.4</v>
      </c>
      <c r="L93" s="926" t="s">
        <v>344</v>
      </c>
      <c r="M93" s="331" t="s">
        <v>277</v>
      </c>
      <c r="N93" s="366" t="s">
        <v>255</v>
      </c>
      <c r="O93" s="323" t="s">
        <v>244</v>
      </c>
      <c r="P93" s="386" t="s">
        <v>265</v>
      </c>
      <c r="Q93" s="323" t="s">
        <v>239</v>
      </c>
      <c r="R93" s="366" t="s">
        <v>239</v>
      </c>
      <c r="S93" s="378" t="s">
        <v>257</v>
      </c>
      <c r="T93" s="324" t="s">
        <v>245</v>
      </c>
      <c r="U93" s="386">
        <v>250</v>
      </c>
      <c r="V93" s="386">
        <v>2450</v>
      </c>
      <c r="W93" s="386">
        <v>500</v>
      </c>
      <c r="X93" s="386">
        <v>6200</v>
      </c>
      <c r="Y93" s="386">
        <v>180</v>
      </c>
      <c r="Z93" s="386">
        <v>90</v>
      </c>
      <c r="AA93" s="386">
        <v>200</v>
      </c>
      <c r="AB93" s="392">
        <v>8.1</v>
      </c>
      <c r="AC93" s="28">
        <v>0</v>
      </c>
      <c r="AD93" s="28">
        <v>1</v>
      </c>
      <c r="AE93" s="28">
        <v>1</v>
      </c>
      <c r="AF93" s="28">
        <v>1</v>
      </c>
      <c r="AG93" s="28">
        <v>1</v>
      </c>
      <c r="AH93" s="28">
        <v>1</v>
      </c>
      <c r="AI93" s="28">
        <v>1</v>
      </c>
      <c r="AJ93" s="28">
        <v>1</v>
      </c>
    </row>
    <row r="94" spans="1:36" x14ac:dyDescent="0.25">
      <c r="A94" s="298" t="str">
        <f>IF('Kwaliteit conversie'!$D$4='Prijs karton'!C94,"X"," ")</f>
        <v xml:space="preserve"> </v>
      </c>
      <c r="B94" s="331" t="s">
        <v>36</v>
      </c>
      <c r="C94" s="359" t="s">
        <v>345</v>
      </c>
      <c r="D94" s="366">
        <v>0.69899999999999995</v>
      </c>
      <c r="E94" s="321">
        <v>6.75</v>
      </c>
      <c r="F94" s="925">
        <v>0</v>
      </c>
      <c r="G94" s="315">
        <v>77.900000000000006</v>
      </c>
      <c r="H94" s="315">
        <v>74.900000000000006</v>
      </c>
      <c r="I94" s="315">
        <v>74.900000000000006</v>
      </c>
      <c r="J94" s="315">
        <v>72.900000000000006</v>
      </c>
      <c r="K94" s="513">
        <v>72.900000000000006</v>
      </c>
      <c r="L94" s="926" t="s">
        <v>346</v>
      </c>
      <c r="M94" s="331" t="s">
        <v>300</v>
      </c>
      <c r="N94" s="366" t="s">
        <v>238</v>
      </c>
      <c r="O94" s="323" t="s">
        <v>255</v>
      </c>
      <c r="P94" s="386" t="s">
        <v>238</v>
      </c>
      <c r="Q94" s="323" t="s">
        <v>239</v>
      </c>
      <c r="R94" s="366" t="s">
        <v>239</v>
      </c>
      <c r="S94" s="378" t="s">
        <v>301</v>
      </c>
      <c r="T94" s="324" t="s">
        <v>240</v>
      </c>
      <c r="U94" s="386">
        <v>240</v>
      </c>
      <c r="V94" s="386">
        <v>2450</v>
      </c>
      <c r="W94" s="386">
        <v>500</v>
      </c>
      <c r="X94" s="386">
        <v>6000</v>
      </c>
      <c r="Y94" s="386">
        <v>60</v>
      </c>
      <c r="Z94" s="386">
        <v>60</v>
      </c>
      <c r="AA94" s="386">
        <v>200</v>
      </c>
      <c r="AB94" s="392">
        <v>8.49</v>
      </c>
      <c r="AC94" s="28"/>
      <c r="AD94" s="28">
        <v>1</v>
      </c>
      <c r="AE94" s="28">
        <v>1</v>
      </c>
      <c r="AF94" s="28">
        <v>1</v>
      </c>
      <c r="AG94" s="28">
        <v>1</v>
      </c>
      <c r="AH94" s="28">
        <v>1</v>
      </c>
      <c r="AI94" s="28">
        <v>1</v>
      </c>
      <c r="AJ94" s="28">
        <v>1</v>
      </c>
    </row>
    <row r="95" spans="1:36" x14ac:dyDescent="0.25">
      <c r="A95" s="298" t="str">
        <f>IF('Kwaliteit conversie'!$D$4='Prijs karton'!C95,"X"," ")</f>
        <v xml:space="preserve"> </v>
      </c>
      <c r="B95" s="331" t="s">
        <v>36</v>
      </c>
      <c r="C95" s="359" t="s">
        <v>347</v>
      </c>
      <c r="D95" s="366">
        <v>0.68500000000000005</v>
      </c>
      <c r="E95" s="321">
        <v>5.7</v>
      </c>
      <c r="F95" s="925">
        <v>0</v>
      </c>
      <c r="G95" s="315">
        <v>66.7</v>
      </c>
      <c r="H95" s="315">
        <v>63.7</v>
      </c>
      <c r="I95" s="315">
        <v>63.2</v>
      </c>
      <c r="J95" s="315">
        <v>63.2</v>
      </c>
      <c r="K95" s="513">
        <v>62.7</v>
      </c>
      <c r="L95" s="926" t="s">
        <v>348</v>
      </c>
      <c r="M95" s="331" t="s">
        <v>297</v>
      </c>
      <c r="N95" s="366" t="s">
        <v>255</v>
      </c>
      <c r="O95" s="323" t="s">
        <v>244</v>
      </c>
      <c r="P95" s="386" t="s">
        <v>285</v>
      </c>
      <c r="Q95" s="323" t="s">
        <v>239</v>
      </c>
      <c r="R95" s="366" t="s">
        <v>239</v>
      </c>
      <c r="S95" s="378" t="s">
        <v>274</v>
      </c>
      <c r="T95" s="324" t="s">
        <v>245</v>
      </c>
      <c r="U95" s="386">
        <v>250</v>
      </c>
      <c r="V95" s="386">
        <v>2450</v>
      </c>
      <c r="W95" s="386">
        <v>500</v>
      </c>
      <c r="X95" s="386">
        <v>6200</v>
      </c>
      <c r="Y95" s="386">
        <v>180</v>
      </c>
      <c r="Z95" s="386">
        <v>90</v>
      </c>
      <c r="AA95" s="386">
        <v>200</v>
      </c>
      <c r="AB95" s="392">
        <v>9</v>
      </c>
      <c r="AC95" s="28">
        <v>0</v>
      </c>
      <c r="AD95" s="28">
        <v>1</v>
      </c>
      <c r="AE95" s="28">
        <v>1</v>
      </c>
      <c r="AF95" s="28">
        <v>1</v>
      </c>
      <c r="AG95" s="28">
        <v>1</v>
      </c>
      <c r="AH95" s="28">
        <v>1</v>
      </c>
      <c r="AI95" s="28">
        <v>1</v>
      </c>
      <c r="AJ95" s="28">
        <v>1</v>
      </c>
    </row>
    <row r="96" spans="1:36" x14ac:dyDescent="0.25">
      <c r="A96" s="298" t="str">
        <f>IF('Kwaliteit conversie'!$D$4='Prijs karton'!C96,"X"," ")</f>
        <v xml:space="preserve"> </v>
      </c>
      <c r="B96" s="331" t="s">
        <v>36</v>
      </c>
      <c r="C96" s="359"/>
      <c r="D96" s="366"/>
      <c r="E96" s="321"/>
      <c r="F96" s="925"/>
      <c r="G96" s="315"/>
      <c r="H96" s="315"/>
      <c r="I96" s="315"/>
      <c r="J96" s="315"/>
      <c r="K96" s="513"/>
      <c r="L96" s="926"/>
      <c r="M96" s="331"/>
      <c r="N96" s="366"/>
      <c r="O96" s="323"/>
      <c r="P96" s="386"/>
      <c r="Q96" s="323"/>
      <c r="R96" s="366"/>
      <c r="S96" s="378"/>
      <c r="T96" s="324"/>
      <c r="U96" s="386"/>
      <c r="V96" s="386"/>
      <c r="W96" s="386"/>
      <c r="X96" s="386"/>
      <c r="Y96" s="386"/>
      <c r="Z96" s="386"/>
      <c r="AA96" s="386"/>
      <c r="AB96" s="392"/>
      <c r="AC96" s="28"/>
      <c r="AD96" s="28"/>
      <c r="AE96" s="28"/>
      <c r="AF96" s="28"/>
      <c r="AG96" s="28"/>
      <c r="AH96" s="28"/>
      <c r="AI96" s="28"/>
      <c r="AJ96" s="28"/>
    </row>
    <row r="97" spans="1:36" x14ac:dyDescent="0.25">
      <c r="A97" s="298" t="str">
        <f>IF('Kwaliteit conversie'!$D$4='Prijs karton'!C97,"X"," ")</f>
        <v xml:space="preserve"> </v>
      </c>
      <c r="B97" s="331" t="s">
        <v>36</v>
      </c>
      <c r="C97" s="359" t="s">
        <v>349</v>
      </c>
      <c r="D97" s="366">
        <v>0.71</v>
      </c>
      <c r="E97" s="321">
        <v>5.7</v>
      </c>
      <c r="F97" s="925">
        <v>0</v>
      </c>
      <c r="G97" s="315">
        <v>73</v>
      </c>
      <c r="H97" s="315">
        <v>70</v>
      </c>
      <c r="I97" s="315">
        <v>69.5</v>
      </c>
      <c r="J97" s="315">
        <v>69.5</v>
      </c>
      <c r="K97" s="513">
        <v>69</v>
      </c>
      <c r="L97" s="926" t="s">
        <v>350</v>
      </c>
      <c r="M97" s="331" t="s">
        <v>294</v>
      </c>
      <c r="N97" s="366" t="s">
        <v>255</v>
      </c>
      <c r="O97" s="323" t="s">
        <v>244</v>
      </c>
      <c r="P97" s="386" t="s">
        <v>265</v>
      </c>
      <c r="Q97" s="323" t="s">
        <v>239</v>
      </c>
      <c r="R97" s="366" t="s">
        <v>239</v>
      </c>
      <c r="S97" s="378" t="s">
        <v>274</v>
      </c>
      <c r="T97" s="324" t="s">
        <v>245</v>
      </c>
      <c r="U97" s="386">
        <v>250</v>
      </c>
      <c r="V97" s="386">
        <v>2450</v>
      </c>
      <c r="W97" s="386">
        <v>500</v>
      </c>
      <c r="X97" s="386">
        <v>6200</v>
      </c>
      <c r="Y97" s="386">
        <v>180</v>
      </c>
      <c r="Z97" s="386">
        <v>90</v>
      </c>
      <c r="AA97" s="386">
        <v>200</v>
      </c>
      <c r="AB97" s="392">
        <v>9.1</v>
      </c>
      <c r="AC97" s="28">
        <v>0</v>
      </c>
      <c r="AD97" s="28">
        <v>1</v>
      </c>
      <c r="AE97" s="28">
        <v>1</v>
      </c>
      <c r="AF97" s="28">
        <v>1</v>
      </c>
      <c r="AG97" s="28">
        <v>1</v>
      </c>
      <c r="AH97" s="28">
        <v>1</v>
      </c>
      <c r="AI97" s="28">
        <v>1</v>
      </c>
      <c r="AJ97" s="28">
        <v>1</v>
      </c>
    </row>
    <row r="98" spans="1:36" x14ac:dyDescent="0.25">
      <c r="A98" s="298" t="str">
        <f>IF('Kwaliteit conversie'!$D$4='Prijs karton'!C98,"X"," ")</f>
        <v xml:space="preserve"> </v>
      </c>
      <c r="B98" s="331" t="s">
        <v>36</v>
      </c>
      <c r="C98" s="359" t="s">
        <v>602</v>
      </c>
      <c r="D98" s="366">
        <v>0.745</v>
      </c>
      <c r="E98" s="321">
        <v>5.7</v>
      </c>
      <c r="F98" s="925">
        <v>0</v>
      </c>
      <c r="G98" s="315">
        <v>75.599999999999994</v>
      </c>
      <c r="H98" s="315">
        <v>72.599999999999994</v>
      </c>
      <c r="I98" s="315">
        <v>72.099999999999994</v>
      </c>
      <c r="J98" s="315">
        <v>72.099999999999994</v>
      </c>
      <c r="K98" s="513">
        <v>71.599999999999994</v>
      </c>
      <c r="L98" s="926" t="s">
        <v>976</v>
      </c>
      <c r="M98" s="331" t="s">
        <v>297</v>
      </c>
      <c r="N98" s="366" t="s">
        <v>255</v>
      </c>
      <c r="O98" s="323" t="s">
        <v>244</v>
      </c>
      <c r="P98" s="386" t="s">
        <v>265</v>
      </c>
      <c r="Q98" s="323" t="s">
        <v>239</v>
      </c>
      <c r="R98" s="366" t="s">
        <v>239</v>
      </c>
      <c r="S98" s="378" t="s">
        <v>297</v>
      </c>
      <c r="T98" s="324" t="s">
        <v>245</v>
      </c>
      <c r="U98" s="386">
        <v>250</v>
      </c>
      <c r="V98" s="386">
        <v>2450</v>
      </c>
      <c r="W98" s="386">
        <v>500</v>
      </c>
      <c r="X98" s="386">
        <v>6200</v>
      </c>
      <c r="Y98" s="386">
        <v>180</v>
      </c>
      <c r="Z98" s="386">
        <v>90</v>
      </c>
      <c r="AA98" s="386">
        <v>200</v>
      </c>
      <c r="AB98" s="392">
        <v>9.6</v>
      </c>
      <c r="AC98" s="28">
        <v>0</v>
      </c>
      <c r="AD98" s="28">
        <v>1</v>
      </c>
      <c r="AE98" s="28">
        <v>1</v>
      </c>
      <c r="AF98" s="28">
        <v>1</v>
      </c>
      <c r="AG98" s="28">
        <v>1</v>
      </c>
      <c r="AH98" s="28">
        <v>1</v>
      </c>
      <c r="AI98" s="28">
        <v>1</v>
      </c>
      <c r="AJ98" s="28">
        <v>1</v>
      </c>
    </row>
    <row r="99" spans="1:36" x14ac:dyDescent="0.25">
      <c r="A99" s="298" t="str">
        <f>IF('Kwaliteit conversie'!$D$4='Prijs karton'!C99,"X"," ")</f>
        <v xml:space="preserve"> </v>
      </c>
      <c r="B99" s="331" t="s">
        <v>36</v>
      </c>
      <c r="C99" s="359" t="s">
        <v>351</v>
      </c>
      <c r="D99" s="366">
        <v>0.745</v>
      </c>
      <c r="E99" s="321">
        <v>5.8</v>
      </c>
      <c r="F99" s="925">
        <v>0</v>
      </c>
      <c r="G99" s="315">
        <v>75.900000000000006</v>
      </c>
      <c r="H99" s="315">
        <v>72.900000000000006</v>
      </c>
      <c r="I99" s="315">
        <v>72.400000000000006</v>
      </c>
      <c r="J99" s="315">
        <v>72.400000000000006</v>
      </c>
      <c r="K99" s="513">
        <v>71.900000000000006</v>
      </c>
      <c r="L99" s="926" t="s">
        <v>352</v>
      </c>
      <c r="M99" s="331" t="s">
        <v>294</v>
      </c>
      <c r="N99" s="366" t="s">
        <v>255</v>
      </c>
      <c r="O99" s="323" t="s">
        <v>244</v>
      </c>
      <c r="P99" s="386" t="s">
        <v>265</v>
      </c>
      <c r="Q99" s="323" t="s">
        <v>239</v>
      </c>
      <c r="R99" s="366" t="s">
        <v>239</v>
      </c>
      <c r="S99" s="378" t="s">
        <v>294</v>
      </c>
      <c r="T99" s="324" t="s">
        <v>245</v>
      </c>
      <c r="U99" s="386">
        <v>250</v>
      </c>
      <c r="V99" s="386">
        <v>2450</v>
      </c>
      <c r="W99" s="386">
        <v>500</v>
      </c>
      <c r="X99" s="386">
        <v>6200</v>
      </c>
      <c r="Y99" s="386">
        <v>180</v>
      </c>
      <c r="Z99" s="386">
        <v>90</v>
      </c>
      <c r="AA99" s="386">
        <v>200</v>
      </c>
      <c r="AB99" s="392">
        <v>9.3000000000000007</v>
      </c>
      <c r="AC99" s="28">
        <v>10</v>
      </c>
      <c r="AD99" s="28">
        <v>1</v>
      </c>
      <c r="AE99" s="28">
        <v>1</v>
      </c>
      <c r="AF99" s="28">
        <v>1</v>
      </c>
      <c r="AG99" s="28">
        <v>1</v>
      </c>
      <c r="AH99" s="28">
        <v>1</v>
      </c>
      <c r="AI99" s="28">
        <v>1</v>
      </c>
      <c r="AJ99" s="28">
        <v>1</v>
      </c>
    </row>
    <row r="100" spans="1:36" x14ac:dyDescent="0.25">
      <c r="A100" s="298" t="str">
        <f>IF('Kwaliteit conversie'!$D$4='Prijs karton'!C100,"X"," ")</f>
        <v xml:space="preserve"> </v>
      </c>
      <c r="B100" s="331" t="s">
        <v>36</v>
      </c>
      <c r="C100" s="359" t="s">
        <v>353</v>
      </c>
      <c r="D100" s="366">
        <v>0.78400000000000003</v>
      </c>
      <c r="E100" s="321">
        <v>6.86</v>
      </c>
      <c r="F100" s="925">
        <v>0</v>
      </c>
      <c r="G100" s="315">
        <v>91.9</v>
      </c>
      <c r="H100" s="315">
        <v>88.9</v>
      </c>
      <c r="I100" s="315">
        <v>88.9</v>
      </c>
      <c r="J100" s="315">
        <v>86.9</v>
      </c>
      <c r="K100" s="513">
        <v>86.9</v>
      </c>
      <c r="L100" s="926" t="s">
        <v>354</v>
      </c>
      <c r="M100" s="331" t="s">
        <v>300</v>
      </c>
      <c r="N100" s="366" t="s">
        <v>238</v>
      </c>
      <c r="O100" s="323" t="s">
        <v>301</v>
      </c>
      <c r="P100" s="386" t="s">
        <v>238</v>
      </c>
      <c r="Q100" s="323" t="s">
        <v>239</v>
      </c>
      <c r="R100" s="366" t="s">
        <v>239</v>
      </c>
      <c r="S100" s="378" t="s">
        <v>300</v>
      </c>
      <c r="T100" s="324" t="s">
        <v>240</v>
      </c>
      <c r="U100" s="386">
        <v>240</v>
      </c>
      <c r="V100" s="386">
        <v>2450</v>
      </c>
      <c r="W100" s="386">
        <v>500</v>
      </c>
      <c r="X100" s="386">
        <v>6000</v>
      </c>
      <c r="Y100" s="386">
        <v>60</v>
      </c>
      <c r="Z100" s="386">
        <v>60</v>
      </c>
      <c r="AA100" s="386">
        <v>200</v>
      </c>
      <c r="AB100" s="392">
        <v>9.7100000000000009</v>
      </c>
      <c r="AC100" s="28">
        <v>0</v>
      </c>
      <c r="AD100" s="28">
        <v>1</v>
      </c>
      <c r="AE100" s="28">
        <v>1</v>
      </c>
      <c r="AF100" s="28">
        <v>1</v>
      </c>
      <c r="AG100" s="28">
        <v>1</v>
      </c>
      <c r="AH100" s="28">
        <v>1</v>
      </c>
      <c r="AI100" s="28">
        <v>1</v>
      </c>
      <c r="AJ100" s="28">
        <v>1</v>
      </c>
    </row>
    <row r="101" spans="1:36" x14ac:dyDescent="0.25">
      <c r="A101" s="298" t="str">
        <f>IF('Kwaliteit conversie'!$D$4='Prijs karton'!C101,"X"," ")</f>
        <v xml:space="preserve"> </v>
      </c>
      <c r="B101" s="331" t="s">
        <v>36</v>
      </c>
      <c r="C101" s="359"/>
      <c r="D101" s="366"/>
      <c r="E101" s="321"/>
      <c r="F101" s="925"/>
      <c r="G101" s="315"/>
      <c r="H101" s="315"/>
      <c r="I101" s="315"/>
      <c r="J101" s="315"/>
      <c r="K101" s="513"/>
      <c r="L101" s="926"/>
      <c r="M101" s="331"/>
      <c r="N101" s="366"/>
      <c r="O101" s="323"/>
      <c r="P101" s="386"/>
      <c r="Q101" s="323"/>
      <c r="R101" s="366"/>
      <c r="S101" s="378"/>
      <c r="T101" s="324"/>
      <c r="U101" s="386"/>
      <c r="V101" s="386"/>
      <c r="W101" s="386"/>
      <c r="X101" s="386"/>
      <c r="Y101" s="386"/>
      <c r="Z101" s="386"/>
      <c r="AA101" s="386"/>
      <c r="AB101" s="392"/>
      <c r="AC101" s="28"/>
      <c r="AD101" s="28"/>
      <c r="AE101" s="28"/>
      <c r="AF101" s="28"/>
      <c r="AG101" s="28"/>
      <c r="AH101" s="28"/>
      <c r="AI101" s="28"/>
      <c r="AJ101" s="28"/>
    </row>
    <row r="102" spans="1:36" x14ac:dyDescent="0.25">
      <c r="A102" s="298" t="str">
        <f>IF('Kwaliteit conversie'!$D$4='Prijs karton'!C102,"X"," ")</f>
        <v xml:space="preserve"> </v>
      </c>
      <c r="B102" s="331" t="s">
        <v>36</v>
      </c>
      <c r="C102" s="359" t="s">
        <v>355</v>
      </c>
      <c r="D102" s="366">
        <v>0.85</v>
      </c>
      <c r="E102" s="321">
        <v>5.9</v>
      </c>
      <c r="F102" s="925">
        <v>0</v>
      </c>
      <c r="G102" s="315">
        <v>78.3</v>
      </c>
      <c r="H102" s="315">
        <v>75.3</v>
      </c>
      <c r="I102" s="315">
        <v>74.8</v>
      </c>
      <c r="J102" s="315">
        <v>74.8</v>
      </c>
      <c r="K102" s="513">
        <v>74.3</v>
      </c>
      <c r="L102" s="926" t="s">
        <v>356</v>
      </c>
      <c r="M102" s="331" t="s">
        <v>294</v>
      </c>
      <c r="N102" s="366" t="s">
        <v>265</v>
      </c>
      <c r="O102" s="323" t="s">
        <v>249</v>
      </c>
      <c r="P102" s="386" t="s">
        <v>357</v>
      </c>
      <c r="Q102" s="323" t="s">
        <v>239</v>
      </c>
      <c r="R102" s="366" t="s">
        <v>239</v>
      </c>
      <c r="S102" s="378" t="s">
        <v>294</v>
      </c>
      <c r="T102" s="324" t="s">
        <v>245</v>
      </c>
      <c r="U102" s="386">
        <v>250</v>
      </c>
      <c r="V102" s="386">
        <v>2450</v>
      </c>
      <c r="W102" s="386">
        <v>500</v>
      </c>
      <c r="X102" s="386">
        <v>6200</v>
      </c>
      <c r="Y102" s="386">
        <v>180</v>
      </c>
      <c r="Z102" s="386">
        <v>90</v>
      </c>
      <c r="AA102" s="386">
        <v>200</v>
      </c>
      <c r="AB102" s="392">
        <v>10.9</v>
      </c>
      <c r="AC102" s="28">
        <v>10</v>
      </c>
      <c r="AD102" s="28">
        <v>1</v>
      </c>
      <c r="AE102" s="28">
        <v>1</v>
      </c>
      <c r="AF102" s="28">
        <v>1</v>
      </c>
      <c r="AG102" s="28">
        <v>1</v>
      </c>
      <c r="AH102" s="28">
        <v>1</v>
      </c>
      <c r="AI102" s="28">
        <v>1</v>
      </c>
      <c r="AJ102" s="28">
        <v>1</v>
      </c>
    </row>
    <row r="103" spans="1:36" x14ac:dyDescent="0.25">
      <c r="A103" s="298" t="str">
        <f>IF('Kwaliteit conversie'!$D$4='Prijs karton'!C103,"X"," ")</f>
        <v xml:space="preserve"> </v>
      </c>
      <c r="B103" s="331" t="s">
        <v>36</v>
      </c>
      <c r="C103" s="359" t="s">
        <v>358</v>
      </c>
      <c r="D103" s="366">
        <v>1.06</v>
      </c>
      <c r="E103" s="321">
        <v>6.7</v>
      </c>
      <c r="F103" s="925">
        <v>0</v>
      </c>
      <c r="G103" s="315">
        <v>114.6</v>
      </c>
      <c r="H103" s="315">
        <v>111.6</v>
      </c>
      <c r="I103" s="315">
        <v>111.1</v>
      </c>
      <c r="J103" s="315">
        <v>111.1</v>
      </c>
      <c r="K103" s="513">
        <v>110.6</v>
      </c>
      <c r="L103" s="926" t="s">
        <v>359</v>
      </c>
      <c r="M103" s="331" t="s">
        <v>360</v>
      </c>
      <c r="N103" s="366" t="s">
        <v>265</v>
      </c>
      <c r="O103" s="323" t="s">
        <v>285</v>
      </c>
      <c r="P103" s="386" t="s">
        <v>357</v>
      </c>
      <c r="Q103" s="323" t="s">
        <v>239</v>
      </c>
      <c r="R103" s="366" t="s">
        <v>239</v>
      </c>
      <c r="S103" s="378" t="s">
        <v>360</v>
      </c>
      <c r="T103" s="324" t="s">
        <v>245</v>
      </c>
      <c r="U103" s="386">
        <v>250</v>
      </c>
      <c r="V103" s="386">
        <v>2450</v>
      </c>
      <c r="W103" s="386">
        <v>500</v>
      </c>
      <c r="X103" s="386">
        <v>6200</v>
      </c>
      <c r="Y103" s="386">
        <v>170</v>
      </c>
      <c r="Z103" s="386">
        <v>90</v>
      </c>
      <c r="AA103" s="386">
        <v>200</v>
      </c>
      <c r="AB103" s="392">
        <v>14.2</v>
      </c>
      <c r="AC103" s="28">
        <v>0</v>
      </c>
      <c r="AD103" s="28">
        <v>0</v>
      </c>
      <c r="AE103" s="28">
        <v>1</v>
      </c>
      <c r="AF103" s="28">
        <v>0</v>
      </c>
      <c r="AG103" s="28">
        <v>0</v>
      </c>
      <c r="AH103" s="28">
        <v>1</v>
      </c>
      <c r="AI103" s="28">
        <v>1</v>
      </c>
      <c r="AJ103" s="28">
        <v>1</v>
      </c>
    </row>
    <row r="104" spans="1:36" x14ac:dyDescent="0.25">
      <c r="A104" s="298" t="str">
        <f>IF('Kwaliteit conversie'!$D$4='Prijs karton'!C104,"X"," ")</f>
        <v xml:space="preserve"> </v>
      </c>
      <c r="B104" s="331" t="s">
        <v>36</v>
      </c>
      <c r="C104" s="359" t="s">
        <v>361</v>
      </c>
      <c r="D104" s="366">
        <v>1.0900000000000001</v>
      </c>
      <c r="E104" s="321">
        <v>6.7</v>
      </c>
      <c r="F104" s="925">
        <v>0</v>
      </c>
      <c r="G104" s="315">
        <v>117</v>
      </c>
      <c r="H104" s="315">
        <v>114</v>
      </c>
      <c r="I104" s="315">
        <v>113.5</v>
      </c>
      <c r="J104" s="315">
        <v>113.5</v>
      </c>
      <c r="K104" s="513">
        <v>113</v>
      </c>
      <c r="L104" s="926" t="s">
        <v>362</v>
      </c>
      <c r="M104" s="331" t="s">
        <v>360</v>
      </c>
      <c r="N104" s="366" t="s">
        <v>357</v>
      </c>
      <c r="O104" s="323" t="s">
        <v>274</v>
      </c>
      <c r="P104" s="386" t="s">
        <v>357</v>
      </c>
      <c r="Q104" s="323" t="s">
        <v>239</v>
      </c>
      <c r="R104" s="366" t="s">
        <v>239</v>
      </c>
      <c r="S104" s="378" t="s">
        <v>360</v>
      </c>
      <c r="T104" s="324" t="s">
        <v>245</v>
      </c>
      <c r="U104" s="386">
        <v>250</v>
      </c>
      <c r="V104" s="386">
        <v>2450</v>
      </c>
      <c r="W104" s="386">
        <v>500</v>
      </c>
      <c r="X104" s="386">
        <v>6200</v>
      </c>
      <c r="Y104" s="386">
        <v>180</v>
      </c>
      <c r="Z104" s="386">
        <v>90</v>
      </c>
      <c r="AA104" s="386">
        <v>200</v>
      </c>
      <c r="AB104" s="392">
        <v>15.2</v>
      </c>
      <c r="AC104" s="28">
        <v>10</v>
      </c>
      <c r="AD104" s="28">
        <v>0</v>
      </c>
      <c r="AE104" s="28">
        <v>1</v>
      </c>
      <c r="AF104" s="28">
        <v>0</v>
      </c>
      <c r="AG104" s="28">
        <v>0</v>
      </c>
      <c r="AH104" s="28">
        <v>1</v>
      </c>
      <c r="AI104" s="28">
        <v>1</v>
      </c>
      <c r="AJ104" s="28">
        <v>1</v>
      </c>
    </row>
    <row r="105" spans="1:36" x14ac:dyDescent="0.25">
      <c r="A105" s="298" t="str">
        <f>IF('Kwaliteit conversie'!$D$4='Prijs karton'!C105,"X"," ")</f>
        <v xml:space="preserve"> </v>
      </c>
      <c r="B105" s="331" t="s">
        <v>36</v>
      </c>
      <c r="C105" s="359" t="s">
        <v>363</v>
      </c>
      <c r="D105" s="366">
        <v>1.028</v>
      </c>
      <c r="E105" s="321">
        <v>7.15</v>
      </c>
      <c r="F105" s="925">
        <v>0</v>
      </c>
      <c r="G105" s="315">
        <v>125</v>
      </c>
      <c r="H105" s="315">
        <v>122</v>
      </c>
      <c r="I105" s="315">
        <v>122</v>
      </c>
      <c r="J105" s="315">
        <v>120</v>
      </c>
      <c r="K105" s="513">
        <v>120</v>
      </c>
      <c r="L105" s="926" t="s">
        <v>364</v>
      </c>
      <c r="M105" s="331" t="s">
        <v>365</v>
      </c>
      <c r="N105" s="366" t="s">
        <v>260</v>
      </c>
      <c r="O105" s="323" t="s">
        <v>260</v>
      </c>
      <c r="P105" s="386" t="s">
        <v>260</v>
      </c>
      <c r="Q105" s="323" t="s">
        <v>239</v>
      </c>
      <c r="R105" s="366" t="s">
        <v>239</v>
      </c>
      <c r="S105" s="378" t="s">
        <v>365</v>
      </c>
      <c r="T105" s="324" t="s">
        <v>240</v>
      </c>
      <c r="U105" s="386">
        <v>240</v>
      </c>
      <c r="V105" s="386">
        <v>2450</v>
      </c>
      <c r="W105" s="386">
        <v>500</v>
      </c>
      <c r="X105" s="386">
        <v>6000</v>
      </c>
      <c r="Y105" s="386">
        <v>60</v>
      </c>
      <c r="Z105" s="386">
        <v>60</v>
      </c>
      <c r="AA105" s="386">
        <v>200</v>
      </c>
      <c r="AB105" s="392">
        <v>13.2</v>
      </c>
      <c r="AC105" s="28">
        <v>0</v>
      </c>
      <c r="AD105" s="28">
        <v>0</v>
      </c>
      <c r="AE105" s="28">
        <v>1</v>
      </c>
      <c r="AF105" s="28">
        <v>0</v>
      </c>
      <c r="AG105" s="28">
        <v>0</v>
      </c>
      <c r="AH105" s="28">
        <v>1</v>
      </c>
      <c r="AI105" s="28">
        <v>1</v>
      </c>
      <c r="AJ105" s="28">
        <v>1</v>
      </c>
    </row>
    <row r="106" spans="1:36" x14ac:dyDescent="0.25">
      <c r="A106" s="298" t="str">
        <f>IF('Kwaliteit conversie'!$D$4='Prijs karton'!C106,"X"," ")</f>
        <v xml:space="preserve"> </v>
      </c>
      <c r="B106" s="331" t="s">
        <v>36</v>
      </c>
      <c r="C106" s="359" t="s">
        <v>366</v>
      </c>
      <c r="D106" s="366">
        <v>1.25</v>
      </c>
      <c r="E106" s="321">
        <v>6.8</v>
      </c>
      <c r="F106" s="925">
        <v>0</v>
      </c>
      <c r="G106" s="315">
        <v>131</v>
      </c>
      <c r="H106" s="315">
        <v>128</v>
      </c>
      <c r="I106" s="315">
        <v>127.5</v>
      </c>
      <c r="J106" s="315">
        <v>127.5</v>
      </c>
      <c r="K106" s="513">
        <v>127</v>
      </c>
      <c r="L106" s="926" t="s">
        <v>367</v>
      </c>
      <c r="M106" s="331" t="s">
        <v>360</v>
      </c>
      <c r="N106" s="366" t="s">
        <v>357</v>
      </c>
      <c r="O106" s="323" t="s">
        <v>360</v>
      </c>
      <c r="P106" s="386" t="s">
        <v>357</v>
      </c>
      <c r="Q106" s="323" t="s">
        <v>239</v>
      </c>
      <c r="R106" s="366" t="s">
        <v>239</v>
      </c>
      <c r="S106" s="378" t="s">
        <v>360</v>
      </c>
      <c r="T106" s="324" t="s">
        <v>245</v>
      </c>
      <c r="U106" s="386">
        <v>250</v>
      </c>
      <c r="V106" s="386">
        <v>2450</v>
      </c>
      <c r="W106" s="386">
        <v>800</v>
      </c>
      <c r="X106" s="386">
        <v>6200</v>
      </c>
      <c r="Y106" s="386">
        <v>180</v>
      </c>
      <c r="Z106" s="386">
        <v>90</v>
      </c>
      <c r="AA106" s="386">
        <v>300</v>
      </c>
      <c r="AB106" s="392">
        <v>17.100000000000001</v>
      </c>
      <c r="AC106" s="28">
        <v>0</v>
      </c>
      <c r="AD106" s="28">
        <v>0</v>
      </c>
      <c r="AE106" s="28">
        <v>1</v>
      </c>
      <c r="AF106" s="28">
        <v>0</v>
      </c>
      <c r="AG106" s="28">
        <v>0</v>
      </c>
      <c r="AH106" s="28">
        <v>1</v>
      </c>
      <c r="AI106" s="28">
        <v>1</v>
      </c>
      <c r="AJ106" s="28">
        <v>1</v>
      </c>
    </row>
    <row r="107" spans="1:36" x14ac:dyDescent="0.25">
      <c r="A107" s="298" t="str">
        <f>IF('Kwaliteit conversie'!$D$4='Prijs karton'!C107,"X"," ")</f>
        <v xml:space="preserve"> </v>
      </c>
      <c r="B107" s="331" t="s">
        <v>36</v>
      </c>
      <c r="C107" s="359"/>
      <c r="D107" s="366"/>
      <c r="E107" s="321"/>
      <c r="F107" s="925"/>
      <c r="G107" s="315"/>
      <c r="H107" s="315"/>
      <c r="I107" s="315"/>
      <c r="J107" s="315"/>
      <c r="K107" s="513"/>
      <c r="L107" s="926"/>
      <c r="M107" s="331"/>
      <c r="N107" s="366"/>
      <c r="O107" s="323"/>
      <c r="P107" s="386"/>
      <c r="Q107" s="323"/>
      <c r="R107" s="366"/>
      <c r="S107" s="378"/>
      <c r="T107" s="324"/>
      <c r="U107" s="386"/>
      <c r="V107" s="386"/>
      <c r="W107" s="386"/>
      <c r="X107" s="386"/>
      <c r="Y107" s="386"/>
      <c r="Z107" s="386"/>
      <c r="AA107" s="386"/>
      <c r="AB107" s="392"/>
      <c r="AC107" s="28"/>
      <c r="AD107" s="28"/>
      <c r="AE107" s="28"/>
      <c r="AF107" s="28"/>
      <c r="AG107" s="28"/>
      <c r="AH107" s="28"/>
      <c r="AI107" s="28"/>
      <c r="AJ107" s="28"/>
    </row>
    <row r="108" spans="1:36" x14ac:dyDescent="0.25">
      <c r="A108" s="298" t="str">
        <f>IF('Kwaliteit conversie'!$D$4='Prijs karton'!C108,"X"," ")</f>
        <v xml:space="preserve"> </v>
      </c>
      <c r="B108" s="331" t="s">
        <v>36</v>
      </c>
      <c r="C108" s="359" t="s">
        <v>1375</v>
      </c>
      <c r="D108" s="366">
        <v>0.89700000000000002</v>
      </c>
      <c r="E108" s="321">
        <v>6.55</v>
      </c>
      <c r="F108" s="925">
        <v>0</v>
      </c>
      <c r="G108" s="315">
        <v>88.9</v>
      </c>
      <c r="H108" s="315">
        <v>87.4</v>
      </c>
      <c r="I108" s="315">
        <v>87.1</v>
      </c>
      <c r="J108" s="315">
        <v>86.8</v>
      </c>
      <c r="K108" s="513">
        <v>86.8</v>
      </c>
      <c r="L108" s="926" t="s">
        <v>1376</v>
      </c>
      <c r="M108" s="331" t="s">
        <v>1372</v>
      </c>
      <c r="N108" s="366" t="s">
        <v>265</v>
      </c>
      <c r="O108" s="323" t="s">
        <v>1367</v>
      </c>
      <c r="P108" s="386" t="s">
        <v>265</v>
      </c>
      <c r="Q108" s="323" t="s">
        <v>239</v>
      </c>
      <c r="R108" s="366" t="s">
        <v>239</v>
      </c>
      <c r="S108" s="378" t="s">
        <v>1372</v>
      </c>
      <c r="T108" s="324" t="s">
        <v>1364</v>
      </c>
      <c r="U108" s="386">
        <v>250</v>
      </c>
      <c r="V108" s="386">
        <v>2450</v>
      </c>
      <c r="W108" s="386">
        <v>600</v>
      </c>
      <c r="X108" s="386">
        <v>6000</v>
      </c>
      <c r="Y108" s="386">
        <v>130</v>
      </c>
      <c r="Z108" s="386">
        <v>65</v>
      </c>
      <c r="AA108" s="386">
        <v>200</v>
      </c>
      <c r="AB108" s="392">
        <v>11.12</v>
      </c>
      <c r="AC108" s="28">
        <v>0</v>
      </c>
      <c r="AD108" s="28">
        <v>1</v>
      </c>
      <c r="AE108" s="28">
        <v>1</v>
      </c>
      <c r="AF108" s="28">
        <v>1</v>
      </c>
      <c r="AG108" s="28">
        <v>1</v>
      </c>
      <c r="AH108" s="28">
        <v>1</v>
      </c>
      <c r="AI108" s="28">
        <v>1</v>
      </c>
      <c r="AJ108" s="28">
        <v>1</v>
      </c>
    </row>
    <row r="109" spans="1:36" x14ac:dyDescent="0.25">
      <c r="A109" s="298" t="str">
        <f>IF('Kwaliteit conversie'!$D$4='Prijs karton'!C109,"X"," ")</f>
        <v xml:space="preserve"> </v>
      </c>
      <c r="B109" s="331" t="s">
        <v>36</v>
      </c>
      <c r="C109" s="359" t="s">
        <v>1377</v>
      </c>
      <c r="D109" s="366">
        <v>1.03</v>
      </c>
      <c r="E109" s="321">
        <v>6.7</v>
      </c>
      <c r="F109" s="925">
        <v>0</v>
      </c>
      <c r="G109" s="315">
        <v>0</v>
      </c>
      <c r="H109" s="315">
        <v>119.7</v>
      </c>
      <c r="I109" s="315">
        <v>118.4</v>
      </c>
      <c r="J109" s="315">
        <v>118.4</v>
      </c>
      <c r="K109" s="513">
        <v>116.8</v>
      </c>
      <c r="L109" s="926" t="s">
        <v>1378</v>
      </c>
      <c r="M109" s="331" t="s">
        <v>360</v>
      </c>
      <c r="N109" s="366" t="s">
        <v>1379</v>
      </c>
      <c r="O109" s="323" t="s">
        <v>1367</v>
      </c>
      <c r="P109" s="386" t="s">
        <v>1379</v>
      </c>
      <c r="Q109" s="323" t="s">
        <v>239</v>
      </c>
      <c r="R109" s="366" t="s">
        <v>239</v>
      </c>
      <c r="S109" s="378" t="s">
        <v>360</v>
      </c>
      <c r="T109" s="324" t="s">
        <v>1364</v>
      </c>
      <c r="U109" s="386">
        <v>250</v>
      </c>
      <c r="V109" s="386">
        <v>2450</v>
      </c>
      <c r="W109" s="386">
        <v>600</v>
      </c>
      <c r="X109" s="386">
        <v>6000</v>
      </c>
      <c r="Y109" s="386">
        <v>130</v>
      </c>
      <c r="Z109" s="386">
        <v>65</v>
      </c>
      <c r="AA109" s="386">
        <v>500</v>
      </c>
      <c r="AB109" s="392">
        <v>13.5</v>
      </c>
      <c r="AC109" s="28">
        <v>0</v>
      </c>
      <c r="AD109" s="28">
        <v>0</v>
      </c>
      <c r="AE109" s="28">
        <v>1</v>
      </c>
      <c r="AF109" s="28">
        <v>0</v>
      </c>
      <c r="AG109" s="28">
        <v>0</v>
      </c>
      <c r="AH109" s="28">
        <v>1</v>
      </c>
      <c r="AI109" s="28">
        <v>1</v>
      </c>
      <c r="AJ109" s="28">
        <v>1</v>
      </c>
    </row>
    <row r="110" spans="1:36" x14ac:dyDescent="0.25">
      <c r="A110" s="298" t="str">
        <f>IF('Kwaliteit conversie'!$D$4='Prijs karton'!C110,"X"," ")</f>
        <v xml:space="preserve"> </v>
      </c>
      <c r="B110" s="331" t="s">
        <v>36</v>
      </c>
      <c r="C110" s="359" t="s">
        <v>1380</v>
      </c>
      <c r="D110" s="366">
        <v>0.626</v>
      </c>
      <c r="E110" s="321">
        <v>6.22</v>
      </c>
      <c r="F110" s="925">
        <v>0</v>
      </c>
      <c r="G110" s="315">
        <v>63.7</v>
      </c>
      <c r="H110" s="315">
        <v>62.4</v>
      </c>
      <c r="I110" s="315">
        <v>62.1</v>
      </c>
      <c r="J110" s="315">
        <v>61.8</v>
      </c>
      <c r="K110" s="513">
        <v>61.8</v>
      </c>
      <c r="L110" s="926" t="s">
        <v>1381</v>
      </c>
      <c r="M110" s="331" t="s">
        <v>289</v>
      </c>
      <c r="N110" s="366" t="s">
        <v>238</v>
      </c>
      <c r="O110" s="323" t="s">
        <v>244</v>
      </c>
      <c r="P110" s="386" t="s">
        <v>238</v>
      </c>
      <c r="Q110" s="323" t="s">
        <v>239</v>
      </c>
      <c r="R110" s="366" t="s">
        <v>239</v>
      </c>
      <c r="S110" s="378" t="s">
        <v>1363</v>
      </c>
      <c r="T110" s="324" t="s">
        <v>1364</v>
      </c>
      <c r="U110" s="386">
        <v>250</v>
      </c>
      <c r="V110" s="386">
        <v>2450</v>
      </c>
      <c r="W110" s="386">
        <v>600</v>
      </c>
      <c r="X110" s="386">
        <v>6000</v>
      </c>
      <c r="Y110" s="386">
        <v>130</v>
      </c>
      <c r="Z110" s="386">
        <v>65</v>
      </c>
      <c r="AA110" s="386">
        <v>200</v>
      </c>
      <c r="AB110" s="392">
        <v>7.76</v>
      </c>
      <c r="AC110" s="28">
        <v>0</v>
      </c>
      <c r="AD110" s="28">
        <v>1</v>
      </c>
      <c r="AE110" s="28">
        <v>1</v>
      </c>
      <c r="AF110" s="28">
        <v>1</v>
      </c>
      <c r="AG110" s="28">
        <v>1</v>
      </c>
      <c r="AH110" s="28">
        <v>1</v>
      </c>
      <c r="AI110" s="28">
        <v>1</v>
      </c>
      <c r="AJ110" s="28">
        <v>1</v>
      </c>
    </row>
    <row r="111" spans="1:36" x14ac:dyDescent="0.25">
      <c r="A111" s="298" t="str">
        <f>IF('Kwaliteit conversie'!$D$4='Prijs karton'!C111,"X"," ")</f>
        <v xml:space="preserve"> </v>
      </c>
      <c r="B111" s="331" t="s">
        <v>36</v>
      </c>
      <c r="C111" s="359" t="s">
        <v>1382</v>
      </c>
      <c r="D111" s="366">
        <v>0.61499999999999999</v>
      </c>
      <c r="E111" s="321">
        <v>6.24</v>
      </c>
      <c r="F111" s="925">
        <v>0</v>
      </c>
      <c r="G111" s="315">
        <v>57.4</v>
      </c>
      <c r="H111" s="315">
        <v>56</v>
      </c>
      <c r="I111" s="315">
        <v>55.7</v>
      </c>
      <c r="J111" s="315">
        <v>55.5</v>
      </c>
      <c r="K111" s="513">
        <v>55.5</v>
      </c>
      <c r="L111" s="926" t="s">
        <v>1383</v>
      </c>
      <c r="M111" s="331" t="s">
        <v>1362</v>
      </c>
      <c r="N111" s="366" t="s">
        <v>238</v>
      </c>
      <c r="O111" s="323" t="s">
        <v>244</v>
      </c>
      <c r="P111" s="386" t="s">
        <v>238</v>
      </c>
      <c r="Q111" s="323" t="s">
        <v>239</v>
      </c>
      <c r="R111" s="366" t="s">
        <v>239</v>
      </c>
      <c r="S111" s="378" t="s">
        <v>1363</v>
      </c>
      <c r="T111" s="324" t="s">
        <v>1364</v>
      </c>
      <c r="U111" s="386">
        <v>250</v>
      </c>
      <c r="V111" s="386">
        <v>2450</v>
      </c>
      <c r="W111" s="386">
        <v>600</v>
      </c>
      <c r="X111" s="386">
        <v>6000</v>
      </c>
      <c r="Y111" s="386">
        <v>130</v>
      </c>
      <c r="Z111" s="386">
        <v>65</v>
      </c>
      <c r="AA111" s="386">
        <v>200</v>
      </c>
      <c r="AB111" s="392">
        <v>7.59</v>
      </c>
      <c r="AC111" s="28">
        <v>0</v>
      </c>
      <c r="AD111" s="28">
        <v>1</v>
      </c>
      <c r="AE111" s="28">
        <v>1</v>
      </c>
      <c r="AF111" s="28">
        <v>1</v>
      </c>
      <c r="AG111" s="28">
        <v>1</v>
      </c>
      <c r="AH111" s="28">
        <v>1</v>
      </c>
      <c r="AI111" s="28">
        <v>1</v>
      </c>
      <c r="AJ111" s="28">
        <v>1</v>
      </c>
    </row>
    <row r="112" spans="1:36" x14ac:dyDescent="0.25">
      <c r="A112" s="298" t="str">
        <f>IF('Kwaliteit conversie'!$D$4='Prijs karton'!C112,"X"," ")</f>
        <v xml:space="preserve"> </v>
      </c>
      <c r="B112" s="331" t="s">
        <v>36</v>
      </c>
      <c r="C112" s="359" t="s">
        <v>1384</v>
      </c>
      <c r="D112" s="366">
        <v>0.65500000000000003</v>
      </c>
      <c r="E112" s="321">
        <v>6.3</v>
      </c>
      <c r="F112" s="925">
        <v>0</v>
      </c>
      <c r="G112" s="315">
        <v>60.7</v>
      </c>
      <c r="H112" s="315">
        <v>59.3</v>
      </c>
      <c r="I112" s="315">
        <v>59.1</v>
      </c>
      <c r="J112" s="315">
        <v>58.8</v>
      </c>
      <c r="K112" s="513">
        <v>58.8</v>
      </c>
      <c r="L112" s="926" t="s">
        <v>1385</v>
      </c>
      <c r="M112" s="331" t="s">
        <v>277</v>
      </c>
      <c r="N112" s="366" t="s">
        <v>238</v>
      </c>
      <c r="O112" s="323" t="s">
        <v>244</v>
      </c>
      <c r="P112" s="386" t="s">
        <v>238</v>
      </c>
      <c r="Q112" s="323" t="s">
        <v>239</v>
      </c>
      <c r="R112" s="366" t="s">
        <v>239</v>
      </c>
      <c r="S112" s="378" t="s">
        <v>1367</v>
      </c>
      <c r="T112" s="324" t="s">
        <v>1364</v>
      </c>
      <c r="U112" s="386">
        <v>250</v>
      </c>
      <c r="V112" s="386">
        <v>2450</v>
      </c>
      <c r="W112" s="386">
        <v>600</v>
      </c>
      <c r="X112" s="386">
        <v>6000</v>
      </c>
      <c r="Y112" s="386">
        <v>130</v>
      </c>
      <c r="Z112" s="386">
        <v>65</v>
      </c>
      <c r="AA112" s="386">
        <v>200</v>
      </c>
      <c r="AB112" s="392">
        <v>8.1</v>
      </c>
      <c r="AC112" s="28">
        <v>0</v>
      </c>
      <c r="AD112" s="28">
        <v>1</v>
      </c>
      <c r="AE112" s="28">
        <v>1</v>
      </c>
      <c r="AF112" s="28">
        <v>1</v>
      </c>
      <c r="AG112" s="28">
        <v>1</v>
      </c>
      <c r="AH112" s="28">
        <v>1</v>
      </c>
      <c r="AI112" s="28">
        <v>1</v>
      </c>
      <c r="AJ112" s="28">
        <v>1</v>
      </c>
    </row>
    <row r="113" spans="1:36" x14ac:dyDescent="0.25">
      <c r="A113" s="298" t="str">
        <f>IF('Kwaliteit conversie'!$D$4='Prijs karton'!C113,"X"," ")</f>
        <v xml:space="preserve"> </v>
      </c>
      <c r="B113" s="331" t="s">
        <v>36</v>
      </c>
      <c r="C113" s="359" t="s">
        <v>1386</v>
      </c>
      <c r="D113" s="366">
        <v>0.80100000000000005</v>
      </c>
      <c r="E113" s="321">
        <v>6.41</v>
      </c>
      <c r="F113" s="925">
        <v>0</v>
      </c>
      <c r="G113" s="315">
        <v>73.400000000000006</v>
      </c>
      <c r="H113" s="315">
        <v>71.900000000000006</v>
      </c>
      <c r="I113" s="315">
        <v>71.599999999999994</v>
      </c>
      <c r="J113" s="315">
        <v>71.400000000000006</v>
      </c>
      <c r="K113" s="513">
        <v>71.400000000000006</v>
      </c>
      <c r="L113" s="926" t="s">
        <v>1387</v>
      </c>
      <c r="M113" s="331" t="s">
        <v>1372</v>
      </c>
      <c r="N113" s="366" t="s">
        <v>265</v>
      </c>
      <c r="O113" s="323" t="s">
        <v>244</v>
      </c>
      <c r="P113" s="386" t="s">
        <v>265</v>
      </c>
      <c r="Q113" s="323" t="s">
        <v>239</v>
      </c>
      <c r="R113" s="366" t="s">
        <v>239</v>
      </c>
      <c r="S113" s="378" t="s">
        <v>1367</v>
      </c>
      <c r="T113" s="324" t="s">
        <v>1364</v>
      </c>
      <c r="U113" s="386">
        <v>250</v>
      </c>
      <c r="V113" s="386">
        <v>2450</v>
      </c>
      <c r="W113" s="386">
        <v>600</v>
      </c>
      <c r="X113" s="386">
        <v>6000</v>
      </c>
      <c r="Y113" s="386">
        <v>130</v>
      </c>
      <c r="Z113" s="386">
        <v>65</v>
      </c>
      <c r="AA113" s="386">
        <v>200</v>
      </c>
      <c r="AB113" s="392">
        <v>9.7799999999999994</v>
      </c>
      <c r="AC113" s="28">
        <v>0</v>
      </c>
      <c r="AD113" s="28">
        <v>1</v>
      </c>
      <c r="AE113" s="28">
        <v>1</v>
      </c>
      <c r="AF113" s="28">
        <v>1</v>
      </c>
      <c r="AG113" s="28">
        <v>1</v>
      </c>
      <c r="AH113" s="28">
        <v>1</v>
      </c>
      <c r="AI113" s="28">
        <v>1</v>
      </c>
      <c r="AJ113" s="28">
        <v>1</v>
      </c>
    </row>
    <row r="114" spans="1:36" x14ac:dyDescent="0.25">
      <c r="A114" s="298" t="str">
        <f>IF('Kwaliteit conversie'!$D$4='Prijs karton'!C114,"X"," ")</f>
        <v xml:space="preserve"> </v>
      </c>
      <c r="B114" s="331" t="s">
        <v>36</v>
      </c>
      <c r="C114" s="359" t="s">
        <v>1388</v>
      </c>
      <c r="D114" s="366">
        <v>0.6</v>
      </c>
      <c r="E114" s="321">
        <v>6.2</v>
      </c>
      <c r="F114" s="925">
        <v>0</v>
      </c>
      <c r="G114" s="315">
        <v>52.9</v>
      </c>
      <c r="H114" s="315">
        <v>51.6</v>
      </c>
      <c r="I114" s="315">
        <v>51.3</v>
      </c>
      <c r="J114" s="315">
        <v>51.1</v>
      </c>
      <c r="K114" s="513">
        <v>51.1</v>
      </c>
      <c r="L114" s="926" t="s">
        <v>1389</v>
      </c>
      <c r="M114" s="331" t="s">
        <v>1363</v>
      </c>
      <c r="N114" s="366" t="s">
        <v>238</v>
      </c>
      <c r="O114" s="323" t="s">
        <v>244</v>
      </c>
      <c r="P114" s="386" t="s">
        <v>238</v>
      </c>
      <c r="Q114" s="323" t="s">
        <v>239</v>
      </c>
      <c r="R114" s="366" t="s">
        <v>239</v>
      </c>
      <c r="S114" s="378" t="s">
        <v>1363</v>
      </c>
      <c r="T114" s="324" t="s">
        <v>1364</v>
      </c>
      <c r="U114" s="386">
        <v>250</v>
      </c>
      <c r="V114" s="386">
        <v>2450</v>
      </c>
      <c r="W114" s="386">
        <v>600</v>
      </c>
      <c r="X114" s="386">
        <v>6000</v>
      </c>
      <c r="Y114" s="386">
        <v>130</v>
      </c>
      <c r="Z114" s="386">
        <v>65</v>
      </c>
      <c r="AA114" s="386">
        <v>200</v>
      </c>
      <c r="AB114" s="392">
        <v>7.24</v>
      </c>
      <c r="AC114" s="28">
        <v>0</v>
      </c>
      <c r="AD114" s="28">
        <v>1</v>
      </c>
      <c r="AE114" s="28">
        <v>1</v>
      </c>
      <c r="AF114" s="28">
        <v>1</v>
      </c>
      <c r="AG114" s="28">
        <v>1</v>
      </c>
      <c r="AH114" s="28">
        <v>1</v>
      </c>
      <c r="AI114" s="28">
        <v>1</v>
      </c>
      <c r="AJ114" s="28">
        <v>1</v>
      </c>
    </row>
    <row r="115" spans="1:36" x14ac:dyDescent="0.25">
      <c r="A115" s="298" t="str">
        <f>IF('Kwaliteit conversie'!$D$4='Prijs karton'!C115,"X"," ")</f>
        <v xml:space="preserve"> </v>
      </c>
      <c r="B115" s="331" t="s">
        <v>36</v>
      </c>
      <c r="C115" s="359" t="s">
        <v>1411</v>
      </c>
      <c r="D115" s="366">
        <v>0.6</v>
      </c>
      <c r="E115" s="321">
        <v>6.2</v>
      </c>
      <c r="F115" s="925">
        <v>0</v>
      </c>
      <c r="G115" s="315">
        <v>50.3</v>
      </c>
      <c r="H115" s="315">
        <v>49</v>
      </c>
      <c r="I115" s="315">
        <v>48.8</v>
      </c>
      <c r="J115" s="315">
        <v>48.5</v>
      </c>
      <c r="K115" s="513">
        <v>48.5</v>
      </c>
      <c r="L115" s="926" t="s">
        <v>1412</v>
      </c>
      <c r="M115" s="331" t="s">
        <v>244</v>
      </c>
      <c r="N115" s="366" t="s">
        <v>244</v>
      </c>
      <c r="O115" s="323" t="s">
        <v>244</v>
      </c>
      <c r="P115" s="386" t="s">
        <v>244</v>
      </c>
      <c r="Q115" s="323" t="s">
        <v>239</v>
      </c>
      <c r="R115" s="366" t="s">
        <v>239</v>
      </c>
      <c r="S115" s="378" t="s">
        <v>244</v>
      </c>
      <c r="T115" s="324" t="s">
        <v>1364</v>
      </c>
      <c r="U115" s="386">
        <v>250</v>
      </c>
      <c r="V115" s="386">
        <v>2450</v>
      </c>
      <c r="W115" s="386">
        <v>600</v>
      </c>
      <c r="X115" s="386">
        <v>6000</v>
      </c>
      <c r="Y115" s="386">
        <v>130</v>
      </c>
      <c r="Z115" s="386">
        <v>65</v>
      </c>
      <c r="AA115" s="386">
        <v>200</v>
      </c>
      <c r="AB115" s="392">
        <v>7.03</v>
      </c>
      <c r="AC115" s="28">
        <v>0</v>
      </c>
      <c r="AD115" s="28">
        <v>1</v>
      </c>
      <c r="AE115" s="28">
        <v>1</v>
      </c>
      <c r="AF115" s="28">
        <v>1</v>
      </c>
      <c r="AG115" s="28">
        <v>1</v>
      </c>
      <c r="AH115" s="28">
        <v>1</v>
      </c>
      <c r="AI115" s="28">
        <v>1</v>
      </c>
      <c r="AJ115" s="28">
        <v>1</v>
      </c>
    </row>
    <row r="116" spans="1:36" x14ac:dyDescent="0.25">
      <c r="A116" s="298" t="str">
        <f>IF('Kwaliteit conversie'!$D$4='Prijs karton'!C116,"X"," ")</f>
        <v xml:space="preserve"> </v>
      </c>
      <c r="B116" s="331" t="s">
        <v>36</v>
      </c>
      <c r="C116" s="359"/>
      <c r="D116" s="366"/>
      <c r="E116" s="321"/>
      <c r="F116" s="925"/>
      <c r="G116" s="315"/>
      <c r="H116" s="315"/>
      <c r="I116" s="315"/>
      <c r="J116" s="315"/>
      <c r="K116" s="513"/>
      <c r="L116" s="926"/>
      <c r="M116" s="331"/>
      <c r="N116" s="366"/>
      <c r="O116" s="323"/>
      <c r="P116" s="386"/>
      <c r="Q116" s="323"/>
      <c r="R116" s="366"/>
      <c r="S116" s="378"/>
      <c r="T116" s="324"/>
      <c r="U116" s="386"/>
      <c r="V116" s="386"/>
      <c r="W116" s="386"/>
      <c r="X116" s="386"/>
      <c r="Y116" s="386"/>
      <c r="Z116" s="386"/>
      <c r="AA116" s="386"/>
      <c r="AB116" s="392"/>
      <c r="AC116" s="28"/>
      <c r="AD116" s="28"/>
      <c r="AE116" s="28"/>
      <c r="AF116" s="28"/>
      <c r="AG116" s="28"/>
      <c r="AH116" s="28"/>
      <c r="AI116" s="28"/>
      <c r="AJ116" s="28"/>
    </row>
    <row r="117" spans="1:36" x14ac:dyDescent="0.25">
      <c r="A117" s="298" t="str">
        <f>IF('Kwaliteit conversie'!$D$4='Prijs karton'!C117,"X"," ")</f>
        <v xml:space="preserve"> </v>
      </c>
      <c r="B117" s="331" t="s">
        <v>36</v>
      </c>
      <c r="C117" s="359"/>
      <c r="D117" s="366"/>
      <c r="E117" s="321"/>
      <c r="F117" s="925"/>
      <c r="G117" s="315"/>
      <c r="H117" s="315"/>
      <c r="I117" s="315"/>
      <c r="J117" s="315"/>
      <c r="K117" s="513"/>
      <c r="L117" s="926"/>
      <c r="M117" s="331"/>
      <c r="N117" s="366"/>
      <c r="O117" s="323"/>
      <c r="P117" s="386"/>
      <c r="Q117" s="323"/>
      <c r="R117" s="366"/>
      <c r="S117" s="378"/>
      <c r="T117" s="324"/>
      <c r="U117" s="386"/>
      <c r="V117" s="386"/>
      <c r="W117" s="386"/>
      <c r="X117" s="386"/>
      <c r="Y117" s="386"/>
      <c r="Z117" s="386"/>
      <c r="AA117" s="386"/>
      <c r="AB117" s="392"/>
      <c r="AC117" s="28"/>
      <c r="AD117" s="28"/>
      <c r="AE117" s="28"/>
      <c r="AF117" s="28"/>
      <c r="AG117" s="28"/>
      <c r="AH117" s="28"/>
      <c r="AI117" s="28"/>
      <c r="AJ117" s="28"/>
    </row>
    <row r="118" spans="1:36" x14ac:dyDescent="0.25">
      <c r="A118" s="298" t="str">
        <f>IF('Kwaliteit conversie'!$D$4='Prijs karton'!C118,"X"," ")</f>
        <v xml:space="preserve"> </v>
      </c>
      <c r="B118" s="331" t="s">
        <v>36</v>
      </c>
      <c r="C118" s="359"/>
      <c r="D118" s="366"/>
      <c r="E118" s="321"/>
      <c r="F118" s="925"/>
      <c r="G118" s="315"/>
      <c r="H118" s="315"/>
      <c r="I118" s="315"/>
      <c r="J118" s="315"/>
      <c r="K118" s="513"/>
      <c r="L118" s="926"/>
      <c r="M118" s="331"/>
      <c r="N118" s="366"/>
      <c r="O118" s="323"/>
      <c r="P118" s="386"/>
      <c r="Q118" s="323"/>
      <c r="R118" s="366"/>
      <c r="S118" s="378"/>
      <c r="T118" s="324"/>
      <c r="U118" s="386"/>
      <c r="V118" s="386"/>
      <c r="W118" s="386"/>
      <c r="X118" s="386"/>
      <c r="Y118" s="386"/>
      <c r="Z118" s="386"/>
      <c r="AA118" s="386"/>
      <c r="AB118" s="392"/>
      <c r="AC118" s="28"/>
      <c r="AD118" s="28"/>
      <c r="AE118" s="28"/>
      <c r="AF118" s="28"/>
      <c r="AG118" s="28"/>
      <c r="AH118" s="28"/>
      <c r="AI118" s="28"/>
      <c r="AJ118" s="28"/>
    </row>
    <row r="119" spans="1:36" x14ac:dyDescent="0.25">
      <c r="A119" s="298" t="str">
        <f>IF('Kwaliteit conversie'!$D$4='Prijs karton'!C119,"X"," ")</f>
        <v xml:space="preserve"> </v>
      </c>
      <c r="B119" s="331" t="s">
        <v>36</v>
      </c>
      <c r="C119" s="359"/>
      <c r="D119" s="366"/>
      <c r="E119" s="321"/>
      <c r="F119" s="925"/>
      <c r="G119" s="315"/>
      <c r="H119" s="315"/>
      <c r="I119" s="315"/>
      <c r="J119" s="315"/>
      <c r="K119" s="513"/>
      <c r="L119" s="926"/>
      <c r="M119" s="331"/>
      <c r="N119" s="366"/>
      <c r="O119" s="323"/>
      <c r="P119" s="386"/>
      <c r="Q119" s="323"/>
      <c r="R119" s="366"/>
      <c r="S119" s="378"/>
      <c r="T119" s="324"/>
      <c r="U119" s="386"/>
      <c r="V119" s="386"/>
      <c r="W119" s="386"/>
      <c r="X119" s="386"/>
      <c r="Y119" s="386"/>
      <c r="Z119" s="386"/>
      <c r="AA119" s="386"/>
      <c r="AB119" s="392"/>
      <c r="AC119" s="28"/>
      <c r="AD119" s="28"/>
      <c r="AE119" s="28"/>
      <c r="AF119" s="28"/>
      <c r="AG119" s="28"/>
      <c r="AH119" s="28"/>
      <c r="AI119" s="28"/>
      <c r="AJ119" s="28"/>
    </row>
    <row r="120" spans="1:36" x14ac:dyDescent="0.25">
      <c r="A120" s="298" t="str">
        <f>IF('Kwaliteit conversie'!$D$4='Prijs karton'!C120,"X"," ")</f>
        <v xml:space="preserve"> </v>
      </c>
      <c r="B120" s="331" t="s">
        <v>36</v>
      </c>
      <c r="C120" s="359"/>
      <c r="D120" s="366"/>
      <c r="E120" s="321"/>
      <c r="F120" s="925"/>
      <c r="G120" s="315"/>
      <c r="H120" s="315"/>
      <c r="I120" s="315"/>
      <c r="J120" s="315"/>
      <c r="K120" s="513"/>
      <c r="L120" s="926"/>
      <c r="M120" s="331"/>
      <c r="N120" s="366"/>
      <c r="O120" s="323"/>
      <c r="P120" s="386"/>
      <c r="Q120" s="323"/>
      <c r="R120" s="366"/>
      <c r="S120" s="378"/>
      <c r="T120" s="324"/>
      <c r="U120" s="386"/>
      <c r="V120" s="386"/>
      <c r="W120" s="386"/>
      <c r="X120" s="386"/>
      <c r="Y120" s="386"/>
      <c r="Z120" s="386"/>
      <c r="AA120" s="386"/>
      <c r="AB120" s="392"/>
      <c r="AC120" s="28"/>
      <c r="AD120" s="28"/>
      <c r="AE120" s="28"/>
      <c r="AF120" s="28"/>
      <c r="AG120" s="28"/>
      <c r="AH120" s="28"/>
      <c r="AI120" s="28"/>
      <c r="AJ120" s="28"/>
    </row>
    <row r="121" spans="1:36" x14ac:dyDescent="0.25">
      <c r="A121" s="298" t="str">
        <f>IF('Kwaliteit conversie'!$D$4='Prijs karton'!C121,"X"," ")</f>
        <v xml:space="preserve"> </v>
      </c>
      <c r="B121" s="331" t="s">
        <v>36</v>
      </c>
      <c r="C121" s="359"/>
      <c r="D121" s="366"/>
      <c r="E121" s="321"/>
      <c r="F121" s="925"/>
      <c r="G121" s="315"/>
      <c r="H121" s="315"/>
      <c r="I121" s="315"/>
      <c r="J121" s="315"/>
      <c r="K121" s="513"/>
      <c r="L121" s="926"/>
      <c r="M121" s="331"/>
      <c r="N121" s="366"/>
      <c r="O121" s="323"/>
      <c r="P121" s="386"/>
      <c r="Q121" s="323"/>
      <c r="R121" s="366"/>
      <c r="S121" s="378"/>
      <c r="T121" s="324"/>
      <c r="U121" s="386"/>
      <c r="V121" s="386"/>
      <c r="W121" s="386"/>
      <c r="X121" s="386"/>
      <c r="Y121" s="386"/>
      <c r="Z121" s="386"/>
      <c r="AA121" s="386"/>
      <c r="AB121" s="392"/>
      <c r="AC121" s="28"/>
      <c r="AD121" s="28"/>
      <c r="AE121" s="28"/>
      <c r="AF121" s="28"/>
      <c r="AG121" s="28"/>
      <c r="AH121" s="28"/>
      <c r="AI121" s="28"/>
      <c r="AJ121" s="28"/>
    </row>
    <row r="122" spans="1:36" x14ac:dyDescent="0.25">
      <c r="A122" s="298" t="str">
        <f>IF('Kwaliteit conversie'!$D$4='Prijs karton'!C122,"X"," ")</f>
        <v xml:space="preserve"> </v>
      </c>
      <c r="B122" s="331" t="s">
        <v>36</v>
      </c>
      <c r="C122" s="359"/>
      <c r="D122" s="366"/>
      <c r="E122" s="321"/>
      <c r="F122" s="925"/>
      <c r="G122" s="315"/>
      <c r="H122" s="315"/>
      <c r="I122" s="315"/>
      <c r="J122" s="315"/>
      <c r="K122" s="513"/>
      <c r="L122" s="926"/>
      <c r="M122" s="331"/>
      <c r="N122" s="366"/>
      <c r="O122" s="323"/>
      <c r="P122" s="386"/>
      <c r="Q122" s="323"/>
      <c r="R122" s="366"/>
      <c r="S122" s="378"/>
      <c r="T122" s="324"/>
      <c r="U122" s="386"/>
      <c r="V122" s="386"/>
      <c r="W122" s="386"/>
      <c r="X122" s="386"/>
      <c r="Y122" s="386"/>
      <c r="Z122" s="386"/>
      <c r="AA122" s="386"/>
      <c r="AB122" s="392"/>
      <c r="AC122" s="28"/>
      <c r="AD122" s="28"/>
      <c r="AE122" s="28"/>
      <c r="AF122" s="28"/>
      <c r="AG122" s="28"/>
      <c r="AH122" s="28"/>
      <c r="AI122" s="28"/>
      <c r="AJ122" s="28"/>
    </row>
    <row r="123" spans="1:36" s="320" customFormat="1" x14ac:dyDescent="0.25">
      <c r="A123" s="329" t="str">
        <f>IF('Kwaliteit conversie'!$D$4='Prijs karton'!C123,"X"," ")</f>
        <v xml:space="preserve"> </v>
      </c>
      <c r="B123" s="332" t="s">
        <v>36</v>
      </c>
      <c r="C123" s="360" t="s">
        <v>368</v>
      </c>
      <c r="D123" s="367">
        <v>0.75</v>
      </c>
      <c r="E123" s="322">
        <v>5.7</v>
      </c>
      <c r="F123" s="927">
        <v>0</v>
      </c>
      <c r="G123" s="319">
        <v>0</v>
      </c>
      <c r="H123" s="319">
        <v>0</v>
      </c>
      <c r="I123" s="319">
        <v>0</v>
      </c>
      <c r="J123" s="319">
        <v>0</v>
      </c>
      <c r="K123" s="928">
        <v>0</v>
      </c>
      <c r="L123" s="929" t="s">
        <v>239</v>
      </c>
      <c r="M123" s="379" t="s">
        <v>239</v>
      </c>
      <c r="N123" s="367" t="s">
        <v>239</v>
      </c>
      <c r="O123" s="325" t="s">
        <v>239</v>
      </c>
      <c r="P123" s="387" t="s">
        <v>239</v>
      </c>
      <c r="Q123" s="325" t="s">
        <v>239</v>
      </c>
      <c r="R123" s="367" t="s">
        <v>239</v>
      </c>
      <c r="S123" s="380" t="s">
        <v>239</v>
      </c>
      <c r="T123" s="326" t="s">
        <v>245</v>
      </c>
      <c r="U123" s="387">
        <v>250</v>
      </c>
      <c r="V123" s="387">
        <v>2450</v>
      </c>
      <c r="W123" s="387">
        <v>500</v>
      </c>
      <c r="X123" s="387">
        <v>6200</v>
      </c>
      <c r="Y123" s="387">
        <v>180</v>
      </c>
      <c r="Z123" s="387">
        <v>90</v>
      </c>
      <c r="AA123" s="387">
        <v>200</v>
      </c>
      <c r="AB123" s="393">
        <v>9</v>
      </c>
      <c r="AC123" s="34">
        <v>0</v>
      </c>
      <c r="AD123" s="34">
        <v>1</v>
      </c>
      <c r="AE123" s="34">
        <v>1</v>
      </c>
      <c r="AF123" s="34">
        <v>1</v>
      </c>
      <c r="AG123" s="34">
        <v>1</v>
      </c>
      <c r="AH123" s="34">
        <v>1</v>
      </c>
      <c r="AI123" s="34">
        <v>1</v>
      </c>
      <c r="AJ123" s="34">
        <v>1</v>
      </c>
    </row>
    <row r="124" spans="1:36" x14ac:dyDescent="0.25">
      <c r="A124" s="298" t="str">
        <f>IF('Kwaliteit conversie'!$D$4='Prijs karton'!C124,"X"," ")</f>
        <v xml:space="preserve"> </v>
      </c>
      <c r="B124" s="331"/>
      <c r="C124" s="359"/>
      <c r="D124" s="366"/>
      <c r="E124" s="321"/>
      <c r="F124" s="925"/>
      <c r="G124" s="315"/>
      <c r="H124" s="315"/>
      <c r="I124" s="315"/>
      <c r="J124" s="315"/>
      <c r="K124" s="513"/>
      <c r="L124" s="926"/>
      <c r="M124" s="331"/>
      <c r="N124" s="366"/>
      <c r="O124" s="323"/>
      <c r="P124" s="386"/>
      <c r="Q124" s="323"/>
      <c r="R124" s="366"/>
      <c r="S124" s="378"/>
      <c r="T124" s="324"/>
      <c r="U124" s="386"/>
      <c r="V124" s="386"/>
      <c r="W124" s="386"/>
      <c r="X124" s="386"/>
      <c r="Y124" s="386"/>
      <c r="Z124" s="386"/>
      <c r="AA124" s="386"/>
      <c r="AB124" s="392"/>
      <c r="AC124" s="28"/>
      <c r="AD124" s="28"/>
      <c r="AE124" s="28"/>
      <c r="AF124" s="28"/>
      <c r="AG124" s="28"/>
      <c r="AH124" s="28"/>
      <c r="AI124" s="28"/>
      <c r="AJ124" s="28"/>
    </row>
    <row r="125" spans="1:36" x14ac:dyDescent="0.25">
      <c r="A125" s="298" t="str">
        <f>IF('Kwaliteit conversie'!$D$4='Prijs karton'!C125,"X"," ")</f>
        <v xml:space="preserve"> </v>
      </c>
      <c r="B125" s="331"/>
      <c r="C125" s="359"/>
      <c r="D125" s="366"/>
      <c r="E125" s="321"/>
      <c r="F125" s="925"/>
      <c r="G125" s="315"/>
      <c r="H125" s="315"/>
      <c r="I125" s="315"/>
      <c r="J125" s="315"/>
      <c r="K125" s="513"/>
      <c r="L125" s="926"/>
      <c r="M125" s="331"/>
      <c r="N125" s="366"/>
      <c r="O125" s="323"/>
      <c r="P125" s="386"/>
      <c r="Q125" s="323"/>
      <c r="R125" s="366"/>
      <c r="S125" s="378"/>
      <c r="T125" s="324"/>
      <c r="U125" s="386"/>
      <c r="V125" s="386"/>
      <c r="W125" s="386"/>
      <c r="X125" s="386"/>
      <c r="Y125" s="386"/>
      <c r="Z125" s="386"/>
      <c r="AA125" s="386"/>
      <c r="AB125" s="392"/>
      <c r="AC125" s="28"/>
      <c r="AD125" s="28"/>
      <c r="AE125" s="28"/>
      <c r="AF125" s="28"/>
      <c r="AG125" s="28"/>
      <c r="AH125" s="28"/>
      <c r="AI125" s="28"/>
      <c r="AJ125" s="28"/>
    </row>
    <row r="126" spans="1:36" x14ac:dyDescent="0.25">
      <c r="A126" s="298" t="str">
        <f>IF('Kwaliteit conversie'!$D$4='Prijs karton'!C126,"X"," ")</f>
        <v xml:space="preserve"> </v>
      </c>
      <c r="B126" s="331"/>
      <c r="C126" s="359"/>
      <c r="D126" s="366"/>
      <c r="E126" s="321"/>
      <c r="F126" s="925"/>
      <c r="G126" s="315"/>
      <c r="H126" s="315"/>
      <c r="I126" s="315"/>
      <c r="J126" s="315"/>
      <c r="K126" s="513"/>
      <c r="L126" s="926"/>
      <c r="M126" s="331"/>
      <c r="N126" s="366"/>
      <c r="O126" s="323"/>
      <c r="P126" s="386"/>
      <c r="Q126" s="323"/>
      <c r="R126" s="366"/>
      <c r="S126" s="378"/>
      <c r="T126" s="324"/>
      <c r="U126" s="386"/>
      <c r="V126" s="386"/>
      <c r="W126" s="386"/>
      <c r="X126" s="386"/>
      <c r="Y126" s="386"/>
      <c r="Z126" s="386"/>
      <c r="AA126" s="386"/>
      <c r="AB126" s="392"/>
      <c r="AC126" s="28"/>
      <c r="AD126" s="28"/>
      <c r="AE126" s="28"/>
      <c r="AF126" s="28"/>
      <c r="AG126" s="28"/>
      <c r="AH126" s="28"/>
      <c r="AI126" s="28"/>
      <c r="AJ126" s="28"/>
    </row>
    <row r="127" spans="1:36" x14ac:dyDescent="0.25">
      <c r="A127" s="932" t="str">
        <f>IF('Kwaliteit conversie'!$D$4='Prijs karton'!C127,"X"," ")</f>
        <v xml:space="preserve"> </v>
      </c>
      <c r="B127" s="331" t="s">
        <v>32</v>
      </c>
      <c r="C127" s="359" t="s">
        <v>369</v>
      </c>
      <c r="D127" s="366">
        <v>0.36</v>
      </c>
      <c r="E127" s="321">
        <v>3.6</v>
      </c>
      <c r="F127" s="925">
        <v>0</v>
      </c>
      <c r="G127" s="315">
        <v>32.9</v>
      </c>
      <c r="H127" s="315">
        <v>29.9</v>
      </c>
      <c r="I127" s="315">
        <v>29.4</v>
      </c>
      <c r="J127" s="315">
        <v>29.4</v>
      </c>
      <c r="K127" s="513">
        <v>28.9</v>
      </c>
      <c r="L127" s="926" t="s">
        <v>370</v>
      </c>
      <c r="M127" s="331" t="s">
        <v>249</v>
      </c>
      <c r="N127" s="366" t="s">
        <v>244</v>
      </c>
      <c r="O127" s="323" t="s">
        <v>239</v>
      </c>
      <c r="P127" s="386" t="s">
        <v>239</v>
      </c>
      <c r="Q127" s="323" t="s">
        <v>239</v>
      </c>
      <c r="R127" s="366" t="s">
        <v>239</v>
      </c>
      <c r="S127" s="378" t="s">
        <v>249</v>
      </c>
      <c r="T127" s="324" t="s">
        <v>245</v>
      </c>
      <c r="U127" s="386">
        <v>250</v>
      </c>
      <c r="V127" s="386">
        <v>2450</v>
      </c>
      <c r="W127" s="386">
        <v>500</v>
      </c>
      <c r="X127" s="386">
        <v>6200</v>
      </c>
      <c r="Y127" s="386">
        <v>280</v>
      </c>
      <c r="Z127" s="386">
        <v>140</v>
      </c>
      <c r="AA127" s="386">
        <v>200</v>
      </c>
      <c r="AB127" s="392">
        <v>3.7</v>
      </c>
      <c r="AC127" s="28">
        <v>0</v>
      </c>
      <c r="AD127" s="28">
        <v>1</v>
      </c>
      <c r="AE127" s="28">
        <v>1</v>
      </c>
      <c r="AF127" s="28">
        <v>1</v>
      </c>
      <c r="AG127" s="28">
        <v>1</v>
      </c>
      <c r="AH127" s="28">
        <v>1</v>
      </c>
      <c r="AI127" s="28">
        <v>1</v>
      </c>
      <c r="AJ127" s="28">
        <v>1</v>
      </c>
    </row>
    <row r="128" spans="1:36" x14ac:dyDescent="0.25">
      <c r="A128" s="298" t="str">
        <f>IF('Kwaliteit conversie'!$D$4='Prijs karton'!C128,"X"," ")</f>
        <v xml:space="preserve"> </v>
      </c>
      <c r="B128" s="331" t="s">
        <v>32</v>
      </c>
      <c r="C128" s="359" t="s">
        <v>371</v>
      </c>
      <c r="D128" s="366">
        <v>0.38</v>
      </c>
      <c r="E128" s="321">
        <v>3.6</v>
      </c>
      <c r="F128" s="925">
        <v>0</v>
      </c>
      <c r="G128" s="315">
        <v>33.4</v>
      </c>
      <c r="H128" s="315">
        <v>30.4</v>
      </c>
      <c r="I128" s="315">
        <v>29.9</v>
      </c>
      <c r="J128" s="315">
        <v>29.9</v>
      </c>
      <c r="K128" s="513">
        <v>29.4</v>
      </c>
      <c r="L128" s="926" t="s">
        <v>372</v>
      </c>
      <c r="M128" s="331" t="s">
        <v>257</v>
      </c>
      <c r="N128" s="366" t="s">
        <v>244</v>
      </c>
      <c r="O128" s="323" t="s">
        <v>239</v>
      </c>
      <c r="P128" s="386" t="s">
        <v>239</v>
      </c>
      <c r="Q128" s="323" t="s">
        <v>239</v>
      </c>
      <c r="R128" s="366" t="s">
        <v>239</v>
      </c>
      <c r="S128" s="378" t="s">
        <v>249</v>
      </c>
      <c r="T128" s="324" t="s">
        <v>245</v>
      </c>
      <c r="U128" s="386">
        <v>250</v>
      </c>
      <c r="V128" s="386">
        <v>2450</v>
      </c>
      <c r="W128" s="386">
        <v>500</v>
      </c>
      <c r="X128" s="386">
        <v>6200</v>
      </c>
      <c r="Y128" s="386">
        <v>280</v>
      </c>
      <c r="Z128" s="386">
        <v>140</v>
      </c>
      <c r="AA128" s="386">
        <v>200</v>
      </c>
      <c r="AB128" s="392">
        <v>3.9</v>
      </c>
      <c r="AC128" s="28">
        <v>0</v>
      </c>
      <c r="AD128" s="28">
        <v>1</v>
      </c>
      <c r="AE128" s="28">
        <v>1</v>
      </c>
      <c r="AF128" s="28">
        <v>1</v>
      </c>
      <c r="AG128" s="28">
        <v>1</v>
      </c>
      <c r="AH128" s="28">
        <v>1</v>
      </c>
      <c r="AI128" s="28">
        <v>1</v>
      </c>
      <c r="AJ128" s="28">
        <v>1</v>
      </c>
    </row>
    <row r="129" spans="1:36" x14ac:dyDescent="0.25">
      <c r="A129" s="298" t="str">
        <f>IF('Kwaliteit conversie'!$D$4='Prijs karton'!C129,"X"," ")</f>
        <v xml:space="preserve"> </v>
      </c>
      <c r="B129" s="331" t="s">
        <v>32</v>
      </c>
      <c r="C129" s="359"/>
      <c r="D129" s="366"/>
      <c r="E129" s="321"/>
      <c r="F129" s="925"/>
      <c r="G129" s="315"/>
      <c r="H129" s="315"/>
      <c r="I129" s="315"/>
      <c r="J129" s="315"/>
      <c r="K129" s="513"/>
      <c r="L129" s="926"/>
      <c r="M129" s="331"/>
      <c r="N129" s="366"/>
      <c r="O129" s="323"/>
      <c r="P129" s="386"/>
      <c r="Q129" s="323"/>
      <c r="R129" s="366"/>
      <c r="S129" s="378"/>
      <c r="T129" s="324"/>
      <c r="U129" s="386"/>
      <c r="V129" s="386"/>
      <c r="W129" s="386"/>
      <c r="X129" s="386"/>
      <c r="Y129" s="386"/>
      <c r="Z129" s="386"/>
      <c r="AA129" s="386"/>
      <c r="AB129" s="392"/>
      <c r="AC129" s="28"/>
      <c r="AD129" s="28"/>
      <c r="AE129" s="28"/>
      <c r="AF129" s="28"/>
      <c r="AG129" s="28"/>
      <c r="AH129" s="28"/>
      <c r="AI129" s="28"/>
      <c r="AJ129" s="28"/>
    </row>
    <row r="130" spans="1:36" x14ac:dyDescent="0.25">
      <c r="A130" s="298" t="str">
        <f>IF('Kwaliteit conversie'!$D$4='Prijs karton'!C130,"X"," ")</f>
        <v xml:space="preserve"> </v>
      </c>
      <c r="B130" s="331" t="s">
        <v>32</v>
      </c>
      <c r="C130" s="359" t="s">
        <v>373</v>
      </c>
      <c r="D130" s="366">
        <v>0.435</v>
      </c>
      <c r="E130" s="321">
        <v>3.7</v>
      </c>
      <c r="F130" s="925">
        <v>0</v>
      </c>
      <c r="G130" s="315">
        <v>39.6</v>
      </c>
      <c r="H130" s="315">
        <v>36.6</v>
      </c>
      <c r="I130" s="315">
        <v>36.1</v>
      </c>
      <c r="J130" s="315">
        <v>36.1</v>
      </c>
      <c r="K130" s="513">
        <v>35.6</v>
      </c>
      <c r="L130" s="926" t="s">
        <v>374</v>
      </c>
      <c r="M130" s="331" t="s">
        <v>257</v>
      </c>
      <c r="N130" s="366" t="s">
        <v>285</v>
      </c>
      <c r="O130" s="323" t="s">
        <v>239</v>
      </c>
      <c r="P130" s="386" t="s">
        <v>239</v>
      </c>
      <c r="Q130" s="323" t="s">
        <v>239</v>
      </c>
      <c r="R130" s="366" t="s">
        <v>239</v>
      </c>
      <c r="S130" s="378" t="s">
        <v>257</v>
      </c>
      <c r="T130" s="324" t="s">
        <v>245</v>
      </c>
      <c r="U130" s="386">
        <v>250</v>
      </c>
      <c r="V130" s="386">
        <v>2450</v>
      </c>
      <c r="W130" s="386">
        <v>500</v>
      </c>
      <c r="X130" s="386">
        <v>6200</v>
      </c>
      <c r="Y130" s="386">
        <v>280</v>
      </c>
      <c r="Z130" s="386">
        <v>140</v>
      </c>
      <c r="AA130" s="386">
        <v>200</v>
      </c>
      <c r="AB130" s="392">
        <v>4.8</v>
      </c>
      <c r="AC130" s="28">
        <v>0</v>
      </c>
      <c r="AD130" s="28">
        <v>1</v>
      </c>
      <c r="AE130" s="28">
        <v>1</v>
      </c>
      <c r="AF130" s="28">
        <v>1</v>
      </c>
      <c r="AG130" s="28">
        <v>1</v>
      </c>
      <c r="AH130" s="28">
        <v>1</v>
      </c>
      <c r="AI130" s="28">
        <v>1</v>
      </c>
      <c r="AJ130" s="28">
        <v>1</v>
      </c>
    </row>
    <row r="131" spans="1:36" x14ac:dyDescent="0.25">
      <c r="A131" s="298" t="str">
        <f>IF('Kwaliteit conversie'!$D$4='Prijs karton'!C131,"X"," ")</f>
        <v xml:space="preserve"> </v>
      </c>
      <c r="B131" s="331" t="s">
        <v>32</v>
      </c>
      <c r="C131" s="359" t="s">
        <v>375</v>
      </c>
      <c r="D131" s="366">
        <v>0.5</v>
      </c>
      <c r="E131" s="321">
        <v>3.7</v>
      </c>
      <c r="F131" s="925">
        <v>0</v>
      </c>
      <c r="G131" s="315">
        <v>42.1</v>
      </c>
      <c r="H131" s="315">
        <v>39.1</v>
      </c>
      <c r="I131" s="315">
        <v>38.6</v>
      </c>
      <c r="J131" s="315">
        <v>38.6</v>
      </c>
      <c r="K131" s="513">
        <v>38.1</v>
      </c>
      <c r="L131" s="926" t="s">
        <v>376</v>
      </c>
      <c r="M131" s="331" t="s">
        <v>292</v>
      </c>
      <c r="N131" s="366" t="s">
        <v>265</v>
      </c>
      <c r="O131" s="323" t="s">
        <v>239</v>
      </c>
      <c r="P131" s="386" t="s">
        <v>239</v>
      </c>
      <c r="Q131" s="323" t="s">
        <v>239</v>
      </c>
      <c r="R131" s="366" t="s">
        <v>239</v>
      </c>
      <c r="S131" s="378" t="s">
        <v>257</v>
      </c>
      <c r="T131" s="324" t="s">
        <v>245</v>
      </c>
      <c r="U131" s="386">
        <v>250</v>
      </c>
      <c r="V131" s="386">
        <v>2450</v>
      </c>
      <c r="W131" s="386">
        <v>500</v>
      </c>
      <c r="X131" s="386">
        <v>6200</v>
      </c>
      <c r="Y131" s="386">
        <v>280</v>
      </c>
      <c r="Z131" s="386">
        <v>140</v>
      </c>
      <c r="AA131" s="386">
        <v>200</v>
      </c>
      <c r="AB131" s="392">
        <v>5.9</v>
      </c>
      <c r="AC131" s="28">
        <v>0</v>
      </c>
      <c r="AD131" s="28">
        <v>1</v>
      </c>
      <c r="AE131" s="28">
        <v>1</v>
      </c>
      <c r="AF131" s="28">
        <v>1</v>
      </c>
      <c r="AG131" s="28">
        <v>1</v>
      </c>
      <c r="AH131" s="28">
        <v>1</v>
      </c>
      <c r="AI131" s="28">
        <v>1</v>
      </c>
      <c r="AJ131" s="28">
        <v>1</v>
      </c>
    </row>
    <row r="132" spans="1:36" x14ac:dyDescent="0.25">
      <c r="A132" s="298" t="str">
        <f>IF('Kwaliteit conversie'!$D$4='Prijs karton'!C132,"X"," ")</f>
        <v xml:space="preserve"> </v>
      </c>
      <c r="B132" s="331" t="s">
        <v>32</v>
      </c>
      <c r="C132" s="359"/>
      <c r="D132" s="366"/>
      <c r="E132" s="321"/>
      <c r="F132" s="925"/>
      <c r="G132" s="315"/>
      <c r="H132" s="315"/>
      <c r="I132" s="315"/>
      <c r="J132" s="315"/>
      <c r="K132" s="513"/>
      <c r="L132" s="926"/>
      <c r="M132" s="331"/>
      <c r="N132" s="366"/>
      <c r="O132" s="323"/>
      <c r="P132" s="386"/>
      <c r="Q132" s="323"/>
      <c r="R132" s="366"/>
      <c r="S132" s="378"/>
      <c r="T132" s="324"/>
      <c r="U132" s="386"/>
      <c r="V132" s="386"/>
      <c r="W132" s="386"/>
      <c r="X132" s="386"/>
      <c r="Y132" s="386"/>
      <c r="Z132" s="386"/>
      <c r="AA132" s="386"/>
      <c r="AB132" s="392"/>
      <c r="AC132" s="28"/>
      <c r="AD132" s="28"/>
      <c r="AE132" s="28"/>
      <c r="AF132" s="28"/>
      <c r="AG132" s="28"/>
      <c r="AH132" s="28"/>
      <c r="AI132" s="28"/>
      <c r="AJ132" s="28"/>
    </row>
    <row r="133" spans="1:36" x14ac:dyDescent="0.25">
      <c r="A133" s="298" t="str">
        <f>IF('Kwaliteit conversie'!$D$4='Prijs karton'!C133,"X"," ")</f>
        <v xml:space="preserve"> </v>
      </c>
      <c r="B133" s="331" t="s">
        <v>32</v>
      </c>
      <c r="C133" s="359" t="s">
        <v>377</v>
      </c>
      <c r="D133" s="366">
        <v>0.40500000000000003</v>
      </c>
      <c r="E133" s="321">
        <v>3.6</v>
      </c>
      <c r="F133" s="925">
        <v>0</v>
      </c>
      <c r="G133" s="315">
        <v>41.5</v>
      </c>
      <c r="H133" s="315">
        <v>38.5</v>
      </c>
      <c r="I133" s="315">
        <v>38</v>
      </c>
      <c r="J133" s="315">
        <v>38</v>
      </c>
      <c r="K133" s="513">
        <v>37.5</v>
      </c>
      <c r="L133" s="926" t="s">
        <v>378</v>
      </c>
      <c r="M133" s="331" t="s">
        <v>274</v>
      </c>
      <c r="N133" s="366" t="s">
        <v>244</v>
      </c>
      <c r="O133" s="323" t="s">
        <v>239</v>
      </c>
      <c r="P133" s="386" t="s">
        <v>239</v>
      </c>
      <c r="Q133" s="323" t="s">
        <v>239</v>
      </c>
      <c r="R133" s="366" t="s">
        <v>239</v>
      </c>
      <c r="S133" s="378" t="s">
        <v>257</v>
      </c>
      <c r="T133" s="324" t="s">
        <v>245</v>
      </c>
      <c r="U133" s="386">
        <v>250</v>
      </c>
      <c r="V133" s="386">
        <v>2450</v>
      </c>
      <c r="W133" s="386">
        <v>500</v>
      </c>
      <c r="X133" s="386">
        <v>6200</v>
      </c>
      <c r="Y133" s="386">
        <v>280</v>
      </c>
      <c r="Z133" s="386">
        <v>140</v>
      </c>
      <c r="AA133" s="386">
        <v>200</v>
      </c>
      <c r="AB133" s="392">
        <v>4.5</v>
      </c>
      <c r="AC133" s="28">
        <v>0</v>
      </c>
      <c r="AD133" s="28">
        <v>1</v>
      </c>
      <c r="AE133" s="28">
        <v>1</v>
      </c>
      <c r="AF133" s="28">
        <v>1</v>
      </c>
      <c r="AG133" s="28">
        <v>1</v>
      </c>
      <c r="AH133" s="28">
        <v>1</v>
      </c>
      <c r="AI133" s="28">
        <v>1</v>
      </c>
      <c r="AJ133" s="28">
        <v>1</v>
      </c>
    </row>
    <row r="134" spans="1:36" x14ac:dyDescent="0.25">
      <c r="A134" s="298" t="str">
        <f>IF('Kwaliteit conversie'!$D$4='Prijs karton'!C134,"X"," ")</f>
        <v xml:space="preserve"> </v>
      </c>
      <c r="B134" s="331" t="s">
        <v>32</v>
      </c>
      <c r="C134" s="359" t="s">
        <v>379</v>
      </c>
      <c r="D134" s="366">
        <v>0.47</v>
      </c>
      <c r="E134" s="321">
        <v>3.7</v>
      </c>
      <c r="F134" s="925">
        <v>0</v>
      </c>
      <c r="G134" s="315">
        <v>47</v>
      </c>
      <c r="H134" s="315">
        <v>44</v>
      </c>
      <c r="I134" s="315">
        <v>43.5</v>
      </c>
      <c r="J134" s="315">
        <v>43.5</v>
      </c>
      <c r="K134" s="513">
        <v>43</v>
      </c>
      <c r="L134" s="926" t="s">
        <v>380</v>
      </c>
      <c r="M134" s="331" t="s">
        <v>274</v>
      </c>
      <c r="N134" s="366" t="s">
        <v>265</v>
      </c>
      <c r="O134" s="323" t="s">
        <v>239</v>
      </c>
      <c r="P134" s="386" t="s">
        <v>239</v>
      </c>
      <c r="Q134" s="323" t="s">
        <v>239</v>
      </c>
      <c r="R134" s="366" t="s">
        <v>239</v>
      </c>
      <c r="S134" s="378" t="s">
        <v>257</v>
      </c>
      <c r="T134" s="324" t="s">
        <v>245</v>
      </c>
      <c r="U134" s="386">
        <v>250</v>
      </c>
      <c r="V134" s="386">
        <v>2450</v>
      </c>
      <c r="W134" s="386">
        <v>500</v>
      </c>
      <c r="X134" s="386">
        <v>6200</v>
      </c>
      <c r="Y134" s="386">
        <v>280</v>
      </c>
      <c r="Z134" s="386">
        <v>140</v>
      </c>
      <c r="AA134" s="386">
        <v>200</v>
      </c>
      <c r="AB134" s="392">
        <v>5.6</v>
      </c>
      <c r="AC134" s="28">
        <v>0</v>
      </c>
      <c r="AD134" s="28">
        <v>1</v>
      </c>
      <c r="AE134" s="28">
        <v>1</v>
      </c>
      <c r="AF134" s="28">
        <v>1</v>
      </c>
      <c r="AG134" s="28">
        <v>1</v>
      </c>
      <c r="AH134" s="28">
        <v>1</v>
      </c>
      <c r="AI134" s="28">
        <v>1</v>
      </c>
      <c r="AJ134" s="28">
        <v>1</v>
      </c>
    </row>
    <row r="135" spans="1:36" x14ac:dyDescent="0.25">
      <c r="A135" s="298" t="str">
        <f>IF('Kwaliteit conversie'!$D$4='Prijs karton'!C135,"X"," ")</f>
        <v xml:space="preserve"> </v>
      </c>
      <c r="B135" s="331" t="s">
        <v>32</v>
      </c>
      <c r="C135" s="359"/>
      <c r="D135" s="366"/>
      <c r="E135" s="321"/>
      <c r="F135" s="925"/>
      <c r="G135" s="315"/>
      <c r="H135" s="315"/>
      <c r="I135" s="315"/>
      <c r="J135" s="315"/>
      <c r="K135" s="513"/>
      <c r="L135" s="926"/>
      <c r="M135" s="331"/>
      <c r="N135" s="366"/>
      <c r="O135" s="323"/>
      <c r="P135" s="386"/>
      <c r="Q135" s="323"/>
      <c r="R135" s="366"/>
      <c r="S135" s="378"/>
      <c r="T135" s="324"/>
      <c r="U135" s="386"/>
      <c r="V135" s="386"/>
      <c r="W135" s="386"/>
      <c r="X135" s="386"/>
      <c r="Y135" s="386"/>
      <c r="Z135" s="386"/>
      <c r="AA135" s="386"/>
      <c r="AB135" s="392"/>
      <c r="AC135" s="28"/>
      <c r="AD135" s="28"/>
      <c r="AE135" s="28"/>
      <c r="AF135" s="28"/>
      <c r="AG135" s="28"/>
      <c r="AH135" s="28"/>
      <c r="AI135" s="28"/>
      <c r="AJ135" s="28"/>
    </row>
    <row r="136" spans="1:36" x14ac:dyDescent="0.25">
      <c r="A136" s="298" t="str">
        <f>IF('Kwaliteit conversie'!$D$4='Prijs karton'!C136,"X"," ")</f>
        <v xml:space="preserve"> </v>
      </c>
      <c r="B136" s="331" t="s">
        <v>32</v>
      </c>
      <c r="C136" s="359" t="s">
        <v>381</v>
      </c>
      <c r="D136" s="366">
        <v>0.40300000000000002</v>
      </c>
      <c r="E136" s="321">
        <v>4.01</v>
      </c>
      <c r="F136" s="925">
        <v>0</v>
      </c>
      <c r="G136" s="315">
        <v>53.9</v>
      </c>
      <c r="H136" s="315">
        <v>50.9</v>
      </c>
      <c r="I136" s="315">
        <v>50.9</v>
      </c>
      <c r="J136" s="315">
        <v>48.9</v>
      </c>
      <c r="K136" s="513">
        <v>48.9</v>
      </c>
      <c r="L136" s="926" t="s">
        <v>382</v>
      </c>
      <c r="M136" s="331" t="s">
        <v>318</v>
      </c>
      <c r="N136" s="366" t="s">
        <v>238</v>
      </c>
      <c r="O136" s="323" t="s">
        <v>239</v>
      </c>
      <c r="P136" s="386" t="s">
        <v>239</v>
      </c>
      <c r="Q136" s="323" t="s">
        <v>239</v>
      </c>
      <c r="R136" s="366" t="s">
        <v>239</v>
      </c>
      <c r="S136" s="378" t="s">
        <v>260</v>
      </c>
      <c r="T136" s="324" t="s">
        <v>240</v>
      </c>
      <c r="U136" s="386">
        <v>240</v>
      </c>
      <c r="V136" s="386">
        <v>2450</v>
      </c>
      <c r="W136" s="386">
        <v>500</v>
      </c>
      <c r="X136" s="386">
        <v>6000</v>
      </c>
      <c r="Y136" s="386">
        <v>85</v>
      </c>
      <c r="Z136" s="386">
        <v>85</v>
      </c>
      <c r="AA136" s="386">
        <v>200</v>
      </c>
      <c r="AB136" s="392">
        <v>5.21</v>
      </c>
      <c r="AC136" s="28">
        <v>0</v>
      </c>
      <c r="AD136" s="28">
        <v>1</v>
      </c>
      <c r="AE136" s="28">
        <v>1</v>
      </c>
      <c r="AF136" s="28">
        <v>1</v>
      </c>
      <c r="AG136" s="28">
        <v>1</v>
      </c>
      <c r="AH136" s="28">
        <v>1</v>
      </c>
      <c r="AI136" s="28">
        <v>1</v>
      </c>
      <c r="AJ136" s="28">
        <v>1</v>
      </c>
    </row>
    <row r="137" spans="1:36" x14ac:dyDescent="0.25">
      <c r="A137" s="298" t="str">
        <f>IF('Kwaliteit conversie'!$D$4='Prijs karton'!C137,"X"," ")</f>
        <v xml:space="preserve"> </v>
      </c>
      <c r="B137" s="331" t="s">
        <v>32</v>
      </c>
      <c r="C137" s="359"/>
      <c r="D137" s="366"/>
      <c r="E137" s="321"/>
      <c r="F137" s="925"/>
      <c r="G137" s="315"/>
      <c r="H137" s="315"/>
      <c r="I137" s="315"/>
      <c r="J137" s="315"/>
      <c r="K137" s="513"/>
      <c r="L137" s="926"/>
      <c r="M137" s="331"/>
      <c r="N137" s="366"/>
      <c r="O137" s="323"/>
      <c r="P137" s="386"/>
      <c r="Q137" s="323"/>
      <c r="R137" s="366"/>
      <c r="S137" s="378"/>
      <c r="T137" s="324"/>
      <c r="U137" s="386"/>
      <c r="V137" s="386"/>
      <c r="W137" s="386"/>
      <c r="X137" s="386"/>
      <c r="Y137" s="386"/>
      <c r="Z137" s="386"/>
      <c r="AA137" s="386"/>
      <c r="AB137" s="392"/>
      <c r="AC137" s="28"/>
      <c r="AD137" s="28"/>
      <c r="AE137" s="28"/>
      <c r="AF137" s="28"/>
      <c r="AG137" s="28"/>
      <c r="AH137" s="28"/>
      <c r="AI137" s="28"/>
      <c r="AJ137" s="28"/>
    </row>
    <row r="138" spans="1:36" x14ac:dyDescent="0.25">
      <c r="A138" s="298" t="str">
        <f>IF('Kwaliteit conversie'!$D$4='Prijs karton'!C138,"X"," ")</f>
        <v xml:space="preserve"> </v>
      </c>
      <c r="B138" s="331" t="s">
        <v>32</v>
      </c>
      <c r="C138" s="359" t="s">
        <v>383</v>
      </c>
      <c r="D138" s="366">
        <v>0.46500000000000002</v>
      </c>
      <c r="E138" s="321">
        <v>3.7</v>
      </c>
      <c r="F138" s="925">
        <v>0</v>
      </c>
      <c r="G138" s="315">
        <v>48.8</v>
      </c>
      <c r="H138" s="315">
        <v>45.8</v>
      </c>
      <c r="I138" s="315">
        <v>45.3</v>
      </c>
      <c r="J138" s="315">
        <v>45.3</v>
      </c>
      <c r="K138" s="513">
        <v>44.8</v>
      </c>
      <c r="L138" s="926" t="s">
        <v>384</v>
      </c>
      <c r="M138" s="331" t="s">
        <v>277</v>
      </c>
      <c r="N138" s="366" t="s">
        <v>265</v>
      </c>
      <c r="O138" s="323" t="s">
        <v>239</v>
      </c>
      <c r="P138" s="386" t="s">
        <v>239</v>
      </c>
      <c r="Q138" s="323" t="s">
        <v>239</v>
      </c>
      <c r="R138" s="366" t="s">
        <v>239</v>
      </c>
      <c r="S138" s="378" t="s">
        <v>257</v>
      </c>
      <c r="T138" s="324" t="s">
        <v>245</v>
      </c>
      <c r="U138" s="386">
        <v>250</v>
      </c>
      <c r="V138" s="386">
        <v>2450</v>
      </c>
      <c r="W138" s="386">
        <v>500</v>
      </c>
      <c r="X138" s="386">
        <v>6200</v>
      </c>
      <c r="Y138" s="386">
        <v>280</v>
      </c>
      <c r="Z138" s="386">
        <v>140</v>
      </c>
      <c r="AA138" s="386">
        <v>200</v>
      </c>
      <c r="AB138" s="392">
        <v>5.4</v>
      </c>
      <c r="AC138" s="28">
        <v>0</v>
      </c>
      <c r="AD138" s="28">
        <v>1</v>
      </c>
      <c r="AE138" s="28">
        <v>1</v>
      </c>
      <c r="AF138" s="28">
        <v>1</v>
      </c>
      <c r="AG138" s="28">
        <v>1</v>
      </c>
      <c r="AH138" s="28">
        <v>1</v>
      </c>
      <c r="AI138" s="28">
        <v>1</v>
      </c>
      <c r="AJ138" s="28">
        <v>1</v>
      </c>
    </row>
    <row r="139" spans="1:36" x14ac:dyDescent="0.25">
      <c r="A139" s="298" t="str">
        <f>IF('Kwaliteit conversie'!$D$4='Prijs karton'!C139,"X"," ")</f>
        <v xml:space="preserve"> </v>
      </c>
      <c r="B139" s="331" t="s">
        <v>32</v>
      </c>
      <c r="C139" s="359"/>
      <c r="D139" s="366"/>
      <c r="E139" s="321"/>
      <c r="F139" s="925"/>
      <c r="G139" s="315"/>
      <c r="H139" s="315"/>
      <c r="I139" s="315"/>
      <c r="J139" s="315"/>
      <c r="K139" s="513"/>
      <c r="L139" s="926"/>
      <c r="M139" s="331"/>
      <c r="N139" s="366"/>
      <c r="O139" s="323" t="s">
        <v>239</v>
      </c>
      <c r="P139" s="386" t="s">
        <v>239</v>
      </c>
      <c r="Q139" s="323" t="s">
        <v>239</v>
      </c>
      <c r="R139" s="366" t="s">
        <v>239</v>
      </c>
      <c r="S139" s="378"/>
      <c r="T139" s="324"/>
      <c r="U139" s="386"/>
      <c r="V139" s="386"/>
      <c r="W139" s="386"/>
      <c r="X139" s="386"/>
      <c r="Y139" s="386"/>
      <c r="Z139" s="386"/>
      <c r="AA139" s="386"/>
      <c r="AB139" s="392"/>
      <c r="AC139" s="28"/>
      <c r="AD139" s="28"/>
      <c r="AE139" s="28"/>
      <c r="AF139" s="28"/>
      <c r="AG139" s="28"/>
      <c r="AH139" s="28"/>
      <c r="AI139" s="28"/>
      <c r="AJ139" s="28"/>
    </row>
    <row r="140" spans="1:36" x14ac:dyDescent="0.25">
      <c r="A140" s="298" t="str">
        <f>IF('Kwaliteit conversie'!$D$4='Prijs karton'!C140,"X"," ")</f>
        <v xml:space="preserve"> </v>
      </c>
      <c r="B140" s="331" t="s">
        <v>32</v>
      </c>
      <c r="C140" s="359" t="s">
        <v>385</v>
      </c>
      <c r="D140" s="366">
        <v>0.51</v>
      </c>
      <c r="E140" s="321">
        <v>3.7</v>
      </c>
      <c r="F140" s="925">
        <v>0</v>
      </c>
      <c r="G140" s="315">
        <v>55</v>
      </c>
      <c r="H140" s="315">
        <v>52</v>
      </c>
      <c r="I140" s="315">
        <v>51.5</v>
      </c>
      <c r="J140" s="315">
        <v>51.5</v>
      </c>
      <c r="K140" s="513">
        <v>51</v>
      </c>
      <c r="L140" s="926" t="s">
        <v>386</v>
      </c>
      <c r="M140" s="331" t="s">
        <v>294</v>
      </c>
      <c r="N140" s="366" t="s">
        <v>265</v>
      </c>
      <c r="O140" s="323" t="s">
        <v>239</v>
      </c>
      <c r="P140" s="386" t="s">
        <v>239</v>
      </c>
      <c r="Q140" s="323" t="s">
        <v>239</v>
      </c>
      <c r="R140" s="366" t="s">
        <v>239</v>
      </c>
      <c r="S140" s="378" t="s">
        <v>274</v>
      </c>
      <c r="T140" s="324" t="s">
        <v>245</v>
      </c>
      <c r="U140" s="386">
        <v>250</v>
      </c>
      <c r="V140" s="386">
        <v>2450</v>
      </c>
      <c r="W140" s="386">
        <v>500</v>
      </c>
      <c r="X140" s="386">
        <v>6200</v>
      </c>
      <c r="Y140" s="386">
        <v>280</v>
      </c>
      <c r="Z140" s="386">
        <v>140</v>
      </c>
      <c r="AA140" s="386">
        <v>200</v>
      </c>
      <c r="AB140" s="392">
        <v>6.3</v>
      </c>
      <c r="AC140" s="28">
        <v>0</v>
      </c>
      <c r="AD140" s="28">
        <v>1</v>
      </c>
      <c r="AE140" s="28">
        <v>1</v>
      </c>
      <c r="AF140" s="28">
        <v>1</v>
      </c>
      <c r="AG140" s="28">
        <v>1</v>
      </c>
      <c r="AH140" s="28">
        <v>1</v>
      </c>
      <c r="AI140" s="28">
        <v>1</v>
      </c>
      <c r="AJ140" s="28">
        <v>1</v>
      </c>
    </row>
    <row r="141" spans="1:36" x14ac:dyDescent="0.25">
      <c r="A141" s="298" t="str">
        <f>IF('Kwaliteit conversie'!$D$4='Prijs karton'!C141,"X"," ")</f>
        <v xml:space="preserve"> </v>
      </c>
      <c r="B141" s="331" t="s">
        <v>32</v>
      </c>
      <c r="C141" s="359" t="s">
        <v>387</v>
      </c>
      <c r="D141" s="366">
        <v>0.48299999999999998</v>
      </c>
      <c r="E141" s="321">
        <v>4.13</v>
      </c>
      <c r="F141" s="925">
        <v>0</v>
      </c>
      <c r="G141" s="315" t="s">
        <v>239</v>
      </c>
      <c r="H141" s="315">
        <v>60.5</v>
      </c>
      <c r="I141" s="315">
        <v>60.5</v>
      </c>
      <c r="J141" s="315">
        <v>58.5</v>
      </c>
      <c r="K141" s="513">
        <v>58.5</v>
      </c>
      <c r="L141" s="926" t="s">
        <v>388</v>
      </c>
      <c r="M141" s="331" t="s">
        <v>300</v>
      </c>
      <c r="N141" s="366" t="s">
        <v>238</v>
      </c>
      <c r="O141" s="323" t="s">
        <v>239</v>
      </c>
      <c r="P141" s="386" t="s">
        <v>239</v>
      </c>
      <c r="Q141" s="323" t="s">
        <v>239</v>
      </c>
      <c r="R141" s="366" t="s">
        <v>239</v>
      </c>
      <c r="S141" s="378" t="s">
        <v>389</v>
      </c>
      <c r="T141" s="324" t="s">
        <v>240</v>
      </c>
      <c r="U141" s="386">
        <v>240</v>
      </c>
      <c r="V141" s="386">
        <v>2450</v>
      </c>
      <c r="W141" s="386">
        <v>500</v>
      </c>
      <c r="X141" s="386">
        <v>6000</v>
      </c>
      <c r="Y141" s="386">
        <v>85</v>
      </c>
      <c r="Z141" s="386">
        <v>85</v>
      </c>
      <c r="AA141" s="386">
        <v>500</v>
      </c>
      <c r="AB141" s="392">
        <v>5.89</v>
      </c>
      <c r="AC141" s="28">
        <v>0</v>
      </c>
      <c r="AD141" s="28">
        <v>1</v>
      </c>
      <c r="AE141" s="28">
        <v>1</v>
      </c>
      <c r="AF141" s="28">
        <v>1</v>
      </c>
      <c r="AG141" s="28">
        <v>1</v>
      </c>
      <c r="AH141" s="28">
        <v>1</v>
      </c>
      <c r="AI141" s="28">
        <v>1</v>
      </c>
      <c r="AJ141" s="28">
        <v>1</v>
      </c>
    </row>
    <row r="142" spans="1:36" x14ac:dyDescent="0.25">
      <c r="A142" s="298" t="str">
        <f>IF('Kwaliteit conversie'!$D$4='Prijs karton'!C142,"X"," ")</f>
        <v xml:space="preserve"> </v>
      </c>
      <c r="B142" s="331" t="s">
        <v>32</v>
      </c>
      <c r="C142" s="359"/>
      <c r="D142" s="366"/>
      <c r="E142" s="321"/>
      <c r="F142" s="925"/>
      <c r="G142" s="315"/>
      <c r="H142" s="315"/>
      <c r="I142" s="315"/>
      <c r="J142" s="315"/>
      <c r="K142" s="513"/>
      <c r="L142" s="926"/>
      <c r="M142" s="331"/>
      <c r="N142" s="366"/>
      <c r="O142" s="323"/>
      <c r="P142" s="386"/>
      <c r="Q142" s="323"/>
      <c r="R142" s="366"/>
      <c r="S142" s="378"/>
      <c r="T142" s="324"/>
      <c r="U142" s="386"/>
      <c r="V142" s="386"/>
      <c r="W142" s="386"/>
      <c r="X142" s="386"/>
      <c r="Y142" s="386"/>
      <c r="Z142" s="386"/>
      <c r="AA142" s="386"/>
      <c r="AB142" s="392"/>
      <c r="AC142" s="28"/>
      <c r="AD142" s="28"/>
      <c r="AE142" s="28"/>
      <c r="AF142" s="28"/>
      <c r="AG142" s="28"/>
      <c r="AH142" s="28"/>
      <c r="AI142" s="28"/>
      <c r="AJ142" s="28"/>
    </row>
    <row r="143" spans="1:36" x14ac:dyDescent="0.25">
      <c r="A143" s="298" t="str">
        <f>IF('Kwaliteit conversie'!$D$4='Prijs karton'!C143,"X"," ")</f>
        <v xml:space="preserve"> </v>
      </c>
      <c r="B143" s="331" t="s">
        <v>32</v>
      </c>
      <c r="C143" s="359" t="s">
        <v>390</v>
      </c>
      <c r="D143" s="366">
        <v>0.47</v>
      </c>
      <c r="E143" s="321">
        <v>3.7</v>
      </c>
      <c r="F143" s="925">
        <v>0</v>
      </c>
      <c r="G143" s="315">
        <v>51.5</v>
      </c>
      <c r="H143" s="315">
        <v>48.5</v>
      </c>
      <c r="I143" s="315">
        <v>48</v>
      </c>
      <c r="J143" s="315">
        <v>48</v>
      </c>
      <c r="K143" s="513">
        <v>47.5</v>
      </c>
      <c r="L143" s="926" t="s">
        <v>391</v>
      </c>
      <c r="M143" s="331" t="s">
        <v>289</v>
      </c>
      <c r="N143" s="366" t="s">
        <v>357</v>
      </c>
      <c r="O143" s="323" t="s">
        <v>239</v>
      </c>
      <c r="P143" s="386" t="s">
        <v>239</v>
      </c>
      <c r="Q143" s="323" t="s">
        <v>239</v>
      </c>
      <c r="R143" s="366" t="s">
        <v>239</v>
      </c>
      <c r="S143" s="378" t="s">
        <v>257</v>
      </c>
      <c r="T143" s="324" t="s">
        <v>245</v>
      </c>
      <c r="U143" s="386">
        <v>250</v>
      </c>
      <c r="V143" s="386">
        <v>2450</v>
      </c>
      <c r="W143" s="386">
        <v>500</v>
      </c>
      <c r="X143" s="386">
        <v>6200</v>
      </c>
      <c r="Y143" s="386">
        <v>280</v>
      </c>
      <c r="Z143" s="386">
        <v>140</v>
      </c>
      <c r="AA143" s="386">
        <v>200</v>
      </c>
      <c r="AB143" s="392">
        <v>5.9</v>
      </c>
      <c r="AC143" s="28">
        <v>0</v>
      </c>
      <c r="AD143" s="28">
        <v>1</v>
      </c>
      <c r="AE143" s="28">
        <v>1</v>
      </c>
      <c r="AF143" s="28">
        <v>1</v>
      </c>
      <c r="AG143" s="28">
        <v>1</v>
      </c>
      <c r="AH143" s="28">
        <v>1</v>
      </c>
      <c r="AI143" s="28">
        <v>1</v>
      </c>
      <c r="AJ143" s="28">
        <v>1</v>
      </c>
    </row>
    <row r="144" spans="1:36" x14ac:dyDescent="0.25">
      <c r="A144" s="298" t="str">
        <f>IF('Kwaliteit conversie'!$D$4='Prijs karton'!C144,"X"," ")</f>
        <v xml:space="preserve"> </v>
      </c>
      <c r="B144" s="331" t="s">
        <v>32</v>
      </c>
      <c r="C144" s="359"/>
      <c r="D144" s="366"/>
      <c r="E144" s="321"/>
      <c r="F144" s="925"/>
      <c r="G144" s="315"/>
      <c r="H144" s="315"/>
      <c r="I144" s="315"/>
      <c r="J144" s="315"/>
      <c r="K144" s="513"/>
      <c r="L144" s="926"/>
      <c r="M144" s="331"/>
      <c r="N144" s="366"/>
      <c r="O144" s="323"/>
      <c r="P144" s="386"/>
      <c r="Q144" s="323"/>
      <c r="R144" s="366"/>
      <c r="S144" s="378"/>
      <c r="T144" s="324"/>
      <c r="U144" s="386"/>
      <c r="V144" s="386"/>
      <c r="W144" s="386"/>
      <c r="X144" s="386"/>
      <c r="Y144" s="386"/>
      <c r="Z144" s="386"/>
      <c r="AA144" s="386"/>
      <c r="AB144" s="392"/>
      <c r="AC144" s="28"/>
      <c r="AD144" s="28"/>
      <c r="AE144" s="28"/>
      <c r="AF144" s="28"/>
      <c r="AG144" s="28"/>
      <c r="AH144" s="28"/>
      <c r="AI144" s="28"/>
      <c r="AJ144" s="28"/>
    </row>
    <row r="145" spans="1:36" x14ac:dyDescent="0.25">
      <c r="A145" s="298" t="str">
        <f>IF('Kwaliteit conversie'!$D$4='Prijs karton'!C145,"X"," ")</f>
        <v xml:space="preserve"> </v>
      </c>
      <c r="B145" s="331" t="s">
        <v>32</v>
      </c>
      <c r="C145" s="359" t="s">
        <v>1413</v>
      </c>
      <c r="D145" s="366">
        <v>0.38</v>
      </c>
      <c r="E145" s="321">
        <v>3.75</v>
      </c>
      <c r="F145" s="925">
        <v>0</v>
      </c>
      <c r="G145" s="315">
        <v>36.5</v>
      </c>
      <c r="H145" s="315">
        <v>35</v>
      </c>
      <c r="I145" s="315">
        <v>34.700000000000003</v>
      </c>
      <c r="J145" s="315">
        <v>34.5</v>
      </c>
      <c r="K145" s="513">
        <v>34.5</v>
      </c>
      <c r="L145" s="926" t="s">
        <v>1414</v>
      </c>
      <c r="M145" s="331" t="s">
        <v>1363</v>
      </c>
      <c r="N145" s="366" t="s">
        <v>238</v>
      </c>
      <c r="O145" s="323" t="s">
        <v>239</v>
      </c>
      <c r="P145" s="386" t="s">
        <v>239</v>
      </c>
      <c r="Q145" s="323" t="s">
        <v>239</v>
      </c>
      <c r="R145" s="366" t="s">
        <v>239</v>
      </c>
      <c r="S145" s="378" t="s">
        <v>1363</v>
      </c>
      <c r="T145" s="324" t="s">
        <v>1364</v>
      </c>
      <c r="U145" s="386">
        <v>250</v>
      </c>
      <c r="V145" s="386">
        <v>2450</v>
      </c>
      <c r="W145" s="386">
        <v>600</v>
      </c>
      <c r="X145" s="386">
        <v>6000</v>
      </c>
      <c r="Y145" s="386">
        <v>210</v>
      </c>
      <c r="Z145" s="386">
        <v>105</v>
      </c>
      <c r="AA145" s="386">
        <v>200</v>
      </c>
      <c r="AB145" s="392">
        <v>4.21</v>
      </c>
      <c r="AC145" s="28">
        <v>0</v>
      </c>
      <c r="AD145" s="28">
        <v>1</v>
      </c>
      <c r="AE145" s="28">
        <v>1</v>
      </c>
      <c r="AF145" s="28">
        <v>1</v>
      </c>
      <c r="AG145" s="28">
        <v>1</v>
      </c>
      <c r="AH145" s="28">
        <v>1</v>
      </c>
      <c r="AI145" s="28">
        <v>1</v>
      </c>
      <c r="AJ145" s="28">
        <v>1</v>
      </c>
    </row>
    <row r="146" spans="1:36" x14ac:dyDescent="0.25">
      <c r="A146" s="298" t="str">
        <f>IF('Kwaliteit conversie'!$D$4='Prijs karton'!C146,"X"," ")</f>
        <v xml:space="preserve"> </v>
      </c>
      <c r="B146" s="331" t="s">
        <v>32</v>
      </c>
      <c r="C146" s="359" t="s">
        <v>1415</v>
      </c>
      <c r="D146" s="366">
        <v>0.46899999999999997</v>
      </c>
      <c r="E146" s="321">
        <v>3.91</v>
      </c>
      <c r="F146" s="925">
        <v>0</v>
      </c>
      <c r="G146" s="315">
        <v>44.2</v>
      </c>
      <c r="H146" s="315">
        <v>42.8</v>
      </c>
      <c r="I146" s="315">
        <v>42.5</v>
      </c>
      <c r="J146" s="315">
        <v>42.2</v>
      </c>
      <c r="K146" s="513">
        <v>42.2</v>
      </c>
      <c r="L146" s="926" t="s">
        <v>1416</v>
      </c>
      <c r="M146" s="331" t="s">
        <v>1363</v>
      </c>
      <c r="N146" s="366" t="s">
        <v>265</v>
      </c>
      <c r="O146" s="323" t="s">
        <v>239</v>
      </c>
      <c r="P146" s="386" t="s">
        <v>239</v>
      </c>
      <c r="Q146" s="323" t="s">
        <v>239</v>
      </c>
      <c r="R146" s="366" t="s">
        <v>239</v>
      </c>
      <c r="S146" s="378" t="s">
        <v>1367</v>
      </c>
      <c r="T146" s="324" t="s">
        <v>1364</v>
      </c>
      <c r="U146" s="386">
        <v>250</v>
      </c>
      <c r="V146" s="386">
        <v>2450</v>
      </c>
      <c r="W146" s="386">
        <v>600</v>
      </c>
      <c r="X146" s="386">
        <v>6000</v>
      </c>
      <c r="Y146" s="386">
        <v>210</v>
      </c>
      <c r="Z146" s="386">
        <v>105</v>
      </c>
      <c r="AA146" s="386">
        <v>200</v>
      </c>
      <c r="AB146" s="392">
        <v>5.34</v>
      </c>
      <c r="AC146" s="28">
        <v>0</v>
      </c>
      <c r="AD146" s="28">
        <v>1</v>
      </c>
      <c r="AE146" s="28">
        <v>1</v>
      </c>
      <c r="AF146" s="28">
        <v>1</v>
      </c>
      <c r="AG146" s="28">
        <v>1</v>
      </c>
      <c r="AH146" s="28">
        <v>1</v>
      </c>
      <c r="AI146" s="28">
        <v>1</v>
      </c>
      <c r="AJ146" s="28">
        <v>1</v>
      </c>
    </row>
    <row r="147" spans="1:36" x14ac:dyDescent="0.25">
      <c r="A147" s="298" t="str">
        <f>IF('Kwaliteit conversie'!$D$4='Prijs karton'!C147,"X"," ")</f>
        <v xml:space="preserve"> </v>
      </c>
      <c r="B147" s="331" t="s">
        <v>32</v>
      </c>
      <c r="C147" s="359" t="s">
        <v>1417</v>
      </c>
      <c r="D147" s="366">
        <v>0.39500000000000002</v>
      </c>
      <c r="E147" s="321">
        <v>3.77</v>
      </c>
      <c r="F147" s="925">
        <v>0</v>
      </c>
      <c r="G147" s="315">
        <v>41.3</v>
      </c>
      <c r="H147" s="315">
        <v>40</v>
      </c>
      <c r="I147" s="315">
        <v>39.700000000000003</v>
      </c>
      <c r="J147" s="315">
        <v>39.4</v>
      </c>
      <c r="K147" s="513">
        <v>39.4</v>
      </c>
      <c r="L147" s="926" t="s">
        <v>1418</v>
      </c>
      <c r="M147" s="331" t="s">
        <v>1362</v>
      </c>
      <c r="N147" s="366" t="s">
        <v>238</v>
      </c>
      <c r="O147" s="323" t="s">
        <v>239</v>
      </c>
      <c r="P147" s="386" t="s">
        <v>239</v>
      </c>
      <c r="Q147" s="323" t="s">
        <v>239</v>
      </c>
      <c r="R147" s="366" t="s">
        <v>239</v>
      </c>
      <c r="S147" s="378" t="s">
        <v>1363</v>
      </c>
      <c r="T147" s="324" t="s">
        <v>1364</v>
      </c>
      <c r="U147" s="386">
        <v>250</v>
      </c>
      <c r="V147" s="386">
        <v>2450</v>
      </c>
      <c r="W147" s="386">
        <v>600</v>
      </c>
      <c r="X147" s="386">
        <v>6000</v>
      </c>
      <c r="Y147" s="386">
        <v>210</v>
      </c>
      <c r="Z147" s="386">
        <v>105</v>
      </c>
      <c r="AA147" s="386">
        <v>200</v>
      </c>
      <c r="AB147" s="392">
        <v>4.6900000000000004</v>
      </c>
      <c r="AC147" s="28">
        <v>0</v>
      </c>
      <c r="AD147" s="28">
        <v>1</v>
      </c>
      <c r="AE147" s="28">
        <v>1</v>
      </c>
      <c r="AF147" s="28">
        <v>1</v>
      </c>
      <c r="AG147" s="28">
        <v>1</v>
      </c>
      <c r="AH147" s="28">
        <v>1</v>
      </c>
      <c r="AI147" s="28">
        <v>1</v>
      </c>
      <c r="AJ147" s="28">
        <v>1</v>
      </c>
    </row>
    <row r="148" spans="1:36" x14ac:dyDescent="0.25">
      <c r="A148" s="298" t="str">
        <f>IF('Kwaliteit conversie'!$D$4='Prijs karton'!C148,"X"," ")</f>
        <v xml:space="preserve"> </v>
      </c>
      <c r="B148" s="331" t="s">
        <v>32</v>
      </c>
      <c r="C148" s="359" t="s">
        <v>1419</v>
      </c>
      <c r="D148" s="366">
        <v>0.435</v>
      </c>
      <c r="E148" s="321">
        <v>3.83</v>
      </c>
      <c r="F148" s="925">
        <v>0</v>
      </c>
      <c r="G148" s="315">
        <v>43.1</v>
      </c>
      <c r="H148" s="315">
        <v>41.7</v>
      </c>
      <c r="I148" s="315">
        <v>41.5</v>
      </c>
      <c r="J148" s="315">
        <v>41.2</v>
      </c>
      <c r="K148" s="513">
        <v>41.2</v>
      </c>
      <c r="L148" s="926" t="s">
        <v>1420</v>
      </c>
      <c r="M148" s="331" t="s">
        <v>277</v>
      </c>
      <c r="N148" s="366" t="s">
        <v>238</v>
      </c>
      <c r="O148" s="323" t="s">
        <v>239</v>
      </c>
      <c r="P148" s="386" t="s">
        <v>239</v>
      </c>
      <c r="Q148" s="323" t="s">
        <v>239</v>
      </c>
      <c r="R148" s="366" t="s">
        <v>239</v>
      </c>
      <c r="S148" s="378" t="s">
        <v>1367</v>
      </c>
      <c r="T148" s="324" t="s">
        <v>1364</v>
      </c>
      <c r="U148" s="386">
        <v>250</v>
      </c>
      <c r="V148" s="386">
        <v>2450</v>
      </c>
      <c r="W148" s="386">
        <v>600</v>
      </c>
      <c r="X148" s="386">
        <v>6000</v>
      </c>
      <c r="Y148" s="386">
        <v>210</v>
      </c>
      <c r="Z148" s="386">
        <v>105</v>
      </c>
      <c r="AA148" s="386">
        <v>200</v>
      </c>
      <c r="AB148" s="392">
        <v>5.0999999999999996</v>
      </c>
      <c r="AC148" s="28">
        <v>0</v>
      </c>
      <c r="AD148" s="28">
        <v>1</v>
      </c>
      <c r="AE148" s="28">
        <v>1</v>
      </c>
      <c r="AF148" s="28">
        <v>1</v>
      </c>
      <c r="AG148" s="28">
        <v>1</v>
      </c>
      <c r="AH148" s="28">
        <v>1</v>
      </c>
      <c r="AI148" s="28">
        <v>1</v>
      </c>
      <c r="AJ148" s="28">
        <v>1</v>
      </c>
    </row>
    <row r="149" spans="1:36" x14ac:dyDescent="0.25">
      <c r="A149" s="298" t="str">
        <f>IF('Kwaliteit conversie'!$D$4='Prijs karton'!C149,"X"," ")</f>
        <v xml:space="preserve"> </v>
      </c>
      <c r="B149" s="331" t="s">
        <v>32</v>
      </c>
      <c r="C149" s="359" t="s">
        <v>1421</v>
      </c>
      <c r="D149" s="366">
        <v>0.495</v>
      </c>
      <c r="E149" s="321">
        <v>3.91</v>
      </c>
      <c r="F149" s="925">
        <v>0</v>
      </c>
      <c r="G149" s="315">
        <v>50.6</v>
      </c>
      <c r="H149" s="315">
        <v>49.3</v>
      </c>
      <c r="I149" s="315">
        <v>49</v>
      </c>
      <c r="J149" s="315">
        <v>48.7</v>
      </c>
      <c r="K149" s="513">
        <v>48.7</v>
      </c>
      <c r="L149" s="926" t="s">
        <v>1422</v>
      </c>
      <c r="M149" s="331" t="s">
        <v>1372</v>
      </c>
      <c r="N149" s="366" t="s">
        <v>265</v>
      </c>
      <c r="O149" s="323" t="s">
        <v>239</v>
      </c>
      <c r="P149" s="386" t="s">
        <v>239</v>
      </c>
      <c r="Q149" s="323" t="s">
        <v>239</v>
      </c>
      <c r="R149" s="366" t="s">
        <v>239</v>
      </c>
      <c r="S149" s="378" t="s">
        <v>1363</v>
      </c>
      <c r="T149" s="324" t="s">
        <v>1364</v>
      </c>
      <c r="U149" s="386">
        <v>250</v>
      </c>
      <c r="V149" s="386">
        <v>2450</v>
      </c>
      <c r="W149" s="386">
        <v>600</v>
      </c>
      <c r="X149" s="386">
        <v>6000</v>
      </c>
      <c r="Y149" s="386">
        <v>210</v>
      </c>
      <c r="Z149" s="386">
        <v>105</v>
      </c>
      <c r="AA149" s="386">
        <v>200</v>
      </c>
      <c r="AB149" s="392">
        <v>5.82</v>
      </c>
      <c r="AC149" s="28">
        <v>0</v>
      </c>
      <c r="AD149" s="28">
        <v>1</v>
      </c>
      <c r="AE149" s="28">
        <v>1</v>
      </c>
      <c r="AF149" s="28">
        <v>1</v>
      </c>
      <c r="AG149" s="28">
        <v>1</v>
      </c>
      <c r="AH149" s="28">
        <v>1</v>
      </c>
      <c r="AI149" s="28">
        <v>1</v>
      </c>
      <c r="AJ149" s="28">
        <v>1</v>
      </c>
    </row>
    <row r="150" spans="1:36" x14ac:dyDescent="0.25">
      <c r="A150" s="298" t="str">
        <f>IF('Kwaliteit conversie'!$D$4='Prijs karton'!C150,"X"," ")</f>
        <v xml:space="preserve"> </v>
      </c>
      <c r="B150" s="331" t="s">
        <v>32</v>
      </c>
      <c r="C150" s="359"/>
      <c r="D150" s="366"/>
      <c r="E150" s="321"/>
      <c r="F150" s="925"/>
      <c r="G150" s="315"/>
      <c r="H150" s="315"/>
      <c r="I150" s="315"/>
      <c r="J150" s="315"/>
      <c r="K150" s="513"/>
      <c r="L150" s="926"/>
      <c r="M150" s="331"/>
      <c r="N150" s="366"/>
      <c r="O150" s="323"/>
      <c r="P150" s="386"/>
      <c r="Q150" s="323"/>
      <c r="R150" s="366"/>
      <c r="S150" s="378"/>
      <c r="T150" s="324"/>
      <c r="U150" s="386"/>
      <c r="V150" s="386"/>
      <c r="W150" s="386"/>
      <c r="X150" s="386"/>
      <c r="Y150" s="386"/>
      <c r="Z150" s="386"/>
      <c r="AA150" s="386"/>
      <c r="AB150" s="392"/>
      <c r="AC150" s="28"/>
      <c r="AD150" s="28"/>
      <c r="AE150" s="28"/>
      <c r="AF150" s="28"/>
      <c r="AG150" s="28"/>
      <c r="AH150" s="28"/>
      <c r="AI150" s="28"/>
      <c r="AJ150" s="28"/>
    </row>
    <row r="151" spans="1:36" x14ac:dyDescent="0.25">
      <c r="A151" s="298" t="str">
        <f>IF('Kwaliteit conversie'!$D$4='Prijs karton'!C151,"X"," ")</f>
        <v xml:space="preserve"> </v>
      </c>
      <c r="B151" s="331" t="s">
        <v>32</v>
      </c>
      <c r="C151" s="359"/>
      <c r="D151" s="366"/>
      <c r="E151" s="321"/>
      <c r="F151" s="925"/>
      <c r="G151" s="315"/>
      <c r="H151" s="315"/>
      <c r="I151" s="315"/>
      <c r="J151" s="315"/>
      <c r="K151" s="513"/>
      <c r="L151" s="926"/>
      <c r="M151" s="331"/>
      <c r="N151" s="366"/>
      <c r="O151" s="323"/>
      <c r="P151" s="386"/>
      <c r="Q151" s="323"/>
      <c r="R151" s="366"/>
      <c r="S151" s="378"/>
      <c r="T151" s="324"/>
      <c r="U151" s="386"/>
      <c r="V151" s="386"/>
      <c r="W151" s="386"/>
      <c r="X151" s="386"/>
      <c r="Y151" s="386"/>
      <c r="Z151" s="386"/>
      <c r="AA151" s="386"/>
      <c r="AB151" s="392"/>
      <c r="AC151" s="28"/>
      <c r="AD151" s="28"/>
      <c r="AE151" s="28"/>
      <c r="AF151" s="28"/>
      <c r="AG151" s="28"/>
      <c r="AH151" s="28"/>
      <c r="AI151" s="28"/>
      <c r="AJ151" s="28"/>
    </row>
    <row r="152" spans="1:36" x14ac:dyDescent="0.25">
      <c r="A152" s="298" t="str">
        <f>IF('Kwaliteit conversie'!$D$4='Prijs karton'!C152,"X"," ")</f>
        <v xml:space="preserve"> </v>
      </c>
      <c r="B152" s="331" t="s">
        <v>32</v>
      </c>
      <c r="C152" s="359"/>
      <c r="D152" s="366"/>
      <c r="E152" s="321"/>
      <c r="F152" s="925"/>
      <c r="G152" s="315"/>
      <c r="H152" s="315"/>
      <c r="I152" s="315"/>
      <c r="J152" s="315"/>
      <c r="K152" s="513"/>
      <c r="L152" s="926"/>
      <c r="M152" s="331"/>
      <c r="N152" s="366"/>
      <c r="O152" s="323"/>
      <c r="P152" s="386"/>
      <c r="Q152" s="323"/>
      <c r="R152" s="366"/>
      <c r="S152" s="378"/>
      <c r="T152" s="324"/>
      <c r="U152" s="386"/>
      <c r="V152" s="386"/>
      <c r="W152" s="386"/>
      <c r="X152" s="386"/>
      <c r="Y152" s="386"/>
      <c r="Z152" s="386"/>
      <c r="AA152" s="386"/>
      <c r="AB152" s="392"/>
      <c r="AC152" s="28"/>
      <c r="AD152" s="28"/>
      <c r="AE152" s="28"/>
      <c r="AF152" s="28"/>
      <c r="AG152" s="28"/>
      <c r="AH152" s="28"/>
      <c r="AI152" s="28"/>
      <c r="AJ152" s="28"/>
    </row>
    <row r="153" spans="1:36" x14ac:dyDescent="0.25">
      <c r="A153" s="298" t="str">
        <f>IF('Kwaliteit conversie'!$D$4='Prijs karton'!C153,"X"," ")</f>
        <v xml:space="preserve"> </v>
      </c>
      <c r="B153" s="331" t="s">
        <v>32</v>
      </c>
      <c r="C153" s="359"/>
      <c r="D153" s="366"/>
      <c r="E153" s="321"/>
      <c r="F153" s="925"/>
      <c r="G153" s="315"/>
      <c r="H153" s="315"/>
      <c r="I153" s="315"/>
      <c r="J153" s="315"/>
      <c r="K153" s="513"/>
      <c r="L153" s="926"/>
      <c r="M153" s="331"/>
      <c r="N153" s="366"/>
      <c r="O153" s="323"/>
      <c r="P153" s="386"/>
      <c r="Q153" s="323"/>
      <c r="R153" s="366"/>
      <c r="S153" s="378"/>
      <c r="T153" s="324"/>
      <c r="U153" s="386"/>
      <c r="V153" s="386"/>
      <c r="W153" s="386"/>
      <c r="X153" s="386"/>
      <c r="Y153" s="386"/>
      <c r="Z153" s="386"/>
      <c r="AA153" s="386"/>
      <c r="AB153" s="392"/>
      <c r="AC153" s="28"/>
      <c r="AD153" s="28"/>
      <c r="AE153" s="28"/>
      <c r="AF153" s="28"/>
      <c r="AG153" s="28"/>
      <c r="AH153" s="28"/>
      <c r="AI153" s="28"/>
      <c r="AJ153" s="28"/>
    </row>
    <row r="154" spans="1:36" x14ac:dyDescent="0.25">
      <c r="A154" s="298" t="str">
        <f>IF('Kwaliteit conversie'!$D$4='Prijs karton'!C154,"X"," ")</f>
        <v xml:space="preserve"> </v>
      </c>
      <c r="B154" s="331" t="s">
        <v>32</v>
      </c>
      <c r="C154" s="359"/>
      <c r="D154" s="366"/>
      <c r="E154" s="321"/>
      <c r="F154" s="925"/>
      <c r="G154" s="315"/>
      <c r="H154" s="315"/>
      <c r="I154" s="315"/>
      <c r="J154" s="315"/>
      <c r="K154" s="513"/>
      <c r="L154" s="926"/>
      <c r="M154" s="331"/>
      <c r="N154" s="366"/>
      <c r="O154" s="323"/>
      <c r="P154" s="386"/>
      <c r="Q154" s="323"/>
      <c r="R154" s="366"/>
      <c r="S154" s="378"/>
      <c r="T154" s="324"/>
      <c r="U154" s="386"/>
      <c r="V154" s="386"/>
      <c r="W154" s="386"/>
      <c r="X154" s="386"/>
      <c r="Y154" s="386"/>
      <c r="Z154" s="386"/>
      <c r="AA154" s="386"/>
      <c r="AB154" s="392"/>
      <c r="AC154" s="28"/>
      <c r="AD154" s="28"/>
      <c r="AE154" s="28"/>
      <c r="AF154" s="28"/>
      <c r="AG154" s="28"/>
      <c r="AH154" s="28"/>
      <c r="AI154" s="28"/>
      <c r="AJ154" s="28"/>
    </row>
    <row r="155" spans="1:36" x14ac:dyDescent="0.25">
      <c r="A155" s="298" t="str">
        <f>IF('Kwaliteit conversie'!$D$4='Prijs karton'!C155,"X"," ")</f>
        <v xml:space="preserve"> </v>
      </c>
      <c r="B155" s="331" t="s">
        <v>32</v>
      </c>
      <c r="C155" s="359"/>
      <c r="D155" s="366"/>
      <c r="E155" s="321"/>
      <c r="F155" s="925"/>
      <c r="G155" s="315"/>
      <c r="H155" s="315"/>
      <c r="I155" s="315"/>
      <c r="J155" s="315"/>
      <c r="K155" s="513"/>
      <c r="L155" s="926"/>
      <c r="M155" s="331"/>
      <c r="N155" s="366"/>
      <c r="O155" s="323"/>
      <c r="P155" s="386"/>
      <c r="Q155" s="323"/>
      <c r="R155" s="366"/>
      <c r="S155" s="378"/>
      <c r="T155" s="324"/>
      <c r="U155" s="386"/>
      <c r="V155" s="386"/>
      <c r="W155" s="386"/>
      <c r="X155" s="386"/>
      <c r="Y155" s="386"/>
      <c r="Z155" s="386"/>
      <c r="AA155" s="386"/>
      <c r="AB155" s="392"/>
      <c r="AC155" s="28"/>
      <c r="AD155" s="28"/>
      <c r="AE155" s="28"/>
      <c r="AF155" s="28"/>
      <c r="AG155" s="28"/>
      <c r="AH155" s="28"/>
      <c r="AI155" s="28"/>
      <c r="AJ155" s="28"/>
    </row>
    <row r="156" spans="1:36" s="320" customFormat="1" x14ac:dyDescent="0.25">
      <c r="A156" s="329" t="str">
        <f>IF('Kwaliteit conversie'!$D$4='Prijs karton'!C156,"X"," ")</f>
        <v xml:space="preserve"> </v>
      </c>
      <c r="B156" s="332" t="s">
        <v>32</v>
      </c>
      <c r="C156" s="360" t="s">
        <v>392</v>
      </c>
      <c r="D156" s="367">
        <v>0.5</v>
      </c>
      <c r="E156" s="322">
        <v>3.8</v>
      </c>
      <c r="F156" s="927">
        <v>0</v>
      </c>
      <c r="G156" s="319">
        <v>0</v>
      </c>
      <c r="H156" s="319">
        <v>0</v>
      </c>
      <c r="I156" s="319">
        <v>0</v>
      </c>
      <c r="J156" s="319">
        <v>0</v>
      </c>
      <c r="K156" s="928">
        <v>0</v>
      </c>
      <c r="L156" s="929" t="s">
        <v>239</v>
      </c>
      <c r="M156" s="379" t="s">
        <v>239</v>
      </c>
      <c r="N156" s="367" t="s">
        <v>239</v>
      </c>
      <c r="O156" s="325" t="s">
        <v>239</v>
      </c>
      <c r="P156" s="387" t="s">
        <v>239</v>
      </c>
      <c r="Q156" s="325" t="s">
        <v>239</v>
      </c>
      <c r="R156" s="367" t="s">
        <v>239</v>
      </c>
      <c r="S156" s="380" t="s">
        <v>239</v>
      </c>
      <c r="T156" s="326" t="s">
        <v>245</v>
      </c>
      <c r="U156" s="387">
        <v>250</v>
      </c>
      <c r="V156" s="387">
        <v>2450</v>
      </c>
      <c r="W156" s="387">
        <v>500</v>
      </c>
      <c r="X156" s="387">
        <v>6200</v>
      </c>
      <c r="Y156" s="387">
        <v>280</v>
      </c>
      <c r="Z156" s="387">
        <v>140</v>
      </c>
      <c r="AA156" s="387">
        <v>200</v>
      </c>
      <c r="AB156" s="393">
        <v>5</v>
      </c>
      <c r="AC156" s="34">
        <v>0</v>
      </c>
      <c r="AD156" s="34">
        <v>1</v>
      </c>
      <c r="AE156" s="34">
        <v>1</v>
      </c>
      <c r="AF156" s="34">
        <v>1</v>
      </c>
      <c r="AG156" s="34">
        <v>1</v>
      </c>
      <c r="AH156" s="34">
        <v>1</v>
      </c>
      <c r="AI156" s="34">
        <v>1</v>
      </c>
      <c r="AJ156" s="34">
        <v>1</v>
      </c>
    </row>
    <row r="157" spans="1:36" x14ac:dyDescent="0.25">
      <c r="A157" s="298" t="str">
        <f>IF('Kwaliteit conversie'!$D$4='Prijs karton'!C157,"X"," ")</f>
        <v xml:space="preserve"> </v>
      </c>
      <c r="B157" s="331"/>
      <c r="C157" s="359"/>
      <c r="D157" s="366"/>
      <c r="E157" s="321"/>
      <c r="F157" s="925"/>
      <c r="G157" s="315"/>
      <c r="H157" s="315"/>
      <c r="I157" s="315"/>
      <c r="J157" s="315"/>
      <c r="K157" s="513"/>
      <c r="L157" s="926"/>
      <c r="M157" s="331"/>
      <c r="N157" s="366"/>
      <c r="O157" s="323"/>
      <c r="P157" s="386"/>
      <c r="Q157" s="323"/>
      <c r="R157" s="366"/>
      <c r="S157" s="378"/>
      <c r="T157" s="324"/>
      <c r="U157" s="386"/>
      <c r="V157" s="386"/>
      <c r="W157" s="386"/>
      <c r="X157" s="386"/>
      <c r="Y157" s="386"/>
      <c r="Z157" s="386"/>
      <c r="AA157" s="386"/>
      <c r="AB157" s="392"/>
      <c r="AC157" s="28"/>
      <c r="AD157" s="28"/>
      <c r="AE157" s="28"/>
      <c r="AF157" s="28"/>
      <c r="AG157" s="28"/>
      <c r="AH157" s="28"/>
      <c r="AI157" s="28"/>
      <c r="AJ157" s="28"/>
    </row>
    <row r="158" spans="1:36" x14ac:dyDescent="0.25">
      <c r="A158" s="298" t="str">
        <f>IF('Kwaliteit conversie'!$D$4='Prijs karton'!C158,"X"," ")</f>
        <v xml:space="preserve"> </v>
      </c>
      <c r="B158" s="331"/>
      <c r="C158" s="359"/>
      <c r="D158" s="366"/>
      <c r="E158" s="321"/>
      <c r="F158" s="925"/>
      <c r="G158" s="315"/>
      <c r="H158" s="315"/>
      <c r="I158" s="315"/>
      <c r="J158" s="315"/>
      <c r="K158" s="513"/>
      <c r="L158" s="926"/>
      <c r="M158" s="331"/>
      <c r="N158" s="366"/>
      <c r="O158" s="323"/>
      <c r="P158" s="386"/>
      <c r="Q158" s="323"/>
      <c r="R158" s="366"/>
      <c r="S158" s="378"/>
      <c r="T158" s="324"/>
      <c r="U158" s="386"/>
      <c r="V158" s="386"/>
      <c r="W158" s="386"/>
      <c r="X158" s="386"/>
      <c r="Y158" s="386"/>
      <c r="Z158" s="386"/>
      <c r="AA158" s="386"/>
      <c r="AB158" s="392"/>
      <c r="AC158" s="28"/>
      <c r="AD158" s="28"/>
      <c r="AE158" s="28"/>
      <c r="AF158" s="28"/>
      <c r="AG158" s="28"/>
      <c r="AH158" s="28"/>
      <c r="AI158" s="28"/>
      <c r="AJ158" s="28"/>
    </row>
    <row r="159" spans="1:36" x14ac:dyDescent="0.25">
      <c r="A159" s="298" t="str">
        <f>IF('Kwaliteit conversie'!$D$4='Prijs karton'!C159,"X"," ")</f>
        <v xml:space="preserve"> </v>
      </c>
      <c r="B159" s="331"/>
      <c r="C159" s="359"/>
      <c r="D159" s="366"/>
      <c r="E159" s="321"/>
      <c r="F159" s="925"/>
      <c r="G159" s="315"/>
      <c r="H159" s="315"/>
      <c r="I159" s="315"/>
      <c r="J159" s="315"/>
      <c r="K159" s="513"/>
      <c r="L159" s="926"/>
      <c r="M159" s="331"/>
      <c r="N159" s="366"/>
      <c r="O159" s="323"/>
      <c r="P159" s="386"/>
      <c r="Q159" s="323"/>
      <c r="R159" s="366"/>
      <c r="S159" s="378"/>
      <c r="T159" s="324"/>
      <c r="U159" s="386"/>
      <c r="V159" s="386"/>
      <c r="W159" s="386"/>
      <c r="X159" s="386"/>
      <c r="Y159" s="386"/>
      <c r="Z159" s="386"/>
      <c r="AA159" s="386"/>
      <c r="AB159" s="392"/>
      <c r="AC159" s="28"/>
      <c r="AD159" s="28"/>
      <c r="AE159" s="28"/>
      <c r="AF159" s="28"/>
      <c r="AG159" s="28"/>
      <c r="AH159" s="28"/>
      <c r="AI159" s="28"/>
      <c r="AJ159" s="28"/>
    </row>
    <row r="160" spans="1:36" x14ac:dyDescent="0.25">
      <c r="A160" s="298" t="str">
        <f>IF('Kwaliteit conversie'!$D$4='Prijs karton'!C160,"X"," ")</f>
        <v xml:space="preserve"> </v>
      </c>
      <c r="B160" s="331" t="s">
        <v>37</v>
      </c>
      <c r="C160" s="359"/>
      <c r="D160" s="366"/>
      <c r="E160" s="321"/>
      <c r="F160" s="925"/>
      <c r="G160" s="315"/>
      <c r="H160" s="315"/>
      <c r="I160" s="315"/>
      <c r="J160" s="315"/>
      <c r="K160" s="513"/>
      <c r="L160" s="926"/>
      <c r="M160" s="331"/>
      <c r="N160" s="366"/>
      <c r="O160" s="323"/>
      <c r="P160" s="386"/>
      <c r="Q160" s="323"/>
      <c r="R160" s="366"/>
      <c r="S160" s="378"/>
      <c r="T160" s="324"/>
      <c r="U160" s="386"/>
      <c r="V160" s="386"/>
      <c r="W160" s="386"/>
      <c r="X160" s="386"/>
      <c r="Y160" s="386"/>
      <c r="Z160" s="386"/>
      <c r="AA160" s="386"/>
      <c r="AB160" s="392"/>
      <c r="AC160" s="28"/>
      <c r="AD160" s="28"/>
      <c r="AE160" s="28"/>
      <c r="AF160" s="28"/>
      <c r="AG160" s="28"/>
      <c r="AH160" s="28"/>
      <c r="AI160" s="28"/>
      <c r="AJ160" s="28"/>
    </row>
    <row r="161" spans="1:36" x14ac:dyDescent="0.25">
      <c r="A161" s="932" t="str">
        <f>IF('Kwaliteit conversie'!$D$4='Prijs karton'!C161,"X"," ")</f>
        <v xml:space="preserve"> </v>
      </c>
      <c r="B161" s="331" t="s">
        <v>37</v>
      </c>
      <c r="C161" s="359" t="s">
        <v>393</v>
      </c>
      <c r="D161" s="366">
        <v>1.28</v>
      </c>
      <c r="E161" s="321">
        <v>8.6999999999999993</v>
      </c>
      <c r="F161" s="925">
        <v>0</v>
      </c>
      <c r="G161" s="315">
        <v>149</v>
      </c>
      <c r="H161" s="315">
        <v>146</v>
      </c>
      <c r="I161" s="315">
        <v>145.5</v>
      </c>
      <c r="J161" s="315">
        <v>145.5</v>
      </c>
      <c r="K161" s="513">
        <v>145</v>
      </c>
      <c r="L161" s="926" t="s">
        <v>394</v>
      </c>
      <c r="M161" s="331" t="s">
        <v>360</v>
      </c>
      <c r="N161" s="366" t="s">
        <v>357</v>
      </c>
      <c r="O161" s="323" t="s">
        <v>360</v>
      </c>
      <c r="P161" s="386" t="s">
        <v>357</v>
      </c>
      <c r="Q161" s="323" t="s">
        <v>239</v>
      </c>
      <c r="R161" s="366" t="s">
        <v>239</v>
      </c>
      <c r="S161" s="378" t="s">
        <v>360</v>
      </c>
      <c r="T161" s="324" t="s">
        <v>245</v>
      </c>
      <c r="U161" s="386">
        <v>250</v>
      </c>
      <c r="V161" s="386">
        <v>2450</v>
      </c>
      <c r="W161" s="386">
        <v>800</v>
      </c>
      <c r="X161" s="386">
        <v>6200</v>
      </c>
      <c r="Y161" s="386">
        <v>160</v>
      </c>
      <c r="Z161" s="386">
        <v>80</v>
      </c>
      <c r="AA161" s="386">
        <v>300</v>
      </c>
      <c r="AB161" s="392">
        <v>17.2</v>
      </c>
      <c r="AC161" s="28">
        <v>0</v>
      </c>
      <c r="AD161" s="28">
        <v>0</v>
      </c>
      <c r="AE161" s="28">
        <v>1</v>
      </c>
      <c r="AF161" s="28">
        <v>0</v>
      </c>
      <c r="AG161" s="28">
        <v>0</v>
      </c>
      <c r="AH161" s="28">
        <v>1</v>
      </c>
      <c r="AI161" s="28">
        <v>0</v>
      </c>
      <c r="AJ161" s="28">
        <v>1</v>
      </c>
    </row>
    <row r="162" spans="1:36" x14ac:dyDescent="0.25">
      <c r="A162" s="298" t="str">
        <f>IF('Kwaliteit conversie'!$D$4='Prijs karton'!C162,"X"," ")</f>
        <v xml:space="preserve"> </v>
      </c>
      <c r="B162" s="331" t="s">
        <v>37</v>
      </c>
      <c r="C162" s="359" t="s">
        <v>395</v>
      </c>
      <c r="D162" s="366">
        <v>1.415</v>
      </c>
      <c r="E162" s="321">
        <v>8.9</v>
      </c>
      <c r="F162" s="925">
        <v>0</v>
      </c>
      <c r="G162" s="315">
        <v>163.5</v>
      </c>
      <c r="H162" s="315">
        <v>160.5</v>
      </c>
      <c r="I162" s="315">
        <v>160</v>
      </c>
      <c r="J162" s="315">
        <v>160</v>
      </c>
      <c r="K162" s="513">
        <v>159.5</v>
      </c>
      <c r="L162" s="926" t="s">
        <v>396</v>
      </c>
      <c r="M162" s="331" t="s">
        <v>397</v>
      </c>
      <c r="N162" s="366" t="s">
        <v>398</v>
      </c>
      <c r="O162" s="323" t="s">
        <v>399</v>
      </c>
      <c r="P162" s="386" t="s">
        <v>398</v>
      </c>
      <c r="Q162" s="323" t="s">
        <v>239</v>
      </c>
      <c r="R162" s="366" t="s">
        <v>239</v>
      </c>
      <c r="S162" s="378" t="s">
        <v>397</v>
      </c>
      <c r="T162" s="324" t="s">
        <v>245</v>
      </c>
      <c r="U162" s="386">
        <v>250</v>
      </c>
      <c r="V162" s="386">
        <v>2450</v>
      </c>
      <c r="W162" s="386">
        <v>800</v>
      </c>
      <c r="X162" s="386">
        <v>6200</v>
      </c>
      <c r="Y162" s="386">
        <v>160</v>
      </c>
      <c r="Z162" s="386">
        <v>80</v>
      </c>
      <c r="AA162" s="386">
        <v>300</v>
      </c>
      <c r="AB162" s="392">
        <v>19.600000000000001</v>
      </c>
      <c r="AC162" s="28">
        <v>0</v>
      </c>
      <c r="AD162" s="28">
        <v>0</v>
      </c>
      <c r="AE162" s="28">
        <v>1</v>
      </c>
      <c r="AF162" s="28">
        <v>0</v>
      </c>
      <c r="AG162" s="28">
        <v>0</v>
      </c>
      <c r="AH162" s="28">
        <v>1</v>
      </c>
      <c r="AI162" s="28">
        <v>0</v>
      </c>
      <c r="AJ162" s="28">
        <v>1</v>
      </c>
    </row>
    <row r="163" spans="1:36" x14ac:dyDescent="0.25">
      <c r="A163" s="298" t="str">
        <f>IF('Kwaliteit conversie'!$D$4='Prijs karton'!C163,"X"," ")</f>
        <v xml:space="preserve"> </v>
      </c>
      <c r="B163" s="331" t="s">
        <v>37</v>
      </c>
      <c r="C163" s="359"/>
      <c r="D163" s="366"/>
      <c r="E163" s="321"/>
      <c r="F163" s="925"/>
      <c r="G163" s="315"/>
      <c r="H163" s="315"/>
      <c r="I163" s="315"/>
      <c r="J163" s="315"/>
      <c r="K163" s="513"/>
      <c r="L163" s="926"/>
      <c r="M163" s="331"/>
      <c r="N163" s="366"/>
      <c r="O163" s="323"/>
      <c r="P163" s="386"/>
      <c r="Q163" s="323"/>
      <c r="R163" s="366"/>
      <c r="S163" s="378"/>
      <c r="T163" s="324"/>
      <c r="U163" s="386"/>
      <c r="V163" s="386"/>
      <c r="W163" s="386"/>
      <c r="X163" s="386"/>
      <c r="Y163" s="386"/>
      <c r="Z163" s="386"/>
      <c r="AA163" s="386"/>
      <c r="AB163" s="392"/>
      <c r="AC163" s="28"/>
      <c r="AD163" s="28"/>
      <c r="AE163" s="28"/>
      <c r="AF163" s="28"/>
      <c r="AG163" s="28"/>
      <c r="AH163" s="28"/>
      <c r="AI163" s="28"/>
      <c r="AJ163" s="28"/>
    </row>
    <row r="164" spans="1:36" x14ac:dyDescent="0.25">
      <c r="A164" s="298" t="str">
        <f>IF('Kwaliteit conversie'!$D$4='Prijs karton'!C164,"X"," ")</f>
        <v xml:space="preserve"> </v>
      </c>
      <c r="B164" s="331" t="s">
        <v>37</v>
      </c>
      <c r="C164" s="359"/>
      <c r="D164" s="366"/>
      <c r="E164" s="321"/>
      <c r="F164" s="925"/>
      <c r="G164" s="315"/>
      <c r="H164" s="315"/>
      <c r="I164" s="315"/>
      <c r="J164" s="315"/>
      <c r="K164" s="513"/>
      <c r="L164" s="926"/>
      <c r="M164" s="331"/>
      <c r="N164" s="366"/>
      <c r="O164" s="323"/>
      <c r="P164" s="386"/>
      <c r="Q164" s="323"/>
      <c r="R164" s="366"/>
      <c r="S164" s="378"/>
      <c r="T164" s="324"/>
      <c r="U164" s="386"/>
      <c r="V164" s="386"/>
      <c r="W164" s="386"/>
      <c r="X164" s="386"/>
      <c r="Y164" s="386"/>
      <c r="Z164" s="386"/>
      <c r="AA164" s="386"/>
      <c r="AB164" s="392"/>
      <c r="AC164" s="28"/>
      <c r="AD164" s="28"/>
      <c r="AE164" s="28"/>
      <c r="AF164" s="28"/>
      <c r="AG164" s="28"/>
      <c r="AH164" s="28"/>
      <c r="AI164" s="28"/>
      <c r="AJ164" s="28"/>
    </row>
    <row r="165" spans="1:36" x14ac:dyDescent="0.25">
      <c r="A165" s="298" t="str">
        <f>IF('Kwaliteit conversie'!$D$4='Prijs karton'!C165,"X"," ")</f>
        <v xml:space="preserve"> </v>
      </c>
      <c r="B165" s="331" t="s">
        <v>37</v>
      </c>
      <c r="C165" s="359"/>
      <c r="D165" s="366"/>
      <c r="E165" s="321"/>
      <c r="F165" s="925"/>
      <c r="G165" s="315"/>
      <c r="H165" s="315"/>
      <c r="I165" s="315"/>
      <c r="J165" s="315"/>
      <c r="K165" s="513"/>
      <c r="L165" s="926"/>
      <c r="M165" s="331"/>
      <c r="N165" s="366"/>
      <c r="O165" s="323"/>
      <c r="P165" s="386"/>
      <c r="Q165" s="323"/>
      <c r="R165" s="366"/>
      <c r="S165" s="378"/>
      <c r="T165" s="324"/>
      <c r="U165" s="386"/>
      <c r="V165" s="386"/>
      <c r="W165" s="386"/>
      <c r="X165" s="386"/>
      <c r="Y165" s="386"/>
      <c r="Z165" s="386"/>
      <c r="AA165" s="386"/>
      <c r="AB165" s="392"/>
      <c r="AC165" s="28"/>
      <c r="AD165" s="28"/>
      <c r="AE165" s="28"/>
      <c r="AF165" s="28"/>
      <c r="AG165" s="28"/>
      <c r="AH165" s="28"/>
      <c r="AI165" s="28"/>
      <c r="AJ165" s="28"/>
    </row>
    <row r="166" spans="1:36" x14ac:dyDescent="0.25">
      <c r="A166" s="298" t="str">
        <f>IF('Kwaliteit conversie'!$D$4='Prijs karton'!C166,"X"," ")</f>
        <v xml:space="preserve"> </v>
      </c>
      <c r="B166" s="331" t="s">
        <v>37</v>
      </c>
      <c r="C166" s="359"/>
      <c r="D166" s="366"/>
      <c r="E166" s="321"/>
      <c r="F166" s="925"/>
      <c r="G166" s="315"/>
      <c r="H166" s="315"/>
      <c r="I166" s="315"/>
      <c r="J166" s="315"/>
      <c r="K166" s="513"/>
      <c r="L166" s="926"/>
      <c r="M166" s="331"/>
      <c r="N166" s="366"/>
      <c r="O166" s="323"/>
      <c r="P166" s="386"/>
      <c r="Q166" s="323"/>
      <c r="R166" s="366"/>
      <c r="S166" s="378"/>
      <c r="T166" s="324"/>
      <c r="U166" s="386"/>
      <c r="V166" s="386"/>
      <c r="W166" s="386"/>
      <c r="X166" s="386"/>
      <c r="Y166" s="386"/>
      <c r="Z166" s="386"/>
      <c r="AA166" s="386"/>
      <c r="AB166" s="392"/>
      <c r="AC166" s="28"/>
      <c r="AD166" s="28"/>
      <c r="AE166" s="28"/>
      <c r="AF166" s="28"/>
      <c r="AG166" s="28"/>
      <c r="AH166" s="28"/>
      <c r="AI166" s="28"/>
      <c r="AJ166" s="28"/>
    </row>
    <row r="167" spans="1:36" x14ac:dyDescent="0.25">
      <c r="A167" s="298" t="str">
        <f>IF('Kwaliteit conversie'!$D$4='Prijs karton'!C167,"X"," ")</f>
        <v xml:space="preserve"> </v>
      </c>
      <c r="B167" s="331" t="s">
        <v>37</v>
      </c>
      <c r="C167" s="359"/>
      <c r="D167" s="366"/>
      <c r="E167" s="321"/>
      <c r="F167" s="925"/>
      <c r="G167" s="315"/>
      <c r="H167" s="315"/>
      <c r="I167" s="315"/>
      <c r="J167" s="315"/>
      <c r="K167" s="513"/>
      <c r="L167" s="926"/>
      <c r="M167" s="331"/>
      <c r="N167" s="366"/>
      <c r="O167" s="323"/>
      <c r="P167" s="386"/>
      <c r="Q167" s="323"/>
      <c r="R167" s="366"/>
      <c r="S167" s="378"/>
      <c r="T167" s="324"/>
      <c r="U167" s="386"/>
      <c r="V167" s="386"/>
      <c r="W167" s="386"/>
      <c r="X167" s="386"/>
      <c r="Y167" s="386"/>
      <c r="Z167" s="386"/>
      <c r="AA167" s="386"/>
      <c r="AB167" s="392"/>
      <c r="AC167" s="28"/>
      <c r="AD167" s="28"/>
      <c r="AE167" s="28"/>
      <c r="AF167" s="28"/>
      <c r="AG167" s="28"/>
      <c r="AH167" s="28"/>
      <c r="AI167" s="28"/>
      <c r="AJ167" s="28"/>
    </row>
    <row r="168" spans="1:36" x14ac:dyDescent="0.25">
      <c r="A168" s="298" t="str">
        <f>IF('Kwaliteit conversie'!$D$4='Prijs karton'!C168,"X"," ")</f>
        <v xml:space="preserve"> </v>
      </c>
      <c r="B168" s="331" t="s">
        <v>37</v>
      </c>
      <c r="C168" s="359"/>
      <c r="D168" s="366"/>
      <c r="E168" s="321"/>
      <c r="F168" s="925"/>
      <c r="G168" s="315"/>
      <c r="H168" s="315"/>
      <c r="I168" s="315"/>
      <c r="J168" s="315"/>
      <c r="K168" s="513"/>
      <c r="L168" s="926"/>
      <c r="M168" s="331"/>
      <c r="N168" s="366"/>
      <c r="O168" s="323"/>
      <c r="P168" s="386"/>
      <c r="Q168" s="323"/>
      <c r="R168" s="366"/>
      <c r="S168" s="378"/>
      <c r="T168" s="324"/>
      <c r="U168" s="386"/>
      <c r="V168" s="386"/>
      <c r="W168" s="386"/>
      <c r="X168" s="386"/>
      <c r="Y168" s="386"/>
      <c r="Z168" s="386"/>
      <c r="AA168" s="386"/>
      <c r="AB168" s="392"/>
      <c r="AC168" s="28"/>
      <c r="AD168" s="28"/>
      <c r="AE168" s="28"/>
      <c r="AF168" s="28"/>
      <c r="AG168" s="28"/>
      <c r="AH168" s="28"/>
      <c r="AI168" s="28"/>
      <c r="AJ168" s="28"/>
    </row>
    <row r="169" spans="1:36" x14ac:dyDescent="0.25">
      <c r="A169" s="298" t="str">
        <f>IF('Kwaliteit conversie'!$D$4='Prijs karton'!C169,"X"," ")</f>
        <v xml:space="preserve"> </v>
      </c>
      <c r="B169" s="331" t="s">
        <v>37</v>
      </c>
      <c r="C169" s="359"/>
      <c r="D169" s="366"/>
      <c r="E169" s="321"/>
      <c r="F169" s="925"/>
      <c r="G169" s="315"/>
      <c r="H169" s="315"/>
      <c r="I169" s="315"/>
      <c r="J169" s="315"/>
      <c r="K169" s="513"/>
      <c r="L169" s="926"/>
      <c r="M169" s="331"/>
      <c r="N169" s="366"/>
      <c r="O169" s="323"/>
      <c r="P169" s="386"/>
      <c r="Q169" s="323"/>
      <c r="R169" s="366"/>
      <c r="S169" s="378"/>
      <c r="T169" s="324"/>
      <c r="U169" s="386"/>
      <c r="V169" s="386"/>
      <c r="W169" s="386"/>
      <c r="X169" s="386"/>
      <c r="Y169" s="386"/>
      <c r="Z169" s="386"/>
      <c r="AA169" s="386"/>
      <c r="AB169" s="392"/>
      <c r="AC169" s="28"/>
      <c r="AD169" s="28"/>
      <c r="AE169" s="28"/>
      <c r="AF169" s="28"/>
      <c r="AG169" s="28"/>
      <c r="AH169" s="28"/>
      <c r="AI169" s="28"/>
      <c r="AJ169" s="28"/>
    </row>
    <row r="170" spans="1:36" s="320" customFormat="1" x14ac:dyDescent="0.25">
      <c r="A170" s="329" t="str">
        <f>IF('Kwaliteit conversie'!$D$4='Prijs karton'!C170,"X"," ")</f>
        <v xml:space="preserve"> </v>
      </c>
      <c r="B170" s="332" t="s">
        <v>37</v>
      </c>
      <c r="C170" s="360"/>
      <c r="D170" s="367"/>
      <c r="E170" s="322"/>
      <c r="F170" s="927"/>
      <c r="G170" s="319"/>
      <c r="H170" s="319"/>
      <c r="I170" s="319"/>
      <c r="J170" s="319"/>
      <c r="K170" s="928"/>
      <c r="L170" s="929"/>
      <c r="M170" s="379"/>
      <c r="N170" s="367"/>
      <c r="O170" s="325"/>
      <c r="P170" s="387"/>
      <c r="Q170" s="325"/>
      <c r="R170" s="367"/>
      <c r="S170" s="380"/>
      <c r="T170" s="326"/>
      <c r="U170" s="387"/>
      <c r="V170" s="387"/>
      <c r="W170" s="387"/>
      <c r="X170" s="387"/>
      <c r="Y170" s="387"/>
      <c r="Z170" s="387"/>
      <c r="AA170" s="387"/>
      <c r="AB170" s="393"/>
      <c r="AC170" s="34"/>
      <c r="AD170" s="34"/>
      <c r="AE170" s="34"/>
      <c r="AF170" s="34"/>
      <c r="AG170" s="34"/>
      <c r="AH170" s="34"/>
      <c r="AI170" s="34"/>
      <c r="AJ170" s="34"/>
    </row>
    <row r="171" spans="1:36" x14ac:dyDescent="0.25">
      <c r="A171" s="298" t="str">
        <f>IF('Kwaliteit conversie'!$D$4='Prijs karton'!C171,"X"," ")</f>
        <v xml:space="preserve"> </v>
      </c>
      <c r="B171" s="331"/>
      <c r="C171" s="359"/>
      <c r="D171" s="366"/>
      <c r="E171" s="321"/>
      <c r="F171" s="925"/>
      <c r="G171" s="315"/>
      <c r="H171" s="315"/>
      <c r="I171" s="315"/>
      <c r="J171" s="315"/>
      <c r="K171" s="513"/>
      <c r="L171" s="926"/>
      <c r="M171" s="331"/>
      <c r="N171" s="366"/>
      <c r="O171" s="323"/>
      <c r="P171" s="386"/>
      <c r="Q171" s="323"/>
      <c r="R171" s="366"/>
      <c r="S171" s="378"/>
      <c r="T171" s="324"/>
      <c r="U171" s="386"/>
      <c r="V171" s="386"/>
      <c r="W171" s="386"/>
      <c r="X171" s="386"/>
      <c r="Y171" s="386"/>
      <c r="Z171" s="386"/>
      <c r="AA171" s="386"/>
      <c r="AB171" s="392"/>
      <c r="AC171" s="28"/>
      <c r="AD171" s="28"/>
      <c r="AE171" s="28"/>
      <c r="AF171" s="28"/>
      <c r="AG171" s="28"/>
      <c r="AH171" s="28"/>
      <c r="AI171" s="28"/>
      <c r="AJ171" s="28"/>
    </row>
    <row r="172" spans="1:36" x14ac:dyDescent="0.25">
      <c r="A172" s="298" t="str">
        <f>IF('Kwaliteit conversie'!$D$4='Prijs karton'!C172,"X"," ")</f>
        <v xml:space="preserve"> </v>
      </c>
      <c r="B172" s="331"/>
      <c r="C172" s="359"/>
      <c r="D172" s="366"/>
      <c r="E172" s="321"/>
      <c r="F172" s="925"/>
      <c r="G172" s="315"/>
      <c r="H172" s="315"/>
      <c r="I172" s="315"/>
      <c r="J172" s="315"/>
      <c r="K172" s="513"/>
      <c r="L172" s="926"/>
      <c r="M172" s="331"/>
      <c r="N172" s="366"/>
      <c r="O172" s="323"/>
      <c r="P172" s="386"/>
      <c r="Q172" s="323"/>
      <c r="R172" s="366"/>
      <c r="S172" s="378"/>
      <c r="T172" s="324"/>
      <c r="U172" s="386"/>
      <c r="V172" s="386"/>
      <c r="W172" s="386"/>
      <c r="X172" s="386"/>
      <c r="Y172" s="386"/>
      <c r="Z172" s="386"/>
      <c r="AA172" s="386"/>
      <c r="AB172" s="392"/>
      <c r="AC172" s="28"/>
      <c r="AD172" s="28"/>
      <c r="AE172" s="28"/>
      <c r="AF172" s="28"/>
      <c r="AG172" s="28"/>
      <c r="AH172" s="28"/>
      <c r="AI172" s="28"/>
      <c r="AJ172" s="28"/>
    </row>
    <row r="173" spans="1:36" x14ac:dyDescent="0.25">
      <c r="A173" s="298" t="str">
        <f>IF('Kwaliteit conversie'!$D$4='Prijs karton'!C173,"X"," ")</f>
        <v xml:space="preserve"> </v>
      </c>
      <c r="B173" s="331"/>
      <c r="C173" s="359"/>
      <c r="D173" s="366"/>
      <c r="E173" s="321"/>
      <c r="F173" s="925"/>
      <c r="G173" s="315"/>
      <c r="H173" s="315"/>
      <c r="I173" s="315"/>
      <c r="J173" s="315"/>
      <c r="K173" s="513"/>
      <c r="L173" s="926"/>
      <c r="M173" s="331"/>
      <c r="N173" s="366"/>
      <c r="O173" s="323"/>
      <c r="P173" s="386"/>
      <c r="Q173" s="323"/>
      <c r="R173" s="366"/>
      <c r="S173" s="378"/>
      <c r="T173" s="324"/>
      <c r="U173" s="386"/>
      <c r="V173" s="386"/>
      <c r="W173" s="386"/>
      <c r="X173" s="386"/>
      <c r="Y173" s="386"/>
      <c r="Z173" s="386"/>
      <c r="AA173" s="386"/>
      <c r="AB173" s="392"/>
      <c r="AC173" s="28"/>
      <c r="AD173" s="28"/>
      <c r="AE173" s="28"/>
      <c r="AF173" s="28"/>
      <c r="AG173" s="28"/>
      <c r="AH173" s="28"/>
      <c r="AI173" s="28"/>
      <c r="AJ173" s="28"/>
    </row>
    <row r="174" spans="1:36" x14ac:dyDescent="0.25">
      <c r="A174" s="932" t="str">
        <f>IF('Kwaliteit conversie'!$D$4='Prijs karton'!C174,"X"," ")</f>
        <v xml:space="preserve"> </v>
      </c>
      <c r="B174" s="331" t="s">
        <v>38</v>
      </c>
      <c r="C174" s="359" t="s">
        <v>400</v>
      </c>
      <c r="D174" s="366">
        <v>1.085</v>
      </c>
      <c r="E174" s="321">
        <v>12.5</v>
      </c>
      <c r="F174" s="925">
        <v>0</v>
      </c>
      <c r="G174" s="315">
        <v>123.9</v>
      </c>
      <c r="H174" s="315">
        <v>120.9</v>
      </c>
      <c r="I174" s="315">
        <v>120.4</v>
      </c>
      <c r="J174" s="315">
        <v>120.4</v>
      </c>
      <c r="K174" s="513">
        <v>119.9</v>
      </c>
      <c r="L174" s="926" t="s">
        <v>401</v>
      </c>
      <c r="M174" s="331" t="s">
        <v>277</v>
      </c>
      <c r="N174" s="366" t="s">
        <v>265</v>
      </c>
      <c r="O174" s="323" t="s">
        <v>285</v>
      </c>
      <c r="P174" s="386" t="s">
        <v>285</v>
      </c>
      <c r="Q174" s="323" t="s">
        <v>285</v>
      </c>
      <c r="R174" s="366" t="s">
        <v>285</v>
      </c>
      <c r="S174" s="378" t="s">
        <v>277</v>
      </c>
      <c r="T174" s="324" t="s">
        <v>245</v>
      </c>
      <c r="U174" s="386">
        <v>250</v>
      </c>
      <c r="V174" s="386">
        <v>2450</v>
      </c>
      <c r="W174" s="386">
        <v>800</v>
      </c>
      <c r="X174" s="386">
        <v>6200</v>
      </c>
      <c r="Y174" s="386">
        <v>130</v>
      </c>
      <c r="Z174" s="386">
        <v>65</v>
      </c>
      <c r="AA174" s="386">
        <v>300</v>
      </c>
      <c r="AB174" s="392">
        <v>13.1</v>
      </c>
      <c r="AC174" s="28">
        <v>0</v>
      </c>
      <c r="AD174" s="28">
        <v>0</v>
      </c>
      <c r="AE174" s="28">
        <v>1</v>
      </c>
      <c r="AF174" s="28">
        <v>0</v>
      </c>
      <c r="AG174" s="28">
        <v>0</v>
      </c>
      <c r="AH174" s="28">
        <v>0</v>
      </c>
      <c r="AI174" s="28">
        <v>0</v>
      </c>
      <c r="AJ174" s="28">
        <v>1</v>
      </c>
    </row>
    <row r="175" spans="1:36" x14ac:dyDescent="0.25">
      <c r="A175" s="298" t="str">
        <f>IF('Kwaliteit conversie'!$D$4='Prijs karton'!C175,"X"," ")</f>
        <v xml:space="preserve"> </v>
      </c>
      <c r="B175" s="331" t="s">
        <v>38</v>
      </c>
      <c r="C175" s="359" t="s">
        <v>402</v>
      </c>
      <c r="D175" s="366">
        <v>1.21</v>
      </c>
      <c r="E175" s="321">
        <v>12.7</v>
      </c>
      <c r="F175" s="925">
        <v>0</v>
      </c>
      <c r="G175" s="315">
        <v>141</v>
      </c>
      <c r="H175" s="315">
        <v>138</v>
      </c>
      <c r="I175" s="315">
        <v>137.5</v>
      </c>
      <c r="J175" s="315">
        <v>137.5</v>
      </c>
      <c r="K175" s="513">
        <v>137</v>
      </c>
      <c r="L175" s="926" t="s">
        <v>403</v>
      </c>
      <c r="M175" s="331" t="s">
        <v>294</v>
      </c>
      <c r="N175" s="366" t="s">
        <v>357</v>
      </c>
      <c r="O175" s="323" t="s">
        <v>285</v>
      </c>
      <c r="P175" s="386" t="s">
        <v>357</v>
      </c>
      <c r="Q175" s="323" t="s">
        <v>285</v>
      </c>
      <c r="R175" s="366" t="s">
        <v>285</v>
      </c>
      <c r="S175" s="378" t="s">
        <v>294</v>
      </c>
      <c r="T175" s="324" t="s">
        <v>245</v>
      </c>
      <c r="U175" s="386">
        <v>250</v>
      </c>
      <c r="V175" s="386">
        <v>2450</v>
      </c>
      <c r="W175" s="386">
        <v>800</v>
      </c>
      <c r="X175" s="386">
        <v>6200</v>
      </c>
      <c r="Y175" s="386">
        <v>130</v>
      </c>
      <c r="Z175" s="386">
        <v>65</v>
      </c>
      <c r="AA175" s="386">
        <v>300</v>
      </c>
      <c r="AB175" s="392">
        <v>15.5</v>
      </c>
      <c r="AC175" s="28">
        <v>0</v>
      </c>
      <c r="AD175" s="28">
        <v>0</v>
      </c>
      <c r="AE175" s="28">
        <v>1</v>
      </c>
      <c r="AF175" s="28">
        <v>0</v>
      </c>
      <c r="AG175" s="28">
        <v>0</v>
      </c>
      <c r="AH175" s="28">
        <v>0</v>
      </c>
      <c r="AI175" s="28">
        <v>0</v>
      </c>
      <c r="AJ175" s="28">
        <v>1</v>
      </c>
    </row>
    <row r="176" spans="1:36" x14ac:dyDescent="0.25">
      <c r="A176" s="298" t="str">
        <f>IF('Kwaliteit conversie'!$D$4='Prijs karton'!C176,"X"," ")</f>
        <v xml:space="preserve"> </v>
      </c>
      <c r="B176" s="331" t="s">
        <v>38</v>
      </c>
      <c r="C176" s="359" t="s">
        <v>404</v>
      </c>
      <c r="D176" s="366">
        <v>1.4</v>
      </c>
      <c r="E176" s="321">
        <v>12.9</v>
      </c>
      <c r="F176" s="925">
        <v>0</v>
      </c>
      <c r="G176" s="315">
        <v>161.19999999999999</v>
      </c>
      <c r="H176" s="315">
        <v>158.19999999999999</v>
      </c>
      <c r="I176" s="315">
        <v>157.69999999999999</v>
      </c>
      <c r="J176" s="315">
        <v>157.69999999999999</v>
      </c>
      <c r="K176" s="513">
        <v>157.19999999999999</v>
      </c>
      <c r="L176" s="926" t="s">
        <v>405</v>
      </c>
      <c r="M176" s="331" t="s">
        <v>360</v>
      </c>
      <c r="N176" s="366" t="s">
        <v>357</v>
      </c>
      <c r="O176" s="323" t="s">
        <v>398</v>
      </c>
      <c r="P176" s="386" t="s">
        <v>357</v>
      </c>
      <c r="Q176" s="323" t="s">
        <v>398</v>
      </c>
      <c r="R176" s="366" t="s">
        <v>357</v>
      </c>
      <c r="S176" s="378" t="s">
        <v>294</v>
      </c>
      <c r="T176" s="324" t="s">
        <v>245</v>
      </c>
      <c r="U176" s="386">
        <v>250</v>
      </c>
      <c r="V176" s="386">
        <v>2450</v>
      </c>
      <c r="W176" s="386">
        <v>800</v>
      </c>
      <c r="X176" s="386">
        <v>6200</v>
      </c>
      <c r="Y176" s="386">
        <v>130</v>
      </c>
      <c r="Z176" s="386">
        <v>65</v>
      </c>
      <c r="AA176" s="386">
        <v>300</v>
      </c>
      <c r="AB176" s="392">
        <v>19.3</v>
      </c>
      <c r="AC176" s="28">
        <v>0</v>
      </c>
      <c r="AD176" s="28">
        <v>0</v>
      </c>
      <c r="AE176" s="28">
        <v>1</v>
      </c>
      <c r="AF176" s="28">
        <v>0</v>
      </c>
      <c r="AG176" s="28">
        <v>0</v>
      </c>
      <c r="AH176" s="28">
        <v>0</v>
      </c>
      <c r="AI176" s="28">
        <v>0</v>
      </c>
      <c r="AJ176" s="28">
        <v>1</v>
      </c>
    </row>
    <row r="177" spans="1:36" x14ac:dyDescent="0.25">
      <c r="A177" s="298" t="str">
        <f>IF('Kwaliteit conversie'!$D$4='Prijs karton'!C177,"X"," ")</f>
        <v xml:space="preserve"> </v>
      </c>
      <c r="B177" s="331" t="s">
        <v>38</v>
      </c>
      <c r="C177" s="359" t="s">
        <v>406</v>
      </c>
      <c r="D177" s="366">
        <v>1.54</v>
      </c>
      <c r="E177" s="321">
        <v>13.1</v>
      </c>
      <c r="F177" s="925">
        <v>0</v>
      </c>
      <c r="G177" s="315">
        <v>180.8</v>
      </c>
      <c r="H177" s="315">
        <v>177.8</v>
      </c>
      <c r="I177" s="315">
        <v>177.3</v>
      </c>
      <c r="J177" s="315">
        <v>177.3</v>
      </c>
      <c r="K177" s="513">
        <v>176.8</v>
      </c>
      <c r="L177" s="926" t="s">
        <v>407</v>
      </c>
      <c r="M177" s="331" t="s">
        <v>360</v>
      </c>
      <c r="N177" s="366" t="s">
        <v>398</v>
      </c>
      <c r="O177" s="323" t="s">
        <v>398</v>
      </c>
      <c r="P177" s="386" t="s">
        <v>398</v>
      </c>
      <c r="Q177" s="323" t="s">
        <v>399</v>
      </c>
      <c r="R177" s="366" t="s">
        <v>357</v>
      </c>
      <c r="S177" s="378" t="s">
        <v>360</v>
      </c>
      <c r="T177" s="324" t="s">
        <v>245</v>
      </c>
      <c r="U177" s="386">
        <v>250</v>
      </c>
      <c r="V177" s="386">
        <v>2450</v>
      </c>
      <c r="W177" s="386">
        <v>800</v>
      </c>
      <c r="X177" s="386">
        <v>6200</v>
      </c>
      <c r="Y177" s="386">
        <v>130</v>
      </c>
      <c r="Z177" s="386">
        <v>65</v>
      </c>
      <c r="AA177" s="386">
        <v>300</v>
      </c>
      <c r="AB177" s="392">
        <v>22.8</v>
      </c>
      <c r="AC177" s="28">
        <v>0</v>
      </c>
      <c r="AD177" s="28">
        <v>0</v>
      </c>
      <c r="AE177" s="28">
        <v>1</v>
      </c>
      <c r="AF177" s="28">
        <v>0</v>
      </c>
      <c r="AG177" s="28">
        <v>0</v>
      </c>
      <c r="AH177" s="28">
        <v>0</v>
      </c>
      <c r="AI177" s="28">
        <v>0</v>
      </c>
      <c r="AJ177" s="28">
        <v>1</v>
      </c>
    </row>
    <row r="178" spans="1:36" x14ac:dyDescent="0.25">
      <c r="A178" s="298" t="str">
        <f>IF('Kwaliteit conversie'!$D$4='Prijs karton'!C178,"X"," ")</f>
        <v xml:space="preserve"> </v>
      </c>
      <c r="B178" s="331" t="s">
        <v>38</v>
      </c>
      <c r="C178" s="359" t="s">
        <v>408</v>
      </c>
      <c r="D178" s="366">
        <v>1.8149999999999999</v>
      </c>
      <c r="E178" s="321">
        <v>13.4</v>
      </c>
      <c r="F178" s="925">
        <v>0</v>
      </c>
      <c r="G178" s="315">
        <v>215.7</v>
      </c>
      <c r="H178" s="315">
        <v>212.7</v>
      </c>
      <c r="I178" s="315">
        <v>212.2</v>
      </c>
      <c r="J178" s="315">
        <v>212.2</v>
      </c>
      <c r="K178" s="513">
        <v>211.7</v>
      </c>
      <c r="L178" s="926" t="s">
        <v>409</v>
      </c>
      <c r="M178" s="331" t="s">
        <v>397</v>
      </c>
      <c r="N178" s="366" t="s">
        <v>398</v>
      </c>
      <c r="O178" s="323" t="s">
        <v>399</v>
      </c>
      <c r="P178" s="386" t="s">
        <v>398</v>
      </c>
      <c r="Q178" s="323" t="s">
        <v>399</v>
      </c>
      <c r="R178" s="366" t="s">
        <v>398</v>
      </c>
      <c r="S178" s="378" t="s">
        <v>397</v>
      </c>
      <c r="T178" s="324" t="s">
        <v>245</v>
      </c>
      <c r="U178" s="386">
        <v>250</v>
      </c>
      <c r="V178" s="386">
        <v>2450</v>
      </c>
      <c r="W178" s="386">
        <v>800</v>
      </c>
      <c r="X178" s="386">
        <v>6200</v>
      </c>
      <c r="Y178" s="386">
        <v>130</v>
      </c>
      <c r="Z178" s="386">
        <v>65</v>
      </c>
      <c r="AA178" s="386">
        <v>300</v>
      </c>
      <c r="AB178" s="392">
        <v>26.3</v>
      </c>
      <c r="AC178" s="28">
        <v>0</v>
      </c>
      <c r="AD178" s="28">
        <v>0</v>
      </c>
      <c r="AE178" s="28">
        <v>1</v>
      </c>
      <c r="AF178" s="28">
        <v>0</v>
      </c>
      <c r="AG178" s="28">
        <v>0</v>
      </c>
      <c r="AH178" s="28">
        <v>0</v>
      </c>
      <c r="AI178" s="28">
        <v>0</v>
      </c>
      <c r="AJ178" s="28">
        <v>1</v>
      </c>
    </row>
    <row r="179" spans="1:36" x14ac:dyDescent="0.25">
      <c r="A179" s="298" t="str">
        <f>IF('Kwaliteit conversie'!$D$4='Prijs karton'!C179,"X"," ")</f>
        <v xml:space="preserve"> </v>
      </c>
      <c r="B179" s="331" t="s">
        <v>38</v>
      </c>
      <c r="C179" s="359"/>
      <c r="D179" s="366"/>
      <c r="E179" s="321"/>
      <c r="F179" s="925"/>
      <c r="G179" s="315"/>
      <c r="H179" s="315"/>
      <c r="I179" s="315"/>
      <c r="J179" s="315"/>
      <c r="K179" s="513"/>
      <c r="L179" s="926"/>
      <c r="M179" s="331"/>
      <c r="N179" s="366"/>
      <c r="O179" s="323"/>
      <c r="P179" s="386"/>
      <c r="Q179" s="323"/>
      <c r="R179" s="366"/>
      <c r="S179" s="378"/>
      <c r="T179" s="324"/>
      <c r="U179" s="386"/>
      <c r="V179" s="386"/>
      <c r="W179" s="386"/>
      <c r="X179" s="386"/>
      <c r="Y179" s="386"/>
      <c r="Z179" s="386"/>
      <c r="AA179" s="386"/>
      <c r="AB179" s="392"/>
      <c r="AC179" s="28"/>
      <c r="AD179" s="28"/>
      <c r="AE179" s="28"/>
      <c r="AF179" s="28"/>
      <c r="AG179" s="28"/>
      <c r="AH179" s="28"/>
      <c r="AI179" s="28"/>
      <c r="AJ179" s="28"/>
    </row>
    <row r="180" spans="1:36" x14ac:dyDescent="0.25">
      <c r="A180" s="298" t="str">
        <f>IF('Kwaliteit conversie'!$D$4='Prijs karton'!C180,"X"," ")</f>
        <v xml:space="preserve"> </v>
      </c>
      <c r="B180" s="331" t="s">
        <v>38</v>
      </c>
      <c r="C180" s="359"/>
      <c r="D180" s="366"/>
      <c r="E180" s="321"/>
      <c r="F180" s="925"/>
      <c r="G180" s="315"/>
      <c r="H180" s="315"/>
      <c r="I180" s="315"/>
      <c r="J180" s="315"/>
      <c r="K180" s="513"/>
      <c r="L180" s="926"/>
      <c r="M180" s="331"/>
      <c r="N180" s="366"/>
      <c r="O180" s="323"/>
      <c r="P180" s="386"/>
      <c r="Q180" s="323"/>
      <c r="R180" s="366"/>
      <c r="S180" s="378"/>
      <c r="T180" s="324"/>
      <c r="U180" s="386"/>
      <c r="V180" s="386"/>
      <c r="W180" s="386"/>
      <c r="X180" s="386"/>
      <c r="Y180" s="386"/>
      <c r="Z180" s="386"/>
      <c r="AA180" s="386"/>
      <c r="AB180" s="392"/>
      <c r="AC180" s="28"/>
      <c r="AD180" s="28"/>
      <c r="AE180" s="28"/>
      <c r="AF180" s="28"/>
      <c r="AG180" s="28"/>
      <c r="AH180" s="28"/>
      <c r="AI180" s="28"/>
      <c r="AJ180" s="28"/>
    </row>
    <row r="181" spans="1:36" x14ac:dyDescent="0.25">
      <c r="A181" s="298" t="str">
        <f>IF('Kwaliteit conversie'!$D$4='Prijs karton'!C181,"X"," ")</f>
        <v xml:space="preserve"> </v>
      </c>
      <c r="B181" s="331" t="s">
        <v>38</v>
      </c>
      <c r="C181" s="359"/>
      <c r="D181" s="366"/>
      <c r="E181" s="321"/>
      <c r="F181" s="925"/>
      <c r="G181" s="315"/>
      <c r="H181" s="315"/>
      <c r="I181" s="315"/>
      <c r="J181" s="315"/>
      <c r="K181" s="513"/>
      <c r="L181" s="926"/>
      <c r="M181" s="331"/>
      <c r="N181" s="366"/>
      <c r="O181" s="323"/>
      <c r="P181" s="386"/>
      <c r="Q181" s="323"/>
      <c r="R181" s="366"/>
      <c r="S181" s="378"/>
      <c r="T181" s="324"/>
      <c r="U181" s="386"/>
      <c r="V181" s="386"/>
      <c r="W181" s="386"/>
      <c r="X181" s="386"/>
      <c r="Y181" s="386"/>
      <c r="Z181" s="386"/>
      <c r="AA181" s="386"/>
      <c r="AB181" s="392"/>
      <c r="AC181" s="28"/>
      <c r="AD181" s="28"/>
      <c r="AE181" s="28"/>
      <c r="AF181" s="28"/>
      <c r="AG181" s="28"/>
      <c r="AH181" s="28"/>
      <c r="AI181" s="28"/>
      <c r="AJ181" s="28"/>
    </row>
    <row r="182" spans="1:36" x14ac:dyDescent="0.25">
      <c r="A182" s="298" t="str">
        <f>IF('Kwaliteit conversie'!$D$4='Prijs karton'!C182,"X"," ")</f>
        <v xml:space="preserve"> </v>
      </c>
      <c r="B182" s="331" t="s">
        <v>38</v>
      </c>
      <c r="C182" s="359"/>
      <c r="D182" s="366"/>
      <c r="E182" s="321"/>
      <c r="F182" s="925"/>
      <c r="G182" s="315"/>
      <c r="H182" s="315"/>
      <c r="I182" s="315"/>
      <c r="J182" s="315"/>
      <c r="K182" s="513"/>
      <c r="L182" s="926"/>
      <c r="M182" s="331"/>
      <c r="N182" s="366"/>
      <c r="O182" s="323"/>
      <c r="P182" s="386"/>
      <c r="Q182" s="323"/>
      <c r="R182" s="366"/>
      <c r="S182" s="378"/>
      <c r="T182" s="324"/>
      <c r="U182" s="386"/>
      <c r="V182" s="386"/>
      <c r="W182" s="386"/>
      <c r="X182" s="386"/>
      <c r="Y182" s="386"/>
      <c r="Z182" s="386"/>
      <c r="AA182" s="386"/>
      <c r="AB182" s="392"/>
      <c r="AC182" s="28"/>
      <c r="AD182" s="28"/>
      <c r="AE182" s="28"/>
      <c r="AF182" s="28"/>
      <c r="AG182" s="28"/>
      <c r="AH182" s="28"/>
      <c r="AI182" s="28"/>
      <c r="AJ182" s="28"/>
    </row>
    <row r="183" spans="1:36" x14ac:dyDescent="0.25">
      <c r="A183" s="298" t="str">
        <f>IF('Kwaliteit conversie'!$D$4='Prijs karton'!C183,"X"," ")</f>
        <v xml:space="preserve"> </v>
      </c>
      <c r="B183" s="331" t="s">
        <v>38</v>
      </c>
      <c r="C183" s="359"/>
      <c r="D183" s="366"/>
      <c r="E183" s="321"/>
      <c r="F183" s="925"/>
      <c r="G183" s="315"/>
      <c r="H183" s="315"/>
      <c r="I183" s="315"/>
      <c r="J183" s="315"/>
      <c r="K183" s="513"/>
      <c r="L183" s="926"/>
      <c r="M183" s="331"/>
      <c r="N183" s="366"/>
      <c r="O183" s="323"/>
      <c r="P183" s="386"/>
      <c r="Q183" s="323"/>
      <c r="R183" s="366"/>
      <c r="S183" s="378"/>
      <c r="T183" s="324"/>
      <c r="U183" s="386"/>
      <c r="V183" s="386"/>
      <c r="W183" s="386"/>
      <c r="X183" s="386"/>
      <c r="Y183" s="386"/>
      <c r="Z183" s="386"/>
      <c r="AA183" s="386"/>
      <c r="AB183" s="392"/>
      <c r="AC183" s="28"/>
      <c r="AD183" s="28"/>
      <c r="AE183" s="28"/>
      <c r="AF183" s="28"/>
      <c r="AG183" s="28"/>
      <c r="AH183" s="28"/>
      <c r="AI183" s="28"/>
      <c r="AJ183" s="28"/>
    </row>
    <row r="184" spans="1:36" x14ac:dyDescent="0.25">
      <c r="A184" s="298" t="str">
        <f>IF('Kwaliteit conversie'!$D$4='Prijs karton'!C184,"X"," ")</f>
        <v xml:space="preserve"> </v>
      </c>
      <c r="B184" s="331" t="s">
        <v>38</v>
      </c>
      <c r="C184" s="359"/>
      <c r="D184" s="366"/>
      <c r="E184" s="321"/>
      <c r="F184" s="925"/>
      <c r="G184" s="315"/>
      <c r="H184" s="315"/>
      <c r="I184" s="315"/>
      <c r="J184" s="315"/>
      <c r="K184" s="513"/>
      <c r="L184" s="926"/>
      <c r="M184" s="331"/>
      <c r="N184" s="366"/>
      <c r="O184" s="323"/>
      <c r="P184" s="386"/>
      <c r="Q184" s="323"/>
      <c r="R184" s="366"/>
      <c r="S184" s="378"/>
      <c r="T184" s="324"/>
      <c r="U184" s="386"/>
      <c r="V184" s="386"/>
      <c r="W184" s="386"/>
      <c r="X184" s="386"/>
      <c r="Y184" s="386"/>
      <c r="Z184" s="386"/>
      <c r="AA184" s="386"/>
      <c r="AB184" s="392"/>
      <c r="AC184" s="28"/>
      <c r="AD184" s="28"/>
      <c r="AE184" s="28"/>
      <c r="AF184" s="28"/>
      <c r="AG184" s="28"/>
      <c r="AH184" s="28"/>
      <c r="AI184" s="28"/>
      <c r="AJ184" s="28"/>
    </row>
    <row r="185" spans="1:36" s="320" customFormat="1" x14ac:dyDescent="0.25">
      <c r="A185" s="329" t="str">
        <f>IF('Kwaliteit conversie'!$D$4='Prijs karton'!C185,"X"," ")</f>
        <v xml:space="preserve"> </v>
      </c>
      <c r="B185" s="332" t="s">
        <v>38</v>
      </c>
      <c r="C185" s="360"/>
      <c r="D185" s="367"/>
      <c r="E185" s="322"/>
      <c r="F185" s="927"/>
      <c r="G185" s="319"/>
      <c r="H185" s="319"/>
      <c r="I185" s="319"/>
      <c r="J185" s="319"/>
      <c r="K185" s="928"/>
      <c r="L185" s="929"/>
      <c r="M185" s="379"/>
      <c r="N185" s="367"/>
      <c r="O185" s="325"/>
      <c r="P185" s="387"/>
      <c r="Q185" s="325"/>
      <c r="R185" s="367"/>
      <c r="S185" s="380"/>
      <c r="T185" s="326"/>
      <c r="U185" s="387"/>
      <c r="V185" s="387"/>
      <c r="W185" s="387"/>
      <c r="X185" s="387"/>
      <c r="Y185" s="387"/>
      <c r="Z185" s="387"/>
      <c r="AA185" s="387"/>
      <c r="AB185" s="393"/>
      <c r="AC185" s="34"/>
      <c r="AD185" s="34"/>
      <c r="AE185" s="34"/>
      <c r="AF185" s="34"/>
      <c r="AG185" s="34"/>
      <c r="AH185" s="34"/>
      <c r="AI185" s="34"/>
      <c r="AJ185" s="34"/>
    </row>
    <row r="186" spans="1:36" x14ac:dyDescent="0.25">
      <c r="A186" s="298" t="str">
        <f>IF('Kwaliteit conversie'!$D$4='Prijs karton'!C186,"X"," ")</f>
        <v xml:space="preserve"> </v>
      </c>
      <c r="B186" s="331"/>
      <c r="C186" s="359"/>
      <c r="D186" s="366"/>
      <c r="E186" s="321"/>
      <c r="F186" s="925"/>
      <c r="G186" s="315"/>
      <c r="H186" s="315"/>
      <c r="I186" s="315"/>
      <c r="J186" s="315"/>
      <c r="K186" s="513"/>
      <c r="L186" s="926"/>
      <c r="M186" s="331"/>
      <c r="N186" s="366"/>
      <c r="O186" s="323"/>
      <c r="P186" s="386"/>
      <c r="Q186" s="323"/>
      <c r="R186" s="366"/>
      <c r="S186" s="378"/>
      <c r="T186" s="324"/>
      <c r="U186" s="386"/>
      <c r="V186" s="386"/>
      <c r="W186" s="386"/>
      <c r="X186" s="386"/>
      <c r="Y186" s="386"/>
      <c r="Z186" s="386"/>
      <c r="AA186" s="386"/>
      <c r="AB186" s="392"/>
      <c r="AC186" s="28"/>
      <c r="AD186" s="28"/>
      <c r="AE186" s="28"/>
      <c r="AF186" s="28"/>
      <c r="AG186" s="28"/>
      <c r="AH186" s="28"/>
      <c r="AI186" s="28"/>
      <c r="AJ186" s="28"/>
    </row>
    <row r="187" spans="1:36" x14ac:dyDescent="0.25">
      <c r="A187" s="298" t="str">
        <f>IF('Kwaliteit conversie'!$D$4='Prijs karton'!C187,"X"," ")</f>
        <v xml:space="preserve"> </v>
      </c>
      <c r="B187" s="331" t="s">
        <v>30</v>
      </c>
      <c r="C187" s="359" t="s">
        <v>1423</v>
      </c>
      <c r="D187" s="366">
        <v>0.29299999999999998</v>
      </c>
      <c r="E187" s="321">
        <v>1.46</v>
      </c>
      <c r="F187" s="925">
        <v>0</v>
      </c>
      <c r="G187" s="315">
        <v>30.9</v>
      </c>
      <c r="H187" s="315">
        <v>29.4</v>
      </c>
      <c r="I187" s="315">
        <v>29.1</v>
      </c>
      <c r="J187" s="315">
        <v>28.9</v>
      </c>
      <c r="K187" s="513">
        <v>28.9</v>
      </c>
      <c r="L187" s="926" t="s">
        <v>1424</v>
      </c>
      <c r="M187" s="331" t="s">
        <v>244</v>
      </c>
      <c r="N187" s="366" t="s">
        <v>244</v>
      </c>
      <c r="O187" s="323" t="s">
        <v>239</v>
      </c>
      <c r="P187" s="386" t="s">
        <v>239</v>
      </c>
      <c r="Q187" s="323" t="s">
        <v>239</v>
      </c>
      <c r="R187" s="366" t="s">
        <v>239</v>
      </c>
      <c r="S187" s="378" t="s">
        <v>244</v>
      </c>
      <c r="T187" s="324" t="s">
        <v>1364</v>
      </c>
      <c r="U187" s="386">
        <v>250</v>
      </c>
      <c r="V187" s="386">
        <v>2450</v>
      </c>
      <c r="W187" s="386">
        <v>600</v>
      </c>
      <c r="X187" s="386">
        <v>6000</v>
      </c>
      <c r="Y187" s="386">
        <v>500</v>
      </c>
      <c r="Z187" s="386">
        <v>250</v>
      </c>
      <c r="AA187" s="386">
        <v>200</v>
      </c>
      <c r="AB187" s="392">
        <v>3.11</v>
      </c>
      <c r="AC187" s="28">
        <v>0</v>
      </c>
      <c r="AD187" s="28">
        <v>1</v>
      </c>
      <c r="AE187" s="28">
        <v>1</v>
      </c>
      <c r="AF187" s="28">
        <v>0</v>
      </c>
      <c r="AG187" s="28">
        <v>1</v>
      </c>
      <c r="AH187" s="28">
        <v>1</v>
      </c>
      <c r="AI187" s="28">
        <v>1</v>
      </c>
      <c r="AJ187" s="28">
        <v>1</v>
      </c>
    </row>
    <row r="188" spans="1:36" x14ac:dyDescent="0.25">
      <c r="A188" s="298" t="str">
        <f>IF('Kwaliteit conversie'!$D$4='Prijs karton'!C188,"X"," ")</f>
        <v xml:space="preserve"> </v>
      </c>
      <c r="B188" s="331" t="s">
        <v>30</v>
      </c>
      <c r="C188" s="359" t="s">
        <v>1425</v>
      </c>
      <c r="D188" s="366">
        <v>0.35299999999999998</v>
      </c>
      <c r="E188" s="321">
        <v>1.55</v>
      </c>
      <c r="F188" s="925">
        <v>0</v>
      </c>
      <c r="G188" s="315">
        <v>34.4</v>
      </c>
      <c r="H188" s="315">
        <v>33.1</v>
      </c>
      <c r="I188" s="315">
        <v>32.799999999999997</v>
      </c>
      <c r="J188" s="315">
        <v>32.5</v>
      </c>
      <c r="K188" s="513">
        <v>32.5</v>
      </c>
      <c r="L188" s="926" t="s">
        <v>1426</v>
      </c>
      <c r="M188" s="331" t="s">
        <v>1363</v>
      </c>
      <c r="N188" s="366" t="s">
        <v>244</v>
      </c>
      <c r="O188" s="323" t="s">
        <v>239</v>
      </c>
      <c r="P188" s="386" t="s">
        <v>239</v>
      </c>
      <c r="Q188" s="323" t="s">
        <v>239</v>
      </c>
      <c r="R188" s="366" t="s">
        <v>239</v>
      </c>
      <c r="S188" s="378" t="s">
        <v>1363</v>
      </c>
      <c r="T188" s="324" t="s">
        <v>1364</v>
      </c>
      <c r="U188" s="386">
        <v>250</v>
      </c>
      <c r="V188" s="386">
        <v>2450</v>
      </c>
      <c r="W188" s="386">
        <v>600</v>
      </c>
      <c r="X188" s="386">
        <v>6000</v>
      </c>
      <c r="Y188" s="386">
        <v>500</v>
      </c>
      <c r="Z188" s="386">
        <v>250</v>
      </c>
      <c r="AA188" s="386">
        <v>200</v>
      </c>
      <c r="AB188" s="392">
        <v>4.17</v>
      </c>
      <c r="AC188" s="28">
        <v>0</v>
      </c>
      <c r="AD188" s="28">
        <v>1</v>
      </c>
      <c r="AE188" s="28">
        <v>1</v>
      </c>
      <c r="AF188" s="28">
        <v>0</v>
      </c>
      <c r="AG188" s="28">
        <v>1</v>
      </c>
      <c r="AH188" s="28">
        <v>1</v>
      </c>
      <c r="AI188" s="28">
        <v>1</v>
      </c>
      <c r="AJ188" s="28">
        <v>1</v>
      </c>
    </row>
    <row r="189" spans="1:36" x14ac:dyDescent="0.25">
      <c r="A189" s="932" t="str">
        <f>IF('Kwaliteit conversie'!$D$4='Prijs karton'!C189,"X"," ")</f>
        <v xml:space="preserve"> </v>
      </c>
      <c r="B189" s="331" t="s">
        <v>30</v>
      </c>
      <c r="C189" s="359" t="s">
        <v>410</v>
      </c>
      <c r="D189" s="366">
        <v>0.32500000000000001</v>
      </c>
      <c r="E189" s="321">
        <v>1.5</v>
      </c>
      <c r="F189" s="925">
        <v>0</v>
      </c>
      <c r="G189" s="315">
        <v>26.6</v>
      </c>
      <c r="H189" s="315">
        <v>23.6</v>
      </c>
      <c r="I189" s="315">
        <v>23.1</v>
      </c>
      <c r="J189" s="315">
        <v>23.1</v>
      </c>
      <c r="K189" s="513">
        <v>22.6</v>
      </c>
      <c r="L189" s="926" t="s">
        <v>411</v>
      </c>
      <c r="M189" s="331" t="s">
        <v>249</v>
      </c>
      <c r="N189" s="366" t="s">
        <v>412</v>
      </c>
      <c r="O189" s="323" t="s">
        <v>239</v>
      </c>
      <c r="P189" s="386" t="s">
        <v>239</v>
      </c>
      <c r="Q189" s="323" t="s">
        <v>239</v>
      </c>
      <c r="R189" s="366" t="s">
        <v>239</v>
      </c>
      <c r="S189" s="378" t="s">
        <v>249</v>
      </c>
      <c r="T189" s="324" t="s">
        <v>245</v>
      </c>
      <c r="U189" s="386">
        <v>250</v>
      </c>
      <c r="V189" s="386">
        <v>2450</v>
      </c>
      <c r="W189" s="386">
        <v>500</v>
      </c>
      <c r="X189" s="386">
        <v>6200</v>
      </c>
      <c r="Y189" s="386">
        <v>700</v>
      </c>
      <c r="Z189" s="386">
        <v>350</v>
      </c>
      <c r="AA189" s="386">
        <v>200</v>
      </c>
      <c r="AB189" s="392">
        <v>3.6</v>
      </c>
      <c r="AC189" s="28">
        <v>0</v>
      </c>
      <c r="AD189" s="28">
        <v>1</v>
      </c>
      <c r="AE189" s="28">
        <v>1</v>
      </c>
      <c r="AF189" s="28">
        <v>0</v>
      </c>
      <c r="AG189" s="28">
        <v>1</v>
      </c>
      <c r="AH189" s="28">
        <v>1</v>
      </c>
      <c r="AI189" s="28">
        <v>1</v>
      </c>
      <c r="AJ189" s="28">
        <v>1</v>
      </c>
    </row>
    <row r="190" spans="1:36" x14ac:dyDescent="0.25">
      <c r="A190" s="298" t="str">
        <f>IF('Kwaliteit conversie'!$D$4='Prijs karton'!C190,"X"," ")</f>
        <v xml:space="preserve"> </v>
      </c>
      <c r="B190" s="331" t="s">
        <v>30</v>
      </c>
      <c r="C190" s="359"/>
      <c r="D190" s="366"/>
      <c r="E190" s="321"/>
      <c r="F190" s="925"/>
      <c r="G190" s="315"/>
      <c r="H190" s="315"/>
      <c r="I190" s="315"/>
      <c r="J190" s="315"/>
      <c r="K190" s="513"/>
      <c r="L190" s="926"/>
      <c r="M190" s="331"/>
      <c r="N190" s="366"/>
      <c r="O190" s="323"/>
      <c r="P190" s="386"/>
      <c r="Q190" s="323"/>
      <c r="R190" s="366"/>
      <c r="S190" s="378"/>
      <c r="T190" s="324"/>
      <c r="U190" s="386"/>
      <c r="V190" s="386"/>
      <c r="W190" s="386"/>
      <c r="X190" s="386"/>
      <c r="Y190" s="386"/>
      <c r="Z190" s="386"/>
      <c r="AA190" s="386"/>
      <c r="AB190" s="392"/>
      <c r="AC190" s="28"/>
      <c r="AD190" s="28"/>
      <c r="AE190" s="28"/>
      <c r="AF190" s="28"/>
      <c r="AG190" s="28"/>
      <c r="AH190" s="28"/>
      <c r="AI190" s="28"/>
      <c r="AJ190" s="28"/>
    </row>
    <row r="191" spans="1:36" x14ac:dyDescent="0.25">
      <c r="A191" s="298" t="str">
        <f>IF('Kwaliteit conversie'!$D$4='Prijs karton'!C191,"X"," ")</f>
        <v xml:space="preserve"> </v>
      </c>
      <c r="B191" s="331" t="s">
        <v>30</v>
      </c>
      <c r="C191" s="359" t="s">
        <v>1427</v>
      </c>
      <c r="D191" s="366">
        <v>0.36799999999999999</v>
      </c>
      <c r="E191" s="321">
        <v>1.62</v>
      </c>
      <c r="F191" s="925">
        <v>0</v>
      </c>
      <c r="G191" s="315">
        <v>40</v>
      </c>
      <c r="H191" s="315">
        <v>38.5</v>
      </c>
      <c r="I191" s="315">
        <v>38.299999999999997</v>
      </c>
      <c r="J191" s="315">
        <v>38</v>
      </c>
      <c r="K191" s="513">
        <v>38</v>
      </c>
      <c r="L191" s="926" t="s">
        <v>1428</v>
      </c>
      <c r="M191" s="331" t="s">
        <v>1362</v>
      </c>
      <c r="N191" s="366" t="s">
        <v>244</v>
      </c>
      <c r="O191" s="323" t="s">
        <v>239</v>
      </c>
      <c r="P191" s="386" t="s">
        <v>239</v>
      </c>
      <c r="Q191" s="323" t="s">
        <v>239</v>
      </c>
      <c r="R191" s="366" t="s">
        <v>239</v>
      </c>
      <c r="S191" s="378" t="s">
        <v>1429</v>
      </c>
      <c r="T191" s="324" t="s">
        <v>1364</v>
      </c>
      <c r="U191" s="386">
        <v>250</v>
      </c>
      <c r="V191" s="386">
        <v>2450</v>
      </c>
      <c r="W191" s="386">
        <v>600</v>
      </c>
      <c r="X191" s="386">
        <v>6000</v>
      </c>
      <c r="Y191" s="386">
        <v>500</v>
      </c>
      <c r="Z191" s="386">
        <v>250</v>
      </c>
      <c r="AA191" s="386">
        <v>200</v>
      </c>
      <c r="AB191" s="392">
        <v>4.78</v>
      </c>
      <c r="AC191" s="28">
        <v>0</v>
      </c>
      <c r="AD191" s="28">
        <v>1</v>
      </c>
      <c r="AE191" s="28">
        <v>1</v>
      </c>
      <c r="AF191" s="28">
        <v>0</v>
      </c>
      <c r="AG191" s="28">
        <v>1</v>
      </c>
      <c r="AH191" s="28">
        <v>1</v>
      </c>
      <c r="AI191" s="28">
        <v>1</v>
      </c>
      <c r="AJ191" s="28">
        <v>1</v>
      </c>
    </row>
    <row r="192" spans="1:36" x14ac:dyDescent="0.25">
      <c r="A192" s="298" t="str">
        <f>IF('Kwaliteit conversie'!$D$4='Prijs karton'!C192,"X"," ")</f>
        <v xml:space="preserve"> </v>
      </c>
      <c r="B192" s="331" t="s">
        <v>30</v>
      </c>
      <c r="C192" s="359" t="s">
        <v>413</v>
      </c>
      <c r="D192" s="366">
        <v>0.37</v>
      </c>
      <c r="E192" s="321">
        <v>1.5</v>
      </c>
      <c r="F192" s="925">
        <v>0</v>
      </c>
      <c r="G192" s="315">
        <v>31.4</v>
      </c>
      <c r="H192" s="315">
        <v>28.4</v>
      </c>
      <c r="I192" s="315">
        <v>27.9</v>
      </c>
      <c r="J192" s="315">
        <v>27.9</v>
      </c>
      <c r="K192" s="513">
        <v>27.4</v>
      </c>
      <c r="L192" s="926" t="s">
        <v>414</v>
      </c>
      <c r="M192" s="331" t="s">
        <v>257</v>
      </c>
      <c r="N192" s="366" t="s">
        <v>244</v>
      </c>
      <c r="O192" s="323" t="s">
        <v>239</v>
      </c>
      <c r="P192" s="386" t="s">
        <v>239</v>
      </c>
      <c r="Q192" s="323" t="s">
        <v>239</v>
      </c>
      <c r="R192" s="366" t="s">
        <v>239</v>
      </c>
      <c r="S192" s="378" t="s">
        <v>249</v>
      </c>
      <c r="T192" s="324" t="s">
        <v>245</v>
      </c>
      <c r="U192" s="386">
        <v>250</v>
      </c>
      <c r="V192" s="386">
        <v>2450</v>
      </c>
      <c r="W192" s="386">
        <v>500</v>
      </c>
      <c r="X192" s="386">
        <v>6200</v>
      </c>
      <c r="Y192" s="386">
        <v>700</v>
      </c>
      <c r="Z192" s="386">
        <v>350</v>
      </c>
      <c r="AA192" s="386">
        <v>200</v>
      </c>
      <c r="AB192" s="392">
        <v>4.2</v>
      </c>
      <c r="AC192" s="28">
        <v>0</v>
      </c>
      <c r="AD192" s="28">
        <v>1</v>
      </c>
      <c r="AE192" s="28">
        <v>1</v>
      </c>
      <c r="AF192" s="28">
        <v>0</v>
      </c>
      <c r="AG192" s="28">
        <v>1</v>
      </c>
      <c r="AH192" s="28">
        <v>1</v>
      </c>
      <c r="AI192" s="28">
        <v>1</v>
      </c>
      <c r="AJ192" s="28">
        <v>1</v>
      </c>
    </row>
    <row r="193" spans="1:36" x14ac:dyDescent="0.25">
      <c r="A193" s="298" t="str">
        <f>IF('Kwaliteit conversie'!$D$4='Prijs karton'!C193,"X"," ")</f>
        <v xml:space="preserve"> </v>
      </c>
      <c r="B193" s="331" t="s">
        <v>30</v>
      </c>
      <c r="C193" s="359" t="s">
        <v>415</v>
      </c>
      <c r="D193" s="366">
        <v>0.372</v>
      </c>
      <c r="E193" s="321">
        <v>1.55</v>
      </c>
      <c r="F193" s="925">
        <v>0</v>
      </c>
      <c r="G193" s="315" t="s">
        <v>239</v>
      </c>
      <c r="H193" s="315">
        <v>47.9</v>
      </c>
      <c r="I193" s="315">
        <v>47.9</v>
      </c>
      <c r="J193" s="315">
        <v>45.9</v>
      </c>
      <c r="K193" s="513">
        <v>45.9</v>
      </c>
      <c r="L193" s="926" t="s">
        <v>416</v>
      </c>
      <c r="M193" s="331" t="s">
        <v>318</v>
      </c>
      <c r="N193" s="366" t="s">
        <v>244</v>
      </c>
      <c r="O193" s="323" t="s">
        <v>239</v>
      </c>
      <c r="P193" s="386" t="s">
        <v>239</v>
      </c>
      <c r="Q193" s="323" t="s">
        <v>239</v>
      </c>
      <c r="R193" s="366" t="s">
        <v>239</v>
      </c>
      <c r="S193" s="378" t="s">
        <v>260</v>
      </c>
      <c r="T193" s="324" t="s">
        <v>240</v>
      </c>
      <c r="U193" s="386">
        <v>240</v>
      </c>
      <c r="V193" s="386">
        <v>2450</v>
      </c>
      <c r="W193" s="386">
        <v>500</v>
      </c>
      <c r="X193" s="386">
        <v>6000</v>
      </c>
      <c r="Y193" s="386">
        <v>250</v>
      </c>
      <c r="Z193" s="386">
        <v>250</v>
      </c>
      <c r="AA193" s="386">
        <v>500</v>
      </c>
      <c r="AB193" s="392">
        <v>4.8600000000000003</v>
      </c>
      <c r="AC193" s="28">
        <v>0</v>
      </c>
      <c r="AD193" s="28">
        <v>1</v>
      </c>
      <c r="AE193" s="28">
        <v>1</v>
      </c>
      <c r="AF193" s="28">
        <v>0</v>
      </c>
      <c r="AG193" s="28">
        <v>1</v>
      </c>
      <c r="AH193" s="28">
        <v>1</v>
      </c>
      <c r="AI193" s="28">
        <v>1</v>
      </c>
      <c r="AJ193" s="28">
        <v>1</v>
      </c>
    </row>
    <row r="194" spans="1:36" x14ac:dyDescent="0.25">
      <c r="A194" s="298" t="str">
        <f>IF('Kwaliteit conversie'!$D$4='Prijs karton'!C194,"X"," ")</f>
        <v xml:space="preserve"> </v>
      </c>
      <c r="B194" s="331" t="s">
        <v>30</v>
      </c>
      <c r="C194" s="359" t="s">
        <v>417</v>
      </c>
      <c r="D194" s="366">
        <v>0.36499999999999999</v>
      </c>
      <c r="E194" s="321">
        <v>1.5</v>
      </c>
      <c r="F194" s="925">
        <v>0</v>
      </c>
      <c r="G194" s="315">
        <v>33.9</v>
      </c>
      <c r="H194" s="315">
        <v>30.9</v>
      </c>
      <c r="I194" s="315">
        <v>30.4</v>
      </c>
      <c r="J194" s="315">
        <v>30.4</v>
      </c>
      <c r="K194" s="513">
        <v>29.9</v>
      </c>
      <c r="L194" s="926" t="s">
        <v>418</v>
      </c>
      <c r="M194" s="331" t="s">
        <v>269</v>
      </c>
      <c r="N194" s="366" t="s">
        <v>412</v>
      </c>
      <c r="O194" s="323" t="s">
        <v>239</v>
      </c>
      <c r="P194" s="386" t="s">
        <v>239</v>
      </c>
      <c r="Q194" s="323" t="s">
        <v>239</v>
      </c>
      <c r="R194" s="366" t="s">
        <v>239</v>
      </c>
      <c r="S194" s="378" t="s">
        <v>257</v>
      </c>
      <c r="T194" s="324" t="s">
        <v>245</v>
      </c>
      <c r="U194" s="386">
        <v>250</v>
      </c>
      <c r="V194" s="386">
        <v>2450</v>
      </c>
      <c r="W194" s="386">
        <v>500</v>
      </c>
      <c r="X194" s="386">
        <v>6200</v>
      </c>
      <c r="Y194" s="386">
        <v>700</v>
      </c>
      <c r="Z194" s="386">
        <v>350</v>
      </c>
      <c r="AA194" s="386">
        <v>200</v>
      </c>
      <c r="AB194" s="392">
        <v>3.9</v>
      </c>
      <c r="AC194" s="28">
        <v>0</v>
      </c>
      <c r="AD194" s="28">
        <v>1</v>
      </c>
      <c r="AE194" s="28">
        <v>1</v>
      </c>
      <c r="AF194" s="28">
        <v>0</v>
      </c>
      <c r="AG194" s="28">
        <v>1</v>
      </c>
      <c r="AH194" s="28">
        <v>1</v>
      </c>
      <c r="AI194" s="28">
        <v>1</v>
      </c>
      <c r="AJ194" s="28">
        <v>1</v>
      </c>
    </row>
    <row r="195" spans="1:36" x14ac:dyDescent="0.25">
      <c r="A195" s="298" t="str">
        <f>IF('Kwaliteit conversie'!$D$4='Prijs karton'!C195,"X"," ")</f>
        <v xml:space="preserve"> </v>
      </c>
      <c r="B195" s="331" t="s">
        <v>419</v>
      </c>
      <c r="C195" s="359" t="s">
        <v>420</v>
      </c>
      <c r="D195" s="366">
        <v>0.35699999999999998</v>
      </c>
      <c r="E195" s="321">
        <v>1.5</v>
      </c>
      <c r="F195" s="925">
        <v>0</v>
      </c>
      <c r="G195" s="315" t="s">
        <v>239</v>
      </c>
      <c r="H195" s="315">
        <v>46.9</v>
      </c>
      <c r="I195" s="315">
        <v>46.9</v>
      </c>
      <c r="J195" s="315">
        <v>44.9</v>
      </c>
      <c r="K195" s="513">
        <v>44.9</v>
      </c>
      <c r="L195" s="926" t="s">
        <v>421</v>
      </c>
      <c r="M195" s="331" t="s">
        <v>289</v>
      </c>
      <c r="N195" s="366" t="s">
        <v>244</v>
      </c>
      <c r="O195" s="323" t="s">
        <v>239</v>
      </c>
      <c r="P195" s="386" t="s">
        <v>239</v>
      </c>
      <c r="Q195" s="323" t="s">
        <v>239</v>
      </c>
      <c r="R195" s="366" t="s">
        <v>239</v>
      </c>
      <c r="S195" s="378" t="s">
        <v>311</v>
      </c>
      <c r="T195" s="324" t="s">
        <v>240</v>
      </c>
      <c r="U195" s="386">
        <v>240</v>
      </c>
      <c r="V195" s="386">
        <v>2450</v>
      </c>
      <c r="W195" s="386">
        <v>500</v>
      </c>
      <c r="X195" s="386">
        <v>6000</v>
      </c>
      <c r="Y195" s="386">
        <v>250</v>
      </c>
      <c r="Z195" s="386">
        <v>250</v>
      </c>
      <c r="AA195" s="386">
        <v>500</v>
      </c>
      <c r="AB195" s="392">
        <v>4.55</v>
      </c>
      <c r="AC195" s="28">
        <v>0</v>
      </c>
      <c r="AD195" s="28">
        <v>1</v>
      </c>
      <c r="AE195" s="28">
        <v>1</v>
      </c>
      <c r="AF195" s="28">
        <v>0</v>
      </c>
      <c r="AG195" s="28">
        <v>1</v>
      </c>
      <c r="AH195" s="28">
        <v>1</v>
      </c>
      <c r="AI195" s="28">
        <v>1</v>
      </c>
      <c r="AJ195" s="28">
        <v>1</v>
      </c>
    </row>
    <row r="196" spans="1:36" x14ac:dyDescent="0.25">
      <c r="A196" s="298" t="str">
        <f>IF('Kwaliteit conversie'!$D$4='Prijs karton'!C196,"X"," ")</f>
        <v xml:space="preserve"> </v>
      </c>
      <c r="B196" s="331" t="s">
        <v>30</v>
      </c>
      <c r="C196" s="359" t="s">
        <v>422</v>
      </c>
      <c r="D196" s="366">
        <v>0.38200000000000001</v>
      </c>
      <c r="E196" s="321">
        <v>1.49</v>
      </c>
      <c r="F196" s="925">
        <v>0</v>
      </c>
      <c r="G196" s="315" t="s">
        <v>239</v>
      </c>
      <c r="H196" s="315">
        <v>50.5</v>
      </c>
      <c r="I196" s="315">
        <v>50.5</v>
      </c>
      <c r="J196" s="315">
        <v>48.5</v>
      </c>
      <c r="K196" s="513">
        <v>48.5</v>
      </c>
      <c r="L196" s="926" t="s">
        <v>423</v>
      </c>
      <c r="M196" s="331" t="s">
        <v>269</v>
      </c>
      <c r="N196" s="366" t="s">
        <v>244</v>
      </c>
      <c r="O196" s="323" t="s">
        <v>239</v>
      </c>
      <c r="P196" s="386" t="s">
        <v>239</v>
      </c>
      <c r="Q196" s="323" t="s">
        <v>239</v>
      </c>
      <c r="R196" s="366" t="s">
        <v>239</v>
      </c>
      <c r="S196" s="378" t="s">
        <v>269</v>
      </c>
      <c r="T196" s="324" t="s">
        <v>240</v>
      </c>
      <c r="U196" s="386">
        <v>240</v>
      </c>
      <c r="V196" s="386">
        <v>2450</v>
      </c>
      <c r="W196" s="386">
        <v>500</v>
      </c>
      <c r="X196" s="386">
        <v>6000</v>
      </c>
      <c r="Y196" s="386">
        <v>250</v>
      </c>
      <c r="Z196" s="386">
        <v>250</v>
      </c>
      <c r="AA196" s="386">
        <v>500</v>
      </c>
      <c r="AB196" s="392">
        <v>4.0199999999999996</v>
      </c>
      <c r="AC196" s="28">
        <v>0</v>
      </c>
      <c r="AD196" s="28">
        <v>1</v>
      </c>
      <c r="AE196" s="28">
        <v>1</v>
      </c>
      <c r="AF196" s="28">
        <v>0</v>
      </c>
      <c r="AG196" s="28">
        <v>1</v>
      </c>
      <c r="AH196" s="28">
        <v>1</v>
      </c>
      <c r="AI196" s="28">
        <v>1</v>
      </c>
      <c r="AJ196" s="28">
        <v>1</v>
      </c>
    </row>
    <row r="197" spans="1:36" x14ac:dyDescent="0.25">
      <c r="A197" s="298" t="str">
        <f>IF('Kwaliteit conversie'!$D$4='Prijs karton'!C197,"X"," ")</f>
        <v xml:space="preserve"> </v>
      </c>
      <c r="B197" s="331" t="s">
        <v>30</v>
      </c>
      <c r="C197" s="359" t="s">
        <v>1430</v>
      </c>
      <c r="D197" s="366">
        <v>0.35799999999999998</v>
      </c>
      <c r="E197" s="321">
        <v>1.56</v>
      </c>
      <c r="F197" s="925">
        <v>0</v>
      </c>
      <c r="G197" s="315">
        <v>40.700000000000003</v>
      </c>
      <c r="H197" s="315">
        <v>39.299999999999997</v>
      </c>
      <c r="I197" s="315">
        <v>39.1</v>
      </c>
      <c r="J197" s="315">
        <v>38.700000000000003</v>
      </c>
      <c r="K197" s="513">
        <v>38.700000000000003</v>
      </c>
      <c r="L197" s="926" t="s">
        <v>1431</v>
      </c>
      <c r="M197" s="331" t="s">
        <v>1400</v>
      </c>
      <c r="N197" s="366" t="s">
        <v>244</v>
      </c>
      <c r="O197" s="323" t="s">
        <v>239</v>
      </c>
      <c r="P197" s="386" t="s">
        <v>239</v>
      </c>
      <c r="Q197" s="323" t="s">
        <v>239</v>
      </c>
      <c r="R197" s="366" t="s">
        <v>239</v>
      </c>
      <c r="S197" s="378" t="s">
        <v>1363</v>
      </c>
      <c r="T197" s="324" t="s">
        <v>1364</v>
      </c>
      <c r="U197" s="386">
        <v>250</v>
      </c>
      <c r="V197" s="386">
        <v>2450</v>
      </c>
      <c r="W197" s="386">
        <v>600</v>
      </c>
      <c r="X197" s="386">
        <v>6000</v>
      </c>
      <c r="Y197" s="386">
        <v>500</v>
      </c>
      <c r="Z197" s="386">
        <v>250</v>
      </c>
      <c r="AA197" s="386">
        <v>200</v>
      </c>
      <c r="AB197" s="392">
        <v>4.2</v>
      </c>
      <c r="AC197" s="28">
        <v>0</v>
      </c>
      <c r="AD197" s="28">
        <v>1</v>
      </c>
      <c r="AE197" s="28">
        <v>1</v>
      </c>
      <c r="AF197" s="28">
        <v>0</v>
      </c>
      <c r="AG197" s="28">
        <v>1</v>
      </c>
      <c r="AH197" s="28">
        <v>1</v>
      </c>
      <c r="AI197" s="28">
        <v>1</v>
      </c>
      <c r="AJ197" s="28">
        <v>1</v>
      </c>
    </row>
    <row r="198" spans="1:36" x14ac:dyDescent="0.25">
      <c r="A198" s="298" t="str">
        <f>IF('Kwaliteit conversie'!$D$4='Prijs karton'!C198,"X"," ")</f>
        <v xml:space="preserve"> </v>
      </c>
      <c r="B198" s="331" t="s">
        <v>30</v>
      </c>
      <c r="C198" s="359" t="s">
        <v>424</v>
      </c>
      <c r="D198" s="366">
        <v>0.39</v>
      </c>
      <c r="E198" s="321">
        <v>1.5</v>
      </c>
      <c r="F198" s="925">
        <v>0</v>
      </c>
      <c r="G198" s="315">
        <v>43.8</v>
      </c>
      <c r="H198" s="315">
        <v>40.799999999999997</v>
      </c>
      <c r="I198" s="315">
        <v>40.299999999999997</v>
      </c>
      <c r="J198" s="315">
        <v>40.299999999999997</v>
      </c>
      <c r="K198" s="513">
        <v>39.799999999999997</v>
      </c>
      <c r="L198" s="926" t="s">
        <v>425</v>
      </c>
      <c r="M198" s="331" t="s">
        <v>277</v>
      </c>
      <c r="N198" s="366" t="s">
        <v>244</v>
      </c>
      <c r="O198" s="323" t="s">
        <v>239</v>
      </c>
      <c r="P198" s="386" t="s">
        <v>239</v>
      </c>
      <c r="Q198" s="323" t="s">
        <v>239</v>
      </c>
      <c r="R198" s="366" t="s">
        <v>239</v>
      </c>
      <c r="S198" s="378" t="s">
        <v>318</v>
      </c>
      <c r="T198" s="324" t="s">
        <v>245</v>
      </c>
      <c r="U198" s="386">
        <v>250</v>
      </c>
      <c r="V198" s="386">
        <v>2450</v>
      </c>
      <c r="W198" s="386">
        <v>500</v>
      </c>
      <c r="X198" s="386">
        <v>6200</v>
      </c>
      <c r="Y198" s="386">
        <v>700</v>
      </c>
      <c r="Z198" s="386">
        <v>350</v>
      </c>
      <c r="AA198" s="386">
        <v>200</v>
      </c>
      <c r="AB198" s="392">
        <v>4.8</v>
      </c>
      <c r="AC198" s="28">
        <v>0</v>
      </c>
      <c r="AD198" s="28">
        <v>1</v>
      </c>
      <c r="AE198" s="28">
        <v>1</v>
      </c>
      <c r="AF198" s="28">
        <v>0</v>
      </c>
      <c r="AG198" s="28">
        <v>1</v>
      </c>
      <c r="AH198" s="28">
        <v>1</v>
      </c>
      <c r="AI198" s="28">
        <v>1</v>
      </c>
      <c r="AJ198" s="28">
        <v>1</v>
      </c>
    </row>
    <row r="199" spans="1:36" x14ac:dyDescent="0.25">
      <c r="A199" s="298" t="str">
        <f>IF('Kwaliteit conversie'!$D$4='Prijs karton'!C199,"X"," ")</f>
        <v xml:space="preserve"> </v>
      </c>
      <c r="B199" s="331" t="s">
        <v>30</v>
      </c>
      <c r="C199" s="359" t="s">
        <v>426</v>
      </c>
      <c r="D199" s="366">
        <v>0.39</v>
      </c>
      <c r="E199" s="321">
        <v>1.5</v>
      </c>
      <c r="F199" s="925">
        <v>0</v>
      </c>
      <c r="G199" s="315">
        <v>35.1</v>
      </c>
      <c r="H199" s="315">
        <v>32.1</v>
      </c>
      <c r="I199" s="315">
        <v>31.6</v>
      </c>
      <c r="J199" s="315">
        <v>31.6</v>
      </c>
      <c r="K199" s="513">
        <v>31.1</v>
      </c>
      <c r="L199" s="926" t="s">
        <v>427</v>
      </c>
      <c r="M199" s="331" t="s">
        <v>269</v>
      </c>
      <c r="N199" s="366" t="s">
        <v>244</v>
      </c>
      <c r="O199" s="323" t="s">
        <v>239</v>
      </c>
      <c r="P199" s="386" t="s">
        <v>239</v>
      </c>
      <c r="Q199" s="323" t="s">
        <v>239</v>
      </c>
      <c r="R199" s="366" t="s">
        <v>239</v>
      </c>
      <c r="S199" s="378" t="s">
        <v>257</v>
      </c>
      <c r="T199" s="324" t="s">
        <v>245</v>
      </c>
      <c r="U199" s="386">
        <v>250</v>
      </c>
      <c r="V199" s="386">
        <v>2450</v>
      </c>
      <c r="W199" s="386">
        <v>500</v>
      </c>
      <c r="X199" s="386">
        <v>6200</v>
      </c>
      <c r="Y199" s="386">
        <v>700</v>
      </c>
      <c r="Z199" s="386">
        <v>350</v>
      </c>
      <c r="AA199" s="386">
        <v>200</v>
      </c>
      <c r="AB199" s="392">
        <v>4.2</v>
      </c>
      <c r="AC199" s="28">
        <v>0</v>
      </c>
      <c r="AD199" s="28">
        <v>1</v>
      </c>
      <c r="AE199" s="28">
        <v>1</v>
      </c>
      <c r="AF199" s="28">
        <v>0</v>
      </c>
      <c r="AG199" s="28">
        <v>1</v>
      </c>
      <c r="AH199" s="28">
        <v>1</v>
      </c>
      <c r="AI199" s="28">
        <v>1</v>
      </c>
      <c r="AJ199" s="28">
        <v>1</v>
      </c>
    </row>
    <row r="200" spans="1:36" x14ac:dyDescent="0.25">
      <c r="A200" s="298" t="str">
        <f>IF('Kwaliteit conversie'!$D$4='Prijs karton'!C200,"X"," ")</f>
        <v xml:space="preserve"> </v>
      </c>
      <c r="B200" s="331" t="s">
        <v>30</v>
      </c>
      <c r="C200" s="359" t="s">
        <v>428</v>
      </c>
      <c r="D200" s="366">
        <v>0.39</v>
      </c>
      <c r="E200" s="321">
        <v>1.5</v>
      </c>
      <c r="F200" s="925">
        <v>0</v>
      </c>
      <c r="G200" s="315">
        <v>41.3</v>
      </c>
      <c r="H200" s="315">
        <v>38.299999999999997</v>
      </c>
      <c r="I200" s="315">
        <v>37.799999999999997</v>
      </c>
      <c r="J200" s="315">
        <v>37.799999999999997</v>
      </c>
      <c r="K200" s="513">
        <v>37.299999999999997</v>
      </c>
      <c r="L200" s="926" t="s">
        <v>429</v>
      </c>
      <c r="M200" s="331" t="s">
        <v>269</v>
      </c>
      <c r="N200" s="366" t="s">
        <v>244</v>
      </c>
      <c r="O200" s="323" t="s">
        <v>239</v>
      </c>
      <c r="P200" s="386" t="s">
        <v>239</v>
      </c>
      <c r="Q200" s="323" t="s">
        <v>239</v>
      </c>
      <c r="R200" s="366" t="s">
        <v>239</v>
      </c>
      <c r="S200" s="378" t="s">
        <v>269</v>
      </c>
      <c r="T200" s="324" t="s">
        <v>245</v>
      </c>
      <c r="U200" s="386">
        <v>250</v>
      </c>
      <c r="V200" s="386">
        <v>2450</v>
      </c>
      <c r="W200" s="386">
        <v>500</v>
      </c>
      <c r="X200" s="386">
        <v>6200</v>
      </c>
      <c r="Y200" s="386">
        <v>700</v>
      </c>
      <c r="Z200" s="386">
        <v>350</v>
      </c>
      <c r="AA200" s="386">
        <v>200</v>
      </c>
      <c r="AB200" s="392">
        <v>4</v>
      </c>
      <c r="AC200" s="28">
        <v>0</v>
      </c>
      <c r="AD200" s="28">
        <v>1</v>
      </c>
      <c r="AE200" s="28">
        <v>1</v>
      </c>
      <c r="AF200" s="28">
        <v>0</v>
      </c>
      <c r="AG200" s="28">
        <v>1</v>
      </c>
      <c r="AH200" s="28">
        <v>1</v>
      </c>
      <c r="AI200" s="28">
        <v>1</v>
      </c>
      <c r="AJ200" s="28">
        <v>1</v>
      </c>
    </row>
    <row r="201" spans="1:36" x14ac:dyDescent="0.25">
      <c r="A201" s="298" t="str">
        <f>IF('Kwaliteit conversie'!$D$4='Prijs karton'!C201,"X"," ")</f>
        <v xml:space="preserve"> </v>
      </c>
      <c r="B201" s="331" t="s">
        <v>30</v>
      </c>
      <c r="C201" s="359" t="s">
        <v>430</v>
      </c>
      <c r="D201" s="366">
        <v>0.39</v>
      </c>
      <c r="E201" s="321">
        <v>1.5</v>
      </c>
      <c r="F201" s="925">
        <v>0</v>
      </c>
      <c r="G201" s="315">
        <v>44.4</v>
      </c>
      <c r="H201" s="315">
        <v>41.4</v>
      </c>
      <c r="I201" s="315">
        <v>40.9</v>
      </c>
      <c r="J201" s="315">
        <v>40.9</v>
      </c>
      <c r="K201" s="513">
        <v>40.4</v>
      </c>
      <c r="L201" s="926" t="s">
        <v>431</v>
      </c>
      <c r="M201" s="331" t="s">
        <v>289</v>
      </c>
      <c r="N201" s="366" t="s">
        <v>244</v>
      </c>
      <c r="O201" s="323" t="s">
        <v>239</v>
      </c>
      <c r="P201" s="386" t="s">
        <v>239</v>
      </c>
      <c r="Q201" s="323" t="s">
        <v>239</v>
      </c>
      <c r="R201" s="366" t="s">
        <v>239</v>
      </c>
      <c r="S201" s="378" t="s">
        <v>269</v>
      </c>
      <c r="T201" s="324" t="s">
        <v>245</v>
      </c>
      <c r="U201" s="386">
        <v>250</v>
      </c>
      <c r="V201" s="386">
        <v>2450</v>
      </c>
      <c r="W201" s="386">
        <v>500</v>
      </c>
      <c r="X201" s="386">
        <v>6200</v>
      </c>
      <c r="Y201" s="386">
        <v>700</v>
      </c>
      <c r="Z201" s="386">
        <v>350</v>
      </c>
      <c r="AA201" s="386">
        <v>200</v>
      </c>
      <c r="AB201" s="392">
        <v>4.5</v>
      </c>
      <c r="AC201" s="28">
        <v>0</v>
      </c>
      <c r="AD201" s="28">
        <v>1</v>
      </c>
      <c r="AE201" s="28">
        <v>1</v>
      </c>
      <c r="AF201" s="28">
        <v>0</v>
      </c>
      <c r="AG201" s="28">
        <v>1</v>
      </c>
      <c r="AH201" s="28">
        <v>1</v>
      </c>
      <c r="AI201" s="28">
        <v>1</v>
      </c>
      <c r="AJ201" s="28">
        <v>1</v>
      </c>
    </row>
    <row r="202" spans="1:36" x14ac:dyDescent="0.25">
      <c r="A202" s="298" t="str">
        <f>IF('Kwaliteit conversie'!$D$4='Prijs karton'!C202,"X"," ")</f>
        <v xml:space="preserve"> </v>
      </c>
      <c r="B202" s="331" t="s">
        <v>30</v>
      </c>
      <c r="C202" s="359" t="s">
        <v>1432</v>
      </c>
      <c r="D202" s="366">
        <v>0.36299999999999999</v>
      </c>
      <c r="E202" s="321">
        <v>1.53</v>
      </c>
      <c r="F202" s="925">
        <v>0</v>
      </c>
      <c r="G202" s="315">
        <v>43.9</v>
      </c>
      <c r="H202" s="315">
        <v>42.4</v>
      </c>
      <c r="I202" s="315">
        <v>42.1</v>
      </c>
      <c r="J202" s="315">
        <v>41.9</v>
      </c>
      <c r="K202" s="513">
        <v>41.9</v>
      </c>
      <c r="L202" s="926" t="s">
        <v>1433</v>
      </c>
      <c r="M202" s="331" t="s">
        <v>1400</v>
      </c>
      <c r="N202" s="366" t="s">
        <v>244</v>
      </c>
      <c r="O202" s="323" t="s">
        <v>239</v>
      </c>
      <c r="P202" s="386" t="s">
        <v>239</v>
      </c>
      <c r="Q202" s="323" t="s">
        <v>239</v>
      </c>
      <c r="R202" s="366" t="s">
        <v>239</v>
      </c>
      <c r="S202" s="378" t="s">
        <v>1400</v>
      </c>
      <c r="T202" s="324" t="s">
        <v>1364</v>
      </c>
      <c r="U202" s="394">
        <v>250</v>
      </c>
      <c r="V202" s="395">
        <v>2450</v>
      </c>
      <c r="W202" s="395">
        <v>600</v>
      </c>
      <c r="X202" s="394">
        <v>6000</v>
      </c>
      <c r="Y202" s="394">
        <v>500</v>
      </c>
      <c r="Z202" s="394">
        <v>250</v>
      </c>
      <c r="AA202" s="394">
        <v>200</v>
      </c>
      <c r="AB202" s="392">
        <v>3.96</v>
      </c>
      <c r="AC202" s="28">
        <v>0</v>
      </c>
      <c r="AD202" s="28">
        <v>1</v>
      </c>
      <c r="AE202" s="28">
        <v>1</v>
      </c>
      <c r="AF202" s="28">
        <v>0</v>
      </c>
      <c r="AG202" s="28">
        <v>1</v>
      </c>
      <c r="AH202" s="28">
        <v>1</v>
      </c>
      <c r="AI202" s="28">
        <v>1</v>
      </c>
      <c r="AJ202" s="28">
        <v>1</v>
      </c>
    </row>
    <row r="203" spans="1:36" x14ac:dyDescent="0.25">
      <c r="A203" s="298" t="str">
        <f>IF('Kwaliteit conversie'!$D$4='Prijs karton'!C203,"X"," ")</f>
        <v xml:space="preserve"> </v>
      </c>
      <c r="B203" s="331" t="s">
        <v>30</v>
      </c>
      <c r="C203" s="359" t="s">
        <v>1434</v>
      </c>
      <c r="D203" s="366">
        <v>0.38300000000000001</v>
      </c>
      <c r="E203" s="321">
        <v>1.51</v>
      </c>
      <c r="F203" s="925">
        <v>0</v>
      </c>
      <c r="G203" s="315"/>
      <c r="H203" s="315"/>
      <c r="I203" s="315"/>
      <c r="J203" s="315"/>
      <c r="K203" s="513">
        <v>0</v>
      </c>
      <c r="L203" s="926" t="s">
        <v>1435</v>
      </c>
      <c r="M203" s="331" t="s">
        <v>289</v>
      </c>
      <c r="N203" s="366" t="s">
        <v>244</v>
      </c>
      <c r="O203" s="323" t="s">
        <v>239</v>
      </c>
      <c r="P203" s="386" t="s">
        <v>239</v>
      </c>
      <c r="Q203" s="323" t="s">
        <v>239</v>
      </c>
      <c r="R203" s="366" t="s">
        <v>239</v>
      </c>
      <c r="S203" s="378" t="s">
        <v>289</v>
      </c>
      <c r="T203" s="324" t="s">
        <v>1364</v>
      </c>
      <c r="U203" s="394">
        <v>250</v>
      </c>
      <c r="V203" s="395">
        <v>2450</v>
      </c>
      <c r="W203" s="395">
        <v>600</v>
      </c>
      <c r="X203" s="394">
        <v>6000</v>
      </c>
      <c r="Y203" s="394">
        <v>500</v>
      </c>
      <c r="Z203" s="394">
        <v>250</v>
      </c>
      <c r="AA203" s="394">
        <v>200</v>
      </c>
      <c r="AB203" s="392"/>
      <c r="AC203" s="28">
        <v>0</v>
      </c>
      <c r="AD203" s="28">
        <v>1</v>
      </c>
      <c r="AE203" s="28">
        <v>1</v>
      </c>
      <c r="AF203" s="28">
        <v>0</v>
      </c>
      <c r="AG203" s="28">
        <v>1</v>
      </c>
      <c r="AH203" s="28">
        <v>1</v>
      </c>
      <c r="AI203" s="28">
        <v>1</v>
      </c>
      <c r="AJ203" s="28">
        <v>1</v>
      </c>
    </row>
    <row r="204" spans="1:36" x14ac:dyDescent="0.25">
      <c r="A204" s="298" t="str">
        <f>IF('Kwaliteit conversie'!$D$4='Prijs karton'!C204,"X"," ")</f>
        <v xml:space="preserve"> </v>
      </c>
      <c r="B204" s="331" t="s">
        <v>30</v>
      </c>
      <c r="C204" s="359"/>
      <c r="D204" s="366"/>
      <c r="E204" s="321"/>
      <c r="F204" s="925"/>
      <c r="G204" s="315"/>
      <c r="H204" s="315"/>
      <c r="I204" s="315"/>
      <c r="J204" s="315"/>
      <c r="K204" s="513"/>
      <c r="L204" s="926"/>
      <c r="M204" s="331"/>
      <c r="N204" s="366"/>
      <c r="O204" s="323"/>
      <c r="P204" s="386"/>
      <c r="Q204" s="323"/>
      <c r="R204" s="366"/>
      <c r="S204" s="378"/>
      <c r="T204" s="324"/>
      <c r="U204" s="394"/>
      <c r="V204" s="395"/>
      <c r="W204" s="395"/>
      <c r="X204" s="394"/>
      <c r="Y204" s="394"/>
      <c r="Z204" s="394"/>
      <c r="AA204" s="394"/>
      <c r="AB204" s="392"/>
      <c r="AC204" s="28"/>
      <c r="AD204" s="28"/>
      <c r="AE204" s="28"/>
      <c r="AF204" s="28"/>
      <c r="AG204" s="28"/>
      <c r="AH204" s="28"/>
      <c r="AI204" s="28"/>
      <c r="AJ204" s="28"/>
    </row>
    <row r="205" spans="1:36" s="320" customFormat="1" x14ac:dyDescent="0.25">
      <c r="A205" s="329" t="str">
        <f>IF('Kwaliteit conversie'!$D$4='Prijs karton'!C205,"X"," ")</f>
        <v xml:space="preserve"> </v>
      </c>
      <c r="B205" s="332" t="s">
        <v>30</v>
      </c>
      <c r="C205" s="360" t="s">
        <v>432</v>
      </c>
      <c r="D205" s="367"/>
      <c r="E205" s="322">
        <v>1.5</v>
      </c>
      <c r="F205" s="927">
        <v>0</v>
      </c>
      <c r="G205" s="319">
        <v>0</v>
      </c>
      <c r="H205" s="319">
        <v>0</v>
      </c>
      <c r="I205" s="319">
        <v>0</v>
      </c>
      <c r="J205" s="319">
        <v>0</v>
      </c>
      <c r="K205" s="928">
        <v>0</v>
      </c>
      <c r="L205" s="929" t="s">
        <v>239</v>
      </c>
      <c r="M205" s="379" t="s">
        <v>239</v>
      </c>
      <c r="N205" s="367" t="s">
        <v>239</v>
      </c>
      <c r="O205" s="325" t="s">
        <v>239</v>
      </c>
      <c r="P205" s="387" t="s">
        <v>239</v>
      </c>
      <c r="Q205" s="325" t="s">
        <v>239</v>
      </c>
      <c r="R205" s="367" t="s">
        <v>239</v>
      </c>
      <c r="S205" s="380" t="s">
        <v>239</v>
      </c>
      <c r="T205" s="326" t="s">
        <v>245</v>
      </c>
      <c r="U205" s="387">
        <v>250</v>
      </c>
      <c r="V205" s="387">
        <v>2450</v>
      </c>
      <c r="W205" s="387">
        <v>500</v>
      </c>
      <c r="X205" s="387">
        <v>6200</v>
      </c>
      <c r="Y205" s="387">
        <v>700</v>
      </c>
      <c r="Z205" s="387">
        <v>350</v>
      </c>
      <c r="AA205" s="387">
        <v>200</v>
      </c>
      <c r="AB205" s="393">
        <v>4.5</v>
      </c>
      <c r="AC205" s="34">
        <v>0</v>
      </c>
      <c r="AD205" s="34">
        <v>1</v>
      </c>
      <c r="AE205" s="34">
        <v>1</v>
      </c>
      <c r="AF205" s="34">
        <v>0</v>
      </c>
      <c r="AG205" s="34">
        <v>1</v>
      </c>
      <c r="AH205" s="34">
        <v>1</v>
      </c>
      <c r="AI205" s="34">
        <v>1</v>
      </c>
      <c r="AJ205" s="34">
        <v>1</v>
      </c>
    </row>
    <row r="206" spans="1:36" x14ac:dyDescent="0.25">
      <c r="A206" s="298" t="str">
        <f>IF('Kwaliteit conversie'!$D$4='Prijs karton'!C206,"X"," ")</f>
        <v xml:space="preserve"> </v>
      </c>
      <c r="B206" s="331"/>
      <c r="C206" s="359"/>
      <c r="D206" s="366"/>
      <c r="E206" s="321"/>
      <c r="F206" s="925"/>
      <c r="G206" s="315"/>
      <c r="H206" s="315"/>
      <c r="I206" s="315"/>
      <c r="J206" s="315"/>
      <c r="K206" s="513"/>
      <c r="L206" s="926"/>
      <c r="M206" s="331"/>
      <c r="N206" s="366"/>
      <c r="O206" s="323"/>
      <c r="P206" s="386"/>
      <c r="Q206" s="323"/>
      <c r="R206" s="366"/>
      <c r="S206" s="378"/>
      <c r="T206" s="324"/>
      <c r="U206" s="386"/>
      <c r="V206" s="386"/>
      <c r="W206" s="386"/>
      <c r="X206" s="386"/>
      <c r="Y206" s="386"/>
      <c r="Z206" s="386"/>
      <c r="AA206" s="386"/>
      <c r="AB206" s="392"/>
      <c r="AC206" s="28"/>
      <c r="AD206" s="28"/>
      <c r="AE206" s="28"/>
      <c r="AF206" s="28"/>
      <c r="AG206" s="28"/>
      <c r="AH206" s="28"/>
      <c r="AI206" s="28"/>
      <c r="AJ206" s="28"/>
    </row>
    <row r="207" spans="1:36" x14ac:dyDescent="0.25">
      <c r="A207" s="298" t="str">
        <f>IF('Kwaliteit conversie'!$D$4='Prijs karton'!C207,"X"," ")</f>
        <v xml:space="preserve"> </v>
      </c>
      <c r="B207" s="331"/>
      <c r="C207" s="359"/>
      <c r="D207" s="366"/>
      <c r="E207" s="321"/>
      <c r="F207" s="925"/>
      <c r="G207" s="315"/>
      <c r="H207" s="315"/>
      <c r="I207" s="315"/>
      <c r="J207" s="315"/>
      <c r="K207" s="513"/>
      <c r="L207" s="926"/>
      <c r="M207" s="331"/>
      <c r="N207" s="366"/>
      <c r="O207" s="323"/>
      <c r="P207" s="386"/>
      <c r="Q207" s="323"/>
      <c r="R207" s="366"/>
      <c r="S207" s="378"/>
      <c r="T207" s="324"/>
      <c r="U207" s="386"/>
      <c r="V207" s="386"/>
      <c r="W207" s="386"/>
      <c r="X207" s="386"/>
      <c r="Y207" s="386"/>
      <c r="Z207" s="386"/>
      <c r="AA207" s="386"/>
      <c r="AB207" s="392"/>
      <c r="AC207" s="28"/>
      <c r="AD207" s="28"/>
      <c r="AE207" s="28"/>
      <c r="AF207" s="28"/>
      <c r="AG207" s="28"/>
      <c r="AH207" s="28"/>
      <c r="AI207" s="28"/>
      <c r="AJ207" s="28"/>
    </row>
    <row r="208" spans="1:36" x14ac:dyDescent="0.25">
      <c r="A208" s="298" t="str">
        <f>IF('Kwaliteit conversie'!$D$4='Prijs karton'!C208,"X"," ")</f>
        <v xml:space="preserve"> </v>
      </c>
      <c r="B208" s="331"/>
      <c r="C208" s="359"/>
      <c r="D208" s="366"/>
      <c r="E208" s="321"/>
      <c r="F208" s="925"/>
      <c r="G208" s="315"/>
      <c r="H208" s="315"/>
      <c r="I208" s="315"/>
      <c r="J208" s="315"/>
      <c r="K208" s="513"/>
      <c r="L208" s="926"/>
      <c r="M208" s="331"/>
      <c r="N208" s="366"/>
      <c r="O208" s="323"/>
      <c r="P208" s="386"/>
      <c r="Q208" s="323"/>
      <c r="R208" s="366"/>
      <c r="S208" s="378"/>
      <c r="T208" s="324"/>
      <c r="U208" s="386"/>
      <c r="V208" s="386"/>
      <c r="W208" s="386"/>
      <c r="X208" s="386"/>
      <c r="Y208" s="386"/>
      <c r="Z208" s="386"/>
      <c r="AA208" s="386"/>
      <c r="AB208" s="392"/>
      <c r="AC208" s="28"/>
      <c r="AD208" s="28"/>
      <c r="AE208" s="28"/>
      <c r="AF208" s="28"/>
      <c r="AG208" s="28"/>
      <c r="AH208" s="28"/>
      <c r="AI208" s="28"/>
      <c r="AJ208" s="28"/>
    </row>
    <row r="209" spans="1:36" x14ac:dyDescent="0.25">
      <c r="A209" s="932" t="str">
        <f>IF('Kwaliteit conversie'!$D$4='Prijs karton'!C209,"X"," ")</f>
        <v xml:space="preserve"> </v>
      </c>
      <c r="B209" s="331" t="s">
        <v>33</v>
      </c>
      <c r="C209" s="359" t="s">
        <v>433</v>
      </c>
      <c r="D209" s="366">
        <v>0.57299999999999995</v>
      </c>
      <c r="E209" s="321">
        <v>4.18</v>
      </c>
      <c r="F209" s="925">
        <v>0</v>
      </c>
      <c r="G209" s="315">
        <v>63.5</v>
      </c>
      <c r="H209" s="315">
        <v>60.5</v>
      </c>
      <c r="I209" s="315">
        <v>60.5</v>
      </c>
      <c r="J209" s="315">
        <v>58.5</v>
      </c>
      <c r="K209" s="513">
        <v>58.5</v>
      </c>
      <c r="L209" s="926" t="s">
        <v>434</v>
      </c>
      <c r="M209" s="331" t="s">
        <v>260</v>
      </c>
      <c r="N209" s="366" t="s">
        <v>244</v>
      </c>
      <c r="O209" s="323" t="s">
        <v>255</v>
      </c>
      <c r="P209" s="386" t="s">
        <v>238</v>
      </c>
      <c r="Q209" s="323" t="s">
        <v>239</v>
      </c>
      <c r="R209" s="366" t="s">
        <v>239</v>
      </c>
      <c r="S209" s="378" t="s">
        <v>260</v>
      </c>
      <c r="T209" s="324" t="s">
        <v>240</v>
      </c>
      <c r="U209" s="386">
        <v>240</v>
      </c>
      <c r="V209" s="386">
        <v>2450</v>
      </c>
      <c r="W209" s="386">
        <v>500</v>
      </c>
      <c r="X209" s="386">
        <v>6000</v>
      </c>
      <c r="Y209" s="386">
        <v>85</v>
      </c>
      <c r="Z209" s="386">
        <v>85</v>
      </c>
      <c r="AA209" s="386">
        <v>200</v>
      </c>
      <c r="AB209" s="392">
        <v>7.15</v>
      </c>
      <c r="AC209" s="28">
        <v>0</v>
      </c>
      <c r="AD209" s="28">
        <v>1</v>
      </c>
      <c r="AE209" s="28">
        <v>1</v>
      </c>
      <c r="AF209" s="28">
        <v>1</v>
      </c>
      <c r="AG209" s="28">
        <v>1</v>
      </c>
      <c r="AH209" s="28">
        <v>1</v>
      </c>
      <c r="AI209" s="28">
        <v>1</v>
      </c>
      <c r="AJ209" s="28">
        <v>1</v>
      </c>
    </row>
    <row r="210" spans="1:36" x14ac:dyDescent="0.25">
      <c r="A210" s="298" t="str">
        <f>IF('Kwaliteit conversie'!$D$4='Prijs karton'!C210,"X"," ")</f>
        <v xml:space="preserve"> </v>
      </c>
      <c r="B210" s="331" t="s">
        <v>33</v>
      </c>
      <c r="C210" s="359" t="s">
        <v>435</v>
      </c>
      <c r="D210" s="366">
        <v>0.58299999999999996</v>
      </c>
      <c r="E210" s="321">
        <v>4.17</v>
      </c>
      <c r="F210" s="925">
        <v>0</v>
      </c>
      <c r="G210" s="315">
        <v>69.8</v>
      </c>
      <c r="H210" s="315">
        <v>66.8</v>
      </c>
      <c r="I210" s="315">
        <v>66.8</v>
      </c>
      <c r="J210" s="315">
        <v>64.8</v>
      </c>
      <c r="K210" s="513">
        <v>64.8</v>
      </c>
      <c r="L210" s="926" t="s">
        <v>436</v>
      </c>
      <c r="M210" s="331" t="s">
        <v>318</v>
      </c>
      <c r="N210" s="366" t="s">
        <v>244</v>
      </c>
      <c r="O210" s="323" t="s">
        <v>255</v>
      </c>
      <c r="P210" s="386" t="s">
        <v>238</v>
      </c>
      <c r="Q210" s="323" t="s">
        <v>239</v>
      </c>
      <c r="R210" s="366" t="s">
        <v>239</v>
      </c>
      <c r="S210" s="378" t="s">
        <v>260</v>
      </c>
      <c r="T210" s="324" t="s">
        <v>240</v>
      </c>
      <c r="U210" s="386">
        <v>240</v>
      </c>
      <c r="V210" s="386">
        <v>2450</v>
      </c>
      <c r="W210" s="386">
        <v>500</v>
      </c>
      <c r="X210" s="386">
        <v>6000</v>
      </c>
      <c r="Y210" s="386">
        <v>85</v>
      </c>
      <c r="Z210" s="386">
        <v>85</v>
      </c>
      <c r="AA210" s="386">
        <v>200</v>
      </c>
      <c r="AB210" s="392">
        <v>7.35</v>
      </c>
      <c r="AC210" s="28">
        <v>0</v>
      </c>
      <c r="AD210" s="28">
        <v>1</v>
      </c>
      <c r="AE210" s="28">
        <v>1</v>
      </c>
      <c r="AF210" s="28">
        <v>1</v>
      </c>
      <c r="AG210" s="28">
        <v>1</v>
      </c>
      <c r="AH210" s="28">
        <v>1</v>
      </c>
      <c r="AI210" s="28">
        <v>1</v>
      </c>
      <c r="AJ210" s="28">
        <v>1</v>
      </c>
    </row>
    <row r="211" spans="1:36" x14ac:dyDescent="0.25">
      <c r="A211" s="298" t="str">
        <f>IF('Kwaliteit conversie'!$D$4='Prijs karton'!C211,"X"," ")</f>
        <v xml:space="preserve"> </v>
      </c>
      <c r="B211" s="331" t="s">
        <v>33</v>
      </c>
      <c r="C211" s="359" t="s">
        <v>437</v>
      </c>
      <c r="D211" s="366">
        <v>0.62</v>
      </c>
      <c r="E211" s="321">
        <v>4.0999999999999996</v>
      </c>
      <c r="F211" s="925">
        <v>0</v>
      </c>
      <c r="G211" s="315">
        <v>58.5</v>
      </c>
      <c r="H211" s="315">
        <v>55.5</v>
      </c>
      <c r="I211" s="315">
        <v>55</v>
      </c>
      <c r="J211" s="315">
        <v>55</v>
      </c>
      <c r="K211" s="513">
        <v>54.5</v>
      </c>
      <c r="L211" s="926" t="s">
        <v>438</v>
      </c>
      <c r="M211" s="331" t="s">
        <v>277</v>
      </c>
      <c r="N211" s="366" t="s">
        <v>244</v>
      </c>
      <c r="O211" s="323" t="s">
        <v>244</v>
      </c>
      <c r="P211" s="386" t="s">
        <v>285</v>
      </c>
      <c r="Q211" s="323" t="s">
        <v>239</v>
      </c>
      <c r="R211" s="366" t="s">
        <v>239</v>
      </c>
      <c r="S211" s="378" t="s">
        <v>249</v>
      </c>
      <c r="T211" s="324" t="s">
        <v>245</v>
      </c>
      <c r="U211" s="386">
        <v>250</v>
      </c>
      <c r="V211" s="386">
        <v>2450</v>
      </c>
      <c r="W211" s="386">
        <v>500</v>
      </c>
      <c r="X211" s="386">
        <v>6200</v>
      </c>
      <c r="Y211" s="386">
        <v>250</v>
      </c>
      <c r="Z211" s="386">
        <v>125</v>
      </c>
      <c r="AA211" s="386">
        <v>200</v>
      </c>
      <c r="AB211" s="392">
        <v>8</v>
      </c>
      <c r="AC211" s="28">
        <v>0</v>
      </c>
      <c r="AD211" s="28">
        <v>1</v>
      </c>
      <c r="AE211" s="28">
        <v>1</v>
      </c>
      <c r="AF211" s="28">
        <v>1</v>
      </c>
      <c r="AG211" s="28">
        <v>1</v>
      </c>
      <c r="AH211" s="28">
        <v>1</v>
      </c>
      <c r="AI211" s="28">
        <v>1</v>
      </c>
      <c r="AJ211" s="28">
        <v>1</v>
      </c>
    </row>
    <row r="212" spans="1:36" x14ac:dyDescent="0.25">
      <c r="A212" s="298" t="str">
        <f>IF('Kwaliteit conversie'!$D$4='Prijs karton'!C212,"X"," ")</f>
        <v xml:space="preserve"> </v>
      </c>
      <c r="B212" s="331" t="s">
        <v>33</v>
      </c>
      <c r="C212" s="359" t="s">
        <v>439</v>
      </c>
      <c r="D212" s="366">
        <v>0.58299999999999996</v>
      </c>
      <c r="E212" s="321">
        <v>4.1500000000000004</v>
      </c>
      <c r="F212" s="925">
        <v>0</v>
      </c>
      <c r="G212" s="315" t="s">
        <v>239</v>
      </c>
      <c r="H212" s="315">
        <v>68.400000000000006</v>
      </c>
      <c r="I212" s="315">
        <v>68.400000000000006</v>
      </c>
      <c r="J212" s="315">
        <v>66.400000000000006</v>
      </c>
      <c r="K212" s="513">
        <v>66.400000000000006</v>
      </c>
      <c r="L212" s="926" t="s">
        <v>440</v>
      </c>
      <c r="M212" s="331" t="s">
        <v>289</v>
      </c>
      <c r="N212" s="366" t="s">
        <v>244</v>
      </c>
      <c r="O212" s="323" t="s">
        <v>255</v>
      </c>
      <c r="P212" s="386" t="s">
        <v>238</v>
      </c>
      <c r="Q212" s="323" t="s">
        <v>239</v>
      </c>
      <c r="R212" s="366" t="s">
        <v>239</v>
      </c>
      <c r="S212" s="378" t="s">
        <v>260</v>
      </c>
      <c r="T212" s="324" t="s">
        <v>240</v>
      </c>
      <c r="U212" s="386">
        <v>240</v>
      </c>
      <c r="V212" s="386">
        <v>2450</v>
      </c>
      <c r="W212" s="386">
        <v>500</v>
      </c>
      <c r="X212" s="386">
        <v>6000</v>
      </c>
      <c r="Y212" s="386">
        <v>85</v>
      </c>
      <c r="Z212" s="386">
        <v>85</v>
      </c>
      <c r="AA212" s="386">
        <v>500</v>
      </c>
      <c r="AB212" s="392">
        <v>7.47</v>
      </c>
      <c r="AC212" s="28">
        <v>0</v>
      </c>
      <c r="AD212" s="28">
        <v>1</v>
      </c>
      <c r="AE212" s="28">
        <v>1</v>
      </c>
      <c r="AF212" s="28">
        <v>1</v>
      </c>
      <c r="AG212" s="28">
        <v>1</v>
      </c>
      <c r="AH212" s="28">
        <v>1</v>
      </c>
      <c r="AI212" s="28">
        <v>1</v>
      </c>
      <c r="AJ212" s="28">
        <v>1</v>
      </c>
    </row>
    <row r="213" spans="1:36" x14ac:dyDescent="0.25">
      <c r="A213" s="298" t="str">
        <f>IF('Kwaliteit conversie'!$D$4='Prijs karton'!C213,"X"," ")</f>
        <v xml:space="preserve"> </v>
      </c>
      <c r="B213" s="331" t="s">
        <v>33</v>
      </c>
      <c r="C213" s="359" t="s">
        <v>441</v>
      </c>
      <c r="D213" s="366">
        <v>0.51500000000000001</v>
      </c>
      <c r="E213" s="321">
        <v>4</v>
      </c>
      <c r="F213" s="925">
        <v>0</v>
      </c>
      <c r="G213" s="315">
        <v>43.9</v>
      </c>
      <c r="H213" s="315">
        <v>40.9</v>
      </c>
      <c r="I213" s="315">
        <v>40.4</v>
      </c>
      <c r="J213" s="315">
        <v>40.4</v>
      </c>
      <c r="K213" s="513">
        <v>39.9</v>
      </c>
      <c r="L213" s="926" t="s">
        <v>442</v>
      </c>
      <c r="M213" s="331" t="s">
        <v>249</v>
      </c>
      <c r="N213" s="366" t="s">
        <v>412</v>
      </c>
      <c r="O213" s="323" t="s">
        <v>244</v>
      </c>
      <c r="P213" s="386" t="s">
        <v>244</v>
      </c>
      <c r="Q213" s="323" t="s">
        <v>239</v>
      </c>
      <c r="R213" s="366" t="s">
        <v>239</v>
      </c>
      <c r="S213" s="378" t="s">
        <v>243</v>
      </c>
      <c r="T213" s="324" t="s">
        <v>245</v>
      </c>
      <c r="U213" s="386">
        <v>250</v>
      </c>
      <c r="V213" s="386">
        <v>2450</v>
      </c>
      <c r="W213" s="386">
        <v>500</v>
      </c>
      <c r="X213" s="386">
        <v>6200</v>
      </c>
      <c r="Y213" s="386">
        <v>250</v>
      </c>
      <c r="Z213" s="386">
        <v>125</v>
      </c>
      <c r="AA213" s="386">
        <v>200</v>
      </c>
      <c r="AB213" s="392">
        <v>6</v>
      </c>
      <c r="AC213" s="28">
        <v>0</v>
      </c>
      <c r="AD213" s="28">
        <v>1</v>
      </c>
      <c r="AE213" s="28">
        <v>1</v>
      </c>
      <c r="AF213" s="28">
        <v>1</v>
      </c>
      <c r="AG213" s="28">
        <v>1</v>
      </c>
      <c r="AH213" s="28">
        <v>1</v>
      </c>
      <c r="AI213" s="28">
        <v>1</v>
      </c>
      <c r="AJ213" s="28">
        <v>1</v>
      </c>
    </row>
    <row r="214" spans="1:36" x14ac:dyDescent="0.25">
      <c r="A214" s="298" t="str">
        <f>IF('Kwaliteit conversie'!$D$4='Prijs karton'!C214,"X"," ")</f>
        <v xml:space="preserve"> </v>
      </c>
      <c r="B214" s="331" t="s">
        <v>33</v>
      </c>
      <c r="C214" s="359" t="s">
        <v>443</v>
      </c>
      <c r="D214" s="366">
        <v>0.53500000000000003</v>
      </c>
      <c r="E214" s="321">
        <v>4</v>
      </c>
      <c r="F214" s="925">
        <v>0</v>
      </c>
      <c r="G214" s="315">
        <v>54.7</v>
      </c>
      <c r="H214" s="315">
        <v>51.7</v>
      </c>
      <c r="I214" s="315">
        <v>51.2</v>
      </c>
      <c r="J214" s="315">
        <v>51.2</v>
      </c>
      <c r="K214" s="513">
        <v>50.7</v>
      </c>
      <c r="L214" s="926" t="s">
        <v>444</v>
      </c>
      <c r="M214" s="331" t="s">
        <v>269</v>
      </c>
      <c r="N214" s="366" t="s">
        <v>412</v>
      </c>
      <c r="O214" s="323" t="s">
        <v>244</v>
      </c>
      <c r="P214" s="386" t="s">
        <v>244</v>
      </c>
      <c r="Q214" s="323" t="s">
        <v>239</v>
      </c>
      <c r="R214" s="366" t="s">
        <v>239</v>
      </c>
      <c r="S214" s="378" t="s">
        <v>243</v>
      </c>
      <c r="T214" s="324" t="s">
        <v>245</v>
      </c>
      <c r="U214" s="386">
        <v>250</v>
      </c>
      <c r="V214" s="386">
        <v>2450</v>
      </c>
      <c r="W214" s="386">
        <v>500</v>
      </c>
      <c r="X214" s="386">
        <v>6200</v>
      </c>
      <c r="Y214" s="386">
        <v>250</v>
      </c>
      <c r="Z214" s="386">
        <v>125</v>
      </c>
      <c r="AA214" s="386">
        <v>200</v>
      </c>
      <c r="AB214" s="392">
        <v>6.1</v>
      </c>
      <c r="AC214" s="28">
        <v>0</v>
      </c>
      <c r="AD214" s="28">
        <v>1</v>
      </c>
      <c r="AE214" s="28">
        <v>1</v>
      </c>
      <c r="AF214" s="28">
        <v>1</v>
      </c>
      <c r="AG214" s="28">
        <v>1</v>
      </c>
      <c r="AH214" s="28">
        <v>1</v>
      </c>
      <c r="AI214" s="28">
        <v>1</v>
      </c>
      <c r="AJ214" s="28">
        <v>1</v>
      </c>
    </row>
    <row r="215" spans="1:36" x14ac:dyDescent="0.25">
      <c r="A215" s="298" t="str">
        <f>IF('Kwaliteit conversie'!$D$4='Prijs karton'!C215,"X"," ")</f>
        <v xml:space="preserve"> </v>
      </c>
      <c r="B215" s="331" t="s">
        <v>33</v>
      </c>
      <c r="C215" s="359" t="s">
        <v>445</v>
      </c>
      <c r="D215" s="366">
        <v>0.53500000000000003</v>
      </c>
      <c r="E215" s="321">
        <v>4</v>
      </c>
      <c r="F215" s="925">
        <v>0</v>
      </c>
      <c r="G215" s="315">
        <v>55.7</v>
      </c>
      <c r="H215" s="315">
        <v>52.7</v>
      </c>
      <c r="I215" s="315">
        <v>52.2</v>
      </c>
      <c r="J215" s="315">
        <v>52.2</v>
      </c>
      <c r="K215" s="513">
        <v>51.7</v>
      </c>
      <c r="L215" s="926" t="s">
        <v>446</v>
      </c>
      <c r="M215" s="331" t="s">
        <v>289</v>
      </c>
      <c r="N215" s="366" t="s">
        <v>412</v>
      </c>
      <c r="O215" s="323" t="s">
        <v>244</v>
      </c>
      <c r="P215" s="386" t="s">
        <v>244</v>
      </c>
      <c r="Q215" s="323" t="s">
        <v>239</v>
      </c>
      <c r="R215" s="366" t="s">
        <v>239</v>
      </c>
      <c r="S215" s="378" t="s">
        <v>243</v>
      </c>
      <c r="T215" s="324" t="s">
        <v>245</v>
      </c>
      <c r="U215" s="386">
        <v>250</v>
      </c>
      <c r="V215" s="386">
        <v>2450</v>
      </c>
      <c r="W215" s="386">
        <v>500</v>
      </c>
      <c r="X215" s="386">
        <v>6200</v>
      </c>
      <c r="Y215" s="386">
        <v>250</v>
      </c>
      <c r="Z215" s="386">
        <v>125</v>
      </c>
      <c r="AA215" s="386">
        <v>200</v>
      </c>
      <c r="AB215" s="392">
        <v>6.6</v>
      </c>
      <c r="AC215" s="28">
        <v>0</v>
      </c>
      <c r="AD215" s="28">
        <v>1</v>
      </c>
      <c r="AE215" s="28">
        <v>1</v>
      </c>
      <c r="AF215" s="28">
        <v>1</v>
      </c>
      <c r="AG215" s="28">
        <v>1</v>
      </c>
      <c r="AH215" s="28">
        <v>1</v>
      </c>
      <c r="AI215" s="28">
        <v>1</v>
      </c>
      <c r="AJ215" s="28">
        <v>1</v>
      </c>
    </row>
    <row r="216" spans="1:36" x14ac:dyDescent="0.25">
      <c r="A216" s="298" t="str">
        <f>IF('Kwaliteit conversie'!$D$4='Prijs karton'!C216,"X"," ")</f>
        <v xml:space="preserve"> </v>
      </c>
      <c r="B216" s="331" t="s">
        <v>33</v>
      </c>
      <c r="C216" s="359" t="s">
        <v>447</v>
      </c>
      <c r="D216" s="366">
        <v>0.54500000000000004</v>
      </c>
      <c r="E216" s="321">
        <v>4</v>
      </c>
      <c r="F216" s="925">
        <v>0</v>
      </c>
      <c r="G216" s="315">
        <v>50</v>
      </c>
      <c r="H216" s="315">
        <v>47</v>
      </c>
      <c r="I216" s="315">
        <v>46.5</v>
      </c>
      <c r="J216" s="315">
        <v>46.5</v>
      </c>
      <c r="K216" s="513">
        <v>46</v>
      </c>
      <c r="L216" s="926" t="s">
        <v>448</v>
      </c>
      <c r="M216" s="331" t="s">
        <v>331</v>
      </c>
      <c r="N216" s="366" t="s">
        <v>412</v>
      </c>
      <c r="O216" s="323" t="s">
        <v>244</v>
      </c>
      <c r="P216" s="386" t="s">
        <v>244</v>
      </c>
      <c r="Q216" s="323" t="s">
        <v>239</v>
      </c>
      <c r="R216" s="366" t="s">
        <v>239</v>
      </c>
      <c r="S216" s="378" t="s">
        <v>249</v>
      </c>
      <c r="T216" s="324" t="s">
        <v>245</v>
      </c>
      <c r="U216" s="386">
        <v>250</v>
      </c>
      <c r="V216" s="386">
        <v>2450</v>
      </c>
      <c r="W216" s="386">
        <v>500</v>
      </c>
      <c r="X216" s="386">
        <v>6200</v>
      </c>
      <c r="Y216" s="386">
        <v>250</v>
      </c>
      <c r="Z216" s="386">
        <v>125</v>
      </c>
      <c r="AA216" s="386">
        <v>200</v>
      </c>
      <c r="AB216" s="392">
        <v>6.9</v>
      </c>
      <c r="AC216" s="28">
        <v>0</v>
      </c>
      <c r="AD216" s="28">
        <v>1</v>
      </c>
      <c r="AE216" s="28">
        <v>1</v>
      </c>
      <c r="AF216" s="28">
        <v>1</v>
      </c>
      <c r="AG216" s="28">
        <v>1</v>
      </c>
      <c r="AH216" s="28">
        <v>1</v>
      </c>
      <c r="AI216" s="28">
        <v>1</v>
      </c>
      <c r="AJ216" s="28">
        <v>1</v>
      </c>
    </row>
    <row r="217" spans="1:36" x14ac:dyDescent="0.25">
      <c r="A217" s="298" t="str">
        <f>IF('Kwaliteit conversie'!$D$4='Prijs karton'!C217,"X"," ")</f>
        <v xml:space="preserve"> </v>
      </c>
      <c r="B217" s="331" t="s">
        <v>33</v>
      </c>
      <c r="C217" s="359" t="s">
        <v>449</v>
      </c>
      <c r="D217" s="366">
        <v>0.625</v>
      </c>
      <c r="E217" s="321">
        <v>4.0999999999999996</v>
      </c>
      <c r="F217" s="925">
        <v>0</v>
      </c>
      <c r="G217" s="315">
        <v>55.6</v>
      </c>
      <c r="H217" s="315">
        <v>52.6</v>
      </c>
      <c r="I217" s="315">
        <v>52.1</v>
      </c>
      <c r="J217" s="315">
        <v>52.1</v>
      </c>
      <c r="K217" s="513">
        <v>51.6</v>
      </c>
      <c r="L217" s="926" t="s">
        <v>450</v>
      </c>
      <c r="M217" s="331" t="s">
        <v>274</v>
      </c>
      <c r="N217" s="366" t="s">
        <v>244</v>
      </c>
      <c r="O217" s="323" t="s">
        <v>244</v>
      </c>
      <c r="P217" s="386" t="s">
        <v>285</v>
      </c>
      <c r="Q217" s="323" t="s">
        <v>239</v>
      </c>
      <c r="R217" s="366" t="s">
        <v>239</v>
      </c>
      <c r="S217" s="378" t="s">
        <v>249</v>
      </c>
      <c r="T217" s="324" t="s">
        <v>245</v>
      </c>
      <c r="U217" s="386">
        <v>250</v>
      </c>
      <c r="V217" s="386">
        <v>2450</v>
      </c>
      <c r="W217" s="386">
        <v>500</v>
      </c>
      <c r="X217" s="386">
        <v>6200</v>
      </c>
      <c r="Y217" s="386">
        <v>250</v>
      </c>
      <c r="Z217" s="386">
        <v>125</v>
      </c>
      <c r="AA217" s="386">
        <v>200</v>
      </c>
      <c r="AB217" s="392">
        <v>8.1</v>
      </c>
      <c r="AC217" s="28">
        <v>0</v>
      </c>
      <c r="AD217" s="28">
        <v>1</v>
      </c>
      <c r="AE217" s="28">
        <v>1</v>
      </c>
      <c r="AF217" s="28">
        <v>1</v>
      </c>
      <c r="AG217" s="28">
        <v>1</v>
      </c>
      <c r="AH217" s="28">
        <v>1</v>
      </c>
      <c r="AI217" s="28">
        <v>1</v>
      </c>
      <c r="AJ217" s="28">
        <v>1</v>
      </c>
    </row>
    <row r="218" spans="1:36" x14ac:dyDescent="0.25">
      <c r="A218" s="298" t="str">
        <f>IF('Kwaliteit conversie'!$D$4='Prijs karton'!C218,"X"," ")</f>
        <v xml:space="preserve"> </v>
      </c>
      <c r="B218" s="331" t="s">
        <v>33</v>
      </c>
      <c r="C218" s="359" t="s">
        <v>1436</v>
      </c>
      <c r="D218" s="366">
        <v>0.53</v>
      </c>
      <c r="E218" s="321">
        <v>4</v>
      </c>
      <c r="F218" s="925">
        <v>0</v>
      </c>
      <c r="G218" s="315">
        <v>48.1</v>
      </c>
      <c r="H218" s="315">
        <v>46.8</v>
      </c>
      <c r="I218" s="315">
        <v>46.6</v>
      </c>
      <c r="J218" s="315">
        <v>46.4</v>
      </c>
      <c r="K218" s="513">
        <v>46.4</v>
      </c>
      <c r="L218" s="926" t="s">
        <v>1437</v>
      </c>
      <c r="M218" s="331" t="s">
        <v>1392</v>
      </c>
      <c r="N218" s="366" t="s">
        <v>244</v>
      </c>
      <c r="O218" s="323" t="s">
        <v>244</v>
      </c>
      <c r="P218" s="386" t="s">
        <v>244</v>
      </c>
      <c r="Q218" s="323" t="s">
        <v>239</v>
      </c>
      <c r="R218" s="366" t="s">
        <v>239</v>
      </c>
      <c r="S218" s="378" t="s">
        <v>244</v>
      </c>
      <c r="T218" s="324" t="s">
        <v>1364</v>
      </c>
      <c r="U218" s="386">
        <v>250</v>
      </c>
      <c r="V218" s="386">
        <v>2450</v>
      </c>
      <c r="W218" s="386">
        <v>600</v>
      </c>
      <c r="X218" s="386">
        <v>6000</v>
      </c>
      <c r="Y218" s="386">
        <v>190</v>
      </c>
      <c r="Z218" s="386">
        <v>95</v>
      </c>
      <c r="AA218" s="386">
        <v>200</v>
      </c>
      <c r="AB218" s="392">
        <v>7.3</v>
      </c>
      <c r="AC218" s="28">
        <v>0</v>
      </c>
      <c r="AD218" s="28">
        <v>1</v>
      </c>
      <c r="AE218" s="28">
        <v>1</v>
      </c>
      <c r="AF218" s="28">
        <v>1</v>
      </c>
      <c r="AG218" s="28">
        <v>1</v>
      </c>
      <c r="AH218" s="28">
        <v>1</v>
      </c>
      <c r="AI218" s="28">
        <v>1</v>
      </c>
      <c r="AJ218" s="28">
        <v>1</v>
      </c>
    </row>
    <row r="219" spans="1:36" x14ac:dyDescent="0.25">
      <c r="A219" s="298" t="str">
        <f>IF('Kwaliteit conversie'!$D$4='Prijs karton'!C219,"X"," ")</f>
        <v xml:space="preserve"> </v>
      </c>
      <c r="B219" s="331" t="s">
        <v>33</v>
      </c>
      <c r="C219" s="359" t="s">
        <v>1390</v>
      </c>
      <c r="D219" s="366">
        <v>0.59</v>
      </c>
      <c r="E219" s="321">
        <v>4.0599999999999996</v>
      </c>
      <c r="F219" s="925">
        <v>0</v>
      </c>
      <c r="G219" s="315">
        <v>63.9</v>
      </c>
      <c r="H219" s="315">
        <v>62</v>
      </c>
      <c r="I219" s="315">
        <v>61.8</v>
      </c>
      <c r="J219" s="315">
        <v>61.5</v>
      </c>
      <c r="K219" s="513">
        <v>61.5</v>
      </c>
      <c r="L219" s="926" t="s">
        <v>1391</v>
      </c>
      <c r="M219" s="331" t="s">
        <v>289</v>
      </c>
      <c r="N219" s="366" t="s">
        <v>244</v>
      </c>
      <c r="O219" s="323" t="s">
        <v>244</v>
      </c>
      <c r="P219" s="386" t="s">
        <v>238</v>
      </c>
      <c r="Q219" s="323" t="s">
        <v>239</v>
      </c>
      <c r="R219" s="366" t="s">
        <v>239</v>
      </c>
      <c r="S219" s="378" t="s">
        <v>1392</v>
      </c>
      <c r="T219" s="324" t="s">
        <v>1364</v>
      </c>
      <c r="U219" s="386">
        <v>250</v>
      </c>
      <c r="V219" s="386">
        <v>2450</v>
      </c>
      <c r="W219" s="386">
        <v>600</v>
      </c>
      <c r="X219" s="386">
        <v>6000</v>
      </c>
      <c r="Y219" s="386">
        <v>190</v>
      </c>
      <c r="Z219" s="386">
        <v>95</v>
      </c>
      <c r="AA219" s="386">
        <v>200</v>
      </c>
      <c r="AB219" s="392">
        <v>8.1300000000000008</v>
      </c>
      <c r="AC219" s="28">
        <v>0</v>
      </c>
      <c r="AD219" s="28">
        <v>1</v>
      </c>
      <c r="AE219" s="28">
        <v>1</v>
      </c>
      <c r="AF219" s="28">
        <v>1</v>
      </c>
      <c r="AG219" s="28">
        <v>1</v>
      </c>
      <c r="AH219" s="28">
        <v>1</v>
      </c>
      <c r="AI219" s="28">
        <v>1</v>
      </c>
      <c r="AJ219" s="28">
        <v>1</v>
      </c>
    </row>
    <row r="220" spans="1:36" x14ac:dyDescent="0.25">
      <c r="A220" s="298" t="str">
        <f>IF('Kwaliteit conversie'!$D$4='Prijs karton'!C220,"X"," ")</f>
        <v xml:space="preserve"> </v>
      </c>
      <c r="B220" s="331" t="s">
        <v>33</v>
      </c>
      <c r="C220" s="359" t="s">
        <v>1393</v>
      </c>
      <c r="D220" s="366">
        <v>0.58799999999999997</v>
      </c>
      <c r="E220" s="321">
        <v>4.07</v>
      </c>
      <c r="F220" s="925">
        <v>0</v>
      </c>
      <c r="G220" s="315">
        <v>52.6</v>
      </c>
      <c r="H220" s="315">
        <v>51.2</v>
      </c>
      <c r="I220" s="315">
        <v>50.9</v>
      </c>
      <c r="J220" s="315">
        <v>50.8</v>
      </c>
      <c r="K220" s="513">
        <v>50.8</v>
      </c>
      <c r="L220" s="926" t="s">
        <v>1394</v>
      </c>
      <c r="M220" s="331" t="s">
        <v>1362</v>
      </c>
      <c r="N220" s="366" t="s">
        <v>244</v>
      </c>
      <c r="O220" s="323" t="s">
        <v>244</v>
      </c>
      <c r="P220" s="386" t="s">
        <v>238</v>
      </c>
      <c r="Q220" s="323" t="s">
        <v>239</v>
      </c>
      <c r="R220" s="366" t="s">
        <v>239</v>
      </c>
      <c r="S220" s="378" t="s">
        <v>1392</v>
      </c>
      <c r="T220" s="324" t="s">
        <v>1364</v>
      </c>
      <c r="U220" s="386">
        <v>250</v>
      </c>
      <c r="V220" s="386">
        <v>2450</v>
      </c>
      <c r="W220" s="386">
        <v>600</v>
      </c>
      <c r="X220" s="386">
        <v>6000</v>
      </c>
      <c r="Y220" s="386">
        <v>190</v>
      </c>
      <c r="Z220" s="386">
        <v>95</v>
      </c>
      <c r="AA220" s="386">
        <v>200</v>
      </c>
      <c r="AB220" s="392">
        <v>7.8</v>
      </c>
      <c r="AC220" s="28">
        <v>0</v>
      </c>
      <c r="AD220" s="28">
        <v>1</v>
      </c>
      <c r="AE220" s="28">
        <v>1</v>
      </c>
      <c r="AF220" s="28">
        <v>1</v>
      </c>
      <c r="AG220" s="28">
        <v>1</v>
      </c>
      <c r="AH220" s="28">
        <v>1</v>
      </c>
      <c r="AI220" s="28">
        <v>1</v>
      </c>
      <c r="AJ220" s="28">
        <v>1</v>
      </c>
    </row>
    <row r="221" spans="1:36" x14ac:dyDescent="0.25">
      <c r="A221" s="298" t="str">
        <f>IF('Kwaliteit conversie'!$D$4='Prijs karton'!C221,"X"," ")</f>
        <v xml:space="preserve"> </v>
      </c>
      <c r="B221" s="331" t="s">
        <v>33</v>
      </c>
      <c r="C221" s="359" t="s">
        <v>1395</v>
      </c>
      <c r="D221" s="366">
        <v>0.57799999999999996</v>
      </c>
      <c r="E221" s="321">
        <v>4.1100000000000003</v>
      </c>
      <c r="F221" s="925">
        <v>0</v>
      </c>
      <c r="G221" s="315">
        <v>59.2</v>
      </c>
      <c r="H221" s="315">
        <v>57.8</v>
      </c>
      <c r="I221" s="315">
        <v>57.5</v>
      </c>
      <c r="J221" s="315">
        <v>57.2</v>
      </c>
      <c r="K221" s="513">
        <v>57.2</v>
      </c>
      <c r="L221" s="926" t="s">
        <v>1396</v>
      </c>
      <c r="M221" s="331" t="s">
        <v>1397</v>
      </c>
      <c r="N221" s="366" t="s">
        <v>244</v>
      </c>
      <c r="O221" s="323" t="s">
        <v>244</v>
      </c>
      <c r="P221" s="386" t="s">
        <v>238</v>
      </c>
      <c r="Q221" s="323" t="s">
        <v>239</v>
      </c>
      <c r="R221" s="366" t="s">
        <v>239</v>
      </c>
      <c r="S221" s="378" t="s">
        <v>1392</v>
      </c>
      <c r="T221" s="324" t="s">
        <v>1364</v>
      </c>
      <c r="U221" s="386">
        <v>250</v>
      </c>
      <c r="V221" s="386">
        <v>2450</v>
      </c>
      <c r="W221" s="386">
        <v>600</v>
      </c>
      <c r="X221" s="386">
        <v>6000</v>
      </c>
      <c r="Y221" s="386">
        <v>190</v>
      </c>
      <c r="Z221" s="386">
        <v>95</v>
      </c>
      <c r="AA221" s="386">
        <v>200</v>
      </c>
      <c r="AB221" s="392">
        <v>7.7</v>
      </c>
      <c r="AC221" s="28">
        <v>0</v>
      </c>
      <c r="AD221" s="28">
        <v>1</v>
      </c>
      <c r="AE221" s="28">
        <v>1</v>
      </c>
      <c r="AF221" s="28">
        <v>1</v>
      </c>
      <c r="AG221" s="28">
        <v>1</v>
      </c>
      <c r="AH221" s="28">
        <v>1</v>
      </c>
      <c r="AI221" s="28">
        <v>1</v>
      </c>
      <c r="AJ221" s="28">
        <v>1</v>
      </c>
    </row>
    <row r="222" spans="1:36" x14ac:dyDescent="0.25">
      <c r="A222" s="298" t="str">
        <f>IF('Kwaliteit conversie'!$D$4='Prijs karton'!C222,"X"," ")</f>
        <v xml:space="preserve"> </v>
      </c>
      <c r="B222" s="331" t="s">
        <v>33</v>
      </c>
      <c r="C222" s="359" t="s">
        <v>1398</v>
      </c>
      <c r="D222" s="366">
        <v>0.72899999999999998</v>
      </c>
      <c r="E222" s="321">
        <v>4.18</v>
      </c>
      <c r="F222" s="925">
        <v>0</v>
      </c>
      <c r="G222" s="315">
        <v>70.7</v>
      </c>
      <c r="H222" s="315">
        <v>69.2</v>
      </c>
      <c r="I222" s="315">
        <v>68.900000000000006</v>
      </c>
      <c r="J222" s="315">
        <v>68.599999999999994</v>
      </c>
      <c r="K222" s="513">
        <v>68.599999999999994</v>
      </c>
      <c r="L222" s="926" t="s">
        <v>1399</v>
      </c>
      <c r="M222" s="331" t="s">
        <v>277</v>
      </c>
      <c r="N222" s="366" t="s">
        <v>265</v>
      </c>
      <c r="O222" s="323" t="s">
        <v>244</v>
      </c>
      <c r="P222" s="386" t="s">
        <v>265</v>
      </c>
      <c r="Q222" s="323" t="s">
        <v>239</v>
      </c>
      <c r="R222" s="366" t="s">
        <v>239</v>
      </c>
      <c r="S222" s="378" t="s">
        <v>1367</v>
      </c>
      <c r="T222" s="324" t="s">
        <v>1364</v>
      </c>
      <c r="U222" s="386">
        <v>250</v>
      </c>
      <c r="V222" s="386">
        <v>2450</v>
      </c>
      <c r="W222" s="386">
        <v>600</v>
      </c>
      <c r="X222" s="386">
        <v>6000</v>
      </c>
      <c r="Y222" s="386">
        <v>190</v>
      </c>
      <c r="Z222" s="386">
        <v>95</v>
      </c>
      <c r="AA222" s="386">
        <v>200</v>
      </c>
      <c r="AB222" s="392">
        <v>9.6999999999999993</v>
      </c>
      <c r="AC222" s="28">
        <v>0</v>
      </c>
      <c r="AD222" s="28">
        <v>1</v>
      </c>
      <c r="AE222" s="28">
        <v>1</v>
      </c>
      <c r="AF222" s="28">
        <v>1</v>
      </c>
      <c r="AG222" s="28">
        <v>1</v>
      </c>
      <c r="AH222" s="28">
        <v>1</v>
      </c>
      <c r="AI222" s="28">
        <v>1</v>
      </c>
      <c r="AJ222" s="28">
        <v>1</v>
      </c>
    </row>
    <row r="223" spans="1:36" x14ac:dyDescent="0.25">
      <c r="A223" s="298" t="str">
        <f>IF('Kwaliteit conversie'!$D$4='Prijs karton'!C223,"X"," ")</f>
        <v xml:space="preserve"> </v>
      </c>
      <c r="B223" s="331" t="s">
        <v>33</v>
      </c>
      <c r="C223" s="359"/>
      <c r="D223" s="366"/>
      <c r="E223" s="321"/>
      <c r="F223" s="925">
        <v>0</v>
      </c>
      <c r="G223" s="315"/>
      <c r="H223" s="315"/>
      <c r="I223" s="315"/>
      <c r="J223" s="315"/>
      <c r="K223" s="513"/>
      <c r="L223" s="926"/>
      <c r="M223" s="331"/>
      <c r="N223" s="366"/>
      <c r="O223" s="323"/>
      <c r="P223" s="386"/>
      <c r="Q223" s="323"/>
      <c r="R223" s="366"/>
      <c r="S223" s="378"/>
      <c r="T223" s="324"/>
      <c r="U223" s="386"/>
      <c r="V223" s="386"/>
      <c r="W223" s="386"/>
      <c r="X223" s="386"/>
      <c r="Y223" s="386"/>
      <c r="Z223" s="386"/>
      <c r="AA223" s="386"/>
      <c r="AB223" s="392"/>
      <c r="AC223" s="28"/>
      <c r="AD223" s="28"/>
      <c r="AE223" s="28"/>
      <c r="AF223" s="28"/>
      <c r="AG223" s="28"/>
      <c r="AH223" s="28"/>
      <c r="AI223" s="28"/>
      <c r="AJ223" s="28"/>
    </row>
    <row r="224" spans="1:36" x14ac:dyDescent="0.25">
      <c r="A224" s="298" t="str">
        <f>IF('Kwaliteit conversie'!$D$4='Prijs karton'!C224,"X"," ")</f>
        <v xml:space="preserve"> </v>
      </c>
      <c r="B224" s="331" t="s">
        <v>33</v>
      </c>
      <c r="C224" s="359" t="s">
        <v>1438</v>
      </c>
      <c r="D224" s="366">
        <v>0.56999999999999995</v>
      </c>
      <c r="E224" s="321">
        <v>4.05</v>
      </c>
      <c r="F224" s="925">
        <v>0</v>
      </c>
      <c r="G224" s="315">
        <v>49.1</v>
      </c>
      <c r="H224" s="315">
        <v>47.8</v>
      </c>
      <c r="I224" s="315">
        <v>47.6</v>
      </c>
      <c r="J224" s="315">
        <v>47.3</v>
      </c>
      <c r="K224" s="513">
        <v>47.3</v>
      </c>
      <c r="L224" s="926" t="s">
        <v>1439</v>
      </c>
      <c r="M224" s="331" t="s">
        <v>1392</v>
      </c>
      <c r="N224" s="366" t="s">
        <v>244</v>
      </c>
      <c r="O224" s="323" t="s">
        <v>244</v>
      </c>
      <c r="P224" s="386" t="s">
        <v>244</v>
      </c>
      <c r="Q224" s="323" t="s">
        <v>239</v>
      </c>
      <c r="R224" s="366" t="s">
        <v>239</v>
      </c>
      <c r="S224" s="378" t="s">
        <v>1392</v>
      </c>
      <c r="T224" s="324" t="s">
        <v>1364</v>
      </c>
      <c r="U224" s="386">
        <v>250</v>
      </c>
      <c r="V224" s="386">
        <v>2450</v>
      </c>
      <c r="W224" s="386">
        <v>600</v>
      </c>
      <c r="X224" s="386">
        <v>6000</v>
      </c>
      <c r="Y224" s="386">
        <v>190</v>
      </c>
      <c r="Z224" s="386">
        <v>95</v>
      </c>
      <c r="AA224" s="386">
        <v>200</v>
      </c>
      <c r="AB224" s="392">
        <v>7.56</v>
      </c>
      <c r="AC224" s="28">
        <v>0</v>
      </c>
      <c r="AD224" s="28">
        <v>1</v>
      </c>
      <c r="AE224" s="28">
        <v>1</v>
      </c>
      <c r="AF224" s="28">
        <v>1</v>
      </c>
      <c r="AG224" s="28">
        <v>1</v>
      </c>
      <c r="AH224" s="28">
        <v>1</v>
      </c>
      <c r="AI224" s="28">
        <v>1</v>
      </c>
      <c r="AJ224" s="28">
        <v>1</v>
      </c>
    </row>
    <row r="225" spans="1:36" x14ac:dyDescent="0.25">
      <c r="A225" s="298" t="str">
        <f>IF('Kwaliteit conversie'!$D$4='Prijs karton'!C225,"X"," ")</f>
        <v xml:space="preserve"> </v>
      </c>
      <c r="B225" s="331" t="s">
        <v>33</v>
      </c>
      <c r="C225" s="359"/>
      <c r="D225" s="366"/>
      <c r="E225" s="321"/>
      <c r="F225" s="925"/>
      <c r="G225" s="315"/>
      <c r="H225" s="315"/>
      <c r="I225" s="315"/>
      <c r="J225" s="315"/>
      <c r="K225" s="513"/>
      <c r="L225" s="926"/>
      <c r="M225" s="331"/>
      <c r="N225" s="366"/>
      <c r="O225" s="323"/>
      <c r="P225" s="386"/>
      <c r="Q225" s="323"/>
      <c r="R225" s="366"/>
      <c r="S225" s="378"/>
      <c r="T225" s="324"/>
      <c r="U225" s="386"/>
      <c r="V225" s="386"/>
      <c r="W225" s="386"/>
      <c r="X225" s="386"/>
      <c r="Y225" s="386"/>
      <c r="Z225" s="386"/>
      <c r="AA225" s="386"/>
      <c r="AB225" s="392"/>
      <c r="AC225" s="28"/>
      <c r="AD225" s="28"/>
      <c r="AE225" s="28"/>
      <c r="AF225" s="28"/>
      <c r="AG225" s="28"/>
      <c r="AH225" s="28"/>
      <c r="AI225" s="28"/>
      <c r="AJ225" s="28"/>
    </row>
    <row r="226" spans="1:36" s="320" customFormat="1" x14ac:dyDescent="0.25">
      <c r="A226" s="329" t="str">
        <f>IF('Kwaliteit conversie'!$D$4='Prijs karton'!C226,"X"," ")</f>
        <v xml:space="preserve"> </v>
      </c>
      <c r="B226" s="332" t="s">
        <v>33</v>
      </c>
      <c r="C226" s="360" t="s">
        <v>451</v>
      </c>
      <c r="D226" s="367"/>
      <c r="E226" s="322">
        <v>4</v>
      </c>
      <c r="F226" s="927">
        <v>0</v>
      </c>
      <c r="G226" s="319">
        <v>0</v>
      </c>
      <c r="H226" s="319"/>
      <c r="I226" s="319">
        <v>0</v>
      </c>
      <c r="J226" s="319">
        <v>0</v>
      </c>
      <c r="K226" s="928">
        <v>0</v>
      </c>
      <c r="L226" s="929" t="s">
        <v>239</v>
      </c>
      <c r="M226" s="379" t="s">
        <v>239</v>
      </c>
      <c r="N226" s="367" t="s">
        <v>239</v>
      </c>
      <c r="O226" s="325" t="s">
        <v>239</v>
      </c>
      <c r="P226" s="387" t="s">
        <v>239</v>
      </c>
      <c r="Q226" s="325" t="s">
        <v>239</v>
      </c>
      <c r="R226" s="367" t="s">
        <v>239</v>
      </c>
      <c r="S226" s="380" t="s">
        <v>239</v>
      </c>
      <c r="T226" s="326" t="s">
        <v>245</v>
      </c>
      <c r="U226" s="387">
        <v>250</v>
      </c>
      <c r="V226" s="387">
        <v>2450</v>
      </c>
      <c r="W226" s="387">
        <v>500</v>
      </c>
      <c r="X226" s="387">
        <v>6200</v>
      </c>
      <c r="Y226" s="387">
        <v>250</v>
      </c>
      <c r="Z226" s="387">
        <v>125</v>
      </c>
      <c r="AA226" s="387">
        <v>200</v>
      </c>
      <c r="AB226" s="393">
        <v>6</v>
      </c>
      <c r="AC226" s="34">
        <v>0</v>
      </c>
      <c r="AD226" s="34">
        <v>1</v>
      </c>
      <c r="AE226" s="34">
        <v>1</v>
      </c>
      <c r="AF226" s="34">
        <v>1</v>
      </c>
      <c r="AG226" s="34">
        <v>1</v>
      </c>
      <c r="AH226" s="34">
        <v>1</v>
      </c>
      <c r="AI226" s="34">
        <v>1</v>
      </c>
      <c r="AJ226" s="34">
        <v>1</v>
      </c>
    </row>
    <row r="227" spans="1:36" x14ac:dyDescent="0.25">
      <c r="A227" s="298" t="str">
        <f>IF('Kwaliteit conversie'!$D$4='Prijs karton'!C227,"X"," ")</f>
        <v xml:space="preserve"> </v>
      </c>
      <c r="B227" s="331"/>
      <c r="C227" s="359"/>
      <c r="D227" s="366"/>
      <c r="E227" s="321"/>
      <c r="F227" s="925"/>
      <c r="G227" s="315"/>
      <c r="H227" s="315"/>
      <c r="I227" s="315"/>
      <c r="J227" s="315"/>
      <c r="K227" s="513"/>
      <c r="L227" s="926"/>
      <c r="M227" s="331"/>
      <c r="N227" s="366"/>
      <c r="O227" s="323"/>
      <c r="P227" s="386"/>
      <c r="Q227" s="323"/>
      <c r="R227" s="366"/>
      <c r="S227" s="378"/>
      <c r="T227" s="324"/>
      <c r="U227" s="386"/>
      <c r="V227" s="386"/>
      <c r="W227" s="386"/>
      <c r="X227" s="386"/>
      <c r="Y227" s="386"/>
      <c r="Z227" s="386"/>
      <c r="AA227" s="386"/>
      <c r="AB227" s="392"/>
      <c r="AC227" s="28"/>
      <c r="AD227" s="28"/>
      <c r="AE227" s="28"/>
      <c r="AF227" s="28"/>
      <c r="AG227" s="28"/>
      <c r="AH227" s="28"/>
      <c r="AI227" s="28"/>
      <c r="AJ227" s="28"/>
    </row>
    <row r="228" spans="1:36" x14ac:dyDescent="0.25">
      <c r="A228" s="298" t="str">
        <f>IF('Kwaliteit conversie'!$D$4='Prijs karton'!C228,"X"," ")</f>
        <v xml:space="preserve"> </v>
      </c>
      <c r="B228" s="331"/>
      <c r="C228" s="359"/>
      <c r="D228" s="366"/>
      <c r="E228" s="321"/>
      <c r="F228" s="925"/>
      <c r="G228" s="315"/>
      <c r="H228" s="315"/>
      <c r="I228" s="315"/>
      <c r="J228" s="315"/>
      <c r="K228" s="513"/>
      <c r="L228" s="926"/>
      <c r="M228" s="331"/>
      <c r="N228" s="366"/>
      <c r="O228" s="323"/>
      <c r="P228" s="386"/>
      <c r="Q228" s="323"/>
      <c r="R228" s="366"/>
      <c r="S228" s="378"/>
      <c r="T228" s="324"/>
      <c r="U228" s="386"/>
      <c r="V228" s="386"/>
      <c r="W228" s="386"/>
      <c r="X228" s="386"/>
      <c r="Y228" s="386"/>
      <c r="Z228" s="386"/>
      <c r="AA228" s="386"/>
      <c r="AB228" s="392"/>
      <c r="AC228" s="28"/>
      <c r="AD228" s="28"/>
      <c r="AE228" s="28"/>
      <c r="AF228" s="28"/>
      <c r="AG228" s="28"/>
      <c r="AH228" s="28"/>
      <c r="AI228" s="28"/>
      <c r="AJ228" s="28"/>
    </row>
    <row r="229" spans="1:36" x14ac:dyDescent="0.25">
      <c r="A229" s="298" t="str">
        <f>IF('Kwaliteit conversie'!$D$4='Prijs karton'!C229,"X"," ")</f>
        <v xml:space="preserve"> </v>
      </c>
      <c r="B229" s="331"/>
      <c r="C229" s="359"/>
      <c r="D229" s="366"/>
      <c r="E229" s="321"/>
      <c r="F229" s="925"/>
      <c r="G229" s="315"/>
      <c r="H229" s="315"/>
      <c r="I229" s="315"/>
      <c r="J229" s="315"/>
      <c r="K229" s="513"/>
      <c r="L229" s="926"/>
      <c r="M229" s="331"/>
      <c r="N229" s="366"/>
      <c r="O229" s="323"/>
      <c r="P229" s="386"/>
      <c r="Q229" s="323"/>
      <c r="R229" s="366"/>
      <c r="S229" s="378"/>
      <c r="T229" s="324"/>
      <c r="U229" s="386"/>
      <c r="V229" s="386"/>
      <c r="W229" s="386"/>
      <c r="X229" s="386"/>
      <c r="Y229" s="386"/>
      <c r="Z229" s="386"/>
      <c r="AA229" s="386"/>
      <c r="AB229" s="392"/>
      <c r="AC229" s="28"/>
      <c r="AD229" s="28"/>
      <c r="AE229" s="28"/>
      <c r="AF229" s="28"/>
      <c r="AG229" s="28"/>
      <c r="AH229" s="28"/>
      <c r="AI229" s="28"/>
      <c r="AJ229" s="28"/>
    </row>
    <row r="230" spans="1:36" x14ac:dyDescent="0.25">
      <c r="A230" s="932" t="str">
        <f>IF('Kwaliteit conversie'!$D$4='Prijs karton'!C230,"X"," ")</f>
        <v xml:space="preserve"> </v>
      </c>
      <c r="B230" s="331" t="s">
        <v>35</v>
      </c>
      <c r="C230" s="359" t="s">
        <v>452</v>
      </c>
      <c r="D230" s="366">
        <v>0.51500000000000001</v>
      </c>
      <c r="E230" s="321">
        <v>3.5</v>
      </c>
      <c r="F230" s="925">
        <v>0</v>
      </c>
      <c r="G230" s="315">
        <v>43.7</v>
      </c>
      <c r="H230" s="315">
        <v>40.700000000000003</v>
      </c>
      <c r="I230" s="315">
        <v>40.200000000000003</v>
      </c>
      <c r="J230" s="315">
        <v>40.200000000000003</v>
      </c>
      <c r="K230" s="513">
        <v>39.700000000000003</v>
      </c>
      <c r="L230" s="926" t="s">
        <v>453</v>
      </c>
      <c r="M230" s="331" t="s">
        <v>249</v>
      </c>
      <c r="N230" s="366" t="s">
        <v>255</v>
      </c>
      <c r="O230" s="323" t="s">
        <v>244</v>
      </c>
      <c r="P230" s="386" t="s">
        <v>255</v>
      </c>
      <c r="Q230" s="323" t="s">
        <v>239</v>
      </c>
      <c r="R230" s="366" t="s">
        <v>239</v>
      </c>
      <c r="S230" s="378" t="s">
        <v>243</v>
      </c>
      <c r="T230" s="324" t="s">
        <v>245</v>
      </c>
      <c r="U230" s="386">
        <v>250</v>
      </c>
      <c r="V230" s="386">
        <v>2450</v>
      </c>
      <c r="W230" s="386">
        <v>500</v>
      </c>
      <c r="X230" s="386">
        <v>6200</v>
      </c>
      <c r="Y230" s="386">
        <v>300</v>
      </c>
      <c r="Z230" s="386">
        <v>150</v>
      </c>
      <c r="AA230" s="386">
        <v>200</v>
      </c>
      <c r="AB230" s="392">
        <v>6.1</v>
      </c>
      <c r="AC230" s="28">
        <v>0</v>
      </c>
      <c r="AD230" s="28">
        <v>1</v>
      </c>
      <c r="AE230" s="28">
        <v>1</v>
      </c>
      <c r="AF230" s="28">
        <v>1</v>
      </c>
      <c r="AG230" s="28">
        <v>1</v>
      </c>
      <c r="AH230" s="28">
        <v>1</v>
      </c>
      <c r="AI230" s="28">
        <v>1</v>
      </c>
      <c r="AJ230" s="28">
        <v>1</v>
      </c>
    </row>
    <row r="231" spans="1:36" x14ac:dyDescent="0.25">
      <c r="A231" s="298" t="str">
        <f>IF('Kwaliteit conversie'!$D$4='Prijs karton'!C231,"X"," ")</f>
        <v xml:space="preserve"> </v>
      </c>
      <c r="B231" s="331" t="s">
        <v>35</v>
      </c>
      <c r="C231" s="359" t="s">
        <v>454</v>
      </c>
      <c r="D231" s="366">
        <v>0.54500000000000004</v>
      </c>
      <c r="E231" s="321">
        <v>3.5</v>
      </c>
      <c r="F231" s="925">
        <v>0</v>
      </c>
      <c r="G231" s="315">
        <v>49.8</v>
      </c>
      <c r="H231" s="315">
        <v>46.8</v>
      </c>
      <c r="I231" s="315">
        <v>46.3</v>
      </c>
      <c r="J231" s="315">
        <v>46.3</v>
      </c>
      <c r="K231" s="513">
        <v>45.8</v>
      </c>
      <c r="L231" s="926" t="s">
        <v>455</v>
      </c>
      <c r="M231" s="331" t="s">
        <v>331</v>
      </c>
      <c r="N231" s="366" t="s">
        <v>255</v>
      </c>
      <c r="O231" s="323" t="s">
        <v>244</v>
      </c>
      <c r="P231" s="386" t="s">
        <v>255</v>
      </c>
      <c r="Q231" s="323" t="s">
        <v>239</v>
      </c>
      <c r="R231" s="366" t="s">
        <v>239</v>
      </c>
      <c r="S231" s="378" t="s">
        <v>249</v>
      </c>
      <c r="T231" s="324" t="s">
        <v>245</v>
      </c>
      <c r="U231" s="386">
        <v>250</v>
      </c>
      <c r="V231" s="386">
        <v>2450</v>
      </c>
      <c r="W231" s="386">
        <v>500</v>
      </c>
      <c r="X231" s="386">
        <v>6200</v>
      </c>
      <c r="Y231" s="386">
        <v>300</v>
      </c>
      <c r="Z231" s="386">
        <v>150</v>
      </c>
      <c r="AA231" s="386">
        <v>200</v>
      </c>
      <c r="AB231" s="392">
        <v>6.9</v>
      </c>
      <c r="AC231" s="28">
        <v>10</v>
      </c>
      <c r="AD231" s="28">
        <v>1</v>
      </c>
      <c r="AE231" s="28">
        <v>1</v>
      </c>
      <c r="AF231" s="28">
        <v>1</v>
      </c>
      <c r="AG231" s="28">
        <v>1</v>
      </c>
      <c r="AH231" s="28">
        <v>1</v>
      </c>
      <c r="AI231" s="28">
        <v>1</v>
      </c>
      <c r="AJ231" s="28">
        <v>1</v>
      </c>
    </row>
    <row r="232" spans="1:36" x14ac:dyDescent="0.25">
      <c r="A232" s="298" t="str">
        <f>IF('Kwaliteit conversie'!$D$4='Prijs karton'!C232,"X"," ")</f>
        <v xml:space="preserve"> </v>
      </c>
      <c r="B232" s="331" t="s">
        <v>35</v>
      </c>
      <c r="C232" s="359" t="s">
        <v>456</v>
      </c>
      <c r="D232" s="366">
        <v>0.53500000000000003</v>
      </c>
      <c r="E232" s="321">
        <v>3.5</v>
      </c>
      <c r="F232" s="925">
        <v>0</v>
      </c>
      <c r="G232" s="315">
        <v>55.5</v>
      </c>
      <c r="H232" s="315">
        <v>52.5</v>
      </c>
      <c r="I232" s="315">
        <v>52</v>
      </c>
      <c r="J232" s="315">
        <v>52</v>
      </c>
      <c r="K232" s="513">
        <v>51.5</v>
      </c>
      <c r="L232" s="926" t="s">
        <v>457</v>
      </c>
      <c r="M232" s="331" t="s">
        <v>289</v>
      </c>
      <c r="N232" s="366" t="s">
        <v>255</v>
      </c>
      <c r="O232" s="323" t="s">
        <v>244</v>
      </c>
      <c r="P232" s="386" t="s">
        <v>255</v>
      </c>
      <c r="Q232" s="323" t="s">
        <v>239</v>
      </c>
      <c r="R232" s="366" t="s">
        <v>239</v>
      </c>
      <c r="S232" s="378" t="s">
        <v>243</v>
      </c>
      <c r="T232" s="324" t="s">
        <v>245</v>
      </c>
      <c r="U232" s="386">
        <v>250</v>
      </c>
      <c r="V232" s="386">
        <v>2450</v>
      </c>
      <c r="W232" s="386">
        <v>500</v>
      </c>
      <c r="X232" s="386">
        <v>6200</v>
      </c>
      <c r="Y232" s="386">
        <v>300</v>
      </c>
      <c r="Z232" s="386">
        <v>150</v>
      </c>
      <c r="AA232" s="386">
        <v>200</v>
      </c>
      <c r="AB232" s="392">
        <v>6.7</v>
      </c>
      <c r="AC232" s="28">
        <v>0</v>
      </c>
      <c r="AD232" s="28">
        <v>1</v>
      </c>
      <c r="AE232" s="28">
        <v>1</v>
      </c>
      <c r="AF232" s="28">
        <v>1</v>
      </c>
      <c r="AG232" s="28">
        <v>1</v>
      </c>
      <c r="AH232" s="28">
        <v>1</v>
      </c>
      <c r="AI232" s="28">
        <v>1</v>
      </c>
      <c r="AJ232" s="28">
        <v>1</v>
      </c>
    </row>
    <row r="233" spans="1:36" x14ac:dyDescent="0.25">
      <c r="A233" s="298" t="str">
        <f>IF('Kwaliteit conversie'!$D$4='Prijs karton'!C233,"X"," ")</f>
        <v xml:space="preserve"> </v>
      </c>
      <c r="B233" s="331" t="s">
        <v>35</v>
      </c>
      <c r="C233" s="359" t="s">
        <v>458</v>
      </c>
      <c r="D233" s="366">
        <v>0.64500000000000002</v>
      </c>
      <c r="E233" s="321">
        <v>3.6</v>
      </c>
      <c r="F233" s="925">
        <v>0</v>
      </c>
      <c r="G233" s="315">
        <v>59.5</v>
      </c>
      <c r="H233" s="315">
        <v>56.5</v>
      </c>
      <c r="I233" s="315">
        <v>56</v>
      </c>
      <c r="J233" s="315">
        <v>56</v>
      </c>
      <c r="K233" s="513">
        <v>55.5</v>
      </c>
      <c r="L233" s="926" t="s">
        <v>459</v>
      </c>
      <c r="M233" s="331" t="s">
        <v>274</v>
      </c>
      <c r="N233" s="366" t="s">
        <v>285</v>
      </c>
      <c r="O233" s="323" t="s">
        <v>244</v>
      </c>
      <c r="P233" s="386" t="s">
        <v>244</v>
      </c>
      <c r="Q233" s="323" t="s">
        <v>239</v>
      </c>
      <c r="R233" s="366" t="s">
        <v>239</v>
      </c>
      <c r="S233" s="378" t="s">
        <v>257</v>
      </c>
      <c r="T233" s="324" t="s">
        <v>245</v>
      </c>
      <c r="U233" s="386">
        <v>250</v>
      </c>
      <c r="V233" s="386">
        <v>2450</v>
      </c>
      <c r="W233" s="386">
        <v>500</v>
      </c>
      <c r="X233" s="386">
        <v>6200</v>
      </c>
      <c r="Y233" s="386">
        <v>300</v>
      </c>
      <c r="Z233" s="386">
        <v>150</v>
      </c>
      <c r="AA233" s="386">
        <v>200</v>
      </c>
      <c r="AB233" s="392">
        <v>9.1</v>
      </c>
      <c r="AC233" s="28">
        <v>0</v>
      </c>
      <c r="AD233" s="28">
        <v>1</v>
      </c>
      <c r="AE233" s="28">
        <v>1</v>
      </c>
      <c r="AF233" s="28">
        <v>1</v>
      </c>
      <c r="AG233" s="28">
        <v>1</v>
      </c>
      <c r="AH233" s="28">
        <v>1</v>
      </c>
      <c r="AI233" s="28">
        <v>1</v>
      </c>
      <c r="AJ233" s="28">
        <v>1</v>
      </c>
    </row>
    <row r="234" spans="1:36" x14ac:dyDescent="0.25">
      <c r="A234" s="298" t="str">
        <f>IF('Kwaliteit conversie'!$D$4='Prijs karton'!C234,"X"," ")</f>
        <v xml:space="preserve"> </v>
      </c>
      <c r="B234" s="331" t="s">
        <v>35</v>
      </c>
      <c r="C234" s="359" t="s">
        <v>460</v>
      </c>
      <c r="D234" s="366">
        <v>0.64</v>
      </c>
      <c r="E234" s="321">
        <v>3.6</v>
      </c>
      <c r="F234" s="925">
        <v>0</v>
      </c>
      <c r="G234" s="315">
        <v>58.4</v>
      </c>
      <c r="H234" s="315">
        <v>55.4</v>
      </c>
      <c r="I234" s="315">
        <v>54.9</v>
      </c>
      <c r="J234" s="315">
        <v>54.9</v>
      </c>
      <c r="K234" s="513">
        <v>54.4</v>
      </c>
      <c r="L234" s="926" t="s">
        <v>461</v>
      </c>
      <c r="M234" s="331" t="s">
        <v>277</v>
      </c>
      <c r="N234" s="366" t="s">
        <v>285</v>
      </c>
      <c r="O234" s="323" t="s">
        <v>244</v>
      </c>
      <c r="P234" s="386" t="s">
        <v>244</v>
      </c>
      <c r="Q234" s="323" t="s">
        <v>239</v>
      </c>
      <c r="R234" s="366" t="s">
        <v>239</v>
      </c>
      <c r="S234" s="378" t="s">
        <v>257</v>
      </c>
      <c r="T234" s="324" t="s">
        <v>245</v>
      </c>
      <c r="U234" s="386">
        <v>250</v>
      </c>
      <c r="V234" s="386">
        <v>2450</v>
      </c>
      <c r="W234" s="386">
        <v>500</v>
      </c>
      <c r="X234" s="386">
        <v>6200</v>
      </c>
      <c r="Y234" s="386">
        <v>300</v>
      </c>
      <c r="Z234" s="386">
        <v>150</v>
      </c>
      <c r="AA234" s="386">
        <v>200</v>
      </c>
      <c r="AB234" s="392">
        <v>8.6999999999999993</v>
      </c>
      <c r="AC234" s="28">
        <v>0</v>
      </c>
      <c r="AD234" s="28">
        <v>1</v>
      </c>
      <c r="AE234" s="28">
        <v>1</v>
      </c>
      <c r="AF234" s="28">
        <v>1</v>
      </c>
      <c r="AG234" s="28">
        <v>1</v>
      </c>
      <c r="AH234" s="28">
        <v>1</v>
      </c>
      <c r="AI234" s="28">
        <v>1</v>
      </c>
      <c r="AJ234" s="28">
        <v>1</v>
      </c>
    </row>
    <row r="235" spans="1:36" x14ac:dyDescent="0.25">
      <c r="A235" s="298" t="str">
        <f>IF('Kwaliteit conversie'!$D$4='Prijs karton'!C235,"X"," ")</f>
        <v xml:space="preserve"> </v>
      </c>
      <c r="B235" s="331" t="s">
        <v>35</v>
      </c>
      <c r="C235" s="359"/>
      <c r="D235" s="366"/>
      <c r="E235" s="321"/>
      <c r="F235" s="925"/>
      <c r="G235" s="315"/>
      <c r="H235" s="315"/>
      <c r="I235" s="315"/>
      <c r="J235" s="315"/>
      <c r="K235" s="513"/>
      <c r="L235" s="926"/>
      <c r="M235" s="331"/>
      <c r="N235" s="366"/>
      <c r="O235" s="323"/>
      <c r="P235" s="386"/>
      <c r="Q235" s="323"/>
      <c r="R235" s="366"/>
      <c r="S235" s="378"/>
      <c r="T235" s="324"/>
      <c r="U235" s="386"/>
      <c r="V235" s="386"/>
      <c r="W235" s="386"/>
      <c r="X235" s="386"/>
      <c r="Y235" s="386"/>
      <c r="Z235" s="386"/>
      <c r="AA235" s="386"/>
      <c r="AB235" s="392"/>
      <c r="AC235" s="28"/>
      <c r="AD235" s="28"/>
      <c r="AE235" s="28"/>
      <c r="AF235" s="28"/>
      <c r="AG235" s="28"/>
      <c r="AH235" s="28"/>
      <c r="AI235" s="28"/>
      <c r="AJ235" s="28"/>
    </row>
    <row r="236" spans="1:36" x14ac:dyDescent="0.25">
      <c r="A236" s="298" t="str">
        <f>IF('Kwaliteit conversie'!$D$4='Prijs karton'!C236,"X"," ")</f>
        <v xml:space="preserve"> </v>
      </c>
      <c r="B236" s="331" t="s">
        <v>35</v>
      </c>
      <c r="C236" s="359"/>
      <c r="D236" s="366"/>
      <c r="E236" s="321"/>
      <c r="F236" s="925"/>
      <c r="G236" s="315"/>
      <c r="H236" s="315"/>
      <c r="I236" s="315"/>
      <c r="J236" s="315"/>
      <c r="K236" s="513"/>
      <c r="L236" s="926"/>
      <c r="M236" s="331"/>
      <c r="N236" s="366"/>
      <c r="O236" s="323"/>
      <c r="P236" s="386"/>
      <c r="Q236" s="323"/>
      <c r="R236" s="366"/>
      <c r="S236" s="378"/>
      <c r="T236" s="324"/>
      <c r="U236" s="386"/>
      <c r="V236" s="386"/>
      <c r="W236" s="386"/>
      <c r="X236" s="386"/>
      <c r="Y236" s="386"/>
      <c r="Z236" s="386"/>
      <c r="AA236" s="386"/>
      <c r="AB236" s="392"/>
      <c r="AC236" s="28"/>
      <c r="AD236" s="28"/>
      <c r="AE236" s="28"/>
      <c r="AF236" s="28"/>
      <c r="AG236" s="28"/>
      <c r="AH236" s="28"/>
      <c r="AI236" s="28"/>
      <c r="AJ236" s="28"/>
    </row>
    <row r="237" spans="1:36" x14ac:dyDescent="0.25">
      <c r="A237" s="298" t="str">
        <f>IF('Kwaliteit conversie'!$D$4='Prijs karton'!C237,"X"," ")</f>
        <v xml:space="preserve"> </v>
      </c>
      <c r="B237" s="331" t="s">
        <v>35</v>
      </c>
      <c r="C237" s="359"/>
      <c r="D237" s="366"/>
      <c r="E237" s="321"/>
      <c r="F237" s="925"/>
      <c r="G237" s="315"/>
      <c r="H237" s="315"/>
      <c r="I237" s="315"/>
      <c r="J237" s="315"/>
      <c r="K237" s="513"/>
      <c r="L237" s="926"/>
      <c r="M237" s="331"/>
      <c r="N237" s="366"/>
      <c r="O237" s="323"/>
      <c r="P237" s="386"/>
      <c r="Q237" s="323"/>
      <c r="R237" s="366"/>
      <c r="S237" s="378"/>
      <c r="T237" s="324"/>
      <c r="U237" s="386"/>
      <c r="V237" s="386"/>
      <c r="W237" s="386"/>
      <c r="X237" s="386"/>
      <c r="Y237" s="386"/>
      <c r="Z237" s="386"/>
      <c r="AA237" s="386"/>
      <c r="AB237" s="392"/>
      <c r="AC237" s="28"/>
      <c r="AD237" s="28"/>
      <c r="AE237" s="28"/>
      <c r="AF237" s="28"/>
      <c r="AG237" s="28"/>
      <c r="AH237" s="28"/>
      <c r="AI237" s="28"/>
      <c r="AJ237" s="28"/>
    </row>
    <row r="238" spans="1:36" x14ac:dyDescent="0.25">
      <c r="A238" s="298" t="str">
        <f>IF('Kwaliteit conversie'!$D$4='Prijs karton'!C238,"X"," ")</f>
        <v xml:space="preserve"> </v>
      </c>
      <c r="B238" s="331" t="s">
        <v>35</v>
      </c>
      <c r="C238" s="359"/>
      <c r="D238" s="366"/>
      <c r="E238" s="321"/>
      <c r="F238" s="925"/>
      <c r="G238" s="315"/>
      <c r="H238" s="315"/>
      <c r="I238" s="315"/>
      <c r="J238" s="315"/>
      <c r="K238" s="513"/>
      <c r="L238" s="926"/>
      <c r="M238" s="331"/>
      <c r="N238" s="366"/>
      <c r="O238" s="323"/>
      <c r="P238" s="386"/>
      <c r="Q238" s="323"/>
      <c r="R238" s="366"/>
      <c r="S238" s="378"/>
      <c r="T238" s="324"/>
      <c r="U238" s="386"/>
      <c r="V238" s="386"/>
      <c r="W238" s="386"/>
      <c r="X238" s="386"/>
      <c r="Y238" s="386"/>
      <c r="Z238" s="386"/>
      <c r="AA238" s="386"/>
      <c r="AB238" s="392"/>
      <c r="AC238" s="28"/>
      <c r="AD238" s="28"/>
      <c r="AE238" s="28"/>
      <c r="AF238" s="28"/>
      <c r="AG238" s="28"/>
      <c r="AH238" s="28"/>
      <c r="AI238" s="28"/>
      <c r="AJ238" s="28"/>
    </row>
    <row r="239" spans="1:36" x14ac:dyDescent="0.25">
      <c r="A239" s="298" t="str">
        <f>IF('Kwaliteit conversie'!$D$4='Prijs karton'!C239,"X"," ")</f>
        <v xml:space="preserve"> </v>
      </c>
      <c r="B239" s="331" t="s">
        <v>35</v>
      </c>
      <c r="C239" s="359"/>
      <c r="D239" s="366"/>
      <c r="E239" s="321"/>
      <c r="F239" s="925"/>
      <c r="G239" s="315"/>
      <c r="H239" s="315"/>
      <c r="I239" s="315"/>
      <c r="J239" s="315"/>
      <c r="K239" s="513"/>
      <c r="L239" s="926"/>
      <c r="M239" s="331"/>
      <c r="N239" s="366"/>
      <c r="O239" s="323"/>
      <c r="P239" s="386"/>
      <c r="Q239" s="323"/>
      <c r="R239" s="366"/>
      <c r="S239" s="378"/>
      <c r="T239" s="324"/>
      <c r="U239" s="386"/>
      <c r="V239" s="386"/>
      <c r="W239" s="386"/>
      <c r="X239" s="386"/>
      <c r="Y239" s="386"/>
      <c r="Z239" s="386"/>
      <c r="AA239" s="386"/>
      <c r="AB239" s="392"/>
      <c r="AC239" s="28"/>
      <c r="AD239" s="28"/>
      <c r="AE239" s="28"/>
      <c r="AF239" s="28"/>
      <c r="AG239" s="28"/>
      <c r="AH239" s="28"/>
      <c r="AI239" s="28"/>
      <c r="AJ239" s="28"/>
    </row>
    <row r="240" spans="1:36" x14ac:dyDescent="0.25">
      <c r="A240" s="298" t="str">
        <f>IF('Kwaliteit conversie'!$D$4='Prijs karton'!C240,"X"," ")</f>
        <v xml:space="preserve"> </v>
      </c>
      <c r="B240" s="331" t="s">
        <v>35</v>
      </c>
      <c r="C240" s="359"/>
      <c r="D240" s="366"/>
      <c r="E240" s="321"/>
      <c r="F240" s="925"/>
      <c r="G240" s="315"/>
      <c r="H240" s="315"/>
      <c r="I240" s="315"/>
      <c r="J240" s="315"/>
      <c r="K240" s="513"/>
      <c r="L240" s="926"/>
      <c r="M240" s="331"/>
      <c r="N240" s="366"/>
      <c r="O240" s="323"/>
      <c r="P240" s="386"/>
      <c r="Q240" s="323"/>
      <c r="R240" s="366"/>
      <c r="S240" s="378"/>
      <c r="T240" s="324"/>
      <c r="U240" s="386"/>
      <c r="V240" s="386"/>
      <c r="W240" s="386"/>
      <c r="X240" s="386"/>
      <c r="Y240" s="386"/>
      <c r="Z240" s="386"/>
      <c r="AA240" s="386"/>
      <c r="AB240" s="392"/>
      <c r="AC240" s="28"/>
      <c r="AD240" s="28"/>
      <c r="AE240" s="28"/>
      <c r="AF240" s="28"/>
      <c r="AG240" s="28"/>
      <c r="AH240" s="28"/>
      <c r="AI240" s="28"/>
      <c r="AJ240" s="28"/>
    </row>
    <row r="241" spans="1:36" s="320" customFormat="1" x14ac:dyDescent="0.25">
      <c r="A241" s="329" t="str">
        <f>IF('Kwaliteit conversie'!$D$4='Prijs karton'!C241,"X"," ")</f>
        <v xml:space="preserve"> </v>
      </c>
      <c r="B241" s="332" t="s">
        <v>35</v>
      </c>
      <c r="C241" s="360" t="s">
        <v>462</v>
      </c>
      <c r="D241" s="367"/>
      <c r="E241" s="322">
        <v>3.6</v>
      </c>
      <c r="F241" s="927">
        <v>0</v>
      </c>
      <c r="G241" s="319">
        <v>0</v>
      </c>
      <c r="H241" s="319">
        <v>0</v>
      </c>
      <c r="I241" s="319">
        <v>0</v>
      </c>
      <c r="J241" s="319">
        <v>0</v>
      </c>
      <c r="K241" s="928">
        <v>0</v>
      </c>
      <c r="L241" s="929" t="s">
        <v>239</v>
      </c>
      <c r="M241" s="379" t="s">
        <v>239</v>
      </c>
      <c r="N241" s="367" t="s">
        <v>239</v>
      </c>
      <c r="O241" s="325" t="s">
        <v>239</v>
      </c>
      <c r="P241" s="387" t="s">
        <v>239</v>
      </c>
      <c r="Q241" s="325" t="s">
        <v>239</v>
      </c>
      <c r="R241" s="367" t="s">
        <v>239</v>
      </c>
      <c r="S241" s="380" t="s">
        <v>239</v>
      </c>
      <c r="T241" s="326" t="s">
        <v>245</v>
      </c>
      <c r="U241" s="387">
        <v>250</v>
      </c>
      <c r="V241" s="387">
        <v>2450</v>
      </c>
      <c r="W241" s="387">
        <v>500</v>
      </c>
      <c r="X241" s="387">
        <v>6200</v>
      </c>
      <c r="Y241" s="387">
        <v>300</v>
      </c>
      <c r="Z241" s="387">
        <v>150</v>
      </c>
      <c r="AA241" s="387">
        <v>200</v>
      </c>
      <c r="AB241" s="393">
        <v>7</v>
      </c>
      <c r="AC241" s="34">
        <v>0</v>
      </c>
      <c r="AD241" s="34">
        <v>1</v>
      </c>
      <c r="AE241" s="34">
        <v>1</v>
      </c>
      <c r="AF241" s="34">
        <v>1</v>
      </c>
      <c r="AG241" s="34">
        <v>1</v>
      </c>
      <c r="AH241" s="34">
        <v>1</v>
      </c>
      <c r="AI241" s="34">
        <v>1</v>
      </c>
      <c r="AJ241" s="34">
        <v>1</v>
      </c>
    </row>
    <row r="242" spans="1:36" x14ac:dyDescent="0.25">
      <c r="A242" s="298" t="str">
        <f>IF('Kwaliteit conversie'!$D$4='Prijs karton'!C242,"X"," ")</f>
        <v xml:space="preserve"> </v>
      </c>
      <c r="B242" s="331"/>
      <c r="C242" s="359"/>
      <c r="D242" s="366"/>
      <c r="E242" s="321"/>
      <c r="F242" s="925"/>
      <c r="G242" s="315"/>
      <c r="H242" s="315"/>
      <c r="I242" s="315"/>
      <c r="J242" s="315"/>
      <c r="K242" s="513"/>
      <c r="L242" s="926"/>
      <c r="M242" s="331"/>
      <c r="N242" s="366"/>
      <c r="O242" s="323"/>
      <c r="P242" s="386"/>
      <c r="Q242" s="323"/>
      <c r="R242" s="366"/>
      <c r="S242" s="378"/>
      <c r="T242" s="324"/>
      <c r="U242" s="386"/>
      <c r="V242" s="386"/>
      <c r="W242" s="386"/>
      <c r="X242" s="386"/>
      <c r="Y242" s="386"/>
      <c r="Z242" s="386"/>
      <c r="AA242" s="386"/>
      <c r="AB242" s="392"/>
      <c r="AC242" s="28"/>
      <c r="AD242" s="28"/>
      <c r="AE242" s="28"/>
      <c r="AF242" s="28"/>
      <c r="AG242" s="28"/>
      <c r="AH242" s="28"/>
      <c r="AI242" s="28"/>
      <c r="AJ242" s="28"/>
    </row>
    <row r="243" spans="1:36" x14ac:dyDescent="0.25">
      <c r="A243" s="298" t="str">
        <f>IF('Kwaliteit conversie'!$D$4='Prijs karton'!C243,"X"," ")</f>
        <v xml:space="preserve"> </v>
      </c>
      <c r="B243" s="331"/>
      <c r="C243" s="359"/>
      <c r="D243" s="366"/>
      <c r="E243" s="321"/>
      <c r="F243" s="925"/>
      <c r="G243" s="315"/>
      <c r="H243" s="315"/>
      <c r="I243" s="315"/>
      <c r="J243" s="315"/>
      <c r="K243" s="513"/>
      <c r="L243" s="926"/>
      <c r="M243" s="331"/>
      <c r="N243" s="366"/>
      <c r="O243" s="323"/>
      <c r="P243" s="386"/>
      <c r="Q243" s="323"/>
      <c r="R243" s="366"/>
      <c r="S243" s="378"/>
      <c r="T243" s="324"/>
      <c r="U243" s="386"/>
      <c r="V243" s="386"/>
      <c r="W243" s="386"/>
      <c r="X243" s="386"/>
      <c r="Y243" s="386"/>
      <c r="Z243" s="386"/>
      <c r="AA243" s="386"/>
      <c r="AB243" s="392"/>
      <c r="AC243" s="28"/>
      <c r="AD243" s="28"/>
      <c r="AE243" s="28"/>
      <c r="AF243" s="28"/>
      <c r="AG243" s="28"/>
      <c r="AH243" s="28"/>
      <c r="AI243" s="28"/>
      <c r="AJ243" s="28"/>
    </row>
    <row r="244" spans="1:36" x14ac:dyDescent="0.25">
      <c r="A244" s="298" t="str">
        <f>IF('Kwaliteit conversie'!$D$4='Prijs karton'!C244,"X"," ")</f>
        <v xml:space="preserve"> </v>
      </c>
      <c r="B244" s="331"/>
      <c r="C244" s="359"/>
      <c r="D244" s="366"/>
      <c r="E244" s="321"/>
      <c r="F244" s="925"/>
      <c r="G244" s="315"/>
      <c r="H244" s="315"/>
      <c r="I244" s="315"/>
      <c r="J244" s="315"/>
      <c r="K244" s="513"/>
      <c r="L244" s="926"/>
      <c r="M244" s="331"/>
      <c r="N244" s="366"/>
      <c r="O244" s="323"/>
      <c r="P244" s="386"/>
      <c r="Q244" s="323"/>
      <c r="R244" s="366"/>
      <c r="S244" s="378"/>
      <c r="T244" s="324"/>
      <c r="U244" s="386"/>
      <c r="V244" s="386"/>
      <c r="W244" s="386"/>
      <c r="X244" s="386"/>
      <c r="Y244" s="386"/>
      <c r="Z244" s="386"/>
      <c r="AA244" s="386"/>
      <c r="AB244" s="392"/>
      <c r="AC244" s="28"/>
      <c r="AD244" s="28"/>
      <c r="AE244" s="28"/>
      <c r="AF244" s="28"/>
      <c r="AG244" s="28"/>
      <c r="AH244" s="28"/>
      <c r="AI244" s="28"/>
      <c r="AJ244" s="28"/>
    </row>
    <row r="245" spans="1:36" x14ac:dyDescent="0.25">
      <c r="A245" s="298" t="str">
        <f>IF('Kwaliteit conversie'!$D$4='Prijs karton'!C245,"X"," ")</f>
        <v xml:space="preserve"> </v>
      </c>
      <c r="B245" s="331" t="s">
        <v>34</v>
      </c>
      <c r="C245" s="359"/>
      <c r="D245" s="366"/>
      <c r="E245" s="321"/>
      <c r="F245" s="925"/>
      <c r="G245" s="315"/>
      <c r="H245" s="315"/>
      <c r="I245" s="315"/>
      <c r="J245" s="315"/>
      <c r="K245" s="513"/>
      <c r="L245" s="926"/>
      <c r="M245" s="331"/>
      <c r="N245" s="366"/>
      <c r="O245" s="323"/>
      <c r="P245" s="386"/>
      <c r="Q245" s="323"/>
      <c r="R245" s="366"/>
      <c r="S245" s="378"/>
      <c r="T245" s="324"/>
      <c r="U245" s="386"/>
      <c r="V245" s="386"/>
      <c r="W245" s="386"/>
      <c r="X245" s="386"/>
      <c r="Y245" s="386"/>
      <c r="Z245" s="386"/>
      <c r="AA245" s="386"/>
      <c r="AB245" s="392"/>
      <c r="AC245" s="28"/>
      <c r="AD245" s="28"/>
      <c r="AE245" s="28"/>
      <c r="AF245" s="28"/>
      <c r="AG245" s="28"/>
      <c r="AH245" s="28"/>
      <c r="AI245" s="28"/>
      <c r="AJ245" s="28"/>
    </row>
    <row r="246" spans="1:36" x14ac:dyDescent="0.25">
      <c r="A246" s="932" t="str">
        <f>IF('Kwaliteit conversie'!$D$4='Prijs karton'!C246,"X"," ")</f>
        <v xml:space="preserve"> </v>
      </c>
      <c r="B246" s="331" t="s">
        <v>34</v>
      </c>
      <c r="C246" s="359" t="s">
        <v>463</v>
      </c>
      <c r="D246" s="366">
        <v>0.56299999999999994</v>
      </c>
      <c r="E246" s="321">
        <v>2.83</v>
      </c>
      <c r="F246" s="925">
        <v>0</v>
      </c>
      <c r="G246" s="315" t="s">
        <v>239</v>
      </c>
      <c r="H246" s="315">
        <v>68.099999999999994</v>
      </c>
      <c r="I246" s="315">
        <v>68.099999999999994</v>
      </c>
      <c r="J246" s="315">
        <v>66.099999999999994</v>
      </c>
      <c r="K246" s="513">
        <v>66.099999999999994</v>
      </c>
      <c r="L246" s="926" t="s">
        <v>464</v>
      </c>
      <c r="M246" s="331" t="s">
        <v>289</v>
      </c>
      <c r="N246" s="366" t="s">
        <v>244</v>
      </c>
      <c r="O246" s="323" t="s">
        <v>255</v>
      </c>
      <c r="P246" s="386" t="s">
        <v>244</v>
      </c>
      <c r="Q246" s="323" t="s">
        <v>239</v>
      </c>
      <c r="R246" s="366" t="s">
        <v>239</v>
      </c>
      <c r="S246" s="378" t="s">
        <v>260</v>
      </c>
      <c r="T246" s="324" t="s">
        <v>240</v>
      </c>
      <c r="U246" s="386">
        <v>240</v>
      </c>
      <c r="V246" s="386">
        <v>2450</v>
      </c>
      <c r="W246" s="386">
        <v>500</v>
      </c>
      <c r="X246" s="386">
        <v>6000</v>
      </c>
      <c r="Y246" s="386">
        <v>125</v>
      </c>
      <c r="Z246" s="386">
        <v>125</v>
      </c>
      <c r="AA246" s="386">
        <v>500</v>
      </c>
      <c r="AB246" s="392">
        <v>7.26</v>
      </c>
      <c r="AC246" s="28">
        <v>0</v>
      </c>
      <c r="AD246" s="28">
        <v>1</v>
      </c>
      <c r="AE246" s="28">
        <v>1</v>
      </c>
      <c r="AF246" s="28">
        <v>1</v>
      </c>
      <c r="AG246" s="28">
        <v>1</v>
      </c>
      <c r="AH246" s="28">
        <v>1</v>
      </c>
      <c r="AI246" s="28">
        <v>1</v>
      </c>
      <c r="AJ246" s="28">
        <v>1</v>
      </c>
    </row>
    <row r="247" spans="1:36" x14ac:dyDescent="0.25">
      <c r="A247" s="298" t="str">
        <f>IF('Kwaliteit conversie'!$D$4='Prijs karton'!C247,"X"," ")</f>
        <v xml:space="preserve"> </v>
      </c>
      <c r="B247" s="331" t="s">
        <v>34</v>
      </c>
      <c r="C247" s="359" t="s">
        <v>465</v>
      </c>
      <c r="D247" s="366">
        <v>0.60799999999999998</v>
      </c>
      <c r="E247" s="321">
        <v>2.91</v>
      </c>
      <c r="F247" s="925">
        <v>0</v>
      </c>
      <c r="G247" s="315" t="s">
        <v>239</v>
      </c>
      <c r="H247" s="315">
        <v>69.8</v>
      </c>
      <c r="I247" s="315">
        <v>69.8</v>
      </c>
      <c r="J247" s="315">
        <v>67.8</v>
      </c>
      <c r="K247" s="513">
        <v>65.8</v>
      </c>
      <c r="L247" s="926" t="s">
        <v>466</v>
      </c>
      <c r="M247" s="331" t="s">
        <v>318</v>
      </c>
      <c r="N247" s="366" t="s">
        <v>244</v>
      </c>
      <c r="O247" s="323" t="s">
        <v>255</v>
      </c>
      <c r="P247" s="386" t="s">
        <v>244</v>
      </c>
      <c r="Q247" s="323" t="s">
        <v>239</v>
      </c>
      <c r="R247" s="366" t="s">
        <v>239</v>
      </c>
      <c r="S247" s="378" t="s">
        <v>260</v>
      </c>
      <c r="T247" s="324" t="s">
        <v>240</v>
      </c>
      <c r="U247" s="386">
        <v>240</v>
      </c>
      <c r="V247" s="386">
        <v>2450</v>
      </c>
      <c r="W247" s="386">
        <v>500</v>
      </c>
      <c r="X247" s="386">
        <v>6000</v>
      </c>
      <c r="Y247" s="386">
        <v>125</v>
      </c>
      <c r="Z247" s="386">
        <v>125</v>
      </c>
      <c r="AA247" s="386">
        <v>500</v>
      </c>
      <c r="AB247" s="392">
        <v>7.61</v>
      </c>
      <c r="AC247" s="28">
        <v>0</v>
      </c>
      <c r="AD247" s="28">
        <v>1</v>
      </c>
      <c r="AE247" s="28">
        <v>1</v>
      </c>
      <c r="AF247" s="28">
        <v>1</v>
      </c>
      <c r="AG247" s="28">
        <v>1</v>
      </c>
      <c r="AH247" s="28">
        <v>1</v>
      </c>
      <c r="AI247" s="28">
        <v>1</v>
      </c>
      <c r="AJ247" s="28">
        <v>1</v>
      </c>
    </row>
    <row r="248" spans="1:36" x14ac:dyDescent="0.25">
      <c r="A248" s="298" t="str">
        <f>IF('Kwaliteit conversie'!$D$4='Prijs karton'!C248,"X"," ")</f>
        <v xml:space="preserve"> </v>
      </c>
      <c r="B248" s="331" t="s">
        <v>34</v>
      </c>
      <c r="C248" s="359" t="s">
        <v>467</v>
      </c>
      <c r="D248" s="366">
        <v>0.55300000000000005</v>
      </c>
      <c r="E248" s="321">
        <v>2.86</v>
      </c>
      <c r="F248" s="925">
        <v>0</v>
      </c>
      <c r="G248" s="315">
        <v>60.8</v>
      </c>
      <c r="H248" s="315">
        <v>58.8</v>
      </c>
      <c r="I248" s="315">
        <v>58.8</v>
      </c>
      <c r="J248" s="315">
        <v>57.3</v>
      </c>
      <c r="K248" s="513">
        <v>56.8</v>
      </c>
      <c r="L248" s="926" t="s">
        <v>468</v>
      </c>
      <c r="M248" s="331" t="s">
        <v>260</v>
      </c>
      <c r="N248" s="366" t="s">
        <v>244</v>
      </c>
      <c r="O248" s="323" t="s">
        <v>255</v>
      </c>
      <c r="P248" s="386" t="s">
        <v>244</v>
      </c>
      <c r="Q248" s="323" t="s">
        <v>239</v>
      </c>
      <c r="R248" s="366" t="s">
        <v>239</v>
      </c>
      <c r="S248" s="378" t="s">
        <v>260</v>
      </c>
      <c r="T248" s="324" t="s">
        <v>240</v>
      </c>
      <c r="U248" s="386">
        <v>240</v>
      </c>
      <c r="V248" s="386">
        <v>2450</v>
      </c>
      <c r="W248" s="386">
        <v>500</v>
      </c>
      <c r="X248" s="386">
        <v>6000</v>
      </c>
      <c r="Y248" s="386">
        <v>125</v>
      </c>
      <c r="Z248" s="386">
        <v>125</v>
      </c>
      <c r="AA248" s="386">
        <v>200</v>
      </c>
      <c r="AB248" s="392">
        <v>6.94</v>
      </c>
      <c r="AC248" s="28">
        <v>0</v>
      </c>
      <c r="AD248" s="28">
        <v>1</v>
      </c>
      <c r="AE248" s="28">
        <v>1</v>
      </c>
      <c r="AF248" s="28">
        <v>1</v>
      </c>
      <c r="AG248" s="28">
        <v>1</v>
      </c>
      <c r="AH248" s="28">
        <v>1</v>
      </c>
      <c r="AI248" s="28">
        <v>1</v>
      </c>
      <c r="AJ248" s="28">
        <v>1</v>
      </c>
    </row>
    <row r="249" spans="1:36" x14ac:dyDescent="0.25">
      <c r="A249" s="298" t="str">
        <f>IF('Kwaliteit conversie'!$D$4='Prijs karton'!C249,"X"," ")</f>
        <v xml:space="preserve"> </v>
      </c>
      <c r="B249" s="331" t="s">
        <v>34</v>
      </c>
      <c r="C249" s="359" t="s">
        <v>1401</v>
      </c>
      <c r="D249" s="366">
        <v>0.56999999999999995</v>
      </c>
      <c r="E249" s="321">
        <v>2.86</v>
      </c>
      <c r="F249" s="925">
        <v>0</v>
      </c>
      <c r="G249" s="315">
        <v>55.4</v>
      </c>
      <c r="H249" s="315">
        <v>54</v>
      </c>
      <c r="I249" s="315">
        <v>53.7</v>
      </c>
      <c r="J249" s="315">
        <v>53.5</v>
      </c>
      <c r="K249" s="513">
        <v>53.5</v>
      </c>
      <c r="L249" s="926" t="s">
        <v>1402</v>
      </c>
      <c r="M249" s="331" t="s">
        <v>1362</v>
      </c>
      <c r="N249" s="366" t="s">
        <v>244</v>
      </c>
      <c r="O249" s="323" t="s">
        <v>244</v>
      </c>
      <c r="P249" s="386" t="s">
        <v>244</v>
      </c>
      <c r="Q249" s="323" t="s">
        <v>239</v>
      </c>
      <c r="R249" s="366" t="s">
        <v>239</v>
      </c>
      <c r="S249" s="378" t="s">
        <v>1363</v>
      </c>
      <c r="T249" s="324" t="s">
        <v>1364</v>
      </c>
      <c r="U249" s="386">
        <v>250</v>
      </c>
      <c r="V249" s="386">
        <v>2450</v>
      </c>
      <c r="W249" s="386">
        <v>600</v>
      </c>
      <c r="X249" s="386">
        <v>6000</v>
      </c>
      <c r="Y249" s="386">
        <v>270</v>
      </c>
      <c r="Z249" s="386">
        <v>135</v>
      </c>
      <c r="AA249" s="386">
        <v>200</v>
      </c>
      <c r="AB249" s="392">
        <v>8.39</v>
      </c>
      <c r="AC249" s="28">
        <v>0</v>
      </c>
      <c r="AD249" s="28">
        <v>1</v>
      </c>
      <c r="AE249" s="28">
        <v>1</v>
      </c>
      <c r="AF249" s="28">
        <v>1</v>
      </c>
      <c r="AG249" s="28">
        <v>1</v>
      </c>
      <c r="AH249" s="28">
        <v>1</v>
      </c>
      <c r="AI249" s="28">
        <v>1</v>
      </c>
      <c r="AJ249" s="28">
        <v>1</v>
      </c>
    </row>
    <row r="250" spans="1:36" x14ac:dyDescent="0.25">
      <c r="A250" s="298" t="str">
        <f>IF('Kwaliteit conversie'!$D$4='Prijs karton'!C250,"X"," ")</f>
        <v xml:space="preserve"> </v>
      </c>
      <c r="B250" s="331" t="s">
        <v>34</v>
      </c>
      <c r="C250" s="359" t="s">
        <v>1403</v>
      </c>
      <c r="D250" s="366">
        <v>0.55500000000000005</v>
      </c>
      <c r="E250" s="321">
        <v>2.77</v>
      </c>
      <c r="F250" s="925">
        <v>0</v>
      </c>
      <c r="G250" s="315">
        <v>53.6</v>
      </c>
      <c r="H250" s="315">
        <v>52.1</v>
      </c>
      <c r="I250" s="315">
        <v>51.9</v>
      </c>
      <c r="J250" s="315">
        <v>51.9</v>
      </c>
      <c r="K250" s="513">
        <v>51.9</v>
      </c>
      <c r="L250" s="926" t="s">
        <v>1404</v>
      </c>
      <c r="M250" s="331" t="s">
        <v>1363</v>
      </c>
      <c r="N250" s="366" t="s">
        <v>244</v>
      </c>
      <c r="O250" s="323" t="s">
        <v>244</v>
      </c>
      <c r="P250" s="386" t="s">
        <v>244</v>
      </c>
      <c r="Q250" s="323" t="s">
        <v>239</v>
      </c>
      <c r="R250" s="366" t="s">
        <v>239</v>
      </c>
      <c r="S250" s="378" t="s">
        <v>1363</v>
      </c>
      <c r="T250" s="324" t="s">
        <v>1364</v>
      </c>
      <c r="U250" s="386">
        <v>250</v>
      </c>
      <c r="V250" s="386">
        <v>2450</v>
      </c>
      <c r="W250" s="386">
        <v>600</v>
      </c>
      <c r="X250" s="386">
        <v>6000</v>
      </c>
      <c r="Y250" s="386">
        <v>270</v>
      </c>
      <c r="Z250" s="386">
        <v>135</v>
      </c>
      <c r="AA250" s="386">
        <v>200</v>
      </c>
      <c r="AB250" s="392">
        <v>7.33</v>
      </c>
      <c r="AC250" s="28">
        <v>0</v>
      </c>
      <c r="AD250" s="28">
        <v>1</v>
      </c>
      <c r="AE250" s="28">
        <v>1</v>
      </c>
      <c r="AF250" s="28">
        <v>1</v>
      </c>
      <c r="AG250" s="28">
        <v>1</v>
      </c>
      <c r="AH250" s="28">
        <v>1</v>
      </c>
      <c r="AI250" s="28">
        <v>1</v>
      </c>
      <c r="AJ250" s="28">
        <v>1</v>
      </c>
    </row>
    <row r="251" spans="1:36" x14ac:dyDescent="0.25">
      <c r="A251" s="298" t="str">
        <f>IF('Kwaliteit conversie'!$D$4='Prijs karton'!C251,"X"," ")</f>
        <v xml:space="preserve"> </v>
      </c>
      <c r="B251" s="331" t="s">
        <v>34</v>
      </c>
      <c r="C251" s="359" t="s">
        <v>1440</v>
      </c>
      <c r="D251" s="366">
        <v>0.56999999999999995</v>
      </c>
      <c r="E251" s="321">
        <v>2.74</v>
      </c>
      <c r="F251" s="925">
        <v>0</v>
      </c>
      <c r="G251" s="315">
        <v>62.9</v>
      </c>
      <c r="H251" s="315">
        <v>61.5</v>
      </c>
      <c r="I251" s="315">
        <v>61.2</v>
      </c>
      <c r="J251" s="315">
        <v>60.9</v>
      </c>
      <c r="K251" s="513">
        <v>60.9</v>
      </c>
      <c r="L251" s="926" t="s">
        <v>1441</v>
      </c>
      <c r="M251" s="331" t="s">
        <v>289</v>
      </c>
      <c r="N251" s="366" t="s">
        <v>244</v>
      </c>
      <c r="O251" s="323" t="s">
        <v>244</v>
      </c>
      <c r="P251" s="386" t="s">
        <v>244</v>
      </c>
      <c r="Q251" s="323" t="s">
        <v>239</v>
      </c>
      <c r="R251" s="366" t="s">
        <v>239</v>
      </c>
      <c r="S251" s="378" t="s">
        <v>1363</v>
      </c>
      <c r="T251" s="324" t="s">
        <v>1364</v>
      </c>
      <c r="U251" s="386">
        <v>250</v>
      </c>
      <c r="V251" s="386">
        <v>2450</v>
      </c>
      <c r="W251" s="386">
        <v>600</v>
      </c>
      <c r="X251" s="386">
        <v>6000</v>
      </c>
      <c r="Y251" s="386">
        <v>270</v>
      </c>
      <c r="Z251" s="386">
        <v>135</v>
      </c>
      <c r="AA251" s="386">
        <v>200</v>
      </c>
      <c r="AB251" s="392">
        <v>8.19</v>
      </c>
      <c r="AC251" s="28">
        <v>0</v>
      </c>
      <c r="AD251" s="28">
        <v>1</v>
      </c>
      <c r="AE251" s="28">
        <v>1</v>
      </c>
      <c r="AF251" s="28">
        <v>1</v>
      </c>
      <c r="AG251" s="28">
        <v>1</v>
      </c>
      <c r="AH251" s="28">
        <v>1</v>
      </c>
      <c r="AI251" s="28">
        <v>1</v>
      </c>
      <c r="AJ251" s="28">
        <v>1</v>
      </c>
    </row>
    <row r="252" spans="1:36" x14ac:dyDescent="0.25">
      <c r="A252" s="298" t="str">
        <f>IF('Kwaliteit conversie'!$D$4='Prijs karton'!C252,"X"," ")</f>
        <v xml:space="preserve"> </v>
      </c>
      <c r="B252" s="331" t="s">
        <v>34</v>
      </c>
      <c r="C252" s="359" t="s">
        <v>1442</v>
      </c>
      <c r="D252" s="366">
        <v>0.60799999999999998</v>
      </c>
      <c r="E252" s="321">
        <v>2.84</v>
      </c>
      <c r="F252" s="925">
        <v>0</v>
      </c>
      <c r="G252" s="315" t="s">
        <v>315</v>
      </c>
      <c r="H252" s="315">
        <v>62.8</v>
      </c>
      <c r="I252" s="315">
        <v>62.8</v>
      </c>
      <c r="J252" s="315">
        <v>62.8</v>
      </c>
      <c r="K252" s="513">
        <v>62.8</v>
      </c>
      <c r="L252" s="926" t="s">
        <v>1443</v>
      </c>
      <c r="M252" s="331" t="s">
        <v>289</v>
      </c>
      <c r="N252" s="366" t="s">
        <v>238</v>
      </c>
      <c r="O252" s="323" t="s">
        <v>244</v>
      </c>
      <c r="P252" s="386" t="s">
        <v>238</v>
      </c>
      <c r="Q252" s="323" t="s">
        <v>239</v>
      </c>
      <c r="R252" s="366" t="s">
        <v>239</v>
      </c>
      <c r="S252" s="378" t="s">
        <v>289</v>
      </c>
      <c r="T252" s="324" t="s">
        <v>1364</v>
      </c>
      <c r="U252" s="386">
        <v>250</v>
      </c>
      <c r="V252" s="386">
        <v>2450</v>
      </c>
      <c r="W252" s="386">
        <v>600</v>
      </c>
      <c r="X252" s="386">
        <v>6000</v>
      </c>
      <c r="Y252" s="386">
        <v>270</v>
      </c>
      <c r="Z252" s="386">
        <v>135</v>
      </c>
      <c r="AA252" s="386">
        <v>500</v>
      </c>
      <c r="AB252" s="392">
        <v>9.2799999999999994</v>
      </c>
      <c r="AC252" s="28">
        <v>0</v>
      </c>
      <c r="AD252" s="28">
        <v>1</v>
      </c>
      <c r="AE252" s="28">
        <v>1</v>
      </c>
      <c r="AF252" s="28">
        <v>1</v>
      </c>
      <c r="AG252" s="28">
        <v>1</v>
      </c>
      <c r="AH252" s="28">
        <v>1</v>
      </c>
      <c r="AI252" s="28">
        <v>1</v>
      </c>
      <c r="AJ252" s="28">
        <v>1</v>
      </c>
    </row>
    <row r="253" spans="1:36" x14ac:dyDescent="0.25">
      <c r="A253" s="298" t="str">
        <f>IF('Kwaliteit conversie'!$D$4='Prijs karton'!C253,"X"," ")</f>
        <v xml:space="preserve"> </v>
      </c>
      <c r="B253" s="331" t="s">
        <v>34</v>
      </c>
      <c r="C253" s="359"/>
      <c r="D253" s="366"/>
      <c r="E253" s="321"/>
      <c r="F253" s="925"/>
      <c r="G253" s="315"/>
      <c r="H253" s="315"/>
      <c r="I253" s="315"/>
      <c r="J253" s="315"/>
      <c r="K253" s="513"/>
      <c r="L253" s="926"/>
      <c r="M253" s="331"/>
      <c r="N253" s="366"/>
      <c r="O253" s="323"/>
      <c r="P253" s="386"/>
      <c r="Q253" s="323"/>
      <c r="R253" s="366"/>
      <c r="S253" s="378"/>
      <c r="T253" s="324"/>
      <c r="U253" s="386"/>
      <c r="V253" s="386"/>
      <c r="W253" s="386"/>
      <c r="X253" s="386"/>
      <c r="Y253" s="386"/>
      <c r="Z253" s="386"/>
      <c r="AA253" s="386"/>
      <c r="AB253" s="392"/>
      <c r="AC253" s="28"/>
      <c r="AD253" s="28"/>
      <c r="AE253" s="28"/>
      <c r="AF253" s="28"/>
      <c r="AG253" s="28"/>
      <c r="AH253" s="28"/>
      <c r="AI253" s="28"/>
      <c r="AJ253" s="28"/>
    </row>
    <row r="254" spans="1:36" s="320" customFormat="1" ht="15.75" thickBot="1" x14ac:dyDescent="0.3">
      <c r="A254" s="329" t="str">
        <f>IF('Kwaliteit conversie'!$D$4='Prijs karton'!C254,"X"," ")</f>
        <v xml:space="preserve"> </v>
      </c>
      <c r="B254" s="332" t="s">
        <v>34</v>
      </c>
      <c r="C254" s="360" t="s">
        <v>469</v>
      </c>
      <c r="D254" s="367"/>
      <c r="E254" s="322">
        <v>3</v>
      </c>
      <c r="F254" s="930">
        <v>0</v>
      </c>
      <c r="G254" s="369">
        <v>0</v>
      </c>
      <c r="H254" s="369">
        <v>0</v>
      </c>
      <c r="I254" s="369">
        <v>0</v>
      </c>
      <c r="J254" s="369">
        <v>0</v>
      </c>
      <c r="K254" s="931">
        <v>0</v>
      </c>
      <c r="L254" s="929" t="s">
        <v>239</v>
      </c>
      <c r="M254" s="379" t="s">
        <v>239</v>
      </c>
      <c r="N254" s="367" t="s">
        <v>239</v>
      </c>
      <c r="O254" s="325" t="s">
        <v>239</v>
      </c>
      <c r="P254" s="387" t="s">
        <v>239</v>
      </c>
      <c r="Q254" s="325" t="s">
        <v>239</v>
      </c>
      <c r="R254" s="367" t="s">
        <v>239</v>
      </c>
      <c r="S254" s="380" t="s">
        <v>239</v>
      </c>
      <c r="T254" s="326" t="s">
        <v>240</v>
      </c>
      <c r="U254" s="387">
        <v>240</v>
      </c>
      <c r="V254" s="387">
        <v>2450</v>
      </c>
      <c r="W254" s="387">
        <v>500</v>
      </c>
      <c r="X254" s="387">
        <v>6000</v>
      </c>
      <c r="Y254" s="387">
        <v>125</v>
      </c>
      <c r="Z254" s="387">
        <v>125</v>
      </c>
      <c r="AA254" s="387">
        <v>500</v>
      </c>
      <c r="AB254" s="393">
        <v>7</v>
      </c>
      <c r="AC254" s="34">
        <v>0</v>
      </c>
      <c r="AD254" s="34">
        <v>1</v>
      </c>
      <c r="AE254" s="34">
        <v>1</v>
      </c>
      <c r="AF254" s="34">
        <v>1</v>
      </c>
      <c r="AG254" s="34">
        <v>1</v>
      </c>
      <c r="AH254" s="34">
        <v>1</v>
      </c>
      <c r="AI254" s="34">
        <v>1</v>
      </c>
      <c r="AJ254" s="34">
        <v>1</v>
      </c>
    </row>
    <row r="255" spans="1:36" x14ac:dyDescent="0.25">
      <c r="B255" s="298"/>
      <c r="C255" s="312"/>
      <c r="D255" s="298"/>
      <c r="E255" s="311"/>
      <c r="U255" s="310"/>
      <c r="V255" s="310"/>
      <c r="W255" s="310"/>
      <c r="X255" s="310"/>
      <c r="Y255" s="310"/>
      <c r="Z255" s="310"/>
      <c r="AA255" s="310"/>
    </row>
    <row r="256" spans="1:36" x14ac:dyDescent="0.25">
      <c r="B256" s="298"/>
      <c r="C256" s="298"/>
      <c r="D256" s="298"/>
      <c r="E256" s="311"/>
      <c r="U256" s="310"/>
      <c r="V256" s="310"/>
      <c r="W256" s="310"/>
      <c r="X256" s="310"/>
      <c r="Y256" s="310"/>
      <c r="Z256" s="310"/>
      <c r="AA256" s="310"/>
    </row>
    <row r="257" spans="2:5" x14ac:dyDescent="0.25">
      <c r="B257" s="298"/>
      <c r="C257" s="298"/>
      <c r="D257" s="298"/>
      <c r="E257" s="311"/>
    </row>
    <row r="258" spans="2:5" x14ac:dyDescent="0.25">
      <c r="B258" s="298"/>
      <c r="C258" s="298"/>
      <c r="D258" s="298"/>
      <c r="E258" s="31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6E2E-E92D-4E2D-B18D-C7AF2198FE57}">
  <dimension ref="B1:AJ118"/>
  <sheetViews>
    <sheetView workbookViewId="0"/>
  </sheetViews>
  <sheetFormatPr defaultRowHeight="15" x14ac:dyDescent="0.25"/>
  <cols>
    <col min="2" max="2" customWidth="true" width="20.5703125"/>
    <col min="3" max="3" customWidth="true" width="16.85546875"/>
    <col min="4" max="4" customWidth="true" width="11.28515625"/>
    <col min="5" max="5" customWidth="true" width="13.28515625"/>
    <col min="6" max="6" customWidth="true" width="13.85546875"/>
    <col min="7" max="7" customWidth="true" width="12.42578125"/>
    <col min="8" max="8" customWidth="true" width="13.42578125"/>
    <col min="9" max="9" customWidth="true" width="10.42578125"/>
    <col min="10" max="10" customWidth="true" width="11.42578125"/>
    <col min="11" max="11" customWidth="true" width="13.7109375"/>
    <col min="12" max="12" customWidth="true" width="13.5703125"/>
    <col min="15" max="15" customWidth="true" width="10.42578125"/>
    <col min="22" max="22" bestFit="true" customWidth="true" width="9.5703125"/>
  </cols>
  <sheetData>
    <row r="1" spans="2:11" x14ac:dyDescent="0.25">
      <c r="H1" s="1185">
        <v>0</v>
      </c>
      <c r="I1" s="1186"/>
      <c r="J1" s="1187">
        <v>0.01</v>
      </c>
      <c r="K1" t="s">
        <v>1284</v>
      </c>
    </row>
    <row r="2" spans="2:11" x14ac:dyDescent="0.25">
      <c r="H2" s="1185">
        <v>-0.06</v>
      </c>
      <c r="I2" s="1186"/>
      <c r="J2" s="1187">
        <v>-0.04</v>
      </c>
      <c r="K2" t="s">
        <v>1285</v>
      </c>
    </row>
    <row r="3" spans="2:11" x14ac:dyDescent="0.25">
      <c r="B3" s="404"/>
      <c r="C3" s="43"/>
      <c r="D3" s="43"/>
      <c r="E3" s="473">
        <f>IF(OR('Rekenblad (2)'!E362=1,'Rekenblad (2)'!F362=1),1,0)</f>
        <v>1</v>
      </c>
      <c r="F3" s="38">
        <f>IF(E3=1,0,1)</f>
        <v>0</v>
      </c>
    </row>
    <row r="4" spans="2:11" x14ac:dyDescent="0.25">
      <c r="B4" s="41"/>
      <c r="C4" s="1317" t="s">
        <v>863</v>
      </c>
      <c r="D4" s="1318"/>
      <c r="E4" s="399" t="s">
        <v>864</v>
      </c>
      <c r="F4" s="399" t="s">
        <v>865</v>
      </c>
      <c r="H4" s="417" t="s">
        <v>144</v>
      </c>
      <c r="I4" s="399" t="s">
        <v>866</v>
      </c>
      <c r="J4" s="399" t="s">
        <v>867</v>
      </c>
    </row>
    <row r="5" spans="2:11" x14ac:dyDescent="0.25">
      <c r="B5" s="52"/>
      <c r="C5" s="1319" t="s">
        <v>868</v>
      </c>
      <c r="D5" s="1320"/>
      <c r="E5" s="120" t="s">
        <v>721</v>
      </c>
      <c r="F5" s="120" t="s">
        <v>721</v>
      </c>
      <c r="H5" s="227" t="s">
        <v>864</v>
      </c>
      <c r="I5" s="804" t="s">
        <v>869</v>
      </c>
      <c r="J5" s="120" t="s">
        <v>870</v>
      </c>
    </row>
    <row r="6" spans="2:11" x14ac:dyDescent="0.25">
      <c r="B6" s="442" t="str">
        <f t="shared" ref="B6:B65" si="0">IF(AND($B$73&gt;C6,$B$73&lt;=D6),1,"")</f>
        <v/>
      </c>
      <c r="C6" s="417">
        <v>1</v>
      </c>
      <c r="D6" s="406">
        <v>25</v>
      </c>
      <c r="E6" s="805">
        <f>I6+H6</f>
        <v>0.74</v>
      </c>
      <c r="F6" s="806">
        <f>J6+I6</f>
        <v>0.75</v>
      </c>
      <c r="H6" s="807">
        <v>-0.06</v>
      </c>
      <c r="I6" s="1190">
        <v>0.8</v>
      </c>
      <c r="J6" s="807">
        <v>-0.05</v>
      </c>
    </row>
    <row r="7" spans="2:11" x14ac:dyDescent="0.25">
      <c r="B7" s="12" t="str">
        <f t="shared" si="0"/>
        <v/>
      </c>
      <c r="C7" s="227">
        <v>25</v>
      </c>
      <c r="D7" s="78">
        <v>50</v>
      </c>
      <c r="E7" s="808">
        <f t="shared" ref="E7:F38" si="1">I7+H7</f>
        <v>0.34</v>
      </c>
      <c r="F7" s="809">
        <f t="shared" si="1"/>
        <v>0.35000000000000003</v>
      </c>
      <c r="H7" s="807">
        <v>-0.06</v>
      </c>
      <c r="I7" s="1191">
        <v>0.4</v>
      </c>
      <c r="J7" s="807">
        <v>-0.05</v>
      </c>
    </row>
    <row r="8" spans="2:11" x14ac:dyDescent="0.25">
      <c r="B8" s="12" t="str">
        <f t="shared" si="0"/>
        <v/>
      </c>
      <c r="C8" s="227">
        <v>50</v>
      </c>
      <c r="D8" s="78">
        <v>55</v>
      </c>
      <c r="E8" s="808">
        <f t="shared" si="1"/>
        <v>0.31</v>
      </c>
      <c r="F8" s="809">
        <f t="shared" si="1"/>
        <v>0.32</v>
      </c>
      <c r="H8" s="807">
        <v>-0.06</v>
      </c>
      <c r="I8" s="1191">
        <v>0.37</v>
      </c>
      <c r="J8" s="807">
        <v>-0.05</v>
      </c>
    </row>
    <row r="9" spans="2:11" x14ac:dyDescent="0.25">
      <c r="B9" s="12" t="str">
        <f t="shared" si="0"/>
        <v/>
      </c>
      <c r="C9" s="227">
        <v>55</v>
      </c>
      <c r="D9" s="78">
        <v>60</v>
      </c>
      <c r="E9" s="808">
        <f t="shared" si="1"/>
        <v>0.28999999999999998</v>
      </c>
      <c r="F9" s="809">
        <f t="shared" si="1"/>
        <v>0.3</v>
      </c>
      <c r="H9" s="807">
        <v>-0.06</v>
      </c>
      <c r="I9" s="1191">
        <v>0.35</v>
      </c>
      <c r="J9" s="807">
        <v>-0.05</v>
      </c>
    </row>
    <row r="10" spans="2:11" x14ac:dyDescent="0.25">
      <c r="B10" s="12" t="str">
        <f t="shared" si="0"/>
        <v/>
      </c>
      <c r="C10" s="227">
        <v>60</v>
      </c>
      <c r="D10" s="78">
        <v>65</v>
      </c>
      <c r="E10" s="808">
        <f t="shared" si="1"/>
        <v>0.22999999999999998</v>
      </c>
      <c r="F10" s="809">
        <f t="shared" si="1"/>
        <v>0.24</v>
      </c>
      <c r="H10" s="807">
        <v>-0.06</v>
      </c>
      <c r="I10" s="1191">
        <v>0.28999999999999998</v>
      </c>
      <c r="J10" s="807">
        <v>-0.05</v>
      </c>
    </row>
    <row r="11" spans="2:11" x14ac:dyDescent="0.25">
      <c r="B11" s="12" t="str">
        <f t="shared" si="0"/>
        <v/>
      </c>
      <c r="C11" s="227">
        <v>65</v>
      </c>
      <c r="D11" s="78">
        <v>70</v>
      </c>
      <c r="E11" s="808">
        <f t="shared" si="1"/>
        <v>0.22000000000000003</v>
      </c>
      <c r="F11" s="809">
        <f t="shared" si="1"/>
        <v>0.23000000000000004</v>
      </c>
      <c r="H11" s="807">
        <v>-0.06</v>
      </c>
      <c r="I11" s="1191">
        <v>0.28000000000000003</v>
      </c>
      <c r="J11" s="807">
        <v>-0.05</v>
      </c>
    </row>
    <row r="12" spans="2:11" x14ac:dyDescent="0.25">
      <c r="B12" s="12" t="str">
        <f t="shared" si="0"/>
        <v/>
      </c>
      <c r="C12" s="227">
        <v>70</v>
      </c>
      <c r="D12" s="78">
        <v>75</v>
      </c>
      <c r="E12" s="808">
        <f t="shared" si="1"/>
        <v>0.21000000000000002</v>
      </c>
      <c r="F12" s="809">
        <f t="shared" si="1"/>
        <v>0.22000000000000003</v>
      </c>
      <c r="H12" s="807">
        <v>-0.06</v>
      </c>
      <c r="I12" s="1191">
        <v>0.27</v>
      </c>
      <c r="J12" s="807">
        <v>-0.05</v>
      </c>
    </row>
    <row r="13" spans="2:11" x14ac:dyDescent="0.25">
      <c r="B13" s="12" t="str">
        <f t="shared" si="0"/>
        <v/>
      </c>
      <c r="C13" s="227">
        <v>75</v>
      </c>
      <c r="D13" s="78">
        <v>80</v>
      </c>
      <c r="E13" s="808">
        <f t="shared" si="1"/>
        <v>0.2</v>
      </c>
      <c r="F13" s="809">
        <f t="shared" si="1"/>
        <v>0.21000000000000002</v>
      </c>
      <c r="H13" s="807">
        <v>-0.06</v>
      </c>
      <c r="I13" s="1191">
        <v>0.26</v>
      </c>
      <c r="J13" s="807">
        <v>-0.05</v>
      </c>
    </row>
    <row r="14" spans="2:11" x14ac:dyDescent="0.25">
      <c r="B14" s="12" t="str">
        <f t="shared" si="0"/>
        <v/>
      </c>
      <c r="C14" s="227">
        <v>80</v>
      </c>
      <c r="D14" s="78">
        <v>85</v>
      </c>
      <c r="E14" s="808">
        <f t="shared" si="1"/>
        <v>0.19</v>
      </c>
      <c r="F14" s="809">
        <f t="shared" si="1"/>
        <v>0.2</v>
      </c>
      <c r="H14" s="807">
        <v>-0.06</v>
      </c>
      <c r="I14" s="1191">
        <v>0.25</v>
      </c>
      <c r="J14" s="807">
        <v>-0.05</v>
      </c>
    </row>
    <row r="15" spans="2:11" x14ac:dyDescent="0.25">
      <c r="B15" s="12" t="str">
        <f t="shared" si="0"/>
        <v/>
      </c>
      <c r="C15" s="227">
        <v>85</v>
      </c>
      <c r="D15" s="78">
        <v>90</v>
      </c>
      <c r="E15" s="808">
        <f t="shared" si="1"/>
        <v>0.18</v>
      </c>
      <c r="F15" s="809">
        <f t="shared" si="1"/>
        <v>0.19</v>
      </c>
      <c r="H15" s="807">
        <v>-0.06</v>
      </c>
      <c r="I15" s="1191">
        <v>0.24</v>
      </c>
      <c r="J15" s="807">
        <v>-0.05</v>
      </c>
    </row>
    <row r="16" spans="2:11" x14ac:dyDescent="0.25">
      <c r="B16" s="12" t="str">
        <f t="shared" si="0"/>
        <v/>
      </c>
      <c r="C16" s="227">
        <v>90</v>
      </c>
      <c r="D16" s="78">
        <v>95</v>
      </c>
      <c r="E16" s="808">
        <f t="shared" si="1"/>
        <v>0.17</v>
      </c>
      <c r="F16" s="809">
        <f t="shared" si="1"/>
        <v>0.18</v>
      </c>
      <c r="H16" s="807">
        <v>-0.06</v>
      </c>
      <c r="I16" s="1191">
        <v>0.23</v>
      </c>
      <c r="J16" s="807">
        <v>-0.05</v>
      </c>
    </row>
    <row r="17" spans="2:10" x14ac:dyDescent="0.25">
      <c r="B17" s="12" t="str">
        <f t="shared" si="0"/>
        <v/>
      </c>
      <c r="C17" s="26">
        <v>95</v>
      </c>
      <c r="D17" s="2">
        <v>100</v>
      </c>
      <c r="E17" s="808">
        <f t="shared" si="1"/>
        <v>0.16</v>
      </c>
      <c r="F17" s="809">
        <f t="shared" si="1"/>
        <v>0.16999999999999998</v>
      </c>
      <c r="H17" s="807">
        <v>-0.06</v>
      </c>
      <c r="I17" s="1191">
        <v>0.22</v>
      </c>
      <c r="J17" s="807">
        <v>-0.05</v>
      </c>
    </row>
    <row r="18" spans="2:10" x14ac:dyDescent="0.25">
      <c r="B18" s="12" t="str">
        <f t="shared" si="0"/>
        <v/>
      </c>
      <c r="C18" s="26">
        <v>100</v>
      </c>
      <c r="D18" s="2">
        <v>105</v>
      </c>
      <c r="E18" s="808">
        <f t="shared" si="1"/>
        <v>0.15</v>
      </c>
      <c r="F18" s="809">
        <f t="shared" si="1"/>
        <v>0.15999999999999998</v>
      </c>
      <c r="H18" s="807">
        <v>-0.06</v>
      </c>
      <c r="I18" s="1191">
        <v>0.21</v>
      </c>
      <c r="J18" s="807">
        <v>-0.05</v>
      </c>
    </row>
    <row r="19" spans="2:10" x14ac:dyDescent="0.25">
      <c r="B19" s="12" t="str">
        <f t="shared" si="0"/>
        <v/>
      </c>
      <c r="C19" s="26">
        <v>105</v>
      </c>
      <c r="D19" s="2">
        <v>110</v>
      </c>
      <c r="E19" s="808">
        <f t="shared" si="1"/>
        <v>0.14499999999999999</v>
      </c>
      <c r="F19" s="809">
        <f t="shared" si="1"/>
        <v>0.15499999999999997</v>
      </c>
      <c r="H19" s="807">
        <v>-0.06</v>
      </c>
      <c r="I19" s="1191">
        <v>0.20499999999999999</v>
      </c>
      <c r="J19" s="807">
        <v>-0.05</v>
      </c>
    </row>
    <row r="20" spans="2:10" x14ac:dyDescent="0.25">
      <c r="B20" s="12" t="str">
        <f t="shared" si="0"/>
        <v/>
      </c>
      <c r="C20" s="26">
        <v>110</v>
      </c>
      <c r="D20" s="2">
        <v>115</v>
      </c>
      <c r="E20" s="808">
        <f t="shared" si="1"/>
        <v>0.14000000000000001</v>
      </c>
      <c r="F20" s="809">
        <f t="shared" si="1"/>
        <v>0.15000000000000002</v>
      </c>
      <c r="H20" s="807">
        <v>-0.06</v>
      </c>
      <c r="I20" s="1191">
        <v>0.2</v>
      </c>
      <c r="J20" s="807">
        <v>-0.05</v>
      </c>
    </row>
    <row r="21" spans="2:10" x14ac:dyDescent="0.25">
      <c r="B21" s="12" t="str">
        <f t="shared" si="0"/>
        <v/>
      </c>
      <c r="C21" s="26">
        <v>115</v>
      </c>
      <c r="D21" s="2">
        <v>120</v>
      </c>
      <c r="E21" s="808">
        <f t="shared" si="1"/>
        <v>0.13500000000000001</v>
      </c>
      <c r="F21" s="809">
        <f t="shared" si="1"/>
        <v>0.14500000000000002</v>
      </c>
      <c r="H21" s="807">
        <v>-0.06</v>
      </c>
      <c r="I21" s="1191">
        <v>0.19500000000000001</v>
      </c>
      <c r="J21" s="807">
        <v>-0.05</v>
      </c>
    </row>
    <row r="22" spans="2:10" x14ac:dyDescent="0.25">
      <c r="B22" s="12" t="str">
        <f t="shared" si="0"/>
        <v/>
      </c>
      <c r="C22" s="26">
        <v>120</v>
      </c>
      <c r="D22" s="2">
        <v>130</v>
      </c>
      <c r="E22" s="808">
        <f t="shared" si="1"/>
        <v>0.13</v>
      </c>
      <c r="F22" s="809">
        <f t="shared" si="1"/>
        <v>0.14000000000000001</v>
      </c>
      <c r="H22" s="807">
        <v>-0.06</v>
      </c>
      <c r="I22" s="1191">
        <v>0.19</v>
      </c>
      <c r="J22" s="807">
        <v>-0.05</v>
      </c>
    </row>
    <row r="23" spans="2:10" x14ac:dyDescent="0.25">
      <c r="B23" s="12" t="str">
        <f t="shared" si="0"/>
        <v/>
      </c>
      <c r="C23" s="26">
        <v>130</v>
      </c>
      <c r="D23" s="2">
        <v>140</v>
      </c>
      <c r="E23" s="808">
        <f t="shared" si="1"/>
        <v>0.125</v>
      </c>
      <c r="F23" s="809">
        <f t="shared" si="1"/>
        <v>0.13500000000000001</v>
      </c>
      <c r="H23" s="807">
        <v>-0.06</v>
      </c>
      <c r="I23" s="1191">
        <v>0.185</v>
      </c>
      <c r="J23" s="807">
        <v>-0.05</v>
      </c>
    </row>
    <row r="24" spans="2:10" x14ac:dyDescent="0.25">
      <c r="B24" s="12" t="str">
        <f t="shared" si="0"/>
        <v/>
      </c>
      <c r="C24" s="26">
        <v>140</v>
      </c>
      <c r="D24" s="2">
        <v>150</v>
      </c>
      <c r="E24" s="808">
        <f t="shared" si="1"/>
        <v>0.12</v>
      </c>
      <c r="F24" s="809">
        <f t="shared" si="1"/>
        <v>0.13</v>
      </c>
      <c r="H24" s="807">
        <v>-0.06</v>
      </c>
      <c r="I24" s="1191">
        <v>0.18</v>
      </c>
      <c r="J24" s="807">
        <v>-0.05</v>
      </c>
    </row>
    <row r="25" spans="2:10" x14ac:dyDescent="0.25">
      <c r="B25" s="12" t="str">
        <f t="shared" si="0"/>
        <v/>
      </c>
      <c r="C25" s="26">
        <v>150</v>
      </c>
      <c r="D25" s="2">
        <v>160</v>
      </c>
      <c r="E25" s="808">
        <f t="shared" si="1"/>
        <v>0.11499999999999999</v>
      </c>
      <c r="F25" s="809">
        <f t="shared" si="1"/>
        <v>0.12499999999999999</v>
      </c>
      <c r="H25" s="807">
        <v>-0.06</v>
      </c>
      <c r="I25" s="1191">
        <v>0.17499999999999999</v>
      </c>
      <c r="J25" s="807">
        <v>-0.05</v>
      </c>
    </row>
    <row r="26" spans="2:10" x14ac:dyDescent="0.25">
      <c r="B26" s="12" t="str">
        <f t="shared" si="0"/>
        <v/>
      </c>
      <c r="C26" s="26">
        <v>160</v>
      </c>
      <c r="D26" s="2">
        <v>170</v>
      </c>
      <c r="E26" s="808">
        <f t="shared" si="1"/>
        <v>0.11000000000000001</v>
      </c>
      <c r="F26" s="809">
        <f t="shared" si="1"/>
        <v>0.12000000000000001</v>
      </c>
      <c r="H26" s="807">
        <v>-0.06</v>
      </c>
      <c r="I26" s="1191">
        <v>0.17</v>
      </c>
      <c r="J26" s="807">
        <v>-0.05</v>
      </c>
    </row>
    <row r="27" spans="2:10" x14ac:dyDescent="0.25">
      <c r="B27" s="12" t="str">
        <f t="shared" si="0"/>
        <v/>
      </c>
      <c r="C27" s="26">
        <v>170</v>
      </c>
      <c r="D27" s="2">
        <v>180</v>
      </c>
      <c r="E27" s="808">
        <f t="shared" si="1"/>
        <v>0.10500000000000001</v>
      </c>
      <c r="F27" s="809">
        <f t="shared" si="1"/>
        <v>0.115</v>
      </c>
      <c r="H27" s="807">
        <v>-0.06</v>
      </c>
      <c r="I27" s="1191">
        <v>0.16500000000000001</v>
      </c>
      <c r="J27" s="807">
        <v>-0.05</v>
      </c>
    </row>
    <row r="28" spans="2:10" x14ac:dyDescent="0.25">
      <c r="B28" s="12" t="str">
        <f t="shared" si="0"/>
        <v/>
      </c>
      <c r="C28" s="26">
        <v>180</v>
      </c>
      <c r="D28" s="2">
        <v>190</v>
      </c>
      <c r="E28" s="808">
        <f t="shared" si="1"/>
        <v>0.1</v>
      </c>
      <c r="F28" s="809">
        <f t="shared" si="1"/>
        <v>0.11</v>
      </c>
      <c r="H28" s="807">
        <v>-0.06</v>
      </c>
      <c r="I28" s="1191">
        <v>0.16</v>
      </c>
      <c r="J28" s="807">
        <v>-0.05</v>
      </c>
    </row>
    <row r="29" spans="2:10" x14ac:dyDescent="0.25">
      <c r="B29" s="12" t="str">
        <f t="shared" si="0"/>
        <v/>
      </c>
      <c r="C29" s="26">
        <v>190</v>
      </c>
      <c r="D29" s="2">
        <v>200</v>
      </c>
      <c r="E29" s="808">
        <f t="shared" si="1"/>
        <v>9.5000000000000001E-2</v>
      </c>
      <c r="F29" s="809">
        <f t="shared" si="1"/>
        <v>0.105</v>
      </c>
      <c r="H29" s="807">
        <v>-0.06</v>
      </c>
      <c r="I29" s="1191">
        <v>0.155</v>
      </c>
      <c r="J29" s="807">
        <v>-0.05</v>
      </c>
    </row>
    <row r="30" spans="2:10" x14ac:dyDescent="0.25">
      <c r="B30" s="12" t="str">
        <f t="shared" si="0"/>
        <v/>
      </c>
      <c r="C30" s="26">
        <v>200</v>
      </c>
      <c r="D30" s="2">
        <v>220</v>
      </c>
      <c r="E30" s="808">
        <f t="shared" si="1"/>
        <v>0.09</v>
      </c>
      <c r="F30" s="809">
        <f t="shared" si="1"/>
        <v>9.9999999999999992E-2</v>
      </c>
      <c r="H30" s="807">
        <v>-0.06</v>
      </c>
      <c r="I30" s="1190">
        <v>0.15</v>
      </c>
      <c r="J30" s="807">
        <v>-0.05</v>
      </c>
    </row>
    <row r="31" spans="2:10" x14ac:dyDescent="0.25">
      <c r="B31" s="12" t="str">
        <f t="shared" si="0"/>
        <v/>
      </c>
      <c r="C31" s="26">
        <v>220</v>
      </c>
      <c r="D31" s="2">
        <v>240</v>
      </c>
      <c r="E31" s="808">
        <f t="shared" si="1"/>
        <v>8.4999999999999992E-2</v>
      </c>
      <c r="F31" s="809">
        <f t="shared" si="1"/>
        <v>9.4999999999999987E-2</v>
      </c>
      <c r="H31" s="807">
        <v>-0.06</v>
      </c>
      <c r="I31" s="1191">
        <v>0.14499999999999999</v>
      </c>
      <c r="J31" s="807">
        <v>-0.05</v>
      </c>
    </row>
    <row r="32" spans="2:10" x14ac:dyDescent="0.25">
      <c r="B32" s="12" t="str">
        <f t="shared" si="0"/>
        <v/>
      </c>
      <c r="C32" s="26">
        <v>240</v>
      </c>
      <c r="D32" s="2">
        <v>260</v>
      </c>
      <c r="E32" s="808">
        <f t="shared" si="1"/>
        <v>8.0000000000000016E-2</v>
      </c>
      <c r="F32" s="809">
        <f t="shared" si="1"/>
        <v>9.0000000000000011E-2</v>
      </c>
      <c r="H32" s="807">
        <v>-0.06</v>
      </c>
      <c r="I32" s="1191">
        <v>0.14000000000000001</v>
      </c>
      <c r="J32" s="807">
        <v>-0.05</v>
      </c>
    </row>
    <row r="33" spans="2:10" x14ac:dyDescent="0.25">
      <c r="B33" s="12" t="str">
        <f t="shared" si="0"/>
        <v/>
      </c>
      <c r="C33" s="26">
        <v>260</v>
      </c>
      <c r="D33" s="2">
        <v>280</v>
      </c>
      <c r="E33" s="808">
        <f t="shared" si="1"/>
        <v>7.5000000000000011E-2</v>
      </c>
      <c r="F33" s="809">
        <f t="shared" si="1"/>
        <v>8.5000000000000006E-2</v>
      </c>
      <c r="H33" s="807">
        <v>-0.06</v>
      </c>
      <c r="I33" s="1191">
        <v>0.13500000000000001</v>
      </c>
      <c r="J33" s="807">
        <v>-0.05</v>
      </c>
    </row>
    <row r="34" spans="2:10" x14ac:dyDescent="0.25">
      <c r="B34" s="12" t="str">
        <f t="shared" si="0"/>
        <v/>
      </c>
      <c r="C34" s="26">
        <v>280</v>
      </c>
      <c r="D34" s="2">
        <v>300</v>
      </c>
      <c r="E34" s="808">
        <f t="shared" si="1"/>
        <v>7.0000000000000007E-2</v>
      </c>
      <c r="F34" s="809">
        <f t="shared" si="1"/>
        <v>0.08</v>
      </c>
      <c r="H34" s="807">
        <v>-0.06</v>
      </c>
      <c r="I34" s="1191">
        <v>0.13</v>
      </c>
      <c r="J34" s="807">
        <v>-0.05</v>
      </c>
    </row>
    <row r="35" spans="2:10" x14ac:dyDescent="0.25">
      <c r="B35" s="12" t="str">
        <f t="shared" si="0"/>
        <v/>
      </c>
      <c r="C35" s="26">
        <v>300</v>
      </c>
      <c r="D35" s="2">
        <v>325</v>
      </c>
      <c r="E35" s="808">
        <f t="shared" si="1"/>
        <v>6.9500000000000006E-2</v>
      </c>
      <c r="F35" s="809">
        <f t="shared" si="1"/>
        <v>7.9500000000000001E-2</v>
      </c>
      <c r="H35" s="807">
        <v>-0.06</v>
      </c>
      <c r="I35" s="1191">
        <v>0.1295</v>
      </c>
      <c r="J35" s="807">
        <v>-0.05</v>
      </c>
    </row>
    <row r="36" spans="2:10" x14ac:dyDescent="0.25">
      <c r="B36" s="12" t="str">
        <f t="shared" si="0"/>
        <v/>
      </c>
      <c r="C36" s="26">
        <v>325</v>
      </c>
      <c r="D36" s="2">
        <v>350</v>
      </c>
      <c r="E36" s="808">
        <f t="shared" si="1"/>
        <v>6.9000000000000006E-2</v>
      </c>
      <c r="F36" s="809">
        <f t="shared" si="1"/>
        <v>7.9000000000000001E-2</v>
      </c>
      <c r="H36" s="807">
        <v>-0.06</v>
      </c>
      <c r="I36" s="1191">
        <v>0.129</v>
      </c>
      <c r="J36" s="807">
        <v>-0.05</v>
      </c>
    </row>
    <row r="37" spans="2:10" x14ac:dyDescent="0.25">
      <c r="B37" s="12" t="str">
        <f t="shared" si="0"/>
        <v/>
      </c>
      <c r="C37" s="26">
        <v>350</v>
      </c>
      <c r="D37" s="2">
        <v>400</v>
      </c>
      <c r="E37" s="808">
        <f t="shared" si="1"/>
        <v>6.8500000000000005E-2</v>
      </c>
      <c r="F37" s="809">
        <f t="shared" si="1"/>
        <v>7.85E-2</v>
      </c>
      <c r="H37" s="807">
        <v>-0.06</v>
      </c>
      <c r="I37" s="1191">
        <v>0.1285</v>
      </c>
      <c r="J37" s="807">
        <v>-0.05</v>
      </c>
    </row>
    <row r="38" spans="2:10" x14ac:dyDescent="0.25">
      <c r="B38" s="12" t="str">
        <f t="shared" si="0"/>
        <v/>
      </c>
      <c r="C38" s="26">
        <v>400</v>
      </c>
      <c r="D38" s="2">
        <v>450</v>
      </c>
      <c r="E38" s="808">
        <f t="shared" si="1"/>
        <v>6.8000000000000005E-2</v>
      </c>
      <c r="F38" s="809">
        <f t="shared" si="1"/>
        <v>7.8E-2</v>
      </c>
      <c r="H38" s="807">
        <v>-0.06</v>
      </c>
      <c r="I38" s="1192">
        <v>0.128</v>
      </c>
      <c r="J38" s="807">
        <v>-0.05</v>
      </c>
    </row>
    <row r="39" spans="2:10" x14ac:dyDescent="0.25">
      <c r="B39" s="12" t="str">
        <f t="shared" si="0"/>
        <v/>
      </c>
      <c r="C39" s="26">
        <v>450</v>
      </c>
      <c r="D39" s="2">
        <v>500</v>
      </c>
      <c r="E39" s="808">
        <f t="shared" ref="E39:F65" si="2">I39+H39</f>
        <v>6.7500000000000004E-2</v>
      </c>
      <c r="F39" s="809">
        <f t="shared" si="2"/>
        <v>7.7499999999999999E-2</v>
      </c>
      <c r="H39" s="807">
        <v>-0.06</v>
      </c>
      <c r="I39" s="1191">
        <v>0.1275</v>
      </c>
      <c r="J39" s="807">
        <v>-0.05</v>
      </c>
    </row>
    <row r="40" spans="2:10" x14ac:dyDescent="0.25">
      <c r="B40" s="12">
        <f t="shared" si="0"/>
        <v>1</v>
      </c>
      <c r="C40" s="26">
        <v>500</v>
      </c>
      <c r="D40" s="2">
        <v>550</v>
      </c>
      <c r="E40" s="808">
        <f t="shared" si="2"/>
        <v>6.7000000000000004E-2</v>
      </c>
      <c r="F40" s="809">
        <f t="shared" si="2"/>
        <v>7.6999999999999999E-2</v>
      </c>
      <c r="H40" s="807">
        <v>-0.06</v>
      </c>
      <c r="I40" s="1191">
        <v>0.127</v>
      </c>
      <c r="J40" s="807">
        <v>-0.05</v>
      </c>
    </row>
    <row r="41" spans="2:10" x14ac:dyDescent="0.25">
      <c r="B41" s="12" t="str">
        <f t="shared" si="0"/>
        <v/>
      </c>
      <c r="C41" s="26">
        <v>550</v>
      </c>
      <c r="D41" s="2">
        <v>600</v>
      </c>
      <c r="E41" s="808">
        <f t="shared" si="2"/>
        <v>6.6500000000000004E-2</v>
      </c>
      <c r="F41" s="809">
        <f t="shared" si="2"/>
        <v>7.6499999999999999E-2</v>
      </c>
      <c r="H41" s="807">
        <v>-0.06</v>
      </c>
      <c r="I41" s="1191">
        <v>0.1265</v>
      </c>
      <c r="J41" s="807">
        <v>-0.05</v>
      </c>
    </row>
    <row r="42" spans="2:10" x14ac:dyDescent="0.25">
      <c r="B42" s="12" t="str">
        <f t="shared" si="0"/>
        <v/>
      </c>
      <c r="C42" s="26">
        <v>600</v>
      </c>
      <c r="D42" s="2">
        <v>650</v>
      </c>
      <c r="E42" s="808">
        <f t="shared" si="2"/>
        <v>6.6000000000000003E-2</v>
      </c>
      <c r="F42" s="809">
        <f t="shared" si="2"/>
        <v>7.5999999999999998E-2</v>
      </c>
      <c r="H42" s="807">
        <v>-0.06</v>
      </c>
      <c r="I42" s="1191">
        <v>0.126</v>
      </c>
      <c r="J42" s="807">
        <v>-0.05</v>
      </c>
    </row>
    <row r="43" spans="2:10" x14ac:dyDescent="0.25">
      <c r="B43" s="12" t="str">
        <f t="shared" si="0"/>
        <v/>
      </c>
      <c r="C43" s="26">
        <v>650</v>
      </c>
      <c r="D43" s="2">
        <v>700</v>
      </c>
      <c r="E43" s="808">
        <f t="shared" si="2"/>
        <v>6.5500000000000003E-2</v>
      </c>
      <c r="F43" s="809">
        <f t="shared" si="2"/>
        <v>7.5499999999999998E-2</v>
      </c>
      <c r="H43" s="807">
        <v>-0.06</v>
      </c>
      <c r="I43" s="1191">
        <v>0.1255</v>
      </c>
      <c r="J43" s="807">
        <v>-0.05</v>
      </c>
    </row>
    <row r="44" spans="2:10" x14ac:dyDescent="0.25">
      <c r="B44" s="12" t="str">
        <f t="shared" si="0"/>
        <v/>
      </c>
      <c r="C44" s="26">
        <v>700</v>
      </c>
      <c r="D44" s="2">
        <v>750</v>
      </c>
      <c r="E44" s="808">
        <f t="shared" si="2"/>
        <v>6.5000000000000002E-2</v>
      </c>
      <c r="F44" s="809">
        <f t="shared" si="2"/>
        <v>7.4999999999999997E-2</v>
      </c>
      <c r="H44" s="807">
        <v>-0.06</v>
      </c>
      <c r="I44" s="1191">
        <v>0.125</v>
      </c>
      <c r="J44" s="807">
        <v>-0.05</v>
      </c>
    </row>
    <row r="45" spans="2:10" x14ac:dyDescent="0.25">
      <c r="B45" s="12" t="str">
        <f t="shared" si="0"/>
        <v/>
      </c>
      <c r="C45" s="26">
        <v>750</v>
      </c>
      <c r="D45" s="2">
        <v>800</v>
      </c>
      <c r="E45" s="808">
        <f t="shared" si="2"/>
        <v>6.4500000000000002E-2</v>
      </c>
      <c r="F45" s="809">
        <f t="shared" si="2"/>
        <v>7.4499999999999997E-2</v>
      </c>
      <c r="H45" s="807">
        <v>-0.06</v>
      </c>
      <c r="I45" s="1191">
        <v>0.1245</v>
      </c>
      <c r="J45" s="807">
        <v>-0.05</v>
      </c>
    </row>
    <row r="46" spans="2:10" x14ac:dyDescent="0.25">
      <c r="B46" s="12" t="str">
        <f t="shared" si="0"/>
        <v/>
      </c>
      <c r="C46" s="26">
        <v>800</v>
      </c>
      <c r="D46" s="2">
        <v>850</v>
      </c>
      <c r="E46" s="808">
        <f t="shared" si="2"/>
        <v>6.3500000000000001E-2</v>
      </c>
      <c r="F46" s="809">
        <f t="shared" si="2"/>
        <v>7.3499999999999996E-2</v>
      </c>
      <c r="H46" s="807">
        <v>-0.06</v>
      </c>
      <c r="I46" s="1191">
        <v>0.1235</v>
      </c>
      <c r="J46" s="807">
        <v>-0.05</v>
      </c>
    </row>
    <row r="47" spans="2:10" x14ac:dyDescent="0.25">
      <c r="B47" s="12" t="str">
        <f t="shared" si="0"/>
        <v/>
      </c>
      <c r="C47" s="26">
        <v>850</v>
      </c>
      <c r="D47" s="2">
        <v>900</v>
      </c>
      <c r="E47" s="808">
        <f t="shared" si="2"/>
        <v>6.25E-2</v>
      </c>
      <c r="F47" s="809">
        <f t="shared" si="2"/>
        <v>7.2499999999999995E-2</v>
      </c>
      <c r="H47" s="807">
        <v>-0.06</v>
      </c>
      <c r="I47" s="1191">
        <v>0.1225</v>
      </c>
      <c r="J47" s="807">
        <v>-0.05</v>
      </c>
    </row>
    <row r="48" spans="2:10" x14ac:dyDescent="0.25">
      <c r="B48" s="12" t="str">
        <f t="shared" si="0"/>
        <v/>
      </c>
      <c r="C48" s="26">
        <v>900</v>
      </c>
      <c r="D48" s="2">
        <v>950</v>
      </c>
      <c r="E48" s="808">
        <f t="shared" si="2"/>
        <v>6.1700000000000005E-2</v>
      </c>
      <c r="F48" s="809">
        <f t="shared" si="2"/>
        <v>7.17E-2</v>
      </c>
      <c r="H48" s="807">
        <v>-0.06</v>
      </c>
      <c r="I48" s="1191">
        <v>0.1217</v>
      </c>
      <c r="J48" s="807">
        <v>-0.05</v>
      </c>
    </row>
    <row r="49" spans="2:10" x14ac:dyDescent="0.25">
      <c r="B49" s="12" t="str">
        <f t="shared" si="0"/>
        <v/>
      </c>
      <c r="C49" s="26">
        <v>950</v>
      </c>
      <c r="D49" s="2">
        <v>1000</v>
      </c>
      <c r="E49" s="808">
        <f t="shared" si="2"/>
        <v>6.0800000000000007E-2</v>
      </c>
      <c r="F49" s="809">
        <f t="shared" si="2"/>
        <v>7.0800000000000002E-2</v>
      </c>
      <c r="H49" s="807">
        <v>-0.06</v>
      </c>
      <c r="I49" s="1191">
        <v>0.1208</v>
      </c>
      <c r="J49" s="807">
        <v>-0.05</v>
      </c>
    </row>
    <row r="50" spans="2:10" x14ac:dyDescent="0.25">
      <c r="B50" s="12" t="str">
        <f t="shared" si="0"/>
        <v/>
      </c>
      <c r="C50" s="26">
        <v>1000</v>
      </c>
      <c r="D50" s="2">
        <v>1200</v>
      </c>
      <c r="E50" s="808">
        <f t="shared" si="2"/>
        <v>0.06</v>
      </c>
      <c r="F50" s="809">
        <f t="shared" si="2"/>
        <v>6.9999999999999993E-2</v>
      </c>
      <c r="H50" s="807">
        <v>-0.06</v>
      </c>
      <c r="I50" s="1190">
        <v>0.12</v>
      </c>
      <c r="J50" s="807">
        <v>-0.05</v>
      </c>
    </row>
    <row r="51" spans="2:10" x14ac:dyDescent="0.25">
      <c r="B51" s="12" t="str">
        <f t="shared" si="0"/>
        <v/>
      </c>
      <c r="C51" s="26">
        <v>1200</v>
      </c>
      <c r="D51" s="2">
        <v>1400</v>
      </c>
      <c r="E51" s="808">
        <f t="shared" si="2"/>
        <v>5.8900000000000008E-2</v>
      </c>
      <c r="F51" s="809">
        <f t="shared" si="2"/>
        <v>6.8900000000000003E-2</v>
      </c>
      <c r="H51" s="807">
        <v>-0.06</v>
      </c>
      <c r="I51" s="1191">
        <v>0.11890000000000001</v>
      </c>
      <c r="J51" s="807">
        <v>-0.05</v>
      </c>
    </row>
    <row r="52" spans="2:10" x14ac:dyDescent="0.25">
      <c r="B52" s="12" t="str">
        <f t="shared" si="0"/>
        <v/>
      </c>
      <c r="C52" s="26">
        <v>1400</v>
      </c>
      <c r="D52" s="2">
        <v>1600</v>
      </c>
      <c r="E52" s="808">
        <f t="shared" si="2"/>
        <v>5.7499999999999996E-2</v>
      </c>
      <c r="F52" s="809">
        <f t="shared" si="2"/>
        <v>6.7499999999999991E-2</v>
      </c>
      <c r="H52" s="807">
        <v>-0.06</v>
      </c>
      <c r="I52" s="1191">
        <v>0.11749999999999999</v>
      </c>
      <c r="J52" s="807">
        <v>-0.05</v>
      </c>
    </row>
    <row r="53" spans="2:10" x14ac:dyDescent="0.25">
      <c r="B53" s="12" t="str">
        <f t="shared" si="0"/>
        <v/>
      </c>
      <c r="C53" s="26">
        <v>1600</v>
      </c>
      <c r="D53" s="2">
        <v>1800</v>
      </c>
      <c r="E53" s="808">
        <f t="shared" si="2"/>
        <v>5.6400000000000006E-2</v>
      </c>
      <c r="F53" s="809">
        <f t="shared" si="2"/>
        <v>6.6400000000000001E-2</v>
      </c>
      <c r="H53" s="807">
        <v>-0.06</v>
      </c>
      <c r="I53" s="1191">
        <v>0.1164</v>
      </c>
      <c r="J53" s="807">
        <v>-0.05</v>
      </c>
    </row>
    <row r="54" spans="2:10" x14ac:dyDescent="0.25">
      <c r="B54" s="12" t="str">
        <f t="shared" si="0"/>
        <v/>
      </c>
      <c r="C54" s="26">
        <v>1800</v>
      </c>
      <c r="D54" s="2">
        <v>2000</v>
      </c>
      <c r="E54" s="808">
        <f t="shared" si="2"/>
        <v>5.5000000000000007E-2</v>
      </c>
      <c r="F54" s="809">
        <f t="shared" si="2"/>
        <v>6.5000000000000002E-2</v>
      </c>
      <c r="H54" s="807">
        <v>-0.06</v>
      </c>
      <c r="I54" s="1192">
        <v>0.115</v>
      </c>
      <c r="J54" s="807">
        <v>-0.05</v>
      </c>
    </row>
    <row r="55" spans="2:10" x14ac:dyDescent="0.25">
      <c r="B55" s="12" t="str">
        <f t="shared" si="0"/>
        <v/>
      </c>
      <c r="C55" s="26">
        <v>2000</v>
      </c>
      <c r="D55" s="2">
        <v>2250</v>
      </c>
      <c r="E55" s="808">
        <f t="shared" si="2"/>
        <v>5.3699999999999998E-2</v>
      </c>
      <c r="F55" s="809">
        <f t="shared" si="2"/>
        <v>6.3699999999999993E-2</v>
      </c>
      <c r="H55" s="807">
        <v>-0.06</v>
      </c>
      <c r="I55" s="1190">
        <v>0.1137</v>
      </c>
      <c r="J55" s="807">
        <v>-0.05</v>
      </c>
    </row>
    <row r="56" spans="2:10" x14ac:dyDescent="0.25">
      <c r="B56" s="12" t="str">
        <f t="shared" si="0"/>
        <v/>
      </c>
      <c r="C56" s="26">
        <v>2250</v>
      </c>
      <c r="D56" s="2">
        <v>2500</v>
      </c>
      <c r="E56" s="808">
        <f t="shared" si="2"/>
        <v>5.2500000000000005E-2</v>
      </c>
      <c r="F56" s="809">
        <f t="shared" si="2"/>
        <v>6.25E-2</v>
      </c>
      <c r="H56" s="807">
        <v>-0.06</v>
      </c>
      <c r="I56" s="1191">
        <v>0.1125</v>
      </c>
      <c r="J56" s="807">
        <v>-0.05</v>
      </c>
    </row>
    <row r="57" spans="2:10" x14ac:dyDescent="0.25">
      <c r="B57" s="12" t="str">
        <f t="shared" si="0"/>
        <v/>
      </c>
      <c r="C57" s="26">
        <v>2500</v>
      </c>
      <c r="D57" s="2">
        <v>2750</v>
      </c>
      <c r="E57" s="808">
        <f t="shared" si="2"/>
        <v>5.1299999999999998E-2</v>
      </c>
      <c r="F57" s="809">
        <f t="shared" si="2"/>
        <v>6.1299999999999993E-2</v>
      </c>
      <c r="H57" s="807">
        <v>-0.06</v>
      </c>
      <c r="I57" s="1191">
        <v>0.1113</v>
      </c>
      <c r="J57" s="807">
        <v>-0.05</v>
      </c>
    </row>
    <row r="58" spans="2:10" x14ac:dyDescent="0.25">
      <c r="B58" s="12" t="str">
        <f t="shared" si="0"/>
        <v/>
      </c>
      <c r="C58" s="26">
        <v>2750</v>
      </c>
      <c r="D58" s="2">
        <v>3000</v>
      </c>
      <c r="E58" s="808">
        <f t="shared" si="2"/>
        <v>0.05</v>
      </c>
      <c r="F58" s="809">
        <f t="shared" si="2"/>
        <v>0.06</v>
      </c>
      <c r="H58" s="807">
        <v>-0.06</v>
      </c>
      <c r="I58" s="1191">
        <v>0.11</v>
      </c>
      <c r="J58" s="807">
        <v>-0.05</v>
      </c>
    </row>
    <row r="59" spans="2:10" x14ac:dyDescent="0.25">
      <c r="B59" s="12" t="str">
        <f t="shared" si="0"/>
        <v/>
      </c>
      <c r="C59" s="26">
        <v>3000</v>
      </c>
      <c r="D59" s="2">
        <v>3500</v>
      </c>
      <c r="E59" s="808">
        <f t="shared" si="2"/>
        <v>4.4999999999999998E-2</v>
      </c>
      <c r="F59" s="809">
        <f t="shared" si="2"/>
        <v>5.4999999999999993E-2</v>
      </c>
      <c r="H59" s="807">
        <v>-0.06</v>
      </c>
      <c r="I59" s="1191">
        <v>0.105</v>
      </c>
      <c r="J59" s="807">
        <v>-0.05</v>
      </c>
    </row>
    <row r="60" spans="2:10" x14ac:dyDescent="0.25">
      <c r="B60" s="12" t="str">
        <f t="shared" si="0"/>
        <v/>
      </c>
      <c r="C60" s="26">
        <v>3500</v>
      </c>
      <c r="D60" s="2">
        <v>4000</v>
      </c>
      <c r="E60" s="808">
        <f t="shared" si="2"/>
        <v>4.0000000000000008E-2</v>
      </c>
      <c r="F60" s="809">
        <f t="shared" si="2"/>
        <v>0.05</v>
      </c>
      <c r="H60" s="807">
        <v>-0.06</v>
      </c>
      <c r="I60" s="1192">
        <v>0.1</v>
      </c>
      <c r="J60" s="807">
        <v>-0.05</v>
      </c>
    </row>
    <row r="61" spans="2:10" x14ac:dyDescent="0.25">
      <c r="B61" s="12" t="str">
        <f t="shared" si="0"/>
        <v/>
      </c>
      <c r="C61" s="26">
        <v>4000</v>
      </c>
      <c r="D61" s="2">
        <v>5000</v>
      </c>
      <c r="E61" s="808">
        <f t="shared" si="2"/>
        <v>3.8000000000000006E-2</v>
      </c>
      <c r="F61" s="809">
        <f t="shared" si="2"/>
        <v>4.8000000000000001E-2</v>
      </c>
      <c r="H61" s="807">
        <v>-0.06</v>
      </c>
      <c r="I61" s="1191">
        <v>9.8000000000000004E-2</v>
      </c>
      <c r="J61" s="807">
        <v>-0.05</v>
      </c>
    </row>
    <row r="62" spans="2:10" x14ac:dyDescent="0.25">
      <c r="B62" s="12" t="str">
        <f t="shared" si="0"/>
        <v/>
      </c>
      <c r="C62" s="26">
        <v>5000</v>
      </c>
      <c r="D62" s="2">
        <v>6000</v>
      </c>
      <c r="E62" s="808">
        <f t="shared" si="2"/>
        <v>3.6000000000000004E-2</v>
      </c>
      <c r="F62" s="809">
        <f t="shared" si="2"/>
        <v>4.5999999999999999E-2</v>
      </c>
      <c r="H62" s="807">
        <v>-0.06</v>
      </c>
      <c r="I62" s="1191">
        <v>9.6000000000000002E-2</v>
      </c>
      <c r="J62" s="807">
        <v>-0.05</v>
      </c>
    </row>
    <row r="63" spans="2:10" x14ac:dyDescent="0.25">
      <c r="B63" s="12" t="str">
        <f t="shared" si="0"/>
        <v/>
      </c>
      <c r="C63" s="26">
        <v>6000</v>
      </c>
      <c r="D63" s="2">
        <v>7000</v>
      </c>
      <c r="E63" s="808">
        <f t="shared" si="2"/>
        <v>3.4000000000000002E-2</v>
      </c>
      <c r="F63" s="809">
        <f t="shared" si="2"/>
        <v>4.3999999999999997E-2</v>
      </c>
      <c r="H63" s="807">
        <v>-0.06</v>
      </c>
      <c r="I63" s="1191">
        <v>9.4E-2</v>
      </c>
      <c r="J63" s="807">
        <v>-0.05</v>
      </c>
    </row>
    <row r="64" spans="2:10" x14ac:dyDescent="0.25">
      <c r="B64" s="12" t="str">
        <f t="shared" si="0"/>
        <v/>
      </c>
      <c r="C64" s="26">
        <v>7000</v>
      </c>
      <c r="D64" s="2">
        <v>8000</v>
      </c>
      <c r="E64" s="808">
        <f t="shared" si="2"/>
        <v>3.2000000000000001E-2</v>
      </c>
      <c r="F64" s="809">
        <f t="shared" si="2"/>
        <v>4.1999999999999996E-2</v>
      </c>
      <c r="H64" s="807">
        <v>-0.06</v>
      </c>
      <c r="I64" s="1191">
        <v>9.1999999999999998E-2</v>
      </c>
      <c r="J64" s="807">
        <v>-0.05</v>
      </c>
    </row>
    <row r="65" spans="2:15" x14ac:dyDescent="0.25">
      <c r="B65" s="13" t="str">
        <f t="shared" si="0"/>
        <v/>
      </c>
      <c r="C65" s="432">
        <v>8000</v>
      </c>
      <c r="D65" s="343">
        <v>1000000</v>
      </c>
      <c r="E65" s="812">
        <f t="shared" si="2"/>
        <v>0.03</v>
      </c>
      <c r="F65" s="804">
        <f t="shared" si="2"/>
        <v>3.9999999999999994E-2</v>
      </c>
      <c r="H65" s="807">
        <v>-0.06</v>
      </c>
      <c r="I65" s="1192">
        <v>0.09</v>
      </c>
      <c r="J65" s="807">
        <v>-0.05</v>
      </c>
    </row>
    <row r="66" spans="2:15" x14ac:dyDescent="0.25">
      <c r="B66" s="213"/>
      <c r="C66" s="43"/>
      <c r="D66" s="43"/>
      <c r="E66" s="621">
        <f>VLOOKUP(1,B6:F65,4,FALSE)</f>
        <v>6.7000000000000004E-2</v>
      </c>
      <c r="F66" s="621">
        <f>VLOOKUP(1,B6:F65,5,FALSE)</f>
        <v>7.6999999999999999E-2</v>
      </c>
    </row>
    <row r="68" spans="2:15" ht="15.75" thickBot="1" x14ac:dyDescent="0.3">
      <c r="E68" s="2" t="s">
        <v>886</v>
      </c>
      <c r="F68" s="2"/>
      <c r="G68" s="2"/>
      <c r="H68" s="2"/>
    </row>
    <row r="69" spans="2:15" x14ac:dyDescent="0.25">
      <c r="B69" s="213"/>
      <c r="C69" s="472"/>
      <c r="D69" s="514">
        <v>1</v>
      </c>
      <c r="E69" s="473"/>
      <c r="F69" s="473">
        <f>'Rekenblad (2)'!J372</f>
        <v>0</v>
      </c>
      <c r="G69" s="38">
        <f>'Rekenblad (2)'!J373</f>
        <v>0</v>
      </c>
      <c r="H69" s="38">
        <f>H79</f>
        <v>0</v>
      </c>
      <c r="I69" s="473">
        <f>IF(AND('Rekenblad (2)'!C2='Rekenblad (2)'!B50,'Rekenblad (2)'!J365=1),1,IF(AND('Rekenblad (2)'!C2='Rekenblad (2)'!B50,'Rekenblad (2)'!J369=1),1,0))</f>
        <v>0</v>
      </c>
      <c r="J69" s="473">
        <f>C83</f>
        <v>1</v>
      </c>
      <c r="K69" s="208">
        <f>IF(AND('Rekenblad (2)'!F347=1,U93=1,J69=0),1,0)</f>
        <v>0</v>
      </c>
      <c r="L69" s="208">
        <v>0</v>
      </c>
      <c r="M69" s="951">
        <v>0</v>
      </c>
      <c r="N69" s="23">
        <v>0</v>
      </c>
      <c r="O69" s="580"/>
    </row>
    <row r="70" spans="2:15" x14ac:dyDescent="0.25">
      <c r="B70" s="6" t="s">
        <v>674</v>
      </c>
      <c r="C70" s="12" t="s">
        <v>872</v>
      </c>
      <c r="D70" s="25" t="s">
        <v>871</v>
      </c>
      <c r="E70" s="12" t="s">
        <v>871</v>
      </c>
      <c r="F70" s="442" t="s">
        <v>874</v>
      </c>
      <c r="G70" s="442" t="s">
        <v>874</v>
      </c>
      <c r="H70" s="442" t="s">
        <v>875</v>
      </c>
      <c r="I70" s="404" t="s">
        <v>876</v>
      </c>
      <c r="J70" s="7" t="s">
        <v>997</v>
      </c>
      <c r="K70" s="6" t="s">
        <v>1013</v>
      </c>
      <c r="L70" s="6"/>
      <c r="M70" s="41"/>
      <c r="O70" s="819" t="s">
        <v>177</v>
      </c>
    </row>
    <row r="71" spans="2:15" x14ac:dyDescent="0.25">
      <c r="B71" s="415"/>
      <c r="C71" s="52"/>
      <c r="D71" s="436" t="s">
        <v>2</v>
      </c>
      <c r="E71" s="13" t="s">
        <v>873</v>
      </c>
      <c r="F71" s="13" t="s">
        <v>569</v>
      </c>
      <c r="G71" s="13" t="s">
        <v>570</v>
      </c>
      <c r="H71" s="13" t="s">
        <v>63</v>
      </c>
      <c r="I71" s="52" t="s">
        <v>877</v>
      </c>
      <c r="J71" s="7" t="s">
        <v>64</v>
      </c>
      <c r="K71" s="6" t="s">
        <v>64</v>
      </c>
      <c r="L71" s="6"/>
      <c r="M71" s="41"/>
      <c r="O71" s="446" t="s">
        <v>643</v>
      </c>
    </row>
    <row r="72" spans="2:15" x14ac:dyDescent="0.25">
      <c r="B72" s="52"/>
      <c r="C72" s="814">
        <f>IF(SUM(B6:B65)&gt;0,HLOOKUP(1,E3:F66,64,FALSE),0)</f>
        <v>6.7000000000000004E-2</v>
      </c>
      <c r="D72" s="821">
        <f>'Rekenblad (2)'!AU46</f>
        <v>0</v>
      </c>
      <c r="E72" s="815">
        <v>0.03</v>
      </c>
      <c r="F72" s="815">
        <v>0.03</v>
      </c>
      <c r="G72" s="815">
        <v>0.03</v>
      </c>
      <c r="H72" s="815">
        <v>0.1</v>
      </c>
      <c r="I72" s="815">
        <v>0.08</v>
      </c>
      <c r="J72" s="1032">
        <f>D85*H107</f>
        <v>0</v>
      </c>
      <c r="K72" s="1066">
        <f>HLOOKUP(1,Q97:AI100,4,FALSE)</f>
        <v>7.0000000000000007E-2</v>
      </c>
      <c r="L72" s="817"/>
      <c r="M72" s="1035"/>
      <c r="N72" s="1036"/>
      <c r="O72" s="1037"/>
    </row>
    <row r="73" spans="2:15" ht="15.75" thickBot="1" x14ac:dyDescent="0.3">
      <c r="B73" s="813">
        <f>'Rekenblad (2)'!C1085</f>
        <v>520.03547353333329</v>
      </c>
      <c r="C73" s="813">
        <f>B73*C72</f>
        <v>34.842376726733335</v>
      </c>
      <c r="D73" s="816">
        <f>IF(D72&gt;0,D72*B73*D69,0)</f>
        <v>0</v>
      </c>
      <c r="E73" s="816">
        <f>IF(E72&gt;0,E72*B73*E69,0)</f>
        <v>0</v>
      </c>
      <c r="F73" s="816">
        <f>IF(F72&gt;0,F72*B73*F69,0)</f>
        <v>0</v>
      </c>
      <c r="G73" s="816">
        <f>IF(G72&gt;0,G72*B73*G69,0)</f>
        <v>0</v>
      </c>
      <c r="H73" s="816">
        <f>IF(H72&gt;0,H72*B73*H69,0)</f>
        <v>0</v>
      </c>
      <c r="I73" s="816">
        <f>IF(I72&gt;0,I72*B73*I69,0)</f>
        <v>0</v>
      </c>
      <c r="J73" s="816">
        <f>IF(J72&gt;0,J72*B73*J69,0)</f>
        <v>0</v>
      </c>
      <c r="K73" s="818">
        <f>IF(K72&gt;0,K72*B73*K69,0)</f>
        <v>0</v>
      </c>
      <c r="L73" s="818">
        <f>IF(L72&gt;0,L72*B73*L69,0)</f>
        <v>0</v>
      </c>
      <c r="M73" s="818">
        <f>IF(M72&gt;0,M72*B73*M69,0)</f>
        <v>0</v>
      </c>
      <c r="N73" s="818">
        <f>IF(N72&gt;0,N72*B73*N69,0)</f>
        <v>0</v>
      </c>
      <c r="O73" s="1038">
        <f>SUM(C73:N73)</f>
        <v>34.842376726733335</v>
      </c>
    </row>
    <row r="75" spans="2:15" ht="15.75" thickBot="1" x14ac:dyDescent="0.3"/>
    <row r="76" spans="2:15" x14ac:dyDescent="0.25">
      <c r="B76" s="404"/>
      <c r="C76" s="551">
        <f>'Rekenblad (2)'!B228</f>
        <v>361</v>
      </c>
      <c r="D76" s="551">
        <f>'Rekenblad (2)'!C228</f>
        <v>1150</v>
      </c>
      <c r="E76" s="484">
        <v>0</v>
      </c>
      <c r="F76" s="473">
        <f>'Rekenblad (2)'!C7</f>
        <v>250</v>
      </c>
      <c r="G76" s="213"/>
      <c r="H76" s="222"/>
    </row>
    <row r="77" spans="2:15" x14ac:dyDescent="0.25">
      <c r="B77" s="41"/>
      <c r="C77" s="41" t="s">
        <v>880</v>
      </c>
      <c r="D77" s="41" t="s">
        <v>879</v>
      </c>
      <c r="E77" s="12" t="s">
        <v>881</v>
      </c>
      <c r="F77" s="41" t="s">
        <v>883</v>
      </c>
      <c r="G77" s="431" t="s">
        <v>884</v>
      </c>
      <c r="H77" s="224" t="s">
        <v>885</v>
      </c>
    </row>
    <row r="78" spans="2:15" x14ac:dyDescent="0.25">
      <c r="B78" s="52"/>
      <c r="C78" s="34">
        <v>280</v>
      </c>
      <c r="D78" s="34">
        <v>690</v>
      </c>
      <c r="E78" s="13" t="s">
        <v>882</v>
      </c>
      <c r="F78" s="28">
        <v>125</v>
      </c>
      <c r="G78" s="432" t="s">
        <v>63</v>
      </c>
      <c r="H78" s="224" t="s">
        <v>63</v>
      </c>
    </row>
    <row r="79" spans="2:15" ht="15.75" thickBot="1" x14ac:dyDescent="0.3">
      <c r="B79" s="472" t="s">
        <v>878</v>
      </c>
      <c r="C79" s="208">
        <f>IF(C76&lt;C78,1,0)</f>
        <v>0</v>
      </c>
      <c r="D79" s="473">
        <f>IF(D76&lt;D78,1,0)</f>
        <v>0</v>
      </c>
      <c r="E79" s="473">
        <f>IF(SUM(C79:D79)=E76,0,1)</f>
        <v>0</v>
      </c>
      <c r="F79" s="473">
        <f>IF(F76&lt;F78,1,0)</f>
        <v>0</v>
      </c>
      <c r="G79" s="208">
        <f>'Rekenblad (2)'!J367</f>
        <v>0</v>
      </c>
      <c r="H79" s="500">
        <f>IF(AND(G79=1,SUM(E79:F79)&gt;1),1,0)</f>
        <v>0</v>
      </c>
    </row>
    <row r="82" spans="2:36" ht="15.75" thickBot="1" x14ac:dyDescent="0.3">
      <c r="B82" t="s">
        <v>998</v>
      </c>
    </row>
    <row r="83" spans="2:36" ht="15.75" thickBot="1" x14ac:dyDescent="0.3">
      <c r="B83" s="14" t="s">
        <v>1014</v>
      </c>
      <c r="C83" s="3">
        <f>IF(AND('Rekenblad (2)'!F347,'Rekenblad (2)'!AA46=1,SUM(B86:B100)+SUM(E83:N83)=2),1,0)</f>
        <v>1</v>
      </c>
      <c r="D83" s="1029">
        <f>IF(AND(SUM(B86:B100)=1,SUM(E83:N83)=1),HLOOKUP(1,E83:N101,19,FALSE),0)</f>
        <v>0</v>
      </c>
      <c r="E83" s="23" t="str">
        <f>IF(AND($C$85&gt;E84,$C$85&lt;=E85),1," ")</f>
        <v xml:space="preserve"> </v>
      </c>
      <c r="F83" s="23" t="str">
        <f t="shared" ref="F83:N83" si="3">IF(AND($C$85&gt;F84,$C$85&lt;=F85),1," ")</f>
        <v xml:space="preserve"> </v>
      </c>
      <c r="G83" s="23" t="str">
        <f t="shared" si="3"/>
        <v xml:space="preserve"> </v>
      </c>
      <c r="H83" s="23" t="str">
        <f t="shared" si="3"/>
        <v xml:space="preserve"> </v>
      </c>
      <c r="I83" s="23" t="str">
        <f t="shared" si="3"/>
        <v xml:space="preserve"> </v>
      </c>
      <c r="J83" s="23">
        <f t="shared" si="3"/>
        <v>1</v>
      </c>
      <c r="K83" s="23" t="str">
        <f t="shared" si="3"/>
        <v xml:space="preserve"> </v>
      </c>
      <c r="L83" s="23" t="str">
        <f t="shared" si="3"/>
        <v xml:space="preserve"> </v>
      </c>
      <c r="M83" s="23" t="str">
        <f t="shared" si="3"/>
        <v xml:space="preserve"> </v>
      </c>
      <c r="N83" s="1008" t="str">
        <f t="shared" si="3"/>
        <v xml:space="preserve"> </v>
      </c>
      <c r="Q83" s="670" t="s">
        <v>801</v>
      </c>
      <c r="R83" s="1028">
        <f>HLOOKUP(1,R84:AJ87,4,FALSE)</f>
        <v>1</v>
      </c>
      <c r="S83" s="2"/>
      <c r="T83" s="1027"/>
      <c r="U83" s="1027"/>
      <c r="V83" s="1027"/>
      <c r="W83" s="1027"/>
      <c r="X83" s="1027"/>
      <c r="Y83" s="1027"/>
      <c r="Z83" s="1027"/>
      <c r="AA83" s="1027"/>
      <c r="AB83" s="1027"/>
      <c r="AC83" s="1027"/>
      <c r="AD83" s="1027"/>
      <c r="AE83" s="1027"/>
      <c r="AF83" s="2"/>
      <c r="AG83" s="2"/>
      <c r="AH83" s="2"/>
      <c r="AI83" s="2"/>
      <c r="AJ83" s="2"/>
    </row>
    <row r="84" spans="2:36" ht="15.75" thickBot="1" x14ac:dyDescent="0.3">
      <c r="B84" s="950" t="s">
        <v>23</v>
      </c>
      <c r="C84" s="951">
        <f>'Rekenblad (2)'!C645</f>
        <v>361</v>
      </c>
      <c r="D84" s="1030">
        <f>R83</f>
        <v>1</v>
      </c>
      <c r="E84" s="449">
        <v>0</v>
      </c>
      <c r="F84" s="449">
        <v>700</v>
      </c>
      <c r="G84" s="449">
        <v>800</v>
      </c>
      <c r="H84" s="449">
        <v>900</v>
      </c>
      <c r="I84" s="1009">
        <v>1000</v>
      </c>
      <c r="J84" s="1009">
        <v>1100</v>
      </c>
      <c r="K84" s="1009">
        <v>1200</v>
      </c>
      <c r="L84" s="1009">
        <v>1300</v>
      </c>
      <c r="M84" s="1009">
        <v>1450</v>
      </c>
      <c r="N84" s="1010">
        <v>1600</v>
      </c>
      <c r="Q84" s="341" t="s">
        <v>999</v>
      </c>
      <c r="R84" s="202">
        <f>IF(AND($Q$86&gt;=R85,$Q$86&lt;R86),1,0)</f>
        <v>0</v>
      </c>
      <c r="S84" s="1021">
        <f t="shared" ref="S84:AJ84" si="4">IF(AND($Q$86&gt;=S85,$Q$86&lt;S86),1,0)</f>
        <v>0</v>
      </c>
      <c r="T84" s="1021">
        <f t="shared" si="4"/>
        <v>1</v>
      </c>
      <c r="U84" s="1021">
        <f t="shared" si="4"/>
        <v>0</v>
      </c>
      <c r="V84" s="1021">
        <f t="shared" si="4"/>
        <v>0</v>
      </c>
      <c r="W84" s="1021">
        <f t="shared" si="4"/>
        <v>0</v>
      </c>
      <c r="X84" s="1021">
        <f t="shared" si="4"/>
        <v>0</v>
      </c>
      <c r="Y84" s="1021">
        <f t="shared" si="4"/>
        <v>0</v>
      </c>
      <c r="Z84" s="1021">
        <f t="shared" si="4"/>
        <v>0</v>
      </c>
      <c r="AA84" s="1021">
        <f t="shared" si="4"/>
        <v>0</v>
      </c>
      <c r="AB84" s="1021">
        <f t="shared" si="4"/>
        <v>0</v>
      </c>
      <c r="AC84" s="1021">
        <f t="shared" si="4"/>
        <v>0</v>
      </c>
      <c r="AD84" s="1021">
        <f t="shared" si="4"/>
        <v>0</v>
      </c>
      <c r="AE84" s="1021">
        <f t="shared" si="4"/>
        <v>0</v>
      </c>
      <c r="AF84" s="1021">
        <f t="shared" si="4"/>
        <v>0</v>
      </c>
      <c r="AG84" s="1021">
        <f t="shared" si="4"/>
        <v>0</v>
      </c>
      <c r="AH84" s="1021">
        <f t="shared" si="4"/>
        <v>0</v>
      </c>
      <c r="AI84" s="1021">
        <f t="shared" si="4"/>
        <v>0</v>
      </c>
      <c r="AJ84" s="1021">
        <f t="shared" si="4"/>
        <v>0</v>
      </c>
    </row>
    <row r="85" spans="2:36" ht="15.75" thickBot="1" x14ac:dyDescent="0.3">
      <c r="B85" s="6" t="s">
        <v>24</v>
      </c>
      <c r="C85" s="432">
        <f>'Rekenblad (2)'!C646</f>
        <v>1150</v>
      </c>
      <c r="D85" s="1031">
        <f>D83*D84</f>
        <v>0</v>
      </c>
      <c r="E85" s="965">
        <v>700</v>
      </c>
      <c r="F85" s="965">
        <v>800</v>
      </c>
      <c r="G85" s="965">
        <v>900</v>
      </c>
      <c r="H85" s="965">
        <v>1000</v>
      </c>
      <c r="I85" s="1011">
        <v>1100</v>
      </c>
      <c r="J85" s="1011">
        <v>1200</v>
      </c>
      <c r="K85" s="1011">
        <v>1300</v>
      </c>
      <c r="L85" s="1011">
        <v>1450</v>
      </c>
      <c r="M85" s="1011">
        <v>1600</v>
      </c>
      <c r="N85" s="1012">
        <v>1700</v>
      </c>
      <c r="Q85" s="399" t="s">
        <v>1000</v>
      </c>
      <c r="R85" s="399">
        <v>0</v>
      </c>
      <c r="S85" s="442">
        <v>200</v>
      </c>
      <c r="T85" s="1022">
        <v>500</v>
      </c>
      <c r="U85" s="1022">
        <v>750</v>
      </c>
      <c r="V85" s="1022">
        <v>1000</v>
      </c>
      <c r="W85" s="1022">
        <v>1250</v>
      </c>
      <c r="X85" s="1022">
        <v>1500</v>
      </c>
      <c r="Y85" s="1022">
        <v>1750</v>
      </c>
      <c r="Z85" s="1022">
        <v>2000</v>
      </c>
      <c r="AA85" s="1022">
        <v>2250</v>
      </c>
      <c r="AB85" s="1022">
        <v>2500</v>
      </c>
      <c r="AC85" s="1022">
        <v>2750</v>
      </c>
      <c r="AD85" s="1022">
        <v>3000</v>
      </c>
      <c r="AE85" s="1022">
        <v>3500</v>
      </c>
      <c r="AF85" s="1022">
        <v>4000</v>
      </c>
      <c r="AG85" s="1022">
        <v>5000</v>
      </c>
      <c r="AH85" s="1022">
        <v>6000</v>
      </c>
      <c r="AI85" s="1022">
        <v>8000</v>
      </c>
      <c r="AJ85" s="1022">
        <v>10000</v>
      </c>
    </row>
    <row r="86" spans="2:36" x14ac:dyDescent="0.25">
      <c r="B86" s="1013">
        <f>IF(AND($C$84&gt;C86,$C$84&lt;=D86),1," ")</f>
        <v>1</v>
      </c>
      <c r="C86" s="2">
        <v>0</v>
      </c>
      <c r="D86" s="25">
        <v>400</v>
      </c>
      <c r="E86" s="1014">
        <v>0</v>
      </c>
      <c r="F86" s="1014">
        <v>0</v>
      </c>
      <c r="G86" s="1014">
        <v>0</v>
      </c>
      <c r="H86" s="1014">
        <v>0</v>
      </c>
      <c r="I86" s="1015">
        <v>0</v>
      </c>
      <c r="J86" s="1015">
        <v>0</v>
      </c>
      <c r="K86" s="1015">
        <v>0</v>
      </c>
      <c r="L86" s="1015">
        <v>0</v>
      </c>
      <c r="M86" s="1015">
        <v>0</v>
      </c>
      <c r="N86" s="1016">
        <v>0</v>
      </c>
      <c r="Q86" s="1024">
        <f>'Rekenblad (2)'!I108</f>
        <v>723.87720000000002</v>
      </c>
      <c r="R86" s="202">
        <v>200</v>
      </c>
      <c r="S86" s="13">
        <v>500</v>
      </c>
      <c r="T86" s="1023">
        <v>750</v>
      </c>
      <c r="U86" s="1023">
        <v>1000</v>
      </c>
      <c r="V86" s="1023">
        <v>1250</v>
      </c>
      <c r="W86" s="1023">
        <v>1500</v>
      </c>
      <c r="X86" s="1023">
        <v>1750</v>
      </c>
      <c r="Y86" s="1023">
        <v>2000</v>
      </c>
      <c r="Z86" s="1023">
        <v>2250</v>
      </c>
      <c r="AA86" s="1023">
        <v>2500</v>
      </c>
      <c r="AB86" s="1023">
        <v>2750</v>
      </c>
      <c r="AC86" s="1023">
        <v>3000</v>
      </c>
      <c r="AD86" s="1023">
        <v>3500</v>
      </c>
      <c r="AE86" s="1023">
        <v>4000</v>
      </c>
      <c r="AF86" s="1023">
        <v>5000</v>
      </c>
      <c r="AG86" s="1023">
        <v>6000</v>
      </c>
      <c r="AH86" s="1023">
        <v>8000</v>
      </c>
      <c r="AI86" s="1023">
        <v>10000</v>
      </c>
      <c r="AJ86" s="1023">
        <v>99999999</v>
      </c>
    </row>
    <row r="87" spans="2:36" x14ac:dyDescent="0.25">
      <c r="B87" s="990" t="str">
        <f t="shared" ref="B87:B100" si="5">IF(AND($C$84&gt;C87,$C$84&lt;=D87),1," ")</f>
        <v xml:space="preserve"> </v>
      </c>
      <c r="C87" s="2">
        <v>400</v>
      </c>
      <c r="D87" s="25">
        <v>450</v>
      </c>
      <c r="E87" s="1014">
        <v>0.03</v>
      </c>
      <c r="F87" s="1014">
        <v>0</v>
      </c>
      <c r="G87" s="1014">
        <v>0</v>
      </c>
      <c r="H87" s="1014">
        <v>0</v>
      </c>
      <c r="I87" s="1015">
        <v>0</v>
      </c>
      <c r="J87" s="1015">
        <v>0</v>
      </c>
      <c r="K87" s="1015">
        <v>0</v>
      </c>
      <c r="L87" s="1015">
        <v>0</v>
      </c>
      <c r="M87" s="1015">
        <v>0</v>
      </c>
      <c r="N87" s="1016">
        <v>0</v>
      </c>
      <c r="Q87" s="1020" t="s">
        <v>801</v>
      </c>
      <c r="R87" s="1025">
        <v>1</v>
      </c>
      <c r="S87" s="1026">
        <v>1</v>
      </c>
      <c r="T87" s="1026">
        <v>1</v>
      </c>
      <c r="U87" s="1026">
        <v>1</v>
      </c>
      <c r="V87" s="1026">
        <v>1</v>
      </c>
      <c r="W87" s="1026">
        <v>1</v>
      </c>
      <c r="X87" s="1026">
        <v>1</v>
      </c>
      <c r="Y87" s="1026">
        <v>1</v>
      </c>
      <c r="Z87" s="1026">
        <v>1</v>
      </c>
      <c r="AA87" s="1026">
        <v>1</v>
      </c>
      <c r="AB87" s="1026">
        <v>0.9</v>
      </c>
      <c r="AC87" s="1026">
        <v>0.8</v>
      </c>
      <c r="AD87" s="1026">
        <v>0.7</v>
      </c>
      <c r="AE87" s="1026">
        <v>0.6</v>
      </c>
      <c r="AF87" s="1026">
        <v>0.6</v>
      </c>
      <c r="AG87" s="1026">
        <v>0.6</v>
      </c>
      <c r="AH87" s="1026">
        <v>0.6</v>
      </c>
      <c r="AI87" s="1026">
        <v>0.6</v>
      </c>
      <c r="AJ87" s="1026">
        <v>0.6</v>
      </c>
    </row>
    <row r="88" spans="2:36" x14ac:dyDescent="0.25">
      <c r="B88" s="990" t="str">
        <f t="shared" si="5"/>
        <v xml:space="preserve"> </v>
      </c>
      <c r="C88" s="2">
        <v>450</v>
      </c>
      <c r="D88" s="25">
        <v>500</v>
      </c>
      <c r="E88" s="1014">
        <v>0.05</v>
      </c>
      <c r="F88" s="1014">
        <v>0.03</v>
      </c>
      <c r="G88" s="1014">
        <v>0</v>
      </c>
      <c r="H88" s="1014">
        <v>0</v>
      </c>
      <c r="I88" s="1015">
        <v>0</v>
      </c>
      <c r="J88" s="1015">
        <v>0</v>
      </c>
      <c r="K88" s="1015">
        <v>0</v>
      </c>
      <c r="L88" s="1015">
        <v>0</v>
      </c>
      <c r="M88" s="1015">
        <v>0</v>
      </c>
      <c r="N88" s="1016">
        <v>0</v>
      </c>
    </row>
    <row r="89" spans="2:36" x14ac:dyDescent="0.25">
      <c r="B89" s="990" t="str">
        <f t="shared" si="5"/>
        <v xml:space="preserve"> </v>
      </c>
      <c r="C89" s="2">
        <v>500</v>
      </c>
      <c r="D89" s="25">
        <v>550</v>
      </c>
      <c r="E89" s="1014">
        <v>0.05</v>
      </c>
      <c r="F89" s="1014">
        <v>0.05</v>
      </c>
      <c r="G89" s="1014">
        <v>0.03</v>
      </c>
      <c r="H89" s="1014">
        <v>0.02</v>
      </c>
      <c r="I89" s="1015">
        <v>0.01</v>
      </c>
      <c r="J89" s="1015">
        <v>0</v>
      </c>
      <c r="K89" s="1015">
        <v>0</v>
      </c>
      <c r="L89" s="1015">
        <v>0</v>
      </c>
      <c r="M89" s="1015">
        <v>0</v>
      </c>
      <c r="N89" s="1016">
        <v>0</v>
      </c>
    </row>
    <row r="90" spans="2:36" x14ac:dyDescent="0.25">
      <c r="B90" s="990" t="str">
        <f t="shared" si="5"/>
        <v xml:space="preserve"> </v>
      </c>
      <c r="C90" s="2">
        <v>550</v>
      </c>
      <c r="D90" s="25">
        <v>600</v>
      </c>
      <c r="E90" s="1014">
        <v>0.1</v>
      </c>
      <c r="F90" s="1014">
        <v>0.08</v>
      </c>
      <c r="G90" s="1014">
        <v>0.05</v>
      </c>
      <c r="H90" s="1014">
        <v>0.03</v>
      </c>
      <c r="I90" s="1015">
        <v>0.02</v>
      </c>
      <c r="J90" s="1015">
        <v>0.01</v>
      </c>
      <c r="K90" s="1015">
        <v>0</v>
      </c>
      <c r="L90" s="1015">
        <v>0</v>
      </c>
      <c r="M90" s="1015">
        <v>0</v>
      </c>
      <c r="N90" s="1016">
        <v>0</v>
      </c>
    </row>
    <row r="91" spans="2:36" x14ac:dyDescent="0.25">
      <c r="B91" s="990" t="str">
        <f t="shared" si="5"/>
        <v xml:space="preserve"> </v>
      </c>
      <c r="C91" s="2">
        <v>600</v>
      </c>
      <c r="D91" s="25">
        <v>700</v>
      </c>
      <c r="E91" s="1014">
        <v>0.15</v>
      </c>
      <c r="F91" s="1014">
        <v>0.1</v>
      </c>
      <c r="G91" s="1014">
        <v>0.08</v>
      </c>
      <c r="H91" s="1014">
        <v>0.06</v>
      </c>
      <c r="I91" s="1015">
        <v>0.04</v>
      </c>
      <c r="J91" s="1015">
        <v>0.02</v>
      </c>
      <c r="K91" s="1015">
        <v>0.02</v>
      </c>
      <c r="L91" s="1015">
        <v>0.01</v>
      </c>
      <c r="M91" s="1015">
        <v>0</v>
      </c>
      <c r="N91" s="1016">
        <v>0</v>
      </c>
      <c r="Q91" t="s">
        <v>1015</v>
      </c>
    </row>
    <row r="92" spans="2:36" x14ac:dyDescent="0.25">
      <c r="B92" s="990" t="str">
        <f t="shared" si="5"/>
        <v xml:space="preserve"> </v>
      </c>
      <c r="C92" s="2">
        <v>700</v>
      </c>
      <c r="D92" s="25">
        <v>800</v>
      </c>
      <c r="E92" s="1014">
        <v>0.16</v>
      </c>
      <c r="F92" s="1014">
        <v>0.13</v>
      </c>
      <c r="G92" s="1014">
        <v>0.12</v>
      </c>
      <c r="H92" s="1014">
        <v>0.08</v>
      </c>
      <c r="I92" s="1015">
        <v>0.06</v>
      </c>
      <c r="J92" s="1015">
        <v>0.04</v>
      </c>
      <c r="K92" s="1015">
        <v>0.03</v>
      </c>
      <c r="L92" s="1015">
        <v>0.02</v>
      </c>
      <c r="M92" s="1015">
        <v>0.01</v>
      </c>
      <c r="N92" s="1016">
        <v>0</v>
      </c>
      <c r="Q92" s="208" t="s">
        <v>19</v>
      </c>
      <c r="R92" s="23" t="s">
        <v>9</v>
      </c>
      <c r="S92" s="208">
        <f>C84</f>
        <v>361</v>
      </c>
      <c r="T92" s="38">
        <f>C85</f>
        <v>1150</v>
      </c>
      <c r="U92" s="951" t="s">
        <v>1016</v>
      </c>
      <c r="V92" s="1062" t="s">
        <v>731</v>
      </c>
    </row>
    <row r="93" spans="2:36" x14ac:dyDescent="0.25">
      <c r="B93" s="990" t="str">
        <f t="shared" si="5"/>
        <v xml:space="preserve"> </v>
      </c>
      <c r="C93" s="2">
        <v>800</v>
      </c>
      <c r="D93" s="25">
        <v>900</v>
      </c>
      <c r="E93" s="1014">
        <v>0.17</v>
      </c>
      <c r="F93" s="1014">
        <v>0.15</v>
      </c>
      <c r="G93" s="1014">
        <v>0.13</v>
      </c>
      <c r="H93" s="1014">
        <v>0.1</v>
      </c>
      <c r="I93" s="1015">
        <v>0.08</v>
      </c>
      <c r="J93" s="1015">
        <v>0.06</v>
      </c>
      <c r="K93" s="1015">
        <v>0.04</v>
      </c>
      <c r="L93" s="1015">
        <v>0.03</v>
      </c>
      <c r="M93" s="1015">
        <v>0.02</v>
      </c>
      <c r="N93" s="1016">
        <v>0.01</v>
      </c>
      <c r="Q93" s="649">
        <v>1100</v>
      </c>
      <c r="R93" s="1039">
        <v>2420</v>
      </c>
      <c r="S93" s="432">
        <f>IF(S92&gt;Q93,1,0)</f>
        <v>0</v>
      </c>
      <c r="T93" s="966">
        <f>IF(T92&gt;R93,1,0)</f>
        <v>0</v>
      </c>
      <c r="U93" s="13">
        <f>IF(SUM(S93:T93)&gt;0,1,0)</f>
        <v>0</v>
      </c>
      <c r="V93" s="1065">
        <v>7.0000000000000007E-2</v>
      </c>
    </row>
    <row r="94" spans="2:36" x14ac:dyDescent="0.25">
      <c r="B94" s="990" t="str">
        <f t="shared" si="5"/>
        <v xml:space="preserve"> </v>
      </c>
      <c r="C94" s="2">
        <v>900</v>
      </c>
      <c r="D94" s="25">
        <v>1000</v>
      </c>
      <c r="E94" s="1014">
        <v>0.18</v>
      </c>
      <c r="F94" s="1014">
        <v>0.16</v>
      </c>
      <c r="G94" s="1014">
        <v>0.14000000000000001</v>
      </c>
      <c r="H94" s="1014">
        <v>0.12</v>
      </c>
      <c r="I94" s="1015">
        <v>0.1</v>
      </c>
      <c r="J94" s="1015">
        <v>0.08</v>
      </c>
      <c r="K94" s="1015">
        <v>0.06</v>
      </c>
      <c r="L94" s="1015">
        <v>0.05</v>
      </c>
      <c r="M94" s="1015">
        <v>0.03</v>
      </c>
      <c r="N94" s="1016">
        <v>0.03</v>
      </c>
    </row>
    <row r="95" spans="2:36" x14ac:dyDescent="0.25">
      <c r="B95" s="990" t="str">
        <f t="shared" si="5"/>
        <v xml:space="preserve"> </v>
      </c>
      <c r="C95" s="2">
        <v>1000</v>
      </c>
      <c r="D95" s="25">
        <v>1150</v>
      </c>
      <c r="E95" s="1014">
        <v>0.2</v>
      </c>
      <c r="F95" s="1014">
        <v>0.2</v>
      </c>
      <c r="G95" s="1014">
        <v>0.16</v>
      </c>
      <c r="H95" s="1014">
        <v>0.14000000000000001</v>
      </c>
      <c r="I95" s="1015">
        <v>0.12</v>
      </c>
      <c r="J95" s="1015">
        <v>0.1</v>
      </c>
      <c r="K95" s="1015">
        <v>0.08</v>
      </c>
      <c r="L95" s="1015">
        <v>7.0000000000000007E-2</v>
      </c>
      <c r="M95" s="1015">
        <v>0.05</v>
      </c>
      <c r="N95" s="1016">
        <v>0.04</v>
      </c>
    </row>
    <row r="96" spans="2:36" x14ac:dyDescent="0.25">
      <c r="B96" s="990" t="str">
        <f t="shared" si="5"/>
        <v xml:space="preserve"> </v>
      </c>
      <c r="C96" s="2">
        <v>1150</v>
      </c>
      <c r="D96" s="25">
        <v>1300</v>
      </c>
      <c r="E96" s="1014">
        <v>0.2</v>
      </c>
      <c r="F96" s="1014">
        <v>0.2</v>
      </c>
      <c r="G96" s="1014">
        <v>0.18</v>
      </c>
      <c r="H96" s="1014">
        <v>0.16</v>
      </c>
      <c r="I96" s="1015">
        <v>0.14000000000000001</v>
      </c>
      <c r="J96" s="1015">
        <v>0.12</v>
      </c>
      <c r="K96" s="1015">
        <v>0.1</v>
      </c>
      <c r="L96" s="1015">
        <v>0.09</v>
      </c>
      <c r="M96" s="1015">
        <v>7.0000000000000007E-2</v>
      </c>
      <c r="N96" s="1016">
        <v>0.06</v>
      </c>
      <c r="Q96" s="1059">
        <v>1</v>
      </c>
      <c r="R96" s="952">
        <v>1</v>
      </c>
      <c r="S96" s="1060">
        <v>1</v>
      </c>
      <c r="T96" s="1060">
        <v>1</v>
      </c>
      <c r="U96" s="1060">
        <v>1</v>
      </c>
      <c r="V96" s="1060">
        <v>1</v>
      </c>
      <c r="W96" s="1060">
        <v>1</v>
      </c>
      <c r="X96" s="1060">
        <v>1</v>
      </c>
      <c r="Y96" s="1060">
        <v>1</v>
      </c>
      <c r="Z96" s="1060">
        <v>0.7</v>
      </c>
      <c r="AA96" s="1060">
        <v>0.3</v>
      </c>
      <c r="AB96" s="1060">
        <v>0</v>
      </c>
      <c r="AC96" s="1060">
        <v>0</v>
      </c>
      <c r="AD96" s="1060">
        <v>0</v>
      </c>
      <c r="AE96" s="952">
        <v>0</v>
      </c>
      <c r="AF96" s="952">
        <v>0</v>
      </c>
      <c r="AG96" s="952">
        <v>0</v>
      </c>
      <c r="AH96" s="952">
        <v>0</v>
      </c>
      <c r="AI96" s="952">
        <v>0</v>
      </c>
    </row>
    <row r="97" spans="2:35" x14ac:dyDescent="0.25">
      <c r="B97" s="990" t="str">
        <f t="shared" si="5"/>
        <v xml:space="preserve"> </v>
      </c>
      <c r="C97" s="2">
        <v>1300</v>
      </c>
      <c r="D97" s="25">
        <v>1450</v>
      </c>
      <c r="E97" s="1014">
        <v>0.2</v>
      </c>
      <c r="F97" s="1014">
        <v>0.2</v>
      </c>
      <c r="G97" s="1014">
        <v>0.2</v>
      </c>
      <c r="H97" s="1014">
        <v>0.18</v>
      </c>
      <c r="I97" s="1015">
        <v>0.16</v>
      </c>
      <c r="J97" s="1015">
        <v>0.16</v>
      </c>
      <c r="K97" s="1015">
        <v>0.12</v>
      </c>
      <c r="L97" s="1015">
        <v>0.11</v>
      </c>
      <c r="M97" s="1015">
        <v>0.09</v>
      </c>
      <c r="N97" s="1016">
        <v>0.08</v>
      </c>
      <c r="Q97" s="1021">
        <f>IF(AND($Q$86&gt;=Q98,$Q$86&lt;Q99),1,0)</f>
        <v>0</v>
      </c>
      <c r="R97" s="1021">
        <f t="shared" ref="R97:AI97" si="6">IF(AND($Q$86&gt;=R98,$Q$86&lt;R99),1,0)</f>
        <v>0</v>
      </c>
      <c r="S97" s="1021">
        <f t="shared" si="6"/>
        <v>1</v>
      </c>
      <c r="T97" s="1021">
        <f t="shared" si="6"/>
        <v>0</v>
      </c>
      <c r="U97" s="1021">
        <f t="shared" si="6"/>
        <v>0</v>
      </c>
      <c r="V97" s="1021">
        <f t="shared" si="6"/>
        <v>0</v>
      </c>
      <c r="W97" s="1021">
        <f t="shared" si="6"/>
        <v>0</v>
      </c>
      <c r="X97" s="1021">
        <f t="shared" si="6"/>
        <v>0</v>
      </c>
      <c r="Y97" s="1021">
        <f t="shared" si="6"/>
        <v>0</v>
      </c>
      <c r="Z97" s="1021">
        <f t="shared" si="6"/>
        <v>0</v>
      </c>
      <c r="AA97" s="1021">
        <f t="shared" si="6"/>
        <v>0</v>
      </c>
      <c r="AB97" s="1021">
        <f t="shared" si="6"/>
        <v>0</v>
      </c>
      <c r="AC97" s="1021">
        <f t="shared" si="6"/>
        <v>0</v>
      </c>
      <c r="AD97" s="1021">
        <f t="shared" si="6"/>
        <v>0</v>
      </c>
      <c r="AE97" s="1021">
        <f t="shared" si="6"/>
        <v>0</v>
      </c>
      <c r="AF97" s="1021">
        <f t="shared" si="6"/>
        <v>0</v>
      </c>
      <c r="AG97" s="1021">
        <f t="shared" si="6"/>
        <v>0</v>
      </c>
      <c r="AH97" s="1021">
        <f t="shared" si="6"/>
        <v>0</v>
      </c>
      <c r="AI97" s="1021">
        <f t="shared" si="6"/>
        <v>0</v>
      </c>
    </row>
    <row r="98" spans="2:35" x14ac:dyDescent="0.25">
      <c r="B98" s="990" t="str">
        <f t="shared" si="5"/>
        <v xml:space="preserve"> </v>
      </c>
      <c r="C98" s="2">
        <v>1450</v>
      </c>
      <c r="D98" s="25">
        <v>1600</v>
      </c>
      <c r="E98" s="1014">
        <v>0.2</v>
      </c>
      <c r="F98" s="1014">
        <v>0.2</v>
      </c>
      <c r="G98" s="1014">
        <v>0.2</v>
      </c>
      <c r="H98" s="1014">
        <v>0.2</v>
      </c>
      <c r="I98" s="1015">
        <v>0.2</v>
      </c>
      <c r="J98" s="1015">
        <v>0.18</v>
      </c>
      <c r="K98" s="1015">
        <v>0.16</v>
      </c>
      <c r="L98" s="1015">
        <v>0.13</v>
      </c>
      <c r="M98" s="1015">
        <v>0.11</v>
      </c>
      <c r="N98" s="1016">
        <v>0.1</v>
      </c>
      <c r="Q98" s="1061">
        <v>0</v>
      </c>
      <c r="R98" s="1062">
        <v>200</v>
      </c>
      <c r="S98" s="1063">
        <v>500</v>
      </c>
      <c r="T98" s="1063">
        <v>750</v>
      </c>
      <c r="U98" s="1063">
        <v>1000</v>
      </c>
      <c r="V98" s="1063">
        <v>1250</v>
      </c>
      <c r="W98" s="1063">
        <v>1500</v>
      </c>
      <c r="X98" s="1063">
        <v>1750</v>
      </c>
      <c r="Y98" s="1063">
        <v>2000</v>
      </c>
      <c r="Z98" s="1063">
        <v>2250</v>
      </c>
      <c r="AA98" s="1063">
        <v>2500</v>
      </c>
      <c r="AB98" s="1063">
        <v>2750</v>
      </c>
      <c r="AC98" s="1063">
        <v>3000</v>
      </c>
      <c r="AD98" s="1063">
        <v>3500</v>
      </c>
      <c r="AE98" s="1063">
        <v>4000</v>
      </c>
      <c r="AF98" s="1063">
        <v>5000</v>
      </c>
      <c r="AG98" s="1063">
        <v>6000</v>
      </c>
      <c r="AH98" s="1063">
        <v>8000</v>
      </c>
      <c r="AI98" s="1063">
        <v>10000</v>
      </c>
    </row>
    <row r="99" spans="2:35" x14ac:dyDescent="0.25">
      <c r="B99" s="990" t="str">
        <f t="shared" si="5"/>
        <v xml:space="preserve"> </v>
      </c>
      <c r="C99" s="2">
        <v>1600</v>
      </c>
      <c r="D99" s="25">
        <v>1750</v>
      </c>
      <c r="E99" s="1014">
        <v>0.25</v>
      </c>
      <c r="F99" s="1014">
        <v>0.25</v>
      </c>
      <c r="G99" s="1014">
        <v>0.25</v>
      </c>
      <c r="H99" s="1014">
        <v>0.25</v>
      </c>
      <c r="I99" s="1015">
        <v>0.25</v>
      </c>
      <c r="J99" s="1015">
        <v>0.22</v>
      </c>
      <c r="K99" s="1015">
        <v>0.2</v>
      </c>
      <c r="L99" s="1015">
        <v>0.17</v>
      </c>
      <c r="M99" s="1015">
        <v>0.14000000000000001</v>
      </c>
      <c r="N99" s="1016">
        <v>0.13</v>
      </c>
      <c r="Q99" s="202">
        <v>200</v>
      </c>
      <c r="R99" s="13">
        <v>500</v>
      </c>
      <c r="S99" s="1023">
        <v>750</v>
      </c>
      <c r="T99" s="1023">
        <v>1000</v>
      </c>
      <c r="U99" s="1023">
        <v>1250</v>
      </c>
      <c r="V99" s="1023">
        <v>1500</v>
      </c>
      <c r="W99" s="1023">
        <v>1750</v>
      </c>
      <c r="X99" s="1023">
        <v>2000</v>
      </c>
      <c r="Y99" s="1023">
        <v>2250</v>
      </c>
      <c r="Z99" s="1023">
        <v>2500</v>
      </c>
      <c r="AA99" s="1023">
        <v>2750</v>
      </c>
      <c r="AB99" s="1023">
        <v>3000</v>
      </c>
      <c r="AC99" s="1023">
        <v>3500</v>
      </c>
      <c r="AD99" s="1023">
        <v>4000</v>
      </c>
      <c r="AE99" s="1023">
        <v>5000</v>
      </c>
      <c r="AF99" s="1023">
        <v>6000</v>
      </c>
      <c r="AG99" s="1023">
        <v>8000</v>
      </c>
      <c r="AH99" s="1023">
        <v>10000</v>
      </c>
      <c r="AI99" s="1023">
        <v>99999999</v>
      </c>
    </row>
    <row r="100" spans="2:35" x14ac:dyDescent="0.25">
      <c r="B100" s="991" t="str">
        <f t="shared" si="5"/>
        <v xml:space="preserve"> </v>
      </c>
      <c r="C100" s="965">
        <v>1750</v>
      </c>
      <c r="D100" s="966">
        <v>9999</v>
      </c>
      <c r="E100" s="1014">
        <v>0.25</v>
      </c>
      <c r="F100" s="1014">
        <v>0.25</v>
      </c>
      <c r="G100" s="1014">
        <v>0.25</v>
      </c>
      <c r="H100" s="1014">
        <v>0.25</v>
      </c>
      <c r="I100" s="1015">
        <v>0.25</v>
      </c>
      <c r="J100" s="1015">
        <v>0.25</v>
      </c>
      <c r="K100" s="1015">
        <v>0.25</v>
      </c>
      <c r="L100" s="1015">
        <v>0.2</v>
      </c>
      <c r="M100" s="1015">
        <v>0.18</v>
      </c>
      <c r="N100" s="1016">
        <v>0.16</v>
      </c>
      <c r="Q100" s="1064">
        <f>$V$93*Q96</f>
        <v>7.0000000000000007E-2</v>
      </c>
      <c r="R100" s="1064">
        <f t="shared" ref="R100:AI100" si="7">$V$93*R96</f>
        <v>7.0000000000000007E-2</v>
      </c>
      <c r="S100" s="1064">
        <f t="shared" si="7"/>
        <v>7.0000000000000007E-2</v>
      </c>
      <c r="T100" s="1064">
        <f t="shared" si="7"/>
        <v>7.0000000000000007E-2</v>
      </c>
      <c r="U100" s="1064">
        <f t="shared" si="7"/>
        <v>7.0000000000000007E-2</v>
      </c>
      <c r="V100" s="1064">
        <f t="shared" si="7"/>
        <v>7.0000000000000007E-2</v>
      </c>
      <c r="W100" s="1064">
        <f t="shared" si="7"/>
        <v>7.0000000000000007E-2</v>
      </c>
      <c r="X100" s="1064">
        <f t="shared" si="7"/>
        <v>7.0000000000000007E-2</v>
      </c>
      <c r="Y100" s="1064">
        <f t="shared" si="7"/>
        <v>7.0000000000000007E-2</v>
      </c>
      <c r="Z100" s="1064">
        <f t="shared" si="7"/>
        <v>4.9000000000000002E-2</v>
      </c>
      <c r="AA100" s="1064">
        <f t="shared" si="7"/>
        <v>2.1000000000000001E-2</v>
      </c>
      <c r="AB100" s="1064">
        <f t="shared" si="7"/>
        <v>0</v>
      </c>
      <c r="AC100" s="1064">
        <f t="shared" si="7"/>
        <v>0</v>
      </c>
      <c r="AD100" s="1064">
        <f t="shared" si="7"/>
        <v>0</v>
      </c>
      <c r="AE100" s="1064">
        <f t="shared" si="7"/>
        <v>0</v>
      </c>
      <c r="AF100" s="1064">
        <f t="shared" si="7"/>
        <v>0</v>
      </c>
      <c r="AG100" s="1064">
        <f t="shared" si="7"/>
        <v>0</v>
      </c>
      <c r="AH100" s="1064">
        <f t="shared" si="7"/>
        <v>0</v>
      </c>
      <c r="AI100" s="1064">
        <f t="shared" si="7"/>
        <v>0</v>
      </c>
    </row>
    <row r="101" spans="2:35" x14ac:dyDescent="0.25">
      <c r="B101" s="415"/>
      <c r="C101" s="43"/>
      <c r="D101" s="43"/>
      <c r="E101" s="1017">
        <f>IF(SUM($B$86:$B$100)=1,VLOOKUP(1,$B$86:$N$100,4,FALSE),0)</f>
        <v>0</v>
      </c>
      <c r="F101" s="1018">
        <f>IF(SUM($B$86:$B$100)=1,VLOOKUP(1,$B$86:$N$100,5,FALSE),0)</f>
        <v>0</v>
      </c>
      <c r="G101" s="1018">
        <f>IF(SUM($B$86:$B$100)=1,VLOOKUP(1,$B$86:$N$100,6,FALSE),0)</f>
        <v>0</v>
      </c>
      <c r="H101" s="1018">
        <f>IF(SUM($B$86:$B$100)=1,VLOOKUP(1,$B$86:$N$100,7,FALSE),0)</f>
        <v>0</v>
      </c>
      <c r="I101" s="1018">
        <f>IF(SUM($B$86:$B$100)=1,VLOOKUP(1,$B$86:$N$100,8,FALSE),0)</f>
        <v>0</v>
      </c>
      <c r="J101" s="1018">
        <f>IF(SUM($B$86:$B$100)=1,VLOOKUP(1,$B$86:$N$100,9,FALSE),0)</f>
        <v>0</v>
      </c>
      <c r="K101" s="1018">
        <f>IF(SUM($B$86:$B$100)=1,VLOOKUP(1,$B$86:$N$100,10,FALSE),0)</f>
        <v>0</v>
      </c>
      <c r="L101" s="1018">
        <f>IF(SUM($B$86:$B$100)=1,VLOOKUP(1,$B$86:$N$100,11,FALSE),0)</f>
        <v>0</v>
      </c>
      <c r="M101" s="1018">
        <f>IF(SUM($B$86:$B$100)=1,VLOOKUP(1,$B$86:$N$100,12,FALSE),0)</f>
        <v>0</v>
      </c>
      <c r="N101" s="1019">
        <f>IF(SUM($B$86:$B$100)=1,VLOOKUP(1,$B$86:$N$100,13,FALSE),0)</f>
        <v>0</v>
      </c>
    </row>
    <row r="104" spans="2:35" x14ac:dyDescent="0.25">
      <c r="B104" s="1188" t="str">
        <f>IF(AND($C$85&gt;B105,$C$85&lt;=B106),1," ")</f>
        <v xml:space="preserve"> </v>
      </c>
      <c r="C104" s="1188" t="str">
        <f t="shared" ref="C104:G104" si="8">IF(AND($C$85&gt;C105,$C$85&lt;=C106),1," ")</f>
        <v xml:space="preserve"> </v>
      </c>
      <c r="D104" s="1188" t="str">
        <f t="shared" si="8"/>
        <v xml:space="preserve"> </v>
      </c>
      <c r="E104" s="1188" t="str">
        <f t="shared" si="8"/>
        <v xml:space="preserve"> </v>
      </c>
      <c r="F104" s="1188" t="str">
        <f t="shared" si="8"/>
        <v xml:space="preserve"> </v>
      </c>
      <c r="G104" s="1188">
        <f t="shared" si="8"/>
        <v>1</v>
      </c>
      <c r="H104" s="1029"/>
      <c r="I104" s="479"/>
      <c r="J104" s="479"/>
      <c r="K104" s="479"/>
      <c r="L104" s="479"/>
      <c r="M104" s="479"/>
      <c r="N104" s="479"/>
      <c r="P104" s="479"/>
      <c r="Q104" s="479"/>
      <c r="R104" s="479"/>
      <c r="S104" s="479"/>
      <c r="T104" s="479"/>
      <c r="U104" s="479"/>
      <c r="V104" s="479"/>
      <c r="W104" s="479"/>
      <c r="X104" s="479"/>
      <c r="Y104" s="479"/>
    </row>
    <row r="105" spans="2:35" x14ac:dyDescent="0.25">
      <c r="B105" s="1022">
        <v>0</v>
      </c>
      <c r="C105" s="442">
        <v>800</v>
      </c>
      <c r="D105" s="1022">
        <v>850</v>
      </c>
      <c r="E105" s="1022">
        <v>900</v>
      </c>
      <c r="F105" s="1022">
        <v>950</v>
      </c>
      <c r="G105" s="1022">
        <v>1000</v>
      </c>
      <c r="H105" s="864"/>
      <c r="I105" s="479"/>
      <c r="J105" s="479"/>
      <c r="K105" s="479"/>
      <c r="L105" s="479"/>
      <c r="M105" s="479"/>
      <c r="N105" s="479"/>
      <c r="P105" s="479"/>
      <c r="Q105" s="479"/>
      <c r="R105" s="479"/>
      <c r="S105" s="479"/>
      <c r="T105" s="479"/>
      <c r="U105" s="479"/>
      <c r="V105" s="479"/>
      <c r="W105" s="479"/>
      <c r="X105" s="479"/>
      <c r="Y105" s="479"/>
    </row>
    <row r="106" spans="2:35" x14ac:dyDescent="0.25">
      <c r="B106" s="1023">
        <v>800</v>
      </c>
      <c r="C106" s="13">
        <v>850</v>
      </c>
      <c r="D106" s="1023">
        <v>900</v>
      </c>
      <c r="E106" s="1023">
        <v>950</v>
      </c>
      <c r="F106" s="1023">
        <v>1000</v>
      </c>
      <c r="G106" s="1023">
        <v>9999999</v>
      </c>
      <c r="H106" s="864"/>
      <c r="I106" s="479"/>
      <c r="J106" s="479"/>
      <c r="K106" s="479"/>
      <c r="L106" s="479"/>
      <c r="M106" s="479"/>
      <c r="N106" s="479"/>
      <c r="P106" s="479"/>
      <c r="Q106" s="479"/>
      <c r="R106" s="479"/>
      <c r="S106" s="479"/>
      <c r="T106" s="479"/>
      <c r="U106" s="479"/>
      <c r="V106" s="479"/>
      <c r="W106" s="479"/>
      <c r="X106" s="479"/>
      <c r="Y106" s="479"/>
    </row>
    <row r="107" spans="2:35" x14ac:dyDescent="0.25">
      <c r="B107" s="1189">
        <v>1</v>
      </c>
      <c r="C107" s="1189">
        <v>0.8</v>
      </c>
      <c r="D107" s="1189">
        <v>0.6</v>
      </c>
      <c r="E107" s="1189">
        <v>0.4</v>
      </c>
      <c r="F107" s="1189">
        <v>0.2</v>
      </c>
      <c r="G107" s="1189">
        <v>0</v>
      </c>
      <c r="H107" s="1029">
        <f>IF(SUM(B104:G104)&gt;0,HLOOKUP(1,B104:G107,4,FALSE),0)</f>
        <v>0</v>
      </c>
      <c r="I107" s="479"/>
      <c r="J107" s="479"/>
      <c r="K107" s="479"/>
      <c r="L107" s="479"/>
      <c r="M107" s="479"/>
      <c r="N107" s="479"/>
      <c r="P107" s="479"/>
      <c r="Q107" s="479"/>
      <c r="R107" s="479"/>
      <c r="S107" s="479"/>
      <c r="T107" s="479"/>
      <c r="U107" s="479"/>
      <c r="V107" s="479"/>
      <c r="W107" s="479"/>
      <c r="X107" s="479"/>
      <c r="Y107" s="479"/>
    </row>
    <row r="108" spans="2:35" x14ac:dyDescent="0.25">
      <c r="E108" s="479"/>
      <c r="F108" s="479"/>
      <c r="G108" s="479"/>
      <c r="H108" s="479"/>
      <c r="I108" s="479"/>
      <c r="J108" s="479"/>
      <c r="K108" s="479"/>
      <c r="L108" s="479"/>
      <c r="M108" s="479"/>
      <c r="N108" s="479"/>
      <c r="P108" s="479"/>
      <c r="Q108" s="479"/>
      <c r="R108" s="479"/>
      <c r="S108" s="479"/>
      <c r="T108" s="479"/>
      <c r="U108" s="479"/>
      <c r="V108" s="479"/>
      <c r="W108" s="479"/>
      <c r="X108" s="479"/>
      <c r="Y108" s="479"/>
    </row>
    <row r="109" spans="2:35" x14ac:dyDescent="0.25">
      <c r="E109" s="479"/>
      <c r="F109" s="479"/>
      <c r="G109" s="479"/>
      <c r="H109" s="479"/>
      <c r="I109" s="479"/>
      <c r="J109" s="479"/>
      <c r="K109" s="479"/>
      <c r="L109" s="479"/>
      <c r="M109" s="479"/>
      <c r="N109" s="479"/>
      <c r="P109" s="479"/>
      <c r="Q109" s="479"/>
      <c r="R109" s="479"/>
      <c r="S109" s="479"/>
      <c r="T109" s="479"/>
      <c r="U109" s="479"/>
      <c r="V109" s="479"/>
      <c r="W109" s="479"/>
      <c r="X109" s="479"/>
      <c r="Y109" s="479"/>
    </row>
    <row r="110" spans="2:35" x14ac:dyDescent="0.25">
      <c r="E110" s="479"/>
      <c r="F110" s="479"/>
      <c r="G110" s="479"/>
      <c r="H110" s="479"/>
      <c r="I110" s="479"/>
      <c r="J110" s="479"/>
      <c r="K110" s="479"/>
      <c r="L110" s="479"/>
      <c r="M110" s="479"/>
      <c r="N110" s="479"/>
      <c r="P110" s="479"/>
      <c r="Q110" s="479"/>
      <c r="R110" s="479"/>
      <c r="S110" s="479"/>
      <c r="T110" s="479"/>
      <c r="U110" s="479"/>
      <c r="V110" s="479"/>
      <c r="W110" s="479"/>
      <c r="X110" s="479"/>
      <c r="Y110" s="479"/>
    </row>
    <row r="111" spans="2:35" x14ac:dyDescent="0.25">
      <c r="E111" s="479"/>
      <c r="F111" s="479"/>
      <c r="G111" s="479"/>
      <c r="H111" s="479"/>
      <c r="I111" s="479"/>
      <c r="J111" s="479"/>
      <c r="K111" s="479"/>
      <c r="L111" s="479"/>
      <c r="M111" s="479"/>
      <c r="N111" s="479"/>
      <c r="P111" s="479"/>
      <c r="Q111" s="479"/>
      <c r="R111" s="479"/>
      <c r="S111" s="479"/>
      <c r="T111" s="479"/>
      <c r="U111" s="479"/>
      <c r="V111" s="479"/>
      <c r="W111" s="479"/>
      <c r="X111" s="479"/>
      <c r="Y111" s="479"/>
    </row>
    <row r="112" spans="2:35" x14ac:dyDescent="0.25">
      <c r="E112" s="479"/>
      <c r="F112" s="479"/>
      <c r="G112" s="479"/>
      <c r="H112" s="479"/>
      <c r="I112" s="479"/>
      <c r="J112" s="479"/>
      <c r="K112" s="479"/>
      <c r="L112" s="479"/>
      <c r="M112" s="479"/>
      <c r="N112" s="479"/>
      <c r="P112" s="479"/>
      <c r="Q112" s="479"/>
      <c r="R112" s="479"/>
      <c r="S112" s="479"/>
      <c r="T112" s="479"/>
      <c r="U112" s="479"/>
      <c r="V112" s="479"/>
      <c r="W112" s="479"/>
      <c r="X112" s="479"/>
      <c r="Y112" s="479"/>
    </row>
    <row r="113" spans="5:25" x14ac:dyDescent="0.25">
      <c r="E113" s="479"/>
      <c r="F113" s="479"/>
      <c r="G113" s="479"/>
      <c r="H113" s="479"/>
      <c r="I113" s="479"/>
      <c r="J113" s="479"/>
      <c r="K113" s="479"/>
      <c r="L113" s="479"/>
      <c r="M113" s="479"/>
      <c r="N113" s="479"/>
      <c r="P113" s="479"/>
      <c r="Q113" s="479"/>
      <c r="R113" s="479"/>
      <c r="S113" s="479"/>
      <c r="T113" s="479"/>
      <c r="U113" s="479"/>
      <c r="V113" s="479"/>
      <c r="W113" s="479"/>
      <c r="X113" s="479"/>
      <c r="Y113" s="479"/>
    </row>
    <row r="114" spans="5:25" x14ac:dyDescent="0.25">
      <c r="E114" s="479"/>
      <c r="F114" s="479"/>
      <c r="G114" s="479"/>
      <c r="H114" s="479"/>
      <c r="I114" s="479"/>
      <c r="J114" s="479"/>
      <c r="K114" s="479"/>
      <c r="L114" s="479"/>
      <c r="M114" s="479"/>
      <c r="N114" s="479"/>
      <c r="P114" s="479"/>
      <c r="Q114" s="479"/>
      <c r="R114" s="479"/>
      <c r="S114" s="479"/>
      <c r="T114" s="479"/>
      <c r="U114" s="479"/>
      <c r="V114" s="479"/>
      <c r="W114" s="479"/>
      <c r="X114" s="479"/>
      <c r="Y114" s="479"/>
    </row>
    <row r="115" spans="5:25" x14ac:dyDescent="0.25">
      <c r="E115" s="479"/>
      <c r="F115" s="479"/>
      <c r="G115" s="479"/>
      <c r="H115" s="479"/>
      <c r="I115" s="479"/>
      <c r="J115" s="479"/>
      <c r="K115" s="479"/>
      <c r="L115" s="479"/>
      <c r="M115" s="479"/>
      <c r="N115" s="479"/>
      <c r="P115" s="479"/>
      <c r="Q115" s="479"/>
      <c r="R115" s="479"/>
      <c r="S115" s="479"/>
      <c r="T115" s="479"/>
      <c r="U115" s="479"/>
      <c r="V115" s="479"/>
      <c r="W115" s="479"/>
      <c r="X115" s="479"/>
      <c r="Y115" s="479"/>
    </row>
    <row r="116" spans="5:25" x14ac:dyDescent="0.25">
      <c r="E116" s="479"/>
      <c r="F116" s="479"/>
      <c r="G116" s="479"/>
      <c r="H116" s="479"/>
      <c r="I116" s="479"/>
      <c r="J116" s="479"/>
      <c r="K116" s="479"/>
      <c r="L116" s="479"/>
      <c r="M116" s="479"/>
      <c r="N116" s="479"/>
      <c r="P116" s="479"/>
      <c r="Q116" s="479"/>
      <c r="R116" s="479"/>
      <c r="S116" s="479"/>
      <c r="T116" s="479"/>
      <c r="U116" s="479"/>
      <c r="V116" s="479"/>
      <c r="W116" s="479"/>
      <c r="X116" s="479"/>
      <c r="Y116" s="479"/>
    </row>
    <row r="117" spans="5:25" x14ac:dyDescent="0.25">
      <c r="E117" s="479"/>
      <c r="F117" s="479"/>
      <c r="G117" s="479"/>
      <c r="H117" s="479"/>
      <c r="I117" s="479"/>
      <c r="J117" s="479"/>
      <c r="K117" s="479"/>
      <c r="L117" s="479"/>
      <c r="M117" s="479"/>
      <c r="N117" s="479"/>
      <c r="P117" s="479"/>
      <c r="Q117" s="479"/>
      <c r="R117" s="479"/>
      <c r="S117" s="479"/>
      <c r="T117" s="479"/>
      <c r="U117" s="479"/>
      <c r="V117" s="479"/>
      <c r="W117" s="479"/>
      <c r="X117" s="479"/>
      <c r="Y117" s="479"/>
    </row>
    <row r="118" spans="5:25" x14ac:dyDescent="0.25">
      <c r="E118" s="479"/>
      <c r="F118" s="479"/>
      <c r="G118" s="479"/>
      <c r="H118" s="479"/>
      <c r="I118" s="479"/>
      <c r="J118" s="479"/>
      <c r="K118" s="479"/>
      <c r="L118" s="479"/>
      <c r="M118" s="479"/>
      <c r="N118" s="479"/>
      <c r="P118" s="479"/>
      <c r="Q118" s="479"/>
      <c r="R118" s="479"/>
      <c r="S118" s="479"/>
      <c r="T118" s="479"/>
      <c r="U118" s="479"/>
      <c r="V118" s="479"/>
      <c r="W118" s="479"/>
      <c r="X118" s="479"/>
      <c r="Y118" s="479"/>
    </row>
  </sheetData>
  <mergeCells count="2">
    <mergeCell ref="C4:D4"/>
    <mergeCell ref="C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D6AD-A4B1-467B-B48F-3C99FEA713D9}">
  <dimension ref="B1:AQ196"/>
  <sheetViews>
    <sheetView workbookViewId="0"/>
  </sheetViews>
  <sheetFormatPr defaultRowHeight="15" x14ac:dyDescent="0.25"/>
  <cols>
    <col min="2" max="2" customWidth="true" width="9.28515625"/>
    <col min="3" max="3" customWidth="true" width="31.5703125"/>
    <col min="4" max="4" bestFit="true" customWidth="true" width="9.42578125"/>
    <col min="12" max="12" style="468" width="8.7109375"/>
    <col min="13" max="13" customWidth="true" width="10.85546875"/>
    <col min="14" max="14" bestFit="true" customWidth="true" style="2" width="9.42578125"/>
    <col min="15" max="15" customWidth="true" width="10.85546875"/>
    <col min="16" max="17" customWidth="true" width="10.28515625"/>
    <col min="22" max="22" customWidth="true" width="9.7109375"/>
    <col min="23" max="23" customWidth="true" width="10.0"/>
    <col min="29" max="29" bestFit="true" customWidth="true" width="16.7109375"/>
    <col min="36" max="36" customWidth="true" width="11.0"/>
  </cols>
  <sheetData>
    <row r="1" spans="3:29" x14ac:dyDescent="0.25">
      <c r="C1" t="s">
        <v>995</v>
      </c>
      <c r="D1" s="2">
        <f>IF(SUM('Rekenblad (2)'!C362:I362)=0,0,1)</f>
        <v>1</v>
      </c>
    </row>
    <row r="2" spans="3:29" x14ac:dyDescent="0.25">
      <c r="T2" s="2"/>
      <c r="U2" s="2"/>
      <c r="V2" s="2"/>
      <c r="W2" s="2"/>
      <c r="X2" s="2"/>
      <c r="Y2" s="2"/>
      <c r="Z2" s="2"/>
      <c r="AA2" s="2"/>
      <c r="AB2" s="2"/>
      <c r="AC2" s="2"/>
    </row>
    <row r="3" spans="3:29" x14ac:dyDescent="0.25">
      <c r="C3" t="s">
        <v>893</v>
      </c>
      <c r="D3" s="2">
        <f>'Rekenblad (2)'!F108</f>
        <v>361</v>
      </c>
      <c r="E3" t="s">
        <v>25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3:29" x14ac:dyDescent="0.25">
      <c r="C4" t="s">
        <v>894</v>
      </c>
      <c r="D4" s="2">
        <f>'Rekenblad (2)'!G108</f>
        <v>557</v>
      </c>
      <c r="E4" t="s">
        <v>25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3:29" x14ac:dyDescent="0.25">
      <c r="C5" t="s">
        <v>916</v>
      </c>
      <c r="D5" s="2">
        <f>(D3/1000)*(D4/1000)</f>
        <v>0.20107700000000001</v>
      </c>
      <c r="E5" t="s">
        <v>508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3:29" x14ac:dyDescent="0.25">
      <c r="D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3:29" x14ac:dyDescent="0.25">
      <c r="C7" s="473" t="s">
        <v>31</v>
      </c>
      <c r="D7" s="23" t="s">
        <v>912</v>
      </c>
      <c r="E7" s="472"/>
      <c r="F7" s="23"/>
      <c r="G7" s="47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3:29" x14ac:dyDescent="0.25">
      <c r="C8" s="431">
        <f>IF(AND($D$3&gt;E8,$D$3&lt;=F8),1,0)</f>
        <v>0</v>
      </c>
      <c r="D8" s="442">
        <f>IF(AND($D$4&gt;E8,$D$4&lt;=F8),1,0)</f>
        <v>0</v>
      </c>
      <c r="E8" s="854">
        <v>0</v>
      </c>
      <c r="F8" s="854">
        <v>100</v>
      </c>
      <c r="G8" s="857">
        <v>30</v>
      </c>
      <c r="T8" s="2"/>
      <c r="U8" s="2"/>
      <c r="V8" s="2"/>
      <c r="W8" s="2"/>
      <c r="X8" s="2"/>
      <c r="Y8" s="2"/>
      <c r="Z8" s="2"/>
      <c r="AA8" s="2"/>
      <c r="AB8" s="2"/>
      <c r="AC8" s="2"/>
    </row>
    <row r="9" spans="3:29" x14ac:dyDescent="0.25">
      <c r="C9" s="26">
        <f t="shared" ref="C9:C23" si="0">IF(AND($D$3&gt;E9,$D$3&lt;=F9),1,0)</f>
        <v>0</v>
      </c>
      <c r="D9" s="12">
        <f t="shared" ref="D9:D23" si="1">IF(AND($D$4&gt;E9,$D$4&lt;=F9),1,0)</f>
        <v>0</v>
      </c>
      <c r="E9" s="855">
        <v>100</v>
      </c>
      <c r="F9" s="855">
        <v>200</v>
      </c>
      <c r="G9" s="851">
        <v>40</v>
      </c>
      <c r="T9" s="2"/>
      <c r="U9" s="2"/>
      <c r="V9" s="2"/>
      <c r="W9" s="2"/>
      <c r="X9" s="2"/>
      <c r="Y9" s="2"/>
      <c r="Z9" s="2"/>
      <c r="AA9" s="2"/>
      <c r="AB9" s="2"/>
      <c r="AC9" s="2"/>
    </row>
    <row r="10" spans="3:29" x14ac:dyDescent="0.25">
      <c r="C10" s="26">
        <f t="shared" si="0"/>
        <v>0</v>
      </c>
      <c r="D10" s="12">
        <f t="shared" si="1"/>
        <v>0</v>
      </c>
      <c r="E10" s="855">
        <v>200</v>
      </c>
      <c r="F10" s="855">
        <v>300</v>
      </c>
      <c r="G10" s="851">
        <v>50</v>
      </c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3:29" x14ac:dyDescent="0.25">
      <c r="C11" s="26">
        <f t="shared" si="0"/>
        <v>1</v>
      </c>
      <c r="D11" s="12">
        <f t="shared" si="1"/>
        <v>0</v>
      </c>
      <c r="E11" s="855">
        <v>300</v>
      </c>
      <c r="F11" s="855">
        <v>400</v>
      </c>
      <c r="G11" s="851">
        <v>60</v>
      </c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3:29" x14ac:dyDescent="0.25">
      <c r="C12" s="26">
        <f t="shared" si="0"/>
        <v>0</v>
      </c>
      <c r="D12" s="12">
        <f t="shared" si="1"/>
        <v>0</v>
      </c>
      <c r="E12" s="855">
        <v>400</v>
      </c>
      <c r="F12" s="855">
        <v>500</v>
      </c>
      <c r="G12" s="851">
        <v>70</v>
      </c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3:29" x14ac:dyDescent="0.25">
      <c r="C13" s="26">
        <f t="shared" si="0"/>
        <v>0</v>
      </c>
      <c r="D13" s="12">
        <f t="shared" si="1"/>
        <v>1</v>
      </c>
      <c r="E13" s="855">
        <v>500</v>
      </c>
      <c r="F13" s="855">
        <v>600</v>
      </c>
      <c r="G13" s="851">
        <v>80</v>
      </c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3:29" x14ac:dyDescent="0.25">
      <c r="C14" s="26">
        <f t="shared" si="0"/>
        <v>0</v>
      </c>
      <c r="D14" s="12">
        <f t="shared" si="1"/>
        <v>0</v>
      </c>
      <c r="E14" s="855">
        <v>600</v>
      </c>
      <c r="F14" s="855">
        <v>700</v>
      </c>
      <c r="G14" s="851">
        <v>100</v>
      </c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3:29" x14ac:dyDescent="0.25">
      <c r="C15" s="26">
        <f t="shared" si="0"/>
        <v>0</v>
      </c>
      <c r="D15" s="12">
        <f t="shared" si="1"/>
        <v>0</v>
      </c>
      <c r="E15" s="855">
        <v>700</v>
      </c>
      <c r="F15" s="855">
        <v>800</v>
      </c>
      <c r="G15" s="851">
        <v>120</v>
      </c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3:29" x14ac:dyDescent="0.25">
      <c r="C16" s="26">
        <f t="shared" si="0"/>
        <v>0</v>
      </c>
      <c r="D16" s="12">
        <f t="shared" si="1"/>
        <v>0</v>
      </c>
      <c r="E16" s="855">
        <v>800</v>
      </c>
      <c r="F16" s="855">
        <v>900</v>
      </c>
      <c r="G16" s="851">
        <v>140</v>
      </c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3:29" x14ac:dyDescent="0.25">
      <c r="C17" s="26">
        <f t="shared" si="0"/>
        <v>0</v>
      </c>
      <c r="D17" s="12">
        <f t="shared" si="1"/>
        <v>0</v>
      </c>
      <c r="E17" s="855">
        <v>900</v>
      </c>
      <c r="F17" s="855">
        <v>1000</v>
      </c>
      <c r="G17" s="851">
        <v>160</v>
      </c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3:29" x14ac:dyDescent="0.25">
      <c r="C18" s="26">
        <f t="shared" si="0"/>
        <v>0</v>
      </c>
      <c r="D18" s="12">
        <f t="shared" si="1"/>
        <v>0</v>
      </c>
      <c r="E18" s="855">
        <v>1000</v>
      </c>
      <c r="F18" s="855">
        <v>1200</v>
      </c>
      <c r="G18" s="851">
        <v>180</v>
      </c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3:29" x14ac:dyDescent="0.25">
      <c r="C19" s="26">
        <f t="shared" si="0"/>
        <v>0</v>
      </c>
      <c r="D19" s="12">
        <f t="shared" si="1"/>
        <v>0</v>
      </c>
      <c r="E19" s="855">
        <v>1200</v>
      </c>
      <c r="F19" s="855">
        <v>1400</v>
      </c>
      <c r="G19" s="851">
        <v>190</v>
      </c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3:29" x14ac:dyDescent="0.25">
      <c r="C20" s="26">
        <f t="shared" si="0"/>
        <v>0</v>
      </c>
      <c r="D20" s="12">
        <f t="shared" si="1"/>
        <v>0</v>
      </c>
      <c r="E20" s="855">
        <v>1400</v>
      </c>
      <c r="F20" s="855">
        <v>1600</v>
      </c>
      <c r="G20" s="851">
        <v>200</v>
      </c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3:29" x14ac:dyDescent="0.25">
      <c r="C21" s="26">
        <f t="shared" si="0"/>
        <v>0</v>
      </c>
      <c r="D21" s="12">
        <f t="shared" si="1"/>
        <v>0</v>
      </c>
      <c r="E21" s="855">
        <v>1600</v>
      </c>
      <c r="F21" s="855">
        <v>1800</v>
      </c>
      <c r="G21" s="851">
        <v>210</v>
      </c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3:29" x14ac:dyDescent="0.25">
      <c r="C22" s="26">
        <f t="shared" si="0"/>
        <v>0</v>
      </c>
      <c r="D22" s="12">
        <f t="shared" si="1"/>
        <v>0</v>
      </c>
      <c r="E22" s="855">
        <v>1800</v>
      </c>
      <c r="F22" s="855">
        <v>2000</v>
      </c>
      <c r="G22" s="851">
        <v>220</v>
      </c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3:29" x14ac:dyDescent="0.25">
      <c r="C23" s="432">
        <f t="shared" si="0"/>
        <v>0</v>
      </c>
      <c r="D23" s="13">
        <f t="shared" si="1"/>
        <v>0</v>
      </c>
      <c r="E23" s="856">
        <v>2000</v>
      </c>
      <c r="F23" s="856">
        <v>99999</v>
      </c>
      <c r="G23" s="853">
        <v>240</v>
      </c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3:29" x14ac:dyDescent="0.25">
      <c r="C24" s="208">
        <f>VLOOKUP(1,C8:G23,5,FALSE)</f>
        <v>60</v>
      </c>
      <c r="D24" s="473">
        <f>VLOOKUP(1,D8:G23,4,FALSE)</f>
        <v>80</v>
      </c>
      <c r="E24" s="43"/>
      <c r="F24" s="23"/>
      <c r="G24" s="44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3:29" x14ac:dyDescent="0.25">
      <c r="D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3:29" x14ac:dyDescent="0.25">
      <c r="D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3:29" x14ac:dyDescent="0.25">
      <c r="D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3:29" x14ac:dyDescent="0.25">
      <c r="C28" s="213"/>
      <c r="D28" s="23"/>
      <c r="E28" s="873">
        <v>1</v>
      </c>
      <c r="F28" s="873">
        <v>2</v>
      </c>
      <c r="G28" s="873">
        <v>3</v>
      </c>
      <c r="H28" s="873">
        <v>4</v>
      </c>
      <c r="I28" s="873">
        <v>5</v>
      </c>
      <c r="J28" s="873">
        <v>6</v>
      </c>
      <c r="K28" s="873">
        <v>7</v>
      </c>
      <c r="L28" s="873">
        <v>8</v>
      </c>
      <c r="M28" s="873">
        <v>9</v>
      </c>
      <c r="N28" s="873">
        <v>10</v>
      </c>
      <c r="O28" s="873">
        <v>11</v>
      </c>
      <c r="P28" s="873">
        <v>12</v>
      </c>
      <c r="Q28" s="873">
        <v>13</v>
      </c>
      <c r="R28" s="873">
        <v>14</v>
      </c>
      <c r="S28" s="873">
        <v>15</v>
      </c>
      <c r="T28" s="873">
        <v>16</v>
      </c>
      <c r="U28" s="873">
        <v>17</v>
      </c>
      <c r="V28" s="873">
        <v>18</v>
      </c>
      <c r="W28" s="873">
        <v>19</v>
      </c>
      <c r="X28" s="873">
        <v>20</v>
      </c>
      <c r="Y28" s="873">
        <v>21</v>
      </c>
      <c r="Z28" s="873">
        <v>22</v>
      </c>
      <c r="AA28" s="873">
        <v>23</v>
      </c>
      <c r="AB28" s="873">
        <v>24</v>
      </c>
      <c r="AC28" s="874">
        <v>25</v>
      </c>
    </row>
    <row r="29" spans="3:29" x14ac:dyDescent="0.25">
      <c r="C29" s="845" t="s">
        <v>922</v>
      </c>
      <c r="D29" s="845" t="s">
        <v>898</v>
      </c>
      <c r="E29" s="845" t="s">
        <v>108</v>
      </c>
      <c r="F29" s="845" t="s">
        <v>61</v>
      </c>
      <c r="G29" s="846" t="s">
        <v>899</v>
      </c>
      <c r="H29" s="845" t="s">
        <v>898</v>
      </c>
      <c r="I29" s="845" t="s">
        <v>898</v>
      </c>
      <c r="J29" s="845" t="s">
        <v>898</v>
      </c>
      <c r="L29" s="859" t="s">
        <v>905</v>
      </c>
      <c r="M29" s="845" t="s">
        <v>907</v>
      </c>
      <c r="N29" s="442" t="s">
        <v>910</v>
      </c>
      <c r="O29" s="404" t="s">
        <v>911</v>
      </c>
      <c r="P29" s="442" t="s">
        <v>913</v>
      </c>
      <c r="Q29" s="442" t="s">
        <v>6</v>
      </c>
      <c r="S29" s="845" t="s">
        <v>906</v>
      </c>
      <c r="T29" s="845" t="s">
        <v>907</v>
      </c>
      <c r="U29" s="442" t="s">
        <v>801</v>
      </c>
      <c r="V29" s="404" t="s">
        <v>911</v>
      </c>
      <c r="W29" s="442" t="s">
        <v>913</v>
      </c>
      <c r="X29" s="442" t="s">
        <v>6</v>
      </c>
      <c r="Y29" s="2"/>
      <c r="Z29" s="442" t="s">
        <v>915</v>
      </c>
      <c r="AA29" s="442" t="s">
        <v>605</v>
      </c>
      <c r="AB29" s="442" t="s">
        <v>919</v>
      </c>
      <c r="AC29" s="442" t="s">
        <v>898</v>
      </c>
    </row>
    <row r="30" spans="3:29" x14ac:dyDescent="0.25">
      <c r="C30" s="848">
        <f>MAX(C31:C69)</f>
        <v>39</v>
      </c>
      <c r="D30" s="848" t="s">
        <v>900</v>
      </c>
      <c r="E30" s="848" t="s">
        <v>901</v>
      </c>
      <c r="F30" s="848" t="s">
        <v>810</v>
      </c>
      <c r="G30" s="849" t="s">
        <v>902</v>
      </c>
      <c r="H30" s="848" t="s">
        <v>903</v>
      </c>
      <c r="I30" s="848" t="s">
        <v>897</v>
      </c>
      <c r="J30" s="848" t="s">
        <v>904</v>
      </c>
      <c r="L30" s="342"/>
      <c r="M30" s="52"/>
      <c r="N30" s="13"/>
      <c r="O30" s="52"/>
      <c r="P30" s="13" t="s">
        <v>911</v>
      </c>
      <c r="Q30" s="13" t="s">
        <v>914</v>
      </c>
      <c r="S30" s="13"/>
      <c r="T30" s="52"/>
      <c r="U30" s="13"/>
      <c r="V30" s="52"/>
      <c r="W30" s="13" t="s">
        <v>911</v>
      </c>
      <c r="X30" s="13" t="s">
        <v>914</v>
      </c>
      <c r="Y30" s="2"/>
      <c r="Z30" s="13" t="s">
        <v>898</v>
      </c>
      <c r="AA30" s="13" t="s">
        <v>920</v>
      </c>
      <c r="AB30" s="13" t="s">
        <v>918</v>
      </c>
      <c r="AC30" s="13" t="s">
        <v>921</v>
      </c>
    </row>
    <row r="31" spans="3:29" x14ac:dyDescent="0.25">
      <c r="C31" s="845">
        <f>IF(Z31&gt;0,1,0)</f>
        <v>1</v>
      </c>
      <c r="D31" s="851">
        <v>10</v>
      </c>
      <c r="E31" s="845">
        <v>1</v>
      </c>
      <c r="F31" s="851">
        <v>1</v>
      </c>
      <c r="G31" s="851">
        <v>1200</v>
      </c>
      <c r="H31" s="851">
        <v>800</v>
      </c>
      <c r="I31" s="851">
        <v>1</v>
      </c>
      <c r="J31" s="851">
        <v>0</v>
      </c>
      <c r="L31" s="340">
        <f t="shared" ref="L31:L69" si="2">G31/$D$4</f>
        <v>2.1543985637342908</v>
      </c>
      <c r="M31" s="12">
        <f>FLOOR(L31,1)</f>
        <v>2</v>
      </c>
      <c r="N31" s="860">
        <f>(1-(L31-M31))</f>
        <v>0.84560143626570916</v>
      </c>
      <c r="O31" s="861">
        <f>$D$4-((L31-M31)*$D$4)</f>
        <v>471</v>
      </c>
      <c r="P31" s="846">
        <f>$D$24*2</f>
        <v>160</v>
      </c>
      <c r="Q31" s="861">
        <f>IF(P31&gt;=O31,M31+1,M31)</f>
        <v>2</v>
      </c>
      <c r="S31" s="340">
        <f t="shared" ref="S31:S69" si="3">H31/$D$3</f>
        <v>2.21606648199446</v>
      </c>
      <c r="T31" s="12">
        <f>FLOOR(S31,1)</f>
        <v>2</v>
      </c>
      <c r="U31" s="860">
        <f>(1-(S31-T31))</f>
        <v>0.78393351800554001</v>
      </c>
      <c r="V31" s="861">
        <f>$D$3-((S31-T31)*$D$3)</f>
        <v>282.99999999999994</v>
      </c>
      <c r="W31" s="846">
        <f>$C$24*2</f>
        <v>120</v>
      </c>
      <c r="X31" s="861">
        <f>IF(W31&gt;=V31,T31+1,T31)</f>
        <v>2</v>
      </c>
      <c r="Y31" s="2"/>
      <c r="Z31" s="12">
        <f>Q31*X31</f>
        <v>4</v>
      </c>
      <c r="AA31" s="12">
        <f>Z31*$D$5</f>
        <v>0.80430800000000002</v>
      </c>
      <c r="AB31" s="12">
        <f>(G31/1000)*(H31/1000)</f>
        <v>0.96</v>
      </c>
      <c r="AC31" s="864">
        <f>IF(Z31&gt;0,AA31/AB31,0)</f>
        <v>0.83782083333333335</v>
      </c>
    </row>
    <row r="32" spans="3:29" x14ac:dyDescent="0.25">
      <c r="C32" s="850">
        <f>IF(Z32&gt;0,MAX(C31)+1,0)</f>
        <v>2</v>
      </c>
      <c r="D32" s="851">
        <v>20</v>
      </c>
      <c r="E32" s="850">
        <v>2</v>
      </c>
      <c r="F32" s="851">
        <v>1</v>
      </c>
      <c r="G32" s="851">
        <v>1200</v>
      </c>
      <c r="H32" s="851">
        <v>1000</v>
      </c>
      <c r="I32" s="851">
        <v>0</v>
      </c>
      <c r="J32" s="851">
        <v>1</v>
      </c>
      <c r="L32" s="340">
        <f t="shared" si="2"/>
        <v>2.1543985637342908</v>
      </c>
      <c r="M32" s="12">
        <f t="shared" ref="M32:M69" si="4">FLOOR(L32,1)</f>
        <v>2</v>
      </c>
      <c r="N32" s="860">
        <f t="shared" ref="N32:N69" si="5">(1-(L32-M32))</f>
        <v>0.84560143626570916</v>
      </c>
      <c r="O32" s="861">
        <f>$D$4-((L32-M32)*$D$4)</f>
        <v>471</v>
      </c>
      <c r="P32" s="861">
        <f t="shared" ref="P32:P69" si="6">$D$24*2</f>
        <v>160</v>
      </c>
      <c r="Q32" s="861">
        <f t="shared" ref="Q32:Q69" si="7">IF(P32&gt;=O32,M32+1,M32)</f>
        <v>2</v>
      </c>
      <c r="S32" s="340">
        <f t="shared" si="3"/>
        <v>2.770083102493075</v>
      </c>
      <c r="T32" s="12">
        <f t="shared" ref="T32:T69" si="8">FLOOR(S32,1)</f>
        <v>2</v>
      </c>
      <c r="U32" s="860">
        <f t="shared" ref="U32:U69" si="9">(1-(S32-T32))</f>
        <v>0.22991689750692501</v>
      </c>
      <c r="V32" s="861">
        <f t="shared" ref="V32:V69" si="10">$D$3-((S32-T32)*$D$3)</f>
        <v>82.999999999999943</v>
      </c>
      <c r="W32" s="861">
        <f t="shared" ref="W32:W69" si="11">$C$24*2</f>
        <v>120</v>
      </c>
      <c r="X32" s="861">
        <f t="shared" ref="X32:X69" si="12">IF(W32&gt;=V32,T32+1,T32)</f>
        <v>3</v>
      </c>
      <c r="Y32" s="2"/>
      <c r="Z32" s="12">
        <f t="shared" ref="Z32:Z69" si="13">Q32*X32</f>
        <v>6</v>
      </c>
      <c r="AA32" s="12">
        <f>Z32*$D$5</f>
        <v>1.2064620000000001</v>
      </c>
      <c r="AB32" s="12">
        <f t="shared" ref="AB32:AB69" si="14">(G32/1000)*(H32/1000)</f>
        <v>1.2</v>
      </c>
      <c r="AC32" s="864">
        <f t="shared" ref="AC32:AC69" si="15">IF(Z32&gt;0,AA32/AB32,0)</f>
        <v>1.0053850000000002</v>
      </c>
    </row>
    <row r="33" spans="3:29" x14ac:dyDescent="0.25">
      <c r="C33" s="850">
        <f>IF(Z33&gt;0,MAX(C31:C32)+1,0)</f>
        <v>3</v>
      </c>
      <c r="D33" s="851">
        <v>10</v>
      </c>
      <c r="E33" s="850">
        <v>3</v>
      </c>
      <c r="F33" s="851">
        <v>2</v>
      </c>
      <c r="G33" s="852">
        <v>1600</v>
      </c>
      <c r="H33" s="851">
        <v>1200</v>
      </c>
      <c r="I33" s="851">
        <v>2</v>
      </c>
      <c r="J33" s="851">
        <v>0</v>
      </c>
      <c r="L33" s="340">
        <f t="shared" si="2"/>
        <v>2.8725314183123878</v>
      </c>
      <c r="M33" s="12">
        <f t="shared" si="4"/>
        <v>2</v>
      </c>
      <c r="N33" s="860">
        <f t="shared" si="5"/>
        <v>0.12746858168761221</v>
      </c>
      <c r="O33" s="861">
        <f t="shared" ref="O33:O68" si="16">$D$4-((L33-M33)*$D$4)</f>
        <v>71</v>
      </c>
      <c r="P33" s="861">
        <f t="shared" si="6"/>
        <v>160</v>
      </c>
      <c r="Q33" s="861">
        <f t="shared" si="7"/>
        <v>3</v>
      </c>
      <c r="S33" s="340">
        <f t="shared" si="3"/>
        <v>3.3240997229916895</v>
      </c>
      <c r="T33" s="12">
        <f t="shared" si="8"/>
        <v>3</v>
      </c>
      <c r="U33" s="860">
        <f t="shared" si="9"/>
        <v>0.67590027700831046</v>
      </c>
      <c r="V33" s="861">
        <f t="shared" si="10"/>
        <v>244.00000000000006</v>
      </c>
      <c r="W33" s="861">
        <f t="shared" si="11"/>
        <v>120</v>
      </c>
      <c r="X33" s="861">
        <f t="shared" si="12"/>
        <v>3</v>
      </c>
      <c r="Y33" s="2"/>
      <c r="Z33" s="12">
        <f t="shared" si="13"/>
        <v>9</v>
      </c>
      <c r="AA33" s="12">
        <f t="shared" ref="AA33:AA69" si="17">Z33*$D$5</f>
        <v>1.809693</v>
      </c>
      <c r="AB33" s="12">
        <f t="shared" si="14"/>
        <v>1.92</v>
      </c>
      <c r="AC33" s="864">
        <f t="shared" si="15"/>
        <v>0.94254843750000006</v>
      </c>
    </row>
    <row r="34" spans="3:29" x14ac:dyDescent="0.25">
      <c r="C34" s="850">
        <f>IF(Z34&gt;0,MAX(C31:C33)+1,0)</f>
        <v>4</v>
      </c>
      <c r="D34" s="851">
        <v>10</v>
      </c>
      <c r="E34" s="850">
        <v>4</v>
      </c>
      <c r="F34" s="851">
        <v>2</v>
      </c>
      <c r="G34" s="851">
        <v>2400</v>
      </c>
      <c r="H34" s="851">
        <v>800</v>
      </c>
      <c r="I34" s="851">
        <v>2</v>
      </c>
      <c r="J34" s="851">
        <v>0</v>
      </c>
      <c r="L34" s="340">
        <f t="shared" si="2"/>
        <v>4.3087971274685817</v>
      </c>
      <c r="M34" s="12">
        <f t="shared" si="4"/>
        <v>4</v>
      </c>
      <c r="N34" s="860">
        <f t="shared" si="5"/>
        <v>0.69120287253141832</v>
      </c>
      <c r="O34" s="861">
        <f t="shared" si="16"/>
        <v>385</v>
      </c>
      <c r="P34" s="861">
        <f t="shared" si="6"/>
        <v>160</v>
      </c>
      <c r="Q34" s="861">
        <f t="shared" si="7"/>
        <v>4</v>
      </c>
      <c r="S34" s="340">
        <f t="shared" si="3"/>
        <v>2.21606648199446</v>
      </c>
      <c r="T34" s="12">
        <f t="shared" si="8"/>
        <v>2</v>
      </c>
      <c r="U34" s="860">
        <f t="shared" si="9"/>
        <v>0.78393351800554001</v>
      </c>
      <c r="V34" s="861">
        <f t="shared" si="10"/>
        <v>282.99999999999994</v>
      </c>
      <c r="W34" s="861">
        <f t="shared" si="11"/>
        <v>120</v>
      </c>
      <c r="X34" s="861">
        <f t="shared" si="12"/>
        <v>2</v>
      </c>
      <c r="Y34" s="2"/>
      <c r="Z34" s="12">
        <f t="shared" si="13"/>
        <v>8</v>
      </c>
      <c r="AA34" s="12">
        <f t="shared" si="17"/>
        <v>1.608616</v>
      </c>
      <c r="AB34" s="12">
        <f t="shared" si="14"/>
        <v>1.92</v>
      </c>
      <c r="AC34" s="864">
        <f t="shared" si="15"/>
        <v>0.83782083333333335</v>
      </c>
    </row>
    <row r="35" spans="3:29" x14ac:dyDescent="0.25">
      <c r="C35" s="850">
        <f>IF(Z35&gt;0,MAX(C31:C34)+1,0)</f>
        <v>5</v>
      </c>
      <c r="D35" s="851">
        <v>20</v>
      </c>
      <c r="E35" s="850">
        <v>5</v>
      </c>
      <c r="F35" s="851">
        <v>2</v>
      </c>
      <c r="G35" s="851">
        <v>2000</v>
      </c>
      <c r="H35" s="851">
        <v>1200</v>
      </c>
      <c r="I35" s="851">
        <v>0</v>
      </c>
      <c r="J35" s="851">
        <v>2</v>
      </c>
      <c r="L35" s="340">
        <f t="shared" si="2"/>
        <v>3.5906642728904847</v>
      </c>
      <c r="M35" s="12">
        <f t="shared" si="4"/>
        <v>3</v>
      </c>
      <c r="N35" s="860">
        <f t="shared" si="5"/>
        <v>0.40933572710951527</v>
      </c>
      <c r="O35" s="861">
        <f t="shared" si="16"/>
        <v>228</v>
      </c>
      <c r="P35" s="861">
        <f t="shared" si="6"/>
        <v>160</v>
      </c>
      <c r="Q35" s="861">
        <f t="shared" si="7"/>
        <v>3</v>
      </c>
      <c r="S35" s="340">
        <f t="shared" si="3"/>
        <v>3.3240997229916895</v>
      </c>
      <c r="T35" s="12">
        <f t="shared" si="8"/>
        <v>3</v>
      </c>
      <c r="U35" s="860">
        <f t="shared" si="9"/>
        <v>0.67590027700831046</v>
      </c>
      <c r="V35" s="861">
        <f t="shared" si="10"/>
        <v>244.00000000000006</v>
      </c>
      <c r="W35" s="861">
        <f t="shared" si="11"/>
        <v>120</v>
      </c>
      <c r="X35" s="861">
        <f t="shared" si="12"/>
        <v>3</v>
      </c>
      <c r="Y35" s="2"/>
      <c r="Z35" s="12">
        <f t="shared" si="13"/>
        <v>9</v>
      </c>
      <c r="AA35" s="12">
        <f t="shared" si="17"/>
        <v>1.809693</v>
      </c>
      <c r="AB35" s="12">
        <f t="shared" si="14"/>
        <v>2.4</v>
      </c>
      <c r="AC35" s="864">
        <f t="shared" si="15"/>
        <v>0.75403874999999998</v>
      </c>
    </row>
    <row r="36" spans="3:29" x14ac:dyDescent="0.25">
      <c r="C36" s="850">
        <f>IF(Z36&gt;0,MAX(C31:C35)+1,0)</f>
        <v>6</v>
      </c>
      <c r="D36" s="851">
        <v>20</v>
      </c>
      <c r="E36" s="850">
        <v>6</v>
      </c>
      <c r="F36" s="851">
        <v>2</v>
      </c>
      <c r="G36" s="851">
        <v>2400</v>
      </c>
      <c r="H36" s="851">
        <v>1000</v>
      </c>
      <c r="I36" s="851">
        <v>0</v>
      </c>
      <c r="J36" s="851">
        <v>2</v>
      </c>
      <c r="L36" s="340">
        <f t="shared" si="2"/>
        <v>4.3087971274685817</v>
      </c>
      <c r="M36" s="12">
        <f t="shared" si="4"/>
        <v>4</v>
      </c>
      <c r="N36" s="860">
        <f t="shared" si="5"/>
        <v>0.69120287253141832</v>
      </c>
      <c r="O36" s="861">
        <f t="shared" si="16"/>
        <v>385</v>
      </c>
      <c r="P36" s="861">
        <f t="shared" si="6"/>
        <v>160</v>
      </c>
      <c r="Q36" s="861">
        <f t="shared" si="7"/>
        <v>4</v>
      </c>
      <c r="S36" s="340">
        <f t="shared" si="3"/>
        <v>2.770083102493075</v>
      </c>
      <c r="T36" s="12">
        <f t="shared" si="8"/>
        <v>2</v>
      </c>
      <c r="U36" s="860">
        <f t="shared" si="9"/>
        <v>0.22991689750692501</v>
      </c>
      <c r="V36" s="861">
        <f t="shared" si="10"/>
        <v>82.999999999999943</v>
      </c>
      <c r="W36" s="861">
        <f t="shared" si="11"/>
        <v>120</v>
      </c>
      <c r="X36" s="861">
        <f t="shared" si="12"/>
        <v>3</v>
      </c>
      <c r="Y36" s="2"/>
      <c r="Z36" s="12">
        <f t="shared" si="13"/>
        <v>12</v>
      </c>
      <c r="AA36" s="12">
        <f t="shared" si="17"/>
        <v>2.4129240000000003</v>
      </c>
      <c r="AB36" s="12">
        <f t="shared" si="14"/>
        <v>2.4</v>
      </c>
      <c r="AC36" s="864">
        <f t="shared" si="15"/>
        <v>1.0053850000000002</v>
      </c>
    </row>
    <row r="37" spans="3:29" x14ac:dyDescent="0.25">
      <c r="C37" s="850">
        <f>IF(Z37&gt;0,MAX(C31:C36)+1,0)</f>
        <v>7</v>
      </c>
      <c r="D37" s="851">
        <v>10</v>
      </c>
      <c r="E37" s="850">
        <v>7</v>
      </c>
      <c r="F37" s="851">
        <v>3</v>
      </c>
      <c r="G37" s="851">
        <v>2400</v>
      </c>
      <c r="H37" s="851">
        <v>1200</v>
      </c>
      <c r="I37" s="851">
        <v>3</v>
      </c>
      <c r="J37" s="851">
        <v>0</v>
      </c>
      <c r="L37" s="340">
        <f t="shared" si="2"/>
        <v>4.3087971274685817</v>
      </c>
      <c r="M37" s="12">
        <f t="shared" si="4"/>
        <v>4</v>
      </c>
      <c r="N37" s="860">
        <f t="shared" si="5"/>
        <v>0.69120287253141832</v>
      </c>
      <c r="O37" s="861">
        <f t="shared" si="16"/>
        <v>385</v>
      </c>
      <c r="P37" s="861">
        <f t="shared" si="6"/>
        <v>160</v>
      </c>
      <c r="Q37" s="861">
        <f t="shared" si="7"/>
        <v>4</v>
      </c>
      <c r="S37" s="340">
        <f t="shared" si="3"/>
        <v>3.3240997229916895</v>
      </c>
      <c r="T37" s="12">
        <f t="shared" si="8"/>
        <v>3</v>
      </c>
      <c r="U37" s="860">
        <f t="shared" si="9"/>
        <v>0.67590027700831046</v>
      </c>
      <c r="V37" s="861">
        <f t="shared" si="10"/>
        <v>244.00000000000006</v>
      </c>
      <c r="W37" s="861">
        <f t="shared" si="11"/>
        <v>120</v>
      </c>
      <c r="X37" s="861">
        <f t="shared" si="12"/>
        <v>3</v>
      </c>
      <c r="Y37" s="2"/>
      <c r="Z37" s="12">
        <f t="shared" si="13"/>
        <v>12</v>
      </c>
      <c r="AA37" s="12">
        <f t="shared" si="17"/>
        <v>2.4129240000000003</v>
      </c>
      <c r="AB37" s="12">
        <f t="shared" si="14"/>
        <v>2.88</v>
      </c>
      <c r="AC37" s="864">
        <f t="shared" si="15"/>
        <v>0.83782083333333346</v>
      </c>
    </row>
    <row r="38" spans="3:29" x14ac:dyDescent="0.25">
      <c r="C38" s="850">
        <f>IF(Z38&gt;0,MAX(C31:C37)+1,0)</f>
        <v>8</v>
      </c>
      <c r="D38" s="851">
        <v>10</v>
      </c>
      <c r="E38" s="850">
        <v>8</v>
      </c>
      <c r="F38" s="851">
        <v>3</v>
      </c>
      <c r="G38" s="851">
        <v>3600</v>
      </c>
      <c r="H38" s="851">
        <v>800</v>
      </c>
      <c r="I38" s="851">
        <v>3</v>
      </c>
      <c r="J38" s="851">
        <v>0</v>
      </c>
      <c r="L38" s="340">
        <f t="shared" si="2"/>
        <v>6.4631956912028725</v>
      </c>
      <c r="M38" s="12">
        <f t="shared" si="4"/>
        <v>6</v>
      </c>
      <c r="N38" s="860">
        <f t="shared" si="5"/>
        <v>0.53680430879712748</v>
      </c>
      <c r="O38" s="861">
        <f t="shared" si="16"/>
        <v>299</v>
      </c>
      <c r="P38" s="861">
        <f t="shared" si="6"/>
        <v>160</v>
      </c>
      <c r="Q38" s="861">
        <f t="shared" si="7"/>
        <v>6</v>
      </c>
      <c r="S38" s="340">
        <f t="shared" si="3"/>
        <v>2.21606648199446</v>
      </c>
      <c r="T38" s="12">
        <f t="shared" si="8"/>
        <v>2</v>
      </c>
      <c r="U38" s="860">
        <f t="shared" si="9"/>
        <v>0.78393351800554001</v>
      </c>
      <c r="V38" s="861">
        <f t="shared" si="10"/>
        <v>282.99999999999994</v>
      </c>
      <c r="W38" s="861">
        <f t="shared" si="11"/>
        <v>120</v>
      </c>
      <c r="X38" s="861">
        <f t="shared" si="12"/>
        <v>2</v>
      </c>
      <c r="Y38" s="2"/>
      <c r="Z38" s="12">
        <f t="shared" si="13"/>
        <v>12</v>
      </c>
      <c r="AA38" s="12">
        <f t="shared" si="17"/>
        <v>2.4129240000000003</v>
      </c>
      <c r="AB38" s="12">
        <f t="shared" si="14"/>
        <v>2.8800000000000003</v>
      </c>
      <c r="AC38" s="864">
        <f t="shared" si="15"/>
        <v>0.83782083333333335</v>
      </c>
    </row>
    <row r="39" spans="3:29" x14ac:dyDescent="0.25">
      <c r="C39" s="850">
        <f>IF(Z39&gt;0,MAX(C31:C38)+1,0)</f>
        <v>9</v>
      </c>
      <c r="D39" s="851">
        <v>20</v>
      </c>
      <c r="E39" s="850">
        <v>9</v>
      </c>
      <c r="F39" s="851">
        <v>3</v>
      </c>
      <c r="G39" s="851">
        <v>3000</v>
      </c>
      <c r="H39" s="851">
        <v>1200</v>
      </c>
      <c r="I39" s="851">
        <v>0</v>
      </c>
      <c r="J39" s="851">
        <v>3</v>
      </c>
      <c r="L39" s="340">
        <f t="shared" si="2"/>
        <v>5.3859964093357275</v>
      </c>
      <c r="M39" s="12">
        <f t="shared" si="4"/>
        <v>5</v>
      </c>
      <c r="N39" s="860">
        <f t="shared" si="5"/>
        <v>0.61400359066427246</v>
      </c>
      <c r="O39" s="861">
        <f t="shared" si="16"/>
        <v>341.99999999999977</v>
      </c>
      <c r="P39" s="861">
        <f t="shared" si="6"/>
        <v>160</v>
      </c>
      <c r="Q39" s="861">
        <f t="shared" si="7"/>
        <v>5</v>
      </c>
      <c r="S39" s="340">
        <f t="shared" si="3"/>
        <v>3.3240997229916895</v>
      </c>
      <c r="T39" s="12">
        <f t="shared" si="8"/>
        <v>3</v>
      </c>
      <c r="U39" s="860">
        <f t="shared" si="9"/>
        <v>0.67590027700831046</v>
      </c>
      <c r="V39" s="861">
        <f t="shared" si="10"/>
        <v>244.00000000000006</v>
      </c>
      <c r="W39" s="861">
        <f t="shared" si="11"/>
        <v>120</v>
      </c>
      <c r="X39" s="861">
        <f t="shared" si="12"/>
        <v>3</v>
      </c>
      <c r="Y39" s="2"/>
      <c r="Z39" s="12">
        <f t="shared" si="13"/>
        <v>15</v>
      </c>
      <c r="AA39" s="12">
        <f t="shared" si="17"/>
        <v>3.0161549999999999</v>
      </c>
      <c r="AB39" s="12">
        <f t="shared" si="14"/>
        <v>3.5999999999999996</v>
      </c>
      <c r="AC39" s="864">
        <f t="shared" si="15"/>
        <v>0.83782083333333335</v>
      </c>
    </row>
    <row r="40" spans="3:29" x14ac:dyDescent="0.25">
      <c r="C40" s="850">
        <f>IF(Z40&gt;0,MAX(C31:C39)+1,0)</f>
        <v>10</v>
      </c>
      <c r="D40" s="851">
        <v>20</v>
      </c>
      <c r="E40" s="850">
        <v>10</v>
      </c>
      <c r="F40" s="851">
        <v>3</v>
      </c>
      <c r="G40" s="851">
        <v>3600</v>
      </c>
      <c r="H40" s="851">
        <v>1000</v>
      </c>
      <c r="I40" s="851">
        <v>0</v>
      </c>
      <c r="J40" s="851">
        <v>3</v>
      </c>
      <c r="L40" s="340">
        <f t="shared" si="2"/>
        <v>6.4631956912028725</v>
      </c>
      <c r="M40" s="12">
        <f t="shared" si="4"/>
        <v>6</v>
      </c>
      <c r="N40" s="860">
        <f t="shared" si="5"/>
        <v>0.53680430879712748</v>
      </c>
      <c r="O40" s="861">
        <f t="shared" si="16"/>
        <v>299</v>
      </c>
      <c r="P40" s="861">
        <f t="shared" si="6"/>
        <v>160</v>
      </c>
      <c r="Q40" s="861">
        <f t="shared" si="7"/>
        <v>6</v>
      </c>
      <c r="S40" s="340">
        <f t="shared" si="3"/>
        <v>2.770083102493075</v>
      </c>
      <c r="T40" s="12">
        <f t="shared" si="8"/>
        <v>2</v>
      </c>
      <c r="U40" s="860">
        <f t="shared" si="9"/>
        <v>0.22991689750692501</v>
      </c>
      <c r="V40" s="861">
        <f t="shared" si="10"/>
        <v>82.999999999999943</v>
      </c>
      <c r="W40" s="861">
        <f t="shared" si="11"/>
        <v>120</v>
      </c>
      <c r="X40" s="861">
        <f t="shared" si="12"/>
        <v>3</v>
      </c>
      <c r="Y40" s="2"/>
      <c r="Z40" s="12">
        <f t="shared" si="13"/>
        <v>18</v>
      </c>
      <c r="AA40" s="12">
        <f t="shared" si="17"/>
        <v>3.619386</v>
      </c>
      <c r="AB40" s="12">
        <f t="shared" si="14"/>
        <v>3.6</v>
      </c>
      <c r="AC40" s="864">
        <f t="shared" si="15"/>
        <v>1.005385</v>
      </c>
    </row>
    <row r="41" spans="3:29" x14ac:dyDescent="0.25">
      <c r="C41" s="850">
        <f>IF(Z41&gt;0,MAX(C31:C40)+1,0)</f>
        <v>11</v>
      </c>
      <c r="D41" s="851">
        <v>10</v>
      </c>
      <c r="E41" s="850">
        <v>11</v>
      </c>
      <c r="F41" s="851">
        <v>4</v>
      </c>
      <c r="G41" s="851">
        <v>2400</v>
      </c>
      <c r="H41" s="851">
        <v>1600</v>
      </c>
      <c r="I41" s="851">
        <v>4</v>
      </c>
      <c r="J41" s="851">
        <v>0</v>
      </c>
      <c r="L41" s="340">
        <f t="shared" si="2"/>
        <v>4.3087971274685817</v>
      </c>
      <c r="M41" s="12">
        <f t="shared" si="4"/>
        <v>4</v>
      </c>
      <c r="N41" s="860">
        <f t="shared" si="5"/>
        <v>0.69120287253141832</v>
      </c>
      <c r="O41" s="861">
        <f t="shared" si="16"/>
        <v>385</v>
      </c>
      <c r="P41" s="861">
        <f t="shared" si="6"/>
        <v>160</v>
      </c>
      <c r="Q41" s="861">
        <f t="shared" si="7"/>
        <v>4</v>
      </c>
      <c r="S41" s="340">
        <f t="shared" si="3"/>
        <v>4.43213296398892</v>
      </c>
      <c r="T41" s="12">
        <f t="shared" si="8"/>
        <v>4</v>
      </c>
      <c r="U41" s="860">
        <f t="shared" si="9"/>
        <v>0.56786703601108002</v>
      </c>
      <c r="V41" s="861">
        <f t="shared" si="10"/>
        <v>204.99999999999989</v>
      </c>
      <c r="W41" s="861">
        <f t="shared" si="11"/>
        <v>120</v>
      </c>
      <c r="X41" s="861">
        <f t="shared" si="12"/>
        <v>4</v>
      </c>
      <c r="Y41" s="2"/>
      <c r="Z41" s="12">
        <f t="shared" si="13"/>
        <v>16</v>
      </c>
      <c r="AA41" s="12">
        <f t="shared" si="17"/>
        <v>3.2172320000000001</v>
      </c>
      <c r="AB41" s="12">
        <f t="shared" si="14"/>
        <v>3.84</v>
      </c>
      <c r="AC41" s="864">
        <f t="shared" si="15"/>
        <v>0.83782083333333335</v>
      </c>
    </row>
    <row r="42" spans="3:29" x14ac:dyDescent="0.25">
      <c r="C42" s="850">
        <f>IF(Z42&gt;0,MAX(C31:C41)+1,0)</f>
        <v>12</v>
      </c>
      <c r="D42" s="851">
        <v>10</v>
      </c>
      <c r="E42" s="850">
        <v>12</v>
      </c>
      <c r="F42" s="851">
        <v>4</v>
      </c>
      <c r="G42" s="851">
        <v>3200</v>
      </c>
      <c r="H42" s="851">
        <v>1200</v>
      </c>
      <c r="I42" s="851">
        <v>4</v>
      </c>
      <c r="J42" s="851">
        <v>0</v>
      </c>
      <c r="L42" s="340">
        <f t="shared" si="2"/>
        <v>5.7450628366247756</v>
      </c>
      <c r="M42" s="12">
        <f t="shared" si="4"/>
        <v>5</v>
      </c>
      <c r="N42" s="860">
        <f t="shared" si="5"/>
        <v>0.25493716337522443</v>
      </c>
      <c r="O42" s="861">
        <f t="shared" si="16"/>
        <v>142</v>
      </c>
      <c r="P42" s="861">
        <f t="shared" si="6"/>
        <v>160</v>
      </c>
      <c r="Q42" s="861">
        <f t="shared" si="7"/>
        <v>6</v>
      </c>
      <c r="S42" s="340">
        <f t="shared" si="3"/>
        <v>3.3240997229916895</v>
      </c>
      <c r="T42" s="12">
        <f t="shared" si="8"/>
        <v>3</v>
      </c>
      <c r="U42" s="860">
        <f t="shared" si="9"/>
        <v>0.67590027700831046</v>
      </c>
      <c r="V42" s="861">
        <f t="shared" si="10"/>
        <v>244.00000000000006</v>
      </c>
      <c r="W42" s="861">
        <f t="shared" si="11"/>
        <v>120</v>
      </c>
      <c r="X42" s="861">
        <f t="shared" si="12"/>
        <v>3</v>
      </c>
      <c r="Y42" s="2"/>
      <c r="Z42" s="12">
        <f t="shared" si="13"/>
        <v>18</v>
      </c>
      <c r="AA42" s="12">
        <f t="shared" si="17"/>
        <v>3.619386</v>
      </c>
      <c r="AB42" s="12">
        <f t="shared" si="14"/>
        <v>3.84</v>
      </c>
      <c r="AC42" s="864">
        <f t="shared" si="15"/>
        <v>0.94254843750000006</v>
      </c>
    </row>
    <row r="43" spans="3:29" x14ac:dyDescent="0.25">
      <c r="C43" s="850">
        <f>IF(Z43&gt;0,MAX(C31:C42)+1,0)</f>
        <v>13</v>
      </c>
      <c r="D43" s="851">
        <v>10</v>
      </c>
      <c r="E43" s="850">
        <v>13</v>
      </c>
      <c r="F43" s="851">
        <v>4</v>
      </c>
      <c r="G43" s="851">
        <v>4800</v>
      </c>
      <c r="H43" s="851">
        <v>800</v>
      </c>
      <c r="I43" s="851">
        <v>4</v>
      </c>
      <c r="J43" s="851">
        <v>0</v>
      </c>
      <c r="L43" s="340">
        <f t="shared" si="2"/>
        <v>8.6175942549371634</v>
      </c>
      <c r="M43" s="12">
        <f t="shared" si="4"/>
        <v>8</v>
      </c>
      <c r="N43" s="860">
        <f t="shared" si="5"/>
        <v>0.38240574506283664</v>
      </c>
      <c r="O43" s="861">
        <f t="shared" si="16"/>
        <v>213</v>
      </c>
      <c r="P43" s="861">
        <f t="shared" si="6"/>
        <v>160</v>
      </c>
      <c r="Q43" s="861">
        <f t="shared" si="7"/>
        <v>8</v>
      </c>
      <c r="S43" s="340">
        <f t="shared" si="3"/>
        <v>2.21606648199446</v>
      </c>
      <c r="T43" s="12">
        <f t="shared" si="8"/>
        <v>2</v>
      </c>
      <c r="U43" s="860">
        <f t="shared" si="9"/>
        <v>0.78393351800554001</v>
      </c>
      <c r="V43" s="861">
        <f t="shared" si="10"/>
        <v>282.99999999999994</v>
      </c>
      <c r="W43" s="861">
        <f t="shared" si="11"/>
        <v>120</v>
      </c>
      <c r="X43" s="861">
        <f t="shared" si="12"/>
        <v>2</v>
      </c>
      <c r="Y43" s="2"/>
      <c r="Z43" s="12">
        <f t="shared" si="13"/>
        <v>16</v>
      </c>
      <c r="AA43" s="12">
        <f t="shared" si="17"/>
        <v>3.2172320000000001</v>
      </c>
      <c r="AB43" s="12">
        <f t="shared" si="14"/>
        <v>3.84</v>
      </c>
      <c r="AC43" s="864">
        <f t="shared" si="15"/>
        <v>0.83782083333333335</v>
      </c>
    </row>
    <row r="44" spans="3:29" x14ac:dyDescent="0.25">
      <c r="C44" s="850">
        <f>IF(Z44&gt;0,MAX(C31:C43)+1,0)</f>
        <v>14</v>
      </c>
      <c r="D44" s="851">
        <v>20</v>
      </c>
      <c r="E44" s="850">
        <v>14</v>
      </c>
      <c r="F44" s="851">
        <v>4</v>
      </c>
      <c r="G44" s="851">
        <v>2400</v>
      </c>
      <c r="H44" s="851">
        <v>2000</v>
      </c>
      <c r="I44" s="851">
        <v>0</v>
      </c>
      <c r="J44" s="851">
        <v>4</v>
      </c>
      <c r="L44" s="340">
        <f t="shared" si="2"/>
        <v>4.3087971274685817</v>
      </c>
      <c r="M44" s="12">
        <f t="shared" si="4"/>
        <v>4</v>
      </c>
      <c r="N44" s="860">
        <f t="shared" si="5"/>
        <v>0.69120287253141832</v>
      </c>
      <c r="O44" s="861">
        <f t="shared" si="16"/>
        <v>385</v>
      </c>
      <c r="P44" s="861">
        <f t="shared" si="6"/>
        <v>160</v>
      </c>
      <c r="Q44" s="861">
        <f t="shared" si="7"/>
        <v>4</v>
      </c>
      <c r="S44" s="340">
        <f t="shared" si="3"/>
        <v>5.54016620498615</v>
      </c>
      <c r="T44" s="12">
        <f t="shared" si="8"/>
        <v>5</v>
      </c>
      <c r="U44" s="860">
        <f t="shared" si="9"/>
        <v>0.45983379501385002</v>
      </c>
      <c r="V44" s="861">
        <f t="shared" si="10"/>
        <v>165.99999999999986</v>
      </c>
      <c r="W44" s="861">
        <f t="shared" si="11"/>
        <v>120</v>
      </c>
      <c r="X44" s="861">
        <f t="shared" si="12"/>
        <v>5</v>
      </c>
      <c r="Y44" s="2"/>
      <c r="Z44" s="12">
        <f t="shared" si="13"/>
        <v>20</v>
      </c>
      <c r="AA44" s="12">
        <f t="shared" si="17"/>
        <v>4.0215399999999999</v>
      </c>
      <c r="AB44" s="12">
        <f t="shared" si="14"/>
        <v>4.8</v>
      </c>
      <c r="AC44" s="864">
        <f t="shared" si="15"/>
        <v>0.83782083333333335</v>
      </c>
    </row>
    <row r="45" spans="3:29" x14ac:dyDescent="0.25">
      <c r="C45" s="850">
        <f>IF(Z45&gt;0,MAX(C31:C44)+1,0)</f>
        <v>15</v>
      </c>
      <c r="D45" s="851">
        <v>20</v>
      </c>
      <c r="E45" s="850">
        <v>15</v>
      </c>
      <c r="F45" s="851">
        <v>4</v>
      </c>
      <c r="G45" s="851">
        <v>4000</v>
      </c>
      <c r="H45" s="851">
        <v>1200</v>
      </c>
      <c r="I45" s="851">
        <v>0</v>
      </c>
      <c r="J45" s="851">
        <v>4</v>
      </c>
      <c r="L45" s="340">
        <f t="shared" si="2"/>
        <v>7.1813285457809695</v>
      </c>
      <c r="M45" s="12">
        <f t="shared" si="4"/>
        <v>7</v>
      </c>
      <c r="N45" s="860">
        <f t="shared" si="5"/>
        <v>0.81867145421903054</v>
      </c>
      <c r="O45" s="861">
        <f t="shared" si="16"/>
        <v>456</v>
      </c>
      <c r="P45" s="861">
        <f t="shared" si="6"/>
        <v>160</v>
      </c>
      <c r="Q45" s="861">
        <f t="shared" si="7"/>
        <v>7</v>
      </c>
      <c r="S45" s="340">
        <f t="shared" si="3"/>
        <v>3.3240997229916895</v>
      </c>
      <c r="T45" s="12">
        <f t="shared" si="8"/>
        <v>3</v>
      </c>
      <c r="U45" s="860">
        <f t="shared" si="9"/>
        <v>0.67590027700831046</v>
      </c>
      <c r="V45" s="861">
        <f t="shared" si="10"/>
        <v>244.00000000000006</v>
      </c>
      <c r="W45" s="861">
        <f t="shared" si="11"/>
        <v>120</v>
      </c>
      <c r="X45" s="861">
        <f t="shared" si="12"/>
        <v>3</v>
      </c>
      <c r="Y45" s="2"/>
      <c r="Z45" s="12">
        <f t="shared" si="13"/>
        <v>21</v>
      </c>
      <c r="AA45" s="12">
        <f t="shared" si="17"/>
        <v>4.2226170000000005</v>
      </c>
      <c r="AB45" s="12">
        <f t="shared" si="14"/>
        <v>4.8</v>
      </c>
      <c r="AC45" s="864">
        <f t="shared" si="15"/>
        <v>0.87971187500000014</v>
      </c>
    </row>
    <row r="46" spans="3:29" x14ac:dyDescent="0.25">
      <c r="C46" s="850">
        <f>IF(Z46&gt;0,MAX(C31:C45)+1,0)</f>
        <v>16</v>
      </c>
      <c r="D46" s="851">
        <v>10</v>
      </c>
      <c r="E46" s="850">
        <v>16</v>
      </c>
      <c r="F46" s="851">
        <v>5</v>
      </c>
      <c r="G46" s="851">
        <v>4000</v>
      </c>
      <c r="H46" s="851">
        <v>1200</v>
      </c>
      <c r="I46" s="851">
        <v>5</v>
      </c>
      <c r="J46" s="851">
        <v>0</v>
      </c>
      <c r="L46" s="340">
        <f t="shared" si="2"/>
        <v>7.1813285457809695</v>
      </c>
      <c r="M46" s="12">
        <f t="shared" si="4"/>
        <v>7</v>
      </c>
      <c r="N46" s="860">
        <f t="shared" si="5"/>
        <v>0.81867145421903054</v>
      </c>
      <c r="O46" s="861">
        <f t="shared" si="16"/>
        <v>456</v>
      </c>
      <c r="P46" s="861">
        <f t="shared" si="6"/>
        <v>160</v>
      </c>
      <c r="Q46" s="861">
        <f t="shared" si="7"/>
        <v>7</v>
      </c>
      <c r="S46" s="340">
        <f t="shared" si="3"/>
        <v>3.3240997229916895</v>
      </c>
      <c r="T46" s="12">
        <f t="shared" si="8"/>
        <v>3</v>
      </c>
      <c r="U46" s="860">
        <f t="shared" si="9"/>
        <v>0.67590027700831046</v>
      </c>
      <c r="V46" s="861">
        <f t="shared" si="10"/>
        <v>244.00000000000006</v>
      </c>
      <c r="W46" s="861">
        <f t="shared" si="11"/>
        <v>120</v>
      </c>
      <c r="X46" s="861">
        <f t="shared" si="12"/>
        <v>3</v>
      </c>
      <c r="Y46" s="2"/>
      <c r="Z46" s="12">
        <f t="shared" si="13"/>
        <v>21</v>
      </c>
      <c r="AA46" s="12">
        <f t="shared" si="17"/>
        <v>4.2226170000000005</v>
      </c>
      <c r="AB46" s="12">
        <f t="shared" si="14"/>
        <v>4.8</v>
      </c>
      <c r="AC46" s="864">
        <f t="shared" si="15"/>
        <v>0.87971187500000014</v>
      </c>
    </row>
    <row r="47" spans="3:29" x14ac:dyDescent="0.25">
      <c r="C47" s="850">
        <f>IF(Z47&gt;0,MAX(C31:C46)+1,0)</f>
        <v>17</v>
      </c>
      <c r="D47" s="851">
        <v>20</v>
      </c>
      <c r="E47" s="850">
        <v>17</v>
      </c>
      <c r="F47" s="851">
        <v>4</v>
      </c>
      <c r="G47" s="851">
        <v>4800</v>
      </c>
      <c r="H47" s="851">
        <v>1000</v>
      </c>
      <c r="I47" s="851">
        <v>0</v>
      </c>
      <c r="J47" s="851">
        <v>4</v>
      </c>
      <c r="L47" s="340">
        <f t="shared" si="2"/>
        <v>8.6175942549371634</v>
      </c>
      <c r="M47" s="12">
        <f t="shared" si="4"/>
        <v>8</v>
      </c>
      <c r="N47" s="860">
        <f t="shared" si="5"/>
        <v>0.38240574506283664</v>
      </c>
      <c r="O47" s="861">
        <f t="shared" si="16"/>
        <v>213</v>
      </c>
      <c r="P47" s="861">
        <f t="shared" si="6"/>
        <v>160</v>
      </c>
      <c r="Q47" s="861">
        <f t="shared" si="7"/>
        <v>8</v>
      </c>
      <c r="S47" s="340">
        <f t="shared" si="3"/>
        <v>2.770083102493075</v>
      </c>
      <c r="T47" s="12">
        <f t="shared" si="8"/>
        <v>2</v>
      </c>
      <c r="U47" s="860">
        <f t="shared" si="9"/>
        <v>0.22991689750692501</v>
      </c>
      <c r="V47" s="861">
        <f t="shared" si="10"/>
        <v>82.999999999999943</v>
      </c>
      <c r="W47" s="861">
        <f t="shared" si="11"/>
        <v>120</v>
      </c>
      <c r="X47" s="861">
        <f t="shared" si="12"/>
        <v>3</v>
      </c>
      <c r="Y47" s="2"/>
      <c r="Z47" s="12">
        <f t="shared" si="13"/>
        <v>24</v>
      </c>
      <c r="AA47" s="12">
        <f t="shared" si="17"/>
        <v>4.8258480000000006</v>
      </c>
      <c r="AB47" s="12">
        <f t="shared" si="14"/>
        <v>4.8</v>
      </c>
      <c r="AC47" s="864">
        <f t="shared" si="15"/>
        <v>1.0053850000000002</v>
      </c>
    </row>
    <row r="48" spans="3:29" x14ac:dyDescent="0.25">
      <c r="C48" s="850">
        <f>IF(Z48&gt;0,MAX(C31:C47)+1,0)</f>
        <v>18</v>
      </c>
      <c r="D48" s="851">
        <v>10</v>
      </c>
      <c r="E48" s="850">
        <v>18</v>
      </c>
      <c r="F48" s="851">
        <v>5</v>
      </c>
      <c r="G48" s="851">
        <v>6000</v>
      </c>
      <c r="H48" s="851">
        <v>800</v>
      </c>
      <c r="I48" s="851">
        <v>5</v>
      </c>
      <c r="J48" s="851">
        <v>0</v>
      </c>
      <c r="L48" s="340">
        <f t="shared" si="2"/>
        <v>10.771992818671455</v>
      </c>
      <c r="M48" s="12">
        <f t="shared" si="4"/>
        <v>10</v>
      </c>
      <c r="N48" s="860">
        <f t="shared" si="5"/>
        <v>0.22800718132854492</v>
      </c>
      <c r="O48" s="861">
        <f t="shared" si="16"/>
        <v>126.99999999999955</v>
      </c>
      <c r="P48" s="861">
        <f t="shared" si="6"/>
        <v>160</v>
      </c>
      <c r="Q48" s="861">
        <f t="shared" si="7"/>
        <v>11</v>
      </c>
      <c r="S48" s="340">
        <f t="shared" si="3"/>
        <v>2.21606648199446</v>
      </c>
      <c r="T48" s="12">
        <f t="shared" si="8"/>
        <v>2</v>
      </c>
      <c r="U48" s="860">
        <f t="shared" si="9"/>
        <v>0.78393351800554001</v>
      </c>
      <c r="V48" s="861">
        <f t="shared" si="10"/>
        <v>282.99999999999994</v>
      </c>
      <c r="W48" s="861">
        <f t="shared" si="11"/>
        <v>120</v>
      </c>
      <c r="X48" s="861">
        <f t="shared" si="12"/>
        <v>2</v>
      </c>
      <c r="Y48" s="2"/>
      <c r="Z48" s="12">
        <f t="shared" si="13"/>
        <v>22</v>
      </c>
      <c r="AA48" s="12">
        <f t="shared" si="17"/>
        <v>4.4236940000000002</v>
      </c>
      <c r="AB48" s="12">
        <f t="shared" si="14"/>
        <v>4.8000000000000007</v>
      </c>
      <c r="AC48" s="864">
        <f t="shared" si="15"/>
        <v>0.92160291666666661</v>
      </c>
    </row>
    <row r="49" spans="3:29" x14ac:dyDescent="0.25">
      <c r="C49" s="850">
        <f>IF(Z49&gt;0,MAX(C31:C48)+1,0)</f>
        <v>19</v>
      </c>
      <c r="D49" s="851">
        <v>10</v>
      </c>
      <c r="E49" s="850">
        <v>19</v>
      </c>
      <c r="F49" s="851">
        <v>6</v>
      </c>
      <c r="G49" s="851">
        <v>2400</v>
      </c>
      <c r="H49" s="851">
        <v>2400</v>
      </c>
      <c r="I49" s="851">
        <v>6</v>
      </c>
      <c r="J49" s="851">
        <v>0</v>
      </c>
      <c r="L49" s="340">
        <f t="shared" si="2"/>
        <v>4.3087971274685817</v>
      </c>
      <c r="M49" s="12">
        <f t="shared" si="4"/>
        <v>4</v>
      </c>
      <c r="N49" s="860">
        <f t="shared" si="5"/>
        <v>0.69120287253141832</v>
      </c>
      <c r="O49" s="861">
        <f t="shared" si="16"/>
        <v>385</v>
      </c>
      <c r="P49" s="861">
        <f t="shared" si="6"/>
        <v>160</v>
      </c>
      <c r="Q49" s="861">
        <f t="shared" si="7"/>
        <v>4</v>
      </c>
      <c r="S49" s="340">
        <f t="shared" si="3"/>
        <v>6.6481994459833791</v>
      </c>
      <c r="T49" s="12">
        <f t="shared" si="8"/>
        <v>6</v>
      </c>
      <c r="U49" s="860">
        <f t="shared" si="9"/>
        <v>0.35180055401662091</v>
      </c>
      <c r="V49" s="861">
        <f t="shared" si="10"/>
        <v>127.00000000000014</v>
      </c>
      <c r="W49" s="861">
        <f t="shared" si="11"/>
        <v>120</v>
      </c>
      <c r="X49" s="861">
        <f t="shared" si="12"/>
        <v>6</v>
      </c>
      <c r="Y49" s="2"/>
      <c r="Z49" s="12">
        <f t="shared" si="13"/>
        <v>24</v>
      </c>
      <c r="AA49" s="12">
        <f t="shared" si="17"/>
        <v>4.8258480000000006</v>
      </c>
      <c r="AB49" s="12">
        <f t="shared" si="14"/>
        <v>5.76</v>
      </c>
      <c r="AC49" s="864">
        <f t="shared" si="15"/>
        <v>0.83782083333333346</v>
      </c>
    </row>
    <row r="50" spans="3:29" x14ac:dyDescent="0.25">
      <c r="C50" s="850">
        <f>IF(Z50&gt;0,MAX(C31:C49)+1,0)</f>
        <v>20</v>
      </c>
      <c r="D50" s="851">
        <v>10</v>
      </c>
      <c r="E50" s="850">
        <v>20</v>
      </c>
      <c r="F50" s="851">
        <v>6</v>
      </c>
      <c r="G50" s="851">
        <v>4800</v>
      </c>
      <c r="H50" s="851">
        <v>1200</v>
      </c>
      <c r="I50" s="851">
        <v>6</v>
      </c>
      <c r="J50" s="851">
        <v>0</v>
      </c>
      <c r="L50" s="340">
        <f t="shared" si="2"/>
        <v>8.6175942549371634</v>
      </c>
      <c r="M50" s="12">
        <f t="shared" si="4"/>
        <v>8</v>
      </c>
      <c r="N50" s="860">
        <f t="shared" si="5"/>
        <v>0.38240574506283664</v>
      </c>
      <c r="O50" s="861">
        <f t="shared" si="16"/>
        <v>213</v>
      </c>
      <c r="P50" s="861">
        <f t="shared" si="6"/>
        <v>160</v>
      </c>
      <c r="Q50" s="861">
        <f t="shared" si="7"/>
        <v>8</v>
      </c>
      <c r="S50" s="340">
        <f t="shared" si="3"/>
        <v>3.3240997229916895</v>
      </c>
      <c r="T50" s="12">
        <f t="shared" si="8"/>
        <v>3</v>
      </c>
      <c r="U50" s="860">
        <f t="shared" si="9"/>
        <v>0.67590027700831046</v>
      </c>
      <c r="V50" s="861">
        <f t="shared" si="10"/>
        <v>244.00000000000006</v>
      </c>
      <c r="W50" s="861">
        <f t="shared" si="11"/>
        <v>120</v>
      </c>
      <c r="X50" s="861">
        <f t="shared" si="12"/>
        <v>3</v>
      </c>
      <c r="Y50" s="2"/>
      <c r="Z50" s="12">
        <f t="shared" si="13"/>
        <v>24</v>
      </c>
      <c r="AA50" s="12">
        <f t="shared" si="17"/>
        <v>4.8258480000000006</v>
      </c>
      <c r="AB50" s="12">
        <f t="shared" si="14"/>
        <v>5.76</v>
      </c>
      <c r="AC50" s="864">
        <f t="shared" si="15"/>
        <v>0.83782083333333346</v>
      </c>
    </row>
    <row r="51" spans="3:29" x14ac:dyDescent="0.25">
      <c r="C51" s="850">
        <f>IF(Z51&gt;0,MAX(C31:C50)+1,0)</f>
        <v>21</v>
      </c>
      <c r="D51" s="851">
        <v>10</v>
      </c>
      <c r="E51" s="850">
        <v>21</v>
      </c>
      <c r="F51" s="851">
        <v>6</v>
      </c>
      <c r="G51" s="851">
        <v>3600</v>
      </c>
      <c r="H51" s="851">
        <v>1600</v>
      </c>
      <c r="I51" s="851">
        <v>6</v>
      </c>
      <c r="J51" s="851">
        <v>0</v>
      </c>
      <c r="L51" s="340">
        <f t="shared" si="2"/>
        <v>6.4631956912028725</v>
      </c>
      <c r="M51" s="12">
        <f t="shared" si="4"/>
        <v>6</v>
      </c>
      <c r="N51" s="860">
        <f t="shared" si="5"/>
        <v>0.53680430879712748</v>
      </c>
      <c r="O51" s="861">
        <f t="shared" si="16"/>
        <v>299</v>
      </c>
      <c r="P51" s="861">
        <f t="shared" si="6"/>
        <v>160</v>
      </c>
      <c r="Q51" s="861">
        <f t="shared" si="7"/>
        <v>6</v>
      </c>
      <c r="S51" s="340">
        <f t="shared" si="3"/>
        <v>4.43213296398892</v>
      </c>
      <c r="T51" s="12">
        <f t="shared" si="8"/>
        <v>4</v>
      </c>
      <c r="U51" s="860">
        <f t="shared" si="9"/>
        <v>0.56786703601108002</v>
      </c>
      <c r="V51" s="861">
        <f t="shared" si="10"/>
        <v>204.99999999999989</v>
      </c>
      <c r="W51" s="861">
        <f t="shared" si="11"/>
        <v>120</v>
      </c>
      <c r="X51" s="861">
        <f t="shared" si="12"/>
        <v>4</v>
      </c>
      <c r="Y51" s="2"/>
      <c r="Z51" s="12">
        <f t="shared" si="13"/>
        <v>24</v>
      </c>
      <c r="AA51" s="12">
        <f t="shared" si="17"/>
        <v>4.8258480000000006</v>
      </c>
      <c r="AB51" s="12">
        <f t="shared" si="14"/>
        <v>5.7600000000000007</v>
      </c>
      <c r="AC51" s="864">
        <f t="shared" si="15"/>
        <v>0.83782083333333335</v>
      </c>
    </row>
    <row r="52" spans="3:29" x14ac:dyDescent="0.25">
      <c r="C52" s="850">
        <f>IF(Z52&gt;0,MAX(C31:C51)+1,0)</f>
        <v>22</v>
      </c>
      <c r="D52" s="851">
        <v>20</v>
      </c>
      <c r="E52" s="850">
        <v>22</v>
      </c>
      <c r="F52" s="851">
        <v>5</v>
      </c>
      <c r="G52" s="851">
        <v>5000</v>
      </c>
      <c r="H52" s="851">
        <v>1200</v>
      </c>
      <c r="I52" s="851">
        <v>0</v>
      </c>
      <c r="J52" s="851">
        <v>5</v>
      </c>
      <c r="L52" s="340">
        <f t="shared" si="2"/>
        <v>8.9766606822262123</v>
      </c>
      <c r="M52" s="12">
        <f t="shared" si="4"/>
        <v>8</v>
      </c>
      <c r="N52" s="860">
        <f t="shared" si="5"/>
        <v>2.3339317773787727E-2</v>
      </c>
      <c r="O52" s="861">
        <f t="shared" si="16"/>
        <v>12.999999999999773</v>
      </c>
      <c r="P52" s="861">
        <f t="shared" si="6"/>
        <v>160</v>
      </c>
      <c r="Q52" s="861">
        <f t="shared" si="7"/>
        <v>9</v>
      </c>
      <c r="S52" s="340">
        <f t="shared" si="3"/>
        <v>3.3240997229916895</v>
      </c>
      <c r="T52" s="12">
        <f t="shared" si="8"/>
        <v>3</v>
      </c>
      <c r="U52" s="860">
        <f t="shared" si="9"/>
        <v>0.67590027700831046</v>
      </c>
      <c r="V52" s="861">
        <f t="shared" si="10"/>
        <v>244.00000000000006</v>
      </c>
      <c r="W52" s="861">
        <f t="shared" si="11"/>
        <v>120</v>
      </c>
      <c r="X52" s="861">
        <f t="shared" si="12"/>
        <v>3</v>
      </c>
      <c r="Y52" s="2"/>
      <c r="Z52" s="12">
        <f t="shared" si="13"/>
        <v>27</v>
      </c>
      <c r="AA52" s="12">
        <f t="shared" si="17"/>
        <v>5.4290789999999998</v>
      </c>
      <c r="AB52" s="12">
        <f t="shared" si="14"/>
        <v>6</v>
      </c>
      <c r="AC52" s="864">
        <f t="shared" si="15"/>
        <v>0.9048465</v>
      </c>
    </row>
    <row r="53" spans="3:29" x14ac:dyDescent="0.25">
      <c r="C53" s="850">
        <f>IF(Z53&gt;0,MAX(C31:C52)+1,0)</f>
        <v>23</v>
      </c>
      <c r="D53" s="851">
        <v>20</v>
      </c>
      <c r="E53" s="850">
        <v>23</v>
      </c>
      <c r="F53" s="851">
        <v>5</v>
      </c>
      <c r="G53" s="851">
        <v>6000</v>
      </c>
      <c r="H53" s="851">
        <v>1000</v>
      </c>
      <c r="I53" s="851">
        <v>0</v>
      </c>
      <c r="J53" s="851">
        <v>5</v>
      </c>
      <c r="L53" s="340">
        <f t="shared" si="2"/>
        <v>10.771992818671455</v>
      </c>
      <c r="M53" s="12">
        <f t="shared" si="4"/>
        <v>10</v>
      </c>
      <c r="N53" s="860">
        <f t="shared" si="5"/>
        <v>0.22800718132854492</v>
      </c>
      <c r="O53" s="861">
        <f t="shared" si="16"/>
        <v>126.99999999999955</v>
      </c>
      <c r="P53" s="861">
        <f t="shared" si="6"/>
        <v>160</v>
      </c>
      <c r="Q53" s="861">
        <f t="shared" si="7"/>
        <v>11</v>
      </c>
      <c r="S53" s="340">
        <f t="shared" si="3"/>
        <v>2.770083102493075</v>
      </c>
      <c r="T53" s="12">
        <f t="shared" si="8"/>
        <v>2</v>
      </c>
      <c r="U53" s="860">
        <f t="shared" si="9"/>
        <v>0.22991689750692501</v>
      </c>
      <c r="V53" s="861">
        <f t="shared" si="10"/>
        <v>82.999999999999943</v>
      </c>
      <c r="W53" s="861">
        <f t="shared" si="11"/>
        <v>120</v>
      </c>
      <c r="X53" s="861">
        <f t="shared" si="12"/>
        <v>3</v>
      </c>
      <c r="Y53" s="2"/>
      <c r="Z53" s="12">
        <f t="shared" si="13"/>
        <v>33</v>
      </c>
      <c r="AA53" s="12">
        <f t="shared" si="17"/>
        <v>6.6355409999999999</v>
      </c>
      <c r="AB53" s="12">
        <f t="shared" si="14"/>
        <v>6</v>
      </c>
      <c r="AC53" s="864">
        <f t="shared" si="15"/>
        <v>1.1059235000000001</v>
      </c>
    </row>
    <row r="54" spans="3:29" x14ac:dyDescent="0.25">
      <c r="C54" s="850">
        <f>IF(Z54&gt;0,MAX(C31:C53)+1,0)</f>
        <v>24</v>
      </c>
      <c r="D54" s="851">
        <v>20</v>
      </c>
      <c r="E54" s="850">
        <v>24</v>
      </c>
      <c r="F54" s="851">
        <v>6</v>
      </c>
      <c r="G54" s="851">
        <v>6000</v>
      </c>
      <c r="H54" s="851">
        <v>1200</v>
      </c>
      <c r="I54" s="851">
        <v>0</v>
      </c>
      <c r="J54" s="851">
        <v>6</v>
      </c>
      <c r="L54" s="340">
        <f t="shared" si="2"/>
        <v>10.771992818671455</v>
      </c>
      <c r="M54" s="12">
        <f t="shared" si="4"/>
        <v>10</v>
      </c>
      <c r="N54" s="860">
        <f t="shared" si="5"/>
        <v>0.22800718132854492</v>
      </c>
      <c r="O54" s="861">
        <f t="shared" si="16"/>
        <v>126.99999999999955</v>
      </c>
      <c r="P54" s="861">
        <f t="shared" si="6"/>
        <v>160</v>
      </c>
      <c r="Q54" s="861">
        <f t="shared" si="7"/>
        <v>11</v>
      </c>
      <c r="S54" s="340">
        <f t="shared" si="3"/>
        <v>3.3240997229916895</v>
      </c>
      <c r="T54" s="12">
        <f t="shared" si="8"/>
        <v>3</v>
      </c>
      <c r="U54" s="860">
        <f t="shared" si="9"/>
        <v>0.67590027700831046</v>
      </c>
      <c r="V54" s="861">
        <f t="shared" si="10"/>
        <v>244.00000000000006</v>
      </c>
      <c r="W54" s="861">
        <f t="shared" si="11"/>
        <v>120</v>
      </c>
      <c r="X54" s="861">
        <f t="shared" si="12"/>
        <v>3</v>
      </c>
      <c r="Y54" s="2"/>
      <c r="Z54" s="12">
        <f t="shared" si="13"/>
        <v>33</v>
      </c>
      <c r="AA54" s="12">
        <f t="shared" si="17"/>
        <v>6.6355409999999999</v>
      </c>
      <c r="AB54" s="12">
        <f t="shared" si="14"/>
        <v>7.1999999999999993</v>
      </c>
      <c r="AC54" s="864">
        <f t="shared" si="15"/>
        <v>0.92160291666666672</v>
      </c>
    </row>
    <row r="55" spans="3:29" x14ac:dyDescent="0.25">
      <c r="C55" s="850">
        <f>IF(Z55&gt;0,MAX(C31:C54)+1,0)</f>
        <v>25</v>
      </c>
      <c r="D55" s="851">
        <v>20</v>
      </c>
      <c r="E55" s="850">
        <v>25</v>
      </c>
      <c r="F55" s="851">
        <v>6</v>
      </c>
      <c r="G55" s="851">
        <v>3000</v>
      </c>
      <c r="H55" s="851">
        <v>2400</v>
      </c>
      <c r="I55" s="851">
        <v>0</v>
      </c>
      <c r="J55" s="851">
        <v>6</v>
      </c>
      <c r="L55" s="340">
        <f t="shared" si="2"/>
        <v>5.3859964093357275</v>
      </c>
      <c r="M55" s="12">
        <f t="shared" si="4"/>
        <v>5</v>
      </c>
      <c r="N55" s="860">
        <f t="shared" si="5"/>
        <v>0.61400359066427246</v>
      </c>
      <c r="O55" s="861">
        <f t="shared" si="16"/>
        <v>341.99999999999977</v>
      </c>
      <c r="P55" s="861">
        <f t="shared" si="6"/>
        <v>160</v>
      </c>
      <c r="Q55" s="861">
        <f t="shared" si="7"/>
        <v>5</v>
      </c>
      <c r="S55" s="340">
        <f t="shared" si="3"/>
        <v>6.6481994459833791</v>
      </c>
      <c r="T55" s="12">
        <f t="shared" si="8"/>
        <v>6</v>
      </c>
      <c r="U55" s="860">
        <f t="shared" si="9"/>
        <v>0.35180055401662091</v>
      </c>
      <c r="V55" s="861">
        <f t="shared" si="10"/>
        <v>127.00000000000014</v>
      </c>
      <c r="W55" s="861">
        <f t="shared" si="11"/>
        <v>120</v>
      </c>
      <c r="X55" s="861">
        <f t="shared" si="12"/>
        <v>6</v>
      </c>
      <c r="Y55" s="2"/>
      <c r="Z55" s="12">
        <f t="shared" si="13"/>
        <v>30</v>
      </c>
      <c r="AA55" s="12">
        <f t="shared" si="17"/>
        <v>6.0323099999999998</v>
      </c>
      <c r="AB55" s="12">
        <f t="shared" si="14"/>
        <v>7.1999999999999993</v>
      </c>
      <c r="AC55" s="864">
        <f t="shared" si="15"/>
        <v>0.83782083333333335</v>
      </c>
    </row>
    <row r="56" spans="3:29" x14ac:dyDescent="0.25">
      <c r="C56" s="850">
        <f>IF(Z56&gt;0,MAX(C31:C55)+1,0)</f>
        <v>26</v>
      </c>
      <c r="D56" s="851">
        <v>20</v>
      </c>
      <c r="E56" s="850">
        <v>26</v>
      </c>
      <c r="F56" s="851">
        <v>6</v>
      </c>
      <c r="G56" s="851">
        <v>3600</v>
      </c>
      <c r="H56" s="851">
        <v>2000</v>
      </c>
      <c r="I56" s="851">
        <v>0</v>
      </c>
      <c r="J56" s="851">
        <v>6</v>
      </c>
      <c r="L56" s="340">
        <f t="shared" si="2"/>
        <v>6.4631956912028725</v>
      </c>
      <c r="M56" s="12">
        <f t="shared" si="4"/>
        <v>6</v>
      </c>
      <c r="N56" s="860">
        <f t="shared" si="5"/>
        <v>0.53680430879712748</v>
      </c>
      <c r="O56" s="861">
        <f t="shared" si="16"/>
        <v>299</v>
      </c>
      <c r="P56" s="861">
        <f t="shared" si="6"/>
        <v>160</v>
      </c>
      <c r="Q56" s="861">
        <f t="shared" si="7"/>
        <v>6</v>
      </c>
      <c r="S56" s="340">
        <f t="shared" si="3"/>
        <v>5.54016620498615</v>
      </c>
      <c r="T56" s="12">
        <f t="shared" si="8"/>
        <v>5</v>
      </c>
      <c r="U56" s="860">
        <f t="shared" si="9"/>
        <v>0.45983379501385002</v>
      </c>
      <c r="V56" s="861">
        <f t="shared" si="10"/>
        <v>165.99999999999986</v>
      </c>
      <c r="W56" s="861">
        <f t="shared" si="11"/>
        <v>120</v>
      </c>
      <c r="X56" s="861">
        <f t="shared" si="12"/>
        <v>5</v>
      </c>
      <c r="Y56" s="2"/>
      <c r="Z56" s="12">
        <f t="shared" si="13"/>
        <v>30</v>
      </c>
      <c r="AA56" s="12">
        <f t="shared" si="17"/>
        <v>6.0323099999999998</v>
      </c>
      <c r="AB56" s="12">
        <f t="shared" si="14"/>
        <v>7.2</v>
      </c>
      <c r="AC56" s="864">
        <f t="shared" si="15"/>
        <v>0.83782083333333324</v>
      </c>
    </row>
    <row r="57" spans="3:29" x14ac:dyDescent="0.25">
      <c r="C57" s="850">
        <f>IF(Z57&gt;0,MAX(C31:C56)+1,0)</f>
        <v>27</v>
      </c>
      <c r="D57" s="851">
        <v>10</v>
      </c>
      <c r="E57" s="850">
        <v>27</v>
      </c>
      <c r="F57" s="851">
        <v>8</v>
      </c>
      <c r="G57" s="851">
        <v>6400</v>
      </c>
      <c r="H57" s="851">
        <v>1200</v>
      </c>
      <c r="I57" s="851">
        <v>8</v>
      </c>
      <c r="J57" s="851">
        <v>0</v>
      </c>
      <c r="L57" s="340">
        <f t="shared" si="2"/>
        <v>11.490125673249551</v>
      </c>
      <c r="M57" s="12">
        <f t="shared" si="4"/>
        <v>11</v>
      </c>
      <c r="N57" s="860">
        <f t="shared" si="5"/>
        <v>0.50987432675044886</v>
      </c>
      <c r="O57" s="861">
        <f t="shared" si="16"/>
        <v>284</v>
      </c>
      <c r="P57" s="861">
        <f t="shared" si="6"/>
        <v>160</v>
      </c>
      <c r="Q57" s="861">
        <f t="shared" si="7"/>
        <v>11</v>
      </c>
      <c r="S57" s="340">
        <f t="shared" si="3"/>
        <v>3.3240997229916895</v>
      </c>
      <c r="T57" s="12">
        <f t="shared" si="8"/>
        <v>3</v>
      </c>
      <c r="U57" s="860">
        <f t="shared" si="9"/>
        <v>0.67590027700831046</v>
      </c>
      <c r="V57" s="861">
        <f t="shared" si="10"/>
        <v>244.00000000000006</v>
      </c>
      <c r="W57" s="861">
        <f t="shared" si="11"/>
        <v>120</v>
      </c>
      <c r="X57" s="861">
        <f t="shared" si="12"/>
        <v>3</v>
      </c>
      <c r="Y57" s="2"/>
      <c r="Z57" s="12">
        <f t="shared" si="13"/>
        <v>33</v>
      </c>
      <c r="AA57" s="12">
        <f t="shared" si="17"/>
        <v>6.6355409999999999</v>
      </c>
      <c r="AB57" s="12">
        <f t="shared" si="14"/>
        <v>7.68</v>
      </c>
      <c r="AC57" s="864">
        <f t="shared" si="15"/>
        <v>0.86400273437499997</v>
      </c>
    </row>
    <row r="58" spans="3:29" x14ac:dyDescent="0.25">
      <c r="C58" s="850">
        <f>IF(Z58&gt;0,MAX(C31:C57)+1,0)</f>
        <v>28</v>
      </c>
      <c r="D58" s="851">
        <v>10</v>
      </c>
      <c r="E58" s="850">
        <v>28</v>
      </c>
      <c r="F58" s="851">
        <v>8</v>
      </c>
      <c r="G58" s="851">
        <v>3200</v>
      </c>
      <c r="H58" s="851">
        <v>2400</v>
      </c>
      <c r="I58" s="851">
        <v>8</v>
      </c>
      <c r="J58" s="851">
        <v>0</v>
      </c>
      <c r="L58" s="340">
        <f t="shared" si="2"/>
        <v>5.7450628366247756</v>
      </c>
      <c r="M58" s="12">
        <f t="shared" si="4"/>
        <v>5</v>
      </c>
      <c r="N58" s="860">
        <f t="shared" si="5"/>
        <v>0.25493716337522443</v>
      </c>
      <c r="O58" s="861">
        <f t="shared" si="16"/>
        <v>142</v>
      </c>
      <c r="P58" s="861">
        <f t="shared" si="6"/>
        <v>160</v>
      </c>
      <c r="Q58" s="861">
        <f t="shared" si="7"/>
        <v>6</v>
      </c>
      <c r="S58" s="340">
        <f t="shared" si="3"/>
        <v>6.6481994459833791</v>
      </c>
      <c r="T58" s="12">
        <f t="shared" si="8"/>
        <v>6</v>
      </c>
      <c r="U58" s="860">
        <f t="shared" si="9"/>
        <v>0.35180055401662091</v>
      </c>
      <c r="V58" s="861">
        <f t="shared" si="10"/>
        <v>127.00000000000014</v>
      </c>
      <c r="W58" s="861">
        <f t="shared" si="11"/>
        <v>120</v>
      </c>
      <c r="X58" s="861">
        <f t="shared" si="12"/>
        <v>6</v>
      </c>
      <c r="Y58" s="2"/>
      <c r="Z58" s="12">
        <f t="shared" si="13"/>
        <v>36</v>
      </c>
      <c r="AA58" s="12">
        <f t="shared" si="17"/>
        <v>7.238772</v>
      </c>
      <c r="AB58" s="12">
        <f t="shared" si="14"/>
        <v>7.68</v>
      </c>
      <c r="AC58" s="864">
        <f t="shared" si="15"/>
        <v>0.94254843750000006</v>
      </c>
    </row>
    <row r="59" spans="3:29" x14ac:dyDescent="0.25">
      <c r="C59" s="850">
        <f>IF(Z59&gt;0,MAX(C41:C58)+1,0)</f>
        <v>29</v>
      </c>
      <c r="D59" s="851">
        <v>10</v>
      </c>
      <c r="E59" s="850">
        <v>29</v>
      </c>
      <c r="F59" s="851">
        <v>8</v>
      </c>
      <c r="G59" s="851">
        <v>4800</v>
      </c>
      <c r="H59" s="851">
        <v>1600</v>
      </c>
      <c r="I59" s="851">
        <v>8</v>
      </c>
      <c r="J59" s="851">
        <v>0</v>
      </c>
      <c r="L59" s="340">
        <f t="shared" si="2"/>
        <v>8.6175942549371634</v>
      </c>
      <c r="M59" s="12">
        <f t="shared" si="4"/>
        <v>8</v>
      </c>
      <c r="N59" s="860">
        <f t="shared" si="5"/>
        <v>0.38240574506283664</v>
      </c>
      <c r="O59" s="861">
        <f t="shared" si="16"/>
        <v>213</v>
      </c>
      <c r="P59" s="861">
        <f t="shared" si="6"/>
        <v>160</v>
      </c>
      <c r="Q59" s="861">
        <f t="shared" si="7"/>
        <v>8</v>
      </c>
      <c r="S59" s="340">
        <f t="shared" si="3"/>
        <v>4.43213296398892</v>
      </c>
      <c r="T59" s="12">
        <f t="shared" si="8"/>
        <v>4</v>
      </c>
      <c r="U59" s="860">
        <f t="shared" si="9"/>
        <v>0.56786703601108002</v>
      </c>
      <c r="V59" s="861">
        <f t="shared" si="10"/>
        <v>204.99999999999989</v>
      </c>
      <c r="W59" s="861">
        <f t="shared" si="11"/>
        <v>120</v>
      </c>
      <c r="X59" s="861">
        <f t="shared" si="12"/>
        <v>4</v>
      </c>
      <c r="Y59" s="2"/>
      <c r="Z59" s="12">
        <f t="shared" si="13"/>
        <v>32</v>
      </c>
      <c r="AA59" s="12">
        <f t="shared" si="17"/>
        <v>6.4344640000000002</v>
      </c>
      <c r="AB59" s="12">
        <f t="shared" si="14"/>
        <v>7.68</v>
      </c>
      <c r="AC59" s="864">
        <f t="shared" si="15"/>
        <v>0.83782083333333335</v>
      </c>
    </row>
    <row r="60" spans="3:29" x14ac:dyDescent="0.25">
      <c r="C60" s="850">
        <f>IF(Z60&gt;0,MAX(C31:C59)+1,0)</f>
        <v>30</v>
      </c>
      <c r="D60" s="851">
        <v>20</v>
      </c>
      <c r="E60" s="850">
        <v>30</v>
      </c>
      <c r="F60" s="851">
        <v>8</v>
      </c>
      <c r="G60" s="851">
        <v>4800</v>
      </c>
      <c r="H60" s="851">
        <v>2000</v>
      </c>
      <c r="I60" s="851">
        <v>0</v>
      </c>
      <c r="J60" s="851">
        <v>8</v>
      </c>
      <c r="L60" s="340">
        <f t="shared" si="2"/>
        <v>8.6175942549371634</v>
      </c>
      <c r="M60" s="12">
        <f t="shared" si="4"/>
        <v>8</v>
      </c>
      <c r="N60" s="860">
        <f t="shared" si="5"/>
        <v>0.38240574506283664</v>
      </c>
      <c r="O60" s="861">
        <f t="shared" si="16"/>
        <v>213</v>
      </c>
      <c r="P60" s="861">
        <f t="shared" si="6"/>
        <v>160</v>
      </c>
      <c r="Q60" s="861">
        <f t="shared" si="7"/>
        <v>8</v>
      </c>
      <c r="S60" s="340">
        <f t="shared" si="3"/>
        <v>5.54016620498615</v>
      </c>
      <c r="T60" s="12">
        <f t="shared" si="8"/>
        <v>5</v>
      </c>
      <c r="U60" s="860">
        <f t="shared" si="9"/>
        <v>0.45983379501385002</v>
      </c>
      <c r="V60" s="861">
        <f t="shared" si="10"/>
        <v>165.99999999999986</v>
      </c>
      <c r="W60" s="861">
        <f t="shared" si="11"/>
        <v>120</v>
      </c>
      <c r="X60" s="861">
        <f t="shared" si="12"/>
        <v>5</v>
      </c>
      <c r="Y60" s="2"/>
      <c r="Z60" s="12">
        <f t="shared" si="13"/>
        <v>40</v>
      </c>
      <c r="AA60" s="12">
        <f t="shared" si="17"/>
        <v>8.0430799999999998</v>
      </c>
      <c r="AB60" s="12">
        <f t="shared" si="14"/>
        <v>9.6</v>
      </c>
      <c r="AC60" s="864">
        <f t="shared" si="15"/>
        <v>0.83782083333333335</v>
      </c>
    </row>
    <row r="61" spans="3:29" x14ac:dyDescent="0.25">
      <c r="C61" s="850">
        <f>IF(Z61&gt;0,MAX(C31:C60)+1,0)</f>
        <v>31</v>
      </c>
      <c r="D61" s="851">
        <v>20</v>
      </c>
      <c r="E61" s="850">
        <v>31</v>
      </c>
      <c r="F61" s="851">
        <v>8</v>
      </c>
      <c r="G61" s="851">
        <v>4000</v>
      </c>
      <c r="H61" s="851">
        <v>2400</v>
      </c>
      <c r="I61" s="851">
        <v>0</v>
      </c>
      <c r="J61" s="851">
        <v>8</v>
      </c>
      <c r="L61" s="340">
        <f t="shared" si="2"/>
        <v>7.1813285457809695</v>
      </c>
      <c r="M61" s="12">
        <f t="shared" si="4"/>
        <v>7</v>
      </c>
      <c r="N61" s="860">
        <f t="shared" si="5"/>
        <v>0.81867145421903054</v>
      </c>
      <c r="O61" s="861">
        <f t="shared" si="16"/>
        <v>456</v>
      </c>
      <c r="P61" s="861">
        <f t="shared" si="6"/>
        <v>160</v>
      </c>
      <c r="Q61" s="861">
        <f t="shared" si="7"/>
        <v>7</v>
      </c>
      <c r="S61" s="340">
        <f t="shared" si="3"/>
        <v>6.6481994459833791</v>
      </c>
      <c r="T61" s="12">
        <f t="shared" si="8"/>
        <v>6</v>
      </c>
      <c r="U61" s="860">
        <f t="shared" si="9"/>
        <v>0.35180055401662091</v>
      </c>
      <c r="V61" s="861">
        <f t="shared" si="10"/>
        <v>127.00000000000014</v>
      </c>
      <c r="W61" s="861">
        <f t="shared" si="11"/>
        <v>120</v>
      </c>
      <c r="X61" s="861">
        <f t="shared" si="12"/>
        <v>6</v>
      </c>
      <c r="Y61" s="2"/>
      <c r="Z61" s="12">
        <f t="shared" si="13"/>
        <v>42</v>
      </c>
      <c r="AA61" s="12">
        <f t="shared" si="17"/>
        <v>8.445234000000001</v>
      </c>
      <c r="AB61" s="12">
        <f t="shared" si="14"/>
        <v>9.6</v>
      </c>
      <c r="AC61" s="864">
        <f t="shared" si="15"/>
        <v>0.87971187500000014</v>
      </c>
    </row>
    <row r="62" spans="3:29" x14ac:dyDescent="0.25">
      <c r="C62" s="850">
        <f>IF(Z62&gt;0,MAX(C31:C61)+1,0)</f>
        <v>32</v>
      </c>
      <c r="D62" s="851">
        <v>10</v>
      </c>
      <c r="E62" s="850">
        <v>32</v>
      </c>
      <c r="F62" s="851">
        <v>10</v>
      </c>
      <c r="G62" s="851">
        <v>4000</v>
      </c>
      <c r="H62" s="851">
        <v>2400</v>
      </c>
      <c r="I62" s="851">
        <v>10</v>
      </c>
      <c r="J62" s="851">
        <v>0</v>
      </c>
      <c r="L62" s="340">
        <f t="shared" si="2"/>
        <v>7.1813285457809695</v>
      </c>
      <c r="M62" s="12">
        <f t="shared" si="4"/>
        <v>7</v>
      </c>
      <c r="N62" s="860">
        <f t="shared" si="5"/>
        <v>0.81867145421903054</v>
      </c>
      <c r="O62" s="861">
        <f t="shared" si="16"/>
        <v>456</v>
      </c>
      <c r="P62" s="861">
        <f t="shared" si="6"/>
        <v>160</v>
      </c>
      <c r="Q62" s="861">
        <f t="shared" si="7"/>
        <v>7</v>
      </c>
      <c r="S62" s="340">
        <f t="shared" si="3"/>
        <v>6.6481994459833791</v>
      </c>
      <c r="T62" s="12">
        <f t="shared" si="8"/>
        <v>6</v>
      </c>
      <c r="U62" s="860">
        <f t="shared" si="9"/>
        <v>0.35180055401662091</v>
      </c>
      <c r="V62" s="861">
        <f t="shared" si="10"/>
        <v>127.00000000000014</v>
      </c>
      <c r="W62" s="861">
        <f t="shared" si="11"/>
        <v>120</v>
      </c>
      <c r="X62" s="861">
        <f t="shared" si="12"/>
        <v>6</v>
      </c>
      <c r="Y62" s="2"/>
      <c r="Z62" s="12">
        <f t="shared" si="13"/>
        <v>42</v>
      </c>
      <c r="AA62" s="12">
        <f t="shared" si="17"/>
        <v>8.445234000000001</v>
      </c>
      <c r="AB62" s="12">
        <f t="shared" si="14"/>
        <v>9.6</v>
      </c>
      <c r="AC62" s="864">
        <f t="shared" si="15"/>
        <v>0.87971187500000014</v>
      </c>
    </row>
    <row r="63" spans="3:29" x14ac:dyDescent="0.25">
      <c r="C63" s="850">
        <f>IF(Z63&gt;0,MAX(C31:C62)+1,0)</f>
        <v>33</v>
      </c>
      <c r="D63" s="851">
        <v>10</v>
      </c>
      <c r="E63" s="850">
        <v>33</v>
      </c>
      <c r="F63" s="851">
        <v>10</v>
      </c>
      <c r="G63" s="851">
        <v>6000</v>
      </c>
      <c r="H63" s="851">
        <v>1600</v>
      </c>
      <c r="I63" s="851">
        <v>10</v>
      </c>
      <c r="J63" s="851">
        <v>0</v>
      </c>
      <c r="L63" s="340">
        <f t="shared" si="2"/>
        <v>10.771992818671455</v>
      </c>
      <c r="M63" s="12">
        <f t="shared" si="4"/>
        <v>10</v>
      </c>
      <c r="N63" s="860">
        <f t="shared" si="5"/>
        <v>0.22800718132854492</v>
      </c>
      <c r="O63" s="861">
        <f t="shared" si="16"/>
        <v>126.99999999999955</v>
      </c>
      <c r="P63" s="861">
        <f t="shared" si="6"/>
        <v>160</v>
      </c>
      <c r="Q63" s="861">
        <f t="shared" si="7"/>
        <v>11</v>
      </c>
      <c r="S63" s="340">
        <f t="shared" si="3"/>
        <v>4.43213296398892</v>
      </c>
      <c r="T63" s="12">
        <f t="shared" si="8"/>
        <v>4</v>
      </c>
      <c r="U63" s="860">
        <f t="shared" si="9"/>
        <v>0.56786703601108002</v>
      </c>
      <c r="V63" s="861">
        <f t="shared" si="10"/>
        <v>204.99999999999989</v>
      </c>
      <c r="W63" s="861">
        <f t="shared" si="11"/>
        <v>120</v>
      </c>
      <c r="X63" s="861">
        <f t="shared" si="12"/>
        <v>4</v>
      </c>
      <c r="Y63" s="2"/>
      <c r="Z63" s="12">
        <f t="shared" si="13"/>
        <v>44</v>
      </c>
      <c r="AA63" s="12">
        <f t="shared" si="17"/>
        <v>8.8473880000000005</v>
      </c>
      <c r="AB63" s="12">
        <f t="shared" si="14"/>
        <v>9.6000000000000014</v>
      </c>
      <c r="AC63" s="864">
        <f t="shared" si="15"/>
        <v>0.92160291666666661</v>
      </c>
    </row>
    <row r="64" spans="3:29" x14ac:dyDescent="0.25">
      <c r="C64" s="850">
        <f>IF(Z64&gt;0,MAX(C31:C63)+1,0)</f>
        <v>34</v>
      </c>
      <c r="D64" s="851">
        <v>10</v>
      </c>
      <c r="E64" s="850">
        <v>34</v>
      </c>
      <c r="F64" s="851">
        <v>12</v>
      </c>
      <c r="G64" s="851">
        <v>4800</v>
      </c>
      <c r="H64" s="851">
        <v>2400</v>
      </c>
      <c r="I64" s="851">
        <v>12</v>
      </c>
      <c r="J64" s="851">
        <v>0</v>
      </c>
      <c r="L64" s="340">
        <f t="shared" si="2"/>
        <v>8.6175942549371634</v>
      </c>
      <c r="M64" s="12">
        <f t="shared" si="4"/>
        <v>8</v>
      </c>
      <c r="N64" s="860">
        <f t="shared" si="5"/>
        <v>0.38240574506283664</v>
      </c>
      <c r="O64" s="861">
        <f t="shared" si="16"/>
        <v>213</v>
      </c>
      <c r="P64" s="861">
        <f t="shared" si="6"/>
        <v>160</v>
      </c>
      <c r="Q64" s="861">
        <f t="shared" si="7"/>
        <v>8</v>
      </c>
      <c r="S64" s="340">
        <f t="shared" si="3"/>
        <v>6.6481994459833791</v>
      </c>
      <c r="T64" s="12">
        <f t="shared" si="8"/>
        <v>6</v>
      </c>
      <c r="U64" s="860">
        <f t="shared" si="9"/>
        <v>0.35180055401662091</v>
      </c>
      <c r="V64" s="861">
        <f t="shared" si="10"/>
        <v>127.00000000000014</v>
      </c>
      <c r="W64" s="861">
        <f t="shared" si="11"/>
        <v>120</v>
      </c>
      <c r="X64" s="861">
        <f t="shared" si="12"/>
        <v>6</v>
      </c>
      <c r="Y64" s="2"/>
      <c r="Z64" s="12">
        <f t="shared" si="13"/>
        <v>48</v>
      </c>
      <c r="AA64" s="12">
        <f t="shared" si="17"/>
        <v>9.6516960000000012</v>
      </c>
      <c r="AB64" s="12">
        <f t="shared" si="14"/>
        <v>11.52</v>
      </c>
      <c r="AC64" s="864">
        <f t="shared" si="15"/>
        <v>0.83782083333333346</v>
      </c>
    </row>
    <row r="65" spans="3:29" x14ac:dyDescent="0.25">
      <c r="C65" s="850">
        <f>IF(Z65&gt;0,MAX(C31:C64)+1,0)</f>
        <v>35</v>
      </c>
      <c r="D65" s="851">
        <v>20</v>
      </c>
      <c r="E65" s="850">
        <v>35</v>
      </c>
      <c r="F65" s="851">
        <v>10</v>
      </c>
      <c r="G65" s="851">
        <v>5000</v>
      </c>
      <c r="H65" s="851">
        <v>2400</v>
      </c>
      <c r="I65" s="851">
        <v>0</v>
      </c>
      <c r="J65" s="851">
        <v>10</v>
      </c>
      <c r="L65" s="340">
        <f t="shared" si="2"/>
        <v>8.9766606822262123</v>
      </c>
      <c r="M65" s="12">
        <f t="shared" si="4"/>
        <v>8</v>
      </c>
      <c r="N65" s="860">
        <f t="shared" si="5"/>
        <v>2.3339317773787727E-2</v>
      </c>
      <c r="O65" s="861">
        <f t="shared" si="16"/>
        <v>12.999999999999773</v>
      </c>
      <c r="P65" s="861">
        <f t="shared" si="6"/>
        <v>160</v>
      </c>
      <c r="Q65" s="861">
        <f t="shared" si="7"/>
        <v>9</v>
      </c>
      <c r="S65" s="340">
        <f t="shared" si="3"/>
        <v>6.6481994459833791</v>
      </c>
      <c r="T65" s="12">
        <f t="shared" si="8"/>
        <v>6</v>
      </c>
      <c r="U65" s="860">
        <f t="shared" si="9"/>
        <v>0.35180055401662091</v>
      </c>
      <c r="V65" s="861">
        <f t="shared" si="10"/>
        <v>127.00000000000014</v>
      </c>
      <c r="W65" s="861">
        <f t="shared" si="11"/>
        <v>120</v>
      </c>
      <c r="X65" s="861">
        <f t="shared" si="12"/>
        <v>6</v>
      </c>
      <c r="Y65" s="2"/>
      <c r="Z65" s="12">
        <f t="shared" si="13"/>
        <v>54</v>
      </c>
      <c r="AA65" s="12">
        <f t="shared" si="17"/>
        <v>10.858158</v>
      </c>
      <c r="AB65" s="12">
        <f t="shared" si="14"/>
        <v>12</v>
      </c>
      <c r="AC65" s="864">
        <f t="shared" si="15"/>
        <v>0.9048465</v>
      </c>
    </row>
    <row r="66" spans="3:29" x14ac:dyDescent="0.25">
      <c r="C66" s="850">
        <f>IF(Z66&gt;0,MAX(C31:C65)+1,0)</f>
        <v>36</v>
      </c>
      <c r="D66" s="851">
        <v>20</v>
      </c>
      <c r="E66" s="850">
        <v>36</v>
      </c>
      <c r="F66" s="851">
        <v>10</v>
      </c>
      <c r="G66" s="851">
        <v>6000</v>
      </c>
      <c r="H66" s="851">
        <v>2000</v>
      </c>
      <c r="I66" s="851">
        <v>0</v>
      </c>
      <c r="J66" s="851">
        <v>10</v>
      </c>
      <c r="L66" s="340">
        <f t="shared" si="2"/>
        <v>10.771992818671455</v>
      </c>
      <c r="M66" s="12">
        <f t="shared" si="4"/>
        <v>10</v>
      </c>
      <c r="N66" s="860">
        <f t="shared" si="5"/>
        <v>0.22800718132854492</v>
      </c>
      <c r="O66" s="861">
        <f t="shared" si="16"/>
        <v>126.99999999999955</v>
      </c>
      <c r="P66" s="861">
        <f t="shared" si="6"/>
        <v>160</v>
      </c>
      <c r="Q66" s="861">
        <f t="shared" si="7"/>
        <v>11</v>
      </c>
      <c r="S66" s="340">
        <f t="shared" si="3"/>
        <v>5.54016620498615</v>
      </c>
      <c r="T66" s="12">
        <f t="shared" si="8"/>
        <v>5</v>
      </c>
      <c r="U66" s="860">
        <f t="shared" si="9"/>
        <v>0.45983379501385002</v>
      </c>
      <c r="V66" s="861">
        <f t="shared" si="10"/>
        <v>165.99999999999986</v>
      </c>
      <c r="W66" s="861">
        <f t="shared" si="11"/>
        <v>120</v>
      </c>
      <c r="X66" s="861">
        <f t="shared" si="12"/>
        <v>5</v>
      </c>
      <c r="Y66" s="2"/>
      <c r="Z66" s="12">
        <f t="shared" si="13"/>
        <v>55</v>
      </c>
      <c r="AA66" s="12">
        <f t="shared" si="17"/>
        <v>11.059235000000001</v>
      </c>
      <c r="AB66" s="12">
        <f t="shared" si="14"/>
        <v>12</v>
      </c>
      <c r="AC66" s="864">
        <f t="shared" si="15"/>
        <v>0.92160291666666672</v>
      </c>
    </row>
    <row r="67" spans="3:29" x14ac:dyDescent="0.25">
      <c r="C67" s="850">
        <f>IF(Z67&gt;0,MAX(C31:C66)+1,0)</f>
        <v>37</v>
      </c>
      <c r="D67" s="851">
        <v>10</v>
      </c>
      <c r="E67" s="850">
        <v>37</v>
      </c>
      <c r="F67" s="851">
        <v>14</v>
      </c>
      <c r="G67" s="851">
        <v>5600</v>
      </c>
      <c r="H67" s="851">
        <v>2400</v>
      </c>
      <c r="I67" s="851">
        <v>14</v>
      </c>
      <c r="J67" s="851">
        <v>0</v>
      </c>
      <c r="L67" s="340">
        <f t="shared" si="2"/>
        <v>10.053859964093357</v>
      </c>
      <c r="M67" s="12">
        <f t="shared" si="4"/>
        <v>10</v>
      </c>
      <c r="N67" s="860">
        <f t="shared" si="5"/>
        <v>0.94614003590664275</v>
      </c>
      <c r="O67" s="861">
        <f t="shared" si="16"/>
        <v>527</v>
      </c>
      <c r="P67" s="861">
        <f t="shared" si="6"/>
        <v>160</v>
      </c>
      <c r="Q67" s="861">
        <f t="shared" si="7"/>
        <v>10</v>
      </c>
      <c r="S67" s="340">
        <f t="shared" si="3"/>
        <v>6.6481994459833791</v>
      </c>
      <c r="T67" s="12">
        <f t="shared" si="8"/>
        <v>6</v>
      </c>
      <c r="U67" s="860">
        <f t="shared" si="9"/>
        <v>0.35180055401662091</v>
      </c>
      <c r="V67" s="861">
        <f t="shared" si="10"/>
        <v>127.00000000000014</v>
      </c>
      <c r="W67" s="861">
        <f t="shared" si="11"/>
        <v>120</v>
      </c>
      <c r="X67" s="861">
        <f t="shared" si="12"/>
        <v>6</v>
      </c>
      <c r="Y67" s="2"/>
      <c r="Z67" s="12">
        <f t="shared" si="13"/>
        <v>60</v>
      </c>
      <c r="AA67" s="12">
        <f t="shared" si="17"/>
        <v>12.06462</v>
      </c>
      <c r="AB67" s="12">
        <f t="shared" si="14"/>
        <v>13.44</v>
      </c>
      <c r="AC67" s="864">
        <f t="shared" si="15"/>
        <v>0.89766517857142858</v>
      </c>
    </row>
    <row r="68" spans="3:29" x14ac:dyDescent="0.25">
      <c r="C68" s="850">
        <f>IF(Z68&gt;0,MAX(C31:C67)+1,0)</f>
        <v>38</v>
      </c>
      <c r="D68" s="851">
        <v>20</v>
      </c>
      <c r="E68" s="850">
        <v>38</v>
      </c>
      <c r="F68" s="851">
        <v>12</v>
      </c>
      <c r="G68" s="851">
        <v>6000</v>
      </c>
      <c r="H68" s="851">
        <v>2400</v>
      </c>
      <c r="I68" s="851">
        <v>0</v>
      </c>
      <c r="J68" s="851">
        <v>12</v>
      </c>
      <c r="L68" s="340">
        <f t="shared" si="2"/>
        <v>10.771992818671455</v>
      </c>
      <c r="M68" s="12">
        <f t="shared" si="4"/>
        <v>10</v>
      </c>
      <c r="N68" s="860">
        <f t="shared" si="5"/>
        <v>0.22800718132854492</v>
      </c>
      <c r="O68" s="861">
        <f t="shared" si="16"/>
        <v>126.99999999999955</v>
      </c>
      <c r="P68" s="861">
        <f t="shared" si="6"/>
        <v>160</v>
      </c>
      <c r="Q68" s="861">
        <f t="shared" si="7"/>
        <v>11</v>
      </c>
      <c r="S68" s="340">
        <f t="shared" si="3"/>
        <v>6.6481994459833791</v>
      </c>
      <c r="T68" s="12">
        <f t="shared" si="8"/>
        <v>6</v>
      </c>
      <c r="U68" s="860">
        <f t="shared" si="9"/>
        <v>0.35180055401662091</v>
      </c>
      <c r="V68" s="861">
        <f t="shared" si="10"/>
        <v>127.00000000000014</v>
      </c>
      <c r="W68" s="861">
        <f t="shared" si="11"/>
        <v>120</v>
      </c>
      <c r="X68" s="861">
        <f t="shared" si="12"/>
        <v>6</v>
      </c>
      <c r="Y68" s="2"/>
      <c r="Z68" s="12">
        <f t="shared" si="13"/>
        <v>66</v>
      </c>
      <c r="AA68" s="12">
        <f t="shared" si="17"/>
        <v>13.271082</v>
      </c>
      <c r="AB68" s="12">
        <f t="shared" si="14"/>
        <v>14.399999999999999</v>
      </c>
      <c r="AC68" s="864">
        <f t="shared" si="15"/>
        <v>0.92160291666666672</v>
      </c>
    </row>
    <row r="69" spans="3:29" x14ac:dyDescent="0.25">
      <c r="C69" s="848">
        <f>IF(Z69&gt;0,MAX(C31:C68)+1,0)</f>
        <v>39</v>
      </c>
      <c r="D69" s="853">
        <v>10</v>
      </c>
      <c r="E69" s="848">
        <v>39</v>
      </c>
      <c r="F69" s="853">
        <v>16</v>
      </c>
      <c r="G69" s="853">
        <v>6400</v>
      </c>
      <c r="H69" s="853">
        <v>2400</v>
      </c>
      <c r="I69" s="853">
        <v>16</v>
      </c>
      <c r="J69" s="853">
        <v>0</v>
      </c>
      <c r="L69" s="342">
        <f t="shared" si="2"/>
        <v>11.490125673249551</v>
      </c>
      <c r="M69" s="13">
        <f t="shared" si="4"/>
        <v>11</v>
      </c>
      <c r="N69" s="862">
        <f t="shared" si="5"/>
        <v>0.50987432675044886</v>
      </c>
      <c r="O69" s="849">
        <f>$D$4-((L69-M69)*$D$4)</f>
        <v>284</v>
      </c>
      <c r="P69" s="849">
        <f t="shared" si="6"/>
        <v>160</v>
      </c>
      <c r="Q69" s="849">
        <f t="shared" si="7"/>
        <v>11</v>
      </c>
      <c r="S69" s="342">
        <f t="shared" si="3"/>
        <v>6.6481994459833791</v>
      </c>
      <c r="T69" s="13">
        <f t="shared" si="8"/>
        <v>6</v>
      </c>
      <c r="U69" s="862">
        <f t="shared" si="9"/>
        <v>0.35180055401662091</v>
      </c>
      <c r="V69" s="849">
        <f t="shared" si="10"/>
        <v>127.00000000000014</v>
      </c>
      <c r="W69" s="849">
        <f t="shared" si="11"/>
        <v>120</v>
      </c>
      <c r="X69" s="849">
        <f t="shared" si="12"/>
        <v>6</v>
      </c>
      <c r="Y69" s="2"/>
      <c r="Z69" s="13">
        <f t="shared" si="13"/>
        <v>66</v>
      </c>
      <c r="AA69" s="13">
        <f t="shared" si="17"/>
        <v>13.271082</v>
      </c>
      <c r="AB69" s="13">
        <f t="shared" si="14"/>
        <v>15.36</v>
      </c>
      <c r="AC69" s="865">
        <f t="shared" si="15"/>
        <v>0.86400273437499997</v>
      </c>
    </row>
    <row r="70" spans="3:29" x14ac:dyDescent="0.25">
      <c r="C70" s="6"/>
      <c r="D70" s="2"/>
      <c r="S70" s="2"/>
      <c r="U70" s="2"/>
      <c r="V70" s="2"/>
      <c r="W70" s="2"/>
      <c r="X70" s="2"/>
      <c r="Y70" s="2"/>
      <c r="Z70" s="2"/>
      <c r="AA70" s="2"/>
      <c r="AB70" s="2"/>
      <c r="AC70" s="25"/>
    </row>
    <row r="71" spans="3:29" x14ac:dyDescent="0.25">
      <c r="C71" s="845" t="s">
        <v>922</v>
      </c>
      <c r="D71" s="845" t="s">
        <v>898</v>
      </c>
      <c r="E71" s="845" t="s">
        <v>108</v>
      </c>
      <c r="F71" s="845" t="s">
        <v>61</v>
      </c>
      <c r="G71" s="846" t="s">
        <v>899</v>
      </c>
      <c r="H71" s="845" t="s">
        <v>898</v>
      </c>
      <c r="I71" s="845" t="s">
        <v>898</v>
      </c>
      <c r="J71" s="845" t="s">
        <v>898</v>
      </c>
      <c r="L71" s="859" t="s">
        <v>908</v>
      </c>
      <c r="M71" s="845" t="s">
        <v>907</v>
      </c>
      <c r="N71" s="442" t="s">
        <v>910</v>
      </c>
      <c r="O71" s="404" t="s">
        <v>911</v>
      </c>
      <c r="P71" s="442" t="s">
        <v>913</v>
      </c>
      <c r="Q71" s="442" t="s">
        <v>6</v>
      </c>
      <c r="S71" s="845" t="s">
        <v>909</v>
      </c>
      <c r="T71" s="845" t="s">
        <v>907</v>
      </c>
      <c r="U71" s="442" t="s">
        <v>801</v>
      </c>
      <c r="V71" s="404" t="s">
        <v>911</v>
      </c>
      <c r="W71" s="442" t="s">
        <v>913</v>
      </c>
      <c r="X71" s="442" t="s">
        <v>6</v>
      </c>
      <c r="Y71" s="2"/>
      <c r="Z71" s="442" t="s">
        <v>915</v>
      </c>
      <c r="AA71" s="442" t="s">
        <v>605</v>
      </c>
      <c r="AB71" s="442" t="s">
        <v>917</v>
      </c>
      <c r="AC71" s="442" t="s">
        <v>898</v>
      </c>
    </row>
    <row r="72" spans="3:29" x14ac:dyDescent="0.25">
      <c r="C72" s="848">
        <f>MAX(C73:C111)</f>
        <v>39</v>
      </c>
      <c r="D72" s="848" t="s">
        <v>900</v>
      </c>
      <c r="E72" s="848" t="s">
        <v>901</v>
      </c>
      <c r="F72" s="848" t="s">
        <v>810</v>
      </c>
      <c r="G72" s="849" t="s">
        <v>902</v>
      </c>
      <c r="H72" s="848" t="s">
        <v>903</v>
      </c>
      <c r="I72" s="848" t="s">
        <v>897</v>
      </c>
      <c r="J72" s="848" t="s">
        <v>904</v>
      </c>
      <c r="L72" s="342"/>
      <c r="M72" s="52"/>
      <c r="N72" s="13"/>
      <c r="O72" s="52"/>
      <c r="P72" s="13" t="s">
        <v>911</v>
      </c>
      <c r="Q72" s="13" t="s">
        <v>914</v>
      </c>
      <c r="S72" s="13"/>
      <c r="T72" s="52"/>
      <c r="U72" s="13"/>
      <c r="V72" s="13"/>
      <c r="W72" s="13" t="s">
        <v>911</v>
      </c>
      <c r="X72" s="13" t="s">
        <v>914</v>
      </c>
      <c r="Y72" s="2"/>
      <c r="Z72" s="13" t="s">
        <v>898</v>
      </c>
      <c r="AA72" s="13" t="s">
        <v>920</v>
      </c>
      <c r="AB72" s="13" t="s">
        <v>918</v>
      </c>
      <c r="AC72" s="13" t="s">
        <v>921</v>
      </c>
    </row>
    <row r="73" spans="3:29" x14ac:dyDescent="0.25">
      <c r="C73" s="845">
        <f>IF(Z73&gt;0,1,0)</f>
        <v>1</v>
      </c>
      <c r="D73" s="866">
        <v>10</v>
      </c>
      <c r="E73" s="845">
        <v>101</v>
      </c>
      <c r="F73" s="868">
        <v>1</v>
      </c>
      <c r="G73" s="851">
        <v>1200</v>
      </c>
      <c r="H73" s="851">
        <v>800</v>
      </c>
      <c r="I73" s="851">
        <v>1</v>
      </c>
      <c r="J73" s="851">
        <v>0</v>
      </c>
      <c r="L73" s="340">
        <f t="shared" ref="L73:L111" si="18">G73/$D$3</f>
        <v>3.3240997229916895</v>
      </c>
      <c r="M73" s="12">
        <f>FLOOR(L73,1)</f>
        <v>3</v>
      </c>
      <c r="N73" s="860">
        <f t="shared" ref="N73:N111" si="19">(1-(L73-M73))</f>
        <v>0.67590027700831046</v>
      </c>
      <c r="O73" s="861">
        <f>$D$3-((L73-M73)*$D$3)</f>
        <v>244.00000000000006</v>
      </c>
      <c r="P73" s="846">
        <f>$C$24*2</f>
        <v>120</v>
      </c>
      <c r="Q73" s="861">
        <f t="shared" ref="Q73:Q111" si="20">IF(P73&gt;=O73,M73+1,M73)</f>
        <v>3</v>
      </c>
      <c r="S73" s="340">
        <f t="shared" ref="S73:S111" si="21">H73/$D$4</f>
        <v>1.4362657091561939</v>
      </c>
      <c r="T73" s="12">
        <f>FLOOR(S73,1)</f>
        <v>1</v>
      </c>
      <c r="U73" s="860">
        <f t="shared" ref="U73:U111" si="22">(1-(S73-T73))</f>
        <v>0.56373429084380611</v>
      </c>
      <c r="V73" s="861">
        <f>$D$4-((S73-T73)*$D$4)</f>
        <v>314</v>
      </c>
      <c r="W73" s="846">
        <f>$D$24*2</f>
        <v>160</v>
      </c>
      <c r="X73" s="861">
        <f t="shared" ref="X73:X111" si="23">IF(W73&gt;=V73,T73+1,T73)</f>
        <v>1</v>
      </c>
      <c r="Y73" s="2"/>
      <c r="Z73" s="12">
        <f t="shared" ref="Z73:Z111" si="24">Q73*X73</f>
        <v>3</v>
      </c>
      <c r="AA73" s="12">
        <f t="shared" ref="AA73:AA111" si="25">Z73*$D$5</f>
        <v>0.60323100000000007</v>
      </c>
      <c r="AB73" s="12">
        <f t="shared" ref="AB73:AB111" si="26">(G73/1000)*(H73/1000)</f>
        <v>0.96</v>
      </c>
      <c r="AC73" s="864">
        <f t="shared" ref="AC73:AC111" si="27">IF(Z73&gt;0,AA73/AB73,0)</f>
        <v>0.62836562500000015</v>
      </c>
    </row>
    <row r="74" spans="3:29" x14ac:dyDescent="0.25">
      <c r="C74" s="850">
        <f>IF(Z74&gt;0,MAX(C73)+1,0)</f>
        <v>2</v>
      </c>
      <c r="D74" s="866">
        <v>20</v>
      </c>
      <c r="E74" s="850">
        <v>102</v>
      </c>
      <c r="F74" s="868">
        <v>1</v>
      </c>
      <c r="G74" s="851">
        <v>1200</v>
      </c>
      <c r="H74" s="851">
        <v>1000</v>
      </c>
      <c r="I74" s="851">
        <v>0</v>
      </c>
      <c r="J74" s="851">
        <v>1</v>
      </c>
      <c r="L74" s="340">
        <f t="shared" si="18"/>
        <v>3.3240997229916895</v>
      </c>
      <c r="M74" s="12">
        <f t="shared" ref="M74:M111" si="28">FLOOR(L74,1)</f>
        <v>3</v>
      </c>
      <c r="N74" s="860">
        <f t="shared" si="19"/>
        <v>0.67590027700831046</v>
      </c>
      <c r="O74" s="861">
        <f t="shared" ref="O74:O111" si="29">$D$3-((L74-M74)*$D$3)</f>
        <v>244.00000000000006</v>
      </c>
      <c r="P74" s="861">
        <f t="shared" ref="P74:P111" si="30">$C$24*2</f>
        <v>120</v>
      </c>
      <c r="Q74" s="861">
        <f t="shared" si="20"/>
        <v>3</v>
      </c>
      <c r="S74" s="340">
        <f t="shared" si="21"/>
        <v>1.7953321364452424</v>
      </c>
      <c r="T74" s="12">
        <f t="shared" ref="T74:T111" si="31">FLOOR(S74,1)</f>
        <v>1</v>
      </c>
      <c r="U74" s="860">
        <f t="shared" si="22"/>
        <v>0.20466786355475763</v>
      </c>
      <c r="V74" s="861">
        <f t="shared" ref="V74:V111" si="32">$D$4-((S74-T74)*$D$4)</f>
        <v>114</v>
      </c>
      <c r="W74" s="861">
        <f t="shared" ref="W74:W111" si="33">$D$24*2</f>
        <v>160</v>
      </c>
      <c r="X74" s="861">
        <f t="shared" si="23"/>
        <v>2</v>
      </c>
      <c r="Y74" s="2"/>
      <c r="Z74" s="12">
        <f t="shared" si="24"/>
        <v>6</v>
      </c>
      <c r="AA74" s="12">
        <f t="shared" si="25"/>
        <v>1.2064620000000001</v>
      </c>
      <c r="AB74" s="12">
        <f t="shared" si="26"/>
        <v>1.2</v>
      </c>
      <c r="AC74" s="864">
        <f t="shared" si="27"/>
        <v>1.0053850000000002</v>
      </c>
    </row>
    <row r="75" spans="3:29" x14ac:dyDescent="0.25">
      <c r="C75" s="850">
        <f>IF(Z75&gt;0,MAX(C73:C74)+1,0)</f>
        <v>3</v>
      </c>
      <c r="D75" s="866">
        <v>10</v>
      </c>
      <c r="E75" s="850">
        <v>103</v>
      </c>
      <c r="F75" s="868">
        <v>2</v>
      </c>
      <c r="G75" s="852">
        <v>1600</v>
      </c>
      <c r="H75" s="851">
        <v>1200</v>
      </c>
      <c r="I75" s="851">
        <v>2</v>
      </c>
      <c r="J75" s="851">
        <v>0</v>
      </c>
      <c r="L75" s="340">
        <f t="shared" si="18"/>
        <v>4.43213296398892</v>
      </c>
      <c r="M75" s="12">
        <f t="shared" si="28"/>
        <v>4</v>
      </c>
      <c r="N75" s="860">
        <f t="shared" si="19"/>
        <v>0.56786703601108002</v>
      </c>
      <c r="O75" s="861">
        <f t="shared" si="29"/>
        <v>204.99999999999989</v>
      </c>
      <c r="P75" s="861">
        <f t="shared" si="30"/>
        <v>120</v>
      </c>
      <c r="Q75" s="861">
        <f t="shared" si="20"/>
        <v>4</v>
      </c>
      <c r="S75" s="340">
        <f t="shared" si="21"/>
        <v>2.1543985637342908</v>
      </c>
      <c r="T75" s="12">
        <f t="shared" si="31"/>
        <v>2</v>
      </c>
      <c r="U75" s="860">
        <f t="shared" si="22"/>
        <v>0.84560143626570916</v>
      </c>
      <c r="V75" s="861">
        <f t="shared" si="32"/>
        <v>471</v>
      </c>
      <c r="W75" s="861">
        <f t="shared" si="33"/>
        <v>160</v>
      </c>
      <c r="X75" s="861">
        <f t="shared" si="23"/>
        <v>2</v>
      </c>
      <c r="Y75" s="2"/>
      <c r="Z75" s="12">
        <f t="shared" si="24"/>
        <v>8</v>
      </c>
      <c r="AA75" s="12">
        <f t="shared" si="25"/>
        <v>1.608616</v>
      </c>
      <c r="AB75" s="12">
        <f t="shared" si="26"/>
        <v>1.92</v>
      </c>
      <c r="AC75" s="864">
        <f t="shared" si="27"/>
        <v>0.83782083333333335</v>
      </c>
    </row>
    <row r="76" spans="3:29" x14ac:dyDescent="0.25">
      <c r="C76" s="850">
        <f>IF(Z76&gt;0,MAX(C73:C75)+1,0)</f>
        <v>4</v>
      </c>
      <c r="D76" s="866">
        <v>10</v>
      </c>
      <c r="E76" s="850">
        <v>104</v>
      </c>
      <c r="F76" s="868">
        <v>2</v>
      </c>
      <c r="G76" s="851">
        <v>2400</v>
      </c>
      <c r="H76" s="851">
        <v>800</v>
      </c>
      <c r="I76" s="851">
        <v>2</v>
      </c>
      <c r="J76" s="851">
        <v>0</v>
      </c>
      <c r="L76" s="340">
        <f t="shared" si="18"/>
        <v>6.6481994459833791</v>
      </c>
      <c r="M76" s="12">
        <f t="shared" si="28"/>
        <v>6</v>
      </c>
      <c r="N76" s="860">
        <f t="shared" si="19"/>
        <v>0.35180055401662091</v>
      </c>
      <c r="O76" s="861">
        <f t="shared" si="29"/>
        <v>127.00000000000014</v>
      </c>
      <c r="P76" s="861">
        <f t="shared" si="30"/>
        <v>120</v>
      </c>
      <c r="Q76" s="861">
        <f t="shared" si="20"/>
        <v>6</v>
      </c>
      <c r="S76" s="340">
        <f t="shared" si="21"/>
        <v>1.4362657091561939</v>
      </c>
      <c r="T76" s="12">
        <f t="shared" si="31"/>
        <v>1</v>
      </c>
      <c r="U76" s="860">
        <f t="shared" si="22"/>
        <v>0.56373429084380611</v>
      </c>
      <c r="V76" s="861">
        <f t="shared" si="32"/>
        <v>314</v>
      </c>
      <c r="W76" s="861">
        <f t="shared" si="33"/>
        <v>160</v>
      </c>
      <c r="X76" s="861">
        <f t="shared" si="23"/>
        <v>1</v>
      </c>
      <c r="Y76" s="2"/>
      <c r="Z76" s="12">
        <f t="shared" si="24"/>
        <v>6</v>
      </c>
      <c r="AA76" s="12">
        <f t="shared" si="25"/>
        <v>1.2064620000000001</v>
      </c>
      <c r="AB76" s="12">
        <f t="shared" si="26"/>
        <v>1.92</v>
      </c>
      <c r="AC76" s="864">
        <f t="shared" si="27"/>
        <v>0.62836562500000015</v>
      </c>
    </row>
    <row r="77" spans="3:29" x14ac:dyDescent="0.25">
      <c r="C77" s="850">
        <f>IF(Z77&gt;0,MAX(C73:C76)+1,0)</f>
        <v>5</v>
      </c>
      <c r="D77" s="866">
        <v>20</v>
      </c>
      <c r="E77" s="850">
        <v>105</v>
      </c>
      <c r="F77" s="868">
        <v>2</v>
      </c>
      <c r="G77" s="851">
        <v>2000</v>
      </c>
      <c r="H77" s="851">
        <v>1200</v>
      </c>
      <c r="I77" s="851">
        <v>0</v>
      </c>
      <c r="J77" s="851">
        <v>2</v>
      </c>
      <c r="L77" s="340">
        <f t="shared" si="18"/>
        <v>5.54016620498615</v>
      </c>
      <c r="M77" s="12">
        <f t="shared" si="28"/>
        <v>5</v>
      </c>
      <c r="N77" s="860">
        <f t="shared" si="19"/>
        <v>0.45983379501385002</v>
      </c>
      <c r="O77" s="861">
        <f t="shared" si="29"/>
        <v>165.99999999999986</v>
      </c>
      <c r="P77" s="861">
        <f t="shared" si="30"/>
        <v>120</v>
      </c>
      <c r="Q77" s="861">
        <f t="shared" si="20"/>
        <v>5</v>
      </c>
      <c r="S77" s="340">
        <f t="shared" si="21"/>
        <v>2.1543985637342908</v>
      </c>
      <c r="T77" s="12">
        <f t="shared" si="31"/>
        <v>2</v>
      </c>
      <c r="U77" s="860">
        <f t="shared" si="22"/>
        <v>0.84560143626570916</v>
      </c>
      <c r="V77" s="861">
        <f t="shared" si="32"/>
        <v>471</v>
      </c>
      <c r="W77" s="861">
        <f t="shared" si="33"/>
        <v>160</v>
      </c>
      <c r="X77" s="861">
        <f t="shared" si="23"/>
        <v>2</v>
      </c>
      <c r="Y77" s="2"/>
      <c r="Z77" s="12">
        <f t="shared" si="24"/>
        <v>10</v>
      </c>
      <c r="AA77" s="12">
        <f t="shared" si="25"/>
        <v>2.0107699999999999</v>
      </c>
      <c r="AB77" s="12">
        <f t="shared" si="26"/>
        <v>2.4</v>
      </c>
      <c r="AC77" s="864">
        <f t="shared" si="27"/>
        <v>0.83782083333333335</v>
      </c>
    </row>
    <row r="78" spans="3:29" x14ac:dyDescent="0.25">
      <c r="C78" s="850">
        <f>IF(Z78&gt;0,MAX(C73:C77)+1,0)</f>
        <v>6</v>
      </c>
      <c r="D78" s="866">
        <v>20</v>
      </c>
      <c r="E78" s="850">
        <v>106</v>
      </c>
      <c r="F78" s="868">
        <v>2</v>
      </c>
      <c r="G78" s="851">
        <v>2400</v>
      </c>
      <c r="H78" s="851">
        <v>1000</v>
      </c>
      <c r="I78" s="851">
        <v>0</v>
      </c>
      <c r="J78" s="851">
        <v>2</v>
      </c>
      <c r="L78" s="340">
        <f t="shared" si="18"/>
        <v>6.6481994459833791</v>
      </c>
      <c r="M78" s="12">
        <f t="shared" si="28"/>
        <v>6</v>
      </c>
      <c r="N78" s="860">
        <f t="shared" si="19"/>
        <v>0.35180055401662091</v>
      </c>
      <c r="O78" s="861">
        <f t="shared" si="29"/>
        <v>127.00000000000014</v>
      </c>
      <c r="P78" s="861">
        <f t="shared" si="30"/>
        <v>120</v>
      </c>
      <c r="Q78" s="861">
        <f t="shared" si="20"/>
        <v>6</v>
      </c>
      <c r="S78" s="340">
        <f t="shared" si="21"/>
        <v>1.7953321364452424</v>
      </c>
      <c r="T78" s="12">
        <f t="shared" si="31"/>
        <v>1</v>
      </c>
      <c r="U78" s="860">
        <f t="shared" si="22"/>
        <v>0.20466786355475763</v>
      </c>
      <c r="V78" s="861">
        <f t="shared" si="32"/>
        <v>114</v>
      </c>
      <c r="W78" s="861">
        <f t="shared" si="33"/>
        <v>160</v>
      </c>
      <c r="X78" s="861">
        <f t="shared" si="23"/>
        <v>2</v>
      </c>
      <c r="Y78" s="2"/>
      <c r="Z78" s="12">
        <f t="shared" si="24"/>
        <v>12</v>
      </c>
      <c r="AA78" s="12">
        <f t="shared" si="25"/>
        <v>2.4129240000000003</v>
      </c>
      <c r="AB78" s="12">
        <f t="shared" si="26"/>
        <v>2.4</v>
      </c>
      <c r="AC78" s="864">
        <f t="shared" si="27"/>
        <v>1.0053850000000002</v>
      </c>
    </row>
    <row r="79" spans="3:29" x14ac:dyDescent="0.25">
      <c r="C79" s="850">
        <f>IF(Z79&gt;0,MAX(C73:C78)+1,0)</f>
        <v>7</v>
      </c>
      <c r="D79" s="866">
        <v>10</v>
      </c>
      <c r="E79" s="850">
        <v>107</v>
      </c>
      <c r="F79" s="868">
        <v>3</v>
      </c>
      <c r="G79" s="851">
        <v>2400</v>
      </c>
      <c r="H79" s="851">
        <v>1200</v>
      </c>
      <c r="I79" s="851">
        <v>3</v>
      </c>
      <c r="J79" s="851">
        <v>0</v>
      </c>
      <c r="L79" s="340">
        <f t="shared" si="18"/>
        <v>6.6481994459833791</v>
      </c>
      <c r="M79" s="12">
        <f t="shared" si="28"/>
        <v>6</v>
      </c>
      <c r="N79" s="860">
        <f t="shared" si="19"/>
        <v>0.35180055401662091</v>
      </c>
      <c r="O79" s="861">
        <f t="shared" si="29"/>
        <v>127.00000000000014</v>
      </c>
      <c r="P79" s="861">
        <f t="shared" si="30"/>
        <v>120</v>
      </c>
      <c r="Q79" s="861">
        <f t="shared" si="20"/>
        <v>6</v>
      </c>
      <c r="S79" s="340">
        <f t="shared" si="21"/>
        <v>2.1543985637342908</v>
      </c>
      <c r="T79" s="12">
        <f t="shared" si="31"/>
        <v>2</v>
      </c>
      <c r="U79" s="860">
        <f t="shared" si="22"/>
        <v>0.84560143626570916</v>
      </c>
      <c r="V79" s="861">
        <f t="shared" si="32"/>
        <v>471</v>
      </c>
      <c r="W79" s="861">
        <f t="shared" si="33"/>
        <v>160</v>
      </c>
      <c r="X79" s="861">
        <f t="shared" si="23"/>
        <v>2</v>
      </c>
      <c r="Y79" s="2"/>
      <c r="Z79" s="12">
        <f t="shared" si="24"/>
        <v>12</v>
      </c>
      <c r="AA79" s="12">
        <f t="shared" si="25"/>
        <v>2.4129240000000003</v>
      </c>
      <c r="AB79" s="12">
        <f t="shared" si="26"/>
        <v>2.88</v>
      </c>
      <c r="AC79" s="864">
        <f t="shared" si="27"/>
        <v>0.83782083333333346</v>
      </c>
    </row>
    <row r="80" spans="3:29" x14ac:dyDescent="0.25">
      <c r="C80" s="850">
        <f>IF(Z80&gt;0,MAX(C73:C79)+1,0)</f>
        <v>8</v>
      </c>
      <c r="D80" s="866">
        <v>10</v>
      </c>
      <c r="E80" s="850">
        <v>108</v>
      </c>
      <c r="F80" s="868">
        <v>3</v>
      </c>
      <c r="G80" s="851">
        <v>3600</v>
      </c>
      <c r="H80" s="851">
        <v>800</v>
      </c>
      <c r="I80" s="851">
        <v>3</v>
      </c>
      <c r="J80" s="851">
        <v>0</v>
      </c>
      <c r="L80" s="340">
        <f t="shared" si="18"/>
        <v>9.97229916897507</v>
      </c>
      <c r="M80" s="12">
        <f t="shared" si="28"/>
        <v>9</v>
      </c>
      <c r="N80" s="860">
        <f t="shared" si="19"/>
        <v>2.7700831024930039E-2</v>
      </c>
      <c r="O80" s="861">
        <f t="shared" si="29"/>
        <v>9.9999999999997726</v>
      </c>
      <c r="P80" s="861">
        <f t="shared" si="30"/>
        <v>120</v>
      </c>
      <c r="Q80" s="861">
        <f t="shared" si="20"/>
        <v>10</v>
      </c>
      <c r="S80" s="340">
        <f t="shared" si="21"/>
        <v>1.4362657091561939</v>
      </c>
      <c r="T80" s="12">
        <f t="shared" si="31"/>
        <v>1</v>
      </c>
      <c r="U80" s="860">
        <f t="shared" si="22"/>
        <v>0.56373429084380611</v>
      </c>
      <c r="V80" s="861">
        <f t="shared" si="32"/>
        <v>314</v>
      </c>
      <c r="W80" s="861">
        <f t="shared" si="33"/>
        <v>160</v>
      </c>
      <c r="X80" s="861">
        <f t="shared" si="23"/>
        <v>1</v>
      </c>
      <c r="Y80" s="2"/>
      <c r="Z80" s="12">
        <f t="shared" si="24"/>
        <v>10</v>
      </c>
      <c r="AA80" s="12">
        <f t="shared" si="25"/>
        <v>2.0107699999999999</v>
      </c>
      <c r="AB80" s="12">
        <f t="shared" si="26"/>
        <v>2.8800000000000003</v>
      </c>
      <c r="AC80" s="864">
        <f t="shared" si="27"/>
        <v>0.69818402777777766</v>
      </c>
    </row>
    <row r="81" spans="3:29" x14ac:dyDescent="0.25">
      <c r="C81" s="850">
        <f>IF(Z81&gt;0,MAX(C73:C80)+1,0)</f>
        <v>9</v>
      </c>
      <c r="D81" s="866">
        <v>20</v>
      </c>
      <c r="E81" s="850">
        <v>109</v>
      </c>
      <c r="F81" s="868">
        <v>3</v>
      </c>
      <c r="G81" s="851">
        <v>3000</v>
      </c>
      <c r="H81" s="851">
        <v>1200</v>
      </c>
      <c r="I81" s="851">
        <v>0</v>
      </c>
      <c r="J81" s="851">
        <v>3</v>
      </c>
      <c r="L81" s="340">
        <f t="shared" si="18"/>
        <v>8.310249307479225</v>
      </c>
      <c r="M81" s="12">
        <f t="shared" si="28"/>
        <v>8</v>
      </c>
      <c r="N81" s="860">
        <f t="shared" si="19"/>
        <v>0.68975069252077503</v>
      </c>
      <c r="O81" s="861">
        <f t="shared" si="29"/>
        <v>248.99999999999977</v>
      </c>
      <c r="P81" s="861">
        <f t="shared" si="30"/>
        <v>120</v>
      </c>
      <c r="Q81" s="861">
        <f t="shared" si="20"/>
        <v>8</v>
      </c>
      <c r="S81" s="340">
        <f t="shared" si="21"/>
        <v>2.1543985637342908</v>
      </c>
      <c r="T81" s="12">
        <f t="shared" si="31"/>
        <v>2</v>
      </c>
      <c r="U81" s="860">
        <f t="shared" si="22"/>
        <v>0.84560143626570916</v>
      </c>
      <c r="V81" s="861">
        <f t="shared" si="32"/>
        <v>471</v>
      </c>
      <c r="W81" s="861">
        <f t="shared" si="33"/>
        <v>160</v>
      </c>
      <c r="X81" s="861">
        <f t="shared" si="23"/>
        <v>2</v>
      </c>
      <c r="Y81" s="2"/>
      <c r="Z81" s="12">
        <f t="shared" si="24"/>
        <v>16</v>
      </c>
      <c r="AA81" s="12">
        <f t="shared" si="25"/>
        <v>3.2172320000000001</v>
      </c>
      <c r="AB81" s="12">
        <f t="shared" si="26"/>
        <v>3.5999999999999996</v>
      </c>
      <c r="AC81" s="864">
        <f t="shared" si="27"/>
        <v>0.89367555555555567</v>
      </c>
    </row>
    <row r="82" spans="3:29" x14ac:dyDescent="0.25">
      <c r="C82" s="850">
        <f>IF(Z82&gt;0,MAX(C73:C81)+1,0)</f>
        <v>10</v>
      </c>
      <c r="D82" s="866">
        <v>20</v>
      </c>
      <c r="E82" s="850">
        <v>110</v>
      </c>
      <c r="F82" s="868">
        <v>3</v>
      </c>
      <c r="G82" s="851">
        <v>3600</v>
      </c>
      <c r="H82" s="851">
        <v>1000</v>
      </c>
      <c r="I82" s="851">
        <v>0</v>
      </c>
      <c r="J82" s="851">
        <v>3</v>
      </c>
      <c r="L82" s="340">
        <f t="shared" si="18"/>
        <v>9.97229916897507</v>
      </c>
      <c r="M82" s="12">
        <f t="shared" si="28"/>
        <v>9</v>
      </c>
      <c r="N82" s="860">
        <f t="shared" si="19"/>
        <v>2.7700831024930039E-2</v>
      </c>
      <c r="O82" s="861">
        <f t="shared" si="29"/>
        <v>9.9999999999997726</v>
      </c>
      <c r="P82" s="861">
        <f t="shared" si="30"/>
        <v>120</v>
      </c>
      <c r="Q82" s="861">
        <f t="shared" si="20"/>
        <v>10</v>
      </c>
      <c r="S82" s="340">
        <f t="shared" si="21"/>
        <v>1.7953321364452424</v>
      </c>
      <c r="T82" s="12">
        <f t="shared" si="31"/>
        <v>1</v>
      </c>
      <c r="U82" s="860">
        <f t="shared" si="22"/>
        <v>0.20466786355475763</v>
      </c>
      <c r="V82" s="861">
        <f t="shared" si="32"/>
        <v>114</v>
      </c>
      <c r="W82" s="861">
        <f t="shared" si="33"/>
        <v>160</v>
      </c>
      <c r="X82" s="861">
        <f t="shared" si="23"/>
        <v>2</v>
      </c>
      <c r="Z82" s="12">
        <f t="shared" si="24"/>
        <v>20</v>
      </c>
      <c r="AA82" s="12">
        <f t="shared" si="25"/>
        <v>4.0215399999999999</v>
      </c>
      <c r="AB82" s="12">
        <f t="shared" si="26"/>
        <v>3.6</v>
      </c>
      <c r="AC82" s="864">
        <f t="shared" si="27"/>
        <v>1.1170944444444444</v>
      </c>
    </row>
    <row r="83" spans="3:29" x14ac:dyDescent="0.25">
      <c r="C83" s="850">
        <f>IF(Z83&gt;0,MAX(C73:C82)+1,0)</f>
        <v>11</v>
      </c>
      <c r="D83" s="866">
        <v>10</v>
      </c>
      <c r="E83" s="850">
        <v>111</v>
      </c>
      <c r="F83" s="868">
        <v>4</v>
      </c>
      <c r="G83" s="851">
        <v>2400</v>
      </c>
      <c r="H83" s="851">
        <v>1600</v>
      </c>
      <c r="I83" s="851">
        <v>4</v>
      </c>
      <c r="J83" s="851">
        <v>0</v>
      </c>
      <c r="L83" s="340">
        <f t="shared" si="18"/>
        <v>6.6481994459833791</v>
      </c>
      <c r="M83" s="12">
        <f t="shared" si="28"/>
        <v>6</v>
      </c>
      <c r="N83" s="860">
        <f t="shared" si="19"/>
        <v>0.35180055401662091</v>
      </c>
      <c r="O83" s="861">
        <f t="shared" si="29"/>
        <v>127.00000000000014</v>
      </c>
      <c r="P83" s="861">
        <f t="shared" si="30"/>
        <v>120</v>
      </c>
      <c r="Q83" s="861">
        <f t="shared" si="20"/>
        <v>6</v>
      </c>
      <c r="S83" s="340">
        <f t="shared" si="21"/>
        <v>2.8725314183123878</v>
      </c>
      <c r="T83" s="12">
        <f t="shared" si="31"/>
        <v>2</v>
      </c>
      <c r="U83" s="860">
        <f t="shared" si="22"/>
        <v>0.12746858168761221</v>
      </c>
      <c r="V83" s="861">
        <f t="shared" si="32"/>
        <v>71</v>
      </c>
      <c r="W83" s="861">
        <f t="shared" si="33"/>
        <v>160</v>
      </c>
      <c r="X83" s="861">
        <f t="shared" si="23"/>
        <v>3</v>
      </c>
      <c r="Z83" s="12">
        <f t="shared" si="24"/>
        <v>18</v>
      </c>
      <c r="AA83" s="12">
        <f t="shared" si="25"/>
        <v>3.619386</v>
      </c>
      <c r="AB83" s="12">
        <f t="shared" si="26"/>
        <v>3.84</v>
      </c>
      <c r="AC83" s="864">
        <f t="shared" si="27"/>
        <v>0.94254843750000006</v>
      </c>
    </row>
    <row r="84" spans="3:29" x14ac:dyDescent="0.25">
      <c r="C84" s="850">
        <f>IF(Z84&gt;0,MAX(C73:C83)+1,0)</f>
        <v>12</v>
      </c>
      <c r="D84" s="866">
        <v>10</v>
      </c>
      <c r="E84" s="850">
        <v>112</v>
      </c>
      <c r="F84" s="868">
        <v>4</v>
      </c>
      <c r="G84" s="851">
        <v>3200</v>
      </c>
      <c r="H84" s="851">
        <v>1200</v>
      </c>
      <c r="I84" s="851">
        <v>4</v>
      </c>
      <c r="J84" s="851">
        <v>0</v>
      </c>
      <c r="L84" s="340">
        <f t="shared" si="18"/>
        <v>8.86426592797784</v>
      </c>
      <c r="M84" s="12">
        <f t="shared" si="28"/>
        <v>8</v>
      </c>
      <c r="N84" s="860">
        <f t="shared" si="19"/>
        <v>0.13573407202216003</v>
      </c>
      <c r="O84" s="861">
        <f t="shared" si="29"/>
        <v>48.999999999999773</v>
      </c>
      <c r="P84" s="861">
        <f t="shared" si="30"/>
        <v>120</v>
      </c>
      <c r="Q84" s="861">
        <f t="shared" si="20"/>
        <v>9</v>
      </c>
      <c r="S84" s="340">
        <f t="shared" si="21"/>
        <v>2.1543985637342908</v>
      </c>
      <c r="T84" s="12">
        <f t="shared" si="31"/>
        <v>2</v>
      </c>
      <c r="U84" s="860">
        <f t="shared" si="22"/>
        <v>0.84560143626570916</v>
      </c>
      <c r="V84" s="861">
        <f t="shared" si="32"/>
        <v>471</v>
      </c>
      <c r="W84" s="861">
        <f t="shared" si="33"/>
        <v>160</v>
      </c>
      <c r="X84" s="861">
        <f t="shared" si="23"/>
        <v>2</v>
      </c>
      <c r="Z84" s="12">
        <f t="shared" si="24"/>
        <v>18</v>
      </c>
      <c r="AA84" s="12">
        <f t="shared" si="25"/>
        <v>3.619386</v>
      </c>
      <c r="AB84" s="12">
        <f t="shared" si="26"/>
        <v>3.84</v>
      </c>
      <c r="AC84" s="864">
        <f t="shared" si="27"/>
        <v>0.94254843750000006</v>
      </c>
    </row>
    <row r="85" spans="3:29" x14ac:dyDescent="0.25">
      <c r="C85" s="850">
        <f>IF(Z85&gt;0,MAX(C73:C84)+1,0)</f>
        <v>13</v>
      </c>
      <c r="D85" s="866">
        <v>10</v>
      </c>
      <c r="E85" s="850">
        <v>113</v>
      </c>
      <c r="F85" s="868">
        <v>4</v>
      </c>
      <c r="G85" s="851">
        <v>4800</v>
      </c>
      <c r="H85" s="851">
        <v>800</v>
      </c>
      <c r="I85" s="851">
        <v>4</v>
      </c>
      <c r="J85" s="851">
        <v>0</v>
      </c>
      <c r="L85" s="340">
        <f t="shared" si="18"/>
        <v>13.296398891966758</v>
      </c>
      <c r="M85" s="12">
        <f t="shared" si="28"/>
        <v>13</v>
      </c>
      <c r="N85" s="860">
        <f t="shared" si="19"/>
        <v>0.70360110803324183</v>
      </c>
      <c r="O85" s="861">
        <f t="shared" si="29"/>
        <v>254.00000000000028</v>
      </c>
      <c r="P85" s="861">
        <f t="shared" si="30"/>
        <v>120</v>
      </c>
      <c r="Q85" s="861">
        <f t="shared" si="20"/>
        <v>13</v>
      </c>
      <c r="S85" s="340">
        <f t="shared" si="21"/>
        <v>1.4362657091561939</v>
      </c>
      <c r="T85" s="12">
        <f t="shared" si="31"/>
        <v>1</v>
      </c>
      <c r="U85" s="860">
        <f t="shared" si="22"/>
        <v>0.56373429084380611</v>
      </c>
      <c r="V85" s="861">
        <f t="shared" si="32"/>
        <v>314</v>
      </c>
      <c r="W85" s="861">
        <f t="shared" si="33"/>
        <v>160</v>
      </c>
      <c r="X85" s="861">
        <f t="shared" si="23"/>
        <v>1</v>
      </c>
      <c r="Z85" s="12">
        <f t="shared" si="24"/>
        <v>13</v>
      </c>
      <c r="AA85" s="12">
        <f t="shared" si="25"/>
        <v>2.614001</v>
      </c>
      <c r="AB85" s="12">
        <f t="shared" si="26"/>
        <v>3.84</v>
      </c>
      <c r="AC85" s="864">
        <f t="shared" si="27"/>
        <v>0.68072942708333339</v>
      </c>
    </row>
    <row r="86" spans="3:29" x14ac:dyDescent="0.25">
      <c r="C86" s="850">
        <f>IF(Z86&gt;0,MAX(C73:C85)+1,0)</f>
        <v>14</v>
      </c>
      <c r="D86" s="866">
        <v>20</v>
      </c>
      <c r="E86" s="850">
        <v>114</v>
      </c>
      <c r="F86" s="868">
        <v>4</v>
      </c>
      <c r="G86" s="851">
        <v>2400</v>
      </c>
      <c r="H86" s="851">
        <v>2000</v>
      </c>
      <c r="I86" s="851">
        <v>0</v>
      </c>
      <c r="J86" s="851">
        <v>4</v>
      </c>
      <c r="L86" s="340">
        <f t="shared" si="18"/>
        <v>6.6481994459833791</v>
      </c>
      <c r="M86" s="12">
        <f t="shared" si="28"/>
        <v>6</v>
      </c>
      <c r="N86" s="860">
        <f t="shared" si="19"/>
        <v>0.35180055401662091</v>
      </c>
      <c r="O86" s="861">
        <f t="shared" si="29"/>
        <v>127.00000000000014</v>
      </c>
      <c r="P86" s="861">
        <f t="shared" si="30"/>
        <v>120</v>
      </c>
      <c r="Q86" s="861">
        <f t="shared" si="20"/>
        <v>6</v>
      </c>
      <c r="S86" s="340">
        <f t="shared" si="21"/>
        <v>3.5906642728904847</v>
      </c>
      <c r="T86" s="12">
        <f t="shared" si="31"/>
        <v>3</v>
      </c>
      <c r="U86" s="860">
        <f t="shared" si="22"/>
        <v>0.40933572710951527</v>
      </c>
      <c r="V86" s="861">
        <f t="shared" si="32"/>
        <v>228</v>
      </c>
      <c r="W86" s="861">
        <f t="shared" si="33"/>
        <v>160</v>
      </c>
      <c r="X86" s="861">
        <f t="shared" si="23"/>
        <v>3</v>
      </c>
      <c r="Z86" s="12">
        <f t="shared" si="24"/>
        <v>18</v>
      </c>
      <c r="AA86" s="12">
        <f t="shared" si="25"/>
        <v>3.619386</v>
      </c>
      <c r="AB86" s="12">
        <f t="shared" si="26"/>
        <v>4.8</v>
      </c>
      <c r="AC86" s="864">
        <f t="shared" si="27"/>
        <v>0.75403874999999998</v>
      </c>
    </row>
    <row r="87" spans="3:29" x14ac:dyDescent="0.25">
      <c r="C87" s="850">
        <f>IF(Z87&gt;0,MAX(C73:C86)+1,0)</f>
        <v>15</v>
      </c>
      <c r="D87" s="866">
        <v>20</v>
      </c>
      <c r="E87" s="850">
        <v>115</v>
      </c>
      <c r="F87" s="868">
        <v>4</v>
      </c>
      <c r="G87" s="851">
        <v>4000</v>
      </c>
      <c r="H87" s="851">
        <v>1200</v>
      </c>
      <c r="I87" s="851">
        <v>0</v>
      </c>
      <c r="J87" s="851">
        <v>4</v>
      </c>
      <c r="L87" s="340">
        <f t="shared" si="18"/>
        <v>11.0803324099723</v>
      </c>
      <c r="M87" s="12">
        <f t="shared" si="28"/>
        <v>11</v>
      </c>
      <c r="N87" s="860">
        <f t="shared" si="19"/>
        <v>0.91966759002770004</v>
      </c>
      <c r="O87" s="861">
        <f t="shared" si="29"/>
        <v>331.99999999999972</v>
      </c>
      <c r="P87" s="861">
        <f t="shared" si="30"/>
        <v>120</v>
      </c>
      <c r="Q87" s="861">
        <f t="shared" si="20"/>
        <v>11</v>
      </c>
      <c r="S87" s="340">
        <f t="shared" si="21"/>
        <v>2.1543985637342908</v>
      </c>
      <c r="T87" s="12">
        <f t="shared" si="31"/>
        <v>2</v>
      </c>
      <c r="U87" s="860">
        <f t="shared" si="22"/>
        <v>0.84560143626570916</v>
      </c>
      <c r="V87" s="861">
        <f t="shared" si="32"/>
        <v>471</v>
      </c>
      <c r="W87" s="861">
        <f t="shared" si="33"/>
        <v>160</v>
      </c>
      <c r="X87" s="861">
        <f t="shared" si="23"/>
        <v>2</v>
      </c>
      <c r="Z87" s="12">
        <f t="shared" si="24"/>
        <v>22</v>
      </c>
      <c r="AA87" s="12">
        <f t="shared" si="25"/>
        <v>4.4236940000000002</v>
      </c>
      <c r="AB87" s="12">
        <f t="shared" si="26"/>
        <v>4.8</v>
      </c>
      <c r="AC87" s="864">
        <f t="shared" si="27"/>
        <v>0.92160291666666672</v>
      </c>
    </row>
    <row r="88" spans="3:29" x14ac:dyDescent="0.25">
      <c r="C88" s="850">
        <f>IF(Z88&gt;0,MAX(C73:C87)+1,0)</f>
        <v>16</v>
      </c>
      <c r="D88" s="866">
        <v>10</v>
      </c>
      <c r="E88" s="850">
        <v>116</v>
      </c>
      <c r="F88" s="868">
        <v>5</v>
      </c>
      <c r="G88" s="851">
        <v>4000</v>
      </c>
      <c r="H88" s="851">
        <v>1200</v>
      </c>
      <c r="I88" s="851">
        <v>5</v>
      </c>
      <c r="J88" s="851">
        <v>0</v>
      </c>
      <c r="L88" s="340">
        <f t="shared" si="18"/>
        <v>11.0803324099723</v>
      </c>
      <c r="M88" s="12">
        <f t="shared" si="28"/>
        <v>11</v>
      </c>
      <c r="N88" s="860">
        <f t="shared" si="19"/>
        <v>0.91966759002770004</v>
      </c>
      <c r="O88" s="861">
        <f t="shared" si="29"/>
        <v>331.99999999999972</v>
      </c>
      <c r="P88" s="861">
        <f t="shared" si="30"/>
        <v>120</v>
      </c>
      <c r="Q88" s="861">
        <f t="shared" si="20"/>
        <v>11</v>
      </c>
      <c r="S88" s="340">
        <f t="shared" si="21"/>
        <v>2.1543985637342908</v>
      </c>
      <c r="T88" s="12">
        <f t="shared" si="31"/>
        <v>2</v>
      </c>
      <c r="U88" s="860">
        <f t="shared" si="22"/>
        <v>0.84560143626570916</v>
      </c>
      <c r="V88" s="861">
        <f t="shared" si="32"/>
        <v>471</v>
      </c>
      <c r="W88" s="861">
        <f t="shared" si="33"/>
        <v>160</v>
      </c>
      <c r="X88" s="861">
        <f t="shared" si="23"/>
        <v>2</v>
      </c>
      <c r="Z88" s="12">
        <f t="shared" si="24"/>
        <v>22</v>
      </c>
      <c r="AA88" s="12">
        <f t="shared" si="25"/>
        <v>4.4236940000000002</v>
      </c>
      <c r="AB88" s="12">
        <f t="shared" si="26"/>
        <v>4.8</v>
      </c>
      <c r="AC88" s="864">
        <f t="shared" si="27"/>
        <v>0.92160291666666672</v>
      </c>
    </row>
    <row r="89" spans="3:29" x14ac:dyDescent="0.25">
      <c r="C89" s="850">
        <f>IF(Z89&gt;0,MAX(C73:C88)+1,0)</f>
        <v>17</v>
      </c>
      <c r="D89" s="866">
        <v>20</v>
      </c>
      <c r="E89" s="850">
        <v>117</v>
      </c>
      <c r="F89" s="868">
        <v>4</v>
      </c>
      <c r="G89" s="851">
        <v>4800</v>
      </c>
      <c r="H89" s="851">
        <v>1000</v>
      </c>
      <c r="I89" s="851">
        <v>0</v>
      </c>
      <c r="J89" s="851">
        <v>4</v>
      </c>
      <c r="L89" s="340">
        <f t="shared" si="18"/>
        <v>13.296398891966758</v>
      </c>
      <c r="M89" s="12">
        <f t="shared" si="28"/>
        <v>13</v>
      </c>
      <c r="N89" s="860">
        <f t="shared" si="19"/>
        <v>0.70360110803324183</v>
      </c>
      <c r="O89" s="861">
        <f t="shared" si="29"/>
        <v>254.00000000000028</v>
      </c>
      <c r="P89" s="861">
        <f t="shared" si="30"/>
        <v>120</v>
      </c>
      <c r="Q89" s="861">
        <f t="shared" si="20"/>
        <v>13</v>
      </c>
      <c r="S89" s="340">
        <f t="shared" si="21"/>
        <v>1.7953321364452424</v>
      </c>
      <c r="T89" s="12">
        <f t="shared" si="31"/>
        <v>1</v>
      </c>
      <c r="U89" s="860">
        <f t="shared" si="22"/>
        <v>0.20466786355475763</v>
      </c>
      <c r="V89" s="861">
        <f t="shared" si="32"/>
        <v>114</v>
      </c>
      <c r="W89" s="861">
        <f t="shared" si="33"/>
        <v>160</v>
      </c>
      <c r="X89" s="861">
        <f t="shared" si="23"/>
        <v>2</v>
      </c>
      <c r="Z89" s="12">
        <f t="shared" si="24"/>
        <v>26</v>
      </c>
      <c r="AA89" s="12">
        <f t="shared" si="25"/>
        <v>5.228002</v>
      </c>
      <c r="AB89" s="12">
        <f t="shared" si="26"/>
        <v>4.8</v>
      </c>
      <c r="AC89" s="864">
        <f t="shared" si="27"/>
        <v>1.0891670833333333</v>
      </c>
    </row>
    <row r="90" spans="3:29" x14ac:dyDescent="0.25">
      <c r="C90" s="850">
        <f>IF(Z90&gt;0,MAX(C73:C89)+1,0)</f>
        <v>18</v>
      </c>
      <c r="D90" s="866">
        <v>10</v>
      </c>
      <c r="E90" s="850">
        <v>118</v>
      </c>
      <c r="F90" s="868">
        <v>5</v>
      </c>
      <c r="G90" s="851">
        <v>6000</v>
      </c>
      <c r="H90" s="851">
        <v>800</v>
      </c>
      <c r="I90" s="851">
        <v>5</v>
      </c>
      <c r="J90" s="851">
        <v>0</v>
      </c>
      <c r="L90" s="340">
        <f t="shared" si="18"/>
        <v>16.62049861495845</v>
      </c>
      <c r="M90" s="12">
        <f t="shared" si="28"/>
        <v>16</v>
      </c>
      <c r="N90" s="860">
        <f t="shared" si="19"/>
        <v>0.37950138504155007</v>
      </c>
      <c r="O90" s="861">
        <f t="shared" si="29"/>
        <v>136.99999999999957</v>
      </c>
      <c r="P90" s="861">
        <f t="shared" si="30"/>
        <v>120</v>
      </c>
      <c r="Q90" s="861">
        <f t="shared" si="20"/>
        <v>16</v>
      </c>
      <c r="S90" s="340">
        <f t="shared" si="21"/>
        <v>1.4362657091561939</v>
      </c>
      <c r="T90" s="12">
        <f t="shared" si="31"/>
        <v>1</v>
      </c>
      <c r="U90" s="860">
        <f t="shared" si="22"/>
        <v>0.56373429084380611</v>
      </c>
      <c r="V90" s="861">
        <f t="shared" si="32"/>
        <v>314</v>
      </c>
      <c r="W90" s="861">
        <f t="shared" si="33"/>
        <v>160</v>
      </c>
      <c r="X90" s="861">
        <f t="shared" si="23"/>
        <v>1</v>
      </c>
      <c r="Z90" s="12">
        <f t="shared" si="24"/>
        <v>16</v>
      </c>
      <c r="AA90" s="12">
        <f t="shared" si="25"/>
        <v>3.2172320000000001</v>
      </c>
      <c r="AB90" s="12">
        <f t="shared" si="26"/>
        <v>4.8000000000000007</v>
      </c>
      <c r="AC90" s="864">
        <f t="shared" si="27"/>
        <v>0.67025666666666661</v>
      </c>
    </row>
    <row r="91" spans="3:29" x14ac:dyDescent="0.25">
      <c r="C91" s="850">
        <f>IF(Z91&gt;0,MAX(C73:C90)+1,0)</f>
        <v>19</v>
      </c>
      <c r="D91" s="866">
        <v>10</v>
      </c>
      <c r="E91" s="850">
        <v>119</v>
      </c>
      <c r="F91" s="868">
        <v>6</v>
      </c>
      <c r="G91" s="851">
        <v>2400</v>
      </c>
      <c r="H91" s="851">
        <v>2400</v>
      </c>
      <c r="I91" s="851">
        <v>6</v>
      </c>
      <c r="J91" s="851">
        <v>0</v>
      </c>
      <c r="L91" s="340">
        <f t="shared" si="18"/>
        <v>6.6481994459833791</v>
      </c>
      <c r="M91" s="12">
        <f t="shared" si="28"/>
        <v>6</v>
      </c>
      <c r="N91" s="860">
        <f t="shared" si="19"/>
        <v>0.35180055401662091</v>
      </c>
      <c r="O91" s="861">
        <f t="shared" si="29"/>
        <v>127.00000000000014</v>
      </c>
      <c r="P91" s="861">
        <f t="shared" si="30"/>
        <v>120</v>
      </c>
      <c r="Q91" s="861">
        <f t="shared" si="20"/>
        <v>6</v>
      </c>
      <c r="S91" s="340">
        <f t="shared" si="21"/>
        <v>4.3087971274685817</v>
      </c>
      <c r="T91" s="12">
        <f t="shared" si="31"/>
        <v>4</v>
      </c>
      <c r="U91" s="860">
        <f t="shared" si="22"/>
        <v>0.69120287253141832</v>
      </c>
      <c r="V91" s="861">
        <f t="shared" si="32"/>
        <v>385</v>
      </c>
      <c r="W91" s="861">
        <f t="shared" si="33"/>
        <v>160</v>
      </c>
      <c r="X91" s="861">
        <f t="shared" si="23"/>
        <v>4</v>
      </c>
      <c r="Z91" s="12">
        <f t="shared" si="24"/>
        <v>24</v>
      </c>
      <c r="AA91" s="12">
        <f t="shared" si="25"/>
        <v>4.8258480000000006</v>
      </c>
      <c r="AB91" s="12">
        <f t="shared" si="26"/>
        <v>5.76</v>
      </c>
      <c r="AC91" s="864">
        <f t="shared" si="27"/>
        <v>0.83782083333333346</v>
      </c>
    </row>
    <row r="92" spans="3:29" x14ac:dyDescent="0.25">
      <c r="C92" s="850">
        <f>IF(Z92&gt;0,MAX(C73:C91)+1,0)</f>
        <v>20</v>
      </c>
      <c r="D92" s="866">
        <v>10</v>
      </c>
      <c r="E92" s="850">
        <v>120</v>
      </c>
      <c r="F92" s="868">
        <v>6</v>
      </c>
      <c r="G92" s="851">
        <v>4800</v>
      </c>
      <c r="H92" s="851">
        <v>1200</v>
      </c>
      <c r="I92" s="851">
        <v>6</v>
      </c>
      <c r="J92" s="851">
        <v>0</v>
      </c>
      <c r="L92" s="340">
        <f t="shared" si="18"/>
        <v>13.296398891966758</v>
      </c>
      <c r="M92" s="12">
        <f t="shared" si="28"/>
        <v>13</v>
      </c>
      <c r="N92" s="860">
        <f t="shared" si="19"/>
        <v>0.70360110803324183</v>
      </c>
      <c r="O92" s="861">
        <f t="shared" si="29"/>
        <v>254.00000000000028</v>
      </c>
      <c r="P92" s="861">
        <f t="shared" si="30"/>
        <v>120</v>
      </c>
      <c r="Q92" s="861">
        <f t="shared" si="20"/>
        <v>13</v>
      </c>
      <c r="S92" s="340">
        <f t="shared" si="21"/>
        <v>2.1543985637342908</v>
      </c>
      <c r="T92" s="12">
        <f t="shared" si="31"/>
        <v>2</v>
      </c>
      <c r="U92" s="860">
        <f t="shared" si="22"/>
        <v>0.84560143626570916</v>
      </c>
      <c r="V92" s="861">
        <f t="shared" si="32"/>
        <v>471</v>
      </c>
      <c r="W92" s="861">
        <f t="shared" si="33"/>
        <v>160</v>
      </c>
      <c r="X92" s="861">
        <f t="shared" si="23"/>
        <v>2</v>
      </c>
      <c r="Z92" s="12">
        <f t="shared" si="24"/>
        <v>26</v>
      </c>
      <c r="AA92" s="12">
        <f t="shared" si="25"/>
        <v>5.228002</v>
      </c>
      <c r="AB92" s="12">
        <f t="shared" si="26"/>
        <v>5.76</v>
      </c>
      <c r="AC92" s="864">
        <f t="shared" si="27"/>
        <v>0.90763923611111119</v>
      </c>
    </row>
    <row r="93" spans="3:29" x14ac:dyDescent="0.25">
      <c r="C93" s="850">
        <f>IF(Z93&gt;0,MAX(C73:C92)+1,0)</f>
        <v>21</v>
      </c>
      <c r="D93" s="866">
        <v>10</v>
      </c>
      <c r="E93" s="850">
        <v>121</v>
      </c>
      <c r="F93" s="868">
        <v>6</v>
      </c>
      <c r="G93" s="851">
        <v>3600</v>
      </c>
      <c r="H93" s="851">
        <v>1600</v>
      </c>
      <c r="I93" s="851">
        <v>6</v>
      </c>
      <c r="J93" s="851">
        <v>0</v>
      </c>
      <c r="L93" s="340">
        <f t="shared" si="18"/>
        <v>9.97229916897507</v>
      </c>
      <c r="M93" s="12">
        <f t="shared" si="28"/>
        <v>9</v>
      </c>
      <c r="N93" s="860">
        <f t="shared" si="19"/>
        <v>2.7700831024930039E-2</v>
      </c>
      <c r="O93" s="861">
        <f t="shared" si="29"/>
        <v>9.9999999999997726</v>
      </c>
      <c r="P93" s="861">
        <f t="shared" si="30"/>
        <v>120</v>
      </c>
      <c r="Q93" s="861">
        <f t="shared" si="20"/>
        <v>10</v>
      </c>
      <c r="S93" s="340">
        <f t="shared" si="21"/>
        <v>2.8725314183123878</v>
      </c>
      <c r="T93" s="12">
        <f t="shared" si="31"/>
        <v>2</v>
      </c>
      <c r="U93" s="860">
        <f t="shared" si="22"/>
        <v>0.12746858168761221</v>
      </c>
      <c r="V93" s="861">
        <f t="shared" si="32"/>
        <v>71</v>
      </c>
      <c r="W93" s="861">
        <f t="shared" si="33"/>
        <v>160</v>
      </c>
      <c r="X93" s="861">
        <f t="shared" si="23"/>
        <v>3</v>
      </c>
      <c r="Z93" s="12">
        <f t="shared" si="24"/>
        <v>30</v>
      </c>
      <c r="AA93" s="12">
        <f t="shared" si="25"/>
        <v>6.0323099999999998</v>
      </c>
      <c r="AB93" s="12">
        <f t="shared" si="26"/>
        <v>5.7600000000000007</v>
      </c>
      <c r="AC93" s="864">
        <f t="shared" si="27"/>
        <v>1.0472760416666664</v>
      </c>
    </row>
    <row r="94" spans="3:29" x14ac:dyDescent="0.25">
      <c r="C94" s="850">
        <f>IF(Z94&gt;0,MAX(C73:C93)+1,0)</f>
        <v>22</v>
      </c>
      <c r="D94" s="866">
        <v>20</v>
      </c>
      <c r="E94" s="850">
        <v>122</v>
      </c>
      <c r="F94" s="868">
        <v>5</v>
      </c>
      <c r="G94" s="851">
        <v>5000</v>
      </c>
      <c r="H94" s="851">
        <v>1200</v>
      </c>
      <c r="I94" s="851">
        <v>0</v>
      </c>
      <c r="J94" s="851">
        <v>5</v>
      </c>
      <c r="L94" s="340">
        <f t="shared" si="18"/>
        <v>13.850415512465373</v>
      </c>
      <c r="M94" s="12">
        <f t="shared" si="28"/>
        <v>13</v>
      </c>
      <c r="N94" s="860">
        <f t="shared" si="19"/>
        <v>0.14958448753462683</v>
      </c>
      <c r="O94" s="861">
        <f t="shared" si="29"/>
        <v>54.000000000000284</v>
      </c>
      <c r="P94" s="861">
        <f t="shared" si="30"/>
        <v>120</v>
      </c>
      <c r="Q94" s="861">
        <f t="shared" si="20"/>
        <v>14</v>
      </c>
      <c r="S94" s="340">
        <f t="shared" si="21"/>
        <v>2.1543985637342908</v>
      </c>
      <c r="T94" s="12">
        <f t="shared" si="31"/>
        <v>2</v>
      </c>
      <c r="U94" s="860">
        <f t="shared" si="22"/>
        <v>0.84560143626570916</v>
      </c>
      <c r="V94" s="861">
        <f t="shared" si="32"/>
        <v>471</v>
      </c>
      <c r="W94" s="861">
        <f t="shared" si="33"/>
        <v>160</v>
      </c>
      <c r="X94" s="861">
        <f t="shared" si="23"/>
        <v>2</v>
      </c>
      <c r="Z94" s="12">
        <f t="shared" si="24"/>
        <v>28</v>
      </c>
      <c r="AA94" s="12">
        <f t="shared" si="25"/>
        <v>5.6301560000000004</v>
      </c>
      <c r="AB94" s="12">
        <f t="shared" si="26"/>
        <v>6</v>
      </c>
      <c r="AC94" s="864">
        <f t="shared" si="27"/>
        <v>0.93835933333333343</v>
      </c>
    </row>
    <row r="95" spans="3:29" x14ac:dyDescent="0.25">
      <c r="C95" s="850">
        <f>IF(Z95&gt;0,MAX(C73:C94)+1,0)</f>
        <v>23</v>
      </c>
      <c r="D95" s="866">
        <v>20</v>
      </c>
      <c r="E95" s="850">
        <v>123</v>
      </c>
      <c r="F95" s="868">
        <v>5</v>
      </c>
      <c r="G95" s="851">
        <v>6000</v>
      </c>
      <c r="H95" s="851">
        <v>1000</v>
      </c>
      <c r="I95" s="851">
        <v>0</v>
      </c>
      <c r="J95" s="851">
        <v>5</v>
      </c>
      <c r="L95" s="340">
        <f t="shared" si="18"/>
        <v>16.62049861495845</v>
      </c>
      <c r="M95" s="12">
        <f t="shared" si="28"/>
        <v>16</v>
      </c>
      <c r="N95" s="860">
        <f t="shared" si="19"/>
        <v>0.37950138504155007</v>
      </c>
      <c r="O95" s="861">
        <f t="shared" si="29"/>
        <v>136.99999999999957</v>
      </c>
      <c r="P95" s="861">
        <f t="shared" si="30"/>
        <v>120</v>
      </c>
      <c r="Q95" s="861">
        <f t="shared" si="20"/>
        <v>16</v>
      </c>
      <c r="S95" s="340">
        <f t="shared" si="21"/>
        <v>1.7953321364452424</v>
      </c>
      <c r="T95" s="12">
        <f t="shared" si="31"/>
        <v>1</v>
      </c>
      <c r="U95" s="860">
        <f t="shared" si="22"/>
        <v>0.20466786355475763</v>
      </c>
      <c r="V95" s="861">
        <f t="shared" si="32"/>
        <v>114</v>
      </c>
      <c r="W95" s="861">
        <f t="shared" si="33"/>
        <v>160</v>
      </c>
      <c r="X95" s="861">
        <f t="shared" si="23"/>
        <v>2</v>
      </c>
      <c r="Z95" s="12">
        <f t="shared" si="24"/>
        <v>32</v>
      </c>
      <c r="AA95" s="12">
        <f t="shared" si="25"/>
        <v>6.4344640000000002</v>
      </c>
      <c r="AB95" s="12">
        <f t="shared" si="26"/>
        <v>6</v>
      </c>
      <c r="AC95" s="864">
        <f t="shared" si="27"/>
        <v>1.0724106666666666</v>
      </c>
    </row>
    <row r="96" spans="3:29" x14ac:dyDescent="0.25">
      <c r="C96" s="850">
        <f>IF(Z96&gt;0,MAX(C73:C95)+1,0)</f>
        <v>24</v>
      </c>
      <c r="D96" s="866">
        <v>20</v>
      </c>
      <c r="E96" s="850">
        <v>124</v>
      </c>
      <c r="F96" s="868">
        <v>6</v>
      </c>
      <c r="G96" s="851">
        <v>6000</v>
      </c>
      <c r="H96" s="851">
        <v>1200</v>
      </c>
      <c r="I96" s="851">
        <v>0</v>
      </c>
      <c r="J96" s="851">
        <v>6</v>
      </c>
      <c r="L96" s="340">
        <f t="shared" si="18"/>
        <v>16.62049861495845</v>
      </c>
      <c r="M96" s="12">
        <f t="shared" si="28"/>
        <v>16</v>
      </c>
      <c r="N96" s="860">
        <f t="shared" si="19"/>
        <v>0.37950138504155007</v>
      </c>
      <c r="O96" s="861">
        <f t="shared" si="29"/>
        <v>136.99999999999957</v>
      </c>
      <c r="P96" s="861">
        <f t="shared" si="30"/>
        <v>120</v>
      </c>
      <c r="Q96" s="861">
        <f t="shared" si="20"/>
        <v>16</v>
      </c>
      <c r="S96" s="340">
        <f t="shared" si="21"/>
        <v>2.1543985637342908</v>
      </c>
      <c r="T96" s="12">
        <f t="shared" si="31"/>
        <v>2</v>
      </c>
      <c r="U96" s="860">
        <f t="shared" si="22"/>
        <v>0.84560143626570916</v>
      </c>
      <c r="V96" s="861">
        <f t="shared" si="32"/>
        <v>471</v>
      </c>
      <c r="W96" s="861">
        <f t="shared" si="33"/>
        <v>160</v>
      </c>
      <c r="X96" s="861">
        <f t="shared" si="23"/>
        <v>2</v>
      </c>
      <c r="Z96" s="12">
        <f t="shared" si="24"/>
        <v>32</v>
      </c>
      <c r="AA96" s="12">
        <f t="shared" si="25"/>
        <v>6.4344640000000002</v>
      </c>
      <c r="AB96" s="12">
        <f t="shared" si="26"/>
        <v>7.1999999999999993</v>
      </c>
      <c r="AC96" s="864">
        <f t="shared" si="27"/>
        <v>0.89367555555555567</v>
      </c>
    </row>
    <row r="97" spans="3:29" x14ac:dyDescent="0.25">
      <c r="C97" s="850">
        <f>IF(Z97&gt;0,MAX(C73:C96)+1,0)</f>
        <v>25</v>
      </c>
      <c r="D97" s="866">
        <v>20</v>
      </c>
      <c r="E97" s="850">
        <v>125</v>
      </c>
      <c r="F97" s="868">
        <v>6</v>
      </c>
      <c r="G97" s="851">
        <v>3000</v>
      </c>
      <c r="H97" s="851">
        <v>2400</v>
      </c>
      <c r="I97" s="851">
        <v>0</v>
      </c>
      <c r="J97" s="851">
        <v>6</v>
      </c>
      <c r="L97" s="340">
        <f t="shared" si="18"/>
        <v>8.310249307479225</v>
      </c>
      <c r="M97" s="12">
        <f t="shared" si="28"/>
        <v>8</v>
      </c>
      <c r="N97" s="860">
        <f t="shared" si="19"/>
        <v>0.68975069252077503</v>
      </c>
      <c r="O97" s="861">
        <f t="shared" si="29"/>
        <v>248.99999999999977</v>
      </c>
      <c r="P97" s="861">
        <f t="shared" si="30"/>
        <v>120</v>
      </c>
      <c r="Q97" s="861">
        <f t="shared" si="20"/>
        <v>8</v>
      </c>
      <c r="S97" s="340">
        <f t="shared" si="21"/>
        <v>4.3087971274685817</v>
      </c>
      <c r="T97" s="12">
        <f t="shared" si="31"/>
        <v>4</v>
      </c>
      <c r="U97" s="860">
        <f t="shared" si="22"/>
        <v>0.69120287253141832</v>
      </c>
      <c r="V97" s="861">
        <f t="shared" si="32"/>
        <v>385</v>
      </c>
      <c r="W97" s="861">
        <f t="shared" si="33"/>
        <v>160</v>
      </c>
      <c r="X97" s="861">
        <f t="shared" si="23"/>
        <v>4</v>
      </c>
      <c r="Z97" s="12">
        <f t="shared" si="24"/>
        <v>32</v>
      </c>
      <c r="AA97" s="12">
        <f t="shared" si="25"/>
        <v>6.4344640000000002</v>
      </c>
      <c r="AB97" s="12">
        <f t="shared" si="26"/>
        <v>7.1999999999999993</v>
      </c>
      <c r="AC97" s="864">
        <f t="shared" si="27"/>
        <v>0.89367555555555567</v>
      </c>
    </row>
    <row r="98" spans="3:29" x14ac:dyDescent="0.25">
      <c r="C98" s="850">
        <f>IF(Z98&gt;0,MAX(C73:C97)+1,0)</f>
        <v>26</v>
      </c>
      <c r="D98" s="866">
        <v>20</v>
      </c>
      <c r="E98" s="850">
        <v>126</v>
      </c>
      <c r="F98" s="868">
        <v>6</v>
      </c>
      <c r="G98" s="851">
        <v>3600</v>
      </c>
      <c r="H98" s="851">
        <v>2000</v>
      </c>
      <c r="I98" s="851">
        <v>0</v>
      </c>
      <c r="J98" s="851">
        <v>6</v>
      </c>
      <c r="L98" s="340">
        <f t="shared" si="18"/>
        <v>9.97229916897507</v>
      </c>
      <c r="M98" s="12">
        <f t="shared" si="28"/>
        <v>9</v>
      </c>
      <c r="N98" s="860">
        <f t="shared" si="19"/>
        <v>2.7700831024930039E-2</v>
      </c>
      <c r="O98" s="861">
        <f t="shared" si="29"/>
        <v>9.9999999999997726</v>
      </c>
      <c r="P98" s="861">
        <f t="shared" si="30"/>
        <v>120</v>
      </c>
      <c r="Q98" s="861">
        <f t="shared" si="20"/>
        <v>10</v>
      </c>
      <c r="S98" s="340">
        <f t="shared" si="21"/>
        <v>3.5906642728904847</v>
      </c>
      <c r="T98" s="12">
        <f t="shared" si="31"/>
        <v>3</v>
      </c>
      <c r="U98" s="860">
        <f t="shared" si="22"/>
        <v>0.40933572710951527</v>
      </c>
      <c r="V98" s="861">
        <f t="shared" si="32"/>
        <v>228</v>
      </c>
      <c r="W98" s="861">
        <f t="shared" si="33"/>
        <v>160</v>
      </c>
      <c r="X98" s="861">
        <f t="shared" si="23"/>
        <v>3</v>
      </c>
      <c r="Z98" s="12">
        <f t="shared" si="24"/>
        <v>30</v>
      </c>
      <c r="AA98" s="12">
        <f t="shared" si="25"/>
        <v>6.0323099999999998</v>
      </c>
      <c r="AB98" s="12">
        <f t="shared" si="26"/>
        <v>7.2</v>
      </c>
      <c r="AC98" s="864">
        <f t="shared" si="27"/>
        <v>0.83782083333333324</v>
      </c>
    </row>
    <row r="99" spans="3:29" x14ac:dyDescent="0.25">
      <c r="C99" s="850">
        <f>IF(Z99&gt;0,MAX(C73:C98)+1,0)</f>
        <v>27</v>
      </c>
      <c r="D99" s="866">
        <v>10</v>
      </c>
      <c r="E99" s="850">
        <v>127</v>
      </c>
      <c r="F99" s="868">
        <v>8</v>
      </c>
      <c r="G99" s="851">
        <v>6400</v>
      </c>
      <c r="H99" s="851">
        <v>1200</v>
      </c>
      <c r="I99" s="851">
        <v>8</v>
      </c>
      <c r="J99" s="851">
        <v>0</v>
      </c>
      <c r="L99" s="340">
        <f t="shared" si="18"/>
        <v>17.72853185595568</v>
      </c>
      <c r="M99" s="12">
        <f t="shared" si="28"/>
        <v>17</v>
      </c>
      <c r="N99" s="860">
        <f t="shared" si="19"/>
        <v>0.27146814404432007</v>
      </c>
      <c r="O99" s="861">
        <f t="shared" si="29"/>
        <v>97.999999999999545</v>
      </c>
      <c r="P99" s="861">
        <f t="shared" si="30"/>
        <v>120</v>
      </c>
      <c r="Q99" s="861">
        <f t="shared" si="20"/>
        <v>18</v>
      </c>
      <c r="S99" s="340">
        <f t="shared" si="21"/>
        <v>2.1543985637342908</v>
      </c>
      <c r="T99" s="12">
        <f t="shared" si="31"/>
        <v>2</v>
      </c>
      <c r="U99" s="860">
        <f t="shared" si="22"/>
        <v>0.84560143626570916</v>
      </c>
      <c r="V99" s="861">
        <f t="shared" si="32"/>
        <v>471</v>
      </c>
      <c r="W99" s="861">
        <f t="shared" si="33"/>
        <v>160</v>
      </c>
      <c r="X99" s="861">
        <f t="shared" si="23"/>
        <v>2</v>
      </c>
      <c r="Z99" s="12">
        <f t="shared" si="24"/>
        <v>36</v>
      </c>
      <c r="AA99" s="12">
        <f t="shared" si="25"/>
        <v>7.238772</v>
      </c>
      <c r="AB99" s="12">
        <f t="shared" si="26"/>
        <v>7.68</v>
      </c>
      <c r="AC99" s="864">
        <f t="shared" si="27"/>
        <v>0.94254843750000006</v>
      </c>
    </row>
    <row r="100" spans="3:29" x14ac:dyDescent="0.25">
      <c r="C100" s="850">
        <f>IF(Z100&gt;0,MAX(C73:C99)+1,0)</f>
        <v>28</v>
      </c>
      <c r="D100" s="866">
        <v>10</v>
      </c>
      <c r="E100" s="850">
        <v>128</v>
      </c>
      <c r="F100" s="868">
        <v>8</v>
      </c>
      <c r="G100" s="851">
        <v>3200</v>
      </c>
      <c r="H100" s="851">
        <v>2400</v>
      </c>
      <c r="I100" s="851">
        <v>8</v>
      </c>
      <c r="J100" s="851">
        <v>0</v>
      </c>
      <c r="L100" s="340">
        <f t="shared" si="18"/>
        <v>8.86426592797784</v>
      </c>
      <c r="M100" s="12">
        <f t="shared" si="28"/>
        <v>8</v>
      </c>
      <c r="N100" s="860">
        <f t="shared" si="19"/>
        <v>0.13573407202216003</v>
      </c>
      <c r="O100" s="861">
        <f t="shared" si="29"/>
        <v>48.999999999999773</v>
      </c>
      <c r="P100" s="861">
        <f t="shared" si="30"/>
        <v>120</v>
      </c>
      <c r="Q100" s="861">
        <f t="shared" si="20"/>
        <v>9</v>
      </c>
      <c r="S100" s="340">
        <f t="shared" si="21"/>
        <v>4.3087971274685817</v>
      </c>
      <c r="T100" s="12">
        <f t="shared" si="31"/>
        <v>4</v>
      </c>
      <c r="U100" s="860">
        <f t="shared" si="22"/>
        <v>0.69120287253141832</v>
      </c>
      <c r="V100" s="861">
        <f t="shared" si="32"/>
        <v>385</v>
      </c>
      <c r="W100" s="861">
        <f t="shared" si="33"/>
        <v>160</v>
      </c>
      <c r="X100" s="861">
        <f t="shared" si="23"/>
        <v>4</v>
      </c>
      <c r="Z100" s="12">
        <f t="shared" si="24"/>
        <v>36</v>
      </c>
      <c r="AA100" s="12">
        <f t="shared" si="25"/>
        <v>7.238772</v>
      </c>
      <c r="AB100" s="12">
        <f t="shared" si="26"/>
        <v>7.68</v>
      </c>
      <c r="AC100" s="864">
        <f t="shared" si="27"/>
        <v>0.94254843750000006</v>
      </c>
    </row>
    <row r="101" spans="3:29" x14ac:dyDescent="0.25">
      <c r="C101" s="850">
        <f>IF(Z101&gt;0,MAX(C83:C100)+1,0)</f>
        <v>29</v>
      </c>
      <c r="D101" s="866">
        <v>10</v>
      </c>
      <c r="E101" s="850">
        <v>129</v>
      </c>
      <c r="F101" s="868">
        <v>8</v>
      </c>
      <c r="G101" s="851">
        <v>4800</v>
      </c>
      <c r="H101" s="851">
        <v>1600</v>
      </c>
      <c r="I101" s="851">
        <v>8</v>
      </c>
      <c r="J101" s="851">
        <v>0</v>
      </c>
      <c r="L101" s="340">
        <f t="shared" si="18"/>
        <v>13.296398891966758</v>
      </c>
      <c r="M101" s="12">
        <f t="shared" si="28"/>
        <v>13</v>
      </c>
      <c r="N101" s="860">
        <f t="shared" si="19"/>
        <v>0.70360110803324183</v>
      </c>
      <c r="O101" s="861">
        <f t="shared" si="29"/>
        <v>254.00000000000028</v>
      </c>
      <c r="P101" s="861">
        <f t="shared" si="30"/>
        <v>120</v>
      </c>
      <c r="Q101" s="861">
        <f t="shared" si="20"/>
        <v>13</v>
      </c>
      <c r="S101" s="340">
        <f t="shared" si="21"/>
        <v>2.8725314183123878</v>
      </c>
      <c r="T101" s="12">
        <f t="shared" si="31"/>
        <v>2</v>
      </c>
      <c r="U101" s="860">
        <f t="shared" si="22"/>
        <v>0.12746858168761221</v>
      </c>
      <c r="V101" s="861">
        <f t="shared" si="32"/>
        <v>71</v>
      </c>
      <c r="W101" s="861">
        <f t="shared" si="33"/>
        <v>160</v>
      </c>
      <c r="X101" s="861">
        <f t="shared" si="23"/>
        <v>3</v>
      </c>
      <c r="Z101" s="12">
        <f t="shared" si="24"/>
        <v>39</v>
      </c>
      <c r="AA101" s="12">
        <f t="shared" si="25"/>
        <v>7.8420030000000001</v>
      </c>
      <c r="AB101" s="12">
        <f t="shared" si="26"/>
        <v>7.68</v>
      </c>
      <c r="AC101" s="864">
        <f t="shared" si="27"/>
        <v>1.021094140625</v>
      </c>
    </row>
    <row r="102" spans="3:29" x14ac:dyDescent="0.25">
      <c r="C102" s="850">
        <f>IF(Z102&gt;0,MAX(C73:C101)+1,0)</f>
        <v>30</v>
      </c>
      <c r="D102" s="866">
        <v>20</v>
      </c>
      <c r="E102" s="850">
        <v>130</v>
      </c>
      <c r="F102" s="868">
        <v>8</v>
      </c>
      <c r="G102" s="851">
        <v>4800</v>
      </c>
      <c r="H102" s="851">
        <v>2000</v>
      </c>
      <c r="I102" s="851">
        <v>0</v>
      </c>
      <c r="J102" s="851">
        <v>8</v>
      </c>
      <c r="L102" s="340">
        <f t="shared" si="18"/>
        <v>13.296398891966758</v>
      </c>
      <c r="M102" s="12">
        <f t="shared" si="28"/>
        <v>13</v>
      </c>
      <c r="N102" s="860">
        <f t="shared" si="19"/>
        <v>0.70360110803324183</v>
      </c>
      <c r="O102" s="861">
        <f t="shared" si="29"/>
        <v>254.00000000000028</v>
      </c>
      <c r="P102" s="861">
        <f t="shared" si="30"/>
        <v>120</v>
      </c>
      <c r="Q102" s="861">
        <f t="shared" si="20"/>
        <v>13</v>
      </c>
      <c r="S102" s="340">
        <f t="shared" si="21"/>
        <v>3.5906642728904847</v>
      </c>
      <c r="T102" s="12">
        <f t="shared" si="31"/>
        <v>3</v>
      </c>
      <c r="U102" s="860">
        <f t="shared" si="22"/>
        <v>0.40933572710951527</v>
      </c>
      <c r="V102" s="861">
        <f t="shared" si="32"/>
        <v>228</v>
      </c>
      <c r="W102" s="861">
        <f t="shared" si="33"/>
        <v>160</v>
      </c>
      <c r="X102" s="861">
        <f t="shared" si="23"/>
        <v>3</v>
      </c>
      <c r="Z102" s="12">
        <f t="shared" si="24"/>
        <v>39</v>
      </c>
      <c r="AA102" s="12">
        <f t="shared" si="25"/>
        <v>7.8420030000000001</v>
      </c>
      <c r="AB102" s="12">
        <f t="shared" si="26"/>
        <v>9.6</v>
      </c>
      <c r="AC102" s="864">
        <f t="shared" si="27"/>
        <v>0.81687531250000001</v>
      </c>
    </row>
    <row r="103" spans="3:29" x14ac:dyDescent="0.25">
      <c r="C103" s="850">
        <f>IF(Z103&gt;0,MAX(C73:C102)+1,0)</f>
        <v>31</v>
      </c>
      <c r="D103" s="866">
        <v>20</v>
      </c>
      <c r="E103" s="850">
        <v>131</v>
      </c>
      <c r="F103" s="868">
        <v>8</v>
      </c>
      <c r="G103" s="851">
        <v>4000</v>
      </c>
      <c r="H103" s="851">
        <v>2400</v>
      </c>
      <c r="I103" s="851">
        <v>0</v>
      </c>
      <c r="J103" s="851">
        <v>8</v>
      </c>
      <c r="L103" s="340">
        <f t="shared" si="18"/>
        <v>11.0803324099723</v>
      </c>
      <c r="M103" s="12">
        <f t="shared" si="28"/>
        <v>11</v>
      </c>
      <c r="N103" s="860">
        <f t="shared" si="19"/>
        <v>0.91966759002770004</v>
      </c>
      <c r="O103" s="861">
        <f t="shared" si="29"/>
        <v>331.99999999999972</v>
      </c>
      <c r="P103" s="861">
        <f t="shared" si="30"/>
        <v>120</v>
      </c>
      <c r="Q103" s="861">
        <f t="shared" si="20"/>
        <v>11</v>
      </c>
      <c r="S103" s="340">
        <f t="shared" si="21"/>
        <v>4.3087971274685817</v>
      </c>
      <c r="T103" s="12">
        <f t="shared" si="31"/>
        <v>4</v>
      </c>
      <c r="U103" s="860">
        <f t="shared" si="22"/>
        <v>0.69120287253141832</v>
      </c>
      <c r="V103" s="861">
        <f t="shared" si="32"/>
        <v>385</v>
      </c>
      <c r="W103" s="861">
        <f t="shared" si="33"/>
        <v>160</v>
      </c>
      <c r="X103" s="861">
        <f t="shared" si="23"/>
        <v>4</v>
      </c>
      <c r="Z103" s="12">
        <f t="shared" si="24"/>
        <v>44</v>
      </c>
      <c r="AA103" s="12">
        <f t="shared" si="25"/>
        <v>8.8473880000000005</v>
      </c>
      <c r="AB103" s="12">
        <f t="shared" si="26"/>
        <v>9.6</v>
      </c>
      <c r="AC103" s="864">
        <f t="shared" si="27"/>
        <v>0.92160291666666672</v>
      </c>
    </row>
    <row r="104" spans="3:29" x14ac:dyDescent="0.25">
      <c r="C104" s="850">
        <f>IF(Z104&gt;0,MAX(C73:C103)+1,0)</f>
        <v>32</v>
      </c>
      <c r="D104" s="866">
        <v>10</v>
      </c>
      <c r="E104" s="850">
        <v>132</v>
      </c>
      <c r="F104" s="868">
        <v>10</v>
      </c>
      <c r="G104" s="851">
        <v>4000</v>
      </c>
      <c r="H104" s="851">
        <v>2400</v>
      </c>
      <c r="I104" s="851">
        <v>10</v>
      </c>
      <c r="J104" s="851">
        <v>0</v>
      </c>
      <c r="L104" s="340">
        <f t="shared" si="18"/>
        <v>11.0803324099723</v>
      </c>
      <c r="M104" s="12">
        <f t="shared" si="28"/>
        <v>11</v>
      </c>
      <c r="N104" s="860">
        <f t="shared" si="19"/>
        <v>0.91966759002770004</v>
      </c>
      <c r="O104" s="861">
        <f t="shared" si="29"/>
        <v>331.99999999999972</v>
      </c>
      <c r="P104" s="861">
        <f t="shared" si="30"/>
        <v>120</v>
      </c>
      <c r="Q104" s="861">
        <f t="shared" si="20"/>
        <v>11</v>
      </c>
      <c r="S104" s="340">
        <f t="shared" si="21"/>
        <v>4.3087971274685817</v>
      </c>
      <c r="T104" s="12">
        <f t="shared" si="31"/>
        <v>4</v>
      </c>
      <c r="U104" s="860">
        <f t="shared" si="22"/>
        <v>0.69120287253141832</v>
      </c>
      <c r="V104" s="861">
        <f t="shared" si="32"/>
        <v>385</v>
      </c>
      <c r="W104" s="861">
        <f t="shared" si="33"/>
        <v>160</v>
      </c>
      <c r="X104" s="861">
        <f t="shared" si="23"/>
        <v>4</v>
      </c>
      <c r="Z104" s="12">
        <f t="shared" si="24"/>
        <v>44</v>
      </c>
      <c r="AA104" s="12">
        <f t="shared" si="25"/>
        <v>8.8473880000000005</v>
      </c>
      <c r="AB104" s="12">
        <f t="shared" si="26"/>
        <v>9.6</v>
      </c>
      <c r="AC104" s="864">
        <f t="shared" si="27"/>
        <v>0.92160291666666672</v>
      </c>
    </row>
    <row r="105" spans="3:29" x14ac:dyDescent="0.25">
      <c r="C105" s="850">
        <f>IF(Z105&gt;0,MAX(C73:C104)+1,0)</f>
        <v>33</v>
      </c>
      <c r="D105" s="866">
        <v>10</v>
      </c>
      <c r="E105" s="850">
        <v>133</v>
      </c>
      <c r="F105" s="868">
        <v>10</v>
      </c>
      <c r="G105" s="851">
        <v>6000</v>
      </c>
      <c r="H105" s="851">
        <v>1600</v>
      </c>
      <c r="I105" s="851">
        <v>10</v>
      </c>
      <c r="J105" s="851">
        <v>0</v>
      </c>
      <c r="L105" s="340">
        <f t="shared" si="18"/>
        <v>16.62049861495845</v>
      </c>
      <c r="M105" s="12">
        <f t="shared" si="28"/>
        <v>16</v>
      </c>
      <c r="N105" s="860">
        <f t="shared" si="19"/>
        <v>0.37950138504155007</v>
      </c>
      <c r="O105" s="861">
        <f t="shared" si="29"/>
        <v>136.99999999999957</v>
      </c>
      <c r="P105" s="861">
        <f t="shared" si="30"/>
        <v>120</v>
      </c>
      <c r="Q105" s="861">
        <f t="shared" si="20"/>
        <v>16</v>
      </c>
      <c r="S105" s="340">
        <f t="shared" si="21"/>
        <v>2.8725314183123878</v>
      </c>
      <c r="T105" s="12">
        <f t="shared" si="31"/>
        <v>2</v>
      </c>
      <c r="U105" s="860">
        <f t="shared" si="22"/>
        <v>0.12746858168761221</v>
      </c>
      <c r="V105" s="861">
        <f t="shared" si="32"/>
        <v>71</v>
      </c>
      <c r="W105" s="861">
        <f t="shared" si="33"/>
        <v>160</v>
      </c>
      <c r="X105" s="861">
        <f t="shared" si="23"/>
        <v>3</v>
      </c>
      <c r="Z105" s="12">
        <f t="shared" si="24"/>
        <v>48</v>
      </c>
      <c r="AA105" s="12">
        <f t="shared" si="25"/>
        <v>9.6516960000000012</v>
      </c>
      <c r="AB105" s="12">
        <f t="shared" si="26"/>
        <v>9.6000000000000014</v>
      </c>
      <c r="AC105" s="864">
        <f t="shared" si="27"/>
        <v>1.005385</v>
      </c>
    </row>
    <row r="106" spans="3:29" x14ac:dyDescent="0.25">
      <c r="C106" s="850">
        <f>IF(Z106&gt;0,MAX(C73:C105)+1,0)</f>
        <v>34</v>
      </c>
      <c r="D106" s="866">
        <v>10</v>
      </c>
      <c r="E106" s="850">
        <v>134</v>
      </c>
      <c r="F106" s="868">
        <v>12</v>
      </c>
      <c r="G106" s="851">
        <v>4800</v>
      </c>
      <c r="H106" s="851">
        <v>2400</v>
      </c>
      <c r="I106" s="851">
        <v>12</v>
      </c>
      <c r="J106" s="851">
        <v>0</v>
      </c>
      <c r="L106" s="340">
        <f t="shared" si="18"/>
        <v>13.296398891966758</v>
      </c>
      <c r="M106" s="12">
        <f t="shared" si="28"/>
        <v>13</v>
      </c>
      <c r="N106" s="860">
        <f t="shared" si="19"/>
        <v>0.70360110803324183</v>
      </c>
      <c r="O106" s="861">
        <f t="shared" si="29"/>
        <v>254.00000000000028</v>
      </c>
      <c r="P106" s="861">
        <f t="shared" si="30"/>
        <v>120</v>
      </c>
      <c r="Q106" s="861">
        <f t="shared" si="20"/>
        <v>13</v>
      </c>
      <c r="S106" s="340">
        <f t="shared" si="21"/>
        <v>4.3087971274685817</v>
      </c>
      <c r="T106" s="12">
        <f t="shared" si="31"/>
        <v>4</v>
      </c>
      <c r="U106" s="860">
        <f t="shared" si="22"/>
        <v>0.69120287253141832</v>
      </c>
      <c r="V106" s="861">
        <f t="shared" si="32"/>
        <v>385</v>
      </c>
      <c r="W106" s="861">
        <f t="shared" si="33"/>
        <v>160</v>
      </c>
      <c r="X106" s="861">
        <f t="shared" si="23"/>
        <v>4</v>
      </c>
      <c r="Z106" s="12">
        <f t="shared" si="24"/>
        <v>52</v>
      </c>
      <c r="AA106" s="12">
        <f t="shared" si="25"/>
        <v>10.456004</v>
      </c>
      <c r="AB106" s="12">
        <f t="shared" si="26"/>
        <v>11.52</v>
      </c>
      <c r="AC106" s="864">
        <f t="shared" si="27"/>
        <v>0.90763923611111119</v>
      </c>
    </row>
    <row r="107" spans="3:29" x14ac:dyDescent="0.25">
      <c r="C107" s="850">
        <f>IF(Z107&gt;0,MAX(C73:C106)+1,0)</f>
        <v>35</v>
      </c>
      <c r="D107" s="866">
        <v>20</v>
      </c>
      <c r="E107" s="850">
        <v>135</v>
      </c>
      <c r="F107" s="868">
        <v>10</v>
      </c>
      <c r="G107" s="851">
        <v>5000</v>
      </c>
      <c r="H107" s="851">
        <v>2400</v>
      </c>
      <c r="I107" s="851">
        <v>0</v>
      </c>
      <c r="J107" s="851">
        <v>10</v>
      </c>
      <c r="L107" s="340">
        <f t="shared" si="18"/>
        <v>13.850415512465373</v>
      </c>
      <c r="M107" s="12">
        <f t="shared" si="28"/>
        <v>13</v>
      </c>
      <c r="N107" s="860">
        <f t="shared" si="19"/>
        <v>0.14958448753462683</v>
      </c>
      <c r="O107" s="861">
        <f t="shared" si="29"/>
        <v>54.000000000000284</v>
      </c>
      <c r="P107" s="861">
        <f t="shared" si="30"/>
        <v>120</v>
      </c>
      <c r="Q107" s="861">
        <f t="shared" si="20"/>
        <v>14</v>
      </c>
      <c r="S107" s="340">
        <f t="shared" si="21"/>
        <v>4.3087971274685817</v>
      </c>
      <c r="T107" s="12">
        <f t="shared" si="31"/>
        <v>4</v>
      </c>
      <c r="U107" s="860">
        <f t="shared" si="22"/>
        <v>0.69120287253141832</v>
      </c>
      <c r="V107" s="861">
        <f t="shared" si="32"/>
        <v>385</v>
      </c>
      <c r="W107" s="861">
        <f t="shared" si="33"/>
        <v>160</v>
      </c>
      <c r="X107" s="861">
        <f t="shared" si="23"/>
        <v>4</v>
      </c>
      <c r="Z107" s="12">
        <f t="shared" si="24"/>
        <v>56</v>
      </c>
      <c r="AA107" s="12">
        <f t="shared" si="25"/>
        <v>11.260312000000001</v>
      </c>
      <c r="AB107" s="12">
        <f t="shared" si="26"/>
        <v>12</v>
      </c>
      <c r="AC107" s="864">
        <f t="shared" si="27"/>
        <v>0.93835933333333343</v>
      </c>
    </row>
    <row r="108" spans="3:29" x14ac:dyDescent="0.25">
      <c r="C108" s="850">
        <f>IF(Z108&gt;0,MAX(C73:C107)+1,0)</f>
        <v>36</v>
      </c>
      <c r="D108" s="866">
        <v>20</v>
      </c>
      <c r="E108" s="850">
        <v>136</v>
      </c>
      <c r="F108" s="868">
        <v>10</v>
      </c>
      <c r="G108" s="851">
        <v>6000</v>
      </c>
      <c r="H108" s="851">
        <v>2000</v>
      </c>
      <c r="I108" s="851">
        <v>0</v>
      </c>
      <c r="J108" s="851">
        <v>10</v>
      </c>
      <c r="L108" s="340">
        <f t="shared" si="18"/>
        <v>16.62049861495845</v>
      </c>
      <c r="M108" s="12">
        <f t="shared" si="28"/>
        <v>16</v>
      </c>
      <c r="N108" s="860">
        <f t="shared" si="19"/>
        <v>0.37950138504155007</v>
      </c>
      <c r="O108" s="861">
        <f t="shared" si="29"/>
        <v>136.99999999999957</v>
      </c>
      <c r="P108" s="861">
        <f t="shared" si="30"/>
        <v>120</v>
      </c>
      <c r="Q108" s="861">
        <f t="shared" si="20"/>
        <v>16</v>
      </c>
      <c r="S108" s="340">
        <f t="shared" si="21"/>
        <v>3.5906642728904847</v>
      </c>
      <c r="T108" s="12">
        <f t="shared" si="31"/>
        <v>3</v>
      </c>
      <c r="U108" s="860">
        <f t="shared" si="22"/>
        <v>0.40933572710951527</v>
      </c>
      <c r="V108" s="861">
        <f t="shared" si="32"/>
        <v>228</v>
      </c>
      <c r="W108" s="861">
        <f t="shared" si="33"/>
        <v>160</v>
      </c>
      <c r="X108" s="861">
        <f t="shared" si="23"/>
        <v>3</v>
      </c>
      <c r="Z108" s="12">
        <f t="shared" si="24"/>
        <v>48</v>
      </c>
      <c r="AA108" s="12">
        <f t="shared" si="25"/>
        <v>9.6516960000000012</v>
      </c>
      <c r="AB108" s="12">
        <f t="shared" si="26"/>
        <v>12</v>
      </c>
      <c r="AC108" s="864">
        <f t="shared" si="27"/>
        <v>0.80430800000000013</v>
      </c>
    </row>
    <row r="109" spans="3:29" x14ac:dyDescent="0.25">
      <c r="C109" s="850">
        <f>IF(Z109&gt;0,MAX(C73:C108)+1,0)</f>
        <v>37</v>
      </c>
      <c r="D109" s="866">
        <v>10</v>
      </c>
      <c r="E109" s="850">
        <v>137</v>
      </c>
      <c r="F109" s="868">
        <v>14</v>
      </c>
      <c r="G109" s="851">
        <v>5600</v>
      </c>
      <c r="H109" s="851">
        <v>2400</v>
      </c>
      <c r="I109" s="851">
        <v>14</v>
      </c>
      <c r="J109" s="851">
        <v>0</v>
      </c>
      <c r="L109" s="340">
        <f t="shared" si="18"/>
        <v>15.512465373961218</v>
      </c>
      <c r="M109" s="12">
        <f t="shared" si="28"/>
        <v>15</v>
      </c>
      <c r="N109" s="860">
        <f t="shared" si="19"/>
        <v>0.48753462603878184</v>
      </c>
      <c r="O109" s="861">
        <f t="shared" si="29"/>
        <v>176.00000000000026</v>
      </c>
      <c r="P109" s="861">
        <f t="shared" si="30"/>
        <v>120</v>
      </c>
      <c r="Q109" s="861">
        <f t="shared" si="20"/>
        <v>15</v>
      </c>
      <c r="S109" s="340">
        <f t="shared" si="21"/>
        <v>4.3087971274685817</v>
      </c>
      <c r="T109" s="12">
        <f t="shared" si="31"/>
        <v>4</v>
      </c>
      <c r="U109" s="860">
        <f t="shared" si="22"/>
        <v>0.69120287253141832</v>
      </c>
      <c r="V109" s="861">
        <f t="shared" si="32"/>
        <v>385</v>
      </c>
      <c r="W109" s="861">
        <f t="shared" si="33"/>
        <v>160</v>
      </c>
      <c r="X109" s="861">
        <f t="shared" si="23"/>
        <v>4</v>
      </c>
      <c r="Z109" s="12">
        <f t="shared" si="24"/>
        <v>60</v>
      </c>
      <c r="AA109" s="12">
        <f t="shared" si="25"/>
        <v>12.06462</v>
      </c>
      <c r="AB109" s="12">
        <f t="shared" si="26"/>
        <v>13.44</v>
      </c>
      <c r="AC109" s="864">
        <f t="shared" si="27"/>
        <v>0.89766517857142858</v>
      </c>
    </row>
    <row r="110" spans="3:29" x14ac:dyDescent="0.25">
      <c r="C110" s="850">
        <f>IF(Z110&gt;0,MAX(C73:C109)+1,0)</f>
        <v>38</v>
      </c>
      <c r="D110" s="866">
        <v>20</v>
      </c>
      <c r="E110" s="850">
        <v>138</v>
      </c>
      <c r="F110" s="868">
        <v>12</v>
      </c>
      <c r="G110" s="851">
        <v>6000</v>
      </c>
      <c r="H110" s="851">
        <v>2400</v>
      </c>
      <c r="I110" s="851">
        <v>0</v>
      </c>
      <c r="J110" s="851">
        <v>12</v>
      </c>
      <c r="L110" s="340">
        <f t="shared" si="18"/>
        <v>16.62049861495845</v>
      </c>
      <c r="M110" s="12">
        <f t="shared" si="28"/>
        <v>16</v>
      </c>
      <c r="N110" s="860">
        <f t="shared" si="19"/>
        <v>0.37950138504155007</v>
      </c>
      <c r="O110" s="861">
        <f t="shared" si="29"/>
        <v>136.99999999999957</v>
      </c>
      <c r="P110" s="861">
        <f t="shared" si="30"/>
        <v>120</v>
      </c>
      <c r="Q110" s="861">
        <f t="shared" si="20"/>
        <v>16</v>
      </c>
      <c r="S110" s="340">
        <f t="shared" si="21"/>
        <v>4.3087971274685817</v>
      </c>
      <c r="T110" s="12">
        <f t="shared" si="31"/>
        <v>4</v>
      </c>
      <c r="U110" s="860">
        <f t="shared" si="22"/>
        <v>0.69120287253141832</v>
      </c>
      <c r="V110" s="861">
        <f t="shared" si="32"/>
        <v>385</v>
      </c>
      <c r="W110" s="861">
        <f t="shared" si="33"/>
        <v>160</v>
      </c>
      <c r="X110" s="861">
        <f t="shared" si="23"/>
        <v>4</v>
      </c>
      <c r="Z110" s="12">
        <f t="shared" si="24"/>
        <v>64</v>
      </c>
      <c r="AA110" s="12">
        <f t="shared" si="25"/>
        <v>12.868928</v>
      </c>
      <c r="AB110" s="12">
        <f t="shared" si="26"/>
        <v>14.399999999999999</v>
      </c>
      <c r="AC110" s="864">
        <f t="shared" si="27"/>
        <v>0.89367555555555567</v>
      </c>
    </row>
    <row r="111" spans="3:29" x14ac:dyDescent="0.25">
      <c r="C111" s="848">
        <f>IF(Z111&gt;0,MAX(C73:C110)+1,0)</f>
        <v>39</v>
      </c>
      <c r="D111" s="867">
        <v>10</v>
      </c>
      <c r="E111" s="848">
        <v>139</v>
      </c>
      <c r="F111" s="869">
        <v>16</v>
      </c>
      <c r="G111" s="853">
        <v>6400</v>
      </c>
      <c r="H111" s="853">
        <v>2400</v>
      </c>
      <c r="I111" s="853">
        <v>16</v>
      </c>
      <c r="J111" s="853">
        <v>0</v>
      </c>
      <c r="K111" s="320"/>
      <c r="L111" s="342">
        <f t="shared" si="18"/>
        <v>17.72853185595568</v>
      </c>
      <c r="M111" s="13">
        <f t="shared" si="28"/>
        <v>17</v>
      </c>
      <c r="N111" s="862">
        <f t="shared" si="19"/>
        <v>0.27146814404432007</v>
      </c>
      <c r="O111" s="849">
        <f t="shared" si="29"/>
        <v>97.999999999999545</v>
      </c>
      <c r="P111" s="849">
        <f t="shared" si="30"/>
        <v>120</v>
      </c>
      <c r="Q111" s="849">
        <f t="shared" si="20"/>
        <v>18</v>
      </c>
      <c r="R111" s="320"/>
      <c r="S111" s="342">
        <f t="shared" si="21"/>
        <v>4.3087971274685817</v>
      </c>
      <c r="T111" s="13">
        <f t="shared" si="31"/>
        <v>4</v>
      </c>
      <c r="U111" s="862">
        <f t="shared" si="22"/>
        <v>0.69120287253141832</v>
      </c>
      <c r="V111" s="849">
        <f t="shared" si="32"/>
        <v>385</v>
      </c>
      <c r="W111" s="849">
        <f t="shared" si="33"/>
        <v>160</v>
      </c>
      <c r="X111" s="849">
        <f t="shared" si="23"/>
        <v>4</v>
      </c>
      <c r="Y111" s="320"/>
      <c r="Z111" s="13">
        <f t="shared" si="24"/>
        <v>72</v>
      </c>
      <c r="AA111" s="13">
        <f t="shared" si="25"/>
        <v>14.477544</v>
      </c>
      <c r="AB111" s="13">
        <f t="shared" si="26"/>
        <v>15.36</v>
      </c>
      <c r="AC111" s="865">
        <f t="shared" si="27"/>
        <v>0.94254843750000006</v>
      </c>
    </row>
    <row r="113" spans="2:43" x14ac:dyDescent="0.25">
      <c r="Q113" s="1321" t="s">
        <v>925</v>
      </c>
      <c r="R113" s="1321"/>
    </row>
    <row r="114" spans="2:43" x14ac:dyDescent="0.25">
      <c r="Q114" s="879">
        <v>0</v>
      </c>
      <c r="R114" s="880">
        <v>10</v>
      </c>
    </row>
    <row r="115" spans="2:43" x14ac:dyDescent="0.25">
      <c r="Q115" s="639">
        <v>0.5</v>
      </c>
      <c r="R115" s="557">
        <v>20</v>
      </c>
    </row>
    <row r="116" spans="2:43" x14ac:dyDescent="0.25">
      <c r="Q116" s="639">
        <v>0.7</v>
      </c>
      <c r="R116" s="557">
        <v>25</v>
      </c>
    </row>
    <row r="117" spans="2:43" x14ac:dyDescent="0.25">
      <c r="Q117" s="639">
        <v>0.85</v>
      </c>
      <c r="R117" s="557">
        <v>35</v>
      </c>
    </row>
    <row r="118" spans="2:43" x14ac:dyDescent="0.25">
      <c r="Q118" s="639">
        <v>0.9</v>
      </c>
      <c r="R118" s="557">
        <v>40</v>
      </c>
    </row>
    <row r="119" spans="2:43" x14ac:dyDescent="0.25">
      <c r="Q119" s="639">
        <v>0.95</v>
      </c>
      <c r="R119" s="557">
        <v>45</v>
      </c>
    </row>
    <row r="120" spans="2:43" x14ac:dyDescent="0.25">
      <c r="Q120" s="639">
        <v>1</v>
      </c>
      <c r="R120" s="557">
        <v>50</v>
      </c>
    </row>
    <row r="121" spans="2:43" x14ac:dyDescent="0.25">
      <c r="Q121" s="639">
        <v>1.05</v>
      </c>
      <c r="R121" s="557">
        <v>50</v>
      </c>
    </row>
    <row r="122" spans="2:43" x14ac:dyDescent="0.25">
      <c r="Q122" s="639">
        <v>1.1000000000000001</v>
      </c>
      <c r="R122" s="557">
        <v>45</v>
      </c>
    </row>
    <row r="123" spans="2:43" x14ac:dyDescent="0.25">
      <c r="Q123" s="639">
        <v>1.1499999999999999</v>
      </c>
      <c r="R123" s="557">
        <v>35</v>
      </c>
    </row>
    <row r="124" spans="2:43" x14ac:dyDescent="0.25">
      <c r="Q124" s="639">
        <v>1.3</v>
      </c>
      <c r="R124" s="557">
        <v>20</v>
      </c>
    </row>
    <row r="125" spans="2:43" x14ac:dyDescent="0.25">
      <c r="Q125" s="640">
        <v>1.5</v>
      </c>
      <c r="R125" s="559">
        <v>5</v>
      </c>
    </row>
    <row r="127" spans="2:43" x14ac:dyDescent="0.25">
      <c r="B127" s="404"/>
      <c r="C127" s="845"/>
      <c r="D127" s="858" t="s">
        <v>898</v>
      </c>
      <c r="E127" s="1312" t="s">
        <v>898</v>
      </c>
      <c r="F127" s="1303"/>
      <c r="G127" s="1312" t="s">
        <v>923</v>
      </c>
      <c r="H127" s="1303"/>
      <c r="I127" s="1312" t="s">
        <v>915</v>
      </c>
      <c r="J127" s="1303"/>
      <c r="K127" s="442" t="s">
        <v>61</v>
      </c>
      <c r="L127" s="451" t="s">
        <v>61</v>
      </c>
      <c r="M127" s="442" t="s">
        <v>605</v>
      </c>
      <c r="N127" s="442" t="s">
        <v>605</v>
      </c>
      <c r="O127" s="404" t="s">
        <v>489</v>
      </c>
      <c r="P127" s="486">
        <v>50</v>
      </c>
      <c r="Q127" s="486">
        <v>50</v>
      </c>
      <c r="R127" s="476"/>
      <c r="S127" s="442"/>
      <c r="T127" s="883"/>
      <c r="U127" s="486">
        <v>25</v>
      </c>
      <c r="V127" s="404"/>
      <c r="X127" s="845"/>
      <c r="Y127" s="858" t="s">
        <v>898</v>
      </c>
      <c r="Z127" s="476" t="s">
        <v>898</v>
      </c>
      <c r="AA127" s="433"/>
      <c r="AB127" s="476" t="s">
        <v>923</v>
      </c>
      <c r="AC127" s="433"/>
      <c r="AD127" s="476" t="s">
        <v>915</v>
      </c>
      <c r="AE127" s="433"/>
      <c r="AF127" s="442" t="s">
        <v>61</v>
      </c>
      <c r="AG127" s="451" t="s">
        <v>61</v>
      </c>
      <c r="AH127" s="442" t="s">
        <v>605</v>
      </c>
      <c r="AI127" s="442" t="s">
        <v>605</v>
      </c>
      <c r="AJ127" s="404" t="s">
        <v>489</v>
      </c>
      <c r="AK127" s="486">
        <v>50</v>
      </c>
      <c r="AL127" s="486">
        <v>50</v>
      </c>
      <c r="AM127" s="404"/>
      <c r="AN127" s="404"/>
      <c r="AO127" s="883"/>
      <c r="AP127" s="486">
        <v>25</v>
      </c>
      <c r="AQ127" s="404"/>
    </row>
    <row r="128" spans="2:43" x14ac:dyDescent="0.25">
      <c r="B128" s="41" t="s">
        <v>522</v>
      </c>
      <c r="C128" s="850"/>
      <c r="D128" s="847" t="s">
        <v>901</v>
      </c>
      <c r="E128" s="432" t="s">
        <v>558</v>
      </c>
      <c r="F128" s="436" t="s">
        <v>9</v>
      </c>
      <c r="G128" s="432" t="s">
        <v>558</v>
      </c>
      <c r="H128" s="436" t="s">
        <v>9</v>
      </c>
      <c r="I128" s="432" t="s">
        <v>18</v>
      </c>
      <c r="J128" s="436" t="s">
        <v>9</v>
      </c>
      <c r="K128" s="13" t="s">
        <v>914</v>
      </c>
      <c r="L128" s="342" t="s">
        <v>810</v>
      </c>
      <c r="M128" s="13" t="s">
        <v>918</v>
      </c>
      <c r="N128" s="13" t="s">
        <v>920</v>
      </c>
      <c r="O128" s="13" t="s">
        <v>921</v>
      </c>
      <c r="P128" s="13" t="s">
        <v>924</v>
      </c>
      <c r="Q128" s="13" t="s">
        <v>915</v>
      </c>
      <c r="R128" s="432" t="s">
        <v>925</v>
      </c>
      <c r="S128" s="13" t="s">
        <v>926</v>
      </c>
      <c r="T128" s="884"/>
      <c r="U128" s="12" t="s">
        <v>927</v>
      </c>
      <c r="V128" s="13" t="s">
        <v>39</v>
      </c>
      <c r="X128" s="850" t="s">
        <v>523</v>
      </c>
      <c r="Y128" s="847" t="s">
        <v>901</v>
      </c>
      <c r="Z128" s="432" t="s">
        <v>558</v>
      </c>
      <c r="AA128" s="436" t="s">
        <v>9</v>
      </c>
      <c r="AB128" s="432" t="s">
        <v>558</v>
      </c>
      <c r="AC128" s="436" t="s">
        <v>9</v>
      </c>
      <c r="AD128" s="432" t="s">
        <v>18</v>
      </c>
      <c r="AE128" s="436" t="s">
        <v>9</v>
      </c>
      <c r="AF128" s="13" t="s">
        <v>914</v>
      </c>
      <c r="AG128" s="342" t="s">
        <v>810</v>
      </c>
      <c r="AH128" s="13" t="s">
        <v>918</v>
      </c>
      <c r="AI128" s="13" t="s">
        <v>920</v>
      </c>
      <c r="AJ128" s="13" t="s">
        <v>921</v>
      </c>
      <c r="AK128" s="13" t="s">
        <v>924</v>
      </c>
      <c r="AL128" s="13" t="s">
        <v>915</v>
      </c>
      <c r="AM128" s="13" t="s">
        <v>925</v>
      </c>
      <c r="AN128" s="13" t="s">
        <v>926</v>
      </c>
      <c r="AO128" s="884"/>
      <c r="AP128" s="12" t="s">
        <v>927</v>
      </c>
      <c r="AQ128" s="13" t="s">
        <v>39</v>
      </c>
    </row>
    <row r="129" spans="2:43" x14ac:dyDescent="0.25">
      <c r="B129" s="472"/>
      <c r="C129" s="870">
        <f>C30</f>
        <v>39</v>
      </c>
      <c r="D129" s="871"/>
      <c r="E129" s="6"/>
      <c r="F129" s="7"/>
      <c r="G129" s="6"/>
      <c r="H129" s="7"/>
      <c r="I129" s="6"/>
      <c r="J129" s="7"/>
      <c r="K129" s="473">
        <f>MAX(K130:K134)</f>
        <v>6</v>
      </c>
      <c r="L129" s="12">
        <f>MIN(L130:L134)</f>
        <v>1</v>
      </c>
      <c r="M129" s="472"/>
      <c r="N129" s="13"/>
      <c r="P129" s="472"/>
      <c r="Q129" s="472"/>
      <c r="R129" s="213"/>
      <c r="S129" s="442">
        <f>MAX(S130:S134)</f>
        <v>150</v>
      </c>
      <c r="T129" s="885">
        <f>MIN(T130:T134)</f>
        <v>1.2</v>
      </c>
      <c r="U129" s="472"/>
      <c r="V129" s="442">
        <f>MAX(V130:V134)</f>
        <v>175</v>
      </c>
      <c r="X129" s="870"/>
      <c r="Y129" s="858"/>
      <c r="Z129" s="6"/>
      <c r="AA129" s="7"/>
      <c r="AB129" s="6"/>
      <c r="AC129" s="7"/>
      <c r="AD129" s="6"/>
      <c r="AE129" s="7"/>
      <c r="AF129" s="473">
        <f>MAX(AF130:AF131)</f>
        <v>6</v>
      </c>
      <c r="AG129" s="12">
        <f>MIN(AG130:AG131)</f>
        <v>1</v>
      </c>
      <c r="AH129" s="472"/>
      <c r="AI129" s="13"/>
      <c r="AK129" s="404"/>
      <c r="AL129" s="404"/>
      <c r="AM129" s="404"/>
      <c r="AN129" s="442">
        <f>MAX(AN130:AN131)</f>
        <v>150</v>
      </c>
      <c r="AO129" s="885">
        <f>MIN(AO130:AO131)</f>
        <v>1.2</v>
      </c>
      <c r="AP129" s="472"/>
      <c r="AQ129" s="442">
        <f>MAX(AQ130:AQ134)</f>
        <v>175</v>
      </c>
    </row>
    <row r="130" spans="2:43" x14ac:dyDescent="0.25">
      <c r="B130" s="12">
        <f>IF(AND(SUM(D130:D134)&gt;0,V130=$V$129),1,0)</f>
        <v>0</v>
      </c>
      <c r="C130" s="845">
        <v>1</v>
      </c>
      <c r="D130" s="858">
        <f>IF($C$129&gt;=C130,VLOOKUP(C130,$C$31:$J$69,3,FALSE),0)</f>
        <v>1</v>
      </c>
      <c r="E130" s="431">
        <f>IF($D130&gt;0,VLOOKUP($D130,$E$31:$AC$111,4,FALSE),0)</f>
        <v>800</v>
      </c>
      <c r="F130" s="435">
        <f>IF($D130&gt;0,VLOOKUP($D130,$E$31:$AC$111,3,FALSE),0)</f>
        <v>1200</v>
      </c>
      <c r="G130" s="431">
        <f>IF(D130&gt;0,$D$3)</f>
        <v>361</v>
      </c>
      <c r="H130" s="449">
        <f>IF(D130&gt;0,$D$4)</f>
        <v>557</v>
      </c>
      <c r="I130" s="431">
        <f>IF($D130&gt;0,VLOOKUP($D130,$E$31:$AC$111,20,FALSE),0)</f>
        <v>2</v>
      </c>
      <c r="J130" s="435">
        <f>IF($D130&gt;0,VLOOKUP($D130,$E$31:$AC$111,13,FALSE),0)</f>
        <v>2</v>
      </c>
      <c r="K130" s="26">
        <f>IF(AND(D130&gt;0,L130=$L$129),J130*I130,0)</f>
        <v>4</v>
      </c>
      <c r="L130" s="431">
        <f>IF($D130&gt;0,VLOOKUP($D130,$E$31:$AC$111,2,FALSE),0)</f>
        <v>1</v>
      </c>
      <c r="M130" s="431">
        <f>IF($D130&gt;0,VLOOKUP($D130,$E$31:$AC$111,24,FALSE),0)</f>
        <v>0.96</v>
      </c>
      <c r="N130" s="442">
        <f>IF($D130&gt;0,VLOOKUP($D130,$E$31:$AC$111,23,FALSE),0)</f>
        <v>0.80430800000000002</v>
      </c>
      <c r="O130" s="875">
        <f>IF($D130&gt;0,VLOOKUP($D130,$E$31:$AC$111,25,FALSE),0)</f>
        <v>0.83782083333333335</v>
      </c>
      <c r="P130" s="431">
        <f>IF(AND(D130&gt;0,L130=$L$129),$P$127,0)</f>
        <v>50</v>
      </c>
      <c r="Q130" s="442">
        <f>IF(AND(D130&gt;0,K130=$K$129),$Q$127,0)</f>
        <v>0</v>
      </c>
      <c r="R130" s="431">
        <f>IF(D130&gt;0,VLOOKUP(O130,$Q$114:$R$125,2),0)</f>
        <v>25</v>
      </c>
      <c r="S130" s="442">
        <f>IF(D130&gt;0,SUM(P130:R130),0)</f>
        <v>75</v>
      </c>
      <c r="T130" s="340">
        <f>IF(AND(D130&gt;0,S130=$S$129),M130,9999)</f>
        <v>9999</v>
      </c>
      <c r="U130" s="26">
        <f>IF(AND(D130&gt;0,T130=$T$129),$U$127,0)</f>
        <v>0</v>
      </c>
      <c r="V130" s="442">
        <f>IF(D130&gt;0,S130+U130,0)</f>
        <v>75</v>
      </c>
      <c r="X130" s="858">
        <f>IF(AQ130=AQ129,1,0)</f>
        <v>1</v>
      </c>
      <c r="Y130" s="858">
        <f>IF(SUM(B130:B134)&gt;0,VLOOKUP(1,B130:V134,3,FALSE),0)</f>
        <v>2</v>
      </c>
      <c r="Z130" s="431">
        <f>IF($Y$130&gt;0,VLOOKUP($Y$130,$D$130:$V$134,2,FALSE),0)</f>
        <v>1000</v>
      </c>
      <c r="AA130" s="449">
        <f>IF($Y$130&gt;0,VLOOKUP($Y$130,$D$130:$V$134,3,FALSE),0)</f>
        <v>1200</v>
      </c>
      <c r="AB130" s="431">
        <f>IF($Y$130&gt;0,VLOOKUP($Y$130,$D$130:$V$134,4,FALSE),0)</f>
        <v>361</v>
      </c>
      <c r="AC130" s="449">
        <f>IF($Y$130&gt;0,VLOOKUP($Y$130,$D$130:$V$134,5,FALSE),0)</f>
        <v>557</v>
      </c>
      <c r="AD130" s="431">
        <f>IF($Y$130&gt;0,VLOOKUP($Y$130,$D$130:$V$134,6,FALSE),0)</f>
        <v>3</v>
      </c>
      <c r="AE130" s="435">
        <f>IF($Y$130&gt;0,VLOOKUP($Y$130,$D$130:$V$134,7,FALSE),0)</f>
        <v>2</v>
      </c>
      <c r="AF130" s="442">
        <f>IF(AND(Y130&gt;0,AG130=$AG$129),AE130*AD130,0)</f>
        <v>6</v>
      </c>
      <c r="AG130" s="435">
        <f>IF($Y$130&gt;0,VLOOKUP($Y$130,$D$130:$V$134,9,FALSE),0)</f>
        <v>1</v>
      </c>
      <c r="AH130" s="435">
        <f>IF($Y$130&gt;0,VLOOKUP($Y$130,$D$130:$V$134,10,FALSE),0)</f>
        <v>1.2</v>
      </c>
      <c r="AI130" s="910">
        <f>IF($Y$130&gt;0,VLOOKUP($Y$130,$D$130:$V$134,11,FALSE),0)</f>
        <v>1.2064620000000001</v>
      </c>
      <c r="AJ130" s="881">
        <f>IF($Y$130&gt;0,VLOOKUP($Y$130,$D$130:$V$134,12,FALSE),0)</f>
        <v>1.0053850000000002</v>
      </c>
      <c r="AK130" s="431">
        <f>IF(AND(Y130&gt;0,AG130=$AG$129),$AK$127,0)</f>
        <v>50</v>
      </c>
      <c r="AL130" s="431">
        <f>IF(AND(Y130&gt;0,AF130=$AF$129),$AL$127,0)</f>
        <v>50</v>
      </c>
      <c r="AM130" s="431">
        <f>IF(Y130&gt;0,VLOOKUP(AJ130,$Q$114:$R$125,2),0)</f>
        <v>50</v>
      </c>
      <c r="AN130" s="442">
        <f>IF(Y130&gt;0,SUM(AK130:AM130),0)</f>
        <v>150</v>
      </c>
      <c r="AO130" s="451">
        <f>IF(AND(Y130&gt;0,AN130=$AN$129),AH130,9999)</f>
        <v>1.2</v>
      </c>
      <c r="AP130" s="431">
        <f>IF(AND(Y130&gt;0,AO130=$AO$129),$AP$127,0)</f>
        <v>25</v>
      </c>
      <c r="AQ130" s="442">
        <f>IF(Y130&gt;0,AN130+AP130,0)</f>
        <v>175</v>
      </c>
    </row>
    <row r="131" spans="2:43" x14ac:dyDescent="0.25">
      <c r="B131" s="12">
        <f>IF(AND(SUM(D130:D134)&gt;0,V131=$V$129),1,0)</f>
        <v>1</v>
      </c>
      <c r="C131" s="850">
        <v>2</v>
      </c>
      <c r="D131" s="847">
        <f>IF($C$129&gt;=C131,VLOOKUP(C131,$C$31:$J$69,3,FALSE),0)</f>
        <v>2</v>
      </c>
      <c r="E131" s="26">
        <f>IF(D131&gt;0,VLOOKUP(D131,$E$31:$AC$111,4,FALSE),0)</f>
        <v>1000</v>
      </c>
      <c r="F131" s="25">
        <f>IF(D131&gt;0,VLOOKUP(D131,$E$31:$AC$111,3,FALSE),0)</f>
        <v>1200</v>
      </c>
      <c r="G131" s="26">
        <f t="shared" ref="G131:G134" si="34">IF(D131&gt;0,$D$3)</f>
        <v>361</v>
      </c>
      <c r="H131" s="2">
        <f t="shared" ref="H131:H134" si="35">IF(D131&gt;0,$D$4)</f>
        <v>557</v>
      </c>
      <c r="I131" s="26">
        <f t="shared" ref="I131:I134" si="36">IF($D131&gt;0,VLOOKUP($D131,$E$31:$AC$111,20,FALSE),0)</f>
        <v>3</v>
      </c>
      <c r="J131" s="25">
        <f t="shared" ref="J131:J134" si="37">IF($D131&gt;0,VLOOKUP($D131,$E$31:$AC$111,13,FALSE),0)</f>
        <v>2</v>
      </c>
      <c r="K131" s="26">
        <f t="shared" ref="K131:K134" si="38">IF(AND(D131&gt;0,L131=$L$129),J131*I131,0)</f>
        <v>6</v>
      </c>
      <c r="L131" s="26">
        <f t="shared" ref="L131:L134" si="39">IF($D131&gt;0,VLOOKUP($D131,$E$31:$AC$111,2,FALSE),0)</f>
        <v>1</v>
      </c>
      <c r="M131" s="26">
        <f t="shared" ref="M131:M140" si="40">IF($D131&gt;0,VLOOKUP($D131,$E$31:$AC$111,24,FALSE),0)</f>
        <v>1.2</v>
      </c>
      <c r="N131" s="12">
        <f t="shared" ref="N131:N134" si="41">IF($D131&gt;0,VLOOKUP($D131,$E$31:$AC$111,23,FALSE),0)</f>
        <v>1.2064620000000001</v>
      </c>
      <c r="O131" s="479">
        <f t="shared" ref="O131:O134" si="42">IF($D131&gt;0,VLOOKUP($D131,$E$31:$AC$111,25,FALSE),0)</f>
        <v>1.0053850000000002</v>
      </c>
      <c r="P131" s="26">
        <f>IF(AND(D131&gt;0,L131=$L$129),$P$127,0)</f>
        <v>50</v>
      </c>
      <c r="Q131" s="12">
        <f t="shared" ref="Q131:Q134" si="43">IF(AND(D131&gt;0,K131=$K$129),$Q$127,0)</f>
        <v>50</v>
      </c>
      <c r="R131" s="26">
        <f t="shared" ref="R131:R140" si="44">IF(D131&gt;0,VLOOKUP(O131,$Q$114:$R$125,2),0)</f>
        <v>50</v>
      </c>
      <c r="S131" s="12">
        <f t="shared" ref="S131:S134" si="45">IF(D131&gt;0,SUM(P131:R131),0)</f>
        <v>150</v>
      </c>
      <c r="T131" s="340">
        <f t="shared" ref="T131:T134" si="46">IF(AND(D131&gt;0,S131=$S$129),M131,9999)</f>
        <v>1.2</v>
      </c>
      <c r="U131" s="26">
        <f t="shared" ref="U131:U134" si="47">IF(AND(D131&gt;0,T131=$T$129),$U$127,0)</f>
        <v>25</v>
      </c>
      <c r="V131" s="12">
        <f t="shared" ref="V131:V134" si="48">IF(D131&gt;0,S131+U131,0)</f>
        <v>175</v>
      </c>
      <c r="X131" s="432">
        <f>IF(AQ131=AQ129,1,0)</f>
        <v>1</v>
      </c>
      <c r="Y131" s="872">
        <f>IF(SUM(B136:B140)&gt;0,VLOOKUP(1,B136:V140,3,FALSE),0)</f>
        <v>102</v>
      </c>
      <c r="Z131" s="432">
        <f>IF($Y$131&gt;0,VLOOKUP($Y$131,$D$136:$V$140,2,FALSE),0)</f>
        <v>1000</v>
      </c>
      <c r="AA131" s="343">
        <f>IF($Y$131&gt;0,VLOOKUP($Y$131,$D$136:$V$140,3,FALSE),0)</f>
        <v>1200</v>
      </c>
      <c r="AB131" s="432">
        <f>IF($Y$131&gt;0,VLOOKUP($Y$131,$D$136:$V$140,4,FALSE),0)</f>
        <v>557</v>
      </c>
      <c r="AC131" s="343">
        <f>IF($Y$131&gt;0,VLOOKUP($Y$131,$D$136:$V$140,5,FALSE),0)</f>
        <v>361</v>
      </c>
      <c r="AD131" s="432">
        <f>IF($Y$131&gt;0,VLOOKUP($Y$131,$D$136:$V$140,6,FALSE),0)</f>
        <v>2</v>
      </c>
      <c r="AE131" s="436">
        <f>IF($Y$131&gt;0,VLOOKUP($Y$131,$D$136:$V$140,7,FALSE),0)</f>
        <v>3</v>
      </c>
      <c r="AF131" s="13">
        <f>IF(AND(Y131&gt;0,AG131=$AG$129),AE131*AD131,0)</f>
        <v>6</v>
      </c>
      <c r="AG131" s="436">
        <f>IF($Y$131&gt;0,VLOOKUP($Y$131,$D$136:$V$140,9,FALSE),0)</f>
        <v>1</v>
      </c>
      <c r="AH131" s="436">
        <f>IF($Y$131&gt;0,VLOOKUP($Y$131,$D$136:$V$140,10,FALSE),0)</f>
        <v>1.2</v>
      </c>
      <c r="AI131" s="911">
        <f>IF($Y$131&gt;0,VLOOKUP($Y$131,$D$136:$V$140,11,FALSE),0)</f>
        <v>1.2064620000000001</v>
      </c>
      <c r="AJ131" s="882">
        <f>IF($Y$131&gt;0,VLOOKUP($Y$131,$D$136:$V$140,12,FALSE),0)</f>
        <v>1.0053850000000002</v>
      </c>
      <c r="AK131" s="432">
        <f>IF(AND(Y131&gt;0,AG131=$AG$129),$AK$127,0)</f>
        <v>50</v>
      </c>
      <c r="AL131" s="432">
        <f>IF(AND(Y131&gt;0,AF131=$AF$129),$AL$127,0)</f>
        <v>50</v>
      </c>
      <c r="AM131" s="432">
        <f>IF(Y131&gt;0,VLOOKUP(AJ131,$Q$114:$R$125,2),0)</f>
        <v>50</v>
      </c>
      <c r="AN131" s="13">
        <f>IF(Y131&gt;0,SUM(AK131:AM131),0)</f>
        <v>150</v>
      </c>
      <c r="AO131" s="342">
        <f>IF(AND(Y131&gt;0,AN131=$AN$129),AH131,9999)</f>
        <v>1.2</v>
      </c>
      <c r="AP131" s="432">
        <f>IF(AND(Y131&gt;0,AO131=$AO$129),$AP$127,0)</f>
        <v>25</v>
      </c>
      <c r="AQ131" s="13">
        <f>IF(Y131&gt;0,AN131+AP131,0)</f>
        <v>175</v>
      </c>
    </row>
    <row r="132" spans="2:43" x14ac:dyDescent="0.25">
      <c r="B132" s="12">
        <f>IF(AND(SUM(D130:D134)&gt;0,V132=$V$129),1,0)</f>
        <v>0</v>
      </c>
      <c r="C132" s="850">
        <v>3</v>
      </c>
      <c r="D132" s="847">
        <f>IF($C$129&gt;=C132,VLOOKUP(C132,$C$31:$J$69,3,FALSE),0)</f>
        <v>3</v>
      </c>
      <c r="E132" s="26">
        <f>IF(D132&gt;0,VLOOKUP(D132,$E$31:$AC$111,4,FALSE),0)</f>
        <v>1200</v>
      </c>
      <c r="F132" s="25">
        <f>IF(D132&gt;0,VLOOKUP(D132,$E$31:$AC$111,3,FALSE),0)</f>
        <v>1600</v>
      </c>
      <c r="G132" s="26">
        <f t="shared" si="34"/>
        <v>361</v>
      </c>
      <c r="H132" s="2">
        <f t="shared" si="35"/>
        <v>557</v>
      </c>
      <c r="I132" s="26">
        <f t="shared" si="36"/>
        <v>3</v>
      </c>
      <c r="J132" s="25">
        <f t="shared" si="37"/>
        <v>3</v>
      </c>
      <c r="K132" s="26">
        <f t="shared" si="38"/>
        <v>0</v>
      </c>
      <c r="L132" s="26">
        <f t="shared" si="39"/>
        <v>2</v>
      </c>
      <c r="M132" s="26">
        <f t="shared" si="40"/>
        <v>1.92</v>
      </c>
      <c r="N132" s="12">
        <f t="shared" si="41"/>
        <v>1.809693</v>
      </c>
      <c r="O132" s="479">
        <f t="shared" si="42"/>
        <v>0.94254843750000006</v>
      </c>
      <c r="P132" s="26">
        <f t="shared" ref="P132:P134" si="49">IF(AND(D132&gt;0,L132=$L$129),$P$127,0)</f>
        <v>0</v>
      </c>
      <c r="Q132" s="12">
        <f t="shared" si="43"/>
        <v>0</v>
      </c>
      <c r="R132" s="26">
        <f t="shared" si="44"/>
        <v>40</v>
      </c>
      <c r="S132" s="12">
        <f t="shared" si="45"/>
        <v>40</v>
      </c>
      <c r="T132" s="340">
        <f t="shared" si="46"/>
        <v>9999</v>
      </c>
      <c r="U132" s="26">
        <f t="shared" si="47"/>
        <v>0</v>
      </c>
      <c r="V132" s="12">
        <f t="shared" si="48"/>
        <v>40</v>
      </c>
    </row>
    <row r="133" spans="2:43" x14ac:dyDescent="0.25">
      <c r="B133" s="12">
        <f>IF(AND(SUM(D130:D134)&gt;0,V133=$V$129),1,0)</f>
        <v>0</v>
      </c>
      <c r="C133" s="850">
        <v>4</v>
      </c>
      <c r="D133" s="847">
        <f>IF($C$129&gt;=C133,VLOOKUP(C133,$C$31:$J$69,3,FALSE),0)</f>
        <v>4</v>
      </c>
      <c r="E133" s="26">
        <f>IF(D133&gt;0,VLOOKUP(D133,$E$31:$AC$111,4,FALSE),0)</f>
        <v>800</v>
      </c>
      <c r="F133" s="25">
        <f>IF(D133&gt;0,VLOOKUP(D133,$E$31:$AC$111,3,FALSE),0)</f>
        <v>2400</v>
      </c>
      <c r="G133" s="26">
        <f t="shared" si="34"/>
        <v>361</v>
      </c>
      <c r="H133" s="2">
        <f t="shared" si="35"/>
        <v>557</v>
      </c>
      <c r="I133" s="26">
        <f t="shared" si="36"/>
        <v>2</v>
      </c>
      <c r="J133" s="25">
        <f t="shared" si="37"/>
        <v>4</v>
      </c>
      <c r="K133" s="26">
        <f t="shared" si="38"/>
        <v>0</v>
      </c>
      <c r="L133" s="26">
        <f t="shared" si="39"/>
        <v>2</v>
      </c>
      <c r="M133" s="26">
        <f t="shared" si="40"/>
        <v>1.92</v>
      </c>
      <c r="N133" s="12">
        <f t="shared" si="41"/>
        <v>1.608616</v>
      </c>
      <c r="O133" s="479">
        <f t="shared" si="42"/>
        <v>0.83782083333333335</v>
      </c>
      <c r="P133" s="26">
        <f t="shared" si="49"/>
        <v>0</v>
      </c>
      <c r="Q133" s="12">
        <f t="shared" si="43"/>
        <v>0</v>
      </c>
      <c r="R133" s="26">
        <f t="shared" si="44"/>
        <v>25</v>
      </c>
      <c r="S133" s="12">
        <f t="shared" si="45"/>
        <v>25</v>
      </c>
      <c r="T133" s="340">
        <f t="shared" si="46"/>
        <v>9999</v>
      </c>
      <c r="U133" s="26">
        <f t="shared" si="47"/>
        <v>0</v>
      </c>
      <c r="V133" s="12">
        <f t="shared" si="48"/>
        <v>25</v>
      </c>
      <c r="X133" t="s">
        <v>928</v>
      </c>
      <c r="Z133" s="473">
        <f>VLOOKUP(1,X130:Y131,2,FALSE)</f>
        <v>2</v>
      </c>
    </row>
    <row r="134" spans="2:43" x14ac:dyDescent="0.25">
      <c r="B134" s="12">
        <f>IF(AND(SUM(D130:D134)&gt;0,V134=$V$129),1,0)</f>
        <v>0</v>
      </c>
      <c r="C134" s="848">
        <v>5</v>
      </c>
      <c r="D134" s="872">
        <f>IF($C$129&gt;=C134,VLOOKUP(C134,$C$31:$J$69,3,FALSE),0)</f>
        <v>5</v>
      </c>
      <c r="E134" s="432">
        <f>IF(D134&gt;0,VLOOKUP(D134,$E$31:$AC$111,4,FALSE),0)</f>
        <v>1200</v>
      </c>
      <c r="F134" s="436">
        <f>IF(D134&gt;0,VLOOKUP(D134,$E$31:$AC$111,3,FALSE),0)</f>
        <v>2000</v>
      </c>
      <c r="G134" s="432">
        <f t="shared" si="34"/>
        <v>361</v>
      </c>
      <c r="H134" s="343">
        <f t="shared" si="35"/>
        <v>557</v>
      </c>
      <c r="I134" s="432">
        <f t="shared" si="36"/>
        <v>3</v>
      </c>
      <c r="J134" s="436">
        <f t="shared" si="37"/>
        <v>3</v>
      </c>
      <c r="K134" s="26">
        <f t="shared" si="38"/>
        <v>0</v>
      </c>
      <c r="L134" s="432">
        <f t="shared" si="39"/>
        <v>2</v>
      </c>
      <c r="M134" s="432">
        <f t="shared" si="40"/>
        <v>2.4</v>
      </c>
      <c r="N134" s="13">
        <f t="shared" si="41"/>
        <v>1.809693</v>
      </c>
      <c r="O134" s="876">
        <f t="shared" si="42"/>
        <v>0.75403874999999998</v>
      </c>
      <c r="P134" s="432">
        <f t="shared" si="49"/>
        <v>0</v>
      </c>
      <c r="Q134" s="13">
        <f t="shared" si="43"/>
        <v>0</v>
      </c>
      <c r="R134" s="432">
        <f t="shared" si="44"/>
        <v>25</v>
      </c>
      <c r="S134" s="13">
        <f t="shared" si="45"/>
        <v>25</v>
      </c>
      <c r="T134" s="340">
        <f t="shared" si="46"/>
        <v>9999</v>
      </c>
      <c r="U134" s="26">
        <f t="shared" si="47"/>
        <v>0</v>
      </c>
      <c r="V134" s="13">
        <f t="shared" si="48"/>
        <v>25</v>
      </c>
    </row>
    <row r="135" spans="2:43" x14ac:dyDescent="0.25">
      <c r="B135" s="472"/>
      <c r="C135" s="870">
        <f>C72</f>
        <v>39</v>
      </c>
      <c r="D135" s="871"/>
      <c r="E135" s="26"/>
      <c r="F135" s="25"/>
      <c r="G135" s="6"/>
      <c r="H135" s="7"/>
      <c r="I135" s="6"/>
      <c r="J135" s="7"/>
      <c r="K135" s="442">
        <f>MAX(K136:K140)</f>
        <v>6</v>
      </c>
      <c r="L135" s="12">
        <f>MIN(L136:L140)</f>
        <v>1</v>
      </c>
      <c r="M135" s="473"/>
      <c r="O135" s="472"/>
      <c r="Q135" s="472"/>
      <c r="R135" s="213"/>
      <c r="S135" s="442">
        <f>MAX(S136:S140)</f>
        <v>150</v>
      </c>
      <c r="T135" s="885">
        <f>MIN(T136:T140)</f>
        <v>1.2</v>
      </c>
      <c r="U135" s="472"/>
      <c r="V135" s="12">
        <f>MAX(V136:V140)</f>
        <v>175</v>
      </c>
    </row>
    <row r="136" spans="2:43" x14ac:dyDescent="0.25">
      <c r="B136" s="442">
        <f>IF(AND(SUM(D136:D140)&gt;0,V136=$V$135),1,0)</f>
        <v>0</v>
      </c>
      <c r="C136" s="850">
        <v>1</v>
      </c>
      <c r="D136" s="858">
        <f>IF($C$135&gt;=C136,VLOOKUP(C136,$C$73:$J$111,3,FALSE),0)</f>
        <v>101</v>
      </c>
      <c r="E136" s="431">
        <f>IF(D136&gt;0,VLOOKUP(D136,$E$31:$AC$111,4,FALSE),0)</f>
        <v>800</v>
      </c>
      <c r="F136" s="435">
        <f>IF(D136&gt;0,VLOOKUP(D136,$E$31:$AC$111,3,FALSE),0)</f>
        <v>1200</v>
      </c>
      <c r="G136" s="431">
        <f>IF(D136&gt;0,$D$4)</f>
        <v>557</v>
      </c>
      <c r="H136" s="449">
        <f>IF(D136&gt;0,$D$3)</f>
        <v>361</v>
      </c>
      <c r="I136" s="431">
        <f>IF($D136&gt;0,VLOOKUP($D136,$E$31:$AC$111,20,FALSE),0)</f>
        <v>1</v>
      </c>
      <c r="J136" s="449">
        <f>IF($D136&gt;0,VLOOKUP($D136,$E$31:$AC$111,13,FALSE),0)</f>
        <v>3</v>
      </c>
      <c r="K136" s="442">
        <f>IF(AND(D136&gt;0,L136=$L$135),J136*I136,0)</f>
        <v>3</v>
      </c>
      <c r="L136" s="449">
        <f>IF($D136&gt;0,VLOOKUP($D136,$E$31:$AC$111,2,FALSE),0)</f>
        <v>1</v>
      </c>
      <c r="M136" s="442">
        <f t="shared" si="40"/>
        <v>0.96</v>
      </c>
      <c r="N136" s="442">
        <f>IF($D136&gt;0,VLOOKUP($D136,$E$31:$AC$111,23,FALSE),0)</f>
        <v>0.60323100000000007</v>
      </c>
      <c r="O136" s="877">
        <f>IF($D136&gt;0,VLOOKUP($D136,$E$31:$AC$111,25,FALSE),0)</f>
        <v>0.62836562500000015</v>
      </c>
      <c r="P136" s="431">
        <f>IF(AND(D136&gt;0,L136=$L$135),$P$127,0)</f>
        <v>50</v>
      </c>
      <c r="Q136" s="442">
        <f>IF(AND(D136&gt;0,K136=$K$135),$Q$127,0)</f>
        <v>0</v>
      </c>
      <c r="R136" s="431">
        <f t="shared" si="44"/>
        <v>20</v>
      </c>
      <c r="S136" s="442">
        <f>IF(D136&gt;0,SUM(P136:R136),0)</f>
        <v>70</v>
      </c>
      <c r="T136" s="340">
        <f>IF(AND(D136&gt;0,S136=$S$135),M136,9999)</f>
        <v>9999</v>
      </c>
      <c r="U136" s="431">
        <f>IF(AND(D136&gt;0,T136=$T$135),$U$127,0)</f>
        <v>0</v>
      </c>
      <c r="V136" s="442">
        <f>IF(D136&gt;0,S136+U136,0)</f>
        <v>70</v>
      </c>
    </row>
    <row r="137" spans="2:43" x14ac:dyDescent="0.25">
      <c r="B137" s="12">
        <f>IF(AND(SUM(D136:D140)&gt;0,V137=$V$135),1,0)</f>
        <v>1</v>
      </c>
      <c r="C137" s="850">
        <v>2</v>
      </c>
      <c r="D137" s="847">
        <f>IF($C$135&gt;=C137,VLOOKUP(C137,$C$73:$J$111,3,FALSE),0)</f>
        <v>102</v>
      </c>
      <c r="E137" s="26">
        <f>IF(D137&gt;0,VLOOKUP(D137,$E$31:$AC$111,4,FALSE),0)</f>
        <v>1000</v>
      </c>
      <c r="F137" s="25">
        <f>IF(D137&gt;0,VLOOKUP(D137,$E$31:$AC$111,3,FALSE),0)</f>
        <v>1200</v>
      </c>
      <c r="G137" s="26">
        <f t="shared" ref="G137:G140" si="50">IF(D137&gt;0,$D$4)</f>
        <v>557</v>
      </c>
      <c r="H137" s="2">
        <f t="shared" ref="H137:H140" si="51">IF(D137&gt;0,$D$3)</f>
        <v>361</v>
      </c>
      <c r="I137" s="26">
        <f t="shared" ref="I137:I140" si="52">IF($D137&gt;0,VLOOKUP($D137,$E$31:$AC$111,20,FALSE),0)</f>
        <v>2</v>
      </c>
      <c r="J137" s="2">
        <f t="shared" ref="J137:J140" si="53">IF($D137&gt;0,VLOOKUP($D137,$E$31:$AC$111,13,FALSE),0)</f>
        <v>3</v>
      </c>
      <c r="K137" s="12">
        <f t="shared" ref="K137:K140" si="54">IF(AND(D137&gt;0,L137=$L$135),J137*I137,0)</f>
        <v>6</v>
      </c>
      <c r="L137" s="2">
        <f t="shared" ref="L137:L140" si="55">IF($D137&gt;0,VLOOKUP($D137,$E$31:$AC$111,2,FALSE),0)</f>
        <v>1</v>
      </c>
      <c r="M137" s="12">
        <f t="shared" si="40"/>
        <v>1.2</v>
      </c>
      <c r="N137" s="12">
        <f t="shared" ref="N137:N140" si="56">IF($D137&gt;0,VLOOKUP($D137,$E$31:$AC$111,23,FALSE),0)</f>
        <v>1.2064620000000001</v>
      </c>
      <c r="O137" s="863">
        <f t="shared" ref="O137:O140" si="57">IF($D137&gt;0,VLOOKUP($D137,$E$31:$AC$111,25,FALSE),0)</f>
        <v>1.0053850000000002</v>
      </c>
      <c r="P137" s="26">
        <f t="shared" ref="P137:P140" si="58">IF(AND(D137&gt;0,L137=$L$135),$P$127,0)</f>
        <v>50</v>
      </c>
      <c r="Q137" s="12">
        <f t="shared" ref="Q137:Q140" si="59">IF(AND(D137&gt;0,K137=$K$135),$Q$127,0)</f>
        <v>50</v>
      </c>
      <c r="R137" s="26">
        <f t="shared" si="44"/>
        <v>50</v>
      </c>
      <c r="S137" s="12">
        <f t="shared" ref="S137:S140" si="60">IF(D137&gt;0,SUM(P137:R137),0)</f>
        <v>150</v>
      </c>
      <c r="T137" s="340">
        <f t="shared" ref="T137:T140" si="61">IF(AND(D137&gt;0,S137=$S$135),M137,9999)</f>
        <v>1.2</v>
      </c>
      <c r="U137" s="26">
        <f t="shared" ref="U137:U140" si="62">IF(AND(D137&gt;0,T137=$T$135),$U$127,0)</f>
        <v>25</v>
      </c>
      <c r="V137" s="12">
        <f t="shared" ref="V137:V140" si="63">IF(D137&gt;0,S137+U137,0)</f>
        <v>175</v>
      </c>
    </row>
    <row r="138" spans="2:43" x14ac:dyDescent="0.25">
      <c r="B138" s="12">
        <f>IF(AND(SUM(D136:D140)&gt;0,V138=$V$135),1,0)</f>
        <v>0</v>
      </c>
      <c r="C138" s="850">
        <v>3</v>
      </c>
      <c r="D138" s="847">
        <f>IF($C$135&gt;=C138,VLOOKUP(C138,$C$73:$J$111,3,FALSE),0)</f>
        <v>103</v>
      </c>
      <c r="E138" s="26">
        <f>IF(D138&gt;0,VLOOKUP(D138,$E$31:$AC$111,4,FALSE),0)</f>
        <v>1200</v>
      </c>
      <c r="F138" s="25">
        <f>IF(D138&gt;0,VLOOKUP(D138,$E$31:$AC$111,3,FALSE),0)</f>
        <v>1600</v>
      </c>
      <c r="G138" s="26">
        <f t="shared" si="50"/>
        <v>557</v>
      </c>
      <c r="H138" s="2">
        <f t="shared" si="51"/>
        <v>361</v>
      </c>
      <c r="I138" s="26">
        <f t="shared" si="52"/>
        <v>2</v>
      </c>
      <c r="J138" s="2">
        <f t="shared" si="53"/>
        <v>4</v>
      </c>
      <c r="K138" s="12">
        <f t="shared" si="54"/>
        <v>0</v>
      </c>
      <c r="L138" s="2">
        <f t="shared" si="55"/>
        <v>2</v>
      </c>
      <c r="M138" s="12">
        <f t="shared" si="40"/>
        <v>1.92</v>
      </c>
      <c r="N138" s="12">
        <f t="shared" si="56"/>
        <v>1.608616</v>
      </c>
      <c r="O138" s="863">
        <f t="shared" si="57"/>
        <v>0.83782083333333335</v>
      </c>
      <c r="P138" s="26">
        <f t="shared" si="58"/>
        <v>0</v>
      </c>
      <c r="Q138" s="12">
        <f t="shared" si="59"/>
        <v>0</v>
      </c>
      <c r="R138" s="26">
        <f t="shared" si="44"/>
        <v>25</v>
      </c>
      <c r="S138" s="12">
        <f t="shared" si="60"/>
        <v>25</v>
      </c>
      <c r="T138" s="340">
        <f t="shared" si="61"/>
        <v>9999</v>
      </c>
      <c r="U138" s="26">
        <f t="shared" si="62"/>
        <v>0</v>
      </c>
      <c r="V138" s="12">
        <f t="shared" si="63"/>
        <v>25</v>
      </c>
    </row>
    <row r="139" spans="2:43" x14ac:dyDescent="0.25">
      <c r="B139" s="12">
        <f>IF(AND(SUM(D136:D140)&gt;0,V139=$V$135),1,0)</f>
        <v>0</v>
      </c>
      <c r="C139" s="850">
        <v>4</v>
      </c>
      <c r="D139" s="847">
        <f>IF($C$135&gt;=C139,VLOOKUP(C139,$C$73:$J$111,3,FALSE),0)</f>
        <v>104</v>
      </c>
      <c r="E139" s="26">
        <f>IF(D139&gt;0,VLOOKUP(D139,$E$31:$AC$111,4,FALSE),0)</f>
        <v>800</v>
      </c>
      <c r="F139" s="25">
        <f>IF(D139&gt;0,VLOOKUP(D139,$E$31:$AC$111,3,FALSE),0)</f>
        <v>2400</v>
      </c>
      <c r="G139" s="26">
        <f t="shared" si="50"/>
        <v>557</v>
      </c>
      <c r="H139" s="2">
        <f t="shared" si="51"/>
        <v>361</v>
      </c>
      <c r="I139" s="26">
        <f t="shared" si="52"/>
        <v>1</v>
      </c>
      <c r="J139" s="2">
        <f t="shared" si="53"/>
        <v>6</v>
      </c>
      <c r="K139" s="12">
        <f t="shared" si="54"/>
        <v>0</v>
      </c>
      <c r="L139" s="2">
        <f t="shared" si="55"/>
        <v>2</v>
      </c>
      <c r="M139" s="12">
        <f t="shared" si="40"/>
        <v>1.92</v>
      </c>
      <c r="N139" s="12">
        <f t="shared" si="56"/>
        <v>1.2064620000000001</v>
      </c>
      <c r="O139" s="863">
        <f t="shared" si="57"/>
        <v>0.62836562500000015</v>
      </c>
      <c r="P139" s="26">
        <f t="shared" si="58"/>
        <v>0</v>
      </c>
      <c r="Q139" s="12">
        <f t="shared" si="59"/>
        <v>0</v>
      </c>
      <c r="R139" s="26">
        <f t="shared" si="44"/>
        <v>20</v>
      </c>
      <c r="S139" s="12">
        <f t="shared" si="60"/>
        <v>20</v>
      </c>
      <c r="T139" s="340">
        <f t="shared" si="61"/>
        <v>9999</v>
      </c>
      <c r="U139" s="26">
        <f t="shared" si="62"/>
        <v>0</v>
      </c>
      <c r="V139" s="12">
        <f t="shared" si="63"/>
        <v>20</v>
      </c>
    </row>
    <row r="140" spans="2:43" x14ac:dyDescent="0.25">
      <c r="B140" s="13">
        <f>IF(AND(SUM(D136:D140)&gt;0,V140=$V$135),1,0)</f>
        <v>0</v>
      </c>
      <c r="C140" s="848">
        <v>5</v>
      </c>
      <c r="D140" s="872">
        <f>IF($C$135&gt;=C140,VLOOKUP(C140,$C$73:$J$111,3,FALSE),0)</f>
        <v>105</v>
      </c>
      <c r="E140" s="432">
        <f>IF(D140&gt;0,VLOOKUP(D140,$E$31:$AC$111,4,FALSE),0)</f>
        <v>1200</v>
      </c>
      <c r="F140" s="436">
        <f>IF(D140&gt;0,VLOOKUP(D140,$E$31:$AC$111,3,FALSE),0)</f>
        <v>2000</v>
      </c>
      <c r="G140" s="432">
        <f t="shared" si="50"/>
        <v>557</v>
      </c>
      <c r="H140" s="343">
        <f t="shared" si="51"/>
        <v>361</v>
      </c>
      <c r="I140" s="432">
        <f t="shared" si="52"/>
        <v>2</v>
      </c>
      <c r="J140" s="343">
        <f t="shared" si="53"/>
        <v>5</v>
      </c>
      <c r="K140" s="13">
        <f t="shared" si="54"/>
        <v>0</v>
      </c>
      <c r="L140" s="343">
        <f t="shared" si="55"/>
        <v>2</v>
      </c>
      <c r="M140" s="13">
        <f t="shared" si="40"/>
        <v>2.4</v>
      </c>
      <c r="N140" s="13">
        <f t="shared" si="56"/>
        <v>2.0107699999999999</v>
      </c>
      <c r="O140" s="878">
        <f t="shared" si="57"/>
        <v>0.83782083333333335</v>
      </c>
      <c r="P140" s="432">
        <f t="shared" si="58"/>
        <v>0</v>
      </c>
      <c r="Q140" s="13">
        <f t="shared" si="59"/>
        <v>0</v>
      </c>
      <c r="R140" s="432">
        <f t="shared" si="44"/>
        <v>25</v>
      </c>
      <c r="S140" s="13">
        <f t="shared" si="60"/>
        <v>25</v>
      </c>
      <c r="T140" s="342">
        <f t="shared" si="61"/>
        <v>9999</v>
      </c>
      <c r="U140" s="432">
        <f t="shared" si="62"/>
        <v>0</v>
      </c>
      <c r="V140" s="13">
        <f t="shared" si="63"/>
        <v>25</v>
      </c>
    </row>
    <row r="141" spans="2:43" x14ac:dyDescent="0.25">
      <c r="S141" s="2"/>
    </row>
    <row r="145" spans="3:6" x14ac:dyDescent="0.25">
      <c r="C145" t="s">
        <v>801</v>
      </c>
      <c r="D145" s="442">
        <f>'Rekenblad (2)'!E108</f>
        <v>2</v>
      </c>
      <c r="E145" t="s">
        <v>25</v>
      </c>
    </row>
    <row r="146" spans="3:6" x14ac:dyDescent="0.25">
      <c r="C146" t="s">
        <v>895</v>
      </c>
      <c r="D146" s="473">
        <f>'Rekenblad (2)'!C13</f>
        <v>3</v>
      </c>
      <c r="E146" t="s">
        <v>25</v>
      </c>
    </row>
    <row r="147" spans="3:6" x14ac:dyDescent="0.25">
      <c r="C147" t="s">
        <v>896</v>
      </c>
      <c r="D147" s="13">
        <f>D146*D145</f>
        <v>6</v>
      </c>
      <c r="E147" t="s">
        <v>25</v>
      </c>
    </row>
    <row r="149" spans="3:6" x14ac:dyDescent="0.25">
      <c r="C149" t="s">
        <v>929</v>
      </c>
      <c r="D149" s="431">
        <f>VLOOKUP($Z$133,$D$130:$V$140,2,FALSE)</f>
        <v>1000</v>
      </c>
      <c r="E149" s="442">
        <f>VLOOKUP($Z$133,$D$130:$V$140,3,FALSE)</f>
        <v>1200</v>
      </c>
      <c r="F149" t="s">
        <v>25</v>
      </c>
    </row>
    <row r="150" spans="3:6" x14ac:dyDescent="0.25">
      <c r="C150" t="s">
        <v>930</v>
      </c>
      <c r="D150" s="208">
        <f>VLOOKUP($Z$133,$D$130:$V$140,4,FALSE)*VLOOKUP($Z$133,$D$130:$V$140,6,FALSE)</f>
        <v>1083</v>
      </c>
      <c r="E150" s="473">
        <f>VLOOKUP($Z$133,$D$130:$V$140,5,FALSE)*VLOOKUP($Z$133,$D$130:$V$140,7,FALSE)</f>
        <v>1114</v>
      </c>
      <c r="F150" t="s">
        <v>25</v>
      </c>
    </row>
    <row r="151" spans="3:6" x14ac:dyDescent="0.25">
      <c r="C151" t="s">
        <v>931</v>
      </c>
      <c r="D151" s="432">
        <f>MAX(D149:D150)</f>
        <v>1083</v>
      </c>
      <c r="E151" s="13">
        <f>MAX(E149:E150)</f>
        <v>1200</v>
      </c>
      <c r="F151" t="s">
        <v>25</v>
      </c>
    </row>
    <row r="152" spans="3:6" x14ac:dyDescent="0.25">
      <c r="D152" s="2"/>
      <c r="E152" s="2"/>
    </row>
    <row r="153" spans="3:6" x14ac:dyDescent="0.25">
      <c r="C153" t="s">
        <v>959</v>
      </c>
      <c r="D153" s="473">
        <f>IF(D160&gt;0,VLOOKUP($Z$133,$D$130:$V$140,9,FALSE),0)</f>
        <v>1</v>
      </c>
      <c r="E153" s="2"/>
    </row>
    <row r="154" spans="3:6" x14ac:dyDescent="0.25">
      <c r="C154" t="s">
        <v>960</v>
      </c>
      <c r="D154" s="473">
        <f>D153*D174</f>
        <v>1</v>
      </c>
      <c r="E154" s="2"/>
    </row>
    <row r="155" spans="3:6" x14ac:dyDescent="0.25">
      <c r="C155" t="s">
        <v>962</v>
      </c>
      <c r="D155" s="796">
        <f>D154*'Tarieven (2)'!C14</f>
        <v>4</v>
      </c>
      <c r="E155" s="2"/>
    </row>
    <row r="156" spans="3:6" x14ac:dyDescent="0.25">
      <c r="D156" s="2"/>
      <c r="E156" s="2"/>
    </row>
    <row r="158" spans="3:6" x14ac:dyDescent="0.25">
      <c r="C158" t="s">
        <v>933</v>
      </c>
      <c r="D158" s="473">
        <f>'Rekenblad (2)'!K362</f>
        <v>1950</v>
      </c>
      <c r="E158" t="s">
        <v>25</v>
      </c>
    </row>
    <row r="159" spans="3:6" x14ac:dyDescent="0.25">
      <c r="C159" t="s">
        <v>934</v>
      </c>
      <c r="D159" s="473">
        <f>'Rekenblad (2)'!C17</f>
        <v>2100</v>
      </c>
      <c r="E159" t="s">
        <v>25</v>
      </c>
    </row>
    <row r="160" spans="3:6" x14ac:dyDescent="0.25">
      <c r="C160" t="s">
        <v>935</v>
      </c>
      <c r="D160" s="473">
        <f>MIN(D158:D159)</f>
        <v>1950</v>
      </c>
      <c r="E160" t="s">
        <v>25</v>
      </c>
    </row>
    <row r="161" spans="3:5" x14ac:dyDescent="0.25">
      <c r="C161" t="s">
        <v>932</v>
      </c>
      <c r="D161" s="484">
        <v>150</v>
      </c>
      <c r="E161" t="s">
        <v>25</v>
      </c>
    </row>
    <row r="162" spans="3:5" x14ac:dyDescent="0.25">
      <c r="C162" t="s">
        <v>936</v>
      </c>
      <c r="D162" s="473">
        <f>IF(D160&gt;0,D160-D161,0)</f>
        <v>1800</v>
      </c>
      <c r="E162" t="s">
        <v>25</v>
      </c>
    </row>
    <row r="164" spans="3:5" x14ac:dyDescent="0.25">
      <c r="C164" t="s">
        <v>937</v>
      </c>
      <c r="D164" s="473">
        <f>CEILING(D162/D147,5)</f>
        <v>300</v>
      </c>
      <c r="E164" s="59" t="s">
        <v>754</v>
      </c>
    </row>
    <row r="165" spans="3:5" x14ac:dyDescent="0.25">
      <c r="C165" t="s">
        <v>942</v>
      </c>
      <c r="D165" s="473">
        <f>IF(OR('Rekenblad (2)'!C988=1,'Rekenblad (2)'!E362=1,'Rekenblad (2)'!F362=1),1,0)</f>
        <v>1</v>
      </c>
      <c r="E165" s="59"/>
    </row>
    <row r="166" spans="3:5" x14ac:dyDescent="0.25">
      <c r="C166" t="s">
        <v>939</v>
      </c>
      <c r="D166" s="473">
        <f>'Rekenblad (2)'!K145</f>
        <v>25</v>
      </c>
      <c r="E166" t="s">
        <v>754</v>
      </c>
    </row>
    <row r="167" spans="3:5" x14ac:dyDescent="0.25">
      <c r="C167" t="s">
        <v>940</v>
      </c>
      <c r="D167" s="473">
        <f>FLOOR(D164/D166,1)*D166</f>
        <v>300</v>
      </c>
      <c r="E167" t="s">
        <v>754</v>
      </c>
    </row>
    <row r="168" spans="3:5" x14ac:dyDescent="0.25">
      <c r="C168" t="s">
        <v>941</v>
      </c>
      <c r="D168" s="473">
        <f>IF(D165=0,D164,D167)</f>
        <v>300</v>
      </c>
      <c r="E168" t="s">
        <v>754</v>
      </c>
    </row>
    <row r="169" spans="3:5" x14ac:dyDescent="0.25">
      <c r="D169" s="2"/>
    </row>
    <row r="170" spans="3:5" x14ac:dyDescent="0.25">
      <c r="C170" t="s">
        <v>943</v>
      </c>
      <c r="D170" s="473">
        <f>IF(D160&gt;0,VLOOKUP($Z$133,$D$130:$V$140,8,FALSE),0)</f>
        <v>6</v>
      </c>
      <c r="E170" t="s">
        <v>754</v>
      </c>
    </row>
    <row r="171" spans="3:5" x14ac:dyDescent="0.25">
      <c r="C171" t="s">
        <v>944</v>
      </c>
      <c r="D171" s="473">
        <f>D170*D168</f>
        <v>1800</v>
      </c>
      <c r="E171" t="s">
        <v>754</v>
      </c>
    </row>
    <row r="173" spans="3:5" x14ac:dyDescent="0.25">
      <c r="C173" t="s">
        <v>945</v>
      </c>
      <c r="D173" s="473">
        <f>'Rekenblad (2)'!C3</f>
        <v>1800</v>
      </c>
      <c r="E173" t="s">
        <v>754</v>
      </c>
    </row>
    <row r="174" spans="3:5" x14ac:dyDescent="0.25">
      <c r="C174" t="s">
        <v>946</v>
      </c>
      <c r="D174" s="473">
        <f>IF(D160&gt;0,CEILING(D173/D171,1),0)</f>
        <v>1</v>
      </c>
      <c r="E174" t="s">
        <v>754</v>
      </c>
    </row>
    <row r="175" spans="3:5" x14ac:dyDescent="0.25">
      <c r="D175" s="2"/>
    </row>
    <row r="176" spans="3:5" x14ac:dyDescent="0.25">
      <c r="D176" s="2"/>
    </row>
    <row r="177" spans="3:5" x14ac:dyDescent="0.25">
      <c r="C177" s="888" t="s">
        <v>949</v>
      </c>
      <c r="D177" s="2"/>
    </row>
    <row r="179" spans="3:5" x14ac:dyDescent="0.25">
      <c r="C179" t="s">
        <v>947</v>
      </c>
      <c r="D179" s="484">
        <v>1150</v>
      </c>
    </row>
    <row r="180" spans="3:5" x14ac:dyDescent="0.25">
      <c r="C180" t="s">
        <v>948</v>
      </c>
      <c r="D180" s="2">
        <f>IF(D162&gt;=D179,1,2)</f>
        <v>1</v>
      </c>
    </row>
    <row r="181" spans="3:5" x14ac:dyDescent="0.25">
      <c r="C181" t="s">
        <v>9</v>
      </c>
      <c r="D181" s="2">
        <f>E151</f>
        <v>1200</v>
      </c>
      <c r="E181" t="s">
        <v>25</v>
      </c>
    </row>
    <row r="182" spans="3:5" x14ac:dyDescent="0.25">
      <c r="C182" t="s">
        <v>903</v>
      </c>
      <c r="D182" s="2">
        <f>D151</f>
        <v>1083</v>
      </c>
      <c r="E182" t="s">
        <v>25</v>
      </c>
    </row>
    <row r="183" spans="3:5" x14ac:dyDescent="0.25">
      <c r="C183" t="s">
        <v>963</v>
      </c>
      <c r="D183" s="2">
        <f>D174/D180</f>
        <v>1</v>
      </c>
    </row>
    <row r="184" spans="3:5" x14ac:dyDescent="0.25">
      <c r="D184" s="2"/>
    </row>
    <row r="185" spans="3:5" x14ac:dyDescent="0.25">
      <c r="C185" t="s">
        <v>951</v>
      </c>
      <c r="D185" s="909">
        <f>(((D181/1000)*(D182/1000))/2.4)*D183</f>
        <v>0.54149999999999998</v>
      </c>
      <c r="E185" t="s">
        <v>950</v>
      </c>
    </row>
    <row r="187" spans="3:5" x14ac:dyDescent="0.25">
      <c r="C187" t="s">
        <v>952</v>
      </c>
      <c r="D187" s="22">
        <v>13.2</v>
      </c>
      <c r="E187" t="s">
        <v>950</v>
      </c>
    </row>
    <row r="190" spans="3:5" x14ac:dyDescent="0.25">
      <c r="C190" s="899" t="s">
        <v>953</v>
      </c>
      <c r="D190" s="900">
        <f>FLOOR(D185/D187,1)</f>
        <v>0</v>
      </c>
      <c r="E190" s="903">
        <f>IF(D190&gt;0,'Transport tarieven (2)'!C81*D190,0)</f>
        <v>0</v>
      </c>
    </row>
    <row r="191" spans="3:5" x14ac:dyDescent="0.25">
      <c r="C191" s="899" t="s">
        <v>954</v>
      </c>
      <c r="D191" s="901">
        <f>D185-(D190*D187)</f>
        <v>0.54149999999999998</v>
      </c>
      <c r="E191" s="904">
        <f>'Transport tarieven (2)'!C82</f>
        <v>63.03</v>
      </c>
    </row>
    <row r="192" spans="3:5" x14ac:dyDescent="0.25">
      <c r="C192" s="899" t="s">
        <v>955</v>
      </c>
      <c r="D192" s="901"/>
      <c r="E192" s="904">
        <f>SUM(E190:E191)</f>
        <v>63.03</v>
      </c>
    </row>
    <row r="193" spans="3:6" x14ac:dyDescent="0.25">
      <c r="C193" s="899" t="s">
        <v>956</v>
      </c>
      <c r="D193" s="901"/>
      <c r="E193" s="904">
        <f>E192*'Tarieven (2)'!C15</f>
        <v>12.290850000000001</v>
      </c>
    </row>
    <row r="194" spans="3:6" x14ac:dyDescent="0.25">
      <c r="C194" s="899" t="s">
        <v>957</v>
      </c>
      <c r="D194" s="901"/>
      <c r="E194" s="904">
        <f>SUM(E192:E193)</f>
        <v>75.320850000000007</v>
      </c>
      <c r="F194" s="1171" t="s">
        <v>986</v>
      </c>
    </row>
    <row r="195" spans="3:6" x14ac:dyDescent="0.25">
      <c r="C195" s="899"/>
      <c r="D195" s="901"/>
      <c r="E195" s="904"/>
    </row>
    <row r="196" spans="3:6" x14ac:dyDescent="0.25">
      <c r="C196" s="899" t="s">
        <v>958</v>
      </c>
      <c r="D196" s="902"/>
      <c r="E196" s="905">
        <f>E194/D173</f>
        <v>4.1844916666666669E-2</v>
      </c>
    </row>
  </sheetData>
  <mergeCells count="4">
    <mergeCell ref="Q113:R113"/>
    <mergeCell ref="E127:F127"/>
    <mergeCell ref="G127:H127"/>
    <mergeCell ref="I127:J12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242E-2D45-4AED-BAC1-0121CA2725CA}">
  <dimension ref="A4:AF83"/>
  <sheetViews>
    <sheetView workbookViewId="0"/>
  </sheetViews>
  <sheetFormatPr defaultRowHeight="15" x14ac:dyDescent="0.25"/>
  <cols>
    <col min="1" max="1" customWidth="true" width="25.140625"/>
    <col min="2" max="3" customWidth="true" width="13.42578125"/>
    <col min="4" max="4" customWidth="true" width="16.7109375"/>
    <col min="9" max="9" customWidth="true" width="13.28515625"/>
    <col min="10" max="10" customWidth="true" width="13.140625"/>
    <col min="11" max="11" customWidth="true" width="14.42578125"/>
    <col min="13" max="13" customWidth="true" width="15.85546875"/>
  </cols>
  <sheetData>
    <row r="4" spans="1:32" s="71" customFormat="1" ht="12.75" x14ac:dyDescent="0.2">
      <c r="A4" s="71" t="s">
        <v>118</v>
      </c>
      <c r="B4" s="72"/>
      <c r="C4" s="72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32" s="71" customFormat="1" ht="12.75" x14ac:dyDescent="0.2">
      <c r="B5" s="893"/>
      <c r="C5" s="72"/>
      <c r="E5" s="74"/>
      <c r="F5" s="74"/>
      <c r="G5" s="75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</row>
    <row r="6" spans="1:32" s="71" customFormat="1" x14ac:dyDescent="0.25">
      <c r="A6" s="891" t="s">
        <v>119</v>
      </c>
      <c r="B6" s="2">
        <f>'Pallet en transport (2)'!D191</f>
        <v>0.54149999999999998</v>
      </c>
      <c r="C6" s="892" t="s">
        <v>120</v>
      </c>
      <c r="D6" s="76"/>
      <c r="E6" s="77"/>
      <c r="F6" s="77"/>
      <c r="G6" s="78"/>
      <c r="H6" s="79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</row>
    <row r="7" spans="1:32" s="71" customFormat="1" ht="12.75" x14ac:dyDescent="0.2">
      <c r="B7" s="894"/>
      <c r="C7" s="72"/>
      <c r="E7" s="80"/>
      <c r="F7" s="80"/>
      <c r="G7" s="81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</row>
    <row r="8" spans="1:32" s="71" customFormat="1" ht="12.75" x14ac:dyDescent="0.2">
      <c r="B8" s="73"/>
      <c r="C8" s="72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82"/>
      <c r="W8" s="82"/>
    </row>
    <row r="9" spans="1:32" s="71" customFormat="1" ht="12.75" x14ac:dyDescent="0.2">
      <c r="A9" s="74"/>
      <c r="B9" s="75"/>
      <c r="C9" s="8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82"/>
      <c r="W9" s="82"/>
    </row>
    <row r="10" spans="1:32" s="71" customFormat="1" x14ac:dyDescent="0.25">
      <c r="A10" s="84"/>
      <c r="B10" s="484">
        <v>1</v>
      </c>
      <c r="C10" s="484">
        <v>0</v>
      </c>
      <c r="D10" s="86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87"/>
      <c r="W10" s="82"/>
    </row>
    <row r="11" spans="1:32" s="71" customFormat="1" ht="12.75" x14ac:dyDescent="0.2">
      <c r="A11" s="88" t="s">
        <v>121</v>
      </c>
      <c r="B11" s="889" t="s">
        <v>122</v>
      </c>
      <c r="C11" s="889" t="s">
        <v>35</v>
      </c>
      <c r="D11" s="86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90"/>
      <c r="V11" s="91"/>
      <c r="W11" s="92"/>
    </row>
    <row r="12" spans="1:32" s="71" customFormat="1" x14ac:dyDescent="0.25">
      <c r="A12" s="93" t="s">
        <v>123</v>
      </c>
      <c r="B12" s="34">
        <v>3030</v>
      </c>
      <c r="C12" s="34">
        <v>8080</v>
      </c>
      <c r="D12" s="86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94"/>
      <c r="W12" s="82"/>
    </row>
    <row r="13" spans="1:32" s="71" customFormat="1" ht="12.75" x14ac:dyDescent="0.2">
      <c r="A13" s="80"/>
      <c r="B13" s="95"/>
      <c r="C13" s="95"/>
      <c r="E13" s="74"/>
      <c r="F13" s="74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82"/>
      <c r="W13" s="82"/>
      <c r="X13" s="74"/>
      <c r="AA13" s="82"/>
      <c r="AB13" s="82"/>
      <c r="AC13" s="96"/>
      <c r="AD13" s="97"/>
      <c r="AE13" s="97"/>
      <c r="AF13" s="98"/>
    </row>
    <row r="14" spans="1:32" s="71" customFormat="1" ht="12.75" x14ac:dyDescent="0.2">
      <c r="B14" s="83"/>
      <c r="C14" s="83"/>
      <c r="D14" s="99"/>
      <c r="E14" s="100">
        <v>4</v>
      </c>
      <c r="F14" s="101">
        <v>5</v>
      </c>
      <c r="G14" s="101">
        <v>6</v>
      </c>
      <c r="H14" s="102">
        <v>7</v>
      </c>
      <c r="I14" s="103">
        <v>8</v>
      </c>
      <c r="J14" s="104">
        <v>9</v>
      </c>
      <c r="K14" s="105">
        <v>10</v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86"/>
      <c r="AA14" s="82"/>
      <c r="AB14" s="82"/>
      <c r="AC14" s="96"/>
      <c r="AD14" s="97"/>
      <c r="AE14" s="97"/>
      <c r="AF14" s="98"/>
    </row>
    <row r="15" spans="1:32" s="71" customFormat="1" ht="12.75" x14ac:dyDescent="0.2">
      <c r="A15" s="76"/>
      <c r="B15" s="106"/>
      <c r="C15" s="107"/>
      <c r="D15" s="108"/>
      <c r="E15" s="105" t="str">
        <f><![CDATA[IF(AND($B$10=1,$B$12>=E17,$B$12<=E18),1,IF(AND($B$10=1,$B$12>=E19,$B$12<=E20),1,IF(AND($B$10=1,$B$12>=E21,$B$12<=E22),1,IF(AND($B$10=1,$B$12>=E23,$B$12<=E24),1,IF(AND($B$10=1,$B$12>=E25,$B$12<=E26),1,IF(AND($B$10=1,$B$12>=E27,$B$12<=E28),1,IF(AND($B$10=1,$B$12>=E29,$B$12<=E30),1,IF(AND($B$10=1,$B$12>=E31,$B$12<=E32),1,IF(AND($B$10=1,$B$12>=E33,$B$12<=E34),1," ")))))))))]]></f>
        <v xml:space="preserve"> </v>
      </c>
      <c r="F15" s="105" t="str">
        <f><![CDATA[IF(AND($B$10=1,$B$12>=F17,$B$12<=F18),1,IF(AND($B$10=1,$B$12>=F19,$B$12<=F20),1,IF(AND($B$10=1,$B$12>=F21,$B$12<=F22),1,IF(AND($B$10=1,$B$12>=F23,$B$12<=F24),1,IF(AND($B$10=1,$B$12>=F25,$B$12<=F26),1,IF(AND($B$10=1,$B$12>=F27,$B$12<=F28),1,IF(AND($B$10=1,$B$12>=F29,$B$12<=F30),1,IF(AND($B$10=1,$B$12>=F31,$B$12<=F32),1,IF(AND($B$10=1,$B$12>=F33,$B$12<=F34),1," ")))))))))]]></f>
        <v xml:space="preserve"> </v>
      </c>
      <c r="G15" s="105">
        <f><![CDATA[IF(AND($B$10=1,$B$12>=G17,$B$12<=G18),1,IF(AND($B$10=1,$B$12>=G19,$B$12<=G20),1,IF(AND($B$10=1,$B$12>=G21,$B$12<=G22),1,IF(AND($B$10=1,$B$12>=G23,$B$12<=G24),1,IF(AND($B$10=1,$B$12>=G25,$B$12<=G26),1,IF(AND($B$10=1,$B$12>=G27,$B$12<=G28),1,IF(AND($B$10=1,$B$12>=G29,$B$12<=G30),1,IF(AND($B$10=1,$B$12>=G31,$B$12<=G32),1,IF(AND($B$10=1,$B$12>=G33,$B$12<=G34),1," ")))))))))]]></f>
        <v>1</v>
      </c>
      <c r="H15" s="109" t="str">
        <f><![CDATA[IF(AND($B$10=1,$B$12>=H17,$B$12<=H18),1,IF(AND($B$10=1,$B$12>=H19,$B$12<=H20),1,IF(AND($B$10=1,$B$12>=H21,$B$12<=H22),1,IF(AND($B$10=1,$B$12>=H23,$B$12<=H24),1,IF(AND($B$10=1,$B$12>=H25,$B$12<=H26),1,IF(AND($B$10=1,$B$12>=H27,$B$12<=H28),1,IF(AND($B$10=1,$B$12>=H29,$B$12<=H30),1,IF(AND($B$10=1,$B$12>=H31,$B$12<=H32),1,IF(AND($B$10=1,$B$12>=H33,$B$12<=H34),1," ")))))))))]]></f>
        <v xml:space="preserve"> </v>
      </c>
      <c r="I15" s="110" t="str">
        <f><![CDATA[IF(AND($C$10=1,$C$12>=I17,$C$12<=I18),1,IF(AND($C$10=1,$C$12>=I19,$C$12<=I20),1,IF(AND($C$10=1,$C$12>=I21,$C$12<=I22),1,IF(AND($C$10=1,$C$12>=I23,$C$12<=I24),1,IF(AND($C$10=1,$C$12>=I25,$C$12<=I26),1,IF(AND($C$10=1,$C$12>=I27,$C$12<=I28),1,IF(AND($C$10=1,$C$12>=I29,$C$12<=I30),1,IF(AND($C$10=1,$C$12>=I31,$C$12<=I32),1,IF(AND($C$10=1,$C$12>=I33,$C$12<=I34),1," ")))))))))]]></f>
        <v xml:space="preserve"> </v>
      </c>
      <c r="J15" s="110" t="str">
        <f><![CDATA[IF(AND($C$10=1,$C$12>=J17,$C$12<=J18),1,IF(AND($C$10=1,$C$12>=J19,$C$12<=J20),1,IF(AND($C$10=1,$C$12>=J21,$C$12<=J22),1,IF(AND($C$10=1,$C$12>=J23,$C$12<=J24),1,IF(AND($C$10=1,$C$12>=J25,$C$12<=J26),1,IF(AND($C$10=1,$C$12>=J27,$C$12<=J28),1,IF(AND($C$10=1,$C$12>=J29,$C$12<=J30),1,IF(AND($C$10=1,$C$12>=J31,$C$12<=J32),1,IF(AND($C$10=1,$C$12>=J33,$C$12<=J34),1," ")))))))))]]></f>
        <v xml:space="preserve"> </v>
      </c>
      <c r="K15" s="85" t="str">
        <f><![CDATA[IF(AND($C$10=1,$C$12>=K17,$C$12<=K18),1,IF(AND($C$10=1,$C$12>=K19,$C$12<=K20),1,IF(AND($C$10=1,$C$12>=K21,$C$12<=K22),1,IF(AND($C$10=1,$C$12>=K23,$C$12<=K24),1,IF(AND($C$10=1,$C$12>=K25,$C$12<=K26),1,IF(AND($C$10=1,$C$12>=K27,$C$12<=K28),1,IF(AND($C$10=1,$C$12>=K29,$C$12<=K30),1,IF(AND($C$10=1,$C$12>=K31,$C$12<=K32),1,IF(AND($C$10=1,$C$12>=K33,$C$12<=K34),1," ")))))))))]]></f>
        <v xml:space="preserve"> </v>
      </c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86"/>
      <c r="AA15" s="82"/>
      <c r="AB15" s="82"/>
      <c r="AC15" s="96"/>
      <c r="AD15" s="97"/>
      <c r="AE15" s="97"/>
      <c r="AF15" s="98"/>
    </row>
    <row r="16" spans="1:32" s="71" customFormat="1" ht="12.75" x14ac:dyDescent="0.2">
      <c r="A16" s="76"/>
      <c r="B16" s="112" t="s">
        <v>124</v>
      </c>
      <c r="C16" s="113" t="s">
        <v>125</v>
      </c>
      <c r="D16" s="114" t="s">
        <v>126</v>
      </c>
      <c r="E16" s="115" t="s">
        <v>127</v>
      </c>
      <c r="F16" s="105" t="s">
        <v>128</v>
      </c>
      <c r="G16" s="105" t="s">
        <v>129</v>
      </c>
      <c r="H16" s="116" t="s">
        <v>130</v>
      </c>
      <c r="I16" s="103" t="s">
        <v>131</v>
      </c>
      <c r="J16" s="103" t="s">
        <v>132</v>
      </c>
      <c r="K16" s="117" t="s">
        <v>133</v>
      </c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86"/>
      <c r="AA16" s="82"/>
      <c r="AB16" s="82"/>
      <c r="AC16" s="96"/>
      <c r="AD16" s="97"/>
      <c r="AE16" s="97"/>
      <c r="AF16" s="98"/>
    </row>
    <row r="17" spans="1:32" s="71" customFormat="1" ht="12.75" x14ac:dyDescent="0.2">
      <c r="A17" s="76"/>
      <c r="B17" s="118"/>
      <c r="C17" s="119"/>
      <c r="D17" s="120" t="s">
        <v>134</v>
      </c>
      <c r="E17" s="121">
        <v>5000</v>
      </c>
      <c r="F17" s="122">
        <v>5100</v>
      </c>
      <c r="G17" s="122">
        <v>1000</v>
      </c>
      <c r="H17" s="123">
        <v>1500</v>
      </c>
      <c r="I17" s="124">
        <v>2300</v>
      </c>
      <c r="J17" s="125">
        <v>1000</v>
      </c>
      <c r="K17" s="125">
        <v>4700</v>
      </c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86"/>
      <c r="AA17" s="82"/>
      <c r="AB17" s="82"/>
      <c r="AC17" s="96"/>
      <c r="AD17" s="97"/>
      <c r="AE17" s="97"/>
      <c r="AF17" s="98"/>
    </row>
    <row r="18" spans="1:32" s="71" customFormat="1" ht="12.75" x14ac:dyDescent="0.2">
      <c r="A18" s="76"/>
      <c r="B18" s="126"/>
      <c r="C18" s="127"/>
      <c r="D18" s="128"/>
      <c r="E18" s="129">
        <v>5099</v>
      </c>
      <c r="F18" s="130">
        <v>5499</v>
      </c>
      <c r="G18" s="130">
        <v>1499</v>
      </c>
      <c r="H18" s="131">
        <v>1999</v>
      </c>
      <c r="I18" s="132">
        <v>2399</v>
      </c>
      <c r="J18" s="132">
        <v>2299</v>
      </c>
      <c r="K18" s="133">
        <v>4999</v>
      </c>
      <c r="L18" s="134"/>
      <c r="M18" s="111"/>
      <c r="N18" s="111"/>
      <c r="O18" s="111"/>
      <c r="P18" s="111"/>
      <c r="Q18" s="111"/>
      <c r="R18" s="111"/>
      <c r="S18" s="111"/>
      <c r="T18" s="111"/>
      <c r="U18" s="111"/>
      <c r="V18" s="86"/>
      <c r="AA18" s="82"/>
      <c r="AB18" s="82"/>
      <c r="AC18" s="96"/>
      <c r="AD18" s="97"/>
      <c r="AE18" s="97"/>
      <c r="AF18" s="98"/>
    </row>
    <row r="19" spans="1:32" s="71" customFormat="1" ht="12.75" x14ac:dyDescent="0.2">
      <c r="A19" s="76"/>
      <c r="B19" s="135"/>
      <c r="C19" s="136"/>
      <c r="D19" s="137" t="s">
        <v>135</v>
      </c>
      <c r="E19" s="138">
        <v>5500</v>
      </c>
      <c r="F19" s="139">
        <v>5700</v>
      </c>
      <c r="G19" s="139">
        <v>2000</v>
      </c>
      <c r="H19" s="140">
        <v>4500</v>
      </c>
      <c r="I19" s="141">
        <v>2400</v>
      </c>
      <c r="J19" s="141">
        <v>2500</v>
      </c>
      <c r="K19" s="125">
        <v>5500</v>
      </c>
      <c r="L19" s="134"/>
      <c r="M19" s="111"/>
      <c r="N19" s="111"/>
      <c r="O19" s="111"/>
      <c r="P19" s="111"/>
      <c r="Q19" s="111"/>
      <c r="R19" s="111"/>
      <c r="S19" s="111"/>
      <c r="T19" s="111"/>
      <c r="U19" s="111"/>
      <c r="V19" s="86"/>
      <c r="AA19" s="82"/>
      <c r="AB19" s="82"/>
      <c r="AC19" s="96"/>
      <c r="AD19" s="97"/>
      <c r="AE19" s="97"/>
      <c r="AF19" s="98"/>
    </row>
    <row r="20" spans="1:32" s="71" customFormat="1" ht="12.75" x14ac:dyDescent="0.2">
      <c r="A20" s="76"/>
      <c r="B20" s="142"/>
      <c r="C20" s="143"/>
      <c r="D20" s="128"/>
      <c r="E20" s="144">
        <v>5599</v>
      </c>
      <c r="F20" s="130">
        <v>6099</v>
      </c>
      <c r="G20" s="130">
        <v>4499</v>
      </c>
      <c r="H20" s="131">
        <v>4599</v>
      </c>
      <c r="I20" s="132">
        <v>2499</v>
      </c>
      <c r="J20" s="132">
        <v>2899</v>
      </c>
      <c r="K20" s="133">
        <v>5999</v>
      </c>
      <c r="L20" s="134"/>
      <c r="M20" s="111"/>
      <c r="N20" s="111"/>
      <c r="O20" s="111"/>
      <c r="P20" s="111"/>
      <c r="Q20" s="111"/>
      <c r="R20" s="111"/>
      <c r="S20" s="111"/>
      <c r="T20" s="111"/>
      <c r="U20" s="111"/>
      <c r="V20" s="86"/>
      <c r="AA20" s="82"/>
      <c r="AB20" s="82"/>
      <c r="AC20" s="96"/>
      <c r="AD20" s="97"/>
      <c r="AE20" s="97"/>
      <c r="AF20" s="98"/>
    </row>
    <row r="21" spans="1:32" s="71" customFormat="1" ht="12.75" x14ac:dyDescent="0.2">
      <c r="A21" s="76"/>
      <c r="B21" s="142"/>
      <c r="C21" s="143"/>
      <c r="D21" s="137" t="s">
        <v>136</v>
      </c>
      <c r="E21" s="138">
        <v>5600</v>
      </c>
      <c r="F21" s="139"/>
      <c r="G21" s="139">
        <v>4600</v>
      </c>
      <c r="H21" s="140">
        <v>7000</v>
      </c>
      <c r="I21" s="141">
        <v>2900</v>
      </c>
      <c r="J21" s="141">
        <v>3000</v>
      </c>
      <c r="K21" s="125">
        <v>6400</v>
      </c>
      <c r="L21" s="134"/>
      <c r="M21" s="111"/>
      <c r="N21" s="111"/>
      <c r="O21" s="111"/>
      <c r="P21" s="111"/>
      <c r="Q21" s="111"/>
      <c r="R21" s="111"/>
      <c r="S21" s="111"/>
      <c r="T21" s="111"/>
      <c r="U21" s="111"/>
      <c r="V21" s="86"/>
      <c r="AA21" s="82"/>
      <c r="AB21" s="82"/>
      <c r="AC21" s="96"/>
      <c r="AD21" s="97"/>
      <c r="AE21" s="97"/>
      <c r="AF21" s="98"/>
    </row>
    <row r="22" spans="1:32" s="71" customFormat="1" ht="12.75" x14ac:dyDescent="0.2">
      <c r="A22" s="76"/>
      <c r="B22" s="142"/>
      <c r="C22" s="143"/>
      <c r="D22" s="145"/>
      <c r="E22" s="144">
        <v>5699</v>
      </c>
      <c r="F22" s="130"/>
      <c r="G22" s="130">
        <v>4999</v>
      </c>
      <c r="H22" s="131">
        <v>9999</v>
      </c>
      <c r="I22" s="132">
        <v>2999</v>
      </c>
      <c r="J22" s="132">
        <v>3499</v>
      </c>
      <c r="K22" s="133">
        <v>6499</v>
      </c>
      <c r="L22" s="134"/>
      <c r="M22" s="111"/>
      <c r="N22" s="111"/>
      <c r="O22" s="111"/>
      <c r="P22" s="111"/>
      <c r="Q22" s="111"/>
      <c r="R22" s="111"/>
      <c r="S22" s="111"/>
      <c r="T22" s="111"/>
      <c r="U22" s="111"/>
      <c r="V22" s="86"/>
      <c r="AA22" s="82"/>
      <c r="AB22" s="82"/>
      <c r="AC22" s="96"/>
      <c r="AD22" s="97"/>
      <c r="AE22" s="97"/>
      <c r="AF22" s="98"/>
    </row>
    <row r="23" spans="1:32" s="71" customFormat="1" ht="12.75" x14ac:dyDescent="0.2">
      <c r="A23" s="76"/>
      <c r="B23" s="142"/>
      <c r="C23" s="143"/>
      <c r="D23" s="137" t="s">
        <v>137</v>
      </c>
      <c r="E23" s="146"/>
      <c r="F23" s="147"/>
      <c r="G23" s="147">
        <v>6100</v>
      </c>
      <c r="H23" s="148"/>
      <c r="I23" s="149">
        <v>3500</v>
      </c>
      <c r="J23" s="149">
        <v>3800</v>
      </c>
      <c r="K23" s="122"/>
      <c r="L23" s="134"/>
      <c r="M23" s="111"/>
      <c r="N23" s="111"/>
      <c r="O23" s="111"/>
      <c r="P23" s="111"/>
      <c r="Q23" s="111"/>
      <c r="R23" s="111"/>
      <c r="S23" s="111"/>
      <c r="T23" s="111"/>
      <c r="U23" s="111"/>
      <c r="V23" s="86"/>
      <c r="AA23" s="82"/>
      <c r="AB23" s="82"/>
      <c r="AC23" s="96"/>
      <c r="AD23" s="97"/>
      <c r="AE23" s="97"/>
      <c r="AF23" s="98"/>
    </row>
    <row r="24" spans="1:32" s="71" customFormat="1" ht="12.75" x14ac:dyDescent="0.2">
      <c r="A24" s="76"/>
      <c r="B24" s="142"/>
      <c r="C24" s="143"/>
      <c r="D24" s="145"/>
      <c r="E24" s="146"/>
      <c r="F24" s="147"/>
      <c r="G24" s="147">
        <v>6999</v>
      </c>
      <c r="H24" s="148"/>
      <c r="I24" s="149">
        <v>3599</v>
      </c>
      <c r="J24" s="149">
        <v>3899</v>
      </c>
      <c r="K24" s="122"/>
      <c r="L24" s="134"/>
      <c r="M24" s="111"/>
      <c r="N24" s="111"/>
      <c r="O24" s="111"/>
      <c r="P24" s="111"/>
      <c r="Q24" s="111"/>
      <c r="R24" s="111"/>
      <c r="S24" s="111"/>
      <c r="T24" s="111"/>
      <c r="U24" s="111"/>
      <c r="V24" s="86"/>
      <c r="AA24" s="82"/>
      <c r="AB24" s="82"/>
      <c r="AC24" s="96"/>
      <c r="AD24" s="97"/>
      <c r="AE24" s="97"/>
      <c r="AF24" s="98"/>
    </row>
    <row r="25" spans="1:32" s="71" customFormat="1" ht="12.75" x14ac:dyDescent="0.2">
      <c r="A25" s="76"/>
      <c r="B25" s="142"/>
      <c r="C25" s="143"/>
      <c r="D25" s="137" t="s">
        <v>138</v>
      </c>
      <c r="E25" s="138"/>
      <c r="F25" s="139"/>
      <c r="G25" s="139"/>
      <c r="H25" s="140"/>
      <c r="I25" s="141">
        <v>3600</v>
      </c>
      <c r="J25" s="141">
        <v>4000</v>
      </c>
      <c r="K25" s="125"/>
      <c r="L25" s="134"/>
      <c r="M25" s="111"/>
      <c r="N25" s="111"/>
      <c r="O25" s="111"/>
      <c r="P25" s="111"/>
      <c r="Q25" s="111"/>
      <c r="R25" s="111"/>
      <c r="S25" s="111"/>
      <c r="T25" s="111"/>
      <c r="U25" s="111"/>
      <c r="V25" s="86"/>
      <c r="AA25" s="82"/>
      <c r="AB25" s="82"/>
      <c r="AC25" s="96"/>
      <c r="AD25" s="97"/>
      <c r="AE25" s="97"/>
      <c r="AF25" s="98"/>
    </row>
    <row r="26" spans="1:32" s="71" customFormat="1" ht="12.75" x14ac:dyDescent="0.2">
      <c r="A26" s="76"/>
      <c r="B26" s="142"/>
      <c r="C26" s="143"/>
      <c r="D26" s="145"/>
      <c r="E26" s="144"/>
      <c r="F26" s="130"/>
      <c r="G26" s="130"/>
      <c r="H26" s="131"/>
      <c r="I26" s="132">
        <v>3699</v>
      </c>
      <c r="J26" s="132">
        <v>4699</v>
      </c>
      <c r="K26" s="133"/>
      <c r="L26" s="134"/>
      <c r="M26" s="111"/>
      <c r="N26" s="111"/>
      <c r="O26" s="111"/>
      <c r="P26" s="111"/>
      <c r="Q26" s="111"/>
      <c r="R26" s="111"/>
      <c r="S26" s="111"/>
      <c r="T26" s="111"/>
      <c r="U26" s="111"/>
      <c r="V26" s="86"/>
      <c r="AA26" s="82"/>
      <c r="AB26" s="82"/>
      <c r="AC26" s="96"/>
      <c r="AD26" s="97"/>
      <c r="AE26" s="97"/>
      <c r="AF26" s="98"/>
    </row>
    <row r="27" spans="1:32" s="71" customFormat="1" ht="12.75" x14ac:dyDescent="0.2">
      <c r="A27" s="76"/>
      <c r="B27" s="142"/>
      <c r="C27" s="143"/>
      <c r="D27" s="137" t="s">
        <v>139</v>
      </c>
      <c r="E27" s="138"/>
      <c r="F27" s="139"/>
      <c r="G27" s="139"/>
      <c r="H27" s="140"/>
      <c r="I27" s="141">
        <v>3700</v>
      </c>
      <c r="J27" s="141">
        <v>5000</v>
      </c>
      <c r="K27" s="125"/>
      <c r="L27" s="134"/>
      <c r="M27" s="111"/>
      <c r="N27" s="111"/>
      <c r="O27" s="111"/>
      <c r="P27" s="111"/>
      <c r="Q27" s="111"/>
      <c r="R27" s="111"/>
      <c r="S27" s="111"/>
      <c r="T27" s="111"/>
      <c r="U27" s="111"/>
      <c r="V27" s="86"/>
      <c r="AA27" s="82"/>
      <c r="AB27" s="82"/>
      <c r="AC27" s="96"/>
      <c r="AD27" s="97"/>
      <c r="AE27" s="97"/>
      <c r="AF27" s="98"/>
    </row>
    <row r="28" spans="1:32" s="71" customFormat="1" ht="12.75" x14ac:dyDescent="0.2">
      <c r="A28" s="76"/>
      <c r="B28" s="142"/>
      <c r="C28" s="143"/>
      <c r="D28" s="145"/>
      <c r="E28" s="144"/>
      <c r="F28" s="130"/>
      <c r="G28" s="130"/>
      <c r="H28" s="131"/>
      <c r="I28" s="132">
        <v>3799</v>
      </c>
      <c r="J28" s="132">
        <v>5499</v>
      </c>
      <c r="K28" s="133"/>
      <c r="L28" s="134"/>
      <c r="M28" s="111"/>
      <c r="N28" s="111"/>
      <c r="O28" s="111"/>
      <c r="P28" s="111"/>
      <c r="Q28" s="111"/>
      <c r="R28" s="111"/>
      <c r="S28" s="111"/>
      <c r="T28" s="111"/>
      <c r="U28" s="111"/>
      <c r="V28" s="86"/>
      <c r="AA28" s="82"/>
      <c r="AB28" s="82"/>
      <c r="AC28" s="96"/>
      <c r="AD28" s="97"/>
      <c r="AE28" s="97"/>
      <c r="AF28" s="98"/>
    </row>
    <row r="29" spans="1:32" s="71" customFormat="1" ht="12.75" x14ac:dyDescent="0.2">
      <c r="A29" s="76"/>
      <c r="B29" s="142"/>
      <c r="C29" s="143"/>
      <c r="D29" s="137" t="s">
        <v>140</v>
      </c>
      <c r="E29" s="138"/>
      <c r="F29" s="139"/>
      <c r="G29" s="139"/>
      <c r="H29" s="140"/>
      <c r="I29" s="141">
        <v>3900</v>
      </c>
      <c r="J29" s="141">
        <v>6000</v>
      </c>
      <c r="K29" s="125"/>
      <c r="L29" s="134"/>
      <c r="M29" s="111"/>
      <c r="N29" s="111"/>
      <c r="O29" s="111"/>
      <c r="P29" s="111"/>
      <c r="Q29" s="111"/>
      <c r="R29" s="111"/>
      <c r="S29" s="111"/>
      <c r="T29" s="111"/>
      <c r="U29" s="111"/>
      <c r="V29" s="86"/>
      <c r="AA29" s="82"/>
      <c r="AB29" s="82"/>
      <c r="AC29" s="96"/>
      <c r="AD29" s="97"/>
      <c r="AE29" s="97"/>
      <c r="AF29" s="98"/>
    </row>
    <row r="30" spans="1:32" s="71" customFormat="1" ht="12.75" x14ac:dyDescent="0.2">
      <c r="A30" s="76"/>
      <c r="B30" s="142"/>
      <c r="C30" s="143"/>
      <c r="D30" s="145"/>
      <c r="E30" s="144"/>
      <c r="F30" s="130"/>
      <c r="G30" s="130"/>
      <c r="H30" s="131"/>
      <c r="I30" s="132">
        <v>3999</v>
      </c>
      <c r="J30" s="132">
        <v>6399</v>
      </c>
      <c r="K30" s="133"/>
      <c r="L30" s="134"/>
      <c r="M30" s="111"/>
      <c r="N30" s="111"/>
      <c r="O30" s="111"/>
      <c r="P30" s="111"/>
      <c r="Q30" s="111"/>
      <c r="R30" s="111"/>
      <c r="S30" s="111"/>
      <c r="T30" s="111"/>
      <c r="U30" s="111"/>
      <c r="V30" s="86"/>
      <c r="AA30" s="82"/>
      <c r="AB30" s="82"/>
      <c r="AC30" s="96"/>
      <c r="AD30" s="97"/>
      <c r="AE30" s="97"/>
      <c r="AF30" s="98"/>
    </row>
    <row r="31" spans="1:32" s="71" customFormat="1" ht="12.75" x14ac:dyDescent="0.2">
      <c r="A31" s="76"/>
      <c r="B31" s="142"/>
      <c r="C31" s="143"/>
      <c r="D31" s="137" t="s">
        <v>141</v>
      </c>
      <c r="E31" s="138"/>
      <c r="F31" s="139"/>
      <c r="G31" s="139"/>
      <c r="H31" s="140"/>
      <c r="I31" s="141"/>
      <c r="J31" s="141">
        <v>7000</v>
      </c>
      <c r="K31" s="125"/>
      <c r="L31" s="134"/>
      <c r="M31" s="111"/>
      <c r="N31" s="111" t="s">
        <v>122</v>
      </c>
      <c r="O31" s="111" t="s">
        <v>35</v>
      </c>
      <c r="P31" s="111"/>
      <c r="Q31" s="111"/>
      <c r="R31" s="111"/>
      <c r="S31" s="111"/>
      <c r="T31" s="111"/>
      <c r="U31" s="111"/>
      <c r="V31" s="86"/>
      <c r="AA31" s="82"/>
      <c r="AB31" s="82"/>
      <c r="AC31" s="96"/>
      <c r="AD31" s="97"/>
      <c r="AE31" s="97"/>
      <c r="AF31" s="98"/>
    </row>
    <row r="32" spans="1:32" s="71" customFormat="1" x14ac:dyDescent="0.25">
      <c r="A32" s="76"/>
      <c r="B32" s="142"/>
      <c r="C32" s="143"/>
      <c r="D32" s="145"/>
      <c r="E32" s="144"/>
      <c r="F32" s="130"/>
      <c r="G32" s="130"/>
      <c r="H32" s="131"/>
      <c r="I32" s="132"/>
      <c r="J32" s="132">
        <v>9999</v>
      </c>
      <c r="K32" s="133"/>
      <c r="L32" s="134"/>
      <c r="M32" s="111" t="s">
        <v>142</v>
      </c>
      <c r="N32" s="885">
        <v>1</v>
      </c>
      <c r="O32" s="885">
        <v>1</v>
      </c>
      <c r="P32" s="111"/>
      <c r="Q32" s="111"/>
      <c r="R32" s="111"/>
      <c r="S32" s="111"/>
      <c r="T32" s="111"/>
      <c r="U32" s="111"/>
      <c r="V32" s="86"/>
      <c r="W32" s="74"/>
      <c r="X32" s="74"/>
      <c r="AA32" s="82"/>
      <c r="AB32" s="82"/>
      <c r="AC32" s="96"/>
      <c r="AD32" s="97"/>
      <c r="AE32" s="97"/>
      <c r="AF32" s="98"/>
    </row>
    <row r="33" spans="1:32" s="71" customFormat="1" ht="12.75" x14ac:dyDescent="0.2">
      <c r="A33" s="76"/>
      <c r="B33" s="142"/>
      <c r="C33" s="143"/>
      <c r="D33" s="150" t="s">
        <v>143</v>
      </c>
      <c r="E33" s="151"/>
      <c r="F33" s="147"/>
      <c r="G33" s="147"/>
      <c r="H33" s="148"/>
      <c r="I33" s="149"/>
      <c r="J33" s="149"/>
      <c r="K33" s="122"/>
      <c r="L33" s="134"/>
      <c r="M33" s="111"/>
      <c r="N33" s="111"/>
      <c r="O33" s="111"/>
      <c r="P33" s="111"/>
      <c r="Q33" s="111"/>
      <c r="R33" s="111"/>
      <c r="S33" s="111"/>
      <c r="T33" s="111"/>
      <c r="U33" s="111" t="s">
        <v>144</v>
      </c>
      <c r="V33" s="152" t="s">
        <v>145</v>
      </c>
      <c r="W33" s="77"/>
      <c r="X33" s="78"/>
      <c r="Y33" s="86"/>
      <c r="AA33" s="82"/>
      <c r="AB33" s="82"/>
      <c r="AC33" s="96"/>
      <c r="AD33" s="97"/>
      <c r="AE33" s="97"/>
      <c r="AF33" s="98"/>
    </row>
    <row r="34" spans="1:32" s="71" customFormat="1" ht="13.5" thickBot="1" x14ac:dyDescent="0.25">
      <c r="A34" s="76"/>
      <c r="B34" s="153"/>
      <c r="C34" s="154"/>
      <c r="D34" s="145"/>
      <c r="E34" s="151"/>
      <c r="F34" s="147"/>
      <c r="G34" s="147"/>
      <c r="H34" s="148"/>
      <c r="I34" s="149"/>
      <c r="J34" s="149"/>
      <c r="K34" s="122"/>
      <c r="L34" s="134"/>
      <c r="M34" s="155" t="s">
        <v>127</v>
      </c>
      <c r="N34" s="156" t="s">
        <v>128</v>
      </c>
      <c r="O34" s="117" t="s">
        <v>129</v>
      </c>
      <c r="P34" s="116" t="s">
        <v>130</v>
      </c>
      <c r="Q34" s="103" t="s">
        <v>131</v>
      </c>
      <c r="R34" s="103" t="s">
        <v>132</v>
      </c>
      <c r="S34" s="117" t="s">
        <v>133</v>
      </c>
      <c r="T34" s="111"/>
      <c r="U34" s="111" t="s">
        <v>146</v>
      </c>
      <c r="V34" s="152" t="s">
        <v>127</v>
      </c>
      <c r="W34" s="77"/>
      <c r="X34" s="78"/>
      <c r="Y34" s="86"/>
      <c r="AA34" s="82"/>
      <c r="AB34" s="82"/>
      <c r="AC34" s="96"/>
      <c r="AD34" s="97"/>
      <c r="AE34" s="97"/>
      <c r="AF34" s="98"/>
    </row>
    <row r="35" spans="1:32" s="71" customFormat="1" ht="12.75" x14ac:dyDescent="0.2">
      <c r="A35" s="76"/>
      <c r="B35" s="118"/>
      <c r="C35" s="89" t="str">
        <f>IF(AND($B$6&gt;0,$B$6&lt;=D35),"D"," ")</f>
        <v xml:space="preserve"> </v>
      </c>
      <c r="D35" s="157">
        <v>0.2</v>
      </c>
      <c r="E35" s="158">
        <f t="shared" ref="E35:H75" si="0">M35*$N$32</f>
        <v>26.605</v>
      </c>
      <c r="F35" s="159">
        <f t="shared" si="0"/>
        <v>34.700000000000003</v>
      </c>
      <c r="G35" s="159">
        <f t="shared" si="0"/>
        <v>38.1</v>
      </c>
      <c r="H35" s="160">
        <f t="shared" si="0"/>
        <v>47.62</v>
      </c>
      <c r="I35" s="159">
        <f t="shared" ref="I35:K75" si="1">Q35*$O$32</f>
        <v>43.66</v>
      </c>
      <c r="J35" s="161">
        <f t="shared" si="1"/>
        <v>53.42</v>
      </c>
      <c r="K35" s="161">
        <f t="shared" si="1"/>
        <v>65.319999999999993</v>
      </c>
      <c r="L35" s="162"/>
      <c r="M35" s="163">
        <f>U35*V35</f>
        <v>26.605</v>
      </c>
      <c r="N35" s="164">
        <v>34.700000000000003</v>
      </c>
      <c r="O35" s="164">
        <v>38.1</v>
      </c>
      <c r="P35" s="165">
        <v>47.62</v>
      </c>
      <c r="Q35" s="164">
        <v>43.66</v>
      </c>
      <c r="R35" s="166">
        <v>53.42</v>
      </c>
      <c r="S35" s="166">
        <v>65.319999999999993</v>
      </c>
      <c r="T35" s="162"/>
      <c r="U35" s="167">
        <v>0.85</v>
      </c>
      <c r="V35" s="168">
        <v>31.3</v>
      </c>
      <c r="W35" s="169"/>
      <c r="X35" s="162"/>
      <c r="Y35" s="86"/>
      <c r="AA35" s="82"/>
      <c r="AB35" s="82"/>
      <c r="AC35" s="96"/>
      <c r="AD35" s="97"/>
      <c r="AE35" s="97"/>
      <c r="AF35" s="98"/>
    </row>
    <row r="36" spans="1:32" s="71" customFormat="1" ht="12.75" x14ac:dyDescent="0.2">
      <c r="A36" s="76"/>
      <c r="B36" s="170"/>
      <c r="C36" s="171" t="str">
        <f t="shared" ref="C36:C68" si="2">IF(AND($B$6&gt;0,$B$6&gt;D35,$B$6&lt;=D36),"D"," ")</f>
        <v xml:space="preserve"> </v>
      </c>
      <c r="D36" s="157">
        <v>0.4</v>
      </c>
      <c r="E36" s="172">
        <f t="shared" si="0"/>
        <v>32.499299999999998</v>
      </c>
      <c r="F36" s="173">
        <f t="shared" si="0"/>
        <v>42.52</v>
      </c>
      <c r="G36" s="173">
        <f t="shared" si="0"/>
        <v>46.93</v>
      </c>
      <c r="H36" s="174">
        <f t="shared" si="0"/>
        <v>52.37</v>
      </c>
      <c r="I36" s="173">
        <f t="shared" si="1"/>
        <v>50.22</v>
      </c>
      <c r="J36" s="175">
        <f t="shared" si="1"/>
        <v>63.35</v>
      </c>
      <c r="K36" s="175">
        <f t="shared" si="1"/>
        <v>77.2</v>
      </c>
      <c r="L36" s="162"/>
      <c r="M36" s="176">
        <f t="shared" ref="M36:M56" si="3">U36*V36</f>
        <v>32.499299999999998</v>
      </c>
      <c r="N36" s="177">
        <v>42.52</v>
      </c>
      <c r="O36" s="177">
        <v>46.93</v>
      </c>
      <c r="P36" s="178">
        <v>52.37</v>
      </c>
      <c r="Q36" s="177">
        <v>50.22</v>
      </c>
      <c r="R36" s="179">
        <v>63.35</v>
      </c>
      <c r="S36" s="179">
        <v>77.2</v>
      </c>
      <c r="T36" s="162"/>
      <c r="U36" s="180">
        <v>0.85299999999999998</v>
      </c>
      <c r="V36" s="181">
        <v>38.1</v>
      </c>
      <c r="W36" s="169"/>
      <c r="X36" s="162"/>
      <c r="Y36" s="86"/>
      <c r="AA36" s="82"/>
      <c r="AB36" s="82"/>
      <c r="AC36" s="96"/>
      <c r="AD36" s="97"/>
      <c r="AE36" s="97"/>
      <c r="AF36" s="98"/>
    </row>
    <row r="37" spans="1:32" s="71" customFormat="1" ht="12.75" x14ac:dyDescent="0.2">
      <c r="A37" s="76"/>
      <c r="B37" s="170"/>
      <c r="C37" s="171" t="str">
        <f t="shared" si="2"/>
        <v xml:space="preserve"> </v>
      </c>
      <c r="D37" s="157">
        <v>0.5</v>
      </c>
      <c r="E37" s="172">
        <f t="shared" si="0"/>
        <v>36.653919999999999</v>
      </c>
      <c r="F37" s="173">
        <f t="shared" si="0"/>
        <v>48.9</v>
      </c>
      <c r="G37" s="173">
        <f t="shared" si="0"/>
        <v>54.98</v>
      </c>
      <c r="H37" s="174">
        <f t="shared" si="0"/>
        <v>63.07</v>
      </c>
      <c r="I37" s="173">
        <f t="shared" si="1"/>
        <v>58.83</v>
      </c>
      <c r="J37" s="175">
        <f t="shared" si="1"/>
        <v>74.59</v>
      </c>
      <c r="K37" s="175">
        <f t="shared" si="1"/>
        <v>91.39</v>
      </c>
      <c r="L37" s="162"/>
      <c r="M37" s="176">
        <f t="shared" si="3"/>
        <v>36.653919999999999</v>
      </c>
      <c r="N37" s="177">
        <v>48.9</v>
      </c>
      <c r="O37" s="177">
        <v>54.98</v>
      </c>
      <c r="P37" s="178">
        <v>63.07</v>
      </c>
      <c r="Q37" s="177">
        <v>58.83</v>
      </c>
      <c r="R37" s="179">
        <v>74.59</v>
      </c>
      <c r="S37" s="179">
        <v>91.39</v>
      </c>
      <c r="T37" s="162"/>
      <c r="U37" s="180">
        <v>0.85599999999999998</v>
      </c>
      <c r="V37" s="181">
        <v>42.82</v>
      </c>
      <c r="W37" s="169"/>
      <c r="X37" s="162"/>
      <c r="Y37" s="86"/>
      <c r="AA37" s="82"/>
      <c r="AB37" s="82"/>
      <c r="AC37" s="96"/>
      <c r="AD37" s="97"/>
      <c r="AE37" s="97"/>
      <c r="AF37" s="98"/>
    </row>
    <row r="38" spans="1:32" s="71" customFormat="1" ht="12.75" x14ac:dyDescent="0.2">
      <c r="A38" s="76"/>
      <c r="B38" s="170"/>
      <c r="C38" s="171" t="str">
        <f t="shared" si="2"/>
        <v>D</v>
      </c>
      <c r="D38" s="157">
        <v>0.6</v>
      </c>
      <c r="E38" s="172">
        <f t="shared" si="0"/>
        <v>40.836860000000001</v>
      </c>
      <c r="F38" s="173">
        <f t="shared" si="0"/>
        <v>55.29</v>
      </c>
      <c r="G38" s="173">
        <f t="shared" si="0"/>
        <v>63.03</v>
      </c>
      <c r="H38" s="174">
        <f t="shared" si="0"/>
        <v>73.760000000000005</v>
      </c>
      <c r="I38" s="173">
        <f t="shared" si="1"/>
        <v>67.44</v>
      </c>
      <c r="J38" s="175">
        <f t="shared" si="1"/>
        <v>85.82</v>
      </c>
      <c r="K38" s="175">
        <f t="shared" si="1"/>
        <v>105.58</v>
      </c>
      <c r="L38" s="162"/>
      <c r="M38" s="176">
        <f t="shared" si="3"/>
        <v>40.836860000000001</v>
      </c>
      <c r="N38" s="177">
        <v>55.29</v>
      </c>
      <c r="O38" s="177">
        <v>63.03</v>
      </c>
      <c r="P38" s="178">
        <v>73.760000000000005</v>
      </c>
      <c r="Q38" s="177">
        <v>67.44</v>
      </c>
      <c r="R38" s="179">
        <v>85.82</v>
      </c>
      <c r="S38" s="179">
        <v>105.58</v>
      </c>
      <c r="T38" s="162"/>
      <c r="U38" s="180">
        <v>0.85899999999999999</v>
      </c>
      <c r="V38" s="181">
        <v>47.54</v>
      </c>
      <c r="W38" s="169"/>
      <c r="X38" s="162"/>
      <c r="Y38" s="86"/>
    </row>
    <row r="39" spans="1:32" s="71" customFormat="1" ht="12.75" x14ac:dyDescent="0.2">
      <c r="A39" s="76"/>
      <c r="B39" s="170"/>
      <c r="C39" s="171" t="str">
        <f t="shared" si="2"/>
        <v xml:space="preserve"> </v>
      </c>
      <c r="D39" s="157">
        <v>0.7</v>
      </c>
      <c r="E39" s="172">
        <f t="shared" si="0"/>
        <v>45.056740000000005</v>
      </c>
      <c r="F39" s="173">
        <f t="shared" si="0"/>
        <v>51.67</v>
      </c>
      <c r="G39" s="173">
        <f t="shared" si="0"/>
        <v>71.08</v>
      </c>
      <c r="H39" s="174">
        <f t="shared" si="0"/>
        <v>84.46</v>
      </c>
      <c r="I39" s="173">
        <f t="shared" si="1"/>
        <v>76.06</v>
      </c>
      <c r="J39" s="175">
        <f t="shared" si="1"/>
        <v>97.06</v>
      </c>
      <c r="K39" s="175">
        <f t="shared" si="1"/>
        <v>119.77</v>
      </c>
      <c r="L39" s="162"/>
      <c r="M39" s="176">
        <f t="shared" si="3"/>
        <v>45.056740000000005</v>
      </c>
      <c r="N39" s="177">
        <v>51.67</v>
      </c>
      <c r="O39" s="177">
        <v>71.08</v>
      </c>
      <c r="P39" s="178">
        <v>84.46</v>
      </c>
      <c r="Q39" s="177">
        <v>76.06</v>
      </c>
      <c r="R39" s="179">
        <v>97.06</v>
      </c>
      <c r="S39" s="179">
        <v>119.77</v>
      </c>
      <c r="T39" s="162"/>
      <c r="U39" s="180">
        <v>0.86199999999999999</v>
      </c>
      <c r="V39" s="181">
        <v>52.27</v>
      </c>
      <c r="W39" s="169"/>
      <c r="X39" s="162"/>
      <c r="Y39" s="86"/>
    </row>
    <row r="40" spans="1:32" s="71" customFormat="1" ht="12.75" x14ac:dyDescent="0.2">
      <c r="A40" s="76"/>
      <c r="B40" s="170"/>
      <c r="C40" s="171" t="str">
        <f t="shared" si="2"/>
        <v xml:space="preserve"> </v>
      </c>
      <c r="D40" s="157">
        <v>0.8</v>
      </c>
      <c r="E40" s="172">
        <f t="shared" si="0"/>
        <v>49.296350000000004</v>
      </c>
      <c r="F40" s="173">
        <f t="shared" si="0"/>
        <v>68.06</v>
      </c>
      <c r="G40" s="173">
        <f t="shared" si="0"/>
        <v>79.13</v>
      </c>
      <c r="H40" s="174">
        <f t="shared" si="0"/>
        <v>95.15</v>
      </c>
      <c r="I40" s="173">
        <f t="shared" si="1"/>
        <v>84.67</v>
      </c>
      <c r="J40" s="175">
        <f t="shared" si="1"/>
        <v>108.3</v>
      </c>
      <c r="K40" s="175">
        <f t="shared" si="1"/>
        <v>133.94999999999999</v>
      </c>
      <c r="L40" s="162"/>
      <c r="M40" s="176">
        <f t="shared" si="3"/>
        <v>49.296350000000004</v>
      </c>
      <c r="N40" s="177">
        <v>68.06</v>
      </c>
      <c r="O40" s="177">
        <v>79.13</v>
      </c>
      <c r="P40" s="178">
        <v>95.15</v>
      </c>
      <c r="Q40" s="177">
        <v>84.67</v>
      </c>
      <c r="R40" s="179">
        <v>108.3</v>
      </c>
      <c r="S40" s="179">
        <v>133.94999999999999</v>
      </c>
      <c r="T40" s="162"/>
      <c r="U40" s="180">
        <v>0.86499999999999999</v>
      </c>
      <c r="V40" s="181">
        <v>56.99</v>
      </c>
      <c r="W40" s="169"/>
      <c r="X40" s="162"/>
      <c r="Y40" s="86"/>
    </row>
    <row r="41" spans="1:32" s="71" customFormat="1" ht="12.75" x14ac:dyDescent="0.2">
      <c r="A41" s="76"/>
      <c r="B41" s="170"/>
      <c r="C41" s="171" t="str">
        <f t="shared" si="2"/>
        <v xml:space="preserve"> </v>
      </c>
      <c r="D41" s="157">
        <v>0.9</v>
      </c>
      <c r="E41" s="172">
        <f t="shared" si="0"/>
        <v>53.564280000000004</v>
      </c>
      <c r="F41" s="173">
        <f t="shared" si="0"/>
        <v>74.44</v>
      </c>
      <c r="G41" s="173">
        <f t="shared" si="0"/>
        <v>87.18</v>
      </c>
      <c r="H41" s="174">
        <f t="shared" si="0"/>
        <v>105.85</v>
      </c>
      <c r="I41" s="173">
        <f t="shared" si="1"/>
        <v>93.28</v>
      </c>
      <c r="J41" s="175">
        <f t="shared" si="1"/>
        <v>119.53</v>
      </c>
      <c r="K41" s="175">
        <f t="shared" si="1"/>
        <v>148.13999999999999</v>
      </c>
      <c r="L41" s="162"/>
      <c r="M41" s="176">
        <f t="shared" si="3"/>
        <v>53.564280000000004</v>
      </c>
      <c r="N41" s="177">
        <v>74.44</v>
      </c>
      <c r="O41" s="177">
        <v>87.18</v>
      </c>
      <c r="P41" s="178">
        <v>105.85</v>
      </c>
      <c r="Q41" s="177">
        <v>93.28</v>
      </c>
      <c r="R41" s="179">
        <v>119.53</v>
      </c>
      <c r="S41" s="179">
        <v>148.13999999999999</v>
      </c>
      <c r="T41" s="162"/>
      <c r="U41" s="180">
        <v>0.86799999999999999</v>
      </c>
      <c r="V41" s="181">
        <v>61.71</v>
      </c>
      <c r="W41" s="169"/>
      <c r="X41" s="162"/>
      <c r="Y41" s="86"/>
    </row>
    <row r="42" spans="1:32" s="71" customFormat="1" ht="12.75" x14ac:dyDescent="0.2">
      <c r="A42" s="76"/>
      <c r="B42" s="170"/>
      <c r="C42" s="171" t="str">
        <f t="shared" si="2"/>
        <v xml:space="preserve"> </v>
      </c>
      <c r="D42" s="157">
        <v>1</v>
      </c>
      <c r="E42" s="172">
        <f t="shared" si="0"/>
        <v>57.860530000000004</v>
      </c>
      <c r="F42" s="173">
        <f t="shared" si="0"/>
        <v>80.83</v>
      </c>
      <c r="G42" s="173">
        <f t="shared" si="0"/>
        <v>95.23</v>
      </c>
      <c r="H42" s="174">
        <f t="shared" si="0"/>
        <v>116.54</v>
      </c>
      <c r="I42" s="173">
        <f t="shared" si="1"/>
        <v>101.89</v>
      </c>
      <c r="J42" s="175">
        <f t="shared" si="1"/>
        <v>130.77000000000001</v>
      </c>
      <c r="K42" s="175">
        <f t="shared" si="1"/>
        <v>162.33000000000001</v>
      </c>
      <c r="L42" s="162"/>
      <c r="M42" s="176">
        <f t="shared" si="3"/>
        <v>57.860530000000004</v>
      </c>
      <c r="N42" s="177">
        <v>80.83</v>
      </c>
      <c r="O42" s="177">
        <v>95.23</v>
      </c>
      <c r="P42" s="178">
        <v>116.54</v>
      </c>
      <c r="Q42" s="177">
        <v>101.89</v>
      </c>
      <c r="R42" s="179">
        <v>130.77000000000001</v>
      </c>
      <c r="S42" s="179">
        <v>162.33000000000001</v>
      </c>
      <c r="T42" s="162"/>
      <c r="U42" s="180">
        <v>0.871</v>
      </c>
      <c r="V42" s="181">
        <v>66.430000000000007</v>
      </c>
      <c r="W42" s="169"/>
      <c r="X42" s="162"/>
      <c r="Y42" s="86"/>
    </row>
    <row r="43" spans="1:32" s="71" customFormat="1" ht="12.75" x14ac:dyDescent="0.2">
      <c r="A43" s="76"/>
      <c r="B43" s="170"/>
      <c r="C43" s="171" t="str">
        <f t="shared" si="2"/>
        <v xml:space="preserve"> </v>
      </c>
      <c r="D43" s="157">
        <v>1.2</v>
      </c>
      <c r="E43" s="172">
        <f t="shared" si="0"/>
        <v>64.999380000000002</v>
      </c>
      <c r="F43" s="173">
        <f t="shared" si="0"/>
        <v>90.92</v>
      </c>
      <c r="G43" s="173">
        <f t="shared" si="0"/>
        <v>107.47</v>
      </c>
      <c r="H43" s="174">
        <f t="shared" si="0"/>
        <v>132.41</v>
      </c>
      <c r="I43" s="173">
        <f t="shared" si="1"/>
        <v>114.99</v>
      </c>
      <c r="J43" s="175">
        <f t="shared" si="1"/>
        <v>148.58000000000001</v>
      </c>
      <c r="K43" s="175">
        <f t="shared" si="1"/>
        <v>179.75</v>
      </c>
      <c r="L43" s="162"/>
      <c r="M43" s="176">
        <f t="shared" si="3"/>
        <v>64.999380000000002</v>
      </c>
      <c r="N43" s="177">
        <v>90.92</v>
      </c>
      <c r="O43" s="177">
        <v>107.47</v>
      </c>
      <c r="P43" s="178">
        <v>132.41</v>
      </c>
      <c r="Q43" s="177">
        <v>114.99</v>
      </c>
      <c r="R43" s="179">
        <v>148.58000000000001</v>
      </c>
      <c r="S43" s="179">
        <v>179.75</v>
      </c>
      <c r="T43" s="162"/>
      <c r="U43" s="180">
        <v>0.874</v>
      </c>
      <c r="V43" s="181">
        <v>74.37</v>
      </c>
      <c r="W43" s="169"/>
      <c r="X43" s="162"/>
      <c r="Y43" s="86"/>
    </row>
    <row r="44" spans="1:32" s="71" customFormat="1" ht="12.75" x14ac:dyDescent="0.2">
      <c r="A44" s="76"/>
      <c r="B44" s="170"/>
      <c r="C44" s="171" t="str">
        <f t="shared" si="2"/>
        <v xml:space="preserve"> </v>
      </c>
      <c r="D44" s="157">
        <v>1.4</v>
      </c>
      <c r="E44" s="172">
        <f t="shared" si="0"/>
        <v>72.185870000000008</v>
      </c>
      <c r="F44" s="173">
        <f t="shared" si="0"/>
        <v>101.01</v>
      </c>
      <c r="G44" s="173">
        <f t="shared" si="0"/>
        <v>119.72</v>
      </c>
      <c r="H44" s="174">
        <f t="shared" si="0"/>
        <v>148.28</v>
      </c>
      <c r="I44" s="173">
        <f t="shared" si="1"/>
        <v>128.09</v>
      </c>
      <c r="J44" s="175">
        <f t="shared" si="1"/>
        <v>166.38</v>
      </c>
      <c r="K44" s="175">
        <f t="shared" si="1"/>
        <v>197.17</v>
      </c>
      <c r="L44" s="162"/>
      <c r="M44" s="176">
        <f t="shared" si="3"/>
        <v>72.185870000000008</v>
      </c>
      <c r="N44" s="177">
        <v>101.01</v>
      </c>
      <c r="O44" s="177">
        <v>119.72</v>
      </c>
      <c r="P44" s="178">
        <v>148.28</v>
      </c>
      <c r="Q44" s="177">
        <v>128.09</v>
      </c>
      <c r="R44" s="179">
        <v>166.38</v>
      </c>
      <c r="S44" s="179">
        <v>197.17</v>
      </c>
      <c r="T44" s="162"/>
      <c r="U44" s="180">
        <v>0.877</v>
      </c>
      <c r="V44" s="181">
        <v>82.31</v>
      </c>
      <c r="W44" s="169"/>
      <c r="X44" s="162"/>
      <c r="Y44" s="86"/>
    </row>
    <row r="45" spans="1:32" s="71" customFormat="1" ht="12.75" x14ac:dyDescent="0.2">
      <c r="A45" s="76"/>
      <c r="B45" s="170"/>
      <c r="C45" s="171" t="str">
        <f t="shared" si="2"/>
        <v xml:space="preserve"> </v>
      </c>
      <c r="D45" s="157">
        <v>1.6</v>
      </c>
      <c r="E45" s="172">
        <f t="shared" si="0"/>
        <v>79.411199999999994</v>
      </c>
      <c r="F45" s="173">
        <f t="shared" si="0"/>
        <v>111.1</v>
      </c>
      <c r="G45" s="173">
        <f t="shared" si="0"/>
        <v>131.96</v>
      </c>
      <c r="H45" s="174">
        <f t="shared" si="0"/>
        <v>164.14</v>
      </c>
      <c r="I45" s="173">
        <f t="shared" si="1"/>
        <v>141.19999999999999</v>
      </c>
      <c r="J45" s="175">
        <f t="shared" si="1"/>
        <v>184.19</v>
      </c>
      <c r="K45" s="175">
        <f t="shared" si="1"/>
        <v>214.58</v>
      </c>
      <c r="L45" s="162"/>
      <c r="M45" s="176">
        <f t="shared" si="3"/>
        <v>79.411199999999994</v>
      </c>
      <c r="N45" s="177">
        <v>111.1</v>
      </c>
      <c r="O45" s="177">
        <v>131.96</v>
      </c>
      <c r="P45" s="178">
        <v>164.14</v>
      </c>
      <c r="Q45" s="177">
        <v>141.19999999999999</v>
      </c>
      <c r="R45" s="179">
        <v>184.19</v>
      </c>
      <c r="S45" s="179">
        <v>214.58</v>
      </c>
      <c r="T45" s="162"/>
      <c r="U45" s="180">
        <v>0.88</v>
      </c>
      <c r="V45" s="181">
        <v>90.24</v>
      </c>
      <c r="W45" s="169"/>
      <c r="X45" s="162"/>
      <c r="Y45" s="86"/>
    </row>
    <row r="46" spans="1:32" s="71" customFormat="1" ht="12.75" x14ac:dyDescent="0.2">
      <c r="A46" s="76"/>
      <c r="B46" s="170"/>
      <c r="C46" s="171" t="str">
        <f t="shared" si="2"/>
        <v xml:space="preserve"> </v>
      </c>
      <c r="D46" s="157">
        <v>1.8</v>
      </c>
      <c r="E46" s="172">
        <f t="shared" si="0"/>
        <v>86.692940000000007</v>
      </c>
      <c r="F46" s="173">
        <f t="shared" si="0"/>
        <v>121.19</v>
      </c>
      <c r="G46" s="173">
        <f t="shared" si="0"/>
        <v>144.21</v>
      </c>
      <c r="H46" s="174">
        <f t="shared" si="0"/>
        <v>180.01</v>
      </c>
      <c r="I46" s="173">
        <f t="shared" si="1"/>
        <v>154.30000000000001</v>
      </c>
      <c r="J46" s="175">
        <f t="shared" si="1"/>
        <v>201.99</v>
      </c>
      <c r="K46" s="175">
        <f t="shared" si="1"/>
        <v>232</v>
      </c>
      <c r="L46" s="162"/>
      <c r="M46" s="176">
        <f t="shared" si="3"/>
        <v>86.692940000000007</v>
      </c>
      <c r="N46" s="177">
        <v>121.19</v>
      </c>
      <c r="O46" s="177">
        <v>144.21</v>
      </c>
      <c r="P46" s="178">
        <v>180.01</v>
      </c>
      <c r="Q46" s="177">
        <v>154.30000000000001</v>
      </c>
      <c r="R46" s="179">
        <v>201.99</v>
      </c>
      <c r="S46" s="179">
        <v>232</v>
      </c>
      <c r="T46" s="162"/>
      <c r="U46" s="180">
        <v>0.88300000000000001</v>
      </c>
      <c r="V46" s="181">
        <v>98.18</v>
      </c>
      <c r="W46" s="169"/>
      <c r="X46" s="162"/>
      <c r="Y46" s="86"/>
    </row>
    <row r="47" spans="1:32" s="71" customFormat="1" ht="12.75" x14ac:dyDescent="0.2">
      <c r="A47" s="76"/>
      <c r="B47" s="170"/>
      <c r="C47" s="171" t="str">
        <f t="shared" si="2"/>
        <v xml:space="preserve"> </v>
      </c>
      <c r="D47" s="157">
        <v>2</v>
      </c>
      <c r="E47" s="172">
        <f t="shared" si="0"/>
        <v>94.022320000000008</v>
      </c>
      <c r="F47" s="173">
        <f t="shared" si="0"/>
        <v>131.29</v>
      </c>
      <c r="G47" s="173">
        <f t="shared" si="0"/>
        <v>156.44999999999999</v>
      </c>
      <c r="H47" s="174">
        <f t="shared" si="0"/>
        <v>195.88</v>
      </c>
      <c r="I47" s="173">
        <f t="shared" si="1"/>
        <v>167.4</v>
      </c>
      <c r="J47" s="175">
        <f t="shared" si="1"/>
        <v>219.8</v>
      </c>
      <c r="K47" s="175">
        <f t="shared" si="1"/>
        <v>249.42</v>
      </c>
      <c r="L47" s="162"/>
      <c r="M47" s="176">
        <f t="shared" si="3"/>
        <v>94.022320000000008</v>
      </c>
      <c r="N47" s="177">
        <v>131.29</v>
      </c>
      <c r="O47" s="177">
        <v>156.44999999999999</v>
      </c>
      <c r="P47" s="178">
        <v>195.88</v>
      </c>
      <c r="Q47" s="177">
        <v>167.4</v>
      </c>
      <c r="R47" s="179">
        <v>219.8</v>
      </c>
      <c r="S47" s="179">
        <v>249.42</v>
      </c>
      <c r="T47" s="162"/>
      <c r="U47" s="180">
        <v>0.88600000000000001</v>
      </c>
      <c r="V47" s="181">
        <v>106.12</v>
      </c>
      <c r="W47" s="169"/>
      <c r="X47" s="162"/>
      <c r="Y47" s="86"/>
    </row>
    <row r="48" spans="1:32" s="71" customFormat="1" ht="12.75" x14ac:dyDescent="0.2">
      <c r="A48" s="76"/>
      <c r="B48" s="170"/>
      <c r="C48" s="171" t="str">
        <f t="shared" si="2"/>
        <v xml:space="preserve"> </v>
      </c>
      <c r="D48" s="157">
        <v>2.4</v>
      </c>
      <c r="E48" s="172">
        <f t="shared" si="0"/>
        <v>99.79025</v>
      </c>
      <c r="F48" s="173">
        <f t="shared" si="0"/>
        <v>138.63</v>
      </c>
      <c r="G48" s="173">
        <f t="shared" si="0"/>
        <v>165.01</v>
      </c>
      <c r="H48" s="174">
        <f t="shared" si="0"/>
        <v>206.38</v>
      </c>
      <c r="I48" s="173">
        <f t="shared" si="1"/>
        <v>176.28</v>
      </c>
      <c r="J48" s="175">
        <f t="shared" si="1"/>
        <v>231.29</v>
      </c>
      <c r="K48" s="175">
        <f t="shared" si="1"/>
        <v>264.33999999999997</v>
      </c>
      <c r="L48" s="162"/>
      <c r="M48" s="176">
        <f t="shared" si="3"/>
        <v>99.79025</v>
      </c>
      <c r="N48" s="177">
        <v>138.63</v>
      </c>
      <c r="O48" s="177">
        <v>165.01</v>
      </c>
      <c r="P48" s="178">
        <v>206.38</v>
      </c>
      <c r="Q48" s="177">
        <v>176.28</v>
      </c>
      <c r="R48" s="179">
        <v>231.29</v>
      </c>
      <c r="S48" s="179">
        <v>264.33999999999997</v>
      </c>
      <c r="T48" s="162"/>
      <c r="U48" s="180">
        <v>0.88900000000000001</v>
      </c>
      <c r="V48" s="181">
        <v>112.25</v>
      </c>
      <c r="W48" s="169"/>
      <c r="X48" s="162"/>
      <c r="Y48" s="86"/>
    </row>
    <row r="49" spans="1:25" s="71" customFormat="1" ht="12.75" x14ac:dyDescent="0.2">
      <c r="A49" s="76"/>
      <c r="B49" s="170"/>
      <c r="C49" s="171" t="str">
        <f t="shared" si="2"/>
        <v xml:space="preserve"> </v>
      </c>
      <c r="D49" s="157">
        <v>2.8</v>
      </c>
      <c r="E49" s="172">
        <f t="shared" si="0"/>
        <v>105.59496</v>
      </c>
      <c r="F49" s="173">
        <f t="shared" si="0"/>
        <v>145.97</v>
      </c>
      <c r="G49" s="173">
        <f t="shared" si="0"/>
        <v>173.56</v>
      </c>
      <c r="H49" s="174">
        <f t="shared" si="0"/>
        <v>216.88</v>
      </c>
      <c r="I49" s="173">
        <f t="shared" si="1"/>
        <v>185.16</v>
      </c>
      <c r="J49" s="175">
        <f t="shared" si="1"/>
        <v>242.79</v>
      </c>
      <c r="K49" s="175">
        <f t="shared" si="1"/>
        <v>279.26</v>
      </c>
      <c r="L49" s="162"/>
      <c r="M49" s="176">
        <f t="shared" si="3"/>
        <v>105.59496</v>
      </c>
      <c r="N49" s="177">
        <v>145.97</v>
      </c>
      <c r="O49" s="177">
        <v>173.56</v>
      </c>
      <c r="P49" s="178">
        <v>216.88</v>
      </c>
      <c r="Q49" s="177">
        <v>185.16</v>
      </c>
      <c r="R49" s="179">
        <v>242.79</v>
      </c>
      <c r="S49" s="179">
        <v>279.26</v>
      </c>
      <c r="T49" s="162"/>
      <c r="U49" s="180">
        <v>0.89200000000000002</v>
      </c>
      <c r="V49" s="181">
        <v>118.38</v>
      </c>
      <c r="W49" s="169"/>
      <c r="X49" s="162"/>
      <c r="Y49" s="86"/>
    </row>
    <row r="50" spans="1:25" s="71" customFormat="1" ht="12.75" x14ac:dyDescent="0.2">
      <c r="A50" s="76"/>
      <c r="B50" s="170"/>
      <c r="C50" s="171" t="str">
        <f t="shared" si="2"/>
        <v xml:space="preserve"> </v>
      </c>
      <c r="D50" s="157">
        <v>3.2</v>
      </c>
      <c r="E50" s="172">
        <f t="shared" si="0"/>
        <v>111.43645000000001</v>
      </c>
      <c r="F50" s="173">
        <f t="shared" si="0"/>
        <v>153.31</v>
      </c>
      <c r="G50" s="173">
        <f t="shared" si="0"/>
        <v>182.12</v>
      </c>
      <c r="H50" s="174">
        <f t="shared" si="0"/>
        <v>227.38</v>
      </c>
      <c r="I50" s="173">
        <f t="shared" si="1"/>
        <v>194.04</v>
      </c>
      <c r="J50" s="175">
        <f t="shared" si="1"/>
        <v>254.28</v>
      </c>
      <c r="K50" s="175">
        <f t="shared" si="1"/>
        <v>294.18</v>
      </c>
      <c r="L50" s="162"/>
      <c r="M50" s="176">
        <f t="shared" si="3"/>
        <v>111.43645000000001</v>
      </c>
      <c r="N50" s="177">
        <v>153.31</v>
      </c>
      <c r="O50" s="177">
        <v>182.12</v>
      </c>
      <c r="P50" s="178">
        <v>227.38</v>
      </c>
      <c r="Q50" s="177">
        <v>194.04</v>
      </c>
      <c r="R50" s="179">
        <v>254.28</v>
      </c>
      <c r="S50" s="179">
        <v>294.18</v>
      </c>
      <c r="T50" s="162"/>
      <c r="U50" s="180">
        <v>0.89500000000000002</v>
      </c>
      <c r="V50" s="181">
        <v>124.51</v>
      </c>
      <c r="W50" s="169"/>
      <c r="X50" s="162"/>
      <c r="Y50" s="86"/>
    </row>
    <row r="51" spans="1:25" s="71" customFormat="1" ht="12.75" x14ac:dyDescent="0.2">
      <c r="A51" s="76"/>
      <c r="B51" s="170"/>
      <c r="C51" s="171" t="str">
        <f t="shared" si="2"/>
        <v xml:space="preserve"> </v>
      </c>
      <c r="D51" s="157">
        <v>3.6</v>
      </c>
      <c r="E51" s="172">
        <f t="shared" si="0"/>
        <v>117.31471999999999</v>
      </c>
      <c r="F51" s="173">
        <f t="shared" si="0"/>
        <v>160.66</v>
      </c>
      <c r="G51" s="173">
        <f t="shared" si="0"/>
        <v>190.68</v>
      </c>
      <c r="H51" s="174">
        <f t="shared" si="0"/>
        <v>237.88</v>
      </c>
      <c r="I51" s="173">
        <f t="shared" si="1"/>
        <v>202.92</v>
      </c>
      <c r="J51" s="175">
        <f t="shared" si="1"/>
        <v>265.77</v>
      </c>
      <c r="K51" s="175">
        <f t="shared" si="1"/>
        <v>309.10000000000002</v>
      </c>
      <c r="L51" s="162"/>
      <c r="M51" s="176">
        <f t="shared" si="3"/>
        <v>117.31471999999999</v>
      </c>
      <c r="N51" s="177">
        <v>160.66</v>
      </c>
      <c r="O51" s="177">
        <v>190.68</v>
      </c>
      <c r="P51" s="178">
        <v>237.88</v>
      </c>
      <c r="Q51" s="177">
        <v>202.92</v>
      </c>
      <c r="R51" s="179">
        <v>265.77</v>
      </c>
      <c r="S51" s="179">
        <v>309.10000000000002</v>
      </c>
      <c r="T51" s="162"/>
      <c r="U51" s="180">
        <v>0.89800000000000002</v>
      </c>
      <c r="V51" s="181">
        <v>130.63999999999999</v>
      </c>
      <c r="W51" s="169"/>
      <c r="X51" s="162"/>
      <c r="Y51" s="86"/>
    </row>
    <row r="52" spans="1:25" s="71" customFormat="1" ht="12.75" x14ac:dyDescent="0.2">
      <c r="A52" s="76"/>
      <c r="B52" s="170"/>
      <c r="C52" s="171" t="str">
        <f t="shared" si="2"/>
        <v xml:space="preserve"> </v>
      </c>
      <c r="D52" s="157">
        <v>4</v>
      </c>
      <c r="E52" s="172">
        <f t="shared" si="0"/>
        <v>123.09300000000002</v>
      </c>
      <c r="F52" s="173">
        <f t="shared" si="0"/>
        <v>168</v>
      </c>
      <c r="G52" s="173">
        <f t="shared" si="0"/>
        <v>199.23</v>
      </c>
      <c r="H52" s="174">
        <f t="shared" si="0"/>
        <v>248.38</v>
      </c>
      <c r="I52" s="173">
        <f t="shared" si="1"/>
        <v>211.8</v>
      </c>
      <c r="J52" s="175">
        <f t="shared" si="1"/>
        <v>277.26</v>
      </c>
      <c r="K52" s="175">
        <f t="shared" si="1"/>
        <v>324.02</v>
      </c>
      <c r="L52" s="162"/>
      <c r="M52" s="176">
        <f t="shared" si="3"/>
        <v>123.09300000000002</v>
      </c>
      <c r="N52" s="177">
        <v>168</v>
      </c>
      <c r="O52" s="177">
        <v>199.23</v>
      </c>
      <c r="P52" s="178">
        <v>248.38</v>
      </c>
      <c r="Q52" s="177">
        <v>211.8</v>
      </c>
      <c r="R52" s="179">
        <v>277.26</v>
      </c>
      <c r="S52" s="179">
        <v>324.02</v>
      </c>
      <c r="T52" s="162"/>
      <c r="U52" s="180">
        <v>0.9</v>
      </c>
      <c r="V52" s="181">
        <v>136.77000000000001</v>
      </c>
      <c r="W52" s="169"/>
      <c r="X52" s="162"/>
      <c r="Y52" s="86"/>
    </row>
    <row r="53" spans="1:25" s="71" customFormat="1" ht="12.75" x14ac:dyDescent="0.2">
      <c r="A53" s="76"/>
      <c r="B53" s="170"/>
      <c r="C53" s="171" t="str">
        <f t="shared" si="2"/>
        <v xml:space="preserve"> </v>
      </c>
      <c r="D53" s="157">
        <v>4.4000000000000004</v>
      </c>
      <c r="E53" s="172">
        <f t="shared" si="0"/>
        <v>131.46800000000002</v>
      </c>
      <c r="F53" s="173">
        <f t="shared" si="0"/>
        <v>175.34</v>
      </c>
      <c r="G53" s="173">
        <f t="shared" si="0"/>
        <v>207.79</v>
      </c>
      <c r="H53" s="174">
        <f t="shared" si="0"/>
        <v>258.88</v>
      </c>
      <c r="I53" s="173">
        <f t="shared" si="1"/>
        <v>220.68</v>
      </c>
      <c r="J53" s="175">
        <f t="shared" si="1"/>
        <v>288.76</v>
      </c>
      <c r="K53" s="175">
        <f t="shared" si="1"/>
        <v>338.94</v>
      </c>
      <c r="L53" s="182"/>
      <c r="M53" s="176">
        <f t="shared" si="3"/>
        <v>131.46800000000002</v>
      </c>
      <c r="N53" s="177">
        <v>175.34</v>
      </c>
      <c r="O53" s="183">
        <v>207.79</v>
      </c>
      <c r="P53" s="178">
        <v>258.88</v>
      </c>
      <c r="Q53" s="183">
        <v>220.68</v>
      </c>
      <c r="R53" s="184">
        <v>288.76</v>
      </c>
      <c r="S53" s="184">
        <v>338.94</v>
      </c>
      <c r="T53" s="162"/>
      <c r="U53" s="180">
        <v>0.92</v>
      </c>
      <c r="V53" s="185">
        <v>142.9</v>
      </c>
      <c r="W53" s="169"/>
      <c r="X53" s="182"/>
      <c r="Y53" s="86"/>
    </row>
    <row r="54" spans="1:25" s="71" customFormat="1" ht="12.75" x14ac:dyDescent="0.2">
      <c r="A54" s="76"/>
      <c r="B54" s="170"/>
      <c r="C54" s="171" t="str">
        <f t="shared" si="2"/>
        <v xml:space="preserve"> </v>
      </c>
      <c r="D54" s="157">
        <v>4.8</v>
      </c>
      <c r="E54" s="172">
        <f t="shared" si="0"/>
        <v>140.0882</v>
      </c>
      <c r="F54" s="173">
        <f t="shared" si="0"/>
        <v>182.69</v>
      </c>
      <c r="G54" s="173">
        <f t="shared" si="0"/>
        <v>216.35</v>
      </c>
      <c r="H54" s="174">
        <f t="shared" si="0"/>
        <v>269.39</v>
      </c>
      <c r="I54" s="173">
        <f t="shared" si="1"/>
        <v>229.56</v>
      </c>
      <c r="J54" s="175">
        <f t="shared" si="1"/>
        <v>300.25</v>
      </c>
      <c r="K54" s="175">
        <f t="shared" si="1"/>
        <v>353.86</v>
      </c>
      <c r="L54" s="162"/>
      <c r="M54" s="176">
        <f t="shared" si="3"/>
        <v>140.0882</v>
      </c>
      <c r="N54" s="177">
        <v>182.69</v>
      </c>
      <c r="O54" s="183">
        <v>216.35</v>
      </c>
      <c r="P54" s="178">
        <v>269.39</v>
      </c>
      <c r="Q54" s="183">
        <v>229.56</v>
      </c>
      <c r="R54" s="184">
        <v>300.25</v>
      </c>
      <c r="S54" s="184">
        <v>353.86</v>
      </c>
      <c r="T54" s="162"/>
      <c r="U54" s="180">
        <v>0.94</v>
      </c>
      <c r="V54" s="185">
        <v>149.03</v>
      </c>
      <c r="W54" s="169"/>
      <c r="X54" s="182"/>
      <c r="Y54" s="86"/>
    </row>
    <row r="55" spans="1:25" s="71" customFormat="1" ht="12.75" x14ac:dyDescent="0.2">
      <c r="A55" s="76"/>
      <c r="B55" s="170"/>
      <c r="C55" s="171" t="str">
        <f t="shared" si="2"/>
        <v xml:space="preserve"> </v>
      </c>
      <c r="D55" s="157">
        <v>5.2</v>
      </c>
      <c r="E55" s="172">
        <f t="shared" si="0"/>
        <v>148.95359999999999</v>
      </c>
      <c r="F55" s="173">
        <f t="shared" si="0"/>
        <v>190.03</v>
      </c>
      <c r="G55" s="173">
        <f t="shared" si="0"/>
        <v>224.9</v>
      </c>
      <c r="H55" s="174">
        <f t="shared" si="0"/>
        <v>279.89</v>
      </c>
      <c r="I55" s="173">
        <f t="shared" si="1"/>
        <v>238.43</v>
      </c>
      <c r="J55" s="175">
        <f t="shared" si="1"/>
        <v>311.74</v>
      </c>
      <c r="K55" s="175">
        <f t="shared" si="1"/>
        <v>368.78</v>
      </c>
      <c r="L55" s="182"/>
      <c r="M55" s="176">
        <f t="shared" si="3"/>
        <v>148.95359999999999</v>
      </c>
      <c r="N55" s="177">
        <v>190.03</v>
      </c>
      <c r="O55" s="183">
        <v>224.9</v>
      </c>
      <c r="P55" s="178">
        <v>279.89</v>
      </c>
      <c r="Q55" s="183">
        <v>238.43</v>
      </c>
      <c r="R55" s="184">
        <v>311.74</v>
      </c>
      <c r="S55" s="184">
        <v>368.78</v>
      </c>
      <c r="T55" s="162"/>
      <c r="U55" s="180">
        <v>0.96</v>
      </c>
      <c r="V55" s="185">
        <v>155.16</v>
      </c>
      <c r="W55" s="169"/>
      <c r="X55" s="162"/>
      <c r="Y55" s="86"/>
    </row>
    <row r="56" spans="1:25" s="71" customFormat="1" ht="13.5" thickBot="1" x14ac:dyDescent="0.25">
      <c r="A56" s="76"/>
      <c r="B56" s="170"/>
      <c r="C56" s="171" t="str">
        <f t="shared" si="2"/>
        <v xml:space="preserve"> </v>
      </c>
      <c r="D56" s="157">
        <v>5.6</v>
      </c>
      <c r="E56" s="186">
        <f t="shared" si="0"/>
        <v>158.0642</v>
      </c>
      <c r="F56" s="173">
        <f t="shared" si="0"/>
        <v>197.37</v>
      </c>
      <c r="G56" s="173">
        <f t="shared" si="0"/>
        <v>233.46</v>
      </c>
      <c r="H56" s="174">
        <f t="shared" si="0"/>
        <v>290.39</v>
      </c>
      <c r="I56" s="173">
        <f t="shared" si="1"/>
        <v>247.31</v>
      </c>
      <c r="J56" s="175">
        <f t="shared" si="1"/>
        <v>323.24</v>
      </c>
      <c r="K56" s="175">
        <f t="shared" si="1"/>
        <v>383.7</v>
      </c>
      <c r="L56" s="162"/>
      <c r="M56" s="187">
        <f t="shared" si="3"/>
        <v>158.0642</v>
      </c>
      <c r="N56" s="177">
        <v>197.37</v>
      </c>
      <c r="O56" s="183">
        <v>233.46</v>
      </c>
      <c r="P56" s="178">
        <v>290.39</v>
      </c>
      <c r="Q56" s="183">
        <v>247.31</v>
      </c>
      <c r="R56" s="184">
        <v>323.24</v>
      </c>
      <c r="S56" s="184">
        <v>383.7</v>
      </c>
      <c r="T56" s="162"/>
      <c r="U56" s="188">
        <v>0.98</v>
      </c>
      <c r="V56" s="189">
        <v>161.29</v>
      </c>
      <c r="W56" s="169"/>
      <c r="X56" s="182"/>
      <c r="Y56" s="86"/>
    </row>
    <row r="57" spans="1:25" s="71" customFormat="1" ht="12.75" x14ac:dyDescent="0.2">
      <c r="A57" s="76"/>
      <c r="B57" s="170"/>
      <c r="C57" s="171" t="str">
        <f t="shared" si="2"/>
        <v xml:space="preserve"> </v>
      </c>
      <c r="D57" s="157">
        <v>6</v>
      </c>
      <c r="E57" s="190">
        <f t="shared" si="0"/>
        <v>167.42</v>
      </c>
      <c r="F57" s="175">
        <f t="shared" si="0"/>
        <v>204.72</v>
      </c>
      <c r="G57" s="173">
        <f t="shared" si="0"/>
        <v>242.01</v>
      </c>
      <c r="H57" s="174">
        <f t="shared" si="0"/>
        <v>300.89</v>
      </c>
      <c r="I57" s="173">
        <f t="shared" si="1"/>
        <v>256.19</v>
      </c>
      <c r="J57" s="175">
        <f t="shared" si="1"/>
        <v>334.73</v>
      </c>
      <c r="K57" s="175">
        <f t="shared" si="1"/>
        <v>398.62</v>
      </c>
      <c r="L57" s="182"/>
      <c r="M57" s="191">
        <v>167.42</v>
      </c>
      <c r="N57" s="184">
        <v>204.72</v>
      </c>
      <c r="O57" s="183">
        <v>242.01</v>
      </c>
      <c r="P57" s="178">
        <v>300.89</v>
      </c>
      <c r="Q57" s="183">
        <v>256.19</v>
      </c>
      <c r="R57" s="184">
        <v>334.73</v>
      </c>
      <c r="S57" s="184">
        <v>398.62</v>
      </c>
      <c r="T57" s="162"/>
      <c r="U57" s="162"/>
      <c r="V57" s="192"/>
      <c r="W57" s="77"/>
      <c r="X57" s="77"/>
      <c r="Y57" s="86"/>
    </row>
    <row r="58" spans="1:25" s="71" customFormat="1" ht="12.75" x14ac:dyDescent="0.2">
      <c r="A58" s="76"/>
      <c r="B58" s="170"/>
      <c r="C58" s="171" t="str">
        <f t="shared" si="2"/>
        <v xml:space="preserve"> </v>
      </c>
      <c r="D58" s="157">
        <v>6.4</v>
      </c>
      <c r="E58" s="190">
        <f t="shared" si="0"/>
        <v>173.55</v>
      </c>
      <c r="F58" s="175">
        <f t="shared" si="0"/>
        <v>212.06</v>
      </c>
      <c r="G58" s="173">
        <f t="shared" si="0"/>
        <v>250.57</v>
      </c>
      <c r="H58" s="174">
        <f t="shared" si="0"/>
        <v>311.39</v>
      </c>
      <c r="I58" s="173">
        <f t="shared" si="1"/>
        <v>265.07</v>
      </c>
      <c r="J58" s="175">
        <f t="shared" si="1"/>
        <v>346.22</v>
      </c>
      <c r="K58" s="175">
        <f t="shared" si="1"/>
        <v>413.54</v>
      </c>
      <c r="L58" s="162"/>
      <c r="M58" s="191">
        <v>173.55</v>
      </c>
      <c r="N58" s="179">
        <v>212.06</v>
      </c>
      <c r="O58" s="183">
        <v>250.57</v>
      </c>
      <c r="P58" s="178">
        <v>311.39</v>
      </c>
      <c r="Q58" s="183">
        <v>265.07</v>
      </c>
      <c r="R58" s="184">
        <v>346.22</v>
      </c>
      <c r="S58" s="184">
        <v>413.54</v>
      </c>
      <c r="T58" s="162"/>
      <c r="U58" s="162"/>
      <c r="V58" s="86"/>
      <c r="W58" s="80"/>
      <c r="X58" s="80"/>
    </row>
    <row r="59" spans="1:25" s="71" customFormat="1" ht="12.75" x14ac:dyDescent="0.2">
      <c r="A59" s="76"/>
      <c r="B59" s="170"/>
      <c r="C59" s="171" t="str">
        <f t="shared" si="2"/>
        <v xml:space="preserve"> </v>
      </c>
      <c r="D59" s="157">
        <v>6.8</v>
      </c>
      <c r="E59" s="190">
        <f t="shared" si="0"/>
        <v>179.68</v>
      </c>
      <c r="F59" s="175">
        <f t="shared" si="0"/>
        <v>219.4</v>
      </c>
      <c r="G59" s="173">
        <f t="shared" si="0"/>
        <v>259.13</v>
      </c>
      <c r="H59" s="174">
        <f t="shared" si="0"/>
        <v>321.89</v>
      </c>
      <c r="I59" s="173">
        <f t="shared" si="1"/>
        <v>273.95</v>
      </c>
      <c r="J59" s="175">
        <f t="shared" si="1"/>
        <v>357.71</v>
      </c>
      <c r="K59" s="175">
        <f t="shared" si="1"/>
        <v>428.46</v>
      </c>
      <c r="L59" s="182"/>
      <c r="M59" s="191">
        <v>179.68</v>
      </c>
      <c r="N59" s="184">
        <v>219.4</v>
      </c>
      <c r="O59" s="183">
        <v>259.13</v>
      </c>
      <c r="P59" s="178">
        <v>321.89</v>
      </c>
      <c r="Q59" s="183">
        <v>273.95</v>
      </c>
      <c r="R59" s="184">
        <v>357.71</v>
      </c>
      <c r="S59" s="184">
        <v>428.46</v>
      </c>
      <c r="T59" s="162"/>
      <c r="U59" s="162"/>
      <c r="V59" s="86"/>
    </row>
    <row r="60" spans="1:25" s="71" customFormat="1" ht="12.75" x14ac:dyDescent="0.2">
      <c r="A60" s="76"/>
      <c r="B60" s="170"/>
      <c r="C60" s="171" t="str">
        <f t="shared" si="2"/>
        <v xml:space="preserve"> </v>
      </c>
      <c r="D60" s="157">
        <v>7.2</v>
      </c>
      <c r="E60" s="190">
        <f t="shared" si="0"/>
        <v>185.81</v>
      </c>
      <c r="F60" s="175">
        <f t="shared" si="0"/>
        <v>226.74</v>
      </c>
      <c r="G60" s="173">
        <f t="shared" si="0"/>
        <v>267.68</v>
      </c>
      <c r="H60" s="174">
        <f t="shared" si="0"/>
        <v>332.29</v>
      </c>
      <c r="I60" s="173">
        <f t="shared" si="1"/>
        <v>282.83</v>
      </c>
      <c r="J60" s="175">
        <f t="shared" si="1"/>
        <v>369.21</v>
      </c>
      <c r="K60" s="175">
        <f t="shared" si="1"/>
        <v>443.38</v>
      </c>
      <c r="L60" s="162"/>
      <c r="M60" s="191">
        <v>185.81</v>
      </c>
      <c r="N60" s="184">
        <v>226.74</v>
      </c>
      <c r="O60" s="183">
        <v>267.68</v>
      </c>
      <c r="P60" s="178">
        <v>332.29</v>
      </c>
      <c r="Q60" s="183">
        <v>282.83</v>
      </c>
      <c r="R60" s="184">
        <v>369.21</v>
      </c>
      <c r="S60" s="184">
        <v>443.38</v>
      </c>
      <c r="T60" s="162"/>
      <c r="U60" s="162"/>
      <c r="V60" s="86"/>
    </row>
    <row r="61" spans="1:25" s="71" customFormat="1" ht="12.75" x14ac:dyDescent="0.2">
      <c r="A61" s="76"/>
      <c r="B61" s="170"/>
      <c r="C61" s="171" t="str">
        <f t="shared" si="2"/>
        <v xml:space="preserve"> </v>
      </c>
      <c r="D61" s="157">
        <v>7.6</v>
      </c>
      <c r="E61" s="190">
        <f t="shared" si="0"/>
        <v>191.94</v>
      </c>
      <c r="F61" s="175">
        <f t="shared" si="0"/>
        <v>234.09</v>
      </c>
      <c r="G61" s="173">
        <f t="shared" si="0"/>
        <v>276.24</v>
      </c>
      <c r="H61" s="174">
        <f t="shared" si="0"/>
        <v>342.89</v>
      </c>
      <c r="I61" s="173">
        <f t="shared" si="1"/>
        <v>291.70999999999998</v>
      </c>
      <c r="J61" s="175">
        <f t="shared" si="1"/>
        <v>380.7</v>
      </c>
      <c r="K61" s="175">
        <f t="shared" si="1"/>
        <v>458.3</v>
      </c>
      <c r="L61" s="182"/>
      <c r="M61" s="191">
        <v>191.94</v>
      </c>
      <c r="N61" s="179">
        <v>234.09</v>
      </c>
      <c r="O61" s="183">
        <v>276.24</v>
      </c>
      <c r="P61" s="178">
        <v>342.89</v>
      </c>
      <c r="Q61" s="183">
        <v>291.70999999999998</v>
      </c>
      <c r="R61" s="184">
        <v>380.7</v>
      </c>
      <c r="S61" s="184">
        <v>458.3</v>
      </c>
      <c r="T61" s="162"/>
      <c r="U61" s="162"/>
      <c r="V61" s="86"/>
    </row>
    <row r="62" spans="1:25" s="71" customFormat="1" ht="12.75" x14ac:dyDescent="0.2">
      <c r="A62" s="76"/>
      <c r="B62" s="170"/>
      <c r="C62" s="171" t="str">
        <f t="shared" si="2"/>
        <v xml:space="preserve"> </v>
      </c>
      <c r="D62" s="157">
        <v>8</v>
      </c>
      <c r="E62" s="190">
        <f t="shared" si="0"/>
        <v>198.06</v>
      </c>
      <c r="F62" s="175">
        <f t="shared" si="0"/>
        <v>241.43</v>
      </c>
      <c r="G62" s="173">
        <f t="shared" si="0"/>
        <v>284.8</v>
      </c>
      <c r="H62" s="174">
        <f t="shared" si="0"/>
        <v>353.39</v>
      </c>
      <c r="I62" s="173">
        <f t="shared" si="1"/>
        <v>300.58999999999997</v>
      </c>
      <c r="J62" s="175">
        <f t="shared" si="1"/>
        <v>392.19</v>
      </c>
      <c r="K62" s="175">
        <f t="shared" si="1"/>
        <v>473.22</v>
      </c>
      <c r="L62" s="162"/>
      <c r="M62" s="191">
        <v>198.06</v>
      </c>
      <c r="N62" s="184">
        <v>241.43</v>
      </c>
      <c r="O62" s="183">
        <v>284.8</v>
      </c>
      <c r="P62" s="178">
        <v>353.39</v>
      </c>
      <c r="Q62" s="183">
        <v>300.58999999999997</v>
      </c>
      <c r="R62" s="184">
        <v>392.19</v>
      </c>
      <c r="S62" s="184">
        <v>473.22</v>
      </c>
      <c r="T62" s="162"/>
      <c r="U62" s="162"/>
      <c r="V62" s="86"/>
    </row>
    <row r="63" spans="1:25" s="71" customFormat="1" ht="12.75" x14ac:dyDescent="0.2">
      <c r="A63" s="76"/>
      <c r="B63" s="170"/>
      <c r="C63" s="171" t="str">
        <f t="shared" si="2"/>
        <v xml:space="preserve"> </v>
      </c>
      <c r="D63" s="157">
        <v>8.4</v>
      </c>
      <c r="E63" s="190">
        <f t="shared" si="0"/>
        <v>204.19</v>
      </c>
      <c r="F63" s="175">
        <f t="shared" si="0"/>
        <v>248.77</v>
      </c>
      <c r="G63" s="173">
        <f t="shared" si="0"/>
        <v>293.35000000000002</v>
      </c>
      <c r="H63" s="174">
        <f t="shared" si="0"/>
        <v>363.89</v>
      </c>
      <c r="I63" s="173">
        <f t="shared" si="1"/>
        <v>309.47000000000003</v>
      </c>
      <c r="J63" s="175">
        <f t="shared" si="1"/>
        <v>403.69</v>
      </c>
      <c r="K63" s="175">
        <f t="shared" si="1"/>
        <v>488.14</v>
      </c>
      <c r="L63" s="182"/>
      <c r="M63" s="191">
        <v>204.19</v>
      </c>
      <c r="N63" s="184">
        <v>248.77</v>
      </c>
      <c r="O63" s="183">
        <v>293.35000000000002</v>
      </c>
      <c r="P63" s="178">
        <v>363.89</v>
      </c>
      <c r="Q63" s="183">
        <v>309.47000000000003</v>
      </c>
      <c r="R63" s="184">
        <v>403.69</v>
      </c>
      <c r="S63" s="184">
        <v>488.14</v>
      </c>
      <c r="T63" s="162"/>
      <c r="U63" s="162"/>
      <c r="V63" s="86"/>
    </row>
    <row r="64" spans="1:25" s="71" customFormat="1" ht="12.75" x14ac:dyDescent="0.2">
      <c r="A64" s="76"/>
      <c r="B64" s="170"/>
      <c r="C64" s="171" t="str">
        <f t="shared" si="2"/>
        <v xml:space="preserve"> </v>
      </c>
      <c r="D64" s="157">
        <v>8.8000000000000007</v>
      </c>
      <c r="E64" s="190">
        <f t="shared" si="0"/>
        <v>210.32</v>
      </c>
      <c r="F64" s="175">
        <f t="shared" si="0"/>
        <v>256.12</v>
      </c>
      <c r="G64" s="173">
        <f t="shared" si="0"/>
        <v>301.91000000000003</v>
      </c>
      <c r="H64" s="174">
        <f t="shared" si="0"/>
        <v>374.39</v>
      </c>
      <c r="I64" s="173">
        <f t="shared" si="1"/>
        <v>318.35000000000002</v>
      </c>
      <c r="J64" s="175">
        <f t="shared" si="1"/>
        <v>415.18</v>
      </c>
      <c r="K64" s="175">
        <f t="shared" si="1"/>
        <v>503.06</v>
      </c>
      <c r="L64" s="162"/>
      <c r="M64" s="191">
        <v>210.32</v>
      </c>
      <c r="N64" s="179">
        <v>256.12</v>
      </c>
      <c r="O64" s="183">
        <v>301.91000000000003</v>
      </c>
      <c r="P64" s="178">
        <v>374.39</v>
      </c>
      <c r="Q64" s="183">
        <v>318.35000000000002</v>
      </c>
      <c r="R64" s="184">
        <v>415.18</v>
      </c>
      <c r="S64" s="184">
        <v>503.06</v>
      </c>
      <c r="T64" s="162"/>
      <c r="U64" s="162"/>
      <c r="V64" s="86"/>
    </row>
    <row r="65" spans="1:24" s="71" customFormat="1" ht="12.75" x14ac:dyDescent="0.2">
      <c r="A65" s="76"/>
      <c r="B65" s="170"/>
      <c r="C65" s="171" t="str">
        <f t="shared" si="2"/>
        <v xml:space="preserve"> </v>
      </c>
      <c r="D65" s="157">
        <v>9.1999999999999993</v>
      </c>
      <c r="E65" s="190">
        <f t="shared" si="0"/>
        <v>216.45</v>
      </c>
      <c r="F65" s="175">
        <f t="shared" si="0"/>
        <v>263.45999999999998</v>
      </c>
      <c r="G65" s="173">
        <f t="shared" si="0"/>
        <v>310.47000000000003</v>
      </c>
      <c r="H65" s="174">
        <f t="shared" si="0"/>
        <v>384.89</v>
      </c>
      <c r="I65" s="173">
        <f t="shared" si="1"/>
        <v>327.23</v>
      </c>
      <c r="J65" s="175">
        <f t="shared" si="1"/>
        <v>426.67</v>
      </c>
      <c r="K65" s="175">
        <f t="shared" si="1"/>
        <v>517.98</v>
      </c>
      <c r="L65" s="182"/>
      <c r="M65" s="191">
        <v>216.45</v>
      </c>
      <c r="N65" s="184">
        <v>263.45999999999998</v>
      </c>
      <c r="O65" s="183">
        <v>310.47000000000003</v>
      </c>
      <c r="P65" s="178">
        <v>384.89</v>
      </c>
      <c r="Q65" s="183">
        <v>327.23</v>
      </c>
      <c r="R65" s="184">
        <v>426.67</v>
      </c>
      <c r="S65" s="184">
        <v>517.98</v>
      </c>
      <c r="T65" s="162"/>
      <c r="U65" s="162"/>
      <c r="V65" s="86"/>
    </row>
    <row r="66" spans="1:24" s="71" customFormat="1" ht="12.75" x14ac:dyDescent="0.2">
      <c r="A66" s="76"/>
      <c r="B66" s="170"/>
      <c r="C66" s="171" t="str">
        <f t="shared" si="2"/>
        <v xml:space="preserve"> </v>
      </c>
      <c r="D66" s="157">
        <v>9.6</v>
      </c>
      <c r="E66" s="190">
        <f t="shared" si="0"/>
        <v>222.58</v>
      </c>
      <c r="F66" s="175">
        <f t="shared" si="0"/>
        <v>270.8</v>
      </c>
      <c r="G66" s="173">
        <f t="shared" si="0"/>
        <v>319.02</v>
      </c>
      <c r="H66" s="174">
        <f t="shared" si="0"/>
        <v>395.39</v>
      </c>
      <c r="I66" s="173">
        <f t="shared" si="1"/>
        <v>336.11</v>
      </c>
      <c r="J66" s="175">
        <f t="shared" si="1"/>
        <v>438.16</v>
      </c>
      <c r="K66" s="175">
        <f t="shared" si="1"/>
        <v>532.9</v>
      </c>
      <c r="L66" s="162"/>
      <c r="M66" s="191">
        <v>222.58</v>
      </c>
      <c r="N66" s="184">
        <v>270.8</v>
      </c>
      <c r="O66" s="183">
        <v>319.02</v>
      </c>
      <c r="P66" s="178">
        <v>395.39</v>
      </c>
      <c r="Q66" s="183">
        <v>336.11</v>
      </c>
      <c r="R66" s="184">
        <v>438.16</v>
      </c>
      <c r="S66" s="184">
        <v>532.9</v>
      </c>
      <c r="T66" s="162"/>
      <c r="U66" s="162"/>
      <c r="V66" s="86"/>
    </row>
    <row r="67" spans="1:24" s="71" customFormat="1" ht="12.75" x14ac:dyDescent="0.2">
      <c r="A67" s="76"/>
      <c r="B67" s="170"/>
      <c r="C67" s="171" t="str">
        <f t="shared" si="2"/>
        <v xml:space="preserve"> </v>
      </c>
      <c r="D67" s="157">
        <v>10</v>
      </c>
      <c r="E67" s="190">
        <f t="shared" si="0"/>
        <v>228.71</v>
      </c>
      <c r="F67" s="175">
        <f t="shared" si="0"/>
        <v>278.14999999999998</v>
      </c>
      <c r="G67" s="173">
        <f t="shared" si="0"/>
        <v>327.58</v>
      </c>
      <c r="H67" s="174">
        <f t="shared" si="0"/>
        <v>405.89</v>
      </c>
      <c r="I67" s="173">
        <f t="shared" si="1"/>
        <v>344.96899999999999</v>
      </c>
      <c r="J67" s="175">
        <f t="shared" si="1"/>
        <v>449.66</v>
      </c>
      <c r="K67" s="175">
        <f t="shared" si="1"/>
        <v>547.82000000000005</v>
      </c>
      <c r="L67" s="182"/>
      <c r="M67" s="191">
        <v>228.71</v>
      </c>
      <c r="N67" s="179">
        <v>278.14999999999998</v>
      </c>
      <c r="O67" s="183">
        <v>327.58</v>
      </c>
      <c r="P67" s="178">
        <v>405.89</v>
      </c>
      <c r="Q67" s="183">
        <v>344.96899999999999</v>
      </c>
      <c r="R67" s="184">
        <v>449.66</v>
      </c>
      <c r="S67" s="184">
        <v>547.82000000000005</v>
      </c>
      <c r="T67" s="162"/>
      <c r="U67" s="162"/>
      <c r="V67" s="86"/>
    </row>
    <row r="68" spans="1:24" s="71" customFormat="1" ht="12.75" x14ac:dyDescent="0.2">
      <c r="A68" s="76"/>
      <c r="B68" s="170"/>
      <c r="C68" s="171" t="str">
        <f t="shared" si="2"/>
        <v xml:space="preserve"> </v>
      </c>
      <c r="D68" s="157">
        <v>10.4</v>
      </c>
      <c r="E68" s="190">
        <f t="shared" si="0"/>
        <v>234.84</v>
      </c>
      <c r="F68" s="175">
        <f t="shared" si="0"/>
        <v>285.49</v>
      </c>
      <c r="G68" s="173">
        <f t="shared" si="0"/>
        <v>336.14</v>
      </c>
      <c r="H68" s="174">
        <f t="shared" si="0"/>
        <v>416.4</v>
      </c>
      <c r="I68" s="173">
        <f t="shared" si="1"/>
        <v>353.87</v>
      </c>
      <c r="J68" s="175">
        <f t="shared" si="1"/>
        <v>461.15</v>
      </c>
      <c r="K68" s="175">
        <f t="shared" si="1"/>
        <v>562.74</v>
      </c>
      <c r="L68" s="162"/>
      <c r="M68" s="191">
        <v>234.84</v>
      </c>
      <c r="N68" s="184">
        <v>285.49</v>
      </c>
      <c r="O68" s="183">
        <v>336.14</v>
      </c>
      <c r="P68" s="178">
        <v>416.4</v>
      </c>
      <c r="Q68" s="183">
        <v>353.87</v>
      </c>
      <c r="R68" s="184">
        <v>461.15</v>
      </c>
      <c r="S68" s="184">
        <v>562.74</v>
      </c>
      <c r="T68" s="162"/>
      <c r="U68" s="162"/>
      <c r="V68" s="86"/>
    </row>
    <row r="69" spans="1:24" s="71" customFormat="1" ht="12.75" x14ac:dyDescent="0.2">
      <c r="A69" s="76"/>
      <c r="B69" s="170"/>
      <c r="C69" s="171"/>
      <c r="D69" s="157">
        <v>10.8</v>
      </c>
      <c r="E69" s="190">
        <f t="shared" si="0"/>
        <v>240.97</v>
      </c>
      <c r="F69" s="175">
        <f t="shared" si="0"/>
        <v>282.83</v>
      </c>
      <c r="G69" s="173">
        <f t="shared" si="0"/>
        <v>344.69</v>
      </c>
      <c r="H69" s="174">
        <f t="shared" si="0"/>
        <v>426.9</v>
      </c>
      <c r="I69" s="173">
        <f t="shared" si="1"/>
        <v>362.74</v>
      </c>
      <c r="J69" s="175">
        <f t="shared" si="1"/>
        <v>472.64</v>
      </c>
      <c r="K69" s="175">
        <f t="shared" si="1"/>
        <v>577.66</v>
      </c>
      <c r="L69" s="162"/>
      <c r="M69" s="191">
        <v>240.97</v>
      </c>
      <c r="N69" s="184">
        <v>282.83</v>
      </c>
      <c r="O69" s="183">
        <v>344.69</v>
      </c>
      <c r="P69" s="178">
        <v>426.9</v>
      </c>
      <c r="Q69" s="183">
        <v>362.74</v>
      </c>
      <c r="R69" s="184">
        <v>472.64</v>
      </c>
      <c r="S69" s="184">
        <v>577.66</v>
      </c>
      <c r="T69" s="162"/>
      <c r="U69" s="162"/>
      <c r="V69" s="86"/>
    </row>
    <row r="70" spans="1:24" s="71" customFormat="1" ht="12.75" x14ac:dyDescent="0.2">
      <c r="A70" s="76"/>
      <c r="B70" s="170"/>
      <c r="C70" s="171"/>
      <c r="D70" s="157">
        <v>11.2</v>
      </c>
      <c r="E70" s="190">
        <f t="shared" si="0"/>
        <v>247.1</v>
      </c>
      <c r="F70" s="175">
        <f t="shared" si="0"/>
        <v>300.17</v>
      </c>
      <c r="G70" s="173">
        <f t="shared" si="0"/>
        <v>353.25</v>
      </c>
      <c r="H70" s="174">
        <f t="shared" si="0"/>
        <v>437.4</v>
      </c>
      <c r="I70" s="173">
        <f t="shared" si="1"/>
        <v>371.62</v>
      </c>
      <c r="J70" s="175">
        <f t="shared" si="1"/>
        <v>484.14</v>
      </c>
      <c r="K70" s="175">
        <f t="shared" si="1"/>
        <v>592.58000000000004</v>
      </c>
      <c r="L70" s="162"/>
      <c r="M70" s="191">
        <v>247.1</v>
      </c>
      <c r="N70" s="184">
        <v>300.17</v>
      </c>
      <c r="O70" s="183">
        <v>353.25</v>
      </c>
      <c r="P70" s="178">
        <v>437.4</v>
      </c>
      <c r="Q70" s="183">
        <v>371.62</v>
      </c>
      <c r="R70" s="184">
        <v>484.14</v>
      </c>
      <c r="S70" s="184">
        <v>592.58000000000004</v>
      </c>
      <c r="T70" s="162"/>
      <c r="U70" s="162"/>
      <c r="V70" s="86"/>
    </row>
    <row r="71" spans="1:24" s="71" customFormat="1" ht="12.75" x14ac:dyDescent="0.2">
      <c r="A71" s="76"/>
      <c r="B71" s="170"/>
      <c r="C71" s="171"/>
      <c r="D71" s="157">
        <v>11.6</v>
      </c>
      <c r="E71" s="190">
        <f t="shared" si="0"/>
        <v>253.23</v>
      </c>
      <c r="F71" s="175">
        <f t="shared" si="0"/>
        <v>307.52</v>
      </c>
      <c r="G71" s="173">
        <f t="shared" si="0"/>
        <v>361.8</v>
      </c>
      <c r="H71" s="174">
        <f t="shared" si="0"/>
        <v>447.9</v>
      </c>
      <c r="I71" s="173">
        <f t="shared" si="1"/>
        <v>380.5</v>
      </c>
      <c r="J71" s="175">
        <f t="shared" si="1"/>
        <v>495.63</v>
      </c>
      <c r="K71" s="175">
        <f t="shared" si="1"/>
        <v>607.5</v>
      </c>
      <c r="L71" s="162"/>
      <c r="M71" s="191">
        <v>253.23</v>
      </c>
      <c r="N71" s="184">
        <v>307.52</v>
      </c>
      <c r="O71" s="183">
        <v>361.8</v>
      </c>
      <c r="P71" s="178">
        <v>447.9</v>
      </c>
      <c r="Q71" s="183">
        <v>380.5</v>
      </c>
      <c r="R71" s="184">
        <v>495.63</v>
      </c>
      <c r="S71" s="184">
        <v>607.5</v>
      </c>
      <c r="T71" s="162"/>
      <c r="U71" s="162"/>
      <c r="V71" s="86"/>
    </row>
    <row r="72" spans="1:24" s="71" customFormat="1" ht="12.75" x14ac:dyDescent="0.2">
      <c r="A72" s="76"/>
      <c r="B72" s="170"/>
      <c r="C72" s="171"/>
      <c r="D72" s="157">
        <v>12</v>
      </c>
      <c r="E72" s="190">
        <f t="shared" si="0"/>
        <v>259.36</v>
      </c>
      <c r="F72" s="175">
        <f t="shared" si="0"/>
        <v>314.86</v>
      </c>
      <c r="G72" s="173">
        <f t="shared" si="0"/>
        <v>370.36</v>
      </c>
      <c r="H72" s="174">
        <f t="shared" si="0"/>
        <v>458.4</v>
      </c>
      <c r="I72" s="173">
        <f t="shared" si="1"/>
        <v>389.38</v>
      </c>
      <c r="J72" s="175">
        <f t="shared" si="1"/>
        <v>507.12</v>
      </c>
      <c r="K72" s="175">
        <f t="shared" si="1"/>
        <v>622.41999999999996</v>
      </c>
      <c r="L72" s="162"/>
      <c r="M72" s="191">
        <v>259.36</v>
      </c>
      <c r="N72" s="184">
        <v>314.86</v>
      </c>
      <c r="O72" s="183">
        <v>370.36</v>
      </c>
      <c r="P72" s="178">
        <v>458.4</v>
      </c>
      <c r="Q72" s="183">
        <v>389.38</v>
      </c>
      <c r="R72" s="184">
        <v>507.12</v>
      </c>
      <c r="S72" s="184">
        <v>622.41999999999996</v>
      </c>
      <c r="T72" s="162"/>
      <c r="U72" s="162"/>
      <c r="V72" s="86"/>
    </row>
    <row r="73" spans="1:24" s="71" customFormat="1" ht="12.75" x14ac:dyDescent="0.2">
      <c r="A73" s="76"/>
      <c r="B73" s="170"/>
      <c r="C73" s="171" t="str">
        <f>IF(AND($B$6&gt;0,$B$6&gt;D68,$B$6&lt;=D73),"D"," ")</f>
        <v xml:space="preserve"> </v>
      </c>
      <c r="D73" s="157">
        <v>12.4</v>
      </c>
      <c r="E73" s="190">
        <f t="shared" si="0"/>
        <v>265.49</v>
      </c>
      <c r="F73" s="175">
        <f t="shared" si="0"/>
        <v>322.2</v>
      </c>
      <c r="G73" s="173">
        <f t="shared" si="0"/>
        <v>378.92</v>
      </c>
      <c r="H73" s="174">
        <f t="shared" si="0"/>
        <v>468.9</v>
      </c>
      <c r="I73" s="173">
        <f t="shared" si="1"/>
        <v>398.26</v>
      </c>
      <c r="J73" s="175">
        <f t="shared" si="1"/>
        <v>518.61</v>
      </c>
      <c r="K73" s="175">
        <f t="shared" si="1"/>
        <v>637.34</v>
      </c>
      <c r="L73" s="182"/>
      <c r="M73" s="191">
        <v>265.49</v>
      </c>
      <c r="N73" s="184">
        <v>322.2</v>
      </c>
      <c r="O73" s="183">
        <v>378.92</v>
      </c>
      <c r="P73" s="178">
        <v>468.9</v>
      </c>
      <c r="Q73" s="183">
        <v>398.26</v>
      </c>
      <c r="R73" s="184">
        <v>518.61</v>
      </c>
      <c r="S73" s="184">
        <v>637.34</v>
      </c>
      <c r="T73" s="162"/>
      <c r="U73" s="162"/>
      <c r="V73" s="86"/>
    </row>
    <row r="74" spans="1:24" s="71" customFormat="1" ht="12.75" x14ac:dyDescent="0.2">
      <c r="A74" s="76"/>
      <c r="B74" s="170"/>
      <c r="C74" s="171"/>
      <c r="D74" s="157">
        <v>12.8</v>
      </c>
      <c r="E74" s="190">
        <f t="shared" si="0"/>
        <v>271.62</v>
      </c>
      <c r="F74" s="175">
        <f t="shared" si="0"/>
        <v>329.55</v>
      </c>
      <c r="G74" s="173">
        <f t="shared" si="0"/>
        <v>387.47</v>
      </c>
      <c r="H74" s="174">
        <f t="shared" si="0"/>
        <v>479.4</v>
      </c>
      <c r="I74" s="173">
        <f t="shared" si="1"/>
        <v>407.14</v>
      </c>
      <c r="J74" s="175">
        <f t="shared" si="1"/>
        <v>530.11</v>
      </c>
      <c r="K74" s="175">
        <f t="shared" si="1"/>
        <v>652.26</v>
      </c>
      <c r="L74" s="182"/>
      <c r="M74" s="191">
        <v>271.62</v>
      </c>
      <c r="N74" s="184">
        <v>329.55</v>
      </c>
      <c r="O74" s="183">
        <v>387.47</v>
      </c>
      <c r="P74" s="178">
        <v>479.4</v>
      </c>
      <c r="Q74" s="183">
        <v>407.14</v>
      </c>
      <c r="R74" s="184">
        <v>530.11</v>
      </c>
      <c r="S74" s="184">
        <v>652.26</v>
      </c>
      <c r="T74" s="162"/>
      <c r="U74" s="162"/>
      <c r="V74" s="86"/>
    </row>
    <row r="75" spans="1:24" s="71" customFormat="1" ht="12.75" x14ac:dyDescent="0.2">
      <c r="A75" s="76"/>
      <c r="B75" s="193" t="s">
        <v>147</v>
      </c>
      <c r="C75" s="171" t="str">
        <f>IF(AND($B$6&gt;0,$B$6&gt;D73,$B$6&lt;=D75),"D"," ")</f>
        <v xml:space="preserve"> </v>
      </c>
      <c r="D75" s="157">
        <v>13.2</v>
      </c>
      <c r="E75" s="190">
        <f t="shared" si="0"/>
        <v>277.75</v>
      </c>
      <c r="F75" s="175">
        <f t="shared" si="0"/>
        <v>336.89</v>
      </c>
      <c r="G75" s="173">
        <f t="shared" si="0"/>
        <v>396.03</v>
      </c>
      <c r="H75" s="174">
        <f t="shared" si="0"/>
        <v>489.9</v>
      </c>
      <c r="I75" s="173">
        <f t="shared" si="1"/>
        <v>416.2</v>
      </c>
      <c r="J75" s="175">
        <f t="shared" si="1"/>
        <v>541.6</v>
      </c>
      <c r="K75" s="175">
        <f t="shared" si="1"/>
        <v>667.18</v>
      </c>
      <c r="L75" s="162"/>
      <c r="M75" s="191">
        <v>277.75</v>
      </c>
      <c r="N75" s="179">
        <v>336.89</v>
      </c>
      <c r="O75" s="183">
        <v>396.03</v>
      </c>
      <c r="P75" s="178">
        <v>489.9</v>
      </c>
      <c r="Q75" s="183">
        <v>416.2</v>
      </c>
      <c r="R75" s="184">
        <v>541.6</v>
      </c>
      <c r="S75" s="184">
        <v>667.18</v>
      </c>
      <c r="T75" s="162"/>
      <c r="U75" s="162"/>
      <c r="V75" s="86"/>
    </row>
    <row r="76" spans="1:24" s="71" customFormat="1" ht="12.75" x14ac:dyDescent="0.2">
      <c r="A76" s="76"/>
      <c r="B76" s="194"/>
      <c r="C76" s="194" t="str">
        <f>IF(AND($B$6&gt;0,$B$6&gt;D75,$B$6&lt;=D76),"D"," ")</f>
        <v xml:space="preserve"> </v>
      </c>
      <c r="D76" s="195"/>
      <c r="E76" s="196"/>
      <c r="F76" s="197"/>
      <c r="G76" s="198"/>
      <c r="H76" s="199"/>
      <c r="I76" s="198"/>
      <c r="J76" s="198"/>
      <c r="K76" s="197"/>
      <c r="L76" s="182"/>
      <c r="M76" s="196"/>
      <c r="N76" s="197"/>
      <c r="O76" s="198"/>
      <c r="P76" s="200"/>
      <c r="Q76" s="198"/>
      <c r="R76" s="197"/>
      <c r="S76" s="197"/>
      <c r="T76" s="162"/>
      <c r="U76" s="162"/>
      <c r="V76" s="86"/>
    </row>
    <row r="77" spans="1:24" s="71" customFormat="1" ht="12.75" x14ac:dyDescent="0.2">
      <c r="A77" s="76"/>
      <c r="B77" s="95"/>
      <c r="C77" s="201"/>
      <c r="D77" s="110" t="s">
        <v>147</v>
      </c>
      <c r="E77" s="895">
        <f t="shared" ref="E77:K77" si="4">VLOOKUP("V",$B$35:$U$76,E14,FALSE)</f>
        <v>277.75</v>
      </c>
      <c r="F77" s="896">
        <f t="shared" si="4"/>
        <v>336.89</v>
      </c>
      <c r="G77" s="895">
        <f t="shared" si="4"/>
        <v>396.03</v>
      </c>
      <c r="H77" s="897">
        <f t="shared" si="4"/>
        <v>489.9</v>
      </c>
      <c r="I77" s="898">
        <f t="shared" si="4"/>
        <v>416.2</v>
      </c>
      <c r="J77" s="895">
        <f t="shared" si="4"/>
        <v>541.6</v>
      </c>
      <c r="K77" s="895">
        <f t="shared" si="4"/>
        <v>667.18</v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86"/>
    </row>
    <row r="78" spans="1:24" s="71" customFormat="1" ht="12.75" x14ac:dyDescent="0.2">
      <c r="A78" s="76"/>
      <c r="B78" s="72"/>
      <c r="C78" s="203"/>
      <c r="D78" s="204" t="s">
        <v>148</v>
      </c>
      <c r="E78" s="895">
        <f t="shared" ref="E78:K78" si="5">IF($B$6&gt;0,VLOOKUP("D",$C$35:$U$76,E14-1,FALSE)," ")</f>
        <v>40.836860000000001</v>
      </c>
      <c r="F78" s="895">
        <f t="shared" si="5"/>
        <v>55.29</v>
      </c>
      <c r="G78" s="895">
        <f t="shared" si="5"/>
        <v>63.03</v>
      </c>
      <c r="H78" s="897">
        <f t="shared" si="5"/>
        <v>73.760000000000005</v>
      </c>
      <c r="I78" s="898">
        <f t="shared" si="5"/>
        <v>67.44</v>
      </c>
      <c r="J78" s="895">
        <f t="shared" si="5"/>
        <v>85.82</v>
      </c>
      <c r="K78" s="895">
        <f t="shared" si="5"/>
        <v>105.58</v>
      </c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86"/>
    </row>
    <row r="79" spans="1:24" s="71" customFormat="1" ht="12.75" x14ac:dyDescent="0.2">
      <c r="B79" s="72"/>
      <c r="C79" s="72"/>
      <c r="D79" s="80"/>
      <c r="E79" s="80"/>
      <c r="F79" s="80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X79" s="80"/>
    </row>
    <row r="80" spans="1:24" s="71" customFormat="1" ht="12.75" x14ac:dyDescent="0.2">
      <c r="B80" s="72"/>
      <c r="C80" s="72"/>
      <c r="M80" s="79"/>
      <c r="N80" s="73"/>
      <c r="O80" s="73"/>
      <c r="P80" s="73"/>
      <c r="Q80" s="73"/>
      <c r="R80" s="73"/>
      <c r="S80" s="73"/>
      <c r="T80" s="73"/>
      <c r="U80" s="73"/>
    </row>
    <row r="81" spans="1:21" s="71" customFormat="1" ht="12.75" x14ac:dyDescent="0.2">
      <c r="A81" s="71" t="s">
        <v>124</v>
      </c>
      <c r="B81" s="73" t="s">
        <v>147</v>
      </c>
      <c r="C81" s="890">
        <f>IF(SUM(E15:U15)&gt;0,HLOOKUP(1,E15:K78,63,FALSE))</f>
        <v>396.03</v>
      </c>
      <c r="M81" s="79"/>
      <c r="N81" s="73"/>
      <c r="O81" s="73"/>
      <c r="P81" s="73"/>
      <c r="Q81" s="73"/>
      <c r="R81" s="73"/>
      <c r="S81" s="73"/>
      <c r="T81" s="73"/>
      <c r="U81" s="73"/>
    </row>
    <row r="82" spans="1:21" s="71" customFormat="1" ht="12.75" x14ac:dyDescent="0.2">
      <c r="A82" s="71" t="s">
        <v>125</v>
      </c>
      <c r="B82" s="73" t="s">
        <v>148</v>
      </c>
      <c r="C82" s="890">
        <f>IF(SUM(E15:U15)&gt;0,HLOOKUP(1,E15:K78,64,FALSE))</f>
        <v>63.03</v>
      </c>
      <c r="M82" s="79"/>
      <c r="N82" s="73"/>
      <c r="O82" s="73"/>
      <c r="P82" s="73"/>
      <c r="Q82" s="73"/>
      <c r="R82" s="73"/>
      <c r="S82" s="73"/>
      <c r="T82" s="73"/>
      <c r="U82" s="73"/>
    </row>
    <row r="83" spans="1:21" s="71" customFormat="1" ht="12.75" x14ac:dyDescent="0.2">
      <c r="B83" s="72"/>
      <c r="C83" s="72"/>
      <c r="M83" s="79"/>
      <c r="N83" s="73"/>
      <c r="O83" s="73"/>
      <c r="P83" s="73"/>
      <c r="Q83" s="73"/>
      <c r="R83" s="73"/>
      <c r="S83" s="73"/>
      <c r="T83" s="73"/>
      <c r="U83" s="7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F2A7-5370-4E04-BFCF-24645F561740}">
  <dimension ref="A2:T33"/>
  <sheetViews>
    <sheetView workbookViewId="0">
      <selection activeCell="B12" sqref="B12"/>
    </sheetView>
  </sheetViews>
  <sheetFormatPr defaultRowHeight="15" x14ac:dyDescent="0.25"/>
  <cols>
    <col min="1" max="1" customWidth="true" width="50.42578125"/>
    <col min="2" max="2" customWidth="true" width="27.42578125"/>
    <col min="3" max="3" customWidth="true" width="15.0"/>
    <col min="8" max="8" customWidth="true" width="13.140625"/>
    <col min="10" max="10" customWidth="true" width="11.28515625"/>
    <col min="14" max="14" customWidth="true" width="9.85546875"/>
    <col min="15" max="15" customWidth="true" width="13.7109375"/>
  </cols>
  <sheetData>
    <row r="2" spans="1:20" x14ac:dyDescent="0.25">
      <c r="A2" t="s">
        <v>1085</v>
      </c>
      <c r="B2" s="1127">
        <f>BLO!B6</f>
        <v>10010</v>
      </c>
      <c r="I2" s="14" t="s">
        <v>971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33"/>
    </row>
    <row r="3" spans="1:20" x14ac:dyDescent="0.25">
      <c r="A3" t="s">
        <v>0</v>
      </c>
      <c r="B3" s="1128" t="str">
        <f>'Kwaliteit conversie (3)'!B4</f>
        <v>B</v>
      </c>
      <c r="I3" s="6" t="s">
        <v>1012</v>
      </c>
      <c r="T3" s="7"/>
    </row>
    <row r="4" spans="1:20" x14ac:dyDescent="0.25">
      <c r="A4" t="s">
        <v>1</v>
      </c>
      <c r="B4" s="1128" t="str">
        <f>'Kwaliteit conversie (3)'!C4</f>
        <v>Wit extra sterk</v>
      </c>
      <c r="I4" s="6" t="s">
        <v>991</v>
      </c>
      <c r="T4" s="7"/>
    </row>
    <row r="5" spans="1:20" x14ac:dyDescent="0.25">
      <c r="I5" s="6"/>
      <c r="T5" s="7"/>
    </row>
    <row r="6" spans="1:20" x14ac:dyDescent="0.25">
      <c r="A6" t="s">
        <v>2</v>
      </c>
      <c r="B6" s="22" t="str">
        <f>BLO!B2</f>
        <v>0201</v>
      </c>
      <c r="I6" s="6"/>
      <c r="T6" s="7"/>
    </row>
    <row r="7" spans="1:20" x14ac:dyDescent="0.25">
      <c r="A7" t="s">
        <v>9</v>
      </c>
      <c r="B7" s="22">
        <f>BLO!B3</f>
        <v>300</v>
      </c>
      <c r="C7" t="s">
        <v>25</v>
      </c>
      <c r="I7" s="6"/>
      <c r="T7" s="7"/>
    </row>
    <row r="8" spans="1:20" x14ac:dyDescent="0.25">
      <c r="A8" t="s">
        <v>18</v>
      </c>
      <c r="B8" s="22">
        <f>BLO!B4</f>
        <v>250</v>
      </c>
      <c r="C8" t="s">
        <v>25</v>
      </c>
      <c r="I8" s="6"/>
      <c r="T8" s="7"/>
    </row>
    <row r="9" spans="1:20" x14ac:dyDescent="0.25">
      <c r="A9" t="s">
        <v>19</v>
      </c>
      <c r="B9" s="22">
        <f>BLO!B5</f>
        <v>100</v>
      </c>
      <c r="C9" t="s">
        <v>25</v>
      </c>
      <c r="I9" s="6"/>
      <c r="T9" s="7"/>
    </row>
    <row r="10" spans="1:20" x14ac:dyDescent="0.25">
      <c r="I10" s="6"/>
      <c r="T10" s="7"/>
    </row>
    <row r="11" spans="1:20" x14ac:dyDescent="0.25">
      <c r="A11" t="s">
        <v>3</v>
      </c>
      <c r="B11" s="22" t="str">
        <f>BLO!B12</f>
        <v>onbedrukt</v>
      </c>
      <c r="I11" s="6"/>
      <c r="T11" s="7"/>
    </row>
    <row r="12" spans="1:20" x14ac:dyDescent="0.25">
      <c r="A12" t="s">
        <v>4</v>
      </c>
      <c r="B12" s="22" t="s">
        <v>84</v>
      </c>
      <c r="I12" s="6"/>
      <c r="T12" s="7"/>
    </row>
    <row r="13" spans="1:20" x14ac:dyDescent="0.25">
      <c r="A13" t="s">
        <v>5</v>
      </c>
      <c r="B13" s="22" t="str">
        <f>BLO!B8</f>
        <v>geen handgrepen / stansbewerking</v>
      </c>
      <c r="I13" s="6"/>
      <c r="T13" s="7"/>
    </row>
    <row r="14" spans="1:20" x14ac:dyDescent="0.25">
      <c r="A14" t="s">
        <v>1088</v>
      </c>
      <c r="B14" s="22" t="s">
        <v>1089</v>
      </c>
      <c r="I14" s="6"/>
      <c r="T14" s="7"/>
    </row>
    <row r="15" spans="1:20" x14ac:dyDescent="0.25">
      <c r="A15" t="s">
        <v>969</v>
      </c>
      <c r="B15" s="22"/>
      <c r="C15" t="s">
        <v>25</v>
      </c>
      <c r="I15" s="415"/>
      <c r="J15" s="918"/>
      <c r="K15" s="918"/>
      <c r="L15" s="918"/>
      <c r="M15" s="918"/>
      <c r="N15" s="918"/>
      <c r="O15" s="918"/>
      <c r="P15" s="918"/>
      <c r="Q15" s="918"/>
      <c r="R15" s="918"/>
      <c r="S15" s="918"/>
      <c r="T15" s="912"/>
    </row>
    <row r="17" spans="1:19" x14ac:dyDescent="0.25">
      <c r="A17" t="s">
        <v>6</v>
      </c>
      <c r="B17" s="840">
        <f>Mastersheet!I15</f>
        <v>1800</v>
      </c>
      <c r="C17" t="s">
        <v>26</v>
      </c>
      <c r="I17" s="1005" t="s">
        <v>1080</v>
      </c>
      <c r="J17" s="1005"/>
      <c r="K17" s="1005"/>
      <c r="L17" s="1005"/>
      <c r="M17" s="1005"/>
      <c r="N17" s="1005"/>
      <c r="O17" s="1005"/>
    </row>
    <row r="18" spans="1:19" x14ac:dyDescent="0.25">
      <c r="I18" s="1109" t="s">
        <v>639</v>
      </c>
      <c r="J18" s="1110"/>
      <c r="K18" s="1110"/>
      <c r="L18" s="1111">
        <f>'Rekenblad (3)'!E1081</f>
        <v>0.18900118899999999</v>
      </c>
      <c r="M18" s="1110"/>
      <c r="N18" s="1110"/>
      <c r="O18" s="1112"/>
    </row>
    <row r="19" spans="1:19" x14ac:dyDescent="0.25">
      <c r="I19" s="1113" t="s">
        <v>645</v>
      </c>
      <c r="J19" s="1005"/>
      <c r="K19" s="1005"/>
      <c r="L19" s="1114">
        <f>'Rekenblad (3)'!E1083</f>
        <v>8.6574074074074067E-2</v>
      </c>
      <c r="M19" s="1277">
        <f>L19+L20</f>
        <v>8.879629629629629E-2</v>
      </c>
      <c r="N19" s="1279" t="s">
        <v>1081</v>
      </c>
      <c r="O19" s="1280"/>
      <c r="P19" s="615"/>
      <c r="S19" s="958"/>
    </row>
    <row r="20" spans="1:19" x14ac:dyDescent="0.25">
      <c r="I20" s="1113" t="s">
        <v>644</v>
      </c>
      <c r="J20" s="1005"/>
      <c r="K20" s="1005"/>
      <c r="L20" s="1114">
        <f>'Rekenblad (3)'!E1082</f>
        <v>2.2222222222222222E-3</v>
      </c>
      <c r="M20" s="1278"/>
      <c r="N20" s="1281"/>
      <c r="O20" s="1282"/>
      <c r="P20" s="615"/>
      <c r="S20" s="958"/>
    </row>
    <row r="21" spans="1:19" x14ac:dyDescent="0.25">
      <c r="A21" s="213" t="s">
        <v>660</v>
      </c>
      <c r="B21" s="213"/>
      <c r="C21" s="917" t="str">
        <f>IF('Rekenblad (3)'!I445=0," ",CEILING('Rekenblad (3)'!I445,10))</f>
        <v xml:space="preserve"> </v>
      </c>
      <c r="D21" s="44" t="s">
        <v>26</v>
      </c>
      <c r="I21" s="1113" t="s">
        <v>641</v>
      </c>
      <c r="J21" s="1005"/>
      <c r="K21" s="1005"/>
      <c r="L21" s="1114">
        <f>'Rekenblad (3)'!E1084</f>
        <v>1.1111111111111112E-2</v>
      </c>
      <c r="M21" s="1005"/>
      <c r="N21" s="1005"/>
      <c r="O21" s="1115"/>
      <c r="P21" s="615"/>
      <c r="S21" s="958"/>
    </row>
    <row r="22" spans="1:19" x14ac:dyDescent="0.25">
      <c r="I22" s="1119" t="s">
        <v>642</v>
      </c>
      <c r="J22" s="1120"/>
      <c r="K22" s="1120"/>
      <c r="L22" s="1121">
        <f>'Rekenblad (3)'!E1091</f>
        <v>4.1844916666666669E-2</v>
      </c>
      <c r="M22" s="1120"/>
      <c r="N22" s="1120"/>
      <c r="O22" s="1122"/>
    </row>
    <row r="23" spans="1:19" x14ac:dyDescent="0.25">
      <c r="A23" s="213" t="s">
        <v>970</v>
      </c>
      <c r="B23" s="915">
        <f>'Rekenblad (3)'!C1094</f>
        <v>0.35767043659337033</v>
      </c>
      <c r="C23" s="916">
        <f>B17</f>
        <v>1800</v>
      </c>
      <c r="D23" s="44" t="s">
        <v>661</v>
      </c>
      <c r="I23" s="1109"/>
      <c r="J23" s="1110"/>
      <c r="K23" s="1110"/>
      <c r="L23" s="1111"/>
      <c r="M23" s="1110"/>
      <c r="N23" s="1110"/>
      <c r="O23" s="1112"/>
    </row>
    <row r="24" spans="1:19" x14ac:dyDescent="0.25">
      <c r="I24" s="1119" t="s">
        <v>985</v>
      </c>
      <c r="J24" s="1120"/>
      <c r="K24" s="1120"/>
      <c r="L24" s="1121">
        <f>'Rekenblad (3)'!E1089</f>
        <v>2.6916923519296296E-2</v>
      </c>
      <c r="M24" s="1120"/>
      <c r="N24" s="1120"/>
      <c r="O24" s="1122"/>
    </row>
    <row r="25" spans="1:19" x14ac:dyDescent="0.25">
      <c r="I25" s="1123"/>
      <c r="J25" s="1110"/>
      <c r="K25" s="1110"/>
      <c r="L25" s="1110"/>
      <c r="M25" s="1110"/>
      <c r="N25" s="1110"/>
      <c r="O25" s="1112"/>
    </row>
    <row r="26" spans="1:19" x14ac:dyDescent="0.25">
      <c r="I26" s="1119" t="s">
        <v>651</v>
      </c>
      <c r="J26" s="1120"/>
      <c r="K26" s="1120"/>
      <c r="L26" s="1121">
        <f>'Rekenblad (3)'!E1093</f>
        <v>0.35767043659337033</v>
      </c>
      <c r="M26" s="1120"/>
      <c r="N26" s="1120"/>
      <c r="O26" s="1122"/>
    </row>
    <row r="27" spans="1:19" x14ac:dyDescent="0.25">
      <c r="A27" s="1274" t="s">
        <v>965</v>
      </c>
      <c r="B27" s="1275"/>
      <c r="C27" s="1275"/>
      <c r="D27" s="1276"/>
      <c r="I27" s="1113"/>
      <c r="J27" s="1005"/>
      <c r="K27" s="1005"/>
      <c r="L27" s="1114"/>
      <c r="M27" s="1005"/>
      <c r="N27" s="1005"/>
      <c r="O27" s="1115"/>
    </row>
    <row r="28" spans="1:19" x14ac:dyDescent="0.25">
      <c r="A28" s="944" t="s">
        <v>964</v>
      </c>
      <c r="B28" s="945" t="str">
        <f>IF('Rekenblad (3)'!AV46=1,'Pallet en transport (3)'!D151&amp; " x "&amp;'Pallet en transport (3)'!E151," ")</f>
        <v>1083 x 1200</v>
      </c>
      <c r="C28" s="946" t="s">
        <v>25</v>
      </c>
      <c r="D28" s="947"/>
      <c r="I28" s="1116"/>
      <c r="J28" s="1005"/>
      <c r="K28" s="1005"/>
      <c r="L28" s="1005"/>
      <c r="M28" s="1005"/>
      <c r="N28" s="1005"/>
      <c r="O28" s="1115"/>
    </row>
    <row r="29" spans="1:19" x14ac:dyDescent="0.25">
      <c r="A29" s="41" t="s">
        <v>939</v>
      </c>
      <c r="B29" s="26">
        <f>IF('Rekenblad (3)'!AV46=1,IF('Pallet en transport (3)'!D165=0,0,'Pallet en transport (3)'!D166)," ")</f>
        <v>25</v>
      </c>
      <c r="C29" t="s">
        <v>661</v>
      </c>
      <c r="D29" s="7"/>
      <c r="I29" s="1113"/>
      <c r="J29" s="1005"/>
      <c r="K29" s="1005"/>
      <c r="L29" s="1114"/>
      <c r="M29" s="1005"/>
      <c r="N29" s="1005"/>
      <c r="O29" s="1115"/>
    </row>
    <row r="30" spans="1:19" x14ac:dyDescent="0.25">
      <c r="A30" s="41" t="s">
        <v>943</v>
      </c>
      <c r="B30" s="26">
        <f>IF('Rekenblad (3)'!AV46=1,'Pallet en transport (3)'!D170," ")</f>
        <v>6</v>
      </c>
      <c r="C30" t="s">
        <v>661</v>
      </c>
      <c r="D30" s="7"/>
      <c r="I30" s="1116" t="s">
        <v>1079</v>
      </c>
      <c r="J30" s="1005"/>
      <c r="K30" s="1005"/>
      <c r="L30" s="1005"/>
      <c r="M30" s="1005"/>
      <c r="N30" s="1005"/>
      <c r="O30" s="1115"/>
    </row>
    <row r="31" spans="1:19" x14ac:dyDescent="0.25">
      <c r="A31" s="41" t="s">
        <v>977</v>
      </c>
      <c r="B31" s="26">
        <f>IF('Rekenblad (3)'!AV46=1,'Pallet en transport (3)'!D171," ")</f>
        <v>1800</v>
      </c>
      <c r="C31" t="s">
        <v>661</v>
      </c>
      <c r="D31" s="7"/>
      <c r="I31" s="1117">
        <f>'Rekenblad (3)'!C362</f>
        <v>0</v>
      </c>
      <c r="J31" s="1117">
        <f>'Rekenblad (3)'!D362</f>
        <v>0</v>
      </c>
      <c r="K31" s="1117">
        <f>'Rekenblad (3)'!E362</f>
        <v>0</v>
      </c>
      <c r="L31" s="1117">
        <f>'Rekenblad (3)'!F362</f>
        <v>1</v>
      </c>
      <c r="M31" s="1117">
        <f>'Rekenblad (3)'!G362</f>
        <v>0</v>
      </c>
      <c r="N31" s="1117">
        <f>'Rekenblad (3)'!H362</f>
        <v>0</v>
      </c>
      <c r="O31" s="1117">
        <f>'Rekenblad (3)'!I362</f>
        <v>0</v>
      </c>
    </row>
    <row r="32" spans="1:19" x14ac:dyDescent="0.25">
      <c r="A32" s="41" t="s">
        <v>966</v>
      </c>
      <c r="B32" s="26">
        <f>IF('Rekenblad (3)'!AV46=1,'Pallet en transport (3)'!D160," ")</f>
        <v>1950</v>
      </c>
      <c r="C32" t="s">
        <v>25</v>
      </c>
      <c r="D32" s="7"/>
      <c r="I32" s="1117" t="s">
        <v>66</v>
      </c>
      <c r="J32" s="1117" t="s">
        <v>65</v>
      </c>
      <c r="K32" s="1117" t="s">
        <v>63</v>
      </c>
      <c r="L32" s="1118" t="s">
        <v>64</v>
      </c>
      <c r="M32" s="1117" t="s">
        <v>554</v>
      </c>
      <c r="N32" s="1118" t="s">
        <v>54</v>
      </c>
      <c r="O32" s="1117" t="s">
        <v>67</v>
      </c>
    </row>
    <row r="33" spans="1:4" x14ac:dyDescent="0.25">
      <c r="A33" s="52" t="s">
        <v>978</v>
      </c>
      <c r="B33" s="432">
        <f>IF('Rekenblad (3)'!AV46=1,'Pallet en transport (3)'!D174," ")</f>
        <v>1</v>
      </c>
      <c r="C33" s="918" t="s">
        <v>661</v>
      </c>
      <c r="D33" s="912"/>
    </row>
  </sheetData>
  <mergeCells count="3">
    <mergeCell ref="M19:M20"/>
    <mergeCell ref="N19:O20"/>
    <mergeCell ref="A27:D27"/>
  </mergeCells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4">
        <x14:dataValidation type="list" allowBlank="1" showInputMessage="1" showErrorMessage="1" xr:uid="{64A0C500-A400-486B-9296-F61F2CDDB2A8}">
          <x14:formula1>
            <xm:f>'Rekenblad (3)'!$B$86:$B$107</xm:f>
          </x14:formula1>
          <xm:sqref>B6</xm:sqref>
        </x14:dataValidation>
        <x14:dataValidation type="list" allowBlank="1" showInputMessage="1" showErrorMessage="1" xr:uid="{10FB6214-C4AB-4CAD-A448-537AFEB6EF38}">
          <x14:formula1>
            <xm:f>'Rekenblad (3)'!$B$113:$B$116</xm:f>
          </x14:formula1>
          <xm:sqref>B11</xm:sqref>
        </x14:dataValidation>
        <x14:dataValidation type="list" allowBlank="1" showInputMessage="1" showErrorMessage="1" xr:uid="{F45C837A-2E9C-4191-86BF-E270A7B25F38}">
          <x14:formula1>
            <xm:f>'Rekenblad (3)'!$B$121:$B$128</xm:f>
          </x14:formula1>
          <xm:sqref>B12</xm:sqref>
        </x14:dataValidation>
        <x14:dataValidation type="list" allowBlank="1" showInputMessage="1" showErrorMessage="1" xr:uid="{5B15DED3-AD90-4B5F-916D-42F12D7105EC}">
          <x14:formula1>
            <xm:f>'Rekenblad (3)'!$B$133:$B$136</xm:f>
          </x14:formula1>
          <xm:sqref>B13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373B-8DFB-48C7-97C8-FDB06B3AEC36}">
  <dimension ref="A2:BD1572"/>
  <sheetViews>
    <sheetView topLeftCell="A1069" workbookViewId="0">
      <selection activeCell="E1102" sqref="E1102"/>
    </sheetView>
  </sheetViews>
  <sheetFormatPr defaultRowHeight="15" x14ac:dyDescent="0.25"/>
  <cols>
    <col min="1" max="1" customWidth="true" width="17.5703125"/>
    <col min="2" max="2" customWidth="true" style="1" width="44.28515625"/>
    <col min="3" max="3" customWidth="true" width="32.85546875"/>
    <col min="4" max="4" customWidth="true" width="24.7109375"/>
    <col min="5" max="5" customWidth="true" width="19.7109375"/>
    <col min="6" max="6" customWidth="true" width="16.28515625"/>
    <col min="7" max="7" customWidth="true" width="20.5703125"/>
    <col min="8" max="8" customWidth="true" width="25.0"/>
    <col min="9" max="9" customWidth="true" width="23.140625"/>
    <col min="10" max="10" customWidth="true" width="21.7109375"/>
    <col min="11" max="11" customWidth="true" width="20.28515625"/>
    <col min="12" max="12" customWidth="true" width="25.7109375"/>
    <col min="13" max="13" customWidth="true" width="18.7109375"/>
    <col min="14" max="14" customWidth="true" width="19.85546875"/>
    <col min="15" max="15" customWidth="true" width="20.0"/>
    <col min="16" max="16" customWidth="true" width="21.85546875"/>
    <col min="17" max="17" customWidth="true" width="16.42578125"/>
    <col min="18" max="18" customWidth="true" width="22.7109375"/>
    <col min="19" max="19" customWidth="true" width="20.7109375"/>
    <col min="20" max="20" customWidth="true" width="22.7109375"/>
    <col min="21" max="21" customWidth="true" width="16.42578125"/>
    <col min="22" max="22" customWidth="true" width="16.85546875"/>
    <col min="23" max="23" customWidth="true" width="16.0"/>
    <col min="24" max="24" customWidth="true" width="12.5703125"/>
    <col min="25" max="25" bestFit="true" customWidth="true" style="2" width="9.28515625"/>
    <col min="26" max="26" bestFit="true" customWidth="true" width="9.28515625"/>
    <col min="27" max="27" customWidth="true" width="38.0"/>
    <col min="28" max="28" customWidth="true" width="15.7109375"/>
    <col min="29" max="29" customWidth="true" width="11.85546875"/>
    <col min="32" max="32" customWidth="true" width="13.28515625"/>
    <col min="39" max="39" customWidth="true" width="17.0"/>
    <col min="40" max="40" customWidth="true" width="16.85546875"/>
    <col min="43" max="43" customWidth="true" width="10.0"/>
    <col min="44" max="44" customWidth="true" width="13.5703125"/>
    <col min="46" max="46" customWidth="true" width="11.85546875"/>
    <col min="47" max="47" customWidth="true" width="11.7109375"/>
    <col min="48" max="48" customWidth="true" width="16.7109375"/>
    <col min="49" max="49" customWidth="true" width="21.42578125"/>
    <col min="50" max="50" customWidth="true" width="17.0"/>
    <col min="51" max="51" customWidth="true" width="16.85546875"/>
    <col min="52" max="52" customWidth="true" width="20.7109375"/>
  </cols>
  <sheetData>
    <row r="2" spans="2:5" x14ac:dyDescent="0.25">
      <c r="B2" s="1" t="s">
        <v>77</v>
      </c>
      <c r="C2" s="2" t="str">
        <f>'Input (3)'!B6</f>
        <v>0201</v>
      </c>
    </row>
    <row r="3" spans="2:5" x14ac:dyDescent="0.25">
      <c r="B3" s="1" t="s">
        <v>61</v>
      </c>
      <c r="C3" s="2">
        <f>'Input (3)'!B17</f>
        <v>1800</v>
      </c>
    </row>
    <row r="4" spans="2:5" x14ac:dyDescent="0.25">
      <c r="B4" s="1" t="s">
        <v>584</v>
      </c>
      <c r="C4" s="2" t="str">
        <f>'Kwaliteit conversie (3)'!B4</f>
        <v>B</v>
      </c>
    </row>
    <row r="5" spans="2:5" x14ac:dyDescent="0.25">
      <c r="C5" s="2"/>
    </row>
    <row r="6" spans="2:5" x14ac:dyDescent="0.25">
      <c r="B6" s="1" t="s">
        <v>9</v>
      </c>
      <c r="C6" s="2">
        <f>'Input (3)'!B7</f>
        <v>300</v>
      </c>
    </row>
    <row r="7" spans="2:5" x14ac:dyDescent="0.25">
      <c r="B7" s="1" t="s">
        <v>10</v>
      </c>
      <c r="C7" s="2">
        <f>'Input (3)'!B8</f>
        <v>250</v>
      </c>
    </row>
    <row r="8" spans="2:5" x14ac:dyDescent="0.25">
      <c r="B8" s="1" t="s">
        <v>11</v>
      </c>
      <c r="C8" s="2">
        <f>'Input (3)'!B9</f>
        <v>100</v>
      </c>
    </row>
    <row r="9" spans="2:5" x14ac:dyDescent="0.25">
      <c r="B9" s="1" t="s">
        <v>152</v>
      </c>
      <c r="C9" s="2">
        <f>IF(SUM(D1072:D1074)=3,1,0)</f>
        <v>1</v>
      </c>
    </row>
    <row r="10" spans="2:5" x14ac:dyDescent="0.25">
      <c r="B10" s="1" t="s">
        <v>156</v>
      </c>
      <c r="C10" s="2">
        <f>IF(AND(E1071=1,C6&gt;=C7),1,IF(E1071=0,1,0))</f>
        <v>1</v>
      </c>
      <c r="D10" s="2"/>
      <c r="E10" s="2"/>
    </row>
    <row r="11" spans="2:5" x14ac:dyDescent="0.25">
      <c r="C11" s="2"/>
      <c r="D11" s="2"/>
      <c r="E11" s="2"/>
    </row>
    <row r="12" spans="2:5" x14ac:dyDescent="0.25">
      <c r="B12" s="1" t="s">
        <v>7</v>
      </c>
      <c r="C12" s="2">
        <f>E145</f>
        <v>2</v>
      </c>
    </row>
    <row r="13" spans="2:5" x14ac:dyDescent="0.25">
      <c r="B13" s="1" t="s">
        <v>47</v>
      </c>
      <c r="C13" s="2">
        <f>F145</f>
        <v>3</v>
      </c>
    </row>
    <row r="14" spans="2:5" x14ac:dyDescent="0.25">
      <c r="B14" s="1" t="s">
        <v>80</v>
      </c>
      <c r="C14" s="2" t="str">
        <f>'Input (3)'!B11</f>
        <v>onbedrukt</v>
      </c>
    </row>
    <row r="15" spans="2:5" x14ac:dyDescent="0.25">
      <c r="B15" s="1" t="s">
        <v>83</v>
      </c>
      <c r="C15" s="59" t="str">
        <f>'Input (3)'!B12</f>
        <v>Onbedrukt / minder dan 10%</v>
      </c>
    </row>
    <row r="16" spans="2:5" x14ac:dyDescent="0.25">
      <c r="B16" s="1" t="s">
        <v>94</v>
      </c>
      <c r="C16" s="59" t="str">
        <f>'Input (3)'!B13</f>
        <v>geen handgrepen / stansbewerking</v>
      </c>
    </row>
    <row r="17" spans="1:13" x14ac:dyDescent="0.25">
      <c r="B17" s="1" t="s">
        <v>79</v>
      </c>
      <c r="C17" s="2">
        <f>IF(AND('Input (3)'!B15&gt;0,'Input (3)'!B15&lt;2100),'Input (3)'!B15,2100)</f>
        <v>2100</v>
      </c>
      <c r="D17" t="s">
        <v>25</v>
      </c>
    </row>
    <row r="18" spans="1:13" x14ac:dyDescent="0.25">
      <c r="C18" s="2"/>
    </row>
    <row r="19" spans="1:13" x14ac:dyDescent="0.25">
      <c r="B19" s="286" t="s">
        <v>205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3" x14ac:dyDescent="0.25">
      <c r="B20" s="208">
        <f>IF(AND($C$6&gt;B21,$C$6&lt;=B22),1,0)</f>
        <v>0</v>
      </c>
      <c r="C20" s="208">
        <f t="shared" ref="C20:L20" si="0">IF(AND($C$6&gt;C21,$C$6&lt;=C22),1,0)</f>
        <v>0</v>
      </c>
      <c r="D20" s="208">
        <f t="shared" si="0"/>
        <v>1</v>
      </c>
      <c r="E20" s="208">
        <f t="shared" si="0"/>
        <v>0</v>
      </c>
      <c r="F20" s="208">
        <f t="shared" si="0"/>
        <v>0</v>
      </c>
      <c r="G20" s="208">
        <f t="shared" si="0"/>
        <v>0</v>
      </c>
      <c r="H20" s="208">
        <f t="shared" si="0"/>
        <v>0</v>
      </c>
      <c r="I20" s="208">
        <f t="shared" si="0"/>
        <v>0</v>
      </c>
      <c r="J20" s="208">
        <f t="shared" si="0"/>
        <v>0</v>
      </c>
      <c r="K20" s="208">
        <f t="shared" si="0"/>
        <v>0</v>
      </c>
      <c r="L20" s="216">
        <f t="shared" si="0"/>
        <v>0</v>
      </c>
    </row>
    <row r="21" spans="1:13" x14ac:dyDescent="0.25">
      <c r="B21" s="40">
        <v>0</v>
      </c>
      <c r="C21" s="40">
        <v>200</v>
      </c>
      <c r="D21" s="40">
        <v>250</v>
      </c>
      <c r="E21" s="40">
        <v>300</v>
      </c>
      <c r="F21" s="40">
        <v>350</v>
      </c>
      <c r="G21" s="40">
        <v>400</v>
      </c>
      <c r="H21" s="40">
        <v>500</v>
      </c>
      <c r="I21" s="40">
        <v>600</v>
      </c>
      <c r="J21" s="40">
        <v>750</v>
      </c>
      <c r="K21" s="40">
        <v>1000</v>
      </c>
      <c r="L21" s="40">
        <v>1250</v>
      </c>
    </row>
    <row r="22" spans="1:13" x14ac:dyDescent="0.25">
      <c r="B22" s="34">
        <v>200</v>
      </c>
      <c r="C22" s="34">
        <v>250</v>
      </c>
      <c r="D22" s="34">
        <v>300</v>
      </c>
      <c r="E22" s="34">
        <v>350</v>
      </c>
      <c r="F22" s="34">
        <v>400</v>
      </c>
      <c r="G22" s="34">
        <v>500</v>
      </c>
      <c r="H22" s="34">
        <v>600</v>
      </c>
      <c r="I22" s="34">
        <v>750</v>
      </c>
      <c r="J22" s="34">
        <v>1000</v>
      </c>
      <c r="K22" s="34">
        <v>1250</v>
      </c>
      <c r="L22" s="34">
        <v>99999</v>
      </c>
    </row>
    <row r="23" spans="1:13" x14ac:dyDescent="0.25">
      <c r="A23" t="s">
        <v>202</v>
      </c>
      <c r="B23" s="219">
        <v>60</v>
      </c>
      <c r="C23" s="219">
        <v>65</v>
      </c>
      <c r="D23" s="219">
        <v>70</v>
      </c>
      <c r="E23" s="219">
        <v>75</v>
      </c>
      <c r="F23" s="219">
        <v>80</v>
      </c>
      <c r="G23" s="219">
        <v>85</v>
      </c>
      <c r="H23" s="219">
        <v>90</v>
      </c>
      <c r="I23" s="219">
        <v>95</v>
      </c>
      <c r="J23" s="219">
        <v>100</v>
      </c>
      <c r="K23" s="219">
        <v>105</v>
      </c>
      <c r="L23" s="219">
        <v>110</v>
      </c>
      <c r="M23" s="216">
        <f>HLOOKUP(1,B20:L24,4,FALSE)</f>
        <v>70</v>
      </c>
    </row>
    <row r="24" spans="1:13" x14ac:dyDescent="0.25">
      <c r="A24" t="s">
        <v>203</v>
      </c>
      <c r="B24" s="283" t="s">
        <v>204</v>
      </c>
      <c r="C24" s="219">
        <v>40</v>
      </c>
      <c r="D24" s="219">
        <v>40</v>
      </c>
      <c r="E24" s="219">
        <v>40</v>
      </c>
      <c r="F24" s="219">
        <v>40</v>
      </c>
      <c r="G24" s="219">
        <v>40</v>
      </c>
      <c r="H24" s="219">
        <v>40</v>
      </c>
      <c r="I24" s="219">
        <v>40</v>
      </c>
      <c r="J24" s="219">
        <v>50</v>
      </c>
      <c r="K24" s="219">
        <v>50</v>
      </c>
      <c r="L24" s="219">
        <v>60</v>
      </c>
      <c r="M24" s="13">
        <f>HLOOKUP(1,B20:L24,5,FALSE)</f>
        <v>40</v>
      </c>
    </row>
    <row r="25" spans="1:13" x14ac:dyDescent="0.25">
      <c r="C25" s="2"/>
    </row>
    <row r="26" spans="1:13" x14ac:dyDescent="0.25">
      <c r="B26" s="215" t="s">
        <v>208</v>
      </c>
      <c r="C26" s="2"/>
    </row>
    <row r="27" spans="1:13" x14ac:dyDescent="0.25">
      <c r="B27" s="291"/>
      <c r="C27" s="1283" t="s">
        <v>206</v>
      </c>
      <c r="D27" s="1284"/>
      <c r="E27" s="105" t="s">
        <v>207</v>
      </c>
    </row>
    <row r="28" spans="1:13" x14ac:dyDescent="0.25">
      <c r="B28" s="156">
        <f>IF(AND($C$6&gt;C28,$C$6&lt;=D28),1,0)</f>
        <v>1</v>
      </c>
      <c r="C28" s="27">
        <v>0</v>
      </c>
      <c r="D28" s="288">
        <v>400</v>
      </c>
      <c r="E28" s="40">
        <v>37</v>
      </c>
    </row>
    <row r="29" spans="1:13" x14ac:dyDescent="0.25">
      <c r="B29" s="120">
        <f t="shared" ref="B29:B39" si="1">IF(AND($C$6&gt;C29,$C$6&lt;=D29),1,0)</f>
        <v>0</v>
      </c>
      <c r="C29" s="22">
        <v>400</v>
      </c>
      <c r="D29" s="261">
        <v>450</v>
      </c>
      <c r="E29" s="28">
        <v>40</v>
      </c>
    </row>
    <row r="30" spans="1:13" x14ac:dyDescent="0.25">
      <c r="B30" s="120">
        <f t="shared" si="1"/>
        <v>0</v>
      </c>
      <c r="C30" s="22">
        <v>450</v>
      </c>
      <c r="D30" s="261">
        <v>500</v>
      </c>
      <c r="E30" s="28">
        <v>43</v>
      </c>
    </row>
    <row r="31" spans="1:13" x14ac:dyDescent="0.25">
      <c r="B31" s="120">
        <f t="shared" si="1"/>
        <v>0</v>
      </c>
      <c r="C31" s="22">
        <v>500</v>
      </c>
      <c r="D31" s="261">
        <v>550</v>
      </c>
      <c r="E31" s="28">
        <v>47</v>
      </c>
    </row>
    <row r="32" spans="1:13" x14ac:dyDescent="0.25">
      <c r="B32" s="120">
        <f t="shared" si="1"/>
        <v>0</v>
      </c>
      <c r="C32" s="22">
        <v>550</v>
      </c>
      <c r="D32" s="261">
        <v>600</v>
      </c>
      <c r="E32" s="28">
        <v>50</v>
      </c>
    </row>
    <row r="33" spans="1:52" x14ac:dyDescent="0.25">
      <c r="B33" s="120">
        <f t="shared" si="1"/>
        <v>0</v>
      </c>
      <c r="C33" s="22">
        <v>600</v>
      </c>
      <c r="D33" s="261">
        <v>650</v>
      </c>
      <c r="E33" s="28">
        <v>54</v>
      </c>
    </row>
    <row r="34" spans="1:52" x14ac:dyDescent="0.25">
      <c r="B34" s="120">
        <f t="shared" si="1"/>
        <v>0</v>
      </c>
      <c r="C34" s="22">
        <v>650</v>
      </c>
      <c r="D34" s="261">
        <v>700</v>
      </c>
      <c r="E34" s="28">
        <v>57</v>
      </c>
    </row>
    <row r="35" spans="1:52" x14ac:dyDescent="0.25">
      <c r="B35" s="120">
        <f t="shared" si="1"/>
        <v>0</v>
      </c>
      <c r="C35" s="22">
        <v>700</v>
      </c>
      <c r="D35" s="261">
        <v>850</v>
      </c>
      <c r="E35" s="28">
        <v>60</v>
      </c>
    </row>
    <row r="36" spans="1:52" x14ac:dyDescent="0.25">
      <c r="B36" s="120">
        <f t="shared" si="1"/>
        <v>0</v>
      </c>
      <c r="C36" s="22">
        <v>850</v>
      </c>
      <c r="D36" s="261">
        <v>1000</v>
      </c>
      <c r="E36" s="28">
        <v>70</v>
      </c>
    </row>
    <row r="37" spans="1:52" x14ac:dyDescent="0.25">
      <c r="B37" s="120">
        <f t="shared" si="1"/>
        <v>0</v>
      </c>
      <c r="C37" s="22">
        <v>1000</v>
      </c>
      <c r="D37" s="261">
        <v>1200</v>
      </c>
      <c r="E37" s="28">
        <v>80</v>
      </c>
    </row>
    <row r="38" spans="1:52" x14ac:dyDescent="0.25">
      <c r="B38" s="120">
        <f t="shared" si="1"/>
        <v>0</v>
      </c>
      <c r="C38" s="22">
        <v>1200</v>
      </c>
      <c r="D38" s="261">
        <v>2000</v>
      </c>
      <c r="E38" s="28">
        <v>95</v>
      </c>
    </row>
    <row r="39" spans="1:52" x14ac:dyDescent="0.25">
      <c r="B39" s="202">
        <f t="shared" si="1"/>
        <v>0</v>
      </c>
      <c r="C39" s="32">
        <v>2000</v>
      </c>
      <c r="D39" s="229">
        <v>9999</v>
      </c>
      <c r="E39" s="34">
        <v>110</v>
      </c>
    </row>
    <row r="40" spans="1:52" x14ac:dyDescent="0.25">
      <c r="B40" s="77"/>
      <c r="C40" s="2"/>
      <c r="D40" s="77"/>
    </row>
    <row r="41" spans="1:52" x14ac:dyDescent="0.25">
      <c r="B41" s="289" t="s">
        <v>106</v>
      </c>
      <c r="C41" s="23"/>
      <c r="D41" s="290"/>
      <c r="E41" s="216">
        <f>VLOOKUP(1,B28:E39,4,FALSE)</f>
        <v>37</v>
      </c>
    </row>
    <row r="42" spans="1:52" x14ac:dyDescent="0.25">
      <c r="C42" s="2"/>
    </row>
    <row r="43" spans="1:52" x14ac:dyDescent="0.25">
      <c r="C43" s="2"/>
    </row>
    <row r="44" spans="1:52" x14ac:dyDescent="0.25">
      <c r="A44" s="213"/>
      <c r="B44" s="57"/>
      <c r="C44" s="2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23"/>
      <c r="Z44" s="43"/>
      <c r="AA44" s="43"/>
      <c r="AB44" s="43"/>
      <c r="AC44" s="43"/>
      <c r="AD44" s="43"/>
      <c r="AE44" s="43"/>
      <c r="AF44" s="44"/>
      <c r="AG44" s="1285" t="s">
        <v>159</v>
      </c>
      <c r="AH44" s="1286"/>
      <c r="AI44" s="1286"/>
      <c r="AJ44" s="1286"/>
      <c r="AK44" s="1286"/>
      <c r="AL44" s="1286"/>
      <c r="AM44" s="1286"/>
      <c r="AN44" s="217"/>
      <c r="AO44" s="1285" t="s">
        <v>159</v>
      </c>
      <c r="AP44" s="1286"/>
      <c r="AQ44" s="472"/>
      <c r="AR44" s="472"/>
      <c r="AS44" s="472"/>
      <c r="AT44" s="472"/>
      <c r="AU44" s="950"/>
      <c r="AV44" s="404"/>
      <c r="AW44" s="404"/>
      <c r="AX44" s="404"/>
      <c r="AY44" s="944"/>
      <c r="AZ44" s="944"/>
    </row>
    <row r="45" spans="1:52" s="2" customFormat="1" x14ac:dyDescent="0.25">
      <c r="A45" s="24"/>
      <c r="B45" s="58" t="s">
        <v>78</v>
      </c>
      <c r="C45" s="23">
        <v>3</v>
      </c>
      <c r="D45" s="23">
        <v>4</v>
      </c>
      <c r="E45" s="23">
        <v>5</v>
      </c>
      <c r="F45" s="23">
        <v>6</v>
      </c>
      <c r="G45" s="23">
        <v>7</v>
      </c>
      <c r="H45" s="23">
        <v>8</v>
      </c>
      <c r="I45" s="23">
        <v>9</v>
      </c>
      <c r="J45" s="23">
        <v>10</v>
      </c>
      <c r="K45" s="23">
        <v>11</v>
      </c>
      <c r="L45" s="23">
        <v>12</v>
      </c>
      <c r="M45" s="23">
        <v>13</v>
      </c>
      <c r="N45" s="23">
        <v>14</v>
      </c>
      <c r="O45" s="23">
        <v>15</v>
      </c>
      <c r="P45" s="23">
        <v>16</v>
      </c>
      <c r="Q45" s="23">
        <v>17</v>
      </c>
      <c r="R45" s="23">
        <v>18</v>
      </c>
      <c r="S45" s="23">
        <v>19</v>
      </c>
      <c r="T45" s="4">
        <v>20</v>
      </c>
      <c r="U45" s="4">
        <v>21</v>
      </c>
      <c r="V45" s="4">
        <v>22</v>
      </c>
      <c r="W45" s="4">
        <v>23</v>
      </c>
      <c r="X45" s="4">
        <v>24</v>
      </c>
      <c r="Y45" s="23">
        <v>25</v>
      </c>
      <c r="Z45" s="23">
        <v>26</v>
      </c>
      <c r="AA45" s="23">
        <v>27</v>
      </c>
      <c r="AB45" s="23">
        <v>28</v>
      </c>
      <c r="AC45" s="23">
        <v>29</v>
      </c>
      <c r="AD45" s="23">
        <v>30</v>
      </c>
      <c r="AE45" s="23">
        <v>31</v>
      </c>
      <c r="AF45" s="23">
        <v>32</v>
      </c>
      <c r="AG45" s="4">
        <v>33</v>
      </c>
      <c r="AH45" s="4">
        <v>34</v>
      </c>
      <c r="AI45" s="23">
        <v>35</v>
      </c>
      <c r="AJ45" s="23">
        <v>36</v>
      </c>
      <c r="AK45" s="23">
        <v>37</v>
      </c>
      <c r="AL45" s="23">
        <v>38</v>
      </c>
      <c r="AM45" s="23">
        <v>39</v>
      </c>
      <c r="AN45" s="2">
        <v>40</v>
      </c>
      <c r="AO45" s="2">
        <v>41</v>
      </c>
      <c r="AP45" s="2">
        <v>42</v>
      </c>
      <c r="AQ45" s="2">
        <v>43</v>
      </c>
      <c r="AR45" s="2">
        <v>44</v>
      </c>
      <c r="AS45" s="2">
        <v>45</v>
      </c>
      <c r="AT45" s="2">
        <v>46</v>
      </c>
      <c r="AU45" s="2">
        <v>47</v>
      </c>
      <c r="AV45" s="442">
        <v>48</v>
      </c>
      <c r="AW45" s="951">
        <v>49</v>
      </c>
      <c r="AX45" s="951">
        <v>50</v>
      </c>
      <c r="AY45" s="951">
        <v>51</v>
      </c>
      <c r="AZ45" s="951">
        <v>52</v>
      </c>
    </row>
    <row r="46" spans="1:52" x14ac:dyDescent="0.25">
      <c r="A46" s="17"/>
      <c r="B46" s="42"/>
      <c r="C46" s="24">
        <f>C6</f>
        <v>300</v>
      </c>
      <c r="D46" s="23">
        <f>C7</f>
        <v>250</v>
      </c>
      <c r="E46" s="23">
        <f>C8</f>
        <v>100</v>
      </c>
      <c r="F46" s="23">
        <f>C13</f>
        <v>3</v>
      </c>
      <c r="G46" s="23"/>
      <c r="H46" s="23"/>
      <c r="I46" s="23">
        <f>C12</f>
        <v>2</v>
      </c>
      <c r="J46" s="38"/>
      <c r="K46" s="24">
        <f>C6</f>
        <v>300</v>
      </c>
      <c r="L46" s="23">
        <f>C7</f>
        <v>250</v>
      </c>
      <c r="M46" s="23">
        <f>C8</f>
        <v>100</v>
      </c>
      <c r="N46" s="23">
        <f>C13</f>
        <v>3</v>
      </c>
      <c r="O46" s="23"/>
      <c r="P46" s="23"/>
      <c r="Q46" s="23">
        <f>C12</f>
        <v>2</v>
      </c>
      <c r="R46" s="38"/>
      <c r="S46" s="24"/>
      <c r="T46" s="208">
        <f>VLOOKUP(1,50:70,T45,FALSE)</f>
        <v>1</v>
      </c>
      <c r="U46" s="23">
        <f>VLOOKUP(1,50:70,U45,FALSE)</f>
        <v>1</v>
      </c>
      <c r="V46" s="23">
        <f>VLOOKUP(1,50:70,V45,FALSE)</f>
        <v>0</v>
      </c>
      <c r="W46" s="23">
        <f>VLOOKUP(1,50:70,W45,FALSE)</f>
        <v>0</v>
      </c>
      <c r="X46" s="38">
        <f>VLOOKUP(1,50:70,X45,FALSE)</f>
        <v>0</v>
      </c>
      <c r="Y46" s="43"/>
      <c r="Z46" s="38"/>
      <c r="AA46" s="38">
        <f t="shared" ref="AA46:AU46" si="2">VLOOKUP(1,50:70,AA45,FALSE)</f>
        <v>1</v>
      </c>
      <c r="AB46" s="38">
        <f t="shared" si="2"/>
        <v>1</v>
      </c>
      <c r="AC46" s="24">
        <f t="shared" si="2"/>
        <v>0</v>
      </c>
      <c r="AD46" s="24">
        <f t="shared" si="2"/>
        <v>127</v>
      </c>
      <c r="AE46" s="19">
        <f t="shared" si="2"/>
        <v>127</v>
      </c>
      <c r="AF46" s="18">
        <f t="shared" si="2"/>
        <v>107</v>
      </c>
      <c r="AG46" s="208">
        <f t="shared" si="2"/>
        <v>100</v>
      </c>
      <c r="AH46" s="38">
        <f t="shared" si="2"/>
        <v>2000</v>
      </c>
      <c r="AI46" s="19">
        <f t="shared" si="2"/>
        <v>70</v>
      </c>
      <c r="AJ46" s="19">
        <f t="shared" si="2"/>
        <v>1000</v>
      </c>
      <c r="AK46" s="18">
        <f t="shared" si="2"/>
        <v>37</v>
      </c>
      <c r="AL46" s="20">
        <f t="shared" si="2"/>
        <v>1200</v>
      </c>
      <c r="AM46" s="208">
        <f t="shared" si="2"/>
        <v>1</v>
      </c>
      <c r="AN46" s="208">
        <f t="shared" si="2"/>
        <v>4</v>
      </c>
      <c r="AO46" s="208">
        <f t="shared" si="2"/>
        <v>0</v>
      </c>
      <c r="AP46" s="208">
        <f t="shared" si="2"/>
        <v>0</v>
      </c>
      <c r="AQ46" s="208">
        <f t="shared" si="2"/>
        <v>1</v>
      </c>
      <c r="AR46" s="208">
        <f t="shared" si="2"/>
        <v>1</v>
      </c>
      <c r="AS46" s="208">
        <f t="shared" si="2"/>
        <v>1</v>
      </c>
      <c r="AT46" s="208">
        <f t="shared" si="2"/>
        <v>0</v>
      </c>
      <c r="AU46" s="1006">
        <f t="shared" si="2"/>
        <v>0</v>
      </c>
      <c r="AV46" s="951">
        <f>VLOOKUP(1,50:70,AV45,FALSE)</f>
        <v>1</v>
      </c>
      <c r="AW46" s="951" t="str">
        <f>VLOOKUP(1,50:70,AW45,FALSE)</f>
        <v>0,2</v>
      </c>
      <c r="AX46" s="951">
        <f>VLOOKUP(1,50:70,AX45,FALSE)</f>
        <v>1</v>
      </c>
      <c r="AY46" s="1029">
        <f>VLOOKUP(1,50:70,AY45,FALSE)</f>
        <v>0.9</v>
      </c>
      <c r="AZ46" s="1098">
        <f>VLOOKUP(1,50:70,AZ45,FALSE)</f>
        <v>1</v>
      </c>
    </row>
    <row r="47" spans="1:52" x14ac:dyDescent="0.25">
      <c r="A47" s="17"/>
      <c r="B47" s="39"/>
      <c r="C47" s="16" t="s">
        <v>23</v>
      </c>
      <c r="D47" s="43"/>
      <c r="E47" s="43"/>
      <c r="F47" s="43"/>
      <c r="G47" s="43"/>
      <c r="H47" s="43"/>
      <c r="I47" s="43"/>
      <c r="J47" s="44"/>
      <c r="K47" s="16" t="s">
        <v>24</v>
      </c>
      <c r="L47" s="43"/>
      <c r="M47" s="43"/>
      <c r="N47" s="43"/>
      <c r="O47" s="43"/>
      <c r="P47" s="43"/>
      <c r="Q47" s="43"/>
      <c r="R47" s="44"/>
      <c r="S47" s="24" t="s">
        <v>48</v>
      </c>
      <c r="T47" s="6" t="s">
        <v>53</v>
      </c>
      <c r="X47" s="7"/>
      <c r="Y47" s="43"/>
      <c r="Z47" s="38"/>
      <c r="AA47" s="13" t="s">
        <v>68</v>
      </c>
      <c r="AB47" s="13" t="s">
        <v>72</v>
      </c>
      <c r="AC47" s="51" t="s">
        <v>74</v>
      </c>
      <c r="AD47" s="1290" t="s">
        <v>117</v>
      </c>
      <c r="AE47" s="1291"/>
      <c r="AF47" s="21" t="s">
        <v>116</v>
      </c>
      <c r="AG47" s="18" t="s">
        <v>9</v>
      </c>
      <c r="AH47" s="10"/>
      <c r="AI47" s="16" t="s">
        <v>18</v>
      </c>
      <c r="AJ47" s="44"/>
      <c r="AK47" s="16" t="s">
        <v>19</v>
      </c>
      <c r="AL47" s="44"/>
      <c r="AM47" s="18" t="s">
        <v>154</v>
      </c>
      <c r="AN47" s="217" t="s">
        <v>165</v>
      </c>
      <c r="AO47" s="473" t="s">
        <v>983</v>
      </c>
      <c r="AP47" s="213" t="s">
        <v>530</v>
      </c>
      <c r="AQ47" s="473" t="s">
        <v>575</v>
      </c>
      <c r="AR47" s="473" t="s">
        <v>583</v>
      </c>
      <c r="AS47" s="473" t="s">
        <v>695</v>
      </c>
      <c r="AT47" s="473" t="s">
        <v>755</v>
      </c>
      <c r="AU47" s="1006" t="s">
        <v>871</v>
      </c>
      <c r="AV47" s="959"/>
      <c r="AW47" s="959"/>
      <c r="AX47" s="13" t="s">
        <v>1011</v>
      </c>
      <c r="AY47" s="52"/>
      <c r="AZ47" s="52"/>
    </row>
    <row r="48" spans="1:52" x14ac:dyDescent="0.25">
      <c r="A48" s="51"/>
      <c r="B48" s="35" t="s">
        <v>2</v>
      </c>
      <c r="C48" s="3" t="s">
        <v>9</v>
      </c>
      <c r="D48" s="4" t="s">
        <v>18</v>
      </c>
      <c r="E48" s="4" t="s">
        <v>19</v>
      </c>
      <c r="F48" s="4" t="s">
        <v>21</v>
      </c>
      <c r="G48" s="4" t="s">
        <v>22</v>
      </c>
      <c r="H48" s="4" t="s">
        <v>55</v>
      </c>
      <c r="I48" s="4" t="s">
        <v>20</v>
      </c>
      <c r="J48" s="11" t="s">
        <v>57</v>
      </c>
      <c r="K48" s="3" t="s">
        <v>9</v>
      </c>
      <c r="L48" s="4" t="s">
        <v>18</v>
      </c>
      <c r="M48" s="4" t="s">
        <v>19</v>
      </c>
      <c r="N48" s="4" t="s">
        <v>21</v>
      </c>
      <c r="O48" s="4" t="s">
        <v>22</v>
      </c>
      <c r="P48" s="4" t="s">
        <v>55</v>
      </c>
      <c r="Q48" s="4" t="s">
        <v>20</v>
      </c>
      <c r="R48" s="11" t="s">
        <v>58</v>
      </c>
      <c r="S48" s="11"/>
      <c r="T48" s="3" t="s">
        <v>50</v>
      </c>
      <c r="U48" s="4" t="s">
        <v>51</v>
      </c>
      <c r="V48" s="4" t="s">
        <v>52</v>
      </c>
      <c r="W48" s="4" t="s">
        <v>54</v>
      </c>
      <c r="X48" s="5" t="s">
        <v>67</v>
      </c>
      <c r="Y48" s="3" t="s">
        <v>59</v>
      </c>
      <c r="Z48" s="5" t="s">
        <v>62</v>
      </c>
      <c r="AA48" s="11" t="s">
        <v>69</v>
      </c>
      <c r="AB48" s="3" t="s">
        <v>69</v>
      </c>
      <c r="AC48" s="11" t="s">
        <v>69</v>
      </c>
      <c r="AD48" s="11" t="s">
        <v>75</v>
      </c>
      <c r="AE48" s="3" t="s">
        <v>76</v>
      </c>
      <c r="AF48" s="12"/>
      <c r="AG48" s="3" t="s">
        <v>113</v>
      </c>
      <c r="AH48" s="11" t="s">
        <v>112</v>
      </c>
      <c r="AI48" s="3" t="s">
        <v>111</v>
      </c>
      <c r="AJ48" s="11" t="s">
        <v>110</v>
      </c>
      <c r="AK48" s="4" t="s">
        <v>149</v>
      </c>
      <c r="AL48" s="11" t="s">
        <v>110</v>
      </c>
      <c r="AM48" s="3" t="s">
        <v>155</v>
      </c>
      <c r="AN48" s="12" t="s">
        <v>66</v>
      </c>
      <c r="AO48" s="41"/>
      <c r="AP48" s="6"/>
      <c r="AQ48" s="12" t="s">
        <v>187</v>
      </c>
      <c r="AR48" s="12" t="s">
        <v>178</v>
      </c>
      <c r="AS48" s="12" t="s">
        <v>51</v>
      </c>
      <c r="AT48" s="12" t="s">
        <v>50</v>
      </c>
      <c r="AU48" s="26" t="s">
        <v>2</v>
      </c>
      <c r="AV48" s="404" t="s">
        <v>996</v>
      </c>
      <c r="AW48" s="12" t="s">
        <v>1003</v>
      </c>
      <c r="AX48" s="41"/>
      <c r="AY48" s="1062" t="s">
        <v>1046</v>
      </c>
      <c r="AZ48" s="41" t="s">
        <v>1060</v>
      </c>
    </row>
    <row r="49" spans="1:56" x14ac:dyDescent="0.25">
      <c r="A49" s="41"/>
      <c r="B49" s="36"/>
      <c r="C49" s="6"/>
      <c r="J49" s="41"/>
      <c r="K49" s="6"/>
      <c r="R49" s="41"/>
      <c r="S49" s="12"/>
      <c r="T49" s="6"/>
      <c r="X49" s="7"/>
      <c r="Y49" s="26"/>
      <c r="Z49" s="25"/>
      <c r="AA49" s="41"/>
      <c r="AB49" s="6"/>
      <c r="AC49" s="41"/>
      <c r="AD49" s="41"/>
      <c r="AE49" s="6"/>
      <c r="AF49" s="12"/>
      <c r="AG49" s="6"/>
      <c r="AH49" s="41"/>
      <c r="AI49" s="6"/>
      <c r="AJ49" s="41"/>
      <c r="AL49" s="41"/>
      <c r="AM49" s="6"/>
      <c r="AN49" s="41"/>
      <c r="AO49" s="41"/>
      <c r="AP49" s="6"/>
      <c r="AQ49" s="41"/>
      <c r="AR49" s="41"/>
      <c r="AS49" s="41"/>
      <c r="AT49" s="41"/>
      <c r="AU49" s="6"/>
      <c r="AV49" s="41"/>
      <c r="AW49" s="41"/>
      <c r="AX49" s="41"/>
      <c r="AY49" s="41"/>
      <c r="AZ49" s="41"/>
    </row>
    <row r="50" spans="1:56" x14ac:dyDescent="0.25">
      <c r="A50" s="12" t="str">
        <f>IF($C$2=B50,1," ")</f>
        <v xml:space="preserve"> </v>
      </c>
      <c r="B50" s="36" t="s">
        <v>12</v>
      </c>
      <c r="C50" s="29">
        <v>1</v>
      </c>
      <c r="D50" s="22"/>
      <c r="E50" s="22"/>
      <c r="F50" s="22"/>
      <c r="G50" s="22"/>
      <c r="H50" s="45"/>
      <c r="I50" s="22"/>
      <c r="J50" s="12">
        <f>(C50*$C$46)+(D50*$D$46)+(E50*$E$46)+(F50*$F$46)+(I50*$I$46)+(G50*H50)</f>
        <v>300</v>
      </c>
      <c r="K50" s="29"/>
      <c r="L50" s="22">
        <v>1</v>
      </c>
      <c r="M50" s="22"/>
      <c r="N50" s="22"/>
      <c r="O50" s="22"/>
      <c r="P50" s="45"/>
      <c r="Q50" s="22"/>
      <c r="R50" s="12">
        <f>(K50*$K$46)+(L50*$L$46)+(M50*$M$46)+(N50*$N$46)+(Q50*$Q$46)+(O50*P50)</f>
        <v>250</v>
      </c>
      <c r="S50" s="28">
        <v>1</v>
      </c>
      <c r="T50" s="29">
        <v>1</v>
      </c>
      <c r="U50" s="22">
        <v>1</v>
      </c>
      <c r="V50" s="22"/>
      <c r="W50" s="22">
        <v>1</v>
      </c>
      <c r="X50" s="30">
        <v>1</v>
      </c>
      <c r="Y50" s="47">
        <f t="shared" ref="Y50:Y70" si="3">(J50/1000)*(R50/1000)</f>
        <v>7.4999999999999997E-2</v>
      </c>
      <c r="Z50" s="49">
        <f>Y50*$C$3</f>
        <v>135</v>
      </c>
      <c r="AA50" s="28">
        <v>0</v>
      </c>
      <c r="AB50" s="29">
        <v>0</v>
      </c>
      <c r="AC50" s="28">
        <v>0</v>
      </c>
      <c r="AD50" s="28"/>
      <c r="AE50" s="29"/>
      <c r="AF50" s="12"/>
      <c r="AG50" s="29">
        <v>65</v>
      </c>
      <c r="AH50" s="28">
        <v>2000</v>
      </c>
      <c r="AI50" s="29">
        <v>65</v>
      </c>
      <c r="AJ50" s="28">
        <v>5000</v>
      </c>
      <c r="AK50" s="22">
        <v>0</v>
      </c>
      <c r="AL50" s="28">
        <v>0</v>
      </c>
      <c r="AM50" s="29">
        <v>0</v>
      </c>
      <c r="AN50" s="28">
        <v>4</v>
      </c>
      <c r="AO50" s="28">
        <v>0</v>
      </c>
      <c r="AP50" s="29">
        <v>0</v>
      </c>
      <c r="AQ50" s="28">
        <v>0</v>
      </c>
      <c r="AR50" s="28">
        <v>0</v>
      </c>
      <c r="AS50" s="28">
        <v>0</v>
      </c>
      <c r="AT50" s="28">
        <v>0</v>
      </c>
      <c r="AU50" s="810">
        <v>0</v>
      </c>
      <c r="AV50" s="28">
        <v>1</v>
      </c>
      <c r="AW50" s="1033" t="s">
        <v>1027</v>
      </c>
      <c r="AX50" s="28">
        <v>0</v>
      </c>
      <c r="AY50" s="639">
        <v>0.9</v>
      </c>
      <c r="AZ50" s="557">
        <v>0</v>
      </c>
      <c r="BD50" s="1" t="s">
        <v>12</v>
      </c>
    </row>
    <row r="51" spans="1:56" x14ac:dyDescent="0.25">
      <c r="A51" s="12" t="str">
        <f t="shared" ref="A51:A70" si="4">IF($C$2=B51,1," ")</f>
        <v xml:space="preserve"> </v>
      </c>
      <c r="B51" s="36" t="s">
        <v>13</v>
      </c>
      <c r="C51" s="29"/>
      <c r="D51" s="22">
        <v>0.5</v>
      </c>
      <c r="E51" s="22">
        <v>1</v>
      </c>
      <c r="F51" s="22">
        <v>1</v>
      </c>
      <c r="G51" s="22"/>
      <c r="H51" s="45"/>
      <c r="I51" s="22">
        <v>2</v>
      </c>
      <c r="J51" s="12">
        <f t="shared" ref="J51:J70" si="5">(C51*$C$46)+(D51*$D$46)+(E51*$E$46)+(F51*$F$46)+(I51*$I$46)+(G51*H51)</f>
        <v>232</v>
      </c>
      <c r="K51" s="29">
        <v>2</v>
      </c>
      <c r="L51" s="22">
        <v>2</v>
      </c>
      <c r="M51" s="22"/>
      <c r="N51" s="22"/>
      <c r="O51" s="22"/>
      <c r="P51" s="45"/>
      <c r="Q51" s="22">
        <v>7</v>
      </c>
      <c r="R51" s="12">
        <f t="shared" ref="R51:R70" si="6">(K51*$K$46)+(L51*$L$46)+(M51*$M$46)+(N51*$N$46)+(Q51*$Q$46)+(O51*P51)</f>
        <v>1114</v>
      </c>
      <c r="S51" s="28">
        <v>3</v>
      </c>
      <c r="T51" s="29">
        <v>1</v>
      </c>
      <c r="U51" s="22">
        <v>1</v>
      </c>
      <c r="V51" s="22"/>
      <c r="W51" s="22"/>
      <c r="X51" s="55"/>
      <c r="Y51" s="47">
        <f t="shared" si="3"/>
        <v>0.25844800000000001</v>
      </c>
      <c r="Z51" s="49">
        <f t="shared" ref="Z51:Z70" si="7">Y51*$C$3</f>
        <v>465.20640000000003</v>
      </c>
      <c r="AA51" s="28">
        <v>1</v>
      </c>
      <c r="AB51" s="29">
        <v>1</v>
      </c>
      <c r="AC51" s="28">
        <v>0</v>
      </c>
      <c r="AD51" s="12">
        <f>(0.5*D46)+I46</f>
        <v>127</v>
      </c>
      <c r="AE51" s="26">
        <v>0</v>
      </c>
      <c r="AF51" s="12">
        <f>J51-AD51-AE51</f>
        <v>105</v>
      </c>
      <c r="AG51" s="29">
        <v>100</v>
      </c>
      <c r="AH51" s="28">
        <v>2000</v>
      </c>
      <c r="AI51" s="26">
        <f>M23</f>
        <v>70</v>
      </c>
      <c r="AJ51" s="28">
        <v>1000</v>
      </c>
      <c r="AK51" s="2">
        <f>E41</f>
        <v>37</v>
      </c>
      <c r="AL51" s="28">
        <v>1200</v>
      </c>
      <c r="AM51" s="29">
        <v>1</v>
      </c>
      <c r="AN51" s="28">
        <v>4</v>
      </c>
      <c r="AO51" s="28">
        <v>0</v>
      </c>
      <c r="AP51" s="29">
        <v>0</v>
      </c>
      <c r="AQ51" s="28">
        <v>1</v>
      </c>
      <c r="AR51" s="28">
        <v>1</v>
      </c>
      <c r="AS51" s="28">
        <v>1</v>
      </c>
      <c r="AT51" s="28">
        <v>0</v>
      </c>
      <c r="AU51" s="810">
        <v>0</v>
      </c>
      <c r="AV51" s="28">
        <v>1</v>
      </c>
      <c r="AW51" s="1033" t="s">
        <v>1027</v>
      </c>
      <c r="AX51" s="28">
        <v>1</v>
      </c>
      <c r="AY51" s="639">
        <v>0.9</v>
      </c>
      <c r="AZ51" s="557">
        <v>1</v>
      </c>
      <c r="BD51" s="1" t="s">
        <v>13</v>
      </c>
    </row>
    <row r="52" spans="1:56" x14ac:dyDescent="0.25">
      <c r="A52" s="12">
        <f t="shared" si="4"/>
        <v>1</v>
      </c>
      <c r="B52" s="36" t="s">
        <v>8</v>
      </c>
      <c r="C52" s="29"/>
      <c r="D52" s="22">
        <v>1</v>
      </c>
      <c r="E52" s="22">
        <v>1</v>
      </c>
      <c r="F52" s="22">
        <v>1</v>
      </c>
      <c r="G52" s="22"/>
      <c r="H52" s="45"/>
      <c r="I52" s="22">
        <v>4</v>
      </c>
      <c r="J52" s="12">
        <f t="shared" si="5"/>
        <v>361</v>
      </c>
      <c r="K52" s="29">
        <v>2</v>
      </c>
      <c r="L52" s="22">
        <v>2</v>
      </c>
      <c r="M52" s="22"/>
      <c r="N52" s="22"/>
      <c r="O52" s="22"/>
      <c r="P52" s="45"/>
      <c r="Q52" s="22">
        <v>7</v>
      </c>
      <c r="R52" s="12">
        <f t="shared" si="6"/>
        <v>1114</v>
      </c>
      <c r="S52" s="28">
        <v>3</v>
      </c>
      <c r="T52" s="29">
        <v>1</v>
      </c>
      <c r="U52" s="22">
        <v>1</v>
      </c>
      <c r="V52" s="22"/>
      <c r="W52" s="22"/>
      <c r="X52" s="55"/>
      <c r="Y52" s="47">
        <f t="shared" si="3"/>
        <v>0.40215400000000001</v>
      </c>
      <c r="Z52" s="49">
        <f t="shared" si="7"/>
        <v>723.87720000000002</v>
      </c>
      <c r="AA52" s="28">
        <v>1</v>
      </c>
      <c r="AB52" s="29">
        <v>1</v>
      </c>
      <c r="AC52" s="28">
        <v>0</v>
      </c>
      <c r="AD52" s="12">
        <f>(0.5*D46)+I46</f>
        <v>127</v>
      </c>
      <c r="AE52" s="26">
        <f>(0.5*D46)+I46</f>
        <v>127</v>
      </c>
      <c r="AF52" s="12">
        <f>J52-AD52-AE52</f>
        <v>107</v>
      </c>
      <c r="AG52" s="29">
        <v>100</v>
      </c>
      <c r="AH52" s="28">
        <v>2000</v>
      </c>
      <c r="AI52" s="26">
        <f>M23</f>
        <v>70</v>
      </c>
      <c r="AJ52" s="28">
        <v>1000</v>
      </c>
      <c r="AK52" s="2">
        <f>E41</f>
        <v>37</v>
      </c>
      <c r="AL52" s="28">
        <v>1200</v>
      </c>
      <c r="AM52" s="29">
        <v>1</v>
      </c>
      <c r="AN52" s="28">
        <v>4</v>
      </c>
      <c r="AO52" s="28">
        <v>0</v>
      </c>
      <c r="AP52" s="29">
        <v>0</v>
      </c>
      <c r="AQ52" s="28">
        <v>1</v>
      </c>
      <c r="AR52" s="28">
        <v>1</v>
      </c>
      <c r="AS52" s="28">
        <v>1</v>
      </c>
      <c r="AT52" s="28">
        <v>0</v>
      </c>
      <c r="AU52" s="810">
        <v>0</v>
      </c>
      <c r="AV52" s="28">
        <v>1</v>
      </c>
      <c r="AW52" s="1033" t="s">
        <v>1027</v>
      </c>
      <c r="AX52" s="28">
        <v>1</v>
      </c>
      <c r="AY52" s="639">
        <v>0.9</v>
      </c>
      <c r="AZ52" s="557">
        <v>1</v>
      </c>
      <c r="BD52" s="1" t="s">
        <v>8</v>
      </c>
    </row>
    <row r="53" spans="1:56" x14ac:dyDescent="0.25">
      <c r="A53" s="12" t="str">
        <f t="shared" si="4"/>
        <v xml:space="preserve"> </v>
      </c>
      <c r="B53" s="36" t="s">
        <v>14</v>
      </c>
      <c r="C53" s="29"/>
      <c r="D53" s="22">
        <v>2</v>
      </c>
      <c r="E53" s="22">
        <v>1</v>
      </c>
      <c r="F53" s="22">
        <v>2</v>
      </c>
      <c r="G53" s="22"/>
      <c r="H53" s="45"/>
      <c r="I53" s="22">
        <v>4</v>
      </c>
      <c r="J53" s="12">
        <f t="shared" si="5"/>
        <v>614</v>
      </c>
      <c r="K53" s="29">
        <v>2</v>
      </c>
      <c r="L53" s="22">
        <v>2</v>
      </c>
      <c r="M53" s="22"/>
      <c r="N53" s="22"/>
      <c r="O53" s="22"/>
      <c r="P53" s="45"/>
      <c r="Q53" s="22">
        <v>7</v>
      </c>
      <c r="R53" s="12">
        <f t="shared" si="6"/>
        <v>1114</v>
      </c>
      <c r="S53" s="28">
        <v>3</v>
      </c>
      <c r="T53" s="29">
        <v>1</v>
      </c>
      <c r="U53" s="22">
        <v>1</v>
      </c>
      <c r="V53" s="22"/>
      <c r="W53" s="22"/>
      <c r="X53" s="55"/>
      <c r="Y53" s="47">
        <f t="shared" si="3"/>
        <v>0.68399600000000005</v>
      </c>
      <c r="Z53" s="49">
        <f t="shared" si="7"/>
        <v>1231.1928</v>
      </c>
      <c r="AA53" s="28">
        <v>1</v>
      </c>
      <c r="AB53" s="29">
        <v>1</v>
      </c>
      <c r="AC53" s="28">
        <v>0</v>
      </c>
      <c r="AD53" s="12">
        <f>D46+I46</f>
        <v>252</v>
      </c>
      <c r="AE53" s="26">
        <f>D46+I46</f>
        <v>252</v>
      </c>
      <c r="AF53" s="12">
        <f>J53-AD53-AE53</f>
        <v>110</v>
      </c>
      <c r="AG53" s="29">
        <v>100</v>
      </c>
      <c r="AH53" s="28">
        <v>2000</v>
      </c>
      <c r="AI53" s="26">
        <f>M24</f>
        <v>40</v>
      </c>
      <c r="AJ53" s="28">
        <v>1000</v>
      </c>
      <c r="AK53" s="2">
        <f>E41</f>
        <v>37</v>
      </c>
      <c r="AL53" s="28">
        <v>1200</v>
      </c>
      <c r="AM53" s="29">
        <v>1</v>
      </c>
      <c r="AN53" s="28">
        <v>4</v>
      </c>
      <c r="AO53" s="28">
        <v>0</v>
      </c>
      <c r="AP53" s="29">
        <v>1</v>
      </c>
      <c r="AQ53" s="28">
        <v>1</v>
      </c>
      <c r="AR53" s="28">
        <v>1</v>
      </c>
      <c r="AS53" s="28">
        <v>1</v>
      </c>
      <c r="AT53" s="28">
        <v>0</v>
      </c>
      <c r="AU53" s="810">
        <v>0</v>
      </c>
      <c r="AV53" s="28">
        <v>1</v>
      </c>
      <c r="AW53" s="1033" t="s">
        <v>1027</v>
      </c>
      <c r="AX53" s="28">
        <v>1</v>
      </c>
      <c r="AY53" s="639">
        <v>0.9</v>
      </c>
      <c r="AZ53" s="557">
        <v>1</v>
      </c>
      <c r="BD53" s="1" t="s">
        <v>14</v>
      </c>
    </row>
    <row r="54" spans="1:56" x14ac:dyDescent="0.25">
      <c r="A54" s="12" t="str">
        <f t="shared" si="4"/>
        <v xml:space="preserve"> </v>
      </c>
      <c r="B54" s="36" t="s">
        <v>15</v>
      </c>
      <c r="C54" s="29">
        <v>1</v>
      </c>
      <c r="D54" s="22"/>
      <c r="E54" s="22">
        <v>2</v>
      </c>
      <c r="F54" s="22">
        <v>2</v>
      </c>
      <c r="G54" s="22"/>
      <c r="H54" s="45"/>
      <c r="I54" s="22">
        <v>4</v>
      </c>
      <c r="J54" s="12">
        <f t="shared" si="5"/>
        <v>514</v>
      </c>
      <c r="K54" s="29"/>
      <c r="L54" s="22">
        <v>2</v>
      </c>
      <c r="M54" s="22">
        <v>3</v>
      </c>
      <c r="N54" s="22">
        <v>1</v>
      </c>
      <c r="O54" s="22"/>
      <c r="P54" s="45"/>
      <c r="Q54" s="22">
        <v>8</v>
      </c>
      <c r="R54" s="12">
        <f t="shared" si="6"/>
        <v>819</v>
      </c>
      <c r="S54" s="28">
        <v>4</v>
      </c>
      <c r="T54" s="29">
        <v>1</v>
      </c>
      <c r="U54" s="22"/>
      <c r="V54" s="22"/>
      <c r="W54" s="22"/>
      <c r="X54" s="55"/>
      <c r="Y54" s="47">
        <f t="shared" si="3"/>
        <v>0.42096600000000001</v>
      </c>
      <c r="Z54" s="49">
        <f t="shared" si="7"/>
        <v>757.73879999999997</v>
      </c>
      <c r="AA54" s="28">
        <v>0</v>
      </c>
      <c r="AB54" s="29">
        <v>0</v>
      </c>
      <c r="AC54" s="28">
        <v>0</v>
      </c>
      <c r="AD54" s="12">
        <f>E46+I46</f>
        <v>102</v>
      </c>
      <c r="AE54" s="26">
        <f>E46+I46</f>
        <v>102</v>
      </c>
      <c r="AF54" s="12"/>
      <c r="AG54" s="29">
        <v>200</v>
      </c>
      <c r="AH54" s="28">
        <v>2000</v>
      </c>
      <c r="AI54" s="29">
        <v>100</v>
      </c>
      <c r="AJ54" s="28">
        <v>1200</v>
      </c>
      <c r="AK54" s="22">
        <v>40</v>
      </c>
      <c r="AL54" s="28">
        <v>200</v>
      </c>
      <c r="AM54" s="29">
        <v>1</v>
      </c>
      <c r="AN54" s="28">
        <v>4</v>
      </c>
      <c r="AO54" s="28">
        <v>0</v>
      </c>
      <c r="AP54" s="29">
        <v>0</v>
      </c>
      <c r="AQ54" s="28">
        <v>0</v>
      </c>
      <c r="AR54" s="28">
        <v>0</v>
      </c>
      <c r="AS54" s="28">
        <v>0</v>
      </c>
      <c r="AT54" s="28">
        <v>0</v>
      </c>
      <c r="AU54" s="810">
        <v>0</v>
      </c>
      <c r="AV54" s="28">
        <v>1</v>
      </c>
      <c r="AW54" s="1033" t="s">
        <v>1027</v>
      </c>
      <c r="AX54" s="28">
        <v>0</v>
      </c>
      <c r="AY54" s="639">
        <v>0.9</v>
      </c>
      <c r="AZ54" s="557">
        <v>0</v>
      </c>
      <c r="BD54" s="1" t="s">
        <v>15</v>
      </c>
    </row>
    <row r="55" spans="1:56" x14ac:dyDescent="0.25">
      <c r="A55" s="12" t="str">
        <f t="shared" si="4"/>
        <v xml:space="preserve"> </v>
      </c>
      <c r="B55" s="36" t="s">
        <v>49</v>
      </c>
      <c r="C55" s="29">
        <v>1</v>
      </c>
      <c r="D55" s="22"/>
      <c r="E55" s="22">
        <v>2</v>
      </c>
      <c r="F55" s="22">
        <v>2</v>
      </c>
      <c r="G55" s="22"/>
      <c r="H55" s="45"/>
      <c r="I55" s="22">
        <v>4</v>
      </c>
      <c r="J55" s="12">
        <f t="shared" si="5"/>
        <v>514</v>
      </c>
      <c r="K55" s="29"/>
      <c r="L55" s="22">
        <v>2</v>
      </c>
      <c r="M55" s="22">
        <v>3</v>
      </c>
      <c r="N55" s="22">
        <v>1</v>
      </c>
      <c r="O55" s="22"/>
      <c r="P55" s="45"/>
      <c r="Q55" s="22">
        <v>8</v>
      </c>
      <c r="R55" s="12">
        <f t="shared" si="6"/>
        <v>819</v>
      </c>
      <c r="S55" s="28">
        <v>4</v>
      </c>
      <c r="T55" s="29">
        <v>1</v>
      </c>
      <c r="U55" s="22"/>
      <c r="V55" s="22"/>
      <c r="W55" s="22"/>
      <c r="X55" s="55"/>
      <c r="Y55" s="47">
        <f t="shared" si="3"/>
        <v>0.42096600000000001</v>
      </c>
      <c r="Z55" s="49">
        <f t="shared" si="7"/>
        <v>757.73879999999997</v>
      </c>
      <c r="AA55" s="28">
        <v>0</v>
      </c>
      <c r="AB55" s="29">
        <v>0</v>
      </c>
      <c r="AC55" s="28">
        <v>0</v>
      </c>
      <c r="AD55" s="12">
        <f>E46+I46</f>
        <v>102</v>
      </c>
      <c r="AE55" s="26">
        <f>E46+I46</f>
        <v>102</v>
      </c>
      <c r="AF55" s="12"/>
      <c r="AG55" s="29">
        <v>200</v>
      </c>
      <c r="AH55" s="28">
        <v>2000</v>
      </c>
      <c r="AI55" s="29">
        <v>100</v>
      </c>
      <c r="AJ55" s="28">
        <v>1200</v>
      </c>
      <c r="AK55" s="22">
        <v>40</v>
      </c>
      <c r="AL55" s="28">
        <v>200</v>
      </c>
      <c r="AM55" s="29">
        <v>1</v>
      </c>
      <c r="AN55" s="28">
        <v>4</v>
      </c>
      <c r="AO55" s="28">
        <v>0</v>
      </c>
      <c r="AP55" s="29">
        <v>0</v>
      </c>
      <c r="AQ55" s="28">
        <v>0</v>
      </c>
      <c r="AR55" s="28">
        <v>0</v>
      </c>
      <c r="AS55" s="28">
        <v>0</v>
      </c>
      <c r="AT55" s="12">
        <f>C8+C12</f>
        <v>102</v>
      </c>
      <c r="AU55" s="810">
        <v>0.04</v>
      </c>
      <c r="AV55" s="28">
        <v>1</v>
      </c>
      <c r="AW55" s="1033" t="s">
        <v>1004</v>
      </c>
      <c r="AX55" s="28">
        <v>0</v>
      </c>
      <c r="AY55" s="639">
        <v>0.85</v>
      </c>
      <c r="AZ55" s="557">
        <v>0</v>
      </c>
      <c r="BD55" s="1" t="s">
        <v>49</v>
      </c>
    </row>
    <row r="56" spans="1:56" x14ac:dyDescent="0.25">
      <c r="A56" s="12" t="str">
        <f t="shared" si="4"/>
        <v xml:space="preserve"> </v>
      </c>
      <c r="B56" s="36" t="s">
        <v>56</v>
      </c>
      <c r="C56" s="29"/>
      <c r="D56" s="22">
        <v>3</v>
      </c>
      <c r="E56" s="22">
        <v>2</v>
      </c>
      <c r="F56" s="22">
        <v>4</v>
      </c>
      <c r="G56" s="22"/>
      <c r="H56" s="45"/>
      <c r="I56" s="22">
        <v>8</v>
      </c>
      <c r="J56" s="12">
        <f t="shared" si="5"/>
        <v>978</v>
      </c>
      <c r="K56" s="29">
        <v>1</v>
      </c>
      <c r="L56" s="22"/>
      <c r="M56" s="22">
        <v>2</v>
      </c>
      <c r="N56" s="22"/>
      <c r="O56" s="22">
        <v>2</v>
      </c>
      <c r="P56" s="45">
        <v>50</v>
      </c>
      <c r="Q56" s="22">
        <v>8</v>
      </c>
      <c r="R56" s="12">
        <f t="shared" si="6"/>
        <v>616</v>
      </c>
      <c r="S56" s="28">
        <v>4</v>
      </c>
      <c r="T56" s="29">
        <v>1</v>
      </c>
      <c r="U56" s="22"/>
      <c r="V56" s="22"/>
      <c r="W56" s="22"/>
      <c r="X56" s="55"/>
      <c r="Y56" s="47">
        <f t="shared" si="3"/>
        <v>0.60244799999999998</v>
      </c>
      <c r="Z56" s="49">
        <f t="shared" si="7"/>
        <v>1084.4064000000001</v>
      </c>
      <c r="AA56" s="28">
        <v>0</v>
      </c>
      <c r="AB56" s="29">
        <v>0</v>
      </c>
      <c r="AC56" s="28">
        <v>1</v>
      </c>
      <c r="AD56" s="28"/>
      <c r="AE56" s="29"/>
      <c r="AF56" s="12"/>
      <c r="AG56" s="29">
        <v>300</v>
      </c>
      <c r="AH56" s="28">
        <v>2000</v>
      </c>
      <c r="AI56" s="29">
        <v>100</v>
      </c>
      <c r="AJ56" s="28">
        <v>500</v>
      </c>
      <c r="AK56" s="22">
        <v>80</v>
      </c>
      <c r="AL56" s="28">
        <v>200</v>
      </c>
      <c r="AM56" s="29">
        <v>1</v>
      </c>
      <c r="AN56" s="28">
        <v>2</v>
      </c>
      <c r="AO56" s="28">
        <v>0</v>
      </c>
      <c r="AP56" s="29">
        <v>0</v>
      </c>
      <c r="AQ56" s="28">
        <v>0</v>
      </c>
      <c r="AR56" s="28">
        <v>0</v>
      </c>
      <c r="AS56" s="28">
        <v>0</v>
      </c>
      <c r="AT56" s="12">
        <f>(P56+C12)</f>
        <v>52</v>
      </c>
      <c r="AU56" s="810">
        <v>0.04</v>
      </c>
      <c r="AV56" s="28">
        <v>1</v>
      </c>
      <c r="AW56" s="1033" t="s">
        <v>1078</v>
      </c>
      <c r="AX56" s="28">
        <v>0</v>
      </c>
      <c r="AY56" s="639">
        <v>0.82</v>
      </c>
      <c r="AZ56" s="557">
        <v>0</v>
      </c>
      <c r="BD56" s="1" t="s">
        <v>56</v>
      </c>
    </row>
    <row r="57" spans="1:56" x14ac:dyDescent="0.25">
      <c r="A57" s="12" t="str">
        <f t="shared" si="4"/>
        <v xml:space="preserve"> </v>
      </c>
      <c r="B57" s="36" t="s">
        <v>16</v>
      </c>
      <c r="C57" s="29">
        <v>1</v>
      </c>
      <c r="D57" s="22"/>
      <c r="E57" s="22">
        <v>4</v>
      </c>
      <c r="F57" s="22">
        <v>12</v>
      </c>
      <c r="G57" s="22"/>
      <c r="H57" s="45"/>
      <c r="I57" s="22">
        <v>12</v>
      </c>
      <c r="J57" s="12">
        <f t="shared" si="5"/>
        <v>760</v>
      </c>
      <c r="K57" s="29"/>
      <c r="L57" s="22">
        <v>2</v>
      </c>
      <c r="M57" s="22">
        <v>3</v>
      </c>
      <c r="N57" s="22">
        <v>1</v>
      </c>
      <c r="O57" s="22"/>
      <c r="P57" s="45"/>
      <c r="Q57" s="22">
        <v>8</v>
      </c>
      <c r="R57" s="12">
        <f t="shared" si="6"/>
        <v>819</v>
      </c>
      <c r="S57" s="28"/>
      <c r="T57" s="29"/>
      <c r="U57" s="22"/>
      <c r="V57" s="22">
        <v>0</v>
      </c>
      <c r="W57" s="22"/>
      <c r="X57" s="55"/>
      <c r="Y57" s="47">
        <f t="shared" si="3"/>
        <v>0.62243999999999999</v>
      </c>
      <c r="Z57" s="49">
        <f t="shared" si="7"/>
        <v>1120.3920000000001</v>
      </c>
      <c r="AA57" s="28">
        <v>0</v>
      </c>
      <c r="AB57" s="29">
        <v>0</v>
      </c>
      <c r="AC57" s="28">
        <v>0</v>
      </c>
      <c r="AD57" s="28"/>
      <c r="AE57" s="29"/>
      <c r="AF57" s="12"/>
      <c r="AG57" s="29">
        <v>80</v>
      </c>
      <c r="AH57" s="28">
        <v>1400</v>
      </c>
      <c r="AI57" s="29">
        <v>50</v>
      </c>
      <c r="AJ57" s="28">
        <v>550</v>
      </c>
      <c r="AK57" s="22">
        <v>23</v>
      </c>
      <c r="AL57" s="28">
        <v>200</v>
      </c>
      <c r="AM57" s="29">
        <v>0</v>
      </c>
      <c r="AN57" s="28">
        <v>0</v>
      </c>
      <c r="AO57" s="28">
        <v>1</v>
      </c>
      <c r="AP57" s="29">
        <v>0</v>
      </c>
      <c r="AQ57" s="28">
        <v>0</v>
      </c>
      <c r="AR57" s="28">
        <v>0</v>
      </c>
      <c r="AS57" s="28">
        <v>0</v>
      </c>
      <c r="AT57" s="28">
        <v>0</v>
      </c>
      <c r="AU57" s="810">
        <v>0.02</v>
      </c>
      <c r="AV57" s="28">
        <v>1</v>
      </c>
      <c r="AW57" s="1033" t="s">
        <v>1005</v>
      </c>
      <c r="AX57" s="28">
        <v>0</v>
      </c>
      <c r="AY57" s="639">
        <v>0.9</v>
      </c>
      <c r="AZ57" s="557"/>
      <c r="BD57" s="1" t="s">
        <v>16</v>
      </c>
    </row>
    <row r="58" spans="1:56" x14ac:dyDescent="0.25">
      <c r="A58" s="12" t="str">
        <f t="shared" si="4"/>
        <v xml:space="preserve"> </v>
      </c>
      <c r="B58" s="36" t="s">
        <v>17</v>
      </c>
      <c r="C58" s="29">
        <v>1</v>
      </c>
      <c r="D58" s="22"/>
      <c r="E58" s="22">
        <v>4</v>
      </c>
      <c r="F58" s="22">
        <v>8</v>
      </c>
      <c r="G58" s="22"/>
      <c r="H58" s="45"/>
      <c r="I58" s="22">
        <v>12</v>
      </c>
      <c r="J58" s="12">
        <f t="shared" si="5"/>
        <v>748</v>
      </c>
      <c r="K58" s="29"/>
      <c r="L58" s="22">
        <v>2</v>
      </c>
      <c r="M58" s="22">
        <v>2</v>
      </c>
      <c r="N58" s="22">
        <v>1</v>
      </c>
      <c r="O58" s="22">
        <v>1</v>
      </c>
      <c r="P58" s="45">
        <v>30</v>
      </c>
      <c r="Q58" s="22">
        <v>4</v>
      </c>
      <c r="R58" s="12">
        <f t="shared" si="6"/>
        <v>741</v>
      </c>
      <c r="S58" s="28"/>
      <c r="T58" s="29"/>
      <c r="U58" s="22"/>
      <c r="V58" s="22">
        <v>0</v>
      </c>
      <c r="W58" s="22"/>
      <c r="X58" s="55"/>
      <c r="Y58" s="47">
        <f t="shared" si="3"/>
        <v>0.55426799999999998</v>
      </c>
      <c r="Z58" s="49">
        <f t="shared" si="7"/>
        <v>997.68239999999992</v>
      </c>
      <c r="AA58" s="28">
        <v>0</v>
      </c>
      <c r="AB58" s="29">
        <v>0</v>
      </c>
      <c r="AC58" s="28">
        <v>0</v>
      </c>
      <c r="AD58" s="28"/>
      <c r="AE58" s="29"/>
      <c r="AF58" s="12"/>
      <c r="AG58" s="29">
        <v>80</v>
      </c>
      <c r="AH58" s="28">
        <v>1400</v>
      </c>
      <c r="AI58" s="29">
        <v>50</v>
      </c>
      <c r="AJ58" s="28">
        <v>550</v>
      </c>
      <c r="AK58" s="22">
        <v>23</v>
      </c>
      <c r="AL58" s="28">
        <v>200</v>
      </c>
      <c r="AM58" s="29">
        <v>0</v>
      </c>
      <c r="AN58" s="28">
        <v>0</v>
      </c>
      <c r="AO58" s="28">
        <v>1</v>
      </c>
      <c r="AP58" s="29">
        <v>0</v>
      </c>
      <c r="AQ58" s="28">
        <v>0</v>
      </c>
      <c r="AR58" s="28">
        <v>0</v>
      </c>
      <c r="AS58" s="28">
        <v>0</v>
      </c>
      <c r="AT58" s="28">
        <v>0</v>
      </c>
      <c r="AU58" s="810">
        <v>0.02</v>
      </c>
      <c r="AV58" s="28">
        <v>1</v>
      </c>
      <c r="AW58" s="1033" t="s">
        <v>1005</v>
      </c>
      <c r="AX58" s="28">
        <v>0</v>
      </c>
      <c r="AY58" s="639">
        <v>0.9</v>
      </c>
      <c r="AZ58" s="557"/>
      <c r="BD58" s="1" t="s">
        <v>17</v>
      </c>
    </row>
    <row r="59" spans="1:56" x14ac:dyDescent="0.25">
      <c r="A59" s="12" t="str">
        <f t="shared" si="4"/>
        <v xml:space="preserve"> </v>
      </c>
      <c r="B59" s="36" t="s">
        <v>60</v>
      </c>
      <c r="C59" s="29">
        <v>1</v>
      </c>
      <c r="D59" s="22"/>
      <c r="E59" s="22">
        <v>4</v>
      </c>
      <c r="F59" s="22">
        <v>8</v>
      </c>
      <c r="G59" s="22"/>
      <c r="H59" s="45"/>
      <c r="I59" s="22">
        <v>12</v>
      </c>
      <c r="J59" s="12">
        <f t="shared" si="5"/>
        <v>748</v>
      </c>
      <c r="K59" s="29"/>
      <c r="L59" s="22">
        <v>1</v>
      </c>
      <c r="M59" s="22">
        <v>2</v>
      </c>
      <c r="N59" s="22"/>
      <c r="O59" s="22"/>
      <c r="P59" s="45"/>
      <c r="Q59" s="22">
        <v>4</v>
      </c>
      <c r="R59" s="12">
        <f t="shared" si="6"/>
        <v>458</v>
      </c>
      <c r="S59" s="28"/>
      <c r="T59" s="29"/>
      <c r="U59" s="22"/>
      <c r="V59" s="22">
        <v>0</v>
      </c>
      <c r="W59" s="22"/>
      <c r="X59" s="55"/>
      <c r="Y59" s="47">
        <f t="shared" si="3"/>
        <v>0.342584</v>
      </c>
      <c r="Z59" s="49">
        <f t="shared" si="7"/>
        <v>616.65120000000002</v>
      </c>
      <c r="AA59" s="28">
        <v>0</v>
      </c>
      <c r="AB59" s="29">
        <v>0</v>
      </c>
      <c r="AC59" s="28">
        <v>0</v>
      </c>
      <c r="AD59" s="28"/>
      <c r="AE59" s="29"/>
      <c r="AF59" s="12"/>
      <c r="AG59" s="29">
        <v>100</v>
      </c>
      <c r="AH59" s="28">
        <v>1400</v>
      </c>
      <c r="AI59" s="29">
        <v>50</v>
      </c>
      <c r="AJ59" s="28">
        <v>800</v>
      </c>
      <c r="AK59" s="22">
        <v>30</v>
      </c>
      <c r="AL59" s="28">
        <v>200</v>
      </c>
      <c r="AM59" s="29">
        <v>0</v>
      </c>
      <c r="AN59" s="28">
        <v>0</v>
      </c>
      <c r="AO59" s="28">
        <v>1</v>
      </c>
      <c r="AP59" s="29">
        <v>0</v>
      </c>
      <c r="AQ59" s="28">
        <v>0</v>
      </c>
      <c r="AR59" s="28">
        <v>0</v>
      </c>
      <c r="AS59" s="28">
        <v>0</v>
      </c>
      <c r="AT59" s="28">
        <v>0</v>
      </c>
      <c r="AU59" s="810">
        <v>0.02</v>
      </c>
      <c r="AV59" s="28">
        <v>1</v>
      </c>
      <c r="AW59" s="1033" t="s">
        <v>1005</v>
      </c>
      <c r="AX59" s="28">
        <v>0</v>
      </c>
      <c r="AY59" s="639">
        <v>0.9</v>
      </c>
      <c r="AZ59" s="557"/>
      <c r="BD59" s="1" t="s">
        <v>60</v>
      </c>
    </row>
    <row r="60" spans="1:56" x14ac:dyDescent="0.25">
      <c r="A60" s="12" t="str">
        <f t="shared" si="4"/>
        <v xml:space="preserve"> </v>
      </c>
      <c r="B60" s="36" t="s">
        <v>71</v>
      </c>
      <c r="C60" s="29"/>
      <c r="D60" s="22">
        <v>1</v>
      </c>
      <c r="E60" s="22">
        <v>2</v>
      </c>
      <c r="F60" s="22">
        <v>2</v>
      </c>
      <c r="G60" s="22"/>
      <c r="H60" s="45"/>
      <c r="I60" s="22">
        <v>4</v>
      </c>
      <c r="J60" s="12">
        <f t="shared" si="5"/>
        <v>464</v>
      </c>
      <c r="K60" s="29">
        <v>1</v>
      </c>
      <c r="L60" s="22"/>
      <c r="M60" s="22">
        <v>2</v>
      </c>
      <c r="N60" s="22"/>
      <c r="O60" s="22"/>
      <c r="P60" s="45"/>
      <c r="Q60" s="22">
        <v>4</v>
      </c>
      <c r="R60" s="12">
        <f t="shared" si="6"/>
        <v>508</v>
      </c>
      <c r="S60" s="28">
        <v>2</v>
      </c>
      <c r="T60" s="29">
        <v>1</v>
      </c>
      <c r="U60" s="22"/>
      <c r="V60" s="22"/>
      <c r="W60" s="22"/>
      <c r="X60" s="55"/>
      <c r="Y60" s="47">
        <f t="shared" si="3"/>
        <v>0.235712</v>
      </c>
      <c r="Z60" s="49">
        <f t="shared" si="7"/>
        <v>424.28160000000003</v>
      </c>
      <c r="AA60" s="28">
        <v>0</v>
      </c>
      <c r="AB60" s="29">
        <v>0</v>
      </c>
      <c r="AC60" s="28">
        <v>0</v>
      </c>
      <c r="AD60" s="12">
        <f>E46+I46</f>
        <v>102</v>
      </c>
      <c r="AE60" s="26">
        <f>E46+I46</f>
        <v>102</v>
      </c>
      <c r="AF60" s="12"/>
      <c r="AG60" s="29">
        <v>150</v>
      </c>
      <c r="AH60" s="28">
        <v>2000</v>
      </c>
      <c r="AI60" s="29">
        <v>100</v>
      </c>
      <c r="AJ60" s="28">
        <v>1200</v>
      </c>
      <c r="AK60" s="22">
        <v>45</v>
      </c>
      <c r="AL60" s="28">
        <v>400</v>
      </c>
      <c r="AM60" s="29">
        <v>1</v>
      </c>
      <c r="AN60" s="28">
        <v>4</v>
      </c>
      <c r="AO60" s="28">
        <v>0</v>
      </c>
      <c r="AP60" s="29">
        <v>0</v>
      </c>
      <c r="AQ60" s="28">
        <v>0</v>
      </c>
      <c r="AR60" s="28">
        <v>0</v>
      </c>
      <c r="AS60" s="28">
        <v>0</v>
      </c>
      <c r="AT60" s="28">
        <v>0</v>
      </c>
      <c r="AU60" s="810">
        <v>0</v>
      </c>
      <c r="AV60" s="28">
        <v>1</v>
      </c>
      <c r="AW60" s="1033" t="s">
        <v>1027</v>
      </c>
      <c r="AX60" s="28">
        <v>0</v>
      </c>
      <c r="AY60" s="639">
        <v>0.9</v>
      </c>
      <c r="AZ60" s="557"/>
      <c r="BD60" s="1" t="s">
        <v>71</v>
      </c>
    </row>
    <row r="61" spans="1:56" x14ac:dyDescent="0.25">
      <c r="A61" s="12" t="str">
        <f t="shared" si="4"/>
        <v xml:space="preserve"> </v>
      </c>
      <c r="B61" s="36" t="s">
        <v>70</v>
      </c>
      <c r="C61" s="29"/>
      <c r="D61" s="22"/>
      <c r="E61" s="22">
        <v>1</v>
      </c>
      <c r="F61" s="22"/>
      <c r="G61" s="22"/>
      <c r="H61" s="45"/>
      <c r="I61" s="22">
        <v>0</v>
      </c>
      <c r="J61" s="12">
        <f t="shared" si="5"/>
        <v>100</v>
      </c>
      <c r="K61" s="29">
        <v>2</v>
      </c>
      <c r="L61" s="22">
        <v>2</v>
      </c>
      <c r="M61" s="22"/>
      <c r="N61" s="22"/>
      <c r="O61" s="22"/>
      <c r="P61" s="45"/>
      <c r="Q61" s="22">
        <v>7</v>
      </c>
      <c r="R61" s="12">
        <f t="shared" si="6"/>
        <v>1114</v>
      </c>
      <c r="S61" s="28">
        <v>4</v>
      </c>
      <c r="T61" s="29">
        <v>1</v>
      </c>
      <c r="U61" s="22">
        <v>1</v>
      </c>
      <c r="V61" s="22"/>
      <c r="W61" s="22"/>
      <c r="X61" s="55"/>
      <c r="Y61" s="47">
        <f t="shared" si="3"/>
        <v>0.11140000000000001</v>
      </c>
      <c r="Z61" s="49">
        <f t="shared" si="7"/>
        <v>200.52</v>
      </c>
      <c r="AA61" s="28">
        <v>1</v>
      </c>
      <c r="AB61" s="29">
        <v>1</v>
      </c>
      <c r="AC61" s="28">
        <v>0</v>
      </c>
      <c r="AD61" s="28"/>
      <c r="AE61" s="29"/>
      <c r="AF61" s="12"/>
      <c r="AG61" s="29">
        <v>100</v>
      </c>
      <c r="AH61" s="28">
        <v>2000</v>
      </c>
      <c r="AI61" s="26">
        <f>M24</f>
        <v>40</v>
      </c>
      <c r="AJ61" s="28">
        <v>1000</v>
      </c>
      <c r="AK61" s="22">
        <v>100</v>
      </c>
      <c r="AL61" s="28">
        <v>1200</v>
      </c>
      <c r="AM61" s="29">
        <v>1</v>
      </c>
      <c r="AN61" s="28">
        <v>4</v>
      </c>
      <c r="AO61" s="28">
        <v>0</v>
      </c>
      <c r="AP61" s="29">
        <v>0</v>
      </c>
      <c r="AQ61" s="28">
        <v>1</v>
      </c>
      <c r="AR61" s="28">
        <v>1</v>
      </c>
      <c r="AS61" s="28">
        <v>1</v>
      </c>
      <c r="AT61" s="28">
        <v>0</v>
      </c>
      <c r="AU61" s="810">
        <v>0</v>
      </c>
      <c r="AV61" s="28">
        <v>1</v>
      </c>
      <c r="AW61" s="1033" t="s">
        <v>1005</v>
      </c>
      <c r="AX61" s="28">
        <v>1</v>
      </c>
      <c r="AY61" s="639">
        <v>0.9</v>
      </c>
      <c r="AZ61" s="557">
        <v>1</v>
      </c>
      <c r="BD61" s="1" t="s">
        <v>70</v>
      </c>
    </row>
    <row r="62" spans="1:56" x14ac:dyDescent="0.25">
      <c r="A62" s="12" t="str">
        <f t="shared" si="4"/>
        <v xml:space="preserve"> </v>
      </c>
      <c r="B62" s="36" t="s">
        <v>981</v>
      </c>
      <c r="C62" s="29"/>
      <c r="D62" s="22">
        <v>2</v>
      </c>
      <c r="E62" s="22">
        <v>2</v>
      </c>
      <c r="F62" s="22">
        <v>2</v>
      </c>
      <c r="G62" s="22"/>
      <c r="H62" s="45"/>
      <c r="I62" s="22">
        <v>8</v>
      </c>
      <c r="J62" s="12">
        <f t="shared" si="5"/>
        <v>722</v>
      </c>
      <c r="K62" s="29">
        <v>1</v>
      </c>
      <c r="L62" s="22"/>
      <c r="M62" s="22">
        <v>2</v>
      </c>
      <c r="N62" s="22"/>
      <c r="O62" s="22">
        <v>2</v>
      </c>
      <c r="P62" s="45">
        <v>50</v>
      </c>
      <c r="Q62" s="22">
        <v>8</v>
      </c>
      <c r="R62" s="12">
        <f t="shared" si="6"/>
        <v>616</v>
      </c>
      <c r="S62" s="28">
        <v>4</v>
      </c>
      <c r="T62" s="29">
        <v>1</v>
      </c>
      <c r="U62" s="22"/>
      <c r="V62" s="22"/>
      <c r="W62" s="22"/>
      <c r="X62" s="55"/>
      <c r="Y62" s="47">
        <f t="shared" si="3"/>
        <v>0.44475199999999998</v>
      </c>
      <c r="Z62" s="49">
        <f t="shared" si="7"/>
        <v>800.55359999999996</v>
      </c>
      <c r="AA62" s="28">
        <v>0</v>
      </c>
      <c r="AB62" s="29">
        <v>0</v>
      </c>
      <c r="AC62" s="28">
        <v>1</v>
      </c>
      <c r="AD62" s="12">
        <f>(0.5*D46)+E46+(3*I46)+F46</f>
        <v>234</v>
      </c>
      <c r="AE62" s="26">
        <f>(0.5*D46)+E46+(3*I46)+F46</f>
        <v>234</v>
      </c>
      <c r="AF62" s="12"/>
      <c r="AG62" s="29">
        <v>200</v>
      </c>
      <c r="AH62" s="28">
        <v>2000</v>
      </c>
      <c r="AI62" s="29">
        <v>100</v>
      </c>
      <c r="AJ62" s="28">
        <v>800</v>
      </c>
      <c r="AK62" s="22">
        <v>20</v>
      </c>
      <c r="AL62" s="28">
        <v>80</v>
      </c>
      <c r="AM62" s="29">
        <v>1</v>
      </c>
      <c r="AN62" s="12">
        <f>IF(J62+C166&gt;=I183,1,2)</f>
        <v>1</v>
      </c>
      <c r="AO62" s="28">
        <v>0</v>
      </c>
      <c r="AP62" s="29">
        <v>0</v>
      </c>
      <c r="AQ62" s="28">
        <v>0</v>
      </c>
      <c r="AR62" s="28">
        <v>0</v>
      </c>
      <c r="AS62" s="28">
        <v>0</v>
      </c>
      <c r="AT62" s="12">
        <f>(P62+(C12*3)+C8)</f>
        <v>156</v>
      </c>
      <c r="AU62" s="810">
        <v>0.04</v>
      </c>
      <c r="AV62" s="28">
        <v>1</v>
      </c>
      <c r="AW62" s="28">
        <v>2</v>
      </c>
      <c r="AX62" s="28">
        <v>0</v>
      </c>
      <c r="AY62" s="639">
        <v>0.82</v>
      </c>
      <c r="AZ62" s="557"/>
      <c r="BD62" s="1" t="s">
        <v>981</v>
      </c>
    </row>
    <row r="63" spans="1:56" x14ac:dyDescent="0.25">
      <c r="A63" s="12" t="str">
        <f t="shared" si="4"/>
        <v xml:space="preserve"> </v>
      </c>
      <c r="B63" s="36" t="s">
        <v>982</v>
      </c>
      <c r="C63" s="29"/>
      <c r="D63" s="22">
        <v>2</v>
      </c>
      <c r="E63" s="22">
        <v>3</v>
      </c>
      <c r="F63" s="22">
        <v>2</v>
      </c>
      <c r="G63" s="22"/>
      <c r="H63" s="45"/>
      <c r="I63" s="22">
        <v>8</v>
      </c>
      <c r="J63" s="12">
        <f t="shared" si="5"/>
        <v>822</v>
      </c>
      <c r="K63" s="29">
        <v>1</v>
      </c>
      <c r="L63" s="22">
        <v>2</v>
      </c>
      <c r="M63" s="22"/>
      <c r="N63" s="22">
        <v>6</v>
      </c>
      <c r="O63" s="22"/>
      <c r="P63" s="45"/>
      <c r="Q63" s="22">
        <v>4</v>
      </c>
      <c r="R63" s="12">
        <f t="shared" si="6"/>
        <v>826</v>
      </c>
      <c r="S63" s="28"/>
      <c r="T63" s="29"/>
      <c r="U63" s="22"/>
      <c r="V63" s="22">
        <v>0</v>
      </c>
      <c r="W63" s="22"/>
      <c r="X63" s="55"/>
      <c r="Y63" s="47">
        <f t="shared" si="3"/>
        <v>0.67897199999999991</v>
      </c>
      <c r="Z63" s="49">
        <f t="shared" si="7"/>
        <v>1222.1495999999997</v>
      </c>
      <c r="AA63" s="28">
        <v>0</v>
      </c>
      <c r="AB63" s="29">
        <v>0</v>
      </c>
      <c r="AC63" s="28">
        <v>0</v>
      </c>
      <c r="AD63" s="28"/>
      <c r="AE63" s="29"/>
      <c r="AF63" s="12"/>
      <c r="AG63" s="29">
        <v>180</v>
      </c>
      <c r="AH63" s="28">
        <v>1400</v>
      </c>
      <c r="AI63" s="29">
        <v>80</v>
      </c>
      <c r="AJ63" s="28">
        <v>600</v>
      </c>
      <c r="AK63" s="22">
        <v>60</v>
      </c>
      <c r="AL63" s="28">
        <v>400</v>
      </c>
      <c r="AM63" s="29">
        <v>1</v>
      </c>
      <c r="AN63" s="28">
        <v>0</v>
      </c>
      <c r="AO63" s="28">
        <v>1</v>
      </c>
      <c r="AP63" s="29">
        <v>0</v>
      </c>
      <c r="AQ63" s="28">
        <v>0</v>
      </c>
      <c r="AR63" s="28">
        <v>0</v>
      </c>
      <c r="AS63" s="28">
        <v>0</v>
      </c>
      <c r="AT63" s="28">
        <v>0</v>
      </c>
      <c r="AU63" s="810">
        <v>0.02</v>
      </c>
      <c r="AV63" s="28">
        <v>1</v>
      </c>
      <c r="AW63" s="28">
        <v>0</v>
      </c>
      <c r="AX63" s="28">
        <v>0</v>
      </c>
      <c r="AY63" s="639">
        <v>0.9</v>
      </c>
      <c r="AZ63" s="557"/>
      <c r="BD63" s="1" t="s">
        <v>982</v>
      </c>
    </row>
    <row r="64" spans="1:56" x14ac:dyDescent="0.25">
      <c r="A64" s="12" t="str">
        <f t="shared" si="4"/>
        <v xml:space="preserve"> </v>
      </c>
      <c r="B64" s="36" t="s">
        <v>992</v>
      </c>
      <c r="C64" s="997">
        <v>1</v>
      </c>
      <c r="D64" s="998">
        <v>1</v>
      </c>
      <c r="E64" s="998">
        <v>1</v>
      </c>
      <c r="F64" s="998">
        <v>1</v>
      </c>
      <c r="G64" s="998"/>
      <c r="H64" s="999"/>
      <c r="I64" s="998"/>
      <c r="J64" s="1000">
        <f t="shared" si="5"/>
        <v>653</v>
      </c>
      <c r="K64" s="997">
        <v>1</v>
      </c>
      <c r="L64" s="998">
        <v>1</v>
      </c>
      <c r="M64" s="998">
        <v>1</v>
      </c>
      <c r="N64" s="998">
        <v>1</v>
      </c>
      <c r="O64" s="998">
        <v>1</v>
      </c>
      <c r="P64" s="999"/>
      <c r="Q64" s="998"/>
      <c r="R64" s="1000">
        <f t="shared" si="6"/>
        <v>653</v>
      </c>
      <c r="S64" s="1001"/>
      <c r="T64" s="997">
        <v>0</v>
      </c>
      <c r="U64" s="998">
        <v>0</v>
      </c>
      <c r="V64" s="998">
        <v>0</v>
      </c>
      <c r="W64" s="998">
        <v>0</v>
      </c>
      <c r="X64" s="1002">
        <v>0</v>
      </c>
      <c r="Y64" s="1003">
        <f t="shared" si="3"/>
        <v>0.42640900000000004</v>
      </c>
      <c r="Z64" s="1004">
        <f t="shared" si="7"/>
        <v>767.53620000000012</v>
      </c>
      <c r="AA64" s="1001">
        <v>0</v>
      </c>
      <c r="AB64" s="997">
        <v>0</v>
      </c>
      <c r="AC64" s="1001">
        <v>0</v>
      </c>
      <c r="AD64" s="1001"/>
      <c r="AE64" s="997"/>
      <c r="AF64" s="1000"/>
      <c r="AG64" s="997">
        <v>99</v>
      </c>
      <c r="AH64" s="1001">
        <v>9999</v>
      </c>
      <c r="AI64" s="997">
        <v>99</v>
      </c>
      <c r="AJ64" s="1001">
        <v>9999</v>
      </c>
      <c r="AK64" s="998">
        <v>99</v>
      </c>
      <c r="AL64" s="1001">
        <v>9999</v>
      </c>
      <c r="AM64" s="997">
        <v>0</v>
      </c>
      <c r="AN64" s="1001">
        <v>0</v>
      </c>
      <c r="AO64" s="1001">
        <v>0</v>
      </c>
      <c r="AP64" s="997">
        <v>0</v>
      </c>
      <c r="AQ64" s="1001">
        <v>0</v>
      </c>
      <c r="AR64" s="1001">
        <v>0</v>
      </c>
      <c r="AS64" s="1001">
        <v>0</v>
      </c>
      <c r="AT64" s="1001">
        <v>0</v>
      </c>
      <c r="AU64" s="1007">
        <v>0</v>
      </c>
      <c r="AV64" s="1001">
        <v>0</v>
      </c>
      <c r="AW64" s="1001">
        <v>0</v>
      </c>
      <c r="AX64" s="28">
        <v>0</v>
      </c>
      <c r="AY64" s="639">
        <v>0.9</v>
      </c>
      <c r="AZ64" s="561"/>
      <c r="BA64" s="1005" t="s">
        <v>994</v>
      </c>
      <c r="BD64" s="1" t="s">
        <v>992</v>
      </c>
    </row>
    <row r="65" spans="1:56" x14ac:dyDescent="0.25">
      <c r="A65" s="12" t="str">
        <f t="shared" si="4"/>
        <v xml:space="preserve"> </v>
      </c>
      <c r="B65" s="36" t="s">
        <v>1343</v>
      </c>
      <c r="C65" s="997">
        <v>1</v>
      </c>
      <c r="D65" s="998">
        <v>1</v>
      </c>
      <c r="E65" s="998">
        <v>1</v>
      </c>
      <c r="F65" s="998">
        <v>1</v>
      </c>
      <c r="G65" s="998"/>
      <c r="H65" s="999"/>
      <c r="I65" s="998"/>
      <c r="J65" s="1000">
        <f t="shared" si="5"/>
        <v>653</v>
      </c>
      <c r="K65" s="997">
        <v>1</v>
      </c>
      <c r="L65" s="998">
        <v>1</v>
      </c>
      <c r="M65" s="998">
        <v>1</v>
      </c>
      <c r="N65" s="998">
        <v>1</v>
      </c>
      <c r="O65" s="998">
        <v>1</v>
      </c>
      <c r="P65" s="999"/>
      <c r="Q65" s="998"/>
      <c r="R65" s="1000">
        <f t="shared" si="6"/>
        <v>653</v>
      </c>
      <c r="S65" s="1001"/>
      <c r="T65" s="997">
        <v>0</v>
      </c>
      <c r="U65" s="998">
        <v>0</v>
      </c>
      <c r="V65" s="998">
        <v>0</v>
      </c>
      <c r="W65" s="998">
        <v>0</v>
      </c>
      <c r="X65" s="1002">
        <v>0</v>
      </c>
      <c r="Y65" s="1003">
        <f t="shared" si="3"/>
        <v>0.42640900000000004</v>
      </c>
      <c r="Z65" s="1004">
        <f t="shared" si="7"/>
        <v>767.53620000000012</v>
      </c>
      <c r="AA65" s="1001">
        <v>0</v>
      </c>
      <c r="AB65" s="997">
        <v>0</v>
      </c>
      <c r="AC65" s="1001">
        <v>0</v>
      </c>
      <c r="AD65" s="1001"/>
      <c r="AE65" s="997"/>
      <c r="AF65" s="1000"/>
      <c r="AG65" s="997">
        <v>99</v>
      </c>
      <c r="AH65" s="1001">
        <v>9999</v>
      </c>
      <c r="AI65" s="997">
        <v>99</v>
      </c>
      <c r="AJ65" s="1001">
        <v>9999</v>
      </c>
      <c r="AK65" s="998">
        <v>99</v>
      </c>
      <c r="AL65" s="1001">
        <v>9999</v>
      </c>
      <c r="AM65" s="997">
        <v>0</v>
      </c>
      <c r="AN65" s="1001">
        <v>0</v>
      </c>
      <c r="AO65" s="1001">
        <v>0</v>
      </c>
      <c r="AP65" s="997">
        <v>0</v>
      </c>
      <c r="AQ65" s="1001">
        <v>0</v>
      </c>
      <c r="AR65" s="1001">
        <v>0</v>
      </c>
      <c r="AS65" s="1001">
        <v>0</v>
      </c>
      <c r="AT65" s="1001">
        <v>0</v>
      </c>
      <c r="AU65" s="1007">
        <v>0</v>
      </c>
      <c r="AV65" s="1001">
        <v>0</v>
      </c>
      <c r="AW65" s="1001">
        <v>0</v>
      </c>
      <c r="AX65" s="28">
        <v>0</v>
      </c>
      <c r="AY65" s="639">
        <v>0.9</v>
      </c>
      <c r="AZ65" s="561"/>
      <c r="BA65" s="1005" t="s">
        <v>994</v>
      </c>
      <c r="BD65" s="1" t="s">
        <v>993</v>
      </c>
    </row>
    <row r="66" spans="1:56" x14ac:dyDescent="0.25">
      <c r="A66" s="12" t="str">
        <f t="shared" si="4"/>
        <v xml:space="preserve"> </v>
      </c>
      <c r="B66" s="36"/>
      <c r="C66" s="29"/>
      <c r="D66" s="22"/>
      <c r="E66" s="22"/>
      <c r="F66" s="22"/>
      <c r="G66" s="22"/>
      <c r="H66" s="45"/>
      <c r="I66" s="22"/>
      <c r="J66" s="12">
        <f t="shared" si="5"/>
        <v>0</v>
      </c>
      <c r="K66" s="29"/>
      <c r="L66" s="22"/>
      <c r="M66" s="22"/>
      <c r="N66" s="22"/>
      <c r="O66" s="22"/>
      <c r="P66" s="45"/>
      <c r="Q66" s="22"/>
      <c r="R66" s="12">
        <f t="shared" si="6"/>
        <v>0</v>
      </c>
      <c r="S66" s="28"/>
      <c r="T66" s="29"/>
      <c r="U66" s="22"/>
      <c r="V66" s="22"/>
      <c r="W66" s="22"/>
      <c r="X66" s="55"/>
      <c r="Y66" s="47">
        <f t="shared" si="3"/>
        <v>0</v>
      </c>
      <c r="Z66" s="49">
        <f t="shared" si="7"/>
        <v>0</v>
      </c>
      <c r="AA66" s="28"/>
      <c r="AB66" s="53"/>
      <c r="AC66" s="28"/>
      <c r="AD66" s="28"/>
      <c r="AE66" s="29"/>
      <c r="AF66" s="12"/>
      <c r="AG66" s="29"/>
      <c r="AH66" s="28"/>
      <c r="AI66" s="29"/>
      <c r="AJ66" s="28"/>
      <c r="AK66" s="22"/>
      <c r="AL66" s="28"/>
      <c r="AM66" s="29"/>
      <c r="AN66" s="28"/>
      <c r="AO66" s="28"/>
      <c r="AP66" s="29"/>
      <c r="AQ66" s="28"/>
      <c r="AR66" s="28"/>
      <c r="AS66" s="28"/>
      <c r="AT66" s="28"/>
      <c r="AU66" s="810"/>
      <c r="AV66" s="967"/>
      <c r="AW66" s="28"/>
      <c r="AX66" s="28"/>
      <c r="AY66" s="639"/>
      <c r="AZ66" s="557"/>
    </row>
    <row r="67" spans="1:56" x14ac:dyDescent="0.25">
      <c r="A67" s="12" t="str">
        <f t="shared" si="4"/>
        <v xml:space="preserve"> </v>
      </c>
      <c r="B67" s="36"/>
      <c r="C67" s="29"/>
      <c r="D67" s="22"/>
      <c r="E67" s="22"/>
      <c r="F67" s="22"/>
      <c r="G67" s="22"/>
      <c r="H67" s="45"/>
      <c r="I67" s="22"/>
      <c r="J67" s="12">
        <f t="shared" si="5"/>
        <v>0</v>
      </c>
      <c r="K67" s="29"/>
      <c r="L67" s="22"/>
      <c r="M67" s="22"/>
      <c r="N67" s="22"/>
      <c r="O67" s="22"/>
      <c r="P67" s="45"/>
      <c r="Q67" s="22"/>
      <c r="R67" s="12">
        <f t="shared" si="6"/>
        <v>0</v>
      </c>
      <c r="S67" s="28"/>
      <c r="T67" s="29"/>
      <c r="U67" s="22"/>
      <c r="V67" s="22"/>
      <c r="W67" s="22"/>
      <c r="X67" s="55"/>
      <c r="Y67" s="47">
        <f t="shared" si="3"/>
        <v>0</v>
      </c>
      <c r="Z67" s="49">
        <f t="shared" si="7"/>
        <v>0</v>
      </c>
      <c r="AA67" s="28"/>
      <c r="AB67" s="53"/>
      <c r="AC67" s="28"/>
      <c r="AD67" s="28"/>
      <c r="AE67" s="29"/>
      <c r="AF67" s="12"/>
      <c r="AG67" s="29"/>
      <c r="AH67" s="28"/>
      <c r="AI67" s="29"/>
      <c r="AJ67" s="28"/>
      <c r="AK67" s="22"/>
      <c r="AL67" s="28"/>
      <c r="AM67" s="29"/>
      <c r="AN67" s="28"/>
      <c r="AO67" s="28"/>
      <c r="AP67" s="29"/>
      <c r="AQ67" s="28"/>
      <c r="AR67" s="28"/>
      <c r="AS67" s="28"/>
      <c r="AT67" s="28"/>
      <c r="AU67" s="810"/>
      <c r="AV67" s="967"/>
      <c r="AW67" s="28"/>
      <c r="AX67" s="28"/>
      <c r="AY67" s="639"/>
      <c r="AZ67" s="557"/>
    </row>
    <row r="68" spans="1:56" x14ac:dyDescent="0.25">
      <c r="A68" s="12" t="str">
        <f t="shared" si="4"/>
        <v xml:space="preserve"> </v>
      </c>
      <c r="B68" s="36"/>
      <c r="C68" s="29"/>
      <c r="D68" s="22"/>
      <c r="E68" s="22"/>
      <c r="F68" s="22"/>
      <c r="G68" s="22"/>
      <c r="H68" s="45"/>
      <c r="I68" s="22"/>
      <c r="J68" s="12">
        <f t="shared" si="5"/>
        <v>0</v>
      </c>
      <c r="K68" s="29"/>
      <c r="L68" s="22"/>
      <c r="M68" s="22"/>
      <c r="N68" s="22"/>
      <c r="O68" s="22"/>
      <c r="P68" s="45"/>
      <c r="Q68" s="22"/>
      <c r="R68" s="12">
        <f t="shared" si="6"/>
        <v>0</v>
      </c>
      <c r="S68" s="28"/>
      <c r="T68" s="29"/>
      <c r="U68" s="22"/>
      <c r="V68" s="22"/>
      <c r="W68" s="22"/>
      <c r="X68" s="55"/>
      <c r="Y68" s="47">
        <f t="shared" si="3"/>
        <v>0</v>
      </c>
      <c r="Z68" s="49">
        <f t="shared" si="7"/>
        <v>0</v>
      </c>
      <c r="AA68" s="28"/>
      <c r="AB68" s="53"/>
      <c r="AC68" s="28"/>
      <c r="AD68" s="28"/>
      <c r="AE68" s="29"/>
      <c r="AF68" s="12"/>
      <c r="AG68" s="29"/>
      <c r="AH68" s="28"/>
      <c r="AI68" s="29"/>
      <c r="AJ68" s="28"/>
      <c r="AK68" s="22"/>
      <c r="AL68" s="28"/>
      <c r="AM68" s="29"/>
      <c r="AN68" s="28"/>
      <c r="AO68" s="28"/>
      <c r="AP68" s="29"/>
      <c r="AQ68" s="28"/>
      <c r="AR68" s="28"/>
      <c r="AS68" s="28"/>
      <c r="AT68" s="28"/>
      <c r="AU68" s="810"/>
      <c r="AV68" s="967"/>
      <c r="AW68" s="28"/>
      <c r="AX68" s="28"/>
      <c r="AY68" s="639"/>
      <c r="AZ68" s="557"/>
    </row>
    <row r="69" spans="1:56" x14ac:dyDescent="0.25">
      <c r="A69" s="12" t="str">
        <f t="shared" si="4"/>
        <v xml:space="preserve"> </v>
      </c>
      <c r="B69" s="36"/>
      <c r="C69" s="29"/>
      <c r="D69" s="22"/>
      <c r="E69" s="22"/>
      <c r="F69" s="22"/>
      <c r="G69" s="22"/>
      <c r="H69" s="45"/>
      <c r="I69" s="22"/>
      <c r="J69" s="12">
        <f t="shared" si="5"/>
        <v>0</v>
      </c>
      <c r="K69" s="29"/>
      <c r="L69" s="22"/>
      <c r="M69" s="22"/>
      <c r="N69" s="22"/>
      <c r="O69" s="22"/>
      <c r="P69" s="45"/>
      <c r="Q69" s="22"/>
      <c r="R69" s="12">
        <f t="shared" si="6"/>
        <v>0</v>
      </c>
      <c r="S69" s="28"/>
      <c r="T69" s="29"/>
      <c r="U69" s="22"/>
      <c r="V69" s="22"/>
      <c r="W69" s="22"/>
      <c r="X69" s="55"/>
      <c r="Y69" s="47">
        <f t="shared" si="3"/>
        <v>0</v>
      </c>
      <c r="Z69" s="49">
        <f t="shared" si="7"/>
        <v>0</v>
      </c>
      <c r="AA69" s="28"/>
      <c r="AB69" s="53"/>
      <c r="AC69" s="28"/>
      <c r="AD69" s="28"/>
      <c r="AE69" s="29"/>
      <c r="AF69" s="12"/>
      <c r="AG69" s="29"/>
      <c r="AH69" s="28"/>
      <c r="AI69" s="29"/>
      <c r="AJ69" s="28"/>
      <c r="AK69" s="22"/>
      <c r="AL69" s="28"/>
      <c r="AM69" s="29"/>
      <c r="AN69" s="28"/>
      <c r="AO69" s="28"/>
      <c r="AP69" s="29"/>
      <c r="AQ69" s="28"/>
      <c r="AR69" s="28"/>
      <c r="AS69" s="28"/>
      <c r="AT69" s="28"/>
      <c r="AU69" s="810"/>
      <c r="AV69" s="967"/>
      <c r="AW69" s="28"/>
      <c r="AX69" s="28"/>
      <c r="AY69" s="639"/>
      <c r="AZ69" s="557"/>
    </row>
    <row r="70" spans="1:56" x14ac:dyDescent="0.25">
      <c r="A70" s="13" t="str">
        <f t="shared" si="4"/>
        <v xml:space="preserve"> </v>
      </c>
      <c r="B70" s="37"/>
      <c r="C70" s="31"/>
      <c r="D70" s="32"/>
      <c r="E70" s="32"/>
      <c r="F70" s="32"/>
      <c r="G70" s="32"/>
      <c r="H70" s="46"/>
      <c r="I70" s="32"/>
      <c r="J70" s="13">
        <f t="shared" si="5"/>
        <v>0</v>
      </c>
      <c r="K70" s="31"/>
      <c r="L70" s="32"/>
      <c r="M70" s="32"/>
      <c r="N70" s="32"/>
      <c r="O70" s="32"/>
      <c r="P70" s="46"/>
      <c r="Q70" s="32"/>
      <c r="R70" s="13">
        <f t="shared" si="6"/>
        <v>0</v>
      </c>
      <c r="S70" s="34"/>
      <c r="T70" s="31"/>
      <c r="U70" s="32"/>
      <c r="V70" s="32"/>
      <c r="W70" s="32"/>
      <c r="X70" s="56"/>
      <c r="Y70" s="48">
        <f t="shared" si="3"/>
        <v>0</v>
      </c>
      <c r="Z70" s="50">
        <f t="shared" si="7"/>
        <v>0</v>
      </c>
      <c r="AA70" s="34"/>
      <c r="AB70" s="54"/>
      <c r="AC70" s="34"/>
      <c r="AD70" s="34"/>
      <c r="AE70" s="31"/>
      <c r="AF70" s="13"/>
      <c r="AG70" s="31"/>
      <c r="AH70" s="34"/>
      <c r="AI70" s="31"/>
      <c r="AJ70" s="34"/>
      <c r="AK70" s="32"/>
      <c r="AL70" s="34"/>
      <c r="AM70" s="31"/>
      <c r="AN70" s="34"/>
      <c r="AO70" s="34"/>
      <c r="AP70" s="31"/>
      <c r="AQ70" s="34"/>
      <c r="AR70" s="34"/>
      <c r="AS70" s="34"/>
      <c r="AT70" s="34"/>
      <c r="AU70" s="811"/>
      <c r="AV70" s="474"/>
      <c r="AW70" s="34"/>
      <c r="AX70" s="34"/>
      <c r="AY70" s="640"/>
      <c r="AZ70" s="559"/>
    </row>
    <row r="73" spans="1:56" x14ac:dyDescent="0.25">
      <c r="B73" t="s">
        <v>1009</v>
      </c>
    </row>
    <row r="74" spans="1:56" x14ac:dyDescent="0.25">
      <c r="B74"/>
    </row>
    <row r="75" spans="1:56" x14ac:dyDescent="0.25">
      <c r="B75" s="404"/>
      <c r="C75" s="412"/>
      <c r="D75" s="404"/>
      <c r="E75" s="1313" t="s">
        <v>9</v>
      </c>
      <c r="F75" s="1303"/>
      <c r="G75" s="1313" t="s">
        <v>18</v>
      </c>
      <c r="H75" s="1303"/>
      <c r="I75" s="1314" t="s">
        <v>19</v>
      </c>
      <c r="J75" s="1303"/>
      <c r="K75" s="1285" t="s">
        <v>1010</v>
      </c>
      <c r="L75" s="1286"/>
      <c r="M75" s="1286"/>
      <c r="N75" s="1286"/>
      <c r="O75" s="1286"/>
      <c r="P75" s="1284"/>
      <c r="Q75" s="442" t="s">
        <v>1007</v>
      </c>
    </row>
    <row r="76" spans="1:56" x14ac:dyDescent="0.25">
      <c r="B76" s="12" t="s">
        <v>912</v>
      </c>
      <c r="C76" s="2" t="s">
        <v>31</v>
      </c>
      <c r="D76" s="12" t="s">
        <v>1006</v>
      </c>
      <c r="E76" s="26" t="s">
        <v>150</v>
      </c>
      <c r="F76" s="25" t="s">
        <v>151</v>
      </c>
      <c r="G76" s="26" t="s">
        <v>691</v>
      </c>
      <c r="H76" s="25" t="s">
        <v>151</v>
      </c>
      <c r="I76" s="2" t="s">
        <v>691</v>
      </c>
      <c r="J76" s="25" t="s">
        <v>151</v>
      </c>
      <c r="K76" s="26" t="s">
        <v>983</v>
      </c>
      <c r="L76" s="442" t="s">
        <v>530</v>
      </c>
      <c r="M76" s="2" t="s">
        <v>1011</v>
      </c>
      <c r="N76" s="404"/>
      <c r="P76" s="404"/>
      <c r="Q76" s="12" t="s">
        <v>1008</v>
      </c>
    </row>
    <row r="77" spans="1:56" x14ac:dyDescent="0.25">
      <c r="B77" s="951"/>
      <c r="C77" s="23"/>
      <c r="D77" s="951"/>
      <c r="E77" s="208">
        <f>AG46</f>
        <v>100</v>
      </c>
      <c r="F77" s="208">
        <f t="shared" ref="F77:J77" si="8">AH46</f>
        <v>2000</v>
      </c>
      <c r="G77" s="208">
        <f t="shared" si="8"/>
        <v>70</v>
      </c>
      <c r="H77" s="208">
        <f t="shared" si="8"/>
        <v>1000</v>
      </c>
      <c r="I77" s="208">
        <f t="shared" si="8"/>
        <v>37</v>
      </c>
      <c r="J77" s="951">
        <f t="shared" si="8"/>
        <v>1200</v>
      </c>
      <c r="K77" s="208">
        <f>AO46</f>
        <v>0</v>
      </c>
      <c r="L77" s="951">
        <f>AP46</f>
        <v>0</v>
      </c>
      <c r="M77" s="23">
        <f>AX46</f>
        <v>1</v>
      </c>
      <c r="N77" s="959"/>
      <c r="O77" s="43"/>
      <c r="P77" s="959"/>
      <c r="Q77" s="952">
        <v>9</v>
      </c>
    </row>
    <row r="78" spans="1:56" x14ac:dyDescent="0.25">
      <c r="B78" s="951">
        <f>C6</f>
        <v>300</v>
      </c>
      <c r="C78" s="23">
        <f>C7</f>
        <v>250</v>
      </c>
      <c r="D78" s="951">
        <f>C8</f>
        <v>100</v>
      </c>
      <c r="E78" s="951">
        <f>IF(B78&gt;=E77,1,0)</f>
        <v>1</v>
      </c>
      <c r="F78" s="38">
        <f>IF(B78&lt;=F77,1,0)</f>
        <v>1</v>
      </c>
      <c r="G78" s="951">
        <f>IF(C78&gt;=G77,1,0)</f>
        <v>1</v>
      </c>
      <c r="H78" s="38">
        <f>IF(C78&lt;=H77,1,0)</f>
        <v>1</v>
      </c>
      <c r="I78" s="951">
        <f>IF(D78&gt;=I77,1,0)</f>
        <v>1</v>
      </c>
      <c r="J78" s="38">
        <f>IF(D78&lt;=J77,1,0)</f>
        <v>1</v>
      </c>
      <c r="K78" s="432">
        <f>IF(K77=0,1,IF(AND(K77=1,C8&lt;=C6),1,0))</f>
        <v>1</v>
      </c>
      <c r="L78" s="13">
        <f>IF(L77=0,1,IF(AND(L77=1,C6&gt;=(C7*2)),1,0))</f>
        <v>1</v>
      </c>
      <c r="M78" s="965">
        <f>IF(M77=0,1,IF(AND(M77=1,C8&gt;=(C6*0.1)),1,0))</f>
        <v>1</v>
      </c>
      <c r="N78" s="52"/>
      <c r="O78" s="918"/>
      <c r="P78" s="52"/>
      <c r="Q78" s="13">
        <f>IF(SUM(E78:P78)=Q77,1,0)</f>
        <v>1</v>
      </c>
    </row>
    <row r="79" spans="1:56" x14ac:dyDescent="0.25">
      <c r="B79"/>
    </row>
    <row r="80" spans="1:56" x14ac:dyDescent="0.25">
      <c r="B80"/>
    </row>
    <row r="81" spans="1:7" x14ac:dyDescent="0.25">
      <c r="B81"/>
    </row>
    <row r="82" spans="1:7" x14ac:dyDescent="0.25">
      <c r="B82"/>
    </row>
    <row r="84" spans="1:7" x14ac:dyDescent="0.25">
      <c r="B84" s="1" t="s">
        <v>890</v>
      </c>
    </row>
    <row r="85" spans="1:7" x14ac:dyDescent="0.25">
      <c r="A85" s="17"/>
      <c r="B85" s="42" t="s">
        <v>2</v>
      </c>
      <c r="C85" s="21" t="s">
        <v>57</v>
      </c>
      <c r="D85" s="21" t="s">
        <v>58</v>
      </c>
      <c r="E85" s="473" t="s">
        <v>854</v>
      </c>
      <c r="F85" s="208" t="s">
        <v>891</v>
      </c>
      <c r="G85" s="473" t="s">
        <v>892</v>
      </c>
    </row>
    <row r="86" spans="1:7" x14ac:dyDescent="0.25">
      <c r="A86" s="11"/>
      <c r="B86" s="35"/>
      <c r="C86" s="51"/>
      <c r="D86" s="51"/>
      <c r="E86" s="841"/>
      <c r="F86" s="404"/>
      <c r="G86" s="404"/>
    </row>
    <row r="87" spans="1:7" x14ac:dyDescent="0.25">
      <c r="A87" s="12" t="str">
        <f t="shared" ref="A87:B102" si="9">A50</f>
        <v xml:space="preserve"> </v>
      </c>
      <c r="B87" s="36" t="str">
        <f t="shared" si="9"/>
        <v>0110</v>
      </c>
      <c r="C87" s="12">
        <f t="shared" ref="C87:C107" si="10">J50</f>
        <v>300</v>
      </c>
      <c r="D87" s="12">
        <f t="shared" ref="D87:D107" si="11">R50</f>
        <v>250</v>
      </c>
      <c r="E87" s="557">
        <v>1</v>
      </c>
      <c r="F87" s="12">
        <f>C87</f>
        <v>300</v>
      </c>
      <c r="G87" s="12">
        <f>D87</f>
        <v>250</v>
      </c>
    </row>
    <row r="88" spans="1:7" x14ac:dyDescent="0.25">
      <c r="A88" s="12" t="str">
        <f t="shared" si="9"/>
        <v xml:space="preserve"> </v>
      </c>
      <c r="B88" s="36" t="str">
        <f t="shared" si="9"/>
        <v>0200</v>
      </c>
      <c r="C88" s="12">
        <f t="shared" si="10"/>
        <v>232</v>
      </c>
      <c r="D88" s="12">
        <f t="shared" si="11"/>
        <v>1114</v>
      </c>
      <c r="E88" s="557">
        <v>2</v>
      </c>
      <c r="F88" s="12">
        <f t="shared" ref="F88:G103" si="12">C88</f>
        <v>232</v>
      </c>
      <c r="G88" s="12">
        <f>D88/E88</f>
        <v>557</v>
      </c>
    </row>
    <row r="89" spans="1:7" x14ac:dyDescent="0.25">
      <c r="A89" s="12">
        <f t="shared" si="9"/>
        <v>1</v>
      </c>
      <c r="B89" s="36" t="str">
        <f t="shared" si="9"/>
        <v>0201</v>
      </c>
      <c r="C89" s="12">
        <f t="shared" si="10"/>
        <v>361</v>
      </c>
      <c r="D89" s="12">
        <f t="shared" si="11"/>
        <v>1114</v>
      </c>
      <c r="E89" s="557">
        <v>2</v>
      </c>
      <c r="F89" s="12">
        <f t="shared" si="12"/>
        <v>361</v>
      </c>
      <c r="G89" s="12">
        <f t="shared" ref="G89:G90" si="13">D89/E89</f>
        <v>557</v>
      </c>
    </row>
    <row r="90" spans="1:7" x14ac:dyDescent="0.25">
      <c r="A90" s="12" t="str">
        <f t="shared" si="9"/>
        <v xml:space="preserve"> </v>
      </c>
      <c r="B90" s="36" t="str">
        <f t="shared" si="9"/>
        <v>0203</v>
      </c>
      <c r="C90" s="12">
        <f t="shared" si="10"/>
        <v>614</v>
      </c>
      <c r="D90" s="12">
        <f t="shared" si="11"/>
        <v>1114</v>
      </c>
      <c r="E90" s="557">
        <v>2</v>
      </c>
      <c r="F90" s="12">
        <f t="shared" si="12"/>
        <v>614</v>
      </c>
      <c r="G90" s="12">
        <f t="shared" si="13"/>
        <v>557</v>
      </c>
    </row>
    <row r="91" spans="1:7" x14ac:dyDescent="0.25">
      <c r="A91" s="12" t="str">
        <f t="shared" si="9"/>
        <v xml:space="preserve"> </v>
      </c>
      <c r="B91" s="36" t="str">
        <f t="shared" si="9"/>
        <v>0409</v>
      </c>
      <c r="C91" s="12">
        <f t="shared" si="10"/>
        <v>514</v>
      </c>
      <c r="D91" s="12">
        <f t="shared" si="11"/>
        <v>819</v>
      </c>
      <c r="E91" s="557">
        <v>1</v>
      </c>
      <c r="F91" s="12">
        <f t="shared" si="12"/>
        <v>514</v>
      </c>
      <c r="G91" s="12">
        <f t="shared" si="12"/>
        <v>819</v>
      </c>
    </row>
    <row r="92" spans="1:7" x14ac:dyDescent="0.25">
      <c r="A92" s="12" t="str">
        <f t="shared" si="9"/>
        <v xml:space="preserve"> </v>
      </c>
      <c r="B92" s="36" t="str">
        <f t="shared" si="9"/>
        <v>0410</v>
      </c>
      <c r="C92" s="12">
        <f t="shared" si="10"/>
        <v>514</v>
      </c>
      <c r="D92" s="12">
        <f t="shared" si="11"/>
        <v>819</v>
      </c>
      <c r="E92" s="557">
        <v>1</v>
      </c>
      <c r="F92" s="12">
        <f t="shared" si="12"/>
        <v>514</v>
      </c>
      <c r="G92" s="12">
        <f t="shared" si="12"/>
        <v>819</v>
      </c>
    </row>
    <row r="93" spans="1:7" x14ac:dyDescent="0.25">
      <c r="A93" s="12" t="str">
        <f t="shared" si="9"/>
        <v xml:space="preserve"> </v>
      </c>
      <c r="B93" s="36" t="str">
        <f t="shared" si="9"/>
        <v>0412</v>
      </c>
      <c r="C93" s="12">
        <f t="shared" si="10"/>
        <v>978</v>
      </c>
      <c r="D93" s="12">
        <f t="shared" si="11"/>
        <v>616</v>
      </c>
      <c r="E93" s="557">
        <v>1</v>
      </c>
      <c r="F93" s="12">
        <f t="shared" si="12"/>
        <v>978</v>
      </c>
      <c r="G93" s="12">
        <f t="shared" si="12"/>
        <v>616</v>
      </c>
    </row>
    <row r="94" spans="1:7" x14ac:dyDescent="0.25">
      <c r="A94" s="12" t="str">
        <f t="shared" si="9"/>
        <v xml:space="preserve"> </v>
      </c>
      <c r="B94" s="36" t="str">
        <f t="shared" si="9"/>
        <v>0427</v>
      </c>
      <c r="C94" s="12">
        <f t="shared" si="10"/>
        <v>760</v>
      </c>
      <c r="D94" s="12">
        <f t="shared" si="11"/>
        <v>819</v>
      </c>
      <c r="E94" s="557">
        <v>1</v>
      </c>
      <c r="F94" s="12">
        <f t="shared" si="12"/>
        <v>760</v>
      </c>
      <c r="G94" s="12">
        <f t="shared" si="12"/>
        <v>819</v>
      </c>
    </row>
    <row r="95" spans="1:7" x14ac:dyDescent="0.25">
      <c r="A95" s="12" t="str">
        <f t="shared" si="9"/>
        <v xml:space="preserve"> </v>
      </c>
      <c r="B95" s="36" t="str">
        <f t="shared" si="9"/>
        <v>0421</v>
      </c>
      <c r="C95" s="12">
        <f t="shared" si="10"/>
        <v>748</v>
      </c>
      <c r="D95" s="12">
        <f t="shared" si="11"/>
        <v>741</v>
      </c>
      <c r="E95" s="557">
        <v>1</v>
      </c>
      <c r="F95" s="12">
        <f t="shared" si="12"/>
        <v>748</v>
      </c>
      <c r="G95" s="12">
        <f t="shared" si="12"/>
        <v>741</v>
      </c>
    </row>
    <row r="96" spans="1:7" x14ac:dyDescent="0.25">
      <c r="A96" s="12" t="str">
        <f t="shared" si="9"/>
        <v xml:space="preserve"> </v>
      </c>
      <c r="B96" s="36" t="str">
        <f t="shared" si="9"/>
        <v>0422</v>
      </c>
      <c r="C96" s="12">
        <f t="shared" si="10"/>
        <v>748</v>
      </c>
      <c r="D96" s="12">
        <f t="shared" si="11"/>
        <v>458</v>
      </c>
      <c r="E96" s="557">
        <v>1</v>
      </c>
      <c r="F96" s="12">
        <f t="shared" si="12"/>
        <v>748</v>
      </c>
      <c r="G96" s="12">
        <f t="shared" si="12"/>
        <v>458</v>
      </c>
    </row>
    <row r="97" spans="1:9" x14ac:dyDescent="0.25">
      <c r="A97" s="12" t="str">
        <f t="shared" si="9"/>
        <v xml:space="preserve"> </v>
      </c>
      <c r="B97" s="36" t="str">
        <f t="shared" si="9"/>
        <v>0452</v>
      </c>
      <c r="C97" s="12">
        <f t="shared" si="10"/>
        <v>464</v>
      </c>
      <c r="D97" s="12">
        <f t="shared" si="11"/>
        <v>508</v>
      </c>
      <c r="E97" s="557">
        <v>1</v>
      </c>
      <c r="F97" s="12">
        <f t="shared" si="12"/>
        <v>464</v>
      </c>
      <c r="G97" s="12">
        <f t="shared" si="12"/>
        <v>508</v>
      </c>
    </row>
    <row r="98" spans="1:9" x14ac:dyDescent="0.25">
      <c r="A98" s="12" t="str">
        <f t="shared" si="9"/>
        <v xml:space="preserve"> </v>
      </c>
      <c r="B98" s="36" t="str">
        <f t="shared" si="9"/>
        <v>0501</v>
      </c>
      <c r="C98" s="12">
        <f t="shared" si="10"/>
        <v>100</v>
      </c>
      <c r="D98" s="12">
        <f t="shared" si="11"/>
        <v>1114</v>
      </c>
      <c r="E98" s="557">
        <v>2</v>
      </c>
      <c r="F98" s="12">
        <f t="shared" si="12"/>
        <v>100</v>
      </c>
      <c r="G98" s="12">
        <f>D98/E98</f>
        <v>557</v>
      </c>
    </row>
    <row r="99" spans="1:9" x14ac:dyDescent="0.25">
      <c r="A99" s="12" t="str">
        <f t="shared" si="9"/>
        <v xml:space="preserve"> </v>
      </c>
      <c r="B99" s="36" t="str">
        <f t="shared" si="9"/>
        <v>0401</v>
      </c>
      <c r="C99" s="12">
        <f t="shared" si="10"/>
        <v>722</v>
      </c>
      <c r="D99" s="12">
        <f t="shared" si="11"/>
        <v>616</v>
      </c>
      <c r="E99" s="557">
        <v>1</v>
      </c>
      <c r="F99" s="12">
        <f t="shared" si="12"/>
        <v>722</v>
      </c>
      <c r="G99" s="12">
        <f t="shared" si="12"/>
        <v>616</v>
      </c>
    </row>
    <row r="100" spans="1:9" x14ac:dyDescent="0.25">
      <c r="A100" s="12" t="str">
        <f t="shared" si="9"/>
        <v xml:space="preserve"> </v>
      </c>
      <c r="B100" s="36" t="str">
        <f t="shared" si="9"/>
        <v>0471</v>
      </c>
      <c r="C100" s="12">
        <f t="shared" si="10"/>
        <v>822</v>
      </c>
      <c r="D100" s="12">
        <f t="shared" si="11"/>
        <v>826</v>
      </c>
      <c r="E100" s="557">
        <v>1</v>
      </c>
      <c r="F100" s="12">
        <f t="shared" si="12"/>
        <v>822</v>
      </c>
      <c r="G100" s="12">
        <f t="shared" si="12"/>
        <v>826</v>
      </c>
    </row>
    <row r="101" spans="1:9" x14ac:dyDescent="0.25">
      <c r="A101" s="12" t="str">
        <f t="shared" si="9"/>
        <v xml:space="preserve"> </v>
      </c>
      <c r="B101" s="36" t="str">
        <f t="shared" si="9"/>
        <v>0933</v>
      </c>
      <c r="C101" s="12">
        <f t="shared" si="10"/>
        <v>653</v>
      </c>
      <c r="D101" s="12">
        <f t="shared" si="11"/>
        <v>653</v>
      </c>
      <c r="E101" s="557">
        <v>1</v>
      </c>
      <c r="F101" s="12">
        <f t="shared" si="12"/>
        <v>653</v>
      </c>
      <c r="G101" s="12">
        <f t="shared" si="12"/>
        <v>653</v>
      </c>
    </row>
    <row r="102" spans="1:9" x14ac:dyDescent="0.25">
      <c r="A102" s="12" t="str">
        <f t="shared" si="9"/>
        <v xml:space="preserve"> </v>
      </c>
      <c r="B102" s="36" t="str">
        <f t="shared" si="9"/>
        <v>0701</v>
      </c>
      <c r="C102" s="12">
        <f t="shared" si="10"/>
        <v>653</v>
      </c>
      <c r="D102" s="12">
        <f t="shared" si="11"/>
        <v>653</v>
      </c>
      <c r="E102" s="557">
        <v>1</v>
      </c>
      <c r="F102" s="12">
        <f t="shared" si="12"/>
        <v>653</v>
      </c>
      <c r="G102" s="12">
        <f t="shared" si="12"/>
        <v>653</v>
      </c>
    </row>
    <row r="103" spans="1:9" x14ac:dyDescent="0.25">
      <c r="A103" s="12" t="str">
        <f t="shared" ref="A103:B107" si="14">A66</f>
        <v xml:space="preserve"> </v>
      </c>
      <c r="B103" s="36">
        <f t="shared" si="14"/>
        <v>0</v>
      </c>
      <c r="C103" s="12">
        <f t="shared" si="10"/>
        <v>0</v>
      </c>
      <c r="D103" s="12">
        <f t="shared" si="11"/>
        <v>0</v>
      </c>
      <c r="E103" s="557"/>
      <c r="F103" s="12">
        <f t="shared" si="12"/>
        <v>0</v>
      </c>
      <c r="G103" s="12">
        <f t="shared" si="12"/>
        <v>0</v>
      </c>
    </row>
    <row r="104" spans="1:9" x14ac:dyDescent="0.25">
      <c r="A104" s="12" t="str">
        <f t="shared" si="14"/>
        <v xml:space="preserve"> </v>
      </c>
      <c r="B104" s="36">
        <f t="shared" si="14"/>
        <v>0</v>
      </c>
      <c r="C104" s="12">
        <f t="shared" si="10"/>
        <v>0</v>
      </c>
      <c r="D104" s="12">
        <f t="shared" si="11"/>
        <v>0</v>
      </c>
      <c r="E104" s="557"/>
      <c r="F104" s="12">
        <f t="shared" ref="F104:G107" si="15">C104</f>
        <v>0</v>
      </c>
      <c r="G104" s="12">
        <f t="shared" si="15"/>
        <v>0</v>
      </c>
    </row>
    <row r="105" spans="1:9" x14ac:dyDescent="0.25">
      <c r="A105" s="12" t="str">
        <f t="shared" si="14"/>
        <v xml:space="preserve"> </v>
      </c>
      <c r="B105" s="36">
        <f t="shared" si="14"/>
        <v>0</v>
      </c>
      <c r="C105" s="12">
        <f t="shared" si="10"/>
        <v>0</v>
      </c>
      <c r="D105" s="12">
        <f t="shared" si="11"/>
        <v>0</v>
      </c>
      <c r="E105" s="557"/>
      <c r="F105" s="12">
        <f t="shared" si="15"/>
        <v>0</v>
      </c>
      <c r="G105" s="12">
        <f t="shared" si="15"/>
        <v>0</v>
      </c>
    </row>
    <row r="106" spans="1:9" x14ac:dyDescent="0.25">
      <c r="A106" s="12" t="str">
        <f t="shared" si="14"/>
        <v xml:space="preserve"> </v>
      </c>
      <c r="B106" s="36">
        <f t="shared" si="14"/>
        <v>0</v>
      </c>
      <c r="C106" s="12">
        <f t="shared" si="10"/>
        <v>0</v>
      </c>
      <c r="D106" s="12">
        <f t="shared" si="11"/>
        <v>0</v>
      </c>
      <c r="E106" s="842"/>
      <c r="F106" s="12">
        <f t="shared" si="15"/>
        <v>0</v>
      </c>
      <c r="G106" s="12">
        <f t="shared" si="15"/>
        <v>0</v>
      </c>
      <c r="H106" s="843" t="s">
        <v>508</v>
      </c>
      <c r="I106" s="404" t="s">
        <v>605</v>
      </c>
    </row>
    <row r="107" spans="1:9" x14ac:dyDescent="0.25">
      <c r="A107" s="13" t="str">
        <f t="shared" si="14"/>
        <v xml:space="preserve"> </v>
      </c>
      <c r="B107" s="37">
        <f t="shared" si="14"/>
        <v>0</v>
      </c>
      <c r="C107" s="13">
        <f t="shared" si="10"/>
        <v>0</v>
      </c>
      <c r="D107" s="13">
        <f t="shared" si="11"/>
        <v>0</v>
      </c>
      <c r="E107" s="842"/>
      <c r="F107" s="12">
        <f t="shared" si="15"/>
        <v>0</v>
      </c>
      <c r="G107" s="12">
        <f t="shared" si="15"/>
        <v>0</v>
      </c>
      <c r="H107" s="844" t="s">
        <v>604</v>
      </c>
      <c r="I107" s="52" t="s">
        <v>603</v>
      </c>
    </row>
    <row r="108" spans="1:9" x14ac:dyDescent="0.25">
      <c r="A108" s="16"/>
      <c r="B108" s="57" t="s">
        <v>92</v>
      </c>
      <c r="C108" s="21">
        <f>VLOOKUP(1,A87:G107,3,FALSE)</f>
        <v>361</v>
      </c>
      <c r="D108" s="38">
        <f>VLOOKUP(1,A87:G107,4,FALSE)</f>
        <v>1114</v>
      </c>
      <c r="E108" s="473">
        <f>VLOOKUP(1,A87:G107,5,FALSE)</f>
        <v>2</v>
      </c>
      <c r="F108" s="473">
        <f>VLOOKUP(1,A87:G107,6,FALSE)</f>
        <v>361</v>
      </c>
      <c r="G108" s="473">
        <f>VLOOKUP(1,A87:G107,7,FALSE)</f>
        <v>557</v>
      </c>
      <c r="H108" s="844">
        <f>(C108/1000)*(D108/1000)</f>
        <v>0.40215400000000001</v>
      </c>
      <c r="I108" s="545">
        <f>H108*C3</f>
        <v>723.87720000000002</v>
      </c>
    </row>
    <row r="111" spans="1:9" x14ac:dyDescent="0.25">
      <c r="B111" s="1" t="s">
        <v>82</v>
      </c>
      <c r="C111" s="21">
        <f>VLOOKUP(1,A113:C116,3,FALSE)</f>
        <v>0</v>
      </c>
      <c r="D111" s="21">
        <f>VLOOKUP(1,A113:D116,4,FALSE)</f>
        <v>0</v>
      </c>
    </row>
    <row r="112" spans="1:9" x14ac:dyDescent="0.25">
      <c r="A112" s="16"/>
      <c r="B112" s="42" t="s">
        <v>39</v>
      </c>
      <c r="C112" s="38" t="s">
        <v>95</v>
      </c>
      <c r="D112" s="13" t="s">
        <v>838</v>
      </c>
    </row>
    <row r="113" spans="1:5" x14ac:dyDescent="0.25">
      <c r="A113" s="11">
        <f>IF($C$14=B113,1," ")</f>
        <v>1</v>
      </c>
      <c r="B113" s="469" t="s">
        <v>1146</v>
      </c>
      <c r="C113" s="40">
        <v>0</v>
      </c>
      <c r="D113" s="486">
        <v>0</v>
      </c>
    </row>
    <row r="114" spans="1:5" x14ac:dyDescent="0.25">
      <c r="A114" s="12" t="str">
        <f t="shared" ref="A114:A116" si="16">IF($C$14=B114,1," ")</f>
        <v xml:space="preserve"> </v>
      </c>
      <c r="B114" s="61" t="s">
        <v>1147</v>
      </c>
      <c r="C114" s="28">
        <v>1</v>
      </c>
      <c r="D114" s="28">
        <v>30</v>
      </c>
    </row>
    <row r="115" spans="1:5" x14ac:dyDescent="0.25">
      <c r="A115" s="12" t="str">
        <f t="shared" si="16"/>
        <v xml:space="preserve"> </v>
      </c>
      <c r="B115" s="61" t="s">
        <v>1148</v>
      </c>
      <c r="C115" s="28">
        <v>1</v>
      </c>
      <c r="D115" s="28">
        <v>40</v>
      </c>
    </row>
    <row r="116" spans="1:5" x14ac:dyDescent="0.25">
      <c r="A116" s="13" t="str">
        <f t="shared" si="16"/>
        <v xml:space="preserve"> </v>
      </c>
      <c r="B116" s="1158" t="s">
        <v>1149</v>
      </c>
      <c r="C116" s="34">
        <v>2</v>
      </c>
      <c r="D116" s="34">
        <v>80</v>
      </c>
    </row>
    <row r="118" spans="1:5" x14ac:dyDescent="0.25">
      <c r="E118" s="794">
        <v>0.06</v>
      </c>
    </row>
    <row r="119" spans="1:5" x14ac:dyDescent="0.25">
      <c r="C119" s="620">
        <f>VLOOKUP(1,A121:C128,3,FALSE)</f>
        <v>0.05</v>
      </c>
      <c r="D119" s="480">
        <f>VLOOKUP(1,A121:D128,4,FALSE)</f>
        <v>2.0107700000000003E-2</v>
      </c>
      <c r="E119" s="796">
        <f>IF(VLOOKUP(1,A121:E128,5,FALSE)&lt;=D111,D111,VLOOKUP(1,A121:E128,5,FALSE))</f>
        <v>2.1716316000000004</v>
      </c>
    </row>
    <row r="120" spans="1:5" x14ac:dyDescent="0.25">
      <c r="A120" s="16"/>
      <c r="B120" s="42" t="s">
        <v>39</v>
      </c>
      <c r="C120" s="473" t="s">
        <v>489</v>
      </c>
      <c r="D120" s="473" t="s">
        <v>837</v>
      </c>
      <c r="E120" s="442" t="s">
        <v>839</v>
      </c>
    </row>
    <row r="121" spans="1:5" x14ac:dyDescent="0.25">
      <c r="A121" s="11">
        <f>IF($C$15=B121,1," ")</f>
        <v>1</v>
      </c>
      <c r="B121" s="60" t="s">
        <v>84</v>
      </c>
      <c r="C121" s="639">
        <v>0.05</v>
      </c>
      <c r="D121" s="47">
        <f t="shared" ref="D121:D128" si="17">C121*$H$108</f>
        <v>2.0107700000000003E-2</v>
      </c>
      <c r="E121" s="797">
        <f t="shared" ref="E121:E128" si="18">(D121*$C$3)*$E$118</f>
        <v>2.1716316000000004</v>
      </c>
    </row>
    <row r="122" spans="1:5" x14ac:dyDescent="0.25">
      <c r="A122" s="12" t="str">
        <f t="shared" ref="A122:A128" si="19">IF($C$15=B122,1," ")</f>
        <v xml:space="preserve"> </v>
      </c>
      <c r="B122" s="61" t="s">
        <v>85</v>
      </c>
      <c r="C122" s="639">
        <v>0.1</v>
      </c>
      <c r="D122" s="47">
        <f t="shared" si="17"/>
        <v>4.0215400000000005E-2</v>
      </c>
      <c r="E122" s="798">
        <f t="shared" si="18"/>
        <v>4.3432632000000009</v>
      </c>
    </row>
    <row r="123" spans="1:5" x14ac:dyDescent="0.25">
      <c r="A123" s="12" t="str">
        <f t="shared" si="19"/>
        <v xml:space="preserve"> </v>
      </c>
      <c r="B123" s="61" t="s">
        <v>86</v>
      </c>
      <c r="C123" s="639">
        <v>0.2</v>
      </c>
      <c r="D123" s="47">
        <f t="shared" si="17"/>
        <v>8.0430800000000011E-2</v>
      </c>
      <c r="E123" s="798">
        <f t="shared" si="18"/>
        <v>8.6865264000000018</v>
      </c>
    </row>
    <row r="124" spans="1:5" x14ac:dyDescent="0.25">
      <c r="A124" s="12" t="str">
        <f t="shared" si="19"/>
        <v xml:space="preserve"> </v>
      </c>
      <c r="B124" s="61" t="s">
        <v>87</v>
      </c>
      <c r="C124" s="639">
        <v>0.3</v>
      </c>
      <c r="D124" s="47">
        <f t="shared" si="17"/>
        <v>0.1206462</v>
      </c>
      <c r="E124" s="798">
        <f t="shared" si="18"/>
        <v>13.029789599999999</v>
      </c>
    </row>
    <row r="125" spans="1:5" x14ac:dyDescent="0.25">
      <c r="A125" s="12" t="str">
        <f t="shared" si="19"/>
        <v xml:space="preserve"> </v>
      </c>
      <c r="B125" s="61" t="s">
        <v>88</v>
      </c>
      <c r="C125" s="639">
        <v>0.4</v>
      </c>
      <c r="D125" s="47">
        <f t="shared" si="17"/>
        <v>0.16086160000000002</v>
      </c>
      <c r="E125" s="798">
        <f t="shared" si="18"/>
        <v>17.373052800000004</v>
      </c>
    </row>
    <row r="126" spans="1:5" x14ac:dyDescent="0.25">
      <c r="A126" s="12" t="str">
        <f t="shared" si="19"/>
        <v xml:space="preserve"> </v>
      </c>
      <c r="B126" s="61" t="s">
        <v>89</v>
      </c>
      <c r="C126" s="639">
        <v>0.6</v>
      </c>
      <c r="D126" s="47">
        <f t="shared" si="17"/>
        <v>0.24129239999999999</v>
      </c>
      <c r="E126" s="798">
        <f t="shared" si="18"/>
        <v>26.059579199999998</v>
      </c>
    </row>
    <row r="127" spans="1:5" x14ac:dyDescent="0.25">
      <c r="A127" s="12" t="str">
        <f t="shared" si="19"/>
        <v xml:space="preserve"> </v>
      </c>
      <c r="B127" s="61" t="s">
        <v>90</v>
      </c>
      <c r="C127" s="639">
        <v>0.8</v>
      </c>
      <c r="D127" s="47">
        <f t="shared" si="17"/>
        <v>0.32172320000000004</v>
      </c>
      <c r="E127" s="798">
        <f t="shared" si="18"/>
        <v>34.746105600000007</v>
      </c>
    </row>
    <row r="128" spans="1:5" x14ac:dyDescent="0.25">
      <c r="A128" s="13" t="str">
        <f t="shared" si="19"/>
        <v xml:space="preserve"> </v>
      </c>
      <c r="B128" s="62" t="s">
        <v>91</v>
      </c>
      <c r="C128" s="640">
        <v>1</v>
      </c>
      <c r="D128" s="795">
        <f t="shared" si="17"/>
        <v>0.40215400000000001</v>
      </c>
      <c r="E128" s="799">
        <f t="shared" si="18"/>
        <v>43.432631999999998</v>
      </c>
    </row>
    <row r="131" spans="1:25" x14ac:dyDescent="0.25">
      <c r="B131" s="1" t="s">
        <v>93</v>
      </c>
      <c r="C131" s="21">
        <f>VLOOKUP(1,A133:C136,3,FALSE)</f>
        <v>0</v>
      </c>
    </row>
    <row r="132" spans="1:25" x14ac:dyDescent="0.25">
      <c r="A132" s="213"/>
      <c r="B132" s="509" t="s">
        <v>39</v>
      </c>
      <c r="C132" s="473" t="s">
        <v>562</v>
      </c>
    </row>
    <row r="133" spans="1:25" x14ac:dyDescent="0.25">
      <c r="A133" s="442">
        <f>IF($C$16=B133,1," ")</f>
        <v>1</v>
      </c>
      <c r="B133" s="36" t="s">
        <v>1150</v>
      </c>
      <c r="C133" s="28">
        <v>0</v>
      </c>
    </row>
    <row r="134" spans="1:25" x14ac:dyDescent="0.25">
      <c r="A134" s="12" t="str">
        <f>IF($C$16=B134,1," ")</f>
        <v xml:space="preserve"> </v>
      </c>
      <c r="B134" s="36" t="s">
        <v>1151</v>
      </c>
      <c r="C134" s="28">
        <v>2</v>
      </c>
    </row>
    <row r="135" spans="1:25" x14ac:dyDescent="0.25">
      <c r="A135" s="12" t="str">
        <f>IF($C$16=B135,1," ")</f>
        <v xml:space="preserve"> </v>
      </c>
      <c r="B135" s="36" t="s">
        <v>1152</v>
      </c>
      <c r="C135" s="28">
        <v>2</v>
      </c>
    </row>
    <row r="136" spans="1:25" x14ac:dyDescent="0.25">
      <c r="A136" s="13" t="str">
        <f>IF($C$16=B136,1," ")</f>
        <v xml:space="preserve"> </v>
      </c>
      <c r="B136" s="37"/>
      <c r="C136" s="474"/>
    </row>
    <row r="138" spans="1:25" s="320" customFormat="1" x14ac:dyDescent="0.25">
      <c r="Y138" s="343"/>
    </row>
    <row r="139" spans="1:25" x14ac:dyDescent="0.25">
      <c r="B139"/>
    </row>
    <row r="140" spans="1:25" x14ac:dyDescent="0.25">
      <c r="B140" t="s">
        <v>589</v>
      </c>
      <c r="C140" s="473">
        <f>AR46</f>
        <v>1</v>
      </c>
      <c r="E140" t="s">
        <v>815</v>
      </c>
      <c r="G140" s="484">
        <v>300</v>
      </c>
      <c r="H140" s="473">
        <f>IF(AND(C140=1,C141&lt;=G140),1,0)</f>
        <v>0</v>
      </c>
    </row>
    <row r="141" spans="1:25" x14ac:dyDescent="0.25">
      <c r="B141" t="s">
        <v>588</v>
      </c>
      <c r="C141" s="473">
        <f>C6+C7</f>
        <v>550</v>
      </c>
      <c r="D141" t="s">
        <v>25</v>
      </c>
    </row>
    <row r="142" spans="1:25" x14ac:dyDescent="0.25">
      <c r="B142" t="s">
        <v>590</v>
      </c>
      <c r="C142" s="473">
        <f>C108</f>
        <v>361</v>
      </c>
      <c r="D142" t="s">
        <v>25</v>
      </c>
    </row>
    <row r="143" spans="1:25" x14ac:dyDescent="0.25">
      <c r="B143"/>
    </row>
    <row r="144" spans="1:25" ht="15.75" thickBot="1" x14ac:dyDescent="0.3">
      <c r="B144" s="2">
        <v>2</v>
      </c>
      <c r="C144" s="2">
        <v>3</v>
      </c>
      <c r="D144" s="2">
        <v>4</v>
      </c>
      <c r="E144" s="2">
        <v>5</v>
      </c>
      <c r="F144" s="2">
        <v>6</v>
      </c>
      <c r="G144" s="2">
        <v>7</v>
      </c>
      <c r="H144" s="2">
        <v>8</v>
      </c>
      <c r="I144" s="2">
        <v>9</v>
      </c>
      <c r="J144" s="2">
        <v>10</v>
      </c>
      <c r="K144" s="2">
        <v>11</v>
      </c>
      <c r="L144" s="2">
        <v>12</v>
      </c>
      <c r="M144" s="2">
        <v>13</v>
      </c>
      <c r="N144" s="2">
        <v>14</v>
      </c>
      <c r="O144" s="2"/>
    </row>
    <row r="145" spans="1:25" ht="15.75" thickBot="1" x14ac:dyDescent="0.3">
      <c r="A145" s="670"/>
      <c r="B145" s="671" t="s">
        <v>28</v>
      </c>
      <c r="C145" s="519">
        <f>IF(H140=1,0,IF(AND(C141&lt;=C157,C142&lt;=D158),1,IF(C142&lt;=C158,1,0)))*C140</f>
        <v>0</v>
      </c>
      <c r="D145" s="519">
        <f>IF(H140=1,1,IF(AND(C141&lt;=D157,C142&gt;=D158),1,0))*C140</f>
        <v>0</v>
      </c>
      <c r="E145" s="519">
        <f t="shared" ref="E145:N145" si="20">VLOOKUP(1,148:158,E144,FALSE)</f>
        <v>2</v>
      </c>
      <c r="F145" s="467">
        <f t="shared" si="20"/>
        <v>3</v>
      </c>
      <c r="G145" s="467">
        <f t="shared" si="20"/>
        <v>0.95</v>
      </c>
      <c r="H145" s="467">
        <f t="shared" si="20"/>
        <v>0.8</v>
      </c>
      <c r="I145" s="467">
        <f t="shared" si="20"/>
        <v>3</v>
      </c>
      <c r="J145" s="467">
        <f t="shared" si="20"/>
        <v>0.8</v>
      </c>
      <c r="K145" s="467">
        <f t="shared" si="20"/>
        <v>25</v>
      </c>
      <c r="L145" s="467">
        <f t="shared" si="20"/>
        <v>300</v>
      </c>
      <c r="M145" s="467">
        <f t="shared" si="20"/>
        <v>300</v>
      </c>
      <c r="N145" s="1094">
        <f t="shared" si="20"/>
        <v>1</v>
      </c>
      <c r="O145" s="281"/>
    </row>
    <row r="146" spans="1:25" x14ac:dyDescent="0.25">
      <c r="A146" s="339"/>
      <c r="B146" s="7"/>
      <c r="C146" s="120"/>
      <c r="D146" s="41"/>
      <c r="E146" s="41"/>
      <c r="F146" s="41"/>
      <c r="G146" s="41"/>
      <c r="H146" s="41"/>
      <c r="I146" s="41"/>
      <c r="J146" s="41"/>
      <c r="K146" s="887"/>
      <c r="L146" s="887"/>
      <c r="M146" s="887"/>
      <c r="N146" s="1040"/>
      <c r="O146" s="41"/>
    </row>
    <row r="147" spans="1:25" x14ac:dyDescent="0.25">
      <c r="A147" s="341"/>
      <c r="B147" s="434"/>
      <c r="C147" s="202" t="s">
        <v>585</v>
      </c>
      <c r="D147" s="13" t="s">
        <v>587</v>
      </c>
      <c r="E147" s="13" t="s">
        <v>20</v>
      </c>
      <c r="F147" s="13" t="s">
        <v>713</v>
      </c>
      <c r="G147" s="13" t="s">
        <v>793</v>
      </c>
      <c r="H147" s="13" t="s">
        <v>990</v>
      </c>
      <c r="I147" s="13" t="s">
        <v>855</v>
      </c>
      <c r="J147" s="13" t="s">
        <v>856</v>
      </c>
      <c r="K147" s="12" t="s">
        <v>938</v>
      </c>
      <c r="L147" s="12" t="s">
        <v>967</v>
      </c>
      <c r="M147" s="12" t="s">
        <v>968</v>
      </c>
      <c r="N147" s="432" t="s">
        <v>1058</v>
      </c>
      <c r="O147" s="12"/>
    </row>
    <row r="148" spans="1:25" x14ac:dyDescent="0.25">
      <c r="A148" s="442" t="str">
        <f t="shared" ref="A148:A157" si="21">IF($C$4=B148,1," ")</f>
        <v xml:space="preserve"> </v>
      </c>
      <c r="B148" s="516" t="s">
        <v>30</v>
      </c>
      <c r="C148" s="486">
        <v>390</v>
      </c>
      <c r="D148" s="486">
        <v>390</v>
      </c>
      <c r="E148" s="28">
        <v>1</v>
      </c>
      <c r="F148" s="28">
        <v>1.5</v>
      </c>
      <c r="G148" s="969">
        <v>1</v>
      </c>
      <c r="H148" s="969">
        <v>1</v>
      </c>
      <c r="I148" s="28">
        <v>4</v>
      </c>
      <c r="J148" s="28">
        <v>1</v>
      </c>
      <c r="K148" s="486">
        <v>50</v>
      </c>
      <c r="L148" s="486">
        <v>600</v>
      </c>
      <c r="M148" s="486">
        <v>600</v>
      </c>
      <c r="N148" s="1041">
        <v>1</v>
      </c>
      <c r="O148" s="968"/>
    </row>
    <row r="149" spans="1:25" x14ac:dyDescent="0.25">
      <c r="A149" s="12">
        <f t="shared" si="21"/>
        <v>1</v>
      </c>
      <c r="B149" s="77" t="s">
        <v>31</v>
      </c>
      <c r="C149" s="28">
        <v>400</v>
      </c>
      <c r="D149" s="28">
        <v>400</v>
      </c>
      <c r="E149" s="28">
        <v>2</v>
      </c>
      <c r="F149" s="28">
        <v>3</v>
      </c>
      <c r="G149" s="969">
        <v>0.95</v>
      </c>
      <c r="H149" s="969">
        <v>0.8</v>
      </c>
      <c r="I149" s="28">
        <v>3</v>
      </c>
      <c r="J149" s="28">
        <v>0.8</v>
      </c>
      <c r="K149" s="28">
        <v>25</v>
      </c>
      <c r="L149" s="28">
        <v>300</v>
      </c>
      <c r="M149" s="28">
        <v>300</v>
      </c>
      <c r="N149" s="1042">
        <v>1</v>
      </c>
      <c r="O149" s="969"/>
    </row>
    <row r="150" spans="1:25" x14ac:dyDescent="0.25">
      <c r="A150" s="13" t="str">
        <f t="shared" si="21"/>
        <v xml:space="preserve"> </v>
      </c>
      <c r="B150" s="416" t="s">
        <v>32</v>
      </c>
      <c r="C150" s="34">
        <v>405</v>
      </c>
      <c r="D150" s="34">
        <v>405</v>
      </c>
      <c r="E150" s="28">
        <v>3</v>
      </c>
      <c r="F150" s="28">
        <v>4</v>
      </c>
      <c r="G150" s="969">
        <v>0.9</v>
      </c>
      <c r="H150" s="969">
        <v>0.75</v>
      </c>
      <c r="I150" s="28">
        <v>2</v>
      </c>
      <c r="J150" s="28">
        <v>0.6</v>
      </c>
      <c r="K150" s="34">
        <v>20</v>
      </c>
      <c r="L150" s="34">
        <v>250</v>
      </c>
      <c r="M150" s="34">
        <v>250</v>
      </c>
      <c r="N150" s="1043">
        <v>1</v>
      </c>
      <c r="O150" s="970"/>
    </row>
    <row r="151" spans="1:25" x14ac:dyDescent="0.25">
      <c r="A151" s="12" t="str">
        <f t="shared" si="21"/>
        <v xml:space="preserve"> </v>
      </c>
      <c r="B151" s="77" t="s">
        <v>36</v>
      </c>
      <c r="C151" s="28">
        <v>600</v>
      </c>
      <c r="D151" s="486">
        <v>500</v>
      </c>
      <c r="E151" s="486">
        <v>4</v>
      </c>
      <c r="F151" s="486">
        <v>6</v>
      </c>
      <c r="G151" s="968">
        <v>0.65</v>
      </c>
      <c r="H151" s="968">
        <v>0.6</v>
      </c>
      <c r="I151" s="486">
        <v>1</v>
      </c>
      <c r="J151" s="486">
        <v>0.4</v>
      </c>
      <c r="K151" s="486">
        <v>15</v>
      </c>
      <c r="L151" s="486">
        <v>200</v>
      </c>
      <c r="M151" s="486">
        <v>200</v>
      </c>
      <c r="N151" s="1041">
        <v>1</v>
      </c>
      <c r="O151" s="968"/>
    </row>
    <row r="152" spans="1:25" x14ac:dyDescent="0.25">
      <c r="A152" s="12" t="str">
        <f t="shared" si="21"/>
        <v xml:space="preserve"> </v>
      </c>
      <c r="B152" s="77" t="s">
        <v>34</v>
      </c>
      <c r="C152" s="28">
        <v>410</v>
      </c>
      <c r="D152" s="28">
        <v>410</v>
      </c>
      <c r="E152" s="28">
        <v>2</v>
      </c>
      <c r="F152" s="28">
        <v>3</v>
      </c>
      <c r="G152" s="969">
        <v>1</v>
      </c>
      <c r="H152" s="969">
        <v>0.7</v>
      </c>
      <c r="I152" s="28">
        <v>3</v>
      </c>
      <c r="J152" s="28">
        <v>0.8</v>
      </c>
      <c r="K152" s="28">
        <v>25</v>
      </c>
      <c r="L152" s="28">
        <v>300</v>
      </c>
      <c r="M152" s="28">
        <v>300</v>
      </c>
      <c r="N152" s="1042">
        <v>1</v>
      </c>
      <c r="O152" s="969"/>
    </row>
    <row r="153" spans="1:25" x14ac:dyDescent="0.25">
      <c r="A153" s="12" t="str">
        <f t="shared" si="21"/>
        <v xml:space="preserve"> </v>
      </c>
      <c r="B153" s="77" t="s">
        <v>33</v>
      </c>
      <c r="C153" s="28">
        <v>500</v>
      </c>
      <c r="D153" s="28">
        <v>450</v>
      </c>
      <c r="E153" s="28">
        <v>3</v>
      </c>
      <c r="F153" s="28">
        <v>4</v>
      </c>
      <c r="G153" s="969">
        <v>0.85</v>
      </c>
      <c r="H153" s="969">
        <v>0.7</v>
      </c>
      <c r="I153" s="28">
        <v>2</v>
      </c>
      <c r="J153" s="28">
        <v>0.6</v>
      </c>
      <c r="K153" s="28">
        <v>20</v>
      </c>
      <c r="L153" s="28">
        <v>250</v>
      </c>
      <c r="M153" s="28">
        <v>250</v>
      </c>
      <c r="N153" s="1042">
        <v>1</v>
      </c>
      <c r="O153" s="969"/>
    </row>
    <row r="154" spans="1:25" x14ac:dyDescent="0.25">
      <c r="A154" s="12" t="str">
        <f t="shared" si="21"/>
        <v xml:space="preserve"> </v>
      </c>
      <c r="B154" s="77" t="s">
        <v>35</v>
      </c>
      <c r="C154" s="28">
        <v>500</v>
      </c>
      <c r="D154" s="28">
        <v>450</v>
      </c>
      <c r="E154" s="28">
        <v>3</v>
      </c>
      <c r="F154" s="28">
        <v>3.5</v>
      </c>
      <c r="G154" s="969">
        <v>0.85</v>
      </c>
      <c r="H154" s="969">
        <v>0.7</v>
      </c>
      <c r="I154" s="28">
        <v>2</v>
      </c>
      <c r="J154" s="28">
        <v>0.6</v>
      </c>
      <c r="K154" s="28">
        <v>20</v>
      </c>
      <c r="L154" s="28">
        <v>250</v>
      </c>
      <c r="M154" s="28">
        <v>250</v>
      </c>
      <c r="N154" s="1042">
        <v>1</v>
      </c>
      <c r="O154" s="969"/>
    </row>
    <row r="155" spans="1:25" x14ac:dyDescent="0.25">
      <c r="A155" s="515" t="str">
        <f t="shared" si="21"/>
        <v xml:space="preserve"> </v>
      </c>
      <c r="B155" s="77" t="s">
        <v>37</v>
      </c>
      <c r="C155" s="28">
        <v>600</v>
      </c>
      <c r="D155" s="28">
        <v>500</v>
      </c>
      <c r="E155" s="28">
        <v>6</v>
      </c>
      <c r="F155" s="28">
        <v>9</v>
      </c>
      <c r="G155" s="969">
        <v>0.65</v>
      </c>
      <c r="H155" s="969">
        <v>0.35</v>
      </c>
      <c r="I155" s="28">
        <v>1</v>
      </c>
      <c r="J155" s="28">
        <v>0.2</v>
      </c>
      <c r="K155" s="28">
        <v>1</v>
      </c>
      <c r="L155" s="28">
        <v>1</v>
      </c>
      <c r="M155" s="28">
        <v>1</v>
      </c>
      <c r="N155" s="1042">
        <v>1</v>
      </c>
      <c r="O155" s="969"/>
    </row>
    <row r="156" spans="1:25" x14ac:dyDescent="0.25">
      <c r="A156" s="13" t="str">
        <f t="shared" si="21"/>
        <v xml:space="preserve"> </v>
      </c>
      <c r="B156" s="416" t="s">
        <v>38</v>
      </c>
      <c r="C156" s="34">
        <v>700</v>
      </c>
      <c r="D156" s="34">
        <v>600</v>
      </c>
      <c r="E156" s="34">
        <v>9</v>
      </c>
      <c r="F156" s="34">
        <v>13</v>
      </c>
      <c r="G156" s="970">
        <v>0.5</v>
      </c>
      <c r="H156" s="970">
        <v>0.35</v>
      </c>
      <c r="I156" s="34">
        <v>1</v>
      </c>
      <c r="J156" s="34">
        <v>0.1</v>
      </c>
      <c r="K156" s="28">
        <v>1</v>
      </c>
      <c r="L156" s="28">
        <v>1</v>
      </c>
      <c r="M156" s="28">
        <v>1</v>
      </c>
      <c r="N156" s="1043">
        <v>1</v>
      </c>
      <c r="O156" s="970"/>
    </row>
    <row r="157" spans="1:25" x14ac:dyDescent="0.25">
      <c r="A157" s="411" t="str">
        <f t="shared" si="21"/>
        <v xml:space="preserve"> </v>
      </c>
      <c r="B157" s="405" t="s">
        <v>28</v>
      </c>
      <c r="C157" s="473">
        <f>VLOOKUP(1,A148:C156,3,FALSE)</f>
        <v>400</v>
      </c>
      <c r="D157" s="473">
        <f>VLOOKUP(1,A148:D156,4,FALSE)</f>
        <v>400</v>
      </c>
      <c r="E157" s="486"/>
      <c r="F157" s="486"/>
      <c r="G157" s="486"/>
      <c r="H157" s="486"/>
      <c r="I157" s="486"/>
      <c r="J157" s="486"/>
      <c r="K157" s="886"/>
      <c r="L157" s="886"/>
      <c r="M157" s="886"/>
      <c r="N157" s="53"/>
      <c r="O157" s="967"/>
    </row>
    <row r="158" spans="1:25" x14ac:dyDescent="0.25">
      <c r="A158" s="8"/>
      <c r="B158" s="341" t="s">
        <v>586</v>
      </c>
      <c r="C158" s="484">
        <v>325</v>
      </c>
      <c r="D158" s="34">
        <v>1100</v>
      </c>
      <c r="E158" s="34"/>
      <c r="F158" s="34"/>
      <c r="G158" s="34"/>
      <c r="H158" s="34"/>
      <c r="I158" s="34"/>
      <c r="J158" s="34"/>
      <c r="K158" s="474"/>
      <c r="L158" s="474"/>
      <c r="M158" s="474"/>
      <c r="N158" s="1044"/>
      <c r="O158" s="474"/>
    </row>
    <row r="159" spans="1:25" x14ac:dyDescent="0.25">
      <c r="B159"/>
    </row>
    <row r="160" spans="1:25" s="320" customFormat="1" x14ac:dyDescent="0.25">
      <c r="B160" s="441"/>
      <c r="Y160" s="343"/>
    </row>
    <row r="162" spans="1:10" x14ac:dyDescent="0.25">
      <c r="B162" s="215" t="s">
        <v>194</v>
      </c>
    </row>
    <row r="163" spans="1:10" x14ac:dyDescent="0.25">
      <c r="C163" s="2"/>
    </row>
    <row r="164" spans="1:10" x14ac:dyDescent="0.25">
      <c r="A164" s="2" t="s">
        <v>176</v>
      </c>
      <c r="C164" s="2" t="s">
        <v>168</v>
      </c>
      <c r="D164" s="2" t="s">
        <v>169</v>
      </c>
      <c r="E164" s="2" t="s">
        <v>170</v>
      </c>
      <c r="H164" s="59" t="s">
        <v>1326</v>
      </c>
    </row>
    <row r="165" spans="1:10" x14ac:dyDescent="0.25">
      <c r="A165" s="216">
        <f>IF(SUM(D165:E165)&gt;0,1,0)</f>
        <v>0</v>
      </c>
      <c r="B165" s="221" t="s">
        <v>166</v>
      </c>
      <c r="C165" s="219">
        <v>70</v>
      </c>
      <c r="D165" s="208">
        <f>AC46</f>
        <v>0</v>
      </c>
      <c r="E165" s="216">
        <f>E175</f>
        <v>0</v>
      </c>
      <c r="H165" s="14"/>
      <c r="I165" s="412"/>
      <c r="J165" s="486">
        <v>3</v>
      </c>
    </row>
    <row r="166" spans="1:10" x14ac:dyDescent="0.25">
      <c r="A166" s="13">
        <f>IF(SUM(D166:E166)&gt;0,1,0)</f>
        <v>0</v>
      </c>
      <c r="B166" s="37" t="s">
        <v>167</v>
      </c>
      <c r="C166" s="219">
        <v>50</v>
      </c>
      <c r="D166" s="18">
        <f>AC46</f>
        <v>0</v>
      </c>
      <c r="E166" s="34">
        <v>0</v>
      </c>
      <c r="H166" s="14" t="s">
        <v>1327</v>
      </c>
      <c r="I166" s="547">
        <f>E238</f>
        <v>320</v>
      </c>
      <c r="J166" s="442">
        <f>IF(OR(C184&gt;=I166,C185&gt;=I166,C186&gt;=I166,C187&gt;=I166),1,0)</f>
        <v>1</v>
      </c>
    </row>
    <row r="167" spans="1:10" x14ac:dyDescent="0.25">
      <c r="H167" s="6" t="s">
        <v>1328</v>
      </c>
      <c r="I167" s="556">
        <f>D242</f>
        <v>1400</v>
      </c>
      <c r="J167" s="12">
        <f>IF(OR(C184&lt;=I167,C185&lt;=I167,C186&lt;=I167,C187&lt;=I167),1,0)</f>
        <v>1</v>
      </c>
    </row>
    <row r="168" spans="1:10" x14ac:dyDescent="0.25">
      <c r="H168" s="570" t="s">
        <v>1329</v>
      </c>
      <c r="I168" s="443">
        <f>F242</f>
        <v>1580</v>
      </c>
      <c r="J168" s="13">
        <f>IF(E183&lt;=I168,1,0)</f>
        <v>1</v>
      </c>
    </row>
    <row r="169" spans="1:10" x14ac:dyDescent="0.25">
      <c r="B169" s="221"/>
      <c r="C169" s="216" t="s">
        <v>75</v>
      </c>
      <c r="D169" s="216" t="s">
        <v>76</v>
      </c>
      <c r="E169" s="38" t="s">
        <v>173</v>
      </c>
      <c r="H169" s="950" t="s">
        <v>1292</v>
      </c>
      <c r="I169" s="1204"/>
      <c r="J169" s="951">
        <f>IF(SUM(J166:J168)=J165,1,0)</f>
        <v>1</v>
      </c>
    </row>
    <row r="170" spans="1:10" x14ac:dyDescent="0.25">
      <c r="B170" s="37" t="s">
        <v>172</v>
      </c>
      <c r="C170" s="13">
        <f>AD46</f>
        <v>127</v>
      </c>
      <c r="D170" s="13">
        <f>AE46</f>
        <v>127</v>
      </c>
      <c r="E170" s="20">
        <f>SUM(C170:D170)</f>
        <v>254</v>
      </c>
    </row>
    <row r="171" spans="1:10" x14ac:dyDescent="0.25">
      <c r="C171" s="2"/>
      <c r="D171" s="2"/>
      <c r="E171" s="2"/>
    </row>
    <row r="173" spans="1:10" x14ac:dyDescent="0.25">
      <c r="B173" s="35"/>
      <c r="C173" s="11">
        <v>51</v>
      </c>
      <c r="D173" s="11">
        <v>76</v>
      </c>
      <c r="E173" s="11" t="s">
        <v>174</v>
      </c>
    </row>
    <row r="174" spans="1:10" x14ac:dyDescent="0.25">
      <c r="B174" s="37"/>
      <c r="C174" s="13">
        <v>74</v>
      </c>
      <c r="D174" s="13">
        <v>93</v>
      </c>
      <c r="E174" s="13" t="s">
        <v>175</v>
      </c>
    </row>
    <row r="175" spans="1:10" x14ac:dyDescent="0.25">
      <c r="B175" s="220" t="s">
        <v>171</v>
      </c>
      <c r="C175" s="216">
        <f>IF(AND(E170&gt;=C173,E170&lt;=C174),1,0)</f>
        <v>0</v>
      </c>
      <c r="D175" s="38">
        <f>IF(AND(E170&gt;=D173,E170&lt;=D174),1,0)</f>
        <v>0</v>
      </c>
      <c r="E175" s="216">
        <f>IF(SUM(C175:D175)&gt;0,1,0)</f>
        <v>0</v>
      </c>
    </row>
    <row r="178" spans="1:23" ht="15.75" thickBot="1" x14ac:dyDescent="0.3">
      <c r="S178" s="1285" t="s">
        <v>729</v>
      </c>
      <c r="T178" s="1286"/>
      <c r="U178" s="1286"/>
      <c r="V178" s="1284"/>
    </row>
    <row r="179" spans="1:23" x14ac:dyDescent="0.25">
      <c r="A179" s="243"/>
      <c r="B179" s="278" t="s">
        <v>166</v>
      </c>
      <c r="C179" s="241">
        <f>A165*C165</f>
        <v>0</v>
      </c>
      <c r="D179" s="70">
        <v>2</v>
      </c>
      <c r="E179" s="260"/>
      <c r="F179" s="15"/>
      <c r="G179" s="4"/>
      <c r="H179" s="264"/>
      <c r="I179" s="265"/>
      <c r="J179" s="15"/>
      <c r="K179" s="51"/>
      <c r="L179" s="511" t="s">
        <v>188</v>
      </c>
      <c r="M179" s="438"/>
      <c r="N179" s="476"/>
      <c r="O179" s="431" t="s">
        <v>1325</v>
      </c>
      <c r="P179" s="431" t="s">
        <v>28</v>
      </c>
      <c r="Q179" s="476"/>
      <c r="R179" s="501" t="s">
        <v>555</v>
      </c>
      <c r="S179" s="433"/>
      <c r="T179" s="404"/>
      <c r="U179" s="404"/>
      <c r="V179" s="404"/>
    </row>
    <row r="180" spans="1:23" ht="15.75" thickBot="1" x14ac:dyDescent="0.3">
      <c r="A180" s="244"/>
      <c r="B180" s="279" t="s">
        <v>167</v>
      </c>
      <c r="C180" s="241">
        <f>A166*C166</f>
        <v>0</v>
      </c>
      <c r="D180" s="33">
        <v>40</v>
      </c>
      <c r="E180" s="244"/>
      <c r="F180" s="9"/>
      <c r="G180" s="9"/>
      <c r="H180" s="266"/>
      <c r="I180" s="267"/>
      <c r="J180" s="9"/>
      <c r="K180" s="13"/>
      <c r="L180" s="276">
        <f>AA46</f>
        <v>1</v>
      </c>
      <c r="M180" s="415"/>
      <c r="N180" s="8"/>
      <c r="O180" s="18">
        <f>IF(C111&gt;0,1,0)</f>
        <v>0</v>
      </c>
      <c r="P180" s="18">
        <f>IF(C131=0,0,1)</f>
        <v>0</v>
      </c>
      <c r="Q180" s="415"/>
      <c r="R180" s="445">
        <f>IF(SUM(R184:R187)&gt;0,1,0)</f>
        <v>1</v>
      </c>
      <c r="S180" s="434"/>
      <c r="T180" s="13"/>
      <c r="U180" s="13"/>
      <c r="V180" s="13"/>
      <c r="W180" s="2"/>
    </row>
    <row r="181" spans="1:23" ht="15.75" thickTop="1" x14ac:dyDescent="0.25">
      <c r="A181" s="6"/>
      <c r="B181" s="274" t="s">
        <v>61</v>
      </c>
      <c r="C181" s="256" t="s">
        <v>18</v>
      </c>
      <c r="D181" s="226" t="s">
        <v>24</v>
      </c>
      <c r="E181" s="3" t="s">
        <v>184</v>
      </c>
      <c r="F181" s="248" t="s">
        <v>186</v>
      </c>
      <c r="G181" s="3" t="s">
        <v>184</v>
      </c>
      <c r="H181" s="1287" t="s">
        <v>99</v>
      </c>
      <c r="I181" s="1288"/>
      <c r="J181" s="226" t="s">
        <v>100</v>
      </c>
      <c r="K181" s="137" t="s">
        <v>164</v>
      </c>
      <c r="L181" s="292" t="s">
        <v>189</v>
      </c>
      <c r="M181" s="439" t="s">
        <v>495</v>
      </c>
      <c r="N181" s="476" t="s">
        <v>556</v>
      </c>
      <c r="O181" s="476" t="s">
        <v>567</v>
      </c>
      <c r="P181" s="431" t="s">
        <v>576</v>
      </c>
      <c r="Q181" s="239" t="s">
        <v>714</v>
      </c>
      <c r="R181" s="269" t="s">
        <v>191</v>
      </c>
      <c r="S181" s="235" t="s">
        <v>192</v>
      </c>
      <c r="T181" s="442" t="s">
        <v>726</v>
      </c>
      <c r="U181" s="661" t="s">
        <v>149</v>
      </c>
      <c r="V181" s="661" t="s">
        <v>110</v>
      </c>
      <c r="W181" s="2"/>
    </row>
    <row r="182" spans="1:23" x14ac:dyDescent="0.25">
      <c r="A182" s="6"/>
      <c r="B182" s="256" t="s">
        <v>180</v>
      </c>
      <c r="C182" s="256" t="s">
        <v>109</v>
      </c>
      <c r="D182" s="228" t="s">
        <v>182</v>
      </c>
      <c r="E182" s="26" t="s">
        <v>185</v>
      </c>
      <c r="F182" s="249" t="s">
        <v>181</v>
      </c>
      <c r="G182" s="26" t="s">
        <v>185</v>
      </c>
      <c r="H182" s="268" t="s">
        <v>181</v>
      </c>
      <c r="I182" s="269" t="s">
        <v>182</v>
      </c>
      <c r="J182" s="228" t="s">
        <v>187</v>
      </c>
      <c r="K182" s="120" t="s">
        <v>180</v>
      </c>
      <c r="L182" s="78" t="s">
        <v>190</v>
      </c>
      <c r="M182" s="26" t="s">
        <v>96</v>
      </c>
      <c r="N182" s="8"/>
      <c r="O182" s="227" t="s">
        <v>774</v>
      </c>
      <c r="P182" s="26" t="s">
        <v>577</v>
      </c>
      <c r="Q182" s="242" t="s">
        <v>96</v>
      </c>
      <c r="R182" s="675" t="s">
        <v>96</v>
      </c>
      <c r="S182" s="277" t="s">
        <v>193</v>
      </c>
      <c r="T182" s="120" t="s">
        <v>727</v>
      </c>
      <c r="U182" s="120" t="s">
        <v>728</v>
      </c>
      <c r="V182" s="120" t="s">
        <v>728</v>
      </c>
    </row>
    <row r="183" spans="1:23" x14ac:dyDescent="0.25">
      <c r="A183" s="8"/>
      <c r="B183" s="275"/>
      <c r="C183" s="257" t="s">
        <v>183</v>
      </c>
      <c r="D183" s="70">
        <v>1000</v>
      </c>
      <c r="E183" s="208">
        <f>D108</f>
        <v>1114</v>
      </c>
      <c r="F183" s="250">
        <v>4000</v>
      </c>
      <c r="G183" s="208">
        <f>D108</f>
        <v>1114</v>
      </c>
      <c r="H183" s="263">
        <v>1400</v>
      </c>
      <c r="I183" s="270">
        <v>530</v>
      </c>
      <c r="J183" s="20"/>
      <c r="K183" s="216">
        <f>AN46</f>
        <v>4</v>
      </c>
      <c r="L183" s="262">
        <v>95</v>
      </c>
      <c r="M183" s="213"/>
      <c r="N183" s="31">
        <v>200</v>
      </c>
      <c r="O183" s="473">
        <f>IF(OR(C111=0,C111=1,C111=2),1,0)</f>
        <v>1</v>
      </c>
      <c r="P183" s="208">
        <f>AQ46</f>
        <v>1</v>
      </c>
      <c r="Q183" s="241">
        <f>'Prijs karton (3)'!AD16</f>
        <v>1</v>
      </c>
      <c r="R183" s="676">
        <v>10</v>
      </c>
      <c r="S183" s="230">
        <v>6</v>
      </c>
      <c r="T183" s="41"/>
      <c r="U183" s="52"/>
      <c r="V183" s="52"/>
    </row>
    <row r="184" spans="1:23" x14ac:dyDescent="0.25">
      <c r="A184" s="26" t="str">
        <f>IF(R184=1,B184," ")</f>
        <v xml:space="preserve"> </v>
      </c>
      <c r="B184" s="258">
        <v>1</v>
      </c>
      <c r="C184" s="258">
        <f>(C108*B184)+(2*C180)</f>
        <v>361</v>
      </c>
      <c r="D184" s="251">
        <f>IF(E184&lt;=$D$179,E184*$E$183,IF(E184&gt;$D$179,(E184*$E$183)+$D$180))</f>
        <v>1114</v>
      </c>
      <c r="E184" s="3">
        <f>CEILING(D183/E183,1)</f>
        <v>1</v>
      </c>
      <c r="F184" s="236">
        <f>IF(G184&lt;=$D$179,G184*$G$183,IF(G184&gt;$D$179,(G184*$G$183)+$D$180))</f>
        <v>3382</v>
      </c>
      <c r="G184" s="4">
        <f>IF((F183/G183)&gt;D179,FLOOR((F183-D180)/G183,1),IF((F183/G183)&lt;=D179,FLOOR((F183/G183),1)))</f>
        <v>3</v>
      </c>
      <c r="H184" s="271">
        <f>IF(C184&lt;=$H$183,1,0)</f>
        <v>1</v>
      </c>
      <c r="I184" s="239">
        <f>IF(C184&gt;=$I$183,1,0)</f>
        <v>0</v>
      </c>
      <c r="J184" s="25">
        <f>IF(AND(E184&gt;0,G184&gt;0),1,0)</f>
        <v>1</v>
      </c>
      <c r="K184" s="11">
        <f>IF(B184&lt;=$K$183,1,0)</f>
        <v>1</v>
      </c>
      <c r="L184" s="3">
        <f>IF(L180=0,1,IF(AND(L180=1,C8&gt;=L183),1,IF(AND(L180=1,C8&lt;L183),0)))</f>
        <v>1</v>
      </c>
      <c r="M184" s="26">
        <f>T46</f>
        <v>1</v>
      </c>
      <c r="N184" s="26">
        <f>IF($E$183&gt;=$N$183,1,0)</f>
        <v>1</v>
      </c>
      <c r="O184" s="26">
        <f>$O$183</f>
        <v>1</v>
      </c>
      <c r="P184" s="431">
        <f>IF($P$180=0,1,IF(AND($P$180=1,$P$183=1),1,IF(AND($P$180=1,$P$183=0),0)))</f>
        <v>1</v>
      </c>
      <c r="Q184" s="240">
        <f>$Q$183</f>
        <v>1</v>
      </c>
      <c r="R184" s="485">
        <f>IF(SUM(H184:Q184)=$R$183,1,0)</f>
        <v>0</v>
      </c>
      <c r="S184" s="271">
        <f>IF(SUM(H184:K184)+M184+Q184=$S$183,1,0)</f>
        <v>0</v>
      </c>
      <c r="T184" s="442" t="str">
        <f>IF(S184=1,B184," ")</f>
        <v xml:space="preserve"> </v>
      </c>
      <c r="U184" s="442" t="str">
        <f>IF(S184=1,E184," ")</f>
        <v xml:space="preserve"> </v>
      </c>
      <c r="V184" s="12" t="str">
        <f>IF(S184=1,G184," ")</f>
        <v xml:space="preserve"> </v>
      </c>
    </row>
    <row r="185" spans="1:23" x14ac:dyDescent="0.25">
      <c r="A185" s="26">
        <f>IF(R185=1,B185," ")</f>
        <v>2</v>
      </c>
      <c r="B185" s="259">
        <v>2</v>
      </c>
      <c r="C185" s="259">
        <f>(C108*B185)+(2*C180)+(B184*C179)</f>
        <v>722</v>
      </c>
      <c r="D185" s="252">
        <f>IF(E185&lt;=$D$179,E185*$E$183,IF(E185&gt;$D$179,(E185*$E$183)+$D$180))</f>
        <v>1114</v>
      </c>
      <c r="E185" s="26">
        <f>CEILING(D183/E183,1)</f>
        <v>1</v>
      </c>
      <c r="F185" s="237">
        <f>IF(G185&lt;=$D$179,G185*$G$183,IF(G185&gt;$D$179,(G185*$G$183)+$D$180))</f>
        <v>3382</v>
      </c>
      <c r="G185" s="2">
        <f>IF((F183/G183)&gt;D179,FLOOR((F183-D180)/G183,1),IF((F183/G183)&lt;=D179,FLOOR((F183/G183),1)))</f>
        <v>3</v>
      </c>
      <c r="H185" s="272">
        <f>IF(C185&lt;=$H$183,1,0)</f>
        <v>1</v>
      </c>
      <c r="I185" s="240">
        <f t="shared" ref="I185:I187" si="22">IF(C185&gt;=$I$183,1,0)</f>
        <v>1</v>
      </c>
      <c r="J185" s="25">
        <f>IF(AND(E185&gt;0,G185&gt;0),1,0)</f>
        <v>1</v>
      </c>
      <c r="K185" s="12">
        <f>IF(B185&lt;=$K$183,1,0)</f>
        <v>1</v>
      </c>
      <c r="L185" s="26">
        <f>IF(L180=0,1,IF(AND(L180=1,C8&gt;=L183),1,IF(AND(L180=1,C8&lt;L183),0)))</f>
        <v>1</v>
      </c>
      <c r="M185" s="26">
        <f>T46</f>
        <v>1</v>
      </c>
      <c r="N185" s="26">
        <f>IF($E$183&gt;=$N$183,1,0)</f>
        <v>1</v>
      </c>
      <c r="O185" s="26">
        <f>$O$183</f>
        <v>1</v>
      </c>
      <c r="P185" s="26">
        <f>IF($P$180=0,1,IF(AND($P$180=1,$P$183=1),1,IF(AND($P$180=1,$P$183=0),0)))</f>
        <v>1</v>
      </c>
      <c r="Q185" s="240">
        <f t="shared" ref="Q185:Q187" si="23">$Q$183</f>
        <v>1</v>
      </c>
      <c r="R185" s="246">
        <f t="shared" ref="R185:R187" si="24">IF(SUM(H185:Q185)=$R$183,1,0)</f>
        <v>1</v>
      </c>
      <c r="S185" s="272">
        <f t="shared" ref="S185:S187" si="25">IF(SUM(H185:K185)+M185+Q185=$S$183,1,0)</f>
        <v>1</v>
      </c>
      <c r="T185" s="12">
        <f>IF(S185=1,B185," ")</f>
        <v>2</v>
      </c>
      <c r="U185" s="12">
        <f>IF(S185=1,E185," ")</f>
        <v>1</v>
      </c>
      <c r="V185" s="12">
        <f>IF(S185=1,G185," ")</f>
        <v>3</v>
      </c>
    </row>
    <row r="186" spans="1:23" x14ac:dyDescent="0.25">
      <c r="A186" s="26">
        <f>IF(R186=1,B186," ")</f>
        <v>3</v>
      </c>
      <c r="B186" s="259">
        <v>3</v>
      </c>
      <c r="C186" s="259">
        <f>(C108*B186)+(2*C180)+(B185*C179)</f>
        <v>1083</v>
      </c>
      <c r="D186" s="252">
        <f>IF(E186&lt;=$D$179,E186*$E$183,IF(E186&gt;$D$179,(E186*$E$183)+$D$180))</f>
        <v>1114</v>
      </c>
      <c r="E186" s="26">
        <f>CEILING(D183/E183,1)</f>
        <v>1</v>
      </c>
      <c r="F186" s="237">
        <f>IF(G186&lt;=$D$179,G186*$G$183,IF(G186&gt;$D$179,(G186*$G$183)+$D$180))</f>
        <v>3382</v>
      </c>
      <c r="G186" s="2">
        <f>IF((F183/G183)&gt;D179,FLOOR((F183-D180)/G183,1),IF((F183/G183)&lt;=D179,FLOOR((F183/G183),1)))</f>
        <v>3</v>
      </c>
      <c r="H186" s="272">
        <f>IF(C186&lt;=$H$183,1,0)</f>
        <v>1</v>
      </c>
      <c r="I186" s="240">
        <f t="shared" si="22"/>
        <v>1</v>
      </c>
      <c r="J186" s="25">
        <f>IF(AND(E186&gt;0,G186&gt;0),1,0)</f>
        <v>1</v>
      </c>
      <c r="K186" s="12">
        <f>IF(B186&lt;=$K$183,1,0)</f>
        <v>1</v>
      </c>
      <c r="L186" s="26">
        <f>IF(L180=0,1,IF(AND(L180=1,C8&gt;=L183),1,IF(AND(L180=1,C8&lt;L183),0)))</f>
        <v>1</v>
      </c>
      <c r="M186" s="26">
        <f>T46</f>
        <v>1</v>
      </c>
      <c r="N186" s="26">
        <f>IF($E$183&gt;=$N$183,1,0)</f>
        <v>1</v>
      </c>
      <c r="O186" s="26">
        <f>$O$183</f>
        <v>1</v>
      </c>
      <c r="P186" s="26">
        <f>IF($P$180=0,1,IF(AND($P$180=1,$P$183=1),1,IF(AND($P$180=1,$P$183=0),0)))</f>
        <v>1</v>
      </c>
      <c r="Q186" s="240">
        <f t="shared" si="23"/>
        <v>1</v>
      </c>
      <c r="R186" s="246">
        <f t="shared" si="24"/>
        <v>1</v>
      </c>
      <c r="S186" s="272">
        <f t="shared" si="25"/>
        <v>1</v>
      </c>
      <c r="T186" s="12">
        <f>IF(S186=1,B186," ")</f>
        <v>3</v>
      </c>
      <c r="U186" s="12">
        <f>IF(S186=1,E186," ")</f>
        <v>1</v>
      </c>
      <c r="V186" s="12">
        <f>IF(S186=1,G186," ")</f>
        <v>3</v>
      </c>
    </row>
    <row r="187" spans="1:23" x14ac:dyDescent="0.25">
      <c r="A187" s="18" t="str">
        <f>IF(R187=1,B187," ")</f>
        <v xml:space="preserve"> </v>
      </c>
      <c r="B187" s="255">
        <v>4</v>
      </c>
      <c r="C187" s="255">
        <f>(C108*B187)+(2*C180)+(B186*C179)</f>
        <v>1444</v>
      </c>
      <c r="D187" s="253">
        <f>IF(E187&lt;=$D$179,E187*$E$183,IF(E187&gt;$D$179,(E187*$E$183)+$D$180))</f>
        <v>1114</v>
      </c>
      <c r="E187" s="18">
        <f>CEILING(D183/E183,1)</f>
        <v>1</v>
      </c>
      <c r="F187" s="238">
        <f>IF(G187&lt;=$D$179,G187*$G$183,IF(G187&gt;$D$179,(G187*$G$183)+$D$180))</f>
        <v>3382</v>
      </c>
      <c r="G187" s="19">
        <f>IF((F183/G183)&gt;D179,FLOOR((F183-D180)/G183,1),IF((F183/G183)&lt;=D179,FLOOR((F183/G183),1)))</f>
        <v>3</v>
      </c>
      <c r="H187" s="273">
        <f>IF(C187&lt;=$H$183,1,0)</f>
        <v>0</v>
      </c>
      <c r="I187" s="242">
        <f t="shared" si="22"/>
        <v>1</v>
      </c>
      <c r="J187" s="20">
        <f>IF(AND(E187&gt;0,G187&gt;0),1,0)</f>
        <v>1</v>
      </c>
      <c r="K187" s="13">
        <f>IF(B187&lt;=$K$183,1,0)</f>
        <v>1</v>
      </c>
      <c r="L187" s="18">
        <f>IF(L180=0,1,IF(AND(L180=1,C8&gt;=L183),1,IF(AND(L180=1,C8&lt;L183),0)))</f>
        <v>1</v>
      </c>
      <c r="M187" s="18">
        <f>T46</f>
        <v>1</v>
      </c>
      <c r="N187" s="18">
        <f>IF($E$183&gt;=$N$183,1,0)</f>
        <v>1</v>
      </c>
      <c r="O187" s="18">
        <f>$O$183</f>
        <v>1</v>
      </c>
      <c r="P187" s="432">
        <f>IF($P$180=0,1,IF(AND($P$180=1,$P$183=1),1,IF(AND($P$180=1,$P$183=0),0)))</f>
        <v>1</v>
      </c>
      <c r="Q187" s="242">
        <f t="shared" si="23"/>
        <v>1</v>
      </c>
      <c r="R187" s="677">
        <f t="shared" si="24"/>
        <v>0</v>
      </c>
      <c r="S187" s="273">
        <f t="shared" si="25"/>
        <v>0</v>
      </c>
      <c r="T187" s="13" t="str">
        <f>IF(S187=1,B187," ")</f>
        <v xml:space="preserve"> </v>
      </c>
      <c r="U187" s="13" t="str">
        <f>IF(S187=1,E187," ")</f>
        <v xml:space="preserve"> </v>
      </c>
      <c r="V187" s="13" t="str">
        <f>IF(S187=1,G187," ")</f>
        <v xml:space="preserve"> </v>
      </c>
    </row>
    <row r="188" spans="1:23" x14ac:dyDescent="0.25">
      <c r="M188" s="2"/>
    </row>
    <row r="189" spans="1:23" x14ac:dyDescent="0.25">
      <c r="E189" t="s">
        <v>725</v>
      </c>
      <c r="F189" s="407">
        <f>IF(AND(B402&lt;&gt;"mini",C402="mini"),1,IF(AND(B402&lt;&gt;"mini",C402="Emba 295"),1,0))</f>
        <v>1</v>
      </c>
    </row>
    <row r="190" spans="1:23" x14ac:dyDescent="0.25">
      <c r="A190" s="3" t="s">
        <v>195</v>
      </c>
      <c r="B190" s="218" t="s">
        <v>196</v>
      </c>
      <c r="C190" s="5" t="s">
        <v>197</v>
      </c>
      <c r="E190" s="3" t="s">
        <v>195</v>
      </c>
      <c r="F190" s="218" t="s">
        <v>196</v>
      </c>
      <c r="G190" s="5" t="s">
        <v>197</v>
      </c>
    </row>
    <row r="191" spans="1:23" x14ac:dyDescent="0.25">
      <c r="A191" s="18">
        <f>MIN(A184:A187)</f>
        <v>2</v>
      </c>
      <c r="B191" s="13">
        <f>IF(SUM(A184:A187)&gt;0,VLOOKUP(A191,$A$184:$S$187,5,FALSE),0)</f>
        <v>1</v>
      </c>
      <c r="C191" s="20">
        <f>IF(SUM(A184:A187)&gt;0,VLOOKUP(A191,$A$184:$S$187,7,FALSE),0)</f>
        <v>3</v>
      </c>
      <c r="E191" s="18">
        <f>MIN(T184:T187)</f>
        <v>2</v>
      </c>
      <c r="F191" s="13">
        <f>IF(SUM(S184:S187)&gt;0,VLOOKUP(E191,T184:V187,2,FALSE),0)</f>
        <v>1</v>
      </c>
      <c r="G191" s="20">
        <f>IF(SUM(S184:S187)&gt;0,VLOOKUP(E191,T184:V187,3,FALSE),0)</f>
        <v>3</v>
      </c>
    </row>
    <row r="192" spans="1:23" x14ac:dyDescent="0.25">
      <c r="A192" s="26" t="s">
        <v>165</v>
      </c>
      <c r="B192" s="280" t="s">
        <v>196</v>
      </c>
      <c r="C192" s="25" t="s">
        <v>197</v>
      </c>
      <c r="E192" s="26" t="s">
        <v>165</v>
      </c>
      <c r="F192" s="280" t="s">
        <v>196</v>
      </c>
      <c r="G192" s="25" t="s">
        <v>197</v>
      </c>
    </row>
    <row r="193" spans="1:25" x14ac:dyDescent="0.25">
      <c r="A193" s="18">
        <f>IF(AND(MAX(A184:A187)=4,A191&lt;4,O180=1),MAX(A184:A187)-1,MAX(A184:A187))</f>
        <v>3</v>
      </c>
      <c r="B193" s="13">
        <f>IF(SUM(A184:A187)&gt;0,VLOOKUP(A193,$A$184:$S$187,5,FALSE),0)</f>
        <v>1</v>
      </c>
      <c r="C193" s="20">
        <f>IF(SUM(A184:A187)&gt;0,VLOOKUP(A193,$A$184:$S$187,7,FALSE),0)</f>
        <v>3</v>
      </c>
      <c r="E193" s="18">
        <f>MAX(T184:T187)</f>
        <v>3</v>
      </c>
      <c r="F193" s="13">
        <f>IF(SUM(S184:S187)&gt;0,VLOOKUP(E193,T184:V187,2,FALSE),0)</f>
        <v>1</v>
      </c>
      <c r="G193" s="20">
        <f>IF(SUM(S184:S187)&gt;0,VLOOKUP(E193,T184:V187,3,FALSE),0)</f>
        <v>3</v>
      </c>
    </row>
    <row r="195" spans="1:25" s="320" customFormat="1" x14ac:dyDescent="0.25">
      <c r="B195" s="441"/>
      <c r="Y195" s="343"/>
    </row>
    <row r="196" spans="1:25" x14ac:dyDescent="0.25">
      <c r="L196" s="292"/>
    </row>
    <row r="197" spans="1:25" x14ac:dyDescent="0.25">
      <c r="B197" s="215" t="s">
        <v>199</v>
      </c>
    </row>
    <row r="198" spans="1:25" x14ac:dyDescent="0.25">
      <c r="B198" s="215"/>
    </row>
    <row r="200" spans="1:25" x14ac:dyDescent="0.25">
      <c r="A200" s="14"/>
      <c r="B200" s="282"/>
      <c r="C200" s="15"/>
      <c r="D200" s="15"/>
      <c r="E200" s="15"/>
      <c r="F200" s="15"/>
      <c r="G200" s="15"/>
      <c r="H200" s="1099">
        <v>1000</v>
      </c>
      <c r="I200" s="137" t="s">
        <v>188</v>
      </c>
      <c r="J200" s="14"/>
      <c r="K200" s="15"/>
      <c r="L200" s="412"/>
      <c r="M200" s="404"/>
      <c r="N200" s="442" t="s">
        <v>28</v>
      </c>
      <c r="O200" s="404"/>
      <c r="P200" s="433"/>
    </row>
    <row r="201" spans="1:25" x14ac:dyDescent="0.25">
      <c r="A201" s="8"/>
      <c r="B201" s="9"/>
      <c r="C201" s="9"/>
      <c r="D201" s="9"/>
      <c r="E201" s="9"/>
      <c r="F201" s="9"/>
      <c r="G201" s="9"/>
      <c r="H201" s="34">
        <v>820</v>
      </c>
      <c r="I201" s="145">
        <f>AA46</f>
        <v>1</v>
      </c>
      <c r="J201" s="8"/>
      <c r="K201" s="9"/>
      <c r="L201" s="320"/>
      <c r="M201" s="41"/>
      <c r="N201" s="13">
        <f>IF(C131=0,0,1)</f>
        <v>0</v>
      </c>
      <c r="O201" s="52"/>
      <c r="P201" s="70">
        <v>11</v>
      </c>
    </row>
    <row r="202" spans="1:25" x14ac:dyDescent="0.25">
      <c r="A202" s="14"/>
      <c r="B202" s="35" t="s">
        <v>61</v>
      </c>
      <c r="C202" s="156" t="s">
        <v>18</v>
      </c>
      <c r="D202" s="156" t="s">
        <v>9</v>
      </c>
      <c r="E202" s="231" t="s">
        <v>99</v>
      </c>
      <c r="F202" s="232"/>
      <c r="G202" s="233" t="s">
        <v>100</v>
      </c>
      <c r="H202" s="234"/>
      <c r="I202" s="2" t="s">
        <v>189</v>
      </c>
      <c r="J202" s="156" t="s">
        <v>210</v>
      </c>
      <c r="K202" s="156" t="s">
        <v>209</v>
      </c>
      <c r="L202" s="417" t="s">
        <v>211</v>
      </c>
      <c r="M202" s="437" t="s">
        <v>496</v>
      </c>
      <c r="N202" s="442" t="s">
        <v>576</v>
      </c>
      <c r="O202" s="399" t="s">
        <v>1</v>
      </c>
      <c r="P202" s="423" t="s">
        <v>108</v>
      </c>
    </row>
    <row r="203" spans="1:25" ht="15.75" thickBot="1" x14ac:dyDescent="0.3">
      <c r="A203" s="6"/>
      <c r="B203" s="36" t="s">
        <v>180</v>
      </c>
      <c r="C203" s="120" t="s">
        <v>109</v>
      </c>
      <c r="D203" s="120" t="s">
        <v>109</v>
      </c>
      <c r="E203" s="227" t="s">
        <v>110</v>
      </c>
      <c r="F203" s="228" t="s">
        <v>111</v>
      </c>
      <c r="G203" s="227" t="s">
        <v>110</v>
      </c>
      <c r="H203" s="228" t="s">
        <v>111</v>
      </c>
      <c r="I203" s="78" t="s">
        <v>190</v>
      </c>
      <c r="J203" s="202" t="s">
        <v>180</v>
      </c>
      <c r="K203" s="202" t="s">
        <v>180</v>
      </c>
      <c r="L203" s="227" t="s">
        <v>212</v>
      </c>
      <c r="M203" s="12" t="s">
        <v>96</v>
      </c>
      <c r="N203" s="12" t="s">
        <v>577</v>
      </c>
      <c r="O203" s="202" t="s">
        <v>96</v>
      </c>
      <c r="P203" s="228" t="s">
        <v>96</v>
      </c>
    </row>
    <row r="204" spans="1:25" ht="15.75" thickBot="1" x14ac:dyDescent="0.3">
      <c r="A204" s="225"/>
      <c r="B204" s="37"/>
      <c r="C204" s="52"/>
      <c r="D204" s="41"/>
      <c r="E204" s="262">
        <v>2400</v>
      </c>
      <c r="F204" s="484">
        <v>450</v>
      </c>
      <c r="G204" s="262">
        <v>5960</v>
      </c>
      <c r="H204" s="473">
        <f>IF(OR(C111&gt;0,AT46&gt;0,C131&gt;0),H200,H201)</f>
        <v>820</v>
      </c>
      <c r="I204" s="219">
        <v>95</v>
      </c>
      <c r="J204" s="219">
        <v>800</v>
      </c>
      <c r="K204" s="293">
        <v>4500</v>
      </c>
      <c r="L204" s="208">
        <f>J388</f>
        <v>500</v>
      </c>
      <c r="M204" s="208"/>
      <c r="N204" s="431">
        <f>AQ46</f>
        <v>1</v>
      </c>
      <c r="O204" s="208">
        <f>'Prijs karton (3)'!AE16</f>
        <v>1</v>
      </c>
      <c r="P204" s="281">
        <f>IF(SUM(P205:P206)&gt;0,1,0)</f>
        <v>1</v>
      </c>
    </row>
    <row r="205" spans="1:25" x14ac:dyDescent="0.25">
      <c r="A205" s="156" t="str">
        <f>IF(P205=1,B205," ")</f>
        <v xml:space="preserve"> </v>
      </c>
      <c r="B205" s="12">
        <v>1</v>
      </c>
      <c r="C205" s="11">
        <f>C108</f>
        <v>361</v>
      </c>
      <c r="D205" s="11">
        <f>D108</f>
        <v>1114</v>
      </c>
      <c r="E205" s="2">
        <f>IF(C205&lt;=E204,1,0)</f>
        <v>1</v>
      </c>
      <c r="F205" s="11">
        <f>IF(C205&gt;=F204,1,0)</f>
        <v>0</v>
      </c>
      <c r="G205" s="26">
        <f>IF(D205&lt;=G204,1,0)</f>
        <v>1</v>
      </c>
      <c r="H205" s="11">
        <f>IF(D205&gt;=H204,1,0)</f>
        <v>1</v>
      </c>
      <c r="I205" s="4">
        <f>IF(AND(I201=1,C8&gt;=I204),1,IF(I201=0,1,0))</f>
        <v>1</v>
      </c>
      <c r="J205" s="40">
        <v>1</v>
      </c>
      <c r="K205" s="40">
        <v>1</v>
      </c>
      <c r="L205" s="431">
        <f>IF(D205&gt;=L204,1,0)</f>
        <v>1</v>
      </c>
      <c r="M205" s="26">
        <f>T46</f>
        <v>1</v>
      </c>
      <c r="N205" s="431">
        <f>IF($N$201=0,1,IF(AND($N$201=1,$N$204=1),1,IF(AND($P$180=1,$N$204=0),0)))</f>
        <v>1</v>
      </c>
      <c r="O205" s="12">
        <f>O204</f>
        <v>1</v>
      </c>
      <c r="P205" s="25">
        <f>IF(SUM(E205:O205)=P201,1,0)</f>
        <v>0</v>
      </c>
    </row>
    <row r="206" spans="1:25" x14ac:dyDescent="0.25">
      <c r="A206" s="202">
        <f>IF(P206=1,B206," ")</f>
        <v>2</v>
      </c>
      <c r="B206" s="13">
        <v>2</v>
      </c>
      <c r="C206" s="13">
        <f>B206*C108</f>
        <v>722</v>
      </c>
      <c r="D206" s="13">
        <f>D108</f>
        <v>1114</v>
      </c>
      <c r="E206" s="19">
        <f>IF(C206&lt;=E204,1,0)</f>
        <v>1</v>
      </c>
      <c r="F206" s="13">
        <f>IF(C206&gt;=F204,1,0)</f>
        <v>1</v>
      </c>
      <c r="G206" s="18">
        <f>IF(D206&lt;=G204,1,0)</f>
        <v>1</v>
      </c>
      <c r="H206" s="13">
        <f>IF(D206&gt;=H204,1,0)</f>
        <v>1</v>
      </c>
      <c r="I206" s="19">
        <f>IF(AND(I201=1,C8&gt;=I204),1,IF(I201=0,1,0))</f>
        <v>1</v>
      </c>
      <c r="J206" s="13">
        <f>IF(C205&lt;=J204,1,0)</f>
        <v>1</v>
      </c>
      <c r="K206" s="13">
        <f>IF(D205&lt;=K204,1,0)</f>
        <v>1</v>
      </c>
      <c r="L206" s="432">
        <f>IF(D206&gt;=L204,1,0)</f>
        <v>1</v>
      </c>
      <c r="M206" s="18">
        <f>T46</f>
        <v>1</v>
      </c>
      <c r="N206" s="432">
        <f>IF($N$201=0,1,IF(AND($N$201=1,$N$204=1),1,IF(AND($P$180=1,$N$204=0),0)))</f>
        <v>1</v>
      </c>
      <c r="O206" s="13">
        <f>O204</f>
        <v>1</v>
      </c>
      <c r="P206" s="436">
        <f>IF(SUM(E206:O206)=P201,1,0)</f>
        <v>1</v>
      </c>
    </row>
    <row r="208" spans="1:25" x14ac:dyDescent="0.25">
      <c r="A208" t="s">
        <v>195</v>
      </c>
      <c r="B208" s="216">
        <f>MIN(A205:A206)</f>
        <v>2</v>
      </c>
    </row>
    <row r="209" spans="1:25" x14ac:dyDescent="0.25">
      <c r="A209" t="s">
        <v>165</v>
      </c>
      <c r="B209" s="13">
        <f>MAX(A205:A206)</f>
        <v>2</v>
      </c>
    </row>
    <row r="211" spans="1:25" s="320" customFormat="1" x14ac:dyDescent="0.25">
      <c r="B211" s="441"/>
      <c r="Y211" s="343"/>
    </row>
    <row r="213" spans="1:25" x14ac:dyDescent="0.25">
      <c r="B213" s="215" t="s">
        <v>198</v>
      </c>
    </row>
    <row r="215" spans="1:25" ht="15.75" thickBot="1" x14ac:dyDescent="0.3">
      <c r="B215" s="1" t="s">
        <v>158</v>
      </c>
    </row>
    <row r="216" spans="1:25" x14ac:dyDescent="0.25">
      <c r="A216" s="220" t="s">
        <v>499</v>
      </c>
      <c r="B216" s="403" t="s">
        <v>500</v>
      </c>
      <c r="C216" s="396" t="s">
        <v>497</v>
      </c>
      <c r="D216" s="398" t="s">
        <v>498</v>
      </c>
      <c r="E216" s="444" t="s">
        <v>501</v>
      </c>
    </row>
    <row r="217" spans="1:25" x14ac:dyDescent="0.25">
      <c r="A217" s="447" t="s">
        <v>99</v>
      </c>
      <c r="B217" s="396"/>
      <c r="C217" s="413">
        <f>B228</f>
        <v>361</v>
      </c>
      <c r="D217" s="448">
        <f>H388</f>
        <v>250</v>
      </c>
      <c r="E217" s="446" t="s">
        <v>96</v>
      </c>
    </row>
    <row r="218" spans="1:25" ht="15.75" thickBot="1" x14ac:dyDescent="0.3">
      <c r="A218" s="441" t="s">
        <v>100</v>
      </c>
      <c r="B218" s="34">
        <v>50</v>
      </c>
      <c r="C218" s="443">
        <f>C228</f>
        <v>1150</v>
      </c>
      <c r="D218" s="343">
        <f>J388</f>
        <v>500</v>
      </c>
      <c r="E218" s="445">
        <f>IF(AND(C217&gt;=D217,(C218+B218)&gt;D218),     1,0)</f>
        <v>1</v>
      </c>
      <c r="F218" t="s">
        <v>502</v>
      </c>
    </row>
    <row r="221" spans="1:25" x14ac:dyDescent="0.25">
      <c r="T221" s="442" t="s">
        <v>578</v>
      </c>
    </row>
    <row r="222" spans="1:25" x14ac:dyDescent="0.25">
      <c r="T222" s="473">
        <f>IF(AND(T227=1,T224=1),1,0)</f>
        <v>0</v>
      </c>
    </row>
    <row r="223" spans="1:25" x14ac:dyDescent="0.25">
      <c r="Q223" s="294" t="s">
        <v>163</v>
      </c>
      <c r="T223" s="442" t="s">
        <v>579</v>
      </c>
    </row>
    <row r="224" spans="1:25" ht="15.75" thickBot="1" x14ac:dyDescent="0.3">
      <c r="Q224" s="295">
        <f>C8/C7</f>
        <v>0.4</v>
      </c>
      <c r="T224" s="473">
        <f>IF(C131=0,0,1)</f>
        <v>0</v>
      </c>
    </row>
    <row r="225" spans="2:25" x14ac:dyDescent="0.25">
      <c r="B225" s="63" t="s">
        <v>18</v>
      </c>
      <c r="C225" s="209" t="s">
        <v>9</v>
      </c>
      <c r="D225" s="1294" t="s">
        <v>99</v>
      </c>
      <c r="E225" s="1295"/>
      <c r="F225" s="1296" t="s">
        <v>100</v>
      </c>
      <c r="G225" s="1297"/>
      <c r="H225" s="64" t="s">
        <v>101</v>
      </c>
      <c r="I225" s="63" t="s">
        <v>102</v>
      </c>
      <c r="J225" s="205" t="s">
        <v>103</v>
      </c>
      <c r="K225" s="206"/>
      <c r="L225" s="205" t="s">
        <v>104</v>
      </c>
      <c r="M225" s="206"/>
      <c r="N225" s="205" t="s">
        <v>105</v>
      </c>
      <c r="O225" s="207"/>
      <c r="P225" s="63" t="s">
        <v>106</v>
      </c>
      <c r="Q225" s="63" t="s">
        <v>107</v>
      </c>
      <c r="R225" s="63" t="s">
        <v>161</v>
      </c>
      <c r="S225" s="502" t="s">
        <v>162</v>
      </c>
      <c r="T225" s="431" t="s">
        <v>580</v>
      </c>
      <c r="U225" s="913" t="s">
        <v>660</v>
      </c>
      <c r="V225" s="503" t="s">
        <v>108</v>
      </c>
    </row>
    <row r="226" spans="2:25" x14ac:dyDescent="0.25">
      <c r="B226" s="65" t="s">
        <v>109</v>
      </c>
      <c r="C226" s="210" t="s">
        <v>115</v>
      </c>
      <c r="D226" s="68" t="s">
        <v>110</v>
      </c>
      <c r="E226" s="67" t="s">
        <v>111</v>
      </c>
      <c r="F226" s="66" t="s">
        <v>110</v>
      </c>
      <c r="G226" s="67" t="s">
        <v>111</v>
      </c>
      <c r="H226" s="66" t="s">
        <v>112</v>
      </c>
      <c r="I226" s="65" t="s">
        <v>110</v>
      </c>
      <c r="J226" s="66" t="s">
        <v>111</v>
      </c>
      <c r="K226" s="65" t="s">
        <v>110</v>
      </c>
      <c r="L226" s="41"/>
      <c r="M226" s="41"/>
      <c r="N226" s="68" t="s">
        <v>111</v>
      </c>
      <c r="O226" s="68" t="s">
        <v>110</v>
      </c>
      <c r="P226" s="65"/>
      <c r="Q226" s="65" t="s">
        <v>114</v>
      </c>
      <c r="R226" s="41"/>
      <c r="S226" s="26" t="s">
        <v>96</v>
      </c>
      <c r="T226" s="26"/>
      <c r="U226" s="415"/>
      <c r="V226" s="504" t="s">
        <v>96</v>
      </c>
    </row>
    <row r="227" spans="2:25" x14ac:dyDescent="0.25">
      <c r="B227" s="52"/>
      <c r="C227" s="211">
        <v>36</v>
      </c>
      <c r="D227" s="19">
        <f>IF(C111=0,800,600)</f>
        <v>800</v>
      </c>
      <c r="E227" s="33">
        <v>180</v>
      </c>
      <c r="F227" s="31">
        <v>1700</v>
      </c>
      <c r="G227" s="33">
        <v>440</v>
      </c>
      <c r="H227" s="31">
        <v>200</v>
      </c>
      <c r="I227" s="34">
        <v>370</v>
      </c>
      <c r="J227" s="31">
        <v>50</v>
      </c>
      <c r="K227" s="34">
        <v>740</v>
      </c>
      <c r="L227" s="31">
        <v>50</v>
      </c>
      <c r="M227" s="34">
        <v>740</v>
      </c>
      <c r="N227" s="32">
        <v>180</v>
      </c>
      <c r="O227" s="32">
        <v>840</v>
      </c>
      <c r="P227" s="34">
        <v>50</v>
      </c>
      <c r="Q227" s="34">
        <v>7</v>
      </c>
      <c r="R227" s="52"/>
      <c r="S227" s="18"/>
      <c r="T227" s="208">
        <f>AQ46</f>
        <v>1</v>
      </c>
      <c r="U227" s="26">
        <f>IF(M348=0,L145,M349)</f>
        <v>300</v>
      </c>
      <c r="V227" s="223">
        <v>18</v>
      </c>
    </row>
    <row r="228" spans="2:25" ht="15.75" thickBot="1" x14ac:dyDescent="0.3">
      <c r="B228" s="69">
        <f>C108</f>
        <v>361</v>
      </c>
      <c r="C228" s="212">
        <f>D108+C227</f>
        <v>1150</v>
      </c>
      <c r="D228" s="19">
        <f>IF(B228&lt;=D227,1,0)</f>
        <v>1</v>
      </c>
      <c r="E228" s="21">
        <f>IF(B228&gt;=E227,1,0)</f>
        <v>1</v>
      </c>
      <c r="F228" s="18">
        <f>IF(C228&lt;=F227,1,0)</f>
        <v>1</v>
      </c>
      <c r="G228" s="21">
        <f>IF(C228&gt;=G227,1,0)</f>
        <v>1</v>
      </c>
      <c r="H228" s="18">
        <f>IF(MAX(AD46:AE46)&gt;H227,0,1)</f>
        <v>1</v>
      </c>
      <c r="I228" s="13">
        <f>IF(AF46&lt;=I227,1,0)</f>
        <v>1</v>
      </c>
      <c r="J228" s="18">
        <f>IF(D46&gt;=J227,1,0)</f>
        <v>1</v>
      </c>
      <c r="K228" s="13">
        <f>IF(D46&lt;=K227,1,0)</f>
        <v>1</v>
      </c>
      <c r="L228" s="18">
        <f>IF(C46&gt;=L227,1,0)</f>
        <v>1</v>
      </c>
      <c r="M228" s="13">
        <f>IF(C46&lt;=M227,1,0)</f>
        <v>1</v>
      </c>
      <c r="N228" s="18">
        <f>IF(C46+D46&gt;=N227,1,0)</f>
        <v>1</v>
      </c>
      <c r="O228" s="21">
        <f>IF(C46+D46&lt;=O227,1,0)</f>
        <v>1</v>
      </c>
      <c r="P228" s="13">
        <f>IF(E46&gt;=P227,1,0)</f>
        <v>1</v>
      </c>
      <c r="Q228" s="13">
        <f>IF(Q224&lt;=Q227,1,0)</f>
        <v>1</v>
      </c>
      <c r="R228" s="216">
        <f>'Prijs karton (3)'!AF16</f>
        <v>1</v>
      </c>
      <c r="S228" s="208">
        <f>U46</f>
        <v>1</v>
      </c>
      <c r="T228" s="208">
        <f>IF($T$224=0,1,IF(AND($T$224=1,$T$227=1),1,IF(AND($P$180=1,$T$227=0),0)))</f>
        <v>1</v>
      </c>
      <c r="U228" s="208">
        <f>IF(C3&gt;=U227,1,0)</f>
        <v>1</v>
      </c>
      <c r="V228" s="500">
        <f>IF(SUM(D228:U228)=V227,1,0)</f>
        <v>1</v>
      </c>
    </row>
    <row r="230" spans="2:25" s="320" customFormat="1" x14ac:dyDescent="0.25">
      <c r="B230" s="441"/>
      <c r="Y230" s="343"/>
    </row>
    <row r="233" spans="2:25" x14ac:dyDescent="0.25">
      <c r="B233" s="215" t="s">
        <v>73</v>
      </c>
      <c r="F233" s="484">
        <v>2900</v>
      </c>
    </row>
    <row r="234" spans="2:25" x14ac:dyDescent="0.25">
      <c r="C234" s="473" t="s">
        <v>617</v>
      </c>
      <c r="F234" s="442" t="s">
        <v>831</v>
      </c>
      <c r="Q234" s="216" t="s">
        <v>163</v>
      </c>
      <c r="T234" s="442" t="s">
        <v>579</v>
      </c>
    </row>
    <row r="235" spans="2:25" ht="15.75" thickBot="1" x14ac:dyDescent="0.3">
      <c r="C235" s="473">
        <f>AB46</f>
        <v>1</v>
      </c>
      <c r="F235" s="473">
        <f>IF(C2=B50,1,0)</f>
        <v>0</v>
      </c>
      <c r="P235" s="2"/>
      <c r="Q235" s="473">
        <f>C8/C7</f>
        <v>0.4</v>
      </c>
      <c r="T235" s="473">
        <f>IF(C131=0,0,1)</f>
        <v>0</v>
      </c>
    </row>
    <row r="236" spans="2:25" x14ac:dyDescent="0.25">
      <c r="B236" s="63" t="s">
        <v>18</v>
      </c>
      <c r="C236" s="209" t="s">
        <v>9</v>
      </c>
      <c r="D236" s="1294" t="s">
        <v>99</v>
      </c>
      <c r="E236" s="1295"/>
      <c r="F236" s="1296" t="s">
        <v>512</v>
      </c>
      <c r="G236" s="1297"/>
      <c r="H236" s="64" t="s">
        <v>101</v>
      </c>
      <c r="I236" s="63" t="s">
        <v>102</v>
      </c>
      <c r="J236" s="205" t="s">
        <v>103</v>
      </c>
      <c r="K236" s="206"/>
      <c r="L236" s="205" t="s">
        <v>104</v>
      </c>
      <c r="M236" s="206"/>
      <c r="N236" s="205" t="s">
        <v>105</v>
      </c>
      <c r="O236" s="207"/>
      <c r="P236" s="508" t="s">
        <v>561</v>
      </c>
      <c r="Q236" s="63" t="s">
        <v>107</v>
      </c>
      <c r="R236" s="63" t="s">
        <v>161</v>
      </c>
      <c r="S236" s="502" t="s">
        <v>162</v>
      </c>
      <c r="T236" s="431" t="s">
        <v>580</v>
      </c>
      <c r="U236" s="913" t="s">
        <v>660</v>
      </c>
      <c r="V236" s="503" t="s">
        <v>108</v>
      </c>
    </row>
    <row r="237" spans="2:25" x14ac:dyDescent="0.25">
      <c r="B237" s="65" t="s">
        <v>109</v>
      </c>
      <c r="C237" s="210" t="s">
        <v>115</v>
      </c>
      <c r="D237" s="68" t="s">
        <v>110</v>
      </c>
      <c r="E237" s="67" t="s">
        <v>111</v>
      </c>
      <c r="F237" s="66" t="s">
        <v>110</v>
      </c>
      <c r="G237" s="67" t="s">
        <v>111</v>
      </c>
      <c r="H237" s="66" t="s">
        <v>112</v>
      </c>
      <c r="I237" s="214" t="s">
        <v>160</v>
      </c>
      <c r="J237" s="66" t="s">
        <v>111</v>
      </c>
      <c r="K237" s="65" t="s">
        <v>110</v>
      </c>
      <c r="L237" s="41"/>
      <c r="M237" s="41"/>
      <c r="N237" s="68" t="s">
        <v>111</v>
      </c>
      <c r="O237" s="68" t="s">
        <v>110</v>
      </c>
      <c r="P237" s="507" t="s">
        <v>12</v>
      </c>
      <c r="Q237" s="65" t="s">
        <v>114</v>
      </c>
      <c r="R237" s="41"/>
      <c r="S237" s="26" t="s">
        <v>96</v>
      </c>
      <c r="T237" s="26"/>
      <c r="U237" s="415"/>
      <c r="V237" s="504" t="s">
        <v>96</v>
      </c>
    </row>
    <row r="238" spans="2:25" x14ac:dyDescent="0.25">
      <c r="B238" s="52"/>
      <c r="C238" s="211">
        <f>36</f>
        <v>36</v>
      </c>
      <c r="D238" s="19">
        <f>IF(C111=0,1400,1115)</f>
        <v>1400</v>
      </c>
      <c r="E238" s="33">
        <f>320</f>
        <v>320</v>
      </c>
      <c r="F238" s="18">
        <f>IF(F235=1,F242,F233)</f>
        <v>2900</v>
      </c>
      <c r="G238" s="33">
        <v>740</v>
      </c>
      <c r="H238" s="31">
        <v>386</v>
      </c>
      <c r="I238" s="34"/>
      <c r="J238" s="31">
        <v>135</v>
      </c>
      <c r="K238" s="34">
        <v>1040</v>
      </c>
      <c r="L238" s="31">
        <v>130</v>
      </c>
      <c r="M238" s="34">
        <v>1040</v>
      </c>
      <c r="N238" s="32">
        <v>355</v>
      </c>
      <c r="O238" s="32">
        <v>1440</v>
      </c>
      <c r="P238" s="13">
        <f>IF(C2=P237,0,50)</f>
        <v>50</v>
      </c>
      <c r="Q238" s="34">
        <v>10</v>
      </c>
      <c r="R238" s="52"/>
      <c r="S238" s="18"/>
      <c r="T238" s="208">
        <f>AQ46</f>
        <v>1</v>
      </c>
      <c r="U238" s="26">
        <f>IF(N348=0,M145,N349)</f>
        <v>300</v>
      </c>
      <c r="V238" s="223">
        <v>17</v>
      </c>
    </row>
    <row r="239" spans="2:25" ht="15.75" thickBot="1" x14ac:dyDescent="0.3">
      <c r="B239" s="547">
        <f>C108</f>
        <v>361</v>
      </c>
      <c r="C239" s="548">
        <f>D108+(C238*C235)</f>
        <v>1150</v>
      </c>
      <c r="D239" s="2">
        <f>IF(B239&lt;=D238,1,0)</f>
        <v>1</v>
      </c>
      <c r="E239" s="442">
        <f>IF(B239&gt;=E238,1,0)</f>
        <v>1</v>
      </c>
      <c r="F239" s="26">
        <f>IF(C239&lt;=F238,1,0)</f>
        <v>1</v>
      </c>
      <c r="G239" s="442">
        <f>IF(C239&gt;=G238,1,0)</f>
        <v>1</v>
      </c>
      <c r="H239" s="26">
        <f>IF(MAX(AD67:AE67)&gt;H238,0,1)</f>
        <v>1</v>
      </c>
      <c r="I239" s="549"/>
      <c r="J239" s="26">
        <f>IF(D46&gt;=J238,1,0)</f>
        <v>1</v>
      </c>
      <c r="K239" s="12">
        <f>IF(D46&lt;=K238,1,0)</f>
        <v>1</v>
      </c>
      <c r="L239" s="26">
        <f>IF(C46&gt;=L238,1,0)</f>
        <v>1</v>
      </c>
      <c r="M239" s="12">
        <f>IF(C46&lt;=M238,1,0)</f>
        <v>1</v>
      </c>
      <c r="N239" s="26">
        <f>IF(C46+D46&gt;=N238,1,0)</f>
        <v>1</v>
      </c>
      <c r="O239" s="442">
        <f>IF(C46+D46&lt;=O238,1,0)</f>
        <v>1</v>
      </c>
      <c r="P239" s="12">
        <f>IF(E46&gt;=P238,1,0)</f>
        <v>1</v>
      </c>
      <c r="Q239" s="12">
        <f>IF(Q235&lt;=Q238,1,0)</f>
        <v>1</v>
      </c>
      <c r="R239" s="442">
        <f>'Prijs karton (3)'!AG16</f>
        <v>1</v>
      </c>
      <c r="S239" s="431">
        <f>U46</f>
        <v>1</v>
      </c>
      <c r="T239" s="431">
        <f>IF($T$235=0,1,IF(AND($T$235=1,$T$238=1),1,IF(AND($P$180=1,$T$238=0),0)))</f>
        <v>1</v>
      </c>
      <c r="U239" s="914">
        <f>IF(C3&gt;=U238,1,0)</f>
        <v>1</v>
      </c>
      <c r="V239" s="500">
        <f>IF(SUM(D239:U239)=V238,1,0)</f>
        <v>1</v>
      </c>
    </row>
    <row r="240" spans="2:25" ht="15.75" thickTop="1" x14ac:dyDescent="0.25">
      <c r="B240" s="1298" t="s">
        <v>626</v>
      </c>
      <c r="C240" s="1299"/>
      <c r="D240" s="1299"/>
      <c r="E240" s="1299"/>
      <c r="F240" s="1300"/>
      <c r="G240" s="1301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4"/>
    </row>
    <row r="241" spans="1:25" x14ac:dyDescent="0.25">
      <c r="B241" s="547">
        <f>C108*C247</f>
        <v>361</v>
      </c>
      <c r="C241" s="1207">
        <f>(D108+(C238*C235*C248))*C247</f>
        <v>1114</v>
      </c>
      <c r="D241" s="208">
        <f>IF(AND(B241=0,C246=0,C247=0),0,IF(C246=1,1,IF(AND(C246=0,C247=1,FLOOR(D242/B241,1)&lt;=C242),FLOOR(D242/B241,1),C242)))</f>
        <v>1</v>
      </c>
      <c r="E241" s="562">
        <f>IF(C246=1,1,IF(AND(C246=0,C247=1),CEILING(E242/B241,1),0))</f>
        <v>1</v>
      </c>
      <c r="F241" s="208">
        <f>IF(C246=1,1,IF(AND(C246=0,C247=1),FLOOR(F242/C241,1),0))</f>
        <v>1</v>
      </c>
      <c r="G241" s="550">
        <f>IF(C246=1,1,IF(AND(C246=0,C247=1),CEILING(G242/C241,1),0))</f>
        <v>1</v>
      </c>
      <c r="H241" s="2"/>
      <c r="I241" s="54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5" x14ac:dyDescent="0.25">
      <c r="B242" s="1208" t="s">
        <v>1334</v>
      </c>
      <c r="C242" s="1209">
        <f>IF(AND(C246=0,C247=1),MAX(A184:A187),0)</f>
        <v>0</v>
      </c>
      <c r="D242" s="1206">
        <f>D238</f>
        <v>1400</v>
      </c>
      <c r="E242" s="550">
        <f>E238</f>
        <v>320</v>
      </c>
      <c r="F242" s="565">
        <v>1580</v>
      </c>
      <c r="G242" s="566">
        <v>710</v>
      </c>
      <c r="H242" s="407"/>
      <c r="I242" s="407"/>
      <c r="J242" s="407"/>
      <c r="K242" s="407"/>
      <c r="L242" s="407"/>
      <c r="M242" s="407"/>
      <c r="N242" s="407"/>
      <c r="O242" s="407"/>
      <c r="P242" s="407"/>
      <c r="Q242" s="407"/>
      <c r="R242" s="407"/>
      <c r="S242" s="407"/>
      <c r="T242" s="407"/>
      <c r="U242" s="407"/>
    </row>
    <row r="243" spans="1:25" x14ac:dyDescent="0.25">
      <c r="B243" s="407"/>
      <c r="C243" s="407"/>
      <c r="D243" s="558" t="s">
        <v>622</v>
      </c>
      <c r="E243" s="562" t="s">
        <v>621</v>
      </c>
      <c r="F243" s="558" t="s">
        <v>623</v>
      </c>
      <c r="G243" s="550" t="s">
        <v>624</v>
      </c>
      <c r="H243" s="407"/>
      <c r="I243" s="407"/>
      <c r="J243" s="407"/>
      <c r="K243" s="407"/>
      <c r="L243" s="407"/>
      <c r="M243" s="407"/>
      <c r="N243" s="407"/>
      <c r="O243" s="407"/>
      <c r="P243" s="407"/>
      <c r="Q243" s="407"/>
      <c r="R243" s="407"/>
      <c r="S243" s="407"/>
      <c r="T243" s="407"/>
      <c r="U243" s="407"/>
    </row>
    <row r="244" spans="1:25" x14ac:dyDescent="0.25">
      <c r="B244" s="407"/>
      <c r="C244" s="407"/>
      <c r="E244" s="407"/>
      <c r="F244" s="407"/>
      <c r="G244" s="407"/>
      <c r="H244" s="407"/>
      <c r="I244" s="407"/>
      <c r="J244" s="407"/>
      <c r="K244" s="407"/>
      <c r="L244" s="407"/>
      <c r="M244" s="407"/>
      <c r="N244" s="407"/>
      <c r="O244" s="407"/>
      <c r="P244" s="407"/>
      <c r="Q244" s="407"/>
      <c r="R244" s="407"/>
      <c r="S244" s="407"/>
      <c r="T244" s="407"/>
      <c r="U244" s="407"/>
    </row>
    <row r="245" spans="1:25" x14ac:dyDescent="0.25">
      <c r="B245" s="555"/>
      <c r="C245" s="407"/>
      <c r="D245" s="407"/>
      <c r="F245" s="407"/>
      <c r="G245" s="407"/>
      <c r="H245" s="407"/>
      <c r="I245" s="407"/>
      <c r="J245" s="407"/>
      <c r="K245" s="407"/>
      <c r="L245" s="407"/>
      <c r="M245" s="407"/>
      <c r="N245" s="407"/>
      <c r="O245" s="407"/>
      <c r="P245" s="407"/>
      <c r="Q245" s="407"/>
      <c r="R245" s="407"/>
      <c r="S245" s="407"/>
      <c r="T245" s="407"/>
      <c r="U245" s="407"/>
    </row>
    <row r="246" spans="1:25" x14ac:dyDescent="0.25">
      <c r="A246" s="2" t="s">
        <v>64</v>
      </c>
      <c r="B246" s="555" t="s">
        <v>625</v>
      </c>
      <c r="C246" s="551">
        <f>IF(SUM(C362:I362)&gt;0,IF(B402=A246,1,0))</f>
        <v>1</v>
      </c>
      <c r="D246" s="407"/>
      <c r="E246" s="407"/>
      <c r="F246" s="407"/>
      <c r="G246" s="407"/>
      <c r="H246" s="407"/>
      <c r="I246" s="407"/>
      <c r="J246" s="407"/>
      <c r="K246" s="407"/>
      <c r="L246" s="407"/>
      <c r="M246" s="407"/>
      <c r="N246" s="407"/>
      <c r="O246" s="407"/>
      <c r="P246" s="407"/>
      <c r="Q246" s="407"/>
      <c r="R246" s="407"/>
      <c r="S246" s="407"/>
      <c r="T246" s="407"/>
      <c r="U246" s="407"/>
    </row>
    <row r="247" spans="1:25" x14ac:dyDescent="0.25">
      <c r="A247" s="2" t="s">
        <v>64</v>
      </c>
      <c r="B247" s="555" t="s">
        <v>600</v>
      </c>
      <c r="C247" s="551">
        <f>IF(SUM(C362:I362)&gt;0,IF(C402=A247,1,0),0)</f>
        <v>1</v>
      </c>
      <c r="D247" s="407"/>
      <c r="E247" s="407"/>
      <c r="F247" s="407"/>
      <c r="G247" s="407"/>
      <c r="H247" s="407"/>
      <c r="I247" s="407"/>
      <c r="J247" s="407"/>
      <c r="K247" s="407"/>
      <c r="L247" s="407"/>
      <c r="M247" s="407"/>
      <c r="N247" s="407"/>
      <c r="O247" s="407"/>
      <c r="P247" s="407"/>
      <c r="Q247" s="407"/>
      <c r="R247" s="407"/>
      <c r="S247" s="407"/>
      <c r="T247" s="407"/>
      <c r="U247" s="407"/>
    </row>
    <row r="248" spans="1:25" x14ac:dyDescent="0.25">
      <c r="A248" s="2" t="s">
        <v>64</v>
      </c>
      <c r="B248" s="555" t="s">
        <v>620</v>
      </c>
      <c r="C248" s="551">
        <f>IF(SUM(A250:A254)&gt;0,VLOOKUP(1,A250:C254,3,FALSE),0)</f>
        <v>0</v>
      </c>
      <c r="D248" s="407"/>
      <c r="E248" s="407"/>
      <c r="F248" s="407"/>
      <c r="G248" s="407"/>
      <c r="H248" s="407"/>
      <c r="I248" s="407"/>
      <c r="J248" s="407"/>
      <c r="K248" s="407"/>
      <c r="L248" s="407"/>
      <c r="M248" s="407"/>
      <c r="N248" s="407"/>
      <c r="O248" s="407"/>
      <c r="P248" s="407"/>
      <c r="Q248" s="407"/>
      <c r="R248" s="407"/>
      <c r="S248" s="407"/>
      <c r="T248" s="407"/>
      <c r="U248" s="407"/>
    </row>
    <row r="249" spans="1:25" x14ac:dyDescent="0.25">
      <c r="A249" s="208" t="s">
        <v>615</v>
      </c>
      <c r="B249" s="552" t="s">
        <v>614</v>
      </c>
      <c r="C249" s="551" t="s">
        <v>616</v>
      </c>
      <c r="D249" s="407"/>
      <c r="E249" s="407"/>
      <c r="F249" s="407"/>
      <c r="G249" s="407"/>
      <c r="H249" s="407"/>
      <c r="I249" s="407"/>
      <c r="J249" s="407"/>
      <c r="K249" s="407"/>
      <c r="L249" s="407"/>
      <c r="M249" s="407"/>
      <c r="N249" s="407"/>
      <c r="O249" s="407"/>
      <c r="P249" s="407"/>
      <c r="Q249" s="407"/>
      <c r="R249" s="407"/>
      <c r="S249" s="407"/>
      <c r="T249" s="407"/>
      <c r="U249" s="407"/>
    </row>
    <row r="250" spans="1:25" x14ac:dyDescent="0.25">
      <c r="A250" s="442" t="b">
        <f>IF(SUM(C362:I362)&gt;0,IF(HLOOKUP(1,$C$362:$I$374,2,FALSE)=B250,1),0)</f>
        <v>0</v>
      </c>
      <c r="B250" s="553" t="s">
        <v>65</v>
      </c>
      <c r="C250" s="560">
        <v>0</v>
      </c>
      <c r="D250" s="555" t="s">
        <v>618</v>
      </c>
      <c r="E250" s="407"/>
      <c r="F250" s="407"/>
      <c r="G250" s="407"/>
      <c r="H250" s="407"/>
      <c r="I250" s="407"/>
      <c r="J250" s="407"/>
      <c r="K250" s="407"/>
      <c r="L250" s="407"/>
      <c r="M250" s="407"/>
      <c r="N250" s="407"/>
      <c r="O250" s="407"/>
      <c r="P250" s="407"/>
      <c r="Q250" s="407"/>
      <c r="R250" s="407"/>
      <c r="S250" s="407"/>
      <c r="T250" s="407"/>
      <c r="U250" s="407"/>
    </row>
    <row r="251" spans="1:25" x14ac:dyDescent="0.25">
      <c r="A251" s="12" t="b">
        <f>IF(SUM(C362:I362)&gt;0,IF(HLOOKUP(1,$C$362:$I$374,2,FALSE)=B251,1),0)</f>
        <v>0</v>
      </c>
      <c r="B251" s="554" t="s">
        <v>66</v>
      </c>
      <c r="C251" s="561">
        <v>0</v>
      </c>
      <c r="D251" s="555" t="s">
        <v>618</v>
      </c>
      <c r="E251" s="407"/>
      <c r="F251" s="407"/>
      <c r="G251" s="407"/>
      <c r="H251" s="407"/>
      <c r="I251" s="407"/>
      <c r="J251" s="407"/>
      <c r="K251" s="407"/>
      <c r="L251" s="407"/>
      <c r="M251" s="407"/>
      <c r="N251" s="407"/>
      <c r="O251" s="407"/>
      <c r="P251" s="407"/>
      <c r="Q251" s="407"/>
      <c r="R251" s="407"/>
      <c r="S251" s="407"/>
      <c r="T251" s="407"/>
      <c r="U251" s="407"/>
    </row>
    <row r="252" spans="1:25" x14ac:dyDescent="0.25">
      <c r="A252" s="28">
        <v>0</v>
      </c>
      <c r="B252" s="41" t="s">
        <v>64</v>
      </c>
      <c r="C252" s="557">
        <v>0</v>
      </c>
      <c r="D252" s="407"/>
      <c r="E252" s="407"/>
      <c r="F252" s="407"/>
      <c r="G252" s="407"/>
      <c r="H252" s="407"/>
      <c r="I252" s="407"/>
      <c r="J252" s="407"/>
      <c r="K252" s="407"/>
      <c r="L252" s="407"/>
      <c r="M252" s="407"/>
      <c r="N252" s="407"/>
      <c r="O252" s="407"/>
      <c r="P252" s="407"/>
      <c r="Q252" s="407"/>
      <c r="R252" s="407"/>
      <c r="S252" s="407"/>
      <c r="T252" s="407"/>
      <c r="U252" s="407"/>
    </row>
    <row r="253" spans="1:25" x14ac:dyDescent="0.25">
      <c r="A253" s="12" t="b">
        <f>IF(SUM(C362:I362)&gt;0,IF(HLOOKUP(1,$C$362:$I$374,2,FALSE)=B253,1),0)</f>
        <v>0</v>
      </c>
      <c r="B253" s="41" t="s">
        <v>63</v>
      </c>
      <c r="C253" s="556">
        <f>IF(A253=1,C247,0)</f>
        <v>0</v>
      </c>
      <c r="D253" s="407"/>
      <c r="E253" s="407"/>
      <c r="F253" s="407"/>
      <c r="G253" s="407"/>
      <c r="H253" s="407"/>
      <c r="I253" s="407"/>
      <c r="J253" s="407"/>
      <c r="K253" s="407"/>
      <c r="L253" s="407"/>
      <c r="M253" s="407"/>
      <c r="N253" s="407"/>
      <c r="O253" s="407"/>
      <c r="P253" s="407"/>
      <c r="Q253" s="407"/>
      <c r="R253" s="407"/>
      <c r="S253" s="407"/>
      <c r="T253" s="407"/>
      <c r="U253" s="407"/>
    </row>
    <row r="254" spans="1:25" x14ac:dyDescent="0.25">
      <c r="A254" s="34">
        <v>0</v>
      </c>
      <c r="B254" s="52" t="s">
        <v>554</v>
      </c>
      <c r="C254" s="559">
        <v>0</v>
      </c>
      <c r="D254" s="555" t="s">
        <v>619</v>
      </c>
      <c r="E254" s="407"/>
      <c r="F254" s="407"/>
      <c r="G254" s="407"/>
      <c r="H254" s="407"/>
      <c r="I254" s="407"/>
      <c r="J254" s="407"/>
      <c r="K254" s="407"/>
      <c r="L254" s="407"/>
      <c r="M254" s="407"/>
      <c r="N254" s="407"/>
      <c r="O254" s="407"/>
      <c r="P254" s="407"/>
      <c r="Q254" s="407"/>
      <c r="R254" s="407"/>
      <c r="S254" s="407"/>
      <c r="T254" s="407"/>
      <c r="U254" s="407"/>
    </row>
    <row r="255" spans="1:25" x14ac:dyDescent="0.25">
      <c r="B255" s="407"/>
      <c r="C255" s="407"/>
      <c r="D255" s="407"/>
      <c r="E255" s="407"/>
      <c r="F255" s="407"/>
      <c r="G255" s="407"/>
      <c r="H255" s="407"/>
      <c r="I255" s="407"/>
      <c r="J255" s="407"/>
      <c r="K255" s="407"/>
      <c r="L255" s="407"/>
      <c r="M255" s="407"/>
      <c r="N255" s="407"/>
      <c r="O255" s="407"/>
      <c r="P255" s="407"/>
      <c r="Q255" s="407"/>
      <c r="R255" s="407"/>
      <c r="S255" s="407"/>
      <c r="T255" s="407"/>
      <c r="U255" s="407"/>
    </row>
    <row r="256" spans="1:25" s="320" customFormat="1" x14ac:dyDescent="0.25">
      <c r="B256" s="441"/>
      <c r="Y256" s="343"/>
    </row>
    <row r="258" spans="1:12" x14ac:dyDescent="0.25">
      <c r="B258" s="215" t="s">
        <v>200</v>
      </c>
    </row>
    <row r="259" spans="1:12" x14ac:dyDescent="0.25">
      <c r="B259"/>
      <c r="C259" s="215"/>
    </row>
    <row r="260" spans="1:12" x14ac:dyDescent="0.25">
      <c r="B260" s="440" t="s">
        <v>511</v>
      </c>
      <c r="C260" s="464"/>
      <c r="D260" s="449" t="s">
        <v>18</v>
      </c>
      <c r="E260" s="442" t="s">
        <v>9</v>
      </c>
      <c r="F260" s="442" t="s">
        <v>508</v>
      </c>
      <c r="G260" s="2"/>
    </row>
    <row r="261" spans="1:12" x14ac:dyDescent="0.25">
      <c r="B261" s="438"/>
      <c r="C261" s="464" t="s">
        <v>506</v>
      </c>
      <c r="D261" s="449">
        <f>C108</f>
        <v>361</v>
      </c>
      <c r="E261" s="442">
        <f>D108</f>
        <v>1114</v>
      </c>
      <c r="F261" s="451">
        <f>(D261/1000)*(E261/1000)</f>
        <v>0.40215400000000001</v>
      </c>
      <c r="G261" s="479"/>
      <c r="H261" s="450"/>
    </row>
    <row r="262" spans="1:12" ht="15.75" thickBot="1" x14ac:dyDescent="0.3">
      <c r="B262" s="462"/>
      <c r="C262" s="465" t="s">
        <v>510</v>
      </c>
      <c r="D262" s="463">
        <v>40</v>
      </c>
      <c r="E262" s="460"/>
      <c r="F262" s="460"/>
    </row>
    <row r="263" spans="1:12" ht="15.75" thickTop="1" x14ac:dyDescent="0.25">
      <c r="B263" s="6"/>
      <c r="C263" s="36" t="s">
        <v>503</v>
      </c>
      <c r="D263" s="344">
        <v>500</v>
      </c>
      <c r="E263" s="34">
        <v>500</v>
      </c>
      <c r="F263" s="340"/>
      <c r="G263" s="2"/>
      <c r="H263" s="455"/>
    </row>
    <row r="264" spans="1:12" x14ac:dyDescent="0.25">
      <c r="B264" s="6"/>
      <c r="C264" s="36" t="s">
        <v>504</v>
      </c>
      <c r="D264" s="2">
        <f>H388</f>
        <v>250</v>
      </c>
      <c r="E264" s="12">
        <f>J388</f>
        <v>500</v>
      </c>
      <c r="F264" s="453"/>
      <c r="G264" s="2"/>
    </row>
    <row r="265" spans="1:12" x14ac:dyDescent="0.25">
      <c r="B265" s="6"/>
      <c r="C265" s="36"/>
      <c r="E265" s="41"/>
      <c r="F265" s="452"/>
      <c r="G265" s="459"/>
      <c r="H265" s="456"/>
    </row>
    <row r="266" spans="1:12" x14ac:dyDescent="0.25">
      <c r="B266" s="213"/>
      <c r="C266" s="466" t="s">
        <v>505</v>
      </c>
      <c r="D266" s="397">
        <f>MAX(D263:D264)</f>
        <v>500</v>
      </c>
      <c r="E266" s="403">
        <f>MAX(E263:E264)</f>
        <v>500</v>
      </c>
      <c r="F266" s="480">
        <f>(D266/1000)*(E266/1000)</f>
        <v>0.25</v>
      </c>
      <c r="G266" s="2"/>
      <c r="H266" s="457"/>
    </row>
    <row r="267" spans="1:12" ht="15.75" thickBot="1" x14ac:dyDescent="0.3">
      <c r="B267" s="440">
        <f>C111</f>
        <v>0</v>
      </c>
      <c r="C267" s="464" t="s">
        <v>507</v>
      </c>
      <c r="D267" s="449">
        <f>IF(B267&gt;0,E238,0)</f>
        <v>0</v>
      </c>
      <c r="E267" s="442">
        <f>IF(B267&gt;0,G238-D262,0)</f>
        <v>0</v>
      </c>
      <c r="F267" s="451">
        <f>(D267/1000)*(E267/1000)</f>
        <v>0</v>
      </c>
      <c r="G267" s="2"/>
    </row>
    <row r="268" spans="1:12" ht="15.75" thickBot="1" x14ac:dyDescent="0.3">
      <c r="B268" s="414"/>
      <c r="C268" s="458" t="s">
        <v>509</v>
      </c>
      <c r="D268" s="461">
        <f>MAX(D267,D266)-D262</f>
        <v>460</v>
      </c>
      <c r="E268" s="461">
        <f>MAX(E267,E266)-D262</f>
        <v>460</v>
      </c>
      <c r="F268" s="481">
        <f>(D268/1000)*(E268/1000)</f>
        <v>0.21160000000000001</v>
      </c>
      <c r="G268" s="2"/>
    </row>
    <row r="269" spans="1:12" x14ac:dyDescent="0.25">
      <c r="B269"/>
      <c r="C269" s="1"/>
      <c r="D269" s="407"/>
      <c r="E269" s="407"/>
      <c r="F269" s="468"/>
      <c r="G269" s="2"/>
    </row>
    <row r="270" spans="1:12" x14ac:dyDescent="0.25">
      <c r="B270"/>
      <c r="C270" s="1"/>
      <c r="D270" s="407"/>
      <c r="E270" s="407"/>
      <c r="F270" s="468"/>
      <c r="G270" s="2"/>
    </row>
    <row r="271" spans="1:12" x14ac:dyDescent="0.25">
      <c r="A271" t="s">
        <v>524</v>
      </c>
      <c r="B271" s="2"/>
      <c r="C271" s="1"/>
      <c r="D271" s="407"/>
      <c r="E271" s="407"/>
      <c r="F271" s="468"/>
      <c r="H271" s="2"/>
      <c r="I271" s="951">
        <f>MIN(I274:I275)</f>
        <v>0.190554</v>
      </c>
      <c r="K271" s="403">
        <f>MIN(K274:K275)</f>
        <v>0</v>
      </c>
    </row>
    <row r="272" spans="1:12" x14ac:dyDescent="0.25">
      <c r="A272" s="404"/>
      <c r="B272" s="440"/>
      <c r="C272" s="469"/>
      <c r="D272" s="470"/>
      <c r="E272" s="471"/>
      <c r="F272" s="451"/>
      <c r="G272" s="404"/>
      <c r="H272" s="404"/>
      <c r="I272" s="442" t="s">
        <v>516</v>
      </c>
      <c r="J272" s="404"/>
      <c r="K272" s="442" t="s">
        <v>515</v>
      </c>
      <c r="L272" s="404"/>
    </row>
    <row r="273" spans="1:12" x14ac:dyDescent="0.25">
      <c r="A273" s="13" t="s">
        <v>517</v>
      </c>
      <c r="B273" s="1292" t="s">
        <v>518</v>
      </c>
      <c r="C273" s="1293"/>
      <c r="D273" s="1292" t="s">
        <v>519</v>
      </c>
      <c r="E273" s="1293"/>
      <c r="F273" s="13" t="s">
        <v>520</v>
      </c>
      <c r="G273" s="13" t="s">
        <v>521</v>
      </c>
      <c r="H273" s="52" t="s">
        <v>513</v>
      </c>
      <c r="I273" s="41" t="s">
        <v>514</v>
      </c>
      <c r="J273" s="12" t="s">
        <v>522</v>
      </c>
      <c r="K273" s="41" t="s">
        <v>514</v>
      </c>
      <c r="L273" s="12" t="s">
        <v>523</v>
      </c>
    </row>
    <row r="274" spans="1:12" x14ac:dyDescent="0.25">
      <c r="A274" s="403">
        <f>IF(SUM(L274:L275)=0,1,IF(SUM(L274:L275)=2,1,L274))</f>
        <v>1</v>
      </c>
      <c r="B274" s="208">
        <f>IF(ROUND(D268/D261,0)=0,1,ROUND(D268/D261,0))</f>
        <v>1</v>
      </c>
      <c r="C274" s="38">
        <f>IF(ROUND(E268/E261,0)=0,1,ROUND(E268/E261,0))</f>
        <v>1</v>
      </c>
      <c r="D274" s="208">
        <f>B274*D261</f>
        <v>361</v>
      </c>
      <c r="E274" s="38">
        <f>C274*E261</f>
        <v>1114</v>
      </c>
      <c r="F274" s="403">
        <f>C274*B274</f>
        <v>1</v>
      </c>
      <c r="G274" s="402">
        <f>(D274/1000)*(E274/1000)</f>
        <v>0.40215400000000001</v>
      </c>
      <c r="H274" s="403">
        <f>IF((G274)&gt;=F268,1,0)</f>
        <v>1</v>
      </c>
      <c r="I274" s="403">
        <f>IF(SUM(H274:H275)=2,G274-F268,0)</f>
        <v>0.190554</v>
      </c>
      <c r="J274" s="403">
        <f>IF(AND(H274=1,I274=I271),1,0)</f>
        <v>1</v>
      </c>
      <c r="K274" s="403">
        <f>IF(SUM(H274:H275)=0,F268-G274,0)</f>
        <v>0</v>
      </c>
      <c r="L274" s="403">
        <f>IF(AND(SUM(J274:J275)=0,K274=K271,),1,J274)</f>
        <v>1</v>
      </c>
    </row>
    <row r="275" spans="1:12" x14ac:dyDescent="0.25">
      <c r="A275" s="403">
        <f>IF(SUM(L274:L275)=2,0,L275)</f>
        <v>0</v>
      </c>
      <c r="B275" s="432">
        <f>IF(ROUND(E268/D261,0)=0,1,ROUND(E268/D261,0))</f>
        <v>1</v>
      </c>
      <c r="C275" s="436">
        <f>IF(ROUND(D268/E261,0)=0,1,ROUND(D268/E261,0))</f>
        <v>1</v>
      </c>
      <c r="D275" s="432">
        <f>B275*D261</f>
        <v>361</v>
      </c>
      <c r="E275" s="436">
        <f>C275*E261</f>
        <v>1114</v>
      </c>
      <c r="F275" s="473">
        <f>B275*C275</f>
        <v>1</v>
      </c>
      <c r="G275" s="342">
        <f>(D275/1000)*(E275/1000)</f>
        <v>0.40215400000000001</v>
      </c>
      <c r="H275" s="13">
        <f>IF(G275&gt;=F268,1,0)</f>
        <v>1</v>
      </c>
      <c r="I275" s="13">
        <f>IF(SUM(H274:H275)=2,G275-F268,0)</f>
        <v>0.190554</v>
      </c>
      <c r="J275" s="13">
        <f>IF(AND(H275=1,I275=I271),1,0)</f>
        <v>1</v>
      </c>
      <c r="K275" s="13">
        <f>IF(SUM(H274:H275)=0,F268-G275,0)</f>
        <v>0</v>
      </c>
      <c r="L275" s="13">
        <f>IF(AND(SUM(J274:J275)=0,K275=K271,),1,J275)</f>
        <v>1</v>
      </c>
    </row>
    <row r="276" spans="1:12" x14ac:dyDescent="0.25">
      <c r="A276" s="2"/>
      <c r="B276" s="2"/>
      <c r="C276" s="59" t="s">
        <v>39</v>
      </c>
      <c r="D276" s="477">
        <f>VLOOKUP(1,A274:L275,4,FALSE)</f>
        <v>361</v>
      </c>
      <c r="E276" s="471">
        <f>VLOOKUP(1,A274:L275,5,FALSE)</f>
        <v>1114</v>
      </c>
      <c r="F276" s="2"/>
      <c r="G276" s="2"/>
      <c r="H276" s="2"/>
      <c r="I276" s="2"/>
      <c r="J276" s="2"/>
      <c r="K276" s="2"/>
      <c r="L276" s="2"/>
    </row>
    <row r="277" spans="1:12" ht="15.75" thickBot="1" x14ac:dyDescent="0.3">
      <c r="A277" s="2"/>
      <c r="B277" s="2"/>
      <c r="C277" s="59" t="s">
        <v>533</v>
      </c>
      <c r="D277" s="477">
        <f>MAX(D268,D276)</f>
        <v>460</v>
      </c>
      <c r="E277" s="471">
        <f>MAX(E268,E276)</f>
        <v>1114</v>
      </c>
      <c r="F277" s="2"/>
      <c r="G277" s="2"/>
      <c r="H277" s="2"/>
      <c r="I277" s="2"/>
      <c r="J277" s="2"/>
      <c r="K277" s="2"/>
      <c r="L277" s="2"/>
    </row>
    <row r="278" spans="1:12" ht="15.75" thickBot="1" x14ac:dyDescent="0.3">
      <c r="A278" s="2"/>
      <c r="B278" s="2"/>
      <c r="C278" s="59" t="s">
        <v>785</v>
      </c>
      <c r="D278" s="478">
        <f>D277/VLOOKUP(1,A274:C275,2,FALSE)</f>
        <v>460</v>
      </c>
      <c r="E278" s="738">
        <f>E277/VLOOKUP(1,A274:C275,3,FALSE)</f>
        <v>1114</v>
      </c>
      <c r="F278" s="2"/>
      <c r="G278" s="2"/>
      <c r="H278" s="2"/>
      <c r="I278" s="2"/>
      <c r="J278" s="2"/>
      <c r="K278" s="2"/>
      <c r="L278" s="2"/>
    </row>
    <row r="279" spans="1:12" x14ac:dyDescent="0.25">
      <c r="C279" s="459"/>
    </row>
    <row r="280" spans="1:12" x14ac:dyDescent="0.25">
      <c r="C280" s="2" t="s">
        <v>18</v>
      </c>
      <c r="D280" s="2" t="s">
        <v>9</v>
      </c>
    </row>
    <row r="281" spans="1:12" x14ac:dyDescent="0.25">
      <c r="B281" s="1" t="s">
        <v>525</v>
      </c>
      <c r="C281" s="407">
        <f>D277+D262</f>
        <v>500</v>
      </c>
      <c r="D281" s="407">
        <f>E277+D262</f>
        <v>1154</v>
      </c>
    </row>
    <row r="282" spans="1:12" x14ac:dyDescent="0.25">
      <c r="B282" s="1" t="s">
        <v>526</v>
      </c>
      <c r="C282" s="407">
        <f>MIN(C281:D281)</f>
        <v>500</v>
      </c>
      <c r="D282" s="407">
        <f>MAX(C281:D281)</f>
        <v>1154</v>
      </c>
    </row>
    <row r="284" spans="1:12" x14ac:dyDescent="0.25">
      <c r="B284" s="1" t="s">
        <v>527</v>
      </c>
      <c r="C284" s="454">
        <v>1200</v>
      </c>
      <c r="D284" s="454">
        <v>1690</v>
      </c>
      <c r="E284" s="403" t="s">
        <v>187</v>
      </c>
    </row>
    <row r="285" spans="1:12" x14ac:dyDescent="0.25">
      <c r="B285" s="1" t="s">
        <v>152</v>
      </c>
      <c r="C285" s="208">
        <f>IF(C282&lt;=C284,1,0)</f>
        <v>1</v>
      </c>
      <c r="D285" s="403">
        <f>IF(D282&lt;=D284,1,0)</f>
        <v>1</v>
      </c>
      <c r="E285" s="403">
        <f>IF(SUM(C285:D285)=2,1,0)</f>
        <v>1</v>
      </c>
    </row>
    <row r="287" spans="1:12" x14ac:dyDescent="0.25">
      <c r="B287" s="1" t="s">
        <v>528</v>
      </c>
      <c r="C287" s="208">
        <f>C284</f>
        <v>1200</v>
      </c>
      <c r="D287" s="403">
        <f>D284</f>
        <v>1690</v>
      </c>
      <c r="E287" s="403" t="s">
        <v>187</v>
      </c>
    </row>
    <row r="288" spans="1:12" x14ac:dyDescent="0.25">
      <c r="C288" s="208">
        <f>IF(C282&lt;=C287,1,0)</f>
        <v>1</v>
      </c>
      <c r="D288" s="403">
        <f>IF(D282&lt;=D287,1,0)</f>
        <v>1</v>
      </c>
      <c r="E288" s="403">
        <f>IF(SUM(C288:D288)=2,1,0)</f>
        <v>1</v>
      </c>
    </row>
    <row r="289" spans="2:25" x14ac:dyDescent="0.25">
      <c r="C289" s="2"/>
      <c r="D289" s="2"/>
      <c r="E289" s="2"/>
      <c r="L289" s="512"/>
    </row>
    <row r="290" spans="2:25" ht="15.75" thickBot="1" x14ac:dyDescent="0.3">
      <c r="C290" s="2"/>
      <c r="D290" s="2"/>
      <c r="E290" s="2"/>
    </row>
    <row r="291" spans="2:25" x14ac:dyDescent="0.25">
      <c r="C291" s="2"/>
      <c r="D291" s="2"/>
      <c r="F291" s="498">
        <v>3</v>
      </c>
      <c r="L291" s="450"/>
    </row>
    <row r="292" spans="2:25" x14ac:dyDescent="0.25">
      <c r="B292" s="220"/>
      <c r="C292" s="473" t="s">
        <v>152</v>
      </c>
      <c r="D292" s="208" t="s">
        <v>534</v>
      </c>
      <c r="E292" s="476" t="s">
        <v>161</v>
      </c>
      <c r="F292" s="499" t="s">
        <v>535</v>
      </c>
    </row>
    <row r="293" spans="2:25" ht="15.75" thickBot="1" x14ac:dyDescent="0.3">
      <c r="B293" s="483" t="s">
        <v>529</v>
      </c>
      <c r="C293" s="13">
        <f>IF(SUM(E285,E288)=2,1,0)</f>
        <v>1</v>
      </c>
      <c r="D293" s="18">
        <f>V46</f>
        <v>0</v>
      </c>
      <c r="E293" s="208">
        <f>'Prijs karton (3)'!AH16</f>
        <v>1</v>
      </c>
      <c r="F293" s="500">
        <f>IF(SUM(C293:E293)=F291,1,0)</f>
        <v>0</v>
      </c>
    </row>
    <row r="295" spans="2:25" s="320" customFormat="1" x14ac:dyDescent="0.25">
      <c r="B295" s="441"/>
      <c r="Y295" s="343"/>
    </row>
    <row r="297" spans="2:25" x14ac:dyDescent="0.25">
      <c r="B297" s="215" t="s">
        <v>201</v>
      </c>
    </row>
    <row r="298" spans="2:25" x14ac:dyDescent="0.25">
      <c r="B298" s="215"/>
    </row>
    <row r="299" spans="2:25" ht="15.75" thickBot="1" x14ac:dyDescent="0.3">
      <c r="B299" s="77" t="s">
        <v>544</v>
      </c>
    </row>
    <row r="300" spans="2:25" ht="15.75" thickBot="1" x14ac:dyDescent="0.3">
      <c r="B300" s="484">
        <v>80</v>
      </c>
      <c r="C300" s="262">
        <v>150</v>
      </c>
      <c r="D300" s="281">
        <f>IF(SUM(D301:D302)&gt;0,1,0)</f>
        <v>1</v>
      </c>
    </row>
    <row r="301" spans="2:25" x14ac:dyDescent="0.25">
      <c r="B301" s="399">
        <f>IF(C307&gt;=B300,1,0)</f>
        <v>1</v>
      </c>
      <c r="C301" s="431">
        <f>IF(E307&gt;=C300,1,0)</f>
        <v>1</v>
      </c>
      <c r="D301" s="12">
        <f>IF(SUM(B301:C301)=2,1,0)</f>
        <v>1</v>
      </c>
    </row>
    <row r="302" spans="2:25" x14ac:dyDescent="0.25">
      <c r="B302" s="202">
        <f>IF(C315&gt;=B300,1,0)</f>
        <v>1</v>
      </c>
      <c r="C302" s="18">
        <f>IF(E315&gt;=C300,1,0)</f>
        <v>1</v>
      </c>
      <c r="D302" s="13">
        <f>IF(SUM(B302:C302)=2,1,0)</f>
        <v>1</v>
      </c>
    </row>
    <row r="304" spans="2:25" x14ac:dyDescent="0.25">
      <c r="B304"/>
    </row>
    <row r="305" spans="1:21" x14ac:dyDescent="0.25">
      <c r="A305" s="473" t="s">
        <v>549</v>
      </c>
      <c r="B305" s="399" t="s">
        <v>61</v>
      </c>
      <c r="C305" s="411"/>
      <c r="D305" s="486">
        <v>400</v>
      </c>
      <c r="E305" s="103"/>
      <c r="F305" s="956">
        <v>1000</v>
      </c>
      <c r="G305" s="486">
        <v>2400</v>
      </c>
      <c r="H305" s="488"/>
      <c r="I305" s="43"/>
      <c r="J305" s="417" t="s">
        <v>18</v>
      </c>
      <c r="K305" s="423"/>
      <c r="L305" s="496" t="s">
        <v>9</v>
      </c>
      <c r="M305" s="497"/>
      <c r="N305" s="399" t="s">
        <v>537</v>
      </c>
      <c r="O305" s="431" t="s">
        <v>545</v>
      </c>
      <c r="P305" s="442" t="s">
        <v>566</v>
      </c>
      <c r="Q305" s="435" t="s">
        <v>81</v>
      </c>
      <c r="R305" s="442" t="s">
        <v>582</v>
      </c>
      <c r="S305" s="442" t="s">
        <v>536</v>
      </c>
      <c r="T305" s="399" t="s">
        <v>547</v>
      </c>
      <c r="U305" s="399" t="s">
        <v>547</v>
      </c>
    </row>
    <row r="306" spans="1:21" x14ac:dyDescent="0.25">
      <c r="A306" s="491">
        <f>IF(SUM(S308:S314)=0,0,IF(AND(SUM(S308:S314)&gt;0,A307=1),0,IF(AND(SUM(S308:S314)&gt;0,A307=0),1)))</f>
        <v>0</v>
      </c>
      <c r="B306" s="120" t="s">
        <v>180</v>
      </c>
      <c r="C306" s="287" t="s">
        <v>18</v>
      </c>
      <c r="D306" s="473" t="s">
        <v>539</v>
      </c>
      <c r="E306" s="103" t="s">
        <v>9</v>
      </c>
      <c r="F306" s="489" t="s">
        <v>538</v>
      </c>
      <c r="G306" s="489" t="s">
        <v>548</v>
      </c>
      <c r="H306" s="487" t="s">
        <v>541</v>
      </c>
      <c r="I306" s="401" t="s">
        <v>540</v>
      </c>
      <c r="J306" s="489" t="s">
        <v>542</v>
      </c>
      <c r="K306" s="489" t="s">
        <v>543</v>
      </c>
      <c r="L306" s="489" t="s">
        <v>542</v>
      </c>
      <c r="M306" s="489" t="s">
        <v>181</v>
      </c>
      <c r="N306" s="228"/>
      <c r="O306" s="204" t="s">
        <v>546</v>
      </c>
      <c r="P306" s="41"/>
      <c r="Q306" s="7"/>
      <c r="R306" s="52"/>
      <c r="S306" s="202"/>
      <c r="T306" s="120" t="s">
        <v>113</v>
      </c>
      <c r="U306" s="120" t="s">
        <v>112</v>
      </c>
    </row>
    <row r="307" spans="1:21" x14ac:dyDescent="0.25">
      <c r="A307" s="492">
        <f>IF(SUM(S316:S322)=0,0,IF(SUM(S316:S322)&gt;0,1))</f>
        <v>0</v>
      </c>
      <c r="B307" s="341"/>
      <c r="C307" s="913">
        <f>C6</f>
        <v>300</v>
      </c>
      <c r="D307" s="41"/>
      <c r="E307" s="38">
        <f>C7</f>
        <v>250</v>
      </c>
      <c r="F307" s="473"/>
      <c r="G307" s="41"/>
      <c r="H307" s="241"/>
      <c r="I307" s="70">
        <v>55</v>
      </c>
      <c r="J307" s="34">
        <v>60</v>
      </c>
      <c r="K307" s="490">
        <v>1300</v>
      </c>
      <c r="L307" s="28">
        <v>65</v>
      </c>
      <c r="M307" s="28">
        <v>600</v>
      </c>
      <c r="N307" s="442"/>
      <c r="O307" s="213"/>
      <c r="P307" s="473">
        <f>W46</f>
        <v>0</v>
      </c>
      <c r="Q307" s="473">
        <f>IF(C111=0,1,0)</f>
        <v>1</v>
      </c>
      <c r="R307" s="473">
        <f>IF(C131=0,1,0)</f>
        <v>1</v>
      </c>
      <c r="S307" s="484">
        <v>9</v>
      </c>
      <c r="T307" s="442"/>
      <c r="U307" s="404"/>
    </row>
    <row r="308" spans="1:21" x14ac:dyDescent="0.25">
      <c r="A308" s="510" t="str">
        <f t="shared" ref="A308:A314" si="26">IF(AND($A$306=1,S308=1),B308," ")</f>
        <v xml:space="preserve"> </v>
      </c>
      <c r="B308" s="431">
        <v>1</v>
      </c>
      <c r="C308" s="442">
        <f>B308*$C$307</f>
        <v>300</v>
      </c>
      <c r="D308" s="435">
        <f>CEILING($D$305/$C$307,1)</f>
        <v>2</v>
      </c>
      <c r="E308" s="2">
        <f t="shared" ref="E308:E314" si="27">$E$307</f>
        <v>250</v>
      </c>
      <c r="F308" s="431">
        <f t="shared" ref="F308:F314" si="28">CEILING($F$305/$E$307,1)</f>
        <v>4</v>
      </c>
      <c r="G308" s="442">
        <f>FLOOR($G$305/$E$307,1)</f>
        <v>9</v>
      </c>
      <c r="H308" s="485">
        <v>6</v>
      </c>
      <c r="I308" s="2">
        <f t="shared" ref="I308:I314" si="29">$I$307*H308</f>
        <v>330</v>
      </c>
      <c r="J308" s="442">
        <f t="shared" ref="J308:J314" si="30">IF($C$307&gt;=$J$307,1,0)</f>
        <v>1</v>
      </c>
      <c r="K308" s="449">
        <f t="shared" ref="K308:K314" si="31">IF(C308&lt;=$K$307-I308,1,0)</f>
        <v>1</v>
      </c>
      <c r="L308" s="431">
        <f t="shared" ref="L308:L314" si="32">IF(E308&gt;=$L$307,1,0)</f>
        <v>1</v>
      </c>
      <c r="M308" s="431">
        <f t="shared" ref="M308:M314" si="33">IF(E308&lt;=$M$307,1,0)</f>
        <v>1</v>
      </c>
      <c r="N308" s="442">
        <f>$D$300</f>
        <v>1</v>
      </c>
      <c r="O308" s="2">
        <f t="shared" ref="O308:O314" si="34">IF(B308&gt;=D308,1,0)</f>
        <v>0</v>
      </c>
      <c r="P308" s="442">
        <f>$P$307</f>
        <v>0</v>
      </c>
      <c r="Q308" s="2">
        <f>$Q$307</f>
        <v>1</v>
      </c>
      <c r="R308" s="442">
        <f t="shared" ref="R308:R314" si="35">$R$307</f>
        <v>1</v>
      </c>
      <c r="S308" s="431">
        <f t="shared" ref="S308:S314" si="36">IF(SUM(J308:R308)=$S$307,1,0)</f>
        <v>0</v>
      </c>
      <c r="T308" s="431">
        <f t="shared" ref="T308:T314" si="37">S308*B308*F308</f>
        <v>0</v>
      </c>
      <c r="U308" s="442">
        <f t="shared" ref="U308:U314" si="38">S308*B308*G308</f>
        <v>0</v>
      </c>
    </row>
    <row r="309" spans="1:21" x14ac:dyDescent="0.25">
      <c r="A309" s="510" t="str">
        <f t="shared" si="26"/>
        <v xml:space="preserve"> </v>
      </c>
      <c r="B309" s="26">
        <v>2</v>
      </c>
      <c r="C309" s="12">
        <f t="shared" ref="C309:C314" si="39">B309*$C$307</f>
        <v>600</v>
      </c>
      <c r="D309" s="25">
        <f t="shared" ref="D309:D314" si="40">CEILING($D$305/$C$307,1)</f>
        <v>2</v>
      </c>
      <c r="E309" s="2">
        <f t="shared" si="27"/>
        <v>250</v>
      </c>
      <c r="F309" s="26">
        <f t="shared" si="28"/>
        <v>4</v>
      </c>
      <c r="G309" s="12">
        <f t="shared" ref="G309:G314" si="41">FLOOR($G$305/$E$307,1)</f>
        <v>9</v>
      </c>
      <c r="H309" s="246">
        <v>5</v>
      </c>
      <c r="I309" s="2">
        <f t="shared" si="29"/>
        <v>275</v>
      </c>
      <c r="J309" s="12">
        <f t="shared" si="30"/>
        <v>1</v>
      </c>
      <c r="K309" s="2">
        <f t="shared" si="31"/>
        <v>1</v>
      </c>
      <c r="L309" s="26">
        <f t="shared" si="32"/>
        <v>1</v>
      </c>
      <c r="M309" s="26">
        <f t="shared" si="33"/>
        <v>1</v>
      </c>
      <c r="N309" s="12">
        <f t="shared" ref="N309:N314" si="42">$D$300</f>
        <v>1</v>
      </c>
      <c r="O309" s="2">
        <f t="shared" si="34"/>
        <v>1</v>
      </c>
      <c r="P309" s="12">
        <f>$P$307</f>
        <v>0</v>
      </c>
      <c r="Q309" s="2">
        <f>$Q$307</f>
        <v>1</v>
      </c>
      <c r="R309" s="12">
        <f t="shared" si="35"/>
        <v>1</v>
      </c>
      <c r="S309" s="26">
        <f t="shared" si="36"/>
        <v>0</v>
      </c>
      <c r="T309" s="26">
        <f t="shared" si="37"/>
        <v>0</v>
      </c>
      <c r="U309" s="12">
        <f t="shared" si="38"/>
        <v>0</v>
      </c>
    </row>
    <row r="310" spans="1:21" x14ac:dyDescent="0.25">
      <c r="A310" s="510" t="str">
        <f t="shared" si="26"/>
        <v xml:space="preserve"> </v>
      </c>
      <c r="B310" s="26">
        <v>3</v>
      </c>
      <c r="C310" s="12">
        <f t="shared" si="39"/>
        <v>900</v>
      </c>
      <c r="D310" s="25">
        <f t="shared" si="40"/>
        <v>2</v>
      </c>
      <c r="E310" s="2">
        <f t="shared" si="27"/>
        <v>250</v>
      </c>
      <c r="F310" s="26">
        <f t="shared" si="28"/>
        <v>4</v>
      </c>
      <c r="G310" s="12">
        <f t="shared" si="41"/>
        <v>9</v>
      </c>
      <c r="H310" s="246">
        <v>4</v>
      </c>
      <c r="I310" s="2">
        <f t="shared" si="29"/>
        <v>220</v>
      </c>
      <c r="J310" s="12">
        <f t="shared" si="30"/>
        <v>1</v>
      </c>
      <c r="K310" s="2">
        <f t="shared" si="31"/>
        <v>1</v>
      </c>
      <c r="L310" s="26">
        <f t="shared" si="32"/>
        <v>1</v>
      </c>
      <c r="M310" s="26">
        <f t="shared" si="33"/>
        <v>1</v>
      </c>
      <c r="N310" s="12">
        <f t="shared" si="42"/>
        <v>1</v>
      </c>
      <c r="O310" s="2">
        <f t="shared" si="34"/>
        <v>1</v>
      </c>
      <c r="P310" s="12">
        <f t="shared" ref="P310:P314" si="43">$P$307</f>
        <v>0</v>
      </c>
      <c r="Q310" s="2">
        <f t="shared" ref="Q310:Q314" si="44">$Q$307</f>
        <v>1</v>
      </c>
      <c r="R310" s="12">
        <f t="shared" si="35"/>
        <v>1</v>
      </c>
      <c r="S310" s="26">
        <f t="shared" si="36"/>
        <v>0</v>
      </c>
      <c r="T310" s="26">
        <f t="shared" si="37"/>
        <v>0</v>
      </c>
      <c r="U310" s="12">
        <f t="shared" si="38"/>
        <v>0</v>
      </c>
    </row>
    <row r="311" spans="1:21" x14ac:dyDescent="0.25">
      <c r="A311" s="510" t="str">
        <f t="shared" si="26"/>
        <v xml:space="preserve"> </v>
      </c>
      <c r="B311" s="26">
        <v>4</v>
      </c>
      <c r="C311" s="12">
        <f t="shared" si="39"/>
        <v>1200</v>
      </c>
      <c r="D311" s="25">
        <f t="shared" si="40"/>
        <v>2</v>
      </c>
      <c r="E311" s="2">
        <f t="shared" si="27"/>
        <v>250</v>
      </c>
      <c r="F311" s="26">
        <f t="shared" si="28"/>
        <v>4</v>
      </c>
      <c r="G311" s="12">
        <f t="shared" si="41"/>
        <v>9</v>
      </c>
      <c r="H311" s="246">
        <v>3</v>
      </c>
      <c r="I311" s="2">
        <f t="shared" si="29"/>
        <v>165</v>
      </c>
      <c r="J311" s="12">
        <f t="shared" si="30"/>
        <v>1</v>
      </c>
      <c r="K311" s="2">
        <f t="shared" si="31"/>
        <v>0</v>
      </c>
      <c r="L311" s="26">
        <f t="shared" si="32"/>
        <v>1</v>
      </c>
      <c r="M311" s="26">
        <f t="shared" si="33"/>
        <v>1</v>
      </c>
      <c r="N311" s="12">
        <f t="shared" si="42"/>
        <v>1</v>
      </c>
      <c r="O311" s="2">
        <f t="shared" si="34"/>
        <v>1</v>
      </c>
      <c r="P311" s="12">
        <f t="shared" si="43"/>
        <v>0</v>
      </c>
      <c r="Q311" s="2">
        <f t="shared" si="44"/>
        <v>1</v>
      </c>
      <c r="R311" s="12">
        <f t="shared" si="35"/>
        <v>1</v>
      </c>
      <c r="S311" s="26">
        <f t="shared" si="36"/>
        <v>0</v>
      </c>
      <c r="T311" s="26">
        <f t="shared" si="37"/>
        <v>0</v>
      </c>
      <c r="U311" s="12">
        <f t="shared" si="38"/>
        <v>0</v>
      </c>
    </row>
    <row r="312" spans="1:21" x14ac:dyDescent="0.25">
      <c r="A312" s="510" t="str">
        <f t="shared" si="26"/>
        <v xml:space="preserve"> </v>
      </c>
      <c r="B312" s="26">
        <v>5</v>
      </c>
      <c r="C312" s="12">
        <f t="shared" si="39"/>
        <v>1500</v>
      </c>
      <c r="D312" s="25">
        <f t="shared" si="40"/>
        <v>2</v>
      </c>
      <c r="E312" s="2">
        <f t="shared" si="27"/>
        <v>250</v>
      </c>
      <c r="F312" s="26">
        <f t="shared" si="28"/>
        <v>4</v>
      </c>
      <c r="G312" s="12">
        <f t="shared" si="41"/>
        <v>9</v>
      </c>
      <c r="H312" s="246">
        <v>2</v>
      </c>
      <c r="I312" s="2">
        <f t="shared" si="29"/>
        <v>110</v>
      </c>
      <c r="J312" s="12">
        <f t="shared" si="30"/>
        <v>1</v>
      </c>
      <c r="K312" s="2">
        <f t="shared" si="31"/>
        <v>0</v>
      </c>
      <c r="L312" s="26">
        <f t="shared" si="32"/>
        <v>1</v>
      </c>
      <c r="M312" s="26">
        <f t="shared" si="33"/>
        <v>1</v>
      </c>
      <c r="N312" s="12">
        <f t="shared" si="42"/>
        <v>1</v>
      </c>
      <c r="O312" s="2">
        <f t="shared" si="34"/>
        <v>1</v>
      </c>
      <c r="P312" s="12">
        <f t="shared" si="43"/>
        <v>0</v>
      </c>
      <c r="Q312" s="2">
        <f t="shared" si="44"/>
        <v>1</v>
      </c>
      <c r="R312" s="12">
        <f t="shared" si="35"/>
        <v>1</v>
      </c>
      <c r="S312" s="26">
        <f t="shared" si="36"/>
        <v>0</v>
      </c>
      <c r="T312" s="26">
        <f t="shared" si="37"/>
        <v>0</v>
      </c>
      <c r="U312" s="12">
        <f t="shared" si="38"/>
        <v>0</v>
      </c>
    </row>
    <row r="313" spans="1:21" x14ac:dyDescent="0.25">
      <c r="A313" s="510" t="str">
        <f t="shared" si="26"/>
        <v xml:space="preserve"> </v>
      </c>
      <c r="B313" s="26">
        <v>6</v>
      </c>
      <c r="C313" s="12">
        <f t="shared" si="39"/>
        <v>1800</v>
      </c>
      <c r="D313" s="25">
        <f t="shared" si="40"/>
        <v>2</v>
      </c>
      <c r="E313" s="2">
        <f t="shared" si="27"/>
        <v>250</v>
      </c>
      <c r="F313" s="26">
        <f t="shared" si="28"/>
        <v>4</v>
      </c>
      <c r="G313" s="12">
        <f t="shared" si="41"/>
        <v>9</v>
      </c>
      <c r="H313" s="246">
        <v>1</v>
      </c>
      <c r="I313" s="2">
        <f t="shared" si="29"/>
        <v>55</v>
      </c>
      <c r="J313" s="12">
        <f t="shared" si="30"/>
        <v>1</v>
      </c>
      <c r="K313" s="2">
        <f t="shared" si="31"/>
        <v>0</v>
      </c>
      <c r="L313" s="26">
        <f t="shared" si="32"/>
        <v>1</v>
      </c>
      <c r="M313" s="26">
        <f t="shared" si="33"/>
        <v>1</v>
      </c>
      <c r="N313" s="12">
        <f t="shared" si="42"/>
        <v>1</v>
      </c>
      <c r="O313" s="2">
        <f t="shared" si="34"/>
        <v>1</v>
      </c>
      <c r="P313" s="12">
        <f t="shared" si="43"/>
        <v>0</v>
      </c>
      <c r="Q313" s="2">
        <f t="shared" si="44"/>
        <v>1</v>
      </c>
      <c r="R313" s="12">
        <f t="shared" si="35"/>
        <v>1</v>
      </c>
      <c r="S313" s="26">
        <f t="shared" si="36"/>
        <v>0</v>
      </c>
      <c r="T313" s="26">
        <f t="shared" si="37"/>
        <v>0</v>
      </c>
      <c r="U313" s="12">
        <f t="shared" si="38"/>
        <v>0</v>
      </c>
    </row>
    <row r="314" spans="1:21" x14ac:dyDescent="0.25">
      <c r="A314" s="510" t="str">
        <f t="shared" si="26"/>
        <v xml:space="preserve"> </v>
      </c>
      <c r="B314" s="18">
        <v>7</v>
      </c>
      <c r="C314" s="13">
        <f t="shared" si="39"/>
        <v>2100</v>
      </c>
      <c r="D314" s="436">
        <f t="shared" si="40"/>
        <v>2</v>
      </c>
      <c r="E314" s="2">
        <f t="shared" si="27"/>
        <v>250</v>
      </c>
      <c r="F314" s="18">
        <f t="shared" si="28"/>
        <v>4</v>
      </c>
      <c r="G314" s="13">
        <f t="shared" si="41"/>
        <v>9</v>
      </c>
      <c r="H314" s="247">
        <v>0</v>
      </c>
      <c r="I314" s="2">
        <f t="shared" si="29"/>
        <v>0</v>
      </c>
      <c r="J314" s="12">
        <f t="shared" si="30"/>
        <v>1</v>
      </c>
      <c r="K314" s="2">
        <f t="shared" si="31"/>
        <v>0</v>
      </c>
      <c r="L314" s="18">
        <f t="shared" si="32"/>
        <v>1</v>
      </c>
      <c r="M314" s="18">
        <f t="shared" si="33"/>
        <v>1</v>
      </c>
      <c r="N314" s="13">
        <f t="shared" si="42"/>
        <v>1</v>
      </c>
      <c r="O314" s="2">
        <f t="shared" si="34"/>
        <v>1</v>
      </c>
      <c r="P314" s="12">
        <f t="shared" si="43"/>
        <v>0</v>
      </c>
      <c r="Q314" s="2">
        <f t="shared" si="44"/>
        <v>1</v>
      </c>
      <c r="R314" s="12">
        <f t="shared" si="35"/>
        <v>1</v>
      </c>
      <c r="S314" s="26">
        <f t="shared" si="36"/>
        <v>0</v>
      </c>
      <c r="T314" s="18">
        <f t="shared" si="37"/>
        <v>0</v>
      </c>
      <c r="U314" s="13">
        <f t="shared" si="38"/>
        <v>0</v>
      </c>
    </row>
    <row r="315" spans="1:21" x14ac:dyDescent="0.25">
      <c r="A315" s="472"/>
      <c r="B315" s="12"/>
      <c r="C315" s="26">
        <f>E307</f>
        <v>250</v>
      </c>
      <c r="D315" s="41"/>
      <c r="E315" s="38">
        <f>C307</f>
        <v>300</v>
      </c>
      <c r="F315" s="12"/>
      <c r="G315" s="41"/>
      <c r="H315" s="488"/>
      <c r="I315" s="44"/>
      <c r="J315" s="473"/>
      <c r="K315" s="473"/>
      <c r="L315" s="12"/>
      <c r="M315" s="12"/>
      <c r="N315" s="436"/>
      <c r="O315" s="213"/>
      <c r="P315" s="472"/>
      <c r="Q315" s="43"/>
      <c r="R315" s="473"/>
      <c r="S315" s="442"/>
      <c r="T315" s="12"/>
      <c r="U315" s="52"/>
    </row>
    <row r="316" spans="1:21" x14ac:dyDescent="0.25">
      <c r="A316" s="493" t="str">
        <f t="shared" ref="A316:A322" si="45">IF(AND($A$307=1,S316=1),B316," ")</f>
        <v xml:space="preserve"> </v>
      </c>
      <c r="B316" s="449">
        <v>1</v>
      </c>
      <c r="C316" s="442">
        <f>B316*$C$315</f>
        <v>250</v>
      </c>
      <c r="D316" s="435">
        <f>CEILING($D$305/$C$315,1)</f>
        <v>2</v>
      </c>
      <c r="E316" s="435">
        <f t="shared" ref="E316:E322" si="46">$E$315</f>
        <v>300</v>
      </c>
      <c r="F316" s="431">
        <f t="shared" ref="F316:F322" si="47">CEILING($F$305/$E$315,1)</f>
        <v>4</v>
      </c>
      <c r="G316" s="442">
        <f>FLOOR($G$305/$E$315,1)</f>
        <v>8</v>
      </c>
      <c r="H316" s="485">
        <v>0</v>
      </c>
      <c r="I316" s="435">
        <f t="shared" ref="I316:I322" si="48">$I$307*H316</f>
        <v>0</v>
      </c>
      <c r="J316" s="442">
        <f t="shared" ref="J316:J322" si="49">IF($C$315&gt;=$J$307,1,0)</f>
        <v>1</v>
      </c>
      <c r="K316" s="431">
        <f t="shared" ref="K316:K322" si="50">IF(C316&lt;=$K$307-I316,1,0)</f>
        <v>1</v>
      </c>
      <c r="L316" s="431">
        <f t="shared" ref="L316:L322" si="51">IF(E316&gt;=$L$307,1,0)</f>
        <v>1</v>
      </c>
      <c r="M316" s="442">
        <f t="shared" ref="M316:M322" si="52">IF(E316&lt;=$M$307,1,0)</f>
        <v>1</v>
      </c>
      <c r="N316" s="442">
        <f>$D$300</f>
        <v>1</v>
      </c>
      <c r="O316" s="431">
        <f t="shared" ref="O316:O322" si="53">IF(B316&gt;=D316,1,0)</f>
        <v>0</v>
      </c>
      <c r="P316" s="442">
        <f>$P$307</f>
        <v>0</v>
      </c>
      <c r="Q316" s="431">
        <f>$Q$307</f>
        <v>1</v>
      </c>
      <c r="R316" s="12">
        <f t="shared" ref="R316:R322" si="54">$R$307</f>
        <v>1</v>
      </c>
      <c r="S316" s="442">
        <f t="shared" ref="S316:S322" si="55">IF(SUM(J316:R316)=$S$307,1,0)</f>
        <v>0</v>
      </c>
      <c r="T316" s="442">
        <f t="shared" ref="T316:T322" si="56">S316*B316*F316</f>
        <v>0</v>
      </c>
      <c r="U316" s="442">
        <f t="shared" ref="U316:U322" si="57">S316*B316*G316</f>
        <v>0</v>
      </c>
    </row>
    <row r="317" spans="1:21" x14ac:dyDescent="0.25">
      <c r="A317" s="494" t="str">
        <f t="shared" si="45"/>
        <v xml:space="preserve"> </v>
      </c>
      <c r="B317" s="2">
        <v>2</v>
      </c>
      <c r="C317" s="12">
        <f t="shared" ref="C317:C322" si="58">B317*$C$315</f>
        <v>500</v>
      </c>
      <c r="D317" s="25">
        <f t="shared" ref="D317:D322" si="59">CEILING($D$305/$C$315,1)</f>
        <v>2</v>
      </c>
      <c r="E317" s="25">
        <f t="shared" si="46"/>
        <v>300</v>
      </c>
      <c r="F317" s="26">
        <f t="shared" si="47"/>
        <v>4</v>
      </c>
      <c r="G317" s="12">
        <f t="shared" ref="G317:G322" si="60">FLOOR($G$305/$E$315,1)</f>
        <v>8</v>
      </c>
      <c r="H317" s="246">
        <v>1</v>
      </c>
      <c r="I317" s="25">
        <f t="shared" si="48"/>
        <v>55</v>
      </c>
      <c r="J317" s="12">
        <f t="shared" si="49"/>
        <v>1</v>
      </c>
      <c r="K317" s="26">
        <f t="shared" si="50"/>
        <v>1</v>
      </c>
      <c r="L317" s="26">
        <f t="shared" si="51"/>
        <v>1</v>
      </c>
      <c r="M317" s="12">
        <f t="shared" si="52"/>
        <v>1</v>
      </c>
      <c r="N317" s="12">
        <f t="shared" ref="N317:N322" si="61">$D$300</f>
        <v>1</v>
      </c>
      <c r="O317" s="26">
        <f t="shared" si="53"/>
        <v>1</v>
      </c>
      <c r="P317" s="12">
        <f>$P$307</f>
        <v>0</v>
      </c>
      <c r="Q317" s="26">
        <f>$Q$307</f>
        <v>1</v>
      </c>
      <c r="R317" s="12">
        <f t="shared" si="54"/>
        <v>1</v>
      </c>
      <c r="S317" s="12">
        <f t="shared" si="55"/>
        <v>0</v>
      </c>
      <c r="T317" s="12">
        <f t="shared" si="56"/>
        <v>0</v>
      </c>
      <c r="U317" s="12">
        <f t="shared" si="57"/>
        <v>0</v>
      </c>
    </row>
    <row r="318" spans="1:21" x14ac:dyDescent="0.25">
      <c r="A318" s="494" t="str">
        <f t="shared" si="45"/>
        <v xml:space="preserve"> </v>
      </c>
      <c r="B318" s="2">
        <v>3</v>
      </c>
      <c r="C318" s="12">
        <f t="shared" si="58"/>
        <v>750</v>
      </c>
      <c r="D318" s="25">
        <f t="shared" si="59"/>
        <v>2</v>
      </c>
      <c r="E318" s="25">
        <f t="shared" si="46"/>
        <v>300</v>
      </c>
      <c r="F318" s="26">
        <f t="shared" si="47"/>
        <v>4</v>
      </c>
      <c r="G318" s="12">
        <f t="shared" si="60"/>
        <v>8</v>
      </c>
      <c r="H318" s="246">
        <v>2</v>
      </c>
      <c r="I318" s="25">
        <f t="shared" si="48"/>
        <v>110</v>
      </c>
      <c r="J318" s="12">
        <f t="shared" si="49"/>
        <v>1</v>
      </c>
      <c r="K318" s="26">
        <f t="shared" si="50"/>
        <v>1</v>
      </c>
      <c r="L318" s="26">
        <f t="shared" si="51"/>
        <v>1</v>
      </c>
      <c r="M318" s="12">
        <f t="shared" si="52"/>
        <v>1</v>
      </c>
      <c r="N318" s="12">
        <f t="shared" si="61"/>
        <v>1</v>
      </c>
      <c r="O318" s="26">
        <f t="shared" si="53"/>
        <v>1</v>
      </c>
      <c r="P318" s="12">
        <f t="shared" ref="P318:P322" si="62">$P$307</f>
        <v>0</v>
      </c>
      <c r="Q318" s="26">
        <f t="shared" ref="Q318:Q322" si="63">$Q$307</f>
        <v>1</v>
      </c>
      <c r="R318" s="12">
        <f t="shared" si="54"/>
        <v>1</v>
      </c>
      <c r="S318" s="12">
        <f t="shared" si="55"/>
        <v>0</v>
      </c>
      <c r="T318" s="12">
        <f t="shared" si="56"/>
        <v>0</v>
      </c>
      <c r="U318" s="12">
        <f t="shared" si="57"/>
        <v>0</v>
      </c>
    </row>
    <row r="319" spans="1:21" x14ac:dyDescent="0.25">
      <c r="A319" s="494" t="str">
        <f t="shared" si="45"/>
        <v xml:space="preserve"> </v>
      </c>
      <c r="B319" s="2">
        <v>4</v>
      </c>
      <c r="C319" s="12">
        <f t="shared" si="58"/>
        <v>1000</v>
      </c>
      <c r="D319" s="25">
        <f t="shared" si="59"/>
        <v>2</v>
      </c>
      <c r="E319" s="25">
        <f t="shared" si="46"/>
        <v>300</v>
      </c>
      <c r="F319" s="26">
        <f t="shared" si="47"/>
        <v>4</v>
      </c>
      <c r="G319" s="12">
        <f t="shared" si="60"/>
        <v>8</v>
      </c>
      <c r="H319" s="246">
        <v>3</v>
      </c>
      <c r="I319" s="25">
        <f t="shared" si="48"/>
        <v>165</v>
      </c>
      <c r="J319" s="12">
        <f t="shared" si="49"/>
        <v>1</v>
      </c>
      <c r="K319" s="26">
        <f t="shared" si="50"/>
        <v>1</v>
      </c>
      <c r="L319" s="26">
        <f t="shared" si="51"/>
        <v>1</v>
      </c>
      <c r="M319" s="12">
        <f t="shared" si="52"/>
        <v>1</v>
      </c>
      <c r="N319" s="12">
        <f t="shared" si="61"/>
        <v>1</v>
      </c>
      <c r="O319" s="26">
        <f t="shared" si="53"/>
        <v>1</v>
      </c>
      <c r="P319" s="12">
        <f t="shared" si="62"/>
        <v>0</v>
      </c>
      <c r="Q319" s="26">
        <f t="shared" si="63"/>
        <v>1</v>
      </c>
      <c r="R319" s="12">
        <f t="shared" si="54"/>
        <v>1</v>
      </c>
      <c r="S319" s="12">
        <f t="shared" si="55"/>
        <v>0</v>
      </c>
      <c r="T319" s="12">
        <f t="shared" si="56"/>
        <v>0</v>
      </c>
      <c r="U319" s="12">
        <f t="shared" si="57"/>
        <v>0</v>
      </c>
    </row>
    <row r="320" spans="1:21" x14ac:dyDescent="0.25">
      <c r="A320" s="494" t="str">
        <f t="shared" si="45"/>
        <v xml:space="preserve"> </v>
      </c>
      <c r="B320" s="2">
        <v>5</v>
      </c>
      <c r="C320" s="12">
        <f t="shared" si="58"/>
        <v>1250</v>
      </c>
      <c r="D320" s="25">
        <f t="shared" si="59"/>
        <v>2</v>
      </c>
      <c r="E320" s="25">
        <f t="shared" si="46"/>
        <v>300</v>
      </c>
      <c r="F320" s="26">
        <f t="shared" si="47"/>
        <v>4</v>
      </c>
      <c r="G320" s="12">
        <f t="shared" si="60"/>
        <v>8</v>
      </c>
      <c r="H320" s="246">
        <v>4</v>
      </c>
      <c r="I320" s="25">
        <f t="shared" si="48"/>
        <v>220</v>
      </c>
      <c r="J320" s="12">
        <f t="shared" si="49"/>
        <v>1</v>
      </c>
      <c r="K320" s="26">
        <f t="shared" si="50"/>
        <v>0</v>
      </c>
      <c r="L320" s="26">
        <f t="shared" si="51"/>
        <v>1</v>
      </c>
      <c r="M320" s="12">
        <f t="shared" si="52"/>
        <v>1</v>
      </c>
      <c r="N320" s="12">
        <f t="shared" si="61"/>
        <v>1</v>
      </c>
      <c r="O320" s="26">
        <f t="shared" si="53"/>
        <v>1</v>
      </c>
      <c r="P320" s="12">
        <f t="shared" si="62"/>
        <v>0</v>
      </c>
      <c r="Q320" s="26">
        <f t="shared" si="63"/>
        <v>1</v>
      </c>
      <c r="R320" s="12">
        <f t="shared" si="54"/>
        <v>1</v>
      </c>
      <c r="S320" s="12">
        <f t="shared" si="55"/>
        <v>0</v>
      </c>
      <c r="T320" s="12">
        <f t="shared" si="56"/>
        <v>0</v>
      </c>
      <c r="U320" s="12">
        <f t="shared" si="57"/>
        <v>0</v>
      </c>
    </row>
    <row r="321" spans="1:25" x14ac:dyDescent="0.25">
      <c r="A321" s="494" t="str">
        <f t="shared" si="45"/>
        <v xml:space="preserve"> </v>
      </c>
      <c r="B321" s="2">
        <v>6</v>
      </c>
      <c r="C321" s="12">
        <f t="shared" si="58"/>
        <v>1500</v>
      </c>
      <c r="D321" s="25">
        <f t="shared" si="59"/>
        <v>2</v>
      </c>
      <c r="E321" s="25">
        <f t="shared" si="46"/>
        <v>300</v>
      </c>
      <c r="F321" s="26">
        <f t="shared" si="47"/>
        <v>4</v>
      </c>
      <c r="G321" s="12">
        <f t="shared" si="60"/>
        <v>8</v>
      </c>
      <c r="H321" s="246">
        <v>5</v>
      </c>
      <c r="I321" s="25">
        <f t="shared" si="48"/>
        <v>275</v>
      </c>
      <c r="J321" s="12">
        <f t="shared" si="49"/>
        <v>1</v>
      </c>
      <c r="K321" s="26">
        <f t="shared" si="50"/>
        <v>0</v>
      </c>
      <c r="L321" s="26">
        <f t="shared" si="51"/>
        <v>1</v>
      </c>
      <c r="M321" s="12">
        <f t="shared" si="52"/>
        <v>1</v>
      </c>
      <c r="N321" s="12">
        <f t="shared" si="61"/>
        <v>1</v>
      </c>
      <c r="O321" s="26">
        <f t="shared" si="53"/>
        <v>1</v>
      </c>
      <c r="P321" s="12">
        <f t="shared" si="62"/>
        <v>0</v>
      </c>
      <c r="Q321" s="26">
        <f t="shared" si="63"/>
        <v>1</v>
      </c>
      <c r="R321" s="12">
        <f t="shared" si="54"/>
        <v>1</v>
      </c>
      <c r="S321" s="12">
        <f t="shared" si="55"/>
        <v>0</v>
      </c>
      <c r="T321" s="12">
        <f t="shared" si="56"/>
        <v>0</v>
      </c>
      <c r="U321" s="12">
        <f t="shared" si="57"/>
        <v>0</v>
      </c>
    </row>
    <row r="322" spans="1:25" x14ac:dyDescent="0.25">
      <c r="A322" s="495" t="str">
        <f t="shared" si="45"/>
        <v xml:space="preserve"> </v>
      </c>
      <c r="B322" s="343">
        <v>7</v>
      </c>
      <c r="C322" s="13">
        <f t="shared" si="58"/>
        <v>1750</v>
      </c>
      <c r="D322" s="436">
        <f t="shared" si="59"/>
        <v>2</v>
      </c>
      <c r="E322" s="436">
        <f t="shared" si="46"/>
        <v>300</v>
      </c>
      <c r="F322" s="18">
        <f t="shared" si="47"/>
        <v>4</v>
      </c>
      <c r="G322" s="13">
        <f t="shared" si="60"/>
        <v>8</v>
      </c>
      <c r="H322" s="247">
        <v>6</v>
      </c>
      <c r="I322" s="436">
        <f t="shared" si="48"/>
        <v>330</v>
      </c>
      <c r="J322" s="13">
        <f t="shared" si="49"/>
        <v>1</v>
      </c>
      <c r="K322" s="18">
        <f t="shared" si="50"/>
        <v>0</v>
      </c>
      <c r="L322" s="18">
        <f t="shared" si="51"/>
        <v>1</v>
      </c>
      <c r="M322" s="13">
        <f t="shared" si="52"/>
        <v>1</v>
      </c>
      <c r="N322" s="13">
        <f t="shared" si="61"/>
        <v>1</v>
      </c>
      <c r="O322" s="18">
        <f t="shared" si="53"/>
        <v>1</v>
      </c>
      <c r="P322" s="13">
        <f t="shared" si="62"/>
        <v>0</v>
      </c>
      <c r="Q322" s="18">
        <f t="shared" si="63"/>
        <v>1</v>
      </c>
      <c r="R322" s="13">
        <f t="shared" si="54"/>
        <v>1</v>
      </c>
      <c r="S322" s="13">
        <f t="shared" si="55"/>
        <v>0</v>
      </c>
      <c r="T322" s="13">
        <f t="shared" si="56"/>
        <v>0</v>
      </c>
      <c r="U322" s="13">
        <f t="shared" si="57"/>
        <v>0</v>
      </c>
    </row>
    <row r="323" spans="1:2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2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5" x14ac:dyDescent="0.25">
      <c r="A325" s="2"/>
      <c r="B325" s="2"/>
      <c r="C325" s="2"/>
      <c r="D325" s="486">
        <v>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5" x14ac:dyDescent="0.25">
      <c r="A326" s="213"/>
      <c r="B326" s="473" t="s">
        <v>108</v>
      </c>
      <c r="C326" s="23" t="s">
        <v>1</v>
      </c>
      <c r="D326" s="44" t="s">
        <v>715</v>
      </c>
    </row>
    <row r="327" spans="1:25" x14ac:dyDescent="0.25">
      <c r="A327" s="415" t="s">
        <v>551</v>
      </c>
      <c r="B327" s="13">
        <f>IF(SUM(A308:A322)&gt;0,1,0)</f>
        <v>0</v>
      </c>
      <c r="C327" s="343">
        <f>'Prijs karton (3)'!AH16</f>
        <v>1</v>
      </c>
      <c r="D327" s="13">
        <f>IF(SUM(B327:C327)=D325,1,0)</f>
        <v>0</v>
      </c>
    </row>
    <row r="328" spans="1:25" x14ac:dyDescent="0.25">
      <c r="B328" s="2"/>
    </row>
    <row r="330" spans="1:25" x14ac:dyDescent="0.25">
      <c r="A330" s="3" t="s">
        <v>195</v>
      </c>
      <c r="B330" s="218" t="s">
        <v>550</v>
      </c>
      <c r="C330" s="218" t="s">
        <v>550</v>
      </c>
      <c r="D330" s="404" t="s">
        <v>196</v>
      </c>
    </row>
    <row r="331" spans="1:25" x14ac:dyDescent="0.25">
      <c r="A331" s="18">
        <f>MIN(A308:A322)</f>
        <v>0</v>
      </c>
      <c r="B331" s="13">
        <f>IF(SUM(A308:A322)&gt;0,VLOOKUP(A331,A308:U322,20,FALSE),0)</f>
        <v>0</v>
      </c>
      <c r="C331" s="20">
        <f>IF(SUM(A308:A322)&gt;0,VLOOKUP(A331,A308:U322,21,FALSE),0)</f>
        <v>0</v>
      </c>
      <c r="D331" s="13">
        <f>IF(SUM(A308:A322)&gt;0,VLOOKUP(A331,A308:G322,6,FALSE),0)</f>
        <v>0</v>
      </c>
    </row>
    <row r="332" spans="1:25" x14ac:dyDescent="0.25">
      <c r="A332" s="26" t="s">
        <v>165</v>
      </c>
      <c r="B332" s="218" t="s">
        <v>550</v>
      </c>
      <c r="C332" s="218" t="s">
        <v>550</v>
      </c>
      <c r="D332" s="41" t="s">
        <v>197</v>
      </c>
    </row>
    <row r="333" spans="1:25" x14ac:dyDescent="0.25">
      <c r="A333" s="18">
        <f>MAX(A308:A322)</f>
        <v>0</v>
      </c>
      <c r="B333" s="13">
        <f>IF(SUM(A308:A322)&gt;0,VLOOKUP(A333,A308:U322,20,FALSE),0)</f>
        <v>0</v>
      </c>
      <c r="C333" s="20">
        <f>IF(SUM(A308:A322)&gt;0,VLOOKUP(A333,A308:U322,21,FALSE),0)</f>
        <v>0</v>
      </c>
      <c r="D333" s="13">
        <f>IF(SUM(A308:A322)&gt;0,VLOOKUP(A331,A308:G322,7,FALSE),0)</f>
        <v>0</v>
      </c>
    </row>
    <row r="335" spans="1:25" s="320" customFormat="1" x14ac:dyDescent="0.25">
      <c r="B335" s="441"/>
      <c r="Y335" s="343"/>
    </row>
    <row r="337" spans="2:25" x14ac:dyDescent="0.25">
      <c r="B337" s="215" t="s">
        <v>553</v>
      </c>
    </row>
    <row r="338" spans="2:25" ht="15.75" thickBot="1" x14ac:dyDescent="0.3"/>
    <row r="339" spans="2:25" x14ac:dyDescent="0.25">
      <c r="B339" s="505"/>
      <c r="C339" s="476"/>
      <c r="D339" s="433"/>
      <c r="E339" s="1312" t="s">
        <v>558</v>
      </c>
      <c r="F339" s="1303"/>
      <c r="G339" s="1312" t="s">
        <v>9</v>
      </c>
      <c r="H339" s="1303"/>
      <c r="I339" s="442" t="s">
        <v>565</v>
      </c>
      <c r="J339" s="442" t="s">
        <v>81</v>
      </c>
      <c r="K339" s="431" t="s">
        <v>563</v>
      </c>
      <c r="L339" s="444" t="s">
        <v>535</v>
      </c>
    </row>
    <row r="340" spans="2:25" x14ac:dyDescent="0.25">
      <c r="B340" s="506"/>
      <c r="C340" s="26" t="s">
        <v>18</v>
      </c>
      <c r="D340" s="25" t="s">
        <v>9</v>
      </c>
      <c r="E340" s="442" t="s">
        <v>559</v>
      </c>
      <c r="F340" s="442" t="s">
        <v>560</v>
      </c>
      <c r="G340" s="442" t="s">
        <v>559</v>
      </c>
      <c r="H340" s="442" t="s">
        <v>151</v>
      </c>
      <c r="I340" s="280" t="s">
        <v>12</v>
      </c>
      <c r="J340" s="41"/>
      <c r="K340" s="26" t="s">
        <v>564</v>
      </c>
      <c r="L340" s="224"/>
    </row>
    <row r="341" spans="2:25" x14ac:dyDescent="0.25">
      <c r="B341" s="483"/>
      <c r="C341" s="213"/>
      <c r="D341" s="44"/>
      <c r="E341" s="473">
        <f>H388</f>
        <v>250</v>
      </c>
      <c r="F341" s="473">
        <f>I388</f>
        <v>2450</v>
      </c>
      <c r="G341" s="473">
        <f>J388</f>
        <v>500</v>
      </c>
      <c r="H341" s="473">
        <f>K388</f>
        <v>6000</v>
      </c>
      <c r="I341" s="52"/>
      <c r="J341" s="52"/>
      <c r="K341" s="8"/>
      <c r="L341" s="223">
        <v>7</v>
      </c>
    </row>
    <row r="342" spans="2:25" ht="15.75" thickBot="1" x14ac:dyDescent="0.3">
      <c r="B342" s="220" t="s">
        <v>67</v>
      </c>
      <c r="C342" s="208">
        <f>C6</f>
        <v>300</v>
      </c>
      <c r="D342" s="38">
        <f>C7</f>
        <v>250</v>
      </c>
      <c r="E342" s="473">
        <f>IF(C342&gt;=E341,1,0)</f>
        <v>1</v>
      </c>
      <c r="F342" s="473">
        <f>IF(C342&lt;=F341,1,0)</f>
        <v>1</v>
      </c>
      <c r="G342" s="473">
        <f>IF(D342&gt;=G341,1,0)</f>
        <v>0</v>
      </c>
      <c r="H342" s="473">
        <f>IF(D342&lt;=H341,1,0)</f>
        <v>1</v>
      </c>
      <c r="I342" s="473">
        <f>IF(I340=C2,1,0)</f>
        <v>0</v>
      </c>
      <c r="J342" s="473">
        <f>IF(C111=0,1,0)</f>
        <v>1</v>
      </c>
      <c r="K342" s="208">
        <f>IF(C131=0,1,0)</f>
        <v>1</v>
      </c>
      <c r="L342" s="500">
        <f>IF(SUM(E342:K342)=L341,1,0)</f>
        <v>0</v>
      </c>
    </row>
    <row r="344" spans="2:25" s="320" customFormat="1" x14ac:dyDescent="0.25">
      <c r="B344" s="441"/>
      <c r="Y344" s="343"/>
    </row>
    <row r="346" spans="2:25" ht="15.75" thickBot="1" x14ac:dyDescent="0.3">
      <c r="B346" s="215" t="s">
        <v>552</v>
      </c>
      <c r="P346" t="s">
        <v>1323</v>
      </c>
      <c r="T346" t="s">
        <v>1300</v>
      </c>
    </row>
    <row r="347" spans="2:25" ht="15.75" thickBot="1" x14ac:dyDescent="0.3">
      <c r="B347" s="518" t="s">
        <v>596</v>
      </c>
      <c r="C347" s="519">
        <f>IF(AND(SUM(C348:I348)=0,J358&gt;0,C358=J358),1,IF(SUM(C348:I348)&gt;0,C348,0))</f>
        <v>0</v>
      </c>
      <c r="D347" s="519">
        <f>IF(AND(SUM(C348:I348)=0,J358&gt;0,D358=J358),1,IF(SUM(C348:I348)&gt;0,D348,0))</f>
        <v>0</v>
      </c>
      <c r="E347" s="519">
        <f>IF(AND(SUM(C348:I348)=0,J358&gt;0,E358=J358),1,IF(SUM(C348:I348)&gt;0,E348,0))</f>
        <v>0</v>
      </c>
      <c r="F347" s="519">
        <f>IF(AND(SUM(C348:I348)=0,J358&gt;0,F358=J358),1,IF(SUM(C348:I348)&gt;0,F348,0))</f>
        <v>1</v>
      </c>
      <c r="G347" s="519">
        <f>IF(AND(SUM(C348:I348)=0,J358&gt;0,G358=J358),1,IF(SUM(C348:I348)&gt;0,G348,0))</f>
        <v>0</v>
      </c>
      <c r="H347" s="519">
        <f>IF(AND(SUM(C348:I348)=0,J358&gt;0,H358=J358),1,IF(SUM(C348:I348)&gt;0,H348,0))</f>
        <v>0</v>
      </c>
      <c r="I347" s="467">
        <f>IF(AND(SUM(C348:I348)=0,J358&gt;0,I358=J358),1,IF(SUM(C348:I348)&gt;0,I348,0))</f>
        <v>0</v>
      </c>
      <c r="L347" s="950"/>
      <c r="M347" s="951" t="s">
        <v>63</v>
      </c>
      <c r="N347" s="951" t="s">
        <v>64</v>
      </c>
      <c r="P347" s="952">
        <v>800</v>
      </c>
      <c r="Q347" s="951" t="s">
        <v>63</v>
      </c>
      <c r="R347" s="951" t="s">
        <v>64</v>
      </c>
      <c r="T347" t="s">
        <v>1301</v>
      </c>
      <c r="U347" s="442">
        <f>IF(C111&gt;0,1,0)</f>
        <v>0</v>
      </c>
    </row>
    <row r="348" spans="2:25" ht="15.75" thickBot="1" x14ac:dyDescent="0.3">
      <c r="B348" s="543" t="s">
        <v>595</v>
      </c>
      <c r="C348" s="544">
        <f>IF(AND(SUM(C358:I358)=J358,C358=J358),1,IF(AND(SUM(C358:I358)&gt;J358,C358=J358,C349=1),1,0))</f>
        <v>0</v>
      </c>
      <c r="D348" s="519">
        <f>IF(SUM(E348:F348)&gt;0,0,IF(AND(SUM(C358:I358)=J358,D358=J358),1,IF(AND(SUM(C358:I358)&gt;J358,D358=J358,D349=1),1,0)))</f>
        <v>0</v>
      </c>
      <c r="E348" s="530">
        <f>IF(AND(SUM(C358:I358)=J358,E358=J358),1,IF(AND(SUM(C358:I358)&gt;J358,E358=J358,E349=1),1,0))</f>
        <v>0</v>
      </c>
      <c r="F348" s="519">
        <f>IF(AND(SUM(C358:I358)=J358,F358=J358),1,IF(AND(SUM(C358:I358)&gt;J358,F358=J358,F349=1),1,0))</f>
        <v>1</v>
      </c>
      <c r="G348" s="530">
        <f>IF(AND(SUM(C358:I358)=J358,G358=J358),1,IF(AND(SUM(C358:I358)&gt;J358,G358=J358,G349=1),1,0))</f>
        <v>0</v>
      </c>
      <c r="H348" s="519">
        <f>IF(AND(SUM(C358:I358)=J358,H358=J358),1,IF(AND(SUM(C358:I358)&gt;J358,H358=J358,H349=1),1,0))</f>
        <v>0</v>
      </c>
      <c r="I348" s="531">
        <f>IF(AND(SUM(C358:I358)=J358,I358=J358),1,IF(AND(SUM(C358:I358)&gt;J358,I358=J358,I349=1),1,0))</f>
        <v>0</v>
      </c>
      <c r="L348" s="415" t="s">
        <v>979</v>
      </c>
      <c r="M348" s="13">
        <f>IF(C359+D359+G359+I359=0,1,0)</f>
        <v>0</v>
      </c>
      <c r="N348" s="13">
        <f>IF(C359+D359+G359+H359+I359=0,1,0)</f>
        <v>0</v>
      </c>
      <c r="P348" s="415" t="s">
        <v>987</v>
      </c>
      <c r="Q348" s="951">
        <f>V228</f>
        <v>1</v>
      </c>
      <c r="R348" s="951">
        <f>V239</f>
        <v>1</v>
      </c>
      <c r="T348" t="s">
        <v>1299</v>
      </c>
      <c r="U348" s="951">
        <f>IF(AND(SUM(C358:D358)&gt;0,SUM(E358:I358)=0),1,0)</f>
        <v>0</v>
      </c>
    </row>
    <row r="349" spans="2:25" ht="15.75" thickBot="1" x14ac:dyDescent="0.3">
      <c r="B349" s="518" t="s">
        <v>593</v>
      </c>
      <c r="C349" s="540">
        <f>IF(AND(C351=1,D351=1,C358&lt;=D358),1,IF(AND(C351=1,H351=1),0,0))</f>
        <v>1</v>
      </c>
      <c r="D349" s="531">
        <f>IF(AND(C351=1,D351=1,D358&lt;C358),1,0)</f>
        <v>0</v>
      </c>
      <c r="E349" s="540">
        <f>IF(AND(E351=1,F351=1,E358&lt;F358),1,IF(AND(E351=1,F351=0,E358&lt;F358),1,0))</f>
        <v>0</v>
      </c>
      <c r="F349" s="531">
        <f>IF(AND(E351=1,F351=1),1,IF(AND(E351=0,F351=1),1,0))</f>
        <v>1</v>
      </c>
      <c r="G349" s="541">
        <v>0</v>
      </c>
      <c r="H349" s="540">
        <f>IF(AND(H351=1,C351=1),1,0)</f>
        <v>0</v>
      </c>
      <c r="I349" s="542">
        <v>0</v>
      </c>
      <c r="L349" s="950" t="s">
        <v>163</v>
      </c>
      <c r="M349" s="952">
        <v>1</v>
      </c>
      <c r="N349" s="953">
        <v>1</v>
      </c>
      <c r="P349" s="950" t="s">
        <v>1320</v>
      </c>
      <c r="Q349" s="951">
        <f>IF(AND(Q348=1,C111&lt;=1),1,IF(AND(Q348=1,R348=0,C111=2),1,0))</f>
        <v>1</v>
      </c>
      <c r="R349" s="953">
        <v>1</v>
      </c>
      <c r="T349" t="s">
        <v>1305</v>
      </c>
      <c r="U349" s="951">
        <f>IF(AND(SUM(C351:C357)&gt;0,SUM(D351:D357)&gt;0),1,0)</f>
        <v>1</v>
      </c>
    </row>
    <row r="350" spans="2:25" x14ac:dyDescent="0.25">
      <c r="B350" s="483"/>
      <c r="C350" s="521" t="s">
        <v>66</v>
      </c>
      <c r="D350" s="522" t="s">
        <v>65</v>
      </c>
      <c r="E350" s="521" t="s">
        <v>63</v>
      </c>
      <c r="F350" s="522" t="s">
        <v>64</v>
      </c>
      <c r="G350" s="446" t="s">
        <v>554</v>
      </c>
      <c r="H350" s="532" t="s">
        <v>54</v>
      </c>
      <c r="I350" s="533" t="s">
        <v>67</v>
      </c>
      <c r="P350" s="959" t="s">
        <v>1321</v>
      </c>
      <c r="Q350" s="951">
        <f>IF(AND(SUM(Q348:R348)=1,Q348=1),1,IF(AND(SUM(Q348:R348)=2,Q348=1,$C$3&lt;P347),1,0))</f>
        <v>0</v>
      </c>
      <c r="R350" s="951">
        <f>IF(AND(SUM(Q348:R348)=1,R348=1),1,IF(AND(SUM(Q348:R348)=2,Q348=1,$C$3&gt;=P347),1,0))</f>
        <v>1</v>
      </c>
      <c r="T350" t="s">
        <v>1304</v>
      </c>
      <c r="U350" s="951">
        <f>IF(X356=1,1,IF(AND(W355&gt;0,W356&gt;0,W355*W356&gt;=2,W356&gt;=2),1,0))</f>
        <v>1</v>
      </c>
      <c r="V350" s="2"/>
      <c r="W350" s="2">
        <f>IF(X356=1,1,IF(AND(W355&gt;0,W356&gt;0,W355*W356&gt;2),1,0))</f>
        <v>1</v>
      </c>
    </row>
    <row r="351" spans="2:25" ht="15.75" thickBot="1" x14ac:dyDescent="0.3">
      <c r="B351" s="483" t="s">
        <v>557</v>
      </c>
      <c r="C351" s="521">
        <f>IF(I351=1,0,R180*Q78)</f>
        <v>1</v>
      </c>
      <c r="D351" s="522">
        <f>IF(I351=1,0,P204*Q78)</f>
        <v>1</v>
      </c>
      <c r="E351" s="521">
        <f>IF(I351=1,0,Q351*Q78)</f>
        <v>0</v>
      </c>
      <c r="F351" s="522">
        <f>IF(I351=1,0,R351*Q78)</f>
        <v>1</v>
      </c>
      <c r="G351" s="446">
        <f>IF(I351=1,0,F293*Q78)</f>
        <v>0</v>
      </c>
      <c r="H351" s="532">
        <f>IF(I351=1,0,D327*Q78)</f>
        <v>0</v>
      </c>
      <c r="I351" s="533">
        <f>L342*Q78</f>
        <v>0</v>
      </c>
      <c r="P351" s="950" t="s">
        <v>988</v>
      </c>
      <c r="Q351" s="951">
        <f>IF(AND(SUM(Q348:R348)&lt;2,Q348=1),1,IF(AND(SUM(Q348:R348)=2,SUM(R349:R350)&lt;SUM(Q349:Q350)),1,0))</f>
        <v>0</v>
      </c>
      <c r="R351" s="951">
        <f>IF(AND(SUM(Q348:R348)&lt;2,R348=1),1,IF(AND(SUM(Q348:R348)=2,SUM(R349:R350)&gt;=SUM(Q349:Q350)),1,0))</f>
        <v>1</v>
      </c>
      <c r="T351" t="s">
        <v>1306</v>
      </c>
      <c r="U351" s="442">
        <f>IF(C3&gt;=(V361),1,0)</f>
        <v>1</v>
      </c>
    </row>
    <row r="352" spans="2:25" ht="15.75" thickBot="1" x14ac:dyDescent="0.3">
      <c r="B352" s="220" t="s">
        <v>574</v>
      </c>
      <c r="C352" s="520">
        <f>IF(C351=1,O180,0)</f>
        <v>0</v>
      </c>
      <c r="D352" s="523">
        <v>0</v>
      </c>
      <c r="E352" s="520">
        <f>IF(AND(E351=1,C111&gt;=2),1,0)</f>
        <v>0</v>
      </c>
      <c r="F352" s="523">
        <v>0</v>
      </c>
      <c r="G352" s="499">
        <f>IF(AND(G351=1,C111&gt;0),1,0)</f>
        <v>0</v>
      </c>
      <c r="H352" s="534">
        <v>0</v>
      </c>
      <c r="I352" s="535">
        <v>0</v>
      </c>
      <c r="T352" t="s">
        <v>1312</v>
      </c>
      <c r="U352" s="281">
        <f>IF(SUM(U347:U351)=V352,1,0)</f>
        <v>0</v>
      </c>
      <c r="V352" s="953">
        <v>5</v>
      </c>
    </row>
    <row r="353" spans="1:24" x14ac:dyDescent="0.25">
      <c r="B353" s="220" t="s">
        <v>581</v>
      </c>
      <c r="C353" s="524">
        <v>0</v>
      </c>
      <c r="D353" s="523">
        <v>0</v>
      </c>
      <c r="E353" s="520">
        <f>IF(AND(E351=1,E218=0),1,IF(AND(E351=1,T222=1),1,0))</f>
        <v>0</v>
      </c>
      <c r="F353" s="523">
        <v>0</v>
      </c>
      <c r="G353" s="223">
        <v>0</v>
      </c>
      <c r="H353" s="534">
        <v>0</v>
      </c>
      <c r="I353" s="535">
        <v>0</v>
      </c>
      <c r="Q353" s="2"/>
    </row>
    <row r="354" spans="1:24" x14ac:dyDescent="0.25">
      <c r="B354" s="220" t="s">
        <v>572</v>
      </c>
      <c r="C354" s="520">
        <f>IF(C351=1,AA46,0)</f>
        <v>1</v>
      </c>
      <c r="D354" s="448">
        <f>IF(D351=1,AA46,0)</f>
        <v>1</v>
      </c>
      <c r="E354" s="524">
        <v>0</v>
      </c>
      <c r="F354" s="523">
        <v>0</v>
      </c>
      <c r="G354" s="223">
        <v>0</v>
      </c>
      <c r="H354" s="534">
        <v>0</v>
      </c>
      <c r="I354" s="535">
        <v>0</v>
      </c>
      <c r="T354" t="s">
        <v>1331</v>
      </c>
    </row>
    <row r="355" spans="1:24" x14ac:dyDescent="0.25">
      <c r="B355" s="506" t="s">
        <v>569</v>
      </c>
      <c r="C355" s="525">
        <f>IF(AND(C351=1,C356=1),0,IF(C351=1,C145,0))</f>
        <v>0</v>
      </c>
      <c r="D355" s="526">
        <f>IF(AND(D351=1,D356=1),0,IF(D351=1,C145,0))</f>
        <v>0</v>
      </c>
      <c r="E355" s="527">
        <v>0</v>
      </c>
      <c r="F355" s="528">
        <v>0</v>
      </c>
      <c r="G355" s="538">
        <v>0</v>
      </c>
      <c r="H355" s="536">
        <v>0</v>
      </c>
      <c r="I355" s="537">
        <v>0</v>
      </c>
      <c r="T355" t="s">
        <v>1302</v>
      </c>
      <c r="U355" s="951">
        <f>C108</f>
        <v>361</v>
      </c>
      <c r="V355" s="951">
        <f>H183</f>
        <v>1400</v>
      </c>
      <c r="W355" s="951">
        <f>FLOOR(V355/U355,1)</f>
        <v>3</v>
      </c>
      <c r="X355" s="442" t="s">
        <v>64</v>
      </c>
    </row>
    <row r="356" spans="1:24" x14ac:dyDescent="0.25">
      <c r="B356" s="220" t="s">
        <v>570</v>
      </c>
      <c r="C356" s="520">
        <f>IF(C351=1,D145,0)</f>
        <v>0</v>
      </c>
      <c r="D356" s="448">
        <f>IF(D351=1,D145,0)</f>
        <v>0</v>
      </c>
      <c r="E356" s="524">
        <v>0</v>
      </c>
      <c r="F356" s="523">
        <v>0</v>
      </c>
      <c r="G356" s="223">
        <v>0</v>
      </c>
      <c r="H356" s="534">
        <v>0</v>
      </c>
      <c r="I356" s="535">
        <v>0</v>
      </c>
      <c r="T356" t="s">
        <v>1303</v>
      </c>
      <c r="U356" s="951">
        <f>D108</f>
        <v>1114</v>
      </c>
      <c r="V356" s="13">
        <f>F183</f>
        <v>4000</v>
      </c>
      <c r="W356" s="13">
        <f>FLOOR(V356/U356,1)</f>
        <v>3</v>
      </c>
      <c r="X356" s="951">
        <f>J169</f>
        <v>1</v>
      </c>
    </row>
    <row r="357" spans="1:24" ht="15.75" thickBot="1" x14ac:dyDescent="0.3">
      <c r="B357" s="506" t="s">
        <v>573</v>
      </c>
      <c r="C357" s="527">
        <v>0</v>
      </c>
      <c r="D357" s="528">
        <v>0</v>
      </c>
      <c r="E357" s="527">
        <v>0</v>
      </c>
      <c r="F357" s="528">
        <v>0</v>
      </c>
      <c r="G357" s="539">
        <f>IF(G351=1,1,0)</f>
        <v>0</v>
      </c>
      <c r="H357" s="536">
        <v>0</v>
      </c>
      <c r="I357" s="537">
        <v>0</v>
      </c>
      <c r="J357" s="2" t="s">
        <v>594</v>
      </c>
    </row>
    <row r="358" spans="1:24" ht="15.75" thickBot="1" x14ac:dyDescent="0.3">
      <c r="B358" s="518" t="s">
        <v>591</v>
      </c>
      <c r="C358" s="529">
        <f>IF(SUM(C351:C357)=0," ",SUM(C351:C357))</f>
        <v>2</v>
      </c>
      <c r="D358" s="467">
        <f t="shared" ref="D358:I358" si="64">IF(SUM(D351:D357)=0," ",SUM(D351:D357))</f>
        <v>2</v>
      </c>
      <c r="E358" s="529" t="str">
        <f t="shared" si="64"/>
        <v xml:space="preserve"> </v>
      </c>
      <c r="F358" s="467">
        <f t="shared" si="64"/>
        <v>1</v>
      </c>
      <c r="G358" s="281" t="str">
        <f t="shared" si="64"/>
        <v xml:space="preserve"> </v>
      </c>
      <c r="H358" s="529" t="str">
        <f t="shared" si="64"/>
        <v xml:space="preserve"> </v>
      </c>
      <c r="I358" s="467" t="str">
        <f t="shared" si="64"/>
        <v xml:space="preserve"> </v>
      </c>
      <c r="J358" s="531">
        <f>MIN(C358:I358)+U352</f>
        <v>1</v>
      </c>
      <c r="T358" s="950" t="s">
        <v>1307</v>
      </c>
      <c r="U358" s="1205">
        <f>(U356/1000)*(U355/1000)</f>
        <v>0.40215400000000001</v>
      </c>
      <c r="V358" s="442" t="s">
        <v>1310</v>
      </c>
    </row>
    <row r="359" spans="1:24" x14ac:dyDescent="0.25">
      <c r="B359" s="948" t="s">
        <v>980</v>
      </c>
      <c r="C359" s="949">
        <f>SUM(C351:C357)</f>
        <v>2</v>
      </c>
      <c r="D359" s="949">
        <f t="shared" ref="D359:I359" si="65">SUM(D351:D357)</f>
        <v>2</v>
      </c>
      <c r="E359" s="949">
        <f t="shared" si="65"/>
        <v>0</v>
      </c>
      <c r="F359" s="949">
        <f t="shared" si="65"/>
        <v>1</v>
      </c>
      <c r="G359" s="949">
        <f t="shared" si="65"/>
        <v>0</v>
      </c>
      <c r="H359" s="949">
        <f t="shared" si="65"/>
        <v>0</v>
      </c>
      <c r="I359" s="949">
        <f t="shared" si="65"/>
        <v>0</v>
      </c>
      <c r="T359" s="14" t="s">
        <v>1308</v>
      </c>
      <c r="U359" s="449">
        <f>N388</f>
        <v>200</v>
      </c>
      <c r="V359" s="442">
        <f>CEILING(U359/U358,1)</f>
        <v>498</v>
      </c>
    </row>
    <row r="360" spans="1:24" x14ac:dyDescent="0.25">
      <c r="B360"/>
      <c r="T360" s="6" t="s">
        <v>1309</v>
      </c>
      <c r="U360" s="2">
        <f>M388</f>
        <v>240</v>
      </c>
      <c r="V360" s="12">
        <f>IF(U355&gt;=L387,U360,U360*2)</f>
        <v>480</v>
      </c>
    </row>
    <row r="361" spans="1:24" x14ac:dyDescent="0.25">
      <c r="B361" t="s">
        <v>568</v>
      </c>
      <c r="T361" s="950" t="s">
        <v>1311</v>
      </c>
      <c r="U361" s="1204"/>
      <c r="V361" s="951">
        <f>MAX(V359:V360)</f>
        <v>498</v>
      </c>
    </row>
    <row r="362" spans="1:24" x14ac:dyDescent="0.25">
      <c r="A362" s="404"/>
      <c r="B362" s="213" t="s">
        <v>592</v>
      </c>
      <c r="C362" s="473">
        <f t="shared" ref="C362:I362" si="66">C347</f>
        <v>0</v>
      </c>
      <c r="D362" s="473">
        <f t="shared" si="66"/>
        <v>0</v>
      </c>
      <c r="E362" s="473">
        <f t="shared" si="66"/>
        <v>0</v>
      </c>
      <c r="F362" s="23">
        <f t="shared" si="66"/>
        <v>1</v>
      </c>
      <c r="G362" s="473">
        <f t="shared" si="66"/>
        <v>0</v>
      </c>
      <c r="H362" s="23">
        <f t="shared" si="66"/>
        <v>0</v>
      </c>
      <c r="I362" s="473">
        <f t="shared" si="66"/>
        <v>0</v>
      </c>
      <c r="J362" s="473" t="s">
        <v>597</v>
      </c>
      <c r="K362" s="473">
        <f>IF(J363&gt;0,VLOOKUP(J363,A364:K374,11,FALSE),K375)</f>
        <v>1950</v>
      </c>
    </row>
    <row r="363" spans="1:24" x14ac:dyDescent="0.25">
      <c r="A363" s="52"/>
      <c r="B363" s="213"/>
      <c r="C363" s="473" t="s">
        <v>66</v>
      </c>
      <c r="D363" s="473" t="s">
        <v>65</v>
      </c>
      <c r="E363" s="473" t="s">
        <v>63</v>
      </c>
      <c r="F363" s="23" t="s">
        <v>64</v>
      </c>
      <c r="G363" s="473" t="s">
        <v>554</v>
      </c>
      <c r="H363" s="23" t="s">
        <v>54</v>
      </c>
      <c r="I363" s="473" t="s">
        <v>67</v>
      </c>
      <c r="J363" s="13">
        <f>SUM(J364:J374)</f>
        <v>1</v>
      </c>
      <c r="K363" s="13" t="s">
        <v>79</v>
      </c>
      <c r="M363" s="2"/>
    </row>
    <row r="364" spans="1:24" x14ac:dyDescent="0.25">
      <c r="A364" s="442" t="str">
        <f>IF(J364&gt;0,1," ")</f>
        <v xml:space="preserve"> </v>
      </c>
      <c r="B364" s="6" t="s">
        <v>65</v>
      </c>
      <c r="C364" s="12">
        <f>IF(AND(C352=1,J169=0),1,0)</f>
        <v>0</v>
      </c>
      <c r="D364" s="12">
        <f>D351</f>
        <v>1</v>
      </c>
      <c r="E364" s="28">
        <v>0</v>
      </c>
      <c r="F364" s="22">
        <v>0</v>
      </c>
      <c r="G364" s="28">
        <v>0</v>
      </c>
      <c r="H364" s="22">
        <v>0</v>
      </c>
      <c r="I364" s="28">
        <v>0</v>
      </c>
      <c r="J364" s="442">
        <f>IF(SUM(C362:I362)&gt;0,HLOOKUP(1,$C$362:$I$374,3,FALSE),0)</f>
        <v>0</v>
      </c>
      <c r="K364" s="486">
        <v>1600</v>
      </c>
      <c r="M364" s="2"/>
    </row>
    <row r="365" spans="1:24" x14ac:dyDescent="0.25">
      <c r="A365" s="12" t="str">
        <f>IF(J365&gt;0,SUM(J364:J365)," ")</f>
        <v xml:space="preserve"> </v>
      </c>
      <c r="B365" s="6" t="s">
        <v>66</v>
      </c>
      <c r="C365" s="12">
        <f>C351</f>
        <v>1</v>
      </c>
      <c r="D365" s="28">
        <v>0</v>
      </c>
      <c r="E365" s="12">
        <f>IF(E353=1,1,IF(E352=1,1,0))</f>
        <v>0</v>
      </c>
      <c r="F365" s="22">
        <v>0</v>
      </c>
      <c r="G365" s="28">
        <v>0</v>
      </c>
      <c r="H365" s="22">
        <v>0</v>
      </c>
      <c r="I365" s="28">
        <v>0</v>
      </c>
      <c r="J365" s="12">
        <f>IF(SUM(C362:I362)&gt;0,HLOOKUP(1,$C$362:$I$374,4,FALSE),0)</f>
        <v>0</v>
      </c>
      <c r="K365" s="28">
        <v>2000</v>
      </c>
      <c r="M365" s="2"/>
    </row>
    <row r="366" spans="1:24" x14ac:dyDescent="0.25">
      <c r="A366" s="12">
        <f>IF(J366&gt;0,SUM(J364:J366)," ")</f>
        <v>1</v>
      </c>
      <c r="B366" s="6" t="s">
        <v>64</v>
      </c>
      <c r="C366" s="12">
        <f>IF(AND(C352=1,J169=1),1,0)</f>
        <v>0</v>
      </c>
      <c r="D366" s="28">
        <v>0</v>
      </c>
      <c r="E366" s="12">
        <f>E352</f>
        <v>0</v>
      </c>
      <c r="F366" s="2">
        <f>F351</f>
        <v>1</v>
      </c>
      <c r="G366" s="12">
        <f>G352</f>
        <v>0</v>
      </c>
      <c r="H366" s="22">
        <v>0</v>
      </c>
      <c r="I366" s="28">
        <v>0</v>
      </c>
      <c r="J366" s="12">
        <f>IF(SUM(C362:I362)&gt;0,HLOOKUP(1,$C$362:$I$374,5,FALSE),0)</f>
        <v>1</v>
      </c>
      <c r="K366" s="28">
        <v>1950</v>
      </c>
      <c r="M366" s="2"/>
    </row>
    <row r="367" spans="1:24" x14ac:dyDescent="0.25">
      <c r="A367" s="12" t="str">
        <f>IF(J367&gt;0,SUM(J364:J367)," ")</f>
        <v xml:space="preserve"> </v>
      </c>
      <c r="B367" s="6" t="s">
        <v>63</v>
      </c>
      <c r="C367" s="28">
        <v>0</v>
      </c>
      <c r="D367" s="28">
        <v>0</v>
      </c>
      <c r="E367" s="12">
        <f>E351</f>
        <v>0</v>
      </c>
      <c r="F367" s="22">
        <v>0</v>
      </c>
      <c r="G367" s="28">
        <v>0</v>
      </c>
      <c r="H367" s="22">
        <v>0</v>
      </c>
      <c r="I367" s="28">
        <v>0</v>
      </c>
      <c r="J367" s="12">
        <f>IF(SUM(C362:I362)&gt;0,HLOOKUP(1,$C$362:$I$374,6,FALSE),0)</f>
        <v>0</v>
      </c>
      <c r="K367" s="28">
        <v>1950</v>
      </c>
      <c r="M367" s="2"/>
    </row>
    <row r="368" spans="1:24" x14ac:dyDescent="0.25">
      <c r="A368" s="12" t="str">
        <f>IF(J368&gt;0,SUM(J364:J368)," ")</f>
        <v xml:space="preserve"> </v>
      </c>
      <c r="B368" s="6" t="str">
        <f>G350</f>
        <v>Vlakstans</v>
      </c>
      <c r="C368" s="28">
        <v>0</v>
      </c>
      <c r="D368" s="28">
        <v>0</v>
      </c>
      <c r="E368" s="28">
        <v>0</v>
      </c>
      <c r="F368" s="22">
        <v>0</v>
      </c>
      <c r="G368" s="12">
        <f>G351</f>
        <v>0</v>
      </c>
      <c r="H368" s="22">
        <v>0</v>
      </c>
      <c r="I368" s="28">
        <v>0</v>
      </c>
      <c r="J368" s="12">
        <f>IF(SUM(C362:I362)&gt;0,HLOOKUP(1,$C$362:$I$374,7,FALSE),0)</f>
        <v>0</v>
      </c>
      <c r="K368" s="28">
        <v>2100</v>
      </c>
      <c r="M368" s="2"/>
    </row>
    <row r="369" spans="1:25" x14ac:dyDescent="0.25">
      <c r="A369" s="12" t="str">
        <f>IF(J369&gt;0,SUM(J364:J369)," ")</f>
        <v xml:space="preserve"> </v>
      </c>
      <c r="B369" s="6" t="str">
        <f>H350</f>
        <v>Roda</v>
      </c>
      <c r="C369" s="28">
        <v>0</v>
      </c>
      <c r="D369" s="28">
        <v>0</v>
      </c>
      <c r="E369" s="28">
        <v>0</v>
      </c>
      <c r="F369" s="22">
        <v>0</v>
      </c>
      <c r="G369" s="28">
        <v>0</v>
      </c>
      <c r="H369" s="2">
        <f>H351</f>
        <v>0</v>
      </c>
      <c r="I369" s="28">
        <v>0</v>
      </c>
      <c r="J369" s="12">
        <f>IF(SUM(C362:I362)&gt;0,HLOOKUP(1,$C$362:$I$374,8,FALSE),0)</f>
        <v>0</v>
      </c>
      <c r="K369" s="28">
        <v>1800</v>
      </c>
      <c r="M369" s="2"/>
    </row>
    <row r="370" spans="1:25" x14ac:dyDescent="0.25">
      <c r="A370" s="12" t="str">
        <f>IF(J370&gt;0,SUM(J364:J370)," ")</f>
        <v xml:space="preserve"> </v>
      </c>
      <c r="B370" s="6" t="str">
        <f>I350</f>
        <v>Plaat op maat</v>
      </c>
      <c r="C370" s="28">
        <v>0</v>
      </c>
      <c r="D370" s="28">
        <v>0</v>
      </c>
      <c r="E370" s="28">
        <v>0</v>
      </c>
      <c r="F370" s="22">
        <v>0</v>
      </c>
      <c r="G370" s="28">
        <v>0</v>
      </c>
      <c r="H370" s="22">
        <v>0</v>
      </c>
      <c r="I370" s="12">
        <f>I351</f>
        <v>0</v>
      </c>
      <c r="J370" s="12">
        <f>IF(SUM(C362:I362)&gt;0,HLOOKUP(1,$C$362:$I$374,9,FALSE),0)</f>
        <v>0</v>
      </c>
      <c r="K370" s="28">
        <v>1800</v>
      </c>
      <c r="M370" s="2"/>
    </row>
    <row r="371" spans="1:25" x14ac:dyDescent="0.25">
      <c r="A371" s="12" t="str">
        <f>IF(J371&gt;0,SUM(J364:J371)," ")</f>
        <v xml:space="preserve"> </v>
      </c>
      <c r="B371" s="6" t="s">
        <v>493</v>
      </c>
      <c r="C371" s="12">
        <f t="shared" ref="C371:D373" si="67">C354</f>
        <v>1</v>
      </c>
      <c r="D371" s="12">
        <f t="shared" si="67"/>
        <v>1</v>
      </c>
      <c r="E371" s="28">
        <v>0</v>
      </c>
      <c r="F371" s="22">
        <v>0</v>
      </c>
      <c r="G371" s="28">
        <v>0</v>
      </c>
      <c r="H371" s="22">
        <v>0</v>
      </c>
      <c r="I371" s="28">
        <v>0</v>
      </c>
      <c r="J371" s="12">
        <f>IF(SUM(C362:I362)&gt;0,HLOOKUP(1,$C$362:$I$374,10,FALSE),0)</f>
        <v>0</v>
      </c>
      <c r="K371" s="28">
        <v>1900</v>
      </c>
      <c r="M371" s="2"/>
    </row>
    <row r="372" spans="1:25" x14ac:dyDescent="0.25">
      <c r="A372" s="12" t="str">
        <f>IF(J372&gt;0,SUM(J364:J372)," ")</f>
        <v xml:space="preserve"> </v>
      </c>
      <c r="B372" s="6" t="s">
        <v>569</v>
      </c>
      <c r="C372" s="12">
        <f t="shared" si="67"/>
        <v>0</v>
      </c>
      <c r="D372" s="12">
        <f t="shared" si="67"/>
        <v>0</v>
      </c>
      <c r="E372" s="28">
        <v>0</v>
      </c>
      <c r="F372" s="22">
        <v>0</v>
      </c>
      <c r="G372" s="28">
        <v>0</v>
      </c>
      <c r="H372" s="22">
        <v>0</v>
      </c>
      <c r="I372" s="28">
        <v>0</v>
      </c>
      <c r="J372" s="12">
        <f>IF(SUM(C362:I362)&gt;0,HLOOKUP(1,$C$362:$I$374,11,FALSE),0)</f>
        <v>0</v>
      </c>
      <c r="K372" s="28">
        <v>2000</v>
      </c>
      <c r="M372" s="2"/>
    </row>
    <row r="373" spans="1:25" x14ac:dyDescent="0.25">
      <c r="A373" s="12" t="str">
        <f>IF(J373&gt;0,SUM(J364:J373)," ")</f>
        <v xml:space="preserve"> </v>
      </c>
      <c r="B373" s="6" t="s">
        <v>570</v>
      </c>
      <c r="C373" s="12">
        <f t="shared" si="67"/>
        <v>0</v>
      </c>
      <c r="D373" s="12">
        <f t="shared" si="67"/>
        <v>0</v>
      </c>
      <c r="E373" s="28">
        <v>0</v>
      </c>
      <c r="F373" s="22">
        <v>0</v>
      </c>
      <c r="G373" s="28">
        <v>0</v>
      </c>
      <c r="H373" s="22">
        <v>0</v>
      </c>
      <c r="I373" s="28">
        <v>0</v>
      </c>
      <c r="J373" s="12">
        <f>IF(SUM(C362:I362)&gt;0,HLOOKUP(1,$C$362:$I$374,12,FALSE),0)</f>
        <v>0</v>
      </c>
      <c r="K373" s="28">
        <v>2000</v>
      </c>
      <c r="M373" s="2"/>
    </row>
    <row r="374" spans="1:25" x14ac:dyDescent="0.25">
      <c r="A374" s="13" t="str">
        <f>IF(J374&gt;0,SUM(J364:J374)," ")</f>
        <v xml:space="preserve"> </v>
      </c>
      <c r="B374" s="8" t="s">
        <v>571</v>
      </c>
      <c r="C374" s="34">
        <v>0</v>
      </c>
      <c r="D374" s="34">
        <v>0</v>
      </c>
      <c r="E374" s="34">
        <v>0</v>
      </c>
      <c r="F374" s="344">
        <v>0</v>
      </c>
      <c r="G374" s="13">
        <f>G357</f>
        <v>0</v>
      </c>
      <c r="H374" s="344">
        <v>0</v>
      </c>
      <c r="I374" s="34">
        <v>0</v>
      </c>
      <c r="J374" s="13">
        <f>IF(SUM(C362:I362)&gt;0,HLOOKUP(1,$C$362:$I$374,13,FALSE),0)</f>
        <v>0</v>
      </c>
      <c r="K374" s="34">
        <v>2000</v>
      </c>
      <c r="M374" s="2"/>
    </row>
    <row r="375" spans="1:25" x14ac:dyDescent="0.25">
      <c r="A375" s="472"/>
      <c r="B375" s="472" t="s">
        <v>598</v>
      </c>
      <c r="C375" s="473" t="str">
        <f>IF(AND(C362=1,C366=1),F363,C363)</f>
        <v>Mini</v>
      </c>
      <c r="D375" s="473" t="str">
        <f>D363</f>
        <v>Maxi</v>
      </c>
      <c r="E375" s="473" t="str">
        <f>IF(SUM(E365:E366)=0,E363,IF(AND(E367=1,E365=1,E366=0),C363,IF(AND(SUM(E365:E367)=3,E353=0),F363,IF(AND(SUM(E365:E367)=3,E353=1),F363))))</f>
        <v>Emba 170</v>
      </c>
      <c r="F375" s="473" t="str">
        <f>F363</f>
        <v>Emba 295</v>
      </c>
      <c r="G375" s="473" t="str">
        <f>G363</f>
        <v>Vlakstans</v>
      </c>
      <c r="H375" s="473" t="str">
        <f>H363</f>
        <v>Roda</v>
      </c>
      <c r="I375" s="473" t="str">
        <f>I363</f>
        <v>Plaat op maat</v>
      </c>
      <c r="J375" s="472"/>
      <c r="K375" s="952">
        <v>1900</v>
      </c>
      <c r="M375" s="2"/>
    </row>
    <row r="376" spans="1:25" x14ac:dyDescent="0.25">
      <c r="A376" s="476"/>
      <c r="B376" s="404" t="s">
        <v>655</v>
      </c>
      <c r="C376" s="590">
        <v>0.04</v>
      </c>
      <c r="D376" s="590">
        <v>0.04</v>
      </c>
      <c r="E376" s="590">
        <v>0.04</v>
      </c>
      <c r="F376" s="590">
        <v>0.04</v>
      </c>
      <c r="G376" s="590">
        <v>0.04</v>
      </c>
      <c r="H376" s="590">
        <v>0.04</v>
      </c>
      <c r="I376" s="590">
        <v>0.04</v>
      </c>
      <c r="J376" s="592">
        <f>IF(SUM(C362:I362)&gt;0,HLOOKUP(1,C362:I377,15,FALSE),MAX(C376:I376))</f>
        <v>0.04</v>
      </c>
      <c r="M376" s="2"/>
    </row>
    <row r="377" spans="1:25" x14ac:dyDescent="0.25">
      <c r="A377" s="415"/>
      <c r="B377" s="52" t="s">
        <v>654</v>
      </c>
      <c r="C377" s="591">
        <v>0.04</v>
      </c>
      <c r="D377" s="591">
        <v>0.04</v>
      </c>
      <c r="E377" s="591">
        <v>0.04</v>
      </c>
      <c r="F377" s="591">
        <v>0.04</v>
      </c>
      <c r="G377" s="591">
        <v>0.04</v>
      </c>
      <c r="H377" s="591">
        <v>0.04</v>
      </c>
      <c r="I377" s="591">
        <v>0.04</v>
      </c>
      <c r="J377" s="593">
        <f>IF(SUM(C362:I362)&gt;0,HLOOKUP(1,C362:I377,16,FALSE),MAX(C377:I377))</f>
        <v>0.04</v>
      </c>
    </row>
    <row r="378" spans="1:25" x14ac:dyDescent="0.25">
      <c r="A378" s="950"/>
      <c r="B378" s="959" t="s">
        <v>984</v>
      </c>
      <c r="C378" s="960">
        <v>0.03</v>
      </c>
      <c r="D378" s="962">
        <v>0.03</v>
      </c>
      <c r="E378" s="960">
        <v>0.03</v>
      </c>
      <c r="F378" s="962">
        <v>0.03</v>
      </c>
      <c r="G378" s="960">
        <v>0.03</v>
      </c>
      <c r="H378" s="962">
        <v>0.03</v>
      </c>
      <c r="I378" s="960">
        <v>0.01</v>
      </c>
      <c r="J378" s="961">
        <f>IF(SUM(C362:I362)&gt;0,HLOOKUP(1,C362:I378,17,FALSE),MAX(C378:I378))</f>
        <v>0.03</v>
      </c>
    </row>
    <row r="379" spans="1:25" x14ac:dyDescent="0.25">
      <c r="B379"/>
    </row>
    <row r="380" spans="1:25" s="320" customFormat="1" x14ac:dyDescent="0.25">
      <c r="Y380" s="343"/>
    </row>
    <row r="381" spans="1:25" x14ac:dyDescent="0.25">
      <c r="B381"/>
    </row>
    <row r="382" spans="1:25" x14ac:dyDescent="0.25">
      <c r="B382"/>
    </row>
    <row r="383" spans="1:25" x14ac:dyDescent="0.25">
      <c r="B383" s="215" t="s">
        <v>487</v>
      </c>
    </row>
    <row r="384" spans="1:25" x14ac:dyDescent="0.25">
      <c r="A384" s="289" t="s">
        <v>477</v>
      </c>
      <c r="B384" s="396"/>
      <c r="C384" s="397">
        <f>IF(AND(J445&gt;=C386,J445&lt;C387),1,0)</f>
        <v>0</v>
      </c>
      <c r="D384" s="397">
        <f>IF(AND(J445&gt;=D386,J445&lt;D387),1,0)</f>
        <v>1</v>
      </c>
      <c r="E384" s="397">
        <f>IF(AND(J445&gt;=E386,J445&lt;E387),1,0)</f>
        <v>0</v>
      </c>
      <c r="F384" s="397">
        <f>IF(AND(J445&gt;=F386,J445&lt;F387),1,0)</f>
        <v>0</v>
      </c>
      <c r="G384" s="397">
        <f>IF(AND(J445&gt;=G386,J445&lt;G387),1,0)</f>
        <v>0</v>
      </c>
      <c r="H384" s="398"/>
      <c r="I384" s="398"/>
      <c r="J384" s="398"/>
      <c r="K384" s="398"/>
      <c r="L384" s="398"/>
      <c r="M384" s="398"/>
      <c r="N384" s="44"/>
    </row>
    <row r="385" spans="1:15" x14ac:dyDescent="0.25">
      <c r="A385" s="396" t="str">
        <f>VLOOKUP("x",'Prijs karton (3)'!19:248,20,FALSE)</f>
        <v>Pro</v>
      </c>
      <c r="B385" s="41"/>
      <c r="C385" s="120" t="s">
        <v>478</v>
      </c>
      <c r="D385" s="120" t="s">
        <v>478</v>
      </c>
      <c r="E385" s="120" t="s">
        <v>478</v>
      </c>
      <c r="F385" s="120" t="s">
        <v>478</v>
      </c>
      <c r="G385" s="399" t="s">
        <v>478</v>
      </c>
      <c r="H385" s="120" t="s">
        <v>479</v>
      </c>
      <c r="I385" s="227" t="s">
        <v>480</v>
      </c>
      <c r="J385" s="120" t="s">
        <v>481</v>
      </c>
      <c r="K385" s="78" t="s">
        <v>480</v>
      </c>
      <c r="L385" s="120" t="s">
        <v>111</v>
      </c>
      <c r="M385" s="78" t="s">
        <v>149</v>
      </c>
      <c r="N385" s="120" t="s">
        <v>149</v>
      </c>
      <c r="O385" s="2"/>
    </row>
    <row r="386" spans="1:15" x14ac:dyDescent="0.25">
      <c r="A386" s="41"/>
      <c r="B386" s="41"/>
      <c r="C386" s="12">
        <v>200</v>
      </c>
      <c r="D386" s="12">
        <v>500</v>
      </c>
      <c r="E386" s="12">
        <v>1000</v>
      </c>
      <c r="F386" s="12">
        <v>2000</v>
      </c>
      <c r="G386" s="120">
        <v>5000</v>
      </c>
      <c r="H386" s="120" t="s">
        <v>482</v>
      </c>
      <c r="I386" s="227" t="s">
        <v>482</v>
      </c>
      <c r="J386" s="120" t="s">
        <v>483</v>
      </c>
      <c r="K386" s="78" t="s">
        <v>482</v>
      </c>
      <c r="L386" s="120" t="s">
        <v>484</v>
      </c>
      <c r="M386" s="78" t="s">
        <v>485</v>
      </c>
      <c r="N386" s="120" t="s">
        <v>486</v>
      </c>
    </row>
    <row r="387" spans="1:15" x14ac:dyDescent="0.25">
      <c r="A387" s="341" t="s">
        <v>1</v>
      </c>
      <c r="B387" s="341" t="s">
        <v>0</v>
      </c>
      <c r="C387" s="443">
        <v>500</v>
      </c>
      <c r="D387" s="443">
        <v>1000</v>
      </c>
      <c r="E387" s="443">
        <v>2000</v>
      </c>
      <c r="F387" s="443">
        <v>5000</v>
      </c>
      <c r="G387" s="12">
        <v>999999999</v>
      </c>
      <c r="H387" s="202" t="s">
        <v>18</v>
      </c>
      <c r="I387" s="400" t="s">
        <v>18</v>
      </c>
      <c r="J387" s="202" t="s">
        <v>9</v>
      </c>
      <c r="K387" s="401" t="s">
        <v>9</v>
      </c>
      <c r="L387" s="964">
        <v>550</v>
      </c>
      <c r="M387" s="343"/>
      <c r="N387" s="13"/>
    </row>
    <row r="388" spans="1:15" x14ac:dyDescent="0.25">
      <c r="A388" s="52" t="str">
        <f>VLOOKUP("X",'Prijs karton (3)'!19:248,3,FALSE)</f>
        <v>BKT14WS</v>
      </c>
      <c r="B388" s="41" t="str">
        <f>VLOOKUP("X",'Prijs karton (3)'!19:248,2,FALSE)</f>
        <v>B</v>
      </c>
      <c r="C388" s="342">
        <f>VLOOKUP("X",'Prijs karton (3)'!19:248,7,FALSE)</f>
        <v>47.2</v>
      </c>
      <c r="D388" s="340">
        <f>VLOOKUP("X",'Prijs karton (3)'!19:248,8,FALSE)</f>
        <v>44.2</v>
      </c>
      <c r="E388" s="342">
        <f>VLOOKUP("X",'Prijs karton (3)'!19:248,9,FALSE)</f>
        <v>43.7</v>
      </c>
      <c r="F388" s="340">
        <f>VLOOKUP("X",'Prijs karton (3)'!19:248,10,FALSE)</f>
        <v>43.7</v>
      </c>
      <c r="G388" s="402">
        <f>VLOOKUP("X",'Prijs karton (3)'!19:248,11,FALSE)</f>
        <v>43.2</v>
      </c>
      <c r="H388" s="403">
        <f>VLOOKUP("X",'Prijs karton (3)'!19:248,21,FALSE)</f>
        <v>250</v>
      </c>
      <c r="I388" s="403">
        <f>VLOOKUP("X",'Prijs karton (3)'!19:248,22,FALSE)</f>
        <v>2450</v>
      </c>
      <c r="J388" s="403">
        <f>VLOOKUP("X",'Prijs karton (3)'!19:248,23,FALSE)</f>
        <v>500</v>
      </c>
      <c r="K388" s="403">
        <f>VLOOKUP("X",'Prijs karton (3)'!19:248,24,FALSE)</f>
        <v>6000</v>
      </c>
      <c r="L388" s="403">
        <f>VLOOKUP("X",'Prijs karton (3)'!19:248,25,FALSE)</f>
        <v>480</v>
      </c>
      <c r="M388" s="403">
        <f>VLOOKUP("X",'Prijs karton (3)'!19:248,26,FALSE)</f>
        <v>240</v>
      </c>
      <c r="N388" s="473">
        <f>VLOOKUP("X",'Prijs karton (3)'!19:248,27,FALSE)</f>
        <v>200</v>
      </c>
      <c r="O388" s="2"/>
    </row>
    <row r="389" spans="1:15" x14ac:dyDescent="0.25">
      <c r="A389" s="442">
        <f>IF(F445&lt;C389,1,0)</f>
        <v>0</v>
      </c>
      <c r="B389" s="405" t="str">
        <f>IF($A$385="pro",'Prijs karton (3)'!N4,IF($A$385="kappa",'Prijs karton (3)'!T4," "))</f>
        <v xml:space="preserve">Plaatlengte korter dan </v>
      </c>
      <c r="C389" s="405">
        <f>IF($A$385="pro",'Prijs karton (3)'!O4,IF($A$385="kappa",'Prijs karton (3)'!U4," "))</f>
        <v>600</v>
      </c>
      <c r="D389" s="399">
        <f>IF($A$385="pro",'Prijs karton (3)'!P4,IF($A$385="kappa",'Prijs karton (3)'!V4," "))</f>
        <v>4</v>
      </c>
      <c r="E389" s="411" t="str">
        <f>IF($A$385="pro",'Prijs karton (3)'!Q4,IF($A$385="kappa",'Prijs karton (3)'!W4," "))</f>
        <v>extra per HQM</v>
      </c>
      <c r="F389" s="442">
        <f>D389*A389</f>
        <v>0</v>
      </c>
    </row>
    <row r="390" spans="1:15" x14ac:dyDescent="0.25">
      <c r="A390" s="12">
        <f>IF(AND(F445&lt;C390,F445&gt;=C389),1,0)</f>
        <v>0</v>
      </c>
      <c r="B390" s="339" t="str">
        <f>IF($A$385="pro",'Prijs karton (3)'!N5,IF($A$385="kappa",'Prijs karton (3)'!T5," "))</f>
        <v xml:space="preserve">Plaatlengte korter dan </v>
      </c>
      <c r="C390" s="339">
        <f>IF($A$385="pro",'Prijs karton (3)'!O5,IF($A$385="kappa",'Prijs karton (3)'!U5," "))</f>
        <v>700</v>
      </c>
      <c r="D390" s="120">
        <f>IF($A$385="pro",'Prijs karton (3)'!P5,IF($A$385="kappa",'Prijs karton (3)'!V5," "))</f>
        <v>2</v>
      </c>
      <c r="E390" s="337" t="str">
        <f>IF($A$385="pro",'Prijs karton (3)'!Q5,IF($A$385="kappa",'Prijs karton (3)'!W5," "))</f>
        <v>extra per HQM</v>
      </c>
      <c r="F390" s="12">
        <f>D390*A390</f>
        <v>0</v>
      </c>
    </row>
    <row r="391" spans="1:15" x14ac:dyDescent="0.25">
      <c r="A391" s="12">
        <f>IF(F445&gt;C391,1,0)</f>
        <v>0</v>
      </c>
      <c r="B391" s="339" t="str">
        <f>IF($A$385="pro",'Prijs karton (3)'!N6,IF($A$385="kappa",'Prijs karton (3)'!T6," "))</f>
        <v>Plaatlengte lager dan</v>
      </c>
      <c r="C391" s="339">
        <f>IF($A$385="pro",'Prijs karton (3)'!O6,IF($A$385="kappa",'Prijs karton (3)'!U6," "))</f>
        <v>5000</v>
      </c>
      <c r="D391" s="120">
        <f>IF($A$385="pro",'Prijs karton (3)'!P6,IF($A$385="kappa",'Prijs karton (3)'!V6," "))</f>
        <v>0</v>
      </c>
      <c r="E391" s="337" t="str">
        <f>IF($A$385="pro",'Prijs karton (3)'!Q6,IF($A$385="kappa",'Prijs karton (3)'!W6," "))</f>
        <v>extra per HQM</v>
      </c>
      <c r="F391" s="12">
        <f>D391*A391</f>
        <v>0</v>
      </c>
    </row>
    <row r="392" spans="1:15" x14ac:dyDescent="0.25">
      <c r="A392" s="41"/>
      <c r="B392" s="339" t="str">
        <f>IF($A$385="pro",'Prijs karton (3)'!N7,IF($A$385="kappa",'Prijs karton (3)'!T7," "))</f>
        <v xml:space="preserve"> </v>
      </c>
      <c r="C392" s="339" t="str">
        <f>IF($A$385="pro",'Prijs karton (3)'!O7,IF($A$385="kappa",'Prijs karton (3)'!U7," "))</f>
        <v xml:space="preserve"> </v>
      </c>
      <c r="D392" s="120" t="str">
        <f>IF($A$385="pro",'Prijs karton (3)'!P7,IF($A$385="kappa",'Prijs karton (3)'!V7," "))</f>
        <v xml:space="preserve"> </v>
      </c>
      <c r="E392" s="337" t="str">
        <f>IF($A$385="pro",'Prijs karton (3)'!Q7,IF($A$385="kappa",'Prijs karton (3)'!W7," "))</f>
        <v xml:space="preserve"> </v>
      </c>
      <c r="F392" s="41"/>
      <c r="G392" s="77"/>
    </row>
    <row r="393" spans="1:15" x14ac:dyDescent="0.25">
      <c r="A393" s="41"/>
      <c r="B393" s="339" t="str">
        <f>IF($A$385="pro",'Prijs karton (3)'!N8,IF($A$385="kappa",'Prijs karton (3)'!T8," "))</f>
        <v xml:space="preserve"> </v>
      </c>
      <c r="C393" s="339" t="str">
        <f>IF($A$385="pro",'Prijs karton (3)'!O8,IF($A$385="kappa",'Prijs karton (3)'!U8," "))</f>
        <v xml:space="preserve"> </v>
      </c>
      <c r="D393" s="120" t="str">
        <f>IF($A$385="pro",'Prijs karton (3)'!P8,IF($A$385="kappa",'Prijs karton (3)'!V8," "))</f>
        <v xml:space="preserve"> </v>
      </c>
      <c r="E393" s="337" t="str">
        <f>IF($A$385="pro",'Prijs karton (3)'!Q8,IF($A$385="kappa",'Prijs karton (3)'!W8," "))</f>
        <v xml:space="preserve"> </v>
      </c>
      <c r="F393" s="556"/>
      <c r="G393" s="407"/>
    </row>
    <row r="394" spans="1:15" x14ac:dyDescent="0.25">
      <c r="A394" s="41"/>
      <c r="B394" s="339" t="str">
        <f>IF($A$385="pro",'Prijs karton (3)'!N9,IF($A$385="kappa",'Prijs karton (3)'!T9," "))</f>
        <v xml:space="preserve"> </v>
      </c>
      <c r="C394" s="339" t="str">
        <f>IF($A$385="pro",'Prijs karton (3)'!O9,IF($A$385="kappa",'Prijs karton (3)'!U9," "))</f>
        <v xml:space="preserve"> </v>
      </c>
      <c r="D394" s="120" t="str">
        <f>IF($A$385="pro",'Prijs karton (3)'!P9,IF($A$385="kappa",'Prijs karton (3)'!V9," "))</f>
        <v xml:space="preserve"> </v>
      </c>
      <c r="E394" s="337" t="str">
        <f>IF($A$385="pro",'Prijs karton (3)'!Q9,IF($A$385="kappa",'Prijs karton (3)'!W9," "))</f>
        <v xml:space="preserve"> </v>
      </c>
      <c r="F394" s="41"/>
      <c r="G394" s="77"/>
    </row>
    <row r="395" spans="1:15" x14ac:dyDescent="0.25">
      <c r="A395" s="41"/>
      <c r="B395" s="339" t="str">
        <f>IF($A$385="pro",'Prijs karton (3)'!N10,IF($A$385="kappa",'Prijs karton (3)'!T10," "))</f>
        <v xml:space="preserve"> </v>
      </c>
      <c r="C395" s="339" t="str">
        <f>IF($A$385="pro",'Prijs karton (3)'!O10,IF($A$385="kappa",'Prijs karton (3)'!U10," "))</f>
        <v xml:space="preserve"> </v>
      </c>
      <c r="D395" s="120" t="str">
        <f>IF($A$385="pro",'Prijs karton (3)'!P10,IF($A$385="kappa",'Prijs karton (3)'!V10," "))</f>
        <v xml:space="preserve"> </v>
      </c>
      <c r="E395" s="337" t="str">
        <f>IF($A$385="pro",'Prijs karton (3)'!Q10,IF($A$385="kappa",'Prijs karton (3)'!W10," "))</f>
        <v xml:space="preserve"> </v>
      </c>
      <c r="F395" s="41"/>
      <c r="G395" s="77"/>
    </row>
    <row r="396" spans="1:15" x14ac:dyDescent="0.25">
      <c r="A396" s="41"/>
      <c r="B396" s="339" t="str">
        <f>IF($A$385="pro",'Prijs karton (3)'!N11,IF($A$385="kappa",'Prijs karton (3)'!T11," "))</f>
        <v xml:space="preserve"> </v>
      </c>
      <c r="C396" s="339" t="str">
        <f>IF($A$385="pro",'Prijs karton (3)'!O11,IF($A$385="kappa",'Prijs karton (3)'!U11," "))</f>
        <v xml:space="preserve"> </v>
      </c>
      <c r="D396" s="120" t="str">
        <f>IF($A$385="pro",'Prijs karton (3)'!P11,IF($A$385="kappa",'Prijs karton (3)'!V11," "))</f>
        <v xml:space="preserve"> </v>
      </c>
      <c r="E396" s="337" t="str">
        <f>IF($A$385="pro",'Prijs karton (3)'!Q11,IF($A$385="kappa",'Prijs karton (3)'!W11," "))</f>
        <v xml:space="preserve"> </v>
      </c>
      <c r="F396" s="41"/>
    </row>
    <row r="397" spans="1:15" x14ac:dyDescent="0.25">
      <c r="A397" s="41"/>
      <c r="B397" s="339" t="str">
        <f>IF($A$385="pro",'Prijs karton (3)'!N12,IF($A$385="kappa",'Prijs karton (3)'!T12," "))</f>
        <v xml:space="preserve"> </v>
      </c>
      <c r="C397" s="339" t="str">
        <f>IF($A$385="pro",'Prijs karton (3)'!O12,IF($A$385="kappa",'Prijs karton (3)'!U12," "))</f>
        <v xml:space="preserve"> </v>
      </c>
      <c r="D397" s="120" t="str">
        <f>IF($A$385="pro",'Prijs karton (3)'!P12,IF($A$385="kappa",'Prijs karton (3)'!V12," "))</f>
        <v xml:space="preserve"> </v>
      </c>
      <c r="E397" s="337" t="str">
        <f>IF($A$385="pro",'Prijs karton (3)'!Q12,IF($A$385="kappa",'Prijs karton (3)'!W12," "))</f>
        <v xml:space="preserve"> </v>
      </c>
      <c r="F397" s="41"/>
    </row>
    <row r="398" spans="1:15" x14ac:dyDescent="0.25">
      <c r="A398" s="52"/>
      <c r="B398" s="341" t="str">
        <f>IF($A$385="pro",'Prijs karton (3)'!N13,IF($A$385="kappa",'Prijs karton (3)'!T13," "))</f>
        <v xml:space="preserve"> </v>
      </c>
      <c r="C398" s="341" t="str">
        <f>IF($A$385="pro",'Prijs karton (3)'!O13,IF($A$385="kappa",'Prijs karton (3)'!U13," "))</f>
        <v xml:space="preserve"> </v>
      </c>
      <c r="D398" s="202" t="str">
        <f>IF($A$385="pro",'Prijs karton (3)'!P13,IF($A$385="kappa",'Prijs karton (3)'!V13," "))</f>
        <v xml:space="preserve"> </v>
      </c>
      <c r="E398" s="581" t="str">
        <f>IF($A$385="pro",'Prijs karton (3)'!Q13,IF($A$385="kappa",'Prijs karton (3)'!W13," "))</f>
        <v xml:space="preserve"> </v>
      </c>
      <c r="F398" s="52"/>
    </row>
    <row r="399" spans="1:15" x14ac:dyDescent="0.25">
      <c r="B399" s="77"/>
      <c r="C399" s="77"/>
      <c r="D399" s="77"/>
      <c r="E399" s="77"/>
    </row>
    <row r="400" spans="1:15" x14ac:dyDescent="0.25">
      <c r="B400" s="1" t="s">
        <v>1049</v>
      </c>
      <c r="C400" s="77"/>
    </row>
    <row r="401" spans="1:13" x14ac:dyDescent="0.25">
      <c r="B401" s="489" t="s">
        <v>599</v>
      </c>
      <c r="C401" s="103" t="s">
        <v>600</v>
      </c>
      <c r="D401" s="103" t="s">
        <v>1026</v>
      </c>
      <c r="E401" s="103" t="s">
        <v>547</v>
      </c>
      <c r="F401" s="1077" t="s">
        <v>1047</v>
      </c>
      <c r="G401" s="1021" t="s">
        <v>1048</v>
      </c>
    </row>
    <row r="402" spans="1:13" x14ac:dyDescent="0.25">
      <c r="B402" s="202" t="str">
        <f>IF(SUM(C362:I362)&gt;0,HLOOKUP(1,C362:I375,2,FALSE),0)</f>
        <v>Emba 295</v>
      </c>
      <c r="C402" s="424" t="str">
        <f>IF(SUM(C362:I362)&gt;0,HLOOKUP(1,C362:I375,14,FALSE),0)</f>
        <v>Emba 295</v>
      </c>
      <c r="D402" s="951">
        <f>IF(AND(C402="Emba 295",B402&lt;&gt;"Emba 295"),1,0)</f>
        <v>0</v>
      </c>
      <c r="E402" s="951">
        <f>IF(D402=1,C445*D445,1)</f>
        <v>1</v>
      </c>
      <c r="F402" s="432">
        <f>IF(AND(B402="Maxi",C402="Maxi",C111&gt;0),1,0)</f>
        <v>0</v>
      </c>
      <c r="G402" s="34">
        <v>1</v>
      </c>
    </row>
    <row r="405" spans="1:13" x14ac:dyDescent="0.25">
      <c r="A405" s="404"/>
      <c r="B405" s="437" t="s">
        <v>78</v>
      </c>
      <c r="C405" s="287">
        <v>3</v>
      </c>
      <c r="D405" s="489">
        <v>4</v>
      </c>
      <c r="E405" s="473">
        <v>5</v>
      </c>
      <c r="F405" s="473">
        <v>6</v>
      </c>
      <c r="G405" s="473">
        <v>7</v>
      </c>
      <c r="H405" s="473">
        <v>8</v>
      </c>
      <c r="I405" s="38">
        <v>9</v>
      </c>
      <c r="J405" s="473">
        <v>10</v>
      </c>
      <c r="K405" s="38">
        <v>11</v>
      </c>
      <c r="L405" s="442">
        <v>12</v>
      </c>
      <c r="M405" s="435">
        <v>13</v>
      </c>
    </row>
    <row r="406" spans="1:13" x14ac:dyDescent="0.25">
      <c r="A406" s="41"/>
      <c r="B406" s="36"/>
      <c r="C406" s="208" t="s">
        <v>606</v>
      </c>
      <c r="D406" s="473" t="s">
        <v>607</v>
      </c>
      <c r="E406" s="473" t="s">
        <v>608</v>
      </c>
      <c r="F406" s="38" t="s">
        <v>197</v>
      </c>
      <c r="G406" s="287" t="s">
        <v>611</v>
      </c>
      <c r="H406" s="489" t="s">
        <v>610</v>
      </c>
      <c r="I406" s="103" t="s">
        <v>609</v>
      </c>
      <c r="J406" s="120" t="s">
        <v>612</v>
      </c>
      <c r="K406" s="103" t="s">
        <v>613</v>
      </c>
      <c r="L406" s="489" t="s">
        <v>627</v>
      </c>
      <c r="M406" s="103" t="s">
        <v>628</v>
      </c>
    </row>
    <row r="407" spans="1:13" x14ac:dyDescent="0.25">
      <c r="A407" s="52"/>
      <c r="B407" s="37"/>
      <c r="C407" s="289"/>
      <c r="D407" s="517"/>
      <c r="E407" s="472"/>
      <c r="F407" s="43"/>
      <c r="G407" s="472"/>
      <c r="H407" s="472"/>
      <c r="I407" s="44"/>
      <c r="J407" s="472"/>
      <c r="K407" s="44"/>
      <c r="L407" s="52"/>
      <c r="M407" s="434"/>
    </row>
    <row r="408" spans="1:13" x14ac:dyDescent="0.25">
      <c r="A408" s="442">
        <f>IF($C$402=B408,1,0)</f>
        <v>0</v>
      </c>
      <c r="B408" s="404" t="s">
        <v>66</v>
      </c>
      <c r="C408" s="442">
        <f>IF(F189=0,A191,E191)</f>
        <v>2</v>
      </c>
      <c r="D408" s="442">
        <f>IF(F189=0,A193,E193)</f>
        <v>3</v>
      </c>
      <c r="E408" s="449">
        <f>IF(F189=0,B191,F191)</f>
        <v>1</v>
      </c>
      <c r="F408" s="442">
        <f>IF(F189=0,C191,G191)</f>
        <v>3</v>
      </c>
      <c r="G408" s="449">
        <f>C179</f>
        <v>0</v>
      </c>
      <c r="H408" s="442">
        <f>C180</f>
        <v>0</v>
      </c>
      <c r="I408" s="449">
        <f>IF(F408&gt;2,D180,0)</f>
        <v>40</v>
      </c>
      <c r="J408" s="486">
        <v>0</v>
      </c>
      <c r="K408" s="567">
        <v>0</v>
      </c>
      <c r="L408" s="442">
        <f>IF(B402=B408,C108,IF(AND(C402=B408,B402=B410),B228,0))</f>
        <v>0</v>
      </c>
      <c r="M408" s="442">
        <f>IF(B402=B408,D108,IF(AND(C402=B408,B402=B410),C228,0))</f>
        <v>0</v>
      </c>
    </row>
    <row r="409" spans="1:13" x14ac:dyDescent="0.25">
      <c r="A409" s="12">
        <f t="shared" ref="A409:A414" si="68">IF($C$402=B409,1,0)</f>
        <v>0</v>
      </c>
      <c r="B409" s="41" t="s">
        <v>65</v>
      </c>
      <c r="C409" s="12">
        <f>B208</f>
        <v>2</v>
      </c>
      <c r="D409" s="12">
        <f>B209</f>
        <v>2</v>
      </c>
      <c r="E409" s="22">
        <v>1</v>
      </c>
      <c r="F409" s="28">
        <v>1</v>
      </c>
      <c r="G409" s="22">
        <v>0</v>
      </c>
      <c r="H409" s="28">
        <v>0</v>
      </c>
      <c r="I409" s="22">
        <v>0</v>
      </c>
      <c r="J409" s="28">
        <v>0</v>
      </c>
      <c r="K409" s="30">
        <v>0</v>
      </c>
      <c r="L409" s="12">
        <f>IF(B409=B402,C108,0)</f>
        <v>0</v>
      </c>
      <c r="M409" s="12">
        <f>IF(B409=B402,D108,0)</f>
        <v>0</v>
      </c>
    </row>
    <row r="410" spans="1:13" x14ac:dyDescent="0.25">
      <c r="A410" s="12">
        <f t="shared" si="68"/>
        <v>0</v>
      </c>
      <c r="B410" s="41" t="s">
        <v>63</v>
      </c>
      <c r="C410" s="28">
        <v>1</v>
      </c>
      <c r="D410" s="28">
        <v>1</v>
      </c>
      <c r="E410" s="22">
        <v>1</v>
      </c>
      <c r="F410" s="28">
        <v>1</v>
      </c>
      <c r="G410" s="22">
        <v>0</v>
      </c>
      <c r="H410" s="28">
        <v>0</v>
      </c>
      <c r="I410" s="22">
        <v>0</v>
      </c>
      <c r="J410" s="28">
        <v>0</v>
      </c>
      <c r="K410" s="30">
        <v>0</v>
      </c>
      <c r="L410" s="12">
        <f>IF(C402=B410,B228,0)</f>
        <v>0</v>
      </c>
      <c r="M410" s="12">
        <f>IF(C402=B410,C228,0)</f>
        <v>0</v>
      </c>
    </row>
    <row r="411" spans="1:13" x14ac:dyDescent="0.25">
      <c r="A411" s="12">
        <f t="shared" si="68"/>
        <v>1</v>
      </c>
      <c r="B411" s="41" t="s">
        <v>64</v>
      </c>
      <c r="C411" s="556">
        <f>E241</f>
        <v>1</v>
      </c>
      <c r="D411" s="12">
        <f>D241</f>
        <v>1</v>
      </c>
      <c r="E411" s="407">
        <f>G241</f>
        <v>1</v>
      </c>
      <c r="F411" s="12">
        <f>F241</f>
        <v>1</v>
      </c>
      <c r="G411" s="22">
        <v>0</v>
      </c>
      <c r="H411" s="28">
        <v>0</v>
      </c>
      <c r="I411" s="22">
        <v>0</v>
      </c>
      <c r="J411" s="28">
        <v>0</v>
      </c>
      <c r="K411" s="30">
        <v>0</v>
      </c>
      <c r="L411" s="12">
        <f>IF(B411=B402,B239,B241)</f>
        <v>361</v>
      </c>
      <c r="M411" s="12">
        <f>IF(B411=B402,C239,C241)</f>
        <v>1150</v>
      </c>
    </row>
    <row r="412" spans="1:13" x14ac:dyDescent="0.25">
      <c r="A412" s="12">
        <f t="shared" si="68"/>
        <v>0</v>
      </c>
      <c r="B412" s="41" t="s">
        <v>554</v>
      </c>
      <c r="C412" s="12">
        <f>IF(SUM(A274:A275)&gt;0,VLOOKUP(1,A274:C275,2,FALSE),0)</f>
        <v>1</v>
      </c>
      <c r="D412" s="12">
        <f>IF(SUM(A274:A275)&gt;0,VLOOKUP(1,A274:C275,2,FALSE),0)</f>
        <v>1</v>
      </c>
      <c r="E412" s="2">
        <f>IF(SUM(A274:A275)&gt;0,VLOOKUP(1,A274:C275,3,FALSE),0)</f>
        <v>1</v>
      </c>
      <c r="F412" s="12">
        <f>IF(SUM(A274:A275)&gt;0,VLOOKUP(1,A274:C275,3,FALSE),0)</f>
        <v>1</v>
      </c>
      <c r="G412" s="22">
        <v>0</v>
      </c>
      <c r="H412" s="28">
        <v>0</v>
      </c>
      <c r="I412" s="22">
        <v>0</v>
      </c>
      <c r="J412" s="28">
        <v>20</v>
      </c>
      <c r="K412" s="30">
        <v>0</v>
      </c>
      <c r="L412" s="556">
        <f>IF(B412=B402,D278,0)</f>
        <v>0</v>
      </c>
      <c r="M412" s="556">
        <f>IF(B412=B402,E278,0)</f>
        <v>0</v>
      </c>
    </row>
    <row r="413" spans="1:13" x14ac:dyDescent="0.25">
      <c r="A413" s="12">
        <f t="shared" si="68"/>
        <v>0</v>
      </c>
      <c r="B413" s="41" t="s">
        <v>54</v>
      </c>
      <c r="C413" s="12">
        <f>A331</f>
        <v>0</v>
      </c>
      <c r="D413" s="12">
        <f>A333</f>
        <v>0</v>
      </c>
      <c r="E413" s="2">
        <f>D331</f>
        <v>0</v>
      </c>
      <c r="F413" s="12">
        <f>D333</f>
        <v>0</v>
      </c>
      <c r="G413" s="22">
        <v>0</v>
      </c>
      <c r="H413" s="28">
        <v>0</v>
      </c>
      <c r="I413" s="22">
        <v>0</v>
      </c>
      <c r="J413" s="28">
        <v>0</v>
      </c>
      <c r="K413" s="30">
        <v>80</v>
      </c>
      <c r="L413" s="12">
        <f>IF(B413=B402,C108,0)</f>
        <v>0</v>
      </c>
      <c r="M413" s="12">
        <f>IF(B413=B402,D108,0)</f>
        <v>0</v>
      </c>
    </row>
    <row r="414" spans="1:13" x14ac:dyDescent="0.25">
      <c r="A414" s="13">
        <f t="shared" si="68"/>
        <v>0</v>
      </c>
      <c r="B414" s="52" t="s">
        <v>67</v>
      </c>
      <c r="C414" s="34">
        <v>1</v>
      </c>
      <c r="D414" s="34">
        <v>1</v>
      </c>
      <c r="E414" s="344">
        <v>1</v>
      </c>
      <c r="F414" s="34">
        <v>1</v>
      </c>
      <c r="G414" s="344">
        <v>0</v>
      </c>
      <c r="H414" s="34">
        <v>0</v>
      </c>
      <c r="I414" s="344">
        <v>0</v>
      </c>
      <c r="J414" s="34">
        <v>0</v>
      </c>
      <c r="K414" s="490">
        <v>0</v>
      </c>
      <c r="L414" s="13">
        <f>IF(B414=B402,C108,0)</f>
        <v>0</v>
      </c>
      <c r="M414" s="13">
        <f>IF(B414=B402,D108,0)</f>
        <v>0</v>
      </c>
    </row>
    <row r="415" spans="1:13" x14ac:dyDescent="0.25">
      <c r="B415"/>
    </row>
    <row r="416" spans="1:13" x14ac:dyDescent="0.25">
      <c r="B416"/>
    </row>
    <row r="417" spans="2:37" x14ac:dyDescent="0.25">
      <c r="B417" s="569" t="s">
        <v>18</v>
      </c>
      <c r="C417" s="442">
        <f>IF(SUM($A$408:$A$414)&gt;0,VLOOKUP(1,$A$408:$M$414,L405,FALSE),0)</f>
        <v>361</v>
      </c>
    </row>
    <row r="418" spans="2:37" x14ac:dyDescent="0.25">
      <c r="B418" s="570" t="s">
        <v>9</v>
      </c>
      <c r="C418" s="12">
        <f>IF(SUM($A$408:$A$414)&gt;0,VLOOKUP(1,$A$408:$M$414,M405,FALSE),0)</f>
        <v>1150</v>
      </c>
    </row>
    <row r="419" spans="2:37" x14ac:dyDescent="0.25">
      <c r="B419" s="569" t="s">
        <v>606</v>
      </c>
      <c r="C419" s="442">
        <f>IF(SUM($A$408:$A$414)&gt;0,VLOOKUP(1,$A$408:$M$414,C405,FALSE),0)</f>
        <v>1</v>
      </c>
    </row>
    <row r="420" spans="2:37" x14ac:dyDescent="0.25">
      <c r="B420" s="571" t="s">
        <v>607</v>
      </c>
      <c r="C420" s="12">
        <f>IF(F402=1,G402,IF(SUM($A$408:$A$414)&gt;0,VLOOKUP(1,$A$408:$M$414,D405,FALSE),0))</f>
        <v>1</v>
      </c>
    </row>
    <row r="421" spans="2:37" x14ac:dyDescent="0.25">
      <c r="B421" s="569" t="s">
        <v>608</v>
      </c>
      <c r="C421" s="442">
        <f>IF(SUM($A$408:$A$414)&gt;0,VLOOKUP(1,$A$408:$M$414,E405,FALSE),0)</f>
        <v>1</v>
      </c>
    </row>
    <row r="422" spans="2:37" x14ac:dyDescent="0.25">
      <c r="B422" s="570" t="s">
        <v>629</v>
      </c>
      <c r="C422" s="13">
        <f>IF(SUM($A$408:$A$414)&gt;0,VLOOKUP(1,$A$408:$M$414,F405,FALSE),0)</f>
        <v>1</v>
      </c>
    </row>
    <row r="423" spans="2:37" x14ac:dyDescent="0.25">
      <c r="B423" s="410" t="s">
        <v>611</v>
      </c>
      <c r="C423" s="442">
        <f>IF(SUM($A$408:$A$414)&gt;0,VLOOKUP(1,$A$408:$M$414,G405,FALSE),0)</f>
        <v>0</v>
      </c>
    </row>
    <row r="424" spans="2:37" x14ac:dyDescent="0.25">
      <c r="B424" s="572" t="s">
        <v>610</v>
      </c>
      <c r="C424" s="12">
        <f>IF(SUM($A$408:$A$414)&gt;0,VLOOKUP(1,$A$408:$M$414,H405,FALSE),0)</f>
        <v>0</v>
      </c>
    </row>
    <row r="425" spans="2:37" x14ac:dyDescent="0.25">
      <c r="B425" s="418" t="s">
        <v>609</v>
      </c>
      <c r="C425" s="13">
        <f>IF(SUM($A$408:$A$414)&gt;0,VLOOKUP(1,$A$408:$M$414,I405,FALSE),0)</f>
        <v>0</v>
      </c>
    </row>
    <row r="426" spans="2:37" x14ac:dyDescent="0.25">
      <c r="B426" s="568" t="s">
        <v>612</v>
      </c>
      <c r="C426" s="13">
        <f>IF(SUM($A$408:$A$414)&gt;0,VLOOKUP(1,$A$408:$M$414,J405,FALSE),0)</f>
        <v>0</v>
      </c>
    </row>
    <row r="427" spans="2:37" x14ac:dyDescent="0.25">
      <c r="B427" s="153" t="str">
        <f>K406</f>
        <v>Eindafval roda</v>
      </c>
      <c r="C427" s="13">
        <f>IF(SUM($A$408:$A$414)&gt;0,VLOOKUP(1,$A$408:$M$414,K405,FALSE),0)</f>
        <v>0</v>
      </c>
    </row>
    <row r="428" spans="2:37" x14ac:dyDescent="0.25">
      <c r="B428" s="143"/>
      <c r="C428" s="2"/>
    </row>
    <row r="429" spans="2:37" x14ac:dyDescent="0.25">
      <c r="B429" s="143"/>
      <c r="C429" s="2"/>
    </row>
    <row r="430" spans="2:37" x14ac:dyDescent="0.25">
      <c r="B430" s="625" t="s">
        <v>640</v>
      </c>
      <c r="C430" s="2"/>
    </row>
    <row r="431" spans="2:37" x14ac:dyDescent="0.25">
      <c r="B431" s="616" t="s">
        <v>110</v>
      </c>
      <c r="C431" s="617">
        <f>J376</f>
        <v>0.04</v>
      </c>
    </row>
    <row r="432" spans="2:37" ht="15.75" thickBot="1" x14ac:dyDescent="0.3">
      <c r="B432" s="153" t="s">
        <v>149</v>
      </c>
      <c r="C432" s="593">
        <f>J377</f>
        <v>0.04</v>
      </c>
      <c r="AI432" s="619">
        <f>C437-J437</f>
        <v>0</v>
      </c>
      <c r="AJ432" s="619">
        <f>J437-X437</f>
        <v>0</v>
      </c>
      <c r="AK432" s="619">
        <f>X437-AH437</f>
        <v>0</v>
      </c>
    </row>
    <row r="433" spans="2:37" x14ac:dyDescent="0.25">
      <c r="B433" s="616" t="s">
        <v>656</v>
      </c>
      <c r="C433" s="617">
        <f>C431-C432</f>
        <v>0</v>
      </c>
      <c r="J433" s="614">
        <v>0.15</v>
      </c>
      <c r="X433" s="614">
        <v>0.35</v>
      </c>
      <c r="AH433" s="618">
        <f>1-J433-X433</f>
        <v>0.5</v>
      </c>
      <c r="AI433" s="514">
        <v>7</v>
      </c>
      <c r="AJ433" s="484">
        <v>14</v>
      </c>
      <c r="AK433" s="70">
        <v>11</v>
      </c>
    </row>
    <row r="434" spans="2:37" x14ac:dyDescent="0.25">
      <c r="B434" s="472"/>
      <c r="C434" s="473">
        <f t="shared" ref="C434:AH434" si="69">IF(AND($J$445&gt;=C435,$J$445&lt;C436),1," ")</f>
        <v>1</v>
      </c>
      <c r="D434" s="473" t="str">
        <f t="shared" si="69"/>
        <v xml:space="preserve"> </v>
      </c>
      <c r="E434" s="473" t="str">
        <f t="shared" si="69"/>
        <v xml:space="preserve"> </v>
      </c>
      <c r="F434" s="473" t="str">
        <f t="shared" si="69"/>
        <v xml:space="preserve"> </v>
      </c>
      <c r="G434" s="473" t="str">
        <f t="shared" si="69"/>
        <v xml:space="preserve"> </v>
      </c>
      <c r="H434" s="473" t="str">
        <f t="shared" si="69"/>
        <v xml:space="preserve"> </v>
      </c>
      <c r="I434" s="208" t="str">
        <f t="shared" si="69"/>
        <v xml:space="preserve"> </v>
      </c>
      <c r="J434" s="499" t="str">
        <f t="shared" si="69"/>
        <v xml:space="preserve"> </v>
      </c>
      <c r="K434" s="38" t="str">
        <f t="shared" si="69"/>
        <v xml:space="preserve"> </v>
      </c>
      <c r="L434" s="473" t="str">
        <f t="shared" si="69"/>
        <v xml:space="preserve"> </v>
      </c>
      <c r="M434" s="473" t="str">
        <f t="shared" si="69"/>
        <v xml:space="preserve"> </v>
      </c>
      <c r="N434" s="473" t="str">
        <f t="shared" si="69"/>
        <v xml:space="preserve"> </v>
      </c>
      <c r="O434" s="473" t="str">
        <f t="shared" si="69"/>
        <v xml:space="preserve"> </v>
      </c>
      <c r="P434" s="473" t="str">
        <f t="shared" si="69"/>
        <v xml:space="preserve"> </v>
      </c>
      <c r="Q434" s="473" t="str">
        <f t="shared" si="69"/>
        <v xml:space="preserve"> </v>
      </c>
      <c r="R434" s="473" t="str">
        <f t="shared" si="69"/>
        <v xml:space="preserve"> </v>
      </c>
      <c r="S434" s="473" t="str">
        <f t="shared" si="69"/>
        <v xml:space="preserve"> </v>
      </c>
      <c r="T434" s="473" t="str">
        <f t="shared" si="69"/>
        <v xml:space="preserve"> </v>
      </c>
      <c r="U434" s="473" t="str">
        <f t="shared" si="69"/>
        <v xml:space="preserve"> </v>
      </c>
      <c r="V434" s="473" t="str">
        <f t="shared" si="69"/>
        <v xml:space="preserve"> </v>
      </c>
      <c r="W434" s="208" t="str">
        <f t="shared" si="69"/>
        <v xml:space="preserve"> </v>
      </c>
      <c r="X434" s="499" t="str">
        <f t="shared" si="69"/>
        <v xml:space="preserve"> </v>
      </c>
      <c r="Y434" s="38" t="str">
        <f t="shared" si="69"/>
        <v xml:space="preserve"> </v>
      </c>
      <c r="Z434" s="473" t="str">
        <f t="shared" si="69"/>
        <v xml:space="preserve"> </v>
      </c>
      <c r="AA434" s="473" t="str">
        <f t="shared" si="69"/>
        <v xml:space="preserve"> </v>
      </c>
      <c r="AB434" s="473" t="str">
        <f t="shared" si="69"/>
        <v xml:space="preserve"> </v>
      </c>
      <c r="AC434" s="473" t="str">
        <f t="shared" si="69"/>
        <v xml:space="preserve"> </v>
      </c>
      <c r="AD434" s="473" t="str">
        <f t="shared" si="69"/>
        <v xml:space="preserve"> </v>
      </c>
      <c r="AE434" s="473" t="str">
        <f t="shared" si="69"/>
        <v xml:space="preserve"> </v>
      </c>
      <c r="AF434" s="473" t="str">
        <f t="shared" si="69"/>
        <v xml:space="preserve"> </v>
      </c>
      <c r="AG434" s="208" t="str">
        <f t="shared" si="69"/>
        <v xml:space="preserve"> </v>
      </c>
      <c r="AH434" s="499" t="str">
        <f t="shared" si="69"/>
        <v xml:space="preserve"> </v>
      </c>
      <c r="AI434" s="412" t="s">
        <v>657</v>
      </c>
      <c r="AJ434" s="404" t="s">
        <v>657</v>
      </c>
      <c r="AK434" s="433" t="s">
        <v>657</v>
      </c>
    </row>
    <row r="435" spans="2:37" x14ac:dyDescent="0.25">
      <c r="B435" s="411" t="s">
        <v>652</v>
      </c>
      <c r="C435" s="598">
        <v>0</v>
      </c>
      <c r="D435" s="596">
        <v>800</v>
      </c>
      <c r="E435" s="601">
        <v>1000</v>
      </c>
      <c r="F435" s="597">
        <v>1200</v>
      </c>
      <c r="G435" s="597">
        <v>1400</v>
      </c>
      <c r="H435" s="598">
        <v>1600</v>
      </c>
      <c r="I435" s="599">
        <v>1800</v>
      </c>
      <c r="J435" s="600">
        <v>2000</v>
      </c>
      <c r="K435" s="596">
        <v>2200</v>
      </c>
      <c r="L435" s="598">
        <v>2400</v>
      </c>
      <c r="M435" s="598">
        <v>2600</v>
      </c>
      <c r="N435" s="598">
        <v>2800</v>
      </c>
      <c r="O435" s="598">
        <v>3000</v>
      </c>
      <c r="P435" s="598">
        <v>3200</v>
      </c>
      <c r="Q435" s="598">
        <v>3400</v>
      </c>
      <c r="R435" s="598">
        <v>3600</v>
      </c>
      <c r="S435" s="598">
        <v>3800</v>
      </c>
      <c r="T435" s="597">
        <v>4000</v>
      </c>
      <c r="U435" s="601">
        <v>4200</v>
      </c>
      <c r="V435" s="597">
        <v>4400</v>
      </c>
      <c r="W435" s="601">
        <v>4600</v>
      </c>
      <c r="X435" s="602">
        <v>4800</v>
      </c>
      <c r="Y435" s="603">
        <v>5000</v>
      </c>
      <c r="Z435" s="597">
        <v>6000</v>
      </c>
      <c r="AA435" s="597">
        <v>7000</v>
      </c>
      <c r="AB435" s="597">
        <v>8000</v>
      </c>
      <c r="AC435" s="597">
        <v>9000</v>
      </c>
      <c r="AD435" s="597">
        <v>10000</v>
      </c>
      <c r="AE435" s="597">
        <v>11000</v>
      </c>
      <c r="AF435" s="597">
        <v>12000</v>
      </c>
      <c r="AG435" s="604">
        <v>13000</v>
      </c>
      <c r="AH435" s="602">
        <v>14000</v>
      </c>
      <c r="AI435" t="s">
        <v>658</v>
      </c>
      <c r="AJ435" s="41" t="s">
        <v>658</v>
      </c>
      <c r="AK435" s="7" t="s">
        <v>658</v>
      </c>
    </row>
    <row r="436" spans="2:37" x14ac:dyDescent="0.25">
      <c r="B436" s="581" t="s">
        <v>653</v>
      </c>
      <c r="C436" s="608">
        <v>800</v>
      </c>
      <c r="D436" s="605">
        <v>1000</v>
      </c>
      <c r="E436" s="606">
        <v>1200</v>
      </c>
      <c r="F436" s="607">
        <v>1400</v>
      </c>
      <c r="G436" s="607">
        <v>1600</v>
      </c>
      <c r="H436" s="608">
        <v>1800</v>
      </c>
      <c r="I436" s="609">
        <v>2000</v>
      </c>
      <c r="J436" s="610">
        <v>2200</v>
      </c>
      <c r="K436" s="605">
        <v>2400</v>
      </c>
      <c r="L436" s="608">
        <v>2600</v>
      </c>
      <c r="M436" s="608">
        <v>2800</v>
      </c>
      <c r="N436" s="608">
        <v>3000</v>
      </c>
      <c r="O436" s="608">
        <v>3200</v>
      </c>
      <c r="P436" s="608">
        <v>3400</v>
      </c>
      <c r="Q436" s="608">
        <v>3600</v>
      </c>
      <c r="R436" s="608">
        <v>3800</v>
      </c>
      <c r="S436" s="608">
        <v>4000</v>
      </c>
      <c r="T436" s="607">
        <v>4200</v>
      </c>
      <c r="U436" s="606">
        <v>4400</v>
      </c>
      <c r="V436" s="607">
        <v>4600</v>
      </c>
      <c r="W436" s="606">
        <v>4800</v>
      </c>
      <c r="X436" s="611">
        <v>5000</v>
      </c>
      <c r="Y436" s="612">
        <v>6000</v>
      </c>
      <c r="Z436" s="607">
        <v>7000</v>
      </c>
      <c r="AA436" s="607">
        <v>8000</v>
      </c>
      <c r="AB436" s="607">
        <v>9000</v>
      </c>
      <c r="AC436" s="607">
        <v>10000</v>
      </c>
      <c r="AD436" s="607">
        <v>11000</v>
      </c>
      <c r="AE436" s="607">
        <v>12000</v>
      </c>
      <c r="AF436" s="607">
        <v>13000</v>
      </c>
      <c r="AG436" s="613">
        <v>14000</v>
      </c>
      <c r="AH436" s="611">
        <v>1000000</v>
      </c>
      <c r="AI436" s="320"/>
      <c r="AJ436" s="52"/>
      <c r="AK436" s="434"/>
    </row>
    <row r="437" spans="2:37" ht="15.75" thickBot="1" x14ac:dyDescent="0.3">
      <c r="B437" s="472"/>
      <c r="C437" s="621">
        <f>C431</f>
        <v>0.04</v>
      </c>
      <c r="D437" s="621">
        <f t="shared" ref="D437:I437" si="70">C437-$AI$437</f>
        <v>0.04</v>
      </c>
      <c r="E437" s="621">
        <f t="shared" si="70"/>
        <v>0.04</v>
      </c>
      <c r="F437" s="621">
        <f t="shared" si="70"/>
        <v>0.04</v>
      </c>
      <c r="G437" s="621">
        <f t="shared" si="70"/>
        <v>0.04</v>
      </c>
      <c r="H437" s="621">
        <f t="shared" si="70"/>
        <v>0.04</v>
      </c>
      <c r="I437" s="621">
        <f t="shared" si="70"/>
        <v>0.04</v>
      </c>
      <c r="J437" s="622">
        <f>C437-(J433*C433)</f>
        <v>0.04</v>
      </c>
      <c r="K437" s="621">
        <f t="shared" ref="K437:W437" si="71">J437-$AJ$437</f>
        <v>0.04</v>
      </c>
      <c r="L437" s="621">
        <f t="shared" si="71"/>
        <v>0.04</v>
      </c>
      <c r="M437" s="621">
        <f t="shared" si="71"/>
        <v>0.04</v>
      </c>
      <c r="N437" s="621">
        <f t="shared" si="71"/>
        <v>0.04</v>
      </c>
      <c r="O437" s="621">
        <f t="shared" si="71"/>
        <v>0.04</v>
      </c>
      <c r="P437" s="621">
        <f t="shared" si="71"/>
        <v>0.04</v>
      </c>
      <c r="Q437" s="621">
        <f t="shared" si="71"/>
        <v>0.04</v>
      </c>
      <c r="R437" s="621">
        <f t="shared" si="71"/>
        <v>0.04</v>
      </c>
      <c r="S437" s="621">
        <f t="shared" si="71"/>
        <v>0.04</v>
      </c>
      <c r="T437" s="621">
        <f t="shared" si="71"/>
        <v>0.04</v>
      </c>
      <c r="U437" s="621">
        <f t="shared" si="71"/>
        <v>0.04</v>
      </c>
      <c r="V437" s="621">
        <f t="shared" si="71"/>
        <v>0.04</v>
      </c>
      <c r="W437" s="621">
        <f t="shared" si="71"/>
        <v>0.04</v>
      </c>
      <c r="X437" s="622">
        <f>C437-((J433+X433)*C433)</f>
        <v>0.04</v>
      </c>
      <c r="Y437" s="621">
        <f t="shared" ref="Y437:AG437" si="72">X437-$AK$437</f>
        <v>0.04</v>
      </c>
      <c r="Z437" s="621">
        <f t="shared" si="72"/>
        <v>0.04</v>
      </c>
      <c r="AA437" s="621">
        <f t="shared" si="72"/>
        <v>0.04</v>
      </c>
      <c r="AB437" s="621">
        <f t="shared" si="72"/>
        <v>0.04</v>
      </c>
      <c r="AC437" s="621">
        <f t="shared" si="72"/>
        <v>0.04</v>
      </c>
      <c r="AD437" s="621">
        <f t="shared" si="72"/>
        <v>0.04</v>
      </c>
      <c r="AE437" s="621">
        <f t="shared" si="72"/>
        <v>0.04</v>
      </c>
      <c r="AF437" s="621">
        <f t="shared" si="72"/>
        <v>0.04</v>
      </c>
      <c r="AG437" s="621">
        <f t="shared" si="72"/>
        <v>0.04</v>
      </c>
      <c r="AH437" s="622">
        <f>C437-((J433+X433+AH433)*C433)</f>
        <v>0.04</v>
      </c>
      <c r="AI437" s="43">
        <f>AI432/AI433</f>
        <v>0</v>
      </c>
      <c r="AJ437" s="472">
        <f>AJ432/AJ433</f>
        <v>0</v>
      </c>
      <c r="AK437" s="44">
        <f>AK432/AK433</f>
        <v>0</v>
      </c>
    </row>
    <row r="438" spans="2:37" x14ac:dyDescent="0.25">
      <c r="B438"/>
    </row>
    <row r="439" spans="2:37" x14ac:dyDescent="0.25">
      <c r="B439"/>
    </row>
    <row r="440" spans="2:37" ht="15.75" thickBot="1" x14ac:dyDescent="0.3">
      <c r="B440" s="143" t="s">
        <v>630</v>
      </c>
      <c r="C440" s="473">
        <f>C3</f>
        <v>1800</v>
      </c>
    </row>
    <row r="441" spans="2:37" x14ac:dyDescent="0.25">
      <c r="H441" s="501" t="s">
        <v>751</v>
      </c>
      <c r="J441" s="501" t="s">
        <v>694</v>
      </c>
      <c r="K441" s="450"/>
    </row>
    <row r="442" spans="2:37" ht="15.75" thickBot="1" x14ac:dyDescent="0.3">
      <c r="B442"/>
      <c r="H442" s="445">
        <f>IF(G445&gt;0,CEILING(N388/G445,1),0)</f>
        <v>482</v>
      </c>
      <c r="J442" s="963">
        <f>J378+1</f>
        <v>1.03</v>
      </c>
    </row>
    <row r="443" spans="2:37" x14ac:dyDescent="0.25">
      <c r="B443" s="580"/>
      <c r="C443" s="574">
        <f>AR495</f>
        <v>41</v>
      </c>
      <c r="D443" s="575"/>
      <c r="E443" s="576"/>
      <c r="F443" s="582"/>
      <c r="G443" s="584"/>
      <c r="H443" s="688">
        <f>IF(E445&gt;=L387,M388,L388)</f>
        <v>480</v>
      </c>
      <c r="I443" s="587"/>
      <c r="J443" s="680"/>
      <c r="K443" s="594">
        <f>J445/100</f>
        <v>7.6968809999999994</v>
      </c>
      <c r="L443" s="623">
        <f>IF(SUM(C434:AH434)&gt;0,HLOOKUP(1,C434:AH437,4,FALSE),0)</f>
        <v>0.04</v>
      </c>
    </row>
    <row r="444" spans="2:37" x14ac:dyDescent="0.25">
      <c r="B444" s="499" t="s">
        <v>633</v>
      </c>
      <c r="C444" s="520" t="s">
        <v>631</v>
      </c>
      <c r="D444" s="23" t="s">
        <v>632</v>
      </c>
      <c r="E444" s="473" t="s">
        <v>99</v>
      </c>
      <c r="F444" s="23" t="s">
        <v>100</v>
      </c>
      <c r="G444" s="585" t="s">
        <v>636</v>
      </c>
      <c r="H444" s="38" t="s">
        <v>634</v>
      </c>
      <c r="I444" s="213" t="s">
        <v>635</v>
      </c>
      <c r="J444" s="588" t="s">
        <v>637</v>
      </c>
      <c r="K444" s="588" t="s">
        <v>638</v>
      </c>
      <c r="L444" s="499" t="s">
        <v>640</v>
      </c>
    </row>
    <row r="445" spans="2:37" ht="15.75" thickBot="1" x14ac:dyDescent="0.3">
      <c r="B445" s="445">
        <f>MIN(D453:AQ492)</f>
        <v>1800</v>
      </c>
      <c r="C445" s="577">
        <f>IF(C443=0,B453,HLOOKUP(C443,D449:AR493,45,FALSE))</f>
        <v>1</v>
      </c>
      <c r="D445" s="578">
        <f>IF(C443=0,D451,HLOOKUP(C443,D449:AR493,3,FALSE))</f>
        <v>1</v>
      </c>
      <c r="E445" s="579">
        <f>IF(C443=0,C453,VLOOKUP(C445,B453:C492,2,FALSE))</f>
        <v>361</v>
      </c>
      <c r="F445" s="578">
        <f>IF(C443=0,D452,HLOOKUP(C443,D449:AR493,4,FALSE))</f>
        <v>1150</v>
      </c>
      <c r="G445" s="586">
        <f>(E445/1000)*(F445/1000)</f>
        <v>0.41514999999999996</v>
      </c>
      <c r="H445" s="583">
        <f>IF(H442&gt;=H443,H442,H443)</f>
        <v>482</v>
      </c>
      <c r="I445" s="578">
        <f>IF(C443=0,H445*C445*D445,0)</f>
        <v>0</v>
      </c>
      <c r="J445" s="589">
        <f>IF(AND(B445&gt;0,B445&gt;=H442),B445*G445*J442, IF(AND(B445&gt;0,B445&lt;H442),H442*G445*J442,H445*G445*J442))</f>
        <v>769.68809999999996</v>
      </c>
      <c r="K445" s="595">
        <f>IF(SUM(C384:G384)&gt;0,K443*(HLOOKUP(1,C384:G388,5,FALSE)+SUM(F389:F398)),0)</f>
        <v>340.20214019999997</v>
      </c>
      <c r="L445" s="624">
        <f>K445*L443</f>
        <v>13.608085608</v>
      </c>
    </row>
    <row r="446" spans="2:37" x14ac:dyDescent="0.25">
      <c r="B446"/>
      <c r="C446" s="2"/>
    </row>
    <row r="447" spans="2:37" x14ac:dyDescent="0.25">
      <c r="B447"/>
      <c r="C447" s="2"/>
    </row>
    <row r="448" spans="2:37" x14ac:dyDescent="0.25">
      <c r="B448" t="s">
        <v>487</v>
      </c>
    </row>
    <row r="449" spans="1:44" x14ac:dyDescent="0.25">
      <c r="A449" s="476"/>
      <c r="B449" s="573"/>
      <c r="C449" s="433"/>
      <c r="D449" s="23">
        <f>IF(D493&gt;0,D450," ")</f>
        <v>41</v>
      </c>
      <c r="E449" s="23" t="str">
        <f t="shared" ref="E449:AR449" si="73">IF(E493&gt;0,E450," ")</f>
        <v xml:space="preserve"> </v>
      </c>
      <c r="F449" s="23" t="str">
        <f t="shared" si="73"/>
        <v xml:space="preserve"> </v>
      </c>
      <c r="G449" s="23" t="str">
        <f t="shared" si="73"/>
        <v xml:space="preserve"> </v>
      </c>
      <c r="H449" s="23" t="str">
        <f t="shared" si="73"/>
        <v xml:space="preserve"> </v>
      </c>
      <c r="I449" s="23" t="str">
        <f t="shared" si="73"/>
        <v xml:space="preserve"> </v>
      </c>
      <c r="J449" s="23" t="str">
        <f t="shared" si="73"/>
        <v xml:space="preserve"> </v>
      </c>
      <c r="K449" s="23" t="str">
        <f t="shared" si="73"/>
        <v xml:space="preserve"> </v>
      </c>
      <c r="L449" s="23" t="str">
        <f t="shared" si="73"/>
        <v xml:space="preserve"> </v>
      </c>
      <c r="M449" s="23" t="str">
        <f t="shared" si="73"/>
        <v xml:space="preserve"> </v>
      </c>
      <c r="N449" s="23" t="str">
        <f t="shared" si="73"/>
        <v xml:space="preserve"> </v>
      </c>
      <c r="O449" s="23" t="str">
        <f t="shared" si="73"/>
        <v xml:space="preserve"> </v>
      </c>
      <c r="P449" s="23" t="str">
        <f t="shared" si="73"/>
        <v xml:space="preserve"> </v>
      </c>
      <c r="Q449" s="23" t="str">
        <f t="shared" si="73"/>
        <v xml:space="preserve"> </v>
      </c>
      <c r="R449" s="23" t="str">
        <f t="shared" si="73"/>
        <v xml:space="preserve"> </v>
      </c>
      <c r="S449" s="23" t="str">
        <f t="shared" si="73"/>
        <v xml:space="preserve"> </v>
      </c>
      <c r="T449" s="23" t="str">
        <f t="shared" si="73"/>
        <v xml:space="preserve"> </v>
      </c>
      <c r="U449" s="23" t="str">
        <f t="shared" si="73"/>
        <v xml:space="preserve"> </v>
      </c>
      <c r="V449" s="23" t="str">
        <f t="shared" si="73"/>
        <v xml:space="preserve"> </v>
      </c>
      <c r="W449" s="23" t="str">
        <f t="shared" si="73"/>
        <v xml:space="preserve"> </v>
      </c>
      <c r="X449" s="23" t="str">
        <f t="shared" si="73"/>
        <v xml:space="preserve"> </v>
      </c>
      <c r="Y449" s="23" t="str">
        <f t="shared" si="73"/>
        <v xml:space="preserve"> </v>
      </c>
      <c r="Z449" s="23" t="str">
        <f t="shared" si="73"/>
        <v xml:space="preserve"> </v>
      </c>
      <c r="AA449" s="23" t="str">
        <f t="shared" si="73"/>
        <v xml:space="preserve"> </v>
      </c>
      <c r="AB449" s="23" t="str">
        <f t="shared" si="73"/>
        <v xml:space="preserve"> </v>
      </c>
      <c r="AC449" s="23" t="str">
        <f t="shared" si="73"/>
        <v xml:space="preserve"> </v>
      </c>
      <c r="AD449" s="23" t="str">
        <f t="shared" si="73"/>
        <v xml:space="preserve"> </v>
      </c>
      <c r="AE449" s="23" t="str">
        <f t="shared" si="73"/>
        <v xml:space="preserve"> </v>
      </c>
      <c r="AF449" s="23" t="str">
        <f t="shared" si="73"/>
        <v xml:space="preserve"> </v>
      </c>
      <c r="AG449" s="23" t="str">
        <f t="shared" si="73"/>
        <v xml:space="preserve"> </v>
      </c>
      <c r="AH449" s="23" t="str">
        <f t="shared" si="73"/>
        <v xml:space="preserve"> </v>
      </c>
      <c r="AI449" s="23" t="str">
        <f t="shared" si="73"/>
        <v xml:space="preserve"> </v>
      </c>
      <c r="AJ449" s="23" t="str">
        <f t="shared" si="73"/>
        <v xml:space="preserve"> </v>
      </c>
      <c r="AK449" s="23" t="str">
        <f t="shared" si="73"/>
        <v xml:space="preserve"> </v>
      </c>
      <c r="AL449" s="23" t="str">
        <f t="shared" si="73"/>
        <v xml:space="preserve"> </v>
      </c>
      <c r="AM449" s="23" t="str">
        <f t="shared" si="73"/>
        <v xml:space="preserve"> </v>
      </c>
      <c r="AN449" s="23" t="str">
        <f t="shared" si="73"/>
        <v xml:space="preserve"> </v>
      </c>
      <c r="AO449" s="23" t="str">
        <f t="shared" si="73"/>
        <v xml:space="preserve"> </v>
      </c>
      <c r="AP449" s="23" t="str">
        <f t="shared" si="73"/>
        <v xml:space="preserve"> </v>
      </c>
      <c r="AQ449" s="23" t="str">
        <f t="shared" si="73"/>
        <v xml:space="preserve"> </v>
      </c>
      <c r="AR449" s="23" t="str">
        <f t="shared" si="73"/>
        <v xml:space="preserve"> </v>
      </c>
    </row>
    <row r="450" spans="1:44" x14ac:dyDescent="0.25">
      <c r="A450" s="6"/>
      <c r="B450"/>
      <c r="C450" s="7"/>
      <c r="D450" s="23">
        <v>41</v>
      </c>
      <c r="E450" s="23">
        <v>40</v>
      </c>
      <c r="F450" s="23">
        <v>39</v>
      </c>
      <c r="G450" s="23">
        <v>38</v>
      </c>
      <c r="H450" s="23">
        <v>37</v>
      </c>
      <c r="I450" s="23">
        <v>36</v>
      </c>
      <c r="J450" s="23">
        <v>35</v>
      </c>
      <c r="K450" s="23">
        <v>34</v>
      </c>
      <c r="L450" s="23">
        <v>33</v>
      </c>
      <c r="M450" s="23">
        <v>32</v>
      </c>
      <c r="N450" s="23">
        <v>31</v>
      </c>
      <c r="O450" s="23">
        <v>30</v>
      </c>
      <c r="P450" s="23">
        <v>29</v>
      </c>
      <c r="Q450" s="23">
        <v>28</v>
      </c>
      <c r="R450" s="23">
        <v>27</v>
      </c>
      <c r="S450" s="23">
        <v>26</v>
      </c>
      <c r="T450" s="23">
        <v>25</v>
      </c>
      <c r="U450" s="23">
        <v>24</v>
      </c>
      <c r="V450" s="23">
        <v>23</v>
      </c>
      <c r="W450" s="23">
        <v>22</v>
      </c>
      <c r="X450" s="23">
        <v>21</v>
      </c>
      <c r="Y450" s="23">
        <v>20</v>
      </c>
      <c r="Z450" s="23">
        <v>19</v>
      </c>
      <c r="AA450" s="23">
        <v>18</v>
      </c>
      <c r="AB450" s="23">
        <v>17</v>
      </c>
      <c r="AC450" s="23">
        <v>16</v>
      </c>
      <c r="AD450" s="23">
        <v>15</v>
      </c>
      <c r="AE450" s="23">
        <v>14</v>
      </c>
      <c r="AF450" s="23">
        <v>13</v>
      </c>
      <c r="AG450" s="23">
        <v>12</v>
      </c>
      <c r="AH450" s="23">
        <v>11</v>
      </c>
      <c r="AI450" s="23">
        <v>10</v>
      </c>
      <c r="AJ450" s="23">
        <v>9</v>
      </c>
      <c r="AK450" s="23">
        <v>8</v>
      </c>
      <c r="AL450" s="23">
        <v>7</v>
      </c>
      <c r="AM450" s="23">
        <v>6</v>
      </c>
      <c r="AN450" s="23">
        <v>5</v>
      </c>
      <c r="AO450" s="23">
        <v>4</v>
      </c>
      <c r="AP450" s="23">
        <v>3</v>
      </c>
      <c r="AQ450" s="23">
        <v>2</v>
      </c>
      <c r="AR450" s="38"/>
    </row>
    <row r="451" spans="1:44" x14ac:dyDescent="0.25">
      <c r="A451" s="6"/>
      <c r="B451"/>
      <c r="C451" s="7"/>
      <c r="D451" s="23">
        <f>C421</f>
        <v>1</v>
      </c>
      <c r="E451" s="23">
        <f>IF(C422&gt;C421,C421+1,0)</f>
        <v>0</v>
      </c>
      <c r="F451" s="23">
        <f>IF(AND($C$422&gt;$C$421,($E$451+1)&lt;=$C$422),$C$421+2,0)</f>
        <v>0</v>
      </c>
      <c r="G451" s="23">
        <f>IF(AND($C$422&gt;$C$421,($E$451+2)&lt;=$C$422),$C$421+3,0)</f>
        <v>0</v>
      </c>
      <c r="H451" s="23">
        <f>IF(AND($C$422&gt;$C$421,($E$451+3)&lt;=$C$422),$C$421+4,0)</f>
        <v>0</v>
      </c>
      <c r="I451" s="23">
        <f>IF(AND($C$422&gt;$C$421,($E$451+4)&lt;=$C$422),$C$421+5,0)</f>
        <v>0</v>
      </c>
      <c r="J451" s="23">
        <f>IF(AND($C$422&gt;$C$421,($E$451+5)&lt;=$C$422),$C$421+6,0)</f>
        <v>0</v>
      </c>
      <c r="K451" s="23">
        <f>IF(AND($C$422&gt;$C$421,($E$451+6)&lt;=$C$422),$C$421+7,0)</f>
        <v>0</v>
      </c>
      <c r="L451" s="23">
        <f>IF(AND($C$422&gt;$C$421,($E$451+8)&lt;=$C$422),$C$421+9,0)</f>
        <v>0</v>
      </c>
      <c r="M451" s="23">
        <f>IF(AND($C$422&gt;$C$421,($E$451+9)&lt;=$C$422),$C$421+10,0)</f>
        <v>0</v>
      </c>
      <c r="N451" s="23">
        <f>IF(AND($C$422&gt;$C$421,($E$451+10)&lt;=$C$422),$C$421+11,0)</f>
        <v>0</v>
      </c>
      <c r="O451" s="23">
        <f>IF(AND($C$422&gt;$C$421,($E$451+11)&lt;=$C$422),$C$421+12,0)</f>
        <v>0</v>
      </c>
      <c r="P451" s="23">
        <f>IF(AND($C$422&gt;$C$421,($E$451+12)&lt;=$C$422),$C$421+13,0)</f>
        <v>0</v>
      </c>
      <c r="Q451" s="23">
        <f>IF(AND($C$422&gt;$C$421,($E$451+13)&lt;=$C$422),$C$421+14,0)</f>
        <v>0</v>
      </c>
      <c r="R451" s="23">
        <f>IF(AND($C$422&gt;$C$421,($E$451+14)&lt;=$C$422),$C$421+15,0)</f>
        <v>0</v>
      </c>
      <c r="S451" s="23">
        <f>IF(AND($C$422&gt;$C$421,($E$451+15)&lt;=$C$422),$C$421+16,0)</f>
        <v>0</v>
      </c>
      <c r="T451" s="23">
        <f>IF(AND($C$422&gt;$C$421,($E$451+16)&lt;=$C$422),$C$421+17,0)</f>
        <v>0</v>
      </c>
      <c r="U451" s="23">
        <f>IF(AND($C$422&gt;$C$421,($E$451+17)&lt;=$C$422),$C$421+18,0)</f>
        <v>0</v>
      </c>
      <c r="V451" s="23">
        <f>IF(AND($C$422&gt;$C$421,($E$451+18)&lt;=$C$422),$C$421+19,0)</f>
        <v>0</v>
      </c>
      <c r="W451" s="23">
        <f>IF(AND($C$422&gt;$C$421,($E$451+19)&lt;=$C$422),$C$421+20,0)</f>
        <v>0</v>
      </c>
      <c r="X451" s="23">
        <f>IF(AND($C$422&gt;$C$421,($E$451+20)&lt;=$C$422),$C$421+21,0)</f>
        <v>0</v>
      </c>
      <c r="Y451" s="23">
        <f>IF(AND($C$422&gt;$C$421,($E$451+21)&lt;=$C$422),$C$421+22,0)</f>
        <v>0</v>
      </c>
      <c r="Z451" s="23">
        <f>IF(AND($C$422&gt;$C$421,($E$451+22)&lt;=$C$422),$C$421+23,0)</f>
        <v>0</v>
      </c>
      <c r="AA451" s="23">
        <f>IF(AND($C$422&gt;$C$421,($E$451+23)&lt;=$C$422),$C$421+24,0)</f>
        <v>0</v>
      </c>
      <c r="AB451" s="23">
        <f>IF(AND($C$422&gt;$C$421,($E$451+24)&lt;=$C$422),$C$421+25,0)</f>
        <v>0</v>
      </c>
      <c r="AC451" s="23">
        <f>IF(AND($C$422&gt;$C$421,($E$451+25)&lt;=$C$422),$C$421+26,0)</f>
        <v>0</v>
      </c>
      <c r="AD451" s="23">
        <f>IF(AND($C$422&gt;$C$421,($E$451+26)&lt;=$C$422),$C$421+27,0)</f>
        <v>0</v>
      </c>
      <c r="AE451" s="23">
        <f>IF(AND($C$422&gt;$C$421,($E$451+27)&lt;=$C$422),$C$421+28,0)</f>
        <v>0</v>
      </c>
      <c r="AF451" s="23">
        <f>IF(AND($C$422&gt;$C$421,($E$451+28)&lt;=$C$422),$C$421+29,0)</f>
        <v>0</v>
      </c>
      <c r="AG451" s="23">
        <f>IF(AND($C$422&gt;$C$421,($E$451+29)&lt;=$C$422),$C$421+30,0)</f>
        <v>0</v>
      </c>
      <c r="AH451" s="23">
        <f>IF(AND($C$422&gt;$C$421,($E$451+30)&lt;=$C$422),$C$421+31,0)</f>
        <v>0</v>
      </c>
      <c r="AI451" s="23">
        <f>IF(AND($C$422&gt;$C$421,($E$451+31)&lt;=$C$422),$C$421+32,0)</f>
        <v>0</v>
      </c>
      <c r="AJ451" s="23">
        <f>IF(AND($C$422&gt;$C$421,($E$451+32)&lt;=$C$422),$C$421+33,0)</f>
        <v>0</v>
      </c>
      <c r="AK451" s="23">
        <f>IF(AND($C$422&gt;$C$421,($E$451+33)&lt;=$C$422),$C$421+34,0)</f>
        <v>0</v>
      </c>
      <c r="AL451" s="23">
        <f>IF(AND($C$422&gt;$C$421,($E$451+34)&lt;=$C$422),$C$421+35,0)</f>
        <v>0</v>
      </c>
      <c r="AM451" s="23">
        <f>IF(AND($C$422&gt;$C$421,($E$451+35)&lt;=$C$422),$C$421+36,0)</f>
        <v>0</v>
      </c>
      <c r="AN451" s="23">
        <f>IF(AND($C$422&gt;$C$421,($E$451+36)&lt;=$C$422),$C$421+37,0)</f>
        <v>0</v>
      </c>
      <c r="AO451" s="23">
        <f>IF(AND($C$422&gt;$C$421,($E$451+37)&lt;=$C$422),$C$421+38,0)</f>
        <v>0</v>
      </c>
      <c r="AP451" s="23">
        <f>IF(AND($C$422&gt;$C$421,($E$451+38)&lt;=$C$422),$C$421+39,0)</f>
        <v>0</v>
      </c>
      <c r="AQ451" s="38">
        <f>IF(AND($C$422&gt;$C$421,($E$451+39)&lt;=$C$422),$C$421+40,0)</f>
        <v>0</v>
      </c>
      <c r="AR451" s="472"/>
    </row>
    <row r="452" spans="1:44" x14ac:dyDescent="0.25">
      <c r="A452" s="415"/>
      <c r="B452" s="320"/>
      <c r="C452" s="951">
        <f>MIN(D453:AQ492)</f>
        <v>1800</v>
      </c>
      <c r="D452" s="23">
        <f>IF(D451&gt;0,(D451*$C$418)+(1*$C$425)+(1*$C$427)+(2*$C$426),0)</f>
        <v>1150</v>
      </c>
      <c r="E452" s="23">
        <f>IF(E451&gt;0,(E451*$C$418)+(1*$C$425)+(1*$C$427)+(2*$C$426),0)</f>
        <v>0</v>
      </c>
      <c r="F452" s="23">
        <f t="shared" ref="F452:AQ452" si="74">IF(F451&gt;0,(F451*$C$418)+(1*$C$425)+(1*$C$427)+(2*$C$426),0)</f>
        <v>0</v>
      </c>
      <c r="G452" s="23">
        <f t="shared" si="74"/>
        <v>0</v>
      </c>
      <c r="H452" s="23">
        <f t="shared" si="74"/>
        <v>0</v>
      </c>
      <c r="I452" s="23">
        <f t="shared" si="74"/>
        <v>0</v>
      </c>
      <c r="J452" s="23">
        <f t="shared" si="74"/>
        <v>0</v>
      </c>
      <c r="K452" s="23">
        <f t="shared" si="74"/>
        <v>0</v>
      </c>
      <c r="L452" s="23">
        <f t="shared" si="74"/>
        <v>0</v>
      </c>
      <c r="M452" s="23">
        <f t="shared" si="74"/>
        <v>0</v>
      </c>
      <c r="N452" s="23">
        <f t="shared" si="74"/>
        <v>0</v>
      </c>
      <c r="O452" s="23">
        <f t="shared" si="74"/>
        <v>0</v>
      </c>
      <c r="P452" s="23">
        <f t="shared" si="74"/>
        <v>0</v>
      </c>
      <c r="Q452" s="23">
        <f t="shared" si="74"/>
        <v>0</v>
      </c>
      <c r="R452" s="23">
        <f t="shared" si="74"/>
        <v>0</v>
      </c>
      <c r="S452" s="23">
        <f t="shared" si="74"/>
        <v>0</v>
      </c>
      <c r="T452" s="23">
        <f t="shared" si="74"/>
        <v>0</v>
      </c>
      <c r="U452" s="23">
        <f t="shared" si="74"/>
        <v>0</v>
      </c>
      <c r="V452" s="23">
        <f t="shared" si="74"/>
        <v>0</v>
      </c>
      <c r="W452" s="23">
        <f t="shared" si="74"/>
        <v>0</v>
      </c>
      <c r="X452" s="23">
        <f t="shared" si="74"/>
        <v>0</v>
      </c>
      <c r="Y452" s="23">
        <f t="shared" si="74"/>
        <v>0</v>
      </c>
      <c r="Z452" s="23">
        <f t="shared" si="74"/>
        <v>0</v>
      </c>
      <c r="AA452" s="23">
        <f t="shared" si="74"/>
        <v>0</v>
      </c>
      <c r="AB452" s="23">
        <f t="shared" si="74"/>
        <v>0</v>
      </c>
      <c r="AC452" s="23">
        <f t="shared" si="74"/>
        <v>0</v>
      </c>
      <c r="AD452" s="23">
        <f t="shared" si="74"/>
        <v>0</v>
      </c>
      <c r="AE452" s="23">
        <f t="shared" si="74"/>
        <v>0</v>
      </c>
      <c r="AF452" s="23">
        <f t="shared" si="74"/>
        <v>0</v>
      </c>
      <c r="AG452" s="23">
        <f t="shared" si="74"/>
        <v>0</v>
      </c>
      <c r="AH452" s="23">
        <f t="shared" si="74"/>
        <v>0</v>
      </c>
      <c r="AI452" s="23">
        <f t="shared" si="74"/>
        <v>0</v>
      </c>
      <c r="AJ452" s="23">
        <f t="shared" si="74"/>
        <v>0</v>
      </c>
      <c r="AK452" s="23">
        <f t="shared" si="74"/>
        <v>0</v>
      </c>
      <c r="AL452" s="23">
        <f t="shared" si="74"/>
        <v>0</v>
      </c>
      <c r="AM452" s="23">
        <f t="shared" si="74"/>
        <v>0</v>
      </c>
      <c r="AN452" s="23">
        <f t="shared" si="74"/>
        <v>0</v>
      </c>
      <c r="AO452" s="23">
        <f t="shared" si="74"/>
        <v>0</v>
      </c>
      <c r="AP452" s="23">
        <f t="shared" si="74"/>
        <v>0</v>
      </c>
      <c r="AQ452" s="23">
        <f t="shared" si="74"/>
        <v>0</v>
      </c>
      <c r="AR452" s="52"/>
    </row>
    <row r="453" spans="1:44" x14ac:dyDescent="0.25">
      <c r="A453" s="12">
        <f>IF(C453=0,0,IF(C453&lt;$L$387,$L$388,$M$388))</f>
        <v>480</v>
      </c>
      <c r="B453" s="12">
        <f>C419</f>
        <v>1</v>
      </c>
      <c r="C453" s="26">
        <f>IF(B453&gt;0,(B453*$C$417)+((B453-1)*$C$423)+(2*$C$424)+(2*$C$426),0)</f>
        <v>361</v>
      </c>
      <c r="D453" s="431">
        <f t="shared" ref="D453:S468" si="75">IF(OR($A453=0,D$451=0)," ",IF(AND($B453&gt;0,D$451&gt;0,FLOOR($C$440/(D$451*$B453),1)&gt;=$A453),FLOOR($C$440/(D$451*$B453),1)," "))</f>
        <v>1800</v>
      </c>
      <c r="E453" s="449" t="str">
        <f t="shared" si="75"/>
        <v xml:space="preserve"> </v>
      </c>
      <c r="F453" s="449" t="str">
        <f t="shared" si="75"/>
        <v xml:space="preserve"> </v>
      </c>
      <c r="G453" s="449" t="str">
        <f t="shared" si="75"/>
        <v xml:space="preserve"> </v>
      </c>
      <c r="H453" s="449" t="str">
        <f t="shared" si="75"/>
        <v xml:space="preserve"> </v>
      </c>
      <c r="I453" s="449" t="str">
        <f t="shared" si="75"/>
        <v xml:space="preserve"> </v>
      </c>
      <c r="J453" s="449" t="str">
        <f t="shared" si="75"/>
        <v xml:space="preserve"> </v>
      </c>
      <c r="K453" s="449" t="str">
        <f t="shared" si="75"/>
        <v xml:space="preserve"> </v>
      </c>
      <c r="L453" s="449" t="str">
        <f t="shared" si="75"/>
        <v xml:space="preserve"> </v>
      </c>
      <c r="M453" s="449" t="str">
        <f t="shared" si="75"/>
        <v xml:space="preserve"> </v>
      </c>
      <c r="N453" s="449" t="str">
        <f t="shared" si="75"/>
        <v xml:space="preserve"> </v>
      </c>
      <c r="O453" s="449" t="str">
        <f t="shared" si="75"/>
        <v xml:space="preserve"> </v>
      </c>
      <c r="P453" s="449" t="str">
        <f t="shared" si="75"/>
        <v xml:space="preserve"> </v>
      </c>
      <c r="Q453" s="449" t="str">
        <f t="shared" si="75"/>
        <v xml:space="preserve"> </v>
      </c>
      <c r="R453" s="449" t="str">
        <f t="shared" si="75"/>
        <v xml:space="preserve"> </v>
      </c>
      <c r="S453" s="449" t="str">
        <f t="shared" si="75"/>
        <v xml:space="preserve"> </v>
      </c>
      <c r="T453" s="449" t="str">
        <f t="shared" ref="T453:AI468" si="76">IF(OR($A453=0,T$451=0)," ",IF(AND($B453&gt;0,T$451&gt;0,FLOOR($C$440/(T$451*$B453),1)&gt;=$A453),FLOOR($C$440/(T$451*$B453),1)," "))</f>
        <v xml:space="preserve"> </v>
      </c>
      <c r="U453" s="449" t="str">
        <f t="shared" si="76"/>
        <v xml:space="preserve"> </v>
      </c>
      <c r="V453" s="449" t="str">
        <f t="shared" si="76"/>
        <v xml:space="preserve"> </v>
      </c>
      <c r="W453" s="449" t="str">
        <f t="shared" si="76"/>
        <v xml:space="preserve"> </v>
      </c>
      <c r="X453" s="449" t="str">
        <f t="shared" si="76"/>
        <v xml:space="preserve"> </v>
      </c>
      <c r="Y453" s="449" t="str">
        <f t="shared" si="76"/>
        <v xml:space="preserve"> </v>
      </c>
      <c r="Z453" s="449" t="str">
        <f t="shared" si="76"/>
        <v xml:space="preserve"> </v>
      </c>
      <c r="AA453" s="449" t="str">
        <f t="shared" si="76"/>
        <v xml:space="preserve"> </v>
      </c>
      <c r="AB453" s="449" t="str">
        <f t="shared" si="76"/>
        <v xml:space="preserve"> </v>
      </c>
      <c r="AC453" s="449" t="str">
        <f t="shared" si="76"/>
        <v xml:space="preserve"> </v>
      </c>
      <c r="AD453" s="449" t="str">
        <f t="shared" si="76"/>
        <v xml:space="preserve"> </v>
      </c>
      <c r="AE453" s="449" t="str">
        <f t="shared" si="76"/>
        <v xml:space="preserve"> </v>
      </c>
      <c r="AF453" s="449" t="str">
        <f t="shared" si="76"/>
        <v xml:space="preserve"> </v>
      </c>
      <c r="AG453" s="449" t="str">
        <f t="shared" si="76"/>
        <v xml:space="preserve"> </v>
      </c>
      <c r="AH453" s="449" t="str">
        <f t="shared" si="76"/>
        <v xml:space="preserve"> </v>
      </c>
      <c r="AI453" s="449" t="str">
        <f t="shared" si="76"/>
        <v xml:space="preserve"> </v>
      </c>
      <c r="AJ453" s="449" t="str">
        <f t="shared" ref="AH453:AQ468" si="77">IF(OR($A453=0,AJ$451=0)," ",IF(AND($B453&gt;0,AJ$451&gt;0,FLOOR($C$440/(AJ$451*$B453),1)&gt;=$A453),FLOOR($C$440/(AJ$451*$B453),1)," "))</f>
        <v xml:space="preserve"> </v>
      </c>
      <c r="AK453" s="449" t="str">
        <f t="shared" si="77"/>
        <v xml:space="preserve"> </v>
      </c>
      <c r="AL453" s="449" t="str">
        <f t="shared" si="77"/>
        <v xml:space="preserve"> </v>
      </c>
      <c r="AM453" s="449" t="str">
        <f t="shared" si="77"/>
        <v xml:space="preserve"> </v>
      </c>
      <c r="AN453" s="449" t="str">
        <f t="shared" si="77"/>
        <v xml:space="preserve"> </v>
      </c>
      <c r="AO453" s="449" t="str">
        <f t="shared" si="77"/>
        <v xml:space="preserve"> </v>
      </c>
      <c r="AP453" s="449" t="str">
        <f t="shared" si="77"/>
        <v xml:space="preserve"> </v>
      </c>
      <c r="AQ453" s="435" t="str">
        <f t="shared" si="77"/>
        <v xml:space="preserve"> </v>
      </c>
      <c r="AR453" s="442">
        <f>B453</f>
        <v>1</v>
      </c>
    </row>
    <row r="454" spans="1:44" x14ac:dyDescent="0.25">
      <c r="A454" s="12">
        <f t="shared" ref="A454:A492" si="78">IF(C454=0,0,IF(C454&lt;$L$387,$L$388,$M$388))</f>
        <v>0</v>
      </c>
      <c r="B454" s="12">
        <f>IF(C420&gt;C419,C419+1,0)</f>
        <v>0</v>
      </c>
      <c r="C454" s="26">
        <f>IF(B454&gt;0,(B454*$C$417)+((B454-1)*$C$423)+(2*$C$424)+(2*$C$426),0)</f>
        <v>0</v>
      </c>
      <c r="D454" s="26" t="str">
        <f t="shared" si="75"/>
        <v xml:space="preserve"> </v>
      </c>
      <c r="E454" s="2" t="str">
        <f t="shared" si="75"/>
        <v xml:space="preserve"> </v>
      </c>
      <c r="F454" s="2" t="str">
        <f t="shared" si="75"/>
        <v xml:space="preserve"> </v>
      </c>
      <c r="G454" s="2" t="str">
        <f t="shared" si="75"/>
        <v xml:space="preserve"> </v>
      </c>
      <c r="H454" s="2" t="str">
        <f t="shared" si="75"/>
        <v xml:space="preserve"> </v>
      </c>
      <c r="I454" s="2" t="str">
        <f t="shared" si="75"/>
        <v xml:space="preserve"> </v>
      </c>
      <c r="J454" s="2" t="str">
        <f t="shared" si="75"/>
        <v xml:space="preserve"> </v>
      </c>
      <c r="K454" s="2" t="str">
        <f t="shared" si="75"/>
        <v xml:space="preserve"> </v>
      </c>
      <c r="L454" s="2" t="str">
        <f t="shared" si="75"/>
        <v xml:space="preserve"> </v>
      </c>
      <c r="M454" s="2" t="str">
        <f t="shared" si="75"/>
        <v xml:space="preserve"> </v>
      </c>
      <c r="N454" s="2" t="str">
        <f t="shared" si="75"/>
        <v xml:space="preserve"> </v>
      </c>
      <c r="O454" s="2" t="str">
        <f t="shared" si="75"/>
        <v xml:space="preserve"> </v>
      </c>
      <c r="P454" s="2" t="str">
        <f t="shared" si="75"/>
        <v xml:space="preserve"> </v>
      </c>
      <c r="Q454" s="2" t="str">
        <f t="shared" si="75"/>
        <v xml:space="preserve"> </v>
      </c>
      <c r="R454" s="2" t="str">
        <f t="shared" si="75"/>
        <v xml:space="preserve"> </v>
      </c>
      <c r="S454" s="2" t="str">
        <f t="shared" si="75"/>
        <v xml:space="preserve"> </v>
      </c>
      <c r="T454" s="2" t="str">
        <f t="shared" si="76"/>
        <v xml:space="preserve"> </v>
      </c>
      <c r="U454" s="2" t="str">
        <f t="shared" si="76"/>
        <v xml:space="preserve"> </v>
      </c>
      <c r="V454" s="2" t="str">
        <f t="shared" si="76"/>
        <v xml:space="preserve"> </v>
      </c>
      <c r="W454" s="2" t="str">
        <f t="shared" si="76"/>
        <v xml:space="preserve"> </v>
      </c>
      <c r="X454" s="2" t="str">
        <f t="shared" si="76"/>
        <v xml:space="preserve"> </v>
      </c>
      <c r="Y454" s="2" t="str">
        <f t="shared" si="76"/>
        <v xml:space="preserve"> </v>
      </c>
      <c r="Z454" s="2" t="str">
        <f t="shared" si="76"/>
        <v xml:space="preserve"> </v>
      </c>
      <c r="AA454" s="2" t="str">
        <f t="shared" si="76"/>
        <v xml:space="preserve"> </v>
      </c>
      <c r="AB454" s="2" t="str">
        <f t="shared" si="76"/>
        <v xml:space="preserve"> </v>
      </c>
      <c r="AC454" s="2" t="str">
        <f t="shared" si="76"/>
        <v xml:space="preserve"> </v>
      </c>
      <c r="AD454" s="2" t="str">
        <f t="shared" si="76"/>
        <v xml:space="preserve"> </v>
      </c>
      <c r="AE454" s="2" t="str">
        <f t="shared" si="76"/>
        <v xml:space="preserve"> </v>
      </c>
      <c r="AF454" s="2" t="str">
        <f t="shared" si="76"/>
        <v xml:space="preserve"> </v>
      </c>
      <c r="AG454" s="2" t="str">
        <f t="shared" si="76"/>
        <v xml:space="preserve"> </v>
      </c>
      <c r="AH454" s="2" t="str">
        <f t="shared" si="77"/>
        <v xml:space="preserve"> </v>
      </c>
      <c r="AI454" s="2" t="str">
        <f t="shared" si="77"/>
        <v xml:space="preserve"> </v>
      </c>
      <c r="AJ454" s="2" t="str">
        <f t="shared" si="77"/>
        <v xml:space="preserve"> </v>
      </c>
      <c r="AK454" s="2" t="str">
        <f t="shared" si="77"/>
        <v xml:space="preserve"> </v>
      </c>
      <c r="AL454" s="2" t="str">
        <f t="shared" si="77"/>
        <v xml:space="preserve"> </v>
      </c>
      <c r="AM454" s="2" t="str">
        <f t="shared" si="77"/>
        <v xml:space="preserve"> </v>
      </c>
      <c r="AN454" s="2" t="str">
        <f t="shared" si="77"/>
        <v xml:space="preserve"> </v>
      </c>
      <c r="AO454" s="2" t="str">
        <f t="shared" si="77"/>
        <v xml:space="preserve"> </v>
      </c>
      <c r="AP454" s="2" t="str">
        <f t="shared" si="77"/>
        <v xml:space="preserve"> </v>
      </c>
      <c r="AQ454" s="25" t="str">
        <f t="shared" si="77"/>
        <v xml:space="preserve"> </v>
      </c>
      <c r="AR454" s="12">
        <f t="shared" ref="AR454:AR492" si="79">B454</f>
        <v>0</v>
      </c>
    </row>
    <row r="455" spans="1:44" x14ac:dyDescent="0.25">
      <c r="A455" s="12">
        <f t="shared" si="78"/>
        <v>0</v>
      </c>
      <c r="B455" s="12">
        <f>IF(AND($C$420&gt;$C$419,($B$454+1)&lt;=$C$420),$C$419+2,0)</f>
        <v>0</v>
      </c>
      <c r="C455" s="26">
        <f>IF(B455&gt;0,(B455*$C$417)+((B455-1)*$C$423)+(2*$C$424)+(2*$C$426),0)</f>
        <v>0</v>
      </c>
      <c r="D455" s="26" t="str">
        <f t="shared" si="75"/>
        <v xml:space="preserve"> </v>
      </c>
      <c r="E455" s="2" t="str">
        <f t="shared" si="75"/>
        <v xml:space="preserve"> </v>
      </c>
      <c r="F455" s="2" t="str">
        <f t="shared" si="75"/>
        <v xml:space="preserve"> </v>
      </c>
      <c r="G455" s="2" t="str">
        <f t="shared" si="75"/>
        <v xml:space="preserve"> </v>
      </c>
      <c r="H455" s="2" t="str">
        <f t="shared" si="75"/>
        <v xml:space="preserve"> </v>
      </c>
      <c r="I455" s="2" t="str">
        <f t="shared" si="75"/>
        <v xml:space="preserve"> </v>
      </c>
      <c r="J455" s="2" t="str">
        <f t="shared" si="75"/>
        <v xml:space="preserve"> </v>
      </c>
      <c r="K455" s="2" t="str">
        <f t="shared" si="75"/>
        <v xml:space="preserve"> </v>
      </c>
      <c r="L455" s="2" t="str">
        <f t="shared" si="75"/>
        <v xml:space="preserve"> </v>
      </c>
      <c r="M455" s="2" t="str">
        <f t="shared" si="75"/>
        <v xml:space="preserve"> </v>
      </c>
      <c r="N455" s="2" t="str">
        <f t="shared" si="75"/>
        <v xml:space="preserve"> </v>
      </c>
      <c r="O455" s="2" t="str">
        <f t="shared" si="75"/>
        <v xml:space="preserve"> </v>
      </c>
      <c r="P455" s="2" t="str">
        <f t="shared" si="75"/>
        <v xml:space="preserve"> </v>
      </c>
      <c r="Q455" s="2" t="str">
        <f t="shared" si="75"/>
        <v xml:space="preserve"> </v>
      </c>
      <c r="R455" s="2" t="str">
        <f t="shared" si="75"/>
        <v xml:space="preserve"> </v>
      </c>
      <c r="S455" s="2" t="str">
        <f t="shared" si="75"/>
        <v xml:space="preserve"> </v>
      </c>
      <c r="T455" s="2" t="str">
        <f t="shared" si="76"/>
        <v xml:space="preserve"> </v>
      </c>
      <c r="U455" s="2" t="str">
        <f t="shared" si="76"/>
        <v xml:space="preserve"> </v>
      </c>
      <c r="V455" s="2" t="str">
        <f t="shared" si="76"/>
        <v xml:space="preserve"> </v>
      </c>
      <c r="W455" s="2" t="str">
        <f t="shared" si="76"/>
        <v xml:space="preserve"> </v>
      </c>
      <c r="X455" s="2" t="str">
        <f t="shared" si="76"/>
        <v xml:space="preserve"> </v>
      </c>
      <c r="Y455" s="2" t="str">
        <f t="shared" si="76"/>
        <v xml:space="preserve"> </v>
      </c>
      <c r="Z455" s="2" t="str">
        <f t="shared" si="76"/>
        <v xml:space="preserve"> </v>
      </c>
      <c r="AA455" s="2" t="str">
        <f t="shared" si="76"/>
        <v xml:space="preserve"> </v>
      </c>
      <c r="AB455" s="2" t="str">
        <f t="shared" si="76"/>
        <v xml:space="preserve"> </v>
      </c>
      <c r="AC455" s="2" t="str">
        <f t="shared" si="76"/>
        <v xml:space="preserve"> </v>
      </c>
      <c r="AD455" s="2" t="str">
        <f t="shared" si="76"/>
        <v xml:space="preserve"> </v>
      </c>
      <c r="AE455" s="2" t="str">
        <f t="shared" si="76"/>
        <v xml:space="preserve"> </v>
      </c>
      <c r="AF455" s="2" t="str">
        <f t="shared" si="76"/>
        <v xml:space="preserve"> </v>
      </c>
      <c r="AG455" s="2" t="str">
        <f t="shared" si="76"/>
        <v xml:space="preserve"> </v>
      </c>
      <c r="AH455" s="2" t="str">
        <f t="shared" si="77"/>
        <v xml:space="preserve"> </v>
      </c>
      <c r="AI455" s="2" t="str">
        <f t="shared" si="77"/>
        <v xml:space="preserve"> </v>
      </c>
      <c r="AJ455" s="2" t="str">
        <f t="shared" si="77"/>
        <v xml:space="preserve"> </v>
      </c>
      <c r="AK455" s="2" t="str">
        <f t="shared" si="77"/>
        <v xml:space="preserve"> </v>
      </c>
      <c r="AL455" s="2" t="str">
        <f t="shared" si="77"/>
        <v xml:space="preserve"> </v>
      </c>
      <c r="AM455" s="2" t="str">
        <f t="shared" si="77"/>
        <v xml:space="preserve"> </v>
      </c>
      <c r="AN455" s="2" t="str">
        <f t="shared" si="77"/>
        <v xml:space="preserve"> </v>
      </c>
      <c r="AO455" s="2" t="str">
        <f t="shared" si="77"/>
        <v xml:space="preserve"> </v>
      </c>
      <c r="AP455" s="2" t="str">
        <f t="shared" si="77"/>
        <v xml:space="preserve"> </v>
      </c>
      <c r="AQ455" s="25" t="str">
        <f t="shared" si="77"/>
        <v xml:space="preserve"> </v>
      </c>
      <c r="AR455" s="12">
        <f t="shared" si="79"/>
        <v>0</v>
      </c>
    </row>
    <row r="456" spans="1:44" x14ac:dyDescent="0.25">
      <c r="A456" s="12">
        <f t="shared" si="78"/>
        <v>0</v>
      </c>
      <c r="B456" s="12">
        <f>IF(AND($C$420&gt;$C$419,($B$454+2)&lt;=$C$420),$C$419+3,0)</f>
        <v>0</v>
      </c>
      <c r="C456" s="26">
        <f>IF(B456&gt;0,(B456*$C$417)+((B456-1)*$C$423)+(2*$C$424)+(2*$C$426),0)</f>
        <v>0</v>
      </c>
      <c r="D456" s="26" t="str">
        <f t="shared" si="75"/>
        <v xml:space="preserve"> </v>
      </c>
      <c r="E456" s="2" t="str">
        <f t="shared" si="75"/>
        <v xml:space="preserve"> </v>
      </c>
      <c r="F456" s="2" t="str">
        <f t="shared" si="75"/>
        <v xml:space="preserve"> </v>
      </c>
      <c r="G456" s="2" t="str">
        <f t="shared" si="75"/>
        <v xml:space="preserve"> </v>
      </c>
      <c r="H456" s="2" t="str">
        <f t="shared" si="75"/>
        <v xml:space="preserve"> </v>
      </c>
      <c r="I456" s="2" t="str">
        <f t="shared" si="75"/>
        <v xml:space="preserve"> </v>
      </c>
      <c r="J456" s="2" t="str">
        <f t="shared" si="75"/>
        <v xml:space="preserve"> </v>
      </c>
      <c r="K456" s="2" t="str">
        <f t="shared" si="75"/>
        <v xml:space="preserve"> </v>
      </c>
      <c r="L456" s="2" t="str">
        <f t="shared" si="75"/>
        <v xml:space="preserve"> </v>
      </c>
      <c r="M456" s="2" t="str">
        <f t="shared" si="75"/>
        <v xml:space="preserve"> </v>
      </c>
      <c r="N456" s="2" t="str">
        <f t="shared" si="75"/>
        <v xml:space="preserve"> </v>
      </c>
      <c r="O456" s="2" t="str">
        <f t="shared" si="75"/>
        <v xml:space="preserve"> </v>
      </c>
      <c r="P456" s="2" t="str">
        <f t="shared" si="75"/>
        <v xml:space="preserve"> </v>
      </c>
      <c r="Q456" s="2" t="str">
        <f t="shared" si="75"/>
        <v xml:space="preserve"> </v>
      </c>
      <c r="R456" s="2" t="str">
        <f t="shared" si="75"/>
        <v xml:space="preserve"> </v>
      </c>
      <c r="S456" s="2" t="str">
        <f t="shared" si="75"/>
        <v xml:space="preserve"> </v>
      </c>
      <c r="T456" s="2" t="str">
        <f t="shared" si="76"/>
        <v xml:space="preserve"> </v>
      </c>
      <c r="U456" s="2" t="str">
        <f t="shared" si="76"/>
        <v xml:space="preserve"> </v>
      </c>
      <c r="V456" s="2" t="str">
        <f t="shared" si="76"/>
        <v xml:space="preserve"> </v>
      </c>
      <c r="W456" s="2" t="str">
        <f t="shared" si="76"/>
        <v xml:space="preserve"> </v>
      </c>
      <c r="X456" s="2" t="str">
        <f t="shared" si="76"/>
        <v xml:space="preserve"> </v>
      </c>
      <c r="Y456" s="2" t="str">
        <f t="shared" si="76"/>
        <v xml:space="preserve"> </v>
      </c>
      <c r="Z456" s="2" t="str">
        <f t="shared" si="76"/>
        <v xml:space="preserve"> </v>
      </c>
      <c r="AA456" s="2" t="str">
        <f t="shared" si="76"/>
        <v xml:space="preserve"> </v>
      </c>
      <c r="AB456" s="2" t="str">
        <f t="shared" si="76"/>
        <v xml:space="preserve"> </v>
      </c>
      <c r="AC456" s="2" t="str">
        <f t="shared" si="76"/>
        <v xml:space="preserve"> </v>
      </c>
      <c r="AD456" s="2" t="str">
        <f t="shared" si="76"/>
        <v xml:space="preserve"> </v>
      </c>
      <c r="AE456" s="2" t="str">
        <f t="shared" si="76"/>
        <v xml:space="preserve"> </v>
      </c>
      <c r="AF456" s="2" t="str">
        <f t="shared" si="76"/>
        <v xml:space="preserve"> </v>
      </c>
      <c r="AG456" s="2" t="str">
        <f t="shared" si="76"/>
        <v xml:space="preserve"> </v>
      </c>
      <c r="AH456" s="2" t="str">
        <f t="shared" si="77"/>
        <v xml:space="preserve"> </v>
      </c>
      <c r="AI456" s="2" t="str">
        <f t="shared" si="77"/>
        <v xml:space="preserve"> </v>
      </c>
      <c r="AJ456" s="2" t="str">
        <f t="shared" si="77"/>
        <v xml:space="preserve"> </v>
      </c>
      <c r="AK456" s="2" t="str">
        <f t="shared" si="77"/>
        <v xml:space="preserve"> </v>
      </c>
      <c r="AL456" s="2" t="str">
        <f t="shared" si="77"/>
        <v xml:space="preserve"> </v>
      </c>
      <c r="AM456" s="2" t="str">
        <f t="shared" si="77"/>
        <v xml:space="preserve"> </v>
      </c>
      <c r="AN456" s="2" t="str">
        <f t="shared" si="77"/>
        <v xml:space="preserve"> </v>
      </c>
      <c r="AO456" s="2" t="str">
        <f t="shared" si="77"/>
        <v xml:space="preserve"> </v>
      </c>
      <c r="AP456" s="2" t="str">
        <f t="shared" si="77"/>
        <v xml:space="preserve"> </v>
      </c>
      <c r="AQ456" s="25" t="str">
        <f t="shared" si="77"/>
        <v xml:space="preserve"> </v>
      </c>
      <c r="AR456" s="12">
        <f t="shared" si="79"/>
        <v>0</v>
      </c>
    </row>
    <row r="457" spans="1:44" x14ac:dyDescent="0.25">
      <c r="A457" s="12">
        <f t="shared" si="78"/>
        <v>0</v>
      </c>
      <c r="B457" s="12">
        <f>IF(AND($C$420&gt;$C$419,($B$454+3)&lt;=$C$420),$C$419+4,0)</f>
        <v>0</v>
      </c>
      <c r="C457" s="26">
        <f t="shared" ref="C457:C492" si="80">IF(B457&gt;0,(B457*$C$417)+((B457-1)*$C$423)+(2*$C$424)+(2*$C$426),0)</f>
        <v>0</v>
      </c>
      <c r="D457" s="26" t="str">
        <f t="shared" si="75"/>
        <v xml:space="preserve"> </v>
      </c>
      <c r="E457" s="2" t="str">
        <f t="shared" si="75"/>
        <v xml:space="preserve"> </v>
      </c>
      <c r="F457" s="2" t="str">
        <f t="shared" si="75"/>
        <v xml:space="preserve"> </v>
      </c>
      <c r="G457" s="2" t="str">
        <f t="shared" si="75"/>
        <v xml:space="preserve"> </v>
      </c>
      <c r="H457" s="2" t="str">
        <f t="shared" si="75"/>
        <v xml:space="preserve"> </v>
      </c>
      <c r="I457" s="2" t="str">
        <f t="shared" si="75"/>
        <v xml:space="preserve"> </v>
      </c>
      <c r="J457" s="2" t="str">
        <f t="shared" si="75"/>
        <v xml:space="preserve"> </v>
      </c>
      <c r="K457" s="2" t="str">
        <f t="shared" si="75"/>
        <v xml:space="preserve"> </v>
      </c>
      <c r="L457" s="2" t="str">
        <f t="shared" si="75"/>
        <v xml:space="preserve"> </v>
      </c>
      <c r="M457" s="2" t="str">
        <f t="shared" si="75"/>
        <v xml:space="preserve"> </v>
      </c>
      <c r="N457" s="2" t="str">
        <f t="shared" si="75"/>
        <v xml:space="preserve"> </v>
      </c>
      <c r="O457" s="2" t="str">
        <f t="shared" si="75"/>
        <v xml:space="preserve"> </v>
      </c>
      <c r="P457" s="2" t="str">
        <f t="shared" si="75"/>
        <v xml:space="preserve"> </v>
      </c>
      <c r="Q457" s="2" t="str">
        <f t="shared" si="75"/>
        <v xml:space="preserve"> </v>
      </c>
      <c r="R457" s="2" t="str">
        <f t="shared" si="75"/>
        <v xml:space="preserve"> </v>
      </c>
      <c r="S457" s="2" t="str">
        <f t="shared" si="75"/>
        <v xml:space="preserve"> </v>
      </c>
      <c r="T457" s="2" t="str">
        <f t="shared" si="76"/>
        <v xml:space="preserve"> </v>
      </c>
      <c r="U457" s="2" t="str">
        <f t="shared" si="76"/>
        <v xml:space="preserve"> </v>
      </c>
      <c r="V457" s="2" t="str">
        <f t="shared" si="76"/>
        <v xml:space="preserve"> </v>
      </c>
      <c r="W457" s="2" t="str">
        <f t="shared" si="76"/>
        <v xml:space="preserve"> </v>
      </c>
      <c r="X457" s="2" t="str">
        <f t="shared" si="76"/>
        <v xml:space="preserve"> </v>
      </c>
      <c r="Y457" s="2" t="str">
        <f t="shared" si="76"/>
        <v xml:space="preserve"> </v>
      </c>
      <c r="Z457" s="2" t="str">
        <f t="shared" si="76"/>
        <v xml:space="preserve"> </v>
      </c>
      <c r="AA457" s="2" t="str">
        <f t="shared" si="76"/>
        <v xml:space="preserve"> </v>
      </c>
      <c r="AB457" s="2" t="str">
        <f t="shared" si="76"/>
        <v xml:space="preserve"> </v>
      </c>
      <c r="AC457" s="2" t="str">
        <f t="shared" si="76"/>
        <v xml:space="preserve"> </v>
      </c>
      <c r="AD457" s="2" t="str">
        <f t="shared" si="76"/>
        <v xml:space="preserve"> </v>
      </c>
      <c r="AE457" s="2" t="str">
        <f t="shared" si="76"/>
        <v xml:space="preserve"> </v>
      </c>
      <c r="AF457" s="2" t="str">
        <f t="shared" si="76"/>
        <v xml:space="preserve"> </v>
      </c>
      <c r="AG457" s="2" t="str">
        <f t="shared" si="76"/>
        <v xml:space="preserve"> </v>
      </c>
      <c r="AH457" s="2" t="str">
        <f t="shared" si="77"/>
        <v xml:space="preserve"> </v>
      </c>
      <c r="AI457" s="2" t="str">
        <f t="shared" si="77"/>
        <v xml:space="preserve"> </v>
      </c>
      <c r="AJ457" s="2" t="str">
        <f t="shared" si="77"/>
        <v xml:space="preserve"> </v>
      </c>
      <c r="AK457" s="2" t="str">
        <f t="shared" si="77"/>
        <v xml:space="preserve"> </v>
      </c>
      <c r="AL457" s="2" t="str">
        <f t="shared" si="77"/>
        <v xml:space="preserve"> </v>
      </c>
      <c r="AM457" s="2" t="str">
        <f t="shared" si="77"/>
        <v xml:space="preserve"> </v>
      </c>
      <c r="AN457" s="2" t="str">
        <f t="shared" si="77"/>
        <v xml:space="preserve"> </v>
      </c>
      <c r="AO457" s="2" t="str">
        <f t="shared" si="77"/>
        <v xml:space="preserve"> </v>
      </c>
      <c r="AP457" s="2" t="str">
        <f t="shared" si="77"/>
        <v xml:space="preserve"> </v>
      </c>
      <c r="AQ457" s="25" t="str">
        <f t="shared" si="77"/>
        <v xml:space="preserve"> </v>
      </c>
      <c r="AR457" s="12">
        <f t="shared" si="79"/>
        <v>0</v>
      </c>
    </row>
    <row r="458" spans="1:44" x14ac:dyDescent="0.25">
      <c r="A458" s="12">
        <f t="shared" si="78"/>
        <v>0</v>
      </c>
      <c r="B458" s="12">
        <f>IF(AND($C$420&gt;$C$419,($B$454+4)&lt;=$C$420),$C$419+5,0)</f>
        <v>0</v>
      </c>
      <c r="C458" s="26">
        <f t="shared" si="80"/>
        <v>0</v>
      </c>
      <c r="D458" s="26" t="str">
        <f t="shared" si="75"/>
        <v xml:space="preserve"> </v>
      </c>
      <c r="E458" s="2" t="str">
        <f t="shared" si="75"/>
        <v xml:space="preserve"> </v>
      </c>
      <c r="F458" s="2" t="str">
        <f t="shared" si="75"/>
        <v xml:space="preserve"> </v>
      </c>
      <c r="G458" s="2" t="str">
        <f t="shared" si="75"/>
        <v xml:space="preserve"> </v>
      </c>
      <c r="H458" s="2" t="str">
        <f t="shared" si="75"/>
        <v xml:space="preserve"> </v>
      </c>
      <c r="I458" s="2" t="str">
        <f t="shared" si="75"/>
        <v xml:space="preserve"> </v>
      </c>
      <c r="J458" s="2" t="str">
        <f t="shared" si="75"/>
        <v xml:space="preserve"> </v>
      </c>
      <c r="K458" s="2" t="str">
        <f t="shared" si="75"/>
        <v xml:space="preserve"> </v>
      </c>
      <c r="L458" s="2" t="str">
        <f t="shared" si="75"/>
        <v xml:space="preserve"> </v>
      </c>
      <c r="M458" s="2" t="str">
        <f t="shared" si="75"/>
        <v xml:space="preserve"> </v>
      </c>
      <c r="N458" s="2" t="str">
        <f t="shared" si="75"/>
        <v xml:space="preserve"> </v>
      </c>
      <c r="O458" s="2" t="str">
        <f t="shared" si="75"/>
        <v xml:space="preserve"> </v>
      </c>
      <c r="P458" s="2" t="str">
        <f t="shared" si="75"/>
        <v xml:space="preserve"> </v>
      </c>
      <c r="Q458" s="2" t="str">
        <f t="shared" si="75"/>
        <v xml:space="preserve"> </v>
      </c>
      <c r="R458" s="2" t="str">
        <f t="shared" si="75"/>
        <v xml:space="preserve"> </v>
      </c>
      <c r="S458" s="2" t="str">
        <f t="shared" si="75"/>
        <v xml:space="preserve"> </v>
      </c>
      <c r="T458" s="2" t="str">
        <f t="shared" si="76"/>
        <v xml:space="preserve"> </v>
      </c>
      <c r="U458" s="2" t="str">
        <f t="shared" si="76"/>
        <v xml:space="preserve"> </v>
      </c>
      <c r="V458" s="2" t="str">
        <f t="shared" si="76"/>
        <v xml:space="preserve"> </v>
      </c>
      <c r="W458" s="2" t="str">
        <f t="shared" si="76"/>
        <v xml:space="preserve"> </v>
      </c>
      <c r="X458" s="2" t="str">
        <f t="shared" si="76"/>
        <v xml:space="preserve"> </v>
      </c>
      <c r="Y458" s="2" t="str">
        <f t="shared" si="76"/>
        <v xml:space="preserve"> </v>
      </c>
      <c r="Z458" s="2" t="str">
        <f t="shared" si="76"/>
        <v xml:space="preserve"> </v>
      </c>
      <c r="AA458" s="2" t="str">
        <f t="shared" si="76"/>
        <v xml:space="preserve"> </v>
      </c>
      <c r="AB458" s="2" t="str">
        <f t="shared" si="76"/>
        <v xml:space="preserve"> </v>
      </c>
      <c r="AC458" s="2" t="str">
        <f t="shared" si="76"/>
        <v xml:space="preserve"> </v>
      </c>
      <c r="AD458" s="2" t="str">
        <f t="shared" si="76"/>
        <v xml:space="preserve"> </v>
      </c>
      <c r="AE458" s="2" t="str">
        <f t="shared" si="76"/>
        <v xml:space="preserve"> </v>
      </c>
      <c r="AF458" s="2" t="str">
        <f t="shared" si="76"/>
        <v xml:space="preserve"> </v>
      </c>
      <c r="AG458" s="2" t="str">
        <f t="shared" si="76"/>
        <v xml:space="preserve"> </v>
      </c>
      <c r="AH458" s="2" t="str">
        <f t="shared" si="77"/>
        <v xml:space="preserve"> </v>
      </c>
      <c r="AI458" s="2" t="str">
        <f t="shared" si="77"/>
        <v xml:space="preserve"> </v>
      </c>
      <c r="AJ458" s="2" t="str">
        <f t="shared" si="77"/>
        <v xml:space="preserve"> </v>
      </c>
      <c r="AK458" s="2" t="str">
        <f t="shared" si="77"/>
        <v xml:space="preserve"> </v>
      </c>
      <c r="AL458" s="2" t="str">
        <f t="shared" si="77"/>
        <v xml:space="preserve"> </v>
      </c>
      <c r="AM458" s="2" t="str">
        <f t="shared" si="77"/>
        <v xml:space="preserve"> </v>
      </c>
      <c r="AN458" s="2" t="str">
        <f t="shared" si="77"/>
        <v xml:space="preserve"> </v>
      </c>
      <c r="AO458" s="2" t="str">
        <f t="shared" si="77"/>
        <v xml:space="preserve"> </v>
      </c>
      <c r="AP458" s="2" t="str">
        <f t="shared" si="77"/>
        <v xml:space="preserve"> </v>
      </c>
      <c r="AQ458" s="25" t="str">
        <f t="shared" si="77"/>
        <v xml:space="preserve"> </v>
      </c>
      <c r="AR458" s="12">
        <f t="shared" si="79"/>
        <v>0</v>
      </c>
    </row>
    <row r="459" spans="1:44" x14ac:dyDescent="0.25">
      <c r="A459" s="12">
        <f t="shared" si="78"/>
        <v>0</v>
      </c>
      <c r="B459" s="12">
        <f>IF(AND($C$420&gt;$C$419,($B$454+5)&lt;=$C$420),$C$419+6,0)</f>
        <v>0</v>
      </c>
      <c r="C459" s="26">
        <f t="shared" si="80"/>
        <v>0</v>
      </c>
      <c r="D459" s="26" t="str">
        <f t="shared" si="75"/>
        <v xml:space="preserve"> </v>
      </c>
      <c r="E459" s="2" t="str">
        <f t="shared" si="75"/>
        <v xml:space="preserve"> </v>
      </c>
      <c r="F459" s="2" t="str">
        <f t="shared" si="75"/>
        <v xml:space="preserve"> </v>
      </c>
      <c r="G459" s="2" t="str">
        <f t="shared" si="75"/>
        <v xml:space="preserve"> </v>
      </c>
      <c r="H459" s="2" t="str">
        <f t="shared" si="75"/>
        <v xml:space="preserve"> </v>
      </c>
      <c r="I459" s="2" t="str">
        <f t="shared" si="75"/>
        <v xml:space="preserve"> </v>
      </c>
      <c r="J459" s="2" t="str">
        <f t="shared" si="75"/>
        <v xml:space="preserve"> </v>
      </c>
      <c r="K459" s="2" t="str">
        <f t="shared" si="75"/>
        <v xml:space="preserve"> </v>
      </c>
      <c r="L459" s="2" t="str">
        <f t="shared" si="75"/>
        <v xml:space="preserve"> </v>
      </c>
      <c r="M459" s="2" t="str">
        <f t="shared" si="75"/>
        <v xml:space="preserve"> </v>
      </c>
      <c r="N459" s="2" t="str">
        <f t="shared" si="75"/>
        <v xml:space="preserve"> </v>
      </c>
      <c r="O459" s="2" t="str">
        <f t="shared" si="75"/>
        <v xml:space="preserve"> </v>
      </c>
      <c r="P459" s="2" t="str">
        <f t="shared" si="75"/>
        <v xml:space="preserve"> </v>
      </c>
      <c r="Q459" s="2" t="str">
        <f t="shared" si="75"/>
        <v xml:space="preserve"> </v>
      </c>
      <c r="R459" s="2" t="str">
        <f t="shared" si="75"/>
        <v xml:space="preserve"> </v>
      </c>
      <c r="S459" s="2" t="str">
        <f t="shared" si="75"/>
        <v xml:space="preserve"> </v>
      </c>
      <c r="T459" s="2" t="str">
        <f t="shared" si="76"/>
        <v xml:space="preserve"> </v>
      </c>
      <c r="U459" s="2" t="str">
        <f t="shared" si="76"/>
        <v xml:space="preserve"> </v>
      </c>
      <c r="V459" s="2" t="str">
        <f t="shared" si="76"/>
        <v xml:space="preserve"> </v>
      </c>
      <c r="W459" s="2" t="str">
        <f t="shared" si="76"/>
        <v xml:space="preserve"> </v>
      </c>
      <c r="X459" s="2" t="str">
        <f t="shared" si="76"/>
        <v xml:space="preserve"> </v>
      </c>
      <c r="Y459" s="2" t="str">
        <f t="shared" si="76"/>
        <v xml:space="preserve"> </v>
      </c>
      <c r="Z459" s="2" t="str">
        <f t="shared" si="76"/>
        <v xml:space="preserve"> </v>
      </c>
      <c r="AA459" s="2" t="str">
        <f t="shared" si="76"/>
        <v xml:space="preserve"> </v>
      </c>
      <c r="AB459" s="2" t="str">
        <f t="shared" si="76"/>
        <v xml:space="preserve"> </v>
      </c>
      <c r="AC459" s="2" t="str">
        <f t="shared" si="76"/>
        <v xml:space="preserve"> </v>
      </c>
      <c r="AD459" s="2" t="str">
        <f t="shared" si="76"/>
        <v xml:space="preserve"> </v>
      </c>
      <c r="AE459" s="2" t="str">
        <f t="shared" si="76"/>
        <v xml:space="preserve"> </v>
      </c>
      <c r="AF459" s="2" t="str">
        <f t="shared" si="76"/>
        <v xml:space="preserve"> </v>
      </c>
      <c r="AG459" s="2" t="str">
        <f t="shared" si="76"/>
        <v xml:space="preserve"> </v>
      </c>
      <c r="AH459" s="2" t="str">
        <f t="shared" si="77"/>
        <v xml:space="preserve"> </v>
      </c>
      <c r="AI459" s="2" t="str">
        <f t="shared" si="77"/>
        <v xml:space="preserve"> </v>
      </c>
      <c r="AJ459" s="2" t="str">
        <f t="shared" si="77"/>
        <v xml:space="preserve"> </v>
      </c>
      <c r="AK459" s="2" t="str">
        <f t="shared" si="77"/>
        <v xml:space="preserve"> </v>
      </c>
      <c r="AL459" s="2" t="str">
        <f t="shared" si="77"/>
        <v xml:space="preserve"> </v>
      </c>
      <c r="AM459" s="2" t="str">
        <f t="shared" si="77"/>
        <v xml:space="preserve"> </v>
      </c>
      <c r="AN459" s="2" t="str">
        <f t="shared" si="77"/>
        <v xml:space="preserve"> </v>
      </c>
      <c r="AO459" s="2" t="str">
        <f t="shared" si="77"/>
        <v xml:space="preserve"> </v>
      </c>
      <c r="AP459" s="2" t="str">
        <f t="shared" si="77"/>
        <v xml:space="preserve"> </v>
      </c>
      <c r="AQ459" s="25" t="str">
        <f t="shared" si="77"/>
        <v xml:space="preserve"> </v>
      </c>
      <c r="AR459" s="12">
        <f t="shared" si="79"/>
        <v>0</v>
      </c>
    </row>
    <row r="460" spans="1:44" x14ac:dyDescent="0.25">
      <c r="A460" s="12">
        <f t="shared" si="78"/>
        <v>0</v>
      </c>
      <c r="B460" s="12">
        <f>IF(AND($C$420&gt;$C$419,($B$454+6)&lt;=$C$420),$C$419+7,0)</f>
        <v>0</v>
      </c>
      <c r="C460" s="26">
        <f t="shared" si="80"/>
        <v>0</v>
      </c>
      <c r="D460" s="26" t="str">
        <f t="shared" si="75"/>
        <v xml:space="preserve"> </v>
      </c>
      <c r="E460" s="2" t="str">
        <f t="shared" si="75"/>
        <v xml:space="preserve"> </v>
      </c>
      <c r="F460" s="2" t="str">
        <f t="shared" si="75"/>
        <v xml:space="preserve"> </v>
      </c>
      <c r="G460" s="2" t="str">
        <f t="shared" si="75"/>
        <v xml:space="preserve"> </v>
      </c>
      <c r="H460" s="2" t="str">
        <f t="shared" si="75"/>
        <v xml:space="preserve"> </v>
      </c>
      <c r="I460" s="2" t="str">
        <f t="shared" si="75"/>
        <v xml:space="preserve"> </v>
      </c>
      <c r="J460" s="2" t="str">
        <f t="shared" si="75"/>
        <v xml:space="preserve"> </v>
      </c>
      <c r="K460" s="2" t="str">
        <f t="shared" si="75"/>
        <v xml:space="preserve"> </v>
      </c>
      <c r="L460" s="2" t="str">
        <f t="shared" si="75"/>
        <v xml:space="preserve"> </v>
      </c>
      <c r="M460" s="2" t="str">
        <f t="shared" si="75"/>
        <v xml:space="preserve"> </v>
      </c>
      <c r="N460" s="2" t="str">
        <f t="shared" si="75"/>
        <v xml:space="preserve"> </v>
      </c>
      <c r="O460" s="2" t="str">
        <f t="shared" si="75"/>
        <v xml:space="preserve"> </v>
      </c>
      <c r="P460" s="2" t="str">
        <f t="shared" si="75"/>
        <v xml:space="preserve"> </v>
      </c>
      <c r="Q460" s="2" t="str">
        <f t="shared" si="75"/>
        <v xml:space="preserve"> </v>
      </c>
      <c r="R460" s="2" t="str">
        <f t="shared" si="75"/>
        <v xml:space="preserve"> </v>
      </c>
      <c r="S460" s="2" t="str">
        <f t="shared" si="75"/>
        <v xml:space="preserve"> </v>
      </c>
      <c r="T460" s="2" t="str">
        <f t="shared" si="76"/>
        <v xml:space="preserve"> </v>
      </c>
      <c r="U460" s="2" t="str">
        <f t="shared" si="76"/>
        <v xml:space="preserve"> </v>
      </c>
      <c r="V460" s="2" t="str">
        <f t="shared" si="76"/>
        <v xml:space="preserve"> </v>
      </c>
      <c r="W460" s="2" t="str">
        <f t="shared" si="76"/>
        <v xml:space="preserve"> </v>
      </c>
      <c r="X460" s="2" t="str">
        <f t="shared" si="76"/>
        <v xml:space="preserve"> </v>
      </c>
      <c r="Y460" s="2" t="str">
        <f t="shared" si="76"/>
        <v xml:space="preserve"> </v>
      </c>
      <c r="Z460" s="2" t="str">
        <f t="shared" si="76"/>
        <v xml:space="preserve"> </v>
      </c>
      <c r="AA460" s="2" t="str">
        <f t="shared" si="76"/>
        <v xml:space="preserve"> </v>
      </c>
      <c r="AB460" s="2" t="str">
        <f t="shared" si="76"/>
        <v xml:space="preserve"> </v>
      </c>
      <c r="AC460" s="2" t="str">
        <f t="shared" si="76"/>
        <v xml:space="preserve"> </v>
      </c>
      <c r="AD460" s="2" t="str">
        <f t="shared" si="76"/>
        <v xml:space="preserve"> </v>
      </c>
      <c r="AE460" s="2" t="str">
        <f t="shared" si="76"/>
        <v xml:space="preserve"> </v>
      </c>
      <c r="AF460" s="2" t="str">
        <f t="shared" si="76"/>
        <v xml:space="preserve"> </v>
      </c>
      <c r="AG460" s="2" t="str">
        <f t="shared" si="76"/>
        <v xml:space="preserve"> </v>
      </c>
      <c r="AH460" s="2" t="str">
        <f t="shared" si="77"/>
        <v xml:space="preserve"> </v>
      </c>
      <c r="AI460" s="2" t="str">
        <f t="shared" si="77"/>
        <v xml:space="preserve"> </v>
      </c>
      <c r="AJ460" s="2" t="str">
        <f t="shared" si="77"/>
        <v xml:space="preserve"> </v>
      </c>
      <c r="AK460" s="2" t="str">
        <f t="shared" si="77"/>
        <v xml:space="preserve"> </v>
      </c>
      <c r="AL460" s="2" t="str">
        <f t="shared" si="77"/>
        <v xml:space="preserve"> </v>
      </c>
      <c r="AM460" s="2" t="str">
        <f t="shared" si="77"/>
        <v xml:space="preserve"> </v>
      </c>
      <c r="AN460" s="2" t="str">
        <f t="shared" si="77"/>
        <v xml:space="preserve"> </v>
      </c>
      <c r="AO460" s="2" t="str">
        <f t="shared" si="77"/>
        <v xml:space="preserve"> </v>
      </c>
      <c r="AP460" s="2" t="str">
        <f t="shared" si="77"/>
        <v xml:space="preserve"> </v>
      </c>
      <c r="AQ460" s="25" t="str">
        <f t="shared" si="77"/>
        <v xml:space="preserve"> </v>
      </c>
      <c r="AR460" s="12">
        <f t="shared" si="79"/>
        <v>0</v>
      </c>
    </row>
    <row r="461" spans="1:44" x14ac:dyDescent="0.25">
      <c r="A461" s="12">
        <f t="shared" si="78"/>
        <v>0</v>
      </c>
      <c r="B461" s="12">
        <f>IF(AND($C$420&gt;$C$419,($B$454+7)&lt;=$C$420),$C$419+8,0)</f>
        <v>0</v>
      </c>
      <c r="C461" s="26">
        <f t="shared" si="80"/>
        <v>0</v>
      </c>
      <c r="D461" s="26" t="str">
        <f t="shared" si="75"/>
        <v xml:space="preserve"> </v>
      </c>
      <c r="E461" s="2" t="str">
        <f t="shared" si="75"/>
        <v xml:space="preserve"> </v>
      </c>
      <c r="F461" s="2" t="str">
        <f t="shared" si="75"/>
        <v xml:space="preserve"> </v>
      </c>
      <c r="G461" s="2" t="str">
        <f t="shared" si="75"/>
        <v xml:space="preserve"> </v>
      </c>
      <c r="H461" s="2" t="str">
        <f t="shared" si="75"/>
        <v xml:space="preserve"> </v>
      </c>
      <c r="I461" s="2" t="str">
        <f t="shared" si="75"/>
        <v xml:space="preserve"> </v>
      </c>
      <c r="J461" s="2" t="str">
        <f t="shared" si="75"/>
        <v xml:space="preserve"> </v>
      </c>
      <c r="K461" s="2" t="str">
        <f t="shared" si="75"/>
        <v xml:space="preserve"> </v>
      </c>
      <c r="L461" s="2" t="str">
        <f t="shared" si="75"/>
        <v xml:space="preserve"> </v>
      </c>
      <c r="M461" s="2" t="str">
        <f t="shared" si="75"/>
        <v xml:space="preserve"> </v>
      </c>
      <c r="N461" s="2" t="str">
        <f t="shared" si="75"/>
        <v xml:space="preserve"> </v>
      </c>
      <c r="O461" s="2" t="str">
        <f t="shared" si="75"/>
        <v xml:space="preserve"> </v>
      </c>
      <c r="P461" s="2" t="str">
        <f t="shared" si="75"/>
        <v xml:space="preserve"> </v>
      </c>
      <c r="Q461" s="2" t="str">
        <f t="shared" si="75"/>
        <v xml:space="preserve"> </v>
      </c>
      <c r="R461" s="2" t="str">
        <f t="shared" si="75"/>
        <v xml:space="preserve"> </v>
      </c>
      <c r="S461" s="2" t="str">
        <f t="shared" si="75"/>
        <v xml:space="preserve"> </v>
      </c>
      <c r="T461" s="2" t="str">
        <f t="shared" si="76"/>
        <v xml:space="preserve"> </v>
      </c>
      <c r="U461" s="2" t="str">
        <f t="shared" si="76"/>
        <v xml:space="preserve"> </v>
      </c>
      <c r="V461" s="2" t="str">
        <f t="shared" si="76"/>
        <v xml:space="preserve"> </v>
      </c>
      <c r="W461" s="2" t="str">
        <f t="shared" si="76"/>
        <v xml:space="preserve"> </v>
      </c>
      <c r="X461" s="2" t="str">
        <f t="shared" si="76"/>
        <v xml:space="preserve"> </v>
      </c>
      <c r="Y461" s="2" t="str">
        <f t="shared" si="76"/>
        <v xml:space="preserve"> </v>
      </c>
      <c r="Z461" s="2" t="str">
        <f t="shared" si="76"/>
        <v xml:space="preserve"> </v>
      </c>
      <c r="AA461" s="2" t="str">
        <f t="shared" si="76"/>
        <v xml:space="preserve"> </v>
      </c>
      <c r="AB461" s="2" t="str">
        <f t="shared" si="76"/>
        <v xml:space="preserve"> </v>
      </c>
      <c r="AC461" s="2" t="str">
        <f t="shared" si="76"/>
        <v xml:space="preserve"> </v>
      </c>
      <c r="AD461" s="2" t="str">
        <f t="shared" si="76"/>
        <v xml:space="preserve"> </v>
      </c>
      <c r="AE461" s="2" t="str">
        <f t="shared" si="76"/>
        <v xml:space="preserve"> </v>
      </c>
      <c r="AF461" s="2" t="str">
        <f t="shared" si="76"/>
        <v xml:space="preserve"> </v>
      </c>
      <c r="AG461" s="2" t="str">
        <f t="shared" si="76"/>
        <v xml:space="preserve"> </v>
      </c>
      <c r="AH461" s="2" t="str">
        <f t="shared" si="77"/>
        <v xml:space="preserve"> </v>
      </c>
      <c r="AI461" s="2" t="str">
        <f t="shared" si="77"/>
        <v xml:space="preserve"> </v>
      </c>
      <c r="AJ461" s="2" t="str">
        <f t="shared" si="77"/>
        <v xml:space="preserve"> </v>
      </c>
      <c r="AK461" s="2" t="str">
        <f t="shared" si="77"/>
        <v xml:space="preserve"> </v>
      </c>
      <c r="AL461" s="2" t="str">
        <f t="shared" si="77"/>
        <v xml:space="preserve"> </v>
      </c>
      <c r="AM461" s="2" t="str">
        <f t="shared" si="77"/>
        <v xml:space="preserve"> </v>
      </c>
      <c r="AN461" s="2" t="str">
        <f t="shared" si="77"/>
        <v xml:space="preserve"> </v>
      </c>
      <c r="AO461" s="2" t="str">
        <f t="shared" si="77"/>
        <v xml:space="preserve"> </v>
      </c>
      <c r="AP461" s="2" t="str">
        <f t="shared" si="77"/>
        <v xml:space="preserve"> </v>
      </c>
      <c r="AQ461" s="25" t="str">
        <f t="shared" si="77"/>
        <v xml:space="preserve"> </v>
      </c>
      <c r="AR461" s="12">
        <f t="shared" si="79"/>
        <v>0</v>
      </c>
    </row>
    <row r="462" spans="1:44" x14ac:dyDescent="0.25">
      <c r="A462" s="12">
        <f t="shared" si="78"/>
        <v>0</v>
      </c>
      <c r="B462" s="12">
        <f>IF(AND($C$420&gt;$C$419,($B$454+8)&lt;=$C$420),$C$419+9,0)</f>
        <v>0</v>
      </c>
      <c r="C462" s="26">
        <f t="shared" si="80"/>
        <v>0</v>
      </c>
      <c r="D462" s="26" t="str">
        <f t="shared" si="75"/>
        <v xml:space="preserve"> </v>
      </c>
      <c r="E462" s="2" t="str">
        <f t="shared" si="75"/>
        <v xml:space="preserve"> </v>
      </c>
      <c r="F462" s="2" t="str">
        <f t="shared" si="75"/>
        <v xml:space="preserve"> </v>
      </c>
      <c r="G462" s="2" t="str">
        <f t="shared" si="75"/>
        <v xml:space="preserve"> </v>
      </c>
      <c r="H462" s="2" t="str">
        <f t="shared" si="75"/>
        <v xml:space="preserve"> </v>
      </c>
      <c r="I462" s="2" t="str">
        <f t="shared" si="75"/>
        <v xml:space="preserve"> </v>
      </c>
      <c r="J462" s="2" t="str">
        <f t="shared" si="75"/>
        <v xml:space="preserve"> </v>
      </c>
      <c r="K462" s="2" t="str">
        <f t="shared" si="75"/>
        <v xml:space="preserve"> </v>
      </c>
      <c r="L462" s="2" t="str">
        <f t="shared" si="75"/>
        <v xml:space="preserve"> </v>
      </c>
      <c r="M462" s="2" t="str">
        <f t="shared" si="75"/>
        <v xml:space="preserve"> </v>
      </c>
      <c r="N462" s="2" t="str">
        <f t="shared" si="75"/>
        <v xml:space="preserve"> </v>
      </c>
      <c r="O462" s="2" t="str">
        <f t="shared" si="75"/>
        <v xml:space="preserve"> </v>
      </c>
      <c r="P462" s="2" t="str">
        <f t="shared" si="75"/>
        <v xml:space="preserve"> </v>
      </c>
      <c r="Q462" s="2" t="str">
        <f t="shared" si="75"/>
        <v xml:space="preserve"> </v>
      </c>
      <c r="R462" s="2" t="str">
        <f t="shared" si="75"/>
        <v xml:space="preserve"> </v>
      </c>
      <c r="S462" s="2" t="str">
        <f t="shared" si="75"/>
        <v xml:space="preserve"> </v>
      </c>
      <c r="T462" s="2" t="str">
        <f t="shared" si="76"/>
        <v xml:space="preserve"> </v>
      </c>
      <c r="U462" s="2" t="str">
        <f t="shared" si="76"/>
        <v xml:space="preserve"> </v>
      </c>
      <c r="V462" s="2" t="str">
        <f t="shared" si="76"/>
        <v xml:space="preserve"> </v>
      </c>
      <c r="W462" s="2" t="str">
        <f t="shared" si="76"/>
        <v xml:space="preserve"> </v>
      </c>
      <c r="X462" s="2" t="str">
        <f t="shared" si="76"/>
        <v xml:space="preserve"> </v>
      </c>
      <c r="Y462" s="2" t="str">
        <f t="shared" si="76"/>
        <v xml:space="preserve"> </v>
      </c>
      <c r="Z462" s="2" t="str">
        <f t="shared" si="76"/>
        <v xml:space="preserve"> </v>
      </c>
      <c r="AA462" s="2" t="str">
        <f t="shared" si="76"/>
        <v xml:space="preserve"> </v>
      </c>
      <c r="AB462" s="2" t="str">
        <f t="shared" si="76"/>
        <v xml:space="preserve"> </v>
      </c>
      <c r="AC462" s="2" t="str">
        <f t="shared" si="76"/>
        <v xml:space="preserve"> </v>
      </c>
      <c r="AD462" s="2" t="str">
        <f t="shared" si="76"/>
        <v xml:space="preserve"> </v>
      </c>
      <c r="AE462" s="2" t="str">
        <f t="shared" si="76"/>
        <v xml:space="preserve"> </v>
      </c>
      <c r="AF462" s="2" t="str">
        <f t="shared" si="76"/>
        <v xml:space="preserve"> </v>
      </c>
      <c r="AG462" s="2" t="str">
        <f t="shared" si="76"/>
        <v xml:space="preserve"> </v>
      </c>
      <c r="AH462" s="2" t="str">
        <f t="shared" si="77"/>
        <v xml:space="preserve"> </v>
      </c>
      <c r="AI462" s="2" t="str">
        <f t="shared" si="77"/>
        <v xml:space="preserve"> </v>
      </c>
      <c r="AJ462" s="2" t="str">
        <f t="shared" si="77"/>
        <v xml:space="preserve"> </v>
      </c>
      <c r="AK462" s="2" t="str">
        <f t="shared" si="77"/>
        <v xml:space="preserve"> </v>
      </c>
      <c r="AL462" s="2" t="str">
        <f t="shared" si="77"/>
        <v xml:space="preserve"> </v>
      </c>
      <c r="AM462" s="2" t="str">
        <f t="shared" si="77"/>
        <v xml:space="preserve"> </v>
      </c>
      <c r="AN462" s="2" t="str">
        <f t="shared" si="77"/>
        <v xml:space="preserve"> </v>
      </c>
      <c r="AO462" s="2" t="str">
        <f t="shared" si="77"/>
        <v xml:space="preserve"> </v>
      </c>
      <c r="AP462" s="2" t="str">
        <f t="shared" si="77"/>
        <v xml:space="preserve"> </v>
      </c>
      <c r="AQ462" s="25" t="str">
        <f t="shared" si="77"/>
        <v xml:space="preserve"> </v>
      </c>
      <c r="AR462" s="12">
        <f t="shared" si="79"/>
        <v>0</v>
      </c>
    </row>
    <row r="463" spans="1:44" x14ac:dyDescent="0.25">
      <c r="A463" s="12">
        <f t="shared" si="78"/>
        <v>0</v>
      </c>
      <c r="B463" s="12">
        <f>IF(AND($C$420&gt;$C$419,($B$454+9)&lt;=$C$420),$C$419+10,0)</f>
        <v>0</v>
      </c>
      <c r="C463" s="26">
        <f t="shared" si="80"/>
        <v>0</v>
      </c>
      <c r="D463" s="26" t="str">
        <f t="shared" si="75"/>
        <v xml:space="preserve"> </v>
      </c>
      <c r="E463" s="2" t="str">
        <f t="shared" si="75"/>
        <v xml:space="preserve"> </v>
      </c>
      <c r="F463" s="2" t="str">
        <f t="shared" si="75"/>
        <v xml:space="preserve"> </v>
      </c>
      <c r="G463" s="2" t="str">
        <f t="shared" si="75"/>
        <v xml:space="preserve"> </v>
      </c>
      <c r="H463" s="2" t="str">
        <f t="shared" si="75"/>
        <v xml:space="preserve"> </v>
      </c>
      <c r="I463" s="2" t="str">
        <f t="shared" si="75"/>
        <v xml:space="preserve"> </v>
      </c>
      <c r="J463" s="2" t="str">
        <f t="shared" si="75"/>
        <v xml:space="preserve"> </v>
      </c>
      <c r="K463" s="2" t="str">
        <f t="shared" si="75"/>
        <v xml:space="preserve"> </v>
      </c>
      <c r="L463" s="2" t="str">
        <f t="shared" si="75"/>
        <v xml:space="preserve"> </v>
      </c>
      <c r="M463" s="2" t="str">
        <f t="shared" si="75"/>
        <v xml:space="preserve"> </v>
      </c>
      <c r="N463" s="2" t="str">
        <f t="shared" si="75"/>
        <v xml:space="preserve"> </v>
      </c>
      <c r="O463" s="2" t="str">
        <f t="shared" si="75"/>
        <v xml:space="preserve"> </v>
      </c>
      <c r="P463" s="2" t="str">
        <f t="shared" si="75"/>
        <v xml:space="preserve"> </v>
      </c>
      <c r="Q463" s="2" t="str">
        <f t="shared" si="75"/>
        <v xml:space="preserve"> </v>
      </c>
      <c r="R463" s="2" t="str">
        <f t="shared" si="75"/>
        <v xml:space="preserve"> </v>
      </c>
      <c r="S463" s="2" t="str">
        <f t="shared" si="75"/>
        <v xml:space="preserve"> </v>
      </c>
      <c r="T463" s="2" t="str">
        <f t="shared" si="76"/>
        <v xml:space="preserve"> </v>
      </c>
      <c r="U463" s="2" t="str">
        <f t="shared" si="76"/>
        <v xml:space="preserve"> </v>
      </c>
      <c r="V463" s="2" t="str">
        <f t="shared" si="76"/>
        <v xml:space="preserve"> </v>
      </c>
      <c r="W463" s="2" t="str">
        <f t="shared" si="76"/>
        <v xml:space="preserve"> </v>
      </c>
      <c r="X463" s="2" t="str">
        <f t="shared" si="76"/>
        <v xml:space="preserve"> </v>
      </c>
      <c r="Y463" s="2" t="str">
        <f t="shared" si="76"/>
        <v xml:space="preserve"> </v>
      </c>
      <c r="Z463" s="2" t="str">
        <f t="shared" si="76"/>
        <v xml:space="preserve"> </v>
      </c>
      <c r="AA463" s="2" t="str">
        <f t="shared" si="76"/>
        <v xml:space="preserve"> </v>
      </c>
      <c r="AB463" s="2" t="str">
        <f t="shared" si="76"/>
        <v xml:space="preserve"> </v>
      </c>
      <c r="AC463" s="2" t="str">
        <f t="shared" si="76"/>
        <v xml:space="preserve"> </v>
      </c>
      <c r="AD463" s="2" t="str">
        <f t="shared" si="76"/>
        <v xml:space="preserve"> </v>
      </c>
      <c r="AE463" s="2" t="str">
        <f t="shared" si="76"/>
        <v xml:space="preserve"> </v>
      </c>
      <c r="AF463" s="2" t="str">
        <f t="shared" si="76"/>
        <v xml:space="preserve"> </v>
      </c>
      <c r="AG463" s="2" t="str">
        <f t="shared" si="76"/>
        <v xml:space="preserve"> </v>
      </c>
      <c r="AH463" s="2" t="str">
        <f t="shared" si="77"/>
        <v xml:space="preserve"> </v>
      </c>
      <c r="AI463" s="2" t="str">
        <f t="shared" si="77"/>
        <v xml:space="preserve"> </v>
      </c>
      <c r="AJ463" s="2" t="str">
        <f t="shared" si="77"/>
        <v xml:space="preserve"> </v>
      </c>
      <c r="AK463" s="2" t="str">
        <f t="shared" si="77"/>
        <v xml:space="preserve"> </v>
      </c>
      <c r="AL463" s="2" t="str">
        <f t="shared" si="77"/>
        <v xml:space="preserve"> </v>
      </c>
      <c r="AM463" s="2" t="str">
        <f t="shared" si="77"/>
        <v xml:space="preserve"> </v>
      </c>
      <c r="AN463" s="2" t="str">
        <f t="shared" si="77"/>
        <v xml:space="preserve"> </v>
      </c>
      <c r="AO463" s="2" t="str">
        <f t="shared" si="77"/>
        <v xml:space="preserve"> </v>
      </c>
      <c r="AP463" s="2" t="str">
        <f t="shared" si="77"/>
        <v xml:space="preserve"> </v>
      </c>
      <c r="AQ463" s="25" t="str">
        <f t="shared" si="77"/>
        <v xml:space="preserve"> </v>
      </c>
      <c r="AR463" s="12">
        <f t="shared" si="79"/>
        <v>0</v>
      </c>
    </row>
    <row r="464" spans="1:44" x14ac:dyDescent="0.25">
      <c r="A464" s="12">
        <f t="shared" si="78"/>
        <v>0</v>
      </c>
      <c r="B464" s="12">
        <f>IF(AND($C$420&gt;$C$419,($B$454+10)&lt;=$C$420),$C$419+11,0)</f>
        <v>0</v>
      </c>
      <c r="C464" s="26">
        <f t="shared" si="80"/>
        <v>0</v>
      </c>
      <c r="D464" s="26" t="str">
        <f t="shared" si="75"/>
        <v xml:space="preserve"> </v>
      </c>
      <c r="E464" s="2" t="str">
        <f t="shared" si="75"/>
        <v xml:space="preserve"> </v>
      </c>
      <c r="F464" s="2" t="str">
        <f t="shared" si="75"/>
        <v xml:space="preserve"> </v>
      </c>
      <c r="G464" s="2" t="str">
        <f t="shared" si="75"/>
        <v xml:space="preserve"> </v>
      </c>
      <c r="H464" s="2" t="str">
        <f t="shared" si="75"/>
        <v xml:space="preserve"> </v>
      </c>
      <c r="I464" s="2" t="str">
        <f t="shared" si="75"/>
        <v xml:space="preserve"> </v>
      </c>
      <c r="J464" s="2" t="str">
        <f t="shared" si="75"/>
        <v xml:space="preserve"> </v>
      </c>
      <c r="K464" s="2" t="str">
        <f t="shared" si="75"/>
        <v xml:space="preserve"> </v>
      </c>
      <c r="L464" s="2" t="str">
        <f t="shared" si="75"/>
        <v xml:space="preserve"> </v>
      </c>
      <c r="M464" s="2" t="str">
        <f t="shared" si="75"/>
        <v xml:space="preserve"> </v>
      </c>
      <c r="N464" s="2" t="str">
        <f t="shared" si="75"/>
        <v xml:space="preserve"> </v>
      </c>
      <c r="O464" s="2" t="str">
        <f t="shared" si="75"/>
        <v xml:space="preserve"> </v>
      </c>
      <c r="P464" s="2" t="str">
        <f t="shared" si="75"/>
        <v xml:space="preserve"> </v>
      </c>
      <c r="Q464" s="2" t="str">
        <f t="shared" si="75"/>
        <v xml:space="preserve"> </v>
      </c>
      <c r="R464" s="2" t="str">
        <f t="shared" si="75"/>
        <v xml:space="preserve"> </v>
      </c>
      <c r="S464" s="2" t="str">
        <f t="shared" si="75"/>
        <v xml:space="preserve"> </v>
      </c>
      <c r="T464" s="2" t="str">
        <f t="shared" si="76"/>
        <v xml:space="preserve"> </v>
      </c>
      <c r="U464" s="2" t="str">
        <f t="shared" si="76"/>
        <v xml:space="preserve"> </v>
      </c>
      <c r="V464" s="2" t="str">
        <f t="shared" si="76"/>
        <v xml:space="preserve"> </v>
      </c>
      <c r="W464" s="2" t="str">
        <f t="shared" si="76"/>
        <v xml:space="preserve"> </v>
      </c>
      <c r="X464" s="2" t="str">
        <f t="shared" si="76"/>
        <v xml:space="preserve"> </v>
      </c>
      <c r="Y464" s="2" t="str">
        <f t="shared" si="76"/>
        <v xml:space="preserve"> </v>
      </c>
      <c r="Z464" s="2" t="str">
        <f t="shared" si="76"/>
        <v xml:space="preserve"> </v>
      </c>
      <c r="AA464" s="2" t="str">
        <f t="shared" si="76"/>
        <v xml:space="preserve"> </v>
      </c>
      <c r="AB464" s="2" t="str">
        <f t="shared" si="76"/>
        <v xml:space="preserve"> </v>
      </c>
      <c r="AC464" s="2" t="str">
        <f t="shared" si="76"/>
        <v xml:space="preserve"> </v>
      </c>
      <c r="AD464" s="2" t="str">
        <f t="shared" si="76"/>
        <v xml:space="preserve"> </v>
      </c>
      <c r="AE464" s="2" t="str">
        <f t="shared" si="76"/>
        <v xml:space="preserve"> </v>
      </c>
      <c r="AF464" s="2" t="str">
        <f t="shared" si="76"/>
        <v xml:space="preserve"> </v>
      </c>
      <c r="AG464" s="2" t="str">
        <f t="shared" si="76"/>
        <v xml:space="preserve"> </v>
      </c>
      <c r="AH464" s="2" t="str">
        <f t="shared" si="77"/>
        <v xml:space="preserve"> </v>
      </c>
      <c r="AI464" s="2" t="str">
        <f t="shared" si="77"/>
        <v xml:space="preserve"> </v>
      </c>
      <c r="AJ464" s="2" t="str">
        <f t="shared" si="77"/>
        <v xml:space="preserve"> </v>
      </c>
      <c r="AK464" s="2" t="str">
        <f t="shared" si="77"/>
        <v xml:space="preserve"> </v>
      </c>
      <c r="AL464" s="2" t="str">
        <f t="shared" si="77"/>
        <v xml:space="preserve"> </v>
      </c>
      <c r="AM464" s="2" t="str">
        <f t="shared" si="77"/>
        <v xml:space="preserve"> </v>
      </c>
      <c r="AN464" s="2" t="str">
        <f t="shared" si="77"/>
        <v xml:space="preserve"> </v>
      </c>
      <c r="AO464" s="2" t="str">
        <f t="shared" si="77"/>
        <v xml:space="preserve"> </v>
      </c>
      <c r="AP464" s="2" t="str">
        <f t="shared" si="77"/>
        <v xml:space="preserve"> </v>
      </c>
      <c r="AQ464" s="25" t="str">
        <f t="shared" si="77"/>
        <v xml:space="preserve"> </v>
      </c>
      <c r="AR464" s="12">
        <f t="shared" si="79"/>
        <v>0</v>
      </c>
    </row>
    <row r="465" spans="1:44" x14ac:dyDescent="0.25">
      <c r="A465" s="12">
        <f t="shared" si="78"/>
        <v>0</v>
      </c>
      <c r="B465" s="12">
        <f>IF(AND($C$420&gt;$C$419,($B$454+11)&lt;=$C$420),$C$419+12,0)</f>
        <v>0</v>
      </c>
      <c r="C465" s="26">
        <f t="shared" si="80"/>
        <v>0</v>
      </c>
      <c r="D465" s="26" t="str">
        <f t="shared" si="75"/>
        <v xml:space="preserve"> </v>
      </c>
      <c r="E465" s="2" t="str">
        <f t="shared" si="75"/>
        <v xml:space="preserve"> </v>
      </c>
      <c r="F465" s="2" t="str">
        <f t="shared" si="75"/>
        <v xml:space="preserve"> </v>
      </c>
      <c r="G465" s="2" t="str">
        <f t="shared" si="75"/>
        <v xml:space="preserve"> </v>
      </c>
      <c r="H465" s="2" t="str">
        <f t="shared" si="75"/>
        <v xml:space="preserve"> </v>
      </c>
      <c r="I465" s="2" t="str">
        <f t="shared" si="75"/>
        <v xml:space="preserve"> </v>
      </c>
      <c r="J465" s="2" t="str">
        <f t="shared" si="75"/>
        <v xml:space="preserve"> </v>
      </c>
      <c r="K465" s="2" t="str">
        <f t="shared" si="75"/>
        <v xml:space="preserve"> </v>
      </c>
      <c r="L465" s="2" t="str">
        <f t="shared" si="75"/>
        <v xml:space="preserve"> </v>
      </c>
      <c r="M465" s="2" t="str">
        <f t="shared" si="75"/>
        <v xml:space="preserve"> </v>
      </c>
      <c r="N465" s="2" t="str">
        <f t="shared" si="75"/>
        <v xml:space="preserve"> </v>
      </c>
      <c r="O465" s="2" t="str">
        <f t="shared" si="75"/>
        <v xml:space="preserve"> </v>
      </c>
      <c r="P465" s="2" t="str">
        <f t="shared" si="75"/>
        <v xml:space="preserve"> </v>
      </c>
      <c r="Q465" s="2" t="str">
        <f t="shared" si="75"/>
        <v xml:space="preserve"> </v>
      </c>
      <c r="R465" s="2" t="str">
        <f t="shared" si="75"/>
        <v xml:space="preserve"> </v>
      </c>
      <c r="S465" s="2" t="str">
        <f t="shared" si="75"/>
        <v xml:space="preserve"> </v>
      </c>
      <c r="T465" s="2" t="str">
        <f t="shared" si="76"/>
        <v xml:space="preserve"> </v>
      </c>
      <c r="U465" s="2" t="str">
        <f t="shared" si="76"/>
        <v xml:space="preserve"> </v>
      </c>
      <c r="V465" s="2" t="str">
        <f t="shared" si="76"/>
        <v xml:space="preserve"> </v>
      </c>
      <c r="W465" s="2" t="str">
        <f t="shared" si="76"/>
        <v xml:space="preserve"> </v>
      </c>
      <c r="X465" s="2" t="str">
        <f t="shared" si="76"/>
        <v xml:space="preserve"> </v>
      </c>
      <c r="Y465" s="2" t="str">
        <f t="shared" si="76"/>
        <v xml:space="preserve"> </v>
      </c>
      <c r="Z465" s="2" t="str">
        <f t="shared" si="76"/>
        <v xml:space="preserve"> </v>
      </c>
      <c r="AA465" s="2" t="str">
        <f t="shared" si="76"/>
        <v xml:space="preserve"> </v>
      </c>
      <c r="AB465" s="2" t="str">
        <f t="shared" si="76"/>
        <v xml:space="preserve"> </v>
      </c>
      <c r="AC465" s="2" t="str">
        <f t="shared" si="76"/>
        <v xml:space="preserve"> </v>
      </c>
      <c r="AD465" s="2" t="str">
        <f t="shared" si="76"/>
        <v xml:space="preserve"> </v>
      </c>
      <c r="AE465" s="2" t="str">
        <f t="shared" si="76"/>
        <v xml:space="preserve"> </v>
      </c>
      <c r="AF465" s="2" t="str">
        <f t="shared" si="76"/>
        <v xml:space="preserve"> </v>
      </c>
      <c r="AG465" s="2" t="str">
        <f t="shared" si="76"/>
        <v xml:space="preserve"> </v>
      </c>
      <c r="AH465" s="2" t="str">
        <f t="shared" si="77"/>
        <v xml:space="preserve"> </v>
      </c>
      <c r="AI465" s="2" t="str">
        <f t="shared" si="77"/>
        <v xml:space="preserve"> </v>
      </c>
      <c r="AJ465" s="2" t="str">
        <f t="shared" si="77"/>
        <v xml:space="preserve"> </v>
      </c>
      <c r="AK465" s="2" t="str">
        <f t="shared" si="77"/>
        <v xml:space="preserve"> </v>
      </c>
      <c r="AL465" s="2" t="str">
        <f t="shared" si="77"/>
        <v xml:space="preserve"> </v>
      </c>
      <c r="AM465" s="2" t="str">
        <f t="shared" si="77"/>
        <v xml:space="preserve"> </v>
      </c>
      <c r="AN465" s="2" t="str">
        <f t="shared" si="77"/>
        <v xml:space="preserve"> </v>
      </c>
      <c r="AO465" s="2" t="str">
        <f t="shared" si="77"/>
        <v xml:space="preserve"> </v>
      </c>
      <c r="AP465" s="2" t="str">
        <f t="shared" si="77"/>
        <v xml:space="preserve"> </v>
      </c>
      <c r="AQ465" s="25" t="str">
        <f t="shared" si="77"/>
        <v xml:space="preserve"> </v>
      </c>
      <c r="AR465" s="12">
        <f t="shared" si="79"/>
        <v>0</v>
      </c>
    </row>
    <row r="466" spans="1:44" x14ac:dyDescent="0.25">
      <c r="A466" s="12">
        <f t="shared" si="78"/>
        <v>0</v>
      </c>
      <c r="B466" s="12">
        <f>IF(AND($C$420&gt;$C$419,($B$454+12)&lt;=$C$420),$C$419+13,0)</f>
        <v>0</v>
      </c>
      <c r="C466" s="26">
        <f t="shared" si="80"/>
        <v>0</v>
      </c>
      <c r="D466" s="26" t="str">
        <f t="shared" si="75"/>
        <v xml:space="preserve"> </v>
      </c>
      <c r="E466" s="2" t="str">
        <f t="shared" si="75"/>
        <v xml:space="preserve"> </v>
      </c>
      <c r="F466" s="2" t="str">
        <f t="shared" si="75"/>
        <v xml:space="preserve"> </v>
      </c>
      <c r="G466" s="2" t="str">
        <f t="shared" si="75"/>
        <v xml:space="preserve"> </v>
      </c>
      <c r="H466" s="2" t="str">
        <f t="shared" si="75"/>
        <v xml:space="preserve"> </v>
      </c>
      <c r="I466" s="2" t="str">
        <f t="shared" si="75"/>
        <v xml:space="preserve"> </v>
      </c>
      <c r="J466" s="2" t="str">
        <f t="shared" si="75"/>
        <v xml:space="preserve"> </v>
      </c>
      <c r="K466" s="2" t="str">
        <f t="shared" si="75"/>
        <v xml:space="preserve"> </v>
      </c>
      <c r="L466" s="2" t="str">
        <f t="shared" si="75"/>
        <v xml:space="preserve"> </v>
      </c>
      <c r="M466" s="2" t="str">
        <f t="shared" si="75"/>
        <v xml:space="preserve"> </v>
      </c>
      <c r="N466" s="2" t="str">
        <f t="shared" si="75"/>
        <v xml:space="preserve"> </v>
      </c>
      <c r="O466" s="2" t="str">
        <f t="shared" si="75"/>
        <v xml:space="preserve"> </v>
      </c>
      <c r="P466" s="2" t="str">
        <f t="shared" si="75"/>
        <v xml:space="preserve"> </v>
      </c>
      <c r="Q466" s="2" t="str">
        <f t="shared" si="75"/>
        <v xml:space="preserve"> </v>
      </c>
      <c r="R466" s="2" t="str">
        <f t="shared" si="75"/>
        <v xml:space="preserve"> </v>
      </c>
      <c r="S466" s="2" t="str">
        <f t="shared" si="75"/>
        <v xml:space="preserve"> </v>
      </c>
      <c r="T466" s="2" t="str">
        <f t="shared" si="76"/>
        <v xml:space="preserve"> </v>
      </c>
      <c r="U466" s="2" t="str">
        <f t="shared" si="76"/>
        <v xml:space="preserve"> </v>
      </c>
      <c r="V466" s="2" t="str">
        <f t="shared" si="76"/>
        <v xml:space="preserve"> </v>
      </c>
      <c r="W466" s="2" t="str">
        <f t="shared" si="76"/>
        <v xml:space="preserve"> </v>
      </c>
      <c r="X466" s="2" t="str">
        <f t="shared" si="76"/>
        <v xml:space="preserve"> </v>
      </c>
      <c r="Y466" s="2" t="str">
        <f t="shared" si="76"/>
        <v xml:space="preserve"> </v>
      </c>
      <c r="Z466" s="2" t="str">
        <f t="shared" si="76"/>
        <v xml:space="preserve"> </v>
      </c>
      <c r="AA466" s="2" t="str">
        <f t="shared" si="76"/>
        <v xml:space="preserve"> </v>
      </c>
      <c r="AB466" s="2" t="str">
        <f t="shared" si="76"/>
        <v xml:space="preserve"> </v>
      </c>
      <c r="AC466" s="2" t="str">
        <f t="shared" si="76"/>
        <v xml:space="preserve"> </v>
      </c>
      <c r="AD466" s="2" t="str">
        <f t="shared" si="76"/>
        <v xml:space="preserve"> </v>
      </c>
      <c r="AE466" s="2" t="str">
        <f t="shared" si="76"/>
        <v xml:space="preserve"> </v>
      </c>
      <c r="AF466" s="2" t="str">
        <f t="shared" si="76"/>
        <v xml:space="preserve"> </v>
      </c>
      <c r="AG466" s="2" t="str">
        <f t="shared" si="76"/>
        <v xml:space="preserve"> </v>
      </c>
      <c r="AH466" s="2" t="str">
        <f t="shared" si="77"/>
        <v xml:space="preserve"> </v>
      </c>
      <c r="AI466" s="2" t="str">
        <f t="shared" si="77"/>
        <v xml:space="preserve"> </v>
      </c>
      <c r="AJ466" s="2" t="str">
        <f t="shared" si="77"/>
        <v xml:space="preserve"> </v>
      </c>
      <c r="AK466" s="2" t="str">
        <f t="shared" si="77"/>
        <v xml:space="preserve"> </v>
      </c>
      <c r="AL466" s="2" t="str">
        <f t="shared" si="77"/>
        <v xml:space="preserve"> </v>
      </c>
      <c r="AM466" s="2" t="str">
        <f t="shared" si="77"/>
        <v xml:space="preserve"> </v>
      </c>
      <c r="AN466" s="2" t="str">
        <f t="shared" si="77"/>
        <v xml:space="preserve"> </v>
      </c>
      <c r="AO466" s="2" t="str">
        <f t="shared" si="77"/>
        <v xml:space="preserve"> </v>
      </c>
      <c r="AP466" s="2" t="str">
        <f t="shared" si="77"/>
        <v xml:space="preserve"> </v>
      </c>
      <c r="AQ466" s="25" t="str">
        <f t="shared" si="77"/>
        <v xml:space="preserve"> </v>
      </c>
      <c r="AR466" s="12">
        <f t="shared" si="79"/>
        <v>0</v>
      </c>
    </row>
    <row r="467" spans="1:44" x14ac:dyDescent="0.25">
      <c r="A467" s="12">
        <f t="shared" si="78"/>
        <v>0</v>
      </c>
      <c r="B467" s="12">
        <f>IF(AND($C$420&gt;$C$419,($B$454+13)&lt;=$C$420),$C$419+14,0)</f>
        <v>0</v>
      </c>
      <c r="C467" s="26">
        <f t="shared" si="80"/>
        <v>0</v>
      </c>
      <c r="D467" s="26" t="str">
        <f t="shared" si="75"/>
        <v xml:space="preserve"> </v>
      </c>
      <c r="E467" s="2" t="str">
        <f t="shared" si="75"/>
        <v xml:space="preserve"> </v>
      </c>
      <c r="F467" s="2" t="str">
        <f t="shared" si="75"/>
        <v xml:space="preserve"> </v>
      </c>
      <c r="G467" s="2" t="str">
        <f t="shared" si="75"/>
        <v xml:space="preserve"> </v>
      </c>
      <c r="H467" s="2" t="str">
        <f t="shared" si="75"/>
        <v xml:space="preserve"> </v>
      </c>
      <c r="I467" s="2" t="str">
        <f t="shared" si="75"/>
        <v xml:space="preserve"> </v>
      </c>
      <c r="J467" s="2" t="str">
        <f t="shared" si="75"/>
        <v xml:space="preserve"> </v>
      </c>
      <c r="K467" s="2" t="str">
        <f t="shared" si="75"/>
        <v xml:space="preserve"> </v>
      </c>
      <c r="L467" s="2" t="str">
        <f t="shared" si="75"/>
        <v xml:space="preserve"> </v>
      </c>
      <c r="M467" s="2" t="str">
        <f t="shared" si="75"/>
        <v xml:space="preserve"> </v>
      </c>
      <c r="N467" s="2" t="str">
        <f t="shared" si="75"/>
        <v xml:space="preserve"> </v>
      </c>
      <c r="O467" s="2" t="str">
        <f t="shared" si="75"/>
        <v xml:space="preserve"> </v>
      </c>
      <c r="P467" s="2" t="str">
        <f t="shared" si="75"/>
        <v xml:space="preserve"> </v>
      </c>
      <c r="Q467" s="2" t="str">
        <f t="shared" si="75"/>
        <v xml:space="preserve"> </v>
      </c>
      <c r="R467" s="2" t="str">
        <f t="shared" si="75"/>
        <v xml:space="preserve"> </v>
      </c>
      <c r="S467" s="2" t="str">
        <f t="shared" si="75"/>
        <v xml:space="preserve"> </v>
      </c>
      <c r="T467" s="2" t="str">
        <f t="shared" si="76"/>
        <v xml:space="preserve"> </v>
      </c>
      <c r="U467" s="2" t="str">
        <f t="shared" si="76"/>
        <v xml:space="preserve"> </v>
      </c>
      <c r="V467" s="2" t="str">
        <f t="shared" si="76"/>
        <v xml:space="preserve"> </v>
      </c>
      <c r="W467" s="2" t="str">
        <f t="shared" si="76"/>
        <v xml:space="preserve"> </v>
      </c>
      <c r="X467" s="2" t="str">
        <f t="shared" si="76"/>
        <v xml:space="preserve"> </v>
      </c>
      <c r="Y467" s="2" t="str">
        <f t="shared" si="76"/>
        <v xml:space="preserve"> </v>
      </c>
      <c r="Z467" s="2" t="str">
        <f t="shared" si="76"/>
        <v xml:space="preserve"> </v>
      </c>
      <c r="AA467" s="2" t="str">
        <f t="shared" si="76"/>
        <v xml:space="preserve"> </v>
      </c>
      <c r="AB467" s="2" t="str">
        <f t="shared" si="76"/>
        <v xml:space="preserve"> </v>
      </c>
      <c r="AC467" s="2" t="str">
        <f t="shared" si="76"/>
        <v xml:space="preserve"> </v>
      </c>
      <c r="AD467" s="2" t="str">
        <f t="shared" si="76"/>
        <v xml:space="preserve"> </v>
      </c>
      <c r="AE467" s="2" t="str">
        <f t="shared" si="76"/>
        <v xml:space="preserve"> </v>
      </c>
      <c r="AF467" s="2" t="str">
        <f t="shared" si="76"/>
        <v xml:space="preserve"> </v>
      </c>
      <c r="AG467" s="2" t="str">
        <f t="shared" si="76"/>
        <v xml:space="preserve"> </v>
      </c>
      <c r="AH467" s="2" t="str">
        <f t="shared" si="77"/>
        <v xml:space="preserve"> </v>
      </c>
      <c r="AI467" s="2" t="str">
        <f t="shared" si="77"/>
        <v xml:space="preserve"> </v>
      </c>
      <c r="AJ467" s="2" t="str">
        <f t="shared" si="77"/>
        <v xml:space="preserve"> </v>
      </c>
      <c r="AK467" s="2" t="str">
        <f t="shared" si="77"/>
        <v xml:space="preserve"> </v>
      </c>
      <c r="AL467" s="2" t="str">
        <f t="shared" si="77"/>
        <v xml:space="preserve"> </v>
      </c>
      <c r="AM467" s="2" t="str">
        <f t="shared" si="77"/>
        <v xml:space="preserve"> </v>
      </c>
      <c r="AN467" s="2" t="str">
        <f t="shared" si="77"/>
        <v xml:space="preserve"> </v>
      </c>
      <c r="AO467" s="2" t="str">
        <f t="shared" si="77"/>
        <v xml:space="preserve"> </v>
      </c>
      <c r="AP467" s="2" t="str">
        <f t="shared" si="77"/>
        <v xml:space="preserve"> </v>
      </c>
      <c r="AQ467" s="25" t="str">
        <f t="shared" si="77"/>
        <v xml:space="preserve"> </v>
      </c>
      <c r="AR467" s="12">
        <f t="shared" si="79"/>
        <v>0</v>
      </c>
    </row>
    <row r="468" spans="1:44" x14ac:dyDescent="0.25">
      <c r="A468" s="12">
        <f t="shared" si="78"/>
        <v>0</v>
      </c>
      <c r="B468" s="12">
        <f>IF(AND($C$420&gt;$C$419,($B$454+14)&lt;=$C$420),$C$419+15,0)</f>
        <v>0</v>
      </c>
      <c r="C468" s="26">
        <f t="shared" si="80"/>
        <v>0</v>
      </c>
      <c r="D468" s="26" t="str">
        <f t="shared" si="75"/>
        <v xml:space="preserve"> </v>
      </c>
      <c r="E468" s="2" t="str">
        <f t="shared" si="75"/>
        <v xml:space="preserve"> </v>
      </c>
      <c r="F468" s="2" t="str">
        <f t="shared" si="75"/>
        <v xml:space="preserve"> </v>
      </c>
      <c r="G468" s="2" t="str">
        <f t="shared" si="75"/>
        <v xml:space="preserve"> </v>
      </c>
      <c r="H468" s="2" t="str">
        <f t="shared" si="75"/>
        <v xml:space="preserve"> </v>
      </c>
      <c r="I468" s="2" t="str">
        <f t="shared" si="75"/>
        <v xml:space="preserve"> </v>
      </c>
      <c r="J468" s="2" t="str">
        <f t="shared" si="75"/>
        <v xml:space="preserve"> </v>
      </c>
      <c r="K468" s="2" t="str">
        <f t="shared" si="75"/>
        <v xml:space="preserve"> </v>
      </c>
      <c r="L468" s="2" t="str">
        <f t="shared" si="75"/>
        <v xml:space="preserve"> </v>
      </c>
      <c r="M468" s="2" t="str">
        <f t="shared" si="75"/>
        <v xml:space="preserve"> </v>
      </c>
      <c r="N468" s="2" t="str">
        <f t="shared" si="75"/>
        <v xml:space="preserve"> </v>
      </c>
      <c r="O468" s="2" t="str">
        <f t="shared" si="75"/>
        <v xml:space="preserve"> </v>
      </c>
      <c r="P468" s="2" t="str">
        <f t="shared" si="75"/>
        <v xml:space="preserve"> </v>
      </c>
      <c r="Q468" s="2" t="str">
        <f t="shared" si="75"/>
        <v xml:space="preserve"> </v>
      </c>
      <c r="R468" s="2" t="str">
        <f t="shared" si="75"/>
        <v xml:space="preserve"> </v>
      </c>
      <c r="S468" s="2" t="str">
        <f t="shared" ref="S468:AH483" si="81">IF(OR($A468=0,S$451=0)," ",IF(AND($B468&gt;0,S$451&gt;0,FLOOR($C$440/(S$451*$B468),1)&gt;=$A468),FLOOR($C$440/(S$451*$B468),1)," "))</f>
        <v xml:space="preserve"> </v>
      </c>
      <c r="T468" s="2" t="str">
        <f t="shared" si="81"/>
        <v xml:space="preserve"> </v>
      </c>
      <c r="U468" s="2" t="str">
        <f t="shared" si="81"/>
        <v xml:space="preserve"> </v>
      </c>
      <c r="V468" s="2" t="str">
        <f t="shared" si="81"/>
        <v xml:space="preserve"> </v>
      </c>
      <c r="W468" s="2" t="str">
        <f t="shared" si="81"/>
        <v xml:space="preserve"> </v>
      </c>
      <c r="X468" s="2" t="str">
        <f t="shared" si="76"/>
        <v xml:space="preserve"> </v>
      </c>
      <c r="Y468" s="2" t="str">
        <f t="shared" si="76"/>
        <v xml:space="preserve"> </v>
      </c>
      <c r="Z468" s="2" t="str">
        <f t="shared" si="76"/>
        <v xml:space="preserve"> </v>
      </c>
      <c r="AA468" s="2" t="str">
        <f t="shared" si="76"/>
        <v xml:space="preserve"> </v>
      </c>
      <c r="AB468" s="2" t="str">
        <f t="shared" si="76"/>
        <v xml:space="preserve"> </v>
      </c>
      <c r="AC468" s="2" t="str">
        <f t="shared" si="76"/>
        <v xml:space="preserve"> </v>
      </c>
      <c r="AD468" s="2" t="str">
        <f t="shared" si="76"/>
        <v xml:space="preserve"> </v>
      </c>
      <c r="AE468" s="2" t="str">
        <f t="shared" si="76"/>
        <v xml:space="preserve"> </v>
      </c>
      <c r="AF468" s="2" t="str">
        <f t="shared" si="76"/>
        <v xml:space="preserve"> </v>
      </c>
      <c r="AG468" s="2" t="str">
        <f t="shared" si="76"/>
        <v xml:space="preserve"> </v>
      </c>
      <c r="AH468" s="2" t="str">
        <f t="shared" si="77"/>
        <v xml:space="preserve"> </v>
      </c>
      <c r="AI468" s="2" t="str">
        <f t="shared" si="77"/>
        <v xml:space="preserve"> </v>
      </c>
      <c r="AJ468" s="2" t="str">
        <f t="shared" si="77"/>
        <v xml:space="preserve"> </v>
      </c>
      <c r="AK468" s="2" t="str">
        <f t="shared" si="77"/>
        <v xml:space="preserve"> </v>
      </c>
      <c r="AL468" s="2" t="str">
        <f t="shared" si="77"/>
        <v xml:space="preserve"> </v>
      </c>
      <c r="AM468" s="2" t="str">
        <f t="shared" si="77"/>
        <v xml:space="preserve"> </v>
      </c>
      <c r="AN468" s="2" t="str">
        <f t="shared" si="77"/>
        <v xml:space="preserve"> </v>
      </c>
      <c r="AO468" s="2" t="str">
        <f t="shared" si="77"/>
        <v xml:space="preserve"> </v>
      </c>
      <c r="AP468" s="2" t="str">
        <f t="shared" si="77"/>
        <v xml:space="preserve"> </v>
      </c>
      <c r="AQ468" s="25" t="str">
        <f t="shared" si="77"/>
        <v xml:space="preserve"> </v>
      </c>
      <c r="AR468" s="12">
        <f t="shared" si="79"/>
        <v>0</v>
      </c>
    </row>
    <row r="469" spans="1:44" x14ac:dyDescent="0.25">
      <c r="A469" s="12">
        <f t="shared" si="78"/>
        <v>0</v>
      </c>
      <c r="B469" s="12">
        <f>IF(AND($C$420&gt;$C$419,($B$454+15)&lt;=$C$420),$C$419+16,0)</f>
        <v>0</v>
      </c>
      <c r="C469" s="26">
        <f t="shared" si="80"/>
        <v>0</v>
      </c>
      <c r="D469" s="26" t="str">
        <f t="shared" ref="D469:S484" si="82">IF(OR($A469=0,D$451=0)," ",IF(AND($B469&gt;0,D$451&gt;0,FLOOR($C$440/(D$451*$B469),1)&gt;=$A469),FLOOR($C$440/(D$451*$B469),1)," "))</f>
        <v xml:space="preserve"> </v>
      </c>
      <c r="E469" s="2" t="str">
        <f t="shared" si="82"/>
        <v xml:space="preserve"> </v>
      </c>
      <c r="F469" s="2" t="str">
        <f t="shared" si="82"/>
        <v xml:space="preserve"> </v>
      </c>
      <c r="G469" s="2" t="str">
        <f t="shared" si="82"/>
        <v xml:space="preserve"> </v>
      </c>
      <c r="H469" s="2" t="str">
        <f t="shared" si="82"/>
        <v xml:space="preserve"> </v>
      </c>
      <c r="I469" s="2" t="str">
        <f t="shared" si="82"/>
        <v xml:space="preserve"> </v>
      </c>
      <c r="J469" s="2" t="str">
        <f t="shared" si="82"/>
        <v xml:space="preserve"> </v>
      </c>
      <c r="K469" s="2" t="str">
        <f t="shared" si="82"/>
        <v xml:space="preserve"> </v>
      </c>
      <c r="L469" s="2" t="str">
        <f t="shared" si="82"/>
        <v xml:space="preserve"> </v>
      </c>
      <c r="M469" s="2" t="str">
        <f t="shared" si="82"/>
        <v xml:space="preserve"> </v>
      </c>
      <c r="N469" s="2" t="str">
        <f t="shared" si="82"/>
        <v xml:space="preserve"> </v>
      </c>
      <c r="O469" s="2" t="str">
        <f t="shared" si="82"/>
        <v xml:space="preserve"> </v>
      </c>
      <c r="P469" s="2" t="str">
        <f t="shared" si="82"/>
        <v xml:space="preserve"> </v>
      </c>
      <c r="Q469" s="2" t="str">
        <f t="shared" si="82"/>
        <v xml:space="preserve"> </v>
      </c>
      <c r="R469" s="2" t="str">
        <f t="shared" si="82"/>
        <v xml:space="preserve"> </v>
      </c>
      <c r="S469" s="2" t="str">
        <f t="shared" si="82"/>
        <v xml:space="preserve"> </v>
      </c>
      <c r="T469" s="2" t="str">
        <f t="shared" si="81"/>
        <v xml:space="preserve"> </v>
      </c>
      <c r="U469" s="2" t="str">
        <f t="shared" si="81"/>
        <v xml:space="preserve"> </v>
      </c>
      <c r="V469" s="2" t="str">
        <f t="shared" si="81"/>
        <v xml:space="preserve"> </v>
      </c>
      <c r="W469" s="2" t="str">
        <f t="shared" si="81"/>
        <v xml:space="preserve"> </v>
      </c>
      <c r="X469" s="2" t="str">
        <f t="shared" si="81"/>
        <v xml:space="preserve"> </v>
      </c>
      <c r="Y469" s="2" t="str">
        <f t="shared" si="81"/>
        <v xml:space="preserve"> </v>
      </c>
      <c r="Z469" s="2" t="str">
        <f t="shared" si="81"/>
        <v xml:space="preserve"> </v>
      </c>
      <c r="AA469" s="2" t="str">
        <f t="shared" si="81"/>
        <v xml:space="preserve"> </v>
      </c>
      <c r="AB469" s="2" t="str">
        <f t="shared" si="81"/>
        <v xml:space="preserve"> </v>
      </c>
      <c r="AC469" s="2" t="str">
        <f t="shared" si="81"/>
        <v xml:space="preserve"> </v>
      </c>
      <c r="AD469" s="2" t="str">
        <f t="shared" si="81"/>
        <v xml:space="preserve"> </v>
      </c>
      <c r="AE469" s="2" t="str">
        <f t="shared" si="81"/>
        <v xml:space="preserve"> </v>
      </c>
      <c r="AF469" s="2" t="str">
        <f t="shared" si="81"/>
        <v xml:space="preserve"> </v>
      </c>
      <c r="AG469" s="2" t="str">
        <f t="shared" si="81"/>
        <v xml:space="preserve"> </v>
      </c>
      <c r="AH469" s="2" t="str">
        <f t="shared" si="81"/>
        <v xml:space="preserve"> </v>
      </c>
      <c r="AI469" s="2" t="str">
        <f t="shared" ref="AH469:AQ484" si="83">IF(OR($A469=0,AI$451=0)," ",IF(AND($B469&gt;0,AI$451&gt;0,FLOOR($C$440/(AI$451*$B469),1)&gt;=$A469),FLOOR($C$440/(AI$451*$B469),1)," "))</f>
        <v xml:space="preserve"> </v>
      </c>
      <c r="AJ469" s="2" t="str">
        <f t="shared" si="83"/>
        <v xml:space="preserve"> </v>
      </c>
      <c r="AK469" s="2" t="str">
        <f t="shared" si="83"/>
        <v xml:space="preserve"> </v>
      </c>
      <c r="AL469" s="2" t="str">
        <f t="shared" si="83"/>
        <v xml:space="preserve"> </v>
      </c>
      <c r="AM469" s="2" t="str">
        <f t="shared" si="83"/>
        <v xml:space="preserve"> </v>
      </c>
      <c r="AN469" s="2" t="str">
        <f t="shared" si="83"/>
        <v xml:space="preserve"> </v>
      </c>
      <c r="AO469" s="2" t="str">
        <f t="shared" si="83"/>
        <v xml:space="preserve"> </v>
      </c>
      <c r="AP469" s="2" t="str">
        <f t="shared" si="83"/>
        <v xml:space="preserve"> </v>
      </c>
      <c r="AQ469" s="25" t="str">
        <f t="shared" si="83"/>
        <v xml:space="preserve"> </v>
      </c>
      <c r="AR469" s="12">
        <f t="shared" si="79"/>
        <v>0</v>
      </c>
    </row>
    <row r="470" spans="1:44" x14ac:dyDescent="0.25">
      <c r="A470" s="12">
        <f t="shared" si="78"/>
        <v>0</v>
      </c>
      <c r="B470" s="12">
        <f>IF(AND($C$420&gt;$C$419,($B$454+16)&lt;=$C$420),$C$419+17,0)</f>
        <v>0</v>
      </c>
      <c r="C470" s="26">
        <f t="shared" si="80"/>
        <v>0</v>
      </c>
      <c r="D470" s="26" t="str">
        <f t="shared" si="82"/>
        <v xml:space="preserve"> </v>
      </c>
      <c r="E470" s="2" t="str">
        <f t="shared" si="82"/>
        <v xml:space="preserve"> </v>
      </c>
      <c r="F470" s="2" t="str">
        <f t="shared" si="82"/>
        <v xml:space="preserve"> </v>
      </c>
      <c r="G470" s="2" t="str">
        <f t="shared" si="82"/>
        <v xml:space="preserve"> </v>
      </c>
      <c r="H470" s="2" t="str">
        <f t="shared" si="82"/>
        <v xml:space="preserve"> </v>
      </c>
      <c r="I470" s="2" t="str">
        <f t="shared" si="82"/>
        <v xml:space="preserve"> </v>
      </c>
      <c r="J470" s="2" t="str">
        <f t="shared" si="82"/>
        <v xml:space="preserve"> </v>
      </c>
      <c r="K470" s="2" t="str">
        <f t="shared" si="82"/>
        <v xml:space="preserve"> </v>
      </c>
      <c r="L470" s="2" t="str">
        <f t="shared" si="82"/>
        <v xml:space="preserve"> </v>
      </c>
      <c r="M470" s="2" t="str">
        <f t="shared" si="82"/>
        <v xml:space="preserve"> </v>
      </c>
      <c r="N470" s="2" t="str">
        <f t="shared" si="82"/>
        <v xml:space="preserve"> </v>
      </c>
      <c r="O470" s="2" t="str">
        <f t="shared" si="82"/>
        <v xml:space="preserve"> </v>
      </c>
      <c r="P470" s="2" t="str">
        <f t="shared" si="82"/>
        <v xml:space="preserve"> </v>
      </c>
      <c r="Q470" s="2" t="str">
        <f t="shared" si="82"/>
        <v xml:space="preserve"> </v>
      </c>
      <c r="R470" s="2" t="str">
        <f t="shared" si="82"/>
        <v xml:space="preserve"> </v>
      </c>
      <c r="S470" s="2" t="str">
        <f t="shared" si="82"/>
        <v xml:space="preserve"> </v>
      </c>
      <c r="T470" s="2" t="str">
        <f t="shared" si="81"/>
        <v xml:space="preserve"> </v>
      </c>
      <c r="U470" s="2" t="str">
        <f t="shared" si="81"/>
        <v xml:space="preserve"> </v>
      </c>
      <c r="V470" s="2" t="str">
        <f t="shared" si="81"/>
        <v xml:space="preserve"> </v>
      </c>
      <c r="W470" s="2" t="str">
        <f t="shared" si="81"/>
        <v xml:space="preserve"> </v>
      </c>
      <c r="X470" s="2" t="str">
        <f t="shared" si="81"/>
        <v xml:space="preserve"> </v>
      </c>
      <c r="Y470" s="2" t="str">
        <f t="shared" si="81"/>
        <v xml:space="preserve"> </v>
      </c>
      <c r="Z470" s="2" t="str">
        <f t="shared" si="81"/>
        <v xml:space="preserve"> </v>
      </c>
      <c r="AA470" s="2" t="str">
        <f t="shared" si="81"/>
        <v xml:space="preserve"> </v>
      </c>
      <c r="AB470" s="2" t="str">
        <f t="shared" si="81"/>
        <v xml:space="preserve"> </v>
      </c>
      <c r="AC470" s="2" t="str">
        <f t="shared" si="81"/>
        <v xml:space="preserve"> </v>
      </c>
      <c r="AD470" s="2" t="str">
        <f t="shared" si="81"/>
        <v xml:space="preserve"> </v>
      </c>
      <c r="AE470" s="2" t="str">
        <f t="shared" si="81"/>
        <v xml:space="preserve"> </v>
      </c>
      <c r="AF470" s="2" t="str">
        <f t="shared" si="81"/>
        <v xml:space="preserve"> </v>
      </c>
      <c r="AG470" s="2" t="str">
        <f t="shared" si="81"/>
        <v xml:space="preserve"> </v>
      </c>
      <c r="AH470" s="2" t="str">
        <f t="shared" si="81"/>
        <v xml:space="preserve"> </v>
      </c>
      <c r="AI470" s="2" t="str">
        <f t="shared" si="83"/>
        <v xml:space="preserve"> </v>
      </c>
      <c r="AJ470" s="2" t="str">
        <f t="shared" si="83"/>
        <v xml:space="preserve"> </v>
      </c>
      <c r="AK470" s="2" t="str">
        <f t="shared" si="83"/>
        <v xml:space="preserve"> </v>
      </c>
      <c r="AL470" s="2" t="str">
        <f t="shared" si="83"/>
        <v xml:space="preserve"> </v>
      </c>
      <c r="AM470" s="2" t="str">
        <f t="shared" si="83"/>
        <v xml:space="preserve"> </v>
      </c>
      <c r="AN470" s="2" t="str">
        <f t="shared" si="83"/>
        <v xml:space="preserve"> </v>
      </c>
      <c r="AO470" s="2" t="str">
        <f t="shared" si="83"/>
        <v xml:space="preserve"> </v>
      </c>
      <c r="AP470" s="2" t="str">
        <f t="shared" si="83"/>
        <v xml:space="preserve"> </v>
      </c>
      <c r="AQ470" s="25" t="str">
        <f t="shared" si="83"/>
        <v xml:space="preserve"> </v>
      </c>
      <c r="AR470" s="12">
        <f t="shared" si="79"/>
        <v>0</v>
      </c>
    </row>
    <row r="471" spans="1:44" x14ac:dyDescent="0.25">
      <c r="A471" s="12">
        <f t="shared" si="78"/>
        <v>0</v>
      </c>
      <c r="B471" s="12">
        <f>IF(AND($C$420&gt;$C$419,($B$454+17)&lt;=$C$420),$C$419+18,0)</f>
        <v>0</v>
      </c>
      <c r="C471" s="26">
        <f t="shared" si="80"/>
        <v>0</v>
      </c>
      <c r="D471" s="26" t="str">
        <f t="shared" si="82"/>
        <v xml:space="preserve"> </v>
      </c>
      <c r="E471" s="2" t="str">
        <f t="shared" si="82"/>
        <v xml:space="preserve"> </v>
      </c>
      <c r="F471" s="2" t="str">
        <f t="shared" si="82"/>
        <v xml:space="preserve"> </v>
      </c>
      <c r="G471" s="2" t="str">
        <f t="shared" si="82"/>
        <v xml:space="preserve"> </v>
      </c>
      <c r="H471" s="2" t="str">
        <f t="shared" si="82"/>
        <v xml:space="preserve"> </v>
      </c>
      <c r="I471" s="2" t="str">
        <f t="shared" si="82"/>
        <v xml:space="preserve"> </v>
      </c>
      <c r="J471" s="2" t="str">
        <f t="shared" si="82"/>
        <v xml:space="preserve"> </v>
      </c>
      <c r="K471" s="2" t="str">
        <f t="shared" si="82"/>
        <v xml:space="preserve"> </v>
      </c>
      <c r="L471" s="2" t="str">
        <f t="shared" si="82"/>
        <v xml:space="preserve"> </v>
      </c>
      <c r="M471" s="2" t="str">
        <f t="shared" si="82"/>
        <v xml:space="preserve"> </v>
      </c>
      <c r="N471" s="2" t="str">
        <f t="shared" si="82"/>
        <v xml:space="preserve"> </v>
      </c>
      <c r="O471" s="2" t="str">
        <f t="shared" si="82"/>
        <v xml:space="preserve"> </v>
      </c>
      <c r="P471" s="2" t="str">
        <f t="shared" si="82"/>
        <v xml:space="preserve"> </v>
      </c>
      <c r="Q471" s="2" t="str">
        <f t="shared" si="82"/>
        <v xml:space="preserve"> </v>
      </c>
      <c r="R471" s="2" t="str">
        <f t="shared" si="82"/>
        <v xml:space="preserve"> </v>
      </c>
      <c r="S471" s="2" t="str">
        <f t="shared" si="82"/>
        <v xml:space="preserve"> </v>
      </c>
      <c r="T471" s="2" t="str">
        <f t="shared" si="81"/>
        <v xml:space="preserve"> </v>
      </c>
      <c r="U471" s="2" t="str">
        <f t="shared" si="81"/>
        <v xml:space="preserve"> </v>
      </c>
      <c r="V471" s="2" t="str">
        <f t="shared" si="81"/>
        <v xml:space="preserve"> </v>
      </c>
      <c r="W471" s="2" t="str">
        <f t="shared" si="81"/>
        <v xml:space="preserve"> </v>
      </c>
      <c r="X471" s="2" t="str">
        <f t="shared" si="81"/>
        <v xml:space="preserve"> </v>
      </c>
      <c r="Y471" s="2" t="str">
        <f t="shared" si="81"/>
        <v xml:space="preserve"> </v>
      </c>
      <c r="Z471" s="2" t="str">
        <f t="shared" si="81"/>
        <v xml:space="preserve"> </v>
      </c>
      <c r="AA471" s="2" t="str">
        <f t="shared" si="81"/>
        <v xml:space="preserve"> </v>
      </c>
      <c r="AB471" s="2" t="str">
        <f t="shared" si="81"/>
        <v xml:space="preserve"> </v>
      </c>
      <c r="AC471" s="2" t="str">
        <f t="shared" si="81"/>
        <v xml:space="preserve"> </v>
      </c>
      <c r="AD471" s="2" t="str">
        <f t="shared" si="81"/>
        <v xml:space="preserve"> </v>
      </c>
      <c r="AE471" s="2" t="str">
        <f t="shared" si="81"/>
        <v xml:space="preserve"> </v>
      </c>
      <c r="AF471" s="2" t="str">
        <f t="shared" si="81"/>
        <v xml:space="preserve"> </v>
      </c>
      <c r="AG471" s="2" t="str">
        <f t="shared" si="81"/>
        <v xml:space="preserve"> </v>
      </c>
      <c r="AH471" s="2" t="str">
        <f t="shared" si="81"/>
        <v xml:space="preserve"> </v>
      </c>
      <c r="AI471" s="2" t="str">
        <f t="shared" si="83"/>
        <v xml:space="preserve"> </v>
      </c>
      <c r="AJ471" s="2" t="str">
        <f t="shared" si="83"/>
        <v xml:space="preserve"> </v>
      </c>
      <c r="AK471" s="2" t="str">
        <f t="shared" si="83"/>
        <v xml:space="preserve"> </v>
      </c>
      <c r="AL471" s="2" t="str">
        <f t="shared" si="83"/>
        <v xml:space="preserve"> </v>
      </c>
      <c r="AM471" s="2" t="str">
        <f t="shared" si="83"/>
        <v xml:space="preserve"> </v>
      </c>
      <c r="AN471" s="2" t="str">
        <f t="shared" si="83"/>
        <v xml:space="preserve"> </v>
      </c>
      <c r="AO471" s="2" t="str">
        <f t="shared" si="83"/>
        <v xml:space="preserve"> </v>
      </c>
      <c r="AP471" s="2" t="str">
        <f t="shared" si="83"/>
        <v xml:space="preserve"> </v>
      </c>
      <c r="AQ471" s="25" t="str">
        <f t="shared" si="83"/>
        <v xml:space="preserve"> </v>
      </c>
      <c r="AR471" s="12">
        <f t="shared" si="79"/>
        <v>0</v>
      </c>
    </row>
    <row r="472" spans="1:44" x14ac:dyDescent="0.25">
      <c r="A472" s="12">
        <f t="shared" si="78"/>
        <v>0</v>
      </c>
      <c r="B472" s="12">
        <f>IF(AND($C$420&gt;$C$419,($B$454+18)&lt;=$C$420),$C$419+19,0)</f>
        <v>0</v>
      </c>
      <c r="C472" s="26">
        <f t="shared" si="80"/>
        <v>0</v>
      </c>
      <c r="D472" s="26" t="str">
        <f t="shared" si="82"/>
        <v xml:space="preserve"> </v>
      </c>
      <c r="E472" s="2" t="str">
        <f t="shared" si="82"/>
        <v xml:space="preserve"> </v>
      </c>
      <c r="F472" s="2" t="str">
        <f t="shared" si="82"/>
        <v xml:space="preserve"> </v>
      </c>
      <c r="G472" s="2" t="str">
        <f t="shared" si="82"/>
        <v xml:space="preserve"> </v>
      </c>
      <c r="H472" s="2" t="str">
        <f t="shared" si="82"/>
        <v xml:space="preserve"> </v>
      </c>
      <c r="I472" s="2" t="str">
        <f t="shared" si="82"/>
        <v xml:space="preserve"> </v>
      </c>
      <c r="J472" s="2" t="str">
        <f t="shared" si="82"/>
        <v xml:space="preserve"> </v>
      </c>
      <c r="K472" s="2" t="str">
        <f t="shared" si="82"/>
        <v xml:space="preserve"> </v>
      </c>
      <c r="L472" s="2" t="str">
        <f t="shared" si="82"/>
        <v xml:space="preserve"> </v>
      </c>
      <c r="M472" s="2" t="str">
        <f t="shared" si="82"/>
        <v xml:space="preserve"> </v>
      </c>
      <c r="N472" s="2" t="str">
        <f t="shared" si="82"/>
        <v xml:space="preserve"> </v>
      </c>
      <c r="O472" s="2" t="str">
        <f t="shared" si="82"/>
        <v xml:space="preserve"> </v>
      </c>
      <c r="P472" s="2" t="str">
        <f t="shared" si="82"/>
        <v xml:space="preserve"> </v>
      </c>
      <c r="Q472" s="2" t="str">
        <f t="shared" si="82"/>
        <v xml:space="preserve"> </v>
      </c>
      <c r="R472" s="2" t="str">
        <f t="shared" si="82"/>
        <v xml:space="preserve"> </v>
      </c>
      <c r="S472" s="2" t="str">
        <f t="shared" si="82"/>
        <v xml:space="preserve"> </v>
      </c>
      <c r="T472" s="2" t="str">
        <f t="shared" si="81"/>
        <v xml:space="preserve"> </v>
      </c>
      <c r="U472" s="2" t="str">
        <f t="shared" si="81"/>
        <v xml:space="preserve"> </v>
      </c>
      <c r="V472" s="2" t="str">
        <f t="shared" si="81"/>
        <v xml:space="preserve"> </v>
      </c>
      <c r="W472" s="2" t="str">
        <f t="shared" si="81"/>
        <v xml:space="preserve"> </v>
      </c>
      <c r="X472" s="2" t="str">
        <f t="shared" si="81"/>
        <v xml:space="preserve"> </v>
      </c>
      <c r="Y472" s="2" t="str">
        <f t="shared" si="81"/>
        <v xml:space="preserve"> </v>
      </c>
      <c r="Z472" s="2" t="str">
        <f t="shared" si="81"/>
        <v xml:space="preserve"> </v>
      </c>
      <c r="AA472" s="2" t="str">
        <f t="shared" si="81"/>
        <v xml:space="preserve"> </v>
      </c>
      <c r="AB472" s="2" t="str">
        <f t="shared" si="81"/>
        <v xml:space="preserve"> </v>
      </c>
      <c r="AC472" s="2" t="str">
        <f t="shared" si="81"/>
        <v xml:space="preserve"> </v>
      </c>
      <c r="AD472" s="2" t="str">
        <f t="shared" si="81"/>
        <v xml:space="preserve"> </v>
      </c>
      <c r="AE472" s="2" t="str">
        <f t="shared" si="81"/>
        <v xml:space="preserve"> </v>
      </c>
      <c r="AF472" s="2" t="str">
        <f t="shared" si="81"/>
        <v xml:space="preserve"> </v>
      </c>
      <c r="AG472" s="2" t="str">
        <f t="shared" si="81"/>
        <v xml:space="preserve"> </v>
      </c>
      <c r="AH472" s="2" t="str">
        <f t="shared" si="81"/>
        <v xml:space="preserve"> </v>
      </c>
      <c r="AI472" s="2" t="str">
        <f t="shared" si="83"/>
        <v xml:space="preserve"> </v>
      </c>
      <c r="AJ472" s="2" t="str">
        <f t="shared" si="83"/>
        <v xml:space="preserve"> </v>
      </c>
      <c r="AK472" s="2" t="str">
        <f t="shared" si="83"/>
        <v xml:space="preserve"> </v>
      </c>
      <c r="AL472" s="2" t="str">
        <f t="shared" si="83"/>
        <v xml:space="preserve"> </v>
      </c>
      <c r="AM472" s="2" t="str">
        <f t="shared" si="83"/>
        <v xml:space="preserve"> </v>
      </c>
      <c r="AN472" s="2" t="str">
        <f t="shared" si="83"/>
        <v xml:space="preserve"> </v>
      </c>
      <c r="AO472" s="2" t="str">
        <f t="shared" si="83"/>
        <v xml:space="preserve"> </v>
      </c>
      <c r="AP472" s="2" t="str">
        <f t="shared" si="83"/>
        <v xml:space="preserve"> </v>
      </c>
      <c r="AQ472" s="25" t="str">
        <f t="shared" si="83"/>
        <v xml:space="preserve"> </v>
      </c>
      <c r="AR472" s="12">
        <f t="shared" si="79"/>
        <v>0</v>
      </c>
    </row>
    <row r="473" spans="1:44" x14ac:dyDescent="0.25">
      <c r="A473" s="12">
        <f t="shared" si="78"/>
        <v>0</v>
      </c>
      <c r="B473" s="12">
        <f>IF(AND($C$420&gt;$C$419,($B$454+19)&lt;=$C$420),$C$419+20,0)</f>
        <v>0</v>
      </c>
      <c r="C473" s="26">
        <f t="shared" si="80"/>
        <v>0</v>
      </c>
      <c r="D473" s="26" t="str">
        <f t="shared" si="82"/>
        <v xml:space="preserve"> </v>
      </c>
      <c r="E473" s="2" t="str">
        <f t="shared" si="82"/>
        <v xml:space="preserve"> </v>
      </c>
      <c r="F473" s="2" t="str">
        <f t="shared" si="82"/>
        <v xml:space="preserve"> </v>
      </c>
      <c r="G473" s="2" t="str">
        <f t="shared" si="82"/>
        <v xml:space="preserve"> </v>
      </c>
      <c r="H473" s="2" t="str">
        <f t="shared" si="82"/>
        <v xml:space="preserve"> </v>
      </c>
      <c r="I473" s="2" t="str">
        <f t="shared" si="82"/>
        <v xml:space="preserve"> </v>
      </c>
      <c r="J473" s="2" t="str">
        <f t="shared" si="82"/>
        <v xml:space="preserve"> </v>
      </c>
      <c r="K473" s="2" t="str">
        <f t="shared" si="82"/>
        <v xml:space="preserve"> </v>
      </c>
      <c r="L473" s="2" t="str">
        <f t="shared" si="82"/>
        <v xml:space="preserve"> </v>
      </c>
      <c r="M473" s="2" t="str">
        <f t="shared" si="82"/>
        <v xml:space="preserve"> </v>
      </c>
      <c r="N473" s="2" t="str">
        <f t="shared" si="82"/>
        <v xml:space="preserve"> </v>
      </c>
      <c r="O473" s="2" t="str">
        <f t="shared" si="82"/>
        <v xml:space="preserve"> </v>
      </c>
      <c r="P473" s="2" t="str">
        <f t="shared" si="82"/>
        <v xml:space="preserve"> </v>
      </c>
      <c r="Q473" s="2" t="str">
        <f t="shared" si="82"/>
        <v xml:space="preserve"> </v>
      </c>
      <c r="R473" s="2" t="str">
        <f t="shared" si="82"/>
        <v xml:space="preserve"> </v>
      </c>
      <c r="S473" s="2" t="str">
        <f t="shared" si="82"/>
        <v xml:space="preserve"> </v>
      </c>
      <c r="T473" s="2" t="str">
        <f t="shared" si="81"/>
        <v xml:space="preserve"> </v>
      </c>
      <c r="U473" s="2" t="str">
        <f t="shared" si="81"/>
        <v xml:space="preserve"> </v>
      </c>
      <c r="V473" s="2" t="str">
        <f t="shared" si="81"/>
        <v xml:space="preserve"> </v>
      </c>
      <c r="W473" s="2" t="str">
        <f t="shared" si="81"/>
        <v xml:space="preserve"> </v>
      </c>
      <c r="X473" s="2" t="str">
        <f t="shared" si="81"/>
        <v xml:space="preserve"> </v>
      </c>
      <c r="Y473" s="2" t="str">
        <f t="shared" si="81"/>
        <v xml:space="preserve"> </v>
      </c>
      <c r="Z473" s="2" t="str">
        <f t="shared" si="81"/>
        <v xml:space="preserve"> </v>
      </c>
      <c r="AA473" s="2" t="str">
        <f t="shared" si="81"/>
        <v xml:space="preserve"> </v>
      </c>
      <c r="AB473" s="2" t="str">
        <f t="shared" si="81"/>
        <v xml:space="preserve"> </v>
      </c>
      <c r="AC473" s="2" t="str">
        <f t="shared" si="81"/>
        <v xml:space="preserve"> </v>
      </c>
      <c r="AD473" s="2" t="str">
        <f t="shared" si="81"/>
        <v xml:space="preserve"> </v>
      </c>
      <c r="AE473" s="2" t="str">
        <f t="shared" si="81"/>
        <v xml:space="preserve"> </v>
      </c>
      <c r="AF473" s="2" t="str">
        <f t="shared" si="81"/>
        <v xml:space="preserve"> </v>
      </c>
      <c r="AG473" s="2" t="str">
        <f t="shared" si="81"/>
        <v xml:space="preserve"> </v>
      </c>
      <c r="AH473" s="2" t="str">
        <f t="shared" si="81"/>
        <v xml:space="preserve"> </v>
      </c>
      <c r="AI473" s="2" t="str">
        <f t="shared" si="83"/>
        <v xml:space="preserve"> </v>
      </c>
      <c r="AJ473" s="2" t="str">
        <f t="shared" si="83"/>
        <v xml:space="preserve"> </v>
      </c>
      <c r="AK473" s="2" t="str">
        <f t="shared" si="83"/>
        <v xml:space="preserve"> </v>
      </c>
      <c r="AL473" s="2" t="str">
        <f t="shared" si="83"/>
        <v xml:space="preserve"> </v>
      </c>
      <c r="AM473" s="2" t="str">
        <f t="shared" si="83"/>
        <v xml:space="preserve"> </v>
      </c>
      <c r="AN473" s="2" t="str">
        <f t="shared" si="83"/>
        <v xml:space="preserve"> </v>
      </c>
      <c r="AO473" s="2" t="str">
        <f t="shared" si="83"/>
        <v xml:space="preserve"> </v>
      </c>
      <c r="AP473" s="2" t="str">
        <f t="shared" si="83"/>
        <v xml:space="preserve"> </v>
      </c>
      <c r="AQ473" s="25" t="str">
        <f t="shared" si="83"/>
        <v xml:space="preserve"> </v>
      </c>
      <c r="AR473" s="12">
        <f t="shared" si="79"/>
        <v>0</v>
      </c>
    </row>
    <row r="474" spans="1:44" x14ac:dyDescent="0.25">
      <c r="A474" s="12">
        <f t="shared" si="78"/>
        <v>0</v>
      </c>
      <c r="B474" s="12">
        <f>IF(AND($C$420&gt;$C$419,($B$454+20)&lt;=$C$420),$C$419+21,0)</f>
        <v>0</v>
      </c>
      <c r="C474" s="26">
        <f t="shared" si="80"/>
        <v>0</v>
      </c>
      <c r="D474" s="26" t="str">
        <f t="shared" si="82"/>
        <v xml:space="preserve"> </v>
      </c>
      <c r="E474" s="2" t="str">
        <f t="shared" si="82"/>
        <v xml:space="preserve"> </v>
      </c>
      <c r="F474" s="2" t="str">
        <f t="shared" si="82"/>
        <v xml:space="preserve"> </v>
      </c>
      <c r="G474" s="2" t="str">
        <f t="shared" si="82"/>
        <v xml:space="preserve"> </v>
      </c>
      <c r="H474" s="2" t="str">
        <f t="shared" si="82"/>
        <v xml:space="preserve"> </v>
      </c>
      <c r="I474" s="2" t="str">
        <f t="shared" si="82"/>
        <v xml:space="preserve"> </v>
      </c>
      <c r="J474" s="2" t="str">
        <f t="shared" si="82"/>
        <v xml:space="preserve"> </v>
      </c>
      <c r="K474" s="2" t="str">
        <f t="shared" si="82"/>
        <v xml:space="preserve"> </v>
      </c>
      <c r="L474" s="2" t="str">
        <f t="shared" si="82"/>
        <v xml:space="preserve"> </v>
      </c>
      <c r="M474" s="2" t="str">
        <f t="shared" si="82"/>
        <v xml:space="preserve"> </v>
      </c>
      <c r="N474" s="2" t="str">
        <f t="shared" si="82"/>
        <v xml:space="preserve"> </v>
      </c>
      <c r="O474" s="2" t="str">
        <f t="shared" si="82"/>
        <v xml:space="preserve"> </v>
      </c>
      <c r="P474" s="2" t="str">
        <f t="shared" si="82"/>
        <v xml:space="preserve"> </v>
      </c>
      <c r="Q474" s="2" t="str">
        <f t="shared" si="82"/>
        <v xml:space="preserve"> </v>
      </c>
      <c r="R474" s="2" t="str">
        <f t="shared" si="82"/>
        <v xml:space="preserve"> </v>
      </c>
      <c r="S474" s="2" t="str">
        <f t="shared" si="82"/>
        <v xml:space="preserve"> </v>
      </c>
      <c r="T474" s="2" t="str">
        <f t="shared" si="81"/>
        <v xml:space="preserve"> </v>
      </c>
      <c r="U474" s="2" t="str">
        <f t="shared" si="81"/>
        <v xml:space="preserve"> </v>
      </c>
      <c r="V474" s="2" t="str">
        <f t="shared" si="81"/>
        <v xml:space="preserve"> </v>
      </c>
      <c r="W474" s="2" t="str">
        <f t="shared" si="81"/>
        <v xml:space="preserve"> </v>
      </c>
      <c r="X474" s="2" t="str">
        <f t="shared" si="81"/>
        <v xml:space="preserve"> </v>
      </c>
      <c r="Y474" s="2" t="str">
        <f t="shared" si="81"/>
        <v xml:space="preserve"> </v>
      </c>
      <c r="Z474" s="2" t="str">
        <f t="shared" si="81"/>
        <v xml:space="preserve"> </v>
      </c>
      <c r="AA474" s="2" t="str">
        <f t="shared" si="81"/>
        <v xml:space="preserve"> </v>
      </c>
      <c r="AB474" s="2" t="str">
        <f t="shared" si="81"/>
        <v xml:space="preserve"> </v>
      </c>
      <c r="AC474" s="2" t="str">
        <f t="shared" si="81"/>
        <v xml:space="preserve"> </v>
      </c>
      <c r="AD474" s="2" t="str">
        <f t="shared" si="81"/>
        <v xml:space="preserve"> </v>
      </c>
      <c r="AE474" s="2" t="str">
        <f t="shared" si="81"/>
        <v xml:space="preserve"> </v>
      </c>
      <c r="AF474" s="2" t="str">
        <f t="shared" si="81"/>
        <v xml:space="preserve"> </v>
      </c>
      <c r="AG474" s="2" t="str">
        <f t="shared" si="81"/>
        <v xml:space="preserve"> </v>
      </c>
      <c r="AH474" s="2" t="str">
        <f t="shared" si="81"/>
        <v xml:space="preserve"> </v>
      </c>
      <c r="AI474" s="2" t="str">
        <f t="shared" si="83"/>
        <v xml:space="preserve"> </v>
      </c>
      <c r="AJ474" s="2" t="str">
        <f t="shared" si="83"/>
        <v xml:space="preserve"> </v>
      </c>
      <c r="AK474" s="2" t="str">
        <f t="shared" si="83"/>
        <v xml:space="preserve"> </v>
      </c>
      <c r="AL474" s="2" t="str">
        <f t="shared" si="83"/>
        <v xml:space="preserve"> </v>
      </c>
      <c r="AM474" s="2" t="str">
        <f t="shared" si="83"/>
        <v xml:space="preserve"> </v>
      </c>
      <c r="AN474" s="2" t="str">
        <f t="shared" si="83"/>
        <v xml:space="preserve"> </v>
      </c>
      <c r="AO474" s="2" t="str">
        <f t="shared" si="83"/>
        <v xml:space="preserve"> </v>
      </c>
      <c r="AP474" s="2" t="str">
        <f t="shared" si="83"/>
        <v xml:space="preserve"> </v>
      </c>
      <c r="AQ474" s="25" t="str">
        <f t="shared" si="83"/>
        <v xml:space="preserve"> </v>
      </c>
      <c r="AR474" s="12">
        <f t="shared" si="79"/>
        <v>0</v>
      </c>
    </row>
    <row r="475" spans="1:44" x14ac:dyDescent="0.25">
      <c r="A475" s="12">
        <f t="shared" si="78"/>
        <v>0</v>
      </c>
      <c r="B475" s="12">
        <f>IF(AND($C$420&gt;$C$419,($B$454+21)&lt;=$C$420),$C$419+22,0)</f>
        <v>0</v>
      </c>
      <c r="C475" s="26">
        <f t="shared" si="80"/>
        <v>0</v>
      </c>
      <c r="D475" s="26" t="str">
        <f t="shared" si="82"/>
        <v xml:space="preserve"> </v>
      </c>
      <c r="E475" s="2" t="str">
        <f t="shared" si="82"/>
        <v xml:space="preserve"> </v>
      </c>
      <c r="F475" s="2" t="str">
        <f t="shared" si="82"/>
        <v xml:space="preserve"> </v>
      </c>
      <c r="G475" s="2" t="str">
        <f t="shared" si="82"/>
        <v xml:space="preserve"> </v>
      </c>
      <c r="H475" s="2" t="str">
        <f t="shared" si="82"/>
        <v xml:space="preserve"> </v>
      </c>
      <c r="I475" s="2" t="str">
        <f t="shared" si="82"/>
        <v xml:space="preserve"> </v>
      </c>
      <c r="J475" s="2" t="str">
        <f t="shared" si="82"/>
        <v xml:space="preserve"> </v>
      </c>
      <c r="K475" s="2" t="str">
        <f t="shared" si="82"/>
        <v xml:space="preserve"> </v>
      </c>
      <c r="L475" s="2" t="str">
        <f t="shared" si="82"/>
        <v xml:space="preserve"> </v>
      </c>
      <c r="M475" s="2" t="str">
        <f t="shared" si="82"/>
        <v xml:space="preserve"> </v>
      </c>
      <c r="N475" s="2" t="str">
        <f t="shared" si="82"/>
        <v xml:space="preserve"> </v>
      </c>
      <c r="O475" s="2" t="str">
        <f t="shared" si="82"/>
        <v xml:space="preserve"> </v>
      </c>
      <c r="P475" s="2" t="str">
        <f t="shared" si="82"/>
        <v xml:space="preserve"> </v>
      </c>
      <c r="Q475" s="2" t="str">
        <f t="shared" si="82"/>
        <v xml:space="preserve"> </v>
      </c>
      <c r="R475" s="2" t="str">
        <f t="shared" si="82"/>
        <v xml:space="preserve"> </v>
      </c>
      <c r="S475" s="2" t="str">
        <f t="shared" si="82"/>
        <v xml:space="preserve"> </v>
      </c>
      <c r="T475" s="2" t="str">
        <f t="shared" si="81"/>
        <v xml:space="preserve"> </v>
      </c>
      <c r="U475" s="2" t="str">
        <f t="shared" si="81"/>
        <v xml:space="preserve"> </v>
      </c>
      <c r="V475" s="2" t="str">
        <f t="shared" si="81"/>
        <v xml:space="preserve"> </v>
      </c>
      <c r="W475" s="2" t="str">
        <f t="shared" si="81"/>
        <v xml:space="preserve"> </v>
      </c>
      <c r="X475" s="2" t="str">
        <f t="shared" si="81"/>
        <v xml:space="preserve"> </v>
      </c>
      <c r="Y475" s="2" t="str">
        <f t="shared" si="81"/>
        <v xml:space="preserve"> </v>
      </c>
      <c r="Z475" s="2" t="str">
        <f t="shared" si="81"/>
        <v xml:space="preserve"> </v>
      </c>
      <c r="AA475" s="2" t="str">
        <f t="shared" si="81"/>
        <v xml:space="preserve"> </v>
      </c>
      <c r="AB475" s="2" t="str">
        <f t="shared" si="81"/>
        <v xml:space="preserve"> </v>
      </c>
      <c r="AC475" s="2" t="str">
        <f t="shared" si="81"/>
        <v xml:space="preserve"> </v>
      </c>
      <c r="AD475" s="2" t="str">
        <f t="shared" si="81"/>
        <v xml:space="preserve"> </v>
      </c>
      <c r="AE475" s="2" t="str">
        <f t="shared" si="81"/>
        <v xml:space="preserve"> </v>
      </c>
      <c r="AF475" s="2" t="str">
        <f t="shared" si="81"/>
        <v xml:space="preserve"> </v>
      </c>
      <c r="AG475" s="2" t="str">
        <f t="shared" si="81"/>
        <v xml:space="preserve"> </v>
      </c>
      <c r="AH475" s="2" t="str">
        <f t="shared" si="81"/>
        <v xml:space="preserve"> </v>
      </c>
      <c r="AI475" s="2" t="str">
        <f t="shared" si="83"/>
        <v xml:space="preserve"> </v>
      </c>
      <c r="AJ475" s="2" t="str">
        <f t="shared" si="83"/>
        <v xml:space="preserve"> </v>
      </c>
      <c r="AK475" s="2" t="str">
        <f t="shared" si="83"/>
        <v xml:space="preserve"> </v>
      </c>
      <c r="AL475" s="2" t="str">
        <f t="shared" si="83"/>
        <v xml:space="preserve"> </v>
      </c>
      <c r="AM475" s="2" t="str">
        <f t="shared" si="83"/>
        <v xml:space="preserve"> </v>
      </c>
      <c r="AN475" s="2" t="str">
        <f t="shared" si="83"/>
        <v xml:space="preserve"> </v>
      </c>
      <c r="AO475" s="2" t="str">
        <f t="shared" si="83"/>
        <v xml:space="preserve"> </v>
      </c>
      <c r="AP475" s="2" t="str">
        <f t="shared" si="83"/>
        <v xml:space="preserve"> </v>
      </c>
      <c r="AQ475" s="25" t="str">
        <f t="shared" si="83"/>
        <v xml:space="preserve"> </v>
      </c>
      <c r="AR475" s="12">
        <f t="shared" si="79"/>
        <v>0</v>
      </c>
    </row>
    <row r="476" spans="1:44" x14ac:dyDescent="0.25">
      <c r="A476" s="12">
        <f t="shared" si="78"/>
        <v>0</v>
      </c>
      <c r="B476" s="12">
        <f>IF(AND($C$420&gt;$C$419,($B$454+22)&lt;=$C$420),$C$419+23,0)</f>
        <v>0</v>
      </c>
      <c r="C476" s="26">
        <f t="shared" si="80"/>
        <v>0</v>
      </c>
      <c r="D476" s="26" t="str">
        <f t="shared" si="82"/>
        <v xml:space="preserve"> </v>
      </c>
      <c r="E476" s="2" t="str">
        <f t="shared" si="82"/>
        <v xml:space="preserve"> </v>
      </c>
      <c r="F476" s="2" t="str">
        <f t="shared" si="82"/>
        <v xml:space="preserve"> </v>
      </c>
      <c r="G476" s="2" t="str">
        <f t="shared" si="82"/>
        <v xml:space="preserve"> </v>
      </c>
      <c r="H476" s="2" t="str">
        <f t="shared" si="82"/>
        <v xml:space="preserve"> </v>
      </c>
      <c r="I476" s="2" t="str">
        <f t="shared" si="82"/>
        <v xml:space="preserve"> </v>
      </c>
      <c r="J476" s="2" t="str">
        <f t="shared" si="82"/>
        <v xml:space="preserve"> </v>
      </c>
      <c r="K476" s="2" t="str">
        <f t="shared" si="82"/>
        <v xml:space="preserve"> </v>
      </c>
      <c r="L476" s="2" t="str">
        <f t="shared" si="82"/>
        <v xml:space="preserve"> </v>
      </c>
      <c r="M476" s="2" t="str">
        <f t="shared" si="82"/>
        <v xml:space="preserve"> </v>
      </c>
      <c r="N476" s="2" t="str">
        <f t="shared" si="82"/>
        <v xml:space="preserve"> </v>
      </c>
      <c r="O476" s="2" t="str">
        <f t="shared" si="82"/>
        <v xml:space="preserve"> </v>
      </c>
      <c r="P476" s="2" t="str">
        <f t="shared" si="82"/>
        <v xml:space="preserve"> </v>
      </c>
      <c r="Q476" s="2" t="str">
        <f t="shared" si="82"/>
        <v xml:space="preserve"> </v>
      </c>
      <c r="R476" s="2" t="str">
        <f t="shared" si="82"/>
        <v xml:space="preserve"> </v>
      </c>
      <c r="S476" s="2" t="str">
        <f t="shared" si="82"/>
        <v xml:space="preserve"> </v>
      </c>
      <c r="T476" s="2" t="str">
        <f t="shared" si="81"/>
        <v xml:space="preserve"> </v>
      </c>
      <c r="U476" s="2" t="str">
        <f t="shared" si="81"/>
        <v xml:space="preserve"> </v>
      </c>
      <c r="V476" s="2" t="str">
        <f t="shared" si="81"/>
        <v xml:space="preserve"> </v>
      </c>
      <c r="W476" s="2" t="str">
        <f t="shared" si="81"/>
        <v xml:space="preserve"> </v>
      </c>
      <c r="X476" s="2" t="str">
        <f t="shared" si="81"/>
        <v xml:space="preserve"> </v>
      </c>
      <c r="Y476" s="2" t="str">
        <f t="shared" si="81"/>
        <v xml:space="preserve"> </v>
      </c>
      <c r="Z476" s="2" t="str">
        <f t="shared" si="81"/>
        <v xml:space="preserve"> </v>
      </c>
      <c r="AA476" s="2" t="str">
        <f t="shared" si="81"/>
        <v xml:space="preserve"> </v>
      </c>
      <c r="AB476" s="2" t="str">
        <f t="shared" si="81"/>
        <v xml:space="preserve"> </v>
      </c>
      <c r="AC476" s="2" t="str">
        <f t="shared" si="81"/>
        <v xml:space="preserve"> </v>
      </c>
      <c r="AD476" s="2" t="str">
        <f t="shared" si="81"/>
        <v xml:space="preserve"> </v>
      </c>
      <c r="AE476" s="2" t="str">
        <f t="shared" si="81"/>
        <v xml:space="preserve"> </v>
      </c>
      <c r="AF476" s="2" t="str">
        <f t="shared" si="81"/>
        <v xml:space="preserve"> </v>
      </c>
      <c r="AG476" s="2" t="str">
        <f t="shared" si="81"/>
        <v xml:space="preserve"> </v>
      </c>
      <c r="AH476" s="2" t="str">
        <f t="shared" si="81"/>
        <v xml:space="preserve"> </v>
      </c>
      <c r="AI476" s="2" t="str">
        <f t="shared" si="83"/>
        <v xml:space="preserve"> </v>
      </c>
      <c r="AJ476" s="2" t="str">
        <f t="shared" si="83"/>
        <v xml:space="preserve"> </v>
      </c>
      <c r="AK476" s="2" t="str">
        <f t="shared" si="83"/>
        <v xml:space="preserve"> </v>
      </c>
      <c r="AL476" s="2" t="str">
        <f t="shared" si="83"/>
        <v xml:space="preserve"> </v>
      </c>
      <c r="AM476" s="2" t="str">
        <f t="shared" si="83"/>
        <v xml:space="preserve"> </v>
      </c>
      <c r="AN476" s="2" t="str">
        <f t="shared" si="83"/>
        <v xml:space="preserve"> </v>
      </c>
      <c r="AO476" s="2" t="str">
        <f t="shared" si="83"/>
        <v xml:space="preserve"> </v>
      </c>
      <c r="AP476" s="2" t="str">
        <f t="shared" si="83"/>
        <v xml:space="preserve"> </v>
      </c>
      <c r="AQ476" s="25" t="str">
        <f t="shared" si="83"/>
        <v xml:space="preserve"> </v>
      </c>
      <c r="AR476" s="12">
        <f t="shared" si="79"/>
        <v>0</v>
      </c>
    </row>
    <row r="477" spans="1:44" x14ac:dyDescent="0.25">
      <c r="A477" s="12">
        <f t="shared" si="78"/>
        <v>0</v>
      </c>
      <c r="B477" s="12">
        <f>IF(AND($C$420&gt;$C$419,($B$454+23)&lt;=$C$420),$C$419+24,0)</f>
        <v>0</v>
      </c>
      <c r="C477" s="26">
        <f t="shared" si="80"/>
        <v>0</v>
      </c>
      <c r="D477" s="26" t="str">
        <f t="shared" si="82"/>
        <v xml:space="preserve"> </v>
      </c>
      <c r="E477" s="2" t="str">
        <f t="shared" si="82"/>
        <v xml:space="preserve"> </v>
      </c>
      <c r="F477" s="2" t="str">
        <f t="shared" si="82"/>
        <v xml:space="preserve"> </v>
      </c>
      <c r="G477" s="2" t="str">
        <f t="shared" si="82"/>
        <v xml:space="preserve"> </v>
      </c>
      <c r="H477" s="2" t="str">
        <f t="shared" si="82"/>
        <v xml:space="preserve"> </v>
      </c>
      <c r="I477" s="2" t="str">
        <f t="shared" si="82"/>
        <v xml:space="preserve"> </v>
      </c>
      <c r="J477" s="2" t="str">
        <f t="shared" si="82"/>
        <v xml:space="preserve"> </v>
      </c>
      <c r="K477" s="2" t="str">
        <f t="shared" si="82"/>
        <v xml:space="preserve"> </v>
      </c>
      <c r="L477" s="2" t="str">
        <f t="shared" si="82"/>
        <v xml:space="preserve"> </v>
      </c>
      <c r="M477" s="2" t="str">
        <f t="shared" si="82"/>
        <v xml:space="preserve"> </v>
      </c>
      <c r="N477" s="2" t="str">
        <f t="shared" si="82"/>
        <v xml:space="preserve"> </v>
      </c>
      <c r="O477" s="2" t="str">
        <f t="shared" si="82"/>
        <v xml:space="preserve"> </v>
      </c>
      <c r="P477" s="2" t="str">
        <f t="shared" si="82"/>
        <v xml:space="preserve"> </v>
      </c>
      <c r="Q477" s="2" t="str">
        <f t="shared" si="82"/>
        <v xml:space="preserve"> </v>
      </c>
      <c r="R477" s="2" t="str">
        <f t="shared" si="82"/>
        <v xml:space="preserve"> </v>
      </c>
      <c r="S477" s="2" t="str">
        <f t="shared" si="82"/>
        <v xml:space="preserve"> </v>
      </c>
      <c r="T477" s="2" t="str">
        <f t="shared" si="81"/>
        <v xml:space="preserve"> </v>
      </c>
      <c r="U477" s="2" t="str">
        <f t="shared" si="81"/>
        <v xml:space="preserve"> </v>
      </c>
      <c r="V477" s="2" t="str">
        <f t="shared" si="81"/>
        <v xml:space="preserve"> </v>
      </c>
      <c r="W477" s="2" t="str">
        <f t="shared" si="81"/>
        <v xml:space="preserve"> </v>
      </c>
      <c r="X477" s="2" t="str">
        <f t="shared" si="81"/>
        <v xml:space="preserve"> </v>
      </c>
      <c r="Y477" s="2" t="str">
        <f t="shared" si="81"/>
        <v xml:space="preserve"> </v>
      </c>
      <c r="Z477" s="2" t="str">
        <f t="shared" si="81"/>
        <v xml:space="preserve"> </v>
      </c>
      <c r="AA477" s="2" t="str">
        <f t="shared" si="81"/>
        <v xml:space="preserve"> </v>
      </c>
      <c r="AB477" s="2" t="str">
        <f t="shared" si="81"/>
        <v xml:space="preserve"> </v>
      </c>
      <c r="AC477" s="2" t="str">
        <f t="shared" si="81"/>
        <v xml:space="preserve"> </v>
      </c>
      <c r="AD477" s="2" t="str">
        <f t="shared" si="81"/>
        <v xml:space="preserve"> </v>
      </c>
      <c r="AE477" s="2" t="str">
        <f t="shared" si="81"/>
        <v xml:space="preserve"> </v>
      </c>
      <c r="AF477" s="2" t="str">
        <f t="shared" si="81"/>
        <v xml:space="preserve"> </v>
      </c>
      <c r="AG477" s="2" t="str">
        <f t="shared" si="81"/>
        <v xml:space="preserve"> </v>
      </c>
      <c r="AH477" s="2" t="str">
        <f t="shared" si="81"/>
        <v xml:space="preserve"> </v>
      </c>
      <c r="AI477" s="2" t="str">
        <f t="shared" si="83"/>
        <v xml:space="preserve"> </v>
      </c>
      <c r="AJ477" s="2" t="str">
        <f t="shared" si="83"/>
        <v xml:space="preserve"> </v>
      </c>
      <c r="AK477" s="2" t="str">
        <f t="shared" si="83"/>
        <v xml:space="preserve"> </v>
      </c>
      <c r="AL477" s="2" t="str">
        <f t="shared" si="83"/>
        <v xml:space="preserve"> </v>
      </c>
      <c r="AM477" s="2" t="str">
        <f t="shared" si="83"/>
        <v xml:space="preserve"> </v>
      </c>
      <c r="AN477" s="2" t="str">
        <f t="shared" si="83"/>
        <v xml:space="preserve"> </v>
      </c>
      <c r="AO477" s="2" t="str">
        <f t="shared" si="83"/>
        <v xml:space="preserve"> </v>
      </c>
      <c r="AP477" s="2" t="str">
        <f t="shared" si="83"/>
        <v xml:space="preserve"> </v>
      </c>
      <c r="AQ477" s="25" t="str">
        <f t="shared" si="83"/>
        <v xml:space="preserve"> </v>
      </c>
      <c r="AR477" s="12">
        <f t="shared" si="79"/>
        <v>0</v>
      </c>
    </row>
    <row r="478" spans="1:44" x14ac:dyDescent="0.25">
      <c r="A478" s="12">
        <f t="shared" si="78"/>
        <v>0</v>
      </c>
      <c r="B478" s="12">
        <f>IF(AND($C$420&gt;$C$419,($B$454+24)&lt;=$C$420),$C$419+25,0)</f>
        <v>0</v>
      </c>
      <c r="C478" s="26">
        <f t="shared" si="80"/>
        <v>0</v>
      </c>
      <c r="D478" s="26" t="str">
        <f t="shared" si="82"/>
        <v xml:space="preserve"> </v>
      </c>
      <c r="E478" s="2" t="str">
        <f t="shared" si="82"/>
        <v xml:space="preserve"> </v>
      </c>
      <c r="F478" s="2" t="str">
        <f t="shared" si="82"/>
        <v xml:space="preserve"> </v>
      </c>
      <c r="G478" s="2" t="str">
        <f t="shared" si="82"/>
        <v xml:space="preserve"> </v>
      </c>
      <c r="H478" s="2" t="str">
        <f t="shared" si="82"/>
        <v xml:space="preserve"> </v>
      </c>
      <c r="I478" s="2" t="str">
        <f t="shared" si="82"/>
        <v xml:space="preserve"> </v>
      </c>
      <c r="J478" s="2" t="str">
        <f t="shared" si="82"/>
        <v xml:space="preserve"> </v>
      </c>
      <c r="K478" s="2" t="str">
        <f t="shared" si="82"/>
        <v xml:space="preserve"> </v>
      </c>
      <c r="L478" s="2" t="str">
        <f t="shared" si="82"/>
        <v xml:space="preserve"> </v>
      </c>
      <c r="M478" s="2" t="str">
        <f t="shared" si="82"/>
        <v xml:space="preserve"> </v>
      </c>
      <c r="N478" s="2" t="str">
        <f t="shared" si="82"/>
        <v xml:space="preserve"> </v>
      </c>
      <c r="O478" s="2" t="str">
        <f t="shared" si="82"/>
        <v xml:space="preserve"> </v>
      </c>
      <c r="P478" s="2" t="str">
        <f t="shared" si="82"/>
        <v xml:space="preserve"> </v>
      </c>
      <c r="Q478" s="2" t="str">
        <f t="shared" si="82"/>
        <v xml:space="preserve"> </v>
      </c>
      <c r="R478" s="2" t="str">
        <f t="shared" si="82"/>
        <v xml:space="preserve"> </v>
      </c>
      <c r="S478" s="2" t="str">
        <f t="shared" si="82"/>
        <v xml:space="preserve"> </v>
      </c>
      <c r="T478" s="2" t="str">
        <f t="shared" si="81"/>
        <v xml:space="preserve"> </v>
      </c>
      <c r="U478" s="2" t="str">
        <f t="shared" si="81"/>
        <v xml:space="preserve"> </v>
      </c>
      <c r="V478" s="2" t="str">
        <f t="shared" si="81"/>
        <v xml:space="preserve"> </v>
      </c>
      <c r="W478" s="2" t="str">
        <f t="shared" si="81"/>
        <v xml:space="preserve"> </v>
      </c>
      <c r="X478" s="2" t="str">
        <f t="shared" si="81"/>
        <v xml:space="preserve"> </v>
      </c>
      <c r="Y478" s="2" t="str">
        <f t="shared" si="81"/>
        <v xml:space="preserve"> </v>
      </c>
      <c r="Z478" s="2" t="str">
        <f t="shared" si="81"/>
        <v xml:space="preserve"> </v>
      </c>
      <c r="AA478" s="2" t="str">
        <f t="shared" si="81"/>
        <v xml:space="preserve"> </v>
      </c>
      <c r="AB478" s="2" t="str">
        <f t="shared" si="81"/>
        <v xml:space="preserve"> </v>
      </c>
      <c r="AC478" s="2" t="str">
        <f t="shared" si="81"/>
        <v xml:space="preserve"> </v>
      </c>
      <c r="AD478" s="2" t="str">
        <f t="shared" si="81"/>
        <v xml:space="preserve"> </v>
      </c>
      <c r="AE478" s="2" t="str">
        <f t="shared" si="81"/>
        <v xml:space="preserve"> </v>
      </c>
      <c r="AF478" s="2" t="str">
        <f t="shared" si="81"/>
        <v xml:space="preserve"> </v>
      </c>
      <c r="AG478" s="2" t="str">
        <f t="shared" si="81"/>
        <v xml:space="preserve"> </v>
      </c>
      <c r="AH478" s="2" t="str">
        <f t="shared" si="81"/>
        <v xml:space="preserve"> </v>
      </c>
      <c r="AI478" s="2" t="str">
        <f t="shared" si="83"/>
        <v xml:space="preserve"> </v>
      </c>
      <c r="AJ478" s="2" t="str">
        <f t="shared" si="83"/>
        <v xml:space="preserve"> </v>
      </c>
      <c r="AK478" s="2" t="str">
        <f t="shared" si="83"/>
        <v xml:space="preserve"> </v>
      </c>
      <c r="AL478" s="2" t="str">
        <f t="shared" si="83"/>
        <v xml:space="preserve"> </v>
      </c>
      <c r="AM478" s="2" t="str">
        <f t="shared" si="83"/>
        <v xml:space="preserve"> </v>
      </c>
      <c r="AN478" s="2" t="str">
        <f t="shared" si="83"/>
        <v xml:space="preserve"> </v>
      </c>
      <c r="AO478" s="2" t="str">
        <f t="shared" si="83"/>
        <v xml:space="preserve"> </v>
      </c>
      <c r="AP478" s="2" t="str">
        <f t="shared" si="83"/>
        <v xml:space="preserve"> </v>
      </c>
      <c r="AQ478" s="25" t="str">
        <f t="shared" si="83"/>
        <v xml:space="preserve"> </v>
      </c>
      <c r="AR478" s="12">
        <f t="shared" si="79"/>
        <v>0</v>
      </c>
    </row>
    <row r="479" spans="1:44" x14ac:dyDescent="0.25">
      <c r="A479" s="12">
        <f t="shared" si="78"/>
        <v>0</v>
      </c>
      <c r="B479" s="12">
        <f>IF(AND($C$420&gt;$C$419,($B$454+25)&lt;=$C$420),$C$419+26,0)</f>
        <v>0</v>
      </c>
      <c r="C479" s="26">
        <f t="shared" si="80"/>
        <v>0</v>
      </c>
      <c r="D479" s="26" t="str">
        <f t="shared" si="82"/>
        <v xml:space="preserve"> </v>
      </c>
      <c r="E479" s="2" t="str">
        <f t="shared" si="82"/>
        <v xml:space="preserve"> </v>
      </c>
      <c r="F479" s="2" t="str">
        <f t="shared" si="82"/>
        <v xml:space="preserve"> </v>
      </c>
      <c r="G479" s="2" t="str">
        <f t="shared" si="82"/>
        <v xml:space="preserve"> </v>
      </c>
      <c r="H479" s="2" t="str">
        <f t="shared" si="82"/>
        <v xml:space="preserve"> </v>
      </c>
      <c r="I479" s="2" t="str">
        <f t="shared" si="82"/>
        <v xml:space="preserve"> </v>
      </c>
      <c r="J479" s="2" t="str">
        <f t="shared" si="82"/>
        <v xml:space="preserve"> </v>
      </c>
      <c r="K479" s="2" t="str">
        <f t="shared" si="82"/>
        <v xml:space="preserve"> </v>
      </c>
      <c r="L479" s="2" t="str">
        <f t="shared" si="82"/>
        <v xml:space="preserve"> </v>
      </c>
      <c r="M479" s="2" t="str">
        <f t="shared" si="82"/>
        <v xml:space="preserve"> </v>
      </c>
      <c r="N479" s="2" t="str">
        <f t="shared" si="82"/>
        <v xml:space="preserve"> </v>
      </c>
      <c r="O479" s="2" t="str">
        <f t="shared" si="82"/>
        <v xml:space="preserve"> </v>
      </c>
      <c r="P479" s="2" t="str">
        <f t="shared" si="82"/>
        <v xml:space="preserve"> </v>
      </c>
      <c r="Q479" s="2" t="str">
        <f t="shared" si="82"/>
        <v xml:space="preserve"> </v>
      </c>
      <c r="R479" s="2" t="str">
        <f t="shared" si="82"/>
        <v xml:space="preserve"> </v>
      </c>
      <c r="S479" s="2" t="str">
        <f t="shared" si="82"/>
        <v xml:space="preserve"> </v>
      </c>
      <c r="T479" s="2" t="str">
        <f t="shared" si="81"/>
        <v xml:space="preserve"> </v>
      </c>
      <c r="U479" s="2" t="str">
        <f t="shared" si="81"/>
        <v xml:space="preserve"> </v>
      </c>
      <c r="V479" s="2" t="str">
        <f t="shared" si="81"/>
        <v xml:space="preserve"> </v>
      </c>
      <c r="W479" s="2" t="str">
        <f t="shared" si="81"/>
        <v xml:space="preserve"> </v>
      </c>
      <c r="X479" s="2" t="str">
        <f t="shared" si="81"/>
        <v xml:space="preserve"> </v>
      </c>
      <c r="Y479" s="2" t="str">
        <f t="shared" si="81"/>
        <v xml:space="preserve"> </v>
      </c>
      <c r="Z479" s="2" t="str">
        <f t="shared" si="81"/>
        <v xml:space="preserve"> </v>
      </c>
      <c r="AA479" s="2" t="str">
        <f t="shared" si="81"/>
        <v xml:space="preserve"> </v>
      </c>
      <c r="AB479" s="2" t="str">
        <f t="shared" si="81"/>
        <v xml:space="preserve"> </v>
      </c>
      <c r="AC479" s="2" t="str">
        <f t="shared" si="81"/>
        <v xml:space="preserve"> </v>
      </c>
      <c r="AD479" s="2" t="str">
        <f t="shared" si="81"/>
        <v xml:space="preserve"> </v>
      </c>
      <c r="AE479" s="2" t="str">
        <f t="shared" si="81"/>
        <v xml:space="preserve"> </v>
      </c>
      <c r="AF479" s="2" t="str">
        <f t="shared" si="81"/>
        <v xml:space="preserve"> </v>
      </c>
      <c r="AG479" s="2" t="str">
        <f t="shared" si="81"/>
        <v xml:space="preserve"> </v>
      </c>
      <c r="AH479" s="2" t="str">
        <f t="shared" si="81"/>
        <v xml:space="preserve"> </v>
      </c>
      <c r="AI479" s="2" t="str">
        <f t="shared" si="83"/>
        <v xml:space="preserve"> </v>
      </c>
      <c r="AJ479" s="2" t="str">
        <f t="shared" si="83"/>
        <v xml:space="preserve"> </v>
      </c>
      <c r="AK479" s="2" t="str">
        <f t="shared" si="83"/>
        <v xml:space="preserve"> </v>
      </c>
      <c r="AL479" s="2" t="str">
        <f t="shared" si="83"/>
        <v xml:space="preserve"> </v>
      </c>
      <c r="AM479" s="2" t="str">
        <f t="shared" si="83"/>
        <v xml:space="preserve"> </v>
      </c>
      <c r="AN479" s="2" t="str">
        <f t="shared" si="83"/>
        <v xml:space="preserve"> </v>
      </c>
      <c r="AO479" s="2" t="str">
        <f t="shared" si="83"/>
        <v xml:space="preserve"> </v>
      </c>
      <c r="AP479" s="2" t="str">
        <f t="shared" si="83"/>
        <v xml:space="preserve"> </v>
      </c>
      <c r="AQ479" s="25" t="str">
        <f t="shared" si="83"/>
        <v xml:space="preserve"> </v>
      </c>
      <c r="AR479" s="12">
        <f t="shared" si="79"/>
        <v>0</v>
      </c>
    </row>
    <row r="480" spans="1:44" x14ac:dyDescent="0.25">
      <c r="A480" s="12">
        <f t="shared" si="78"/>
        <v>0</v>
      </c>
      <c r="B480" s="12">
        <f>IF(AND($C$420&gt;$C$419,($B$454+26)&lt;=$C$420),$C$419+27,0)</f>
        <v>0</v>
      </c>
      <c r="C480" s="26">
        <f t="shared" si="80"/>
        <v>0</v>
      </c>
      <c r="D480" s="26" t="str">
        <f t="shared" si="82"/>
        <v xml:space="preserve"> </v>
      </c>
      <c r="E480" s="2" t="str">
        <f t="shared" si="82"/>
        <v xml:space="preserve"> </v>
      </c>
      <c r="F480" s="2" t="str">
        <f t="shared" si="82"/>
        <v xml:space="preserve"> </v>
      </c>
      <c r="G480" s="2" t="str">
        <f t="shared" si="82"/>
        <v xml:space="preserve"> </v>
      </c>
      <c r="H480" s="2" t="str">
        <f t="shared" si="82"/>
        <v xml:space="preserve"> </v>
      </c>
      <c r="I480" s="2" t="str">
        <f t="shared" si="82"/>
        <v xml:space="preserve"> </v>
      </c>
      <c r="J480" s="2" t="str">
        <f t="shared" si="82"/>
        <v xml:space="preserve"> </v>
      </c>
      <c r="K480" s="2" t="str">
        <f t="shared" si="82"/>
        <v xml:space="preserve"> </v>
      </c>
      <c r="L480" s="2" t="str">
        <f t="shared" si="82"/>
        <v xml:space="preserve"> </v>
      </c>
      <c r="M480" s="2" t="str">
        <f t="shared" si="82"/>
        <v xml:space="preserve"> </v>
      </c>
      <c r="N480" s="2" t="str">
        <f t="shared" si="82"/>
        <v xml:space="preserve"> </v>
      </c>
      <c r="O480" s="2" t="str">
        <f t="shared" si="82"/>
        <v xml:space="preserve"> </v>
      </c>
      <c r="P480" s="2" t="str">
        <f t="shared" si="82"/>
        <v xml:space="preserve"> </v>
      </c>
      <c r="Q480" s="2" t="str">
        <f t="shared" si="82"/>
        <v xml:space="preserve"> </v>
      </c>
      <c r="R480" s="2" t="str">
        <f t="shared" si="82"/>
        <v xml:space="preserve"> </v>
      </c>
      <c r="S480" s="2" t="str">
        <f t="shared" si="82"/>
        <v xml:space="preserve"> </v>
      </c>
      <c r="T480" s="2" t="str">
        <f t="shared" si="81"/>
        <v xml:space="preserve"> </v>
      </c>
      <c r="U480" s="2" t="str">
        <f t="shared" si="81"/>
        <v xml:space="preserve"> </v>
      </c>
      <c r="V480" s="2" t="str">
        <f t="shared" si="81"/>
        <v xml:space="preserve"> </v>
      </c>
      <c r="W480" s="2" t="str">
        <f t="shared" si="81"/>
        <v xml:space="preserve"> </v>
      </c>
      <c r="X480" s="2" t="str">
        <f t="shared" si="81"/>
        <v xml:space="preserve"> </v>
      </c>
      <c r="Y480" s="2" t="str">
        <f t="shared" si="81"/>
        <v xml:space="preserve"> </v>
      </c>
      <c r="Z480" s="2" t="str">
        <f t="shared" si="81"/>
        <v xml:space="preserve"> </v>
      </c>
      <c r="AA480" s="2" t="str">
        <f t="shared" si="81"/>
        <v xml:space="preserve"> </v>
      </c>
      <c r="AB480" s="2" t="str">
        <f t="shared" si="81"/>
        <v xml:space="preserve"> </v>
      </c>
      <c r="AC480" s="2" t="str">
        <f t="shared" si="81"/>
        <v xml:space="preserve"> </v>
      </c>
      <c r="AD480" s="2" t="str">
        <f t="shared" si="81"/>
        <v xml:space="preserve"> </v>
      </c>
      <c r="AE480" s="2" t="str">
        <f t="shared" si="81"/>
        <v xml:space="preserve"> </v>
      </c>
      <c r="AF480" s="2" t="str">
        <f t="shared" si="81"/>
        <v xml:space="preserve"> </v>
      </c>
      <c r="AG480" s="2" t="str">
        <f t="shared" si="81"/>
        <v xml:space="preserve"> </v>
      </c>
      <c r="AH480" s="2" t="str">
        <f t="shared" si="81"/>
        <v xml:space="preserve"> </v>
      </c>
      <c r="AI480" s="2" t="str">
        <f t="shared" si="83"/>
        <v xml:space="preserve"> </v>
      </c>
      <c r="AJ480" s="2" t="str">
        <f t="shared" si="83"/>
        <v xml:space="preserve"> </v>
      </c>
      <c r="AK480" s="2" t="str">
        <f t="shared" si="83"/>
        <v xml:space="preserve"> </v>
      </c>
      <c r="AL480" s="2" t="str">
        <f t="shared" si="83"/>
        <v xml:space="preserve"> </v>
      </c>
      <c r="AM480" s="2" t="str">
        <f t="shared" si="83"/>
        <v xml:space="preserve"> </v>
      </c>
      <c r="AN480" s="2" t="str">
        <f t="shared" si="83"/>
        <v xml:space="preserve"> </v>
      </c>
      <c r="AO480" s="2" t="str">
        <f t="shared" si="83"/>
        <v xml:space="preserve"> </v>
      </c>
      <c r="AP480" s="2" t="str">
        <f t="shared" si="83"/>
        <v xml:space="preserve"> </v>
      </c>
      <c r="AQ480" s="25" t="str">
        <f t="shared" si="83"/>
        <v xml:space="preserve"> </v>
      </c>
      <c r="AR480" s="12">
        <f t="shared" si="79"/>
        <v>0</v>
      </c>
    </row>
    <row r="481" spans="1:44" x14ac:dyDescent="0.25">
      <c r="A481" s="12">
        <f t="shared" si="78"/>
        <v>0</v>
      </c>
      <c r="B481" s="12">
        <f>IF(AND($C$420&gt;$C$419,($B$454+27)&lt;=$C$420),$C$419+28,0)</f>
        <v>0</v>
      </c>
      <c r="C481" s="26">
        <f t="shared" si="80"/>
        <v>0</v>
      </c>
      <c r="D481" s="26" t="str">
        <f t="shared" si="82"/>
        <v xml:space="preserve"> </v>
      </c>
      <c r="E481" s="2" t="str">
        <f t="shared" si="82"/>
        <v xml:space="preserve"> </v>
      </c>
      <c r="F481" s="2" t="str">
        <f t="shared" si="82"/>
        <v xml:space="preserve"> </v>
      </c>
      <c r="G481" s="2" t="str">
        <f t="shared" si="82"/>
        <v xml:space="preserve"> </v>
      </c>
      <c r="H481" s="2" t="str">
        <f t="shared" si="82"/>
        <v xml:space="preserve"> </v>
      </c>
      <c r="I481" s="2" t="str">
        <f t="shared" si="82"/>
        <v xml:space="preserve"> </v>
      </c>
      <c r="J481" s="2" t="str">
        <f t="shared" si="82"/>
        <v xml:space="preserve"> </v>
      </c>
      <c r="K481" s="2" t="str">
        <f t="shared" si="82"/>
        <v xml:space="preserve"> </v>
      </c>
      <c r="L481" s="2" t="str">
        <f t="shared" si="82"/>
        <v xml:space="preserve"> </v>
      </c>
      <c r="M481" s="2" t="str">
        <f t="shared" si="82"/>
        <v xml:space="preserve"> </v>
      </c>
      <c r="N481" s="2" t="str">
        <f t="shared" si="82"/>
        <v xml:space="preserve"> </v>
      </c>
      <c r="O481" s="2" t="str">
        <f t="shared" si="82"/>
        <v xml:space="preserve"> </v>
      </c>
      <c r="P481" s="2" t="str">
        <f t="shared" si="82"/>
        <v xml:space="preserve"> </v>
      </c>
      <c r="Q481" s="2" t="str">
        <f t="shared" si="82"/>
        <v xml:space="preserve"> </v>
      </c>
      <c r="R481" s="2" t="str">
        <f t="shared" si="82"/>
        <v xml:space="preserve"> </v>
      </c>
      <c r="S481" s="2" t="str">
        <f t="shared" si="82"/>
        <v xml:space="preserve"> </v>
      </c>
      <c r="T481" s="2" t="str">
        <f t="shared" si="81"/>
        <v xml:space="preserve"> </v>
      </c>
      <c r="U481" s="2" t="str">
        <f t="shared" si="81"/>
        <v xml:space="preserve"> </v>
      </c>
      <c r="V481" s="2" t="str">
        <f t="shared" si="81"/>
        <v xml:space="preserve"> </v>
      </c>
      <c r="W481" s="2" t="str">
        <f t="shared" si="81"/>
        <v xml:space="preserve"> </v>
      </c>
      <c r="X481" s="2" t="str">
        <f t="shared" si="81"/>
        <v xml:space="preserve"> </v>
      </c>
      <c r="Y481" s="2" t="str">
        <f t="shared" si="81"/>
        <v xml:space="preserve"> </v>
      </c>
      <c r="Z481" s="2" t="str">
        <f t="shared" si="81"/>
        <v xml:space="preserve"> </v>
      </c>
      <c r="AA481" s="2" t="str">
        <f t="shared" si="81"/>
        <v xml:space="preserve"> </v>
      </c>
      <c r="AB481" s="2" t="str">
        <f t="shared" si="81"/>
        <v xml:space="preserve"> </v>
      </c>
      <c r="AC481" s="2" t="str">
        <f t="shared" si="81"/>
        <v xml:space="preserve"> </v>
      </c>
      <c r="AD481" s="2" t="str">
        <f t="shared" si="81"/>
        <v xml:space="preserve"> </v>
      </c>
      <c r="AE481" s="2" t="str">
        <f t="shared" si="81"/>
        <v xml:space="preserve"> </v>
      </c>
      <c r="AF481" s="2" t="str">
        <f t="shared" si="81"/>
        <v xml:space="preserve"> </v>
      </c>
      <c r="AG481" s="2" t="str">
        <f t="shared" si="81"/>
        <v xml:space="preserve"> </v>
      </c>
      <c r="AH481" s="2" t="str">
        <f t="shared" si="81"/>
        <v xml:space="preserve"> </v>
      </c>
      <c r="AI481" s="2" t="str">
        <f t="shared" si="83"/>
        <v xml:space="preserve"> </v>
      </c>
      <c r="AJ481" s="2" t="str">
        <f t="shared" si="83"/>
        <v xml:space="preserve"> </v>
      </c>
      <c r="AK481" s="2" t="str">
        <f t="shared" si="83"/>
        <v xml:space="preserve"> </v>
      </c>
      <c r="AL481" s="2" t="str">
        <f t="shared" si="83"/>
        <v xml:space="preserve"> </v>
      </c>
      <c r="AM481" s="2" t="str">
        <f t="shared" si="83"/>
        <v xml:space="preserve"> </v>
      </c>
      <c r="AN481" s="2" t="str">
        <f t="shared" si="83"/>
        <v xml:space="preserve"> </v>
      </c>
      <c r="AO481" s="2" t="str">
        <f t="shared" si="83"/>
        <v xml:space="preserve"> </v>
      </c>
      <c r="AP481" s="2" t="str">
        <f t="shared" si="83"/>
        <v xml:space="preserve"> </v>
      </c>
      <c r="AQ481" s="25" t="str">
        <f t="shared" si="83"/>
        <v xml:space="preserve"> </v>
      </c>
      <c r="AR481" s="12">
        <f t="shared" si="79"/>
        <v>0</v>
      </c>
    </row>
    <row r="482" spans="1:44" x14ac:dyDescent="0.25">
      <c r="A482" s="12">
        <f t="shared" si="78"/>
        <v>0</v>
      </c>
      <c r="B482" s="12">
        <f>IF(AND($C$420&gt;$C$419,($B$454+28)&lt;=$C$420),$C$419+29,0)</f>
        <v>0</v>
      </c>
      <c r="C482" s="26">
        <f t="shared" si="80"/>
        <v>0</v>
      </c>
      <c r="D482" s="26" t="str">
        <f t="shared" si="82"/>
        <v xml:space="preserve"> </v>
      </c>
      <c r="E482" s="2" t="str">
        <f t="shared" si="82"/>
        <v xml:space="preserve"> </v>
      </c>
      <c r="F482" s="2" t="str">
        <f t="shared" si="82"/>
        <v xml:space="preserve"> </v>
      </c>
      <c r="G482" s="2" t="str">
        <f t="shared" si="82"/>
        <v xml:space="preserve"> </v>
      </c>
      <c r="H482" s="2" t="str">
        <f t="shared" si="82"/>
        <v xml:space="preserve"> </v>
      </c>
      <c r="I482" s="2" t="str">
        <f t="shared" si="82"/>
        <v xml:space="preserve"> </v>
      </c>
      <c r="J482" s="2" t="str">
        <f t="shared" si="82"/>
        <v xml:space="preserve"> </v>
      </c>
      <c r="K482" s="2" t="str">
        <f t="shared" si="82"/>
        <v xml:space="preserve"> </v>
      </c>
      <c r="L482" s="2" t="str">
        <f t="shared" si="82"/>
        <v xml:space="preserve"> </v>
      </c>
      <c r="M482" s="2" t="str">
        <f t="shared" si="82"/>
        <v xml:space="preserve"> </v>
      </c>
      <c r="N482" s="2" t="str">
        <f t="shared" si="82"/>
        <v xml:space="preserve"> </v>
      </c>
      <c r="O482" s="2" t="str">
        <f t="shared" si="82"/>
        <v xml:space="preserve"> </v>
      </c>
      <c r="P482" s="2" t="str">
        <f t="shared" si="82"/>
        <v xml:space="preserve"> </v>
      </c>
      <c r="Q482" s="2" t="str">
        <f t="shared" si="82"/>
        <v xml:space="preserve"> </v>
      </c>
      <c r="R482" s="2" t="str">
        <f t="shared" si="82"/>
        <v xml:space="preserve"> </v>
      </c>
      <c r="S482" s="2" t="str">
        <f t="shared" si="82"/>
        <v xml:space="preserve"> </v>
      </c>
      <c r="T482" s="2" t="str">
        <f t="shared" si="81"/>
        <v xml:space="preserve"> </v>
      </c>
      <c r="U482" s="2" t="str">
        <f t="shared" si="81"/>
        <v xml:space="preserve"> </v>
      </c>
      <c r="V482" s="2" t="str">
        <f t="shared" si="81"/>
        <v xml:space="preserve"> </v>
      </c>
      <c r="W482" s="2" t="str">
        <f t="shared" si="81"/>
        <v xml:space="preserve"> </v>
      </c>
      <c r="X482" s="2" t="str">
        <f t="shared" si="81"/>
        <v xml:space="preserve"> </v>
      </c>
      <c r="Y482" s="2" t="str">
        <f t="shared" si="81"/>
        <v xml:space="preserve"> </v>
      </c>
      <c r="Z482" s="2" t="str">
        <f t="shared" si="81"/>
        <v xml:space="preserve"> </v>
      </c>
      <c r="AA482" s="2" t="str">
        <f t="shared" si="81"/>
        <v xml:space="preserve"> </v>
      </c>
      <c r="AB482" s="2" t="str">
        <f t="shared" si="81"/>
        <v xml:space="preserve"> </v>
      </c>
      <c r="AC482" s="2" t="str">
        <f t="shared" si="81"/>
        <v xml:space="preserve"> </v>
      </c>
      <c r="AD482" s="2" t="str">
        <f t="shared" si="81"/>
        <v xml:space="preserve"> </v>
      </c>
      <c r="AE482" s="2" t="str">
        <f t="shared" si="81"/>
        <v xml:space="preserve"> </v>
      </c>
      <c r="AF482" s="2" t="str">
        <f t="shared" si="81"/>
        <v xml:space="preserve"> </v>
      </c>
      <c r="AG482" s="2" t="str">
        <f t="shared" si="81"/>
        <v xml:space="preserve"> </v>
      </c>
      <c r="AH482" s="2" t="str">
        <f t="shared" si="81"/>
        <v xml:space="preserve"> </v>
      </c>
      <c r="AI482" s="2" t="str">
        <f t="shared" si="83"/>
        <v xml:space="preserve"> </v>
      </c>
      <c r="AJ482" s="2" t="str">
        <f t="shared" si="83"/>
        <v xml:space="preserve"> </v>
      </c>
      <c r="AK482" s="2" t="str">
        <f t="shared" si="83"/>
        <v xml:space="preserve"> </v>
      </c>
      <c r="AL482" s="2" t="str">
        <f t="shared" si="83"/>
        <v xml:space="preserve"> </v>
      </c>
      <c r="AM482" s="2" t="str">
        <f t="shared" si="83"/>
        <v xml:space="preserve"> </v>
      </c>
      <c r="AN482" s="2" t="str">
        <f t="shared" si="83"/>
        <v xml:space="preserve"> </v>
      </c>
      <c r="AO482" s="2" t="str">
        <f t="shared" si="83"/>
        <v xml:space="preserve"> </v>
      </c>
      <c r="AP482" s="2" t="str">
        <f t="shared" si="83"/>
        <v xml:space="preserve"> </v>
      </c>
      <c r="AQ482" s="25" t="str">
        <f t="shared" si="83"/>
        <v xml:space="preserve"> </v>
      </c>
      <c r="AR482" s="12">
        <f t="shared" si="79"/>
        <v>0</v>
      </c>
    </row>
    <row r="483" spans="1:44" x14ac:dyDescent="0.25">
      <c r="A483" s="12">
        <f t="shared" si="78"/>
        <v>0</v>
      </c>
      <c r="B483" s="12">
        <f>IF(AND($C$420&gt;$C$419,($B$454+29)&lt;=$C$420),$C$419+30,0)</f>
        <v>0</v>
      </c>
      <c r="C483" s="26">
        <f t="shared" si="80"/>
        <v>0</v>
      </c>
      <c r="D483" s="26" t="str">
        <f t="shared" si="82"/>
        <v xml:space="preserve"> </v>
      </c>
      <c r="E483" s="2" t="str">
        <f t="shared" si="82"/>
        <v xml:space="preserve"> </v>
      </c>
      <c r="F483" s="2" t="str">
        <f t="shared" si="82"/>
        <v xml:space="preserve"> </v>
      </c>
      <c r="G483" s="2" t="str">
        <f t="shared" si="82"/>
        <v xml:space="preserve"> </v>
      </c>
      <c r="H483" s="2" t="str">
        <f t="shared" si="82"/>
        <v xml:space="preserve"> </v>
      </c>
      <c r="I483" s="2" t="str">
        <f t="shared" si="82"/>
        <v xml:space="preserve"> </v>
      </c>
      <c r="J483" s="2" t="str">
        <f t="shared" si="82"/>
        <v xml:space="preserve"> </v>
      </c>
      <c r="K483" s="2" t="str">
        <f t="shared" si="82"/>
        <v xml:space="preserve"> </v>
      </c>
      <c r="L483" s="2" t="str">
        <f t="shared" si="82"/>
        <v xml:space="preserve"> </v>
      </c>
      <c r="M483" s="2" t="str">
        <f t="shared" si="82"/>
        <v xml:space="preserve"> </v>
      </c>
      <c r="N483" s="2" t="str">
        <f t="shared" si="82"/>
        <v xml:space="preserve"> </v>
      </c>
      <c r="O483" s="2" t="str">
        <f t="shared" si="82"/>
        <v xml:space="preserve"> </v>
      </c>
      <c r="P483" s="2" t="str">
        <f t="shared" si="82"/>
        <v xml:space="preserve"> </v>
      </c>
      <c r="Q483" s="2" t="str">
        <f t="shared" si="82"/>
        <v xml:space="preserve"> </v>
      </c>
      <c r="R483" s="2" t="str">
        <f t="shared" si="82"/>
        <v xml:space="preserve"> </v>
      </c>
      <c r="S483" s="2" t="str">
        <f t="shared" si="82"/>
        <v xml:space="preserve"> </v>
      </c>
      <c r="T483" s="2" t="str">
        <f t="shared" si="81"/>
        <v xml:space="preserve"> </v>
      </c>
      <c r="U483" s="2" t="str">
        <f t="shared" si="81"/>
        <v xml:space="preserve"> </v>
      </c>
      <c r="V483" s="2" t="str">
        <f t="shared" si="81"/>
        <v xml:space="preserve"> </v>
      </c>
      <c r="W483" s="2" t="str">
        <f t="shared" si="81"/>
        <v xml:space="preserve"> </v>
      </c>
      <c r="X483" s="2" t="str">
        <f t="shared" si="81"/>
        <v xml:space="preserve"> </v>
      </c>
      <c r="Y483" s="2" t="str">
        <f t="shared" si="81"/>
        <v xml:space="preserve"> </v>
      </c>
      <c r="Z483" s="2" t="str">
        <f t="shared" si="81"/>
        <v xml:space="preserve"> </v>
      </c>
      <c r="AA483" s="2" t="str">
        <f t="shared" si="81"/>
        <v xml:space="preserve"> </v>
      </c>
      <c r="AB483" s="2" t="str">
        <f t="shared" si="81"/>
        <v xml:space="preserve"> </v>
      </c>
      <c r="AC483" s="2" t="str">
        <f t="shared" si="81"/>
        <v xml:space="preserve"> </v>
      </c>
      <c r="AD483" s="2" t="str">
        <f t="shared" si="81"/>
        <v xml:space="preserve"> </v>
      </c>
      <c r="AE483" s="2" t="str">
        <f t="shared" si="81"/>
        <v xml:space="preserve"> </v>
      </c>
      <c r="AF483" s="2" t="str">
        <f t="shared" si="81"/>
        <v xml:space="preserve"> </v>
      </c>
      <c r="AG483" s="2" t="str">
        <f t="shared" si="81"/>
        <v xml:space="preserve"> </v>
      </c>
      <c r="AH483" s="2" t="str">
        <f t="shared" si="81"/>
        <v xml:space="preserve"> </v>
      </c>
      <c r="AI483" s="2" t="str">
        <f t="shared" si="83"/>
        <v xml:space="preserve"> </v>
      </c>
      <c r="AJ483" s="2" t="str">
        <f t="shared" si="83"/>
        <v xml:space="preserve"> </v>
      </c>
      <c r="AK483" s="2" t="str">
        <f t="shared" si="83"/>
        <v xml:space="preserve"> </v>
      </c>
      <c r="AL483" s="2" t="str">
        <f t="shared" si="83"/>
        <v xml:space="preserve"> </v>
      </c>
      <c r="AM483" s="2" t="str">
        <f t="shared" si="83"/>
        <v xml:space="preserve"> </v>
      </c>
      <c r="AN483" s="2" t="str">
        <f t="shared" si="83"/>
        <v xml:space="preserve"> </v>
      </c>
      <c r="AO483" s="2" t="str">
        <f t="shared" si="83"/>
        <v xml:space="preserve"> </v>
      </c>
      <c r="AP483" s="2" t="str">
        <f t="shared" si="83"/>
        <v xml:space="preserve"> </v>
      </c>
      <c r="AQ483" s="25" t="str">
        <f t="shared" si="83"/>
        <v xml:space="preserve"> </v>
      </c>
      <c r="AR483" s="12">
        <f t="shared" si="79"/>
        <v>0</v>
      </c>
    </row>
    <row r="484" spans="1:44" x14ac:dyDescent="0.25">
      <c r="A484" s="12">
        <f t="shared" si="78"/>
        <v>0</v>
      </c>
      <c r="B484" s="12">
        <f>IF(AND($C$420&gt;$C$419,($B$454+30)&lt;=$C$420),$C$419+31,0)</f>
        <v>0</v>
      </c>
      <c r="C484" s="26">
        <f t="shared" si="80"/>
        <v>0</v>
      </c>
      <c r="D484" s="26" t="str">
        <f t="shared" si="82"/>
        <v xml:space="preserve"> </v>
      </c>
      <c r="E484" s="2" t="str">
        <f t="shared" si="82"/>
        <v xml:space="preserve"> </v>
      </c>
      <c r="F484" s="2" t="str">
        <f t="shared" si="82"/>
        <v xml:space="preserve"> </v>
      </c>
      <c r="G484" s="2" t="str">
        <f t="shared" si="82"/>
        <v xml:space="preserve"> </v>
      </c>
      <c r="H484" s="2" t="str">
        <f t="shared" si="82"/>
        <v xml:space="preserve"> </v>
      </c>
      <c r="I484" s="2" t="str">
        <f t="shared" si="82"/>
        <v xml:space="preserve"> </v>
      </c>
      <c r="J484" s="2" t="str">
        <f t="shared" si="82"/>
        <v xml:space="preserve"> </v>
      </c>
      <c r="K484" s="2" t="str">
        <f t="shared" si="82"/>
        <v xml:space="preserve"> </v>
      </c>
      <c r="L484" s="2" t="str">
        <f t="shared" si="82"/>
        <v xml:space="preserve"> </v>
      </c>
      <c r="M484" s="2" t="str">
        <f t="shared" si="82"/>
        <v xml:space="preserve"> </v>
      </c>
      <c r="N484" s="2" t="str">
        <f t="shared" si="82"/>
        <v xml:space="preserve"> </v>
      </c>
      <c r="O484" s="2" t="str">
        <f t="shared" si="82"/>
        <v xml:space="preserve"> </v>
      </c>
      <c r="P484" s="2" t="str">
        <f t="shared" si="82"/>
        <v xml:space="preserve"> </v>
      </c>
      <c r="Q484" s="2" t="str">
        <f t="shared" si="82"/>
        <v xml:space="preserve"> </v>
      </c>
      <c r="R484" s="2" t="str">
        <f t="shared" si="82"/>
        <v xml:space="preserve"> </v>
      </c>
      <c r="S484" s="2" t="str">
        <f t="shared" ref="S484:AH492" si="84">IF(OR($A484=0,S$451=0)," ",IF(AND($B484&gt;0,S$451&gt;0,FLOOR($C$440/(S$451*$B484),1)&gt;=$A484),FLOOR($C$440/(S$451*$B484),1)," "))</f>
        <v xml:space="preserve"> </v>
      </c>
      <c r="T484" s="2" t="str">
        <f t="shared" si="84"/>
        <v xml:space="preserve"> </v>
      </c>
      <c r="U484" s="2" t="str">
        <f t="shared" si="84"/>
        <v xml:space="preserve"> </v>
      </c>
      <c r="V484" s="2" t="str">
        <f t="shared" si="84"/>
        <v xml:space="preserve"> </v>
      </c>
      <c r="W484" s="2" t="str">
        <f t="shared" si="84"/>
        <v xml:space="preserve"> </v>
      </c>
      <c r="X484" s="2" t="str">
        <f t="shared" si="84"/>
        <v xml:space="preserve"> </v>
      </c>
      <c r="Y484" s="2" t="str">
        <f t="shared" si="84"/>
        <v xml:space="preserve"> </v>
      </c>
      <c r="Z484" s="2" t="str">
        <f t="shared" si="84"/>
        <v xml:space="preserve"> </v>
      </c>
      <c r="AA484" s="2" t="str">
        <f t="shared" si="84"/>
        <v xml:space="preserve"> </v>
      </c>
      <c r="AB484" s="2" t="str">
        <f t="shared" si="84"/>
        <v xml:space="preserve"> </v>
      </c>
      <c r="AC484" s="2" t="str">
        <f t="shared" si="84"/>
        <v xml:space="preserve"> </v>
      </c>
      <c r="AD484" s="2" t="str">
        <f t="shared" si="84"/>
        <v xml:space="preserve"> </v>
      </c>
      <c r="AE484" s="2" t="str">
        <f t="shared" si="84"/>
        <v xml:space="preserve"> </v>
      </c>
      <c r="AF484" s="2" t="str">
        <f t="shared" si="84"/>
        <v xml:space="preserve"> </v>
      </c>
      <c r="AG484" s="2" t="str">
        <f t="shared" si="84"/>
        <v xml:space="preserve"> </v>
      </c>
      <c r="AH484" s="2" t="str">
        <f t="shared" si="83"/>
        <v xml:space="preserve"> </v>
      </c>
      <c r="AI484" s="2" t="str">
        <f t="shared" si="83"/>
        <v xml:space="preserve"> </v>
      </c>
      <c r="AJ484" s="2" t="str">
        <f t="shared" si="83"/>
        <v xml:space="preserve"> </v>
      </c>
      <c r="AK484" s="2" t="str">
        <f t="shared" si="83"/>
        <v xml:space="preserve"> </v>
      </c>
      <c r="AL484" s="2" t="str">
        <f t="shared" si="83"/>
        <v xml:space="preserve"> </v>
      </c>
      <c r="AM484" s="2" t="str">
        <f t="shared" si="83"/>
        <v xml:space="preserve"> </v>
      </c>
      <c r="AN484" s="2" t="str">
        <f t="shared" si="83"/>
        <v xml:space="preserve"> </v>
      </c>
      <c r="AO484" s="2" t="str">
        <f t="shared" si="83"/>
        <v xml:space="preserve"> </v>
      </c>
      <c r="AP484" s="2" t="str">
        <f t="shared" si="83"/>
        <v xml:space="preserve"> </v>
      </c>
      <c r="AQ484" s="25" t="str">
        <f t="shared" si="83"/>
        <v xml:space="preserve"> </v>
      </c>
      <c r="AR484" s="12">
        <f t="shared" si="79"/>
        <v>0</v>
      </c>
    </row>
    <row r="485" spans="1:44" x14ac:dyDescent="0.25">
      <c r="A485" s="12">
        <f t="shared" si="78"/>
        <v>0</v>
      </c>
      <c r="B485" s="12">
        <f>IF(AND($C$420&gt;$C$419,($B$454+31)&lt;=$C$420),$C$419+32,0)</f>
        <v>0</v>
      </c>
      <c r="C485" s="26">
        <f t="shared" si="80"/>
        <v>0</v>
      </c>
      <c r="D485" s="26" t="str">
        <f t="shared" ref="D485:S492" si="85">IF(OR($A485=0,D$451=0)," ",IF(AND($B485&gt;0,D$451&gt;0,FLOOR($C$440/(D$451*$B485),1)&gt;=$A485),FLOOR($C$440/(D$451*$B485),1)," "))</f>
        <v xml:space="preserve"> </v>
      </c>
      <c r="E485" s="2" t="str">
        <f t="shared" si="85"/>
        <v xml:space="preserve"> </v>
      </c>
      <c r="F485" s="2" t="str">
        <f t="shared" si="85"/>
        <v xml:space="preserve"> </v>
      </c>
      <c r="G485" s="2" t="str">
        <f t="shared" si="85"/>
        <v xml:space="preserve"> </v>
      </c>
      <c r="H485" s="2" t="str">
        <f t="shared" si="85"/>
        <v xml:space="preserve"> </v>
      </c>
      <c r="I485" s="2" t="str">
        <f t="shared" si="85"/>
        <v xml:space="preserve"> </v>
      </c>
      <c r="J485" s="2" t="str">
        <f t="shared" si="85"/>
        <v xml:space="preserve"> </v>
      </c>
      <c r="K485" s="2" t="str">
        <f t="shared" si="85"/>
        <v xml:space="preserve"> </v>
      </c>
      <c r="L485" s="2" t="str">
        <f t="shared" si="85"/>
        <v xml:space="preserve"> </v>
      </c>
      <c r="M485" s="2" t="str">
        <f t="shared" si="85"/>
        <v xml:space="preserve"> </v>
      </c>
      <c r="N485" s="2" t="str">
        <f t="shared" si="85"/>
        <v xml:space="preserve"> </v>
      </c>
      <c r="O485" s="2" t="str">
        <f t="shared" si="85"/>
        <v xml:space="preserve"> </v>
      </c>
      <c r="P485" s="2" t="str">
        <f t="shared" si="85"/>
        <v xml:space="preserve"> </v>
      </c>
      <c r="Q485" s="2" t="str">
        <f t="shared" si="85"/>
        <v xml:space="preserve"> </v>
      </c>
      <c r="R485" s="2" t="str">
        <f t="shared" si="85"/>
        <v xml:space="preserve"> </v>
      </c>
      <c r="S485" s="2" t="str">
        <f t="shared" si="85"/>
        <v xml:space="preserve"> </v>
      </c>
      <c r="T485" s="2" t="str">
        <f t="shared" si="84"/>
        <v xml:space="preserve"> </v>
      </c>
      <c r="U485" s="2" t="str">
        <f t="shared" si="84"/>
        <v xml:space="preserve"> </v>
      </c>
      <c r="V485" s="2" t="str">
        <f t="shared" si="84"/>
        <v xml:space="preserve"> </v>
      </c>
      <c r="W485" s="2" t="str">
        <f t="shared" si="84"/>
        <v xml:space="preserve"> </v>
      </c>
      <c r="X485" s="2" t="str">
        <f t="shared" si="84"/>
        <v xml:space="preserve"> </v>
      </c>
      <c r="Y485" s="2" t="str">
        <f t="shared" si="84"/>
        <v xml:space="preserve"> </v>
      </c>
      <c r="Z485" s="2" t="str">
        <f t="shared" si="84"/>
        <v xml:space="preserve"> </v>
      </c>
      <c r="AA485" s="2" t="str">
        <f t="shared" si="84"/>
        <v xml:space="preserve"> </v>
      </c>
      <c r="AB485" s="2" t="str">
        <f t="shared" si="84"/>
        <v xml:space="preserve"> </v>
      </c>
      <c r="AC485" s="2" t="str">
        <f t="shared" si="84"/>
        <v xml:space="preserve"> </v>
      </c>
      <c r="AD485" s="2" t="str">
        <f t="shared" si="84"/>
        <v xml:space="preserve"> </v>
      </c>
      <c r="AE485" s="2" t="str">
        <f t="shared" si="84"/>
        <v xml:space="preserve"> </v>
      </c>
      <c r="AF485" s="2" t="str">
        <f t="shared" si="84"/>
        <v xml:space="preserve"> </v>
      </c>
      <c r="AG485" s="2" t="str">
        <f t="shared" si="84"/>
        <v xml:space="preserve"> </v>
      </c>
      <c r="AH485" s="2" t="str">
        <f t="shared" si="84"/>
        <v xml:space="preserve"> </v>
      </c>
      <c r="AI485" s="2" t="str">
        <f t="shared" ref="AI485:AQ492" si="86">IF(OR($A485=0,AI$451=0)," ",IF(AND($B485&gt;0,AI$451&gt;0,FLOOR($C$440/(AI$451*$B485),1)&gt;=$A485),FLOOR($C$440/(AI$451*$B485),1)," "))</f>
        <v xml:space="preserve"> </v>
      </c>
      <c r="AJ485" s="2" t="str">
        <f t="shared" si="86"/>
        <v xml:space="preserve"> </v>
      </c>
      <c r="AK485" s="2" t="str">
        <f t="shared" si="86"/>
        <v xml:space="preserve"> </v>
      </c>
      <c r="AL485" s="2" t="str">
        <f t="shared" si="86"/>
        <v xml:space="preserve"> </v>
      </c>
      <c r="AM485" s="2" t="str">
        <f t="shared" si="86"/>
        <v xml:space="preserve"> </v>
      </c>
      <c r="AN485" s="2" t="str">
        <f t="shared" si="86"/>
        <v xml:space="preserve"> </v>
      </c>
      <c r="AO485" s="2" t="str">
        <f t="shared" si="86"/>
        <v xml:space="preserve"> </v>
      </c>
      <c r="AP485" s="2" t="str">
        <f t="shared" si="86"/>
        <v xml:space="preserve"> </v>
      </c>
      <c r="AQ485" s="25" t="str">
        <f t="shared" si="86"/>
        <v xml:space="preserve"> </v>
      </c>
      <c r="AR485" s="12">
        <f t="shared" si="79"/>
        <v>0</v>
      </c>
    </row>
    <row r="486" spans="1:44" x14ac:dyDescent="0.25">
      <c r="A486" s="12">
        <f t="shared" si="78"/>
        <v>0</v>
      </c>
      <c r="B486" s="12">
        <f>IF(AND($C$420&gt;$C$419,($B$454+32)&lt;=$C$420),$C$419+33,0)</f>
        <v>0</v>
      </c>
      <c r="C486" s="26">
        <f t="shared" si="80"/>
        <v>0</v>
      </c>
      <c r="D486" s="26" t="str">
        <f t="shared" si="85"/>
        <v xml:space="preserve"> </v>
      </c>
      <c r="E486" s="2" t="str">
        <f t="shared" si="85"/>
        <v xml:space="preserve"> </v>
      </c>
      <c r="F486" s="2" t="str">
        <f t="shared" si="85"/>
        <v xml:space="preserve"> </v>
      </c>
      <c r="G486" s="2" t="str">
        <f t="shared" si="85"/>
        <v xml:space="preserve"> </v>
      </c>
      <c r="H486" s="2" t="str">
        <f t="shared" si="85"/>
        <v xml:space="preserve"> </v>
      </c>
      <c r="I486" s="2" t="str">
        <f t="shared" si="85"/>
        <v xml:space="preserve"> </v>
      </c>
      <c r="J486" s="2" t="str">
        <f t="shared" si="85"/>
        <v xml:space="preserve"> </v>
      </c>
      <c r="K486" s="2" t="str">
        <f t="shared" si="85"/>
        <v xml:space="preserve"> </v>
      </c>
      <c r="L486" s="2" t="str">
        <f t="shared" si="85"/>
        <v xml:space="preserve"> </v>
      </c>
      <c r="M486" s="2" t="str">
        <f t="shared" si="85"/>
        <v xml:space="preserve"> </v>
      </c>
      <c r="N486" s="2" t="str">
        <f t="shared" si="85"/>
        <v xml:space="preserve"> </v>
      </c>
      <c r="O486" s="2" t="str">
        <f t="shared" si="85"/>
        <v xml:space="preserve"> </v>
      </c>
      <c r="P486" s="2" t="str">
        <f t="shared" si="85"/>
        <v xml:space="preserve"> </v>
      </c>
      <c r="Q486" s="2" t="str">
        <f t="shared" si="85"/>
        <v xml:space="preserve"> </v>
      </c>
      <c r="R486" s="2" t="str">
        <f t="shared" si="85"/>
        <v xml:space="preserve"> </v>
      </c>
      <c r="S486" s="2" t="str">
        <f t="shared" si="85"/>
        <v xml:space="preserve"> </v>
      </c>
      <c r="T486" s="2" t="str">
        <f t="shared" si="84"/>
        <v xml:space="preserve"> </v>
      </c>
      <c r="U486" s="2" t="str">
        <f t="shared" si="84"/>
        <v xml:space="preserve"> </v>
      </c>
      <c r="V486" s="2" t="str">
        <f t="shared" si="84"/>
        <v xml:space="preserve"> </v>
      </c>
      <c r="W486" s="2" t="str">
        <f t="shared" si="84"/>
        <v xml:space="preserve"> </v>
      </c>
      <c r="X486" s="2" t="str">
        <f t="shared" si="84"/>
        <v xml:space="preserve"> </v>
      </c>
      <c r="Y486" s="2" t="str">
        <f t="shared" si="84"/>
        <v xml:space="preserve"> </v>
      </c>
      <c r="Z486" s="2" t="str">
        <f t="shared" si="84"/>
        <v xml:space="preserve"> </v>
      </c>
      <c r="AA486" s="2" t="str">
        <f t="shared" si="84"/>
        <v xml:space="preserve"> </v>
      </c>
      <c r="AB486" s="2" t="str">
        <f t="shared" si="84"/>
        <v xml:space="preserve"> </v>
      </c>
      <c r="AC486" s="2" t="str">
        <f t="shared" si="84"/>
        <v xml:space="preserve"> </v>
      </c>
      <c r="AD486" s="2" t="str">
        <f t="shared" si="84"/>
        <v xml:space="preserve"> </v>
      </c>
      <c r="AE486" s="2" t="str">
        <f t="shared" si="84"/>
        <v xml:space="preserve"> </v>
      </c>
      <c r="AF486" s="2" t="str">
        <f t="shared" si="84"/>
        <v xml:space="preserve"> </v>
      </c>
      <c r="AG486" s="2" t="str">
        <f t="shared" si="84"/>
        <v xml:space="preserve"> </v>
      </c>
      <c r="AH486" s="2" t="str">
        <f t="shared" si="84"/>
        <v xml:space="preserve"> </v>
      </c>
      <c r="AI486" s="2" t="str">
        <f t="shared" si="86"/>
        <v xml:space="preserve"> </v>
      </c>
      <c r="AJ486" s="2" t="str">
        <f t="shared" si="86"/>
        <v xml:space="preserve"> </v>
      </c>
      <c r="AK486" s="2" t="str">
        <f t="shared" si="86"/>
        <v xml:space="preserve"> </v>
      </c>
      <c r="AL486" s="2" t="str">
        <f t="shared" si="86"/>
        <v xml:space="preserve"> </v>
      </c>
      <c r="AM486" s="2" t="str">
        <f t="shared" si="86"/>
        <v xml:space="preserve"> </v>
      </c>
      <c r="AN486" s="2" t="str">
        <f t="shared" si="86"/>
        <v xml:space="preserve"> </v>
      </c>
      <c r="AO486" s="2" t="str">
        <f t="shared" si="86"/>
        <v xml:space="preserve"> </v>
      </c>
      <c r="AP486" s="2" t="str">
        <f t="shared" si="86"/>
        <v xml:space="preserve"> </v>
      </c>
      <c r="AQ486" s="25" t="str">
        <f t="shared" si="86"/>
        <v xml:space="preserve"> </v>
      </c>
      <c r="AR486" s="12">
        <f t="shared" si="79"/>
        <v>0</v>
      </c>
    </row>
    <row r="487" spans="1:44" x14ac:dyDescent="0.25">
      <c r="A487" s="12">
        <f t="shared" si="78"/>
        <v>0</v>
      </c>
      <c r="B487" s="12">
        <f>IF(AND($C$420&gt;$C$419,($B$454+33)&lt;=$C$420),$C$419+34,0)</f>
        <v>0</v>
      </c>
      <c r="C487" s="26">
        <f t="shared" si="80"/>
        <v>0</v>
      </c>
      <c r="D487" s="26" t="str">
        <f t="shared" si="85"/>
        <v xml:space="preserve"> </v>
      </c>
      <c r="E487" s="2" t="str">
        <f t="shared" si="85"/>
        <v xml:space="preserve"> </v>
      </c>
      <c r="F487" s="2" t="str">
        <f t="shared" si="85"/>
        <v xml:space="preserve"> </v>
      </c>
      <c r="G487" s="2" t="str">
        <f t="shared" si="85"/>
        <v xml:space="preserve"> </v>
      </c>
      <c r="H487" s="2" t="str">
        <f t="shared" si="85"/>
        <v xml:space="preserve"> </v>
      </c>
      <c r="I487" s="2" t="str">
        <f t="shared" si="85"/>
        <v xml:space="preserve"> </v>
      </c>
      <c r="J487" s="2" t="str">
        <f t="shared" si="85"/>
        <v xml:space="preserve"> </v>
      </c>
      <c r="K487" s="2" t="str">
        <f t="shared" si="85"/>
        <v xml:space="preserve"> </v>
      </c>
      <c r="L487" s="2" t="str">
        <f t="shared" si="85"/>
        <v xml:space="preserve"> </v>
      </c>
      <c r="M487" s="2" t="str">
        <f t="shared" si="85"/>
        <v xml:space="preserve"> </v>
      </c>
      <c r="N487" s="2" t="str">
        <f t="shared" si="85"/>
        <v xml:space="preserve"> </v>
      </c>
      <c r="O487" s="2" t="str">
        <f t="shared" si="85"/>
        <v xml:space="preserve"> </v>
      </c>
      <c r="P487" s="2" t="str">
        <f t="shared" si="85"/>
        <v xml:space="preserve"> </v>
      </c>
      <c r="Q487" s="2" t="str">
        <f t="shared" si="85"/>
        <v xml:space="preserve"> </v>
      </c>
      <c r="R487" s="2" t="str">
        <f t="shared" si="85"/>
        <v xml:space="preserve"> </v>
      </c>
      <c r="S487" s="2" t="str">
        <f t="shared" si="85"/>
        <v xml:space="preserve"> </v>
      </c>
      <c r="T487" s="2" t="str">
        <f t="shared" si="84"/>
        <v xml:space="preserve"> </v>
      </c>
      <c r="U487" s="2" t="str">
        <f t="shared" si="84"/>
        <v xml:space="preserve"> </v>
      </c>
      <c r="V487" s="2" t="str">
        <f t="shared" si="84"/>
        <v xml:space="preserve"> </v>
      </c>
      <c r="W487" s="2" t="str">
        <f t="shared" si="84"/>
        <v xml:space="preserve"> </v>
      </c>
      <c r="X487" s="2" t="str">
        <f t="shared" si="84"/>
        <v xml:space="preserve"> </v>
      </c>
      <c r="Y487" s="2" t="str">
        <f t="shared" si="84"/>
        <v xml:space="preserve"> </v>
      </c>
      <c r="Z487" s="2" t="str">
        <f t="shared" si="84"/>
        <v xml:space="preserve"> </v>
      </c>
      <c r="AA487" s="2" t="str">
        <f t="shared" si="84"/>
        <v xml:space="preserve"> </v>
      </c>
      <c r="AB487" s="2" t="str">
        <f t="shared" si="84"/>
        <v xml:space="preserve"> </v>
      </c>
      <c r="AC487" s="2" t="str">
        <f t="shared" si="84"/>
        <v xml:space="preserve"> </v>
      </c>
      <c r="AD487" s="2" t="str">
        <f t="shared" si="84"/>
        <v xml:space="preserve"> </v>
      </c>
      <c r="AE487" s="2" t="str">
        <f t="shared" si="84"/>
        <v xml:space="preserve"> </v>
      </c>
      <c r="AF487" s="2" t="str">
        <f t="shared" si="84"/>
        <v xml:space="preserve"> </v>
      </c>
      <c r="AG487" s="2" t="str">
        <f t="shared" si="84"/>
        <v xml:space="preserve"> </v>
      </c>
      <c r="AH487" s="2" t="str">
        <f t="shared" si="84"/>
        <v xml:space="preserve"> </v>
      </c>
      <c r="AI487" s="2" t="str">
        <f t="shared" si="86"/>
        <v xml:space="preserve"> </v>
      </c>
      <c r="AJ487" s="2" t="str">
        <f t="shared" si="86"/>
        <v xml:space="preserve"> </v>
      </c>
      <c r="AK487" s="2" t="str">
        <f t="shared" si="86"/>
        <v xml:space="preserve"> </v>
      </c>
      <c r="AL487" s="2" t="str">
        <f t="shared" si="86"/>
        <v xml:space="preserve"> </v>
      </c>
      <c r="AM487" s="2" t="str">
        <f t="shared" si="86"/>
        <v xml:space="preserve"> </v>
      </c>
      <c r="AN487" s="2" t="str">
        <f t="shared" si="86"/>
        <v xml:space="preserve"> </v>
      </c>
      <c r="AO487" s="2" t="str">
        <f t="shared" si="86"/>
        <v xml:space="preserve"> </v>
      </c>
      <c r="AP487" s="2" t="str">
        <f t="shared" si="86"/>
        <v xml:space="preserve"> </v>
      </c>
      <c r="AQ487" s="25" t="str">
        <f t="shared" si="86"/>
        <v xml:space="preserve"> </v>
      </c>
      <c r="AR487" s="12">
        <f t="shared" si="79"/>
        <v>0</v>
      </c>
    </row>
    <row r="488" spans="1:44" x14ac:dyDescent="0.25">
      <c r="A488" s="12">
        <f t="shared" si="78"/>
        <v>0</v>
      </c>
      <c r="B488" s="12">
        <f>IF(AND($C$420&gt;$C$419,($B$454+34)&lt;=$C$420),$C$419+35,0)</f>
        <v>0</v>
      </c>
      <c r="C488" s="26">
        <f t="shared" si="80"/>
        <v>0</v>
      </c>
      <c r="D488" s="26" t="str">
        <f t="shared" si="85"/>
        <v xml:space="preserve"> </v>
      </c>
      <c r="E488" s="2" t="str">
        <f t="shared" si="85"/>
        <v xml:space="preserve"> </v>
      </c>
      <c r="F488" s="2" t="str">
        <f t="shared" si="85"/>
        <v xml:space="preserve"> </v>
      </c>
      <c r="G488" s="2" t="str">
        <f t="shared" si="85"/>
        <v xml:space="preserve"> </v>
      </c>
      <c r="H488" s="2" t="str">
        <f t="shared" si="85"/>
        <v xml:space="preserve"> </v>
      </c>
      <c r="I488" s="2" t="str">
        <f t="shared" si="85"/>
        <v xml:space="preserve"> </v>
      </c>
      <c r="J488" s="2" t="str">
        <f t="shared" si="85"/>
        <v xml:space="preserve"> </v>
      </c>
      <c r="K488" s="2" t="str">
        <f t="shared" si="85"/>
        <v xml:space="preserve"> </v>
      </c>
      <c r="L488" s="2" t="str">
        <f t="shared" si="85"/>
        <v xml:space="preserve"> </v>
      </c>
      <c r="M488" s="2" t="str">
        <f t="shared" si="85"/>
        <v xml:space="preserve"> </v>
      </c>
      <c r="N488" s="2" t="str">
        <f t="shared" si="85"/>
        <v xml:space="preserve"> </v>
      </c>
      <c r="O488" s="2" t="str">
        <f t="shared" si="85"/>
        <v xml:space="preserve"> </v>
      </c>
      <c r="P488" s="2" t="str">
        <f t="shared" si="85"/>
        <v xml:space="preserve"> </v>
      </c>
      <c r="Q488" s="2" t="str">
        <f t="shared" si="85"/>
        <v xml:space="preserve"> </v>
      </c>
      <c r="R488" s="2" t="str">
        <f t="shared" si="85"/>
        <v xml:space="preserve"> </v>
      </c>
      <c r="S488" s="2" t="str">
        <f t="shared" si="85"/>
        <v xml:space="preserve"> </v>
      </c>
      <c r="T488" s="2" t="str">
        <f t="shared" si="84"/>
        <v xml:space="preserve"> </v>
      </c>
      <c r="U488" s="2" t="str">
        <f t="shared" si="84"/>
        <v xml:space="preserve"> </v>
      </c>
      <c r="V488" s="2" t="str">
        <f t="shared" si="84"/>
        <v xml:space="preserve"> </v>
      </c>
      <c r="W488" s="2" t="str">
        <f t="shared" si="84"/>
        <v xml:space="preserve"> </v>
      </c>
      <c r="X488" s="2" t="str">
        <f t="shared" si="84"/>
        <v xml:space="preserve"> </v>
      </c>
      <c r="Y488" s="2" t="str">
        <f t="shared" si="84"/>
        <v xml:space="preserve"> </v>
      </c>
      <c r="Z488" s="2" t="str">
        <f t="shared" si="84"/>
        <v xml:space="preserve"> </v>
      </c>
      <c r="AA488" s="2" t="str">
        <f t="shared" si="84"/>
        <v xml:space="preserve"> </v>
      </c>
      <c r="AB488" s="2" t="str">
        <f t="shared" si="84"/>
        <v xml:space="preserve"> </v>
      </c>
      <c r="AC488" s="2" t="str">
        <f t="shared" si="84"/>
        <v xml:space="preserve"> </v>
      </c>
      <c r="AD488" s="2" t="str">
        <f t="shared" si="84"/>
        <v xml:space="preserve"> </v>
      </c>
      <c r="AE488" s="2" t="str">
        <f t="shared" si="84"/>
        <v xml:space="preserve"> </v>
      </c>
      <c r="AF488" s="2" t="str">
        <f t="shared" si="84"/>
        <v xml:space="preserve"> </v>
      </c>
      <c r="AG488" s="2" t="str">
        <f t="shared" si="84"/>
        <v xml:space="preserve"> </v>
      </c>
      <c r="AH488" s="2" t="str">
        <f t="shared" si="84"/>
        <v xml:space="preserve"> </v>
      </c>
      <c r="AI488" s="2" t="str">
        <f t="shared" si="86"/>
        <v xml:space="preserve"> </v>
      </c>
      <c r="AJ488" s="2" t="str">
        <f t="shared" si="86"/>
        <v xml:space="preserve"> </v>
      </c>
      <c r="AK488" s="2" t="str">
        <f t="shared" si="86"/>
        <v xml:space="preserve"> </v>
      </c>
      <c r="AL488" s="2" t="str">
        <f t="shared" si="86"/>
        <v xml:space="preserve"> </v>
      </c>
      <c r="AM488" s="2" t="str">
        <f t="shared" si="86"/>
        <v xml:space="preserve"> </v>
      </c>
      <c r="AN488" s="2" t="str">
        <f t="shared" si="86"/>
        <v xml:space="preserve"> </v>
      </c>
      <c r="AO488" s="2" t="str">
        <f t="shared" si="86"/>
        <v xml:space="preserve"> </v>
      </c>
      <c r="AP488" s="2" t="str">
        <f t="shared" si="86"/>
        <v xml:space="preserve"> </v>
      </c>
      <c r="AQ488" s="25" t="str">
        <f t="shared" si="86"/>
        <v xml:space="preserve"> </v>
      </c>
      <c r="AR488" s="12">
        <f t="shared" si="79"/>
        <v>0</v>
      </c>
    </row>
    <row r="489" spans="1:44" x14ac:dyDescent="0.25">
      <c r="A489" s="12">
        <f t="shared" si="78"/>
        <v>0</v>
      </c>
      <c r="B489" s="12">
        <f>IF(AND($C$420&gt;$C$419,($B$454+35)&lt;=$C$420),$C$419+36,0)</f>
        <v>0</v>
      </c>
      <c r="C489" s="26">
        <f t="shared" si="80"/>
        <v>0</v>
      </c>
      <c r="D489" s="26" t="str">
        <f t="shared" si="85"/>
        <v xml:space="preserve"> </v>
      </c>
      <c r="E489" s="2" t="str">
        <f t="shared" si="85"/>
        <v xml:space="preserve"> </v>
      </c>
      <c r="F489" s="2" t="str">
        <f t="shared" si="85"/>
        <v xml:space="preserve"> </v>
      </c>
      <c r="G489" s="2" t="str">
        <f t="shared" si="85"/>
        <v xml:space="preserve"> </v>
      </c>
      <c r="H489" s="2" t="str">
        <f t="shared" si="85"/>
        <v xml:space="preserve"> </v>
      </c>
      <c r="I489" s="2" t="str">
        <f t="shared" si="85"/>
        <v xml:space="preserve"> </v>
      </c>
      <c r="J489" s="2" t="str">
        <f t="shared" si="85"/>
        <v xml:space="preserve"> </v>
      </c>
      <c r="K489" s="2" t="str">
        <f t="shared" si="85"/>
        <v xml:space="preserve"> </v>
      </c>
      <c r="L489" s="2" t="str">
        <f t="shared" si="85"/>
        <v xml:space="preserve"> </v>
      </c>
      <c r="M489" s="2" t="str">
        <f t="shared" si="85"/>
        <v xml:space="preserve"> </v>
      </c>
      <c r="N489" s="2" t="str">
        <f t="shared" si="85"/>
        <v xml:space="preserve"> </v>
      </c>
      <c r="O489" s="2" t="str">
        <f t="shared" si="85"/>
        <v xml:space="preserve"> </v>
      </c>
      <c r="P489" s="2" t="str">
        <f t="shared" si="85"/>
        <v xml:space="preserve"> </v>
      </c>
      <c r="Q489" s="2" t="str">
        <f t="shared" si="85"/>
        <v xml:space="preserve"> </v>
      </c>
      <c r="R489" s="2" t="str">
        <f t="shared" si="85"/>
        <v xml:space="preserve"> </v>
      </c>
      <c r="S489" s="2" t="str">
        <f t="shared" si="85"/>
        <v xml:space="preserve"> </v>
      </c>
      <c r="T489" s="2" t="str">
        <f t="shared" si="84"/>
        <v xml:space="preserve"> </v>
      </c>
      <c r="U489" s="2" t="str">
        <f t="shared" si="84"/>
        <v xml:space="preserve"> </v>
      </c>
      <c r="V489" s="2" t="str">
        <f t="shared" si="84"/>
        <v xml:space="preserve"> </v>
      </c>
      <c r="W489" s="2" t="str">
        <f t="shared" si="84"/>
        <v xml:space="preserve"> </v>
      </c>
      <c r="X489" s="2" t="str">
        <f t="shared" si="84"/>
        <v xml:space="preserve"> </v>
      </c>
      <c r="Y489" s="2" t="str">
        <f t="shared" si="84"/>
        <v xml:space="preserve"> </v>
      </c>
      <c r="Z489" s="2" t="str">
        <f t="shared" si="84"/>
        <v xml:space="preserve"> </v>
      </c>
      <c r="AA489" s="2" t="str">
        <f t="shared" si="84"/>
        <v xml:space="preserve"> </v>
      </c>
      <c r="AB489" s="2" t="str">
        <f t="shared" si="84"/>
        <v xml:space="preserve"> </v>
      </c>
      <c r="AC489" s="2" t="str">
        <f t="shared" si="84"/>
        <v xml:space="preserve"> </v>
      </c>
      <c r="AD489" s="2" t="str">
        <f t="shared" si="84"/>
        <v xml:space="preserve"> </v>
      </c>
      <c r="AE489" s="2" t="str">
        <f t="shared" si="84"/>
        <v xml:space="preserve"> </v>
      </c>
      <c r="AF489" s="2" t="str">
        <f t="shared" si="84"/>
        <v xml:space="preserve"> </v>
      </c>
      <c r="AG489" s="2" t="str">
        <f t="shared" si="84"/>
        <v xml:space="preserve"> </v>
      </c>
      <c r="AH489" s="2" t="str">
        <f t="shared" si="84"/>
        <v xml:space="preserve"> </v>
      </c>
      <c r="AI489" s="2" t="str">
        <f t="shared" si="86"/>
        <v xml:space="preserve"> </v>
      </c>
      <c r="AJ489" s="2" t="str">
        <f t="shared" si="86"/>
        <v xml:space="preserve"> </v>
      </c>
      <c r="AK489" s="2" t="str">
        <f t="shared" si="86"/>
        <v xml:space="preserve"> </v>
      </c>
      <c r="AL489" s="2" t="str">
        <f t="shared" si="86"/>
        <v xml:space="preserve"> </v>
      </c>
      <c r="AM489" s="2" t="str">
        <f t="shared" si="86"/>
        <v xml:space="preserve"> </v>
      </c>
      <c r="AN489" s="2" t="str">
        <f t="shared" si="86"/>
        <v xml:space="preserve"> </v>
      </c>
      <c r="AO489" s="2" t="str">
        <f t="shared" si="86"/>
        <v xml:space="preserve"> </v>
      </c>
      <c r="AP489" s="2" t="str">
        <f t="shared" si="86"/>
        <v xml:space="preserve"> </v>
      </c>
      <c r="AQ489" s="25" t="str">
        <f t="shared" si="86"/>
        <v xml:space="preserve"> </v>
      </c>
      <c r="AR489" s="12">
        <f t="shared" si="79"/>
        <v>0</v>
      </c>
    </row>
    <row r="490" spans="1:44" x14ac:dyDescent="0.25">
      <c r="A490" s="12">
        <f t="shared" si="78"/>
        <v>0</v>
      </c>
      <c r="B490" s="12">
        <f>IF(AND($C$420&gt;$C$419,($B$454+36)&lt;=$C$420),$C$419+37,0)</f>
        <v>0</v>
      </c>
      <c r="C490" s="26">
        <f t="shared" si="80"/>
        <v>0</v>
      </c>
      <c r="D490" s="26" t="str">
        <f t="shared" si="85"/>
        <v xml:space="preserve"> </v>
      </c>
      <c r="E490" s="2" t="str">
        <f t="shared" si="85"/>
        <v xml:space="preserve"> </v>
      </c>
      <c r="F490" s="2" t="str">
        <f t="shared" si="85"/>
        <v xml:space="preserve"> </v>
      </c>
      <c r="G490" s="2" t="str">
        <f t="shared" si="85"/>
        <v xml:space="preserve"> </v>
      </c>
      <c r="H490" s="2" t="str">
        <f t="shared" si="85"/>
        <v xml:space="preserve"> </v>
      </c>
      <c r="I490" s="2" t="str">
        <f t="shared" si="85"/>
        <v xml:space="preserve"> </v>
      </c>
      <c r="J490" s="2" t="str">
        <f t="shared" si="85"/>
        <v xml:space="preserve"> </v>
      </c>
      <c r="K490" s="2" t="str">
        <f t="shared" si="85"/>
        <v xml:space="preserve"> </v>
      </c>
      <c r="L490" s="2" t="str">
        <f t="shared" si="85"/>
        <v xml:space="preserve"> </v>
      </c>
      <c r="M490" s="2" t="str">
        <f t="shared" si="85"/>
        <v xml:space="preserve"> </v>
      </c>
      <c r="N490" s="2" t="str">
        <f t="shared" si="85"/>
        <v xml:space="preserve"> </v>
      </c>
      <c r="O490" s="2" t="str">
        <f t="shared" si="85"/>
        <v xml:space="preserve"> </v>
      </c>
      <c r="P490" s="2" t="str">
        <f t="shared" si="85"/>
        <v xml:space="preserve"> </v>
      </c>
      <c r="Q490" s="2" t="str">
        <f t="shared" si="85"/>
        <v xml:space="preserve"> </v>
      </c>
      <c r="R490" s="2" t="str">
        <f t="shared" si="85"/>
        <v xml:space="preserve"> </v>
      </c>
      <c r="S490" s="2" t="str">
        <f t="shared" si="85"/>
        <v xml:space="preserve"> </v>
      </c>
      <c r="T490" s="2" t="str">
        <f t="shared" si="84"/>
        <v xml:space="preserve"> </v>
      </c>
      <c r="U490" s="2" t="str">
        <f t="shared" si="84"/>
        <v xml:space="preserve"> </v>
      </c>
      <c r="V490" s="2" t="str">
        <f t="shared" si="84"/>
        <v xml:space="preserve"> </v>
      </c>
      <c r="W490" s="2" t="str">
        <f t="shared" si="84"/>
        <v xml:space="preserve"> </v>
      </c>
      <c r="X490" s="2" t="str">
        <f t="shared" si="84"/>
        <v xml:space="preserve"> </v>
      </c>
      <c r="Y490" s="2" t="str">
        <f t="shared" si="84"/>
        <v xml:space="preserve"> </v>
      </c>
      <c r="Z490" s="2" t="str">
        <f t="shared" si="84"/>
        <v xml:space="preserve"> </v>
      </c>
      <c r="AA490" s="2" t="str">
        <f t="shared" si="84"/>
        <v xml:space="preserve"> </v>
      </c>
      <c r="AB490" s="2" t="str">
        <f t="shared" si="84"/>
        <v xml:space="preserve"> </v>
      </c>
      <c r="AC490" s="2" t="str">
        <f t="shared" si="84"/>
        <v xml:space="preserve"> </v>
      </c>
      <c r="AD490" s="2" t="str">
        <f t="shared" si="84"/>
        <v xml:space="preserve"> </v>
      </c>
      <c r="AE490" s="2" t="str">
        <f t="shared" si="84"/>
        <v xml:space="preserve"> </v>
      </c>
      <c r="AF490" s="2" t="str">
        <f t="shared" si="84"/>
        <v xml:space="preserve"> </v>
      </c>
      <c r="AG490" s="2" t="str">
        <f t="shared" si="84"/>
        <v xml:space="preserve"> </v>
      </c>
      <c r="AH490" s="2" t="str">
        <f t="shared" si="84"/>
        <v xml:space="preserve"> </v>
      </c>
      <c r="AI490" s="2" t="str">
        <f t="shared" si="86"/>
        <v xml:space="preserve"> </v>
      </c>
      <c r="AJ490" s="2" t="str">
        <f t="shared" si="86"/>
        <v xml:space="preserve"> </v>
      </c>
      <c r="AK490" s="2" t="str">
        <f t="shared" si="86"/>
        <v xml:space="preserve"> </v>
      </c>
      <c r="AL490" s="2" t="str">
        <f t="shared" si="86"/>
        <v xml:space="preserve"> </v>
      </c>
      <c r="AM490" s="2" t="str">
        <f t="shared" si="86"/>
        <v xml:space="preserve"> </v>
      </c>
      <c r="AN490" s="2" t="str">
        <f t="shared" si="86"/>
        <v xml:space="preserve"> </v>
      </c>
      <c r="AO490" s="2" t="str">
        <f t="shared" si="86"/>
        <v xml:space="preserve"> </v>
      </c>
      <c r="AP490" s="2" t="str">
        <f t="shared" si="86"/>
        <v xml:space="preserve"> </v>
      </c>
      <c r="AQ490" s="25" t="str">
        <f t="shared" si="86"/>
        <v xml:space="preserve"> </v>
      </c>
      <c r="AR490" s="12">
        <f t="shared" si="79"/>
        <v>0</v>
      </c>
    </row>
    <row r="491" spans="1:44" x14ac:dyDescent="0.25">
      <c r="A491" s="12">
        <f t="shared" si="78"/>
        <v>0</v>
      </c>
      <c r="B491" s="12">
        <f>IF(AND($C$420&gt;$C$419,($B$454+37)&lt;=$C$420),$C$419+38,0)</f>
        <v>0</v>
      </c>
      <c r="C491" s="26">
        <f t="shared" si="80"/>
        <v>0</v>
      </c>
      <c r="D491" s="26" t="str">
        <f t="shared" si="85"/>
        <v xml:space="preserve"> </v>
      </c>
      <c r="E491" s="2" t="str">
        <f t="shared" si="85"/>
        <v xml:space="preserve"> </v>
      </c>
      <c r="F491" s="2" t="str">
        <f t="shared" si="85"/>
        <v xml:space="preserve"> </v>
      </c>
      <c r="G491" s="2" t="str">
        <f t="shared" si="85"/>
        <v xml:space="preserve"> </v>
      </c>
      <c r="H491" s="2" t="str">
        <f t="shared" si="85"/>
        <v xml:space="preserve"> </v>
      </c>
      <c r="I491" s="2" t="str">
        <f t="shared" si="85"/>
        <v xml:space="preserve"> </v>
      </c>
      <c r="J491" s="2" t="str">
        <f t="shared" si="85"/>
        <v xml:space="preserve"> </v>
      </c>
      <c r="K491" s="2" t="str">
        <f t="shared" si="85"/>
        <v xml:space="preserve"> </v>
      </c>
      <c r="L491" s="2" t="str">
        <f t="shared" si="85"/>
        <v xml:space="preserve"> </v>
      </c>
      <c r="M491" s="2" t="str">
        <f t="shared" si="85"/>
        <v xml:space="preserve"> </v>
      </c>
      <c r="N491" s="2" t="str">
        <f t="shared" si="85"/>
        <v xml:space="preserve"> </v>
      </c>
      <c r="O491" s="2" t="str">
        <f t="shared" si="85"/>
        <v xml:space="preserve"> </v>
      </c>
      <c r="P491" s="2" t="str">
        <f t="shared" si="85"/>
        <v xml:space="preserve"> </v>
      </c>
      <c r="Q491" s="2" t="str">
        <f t="shared" si="85"/>
        <v xml:space="preserve"> </v>
      </c>
      <c r="R491" s="2" t="str">
        <f t="shared" si="85"/>
        <v xml:space="preserve"> </v>
      </c>
      <c r="S491" s="2" t="str">
        <f t="shared" si="85"/>
        <v xml:space="preserve"> </v>
      </c>
      <c r="T491" s="2" t="str">
        <f t="shared" si="84"/>
        <v xml:space="preserve"> </v>
      </c>
      <c r="U491" s="2" t="str">
        <f t="shared" si="84"/>
        <v xml:space="preserve"> </v>
      </c>
      <c r="V491" s="2" t="str">
        <f t="shared" si="84"/>
        <v xml:space="preserve"> </v>
      </c>
      <c r="W491" s="2" t="str">
        <f t="shared" si="84"/>
        <v xml:space="preserve"> </v>
      </c>
      <c r="X491" s="2" t="str">
        <f t="shared" si="84"/>
        <v xml:space="preserve"> </v>
      </c>
      <c r="Y491" s="2" t="str">
        <f t="shared" si="84"/>
        <v xml:space="preserve"> </v>
      </c>
      <c r="Z491" s="2" t="str">
        <f t="shared" si="84"/>
        <v xml:space="preserve"> </v>
      </c>
      <c r="AA491" s="2" t="str">
        <f t="shared" si="84"/>
        <v xml:space="preserve"> </v>
      </c>
      <c r="AB491" s="2" t="str">
        <f t="shared" si="84"/>
        <v xml:space="preserve"> </v>
      </c>
      <c r="AC491" s="2" t="str">
        <f t="shared" si="84"/>
        <v xml:space="preserve"> </v>
      </c>
      <c r="AD491" s="2" t="str">
        <f t="shared" si="84"/>
        <v xml:space="preserve"> </v>
      </c>
      <c r="AE491" s="2" t="str">
        <f t="shared" si="84"/>
        <v xml:space="preserve"> </v>
      </c>
      <c r="AF491" s="2" t="str">
        <f t="shared" si="84"/>
        <v xml:space="preserve"> </v>
      </c>
      <c r="AG491" s="2" t="str">
        <f t="shared" si="84"/>
        <v xml:space="preserve"> </v>
      </c>
      <c r="AH491" s="2" t="str">
        <f t="shared" si="84"/>
        <v xml:space="preserve"> </v>
      </c>
      <c r="AI491" s="2" t="str">
        <f t="shared" si="86"/>
        <v xml:space="preserve"> </v>
      </c>
      <c r="AJ491" s="2" t="str">
        <f t="shared" si="86"/>
        <v xml:space="preserve"> </v>
      </c>
      <c r="AK491" s="2" t="str">
        <f t="shared" si="86"/>
        <v xml:space="preserve"> </v>
      </c>
      <c r="AL491" s="2" t="str">
        <f t="shared" si="86"/>
        <v xml:space="preserve"> </v>
      </c>
      <c r="AM491" s="2" t="str">
        <f t="shared" si="86"/>
        <v xml:space="preserve"> </v>
      </c>
      <c r="AN491" s="2" t="str">
        <f t="shared" si="86"/>
        <v xml:space="preserve"> </v>
      </c>
      <c r="AO491" s="2" t="str">
        <f t="shared" si="86"/>
        <v xml:space="preserve"> </v>
      </c>
      <c r="AP491" s="2" t="str">
        <f t="shared" si="86"/>
        <v xml:space="preserve"> </v>
      </c>
      <c r="AQ491" s="25" t="str">
        <f t="shared" si="86"/>
        <v xml:space="preserve"> </v>
      </c>
      <c r="AR491" s="12">
        <f t="shared" si="79"/>
        <v>0</v>
      </c>
    </row>
    <row r="492" spans="1:44" x14ac:dyDescent="0.25">
      <c r="A492" s="13">
        <f t="shared" si="78"/>
        <v>0</v>
      </c>
      <c r="B492" s="13">
        <f>IF(AND($C$420&gt;$C$419,($B$454+38)&lt;=$C$420),$C$419+39,0)</f>
        <v>0</v>
      </c>
      <c r="C492" s="432">
        <f t="shared" si="80"/>
        <v>0</v>
      </c>
      <c r="D492" s="432" t="str">
        <f t="shared" si="85"/>
        <v xml:space="preserve"> </v>
      </c>
      <c r="E492" s="343" t="str">
        <f t="shared" si="85"/>
        <v xml:space="preserve"> </v>
      </c>
      <c r="F492" s="343" t="str">
        <f t="shared" si="85"/>
        <v xml:space="preserve"> </v>
      </c>
      <c r="G492" s="343" t="str">
        <f t="shared" si="85"/>
        <v xml:space="preserve"> </v>
      </c>
      <c r="H492" s="343" t="str">
        <f t="shared" si="85"/>
        <v xml:space="preserve"> </v>
      </c>
      <c r="I492" s="343" t="str">
        <f t="shared" si="85"/>
        <v xml:space="preserve"> </v>
      </c>
      <c r="J492" s="343" t="str">
        <f t="shared" si="85"/>
        <v xml:space="preserve"> </v>
      </c>
      <c r="K492" s="343" t="str">
        <f t="shared" si="85"/>
        <v xml:space="preserve"> </v>
      </c>
      <c r="L492" s="343" t="str">
        <f t="shared" si="85"/>
        <v xml:space="preserve"> </v>
      </c>
      <c r="M492" s="343" t="str">
        <f t="shared" si="85"/>
        <v xml:space="preserve"> </v>
      </c>
      <c r="N492" s="343" t="str">
        <f t="shared" si="85"/>
        <v xml:space="preserve"> </v>
      </c>
      <c r="O492" s="343" t="str">
        <f t="shared" si="85"/>
        <v xml:space="preserve"> </v>
      </c>
      <c r="P492" s="343" t="str">
        <f t="shared" si="85"/>
        <v xml:space="preserve"> </v>
      </c>
      <c r="Q492" s="343" t="str">
        <f t="shared" si="85"/>
        <v xml:space="preserve"> </v>
      </c>
      <c r="R492" s="343" t="str">
        <f t="shared" si="85"/>
        <v xml:space="preserve"> </v>
      </c>
      <c r="S492" s="343" t="str">
        <f t="shared" si="85"/>
        <v xml:space="preserve"> </v>
      </c>
      <c r="T492" s="343" t="str">
        <f t="shared" si="84"/>
        <v xml:space="preserve"> </v>
      </c>
      <c r="U492" s="343" t="str">
        <f t="shared" si="84"/>
        <v xml:space="preserve"> </v>
      </c>
      <c r="V492" s="343" t="str">
        <f t="shared" si="84"/>
        <v xml:space="preserve"> </v>
      </c>
      <c r="W492" s="343" t="str">
        <f t="shared" si="84"/>
        <v xml:space="preserve"> </v>
      </c>
      <c r="X492" s="343" t="str">
        <f t="shared" si="84"/>
        <v xml:space="preserve"> </v>
      </c>
      <c r="Y492" s="343" t="str">
        <f t="shared" si="84"/>
        <v xml:space="preserve"> </v>
      </c>
      <c r="Z492" s="343" t="str">
        <f t="shared" si="84"/>
        <v xml:space="preserve"> </v>
      </c>
      <c r="AA492" s="343" t="str">
        <f t="shared" si="84"/>
        <v xml:space="preserve"> </v>
      </c>
      <c r="AB492" s="343" t="str">
        <f t="shared" si="84"/>
        <v xml:space="preserve"> </v>
      </c>
      <c r="AC492" s="343" t="str">
        <f t="shared" si="84"/>
        <v xml:space="preserve"> </v>
      </c>
      <c r="AD492" s="343" t="str">
        <f t="shared" si="84"/>
        <v xml:space="preserve"> </v>
      </c>
      <c r="AE492" s="343" t="str">
        <f t="shared" si="84"/>
        <v xml:space="preserve"> </v>
      </c>
      <c r="AF492" s="343" t="str">
        <f t="shared" si="84"/>
        <v xml:space="preserve"> </v>
      </c>
      <c r="AG492" s="343" t="str">
        <f t="shared" si="84"/>
        <v xml:space="preserve"> </v>
      </c>
      <c r="AH492" s="343" t="str">
        <f t="shared" si="84"/>
        <v xml:space="preserve"> </v>
      </c>
      <c r="AI492" s="343" t="str">
        <f t="shared" si="86"/>
        <v xml:space="preserve"> </v>
      </c>
      <c r="AJ492" s="343" t="str">
        <f t="shared" si="86"/>
        <v xml:space="preserve"> </v>
      </c>
      <c r="AK492" s="343" t="str">
        <f t="shared" si="86"/>
        <v xml:space="preserve"> </v>
      </c>
      <c r="AL492" s="343" t="str">
        <f t="shared" si="86"/>
        <v xml:space="preserve"> </v>
      </c>
      <c r="AM492" s="343" t="str">
        <f t="shared" si="86"/>
        <v xml:space="preserve"> </v>
      </c>
      <c r="AN492" s="343" t="str">
        <f t="shared" si="86"/>
        <v xml:space="preserve"> </v>
      </c>
      <c r="AO492" s="343" t="str">
        <f t="shared" si="86"/>
        <v xml:space="preserve"> </v>
      </c>
      <c r="AP492" s="343" t="str">
        <f t="shared" si="86"/>
        <v xml:space="preserve"> </v>
      </c>
      <c r="AQ492" s="436" t="str">
        <f t="shared" si="86"/>
        <v xml:space="preserve"> </v>
      </c>
      <c r="AR492" s="13">
        <f t="shared" si="79"/>
        <v>0</v>
      </c>
    </row>
    <row r="493" spans="1:44" x14ac:dyDescent="0.25">
      <c r="D493" s="208">
        <f t="shared" ref="D493:AQ493" si="87">IFERROR(VLOOKUP($B$445,D$453:AR$492,D450,FALSE),0)</f>
        <v>1</v>
      </c>
      <c r="E493" s="208">
        <f t="shared" si="87"/>
        <v>0</v>
      </c>
      <c r="F493" s="208">
        <f t="shared" si="87"/>
        <v>0</v>
      </c>
      <c r="G493" s="208">
        <f t="shared" si="87"/>
        <v>0</v>
      </c>
      <c r="H493" s="208">
        <f t="shared" si="87"/>
        <v>0</v>
      </c>
      <c r="I493" s="208">
        <f t="shared" si="87"/>
        <v>0</v>
      </c>
      <c r="J493" s="208">
        <f t="shared" si="87"/>
        <v>0</v>
      </c>
      <c r="K493" s="208">
        <f t="shared" si="87"/>
        <v>0</v>
      </c>
      <c r="L493" s="208">
        <f t="shared" si="87"/>
        <v>0</v>
      </c>
      <c r="M493" s="208">
        <f t="shared" si="87"/>
        <v>0</v>
      </c>
      <c r="N493" s="208">
        <f t="shared" si="87"/>
        <v>0</v>
      </c>
      <c r="O493" s="208">
        <f t="shared" si="87"/>
        <v>0</v>
      </c>
      <c r="P493" s="208">
        <f t="shared" si="87"/>
        <v>0</v>
      </c>
      <c r="Q493" s="208">
        <f t="shared" si="87"/>
        <v>0</v>
      </c>
      <c r="R493" s="208">
        <f t="shared" si="87"/>
        <v>0</v>
      </c>
      <c r="S493" s="208">
        <f t="shared" si="87"/>
        <v>0</v>
      </c>
      <c r="T493" s="208">
        <f t="shared" si="87"/>
        <v>0</v>
      </c>
      <c r="U493" s="208">
        <f t="shared" si="87"/>
        <v>0</v>
      </c>
      <c r="V493" s="208">
        <f t="shared" si="87"/>
        <v>0</v>
      </c>
      <c r="W493" s="208">
        <f t="shared" si="87"/>
        <v>0</v>
      </c>
      <c r="X493" s="208">
        <f t="shared" si="87"/>
        <v>0</v>
      </c>
      <c r="Y493" s="208">
        <f t="shared" si="87"/>
        <v>0</v>
      </c>
      <c r="Z493" s="208">
        <f t="shared" si="87"/>
        <v>0</v>
      </c>
      <c r="AA493" s="208">
        <f t="shared" si="87"/>
        <v>0</v>
      </c>
      <c r="AB493" s="208">
        <f t="shared" si="87"/>
        <v>0</v>
      </c>
      <c r="AC493" s="208">
        <f t="shared" si="87"/>
        <v>0</v>
      </c>
      <c r="AD493" s="208">
        <f t="shared" si="87"/>
        <v>0</v>
      </c>
      <c r="AE493" s="208">
        <f t="shared" si="87"/>
        <v>0</v>
      </c>
      <c r="AF493" s="208">
        <f t="shared" si="87"/>
        <v>0</v>
      </c>
      <c r="AG493" s="208">
        <f t="shared" si="87"/>
        <v>0</v>
      </c>
      <c r="AH493" s="208">
        <f t="shared" si="87"/>
        <v>0</v>
      </c>
      <c r="AI493" s="208">
        <f t="shared" si="87"/>
        <v>0</v>
      </c>
      <c r="AJ493" s="208">
        <f t="shared" si="87"/>
        <v>0</v>
      </c>
      <c r="AK493" s="208">
        <f t="shared" si="87"/>
        <v>0</v>
      </c>
      <c r="AL493" s="208">
        <f t="shared" si="87"/>
        <v>0</v>
      </c>
      <c r="AM493" s="208">
        <f t="shared" si="87"/>
        <v>0</v>
      </c>
      <c r="AN493" s="208">
        <f t="shared" si="87"/>
        <v>0</v>
      </c>
      <c r="AO493" s="208">
        <f t="shared" si="87"/>
        <v>0</v>
      </c>
      <c r="AP493" s="208">
        <f t="shared" si="87"/>
        <v>0</v>
      </c>
      <c r="AQ493" s="208">
        <f t="shared" si="87"/>
        <v>0</v>
      </c>
      <c r="AR493" s="472"/>
    </row>
    <row r="494" spans="1:44" x14ac:dyDescent="0.25">
      <c r="C494" t="s">
        <v>1315</v>
      </c>
      <c r="D494" s="951">
        <f>IF(D449&lt;&gt;" ",VLOOKUP($C$452,D$453:$AR$492,D449,FALSE)," ")</f>
        <v>1</v>
      </c>
      <c r="E494" s="951" t="str">
        <f>IF(E449&lt;&gt;" ",VLOOKUP($C$452,E$453:$AR$492,E449,FALSE)," ")</f>
        <v xml:space="preserve"> </v>
      </c>
      <c r="F494" s="951" t="str">
        <f>IF(F449&lt;&gt;" ",VLOOKUP($C$452,F$453:$AR$492,F449,FALSE)," ")</f>
        <v xml:space="preserve"> </v>
      </c>
      <c r="G494" s="951" t="str">
        <f>IF(G449&lt;&gt;" ",VLOOKUP($C$452,G$453:$AR$492,G449,FALSE)," ")</f>
        <v xml:space="preserve"> </v>
      </c>
      <c r="H494" s="951" t="str">
        <f>IF(H449&lt;&gt;" ",VLOOKUP($C$452,H$453:$AR$492,H449,FALSE)," ")</f>
        <v xml:space="preserve"> </v>
      </c>
      <c r="I494" s="951" t="str">
        <f>IF(I449&lt;&gt;" ",VLOOKUP($C$452,I$453:$AR$492,I449,FALSE)," ")</f>
        <v xml:space="preserve"> </v>
      </c>
      <c r="J494" s="951" t="str">
        <f>IF(J449&lt;&gt;" ",VLOOKUP($C$452,J$453:$AR$492,J449,FALSE)," ")</f>
        <v xml:space="preserve"> </v>
      </c>
      <c r="K494" s="951" t="str">
        <f>IF(K449&lt;&gt;" ",VLOOKUP($C$452,K$453:$AR$492,K449,FALSE)," ")</f>
        <v xml:space="preserve"> </v>
      </c>
      <c r="L494" s="951" t="str">
        <f>IF(L449&lt;&gt;" ",VLOOKUP($C$452,L$453:$AR$492,L449,FALSE)," ")</f>
        <v xml:space="preserve"> </v>
      </c>
      <c r="M494" s="951" t="str">
        <f>IF(M449&lt;&gt;" ",VLOOKUP($C$452,M$453:$AR$492,M449,FALSE)," ")</f>
        <v xml:space="preserve"> </v>
      </c>
      <c r="N494" s="951" t="str">
        <f>IF(N449&lt;&gt;" ",VLOOKUP($C$452,N$453:$AR$492,N449,FALSE)," ")</f>
        <v xml:space="preserve"> </v>
      </c>
      <c r="O494" s="951" t="str">
        <f>IF(O449&lt;&gt;" ",VLOOKUP($C$452,O$453:$AR$492,O449,FALSE)," ")</f>
        <v xml:space="preserve"> </v>
      </c>
      <c r="P494" s="951" t="str">
        <f>IF(P449&lt;&gt;" ",VLOOKUP($C$452,P$453:$AR$492,P449,FALSE)," ")</f>
        <v xml:space="preserve"> </v>
      </c>
      <c r="Q494" s="951" t="str">
        <f>IF(Q449&lt;&gt;" ",VLOOKUP($C$452,Q$453:$AR$492,Q449,FALSE)," ")</f>
        <v xml:space="preserve"> </v>
      </c>
      <c r="R494" s="951" t="str">
        <f>IF(R449&lt;&gt;" ",VLOOKUP($C$452,R$453:$AR$492,R449,FALSE)," ")</f>
        <v xml:space="preserve"> </v>
      </c>
      <c r="S494" s="951" t="str">
        <f>IF(S449&lt;&gt;" ",VLOOKUP($C$452,S$453:$AR$492,S449,FALSE)," ")</f>
        <v xml:space="preserve"> </v>
      </c>
      <c r="T494" s="951" t="str">
        <f>IF(T449&lt;&gt;" ",VLOOKUP($C$452,T$453:$AR$492,T449,FALSE)," ")</f>
        <v xml:space="preserve"> </v>
      </c>
      <c r="U494" s="951" t="str">
        <f>IF(U449&lt;&gt;" ",VLOOKUP($C$452,U$453:$AR$492,U449,FALSE)," ")</f>
        <v xml:space="preserve"> </v>
      </c>
      <c r="V494" s="951" t="str">
        <f>IF(V449&lt;&gt;" ",VLOOKUP($C$452,V$453:$AR$492,V449,FALSE)," ")</f>
        <v xml:space="preserve"> </v>
      </c>
      <c r="W494" s="951" t="str">
        <f>IF(W449&lt;&gt;" ",VLOOKUP($C$452,W$453:$AR$492,W449,FALSE)," ")</f>
        <v xml:space="preserve"> </v>
      </c>
      <c r="X494" s="951" t="str">
        <f>IF(X449&lt;&gt;" ",VLOOKUP($C$452,X$453:$AR$492,X449,FALSE)," ")</f>
        <v xml:space="preserve"> </v>
      </c>
      <c r="Y494" s="951" t="str">
        <f>IF(Y449&lt;&gt;" ",VLOOKUP($C$452,Y$453:$AR$492,Y449,FALSE)," ")</f>
        <v xml:space="preserve"> </v>
      </c>
      <c r="Z494" s="951" t="str">
        <f>IF(Z449&lt;&gt;" ",VLOOKUP($C$452,Z$453:$AR$492,Z449,FALSE)," ")</f>
        <v xml:space="preserve"> </v>
      </c>
      <c r="AA494" s="951" t="str">
        <f>IF(AA449&lt;&gt;" ",VLOOKUP($C$452,AA$453:$AR$492,AA449,FALSE)," ")</f>
        <v xml:space="preserve"> </v>
      </c>
      <c r="AB494" s="951" t="str">
        <f>IF(AB449&lt;&gt;" ",VLOOKUP($C$452,AB$453:$AR$492,AB449,FALSE)," ")</f>
        <v xml:space="preserve"> </v>
      </c>
      <c r="AC494" s="951" t="str">
        <f>IF(AC449&lt;&gt;" ",VLOOKUP($C$452,AC$453:$AR$492,AC449,FALSE)," ")</f>
        <v xml:space="preserve"> </v>
      </c>
      <c r="AD494" s="951" t="str">
        <f>IF(AD449&lt;&gt;" ",VLOOKUP($C$452,AD$453:$AR$492,AD449,FALSE)," ")</f>
        <v xml:space="preserve"> </v>
      </c>
      <c r="AE494" s="951" t="str">
        <f>IF(AE449&lt;&gt;" ",VLOOKUP($C$452,AE$453:$AR$492,AE449,FALSE)," ")</f>
        <v xml:space="preserve"> </v>
      </c>
      <c r="AF494" s="951" t="str">
        <f>IF(AF449&lt;&gt;" ",VLOOKUP($C$452,AF$453:$AR$492,AF449,FALSE)," ")</f>
        <v xml:space="preserve"> </v>
      </c>
      <c r="AG494" s="951" t="str">
        <f>IF(AG449&lt;&gt;" ",VLOOKUP($C$452,AG$453:$AR$492,AG449,FALSE)," ")</f>
        <v xml:space="preserve"> </v>
      </c>
      <c r="AH494" s="951" t="str">
        <f>IF(AH449&lt;&gt;" ",VLOOKUP($C$452,AH$453:$AR$492,AH449,FALSE)," ")</f>
        <v xml:space="preserve"> </v>
      </c>
      <c r="AI494" s="951" t="str">
        <f>IF(AI449&lt;&gt;" ",VLOOKUP($C$452,AI$453:$AR$492,AI449,FALSE)," ")</f>
        <v xml:space="preserve"> </v>
      </c>
      <c r="AJ494" s="951" t="str">
        <f>IF(AJ449&lt;&gt;" ",VLOOKUP($C$452,AJ$453:$AR$492,AJ449,FALSE)," ")</f>
        <v xml:space="preserve"> </v>
      </c>
      <c r="AK494" s="951" t="str">
        <f>IF(AK449&lt;&gt;" ",VLOOKUP($C$452,AK$453:$AR$492,AK449,FALSE)," ")</f>
        <v xml:space="preserve"> </v>
      </c>
      <c r="AL494" s="951" t="str">
        <f>IF(AL449&lt;&gt;" ",VLOOKUP($C$452,AL$453:$AR$492,AL449,FALSE)," ")</f>
        <v xml:space="preserve"> </v>
      </c>
      <c r="AM494" s="951" t="str">
        <f>IF(AM449&lt;&gt;" ",VLOOKUP($C$452,AM$453:$AR$492,AM449,FALSE)," ")</f>
        <v xml:space="preserve"> </v>
      </c>
      <c r="AN494" s="951" t="str">
        <f>IF(AN449&lt;&gt;" ",VLOOKUP($C$452,AN$453:$AR$492,AN449,FALSE)," ")</f>
        <v xml:space="preserve"> </v>
      </c>
      <c r="AO494" s="951" t="str">
        <f>IF(AO449&lt;&gt;" ",VLOOKUP($C$452,AO$453:$AR$492,AO449,FALSE)," ")</f>
        <v xml:space="preserve"> </v>
      </c>
      <c r="AP494" s="951" t="str">
        <f>IF(AP449&lt;&gt;" ",VLOOKUP($C$452,AP$453:$AR$492,AP449,FALSE)," ")</f>
        <v xml:space="preserve"> </v>
      </c>
      <c r="AQ494" s="951" t="str">
        <f>IF(AQ449&lt;&gt;" ",VLOOKUP($C$452,AQ$453:$AR$492,AQ449,FALSE)," ")</f>
        <v xml:space="preserve"> </v>
      </c>
      <c r="AR494" s="951">
        <f>MAX(D494:AQ494)</f>
        <v>1</v>
      </c>
    </row>
    <row r="495" spans="1:44" x14ac:dyDescent="0.25">
      <c r="C495" t="s">
        <v>1316</v>
      </c>
      <c r="D495" s="951">
        <f>IF(D494=$AR$494,D449," ")</f>
        <v>41</v>
      </c>
      <c r="E495" s="951" t="str">
        <f t="shared" ref="E495:AQ495" si="88">IF(E494=$AR$494,E449," ")</f>
        <v xml:space="preserve"> </v>
      </c>
      <c r="F495" s="951" t="str">
        <f t="shared" si="88"/>
        <v xml:space="preserve"> </v>
      </c>
      <c r="G495" s="951" t="str">
        <f t="shared" si="88"/>
        <v xml:space="preserve"> </v>
      </c>
      <c r="H495" s="951" t="str">
        <f t="shared" si="88"/>
        <v xml:space="preserve"> </v>
      </c>
      <c r="I495" s="951" t="str">
        <f t="shared" si="88"/>
        <v xml:space="preserve"> </v>
      </c>
      <c r="J495" s="951" t="str">
        <f t="shared" si="88"/>
        <v xml:space="preserve"> </v>
      </c>
      <c r="K495" s="951" t="str">
        <f t="shared" si="88"/>
        <v xml:space="preserve"> </v>
      </c>
      <c r="L495" s="951" t="str">
        <f t="shared" si="88"/>
        <v xml:space="preserve"> </v>
      </c>
      <c r="M495" s="951" t="str">
        <f t="shared" si="88"/>
        <v xml:space="preserve"> </v>
      </c>
      <c r="N495" s="951" t="str">
        <f t="shared" si="88"/>
        <v xml:space="preserve"> </v>
      </c>
      <c r="O495" s="951" t="str">
        <f t="shared" si="88"/>
        <v xml:space="preserve"> </v>
      </c>
      <c r="P495" s="951" t="str">
        <f t="shared" si="88"/>
        <v xml:space="preserve"> </v>
      </c>
      <c r="Q495" s="951" t="str">
        <f t="shared" si="88"/>
        <v xml:space="preserve"> </v>
      </c>
      <c r="R495" s="951" t="str">
        <f t="shared" si="88"/>
        <v xml:space="preserve"> </v>
      </c>
      <c r="S495" s="951" t="str">
        <f t="shared" si="88"/>
        <v xml:space="preserve"> </v>
      </c>
      <c r="T495" s="951" t="str">
        <f t="shared" si="88"/>
        <v xml:space="preserve"> </v>
      </c>
      <c r="U495" s="951" t="str">
        <f t="shared" si="88"/>
        <v xml:space="preserve"> </v>
      </c>
      <c r="V495" s="951" t="str">
        <f t="shared" si="88"/>
        <v xml:space="preserve"> </v>
      </c>
      <c r="W495" s="951" t="str">
        <f t="shared" si="88"/>
        <v xml:space="preserve"> </v>
      </c>
      <c r="X495" s="951" t="str">
        <f t="shared" si="88"/>
        <v xml:space="preserve"> </v>
      </c>
      <c r="Y495" s="951" t="str">
        <f t="shared" si="88"/>
        <v xml:space="preserve"> </v>
      </c>
      <c r="Z495" s="951" t="str">
        <f t="shared" si="88"/>
        <v xml:space="preserve"> </v>
      </c>
      <c r="AA495" s="951" t="str">
        <f t="shared" si="88"/>
        <v xml:space="preserve"> </v>
      </c>
      <c r="AB495" s="951" t="str">
        <f t="shared" si="88"/>
        <v xml:space="preserve"> </v>
      </c>
      <c r="AC495" s="951" t="str">
        <f t="shared" si="88"/>
        <v xml:space="preserve"> </v>
      </c>
      <c r="AD495" s="951" t="str">
        <f t="shared" si="88"/>
        <v xml:space="preserve"> </v>
      </c>
      <c r="AE495" s="951" t="str">
        <f t="shared" si="88"/>
        <v xml:space="preserve"> </v>
      </c>
      <c r="AF495" s="951" t="str">
        <f t="shared" si="88"/>
        <v xml:space="preserve"> </v>
      </c>
      <c r="AG495" s="951" t="str">
        <f t="shared" si="88"/>
        <v xml:space="preserve"> </v>
      </c>
      <c r="AH495" s="951" t="str">
        <f t="shared" si="88"/>
        <v xml:space="preserve"> </v>
      </c>
      <c r="AI495" s="951" t="str">
        <f t="shared" si="88"/>
        <v xml:space="preserve"> </v>
      </c>
      <c r="AJ495" s="951" t="str">
        <f t="shared" si="88"/>
        <v xml:space="preserve"> </v>
      </c>
      <c r="AK495" s="951" t="str">
        <f t="shared" si="88"/>
        <v xml:space="preserve"> </v>
      </c>
      <c r="AL495" s="951" t="str">
        <f t="shared" si="88"/>
        <v xml:space="preserve"> </v>
      </c>
      <c r="AM495" s="951" t="str">
        <f t="shared" si="88"/>
        <v xml:space="preserve"> </v>
      </c>
      <c r="AN495" s="951" t="str">
        <f t="shared" si="88"/>
        <v xml:space="preserve"> </v>
      </c>
      <c r="AO495" s="951" t="str">
        <f t="shared" si="88"/>
        <v xml:space="preserve"> </v>
      </c>
      <c r="AP495" s="951" t="str">
        <f t="shared" si="88"/>
        <v xml:space="preserve"> </v>
      </c>
      <c r="AQ495" s="951" t="str">
        <f t="shared" si="88"/>
        <v xml:space="preserve"> </v>
      </c>
      <c r="AR495" s="951">
        <f>MIN(D495:AQ495)</f>
        <v>41</v>
      </c>
    </row>
    <row r="497" spans="1:29" s="320" customFormat="1" x14ac:dyDescent="0.25">
      <c r="B497" s="441"/>
      <c r="Y497" s="343"/>
    </row>
    <row r="499" spans="1:29" s="426" customFormat="1" ht="13.5" thickBot="1" x14ac:dyDescent="0.25">
      <c r="B499" s="615"/>
      <c r="D499" s="626" t="s">
        <v>674</v>
      </c>
      <c r="Y499" s="626"/>
    </row>
    <row r="500" spans="1:29" s="426" customFormat="1" ht="15.75" thickBot="1" x14ac:dyDescent="0.3">
      <c r="B500" s="641" t="s">
        <v>663</v>
      </c>
      <c r="C500" s="643">
        <f>J364</f>
        <v>0</v>
      </c>
      <c r="D500" s="642">
        <f>IF(C500=1,C559+C563,0)</f>
        <v>0</v>
      </c>
      <c r="Q500" s="77" t="s">
        <v>1050</v>
      </c>
      <c r="R500"/>
      <c r="S500"/>
      <c r="T500"/>
      <c r="U500"/>
      <c r="V500"/>
      <c r="W500"/>
      <c r="Y500" s="626"/>
      <c r="AA500" s="77" t="s">
        <v>1069</v>
      </c>
      <c r="AB500" s="1101">
        <v>1200</v>
      </c>
      <c r="AC500" s="77" t="s">
        <v>1070</v>
      </c>
    </row>
    <row r="501" spans="1:29" s="426" customFormat="1" x14ac:dyDescent="0.25">
      <c r="B501" s="615"/>
      <c r="Q501" s="944"/>
      <c r="R501" s="944"/>
      <c r="S501" s="1087">
        <f>C516</f>
        <v>361</v>
      </c>
      <c r="T501" s="1088">
        <f>C517</f>
        <v>1150</v>
      </c>
      <c r="U501" s="14"/>
      <c r="V501" s="433"/>
      <c r="W501" s="433"/>
      <c r="Y501" s="626"/>
      <c r="AA501" t="s">
        <v>1071</v>
      </c>
      <c r="AB501" s="1035">
        <v>20</v>
      </c>
      <c r="AC501" t="s">
        <v>1072</v>
      </c>
    </row>
    <row r="502" spans="1:29" s="426" customFormat="1" x14ac:dyDescent="0.25">
      <c r="B502" s="426" t="s">
        <v>775</v>
      </c>
      <c r="C502" s="699">
        <f>'Tarieven (3)'!C7</f>
        <v>190</v>
      </c>
      <c r="D502" s="697">
        <f>C502/60</f>
        <v>3.1666666666666665</v>
      </c>
      <c r="Q502" s="41"/>
      <c r="R502" s="339" t="s">
        <v>0</v>
      </c>
      <c r="S502" s="400" t="s">
        <v>1051</v>
      </c>
      <c r="T502" s="1075" t="s">
        <v>1052</v>
      </c>
      <c r="U502" s="1089" t="s">
        <v>903</v>
      </c>
      <c r="V502" s="1076" t="s">
        <v>902</v>
      </c>
      <c r="W502" s="912"/>
      <c r="Y502" s="626"/>
      <c r="AA502" t="s">
        <v>1073</v>
      </c>
      <c r="AB502" s="1035">
        <v>180</v>
      </c>
      <c r="AC502" t="s">
        <v>1074</v>
      </c>
    </row>
    <row r="503" spans="1:29" s="426" customFormat="1" x14ac:dyDescent="0.25">
      <c r="B503" s="615"/>
      <c r="Q503" s="1062" t="str">
        <f>IF($C$4=R503,1," ")</f>
        <v xml:space="preserve"> </v>
      </c>
      <c r="R503" s="777" t="s">
        <v>30</v>
      </c>
      <c r="S503" s="22">
        <v>1000</v>
      </c>
      <c r="T503" s="22">
        <v>2000</v>
      </c>
      <c r="U503" s="26">
        <f>IF($S$501&gt;=S503,1,0)</f>
        <v>0</v>
      </c>
      <c r="V503" s="25">
        <f>IF($T$501&gt;=T503,1,0)</f>
        <v>0</v>
      </c>
      <c r="W503" s="25">
        <f>IF(AND(Q503=1,SUM(U503:V503)&lt;2),1,0)</f>
        <v>0</v>
      </c>
      <c r="Y503" s="626"/>
    </row>
    <row r="504" spans="1:29" s="426" customFormat="1" x14ac:dyDescent="0.25">
      <c r="A504" s="426" t="s">
        <v>61</v>
      </c>
      <c r="B504" s="426" t="s">
        <v>679</v>
      </c>
      <c r="C504" s="636" t="s">
        <v>680</v>
      </c>
      <c r="D504" s="635"/>
      <c r="G504" s="638">
        <v>0.15</v>
      </c>
      <c r="L504" s="426" t="s">
        <v>1017</v>
      </c>
      <c r="N504" s="652" t="s">
        <v>866</v>
      </c>
      <c r="O504" s="971">
        <f>AY46</f>
        <v>0.9</v>
      </c>
      <c r="Q504" s="12">
        <f t="shared" ref="Q504:Q511" si="89">IF($C$4=R504,1," ")</f>
        <v>1</v>
      </c>
      <c r="R504" s="778" t="s">
        <v>31</v>
      </c>
      <c r="S504" s="22">
        <v>720</v>
      </c>
      <c r="T504" s="22">
        <v>1800</v>
      </c>
      <c r="U504" s="26">
        <f t="shared" ref="U504:U511" si="90">IF($S$501&gt;=S504,1,0)</f>
        <v>0</v>
      </c>
      <c r="V504" s="25">
        <f t="shared" ref="V504:V511" si="91">IF($T$501&gt;=T504,1,0)</f>
        <v>0</v>
      </c>
      <c r="W504" s="25">
        <f t="shared" ref="W504:W511" si="92">IF(AND(Q504=1,SUM(U504:V504)&lt;2),1,0)</f>
        <v>1</v>
      </c>
      <c r="Y504" s="626"/>
      <c r="AA504" s="944"/>
      <c r="AB504" s="944" t="s">
        <v>1061</v>
      </c>
    </row>
    <row r="505" spans="1:29" s="426" customFormat="1" x14ac:dyDescent="0.25">
      <c r="A505" s="626">
        <f>IF(AND(C500=1,C512=0),1,IF(AND(C500=1,C512=1),0.5,0))</f>
        <v>0</v>
      </c>
      <c r="B505" s="426" t="s">
        <v>767</v>
      </c>
      <c r="C505" s="637">
        <v>10</v>
      </c>
      <c r="D505" s="426" t="s">
        <v>683</v>
      </c>
      <c r="G505" s="708" t="s">
        <v>777</v>
      </c>
      <c r="H505" s="719" t="s">
        <v>778</v>
      </c>
      <c r="I505" s="719" t="s">
        <v>779</v>
      </c>
      <c r="Q505" s="12" t="str">
        <f t="shared" si="89"/>
        <v xml:space="preserve"> </v>
      </c>
      <c r="R505" s="778" t="s">
        <v>32</v>
      </c>
      <c r="S505" s="22">
        <v>720</v>
      </c>
      <c r="T505" s="22">
        <v>1800</v>
      </c>
      <c r="U505" s="26">
        <f t="shared" si="90"/>
        <v>0</v>
      </c>
      <c r="V505" s="25">
        <f t="shared" si="91"/>
        <v>0</v>
      </c>
      <c r="W505" s="25">
        <f t="shared" si="92"/>
        <v>0</v>
      </c>
      <c r="Y505" s="626"/>
      <c r="AA505" s="52"/>
      <c r="AB505" s="52"/>
    </row>
    <row r="506" spans="1:29" s="426" customFormat="1" ht="15.75" thickBot="1" x14ac:dyDescent="0.3">
      <c r="A506" s="626">
        <f>C111</f>
        <v>0</v>
      </c>
      <c r="B506" s="426" t="s">
        <v>770</v>
      </c>
      <c r="C506" s="637">
        <v>15</v>
      </c>
      <c r="D506" s="426" t="s">
        <v>683</v>
      </c>
      <c r="G506" s="725">
        <f>MAX(B445,H445)</f>
        <v>1800</v>
      </c>
      <c r="H506" s="145">
        <f>C514*C515</f>
        <v>1</v>
      </c>
      <c r="I506" s="145">
        <f>H506*G506</f>
        <v>1800</v>
      </c>
      <c r="L506" s="768">
        <f>IF(AND($C$517&gt;L507,$C$517&lt;=L508),1,0)</f>
        <v>1</v>
      </c>
      <c r="M506" s="768">
        <f t="shared" ref="M506:O506" si="93">IF(AND($C$517&gt;M507,$C$517&lt;=M508),1,0)</f>
        <v>0</v>
      </c>
      <c r="N506" s="768">
        <f t="shared" si="93"/>
        <v>0</v>
      </c>
      <c r="O506" s="1047">
        <f t="shared" si="93"/>
        <v>0</v>
      </c>
      <c r="Q506" s="12" t="str">
        <f t="shared" si="89"/>
        <v xml:space="preserve"> </v>
      </c>
      <c r="R506" s="778" t="s">
        <v>36</v>
      </c>
      <c r="S506" s="22">
        <v>560</v>
      </c>
      <c r="T506" s="22">
        <v>1500</v>
      </c>
      <c r="U506" s="26">
        <f t="shared" si="90"/>
        <v>0</v>
      </c>
      <c r="V506" s="25">
        <f t="shared" si="91"/>
        <v>0</v>
      </c>
      <c r="W506" s="25">
        <f t="shared" si="92"/>
        <v>0</v>
      </c>
      <c r="Y506" s="626"/>
      <c r="AA506" s="944" t="s">
        <v>1062</v>
      </c>
      <c r="AB506" s="25">
        <f>C3</f>
        <v>1800</v>
      </c>
    </row>
    <row r="507" spans="1:29" s="426" customFormat="1" x14ac:dyDescent="0.25">
      <c r="A507" s="626">
        <f>C111</f>
        <v>0</v>
      </c>
      <c r="B507" s="426" t="s">
        <v>771</v>
      </c>
      <c r="C507" s="637">
        <v>10</v>
      </c>
      <c r="D507" s="426" t="s">
        <v>683</v>
      </c>
      <c r="G507" s="735" t="s">
        <v>782</v>
      </c>
      <c r="H507" s="710" t="s">
        <v>781</v>
      </c>
      <c r="I507" s="713" t="s">
        <v>780</v>
      </c>
      <c r="L507" s="725">
        <v>0</v>
      </c>
      <c r="M507" s="150">
        <v>3000</v>
      </c>
      <c r="N507" s="626">
        <v>4000</v>
      </c>
      <c r="O507" s="150">
        <v>5000</v>
      </c>
      <c r="Q507" s="12" t="str">
        <f t="shared" si="89"/>
        <v xml:space="preserve"> </v>
      </c>
      <c r="R507" s="778" t="s">
        <v>34</v>
      </c>
      <c r="S507" s="22">
        <v>660</v>
      </c>
      <c r="T507" s="22">
        <v>1600</v>
      </c>
      <c r="U507" s="26">
        <f t="shared" si="90"/>
        <v>0</v>
      </c>
      <c r="V507" s="25">
        <f t="shared" si="91"/>
        <v>0</v>
      </c>
      <c r="W507" s="25">
        <f t="shared" si="92"/>
        <v>0</v>
      </c>
      <c r="Y507" s="626"/>
      <c r="AA507" s="41" t="s">
        <v>1063</v>
      </c>
      <c r="AB507" s="252">
        <f>C518</f>
        <v>1800</v>
      </c>
    </row>
    <row r="508" spans="1:29" s="426" customFormat="1" ht="15.75" thickBot="1" x14ac:dyDescent="0.3">
      <c r="A508" s="626">
        <f>IF(AND(C500=1,SUM(D525:E525)&gt;0,C512=0),1,0)</f>
        <v>0</v>
      </c>
      <c r="B508" s="426" t="s">
        <v>768</v>
      </c>
      <c r="C508" s="705">
        <v>7</v>
      </c>
      <c r="D508" s="426" t="s">
        <v>683</v>
      </c>
      <c r="G508" s="736">
        <f>IF(CEILING((H508*G504)+H508,1)&lt;=G506,CEILING((H508*G504)+H508,1),G506)</f>
        <v>1800</v>
      </c>
      <c r="H508" s="702">
        <f>CEILING(I508/H506,1)</f>
        <v>1800</v>
      </c>
      <c r="I508" s="145">
        <f>C3</f>
        <v>1800</v>
      </c>
      <c r="L508" s="658">
        <v>3000</v>
      </c>
      <c r="M508" s="145">
        <v>4000</v>
      </c>
      <c r="N508" s="1045">
        <v>5000</v>
      </c>
      <c r="O508" s="145">
        <v>9999</v>
      </c>
      <c r="Q508" s="12" t="str">
        <f t="shared" si="89"/>
        <v xml:space="preserve"> </v>
      </c>
      <c r="R508" s="778" t="s">
        <v>33</v>
      </c>
      <c r="S508" s="22">
        <v>660</v>
      </c>
      <c r="T508" s="22">
        <v>1500</v>
      </c>
      <c r="U508" s="26">
        <f t="shared" si="90"/>
        <v>0</v>
      </c>
      <c r="V508" s="25">
        <f t="shared" si="91"/>
        <v>0</v>
      </c>
      <c r="W508" s="25">
        <f t="shared" si="92"/>
        <v>0</v>
      </c>
      <c r="Y508" s="626"/>
      <c r="AA508" s="41" t="s">
        <v>895</v>
      </c>
      <c r="AB508" s="25">
        <f>F145</f>
        <v>3</v>
      </c>
    </row>
    <row r="509" spans="1:29" s="426" customFormat="1" x14ac:dyDescent="0.25">
      <c r="A509" s="626">
        <f>IF(AND(C500=1,SUM(D525:E525)&gt;0,C512=0),1,0)</f>
        <v>0</v>
      </c>
      <c r="B509" s="426" t="s">
        <v>769</v>
      </c>
      <c r="C509" s="705">
        <v>5</v>
      </c>
      <c r="D509" s="426" t="s">
        <v>683</v>
      </c>
      <c r="L509" s="1046">
        <v>1</v>
      </c>
      <c r="M509" s="1046">
        <v>0.98</v>
      </c>
      <c r="N509" s="1046">
        <v>0.97</v>
      </c>
      <c r="O509" s="1046">
        <v>0.96</v>
      </c>
      <c r="Q509" s="12" t="str">
        <f t="shared" si="89"/>
        <v xml:space="preserve"> </v>
      </c>
      <c r="R509" s="778" t="s">
        <v>35</v>
      </c>
      <c r="S509" s="22">
        <v>660</v>
      </c>
      <c r="T509" s="22">
        <v>1500</v>
      </c>
      <c r="U509" s="26">
        <f t="shared" si="90"/>
        <v>0</v>
      </c>
      <c r="V509" s="25">
        <f t="shared" si="91"/>
        <v>0</v>
      </c>
      <c r="W509" s="25">
        <f t="shared" si="92"/>
        <v>0</v>
      </c>
      <c r="Y509" s="626"/>
      <c r="AA509" s="41" t="s">
        <v>1064</v>
      </c>
      <c r="AB509" s="25">
        <f>CEILING((AB507*AB508)/AB500,1)</f>
        <v>5</v>
      </c>
    </row>
    <row r="510" spans="1:29" s="426" customFormat="1" ht="15.75" thickBot="1" x14ac:dyDescent="0.3">
      <c r="B510" s="426" t="s">
        <v>1001</v>
      </c>
      <c r="C510" s="1034" t="str">
        <f>AW46</f>
        <v>0,2</v>
      </c>
      <c r="D510" s="704" t="s">
        <v>1002</v>
      </c>
      <c r="G510" s="426" t="s">
        <v>1337</v>
      </c>
      <c r="Q510" s="12" t="str">
        <f t="shared" si="89"/>
        <v xml:space="preserve"> </v>
      </c>
      <c r="R510" s="778" t="s">
        <v>37</v>
      </c>
      <c r="S510" s="22">
        <v>500</v>
      </c>
      <c r="T510" s="22">
        <v>1200</v>
      </c>
      <c r="U510" s="26">
        <f t="shared" si="90"/>
        <v>0</v>
      </c>
      <c r="V510" s="25">
        <f t="shared" si="91"/>
        <v>0</v>
      </c>
      <c r="W510" s="25">
        <f t="shared" si="92"/>
        <v>0</v>
      </c>
      <c r="Y510" s="626"/>
      <c r="AA510" s="41" t="s">
        <v>1065</v>
      </c>
      <c r="AB510" s="30">
        <v>2</v>
      </c>
    </row>
    <row r="511" spans="1:29" s="426" customFormat="1" ht="15.75" thickBot="1" x14ac:dyDescent="0.3">
      <c r="B511" s="615"/>
      <c r="G511" s="1108" t="s">
        <v>1338</v>
      </c>
      <c r="H511" s="1108" t="s">
        <v>547</v>
      </c>
      <c r="I511" s="735" t="s">
        <v>782</v>
      </c>
      <c r="N511" s="652" t="s">
        <v>1018</v>
      </c>
      <c r="O511" s="1048">
        <f>O504*HLOOKUP(1,L506:O509,4,FALSE)</f>
        <v>0.9</v>
      </c>
      <c r="Q511" s="12" t="str">
        <f t="shared" si="89"/>
        <v xml:space="preserve"> </v>
      </c>
      <c r="R511" s="778" t="s">
        <v>38</v>
      </c>
      <c r="S511" s="22">
        <v>500</v>
      </c>
      <c r="T511" s="22">
        <v>1200</v>
      </c>
      <c r="U511" s="26">
        <f t="shared" si="90"/>
        <v>0</v>
      </c>
      <c r="V511" s="25">
        <f t="shared" si="91"/>
        <v>0</v>
      </c>
      <c r="W511" s="25">
        <f t="shared" si="92"/>
        <v>0</v>
      </c>
      <c r="Y511" s="626"/>
      <c r="AA511" s="41" t="s">
        <v>1066</v>
      </c>
      <c r="AB511" s="25">
        <f>AB510*AB509*AB501</f>
        <v>200</v>
      </c>
    </row>
    <row r="512" spans="1:29" s="426" customFormat="1" ht="15.75" thickBot="1" x14ac:dyDescent="0.3">
      <c r="B512" s="615" t="s">
        <v>764</v>
      </c>
      <c r="C512" s="626">
        <f>IF(AND(J364=1,J365=1),1,0)</f>
        <v>0</v>
      </c>
      <c r="G512" s="658">
        <f>C3</f>
        <v>1800</v>
      </c>
      <c r="H512" s="658">
        <f>C445*D445</f>
        <v>1</v>
      </c>
      <c r="I512" s="736">
        <f>CEILING((G512/H512)+(G512/H512*G504),1)</f>
        <v>2070</v>
      </c>
      <c r="Q512" s="1090" t="s">
        <v>1053</v>
      </c>
      <c r="R512" s="1091"/>
      <c r="S512" s="1092" t="s">
        <v>1057</v>
      </c>
      <c r="T512" s="1093">
        <f>'Tarieven (3)'!C12/60</f>
        <v>0.6166666666666667</v>
      </c>
      <c r="U512" s="1091"/>
      <c r="V512" s="1091"/>
      <c r="W512" s="281">
        <f>VLOOKUP(1,Q503:W511,7,FALSE)</f>
        <v>1</v>
      </c>
      <c r="Y512" s="626"/>
      <c r="AA512" s="41" t="s">
        <v>1067</v>
      </c>
      <c r="AB512" s="25">
        <f>AB509*AB502</f>
        <v>900</v>
      </c>
    </row>
    <row r="513" spans="1:28" s="426" customFormat="1" x14ac:dyDescent="0.25">
      <c r="B513" s="615" t="s">
        <v>750</v>
      </c>
      <c r="C513" s="626" t="str">
        <f>IF(C512=1,"0110",C2)</f>
        <v>0201</v>
      </c>
      <c r="Y513" s="626"/>
      <c r="AA513" s="950" t="s">
        <v>1068</v>
      </c>
      <c r="AB513" s="1102">
        <f>IF(AB507&gt;0,ROUND(((AB511+AB512)/AB507)*1.5,1),0)</f>
        <v>0.9</v>
      </c>
    </row>
    <row r="514" spans="1:28" s="426" customFormat="1" ht="12.75" x14ac:dyDescent="0.2">
      <c r="B514" s="615" t="s">
        <v>752</v>
      </c>
      <c r="C514" s="626">
        <f>IF(C512=1,1,C445)</f>
        <v>1</v>
      </c>
      <c r="D514" s="426" t="s">
        <v>754</v>
      </c>
      <c r="Y514" s="626"/>
    </row>
    <row r="515" spans="1:28" s="426" customFormat="1" ht="12.75" x14ac:dyDescent="0.2">
      <c r="B515" s="615" t="s">
        <v>753</v>
      </c>
      <c r="C515" s="626">
        <f>D445</f>
        <v>1</v>
      </c>
      <c r="D515" s="426" t="s">
        <v>754</v>
      </c>
      <c r="Y515" s="626"/>
    </row>
    <row r="516" spans="1:28" s="426" customFormat="1" ht="12.75" x14ac:dyDescent="0.2">
      <c r="B516" s="615" t="s">
        <v>99</v>
      </c>
      <c r="C516" s="626">
        <f>E445</f>
        <v>361</v>
      </c>
      <c r="D516" s="426" t="s">
        <v>25</v>
      </c>
      <c r="Y516" s="626"/>
    </row>
    <row r="517" spans="1:28" s="426" customFormat="1" ht="12.75" x14ac:dyDescent="0.2">
      <c r="B517" s="615" t="s">
        <v>100</v>
      </c>
      <c r="C517" s="626">
        <f>F445</f>
        <v>1150</v>
      </c>
      <c r="D517" s="426" t="s">
        <v>25</v>
      </c>
      <c r="Y517" s="626"/>
    </row>
    <row r="518" spans="1:28" s="426" customFormat="1" ht="12.75" x14ac:dyDescent="0.2">
      <c r="B518" s="615" t="s">
        <v>776</v>
      </c>
      <c r="C518" s="134">
        <f>IF(AND(C512=1,I512&gt;0,I512&lt;=G508),I512,G508)</f>
        <v>1800</v>
      </c>
      <c r="D518" s="426" t="s">
        <v>754</v>
      </c>
      <c r="Y518" s="626"/>
    </row>
    <row r="519" spans="1:28" s="426" customFormat="1" ht="12.75" x14ac:dyDescent="0.2">
      <c r="B519" s="615"/>
      <c r="C519" s="626"/>
      <c r="Y519" s="626"/>
    </row>
    <row r="520" spans="1:28" s="426" customFormat="1" ht="12.75" x14ac:dyDescent="0.2">
      <c r="B520" s="615"/>
      <c r="Y520" s="626"/>
    </row>
    <row r="521" spans="1:28" s="426" customFormat="1" ht="12.75" x14ac:dyDescent="0.2">
      <c r="L521" s="1100">
        <v>9</v>
      </c>
      <c r="O521" s="652" t="s">
        <v>773</v>
      </c>
      <c r="P521" s="653"/>
      <c r="Q521" s="634">
        <f>IF(AND(C500=1,A506=2),1,0)</f>
        <v>0</v>
      </c>
      <c r="Y521" s="626"/>
    </row>
    <row r="522" spans="1:28" s="426" customFormat="1" ht="12.75" x14ac:dyDescent="0.2">
      <c r="L522" s="644">
        <v>5.5</v>
      </c>
      <c r="O522" s="428"/>
      <c r="Y522" s="626"/>
    </row>
    <row r="523" spans="1:28" s="426" customFormat="1" x14ac:dyDescent="0.25">
      <c r="A523" s="286"/>
      <c r="B523" s="77"/>
      <c r="C523"/>
      <c r="D523"/>
      <c r="E523" s="484">
        <v>100</v>
      </c>
      <c r="F523"/>
      <c r="G523"/>
      <c r="H523"/>
      <c r="I523" s="78" t="s">
        <v>731</v>
      </c>
      <c r="J523" s="2" t="s">
        <v>765</v>
      </c>
      <c r="K523" s="78" t="s">
        <v>731</v>
      </c>
      <c r="L523" s="78" t="s">
        <v>732</v>
      </c>
      <c r="N523" s="78" t="s">
        <v>733</v>
      </c>
      <c r="O523" s="725" t="s">
        <v>765</v>
      </c>
      <c r="P523" s="78" t="s">
        <v>731</v>
      </c>
      <c r="Q523" s="78" t="s">
        <v>732</v>
      </c>
      <c r="S523" s="78" t="s">
        <v>733</v>
      </c>
      <c r="Y523" s="626"/>
    </row>
    <row r="524" spans="1:28" s="426" customFormat="1" ht="15.75" thickBot="1" x14ac:dyDescent="0.3">
      <c r="A524" s="286"/>
      <c r="E524" s="473">
        <f>AT46</f>
        <v>0</v>
      </c>
      <c r="F524"/>
      <c r="G524" s="2"/>
      <c r="H524"/>
      <c r="I524" s="78" t="s">
        <v>734</v>
      </c>
      <c r="J524" s="2" t="s">
        <v>766</v>
      </c>
      <c r="K524" s="78" t="s">
        <v>735</v>
      </c>
      <c r="L524" s="78" t="s">
        <v>736</v>
      </c>
      <c r="N524" s="78" t="s">
        <v>737</v>
      </c>
      <c r="O524" s="658" t="s">
        <v>766</v>
      </c>
      <c r="P524" s="401" t="s">
        <v>735</v>
      </c>
      <c r="Q524" s="401" t="s">
        <v>736</v>
      </c>
      <c r="S524" s="78" t="s">
        <v>737</v>
      </c>
      <c r="Y524" s="626"/>
    </row>
    <row r="525" spans="1:28" s="426" customFormat="1" x14ac:dyDescent="0.25">
      <c r="A525" s="683"/>
      <c r="B525" s="426" t="s">
        <v>772</v>
      </c>
      <c r="C525" s="77"/>
      <c r="D525" s="473">
        <f>C131</f>
        <v>0</v>
      </c>
      <c r="E525" s="13">
        <f>CEILING(E524/E523,1)</f>
        <v>0</v>
      </c>
      <c r="F525"/>
      <c r="G525"/>
      <c r="H525"/>
      <c r="I525" s="484">
        <v>1.1000000000000001</v>
      </c>
      <c r="J525" s="484">
        <v>1</v>
      </c>
      <c r="K525" s="484">
        <v>1.25</v>
      </c>
      <c r="L525" s="208">
        <f>IF(W512=1,L522,L521)</f>
        <v>5.5</v>
      </c>
      <c r="M525" s="1202">
        <v>5</v>
      </c>
      <c r="N525" s="1049">
        <f>O511</f>
        <v>0.9</v>
      </c>
      <c r="O525" s="703">
        <v>1</v>
      </c>
      <c r="P525" s="34">
        <v>1.25</v>
      </c>
      <c r="Q525" s="432">
        <f>L525</f>
        <v>5.5</v>
      </c>
      <c r="R525" s="1202">
        <v>5</v>
      </c>
      <c r="S525" s="1049">
        <f>O511</f>
        <v>0.9</v>
      </c>
      <c r="Y525" s="626"/>
    </row>
    <row r="526" spans="1:28" s="426" customFormat="1" x14ac:dyDescent="0.25">
      <c r="A526" s="404"/>
      <c r="B526" s="404"/>
      <c r="C526" s="399" t="s">
        <v>562</v>
      </c>
      <c r="D526" s="417" t="s">
        <v>562</v>
      </c>
      <c r="E526" s="399" t="s">
        <v>562</v>
      </c>
      <c r="F526" s="423" t="s">
        <v>738</v>
      </c>
      <c r="G526" s="399" t="s">
        <v>739</v>
      </c>
      <c r="H526" s="406" t="s">
        <v>740</v>
      </c>
      <c r="I526" s="399" t="s">
        <v>741</v>
      </c>
      <c r="J526" s="399" t="s">
        <v>742</v>
      </c>
      <c r="K526" s="399" t="s">
        <v>741</v>
      </c>
      <c r="L526" s="417" t="s">
        <v>743</v>
      </c>
      <c r="M526" s="1201"/>
      <c r="N526" s="715"/>
      <c r="O526" s="701" t="s">
        <v>742</v>
      </c>
      <c r="P526" s="399" t="s">
        <v>741</v>
      </c>
      <c r="Q526" s="417" t="s">
        <v>743</v>
      </c>
      <c r="R526" s="1201"/>
      <c r="S526" s="715"/>
      <c r="Y526" s="626"/>
    </row>
    <row r="527" spans="1:28" s="426" customFormat="1" x14ac:dyDescent="0.25">
      <c r="A527" s="339" t="s">
        <v>28</v>
      </c>
      <c r="B527" s="341" t="s">
        <v>2</v>
      </c>
      <c r="C527" s="120" t="s">
        <v>577</v>
      </c>
      <c r="D527" s="400" t="s">
        <v>575</v>
      </c>
      <c r="E527" s="202" t="s">
        <v>744</v>
      </c>
      <c r="F527" s="424" t="s">
        <v>604</v>
      </c>
      <c r="G527" s="120" t="s">
        <v>745</v>
      </c>
      <c r="H527" s="78" t="s">
        <v>746</v>
      </c>
      <c r="I527" s="120" t="s">
        <v>562</v>
      </c>
      <c r="J527" s="120" t="s">
        <v>747</v>
      </c>
      <c r="K527" s="120" t="s">
        <v>748</v>
      </c>
      <c r="L527" s="227" t="s">
        <v>749</v>
      </c>
      <c r="M527" s="1199"/>
      <c r="N527" s="539"/>
      <c r="O527" s="651" t="s">
        <v>747</v>
      </c>
      <c r="P527" s="120" t="s">
        <v>748</v>
      </c>
      <c r="Q527" s="227" t="s">
        <v>749</v>
      </c>
      <c r="R527" s="1199"/>
      <c r="S527" s="539"/>
      <c r="Y527" s="626"/>
    </row>
    <row r="528" spans="1:28" s="426" customFormat="1" x14ac:dyDescent="0.25">
      <c r="A528" s="473">
        <f>IF($C$513=B528,1,0)</f>
        <v>0</v>
      </c>
      <c r="B528" s="220" t="str">
        <f t="shared" ref="B528:B548" si="94">B50</f>
        <v>0110</v>
      </c>
      <c r="C528" s="473">
        <f>IF(C512=1,0,S50)</f>
        <v>1</v>
      </c>
      <c r="D528" s="514">
        <v>0</v>
      </c>
      <c r="E528" s="484">
        <v>0</v>
      </c>
      <c r="F528" s="23" t="str">
        <f t="shared" ref="F528:F548" si="95">IF(A528=1,SUM(C528:E528)," ")</f>
        <v xml:space="preserve"> </v>
      </c>
      <c r="G528" s="489" t="str">
        <f>IF(A528=1,$C$515," ")</f>
        <v xml:space="preserve"> </v>
      </c>
      <c r="H528" s="115" t="str">
        <f>IF(A528=1,F528*G528," ")</f>
        <v xml:space="preserve"> </v>
      </c>
      <c r="I528" s="287" t="str">
        <f>IF(A528=1,$I$525*H528," ")</f>
        <v xml:space="preserve"> </v>
      </c>
      <c r="J528" s="726" t="str">
        <f>IF(AND(A528=1,C512=1),($C$517/1000)*J525,IF(AND(A528=1,C512=0),($C$517/1000)," "))</f>
        <v xml:space="preserve"> </v>
      </c>
      <c r="K528" s="726" t="str">
        <f>IF(A528=1,J528*$K$525," ")</f>
        <v xml:space="preserve"> </v>
      </c>
      <c r="L528" s="287" t="str">
        <f>IF(A528=1,$L$525," ")</f>
        <v xml:space="preserve"> </v>
      </c>
      <c r="M528" s="1203">
        <f>IF(AND(C512=1,A528=1),M525*(C515-1),0)</f>
        <v>0</v>
      </c>
      <c r="N528" s="716" t="str">
        <f>IF(A528=1,CEILING((I528+K528+L528+M528)/$N$525,1)," ")</f>
        <v xml:space="preserve"> </v>
      </c>
      <c r="O528" s="727" t="str">
        <f>IF(AND(A528=1,C512=1,Q521=1),($C$517/1000)*O525,IF(AND(A528=1,C512=0,Q521=1),($C$517/1000)," "))</f>
        <v xml:space="preserve"> </v>
      </c>
      <c r="P528" s="730" t="str">
        <f t="shared" ref="P528:P548" si="96">IF(AND(A528=1,$Q$521=1),O528*$P$525," ")</f>
        <v xml:space="preserve"> </v>
      </c>
      <c r="Q528" s="712" t="str">
        <f t="shared" ref="Q528:Q548" si="97">IF(AND(A528=1,$Q$521=1),$Q$525," ")</f>
        <v xml:space="preserve"> </v>
      </c>
      <c r="R528" s="1203">
        <f>IF(AND(C512=1,A528=1,Q521=1),R525*(C515-1),0)</f>
        <v>0</v>
      </c>
      <c r="S528" s="720" t="str">
        <f>IF(AND(A528=1,$Q$521=1),CEILING((P528+Q528+R528)/$S$525,1)," ")</f>
        <v xml:space="preserve"> </v>
      </c>
      <c r="Y528" s="626"/>
    </row>
    <row r="529" spans="1:25" s="426" customFormat="1" x14ac:dyDescent="0.25">
      <c r="A529" s="12">
        <f t="shared" ref="A529:A548" si="98">IF($C$513=B529,1,0)</f>
        <v>0</v>
      </c>
      <c r="B529" s="506" t="str">
        <f t="shared" si="94"/>
        <v>0200</v>
      </c>
      <c r="C529" s="12">
        <f t="shared" ref="C529:C548" si="99">S51</f>
        <v>3</v>
      </c>
      <c r="D529" s="2">
        <f>D525</f>
        <v>0</v>
      </c>
      <c r="E529" s="28">
        <v>0</v>
      </c>
      <c r="F529" s="2" t="str">
        <f t="shared" si="95"/>
        <v xml:space="preserve"> </v>
      </c>
      <c r="G529" s="120" t="str">
        <f t="shared" ref="G529:G548" si="100">IF(A529=1,$C$515," ")</f>
        <v xml:space="preserve"> </v>
      </c>
      <c r="H529" s="78" t="str">
        <f t="shared" ref="H529:H548" si="101">IF(A529=1,F529*G529," ")</f>
        <v xml:space="preserve"> </v>
      </c>
      <c r="I529" s="227" t="str">
        <f t="shared" ref="I529:I548" si="102">IF(A529=1,$I$525*H529," ")</f>
        <v xml:space="preserve"> </v>
      </c>
      <c r="J529" s="695" t="str">
        <f t="shared" ref="J529:J548" si="103">IF(A529=1,($C$517/1000)," ")</f>
        <v xml:space="preserve"> </v>
      </c>
      <c r="K529" s="695" t="str">
        <f t="shared" ref="K529:K548" si="104">IF(A529=1,J529*$K$525," ")</f>
        <v xml:space="preserve"> </v>
      </c>
      <c r="L529" s="227" t="str">
        <f t="shared" ref="L529:L548" si="105">IF(A529=1,$L$525," ")</f>
        <v xml:space="preserve"> </v>
      </c>
      <c r="M529" s="1201"/>
      <c r="N529" s="717" t="str">
        <f t="shared" ref="N529:N548" si="106">IF(A529=1,CEILING((I529+K529+L529)/$N$525,1)," ")</f>
        <v xml:space="preserve"> </v>
      </c>
      <c r="O529" s="728" t="str">
        <f t="shared" ref="O529:O548" si="107">IF(AND(A529=1,$Q$521=1),($C$517/1000)," ")</f>
        <v xml:space="preserve"> </v>
      </c>
      <c r="P529" s="731" t="str">
        <f t="shared" si="96"/>
        <v xml:space="preserve"> </v>
      </c>
      <c r="Q529" s="701" t="str">
        <f t="shared" si="97"/>
        <v xml:space="preserve"> </v>
      </c>
      <c r="R529" s="1201"/>
      <c r="S529" s="721" t="str">
        <f t="shared" ref="S529:S548" si="108">IF(AND(A529=1,$Q$521=1),CEILING((P529+Q529)/$S$525,1)," ")</f>
        <v xml:space="preserve"> </v>
      </c>
      <c r="Y529" s="626"/>
    </row>
    <row r="530" spans="1:25" s="426" customFormat="1" x14ac:dyDescent="0.25">
      <c r="A530" s="12">
        <f t="shared" si="98"/>
        <v>1</v>
      </c>
      <c r="B530" s="506" t="str">
        <f t="shared" si="94"/>
        <v>0201</v>
      </c>
      <c r="C530" s="12">
        <f t="shared" si="99"/>
        <v>3</v>
      </c>
      <c r="D530" s="2">
        <f>D525</f>
        <v>0</v>
      </c>
      <c r="E530" s="28">
        <v>0</v>
      </c>
      <c r="F530" s="2">
        <f t="shared" si="95"/>
        <v>3</v>
      </c>
      <c r="G530" s="120">
        <f t="shared" si="100"/>
        <v>1</v>
      </c>
      <c r="H530" s="78">
        <f t="shared" si="101"/>
        <v>3</v>
      </c>
      <c r="I530" s="227">
        <f t="shared" si="102"/>
        <v>3.3000000000000003</v>
      </c>
      <c r="J530" s="695">
        <f t="shared" si="103"/>
        <v>1.1499999999999999</v>
      </c>
      <c r="K530" s="695">
        <f t="shared" si="104"/>
        <v>1.4375</v>
      </c>
      <c r="L530" s="227">
        <f t="shared" si="105"/>
        <v>5.5</v>
      </c>
      <c r="M530" s="1199"/>
      <c r="N530" s="717">
        <f t="shared" si="106"/>
        <v>12</v>
      </c>
      <c r="O530" s="728" t="str">
        <f t="shared" si="107"/>
        <v xml:space="preserve"> </v>
      </c>
      <c r="P530" s="732" t="str">
        <f t="shared" si="96"/>
        <v xml:space="preserve"> </v>
      </c>
      <c r="Q530" s="626" t="str">
        <f t="shared" si="97"/>
        <v xml:space="preserve"> </v>
      </c>
      <c r="R530" s="1199"/>
      <c r="S530" s="723" t="str">
        <f t="shared" si="108"/>
        <v xml:space="preserve"> </v>
      </c>
      <c r="Y530" s="626"/>
    </row>
    <row r="531" spans="1:25" s="426" customFormat="1" x14ac:dyDescent="0.25">
      <c r="A531" s="12">
        <f t="shared" si="98"/>
        <v>0</v>
      </c>
      <c r="B531" s="506" t="str">
        <f t="shared" si="94"/>
        <v>0203</v>
      </c>
      <c r="C531" s="12">
        <f t="shared" si="99"/>
        <v>3</v>
      </c>
      <c r="D531" s="2">
        <f>D525</f>
        <v>0</v>
      </c>
      <c r="E531" s="28">
        <v>0</v>
      </c>
      <c r="F531" s="2" t="str">
        <f t="shared" si="95"/>
        <v xml:space="preserve"> </v>
      </c>
      <c r="G531" s="120" t="str">
        <f t="shared" si="100"/>
        <v xml:space="preserve"> </v>
      </c>
      <c r="H531" s="78" t="str">
        <f t="shared" si="101"/>
        <v xml:space="preserve"> </v>
      </c>
      <c r="I531" s="227" t="str">
        <f t="shared" si="102"/>
        <v xml:space="preserve"> </v>
      </c>
      <c r="J531" s="695" t="str">
        <f t="shared" si="103"/>
        <v xml:space="preserve"> </v>
      </c>
      <c r="K531" s="695" t="str">
        <f t="shared" si="104"/>
        <v xml:space="preserve"> </v>
      </c>
      <c r="L531" s="227" t="str">
        <f t="shared" si="105"/>
        <v xml:space="preserve"> </v>
      </c>
      <c r="M531" s="1199"/>
      <c r="N531" s="717" t="str">
        <f t="shared" si="106"/>
        <v xml:space="preserve"> </v>
      </c>
      <c r="O531" s="728" t="str">
        <f t="shared" si="107"/>
        <v xml:space="preserve"> </v>
      </c>
      <c r="P531" s="732" t="str">
        <f t="shared" si="96"/>
        <v xml:space="preserve"> </v>
      </c>
      <c r="Q531" s="626" t="str">
        <f t="shared" si="97"/>
        <v xml:space="preserve"> </v>
      </c>
      <c r="R531" s="1199"/>
      <c r="S531" s="723" t="str">
        <f t="shared" si="108"/>
        <v xml:space="preserve"> </v>
      </c>
      <c r="Y531" s="626"/>
    </row>
    <row r="532" spans="1:25" s="426" customFormat="1" x14ac:dyDescent="0.25">
      <c r="A532" s="12">
        <f t="shared" si="98"/>
        <v>0</v>
      </c>
      <c r="B532" s="506" t="str">
        <f t="shared" si="94"/>
        <v>0409</v>
      </c>
      <c r="C532" s="12">
        <f t="shared" si="99"/>
        <v>4</v>
      </c>
      <c r="D532" s="22">
        <v>0</v>
      </c>
      <c r="E532" s="28">
        <v>0</v>
      </c>
      <c r="F532" s="2" t="str">
        <f t="shared" si="95"/>
        <v xml:space="preserve"> </v>
      </c>
      <c r="G532" s="120" t="str">
        <f t="shared" si="100"/>
        <v xml:space="preserve"> </v>
      </c>
      <c r="H532" s="78" t="str">
        <f t="shared" si="101"/>
        <v xml:space="preserve"> </v>
      </c>
      <c r="I532" s="227" t="str">
        <f t="shared" si="102"/>
        <v xml:space="preserve"> </v>
      </c>
      <c r="J532" s="695" t="str">
        <f t="shared" si="103"/>
        <v xml:space="preserve"> </v>
      </c>
      <c r="K532" s="695" t="str">
        <f t="shared" si="104"/>
        <v xml:space="preserve"> </v>
      </c>
      <c r="L532" s="227" t="str">
        <f t="shared" si="105"/>
        <v xml:space="preserve"> </v>
      </c>
      <c r="M532" s="1199"/>
      <c r="N532" s="717" t="str">
        <f t="shared" si="106"/>
        <v xml:space="preserve"> </v>
      </c>
      <c r="O532" s="728" t="str">
        <f t="shared" si="107"/>
        <v xml:space="preserve"> </v>
      </c>
      <c r="P532" s="732" t="str">
        <f t="shared" si="96"/>
        <v xml:space="preserve"> </v>
      </c>
      <c r="Q532" s="626" t="str">
        <f t="shared" si="97"/>
        <v xml:space="preserve"> </v>
      </c>
      <c r="R532" s="1199"/>
      <c r="S532" s="723" t="str">
        <f t="shared" si="108"/>
        <v xml:space="preserve"> </v>
      </c>
      <c r="Y532" s="626"/>
    </row>
    <row r="533" spans="1:25" s="426" customFormat="1" x14ac:dyDescent="0.25">
      <c r="A533" s="12">
        <f t="shared" si="98"/>
        <v>0</v>
      </c>
      <c r="B533" s="506" t="str">
        <f t="shared" si="94"/>
        <v>0410</v>
      </c>
      <c r="C533" s="12">
        <f t="shared" si="99"/>
        <v>4</v>
      </c>
      <c r="D533" s="22">
        <v>0</v>
      </c>
      <c r="E533" s="12">
        <f>E525</f>
        <v>0</v>
      </c>
      <c r="F533" s="2" t="str">
        <f t="shared" si="95"/>
        <v xml:space="preserve"> </v>
      </c>
      <c r="G533" s="120" t="str">
        <f t="shared" si="100"/>
        <v xml:space="preserve"> </v>
      </c>
      <c r="H533" s="78" t="str">
        <f t="shared" si="101"/>
        <v xml:space="preserve"> </v>
      </c>
      <c r="I533" s="227" t="str">
        <f t="shared" si="102"/>
        <v xml:space="preserve"> </v>
      </c>
      <c r="J533" s="695" t="str">
        <f t="shared" si="103"/>
        <v xml:space="preserve"> </v>
      </c>
      <c r="K533" s="695" t="str">
        <f t="shared" si="104"/>
        <v xml:space="preserve"> </v>
      </c>
      <c r="L533" s="227" t="str">
        <f t="shared" si="105"/>
        <v xml:space="preserve"> </v>
      </c>
      <c r="M533" s="1199"/>
      <c r="N533" s="717" t="str">
        <f t="shared" si="106"/>
        <v xml:space="preserve"> </v>
      </c>
      <c r="O533" s="728" t="str">
        <f t="shared" si="107"/>
        <v xml:space="preserve"> </v>
      </c>
      <c r="P533" s="732" t="str">
        <f t="shared" si="96"/>
        <v xml:space="preserve"> </v>
      </c>
      <c r="Q533" s="626" t="str">
        <f t="shared" si="97"/>
        <v xml:space="preserve"> </v>
      </c>
      <c r="R533" s="1199"/>
      <c r="S533" s="723" t="str">
        <f t="shared" si="108"/>
        <v xml:space="preserve"> </v>
      </c>
      <c r="Y533" s="626"/>
    </row>
    <row r="534" spans="1:25" s="426" customFormat="1" x14ac:dyDescent="0.25">
      <c r="A534" s="12">
        <f t="shared" si="98"/>
        <v>0</v>
      </c>
      <c r="B534" s="506" t="str">
        <f t="shared" si="94"/>
        <v>0412</v>
      </c>
      <c r="C534" s="12">
        <f t="shared" si="99"/>
        <v>4</v>
      </c>
      <c r="D534" s="22">
        <v>0</v>
      </c>
      <c r="E534" s="12">
        <f>E525*2</f>
        <v>0</v>
      </c>
      <c r="F534" s="2" t="str">
        <f t="shared" si="95"/>
        <v xml:space="preserve"> </v>
      </c>
      <c r="G534" s="120" t="str">
        <f t="shared" si="100"/>
        <v xml:space="preserve"> </v>
      </c>
      <c r="H534" s="78" t="str">
        <f t="shared" si="101"/>
        <v xml:space="preserve"> </v>
      </c>
      <c r="I534" s="227" t="str">
        <f t="shared" si="102"/>
        <v xml:space="preserve"> </v>
      </c>
      <c r="J534" s="695" t="str">
        <f t="shared" si="103"/>
        <v xml:space="preserve"> </v>
      </c>
      <c r="K534" s="695" t="str">
        <f t="shared" si="104"/>
        <v xml:space="preserve"> </v>
      </c>
      <c r="L534" s="227" t="str">
        <f t="shared" si="105"/>
        <v xml:space="preserve"> </v>
      </c>
      <c r="M534" s="1199"/>
      <c r="N534" s="717" t="str">
        <f t="shared" si="106"/>
        <v xml:space="preserve"> </v>
      </c>
      <c r="O534" s="728" t="str">
        <f t="shared" si="107"/>
        <v xml:space="preserve"> </v>
      </c>
      <c r="P534" s="732" t="str">
        <f t="shared" si="96"/>
        <v xml:space="preserve"> </v>
      </c>
      <c r="Q534" s="626" t="str">
        <f t="shared" si="97"/>
        <v xml:space="preserve"> </v>
      </c>
      <c r="R534" s="1199"/>
      <c r="S534" s="723" t="str">
        <f t="shared" si="108"/>
        <v xml:space="preserve"> </v>
      </c>
      <c r="Y534" s="626"/>
    </row>
    <row r="535" spans="1:25" s="426" customFormat="1" x14ac:dyDescent="0.25">
      <c r="A535" s="28">
        <v>0</v>
      </c>
      <c r="B535" s="506" t="str">
        <f t="shared" si="94"/>
        <v>0427</v>
      </c>
      <c r="C535" s="12">
        <f t="shared" si="99"/>
        <v>0</v>
      </c>
      <c r="D535" s="22">
        <v>0</v>
      </c>
      <c r="E535" s="28">
        <v>0</v>
      </c>
      <c r="F535" s="2" t="str">
        <f t="shared" si="95"/>
        <v xml:space="preserve"> </v>
      </c>
      <c r="G535" s="120" t="str">
        <f t="shared" si="100"/>
        <v xml:space="preserve"> </v>
      </c>
      <c r="H535" s="78" t="str">
        <f t="shared" si="101"/>
        <v xml:space="preserve"> </v>
      </c>
      <c r="I535" s="227" t="str">
        <f t="shared" si="102"/>
        <v xml:space="preserve"> </v>
      </c>
      <c r="J535" s="695" t="str">
        <f t="shared" si="103"/>
        <v xml:space="preserve"> </v>
      </c>
      <c r="K535" s="695" t="str">
        <f t="shared" si="104"/>
        <v xml:space="preserve"> </v>
      </c>
      <c r="L535" s="227" t="str">
        <f t="shared" si="105"/>
        <v xml:space="preserve"> </v>
      </c>
      <c r="M535" s="1199"/>
      <c r="N535" s="717" t="str">
        <f t="shared" si="106"/>
        <v xml:space="preserve"> </v>
      </c>
      <c r="O535" s="728" t="str">
        <f t="shared" si="107"/>
        <v xml:space="preserve"> </v>
      </c>
      <c r="P535" s="732" t="str">
        <f t="shared" si="96"/>
        <v xml:space="preserve"> </v>
      </c>
      <c r="Q535" s="626" t="str">
        <f t="shared" si="97"/>
        <v xml:space="preserve"> </v>
      </c>
      <c r="R535" s="1199"/>
      <c r="S535" s="723" t="str">
        <f t="shared" si="108"/>
        <v xml:space="preserve"> </v>
      </c>
      <c r="Y535" s="626"/>
    </row>
    <row r="536" spans="1:25" s="426" customFormat="1" x14ac:dyDescent="0.25">
      <c r="A536" s="28">
        <v>0</v>
      </c>
      <c r="B536" s="506" t="str">
        <f t="shared" si="94"/>
        <v>0421</v>
      </c>
      <c r="C536" s="12">
        <f t="shared" si="99"/>
        <v>0</v>
      </c>
      <c r="D536" s="22">
        <v>0</v>
      </c>
      <c r="E536" s="28">
        <v>0</v>
      </c>
      <c r="F536" s="2" t="str">
        <f t="shared" si="95"/>
        <v xml:space="preserve"> </v>
      </c>
      <c r="G536" s="120" t="str">
        <f t="shared" si="100"/>
        <v xml:space="preserve"> </v>
      </c>
      <c r="H536" s="78" t="str">
        <f t="shared" si="101"/>
        <v xml:space="preserve"> </v>
      </c>
      <c r="I536" s="227" t="str">
        <f t="shared" si="102"/>
        <v xml:space="preserve"> </v>
      </c>
      <c r="J536" s="695" t="str">
        <f t="shared" si="103"/>
        <v xml:space="preserve"> </v>
      </c>
      <c r="K536" s="695" t="str">
        <f t="shared" si="104"/>
        <v xml:space="preserve"> </v>
      </c>
      <c r="L536" s="227" t="str">
        <f t="shared" si="105"/>
        <v xml:space="preserve"> </v>
      </c>
      <c r="M536" s="1199"/>
      <c r="N536" s="717" t="str">
        <f t="shared" si="106"/>
        <v xml:space="preserve"> </v>
      </c>
      <c r="O536" s="728" t="str">
        <f t="shared" si="107"/>
        <v xml:space="preserve"> </v>
      </c>
      <c r="P536" s="732" t="str">
        <f t="shared" si="96"/>
        <v xml:space="preserve"> </v>
      </c>
      <c r="Q536" s="626" t="str">
        <f t="shared" si="97"/>
        <v xml:space="preserve"> </v>
      </c>
      <c r="R536" s="1199"/>
      <c r="S536" s="723" t="str">
        <f t="shared" si="108"/>
        <v xml:space="preserve"> </v>
      </c>
      <c r="Y536" s="626"/>
    </row>
    <row r="537" spans="1:25" s="426" customFormat="1" x14ac:dyDescent="0.25">
      <c r="A537" s="28">
        <v>0</v>
      </c>
      <c r="B537" s="506" t="str">
        <f t="shared" si="94"/>
        <v>0422</v>
      </c>
      <c r="C537" s="12">
        <f t="shared" si="99"/>
        <v>0</v>
      </c>
      <c r="D537" s="22">
        <v>0</v>
      </c>
      <c r="E537" s="28">
        <v>0</v>
      </c>
      <c r="F537" s="2" t="str">
        <f t="shared" si="95"/>
        <v xml:space="preserve"> </v>
      </c>
      <c r="G537" s="120" t="str">
        <f t="shared" si="100"/>
        <v xml:space="preserve"> </v>
      </c>
      <c r="H537" s="78" t="str">
        <f t="shared" si="101"/>
        <v xml:space="preserve"> </v>
      </c>
      <c r="I537" s="227" t="str">
        <f t="shared" si="102"/>
        <v xml:space="preserve"> </v>
      </c>
      <c r="J537" s="695" t="str">
        <f t="shared" si="103"/>
        <v xml:space="preserve"> </v>
      </c>
      <c r="K537" s="695" t="str">
        <f t="shared" si="104"/>
        <v xml:space="preserve"> </v>
      </c>
      <c r="L537" s="227" t="str">
        <f t="shared" si="105"/>
        <v xml:space="preserve"> </v>
      </c>
      <c r="M537" s="1199"/>
      <c r="N537" s="717" t="str">
        <f t="shared" si="106"/>
        <v xml:space="preserve"> </v>
      </c>
      <c r="O537" s="728" t="str">
        <f t="shared" si="107"/>
        <v xml:space="preserve"> </v>
      </c>
      <c r="P537" s="732" t="str">
        <f t="shared" si="96"/>
        <v xml:space="preserve"> </v>
      </c>
      <c r="Q537" s="626" t="str">
        <f t="shared" si="97"/>
        <v xml:space="preserve"> </v>
      </c>
      <c r="R537" s="1199"/>
      <c r="S537" s="723" t="str">
        <f t="shared" si="108"/>
        <v xml:space="preserve"> </v>
      </c>
      <c r="Y537" s="626"/>
    </row>
    <row r="538" spans="1:25" s="426" customFormat="1" x14ac:dyDescent="0.25">
      <c r="A538" s="12">
        <f t="shared" si="98"/>
        <v>0</v>
      </c>
      <c r="B538" s="506" t="str">
        <f t="shared" si="94"/>
        <v>0452</v>
      </c>
      <c r="C538" s="12">
        <f t="shared" si="99"/>
        <v>2</v>
      </c>
      <c r="D538" s="22">
        <v>0</v>
      </c>
      <c r="E538" s="28">
        <v>0</v>
      </c>
      <c r="F538" s="2" t="str">
        <f t="shared" si="95"/>
        <v xml:space="preserve"> </v>
      </c>
      <c r="G538" s="120" t="str">
        <f t="shared" si="100"/>
        <v xml:space="preserve"> </v>
      </c>
      <c r="H538" s="78" t="str">
        <f t="shared" si="101"/>
        <v xml:space="preserve"> </v>
      </c>
      <c r="I538" s="227" t="str">
        <f t="shared" si="102"/>
        <v xml:space="preserve"> </v>
      </c>
      <c r="J538" s="695" t="str">
        <f t="shared" si="103"/>
        <v xml:space="preserve"> </v>
      </c>
      <c r="K538" s="695" t="str">
        <f t="shared" si="104"/>
        <v xml:space="preserve"> </v>
      </c>
      <c r="L538" s="227" t="str">
        <f t="shared" si="105"/>
        <v xml:space="preserve"> </v>
      </c>
      <c r="M538" s="1199"/>
      <c r="N538" s="717" t="str">
        <f t="shared" si="106"/>
        <v xml:space="preserve"> </v>
      </c>
      <c r="O538" s="728" t="str">
        <f t="shared" si="107"/>
        <v xml:space="preserve"> </v>
      </c>
      <c r="P538" s="732" t="str">
        <f t="shared" si="96"/>
        <v xml:space="preserve"> </v>
      </c>
      <c r="Q538" s="626" t="str">
        <f t="shared" si="97"/>
        <v xml:space="preserve"> </v>
      </c>
      <c r="R538" s="1199"/>
      <c r="S538" s="723" t="str">
        <f t="shared" si="108"/>
        <v xml:space="preserve"> </v>
      </c>
      <c r="Y538" s="626"/>
    </row>
    <row r="539" spans="1:25" s="426" customFormat="1" x14ac:dyDescent="0.25">
      <c r="A539" s="12">
        <f t="shared" si="98"/>
        <v>0</v>
      </c>
      <c r="B539" s="506" t="str">
        <f t="shared" si="94"/>
        <v>0501</v>
      </c>
      <c r="C539" s="12">
        <f t="shared" si="99"/>
        <v>4</v>
      </c>
      <c r="D539" s="2">
        <f>D525</f>
        <v>0</v>
      </c>
      <c r="E539" s="28">
        <v>0</v>
      </c>
      <c r="F539" s="2" t="str">
        <f t="shared" si="95"/>
        <v xml:space="preserve"> </v>
      </c>
      <c r="G539" s="120" t="str">
        <f t="shared" si="100"/>
        <v xml:space="preserve"> </v>
      </c>
      <c r="H539" s="78" t="str">
        <f t="shared" si="101"/>
        <v xml:space="preserve"> </v>
      </c>
      <c r="I539" s="227" t="str">
        <f t="shared" si="102"/>
        <v xml:space="preserve"> </v>
      </c>
      <c r="J539" s="695" t="str">
        <f t="shared" si="103"/>
        <v xml:space="preserve"> </v>
      </c>
      <c r="K539" s="695" t="str">
        <f t="shared" si="104"/>
        <v xml:space="preserve"> </v>
      </c>
      <c r="L539" s="227" t="str">
        <f t="shared" si="105"/>
        <v xml:space="preserve"> </v>
      </c>
      <c r="M539" s="1199"/>
      <c r="N539" s="717" t="str">
        <f t="shared" si="106"/>
        <v xml:space="preserve"> </v>
      </c>
      <c r="O539" s="728" t="str">
        <f t="shared" si="107"/>
        <v xml:space="preserve"> </v>
      </c>
      <c r="P539" s="732" t="str">
        <f t="shared" si="96"/>
        <v xml:space="preserve"> </v>
      </c>
      <c r="Q539" s="626" t="str">
        <f t="shared" si="97"/>
        <v xml:space="preserve"> </v>
      </c>
      <c r="R539" s="1199"/>
      <c r="S539" s="723" t="str">
        <f t="shared" si="108"/>
        <v xml:space="preserve"> </v>
      </c>
      <c r="Y539" s="626"/>
    </row>
    <row r="540" spans="1:25" s="426" customFormat="1" x14ac:dyDescent="0.25">
      <c r="A540" s="12">
        <f t="shared" si="98"/>
        <v>0</v>
      </c>
      <c r="B540" s="506" t="str">
        <f t="shared" si="94"/>
        <v>0401</v>
      </c>
      <c r="C540" s="12">
        <f t="shared" si="99"/>
        <v>4</v>
      </c>
      <c r="D540" s="22">
        <v>0</v>
      </c>
      <c r="E540" s="12">
        <f>E525*2</f>
        <v>0</v>
      </c>
      <c r="F540" s="2" t="str">
        <f t="shared" si="95"/>
        <v xml:space="preserve"> </v>
      </c>
      <c r="G540" s="120" t="str">
        <f t="shared" si="100"/>
        <v xml:space="preserve"> </v>
      </c>
      <c r="H540" s="78" t="str">
        <f t="shared" si="101"/>
        <v xml:space="preserve"> </v>
      </c>
      <c r="I540" s="227" t="str">
        <f t="shared" si="102"/>
        <v xml:space="preserve"> </v>
      </c>
      <c r="J540" s="695" t="str">
        <f t="shared" si="103"/>
        <v xml:space="preserve"> </v>
      </c>
      <c r="K540" s="695" t="str">
        <f t="shared" si="104"/>
        <v xml:space="preserve"> </v>
      </c>
      <c r="L540" s="227" t="str">
        <f t="shared" si="105"/>
        <v xml:space="preserve"> </v>
      </c>
      <c r="M540" s="1199"/>
      <c r="N540" s="717" t="str">
        <f t="shared" si="106"/>
        <v xml:space="preserve"> </v>
      </c>
      <c r="O540" s="728" t="str">
        <f t="shared" si="107"/>
        <v xml:space="preserve"> </v>
      </c>
      <c r="P540" s="732" t="str">
        <f t="shared" si="96"/>
        <v xml:space="preserve"> </v>
      </c>
      <c r="Q540" s="626" t="str">
        <f t="shared" si="97"/>
        <v xml:space="preserve"> </v>
      </c>
      <c r="R540" s="1199"/>
      <c r="S540" s="723" t="str">
        <f t="shared" si="108"/>
        <v xml:space="preserve"> </v>
      </c>
      <c r="Y540" s="626"/>
    </row>
    <row r="541" spans="1:25" s="426" customFormat="1" x14ac:dyDescent="0.25">
      <c r="A541" s="12">
        <f t="shared" si="98"/>
        <v>0</v>
      </c>
      <c r="B541" s="506" t="str">
        <f t="shared" si="94"/>
        <v>0471</v>
      </c>
      <c r="C541" s="12">
        <f t="shared" si="99"/>
        <v>0</v>
      </c>
      <c r="D541" s="22">
        <v>0</v>
      </c>
      <c r="E541" s="28">
        <v>0</v>
      </c>
      <c r="F541" s="2" t="str">
        <f t="shared" si="95"/>
        <v xml:space="preserve"> </v>
      </c>
      <c r="G541" s="120" t="str">
        <f t="shared" si="100"/>
        <v xml:space="preserve"> </v>
      </c>
      <c r="H541" s="78" t="str">
        <f t="shared" si="101"/>
        <v xml:space="preserve"> </v>
      </c>
      <c r="I541" s="227" t="str">
        <f t="shared" si="102"/>
        <v xml:space="preserve"> </v>
      </c>
      <c r="J541" s="695" t="str">
        <f t="shared" si="103"/>
        <v xml:space="preserve"> </v>
      </c>
      <c r="K541" s="695" t="str">
        <f t="shared" si="104"/>
        <v xml:space="preserve"> </v>
      </c>
      <c r="L541" s="227" t="str">
        <f t="shared" si="105"/>
        <v xml:space="preserve"> </v>
      </c>
      <c r="M541" s="1199"/>
      <c r="N541" s="717" t="str">
        <f t="shared" si="106"/>
        <v xml:space="preserve"> </v>
      </c>
      <c r="O541" s="728" t="str">
        <f t="shared" si="107"/>
        <v xml:space="preserve"> </v>
      </c>
      <c r="P541" s="732" t="str">
        <f t="shared" si="96"/>
        <v xml:space="preserve"> </v>
      </c>
      <c r="Q541" s="626" t="str">
        <f t="shared" si="97"/>
        <v xml:space="preserve"> </v>
      </c>
      <c r="R541" s="1199"/>
      <c r="S541" s="723" t="str">
        <f t="shared" si="108"/>
        <v xml:space="preserve"> </v>
      </c>
      <c r="Y541" s="626"/>
    </row>
    <row r="542" spans="1:25" s="426" customFormat="1" x14ac:dyDescent="0.25">
      <c r="A542" s="12">
        <f t="shared" si="98"/>
        <v>0</v>
      </c>
      <c r="B542" s="506" t="str">
        <f t="shared" si="94"/>
        <v>0933</v>
      </c>
      <c r="C542" s="12">
        <f t="shared" si="99"/>
        <v>0</v>
      </c>
      <c r="D542" s="707">
        <v>0</v>
      </c>
      <c r="E542" s="690">
        <v>0</v>
      </c>
      <c r="F542" s="426" t="str">
        <f t="shared" si="95"/>
        <v xml:space="preserve"> </v>
      </c>
      <c r="G542" s="120" t="str">
        <f t="shared" si="100"/>
        <v xml:space="preserve"> </v>
      </c>
      <c r="H542" s="78" t="str">
        <f t="shared" si="101"/>
        <v xml:space="preserve"> </v>
      </c>
      <c r="I542" s="227" t="str">
        <f t="shared" si="102"/>
        <v xml:space="preserve"> </v>
      </c>
      <c r="J542" s="695" t="str">
        <f t="shared" si="103"/>
        <v xml:space="preserve"> </v>
      </c>
      <c r="K542" s="695" t="str">
        <f t="shared" si="104"/>
        <v xml:space="preserve"> </v>
      </c>
      <c r="L542" s="227" t="str">
        <f t="shared" si="105"/>
        <v xml:space="preserve"> </v>
      </c>
      <c r="M542" s="1199"/>
      <c r="N542" s="717" t="str">
        <f t="shared" si="106"/>
        <v xml:space="preserve"> </v>
      </c>
      <c r="O542" s="728" t="str">
        <f t="shared" si="107"/>
        <v xml:space="preserve"> </v>
      </c>
      <c r="P542" s="732" t="str">
        <f t="shared" si="96"/>
        <v xml:space="preserve"> </v>
      </c>
      <c r="Q542" s="626" t="str">
        <f t="shared" si="97"/>
        <v xml:space="preserve"> </v>
      </c>
      <c r="R542" s="1199"/>
      <c r="S542" s="723" t="str">
        <f t="shared" si="108"/>
        <v xml:space="preserve"> </v>
      </c>
      <c r="Y542" s="626"/>
    </row>
    <row r="543" spans="1:25" s="426" customFormat="1" x14ac:dyDescent="0.25">
      <c r="A543" s="12">
        <f t="shared" si="98"/>
        <v>0</v>
      </c>
      <c r="B543" s="506" t="str">
        <f t="shared" si="94"/>
        <v>0701</v>
      </c>
      <c r="C543" s="12">
        <f t="shared" si="99"/>
        <v>0</v>
      </c>
      <c r="D543" s="707">
        <v>0</v>
      </c>
      <c r="E543" s="690">
        <v>0</v>
      </c>
      <c r="F543" s="426" t="str">
        <f t="shared" si="95"/>
        <v xml:space="preserve"> </v>
      </c>
      <c r="G543" s="120" t="str">
        <f t="shared" si="100"/>
        <v xml:space="preserve"> </v>
      </c>
      <c r="H543" s="78" t="str">
        <f t="shared" si="101"/>
        <v xml:space="preserve"> </v>
      </c>
      <c r="I543" s="227" t="str">
        <f t="shared" si="102"/>
        <v xml:space="preserve"> </v>
      </c>
      <c r="J543" s="695" t="str">
        <f t="shared" si="103"/>
        <v xml:space="preserve"> </v>
      </c>
      <c r="K543" s="695" t="str">
        <f t="shared" si="104"/>
        <v xml:space="preserve"> </v>
      </c>
      <c r="L543" s="227" t="str">
        <f t="shared" si="105"/>
        <v xml:space="preserve"> </v>
      </c>
      <c r="M543" s="1199"/>
      <c r="N543" s="717" t="str">
        <f t="shared" si="106"/>
        <v xml:space="preserve"> </v>
      </c>
      <c r="O543" s="728" t="str">
        <f t="shared" si="107"/>
        <v xml:space="preserve"> </v>
      </c>
      <c r="P543" s="732" t="str">
        <f t="shared" si="96"/>
        <v xml:space="preserve"> </v>
      </c>
      <c r="Q543" s="626" t="str">
        <f t="shared" si="97"/>
        <v xml:space="preserve"> </v>
      </c>
      <c r="R543" s="1199"/>
      <c r="S543" s="723" t="str">
        <f t="shared" si="108"/>
        <v xml:space="preserve"> </v>
      </c>
      <c r="Y543" s="626"/>
    </row>
    <row r="544" spans="1:25" s="426" customFormat="1" x14ac:dyDescent="0.25">
      <c r="A544" s="12">
        <f t="shared" si="98"/>
        <v>0</v>
      </c>
      <c r="B544" s="506">
        <f t="shared" si="94"/>
        <v>0</v>
      </c>
      <c r="C544" s="12">
        <f t="shared" si="99"/>
        <v>0</v>
      </c>
      <c r="D544" s="707">
        <v>0</v>
      </c>
      <c r="E544" s="690">
        <v>0</v>
      </c>
      <c r="F544" s="426" t="str">
        <f t="shared" si="95"/>
        <v xml:space="preserve"> </v>
      </c>
      <c r="G544" s="120" t="str">
        <f t="shared" si="100"/>
        <v xml:space="preserve"> </v>
      </c>
      <c r="H544" s="78" t="str">
        <f t="shared" si="101"/>
        <v xml:space="preserve"> </v>
      </c>
      <c r="I544" s="227" t="str">
        <f t="shared" si="102"/>
        <v xml:space="preserve"> </v>
      </c>
      <c r="J544" s="695" t="str">
        <f t="shared" si="103"/>
        <v xml:space="preserve"> </v>
      </c>
      <c r="K544" s="695" t="str">
        <f t="shared" si="104"/>
        <v xml:space="preserve"> </v>
      </c>
      <c r="L544" s="227" t="str">
        <f t="shared" si="105"/>
        <v xml:space="preserve"> </v>
      </c>
      <c r="M544" s="1199"/>
      <c r="N544" s="717" t="str">
        <f t="shared" si="106"/>
        <v xml:space="preserve"> </v>
      </c>
      <c r="O544" s="728" t="str">
        <f t="shared" si="107"/>
        <v xml:space="preserve"> </v>
      </c>
      <c r="P544" s="732" t="str">
        <f t="shared" si="96"/>
        <v xml:space="preserve"> </v>
      </c>
      <c r="Q544" s="626" t="str">
        <f t="shared" si="97"/>
        <v xml:space="preserve"> </v>
      </c>
      <c r="R544" s="1199"/>
      <c r="S544" s="723" t="str">
        <f t="shared" si="108"/>
        <v xml:space="preserve"> </v>
      </c>
      <c r="Y544" s="626"/>
    </row>
    <row r="545" spans="1:25" s="426" customFormat="1" x14ac:dyDescent="0.25">
      <c r="A545" s="12">
        <f t="shared" si="98"/>
        <v>0</v>
      </c>
      <c r="B545" s="506">
        <f t="shared" si="94"/>
        <v>0</v>
      </c>
      <c r="C545" s="12">
        <f t="shared" si="99"/>
        <v>0</v>
      </c>
      <c r="D545" s="707">
        <v>0</v>
      </c>
      <c r="E545" s="690">
        <v>0</v>
      </c>
      <c r="F545" s="426" t="str">
        <f t="shared" si="95"/>
        <v xml:space="preserve"> </v>
      </c>
      <c r="G545" s="120" t="str">
        <f t="shared" si="100"/>
        <v xml:space="preserve"> </v>
      </c>
      <c r="H545" s="78" t="str">
        <f t="shared" si="101"/>
        <v xml:space="preserve"> </v>
      </c>
      <c r="I545" s="227" t="str">
        <f t="shared" si="102"/>
        <v xml:space="preserve"> </v>
      </c>
      <c r="J545" s="695" t="str">
        <f t="shared" si="103"/>
        <v xml:space="preserve"> </v>
      </c>
      <c r="K545" s="695" t="str">
        <f t="shared" si="104"/>
        <v xml:space="preserve"> </v>
      </c>
      <c r="L545" s="227" t="str">
        <f t="shared" si="105"/>
        <v xml:space="preserve"> </v>
      </c>
      <c r="M545" s="1199"/>
      <c r="N545" s="717" t="str">
        <f t="shared" si="106"/>
        <v xml:space="preserve"> </v>
      </c>
      <c r="O545" s="728" t="str">
        <f t="shared" si="107"/>
        <v xml:space="preserve"> </v>
      </c>
      <c r="P545" s="732" t="str">
        <f t="shared" si="96"/>
        <v xml:space="preserve"> </v>
      </c>
      <c r="Q545" s="626" t="str">
        <f t="shared" si="97"/>
        <v xml:space="preserve"> </v>
      </c>
      <c r="R545" s="1199"/>
      <c r="S545" s="723" t="str">
        <f t="shared" si="108"/>
        <v xml:space="preserve"> </v>
      </c>
      <c r="Y545" s="626"/>
    </row>
    <row r="546" spans="1:25" s="426" customFormat="1" x14ac:dyDescent="0.25">
      <c r="A546" s="12">
        <f t="shared" si="98"/>
        <v>0</v>
      </c>
      <c r="B546" s="506">
        <f t="shared" si="94"/>
        <v>0</v>
      </c>
      <c r="C546" s="12">
        <f t="shared" si="99"/>
        <v>0</v>
      </c>
      <c r="D546" s="707">
        <v>0</v>
      </c>
      <c r="E546" s="690">
        <v>0</v>
      </c>
      <c r="F546" s="426" t="str">
        <f t="shared" si="95"/>
        <v xml:space="preserve"> </v>
      </c>
      <c r="G546" s="120" t="str">
        <f t="shared" si="100"/>
        <v xml:space="preserve"> </v>
      </c>
      <c r="H546" s="78" t="str">
        <f t="shared" si="101"/>
        <v xml:space="preserve"> </v>
      </c>
      <c r="I546" s="227" t="str">
        <f t="shared" si="102"/>
        <v xml:space="preserve"> </v>
      </c>
      <c r="J546" s="695" t="str">
        <f t="shared" si="103"/>
        <v xml:space="preserve"> </v>
      </c>
      <c r="K546" s="695" t="str">
        <f t="shared" si="104"/>
        <v xml:space="preserve"> </v>
      </c>
      <c r="L546" s="227" t="str">
        <f t="shared" si="105"/>
        <v xml:space="preserve"> </v>
      </c>
      <c r="M546" s="1199"/>
      <c r="N546" s="717" t="str">
        <f t="shared" si="106"/>
        <v xml:space="preserve"> </v>
      </c>
      <c r="O546" s="728" t="str">
        <f t="shared" si="107"/>
        <v xml:space="preserve"> </v>
      </c>
      <c r="P546" s="732" t="str">
        <f t="shared" si="96"/>
        <v xml:space="preserve"> </v>
      </c>
      <c r="Q546" s="626" t="str">
        <f t="shared" si="97"/>
        <v xml:space="preserve"> </v>
      </c>
      <c r="R546" s="1199"/>
      <c r="S546" s="723" t="str">
        <f t="shared" si="108"/>
        <v xml:space="preserve"> </v>
      </c>
      <c r="Y546" s="626"/>
    </row>
    <row r="547" spans="1:25" s="426" customFormat="1" x14ac:dyDescent="0.25">
      <c r="A547" s="12">
        <f t="shared" si="98"/>
        <v>0</v>
      </c>
      <c r="B547" s="506">
        <f t="shared" si="94"/>
        <v>0</v>
      </c>
      <c r="C547" s="12">
        <f t="shared" si="99"/>
        <v>0</v>
      </c>
      <c r="D547" s="707">
        <v>0</v>
      </c>
      <c r="E547" s="690">
        <v>0</v>
      </c>
      <c r="F547" s="426" t="str">
        <f t="shared" si="95"/>
        <v xml:space="preserve"> </v>
      </c>
      <c r="G547" s="120" t="str">
        <f t="shared" si="100"/>
        <v xml:space="preserve"> </v>
      </c>
      <c r="H547" s="78" t="str">
        <f t="shared" si="101"/>
        <v xml:space="preserve"> </v>
      </c>
      <c r="I547" s="227" t="str">
        <f t="shared" si="102"/>
        <v xml:space="preserve"> </v>
      </c>
      <c r="J547" s="695" t="str">
        <f t="shared" si="103"/>
        <v xml:space="preserve"> </v>
      </c>
      <c r="K547" s="695" t="str">
        <f t="shared" si="104"/>
        <v xml:space="preserve"> </v>
      </c>
      <c r="L547" s="227" t="str">
        <f t="shared" si="105"/>
        <v xml:space="preserve"> </v>
      </c>
      <c r="M547" s="1199"/>
      <c r="N547" s="717" t="str">
        <f t="shared" si="106"/>
        <v xml:space="preserve"> </v>
      </c>
      <c r="O547" s="728" t="str">
        <f t="shared" si="107"/>
        <v xml:space="preserve"> </v>
      </c>
      <c r="P547" s="732" t="str">
        <f t="shared" si="96"/>
        <v xml:space="preserve"> </v>
      </c>
      <c r="Q547" s="626" t="str">
        <f t="shared" si="97"/>
        <v xml:space="preserve"> </v>
      </c>
      <c r="R547" s="1199"/>
      <c r="S547" s="723" t="str">
        <f t="shared" si="108"/>
        <v xml:space="preserve"> </v>
      </c>
      <c r="Y547" s="626"/>
    </row>
    <row r="548" spans="1:25" s="426" customFormat="1" x14ac:dyDescent="0.25">
      <c r="A548" s="13">
        <f t="shared" si="98"/>
        <v>0</v>
      </c>
      <c r="B548" s="706">
        <f t="shared" si="94"/>
        <v>0</v>
      </c>
      <c r="C548" s="13">
        <f t="shared" si="99"/>
        <v>0</v>
      </c>
      <c r="D548" s="703">
        <v>0</v>
      </c>
      <c r="E548" s="644">
        <v>0</v>
      </c>
      <c r="F548" s="430" t="str">
        <f t="shared" si="95"/>
        <v xml:space="preserve"> </v>
      </c>
      <c r="G548" s="202" t="str">
        <f t="shared" si="100"/>
        <v xml:space="preserve"> </v>
      </c>
      <c r="H548" s="401" t="str">
        <f t="shared" si="101"/>
        <v xml:space="preserve"> </v>
      </c>
      <c r="I548" s="400" t="str">
        <f t="shared" si="102"/>
        <v xml:space="preserve"> </v>
      </c>
      <c r="J548" s="696" t="str">
        <f t="shared" si="103"/>
        <v xml:space="preserve"> </v>
      </c>
      <c r="K548" s="696" t="str">
        <f t="shared" si="104"/>
        <v xml:space="preserve"> </v>
      </c>
      <c r="L548" s="400" t="str">
        <f t="shared" si="105"/>
        <v xml:space="preserve"> </v>
      </c>
      <c r="M548" s="1200"/>
      <c r="N548" s="717" t="str">
        <f t="shared" si="106"/>
        <v xml:space="preserve"> </v>
      </c>
      <c r="O548" s="729" t="str">
        <f t="shared" si="107"/>
        <v xml:space="preserve"> </v>
      </c>
      <c r="P548" s="733" t="str">
        <f t="shared" si="96"/>
        <v xml:space="preserve"> </v>
      </c>
      <c r="Q548" s="651" t="str">
        <f t="shared" si="97"/>
        <v xml:space="preserve"> </v>
      </c>
      <c r="R548" s="1200"/>
      <c r="S548" s="722" t="str">
        <f t="shared" si="108"/>
        <v xml:space="preserve"> </v>
      </c>
      <c r="Y548" s="626"/>
    </row>
    <row r="549" spans="1:25" s="426" customFormat="1" ht="15.75" thickBot="1" x14ac:dyDescent="0.3">
      <c r="B549" s="2"/>
      <c r="L549" s="426" t="s">
        <v>763</v>
      </c>
      <c r="N549" s="718">
        <f>IF(SUM(A528:A548)&gt;0,VLOOKUP(1,A528:S548,14,FALSE)+AB513,0)</f>
        <v>12.9</v>
      </c>
      <c r="Q549" s="426" t="s">
        <v>763</v>
      </c>
      <c r="S549" s="724">
        <f>IF(AND(SUM(A528:A548)&gt;0,Q521=1),VLOOKUP(1,A528:S548,19,FALSE)+AB513,0)</f>
        <v>0</v>
      </c>
      <c r="Y549" s="626"/>
    </row>
    <row r="550" spans="1:25" s="426" customFormat="1" ht="12.75" x14ac:dyDescent="0.2">
      <c r="Y550" s="626"/>
    </row>
    <row r="551" spans="1:25" s="426" customFormat="1" ht="12.75" x14ac:dyDescent="0.2">
      <c r="Y551" s="626"/>
    </row>
    <row r="552" spans="1:25" s="426" customFormat="1" ht="12.75" x14ac:dyDescent="0.2">
      <c r="A552" s="626"/>
      <c r="B552" s="626"/>
      <c r="Y552" s="626"/>
    </row>
    <row r="553" spans="1:25" s="426" customFormat="1" ht="12.75" x14ac:dyDescent="0.2">
      <c r="A553" s="626">
        <f>A505</f>
        <v>0</v>
      </c>
      <c r="B553" s="426" t="s">
        <v>767</v>
      </c>
      <c r="C553" s="1179">
        <f>IF(A553&gt;0,A553*C505*D502,0)</f>
        <v>0</v>
      </c>
      <c r="Y553" s="626"/>
    </row>
    <row r="554" spans="1:25" s="426" customFormat="1" ht="12.75" x14ac:dyDescent="0.2">
      <c r="A554" s="626">
        <f>A506</f>
        <v>0</v>
      </c>
      <c r="B554" s="426" t="s">
        <v>770</v>
      </c>
      <c r="C554" s="635">
        <f>IF(A554&gt;0,A554*C506*D502,0)</f>
        <v>0</v>
      </c>
      <c r="Y554" s="626"/>
    </row>
    <row r="555" spans="1:25" s="426" customFormat="1" ht="12.75" x14ac:dyDescent="0.2">
      <c r="A555" s="626">
        <f>A507</f>
        <v>0</v>
      </c>
      <c r="B555" s="426" t="s">
        <v>771</v>
      </c>
      <c r="C555" s="635">
        <f>IF(A555&gt;0,A555*C507*D502,0)</f>
        <v>0</v>
      </c>
      <c r="Y555" s="626"/>
    </row>
    <row r="556" spans="1:25" s="426" customFormat="1" ht="12.75" x14ac:dyDescent="0.2">
      <c r="A556" s="626">
        <f>A508</f>
        <v>0</v>
      </c>
      <c r="B556" s="426" t="s">
        <v>768</v>
      </c>
      <c r="C556" s="635">
        <f>IF(A556&gt;0,A556*C508*D502,0)</f>
        <v>0</v>
      </c>
      <c r="Y556" s="626"/>
    </row>
    <row r="557" spans="1:25" s="426" customFormat="1" ht="12.75" x14ac:dyDescent="0.2">
      <c r="A557" s="626">
        <f>A509</f>
        <v>0</v>
      </c>
      <c r="B557" s="426" t="s">
        <v>769</v>
      </c>
      <c r="C557" s="635">
        <f>IF(A557&gt;0,A557*C509*D502,0)</f>
        <v>0</v>
      </c>
      <c r="Y557" s="626"/>
    </row>
    <row r="558" spans="1:25" s="426" customFormat="1" ht="12.75" x14ac:dyDescent="0.2">
      <c r="A558" s="626">
        <f>A553</f>
        <v>0</v>
      </c>
      <c r="B558" s="426" t="s">
        <v>1077</v>
      </c>
      <c r="C558" s="1178">
        <v>0</v>
      </c>
      <c r="D558" s="1182">
        <f>IF(A558=1,((C3*C510)/60)*D502,0)</f>
        <v>0</v>
      </c>
      <c r="Y558" s="626"/>
    </row>
    <row r="559" spans="1:25" s="426" customFormat="1" ht="12.75" x14ac:dyDescent="0.2">
      <c r="B559" s="615" t="s">
        <v>762</v>
      </c>
      <c r="C559" s="629">
        <f>SUM(C553:C558)</f>
        <v>0</v>
      </c>
      <c r="Y559" s="626"/>
    </row>
    <row r="560" spans="1:25" s="426" customFormat="1" ht="12.75" x14ac:dyDescent="0.2">
      <c r="Y560" s="626"/>
    </row>
    <row r="561" spans="1:25" s="426" customFormat="1" ht="12.75" x14ac:dyDescent="0.2">
      <c r="A561" s="626">
        <f>IF(C500=1,1,0)</f>
        <v>0</v>
      </c>
      <c r="B561" s="426" t="s">
        <v>1055</v>
      </c>
      <c r="C561" s="635">
        <f>IF(A561=1,(((N549+S549)*C518)/60)*D502,0)</f>
        <v>0</v>
      </c>
      <c r="Y561" s="626"/>
    </row>
    <row r="562" spans="1:25" s="426" customFormat="1" ht="12.75" x14ac:dyDescent="0.2">
      <c r="A562" s="626">
        <f>IF(AND(C500=1,W512=1),1,0)</f>
        <v>0</v>
      </c>
      <c r="B562" s="426" t="s">
        <v>1056</v>
      </c>
      <c r="C562" s="635">
        <f>IF(A562=1,(((N549+S549)*C518)/60)*T512,0)</f>
        <v>0</v>
      </c>
      <c r="Y562" s="626"/>
    </row>
    <row r="563" spans="1:25" s="426" customFormat="1" ht="12.75" x14ac:dyDescent="0.2">
      <c r="A563" s="626">
        <f>IF(SUM(A561:A562)&gt;0,1,0)</f>
        <v>0</v>
      </c>
      <c r="B563" s="615" t="s">
        <v>1054</v>
      </c>
      <c r="C563" s="1177">
        <f>IF(A563=1,SUM(C561:C562),0)</f>
        <v>0</v>
      </c>
      <c r="Y563" s="626"/>
    </row>
    <row r="564" spans="1:25" s="426" customFormat="1" ht="12.75" x14ac:dyDescent="0.2">
      <c r="Y564" s="626"/>
    </row>
    <row r="565" spans="1:25" s="430" customFormat="1" ht="12.75" x14ac:dyDescent="0.2">
      <c r="B565" s="678"/>
      <c r="Y565" s="651"/>
    </row>
    <row r="566" spans="1:25" s="426" customFormat="1" ht="12.75" x14ac:dyDescent="0.2">
      <c r="B566" s="615"/>
      <c r="Y566" s="626"/>
    </row>
    <row r="567" spans="1:25" s="426" customFormat="1" ht="13.5" thickBot="1" x14ac:dyDescent="0.25">
      <c r="B567" s="615"/>
      <c r="D567" s="626" t="s">
        <v>674</v>
      </c>
      <c r="Y567" s="626"/>
    </row>
    <row r="568" spans="1:25" s="426" customFormat="1" ht="13.5" thickBot="1" x14ac:dyDescent="0.25">
      <c r="B568" s="641" t="s">
        <v>662</v>
      </c>
      <c r="C568" s="643">
        <f>J365</f>
        <v>0</v>
      </c>
      <c r="D568" s="1176">
        <f>IF(C568=1,C621+C624,0)</f>
        <v>0</v>
      </c>
      <c r="Y568" s="626"/>
    </row>
    <row r="569" spans="1:25" s="426" customFormat="1" ht="12.75" x14ac:dyDescent="0.2">
      <c r="B569" s="615"/>
      <c r="M569" s="996"/>
      <c r="Y569" s="626"/>
    </row>
    <row r="570" spans="1:25" s="426" customFormat="1" ht="12.75" x14ac:dyDescent="0.2">
      <c r="B570" s="426" t="s">
        <v>756</v>
      </c>
      <c r="C570" s="699">
        <f>'Tarieven (3)'!C8</f>
        <v>125</v>
      </c>
      <c r="D570" s="697">
        <f>C570/60</f>
        <v>2.0833333333333335</v>
      </c>
      <c r="Y570" s="626"/>
    </row>
    <row r="571" spans="1:25" s="426" customFormat="1" x14ac:dyDescent="0.25">
      <c r="B571" s="426" t="s">
        <v>757</v>
      </c>
      <c r="C571" s="700">
        <f>'Tarieven (3)'!C12</f>
        <v>37</v>
      </c>
      <c r="D571" s="698">
        <f>C571/60</f>
        <v>0.6166666666666667</v>
      </c>
      <c r="L571" s="77" t="s">
        <v>1034</v>
      </c>
      <c r="M571"/>
      <c r="N571"/>
      <c r="O571"/>
      <c r="P571"/>
      <c r="Q571"/>
      <c r="R571"/>
      <c r="S571"/>
      <c r="U571" s="426" t="s">
        <v>1075</v>
      </c>
      <c r="Y571" s="626"/>
    </row>
    <row r="572" spans="1:25" s="426" customFormat="1" x14ac:dyDescent="0.25">
      <c r="C572" s="704"/>
      <c r="D572" s="704"/>
      <c r="L572"/>
      <c r="M572"/>
      <c r="N572"/>
      <c r="O572"/>
      <c r="P572"/>
      <c r="Q572"/>
      <c r="R572"/>
      <c r="S572"/>
      <c r="U572" s="1103"/>
      <c r="V572" s="1047" t="s">
        <v>1076</v>
      </c>
      <c r="W572" s="1047" t="s">
        <v>801</v>
      </c>
      <c r="Y572" s="626"/>
    </row>
    <row r="573" spans="1:25" s="426" customFormat="1" x14ac:dyDescent="0.25">
      <c r="C573" s="704"/>
      <c r="D573" s="704"/>
      <c r="L573" s="77" t="s">
        <v>1035</v>
      </c>
      <c r="M573" s="1035">
        <v>1000</v>
      </c>
      <c r="N573" s="77" t="s">
        <v>25</v>
      </c>
      <c r="O573"/>
      <c r="P573"/>
      <c r="Q573"/>
      <c r="R573"/>
      <c r="S573"/>
      <c r="U573" s="1108">
        <f>IF($C$582=V573,1," ")</f>
        <v>1</v>
      </c>
      <c r="V573" s="150">
        <v>1</v>
      </c>
      <c r="W573" s="1106">
        <v>1</v>
      </c>
      <c r="Y573" s="626"/>
    </row>
    <row r="574" spans="1:25" s="426" customFormat="1" x14ac:dyDescent="0.25">
      <c r="A574" s="426" t="s">
        <v>61</v>
      </c>
      <c r="B574" s="426" t="s">
        <v>679</v>
      </c>
      <c r="C574" s="636" t="s">
        <v>680</v>
      </c>
      <c r="D574" s="635"/>
      <c r="G574" s="638">
        <v>0.15</v>
      </c>
      <c r="L574" s="77" t="s">
        <v>941</v>
      </c>
      <c r="M574" s="1081">
        <f>CEILING(M573/M575,1)</f>
        <v>334</v>
      </c>
      <c r="N574" s="77" t="s">
        <v>26</v>
      </c>
      <c r="O574"/>
      <c r="P574"/>
      <c r="Q574"/>
      <c r="R574"/>
      <c r="S574"/>
      <c r="U574" s="725" t="str">
        <f t="shared" ref="U574:U576" si="109">IF($C$582=V574,1," ")</f>
        <v xml:space="preserve"> </v>
      </c>
      <c r="V574" s="150">
        <v>2</v>
      </c>
      <c r="W574" s="1106">
        <v>1.4</v>
      </c>
      <c r="Y574" s="626"/>
    </row>
    <row r="575" spans="1:25" s="426" customFormat="1" x14ac:dyDescent="0.25">
      <c r="A575" s="626">
        <f>IF(C568=1,1,0)</f>
        <v>0</v>
      </c>
      <c r="B575" s="426" t="s">
        <v>759</v>
      </c>
      <c r="C575" s="637">
        <v>7</v>
      </c>
      <c r="D575" s="426" t="s">
        <v>683</v>
      </c>
      <c r="G575" s="708" t="s">
        <v>777</v>
      </c>
      <c r="H575" s="719" t="s">
        <v>778</v>
      </c>
      <c r="I575" s="719" t="s">
        <v>779</v>
      </c>
      <c r="L575" s="77" t="s">
        <v>895</v>
      </c>
      <c r="M575">
        <f>F145</f>
        <v>3</v>
      </c>
      <c r="N575"/>
      <c r="O575"/>
      <c r="P575"/>
      <c r="Q575"/>
      <c r="R575"/>
      <c r="S575"/>
      <c r="U575" s="725" t="str">
        <f t="shared" si="109"/>
        <v xml:space="preserve"> </v>
      </c>
      <c r="V575" s="150">
        <v>3</v>
      </c>
      <c r="W575" s="1106">
        <v>1.75</v>
      </c>
      <c r="Y575" s="626"/>
    </row>
    <row r="576" spans="1:25" s="426" customFormat="1" ht="15.75" thickBot="1" x14ac:dyDescent="0.3">
      <c r="A576" s="626">
        <f>IF(AND(C568=1,SUM(D591:E591)&gt;0),1,0)</f>
        <v>0</v>
      </c>
      <c r="B576" s="426" t="s">
        <v>760</v>
      </c>
      <c r="C576" s="705">
        <v>10</v>
      </c>
      <c r="D576" s="426" t="s">
        <v>683</v>
      </c>
      <c r="G576" s="725">
        <f>MAX(B445,H445)</f>
        <v>1800</v>
      </c>
      <c r="H576" s="145">
        <f>C582*C583</f>
        <v>1</v>
      </c>
      <c r="I576" s="145">
        <f>H576*G576</f>
        <v>1800</v>
      </c>
      <c r="L576"/>
      <c r="M576"/>
      <c r="N576"/>
      <c r="O576"/>
      <c r="P576"/>
      <c r="Q576"/>
      <c r="R576"/>
      <c r="S576"/>
      <c r="U576" s="658" t="str">
        <f t="shared" si="109"/>
        <v xml:space="preserve"> </v>
      </c>
      <c r="V576" s="145">
        <v>4</v>
      </c>
      <c r="W576" s="1107">
        <v>2.25</v>
      </c>
      <c r="Y576" s="626"/>
    </row>
    <row r="577" spans="1:25" s="426" customFormat="1" x14ac:dyDescent="0.25">
      <c r="A577" s="626">
        <f>IF(AND(C568=1,SUM(D591:E591)&gt;0),1,0)</f>
        <v>0</v>
      </c>
      <c r="B577" s="426" t="s">
        <v>761</v>
      </c>
      <c r="C577" s="705">
        <v>5</v>
      </c>
      <c r="D577" s="426" t="s">
        <v>683</v>
      </c>
      <c r="G577" s="735" t="s">
        <v>782</v>
      </c>
      <c r="H577" s="710" t="s">
        <v>781</v>
      </c>
      <c r="I577" s="713" t="s">
        <v>780</v>
      </c>
      <c r="L577" s="1020"/>
      <c r="M577" s="1082" t="s">
        <v>26</v>
      </c>
      <c r="N577" s="1021" t="s">
        <v>1036</v>
      </c>
      <c r="O577" s="1082" t="s">
        <v>1037</v>
      </c>
      <c r="P577" s="1021" t="s">
        <v>1038</v>
      </c>
      <c r="Q577" s="1082" t="s">
        <v>1039</v>
      </c>
      <c r="R577" s="1021" t="s">
        <v>1040</v>
      </c>
      <c r="S577"/>
      <c r="U577" s="1105"/>
      <c r="V577" s="1104"/>
      <c r="W577" s="1048">
        <f>VLOOKUP(1,U573:W576,3,FALSE)</f>
        <v>1</v>
      </c>
      <c r="Y577" s="626"/>
    </row>
    <row r="578" spans="1:25" s="426" customFormat="1" ht="15.75" thickBot="1" x14ac:dyDescent="0.3">
      <c r="B578" s="426" t="s">
        <v>1001</v>
      </c>
      <c r="C578" s="1034" t="str">
        <f>AW46</f>
        <v>0,2</v>
      </c>
      <c r="D578" s="704" t="s">
        <v>1002</v>
      </c>
      <c r="G578" s="736">
        <f>IF(CEILING((H578*G574)+H578,1)&lt;=G576,CEILING((H578*G574)+H578,1),G576)</f>
        <v>1800</v>
      </c>
      <c r="H578" s="702">
        <f>CEILING(I578/H576,1)</f>
        <v>1800</v>
      </c>
      <c r="I578" s="145">
        <f>C3</f>
        <v>1800</v>
      </c>
      <c r="L578" s="339" t="s">
        <v>1043</v>
      </c>
      <c r="M578" s="407">
        <f>C586</f>
        <v>1800</v>
      </c>
      <c r="N578" s="12">
        <f>FLOOR(M578/M574,1)</f>
        <v>5</v>
      </c>
      <c r="O578" s="2">
        <f>IF(N578=0,M578*M575,(M578-(N578*M574))*M575)</f>
        <v>390</v>
      </c>
      <c r="P578" s="12">
        <f>N578*Q583</f>
        <v>0.70000000000000007</v>
      </c>
      <c r="Q578" s="2">
        <f>IF(O578=0,0,HLOOKUP(1,M582:Q583,2,FALSE))</f>
        <v>0.08</v>
      </c>
      <c r="R578" s="12">
        <f>SUM(P578:Q578)</f>
        <v>0.78</v>
      </c>
      <c r="S578" s="77" t="s">
        <v>1041</v>
      </c>
      <c r="Y578" s="626"/>
    </row>
    <row r="579" spans="1:25" s="426" customFormat="1" x14ac:dyDescent="0.25">
      <c r="C579" s="737"/>
      <c r="L579" s="341"/>
      <c r="M579" s="965"/>
      <c r="N579" s="13"/>
      <c r="O579" s="965"/>
      <c r="P579" s="52"/>
      <c r="Q579" s="965"/>
      <c r="R579" s="13"/>
      <c r="S579" s="77"/>
      <c r="Y579" s="626"/>
    </row>
    <row r="580" spans="1:25" s="426" customFormat="1" ht="12.75" x14ac:dyDescent="0.2">
      <c r="B580" s="615"/>
      <c r="Y580" s="626"/>
    </row>
    <row r="581" spans="1:25" s="426" customFormat="1" x14ac:dyDescent="0.25">
      <c r="B581" s="615" t="s">
        <v>750</v>
      </c>
      <c r="C581" s="626" t="str">
        <f>IF(F189=0,C2,"0110")</f>
        <v>0110</v>
      </c>
      <c r="L581" s="1083" t="s">
        <v>1044</v>
      </c>
      <c r="M581" s="1062">
        <v>200</v>
      </c>
      <c r="N581" s="449">
        <v>400</v>
      </c>
      <c r="O581" s="1062">
        <v>600</v>
      </c>
      <c r="P581" s="449">
        <v>800</v>
      </c>
      <c r="Q581" s="1062">
        <v>1000</v>
      </c>
      <c r="Y581" s="626"/>
    </row>
    <row r="582" spans="1:25" s="426" customFormat="1" x14ac:dyDescent="0.25">
      <c r="B582" s="615" t="s">
        <v>752</v>
      </c>
      <c r="C582" s="626">
        <f>C445</f>
        <v>1</v>
      </c>
      <c r="D582" s="426" t="s">
        <v>754</v>
      </c>
      <c r="L582" s="339" t="s">
        <v>1042</v>
      </c>
      <c r="M582" s="12">
        <f>IF(O578&lt;=M581,1,0)</f>
        <v>0</v>
      </c>
      <c r="N582" s="2">
        <f>IF(AND(O578&gt;M581,O578&lt;=N581),1,0)</f>
        <v>1</v>
      </c>
      <c r="O582" s="12">
        <f>IF(AND(O578&gt;N581,O578&lt;=O581),1,0)</f>
        <v>0</v>
      </c>
      <c r="P582" s="2">
        <f>IF(AND(O578&gt;O581,O578&lt;=P581),1,0)</f>
        <v>0</v>
      </c>
      <c r="Q582" s="12">
        <f>IF(AND(O578&gt;P581,O578&lt;=Q581),1,0)</f>
        <v>0</v>
      </c>
      <c r="Y582" s="626"/>
    </row>
    <row r="583" spans="1:25" s="426" customFormat="1" x14ac:dyDescent="0.25">
      <c r="B583" s="615" t="s">
        <v>753</v>
      </c>
      <c r="C583" s="626">
        <f>D445</f>
        <v>1</v>
      </c>
      <c r="D583" s="426" t="s">
        <v>754</v>
      </c>
      <c r="L583" s="1020" t="s">
        <v>1045</v>
      </c>
      <c r="M583" s="952">
        <f>0.02*2</f>
        <v>0.04</v>
      </c>
      <c r="N583" s="1084">
        <f>0.04*2</f>
        <v>0.08</v>
      </c>
      <c r="O583" s="952">
        <f>0.05*2</f>
        <v>0.1</v>
      </c>
      <c r="P583" s="1084">
        <f>0.06*2</f>
        <v>0.12</v>
      </c>
      <c r="Q583" s="952">
        <v>0.14000000000000001</v>
      </c>
      <c r="Y583" s="626"/>
    </row>
    <row r="584" spans="1:25" s="426" customFormat="1" x14ac:dyDescent="0.25">
      <c r="B584" s="615" t="s">
        <v>99</v>
      </c>
      <c r="C584" s="626">
        <f>E445</f>
        <v>361</v>
      </c>
      <c r="D584" s="426" t="s">
        <v>25</v>
      </c>
      <c r="L584"/>
      <c r="M584"/>
      <c r="N584"/>
      <c r="O584"/>
      <c r="P584"/>
      <c r="Q584"/>
      <c r="Y584" s="626"/>
    </row>
    <row r="585" spans="1:25" s="426" customFormat="1" ht="12.75" x14ac:dyDescent="0.2">
      <c r="B585" s="615" t="s">
        <v>100</v>
      </c>
      <c r="C585" s="626">
        <f>F445</f>
        <v>1150</v>
      </c>
      <c r="D585" s="426" t="s">
        <v>25</v>
      </c>
      <c r="Y585" s="626"/>
    </row>
    <row r="586" spans="1:25" s="426" customFormat="1" ht="12.75" x14ac:dyDescent="0.2">
      <c r="B586" s="615" t="s">
        <v>776</v>
      </c>
      <c r="C586" s="134">
        <f>G578</f>
        <v>1800</v>
      </c>
      <c r="D586" s="426" t="s">
        <v>754</v>
      </c>
      <c r="Y586" s="626"/>
    </row>
    <row r="587" spans="1:25" s="426" customFormat="1" ht="12.75" x14ac:dyDescent="0.2">
      <c r="B587" s="615"/>
      <c r="Y587" s="626"/>
    </row>
    <row r="588" spans="1:25" s="426" customFormat="1" x14ac:dyDescent="0.25">
      <c r="A588" s="286"/>
      <c r="F588"/>
      <c r="G588"/>
      <c r="H588"/>
      <c r="Y588" s="626"/>
    </row>
    <row r="589" spans="1:25" s="426" customFormat="1" x14ac:dyDescent="0.25">
      <c r="A589" s="286"/>
      <c r="B589" s="77"/>
      <c r="C589"/>
      <c r="D589"/>
      <c r="E589" s="484">
        <v>100</v>
      </c>
      <c r="F589"/>
      <c r="G589"/>
      <c r="H589"/>
      <c r="I589" s="78" t="s">
        <v>731</v>
      </c>
      <c r="J589"/>
      <c r="K589" s="78" t="s">
        <v>731</v>
      </c>
      <c r="L589" s="78" t="s">
        <v>732</v>
      </c>
      <c r="M589" s="78" t="s">
        <v>733</v>
      </c>
      <c r="Y589" s="626"/>
    </row>
    <row r="590" spans="1:25" s="426" customFormat="1" x14ac:dyDescent="0.25">
      <c r="A590" s="286"/>
      <c r="E590" s="473">
        <f>AT46</f>
        <v>0</v>
      </c>
      <c r="F590"/>
      <c r="G590" s="2"/>
      <c r="H590"/>
      <c r="I590" s="78" t="s">
        <v>734</v>
      </c>
      <c r="J590"/>
      <c r="K590" s="78" t="s">
        <v>735</v>
      </c>
      <c r="L590" s="78" t="s">
        <v>736</v>
      </c>
      <c r="M590" s="78" t="s">
        <v>737</v>
      </c>
      <c r="Y590" s="626"/>
    </row>
    <row r="591" spans="1:25" s="426" customFormat="1" x14ac:dyDescent="0.25">
      <c r="A591" s="683"/>
      <c r="C591" s="77"/>
      <c r="D591" s="473">
        <f>C131</f>
        <v>0</v>
      </c>
      <c r="E591" s="13">
        <f>CEILING(E590/E589,1)</f>
        <v>0</v>
      </c>
      <c r="F591"/>
      <c r="G591"/>
      <c r="H591"/>
      <c r="I591" s="484">
        <v>0.8</v>
      </c>
      <c r="J591" s="2"/>
      <c r="K591" s="484">
        <v>1.25</v>
      </c>
      <c r="L591" s="484">
        <v>5</v>
      </c>
      <c r="M591" s="1085">
        <f>AY46</f>
        <v>0.9</v>
      </c>
      <c r="Y591" s="626"/>
    </row>
    <row r="592" spans="1:25" s="426" customFormat="1" x14ac:dyDescent="0.25">
      <c r="A592" s="404"/>
      <c r="B592" s="404"/>
      <c r="C592" s="399" t="s">
        <v>562</v>
      </c>
      <c r="D592" s="417" t="s">
        <v>562</v>
      </c>
      <c r="E592" s="399" t="s">
        <v>562</v>
      </c>
      <c r="F592" s="423" t="s">
        <v>738</v>
      </c>
      <c r="G592" s="399" t="s">
        <v>739</v>
      </c>
      <c r="H592" s="406" t="s">
        <v>740</v>
      </c>
      <c r="I592" s="399" t="s">
        <v>741</v>
      </c>
      <c r="J592" s="399" t="s">
        <v>742</v>
      </c>
      <c r="K592" s="399" t="s">
        <v>741</v>
      </c>
      <c r="L592" s="399" t="s">
        <v>743</v>
      </c>
      <c r="M592" s="399"/>
      <c r="Y592" s="626"/>
    </row>
    <row r="593" spans="1:25" s="426" customFormat="1" x14ac:dyDescent="0.25">
      <c r="A593" s="339" t="s">
        <v>28</v>
      </c>
      <c r="B593" s="341" t="s">
        <v>2</v>
      </c>
      <c r="C593" s="202" t="s">
        <v>577</v>
      </c>
      <c r="D593" s="400" t="s">
        <v>575</v>
      </c>
      <c r="E593" s="202" t="s">
        <v>744</v>
      </c>
      <c r="F593" s="424" t="s">
        <v>604</v>
      </c>
      <c r="G593" s="120" t="s">
        <v>745</v>
      </c>
      <c r="H593" s="78" t="s">
        <v>746</v>
      </c>
      <c r="I593" s="120" t="s">
        <v>562</v>
      </c>
      <c r="J593" s="120" t="s">
        <v>747</v>
      </c>
      <c r="K593" s="120" t="s">
        <v>748</v>
      </c>
      <c r="L593" s="120" t="s">
        <v>749</v>
      </c>
      <c r="M593" s="12"/>
      <c r="Y593" s="626"/>
    </row>
    <row r="594" spans="1:25" s="426" customFormat="1" x14ac:dyDescent="0.25">
      <c r="A594" s="442">
        <f>IF($C$581=B594,1,0)</f>
        <v>1</v>
      </c>
      <c r="B594" s="61" t="str">
        <f t="shared" ref="B594:B614" si="110">B50</f>
        <v>0110</v>
      </c>
      <c r="C594" s="442">
        <f>S50</f>
        <v>1</v>
      </c>
      <c r="D594" s="645">
        <v>0</v>
      </c>
      <c r="E594" s="486">
        <v>0</v>
      </c>
      <c r="F594" s="449">
        <f t="shared" ref="F594:F614" si="111">IF(A594=1,SUM(C594:E594)," ")</f>
        <v>1</v>
      </c>
      <c r="G594" s="684">
        <f>IF(A594=1,$C$583," ")</f>
        <v>1</v>
      </c>
      <c r="H594" s="684">
        <f>IF(A594=1,(F594*G594)-1," ")</f>
        <v>0</v>
      </c>
      <c r="I594" s="692">
        <f>IF(A594=1,$I$591*H594," ")</f>
        <v>0</v>
      </c>
      <c r="J594" s="694">
        <f>IF(A594=1,($C$585/1000)," ")</f>
        <v>1.1499999999999999</v>
      </c>
      <c r="K594" s="694">
        <f>IF(A594=1,J594*$K$591," ")</f>
        <v>1.4375</v>
      </c>
      <c r="L594" s="694">
        <f>IF(A594=1,$L$591," ")</f>
        <v>5</v>
      </c>
      <c r="M594" s="686">
        <f>IF(A594=1,CEILING((I594+K594+L594)/$M$591,1)," ")</f>
        <v>8</v>
      </c>
      <c r="Y594" s="626"/>
    </row>
    <row r="595" spans="1:25" s="426" customFormat="1" x14ac:dyDescent="0.25">
      <c r="A595" s="12">
        <f>IF($C$581=B595,1,0)</f>
        <v>0</v>
      </c>
      <c r="B595" s="61" t="str">
        <f t="shared" si="110"/>
        <v>0200</v>
      </c>
      <c r="C595" s="12">
        <f>S51</f>
        <v>3</v>
      </c>
      <c r="D595" s="26">
        <f>D591</f>
        <v>0</v>
      </c>
      <c r="E595" s="28">
        <v>0</v>
      </c>
      <c r="F595" s="2" t="str">
        <f t="shared" si="111"/>
        <v xml:space="preserve"> </v>
      </c>
      <c r="G595" s="685" t="str">
        <f t="shared" ref="G595:G614" si="112">IF(A595=1,$C$583," ")</f>
        <v xml:space="preserve"> </v>
      </c>
      <c r="H595" s="685" t="str">
        <f t="shared" ref="H595:H600" si="113">IF(A595=1,(F595*G595)+G595," ")</f>
        <v xml:space="preserve"> </v>
      </c>
      <c r="I595" s="157" t="str">
        <f t="shared" ref="I595:I614" si="114">IF(A595=1,$I$591*H595," ")</f>
        <v xml:space="preserve"> </v>
      </c>
      <c r="J595" s="695" t="str">
        <f t="shared" ref="J595:J613" si="115">IF(A595=1,($C$585/1000)," ")</f>
        <v xml:space="preserve"> </v>
      </c>
      <c r="K595" s="695" t="str">
        <f t="shared" ref="K595:K614" si="116">IF(A595=1,J595*$K$591," ")</f>
        <v xml:space="preserve"> </v>
      </c>
      <c r="L595" s="695" t="str">
        <f t="shared" ref="L595:L614" si="117">IF(A595=1,$L$591," ")</f>
        <v xml:space="preserve"> </v>
      </c>
      <c r="M595" s="687" t="str">
        <f t="shared" ref="M595:M614" si="118">IF(A595=1,CEILING((I595+K595+L595)/$M$591,1)," ")</f>
        <v xml:space="preserve"> </v>
      </c>
      <c r="Y595" s="626"/>
    </row>
    <row r="596" spans="1:25" s="426" customFormat="1" x14ac:dyDescent="0.25">
      <c r="A596" s="12">
        <f>IF($C$581=B596,1,0)</f>
        <v>0</v>
      </c>
      <c r="B596" s="61" t="str">
        <f t="shared" si="110"/>
        <v>0201</v>
      </c>
      <c r="C596" s="12">
        <f>S52</f>
        <v>3</v>
      </c>
      <c r="D596" s="26">
        <f>D591</f>
        <v>0</v>
      </c>
      <c r="E596" s="28">
        <v>0</v>
      </c>
      <c r="F596" s="2" t="str">
        <f t="shared" si="111"/>
        <v xml:space="preserve"> </v>
      </c>
      <c r="G596" s="685" t="str">
        <f t="shared" si="112"/>
        <v xml:space="preserve"> </v>
      </c>
      <c r="H596" s="685" t="str">
        <f t="shared" si="113"/>
        <v xml:space="preserve"> </v>
      </c>
      <c r="I596" s="157" t="str">
        <f t="shared" si="114"/>
        <v xml:space="preserve"> </v>
      </c>
      <c r="J596" s="695" t="str">
        <f t="shared" si="115"/>
        <v xml:space="preserve"> </v>
      </c>
      <c r="K596" s="695" t="str">
        <f t="shared" si="116"/>
        <v xml:space="preserve"> </v>
      </c>
      <c r="L596" s="695" t="str">
        <f t="shared" si="117"/>
        <v xml:space="preserve"> </v>
      </c>
      <c r="M596" s="687" t="str">
        <f>IF(A596=1,CEILING((I596+K596+L596)/$M$591,1)," ")</f>
        <v xml:space="preserve"> </v>
      </c>
      <c r="Y596" s="626"/>
    </row>
    <row r="597" spans="1:25" s="426" customFormat="1" x14ac:dyDescent="0.25">
      <c r="A597" s="12">
        <f t="shared" ref="A597:A600" si="119">IF($C$581=B597,1,0)</f>
        <v>0</v>
      </c>
      <c r="B597" s="61" t="str">
        <f t="shared" si="110"/>
        <v>0203</v>
      </c>
      <c r="C597" s="12">
        <f>S53</f>
        <v>3</v>
      </c>
      <c r="D597" s="26">
        <f>D591</f>
        <v>0</v>
      </c>
      <c r="E597" s="28">
        <v>0</v>
      </c>
      <c r="F597" s="2" t="str">
        <f t="shared" si="111"/>
        <v xml:space="preserve"> </v>
      </c>
      <c r="G597" s="685" t="str">
        <f t="shared" si="112"/>
        <v xml:space="preserve"> </v>
      </c>
      <c r="H597" s="685" t="str">
        <f t="shared" si="113"/>
        <v xml:space="preserve"> </v>
      </c>
      <c r="I597" s="157" t="str">
        <f t="shared" si="114"/>
        <v xml:space="preserve"> </v>
      </c>
      <c r="J597" s="695" t="str">
        <f t="shared" si="115"/>
        <v xml:space="preserve"> </v>
      </c>
      <c r="K597" s="695" t="str">
        <f t="shared" si="116"/>
        <v xml:space="preserve"> </v>
      </c>
      <c r="L597" s="695" t="str">
        <f t="shared" si="117"/>
        <v xml:space="preserve"> </v>
      </c>
      <c r="M597" s="687" t="str">
        <f t="shared" si="118"/>
        <v xml:space="preserve"> </v>
      </c>
      <c r="Y597" s="626"/>
    </row>
    <row r="598" spans="1:25" s="426" customFormat="1" x14ac:dyDescent="0.25">
      <c r="A598" s="12">
        <f t="shared" si="119"/>
        <v>0</v>
      </c>
      <c r="B598" s="61" t="str">
        <f t="shared" si="110"/>
        <v>0409</v>
      </c>
      <c r="C598" s="12">
        <f>S54</f>
        <v>4</v>
      </c>
      <c r="D598" s="29">
        <v>0</v>
      </c>
      <c r="E598" s="28">
        <v>0</v>
      </c>
      <c r="F598" s="2" t="str">
        <f t="shared" si="111"/>
        <v xml:space="preserve"> </v>
      </c>
      <c r="G598" s="685" t="str">
        <f t="shared" si="112"/>
        <v xml:space="preserve"> </v>
      </c>
      <c r="H598" s="685" t="str">
        <f t="shared" si="113"/>
        <v xml:space="preserve"> </v>
      </c>
      <c r="I598" s="157" t="str">
        <f t="shared" si="114"/>
        <v xml:space="preserve"> </v>
      </c>
      <c r="J598" s="695" t="str">
        <f t="shared" si="115"/>
        <v xml:space="preserve"> </v>
      </c>
      <c r="K598" s="695" t="str">
        <f t="shared" si="116"/>
        <v xml:space="preserve"> </v>
      </c>
      <c r="L598" s="695" t="str">
        <f t="shared" si="117"/>
        <v xml:space="preserve"> </v>
      </c>
      <c r="M598" s="687" t="str">
        <f t="shared" si="118"/>
        <v xml:space="preserve"> </v>
      </c>
      <c r="Y598" s="626"/>
    </row>
    <row r="599" spans="1:25" s="426" customFormat="1" x14ac:dyDescent="0.25">
      <c r="A599" s="12">
        <f t="shared" si="119"/>
        <v>0</v>
      </c>
      <c r="B599" s="61" t="str">
        <f t="shared" si="110"/>
        <v>0410</v>
      </c>
      <c r="C599" s="12">
        <v>4</v>
      </c>
      <c r="D599" s="29">
        <v>0</v>
      </c>
      <c r="E599" s="12">
        <f>E591</f>
        <v>0</v>
      </c>
      <c r="F599" s="2" t="str">
        <f t="shared" si="111"/>
        <v xml:space="preserve"> </v>
      </c>
      <c r="G599" s="685" t="str">
        <f t="shared" si="112"/>
        <v xml:space="preserve"> </v>
      </c>
      <c r="H599" s="685" t="str">
        <f t="shared" si="113"/>
        <v xml:space="preserve"> </v>
      </c>
      <c r="I599" s="157" t="str">
        <f t="shared" si="114"/>
        <v xml:space="preserve"> </v>
      </c>
      <c r="J599" s="695" t="str">
        <f t="shared" si="115"/>
        <v xml:space="preserve"> </v>
      </c>
      <c r="K599" s="695" t="str">
        <f t="shared" si="116"/>
        <v xml:space="preserve"> </v>
      </c>
      <c r="L599" s="695" t="str">
        <f t="shared" si="117"/>
        <v xml:space="preserve"> </v>
      </c>
      <c r="M599" s="687" t="str">
        <f t="shared" si="118"/>
        <v xml:space="preserve"> </v>
      </c>
      <c r="Y599" s="626"/>
    </row>
    <row r="600" spans="1:25" s="426" customFormat="1" x14ac:dyDescent="0.25">
      <c r="A600" s="12">
        <f t="shared" si="119"/>
        <v>0</v>
      </c>
      <c r="B600" s="61" t="str">
        <f t="shared" si="110"/>
        <v>0412</v>
      </c>
      <c r="C600" s="12">
        <f t="shared" ref="C600:C614" si="120">S56</f>
        <v>4</v>
      </c>
      <c r="D600" s="29">
        <v>0</v>
      </c>
      <c r="E600" s="12">
        <f>E591*2</f>
        <v>0</v>
      </c>
      <c r="F600" s="2" t="str">
        <f t="shared" si="111"/>
        <v xml:space="preserve"> </v>
      </c>
      <c r="G600" s="685" t="str">
        <f t="shared" si="112"/>
        <v xml:space="preserve"> </v>
      </c>
      <c r="H600" s="685" t="str">
        <f t="shared" si="113"/>
        <v xml:space="preserve"> </v>
      </c>
      <c r="I600" s="157" t="str">
        <f t="shared" si="114"/>
        <v xml:space="preserve"> </v>
      </c>
      <c r="J600" s="695" t="str">
        <f t="shared" si="115"/>
        <v xml:space="preserve"> </v>
      </c>
      <c r="K600" s="695" t="str">
        <f t="shared" si="116"/>
        <v xml:space="preserve"> </v>
      </c>
      <c r="L600" s="695" t="str">
        <f t="shared" si="117"/>
        <v xml:space="preserve"> </v>
      </c>
      <c r="M600" s="687" t="str">
        <f t="shared" si="118"/>
        <v xml:space="preserve"> </v>
      </c>
      <c r="Y600" s="626"/>
    </row>
    <row r="601" spans="1:25" s="426" customFormat="1" x14ac:dyDescent="0.25">
      <c r="A601" s="28">
        <v>0</v>
      </c>
      <c r="B601" s="61" t="str">
        <f t="shared" si="110"/>
        <v>0427</v>
      </c>
      <c r="C601" s="12">
        <f t="shared" si="120"/>
        <v>0</v>
      </c>
      <c r="D601" s="29">
        <v>0</v>
      </c>
      <c r="E601" s="28">
        <v>0</v>
      </c>
      <c r="F601" s="2" t="str">
        <f t="shared" si="111"/>
        <v xml:space="preserve"> </v>
      </c>
      <c r="G601" s="685" t="str">
        <f t="shared" si="112"/>
        <v xml:space="preserve"> </v>
      </c>
      <c r="H601" s="685" t="str">
        <f t="shared" ref="H601:H614" si="121">IF(A601=1,F601*G601," ")</f>
        <v xml:space="preserve"> </v>
      </c>
      <c r="I601" s="157" t="str">
        <f t="shared" si="114"/>
        <v xml:space="preserve"> </v>
      </c>
      <c r="J601" s="695" t="str">
        <f t="shared" si="115"/>
        <v xml:space="preserve"> </v>
      </c>
      <c r="K601" s="695" t="str">
        <f t="shared" si="116"/>
        <v xml:space="preserve"> </v>
      </c>
      <c r="L601" s="695" t="str">
        <f t="shared" si="117"/>
        <v xml:space="preserve"> </v>
      </c>
      <c r="M601" s="687" t="str">
        <f t="shared" si="118"/>
        <v xml:space="preserve"> </v>
      </c>
      <c r="Y601" s="626"/>
    </row>
    <row r="602" spans="1:25" s="426" customFormat="1" x14ac:dyDescent="0.25">
      <c r="A602" s="28">
        <v>0</v>
      </c>
      <c r="B602" s="61" t="str">
        <f t="shared" si="110"/>
        <v>0421</v>
      </c>
      <c r="C602" s="12">
        <f t="shared" si="120"/>
        <v>0</v>
      </c>
      <c r="D602" s="29">
        <v>0</v>
      </c>
      <c r="E602" s="28">
        <v>0</v>
      </c>
      <c r="F602" s="2" t="str">
        <f t="shared" si="111"/>
        <v xml:space="preserve"> </v>
      </c>
      <c r="G602" s="685" t="str">
        <f t="shared" si="112"/>
        <v xml:space="preserve"> </v>
      </c>
      <c r="H602" s="685" t="str">
        <f t="shared" si="121"/>
        <v xml:space="preserve"> </v>
      </c>
      <c r="I602" s="157" t="str">
        <f t="shared" si="114"/>
        <v xml:space="preserve"> </v>
      </c>
      <c r="J602" s="695" t="str">
        <f t="shared" si="115"/>
        <v xml:space="preserve"> </v>
      </c>
      <c r="K602" s="695" t="str">
        <f t="shared" si="116"/>
        <v xml:space="preserve"> </v>
      </c>
      <c r="L602" s="695" t="str">
        <f t="shared" si="117"/>
        <v xml:space="preserve"> </v>
      </c>
      <c r="M602" s="687" t="str">
        <f t="shared" si="118"/>
        <v xml:space="preserve"> </v>
      </c>
      <c r="Y602" s="626"/>
    </row>
    <row r="603" spans="1:25" s="426" customFormat="1" x14ac:dyDescent="0.25">
      <c r="A603" s="28">
        <v>0</v>
      </c>
      <c r="B603" s="61" t="str">
        <f t="shared" si="110"/>
        <v>0422</v>
      </c>
      <c r="C603" s="12">
        <f t="shared" si="120"/>
        <v>0</v>
      </c>
      <c r="D603" s="29">
        <v>0</v>
      </c>
      <c r="E603" s="28">
        <v>0</v>
      </c>
      <c r="F603" s="2" t="str">
        <f t="shared" si="111"/>
        <v xml:space="preserve"> </v>
      </c>
      <c r="G603" s="685" t="str">
        <f t="shared" si="112"/>
        <v xml:space="preserve"> </v>
      </c>
      <c r="H603" s="685" t="str">
        <f t="shared" si="121"/>
        <v xml:space="preserve"> </v>
      </c>
      <c r="I603" s="157" t="str">
        <f t="shared" si="114"/>
        <v xml:space="preserve"> </v>
      </c>
      <c r="J603" s="695" t="str">
        <f t="shared" si="115"/>
        <v xml:space="preserve"> </v>
      </c>
      <c r="K603" s="695" t="str">
        <f t="shared" si="116"/>
        <v xml:space="preserve"> </v>
      </c>
      <c r="L603" s="695" t="str">
        <f t="shared" si="117"/>
        <v xml:space="preserve"> </v>
      </c>
      <c r="M603" s="687" t="str">
        <f t="shared" si="118"/>
        <v xml:space="preserve"> </v>
      </c>
      <c r="Y603" s="626"/>
    </row>
    <row r="604" spans="1:25" s="426" customFormat="1" x14ac:dyDescent="0.25">
      <c r="A604" s="12">
        <f>IF($C$581=B604,1,0)</f>
        <v>0</v>
      </c>
      <c r="B604" s="61" t="str">
        <f t="shared" si="110"/>
        <v>0452</v>
      </c>
      <c r="C604" s="12">
        <f t="shared" si="120"/>
        <v>2</v>
      </c>
      <c r="D604" s="29">
        <v>0</v>
      </c>
      <c r="E604" s="28">
        <v>0</v>
      </c>
      <c r="F604" s="2" t="str">
        <f t="shared" si="111"/>
        <v xml:space="preserve"> </v>
      </c>
      <c r="G604" s="685" t="str">
        <f t="shared" si="112"/>
        <v xml:space="preserve"> </v>
      </c>
      <c r="H604" s="685" t="str">
        <f>IF(A604=1,(F604*G604)+G604," ")</f>
        <v xml:space="preserve"> </v>
      </c>
      <c r="I604" s="157" t="str">
        <f t="shared" si="114"/>
        <v xml:space="preserve"> </v>
      </c>
      <c r="J604" s="695" t="str">
        <f t="shared" si="115"/>
        <v xml:space="preserve"> </v>
      </c>
      <c r="K604" s="695" t="str">
        <f t="shared" si="116"/>
        <v xml:space="preserve"> </v>
      </c>
      <c r="L604" s="695" t="str">
        <f t="shared" si="117"/>
        <v xml:space="preserve"> </v>
      </c>
      <c r="M604" s="687" t="str">
        <f t="shared" si="118"/>
        <v xml:space="preserve"> </v>
      </c>
      <c r="Y604" s="626"/>
    </row>
    <row r="605" spans="1:25" s="426" customFormat="1" x14ac:dyDescent="0.25">
      <c r="A605" s="12">
        <f t="shared" ref="A605:A614" si="122">IF($C$581=B605,1,0)</f>
        <v>0</v>
      </c>
      <c r="B605" s="61" t="str">
        <f t="shared" si="110"/>
        <v>0501</v>
      </c>
      <c r="C605" s="12">
        <f t="shared" si="120"/>
        <v>4</v>
      </c>
      <c r="D605" s="26">
        <f>D591</f>
        <v>0</v>
      </c>
      <c r="E605" s="28">
        <v>0</v>
      </c>
      <c r="F605" s="2" t="str">
        <f t="shared" si="111"/>
        <v xml:space="preserve"> </v>
      </c>
      <c r="G605" s="685" t="str">
        <f t="shared" si="112"/>
        <v xml:space="preserve"> </v>
      </c>
      <c r="H605" s="685" t="str">
        <f>IF(A605=1,(F605*G605)+G605," ")</f>
        <v xml:space="preserve"> </v>
      </c>
      <c r="I605" s="157" t="str">
        <f t="shared" si="114"/>
        <v xml:space="preserve"> </v>
      </c>
      <c r="J605" s="695" t="str">
        <f t="shared" si="115"/>
        <v xml:space="preserve"> </v>
      </c>
      <c r="K605" s="695" t="str">
        <f t="shared" si="116"/>
        <v xml:space="preserve"> </v>
      </c>
      <c r="L605" s="695" t="str">
        <f t="shared" si="117"/>
        <v xml:space="preserve"> </v>
      </c>
      <c r="M605" s="687" t="str">
        <f t="shared" si="118"/>
        <v xml:space="preserve"> </v>
      </c>
      <c r="Y605" s="626"/>
    </row>
    <row r="606" spans="1:25" s="426" customFormat="1" x14ac:dyDescent="0.25">
      <c r="A606" s="12">
        <f t="shared" si="122"/>
        <v>0</v>
      </c>
      <c r="B606" s="61" t="str">
        <f t="shared" si="110"/>
        <v>0401</v>
      </c>
      <c r="C606" s="12">
        <f t="shared" si="120"/>
        <v>4</v>
      </c>
      <c r="D606" s="29">
        <v>0</v>
      </c>
      <c r="E606" s="12">
        <f>E591*2</f>
        <v>0</v>
      </c>
      <c r="F606" s="2" t="str">
        <f t="shared" si="111"/>
        <v xml:space="preserve"> </v>
      </c>
      <c r="G606" s="685" t="str">
        <f t="shared" si="112"/>
        <v xml:space="preserve"> </v>
      </c>
      <c r="H606" s="685" t="str">
        <f>IF(A606=1,(F606*G606)+G606," ")</f>
        <v xml:space="preserve"> </v>
      </c>
      <c r="I606" s="157" t="str">
        <f t="shared" si="114"/>
        <v xml:space="preserve"> </v>
      </c>
      <c r="J606" s="695" t="str">
        <f t="shared" si="115"/>
        <v xml:space="preserve"> </v>
      </c>
      <c r="K606" s="695" t="str">
        <f t="shared" si="116"/>
        <v xml:space="preserve"> </v>
      </c>
      <c r="L606" s="695" t="str">
        <f t="shared" si="117"/>
        <v xml:space="preserve"> </v>
      </c>
      <c r="M606" s="687" t="str">
        <f t="shared" si="118"/>
        <v xml:space="preserve"> </v>
      </c>
      <c r="Y606" s="626"/>
    </row>
    <row r="607" spans="1:25" s="426" customFormat="1" x14ac:dyDescent="0.25">
      <c r="A607" s="28">
        <v>0</v>
      </c>
      <c r="B607" s="61" t="str">
        <f t="shared" si="110"/>
        <v>0471</v>
      </c>
      <c r="C607" s="12">
        <f t="shared" si="120"/>
        <v>0</v>
      </c>
      <c r="D607" s="29">
        <v>0</v>
      </c>
      <c r="E607" s="28">
        <v>0</v>
      </c>
      <c r="F607" s="2" t="str">
        <f t="shared" si="111"/>
        <v xml:space="preserve"> </v>
      </c>
      <c r="G607" s="685" t="str">
        <f t="shared" si="112"/>
        <v xml:space="preserve"> </v>
      </c>
      <c r="H607" s="685" t="str">
        <f t="shared" si="121"/>
        <v xml:space="preserve"> </v>
      </c>
      <c r="I607" s="157" t="str">
        <f t="shared" si="114"/>
        <v xml:space="preserve"> </v>
      </c>
      <c r="J607" s="695" t="str">
        <f t="shared" si="115"/>
        <v xml:space="preserve"> </v>
      </c>
      <c r="K607" s="695" t="str">
        <f t="shared" si="116"/>
        <v xml:space="preserve"> </v>
      </c>
      <c r="L607" s="695" t="str">
        <f t="shared" si="117"/>
        <v xml:space="preserve"> </v>
      </c>
      <c r="M607" s="687" t="str">
        <f t="shared" si="118"/>
        <v xml:space="preserve"> </v>
      </c>
      <c r="Y607" s="626"/>
    </row>
    <row r="608" spans="1:25" s="426" customFormat="1" x14ac:dyDescent="0.25">
      <c r="A608" s="28">
        <v>0</v>
      </c>
      <c r="B608" s="61" t="str">
        <f t="shared" si="110"/>
        <v>0933</v>
      </c>
      <c r="C608" s="12">
        <f t="shared" si="120"/>
        <v>0</v>
      </c>
      <c r="D608" s="992">
        <v>0</v>
      </c>
      <c r="E608" s="993">
        <v>0</v>
      </c>
      <c r="F608" s="426" t="str">
        <f t="shared" si="111"/>
        <v xml:space="preserve"> </v>
      </c>
      <c r="G608" s="685" t="str">
        <f t="shared" si="112"/>
        <v xml:space="preserve"> </v>
      </c>
      <c r="H608" s="685" t="str">
        <f t="shared" si="121"/>
        <v xml:space="preserve"> </v>
      </c>
      <c r="I608" s="157" t="str">
        <f t="shared" si="114"/>
        <v xml:space="preserve"> </v>
      </c>
      <c r="J608" s="695" t="str">
        <f t="shared" si="115"/>
        <v xml:space="preserve"> </v>
      </c>
      <c r="K608" s="695" t="str">
        <f t="shared" si="116"/>
        <v xml:space="preserve"> </v>
      </c>
      <c r="L608" s="695" t="str">
        <f t="shared" si="117"/>
        <v xml:space="preserve"> </v>
      </c>
      <c r="M608" s="687" t="str">
        <f t="shared" si="118"/>
        <v xml:space="preserve"> </v>
      </c>
      <c r="Y608" s="626"/>
    </row>
    <row r="609" spans="1:25" s="426" customFormat="1" x14ac:dyDescent="0.25">
      <c r="A609" s="28">
        <v>0</v>
      </c>
      <c r="B609" s="61" t="str">
        <f t="shared" si="110"/>
        <v>0701</v>
      </c>
      <c r="C609" s="12">
        <f t="shared" si="120"/>
        <v>0</v>
      </c>
      <c r="D609" s="992">
        <v>0</v>
      </c>
      <c r="E609" s="993">
        <v>0</v>
      </c>
      <c r="F609" s="426" t="str">
        <f t="shared" si="111"/>
        <v xml:space="preserve"> </v>
      </c>
      <c r="G609" s="685" t="str">
        <f t="shared" si="112"/>
        <v xml:space="preserve"> </v>
      </c>
      <c r="H609" s="685" t="str">
        <f t="shared" si="121"/>
        <v xml:space="preserve"> </v>
      </c>
      <c r="I609" s="157" t="str">
        <f t="shared" si="114"/>
        <v xml:space="preserve"> </v>
      </c>
      <c r="J609" s="695" t="str">
        <f t="shared" si="115"/>
        <v xml:space="preserve"> </v>
      </c>
      <c r="K609" s="695" t="str">
        <f t="shared" si="116"/>
        <v xml:space="preserve"> </v>
      </c>
      <c r="L609" s="695" t="str">
        <f t="shared" si="117"/>
        <v xml:space="preserve"> </v>
      </c>
      <c r="M609" s="687" t="str">
        <f t="shared" si="118"/>
        <v xml:space="preserve"> </v>
      </c>
      <c r="Y609" s="626"/>
    </row>
    <row r="610" spans="1:25" s="426" customFormat="1" x14ac:dyDescent="0.25">
      <c r="A610" s="12">
        <f t="shared" si="122"/>
        <v>0</v>
      </c>
      <c r="B610" s="61">
        <f t="shared" si="110"/>
        <v>0</v>
      </c>
      <c r="C610" s="12">
        <f t="shared" si="120"/>
        <v>0</v>
      </c>
      <c r="D610" s="992">
        <v>0</v>
      </c>
      <c r="E610" s="993">
        <v>0</v>
      </c>
      <c r="F610" s="426" t="str">
        <f t="shared" si="111"/>
        <v xml:space="preserve"> </v>
      </c>
      <c r="G610" s="685" t="str">
        <f t="shared" si="112"/>
        <v xml:space="preserve"> </v>
      </c>
      <c r="H610" s="685" t="str">
        <f t="shared" si="121"/>
        <v xml:space="preserve"> </v>
      </c>
      <c r="I610" s="157" t="str">
        <f t="shared" si="114"/>
        <v xml:space="preserve"> </v>
      </c>
      <c r="J610" s="695" t="str">
        <f t="shared" si="115"/>
        <v xml:space="preserve"> </v>
      </c>
      <c r="K610" s="695" t="str">
        <f t="shared" si="116"/>
        <v xml:space="preserve"> </v>
      </c>
      <c r="L610" s="695" t="str">
        <f t="shared" si="117"/>
        <v xml:space="preserve"> </v>
      </c>
      <c r="M610" s="687" t="str">
        <f t="shared" si="118"/>
        <v xml:space="preserve"> </v>
      </c>
      <c r="Y610" s="626"/>
    </row>
    <row r="611" spans="1:25" s="426" customFormat="1" x14ac:dyDescent="0.25">
      <c r="A611" s="12">
        <f t="shared" si="122"/>
        <v>0</v>
      </c>
      <c r="B611" s="61">
        <f t="shared" si="110"/>
        <v>0</v>
      </c>
      <c r="C611" s="12">
        <f t="shared" si="120"/>
        <v>0</v>
      </c>
      <c r="D611" s="992">
        <v>0</v>
      </c>
      <c r="E611" s="993">
        <v>0</v>
      </c>
      <c r="F611" s="426" t="str">
        <f t="shared" si="111"/>
        <v xml:space="preserve"> </v>
      </c>
      <c r="G611" s="685" t="str">
        <f t="shared" si="112"/>
        <v xml:space="preserve"> </v>
      </c>
      <c r="H611" s="685" t="str">
        <f t="shared" si="121"/>
        <v xml:space="preserve"> </v>
      </c>
      <c r="I611" s="157" t="str">
        <f t="shared" si="114"/>
        <v xml:space="preserve"> </v>
      </c>
      <c r="J611" s="695" t="str">
        <f t="shared" si="115"/>
        <v xml:space="preserve"> </v>
      </c>
      <c r="K611" s="695" t="str">
        <f t="shared" si="116"/>
        <v xml:space="preserve"> </v>
      </c>
      <c r="L611" s="695" t="str">
        <f t="shared" si="117"/>
        <v xml:space="preserve"> </v>
      </c>
      <c r="M611" s="687" t="str">
        <f t="shared" si="118"/>
        <v xml:space="preserve"> </v>
      </c>
      <c r="Y611" s="626"/>
    </row>
    <row r="612" spans="1:25" s="426" customFormat="1" x14ac:dyDescent="0.25">
      <c r="A612" s="12">
        <f t="shared" si="122"/>
        <v>0</v>
      </c>
      <c r="B612" s="61">
        <f t="shared" si="110"/>
        <v>0</v>
      </c>
      <c r="C612" s="12">
        <f t="shared" si="120"/>
        <v>0</v>
      </c>
      <c r="D612" s="992">
        <v>0</v>
      </c>
      <c r="E612" s="993">
        <v>0</v>
      </c>
      <c r="F612" s="426" t="str">
        <f t="shared" si="111"/>
        <v xml:space="preserve"> </v>
      </c>
      <c r="G612" s="685" t="str">
        <f t="shared" si="112"/>
        <v xml:space="preserve"> </v>
      </c>
      <c r="H612" s="685" t="str">
        <f t="shared" si="121"/>
        <v xml:space="preserve"> </v>
      </c>
      <c r="I612" s="157" t="str">
        <f t="shared" si="114"/>
        <v xml:space="preserve"> </v>
      </c>
      <c r="J612" s="695" t="str">
        <f t="shared" si="115"/>
        <v xml:space="preserve"> </v>
      </c>
      <c r="K612" s="695" t="str">
        <f t="shared" si="116"/>
        <v xml:space="preserve"> </v>
      </c>
      <c r="L612" s="695" t="str">
        <f t="shared" si="117"/>
        <v xml:space="preserve"> </v>
      </c>
      <c r="M612" s="687" t="str">
        <f t="shared" si="118"/>
        <v xml:space="preserve"> </v>
      </c>
      <c r="Y612" s="626"/>
    </row>
    <row r="613" spans="1:25" s="426" customFormat="1" x14ac:dyDescent="0.25">
      <c r="A613" s="12">
        <f t="shared" si="122"/>
        <v>0</v>
      </c>
      <c r="B613" s="61">
        <f t="shared" si="110"/>
        <v>0</v>
      </c>
      <c r="C613" s="12">
        <f t="shared" si="120"/>
        <v>0</v>
      </c>
      <c r="D613" s="992">
        <v>0</v>
      </c>
      <c r="E613" s="993">
        <v>0</v>
      </c>
      <c r="F613" s="426" t="str">
        <f t="shared" si="111"/>
        <v xml:space="preserve"> </v>
      </c>
      <c r="G613" s="685" t="str">
        <f t="shared" si="112"/>
        <v xml:space="preserve"> </v>
      </c>
      <c r="H613" s="685" t="str">
        <f t="shared" si="121"/>
        <v xml:space="preserve"> </v>
      </c>
      <c r="I613" s="157" t="str">
        <f t="shared" si="114"/>
        <v xml:space="preserve"> </v>
      </c>
      <c r="J613" s="695" t="str">
        <f t="shared" si="115"/>
        <v xml:space="preserve"> </v>
      </c>
      <c r="K613" s="695" t="str">
        <f t="shared" si="116"/>
        <v xml:space="preserve"> </v>
      </c>
      <c r="L613" s="695" t="str">
        <f t="shared" si="117"/>
        <v xml:space="preserve"> </v>
      </c>
      <c r="M613" s="687" t="str">
        <f t="shared" si="118"/>
        <v xml:space="preserve"> </v>
      </c>
      <c r="Y613" s="626"/>
    </row>
    <row r="614" spans="1:25" s="426" customFormat="1" x14ac:dyDescent="0.25">
      <c r="A614" s="13">
        <f t="shared" si="122"/>
        <v>0</v>
      </c>
      <c r="B614" s="689">
        <f t="shared" si="110"/>
        <v>0</v>
      </c>
      <c r="C614" s="13">
        <f t="shared" si="120"/>
        <v>0</v>
      </c>
      <c r="D614" s="994">
        <v>0</v>
      </c>
      <c r="E614" s="995">
        <v>0</v>
      </c>
      <c r="F614" s="430" t="str">
        <f t="shared" si="111"/>
        <v xml:space="preserve"> </v>
      </c>
      <c r="G614" s="691" t="str">
        <f t="shared" si="112"/>
        <v xml:space="preserve"> </v>
      </c>
      <c r="H614" s="691" t="str">
        <f t="shared" si="121"/>
        <v xml:space="preserve"> </v>
      </c>
      <c r="I614" s="693" t="str">
        <f t="shared" si="114"/>
        <v xml:space="preserve"> </v>
      </c>
      <c r="J614" s="696" t="str">
        <f>IF(A614=1,($C$585/1000)," ")</f>
        <v xml:space="preserve"> </v>
      </c>
      <c r="K614" s="696" t="str">
        <f t="shared" si="116"/>
        <v xml:space="preserve"> </v>
      </c>
      <c r="L614" s="696" t="str">
        <f t="shared" si="117"/>
        <v xml:space="preserve"> </v>
      </c>
      <c r="M614" s="197" t="str">
        <f t="shared" si="118"/>
        <v xml:space="preserve"> </v>
      </c>
      <c r="Y614" s="626"/>
    </row>
    <row r="615" spans="1:25" s="426" customFormat="1" x14ac:dyDescent="0.25">
      <c r="B615" s="407"/>
      <c r="L615" s="426" t="s">
        <v>763</v>
      </c>
      <c r="M615" s="634">
        <f>IF(SUM(A594:A614)&gt;0,VLOOKUP(1,A594:M614,13,FALSE),0)</f>
        <v>8</v>
      </c>
      <c r="Y615" s="626"/>
    </row>
    <row r="616" spans="1:25" s="426" customFormat="1" x14ac:dyDescent="0.25">
      <c r="B616" s="407"/>
      <c r="Y616" s="626"/>
    </row>
    <row r="617" spans="1:25" s="426" customFormat="1" ht="12.75" x14ac:dyDescent="0.2">
      <c r="A617" s="426">
        <f>A575</f>
        <v>0</v>
      </c>
      <c r="B617" s="426" t="s">
        <v>759</v>
      </c>
      <c r="C617" s="1179">
        <f>IF(A617=1,C575*D570*W577,0)</f>
        <v>0</v>
      </c>
      <c r="Y617" s="626"/>
    </row>
    <row r="618" spans="1:25" s="426" customFormat="1" ht="12.75" x14ac:dyDescent="0.2">
      <c r="A618" s="426">
        <f>A576</f>
        <v>0</v>
      </c>
      <c r="B618" s="426" t="s">
        <v>760</v>
      </c>
      <c r="C618" s="635">
        <f>IF(A618=1,C576*D570*W577,0)</f>
        <v>0</v>
      </c>
      <c r="Y618" s="626"/>
    </row>
    <row r="619" spans="1:25" s="426" customFormat="1" ht="12.75" x14ac:dyDescent="0.2">
      <c r="A619" s="426">
        <f>A577</f>
        <v>0</v>
      </c>
      <c r="B619" s="426" t="s">
        <v>1028</v>
      </c>
      <c r="C619" s="1178">
        <v>0</v>
      </c>
      <c r="D619" s="426">
        <f>IF(A619=1,(C577*D570)+((C3*C578)/60)*D570,IF(A619=0,((C3*C578)/60)*D570))</f>
        <v>12.5</v>
      </c>
      <c r="Y619" s="626"/>
    </row>
    <row r="620" spans="1:25" s="426" customFormat="1" ht="12.75" x14ac:dyDescent="0.2">
      <c r="A620" s="426">
        <f>A617</f>
        <v>0</v>
      </c>
      <c r="B620" s="426" t="s">
        <v>1043</v>
      </c>
      <c r="C620" s="635">
        <f>R578*C571</f>
        <v>28.86</v>
      </c>
      <c r="Y620" s="626"/>
    </row>
    <row r="621" spans="1:25" s="426" customFormat="1" ht="12.75" x14ac:dyDescent="0.2">
      <c r="B621" s="615" t="s">
        <v>762</v>
      </c>
      <c r="C621" s="629">
        <f>SUM(C617:C620)</f>
        <v>28.86</v>
      </c>
      <c r="D621" s="669"/>
      <c r="Y621" s="626"/>
    </row>
    <row r="622" spans="1:25" s="426" customFormat="1" ht="12.75" x14ac:dyDescent="0.2">
      <c r="B622" s="615"/>
      <c r="Y622" s="626"/>
    </row>
    <row r="623" spans="1:25" s="426" customFormat="1" ht="12.75" x14ac:dyDescent="0.2">
      <c r="B623" s="615"/>
      <c r="Y623" s="626"/>
    </row>
    <row r="624" spans="1:25" s="426" customFormat="1" ht="12.75" x14ac:dyDescent="0.2">
      <c r="A624" s="426">
        <f>IF(C568=1,1,0)</f>
        <v>0</v>
      </c>
      <c r="B624" s="615" t="s">
        <v>711</v>
      </c>
      <c r="C624" s="1177">
        <f>IF(A624=1,((M615*C586)/60)*D570,0)</f>
        <v>0</v>
      </c>
      <c r="Y624" s="626"/>
    </row>
    <row r="625" spans="1:25" s="426" customFormat="1" ht="12.75" x14ac:dyDescent="0.2">
      <c r="B625" s="615"/>
      <c r="Y625" s="626"/>
    </row>
    <row r="626" spans="1:25" s="430" customFormat="1" ht="12.75" x14ac:dyDescent="0.2">
      <c r="B626" s="678"/>
      <c r="Y626" s="651"/>
    </row>
    <row r="627" spans="1:25" s="426" customFormat="1" ht="12.75" x14ac:dyDescent="0.2">
      <c r="B627" s="615"/>
      <c r="Y627" s="626"/>
    </row>
    <row r="628" spans="1:25" s="426" customFormat="1" ht="13.5" thickBot="1" x14ac:dyDescent="0.25">
      <c r="B628" s="615"/>
      <c r="D628" s="626" t="s">
        <v>674</v>
      </c>
      <c r="Y628" s="626"/>
    </row>
    <row r="629" spans="1:25" s="426" customFormat="1" ht="13.5" thickBot="1" x14ac:dyDescent="0.25">
      <c r="B629" s="641" t="s">
        <v>664</v>
      </c>
      <c r="C629" s="643">
        <f>J366</f>
        <v>1</v>
      </c>
      <c r="D629" s="642">
        <f>IF(C629=1,D698+D710,0)</f>
        <v>155.83333333333331</v>
      </c>
      <c r="Y629" s="626"/>
    </row>
    <row r="630" spans="1:25" s="426" customFormat="1" x14ac:dyDescent="0.25">
      <c r="K630" s="77" t="s">
        <v>4</v>
      </c>
      <c r="L630"/>
      <c r="M630"/>
      <c r="Y630" s="626"/>
    </row>
    <row r="631" spans="1:25" s="426" customFormat="1" x14ac:dyDescent="0.25">
      <c r="K631" s="1062" t="str">
        <f>IF(AND(VLOOKUP(1,$A$113:$C$116,3,FALSE)&gt;0,$C$15=L631),1," ")</f>
        <v xml:space="preserve"> </v>
      </c>
      <c r="L631" s="1071" t="str">
        <f t="shared" ref="L631:L638" si="123">B121</f>
        <v>Onbedrukt / minder dan 10%</v>
      </c>
      <c r="M631" s="567">
        <v>200</v>
      </c>
      <c r="Y631" s="626"/>
    </row>
    <row r="632" spans="1:25" s="426" customFormat="1" x14ac:dyDescent="0.25">
      <c r="B632" s="426" t="s">
        <v>678</v>
      </c>
      <c r="C632" s="633">
        <f>'Tarieven (3)'!C5</f>
        <v>550</v>
      </c>
      <c r="D632" s="633">
        <f>C632/60</f>
        <v>9.1666666666666661</v>
      </c>
      <c r="K632" s="12" t="str">
        <f t="shared" ref="K632:K638" si="124">IF(AND(VLOOKUP(1,$A$113:$C$116,3,FALSE)&gt;0,$C$15=L632),1," ")</f>
        <v xml:space="preserve"> </v>
      </c>
      <c r="L632" s="1072" t="str">
        <f t="shared" si="123"/>
        <v>10%</v>
      </c>
      <c r="M632" s="30">
        <v>180</v>
      </c>
      <c r="Y632" s="626"/>
    </row>
    <row r="633" spans="1:25" s="426" customFormat="1" x14ac:dyDescent="0.25">
      <c r="C633" s="635"/>
      <c r="D633" s="635"/>
      <c r="K633" s="12" t="str">
        <f t="shared" si="124"/>
        <v xml:space="preserve"> </v>
      </c>
      <c r="L633" s="1072" t="str">
        <f t="shared" si="123"/>
        <v>20%</v>
      </c>
      <c r="M633" s="30">
        <v>170</v>
      </c>
      <c r="Y633" s="626"/>
    </row>
    <row r="634" spans="1:25" s="426" customFormat="1" x14ac:dyDescent="0.25">
      <c r="A634" s="426" t="s">
        <v>61</v>
      </c>
      <c r="B634" s="426" t="s">
        <v>679</v>
      </c>
      <c r="C634" s="636" t="s">
        <v>680</v>
      </c>
      <c r="D634" s="635"/>
      <c r="K634" s="12" t="str">
        <f t="shared" si="124"/>
        <v xml:space="preserve"> </v>
      </c>
      <c r="L634" s="1072" t="str">
        <f t="shared" si="123"/>
        <v>30%</v>
      </c>
      <c r="M634" s="30">
        <v>160</v>
      </c>
      <c r="Y634" s="626"/>
    </row>
    <row r="635" spans="1:25" s="426" customFormat="1" x14ac:dyDescent="0.25">
      <c r="A635" s="626">
        <f>IF(C629=1,1,0)</f>
        <v>1</v>
      </c>
      <c r="B635" s="426" t="s">
        <v>675</v>
      </c>
      <c r="C635" s="637">
        <v>8</v>
      </c>
      <c r="D635" s="426" t="s">
        <v>683</v>
      </c>
      <c r="F635" s="426" t="s">
        <v>686</v>
      </c>
      <c r="H635" s="626"/>
      <c r="K635" s="12" t="str">
        <f t="shared" si="124"/>
        <v xml:space="preserve"> </v>
      </c>
      <c r="L635" s="1072" t="str">
        <f t="shared" si="123"/>
        <v>40%</v>
      </c>
      <c r="M635" s="30">
        <v>140</v>
      </c>
      <c r="Y635" s="626"/>
    </row>
    <row r="636" spans="1:25" s="426" customFormat="1" x14ac:dyDescent="0.25">
      <c r="A636" s="626">
        <f>IF(AND(C629=1,C131&gt;0),1,0)</f>
        <v>0</v>
      </c>
      <c r="B636" s="426" t="s">
        <v>676</v>
      </c>
      <c r="C636" s="637">
        <v>5</v>
      </c>
      <c r="D636" s="426" t="s">
        <v>683</v>
      </c>
      <c r="F636" s="634">
        <v>1</v>
      </c>
      <c r="G636" s="634">
        <v>2</v>
      </c>
      <c r="H636" s="626"/>
      <c r="K636" s="12" t="str">
        <f t="shared" si="124"/>
        <v xml:space="preserve"> </v>
      </c>
      <c r="L636" s="1072" t="str">
        <f t="shared" si="123"/>
        <v>60%</v>
      </c>
      <c r="M636" s="30">
        <v>100</v>
      </c>
      <c r="Y636" s="626"/>
    </row>
    <row r="637" spans="1:25" s="426" customFormat="1" x14ac:dyDescent="0.25">
      <c r="A637" s="626">
        <f>IF(AND(C629=1,C111&gt;0),C111,0)</f>
        <v>0</v>
      </c>
      <c r="B637" s="426" t="s">
        <v>677</v>
      </c>
      <c r="C637" s="634">
        <f>IF(A637&gt;0,HLOOKUP(A637,F636:G637,2,FALSE),0)</f>
        <v>0</v>
      </c>
      <c r="D637" s="426" t="s">
        <v>683</v>
      </c>
      <c r="F637" s="644">
        <v>2</v>
      </c>
      <c r="G637" s="644">
        <v>3</v>
      </c>
      <c r="K637" s="12" t="str">
        <f t="shared" si="124"/>
        <v xml:space="preserve"> </v>
      </c>
      <c r="L637" s="1072" t="str">
        <f t="shared" si="123"/>
        <v>80%</v>
      </c>
      <c r="M637" s="30">
        <v>80</v>
      </c>
      <c r="Y637" s="626"/>
    </row>
    <row r="638" spans="1:25" s="426" customFormat="1" x14ac:dyDescent="0.25">
      <c r="A638" s="626">
        <f>IF(AND(C629=1,C111&gt;0),C111,0)</f>
        <v>0</v>
      </c>
      <c r="B638" s="426" t="s">
        <v>681</v>
      </c>
      <c r="C638" s="637">
        <v>3</v>
      </c>
      <c r="D638" s="426" t="s">
        <v>683</v>
      </c>
      <c r="K638" s="13" t="str">
        <f t="shared" si="124"/>
        <v xml:space="preserve"> </v>
      </c>
      <c r="L638" s="1073" t="str">
        <f t="shared" si="123"/>
        <v>100%</v>
      </c>
      <c r="M638" s="30">
        <v>80</v>
      </c>
      <c r="Y638" s="626"/>
    </row>
    <row r="639" spans="1:25" s="426" customFormat="1" x14ac:dyDescent="0.25">
      <c r="A639" s="626">
        <f>IF(AND(C629=1,C131&gt;0),1,0)</f>
        <v>0</v>
      </c>
      <c r="B639" s="426" t="s">
        <v>690</v>
      </c>
      <c r="C639" s="637">
        <v>3</v>
      </c>
      <c r="D639" s="426" t="s">
        <v>691</v>
      </c>
      <c r="K639" s="415"/>
      <c r="L639" s="1069" t="s">
        <v>1019</v>
      </c>
      <c r="M639" s="1008">
        <f>IF(SUM(K631:K638)&gt;0,VLOOKUP(1,K631:M638,3,FALSE),9999)</f>
        <v>9999</v>
      </c>
      <c r="Y639" s="626"/>
    </row>
    <row r="640" spans="1:25" s="426" customFormat="1" x14ac:dyDescent="0.25">
      <c r="K640" s="2"/>
      <c r="L640" s="1067"/>
      <c r="M640" s="2"/>
      <c r="Y640" s="626"/>
    </row>
    <row r="641" spans="1:25" s="426" customFormat="1" x14ac:dyDescent="0.25">
      <c r="B641" s="426" t="s">
        <v>682</v>
      </c>
      <c r="C641" s="637">
        <v>6</v>
      </c>
      <c r="D641" s="426" t="s">
        <v>684</v>
      </c>
      <c r="I641" s="972"/>
      <c r="K641" s="2"/>
      <c r="L641" s="1067"/>
      <c r="M641" s="2"/>
      <c r="Y641" s="626"/>
    </row>
    <row r="642" spans="1:25" s="426" customFormat="1" x14ac:dyDescent="0.25">
      <c r="K642" s="2"/>
      <c r="L642" s="1067"/>
      <c r="M642" s="2"/>
      <c r="Y642" s="626"/>
    </row>
    <row r="643" spans="1:25" s="426" customFormat="1" x14ac:dyDescent="0.25">
      <c r="B643" s="426" t="s">
        <v>1292</v>
      </c>
      <c r="C643" s="1047">
        <f>D402</f>
        <v>0</v>
      </c>
      <c r="K643" s="2"/>
      <c r="L643" s="1067"/>
      <c r="M643" s="2"/>
      <c r="Y643" s="626"/>
    </row>
    <row r="644" spans="1:25" s="426" customFormat="1" x14ac:dyDescent="0.25">
      <c r="K644" s="2"/>
      <c r="L644" s="1067"/>
      <c r="M644" s="2"/>
      <c r="Y644" s="626"/>
    </row>
    <row r="645" spans="1:25" s="426" customFormat="1" ht="12.75" x14ac:dyDescent="0.2">
      <c r="B645" s="426" t="s">
        <v>99</v>
      </c>
      <c r="C645" s="628">
        <f>E445</f>
        <v>361</v>
      </c>
      <c r="D645" s="426" t="s">
        <v>25</v>
      </c>
      <c r="Y645" s="626"/>
    </row>
    <row r="646" spans="1:25" s="426" customFormat="1" ht="12.75" x14ac:dyDescent="0.2">
      <c r="B646" s="426" t="s">
        <v>100</v>
      </c>
      <c r="C646" s="628">
        <f>F445</f>
        <v>1150</v>
      </c>
      <c r="D646" s="426" t="s">
        <v>25</v>
      </c>
      <c r="Y646" s="626"/>
    </row>
    <row r="647" spans="1:25" s="426" customFormat="1" ht="12.75" x14ac:dyDescent="0.2">
      <c r="Y647" s="626"/>
    </row>
    <row r="648" spans="1:25" s="426" customFormat="1" ht="12.75" x14ac:dyDescent="0.2">
      <c r="Y648" s="626"/>
    </row>
    <row r="649" spans="1:25" s="426" customFormat="1" ht="12.75" x14ac:dyDescent="0.2">
      <c r="A649" s="652"/>
      <c r="B649" s="653"/>
      <c r="C649" s="628"/>
      <c r="D649" s="628" t="s">
        <v>697</v>
      </c>
      <c r="E649" s="652" t="s">
        <v>698</v>
      </c>
      <c r="F649" s="659" t="s">
        <v>701</v>
      </c>
      <c r="G649" s="634" t="s">
        <v>702</v>
      </c>
      <c r="H649" s="661" t="s">
        <v>989</v>
      </c>
      <c r="I649" s="661" t="s">
        <v>703</v>
      </c>
      <c r="Y649" s="626"/>
    </row>
    <row r="650" spans="1:25" s="426" customFormat="1" ht="12.75" x14ac:dyDescent="0.2">
      <c r="A650" s="429"/>
      <c r="B650" s="430" t="s">
        <v>696</v>
      </c>
      <c r="C650" s="145">
        <f>AS46</f>
        <v>1</v>
      </c>
      <c r="D650" s="145">
        <f>IF(C643=1,1,(C6/C7)*C650)</f>
        <v>1.2</v>
      </c>
      <c r="E650" s="658">
        <f>IF(C643=1,1,C650*(C8/C6))</f>
        <v>0.33333333333333331</v>
      </c>
      <c r="F650" s="660">
        <f>VLOOKUP(1,A655:D660,4,FALSE)*VLOOKUP(1,E655:H660,4,FALSE)</f>
        <v>1</v>
      </c>
      <c r="G650" s="1086">
        <f>AY46</f>
        <v>0.9</v>
      </c>
      <c r="H650" s="971">
        <f>VLOOKUP(1,A148:N156,N145,FALSE)</f>
        <v>1</v>
      </c>
      <c r="I650" s="662">
        <f>F650*G650*H650</f>
        <v>0.9</v>
      </c>
      <c r="Y650" s="626"/>
    </row>
    <row r="651" spans="1:25" s="426" customFormat="1" ht="12.75" x14ac:dyDescent="0.2">
      <c r="C651" s="626"/>
      <c r="Y651" s="626"/>
    </row>
    <row r="652" spans="1:25" s="426" customFormat="1" ht="12.75" x14ac:dyDescent="0.2">
      <c r="C652" s="626"/>
      <c r="Y652" s="626"/>
    </row>
    <row r="653" spans="1:25" s="426" customFormat="1" x14ac:dyDescent="0.25">
      <c r="A653" s="405"/>
      <c r="B653" s="1302" t="s">
        <v>699</v>
      </c>
      <c r="C653" s="1303"/>
      <c r="D653" s="243"/>
      <c r="E653" s="433"/>
      <c r="F653" s="1302" t="s">
        <v>700</v>
      </c>
      <c r="G653" s="1303"/>
      <c r="H653" s="442"/>
      <c r="Y653" s="626"/>
    </row>
    <row r="654" spans="1:25" s="426" customFormat="1" x14ac:dyDescent="0.25">
      <c r="A654" s="339"/>
      <c r="B654" s="1292"/>
      <c r="C654" s="1293"/>
      <c r="D654" s="244"/>
      <c r="E654" s="7"/>
      <c r="F654" s="432"/>
      <c r="G654" s="436"/>
      <c r="H654" s="13"/>
      <c r="Y654" s="626"/>
    </row>
    <row r="655" spans="1:25" s="426" customFormat="1" x14ac:dyDescent="0.25">
      <c r="A655" s="399">
        <f t="shared" ref="A655:A660" si="125">IF(AND($D$650&gt;=B655,$D$650&lt;C655),1,0)</f>
        <v>1</v>
      </c>
      <c r="B655" s="567">
        <v>0</v>
      </c>
      <c r="C655" s="567">
        <v>2.5</v>
      </c>
      <c r="D655" s="655">
        <v>1</v>
      </c>
      <c r="E655" s="423">
        <f>IF(AND($E$650&gt;=F655,$E$650&lt;G655),1,0)</f>
        <v>1</v>
      </c>
      <c r="F655" s="567">
        <v>0</v>
      </c>
      <c r="G655" s="486">
        <v>2</v>
      </c>
      <c r="H655" s="655">
        <v>1</v>
      </c>
      <c r="Y655" s="626"/>
    </row>
    <row r="656" spans="1:25" s="426" customFormat="1" x14ac:dyDescent="0.25">
      <c r="A656" s="120">
        <f t="shared" si="125"/>
        <v>0</v>
      </c>
      <c r="B656" s="30">
        <v>2.5</v>
      </c>
      <c r="C656" s="30">
        <v>3</v>
      </c>
      <c r="D656" s="656">
        <v>0.95</v>
      </c>
      <c r="E656" s="228">
        <f t="shared" ref="E656:E660" si="126">IF(AND($E$650&gt;=F656,$E$650&lt;G656),1,0)</f>
        <v>0</v>
      </c>
      <c r="F656" s="30">
        <v>2</v>
      </c>
      <c r="G656" s="28">
        <v>2.5</v>
      </c>
      <c r="H656" s="656">
        <v>0.95</v>
      </c>
      <c r="Y656" s="626"/>
    </row>
    <row r="657" spans="1:55" s="426" customFormat="1" x14ac:dyDescent="0.25">
      <c r="A657" s="120">
        <f t="shared" si="125"/>
        <v>0</v>
      </c>
      <c r="B657" s="30">
        <v>3</v>
      </c>
      <c r="C657" s="30">
        <v>3.5</v>
      </c>
      <c r="D657" s="656">
        <v>0.9</v>
      </c>
      <c r="E657" s="228">
        <f t="shared" si="126"/>
        <v>0</v>
      </c>
      <c r="F657" s="30">
        <v>2.5</v>
      </c>
      <c r="G657" s="28">
        <v>3.5</v>
      </c>
      <c r="H657" s="656">
        <v>0.9</v>
      </c>
      <c r="Y657" s="626"/>
    </row>
    <row r="658" spans="1:55" s="426" customFormat="1" x14ac:dyDescent="0.25">
      <c r="A658" s="120">
        <f t="shared" si="125"/>
        <v>0</v>
      </c>
      <c r="B658" s="30">
        <v>3.5</v>
      </c>
      <c r="C658" s="30">
        <v>4</v>
      </c>
      <c r="D658" s="656">
        <v>0.8</v>
      </c>
      <c r="E658" s="228">
        <f t="shared" si="126"/>
        <v>0</v>
      </c>
      <c r="F658" s="30">
        <v>3.5</v>
      </c>
      <c r="G658" s="28">
        <v>4</v>
      </c>
      <c r="H658" s="656">
        <v>0.85</v>
      </c>
      <c r="Y658" s="626"/>
    </row>
    <row r="659" spans="1:55" s="426" customFormat="1" x14ac:dyDescent="0.25">
      <c r="A659" s="120">
        <f t="shared" si="125"/>
        <v>0</v>
      </c>
      <c r="B659" s="30">
        <v>4</v>
      </c>
      <c r="C659" s="30">
        <v>5</v>
      </c>
      <c r="D659" s="656">
        <v>0.75</v>
      </c>
      <c r="E659" s="228">
        <f t="shared" si="126"/>
        <v>0</v>
      </c>
      <c r="F659" s="30">
        <v>4</v>
      </c>
      <c r="G659" s="28">
        <v>5.5</v>
      </c>
      <c r="H659" s="656">
        <v>0.8</v>
      </c>
      <c r="Y659" s="626"/>
    </row>
    <row r="660" spans="1:55" s="426" customFormat="1" x14ac:dyDescent="0.25">
      <c r="A660" s="202">
        <f t="shared" si="125"/>
        <v>0</v>
      </c>
      <c r="B660" s="490">
        <v>5</v>
      </c>
      <c r="C660" s="490">
        <v>99</v>
      </c>
      <c r="D660" s="657">
        <v>0.7</v>
      </c>
      <c r="E660" s="424">
        <f t="shared" si="126"/>
        <v>0</v>
      </c>
      <c r="F660" s="490">
        <v>5.5</v>
      </c>
      <c r="G660" s="34">
        <v>99</v>
      </c>
      <c r="H660" s="657">
        <v>0.75</v>
      </c>
      <c r="Y660" s="626"/>
    </row>
    <row r="661" spans="1:55" s="426" customFormat="1" ht="12.75" x14ac:dyDescent="0.2">
      <c r="C661" s="626"/>
      <c r="Y661" s="626"/>
    </row>
    <row r="662" spans="1:55" s="426" customFormat="1" ht="12.75" x14ac:dyDescent="0.2">
      <c r="Y662" s="626"/>
    </row>
    <row r="663" spans="1:55" s="426" customFormat="1" x14ac:dyDescent="0.25">
      <c r="A663"/>
      <c r="B663" s="2"/>
      <c r="C663" s="2"/>
      <c r="D663" s="431">
        <v>4</v>
      </c>
      <c r="E663" s="449">
        <v>5</v>
      </c>
      <c r="F663" s="449">
        <v>6</v>
      </c>
      <c r="G663" s="449">
        <v>7</v>
      </c>
      <c r="H663" s="449">
        <v>8</v>
      </c>
      <c r="I663" s="449">
        <v>9</v>
      </c>
      <c r="J663" s="449">
        <v>10</v>
      </c>
      <c r="K663" s="449">
        <v>11</v>
      </c>
      <c r="L663" s="449">
        <v>12</v>
      </c>
      <c r="M663" s="449">
        <v>13</v>
      </c>
      <c r="N663" s="449">
        <v>14</v>
      </c>
      <c r="O663" s="449">
        <v>15</v>
      </c>
      <c r="P663" s="449">
        <v>16</v>
      </c>
      <c r="Q663" s="449">
        <v>17</v>
      </c>
      <c r="R663" s="449">
        <v>18</v>
      </c>
      <c r="S663" s="449">
        <v>19</v>
      </c>
      <c r="T663" s="449">
        <v>20</v>
      </c>
      <c r="U663" s="449">
        <v>21</v>
      </c>
      <c r="V663" s="449">
        <v>22</v>
      </c>
      <c r="W663" s="449">
        <v>23</v>
      </c>
      <c r="X663" s="449">
        <v>24</v>
      </c>
      <c r="Y663" s="449">
        <v>25</v>
      </c>
      <c r="Z663" s="435">
        <v>26</v>
      </c>
      <c r="AA663"/>
    </row>
    <row r="664" spans="1:55" s="426" customFormat="1" x14ac:dyDescent="0.25">
      <c r="A664" s="405"/>
      <c r="B664" s="449"/>
      <c r="C664" s="449"/>
      <c r="D664" s="208">
        <f>IF(AND($C$646&gt;=D665,$C$646&lt;D666),1,0)</f>
        <v>0</v>
      </c>
      <c r="E664" s="23">
        <f t="shared" ref="E664:Z664" si="127">IF(AND($C$646&gt;=E665,$C$646&lt;E666),1,0)</f>
        <v>0</v>
      </c>
      <c r="F664" s="23">
        <f t="shared" si="127"/>
        <v>0</v>
      </c>
      <c r="G664" s="23">
        <f t="shared" si="127"/>
        <v>0</v>
      </c>
      <c r="H664" s="23">
        <f t="shared" si="127"/>
        <v>0</v>
      </c>
      <c r="I664" s="23">
        <f t="shared" si="127"/>
        <v>1</v>
      </c>
      <c r="J664" s="23">
        <f t="shared" si="127"/>
        <v>0</v>
      </c>
      <c r="K664" s="23">
        <f t="shared" si="127"/>
        <v>0</v>
      </c>
      <c r="L664" s="23">
        <f t="shared" si="127"/>
        <v>0</v>
      </c>
      <c r="M664" s="23">
        <f t="shared" si="127"/>
        <v>0</v>
      </c>
      <c r="N664" s="23">
        <f t="shared" si="127"/>
        <v>0</v>
      </c>
      <c r="O664" s="23">
        <f t="shared" si="127"/>
        <v>0</v>
      </c>
      <c r="P664" s="23">
        <f t="shared" si="127"/>
        <v>0</v>
      </c>
      <c r="Q664" s="23">
        <f t="shared" si="127"/>
        <v>0</v>
      </c>
      <c r="R664" s="23">
        <f t="shared" si="127"/>
        <v>0</v>
      </c>
      <c r="S664" s="23">
        <f t="shared" si="127"/>
        <v>0</v>
      </c>
      <c r="T664" s="23">
        <f t="shared" si="127"/>
        <v>0</v>
      </c>
      <c r="U664" s="23">
        <f t="shared" si="127"/>
        <v>0</v>
      </c>
      <c r="V664" s="23">
        <f t="shared" si="127"/>
        <v>0</v>
      </c>
      <c r="W664" s="23">
        <f t="shared" si="127"/>
        <v>0</v>
      </c>
      <c r="X664" s="23">
        <f t="shared" si="127"/>
        <v>0</v>
      </c>
      <c r="Y664" s="23">
        <f t="shared" si="127"/>
        <v>0</v>
      </c>
      <c r="Z664" s="38">
        <f t="shared" si="127"/>
        <v>0</v>
      </c>
      <c r="AA664"/>
      <c r="AD664" s="719"/>
      <c r="AE664" s="3"/>
      <c r="AF664" s="435"/>
      <c r="AG664" s="208">
        <f>IF(AND($C$646&gt;=AG665,$C$646&lt;AG666),1,0)</f>
        <v>0</v>
      </c>
      <c r="AH664" s="23">
        <f t="shared" ref="AH664:BC664" si="128">IF(AND($C$646&gt;=AH665,$C$646&lt;AH666),1,0)</f>
        <v>0</v>
      </c>
      <c r="AI664" s="23">
        <f t="shared" si="128"/>
        <v>0</v>
      </c>
      <c r="AJ664" s="23">
        <f t="shared" si="128"/>
        <v>0</v>
      </c>
      <c r="AK664" s="23">
        <f t="shared" si="128"/>
        <v>0</v>
      </c>
      <c r="AL664" s="23">
        <f t="shared" si="128"/>
        <v>1</v>
      </c>
      <c r="AM664" s="23">
        <f t="shared" si="128"/>
        <v>0</v>
      </c>
      <c r="AN664" s="23">
        <f t="shared" si="128"/>
        <v>0</v>
      </c>
      <c r="AO664" s="23">
        <f t="shared" si="128"/>
        <v>0</v>
      </c>
      <c r="AP664" s="23">
        <f t="shared" si="128"/>
        <v>0</v>
      </c>
      <c r="AQ664" s="23">
        <f t="shared" si="128"/>
        <v>0</v>
      </c>
      <c r="AR664" s="23">
        <f t="shared" si="128"/>
        <v>0</v>
      </c>
      <c r="AS664" s="23">
        <f t="shared" si="128"/>
        <v>0</v>
      </c>
      <c r="AT664" s="23">
        <f t="shared" si="128"/>
        <v>0</v>
      </c>
      <c r="AU664" s="23">
        <f t="shared" si="128"/>
        <v>0</v>
      </c>
      <c r="AV664" s="23">
        <f t="shared" si="128"/>
        <v>0</v>
      </c>
      <c r="AW664" s="23">
        <f t="shared" si="128"/>
        <v>0</v>
      </c>
      <c r="AX664" s="23">
        <f t="shared" si="128"/>
        <v>0</v>
      </c>
      <c r="AY664" s="23">
        <f t="shared" si="128"/>
        <v>0</v>
      </c>
      <c r="AZ664" s="23">
        <f t="shared" si="128"/>
        <v>0</v>
      </c>
      <c r="BA664" s="23">
        <f t="shared" si="128"/>
        <v>0</v>
      </c>
      <c r="BB664" s="23">
        <f t="shared" si="128"/>
        <v>0</v>
      </c>
      <c r="BC664" s="38">
        <f t="shared" si="128"/>
        <v>0</v>
      </c>
    </row>
    <row r="665" spans="1:55" s="426" customFormat="1" x14ac:dyDescent="0.25">
      <c r="A665" s="339"/>
      <c r="B665" s="2"/>
      <c r="C665" s="25"/>
      <c r="D665" s="2">
        <v>600</v>
      </c>
      <c r="E665" s="2">
        <v>700</v>
      </c>
      <c r="F665" s="2">
        <v>800</v>
      </c>
      <c r="G665" s="2">
        <v>900</v>
      </c>
      <c r="H665" s="2">
        <v>1000</v>
      </c>
      <c r="I665" s="2">
        <v>1100</v>
      </c>
      <c r="J665" s="2">
        <v>1200</v>
      </c>
      <c r="K665" s="2">
        <v>1300</v>
      </c>
      <c r="L665" s="2">
        <v>1400</v>
      </c>
      <c r="M665" s="2">
        <v>1500</v>
      </c>
      <c r="N665" s="2">
        <v>1600</v>
      </c>
      <c r="O665" s="2">
        <v>1700</v>
      </c>
      <c r="P665" s="2">
        <v>1800</v>
      </c>
      <c r="Q665" s="2">
        <v>1900</v>
      </c>
      <c r="R665" s="2">
        <v>2000</v>
      </c>
      <c r="S665" s="2">
        <v>2100</v>
      </c>
      <c r="T665" s="2">
        <v>2200</v>
      </c>
      <c r="U665" s="2">
        <v>2300</v>
      </c>
      <c r="V665" s="2">
        <v>2400</v>
      </c>
      <c r="W665" s="2">
        <v>2500</v>
      </c>
      <c r="X665" s="2">
        <v>2600</v>
      </c>
      <c r="Y665" s="2">
        <v>2700</v>
      </c>
      <c r="Z665" s="25">
        <v>2800</v>
      </c>
      <c r="AA665"/>
      <c r="AD665" s="713"/>
      <c r="AE665" s="26"/>
      <c r="AF665" s="25"/>
      <c r="AG665" s="2">
        <v>600</v>
      </c>
      <c r="AH665" s="2">
        <v>700</v>
      </c>
      <c r="AI665" s="2">
        <v>800</v>
      </c>
      <c r="AJ665" s="2">
        <v>900</v>
      </c>
      <c r="AK665" s="2">
        <v>1000</v>
      </c>
      <c r="AL665" s="2">
        <v>1100</v>
      </c>
      <c r="AM665" s="2">
        <v>1200</v>
      </c>
      <c r="AN665" s="2">
        <v>1300</v>
      </c>
      <c r="AO665" s="2">
        <v>1400</v>
      </c>
      <c r="AP665" s="2">
        <v>1500</v>
      </c>
      <c r="AQ665" s="2">
        <v>1600</v>
      </c>
      <c r="AR665" s="2">
        <v>1700</v>
      </c>
      <c r="AS665" s="2">
        <v>1800</v>
      </c>
      <c r="AT665" s="2">
        <v>1900</v>
      </c>
      <c r="AU665" s="2">
        <v>2000</v>
      </c>
      <c r="AV665" s="2">
        <v>2100</v>
      </c>
      <c r="AW665" s="2">
        <v>2200</v>
      </c>
      <c r="AX665" s="2">
        <v>2300</v>
      </c>
      <c r="AY665" s="2">
        <v>2400</v>
      </c>
      <c r="AZ665" s="2">
        <v>2500</v>
      </c>
      <c r="BA665" s="2">
        <v>2600</v>
      </c>
      <c r="BB665" s="2">
        <v>2700</v>
      </c>
      <c r="BC665" s="25">
        <v>2800</v>
      </c>
    </row>
    <row r="666" spans="1:55" s="426" customFormat="1" ht="15.75" thickBot="1" x14ac:dyDescent="0.3">
      <c r="A666" s="650"/>
      <c r="B666" s="343"/>
      <c r="C666" s="436"/>
      <c r="D666" s="2">
        <v>700</v>
      </c>
      <c r="E666" s="2">
        <v>800</v>
      </c>
      <c r="F666" s="2">
        <v>900</v>
      </c>
      <c r="G666" s="2">
        <v>1000</v>
      </c>
      <c r="H666" s="2">
        <v>1100</v>
      </c>
      <c r="I666" s="2">
        <v>1200</v>
      </c>
      <c r="J666" s="2">
        <v>1300</v>
      </c>
      <c r="K666" s="2">
        <v>1400</v>
      </c>
      <c r="L666" s="2">
        <v>1500</v>
      </c>
      <c r="M666" s="2">
        <v>1600</v>
      </c>
      <c r="N666" s="2">
        <v>1700</v>
      </c>
      <c r="O666" s="2">
        <v>1800</v>
      </c>
      <c r="P666" s="2">
        <v>1900</v>
      </c>
      <c r="Q666" s="2">
        <v>2000</v>
      </c>
      <c r="R666" s="2">
        <v>2100</v>
      </c>
      <c r="S666" s="2">
        <v>2200</v>
      </c>
      <c r="T666" s="2">
        <v>2300</v>
      </c>
      <c r="U666" s="2">
        <v>2400</v>
      </c>
      <c r="V666" s="2">
        <v>2500</v>
      </c>
      <c r="W666" s="2">
        <v>2600</v>
      </c>
      <c r="X666" s="2">
        <v>2700</v>
      </c>
      <c r="Y666" s="2">
        <v>2800</v>
      </c>
      <c r="Z666" s="25">
        <v>3000</v>
      </c>
      <c r="AA666"/>
      <c r="AD666" s="713"/>
      <c r="AE666" s="432"/>
      <c r="AF666" s="966"/>
      <c r="AG666" s="343">
        <v>700</v>
      </c>
      <c r="AH666" s="343">
        <v>800</v>
      </c>
      <c r="AI666" s="343">
        <v>900</v>
      </c>
      <c r="AJ666" s="343">
        <v>1000</v>
      </c>
      <c r="AK666" s="343">
        <v>1100</v>
      </c>
      <c r="AL666" s="343">
        <v>1200</v>
      </c>
      <c r="AM666" s="343">
        <v>1300</v>
      </c>
      <c r="AN666" s="343">
        <v>1400</v>
      </c>
      <c r="AO666" s="343">
        <v>1500</v>
      </c>
      <c r="AP666" s="343">
        <v>1600</v>
      </c>
      <c r="AQ666" s="343">
        <v>1700</v>
      </c>
      <c r="AR666" s="343">
        <v>1800</v>
      </c>
      <c r="AS666" s="343">
        <v>1900</v>
      </c>
      <c r="AT666" s="343">
        <v>2000</v>
      </c>
      <c r="AU666" s="343">
        <v>2100</v>
      </c>
      <c r="AV666" s="343">
        <v>2200</v>
      </c>
      <c r="AW666" s="343">
        <v>2300</v>
      </c>
      <c r="AX666" s="343">
        <v>2400</v>
      </c>
      <c r="AY666" s="343">
        <v>2500</v>
      </c>
      <c r="AZ666" s="343">
        <v>2600</v>
      </c>
      <c r="BA666" s="343">
        <v>2700</v>
      </c>
      <c r="BB666" s="343">
        <v>2800</v>
      </c>
      <c r="BC666" s="436">
        <v>3000</v>
      </c>
    </row>
    <row r="667" spans="1:55" s="426" customFormat="1" ht="15.75" thickBot="1" x14ac:dyDescent="0.3">
      <c r="A667" s="404">
        <f>IF(AND($C$645&gt;=B667,$C$645&lt;C667),1,0)</f>
        <v>0</v>
      </c>
      <c r="B667" s="2">
        <v>300</v>
      </c>
      <c r="C667" s="2">
        <v>350</v>
      </c>
      <c r="D667" s="3">
        <f>FLOOR($AD$667*AG667,1)</f>
        <v>281</v>
      </c>
      <c r="E667" s="449">
        <f t="shared" ref="E667:T671" si="129">FLOOR($AD$667*AH667,1)</f>
        <v>280</v>
      </c>
      <c r="F667" s="449">
        <f t="shared" si="129"/>
        <v>277</v>
      </c>
      <c r="G667" s="449">
        <f t="shared" si="129"/>
        <v>276</v>
      </c>
      <c r="H667" s="449">
        <f t="shared" si="129"/>
        <v>274</v>
      </c>
      <c r="I667" s="449">
        <f t="shared" si="129"/>
        <v>273</v>
      </c>
      <c r="J667" s="449">
        <f t="shared" si="129"/>
        <v>272</v>
      </c>
      <c r="K667" s="449">
        <f t="shared" si="129"/>
        <v>270</v>
      </c>
      <c r="L667" s="449">
        <f t="shared" si="129"/>
        <v>268</v>
      </c>
      <c r="M667" s="449">
        <f t="shared" si="129"/>
        <v>267</v>
      </c>
      <c r="N667" s="449">
        <f t="shared" si="129"/>
        <v>265</v>
      </c>
      <c r="O667" s="449">
        <f t="shared" si="129"/>
        <v>264</v>
      </c>
      <c r="P667" s="449">
        <f t="shared" si="129"/>
        <v>262</v>
      </c>
      <c r="Q667" s="449">
        <f t="shared" si="129"/>
        <v>260</v>
      </c>
      <c r="R667" s="449">
        <f t="shared" si="129"/>
        <v>259</v>
      </c>
      <c r="S667" s="449">
        <f t="shared" si="129"/>
        <v>258</v>
      </c>
      <c r="T667" s="449">
        <f t="shared" si="129"/>
        <v>256</v>
      </c>
      <c r="U667" s="449">
        <f t="shared" ref="U667:Z671" si="130">FLOOR($AD$667*AX667,1)</f>
        <v>255</v>
      </c>
      <c r="V667" s="449">
        <f t="shared" si="130"/>
        <v>253</v>
      </c>
      <c r="W667" s="449">
        <f t="shared" si="130"/>
        <v>252</v>
      </c>
      <c r="X667" s="449">
        <f t="shared" si="130"/>
        <v>250</v>
      </c>
      <c r="Y667" s="449">
        <f t="shared" si="130"/>
        <v>248</v>
      </c>
      <c r="Z667" s="435">
        <f t="shared" si="130"/>
        <v>248</v>
      </c>
      <c r="AA667" s="1304" t="s">
        <v>687</v>
      </c>
      <c r="AD667" s="1058">
        <v>0.8</v>
      </c>
      <c r="AE667" s="2">
        <v>300</v>
      </c>
      <c r="AF667" s="25">
        <v>350</v>
      </c>
      <c r="AG667" s="645">
        <v>352</v>
      </c>
      <c r="AH667" s="646">
        <v>350</v>
      </c>
      <c r="AI667" s="646">
        <v>347</v>
      </c>
      <c r="AJ667" s="646">
        <v>345</v>
      </c>
      <c r="AK667" s="646">
        <v>343</v>
      </c>
      <c r="AL667" s="646">
        <v>342</v>
      </c>
      <c r="AM667" s="646">
        <v>340</v>
      </c>
      <c r="AN667" s="646">
        <v>338</v>
      </c>
      <c r="AO667" s="646">
        <v>336</v>
      </c>
      <c r="AP667" s="646">
        <v>334</v>
      </c>
      <c r="AQ667" s="646">
        <v>332</v>
      </c>
      <c r="AR667" s="646">
        <v>330</v>
      </c>
      <c r="AS667" s="646">
        <v>328</v>
      </c>
      <c r="AT667" s="646">
        <v>326</v>
      </c>
      <c r="AU667" s="646">
        <v>324</v>
      </c>
      <c r="AV667" s="646">
        <v>323</v>
      </c>
      <c r="AW667" s="646">
        <v>321</v>
      </c>
      <c r="AX667" s="22">
        <v>319</v>
      </c>
      <c r="AY667" s="22">
        <v>317</v>
      </c>
      <c r="AZ667" s="22">
        <v>315</v>
      </c>
      <c r="BA667" s="647">
        <v>313</v>
      </c>
      <c r="BB667" s="647">
        <v>311</v>
      </c>
      <c r="BC667" s="567">
        <v>311</v>
      </c>
    </row>
    <row r="668" spans="1:55" s="426" customFormat="1" x14ac:dyDescent="0.25">
      <c r="A668" s="41">
        <f t="shared" ref="A668:A688" si="131">IF(AND($C$645&gt;=B668,$C$645&lt;C668),1,0)</f>
        <v>1</v>
      </c>
      <c r="B668" s="2">
        <v>350</v>
      </c>
      <c r="C668" s="2">
        <v>400</v>
      </c>
      <c r="D668" s="26">
        <f t="shared" ref="D668:D671" si="132">FLOOR($AD$667*AG668,1)</f>
        <v>279</v>
      </c>
      <c r="E668" s="2">
        <f t="shared" si="129"/>
        <v>277</v>
      </c>
      <c r="F668" s="2">
        <f t="shared" si="129"/>
        <v>276</v>
      </c>
      <c r="G668" s="2">
        <f t="shared" si="129"/>
        <v>274</v>
      </c>
      <c r="H668" s="2">
        <f t="shared" si="129"/>
        <v>273</v>
      </c>
      <c r="I668" s="2">
        <f t="shared" si="129"/>
        <v>272</v>
      </c>
      <c r="J668" s="2">
        <f t="shared" si="129"/>
        <v>270</v>
      </c>
      <c r="K668" s="2">
        <f t="shared" si="129"/>
        <v>268</v>
      </c>
      <c r="L668" s="2">
        <f t="shared" si="129"/>
        <v>267</v>
      </c>
      <c r="M668" s="2">
        <f t="shared" si="129"/>
        <v>265</v>
      </c>
      <c r="N668" s="2">
        <f t="shared" si="129"/>
        <v>264</v>
      </c>
      <c r="O668" s="2">
        <f t="shared" si="129"/>
        <v>262</v>
      </c>
      <c r="P668" s="2">
        <f t="shared" si="129"/>
        <v>260</v>
      </c>
      <c r="Q668" s="2">
        <f t="shared" si="129"/>
        <v>259</v>
      </c>
      <c r="R668" s="2">
        <f t="shared" si="129"/>
        <v>258</v>
      </c>
      <c r="S668" s="2">
        <f t="shared" si="129"/>
        <v>256</v>
      </c>
      <c r="T668" s="2">
        <f t="shared" si="129"/>
        <v>255</v>
      </c>
      <c r="U668" s="2">
        <f t="shared" si="130"/>
        <v>253</v>
      </c>
      <c r="V668" s="2">
        <f t="shared" si="130"/>
        <v>252</v>
      </c>
      <c r="W668" s="2">
        <f t="shared" si="130"/>
        <v>250</v>
      </c>
      <c r="X668" s="2">
        <f t="shared" si="130"/>
        <v>180</v>
      </c>
      <c r="Y668" s="2">
        <f t="shared" si="130"/>
        <v>247</v>
      </c>
      <c r="Z668" s="25">
        <f t="shared" si="130"/>
        <v>247</v>
      </c>
      <c r="AA668" s="1305"/>
      <c r="AD668" s="713"/>
      <c r="AE668" s="26">
        <v>350</v>
      </c>
      <c r="AF668" s="25">
        <v>400</v>
      </c>
      <c r="AG668" s="29">
        <v>349</v>
      </c>
      <c r="AH668" s="22">
        <v>347</v>
      </c>
      <c r="AI668" s="22">
        <v>345</v>
      </c>
      <c r="AJ668" s="22">
        <v>343</v>
      </c>
      <c r="AK668" s="22">
        <v>342</v>
      </c>
      <c r="AL668" s="22">
        <v>340</v>
      </c>
      <c r="AM668" s="22">
        <v>338</v>
      </c>
      <c r="AN668" s="22">
        <v>336</v>
      </c>
      <c r="AO668" s="22">
        <v>334</v>
      </c>
      <c r="AP668" s="22">
        <v>332</v>
      </c>
      <c r="AQ668" s="22">
        <v>330</v>
      </c>
      <c r="AR668" s="22">
        <v>328</v>
      </c>
      <c r="AS668" s="22">
        <v>326</v>
      </c>
      <c r="AT668" s="22">
        <v>324</v>
      </c>
      <c r="AU668" s="22">
        <v>323</v>
      </c>
      <c r="AV668" s="22">
        <v>321</v>
      </c>
      <c r="AW668" s="22">
        <v>319</v>
      </c>
      <c r="AX668" s="22">
        <v>317</v>
      </c>
      <c r="AY668" s="22">
        <v>315</v>
      </c>
      <c r="AZ668" s="22">
        <v>313</v>
      </c>
      <c r="BA668" s="647">
        <v>226</v>
      </c>
      <c r="BB668" s="647">
        <v>309</v>
      </c>
      <c r="BC668" s="30">
        <v>309</v>
      </c>
    </row>
    <row r="669" spans="1:55" s="426" customFormat="1" x14ac:dyDescent="0.25">
      <c r="A669" s="41">
        <f t="shared" si="131"/>
        <v>0</v>
      </c>
      <c r="B669" s="2">
        <v>400</v>
      </c>
      <c r="C669" s="2">
        <v>450</v>
      </c>
      <c r="D669" s="26">
        <f t="shared" si="132"/>
        <v>276</v>
      </c>
      <c r="E669" s="2">
        <f t="shared" si="129"/>
        <v>275</v>
      </c>
      <c r="F669" s="2">
        <f t="shared" si="129"/>
        <v>273</v>
      </c>
      <c r="G669" s="2">
        <f t="shared" si="129"/>
        <v>272</v>
      </c>
      <c r="H669" s="2">
        <f t="shared" si="129"/>
        <v>271</v>
      </c>
      <c r="I669" s="2">
        <f t="shared" si="129"/>
        <v>269</v>
      </c>
      <c r="J669" s="2">
        <f t="shared" si="129"/>
        <v>268</v>
      </c>
      <c r="K669" s="2">
        <f t="shared" si="129"/>
        <v>266</v>
      </c>
      <c r="L669" s="2">
        <f t="shared" si="129"/>
        <v>264</v>
      </c>
      <c r="M669" s="2">
        <f t="shared" si="129"/>
        <v>263</v>
      </c>
      <c r="N669" s="2">
        <f t="shared" si="129"/>
        <v>261</v>
      </c>
      <c r="O669" s="2">
        <f t="shared" si="129"/>
        <v>260</v>
      </c>
      <c r="P669" s="2">
        <f t="shared" si="129"/>
        <v>258</v>
      </c>
      <c r="Q669" s="2">
        <f t="shared" si="129"/>
        <v>257</v>
      </c>
      <c r="R669" s="2">
        <f t="shared" si="129"/>
        <v>256</v>
      </c>
      <c r="S669" s="2">
        <f t="shared" si="129"/>
        <v>254</v>
      </c>
      <c r="T669" s="2">
        <f t="shared" si="129"/>
        <v>252</v>
      </c>
      <c r="U669" s="2">
        <f t="shared" si="130"/>
        <v>251</v>
      </c>
      <c r="V669" s="2">
        <f t="shared" si="130"/>
        <v>249</v>
      </c>
      <c r="W669" s="2">
        <f t="shared" si="130"/>
        <v>248</v>
      </c>
      <c r="X669" s="2">
        <f t="shared" si="130"/>
        <v>246</v>
      </c>
      <c r="Y669" s="2">
        <f t="shared" si="130"/>
        <v>244</v>
      </c>
      <c r="Z669" s="25">
        <f t="shared" si="130"/>
        <v>243</v>
      </c>
      <c r="AA669" s="1305"/>
      <c r="AD669" s="713"/>
      <c r="AE669" s="26">
        <v>400</v>
      </c>
      <c r="AF669" s="25">
        <v>450</v>
      </c>
      <c r="AG669" s="29">
        <v>346</v>
      </c>
      <c r="AH669" s="22">
        <v>344</v>
      </c>
      <c r="AI669" s="22">
        <v>342</v>
      </c>
      <c r="AJ669" s="22">
        <v>341</v>
      </c>
      <c r="AK669" s="22">
        <v>339</v>
      </c>
      <c r="AL669" s="22">
        <v>337</v>
      </c>
      <c r="AM669" s="22">
        <v>335</v>
      </c>
      <c r="AN669" s="22">
        <v>333</v>
      </c>
      <c r="AO669" s="22">
        <v>331</v>
      </c>
      <c r="AP669" s="22">
        <v>329</v>
      </c>
      <c r="AQ669" s="22">
        <v>327</v>
      </c>
      <c r="AR669" s="22">
        <v>325</v>
      </c>
      <c r="AS669" s="22">
        <v>323</v>
      </c>
      <c r="AT669" s="22">
        <v>322</v>
      </c>
      <c r="AU669" s="22">
        <v>320</v>
      </c>
      <c r="AV669" s="22">
        <v>318</v>
      </c>
      <c r="AW669" s="22">
        <v>316</v>
      </c>
      <c r="AX669" s="22">
        <v>314</v>
      </c>
      <c r="AY669" s="22">
        <v>312</v>
      </c>
      <c r="AZ669" s="22">
        <v>310</v>
      </c>
      <c r="BA669" s="647">
        <v>308</v>
      </c>
      <c r="BB669" s="647">
        <v>306</v>
      </c>
      <c r="BC669" s="30">
        <v>304</v>
      </c>
    </row>
    <row r="670" spans="1:55" s="426" customFormat="1" x14ac:dyDescent="0.25">
      <c r="A670" s="41">
        <f t="shared" si="131"/>
        <v>0</v>
      </c>
      <c r="B670" s="2">
        <v>450</v>
      </c>
      <c r="C670" s="2">
        <v>500</v>
      </c>
      <c r="D670" s="26">
        <f t="shared" si="132"/>
        <v>274</v>
      </c>
      <c r="E670" s="2">
        <f t="shared" si="129"/>
        <v>273</v>
      </c>
      <c r="F670" s="2">
        <f t="shared" si="129"/>
        <v>273</v>
      </c>
      <c r="G670" s="2">
        <f t="shared" si="129"/>
        <v>272</v>
      </c>
      <c r="H670" s="2">
        <f t="shared" si="129"/>
        <v>270</v>
      </c>
      <c r="I670" s="2">
        <f t="shared" si="129"/>
        <v>268</v>
      </c>
      <c r="J670" s="2">
        <f t="shared" si="129"/>
        <v>267</v>
      </c>
      <c r="K670" s="2">
        <f t="shared" si="129"/>
        <v>265</v>
      </c>
      <c r="L670" s="2">
        <f t="shared" si="129"/>
        <v>264</v>
      </c>
      <c r="M670" s="2">
        <f t="shared" si="129"/>
        <v>262</v>
      </c>
      <c r="N670" s="2">
        <f t="shared" si="129"/>
        <v>260</v>
      </c>
      <c r="O670" s="2">
        <f t="shared" si="129"/>
        <v>259</v>
      </c>
      <c r="P670" s="2">
        <f t="shared" si="129"/>
        <v>258</v>
      </c>
      <c r="Q670" s="2">
        <f t="shared" si="129"/>
        <v>256</v>
      </c>
      <c r="R670" s="2">
        <f t="shared" si="129"/>
        <v>255</v>
      </c>
      <c r="S670" s="2">
        <f t="shared" si="129"/>
        <v>253</v>
      </c>
      <c r="T670" s="2">
        <f t="shared" si="129"/>
        <v>252</v>
      </c>
      <c r="U670" s="2">
        <f t="shared" si="130"/>
        <v>250</v>
      </c>
      <c r="V670" s="2">
        <f t="shared" si="130"/>
        <v>248</v>
      </c>
      <c r="W670" s="2">
        <f t="shared" si="130"/>
        <v>247</v>
      </c>
      <c r="X670" s="2">
        <f t="shared" si="130"/>
        <v>245</v>
      </c>
      <c r="Y670" s="2">
        <f t="shared" si="130"/>
        <v>244</v>
      </c>
      <c r="Z670" s="25">
        <f t="shared" si="130"/>
        <v>241</v>
      </c>
      <c r="AA670" s="1305"/>
      <c r="AD670" s="713"/>
      <c r="AE670" s="26">
        <v>450</v>
      </c>
      <c r="AF670" s="25">
        <v>500</v>
      </c>
      <c r="AG670" s="29">
        <v>343</v>
      </c>
      <c r="AH670" s="22">
        <v>342</v>
      </c>
      <c r="AI670" s="22">
        <v>342</v>
      </c>
      <c r="AJ670" s="22">
        <v>340</v>
      </c>
      <c r="AK670" s="22">
        <v>338</v>
      </c>
      <c r="AL670" s="22">
        <v>336</v>
      </c>
      <c r="AM670" s="22">
        <v>334</v>
      </c>
      <c r="AN670" s="22">
        <v>332</v>
      </c>
      <c r="AO670" s="22">
        <v>330</v>
      </c>
      <c r="AP670" s="22">
        <v>328</v>
      </c>
      <c r="AQ670" s="22">
        <v>326</v>
      </c>
      <c r="AR670" s="22">
        <v>324</v>
      </c>
      <c r="AS670" s="22">
        <v>323</v>
      </c>
      <c r="AT670" s="22">
        <v>321</v>
      </c>
      <c r="AU670" s="22">
        <v>319</v>
      </c>
      <c r="AV670" s="22">
        <v>317</v>
      </c>
      <c r="AW670" s="22">
        <v>315</v>
      </c>
      <c r="AX670" s="22">
        <v>313</v>
      </c>
      <c r="AY670" s="22">
        <v>311</v>
      </c>
      <c r="AZ670" s="22">
        <v>309</v>
      </c>
      <c r="BA670" s="647">
        <v>307</v>
      </c>
      <c r="BB670" s="647">
        <v>305</v>
      </c>
      <c r="BC670" s="30">
        <v>302</v>
      </c>
    </row>
    <row r="671" spans="1:55" s="426" customFormat="1" ht="15.75" thickBot="1" x14ac:dyDescent="0.3">
      <c r="A671" s="52">
        <f t="shared" si="131"/>
        <v>0</v>
      </c>
      <c r="B671" s="2">
        <v>500</v>
      </c>
      <c r="C671" s="2">
        <v>575</v>
      </c>
      <c r="D671" s="26">
        <f t="shared" si="132"/>
        <v>272</v>
      </c>
      <c r="E671" s="2">
        <f t="shared" si="129"/>
        <v>272</v>
      </c>
      <c r="F671" s="2">
        <f t="shared" si="129"/>
        <v>271</v>
      </c>
      <c r="G671" s="2">
        <f t="shared" si="129"/>
        <v>270</v>
      </c>
      <c r="H671" s="2">
        <f t="shared" si="129"/>
        <v>269</v>
      </c>
      <c r="I671" s="2">
        <f t="shared" si="129"/>
        <v>267</v>
      </c>
      <c r="J671" s="2">
        <f t="shared" si="129"/>
        <v>264</v>
      </c>
      <c r="K671" s="2">
        <f t="shared" si="129"/>
        <v>262</v>
      </c>
      <c r="L671" s="2">
        <f t="shared" si="129"/>
        <v>260</v>
      </c>
      <c r="M671" s="2">
        <f t="shared" si="129"/>
        <v>258</v>
      </c>
      <c r="N671" s="2">
        <f t="shared" si="129"/>
        <v>257</v>
      </c>
      <c r="O671" s="2">
        <f t="shared" si="129"/>
        <v>256</v>
      </c>
      <c r="P671" s="2">
        <f t="shared" si="129"/>
        <v>256</v>
      </c>
      <c r="Q671" s="2">
        <f t="shared" si="129"/>
        <v>255</v>
      </c>
      <c r="R671" s="2">
        <f t="shared" si="129"/>
        <v>253</v>
      </c>
      <c r="S671" s="2">
        <f t="shared" si="129"/>
        <v>252</v>
      </c>
      <c r="T671" s="2">
        <f t="shared" si="129"/>
        <v>250</v>
      </c>
      <c r="U671" s="2">
        <f t="shared" si="130"/>
        <v>248</v>
      </c>
      <c r="V671" s="2">
        <f t="shared" si="130"/>
        <v>247</v>
      </c>
      <c r="W671" s="2">
        <f t="shared" si="130"/>
        <v>245</v>
      </c>
      <c r="X671" s="2">
        <f t="shared" si="130"/>
        <v>243</v>
      </c>
      <c r="Y671" s="2">
        <f t="shared" si="130"/>
        <v>242</v>
      </c>
      <c r="Z671" s="25">
        <f t="shared" si="130"/>
        <v>238</v>
      </c>
      <c r="AA671" s="1306"/>
      <c r="AD671" s="713"/>
      <c r="AE671" s="26">
        <v>500</v>
      </c>
      <c r="AF671" s="25">
        <v>575</v>
      </c>
      <c r="AG671" s="29">
        <v>341</v>
      </c>
      <c r="AH671" s="22">
        <v>340</v>
      </c>
      <c r="AI671" s="22">
        <v>339</v>
      </c>
      <c r="AJ671" s="22">
        <v>338</v>
      </c>
      <c r="AK671" s="22">
        <v>337</v>
      </c>
      <c r="AL671" s="22">
        <v>334</v>
      </c>
      <c r="AM671" s="22">
        <v>331</v>
      </c>
      <c r="AN671" s="22">
        <v>328</v>
      </c>
      <c r="AO671" s="22">
        <v>325</v>
      </c>
      <c r="AP671" s="22">
        <v>323</v>
      </c>
      <c r="AQ671" s="22">
        <v>322</v>
      </c>
      <c r="AR671" s="22">
        <v>321</v>
      </c>
      <c r="AS671" s="22">
        <v>320</v>
      </c>
      <c r="AT671" s="22">
        <v>319</v>
      </c>
      <c r="AU671" s="22">
        <v>317</v>
      </c>
      <c r="AV671" s="22">
        <v>315</v>
      </c>
      <c r="AW671" s="22">
        <v>313</v>
      </c>
      <c r="AX671" s="22">
        <v>311</v>
      </c>
      <c r="AY671" s="22">
        <v>309</v>
      </c>
      <c r="AZ671" s="22">
        <v>307</v>
      </c>
      <c r="BA671" s="647">
        <v>304</v>
      </c>
      <c r="BB671" s="647">
        <v>303</v>
      </c>
      <c r="BC671" s="30">
        <v>298</v>
      </c>
    </row>
    <row r="672" spans="1:55" s="426" customFormat="1" ht="15.75" thickBot="1" x14ac:dyDescent="0.3">
      <c r="A672" s="404">
        <f t="shared" si="131"/>
        <v>0</v>
      </c>
      <c r="B672" s="449">
        <v>575</v>
      </c>
      <c r="C672" s="449">
        <v>600</v>
      </c>
      <c r="D672" s="3">
        <f>FLOOR($AD$672*AG672,1)</f>
        <v>191</v>
      </c>
      <c r="E672" s="449">
        <f t="shared" ref="E672:T684" si="133">FLOOR($AD$672*AH672,1)</f>
        <v>188</v>
      </c>
      <c r="F672" s="449">
        <f t="shared" si="133"/>
        <v>186</v>
      </c>
      <c r="G672" s="449">
        <f t="shared" si="133"/>
        <v>184</v>
      </c>
      <c r="H672" s="449">
        <f t="shared" si="133"/>
        <v>181</v>
      </c>
      <c r="I672" s="449">
        <f t="shared" si="133"/>
        <v>179</v>
      </c>
      <c r="J672" s="449">
        <f t="shared" si="133"/>
        <v>177</v>
      </c>
      <c r="K672" s="449">
        <f t="shared" si="133"/>
        <v>174</v>
      </c>
      <c r="L672" s="449">
        <f t="shared" si="133"/>
        <v>172</v>
      </c>
      <c r="M672" s="449">
        <f t="shared" si="133"/>
        <v>170</v>
      </c>
      <c r="N672" s="449">
        <f t="shared" si="133"/>
        <v>167</v>
      </c>
      <c r="O672" s="449">
        <f t="shared" si="133"/>
        <v>166</v>
      </c>
      <c r="P672" s="449">
        <f t="shared" si="133"/>
        <v>163</v>
      </c>
      <c r="Q672" s="449">
        <f t="shared" si="133"/>
        <v>161</v>
      </c>
      <c r="R672" s="449">
        <f t="shared" si="133"/>
        <v>158</v>
      </c>
      <c r="S672" s="449">
        <f t="shared" si="133"/>
        <v>156</v>
      </c>
      <c r="T672" s="449">
        <f t="shared" si="133"/>
        <v>153</v>
      </c>
      <c r="U672" s="449">
        <f t="shared" ref="U672:Z684" si="134">FLOOR($AD$672*AX672,1)</f>
        <v>151</v>
      </c>
      <c r="V672" s="449">
        <f t="shared" si="134"/>
        <v>148</v>
      </c>
      <c r="W672" s="449">
        <f t="shared" si="134"/>
        <v>146</v>
      </c>
      <c r="X672" s="449">
        <f t="shared" si="134"/>
        <v>144</v>
      </c>
      <c r="Y672" s="449">
        <f t="shared" si="134"/>
        <v>141</v>
      </c>
      <c r="Z672" s="435">
        <f t="shared" si="134"/>
        <v>140</v>
      </c>
      <c r="AA672" s="1307" t="s">
        <v>688</v>
      </c>
      <c r="AD672" s="1058">
        <v>0.78</v>
      </c>
      <c r="AE672" s="449">
        <v>575</v>
      </c>
      <c r="AF672" s="435">
        <v>600</v>
      </c>
      <c r="AG672" s="645">
        <v>245</v>
      </c>
      <c r="AH672" s="646">
        <v>242</v>
      </c>
      <c r="AI672" s="646">
        <v>239</v>
      </c>
      <c r="AJ672" s="646">
        <v>236</v>
      </c>
      <c r="AK672" s="646">
        <v>233</v>
      </c>
      <c r="AL672" s="646">
        <v>230</v>
      </c>
      <c r="AM672" s="646">
        <v>227</v>
      </c>
      <c r="AN672" s="646">
        <v>224</v>
      </c>
      <c r="AO672" s="646">
        <v>221</v>
      </c>
      <c r="AP672" s="646">
        <v>218</v>
      </c>
      <c r="AQ672" s="646">
        <v>215</v>
      </c>
      <c r="AR672" s="646">
        <v>213</v>
      </c>
      <c r="AS672" s="646">
        <v>210</v>
      </c>
      <c r="AT672" s="646">
        <v>207</v>
      </c>
      <c r="AU672" s="646">
        <v>203</v>
      </c>
      <c r="AV672" s="646">
        <v>200</v>
      </c>
      <c r="AW672" s="646">
        <v>197</v>
      </c>
      <c r="AX672" s="646">
        <v>194</v>
      </c>
      <c r="AY672" s="646">
        <v>191</v>
      </c>
      <c r="AZ672" s="646">
        <v>188</v>
      </c>
      <c r="BA672" s="648">
        <v>185</v>
      </c>
      <c r="BB672" s="648">
        <v>182</v>
      </c>
      <c r="BC672" s="567">
        <v>180</v>
      </c>
    </row>
    <row r="673" spans="1:55" s="426" customFormat="1" x14ac:dyDescent="0.25">
      <c r="A673" s="41">
        <f t="shared" si="131"/>
        <v>0</v>
      </c>
      <c r="B673" s="2">
        <v>600</v>
      </c>
      <c r="C673" s="2">
        <v>650</v>
      </c>
      <c r="D673" s="26">
        <f t="shared" ref="D673:D684" si="135">FLOOR($AD$672*AG673,1)</f>
        <v>187</v>
      </c>
      <c r="E673" s="2">
        <f t="shared" si="133"/>
        <v>185</v>
      </c>
      <c r="F673" s="2">
        <f t="shared" si="133"/>
        <v>183</v>
      </c>
      <c r="G673" s="2">
        <f t="shared" si="133"/>
        <v>180</v>
      </c>
      <c r="H673" s="2">
        <f t="shared" si="133"/>
        <v>178</v>
      </c>
      <c r="I673" s="2">
        <f t="shared" si="133"/>
        <v>176</v>
      </c>
      <c r="J673" s="2">
        <f t="shared" si="133"/>
        <v>173</v>
      </c>
      <c r="K673" s="2">
        <f t="shared" si="133"/>
        <v>171</v>
      </c>
      <c r="L673" s="2">
        <f t="shared" si="133"/>
        <v>169</v>
      </c>
      <c r="M673" s="2">
        <f t="shared" si="133"/>
        <v>166</v>
      </c>
      <c r="N673" s="2">
        <f t="shared" si="133"/>
        <v>164</v>
      </c>
      <c r="O673" s="2">
        <f t="shared" si="133"/>
        <v>163</v>
      </c>
      <c r="P673" s="2">
        <f t="shared" si="133"/>
        <v>160</v>
      </c>
      <c r="Q673" s="2">
        <f t="shared" si="133"/>
        <v>158</v>
      </c>
      <c r="R673" s="2">
        <f t="shared" si="133"/>
        <v>155</v>
      </c>
      <c r="S673" s="2">
        <f t="shared" si="133"/>
        <v>152</v>
      </c>
      <c r="T673" s="2">
        <f t="shared" si="133"/>
        <v>151</v>
      </c>
      <c r="U673" s="2">
        <f t="shared" si="134"/>
        <v>148</v>
      </c>
      <c r="V673" s="2">
        <f t="shared" si="134"/>
        <v>145</v>
      </c>
      <c r="W673" s="2">
        <f t="shared" si="134"/>
        <v>143</v>
      </c>
      <c r="X673" s="2">
        <f t="shared" si="134"/>
        <v>141</v>
      </c>
      <c r="Y673" s="2">
        <f t="shared" si="134"/>
        <v>138</v>
      </c>
      <c r="Z673" s="25">
        <f t="shared" si="134"/>
        <v>137</v>
      </c>
      <c r="AA673" s="1308"/>
      <c r="AD673" s="713"/>
      <c r="AE673" s="2">
        <v>600</v>
      </c>
      <c r="AF673" s="25">
        <v>650</v>
      </c>
      <c r="AG673" s="29">
        <v>241</v>
      </c>
      <c r="AH673" s="22">
        <v>238</v>
      </c>
      <c r="AI673" s="22">
        <v>235</v>
      </c>
      <c r="AJ673" s="22">
        <v>232</v>
      </c>
      <c r="AK673" s="22">
        <v>229</v>
      </c>
      <c r="AL673" s="22">
        <v>226</v>
      </c>
      <c r="AM673" s="22">
        <v>223</v>
      </c>
      <c r="AN673" s="22">
        <v>220</v>
      </c>
      <c r="AO673" s="22">
        <v>217</v>
      </c>
      <c r="AP673" s="22">
        <v>214</v>
      </c>
      <c r="AQ673" s="22">
        <v>211</v>
      </c>
      <c r="AR673" s="22">
        <v>209</v>
      </c>
      <c r="AS673" s="22">
        <v>206</v>
      </c>
      <c r="AT673" s="22">
        <v>203</v>
      </c>
      <c r="AU673" s="22">
        <v>199</v>
      </c>
      <c r="AV673" s="22">
        <v>196</v>
      </c>
      <c r="AW673" s="22">
        <v>194</v>
      </c>
      <c r="AX673" s="22">
        <v>190</v>
      </c>
      <c r="AY673" s="22">
        <v>187</v>
      </c>
      <c r="AZ673" s="22">
        <v>184</v>
      </c>
      <c r="BA673" s="647">
        <v>181</v>
      </c>
      <c r="BB673" s="647">
        <v>178</v>
      </c>
      <c r="BC673" s="30">
        <v>176</v>
      </c>
    </row>
    <row r="674" spans="1:55" s="426" customFormat="1" x14ac:dyDescent="0.25">
      <c r="A674" s="41">
        <f t="shared" si="131"/>
        <v>0</v>
      </c>
      <c r="B674" s="2">
        <v>650</v>
      </c>
      <c r="C674" s="2">
        <v>700</v>
      </c>
      <c r="D674" s="26">
        <f t="shared" si="135"/>
        <v>184</v>
      </c>
      <c r="E674" s="2">
        <f t="shared" si="133"/>
        <v>182</v>
      </c>
      <c r="F674" s="2">
        <f t="shared" si="133"/>
        <v>180</v>
      </c>
      <c r="G674" s="2">
        <f t="shared" si="133"/>
        <v>177</v>
      </c>
      <c r="H674" s="2">
        <f t="shared" si="133"/>
        <v>175</v>
      </c>
      <c r="I674" s="2">
        <f t="shared" si="133"/>
        <v>173</v>
      </c>
      <c r="J674" s="2">
        <f t="shared" si="133"/>
        <v>170</v>
      </c>
      <c r="K674" s="2">
        <f t="shared" si="133"/>
        <v>168</v>
      </c>
      <c r="L674" s="2">
        <f t="shared" si="133"/>
        <v>166</v>
      </c>
      <c r="M674" s="2">
        <f t="shared" si="133"/>
        <v>163</v>
      </c>
      <c r="N674" s="2">
        <f t="shared" si="133"/>
        <v>161</v>
      </c>
      <c r="O674" s="2">
        <f t="shared" si="133"/>
        <v>159</v>
      </c>
      <c r="P674" s="2">
        <f t="shared" si="133"/>
        <v>157</v>
      </c>
      <c r="Q674" s="2">
        <f t="shared" si="133"/>
        <v>155</v>
      </c>
      <c r="R674" s="2">
        <f t="shared" si="133"/>
        <v>152</v>
      </c>
      <c r="S674" s="2">
        <f t="shared" si="133"/>
        <v>149</v>
      </c>
      <c r="T674" s="2">
        <f t="shared" si="133"/>
        <v>148</v>
      </c>
      <c r="U674" s="2">
        <f t="shared" si="134"/>
        <v>145</v>
      </c>
      <c r="V674" s="2">
        <f t="shared" si="134"/>
        <v>143</v>
      </c>
      <c r="W674" s="2">
        <f t="shared" si="134"/>
        <v>140</v>
      </c>
      <c r="X674" s="2">
        <f t="shared" si="134"/>
        <v>138</v>
      </c>
      <c r="Y674" s="2">
        <f t="shared" si="134"/>
        <v>135</v>
      </c>
      <c r="Z674" s="25">
        <f t="shared" si="134"/>
        <v>134</v>
      </c>
      <c r="AA674" s="1308"/>
      <c r="AD674" s="713"/>
      <c r="AE674" s="2">
        <v>650</v>
      </c>
      <c r="AF674" s="25">
        <v>700</v>
      </c>
      <c r="AG674" s="29">
        <v>237</v>
      </c>
      <c r="AH674" s="22">
        <v>234</v>
      </c>
      <c r="AI674" s="22">
        <v>231</v>
      </c>
      <c r="AJ674" s="22">
        <v>228</v>
      </c>
      <c r="AK674" s="22">
        <v>225</v>
      </c>
      <c r="AL674" s="22">
        <v>222</v>
      </c>
      <c r="AM674" s="22">
        <v>219</v>
      </c>
      <c r="AN674" s="22">
        <v>216</v>
      </c>
      <c r="AO674" s="22">
        <v>214</v>
      </c>
      <c r="AP674" s="22">
        <v>210</v>
      </c>
      <c r="AQ674" s="22">
        <v>207</v>
      </c>
      <c r="AR674" s="22">
        <v>205</v>
      </c>
      <c r="AS674" s="22">
        <v>202</v>
      </c>
      <c r="AT674" s="22">
        <v>199</v>
      </c>
      <c r="AU674" s="22">
        <v>195</v>
      </c>
      <c r="AV674" s="22">
        <v>192</v>
      </c>
      <c r="AW674" s="22">
        <v>190</v>
      </c>
      <c r="AX674" s="22">
        <v>186</v>
      </c>
      <c r="AY674" s="22">
        <v>184</v>
      </c>
      <c r="AZ674" s="22">
        <v>180</v>
      </c>
      <c r="BA674" s="647">
        <v>177</v>
      </c>
      <c r="BB674" s="647">
        <v>174</v>
      </c>
      <c r="BC674" s="30">
        <v>172</v>
      </c>
    </row>
    <row r="675" spans="1:55" s="426" customFormat="1" x14ac:dyDescent="0.25">
      <c r="A675" s="41">
        <f t="shared" si="131"/>
        <v>0</v>
      </c>
      <c r="B675" s="2">
        <v>700</v>
      </c>
      <c r="C675" s="2">
        <v>750</v>
      </c>
      <c r="D675" s="26">
        <f t="shared" si="135"/>
        <v>181</v>
      </c>
      <c r="E675" s="2">
        <f t="shared" si="133"/>
        <v>179</v>
      </c>
      <c r="F675" s="2">
        <f t="shared" si="133"/>
        <v>177</v>
      </c>
      <c r="G675" s="2">
        <f t="shared" si="133"/>
        <v>174</v>
      </c>
      <c r="H675" s="2">
        <f t="shared" si="133"/>
        <v>172</v>
      </c>
      <c r="I675" s="2">
        <f t="shared" si="133"/>
        <v>170</v>
      </c>
      <c r="J675" s="2">
        <f t="shared" si="133"/>
        <v>167</v>
      </c>
      <c r="K675" s="2">
        <f t="shared" si="133"/>
        <v>165</v>
      </c>
      <c r="L675" s="2">
        <f t="shared" si="133"/>
        <v>163</v>
      </c>
      <c r="M675" s="2">
        <f t="shared" si="133"/>
        <v>160</v>
      </c>
      <c r="N675" s="2">
        <f t="shared" si="133"/>
        <v>159</v>
      </c>
      <c r="O675" s="2">
        <f t="shared" si="133"/>
        <v>156</v>
      </c>
      <c r="P675" s="2">
        <f t="shared" si="133"/>
        <v>154</v>
      </c>
      <c r="Q675" s="2">
        <f t="shared" si="133"/>
        <v>152</v>
      </c>
      <c r="R675" s="2">
        <f t="shared" si="133"/>
        <v>148</v>
      </c>
      <c r="S675" s="2">
        <f t="shared" si="133"/>
        <v>146</v>
      </c>
      <c r="T675" s="2">
        <f t="shared" si="133"/>
        <v>145</v>
      </c>
      <c r="U675" s="2">
        <f t="shared" si="134"/>
        <v>141</v>
      </c>
      <c r="V675" s="2">
        <f t="shared" si="134"/>
        <v>140</v>
      </c>
      <c r="W675" s="2">
        <f t="shared" si="134"/>
        <v>137</v>
      </c>
      <c r="X675" s="2">
        <f t="shared" si="134"/>
        <v>134</v>
      </c>
      <c r="Y675" s="2">
        <f t="shared" si="134"/>
        <v>132</v>
      </c>
      <c r="Z675" s="25">
        <f t="shared" si="134"/>
        <v>131</v>
      </c>
      <c r="AA675" s="1308"/>
      <c r="AD675" s="713"/>
      <c r="AE675" s="2">
        <v>700</v>
      </c>
      <c r="AF675" s="25">
        <v>750</v>
      </c>
      <c r="AG675" s="29">
        <v>233</v>
      </c>
      <c r="AH675" s="22">
        <v>230</v>
      </c>
      <c r="AI675" s="22">
        <v>227</v>
      </c>
      <c r="AJ675" s="22">
        <v>224</v>
      </c>
      <c r="AK675" s="22">
        <v>221</v>
      </c>
      <c r="AL675" s="22">
        <v>218</v>
      </c>
      <c r="AM675" s="22">
        <v>215</v>
      </c>
      <c r="AN675" s="22">
        <v>212</v>
      </c>
      <c r="AO675" s="22">
        <v>210</v>
      </c>
      <c r="AP675" s="22">
        <v>206</v>
      </c>
      <c r="AQ675" s="22">
        <v>204</v>
      </c>
      <c r="AR675" s="22">
        <v>201</v>
      </c>
      <c r="AS675" s="22">
        <v>198</v>
      </c>
      <c r="AT675" s="22">
        <v>195</v>
      </c>
      <c r="AU675" s="22">
        <v>191</v>
      </c>
      <c r="AV675" s="22">
        <v>188</v>
      </c>
      <c r="AW675" s="22">
        <v>186</v>
      </c>
      <c r="AX675" s="22">
        <v>182</v>
      </c>
      <c r="AY675" s="22">
        <v>180</v>
      </c>
      <c r="AZ675" s="22">
        <v>176</v>
      </c>
      <c r="BA675" s="647">
        <v>173</v>
      </c>
      <c r="BB675" s="647">
        <v>170</v>
      </c>
      <c r="BC675" s="30">
        <v>168</v>
      </c>
    </row>
    <row r="676" spans="1:55" s="426" customFormat="1" x14ac:dyDescent="0.25">
      <c r="A676" s="41">
        <f t="shared" si="131"/>
        <v>0</v>
      </c>
      <c r="B676" s="2">
        <v>750</v>
      </c>
      <c r="C676" s="2">
        <v>800</v>
      </c>
      <c r="D676" s="26">
        <f t="shared" si="135"/>
        <v>178</v>
      </c>
      <c r="E676" s="2">
        <f t="shared" si="133"/>
        <v>176</v>
      </c>
      <c r="F676" s="2">
        <f t="shared" si="133"/>
        <v>174</v>
      </c>
      <c r="G676" s="2">
        <f t="shared" si="133"/>
        <v>171</v>
      </c>
      <c r="H676" s="2">
        <f t="shared" si="133"/>
        <v>169</v>
      </c>
      <c r="I676" s="2">
        <f t="shared" si="133"/>
        <v>166</v>
      </c>
      <c r="J676" s="2">
        <f t="shared" si="133"/>
        <v>164</v>
      </c>
      <c r="K676" s="2">
        <f t="shared" si="133"/>
        <v>162</v>
      </c>
      <c r="L676" s="2">
        <f t="shared" si="133"/>
        <v>160</v>
      </c>
      <c r="M676" s="2">
        <f t="shared" si="133"/>
        <v>157</v>
      </c>
      <c r="N676" s="2">
        <f t="shared" si="133"/>
        <v>156</v>
      </c>
      <c r="O676" s="2">
        <f t="shared" si="133"/>
        <v>153</v>
      </c>
      <c r="P676" s="2">
        <f t="shared" si="133"/>
        <v>151</v>
      </c>
      <c r="Q676" s="2">
        <f t="shared" si="133"/>
        <v>148</v>
      </c>
      <c r="R676" s="2">
        <f t="shared" si="133"/>
        <v>145</v>
      </c>
      <c r="S676" s="2">
        <f t="shared" si="133"/>
        <v>143</v>
      </c>
      <c r="T676" s="2">
        <f t="shared" si="133"/>
        <v>143</v>
      </c>
      <c r="U676" s="2">
        <f t="shared" si="134"/>
        <v>138</v>
      </c>
      <c r="V676" s="2">
        <f t="shared" si="134"/>
        <v>137</v>
      </c>
      <c r="W676" s="2">
        <f t="shared" si="134"/>
        <v>134</v>
      </c>
      <c r="X676" s="2">
        <f t="shared" si="134"/>
        <v>131</v>
      </c>
      <c r="Y676" s="2">
        <f t="shared" si="134"/>
        <v>129</v>
      </c>
      <c r="Z676" s="25">
        <f t="shared" si="134"/>
        <v>127</v>
      </c>
      <c r="AA676" s="1308"/>
      <c r="AD676" s="713"/>
      <c r="AE676" s="2">
        <v>750</v>
      </c>
      <c r="AF676" s="25">
        <v>800</v>
      </c>
      <c r="AG676" s="29">
        <v>229</v>
      </c>
      <c r="AH676" s="22">
        <v>226</v>
      </c>
      <c r="AI676" s="22">
        <v>224</v>
      </c>
      <c r="AJ676" s="22">
        <v>220</v>
      </c>
      <c r="AK676" s="22">
        <v>217</v>
      </c>
      <c r="AL676" s="22">
        <v>214</v>
      </c>
      <c r="AM676" s="22">
        <v>211</v>
      </c>
      <c r="AN676" s="22">
        <v>208</v>
      </c>
      <c r="AO676" s="22">
        <v>206</v>
      </c>
      <c r="AP676" s="22">
        <v>202</v>
      </c>
      <c r="AQ676" s="22">
        <v>200</v>
      </c>
      <c r="AR676" s="22">
        <v>197</v>
      </c>
      <c r="AS676" s="22">
        <v>194</v>
      </c>
      <c r="AT676" s="22">
        <v>191</v>
      </c>
      <c r="AU676" s="22">
        <v>187</v>
      </c>
      <c r="AV676" s="22">
        <v>184</v>
      </c>
      <c r="AW676" s="22">
        <v>184</v>
      </c>
      <c r="AX676" s="22">
        <v>178</v>
      </c>
      <c r="AY676" s="22">
        <v>176</v>
      </c>
      <c r="AZ676" s="22">
        <v>172</v>
      </c>
      <c r="BA676" s="647">
        <v>169</v>
      </c>
      <c r="BB676" s="647">
        <v>166</v>
      </c>
      <c r="BC676" s="30">
        <v>164</v>
      </c>
    </row>
    <row r="677" spans="1:55" s="426" customFormat="1" x14ac:dyDescent="0.25">
      <c r="A677" s="41">
        <f t="shared" si="131"/>
        <v>0</v>
      </c>
      <c r="B677" s="2">
        <v>800</v>
      </c>
      <c r="C677" s="2">
        <v>850</v>
      </c>
      <c r="D677" s="26">
        <f t="shared" si="135"/>
        <v>175</v>
      </c>
      <c r="E677" s="2">
        <f t="shared" si="133"/>
        <v>173</v>
      </c>
      <c r="F677" s="2">
        <f t="shared" si="133"/>
        <v>171</v>
      </c>
      <c r="G677" s="2">
        <f t="shared" si="133"/>
        <v>168</v>
      </c>
      <c r="H677" s="2">
        <f t="shared" si="133"/>
        <v>166</v>
      </c>
      <c r="I677" s="2">
        <f t="shared" si="133"/>
        <v>163</v>
      </c>
      <c r="J677" s="2">
        <f t="shared" si="133"/>
        <v>160</v>
      </c>
      <c r="K677" s="2">
        <f t="shared" si="133"/>
        <v>159</v>
      </c>
      <c r="L677" s="2">
        <f t="shared" si="133"/>
        <v>157</v>
      </c>
      <c r="M677" s="2">
        <f t="shared" si="133"/>
        <v>154</v>
      </c>
      <c r="N677" s="2">
        <f t="shared" si="133"/>
        <v>152</v>
      </c>
      <c r="O677" s="2">
        <f t="shared" si="133"/>
        <v>151</v>
      </c>
      <c r="P677" s="2">
        <f t="shared" si="133"/>
        <v>148</v>
      </c>
      <c r="Q677" s="2">
        <f t="shared" si="133"/>
        <v>145</v>
      </c>
      <c r="R677" s="2">
        <f t="shared" si="133"/>
        <v>142</v>
      </c>
      <c r="S677" s="2">
        <f t="shared" si="133"/>
        <v>140</v>
      </c>
      <c r="T677" s="2">
        <f t="shared" si="133"/>
        <v>140</v>
      </c>
      <c r="U677" s="2">
        <f t="shared" si="134"/>
        <v>135</v>
      </c>
      <c r="V677" s="2">
        <f t="shared" si="134"/>
        <v>134</v>
      </c>
      <c r="W677" s="2">
        <f t="shared" si="134"/>
        <v>131</v>
      </c>
      <c r="X677" s="2">
        <f t="shared" si="134"/>
        <v>128</v>
      </c>
      <c r="Y677" s="2">
        <f t="shared" si="134"/>
        <v>126</v>
      </c>
      <c r="Z677" s="25">
        <f t="shared" si="134"/>
        <v>124</v>
      </c>
      <c r="AA677" s="1308"/>
      <c r="AD677" s="713"/>
      <c r="AE677" s="2">
        <v>800</v>
      </c>
      <c r="AF677" s="25">
        <v>850</v>
      </c>
      <c r="AG677" s="29">
        <v>225</v>
      </c>
      <c r="AH677" s="22">
        <v>222</v>
      </c>
      <c r="AI677" s="22">
        <v>220</v>
      </c>
      <c r="AJ677" s="22">
        <v>216</v>
      </c>
      <c r="AK677" s="22">
        <v>213</v>
      </c>
      <c r="AL677" s="22">
        <v>210</v>
      </c>
      <c r="AM677" s="22">
        <v>206</v>
      </c>
      <c r="AN677" s="22">
        <v>204</v>
      </c>
      <c r="AO677" s="22">
        <v>202</v>
      </c>
      <c r="AP677" s="22">
        <v>198</v>
      </c>
      <c r="AQ677" s="22">
        <v>196</v>
      </c>
      <c r="AR677" s="22">
        <v>194</v>
      </c>
      <c r="AS677" s="22">
        <v>190</v>
      </c>
      <c r="AT677" s="22">
        <v>187</v>
      </c>
      <c r="AU677" s="22">
        <v>183</v>
      </c>
      <c r="AV677" s="22">
        <v>180</v>
      </c>
      <c r="AW677" s="22">
        <v>180</v>
      </c>
      <c r="AX677" s="22">
        <v>174</v>
      </c>
      <c r="AY677" s="22">
        <v>172</v>
      </c>
      <c r="AZ677" s="22">
        <v>168</v>
      </c>
      <c r="BA677" s="647">
        <v>165</v>
      </c>
      <c r="BB677" s="647">
        <v>162</v>
      </c>
      <c r="BC677" s="30">
        <v>160</v>
      </c>
    </row>
    <row r="678" spans="1:55" s="426" customFormat="1" ht="15.75" thickBot="1" x14ac:dyDescent="0.3">
      <c r="A678" s="41">
        <f t="shared" si="131"/>
        <v>0</v>
      </c>
      <c r="B678" s="1050">
        <v>850</v>
      </c>
      <c r="C678" s="1051">
        <v>900</v>
      </c>
      <c r="D678" s="1050">
        <f t="shared" si="135"/>
        <v>171</v>
      </c>
      <c r="E678" s="1051">
        <f t="shared" si="133"/>
        <v>170</v>
      </c>
      <c r="F678" s="1051">
        <f t="shared" si="133"/>
        <v>168</v>
      </c>
      <c r="G678" s="1051">
        <f t="shared" si="133"/>
        <v>166</v>
      </c>
      <c r="H678" s="1051">
        <f t="shared" si="133"/>
        <v>163</v>
      </c>
      <c r="I678" s="1051">
        <f t="shared" si="133"/>
        <v>160</v>
      </c>
      <c r="J678" s="1051">
        <f t="shared" si="133"/>
        <v>157</v>
      </c>
      <c r="K678" s="1051">
        <f t="shared" si="133"/>
        <v>156</v>
      </c>
      <c r="L678" s="1051">
        <f t="shared" si="133"/>
        <v>154</v>
      </c>
      <c r="M678" s="1051">
        <f t="shared" si="133"/>
        <v>151</v>
      </c>
      <c r="N678" s="1051">
        <f t="shared" si="133"/>
        <v>149</v>
      </c>
      <c r="O678" s="1051">
        <f t="shared" si="133"/>
        <v>148</v>
      </c>
      <c r="P678" s="1051">
        <f t="shared" si="133"/>
        <v>145</v>
      </c>
      <c r="Q678" s="1051">
        <f t="shared" si="133"/>
        <v>142</v>
      </c>
      <c r="R678" s="1051">
        <f t="shared" si="133"/>
        <v>139</v>
      </c>
      <c r="S678" s="1051">
        <f t="shared" si="133"/>
        <v>137</v>
      </c>
      <c r="T678" s="1051">
        <f t="shared" si="133"/>
        <v>137</v>
      </c>
      <c r="U678" s="1051">
        <f t="shared" si="134"/>
        <v>132</v>
      </c>
      <c r="V678" s="1051">
        <f t="shared" si="134"/>
        <v>131</v>
      </c>
      <c r="W678" s="1051">
        <f t="shared" si="134"/>
        <v>127</v>
      </c>
      <c r="X678" s="1051">
        <f t="shared" si="134"/>
        <v>126</v>
      </c>
      <c r="Y678" s="1051">
        <f t="shared" si="134"/>
        <v>123</v>
      </c>
      <c r="Z678" s="1052">
        <f t="shared" si="134"/>
        <v>121</v>
      </c>
      <c r="AA678" s="1308"/>
      <c r="AD678" s="713"/>
      <c r="AE678" s="1050">
        <v>850</v>
      </c>
      <c r="AF678" s="1052">
        <v>900</v>
      </c>
      <c r="AG678" s="1053">
        <v>220</v>
      </c>
      <c r="AH678" s="1054">
        <v>218</v>
      </c>
      <c r="AI678" s="1054">
        <v>216</v>
      </c>
      <c r="AJ678" s="1054">
        <v>214</v>
      </c>
      <c r="AK678" s="1054">
        <v>209</v>
      </c>
      <c r="AL678" s="1054">
        <v>206</v>
      </c>
      <c r="AM678" s="1054">
        <v>202</v>
      </c>
      <c r="AN678" s="1054">
        <v>200</v>
      </c>
      <c r="AO678" s="1054">
        <v>198</v>
      </c>
      <c r="AP678" s="1054">
        <v>194</v>
      </c>
      <c r="AQ678" s="1054">
        <v>192</v>
      </c>
      <c r="AR678" s="1054">
        <v>190</v>
      </c>
      <c r="AS678" s="1054">
        <v>186</v>
      </c>
      <c r="AT678" s="1054">
        <v>183</v>
      </c>
      <c r="AU678" s="1054">
        <v>179</v>
      </c>
      <c r="AV678" s="1054">
        <v>176</v>
      </c>
      <c r="AW678" s="1054">
        <v>176</v>
      </c>
      <c r="AX678" s="1054">
        <v>170</v>
      </c>
      <c r="AY678" s="1054">
        <v>168</v>
      </c>
      <c r="AZ678" s="1054">
        <v>164</v>
      </c>
      <c r="BA678" s="1055">
        <v>162</v>
      </c>
      <c r="BB678" s="1055">
        <v>158</v>
      </c>
      <c r="BC678" s="1056">
        <v>156</v>
      </c>
    </row>
    <row r="679" spans="1:55" s="426" customFormat="1" ht="15.75" thickBot="1" x14ac:dyDescent="0.3">
      <c r="A679" s="41">
        <f t="shared" si="131"/>
        <v>0</v>
      </c>
      <c r="B679" s="2">
        <v>900</v>
      </c>
      <c r="C679" s="2">
        <v>950</v>
      </c>
      <c r="D679" s="26">
        <f>FLOOR($AD$679*AG679,1)</f>
        <v>150</v>
      </c>
      <c r="E679" s="2">
        <f t="shared" si="133"/>
        <v>165</v>
      </c>
      <c r="F679" s="2">
        <f t="shared" si="133"/>
        <v>163</v>
      </c>
      <c r="G679" s="2">
        <f t="shared" si="133"/>
        <v>162</v>
      </c>
      <c r="H679" s="2">
        <f t="shared" si="133"/>
        <v>159</v>
      </c>
      <c r="I679" s="2">
        <f t="shared" si="133"/>
        <v>156</v>
      </c>
      <c r="J679" s="2">
        <f t="shared" si="133"/>
        <v>154</v>
      </c>
      <c r="K679" s="2">
        <f t="shared" si="133"/>
        <v>152</v>
      </c>
      <c r="L679" s="2">
        <f t="shared" si="133"/>
        <v>151</v>
      </c>
      <c r="M679" s="2">
        <f t="shared" si="133"/>
        <v>148</v>
      </c>
      <c r="N679" s="2">
        <f t="shared" si="133"/>
        <v>146</v>
      </c>
      <c r="O679" s="2">
        <f t="shared" si="133"/>
        <v>145</v>
      </c>
      <c r="P679" s="2">
        <f t="shared" si="133"/>
        <v>141</v>
      </c>
      <c r="Q679" s="2">
        <f t="shared" si="133"/>
        <v>139</v>
      </c>
      <c r="R679" s="2">
        <f t="shared" si="133"/>
        <v>136</v>
      </c>
      <c r="S679" s="2">
        <f t="shared" si="133"/>
        <v>134</v>
      </c>
      <c r="T679" s="2">
        <f t="shared" si="133"/>
        <v>134</v>
      </c>
      <c r="U679" s="2">
        <f t="shared" si="134"/>
        <v>129</v>
      </c>
      <c r="V679" s="2">
        <f t="shared" si="134"/>
        <v>127</v>
      </c>
      <c r="W679" s="2">
        <f t="shared" si="134"/>
        <v>124</v>
      </c>
      <c r="X679" s="2">
        <f t="shared" si="134"/>
        <v>123</v>
      </c>
      <c r="Y679" s="2">
        <f t="shared" si="134"/>
        <v>120</v>
      </c>
      <c r="Z679" s="25">
        <f t="shared" si="134"/>
        <v>118</v>
      </c>
      <c r="AA679" s="1308"/>
      <c r="AD679" s="1058">
        <v>0.7</v>
      </c>
      <c r="AE679" s="2">
        <v>900</v>
      </c>
      <c r="AF679" s="25">
        <v>950</v>
      </c>
      <c r="AG679" s="29">
        <v>215</v>
      </c>
      <c r="AH679" s="22">
        <v>212</v>
      </c>
      <c r="AI679" s="22">
        <v>210</v>
      </c>
      <c r="AJ679" s="22">
        <v>208</v>
      </c>
      <c r="AK679" s="22">
        <v>204</v>
      </c>
      <c r="AL679" s="22">
        <v>201</v>
      </c>
      <c r="AM679" s="22">
        <v>198</v>
      </c>
      <c r="AN679" s="22">
        <v>196</v>
      </c>
      <c r="AO679" s="22">
        <v>194</v>
      </c>
      <c r="AP679" s="22">
        <v>190</v>
      </c>
      <c r="AQ679" s="22">
        <v>188</v>
      </c>
      <c r="AR679" s="22">
        <v>186</v>
      </c>
      <c r="AS679" s="22">
        <v>182</v>
      </c>
      <c r="AT679" s="22">
        <v>179</v>
      </c>
      <c r="AU679" s="22">
        <v>175</v>
      </c>
      <c r="AV679" s="22">
        <v>172</v>
      </c>
      <c r="AW679" s="22">
        <v>172</v>
      </c>
      <c r="AX679" s="22">
        <v>166</v>
      </c>
      <c r="AY679" s="22">
        <v>164</v>
      </c>
      <c r="AZ679" s="22">
        <v>160</v>
      </c>
      <c r="BA679" s="647">
        <v>158</v>
      </c>
      <c r="BB679" s="647">
        <v>154</v>
      </c>
      <c r="BC679" s="30">
        <v>152</v>
      </c>
    </row>
    <row r="680" spans="1:55" s="426" customFormat="1" x14ac:dyDescent="0.25">
      <c r="A680" s="41">
        <f t="shared" si="131"/>
        <v>0</v>
      </c>
      <c r="B680" s="2">
        <v>950</v>
      </c>
      <c r="C680" s="2">
        <v>1000</v>
      </c>
      <c r="D680" s="26">
        <f t="shared" si="135"/>
        <v>163</v>
      </c>
      <c r="E680" s="2">
        <f t="shared" si="133"/>
        <v>160</v>
      </c>
      <c r="F680" s="2">
        <f t="shared" si="133"/>
        <v>159</v>
      </c>
      <c r="G680" s="2">
        <f t="shared" si="133"/>
        <v>157</v>
      </c>
      <c r="H680" s="2">
        <f t="shared" si="133"/>
        <v>155</v>
      </c>
      <c r="I680" s="2">
        <f t="shared" si="133"/>
        <v>152</v>
      </c>
      <c r="J680" s="2">
        <f t="shared" si="133"/>
        <v>150</v>
      </c>
      <c r="K680" s="2">
        <f t="shared" si="133"/>
        <v>149</v>
      </c>
      <c r="L680" s="2">
        <f t="shared" si="133"/>
        <v>146</v>
      </c>
      <c r="M680" s="2">
        <f t="shared" si="133"/>
        <v>145</v>
      </c>
      <c r="N680" s="2">
        <f t="shared" si="133"/>
        <v>143</v>
      </c>
      <c r="O680" s="2">
        <f t="shared" si="133"/>
        <v>141</v>
      </c>
      <c r="P680" s="2">
        <f t="shared" si="133"/>
        <v>138</v>
      </c>
      <c r="Q680" s="2">
        <f t="shared" si="133"/>
        <v>136</v>
      </c>
      <c r="R680" s="2">
        <f t="shared" si="133"/>
        <v>133</v>
      </c>
      <c r="S680" s="2">
        <f t="shared" si="133"/>
        <v>131</v>
      </c>
      <c r="T680" s="2">
        <f t="shared" si="133"/>
        <v>131</v>
      </c>
      <c r="U680" s="2">
        <f t="shared" si="134"/>
        <v>127</v>
      </c>
      <c r="V680" s="2">
        <f t="shared" si="134"/>
        <v>124</v>
      </c>
      <c r="W680" s="2">
        <f t="shared" si="134"/>
        <v>122</v>
      </c>
      <c r="X680" s="2">
        <f t="shared" si="134"/>
        <v>120</v>
      </c>
      <c r="Y680" s="2">
        <f t="shared" si="134"/>
        <v>117</v>
      </c>
      <c r="Z680" s="25">
        <f t="shared" si="134"/>
        <v>115</v>
      </c>
      <c r="AA680" s="1308"/>
      <c r="AD680" s="713"/>
      <c r="AE680" s="2">
        <v>950</v>
      </c>
      <c r="AF680" s="25">
        <v>1000</v>
      </c>
      <c r="AG680" s="29">
        <v>210</v>
      </c>
      <c r="AH680" s="22">
        <v>206</v>
      </c>
      <c r="AI680" s="22">
        <v>204</v>
      </c>
      <c r="AJ680" s="22">
        <v>202</v>
      </c>
      <c r="AK680" s="22">
        <v>199</v>
      </c>
      <c r="AL680" s="22">
        <v>195</v>
      </c>
      <c r="AM680" s="22">
        <v>193</v>
      </c>
      <c r="AN680" s="22">
        <v>192</v>
      </c>
      <c r="AO680" s="22">
        <v>188</v>
      </c>
      <c r="AP680" s="22">
        <v>186</v>
      </c>
      <c r="AQ680" s="22">
        <v>184</v>
      </c>
      <c r="AR680" s="22">
        <v>182</v>
      </c>
      <c r="AS680" s="22">
        <v>178</v>
      </c>
      <c r="AT680" s="22">
        <v>175</v>
      </c>
      <c r="AU680" s="22">
        <v>171</v>
      </c>
      <c r="AV680" s="22">
        <v>168</v>
      </c>
      <c r="AW680" s="22">
        <v>168</v>
      </c>
      <c r="AX680" s="22">
        <v>163</v>
      </c>
      <c r="AY680" s="22">
        <v>160</v>
      </c>
      <c r="AZ680" s="22">
        <v>157</v>
      </c>
      <c r="BA680" s="647">
        <v>154</v>
      </c>
      <c r="BB680" s="647">
        <v>150</v>
      </c>
      <c r="BC680" s="30">
        <v>148</v>
      </c>
    </row>
    <row r="681" spans="1:55" s="426" customFormat="1" x14ac:dyDescent="0.25">
      <c r="A681" s="41">
        <f t="shared" si="131"/>
        <v>0</v>
      </c>
      <c r="B681" s="2">
        <v>1000</v>
      </c>
      <c r="C681" s="2">
        <v>1050</v>
      </c>
      <c r="D681" s="26">
        <f t="shared" si="135"/>
        <v>159</v>
      </c>
      <c r="E681" s="2">
        <f t="shared" si="133"/>
        <v>156</v>
      </c>
      <c r="F681" s="2">
        <f t="shared" si="133"/>
        <v>154</v>
      </c>
      <c r="G681" s="2">
        <f t="shared" si="133"/>
        <v>152</v>
      </c>
      <c r="H681" s="2">
        <f t="shared" si="133"/>
        <v>151</v>
      </c>
      <c r="I681" s="2">
        <f t="shared" si="133"/>
        <v>148</v>
      </c>
      <c r="J681" s="2">
        <f t="shared" si="133"/>
        <v>146</v>
      </c>
      <c r="K681" s="2">
        <f t="shared" si="133"/>
        <v>145</v>
      </c>
      <c r="L681" s="2">
        <f t="shared" si="133"/>
        <v>143</v>
      </c>
      <c r="M681" s="2">
        <f t="shared" si="133"/>
        <v>141</v>
      </c>
      <c r="N681" s="2">
        <f t="shared" si="133"/>
        <v>140</v>
      </c>
      <c r="O681" s="2">
        <f t="shared" si="133"/>
        <v>138</v>
      </c>
      <c r="P681" s="2">
        <f t="shared" si="133"/>
        <v>135</v>
      </c>
      <c r="Q681" s="2">
        <f t="shared" si="133"/>
        <v>133</v>
      </c>
      <c r="R681" s="2">
        <f t="shared" si="133"/>
        <v>131</v>
      </c>
      <c r="S681" s="2">
        <f t="shared" si="133"/>
        <v>128</v>
      </c>
      <c r="T681" s="2">
        <f t="shared" si="133"/>
        <v>127</v>
      </c>
      <c r="U681" s="2">
        <f t="shared" si="134"/>
        <v>124</v>
      </c>
      <c r="V681" s="2">
        <f t="shared" si="134"/>
        <v>123</v>
      </c>
      <c r="W681" s="2">
        <f t="shared" si="134"/>
        <v>120</v>
      </c>
      <c r="X681" s="2">
        <f t="shared" si="134"/>
        <v>118</v>
      </c>
      <c r="Y681" s="2">
        <f t="shared" si="134"/>
        <v>115</v>
      </c>
      <c r="Z681" s="25">
        <f t="shared" si="134"/>
        <v>113</v>
      </c>
      <c r="AA681" s="1308"/>
      <c r="AD681" s="713"/>
      <c r="AE681" s="2">
        <v>1000</v>
      </c>
      <c r="AF681" s="25">
        <v>1050</v>
      </c>
      <c r="AG681" s="29">
        <v>205</v>
      </c>
      <c r="AH681" s="22">
        <v>200</v>
      </c>
      <c r="AI681" s="22">
        <v>198</v>
      </c>
      <c r="AJ681" s="22">
        <v>196</v>
      </c>
      <c r="AK681" s="22">
        <v>194</v>
      </c>
      <c r="AL681" s="22">
        <v>190</v>
      </c>
      <c r="AM681" s="22">
        <v>188</v>
      </c>
      <c r="AN681" s="22">
        <v>186</v>
      </c>
      <c r="AO681" s="22">
        <v>184</v>
      </c>
      <c r="AP681" s="22">
        <v>182</v>
      </c>
      <c r="AQ681" s="22">
        <v>180</v>
      </c>
      <c r="AR681" s="22">
        <v>178</v>
      </c>
      <c r="AS681" s="22">
        <v>174</v>
      </c>
      <c r="AT681" s="22">
        <v>171</v>
      </c>
      <c r="AU681" s="22">
        <v>168</v>
      </c>
      <c r="AV681" s="22">
        <v>165</v>
      </c>
      <c r="AW681" s="22">
        <v>164</v>
      </c>
      <c r="AX681" s="22">
        <v>160</v>
      </c>
      <c r="AY681" s="22">
        <v>158</v>
      </c>
      <c r="AZ681" s="22">
        <v>154</v>
      </c>
      <c r="BA681" s="647">
        <v>152</v>
      </c>
      <c r="BB681" s="647">
        <v>148</v>
      </c>
      <c r="BC681" s="30">
        <v>146</v>
      </c>
    </row>
    <row r="682" spans="1:55" s="426" customFormat="1" x14ac:dyDescent="0.25">
      <c r="A682" s="41">
        <f t="shared" si="131"/>
        <v>0</v>
      </c>
      <c r="B682" s="2">
        <v>1050</v>
      </c>
      <c r="C682" s="2">
        <v>1100</v>
      </c>
      <c r="D682" s="26">
        <f t="shared" si="135"/>
        <v>156</v>
      </c>
      <c r="E682" s="2">
        <f t="shared" si="133"/>
        <v>151</v>
      </c>
      <c r="F682" s="2">
        <f t="shared" si="133"/>
        <v>149</v>
      </c>
      <c r="G682" s="2">
        <f t="shared" si="133"/>
        <v>148</v>
      </c>
      <c r="H682" s="2">
        <f t="shared" si="133"/>
        <v>146</v>
      </c>
      <c r="I682" s="2">
        <f t="shared" si="133"/>
        <v>145</v>
      </c>
      <c r="J682" s="2">
        <f t="shared" si="133"/>
        <v>143</v>
      </c>
      <c r="K682" s="2">
        <f t="shared" si="133"/>
        <v>141</v>
      </c>
      <c r="L682" s="2">
        <f t="shared" si="133"/>
        <v>139</v>
      </c>
      <c r="M682" s="2">
        <f t="shared" si="133"/>
        <v>138</v>
      </c>
      <c r="N682" s="2">
        <f t="shared" si="133"/>
        <v>137</v>
      </c>
      <c r="O682" s="2">
        <f t="shared" si="133"/>
        <v>135</v>
      </c>
      <c r="P682" s="2">
        <f t="shared" si="133"/>
        <v>132</v>
      </c>
      <c r="Q682" s="2">
        <f t="shared" si="133"/>
        <v>130</v>
      </c>
      <c r="R682" s="2">
        <f t="shared" si="133"/>
        <v>127</v>
      </c>
      <c r="S682" s="2">
        <f t="shared" si="133"/>
        <v>126</v>
      </c>
      <c r="T682" s="2">
        <f t="shared" si="133"/>
        <v>124</v>
      </c>
      <c r="U682" s="2">
        <f t="shared" si="134"/>
        <v>123</v>
      </c>
      <c r="V682" s="2">
        <f t="shared" si="134"/>
        <v>121</v>
      </c>
      <c r="W682" s="2">
        <f t="shared" si="134"/>
        <v>118</v>
      </c>
      <c r="X682" s="2">
        <f t="shared" si="134"/>
        <v>117</v>
      </c>
      <c r="Y682" s="2">
        <f t="shared" si="134"/>
        <v>113</v>
      </c>
      <c r="Z682" s="25">
        <f t="shared" si="134"/>
        <v>112</v>
      </c>
      <c r="AA682" s="1308"/>
      <c r="AD682" s="713"/>
      <c r="AE682" s="2">
        <v>1050</v>
      </c>
      <c r="AF682" s="25">
        <v>1100</v>
      </c>
      <c r="AG682" s="29">
        <v>200</v>
      </c>
      <c r="AH682" s="22">
        <v>194</v>
      </c>
      <c r="AI682" s="22">
        <v>192</v>
      </c>
      <c r="AJ682" s="22">
        <v>190</v>
      </c>
      <c r="AK682" s="22">
        <v>188</v>
      </c>
      <c r="AL682" s="22">
        <v>186</v>
      </c>
      <c r="AM682" s="22">
        <v>184</v>
      </c>
      <c r="AN682" s="22">
        <v>181</v>
      </c>
      <c r="AO682" s="22">
        <v>179</v>
      </c>
      <c r="AP682" s="22">
        <v>178</v>
      </c>
      <c r="AQ682" s="22">
        <v>176</v>
      </c>
      <c r="AR682" s="22">
        <v>174</v>
      </c>
      <c r="AS682" s="22">
        <v>170</v>
      </c>
      <c r="AT682" s="22">
        <v>167</v>
      </c>
      <c r="AU682" s="22">
        <v>164</v>
      </c>
      <c r="AV682" s="22">
        <v>162</v>
      </c>
      <c r="AW682" s="22">
        <v>160</v>
      </c>
      <c r="AX682" s="22">
        <v>158</v>
      </c>
      <c r="AY682" s="22">
        <v>156</v>
      </c>
      <c r="AZ682" s="22">
        <v>152</v>
      </c>
      <c r="BA682" s="22">
        <v>150</v>
      </c>
      <c r="BB682" s="22">
        <v>146</v>
      </c>
      <c r="BC682" s="30">
        <v>144</v>
      </c>
    </row>
    <row r="683" spans="1:55" s="426" customFormat="1" x14ac:dyDescent="0.25">
      <c r="A683" s="41">
        <f t="shared" si="131"/>
        <v>0</v>
      </c>
      <c r="B683" s="2">
        <v>1100</v>
      </c>
      <c r="C683" s="2">
        <v>1150</v>
      </c>
      <c r="D683" s="26">
        <f t="shared" si="135"/>
        <v>151</v>
      </c>
      <c r="E683" s="2">
        <f t="shared" si="133"/>
        <v>147</v>
      </c>
      <c r="F683" s="2">
        <f t="shared" si="133"/>
        <v>145</v>
      </c>
      <c r="G683" s="2">
        <f t="shared" si="133"/>
        <v>144</v>
      </c>
      <c r="H683" s="2">
        <f t="shared" si="133"/>
        <v>143</v>
      </c>
      <c r="I683" s="2">
        <f t="shared" si="133"/>
        <v>141</v>
      </c>
      <c r="J683" s="2">
        <f t="shared" si="133"/>
        <v>140</v>
      </c>
      <c r="K683" s="2">
        <f t="shared" si="133"/>
        <v>138</v>
      </c>
      <c r="L683" s="2">
        <f t="shared" si="133"/>
        <v>136</v>
      </c>
      <c r="M683" s="2">
        <f t="shared" si="133"/>
        <v>135</v>
      </c>
      <c r="N683" s="2">
        <f t="shared" si="133"/>
        <v>134</v>
      </c>
      <c r="O683" s="2">
        <f t="shared" si="133"/>
        <v>132</v>
      </c>
      <c r="P683" s="2">
        <f t="shared" si="133"/>
        <v>131</v>
      </c>
      <c r="Q683" s="2">
        <f t="shared" si="133"/>
        <v>127</v>
      </c>
      <c r="R683" s="2">
        <f t="shared" si="133"/>
        <v>126</v>
      </c>
      <c r="S683" s="2">
        <f t="shared" si="133"/>
        <v>124</v>
      </c>
      <c r="T683" s="2">
        <f t="shared" si="133"/>
        <v>123</v>
      </c>
      <c r="U683" s="2">
        <f t="shared" si="134"/>
        <v>121</v>
      </c>
      <c r="V683" s="2">
        <f t="shared" si="134"/>
        <v>120</v>
      </c>
      <c r="W683" s="2">
        <f t="shared" si="134"/>
        <v>117</v>
      </c>
      <c r="X683" s="2">
        <f t="shared" si="134"/>
        <v>115</v>
      </c>
      <c r="Y683" s="2">
        <f t="shared" si="134"/>
        <v>112</v>
      </c>
      <c r="Z683" s="25">
        <f t="shared" si="134"/>
        <v>110</v>
      </c>
      <c r="AA683" s="1308"/>
      <c r="AD683" s="713"/>
      <c r="AE683" s="2">
        <v>1100</v>
      </c>
      <c r="AF683" s="25">
        <v>1150</v>
      </c>
      <c r="AG683" s="29">
        <v>194</v>
      </c>
      <c r="AH683" s="22">
        <v>189</v>
      </c>
      <c r="AI683" s="22">
        <v>187</v>
      </c>
      <c r="AJ683" s="22">
        <v>185</v>
      </c>
      <c r="AK683" s="22">
        <v>184</v>
      </c>
      <c r="AL683" s="22">
        <v>182</v>
      </c>
      <c r="AM683" s="22">
        <v>180</v>
      </c>
      <c r="AN683" s="22">
        <v>177</v>
      </c>
      <c r="AO683" s="22">
        <v>175</v>
      </c>
      <c r="AP683" s="22">
        <v>174</v>
      </c>
      <c r="AQ683" s="22">
        <v>172</v>
      </c>
      <c r="AR683" s="22">
        <v>170</v>
      </c>
      <c r="AS683" s="22">
        <v>168</v>
      </c>
      <c r="AT683" s="22">
        <v>164</v>
      </c>
      <c r="AU683" s="22">
        <v>162</v>
      </c>
      <c r="AV683" s="22">
        <v>160</v>
      </c>
      <c r="AW683" s="22">
        <v>158</v>
      </c>
      <c r="AX683" s="22">
        <v>156</v>
      </c>
      <c r="AY683" s="22">
        <v>154</v>
      </c>
      <c r="AZ683" s="22">
        <v>150</v>
      </c>
      <c r="BA683" s="22">
        <v>148</v>
      </c>
      <c r="BB683" s="22">
        <v>144</v>
      </c>
      <c r="BC683" s="30">
        <v>142</v>
      </c>
    </row>
    <row r="684" spans="1:55" s="426" customFormat="1" ht="15.75" thickBot="1" x14ac:dyDescent="0.3">
      <c r="A684" s="52">
        <f t="shared" si="131"/>
        <v>0</v>
      </c>
      <c r="B684" s="343">
        <v>1150</v>
      </c>
      <c r="C684" s="965">
        <v>1200</v>
      </c>
      <c r="D684" s="26">
        <f t="shared" si="135"/>
        <v>146</v>
      </c>
      <c r="E684" s="2">
        <f t="shared" si="133"/>
        <v>145</v>
      </c>
      <c r="F684" s="2">
        <f t="shared" si="133"/>
        <v>143</v>
      </c>
      <c r="G684" s="2">
        <f t="shared" si="133"/>
        <v>141</v>
      </c>
      <c r="H684" s="2">
        <f t="shared" si="133"/>
        <v>140</v>
      </c>
      <c r="I684" s="2">
        <f t="shared" si="133"/>
        <v>138</v>
      </c>
      <c r="J684" s="2">
        <f t="shared" si="133"/>
        <v>137</v>
      </c>
      <c r="K684" s="2">
        <f t="shared" si="133"/>
        <v>135</v>
      </c>
      <c r="L684" s="2">
        <f t="shared" si="133"/>
        <v>134</v>
      </c>
      <c r="M684" s="2">
        <f t="shared" si="133"/>
        <v>132</v>
      </c>
      <c r="N684" s="2">
        <f t="shared" si="133"/>
        <v>131</v>
      </c>
      <c r="O684" s="2">
        <f t="shared" si="133"/>
        <v>129</v>
      </c>
      <c r="P684" s="2">
        <f t="shared" si="133"/>
        <v>127</v>
      </c>
      <c r="Q684" s="2">
        <f t="shared" si="133"/>
        <v>126</v>
      </c>
      <c r="R684" s="2">
        <f t="shared" si="133"/>
        <v>124</v>
      </c>
      <c r="S684" s="2">
        <f t="shared" si="133"/>
        <v>123</v>
      </c>
      <c r="T684" s="2">
        <f t="shared" si="133"/>
        <v>121</v>
      </c>
      <c r="U684" s="2">
        <f t="shared" si="134"/>
        <v>120</v>
      </c>
      <c r="V684" s="2">
        <f t="shared" si="134"/>
        <v>117</v>
      </c>
      <c r="W684" s="2">
        <f t="shared" si="134"/>
        <v>115</v>
      </c>
      <c r="X684" s="2">
        <f t="shared" si="134"/>
        <v>113</v>
      </c>
      <c r="Y684" s="2">
        <f t="shared" si="134"/>
        <v>110</v>
      </c>
      <c r="Z684" s="25">
        <f t="shared" si="134"/>
        <v>108</v>
      </c>
      <c r="AA684" s="1309"/>
      <c r="AD684" s="713"/>
      <c r="AE684" s="965">
        <v>1150</v>
      </c>
      <c r="AF684" s="966">
        <v>1200</v>
      </c>
      <c r="AG684" s="649">
        <v>188</v>
      </c>
      <c r="AH684" s="344">
        <v>186</v>
      </c>
      <c r="AI684" s="344">
        <v>184</v>
      </c>
      <c r="AJ684" s="344">
        <v>182</v>
      </c>
      <c r="AK684" s="344">
        <v>180</v>
      </c>
      <c r="AL684" s="344">
        <v>178</v>
      </c>
      <c r="AM684" s="344">
        <v>176</v>
      </c>
      <c r="AN684" s="344">
        <v>174</v>
      </c>
      <c r="AO684" s="344">
        <v>172</v>
      </c>
      <c r="AP684" s="344">
        <v>170</v>
      </c>
      <c r="AQ684" s="344">
        <v>168</v>
      </c>
      <c r="AR684" s="344">
        <v>166</v>
      </c>
      <c r="AS684" s="344">
        <v>164</v>
      </c>
      <c r="AT684" s="344">
        <v>162</v>
      </c>
      <c r="AU684" s="344">
        <v>160</v>
      </c>
      <c r="AV684" s="344">
        <v>158</v>
      </c>
      <c r="AW684" s="344">
        <v>156</v>
      </c>
      <c r="AX684" s="344">
        <v>154</v>
      </c>
      <c r="AY684" s="344">
        <v>151</v>
      </c>
      <c r="AZ684" s="344">
        <v>148</v>
      </c>
      <c r="BA684" s="344">
        <v>145</v>
      </c>
      <c r="BB684" s="344">
        <v>142</v>
      </c>
      <c r="BC684" s="490">
        <v>139</v>
      </c>
    </row>
    <row r="685" spans="1:55" s="426" customFormat="1" ht="15.75" thickBot="1" x14ac:dyDescent="0.3">
      <c r="A685" s="404">
        <f t="shared" si="131"/>
        <v>0</v>
      </c>
      <c r="B685" s="449">
        <v>1200</v>
      </c>
      <c r="C685" s="449">
        <v>1250</v>
      </c>
      <c r="D685" s="3">
        <f>FLOOR($AD$685*AG685,1)</f>
        <v>92</v>
      </c>
      <c r="E685" s="449">
        <f t="shared" ref="E685:T688" si="136">FLOOR($AD$685*AH685,1)</f>
        <v>91</v>
      </c>
      <c r="F685" s="449">
        <f t="shared" si="136"/>
        <v>90</v>
      </c>
      <c r="G685" s="449">
        <f t="shared" si="136"/>
        <v>89</v>
      </c>
      <c r="H685" s="449">
        <f t="shared" si="136"/>
        <v>88</v>
      </c>
      <c r="I685" s="449">
        <f t="shared" si="136"/>
        <v>88</v>
      </c>
      <c r="J685" s="449">
        <f t="shared" si="136"/>
        <v>87</v>
      </c>
      <c r="K685" s="449">
        <f t="shared" si="136"/>
        <v>86</v>
      </c>
      <c r="L685" s="449">
        <f t="shared" si="136"/>
        <v>85</v>
      </c>
      <c r="M685" s="449">
        <f t="shared" si="136"/>
        <v>84</v>
      </c>
      <c r="N685" s="449">
        <f t="shared" si="136"/>
        <v>84</v>
      </c>
      <c r="O685" s="449">
        <f t="shared" si="136"/>
        <v>83</v>
      </c>
      <c r="P685" s="449">
        <f t="shared" si="136"/>
        <v>82</v>
      </c>
      <c r="Q685" s="449">
        <f t="shared" si="136"/>
        <v>81</v>
      </c>
      <c r="R685" s="449">
        <f t="shared" si="136"/>
        <v>80</v>
      </c>
      <c r="S685" s="449">
        <f t="shared" si="136"/>
        <v>80</v>
      </c>
      <c r="T685" s="449">
        <f t="shared" si="136"/>
        <v>79</v>
      </c>
      <c r="U685" s="449">
        <f t="shared" ref="U685:Z688" si="137">FLOOR($AD$685*AX685,1)</f>
        <v>77</v>
      </c>
      <c r="V685" s="449">
        <f t="shared" si="137"/>
        <v>76</v>
      </c>
      <c r="W685" s="449">
        <f t="shared" si="137"/>
        <v>74</v>
      </c>
      <c r="X685" s="449">
        <f t="shared" si="137"/>
        <v>72</v>
      </c>
      <c r="Y685" s="449">
        <f t="shared" si="137"/>
        <v>72</v>
      </c>
      <c r="Z685" s="435">
        <f t="shared" si="137"/>
        <v>72</v>
      </c>
      <c r="AA685" s="1307" t="s">
        <v>689</v>
      </c>
      <c r="AD685" s="1058">
        <v>0.8</v>
      </c>
      <c r="AE685" s="449">
        <v>1200</v>
      </c>
      <c r="AF685" s="435">
        <v>1250</v>
      </c>
      <c r="AG685" s="645">
        <v>115</v>
      </c>
      <c r="AH685" s="22">
        <v>114</v>
      </c>
      <c r="AI685" s="22">
        <v>113</v>
      </c>
      <c r="AJ685" s="22">
        <v>112</v>
      </c>
      <c r="AK685" s="22">
        <v>111</v>
      </c>
      <c r="AL685" s="22">
        <v>110</v>
      </c>
      <c r="AM685" s="22">
        <v>109</v>
      </c>
      <c r="AN685" s="22">
        <v>108</v>
      </c>
      <c r="AO685" s="22">
        <v>107</v>
      </c>
      <c r="AP685" s="22">
        <v>106</v>
      </c>
      <c r="AQ685" s="22">
        <v>105</v>
      </c>
      <c r="AR685" s="22">
        <v>104</v>
      </c>
      <c r="AS685" s="22">
        <v>103</v>
      </c>
      <c r="AT685" s="22">
        <v>102</v>
      </c>
      <c r="AU685" s="22">
        <v>101</v>
      </c>
      <c r="AV685" s="22">
        <v>100</v>
      </c>
      <c r="AW685" s="22">
        <v>99</v>
      </c>
      <c r="AX685" s="22">
        <v>97</v>
      </c>
      <c r="AY685" s="22">
        <v>95</v>
      </c>
      <c r="AZ685" s="22">
        <v>93</v>
      </c>
      <c r="BA685" s="22">
        <v>91</v>
      </c>
      <c r="BB685" s="22">
        <v>91</v>
      </c>
      <c r="BC685" s="30">
        <v>91</v>
      </c>
    </row>
    <row r="686" spans="1:55" s="426" customFormat="1" x14ac:dyDescent="0.25">
      <c r="A686" s="41">
        <f t="shared" si="131"/>
        <v>0</v>
      </c>
      <c r="B686" s="2">
        <v>1250</v>
      </c>
      <c r="C686" s="2">
        <v>1300</v>
      </c>
      <c r="D686" s="26">
        <f t="shared" ref="D686:D688" si="138">FLOOR($AD$685*AG686,1)</f>
        <v>88</v>
      </c>
      <c r="E686" s="2">
        <f t="shared" si="136"/>
        <v>87</v>
      </c>
      <c r="F686" s="2">
        <f t="shared" si="136"/>
        <v>86</v>
      </c>
      <c r="G686" s="2">
        <f t="shared" si="136"/>
        <v>85</v>
      </c>
      <c r="H686" s="2">
        <f t="shared" si="136"/>
        <v>84</v>
      </c>
      <c r="I686" s="2">
        <f t="shared" si="136"/>
        <v>84</v>
      </c>
      <c r="J686" s="2">
        <f t="shared" si="136"/>
        <v>83</v>
      </c>
      <c r="K686" s="2">
        <f t="shared" si="136"/>
        <v>82</v>
      </c>
      <c r="L686" s="2">
        <f t="shared" si="136"/>
        <v>81</v>
      </c>
      <c r="M686" s="2">
        <f t="shared" si="136"/>
        <v>80</v>
      </c>
      <c r="N686" s="2">
        <f t="shared" si="136"/>
        <v>80</v>
      </c>
      <c r="O686" s="2">
        <f t="shared" si="136"/>
        <v>80</v>
      </c>
      <c r="P686" s="2">
        <f t="shared" si="136"/>
        <v>79</v>
      </c>
      <c r="Q686" s="2">
        <f t="shared" si="136"/>
        <v>78</v>
      </c>
      <c r="R686" s="2">
        <f t="shared" si="136"/>
        <v>77</v>
      </c>
      <c r="S686" s="2">
        <f t="shared" si="136"/>
        <v>76</v>
      </c>
      <c r="T686" s="2">
        <f t="shared" si="136"/>
        <v>75</v>
      </c>
      <c r="U686" s="2">
        <f t="shared" si="137"/>
        <v>73</v>
      </c>
      <c r="V686" s="2">
        <f t="shared" si="137"/>
        <v>72</v>
      </c>
      <c r="W686" s="2">
        <f t="shared" si="137"/>
        <v>70</v>
      </c>
      <c r="X686" s="2">
        <f t="shared" si="137"/>
        <v>68</v>
      </c>
      <c r="Y686" s="2">
        <f t="shared" si="137"/>
        <v>68</v>
      </c>
      <c r="Z686" s="25">
        <f t="shared" si="137"/>
        <v>68</v>
      </c>
      <c r="AA686" s="1310"/>
      <c r="AD686" s="713"/>
      <c r="AE686" s="26">
        <v>1250</v>
      </c>
      <c r="AF686" s="25">
        <v>1300</v>
      </c>
      <c r="AG686" s="29">
        <v>110</v>
      </c>
      <c r="AH686" s="22">
        <v>109</v>
      </c>
      <c r="AI686" s="22">
        <v>108</v>
      </c>
      <c r="AJ686" s="22">
        <v>107</v>
      </c>
      <c r="AK686" s="22">
        <v>106</v>
      </c>
      <c r="AL686" s="22">
        <v>105</v>
      </c>
      <c r="AM686" s="22">
        <v>104</v>
      </c>
      <c r="AN686" s="22">
        <v>103</v>
      </c>
      <c r="AO686" s="22">
        <v>102</v>
      </c>
      <c r="AP686" s="22">
        <v>101</v>
      </c>
      <c r="AQ686" s="22">
        <v>100</v>
      </c>
      <c r="AR686" s="22">
        <v>100</v>
      </c>
      <c r="AS686" s="22">
        <v>99</v>
      </c>
      <c r="AT686" s="22">
        <v>98</v>
      </c>
      <c r="AU686" s="22">
        <v>97</v>
      </c>
      <c r="AV686" s="22">
        <v>96</v>
      </c>
      <c r="AW686" s="22">
        <v>94</v>
      </c>
      <c r="AX686" s="22">
        <v>92</v>
      </c>
      <c r="AY686" s="22">
        <v>90</v>
      </c>
      <c r="AZ686" s="22">
        <v>88</v>
      </c>
      <c r="BA686" s="22">
        <v>86</v>
      </c>
      <c r="BB686" s="22">
        <v>86</v>
      </c>
      <c r="BC686" s="30">
        <v>86</v>
      </c>
    </row>
    <row r="687" spans="1:55" s="426" customFormat="1" x14ac:dyDescent="0.25">
      <c r="A687" s="41">
        <f t="shared" si="131"/>
        <v>0</v>
      </c>
      <c r="B687" s="2">
        <v>1300</v>
      </c>
      <c r="C687" s="2">
        <v>1350</v>
      </c>
      <c r="D687" s="26">
        <f t="shared" si="138"/>
        <v>84</v>
      </c>
      <c r="E687" s="2">
        <f t="shared" si="136"/>
        <v>83</v>
      </c>
      <c r="F687" s="2">
        <f t="shared" si="136"/>
        <v>82</v>
      </c>
      <c r="G687" s="2">
        <f t="shared" si="136"/>
        <v>81</v>
      </c>
      <c r="H687" s="2">
        <f t="shared" si="136"/>
        <v>80</v>
      </c>
      <c r="I687" s="2">
        <f t="shared" si="136"/>
        <v>80</v>
      </c>
      <c r="J687" s="2">
        <f t="shared" si="136"/>
        <v>80</v>
      </c>
      <c r="K687" s="2">
        <f t="shared" si="136"/>
        <v>79</v>
      </c>
      <c r="L687" s="2">
        <f t="shared" si="136"/>
        <v>78</v>
      </c>
      <c r="M687" s="2">
        <f t="shared" si="136"/>
        <v>77</v>
      </c>
      <c r="N687" s="2">
        <f t="shared" si="136"/>
        <v>76</v>
      </c>
      <c r="O687" s="2">
        <f t="shared" si="136"/>
        <v>76</v>
      </c>
      <c r="P687" s="2">
        <f t="shared" si="136"/>
        <v>75</v>
      </c>
      <c r="Q687" s="2">
        <f t="shared" si="136"/>
        <v>74</v>
      </c>
      <c r="R687" s="2">
        <f t="shared" si="136"/>
        <v>73</v>
      </c>
      <c r="S687" s="2">
        <f t="shared" si="136"/>
        <v>72</v>
      </c>
      <c r="T687" s="2">
        <f t="shared" si="136"/>
        <v>71</v>
      </c>
      <c r="U687" s="2">
        <f t="shared" si="137"/>
        <v>69</v>
      </c>
      <c r="V687" s="2">
        <f t="shared" si="137"/>
        <v>68</v>
      </c>
      <c r="W687" s="2">
        <f t="shared" si="137"/>
        <v>66</v>
      </c>
      <c r="X687" s="2">
        <f t="shared" si="137"/>
        <v>64</v>
      </c>
      <c r="Y687" s="2">
        <f t="shared" si="137"/>
        <v>64</v>
      </c>
      <c r="Z687" s="25">
        <f t="shared" si="137"/>
        <v>64</v>
      </c>
      <c r="AA687" s="1310"/>
      <c r="AD687" s="713"/>
      <c r="AE687" s="26">
        <v>1300</v>
      </c>
      <c r="AF687" s="25">
        <v>1350</v>
      </c>
      <c r="AG687" s="29">
        <v>105</v>
      </c>
      <c r="AH687" s="22">
        <v>104</v>
      </c>
      <c r="AI687" s="22">
        <v>103</v>
      </c>
      <c r="AJ687" s="22">
        <v>102</v>
      </c>
      <c r="AK687" s="22">
        <v>101</v>
      </c>
      <c r="AL687" s="22">
        <v>100</v>
      </c>
      <c r="AM687" s="22">
        <v>100</v>
      </c>
      <c r="AN687" s="22">
        <v>99</v>
      </c>
      <c r="AO687" s="22">
        <v>98</v>
      </c>
      <c r="AP687" s="22">
        <v>97</v>
      </c>
      <c r="AQ687" s="22">
        <v>96</v>
      </c>
      <c r="AR687" s="22">
        <v>95</v>
      </c>
      <c r="AS687" s="22">
        <v>94</v>
      </c>
      <c r="AT687" s="22">
        <v>93</v>
      </c>
      <c r="AU687" s="22">
        <v>92</v>
      </c>
      <c r="AV687" s="22">
        <v>91</v>
      </c>
      <c r="AW687" s="22">
        <v>89</v>
      </c>
      <c r="AX687" s="22">
        <v>87</v>
      </c>
      <c r="AY687" s="22">
        <v>85</v>
      </c>
      <c r="AZ687" s="22">
        <v>83</v>
      </c>
      <c r="BA687" s="22">
        <v>81</v>
      </c>
      <c r="BB687" s="22">
        <v>81</v>
      </c>
      <c r="BC687" s="30">
        <v>81</v>
      </c>
    </row>
    <row r="688" spans="1:55" s="426" customFormat="1" x14ac:dyDescent="0.25">
      <c r="A688" s="52">
        <f t="shared" si="131"/>
        <v>0</v>
      </c>
      <c r="B688" s="343">
        <v>1350</v>
      </c>
      <c r="C688" s="965">
        <v>1400</v>
      </c>
      <c r="D688" s="432">
        <f t="shared" si="138"/>
        <v>80</v>
      </c>
      <c r="E688" s="965">
        <f t="shared" si="136"/>
        <v>80</v>
      </c>
      <c r="F688" s="965">
        <f t="shared" si="136"/>
        <v>79</v>
      </c>
      <c r="G688" s="965">
        <f t="shared" si="136"/>
        <v>78</v>
      </c>
      <c r="H688" s="965">
        <f t="shared" si="136"/>
        <v>77</v>
      </c>
      <c r="I688" s="965">
        <f t="shared" si="136"/>
        <v>76</v>
      </c>
      <c r="J688" s="965">
        <f t="shared" si="136"/>
        <v>76</v>
      </c>
      <c r="K688" s="965">
        <f t="shared" si="136"/>
        <v>75</v>
      </c>
      <c r="L688" s="965">
        <f t="shared" si="136"/>
        <v>74</v>
      </c>
      <c r="M688" s="965">
        <f t="shared" si="136"/>
        <v>73</v>
      </c>
      <c r="N688" s="965">
        <f t="shared" si="136"/>
        <v>72</v>
      </c>
      <c r="O688" s="965">
        <f t="shared" si="136"/>
        <v>72</v>
      </c>
      <c r="P688" s="965">
        <f t="shared" si="136"/>
        <v>71</v>
      </c>
      <c r="Q688" s="965">
        <f t="shared" si="136"/>
        <v>70</v>
      </c>
      <c r="R688" s="965">
        <f t="shared" si="136"/>
        <v>69</v>
      </c>
      <c r="S688" s="965">
        <f t="shared" si="136"/>
        <v>68</v>
      </c>
      <c r="T688" s="965">
        <f t="shared" si="136"/>
        <v>67</v>
      </c>
      <c r="U688" s="965">
        <f t="shared" si="137"/>
        <v>65</v>
      </c>
      <c r="V688" s="965">
        <f t="shared" si="137"/>
        <v>64</v>
      </c>
      <c r="W688" s="965">
        <f t="shared" si="137"/>
        <v>62</v>
      </c>
      <c r="X688" s="965">
        <f t="shared" si="137"/>
        <v>60</v>
      </c>
      <c r="Y688" s="965">
        <f t="shared" si="137"/>
        <v>60</v>
      </c>
      <c r="Z688" s="966">
        <f t="shared" si="137"/>
        <v>60</v>
      </c>
      <c r="AA688" s="1311"/>
      <c r="AD688" s="714"/>
      <c r="AE688" s="432">
        <v>1350</v>
      </c>
      <c r="AF688" s="966">
        <v>1400</v>
      </c>
      <c r="AG688" s="649">
        <v>100</v>
      </c>
      <c r="AH688" s="1039">
        <v>100</v>
      </c>
      <c r="AI688" s="1039">
        <v>99</v>
      </c>
      <c r="AJ688" s="1039">
        <v>98</v>
      </c>
      <c r="AK688" s="1039">
        <v>97</v>
      </c>
      <c r="AL688" s="1039">
        <v>96</v>
      </c>
      <c r="AM688" s="1039">
        <v>95</v>
      </c>
      <c r="AN688" s="1039">
        <v>94</v>
      </c>
      <c r="AO688" s="1039">
        <v>93</v>
      </c>
      <c r="AP688" s="1039">
        <v>92</v>
      </c>
      <c r="AQ688" s="1039">
        <v>91</v>
      </c>
      <c r="AR688" s="1039">
        <v>90</v>
      </c>
      <c r="AS688" s="1039">
        <v>89</v>
      </c>
      <c r="AT688" s="1039">
        <v>88</v>
      </c>
      <c r="AU688" s="1039">
        <v>87</v>
      </c>
      <c r="AV688" s="1039">
        <v>86</v>
      </c>
      <c r="AW688" s="1039">
        <v>84</v>
      </c>
      <c r="AX688" s="1039">
        <v>82</v>
      </c>
      <c r="AY688" s="1039">
        <v>80</v>
      </c>
      <c r="AZ688" s="1039">
        <v>78</v>
      </c>
      <c r="BA688" s="1039">
        <v>76</v>
      </c>
      <c r="BB688" s="1039">
        <v>76</v>
      </c>
      <c r="BC688" s="1057">
        <v>75</v>
      </c>
    </row>
    <row r="689" spans="1:27" s="426" customFormat="1" x14ac:dyDescent="0.25">
      <c r="A689"/>
      <c r="B689" s="2"/>
      <c r="C689" s="2"/>
      <c r="D689" s="432">
        <f>IF(SUM($A$667:$A$688)&gt;0,VLOOKUP(1,$A$667:$Z$688,D663,FALSE),0)</f>
        <v>279</v>
      </c>
      <c r="E689" s="965">
        <f>IF(SUM($A$667:$A$688)&gt;0,VLOOKUP(1,$A$667:$Z$688,E663,FALSE),0)</f>
        <v>277</v>
      </c>
      <c r="F689" s="965">
        <f t="shared" ref="F689:Z689" si="139">IF(SUM($A$667:$A$688)&gt;0,VLOOKUP(1,$A$667:$Z$688,F663,FALSE),0)</f>
        <v>276</v>
      </c>
      <c r="G689" s="965">
        <f t="shared" si="139"/>
        <v>274</v>
      </c>
      <c r="H689" s="965">
        <f t="shared" si="139"/>
        <v>273</v>
      </c>
      <c r="I689" s="965">
        <f t="shared" si="139"/>
        <v>272</v>
      </c>
      <c r="J689" s="965">
        <f t="shared" si="139"/>
        <v>270</v>
      </c>
      <c r="K689" s="965">
        <f t="shared" si="139"/>
        <v>268</v>
      </c>
      <c r="L689" s="965">
        <f t="shared" si="139"/>
        <v>267</v>
      </c>
      <c r="M689" s="965">
        <f t="shared" si="139"/>
        <v>265</v>
      </c>
      <c r="N689" s="965">
        <f t="shared" si="139"/>
        <v>264</v>
      </c>
      <c r="O689" s="965">
        <f t="shared" si="139"/>
        <v>262</v>
      </c>
      <c r="P689" s="965">
        <f t="shared" si="139"/>
        <v>260</v>
      </c>
      <c r="Q689" s="965">
        <f t="shared" si="139"/>
        <v>259</v>
      </c>
      <c r="R689" s="965">
        <f t="shared" si="139"/>
        <v>258</v>
      </c>
      <c r="S689" s="965">
        <f t="shared" si="139"/>
        <v>256</v>
      </c>
      <c r="T689" s="965">
        <f t="shared" si="139"/>
        <v>255</v>
      </c>
      <c r="U689" s="965">
        <f t="shared" si="139"/>
        <v>253</v>
      </c>
      <c r="V689" s="965">
        <f t="shared" si="139"/>
        <v>252</v>
      </c>
      <c r="W689" s="965">
        <f t="shared" si="139"/>
        <v>250</v>
      </c>
      <c r="X689" s="965">
        <f t="shared" si="139"/>
        <v>180</v>
      </c>
      <c r="Y689" s="965">
        <f t="shared" si="139"/>
        <v>247</v>
      </c>
      <c r="Z689" s="966">
        <f t="shared" si="139"/>
        <v>247</v>
      </c>
      <c r="AA689"/>
    </row>
    <row r="690" spans="1:27" s="426" customFormat="1" ht="12.75" x14ac:dyDescent="0.2">
      <c r="Y690" s="626"/>
    </row>
    <row r="691" spans="1:27" s="426" customFormat="1" ht="12.75" x14ac:dyDescent="0.2">
      <c r="B691" s="426" t="s">
        <v>692</v>
      </c>
      <c r="Y691" s="626"/>
    </row>
    <row r="692" spans="1:27" s="426" customFormat="1" ht="12.75" x14ac:dyDescent="0.2">
      <c r="Y692" s="626"/>
    </row>
    <row r="693" spans="1:27" s="426" customFormat="1" ht="12.75" x14ac:dyDescent="0.2">
      <c r="A693" s="426">
        <f>A635</f>
        <v>1</v>
      </c>
      <c r="B693" s="426" t="s">
        <v>675</v>
      </c>
      <c r="C693" s="626">
        <f>A693*C635</f>
        <v>8</v>
      </c>
      <c r="D693" s="635">
        <f>C693*$D$632</f>
        <v>73.333333333333329</v>
      </c>
      <c r="Y693" s="626"/>
    </row>
    <row r="694" spans="1:27" s="426" customFormat="1" ht="12.75" x14ac:dyDescent="0.2">
      <c r="A694" s="426">
        <f>A636</f>
        <v>0</v>
      </c>
      <c r="B694" s="426" t="s">
        <v>676</v>
      </c>
      <c r="C694" s="626">
        <f>A694*C636</f>
        <v>0</v>
      </c>
      <c r="D694" s="635">
        <f t="shared" ref="D694:D697" si="140">C694*$D$632</f>
        <v>0</v>
      </c>
      <c r="Y694" s="626"/>
    </row>
    <row r="695" spans="1:27" s="426" customFormat="1" ht="12.75" x14ac:dyDescent="0.2">
      <c r="A695" s="426">
        <f>A637</f>
        <v>0</v>
      </c>
      <c r="B695" s="426" t="s">
        <v>677</v>
      </c>
      <c r="C695" s="626">
        <f>A695*C637</f>
        <v>0</v>
      </c>
      <c r="D695" s="635">
        <f t="shared" si="140"/>
        <v>0</v>
      </c>
      <c r="Y695" s="626"/>
    </row>
    <row r="696" spans="1:27" s="426" customFormat="1" ht="12.75" x14ac:dyDescent="0.2">
      <c r="A696" s="426">
        <f>A638</f>
        <v>0</v>
      </c>
      <c r="B696" s="426" t="s">
        <v>681</v>
      </c>
      <c r="C696" s="626">
        <f>A696*C638</f>
        <v>0</v>
      </c>
      <c r="D696" s="635">
        <f t="shared" si="140"/>
        <v>0</v>
      </c>
      <c r="Y696" s="626"/>
    </row>
    <row r="697" spans="1:27" s="426" customFormat="1" ht="12" customHeight="1" x14ac:dyDescent="0.2">
      <c r="A697" s="426">
        <f>A639</f>
        <v>0</v>
      </c>
      <c r="B697" s="426" t="s">
        <v>690</v>
      </c>
      <c r="C697" s="626">
        <f>C639*A697</f>
        <v>0</v>
      </c>
      <c r="D697" s="635">
        <f t="shared" si="140"/>
        <v>0</v>
      </c>
      <c r="Y697" s="626"/>
    </row>
    <row r="698" spans="1:27" s="426" customFormat="1" ht="12.75" x14ac:dyDescent="0.2">
      <c r="B698" s="615" t="s">
        <v>693</v>
      </c>
      <c r="D698" s="633">
        <f>SUM(D693:D697)</f>
        <v>73.333333333333329</v>
      </c>
      <c r="Y698" s="626"/>
    </row>
    <row r="699" spans="1:27" s="426" customFormat="1" ht="12.75" x14ac:dyDescent="0.2">
      <c r="B699" s="615"/>
      <c r="Y699" s="626"/>
    </row>
    <row r="700" spans="1:27" s="426" customFormat="1" ht="12.75" x14ac:dyDescent="0.2">
      <c r="B700" s="615"/>
      <c r="Y700" s="626"/>
    </row>
    <row r="701" spans="1:27" s="426" customFormat="1" ht="12.75" x14ac:dyDescent="0.2">
      <c r="B701" s="615"/>
      <c r="C701" s="626" t="s">
        <v>1020</v>
      </c>
      <c r="D701" s="626" t="s">
        <v>1021</v>
      </c>
      <c r="E701" s="426" t="s">
        <v>1022</v>
      </c>
      <c r="Y701" s="626"/>
    </row>
    <row r="702" spans="1:27" s="426" customFormat="1" ht="12.75" x14ac:dyDescent="0.2">
      <c r="B702" s="652" t="s">
        <v>704</v>
      </c>
      <c r="C702" s="634">
        <f>IF(C629=1,HLOOKUP(1,D664:Z689,26,FALSE),9999)</f>
        <v>272</v>
      </c>
      <c r="D702" s="1047">
        <f>M639</f>
        <v>9999</v>
      </c>
      <c r="E702" s="1047">
        <f>FLOOR(MIN(C702:D702)*I650,5)</f>
        <v>240</v>
      </c>
      <c r="Y702" s="626"/>
    </row>
    <row r="703" spans="1:27" s="426" customFormat="1" ht="12.75" x14ac:dyDescent="0.2">
      <c r="C703" s="626"/>
      <c r="D703" s="626"/>
      <c r="E703" s="626"/>
      <c r="Y703" s="626"/>
    </row>
    <row r="704" spans="1:27" s="426" customFormat="1" ht="12.75" x14ac:dyDescent="0.2">
      <c r="Y704" s="626"/>
    </row>
    <row r="705" spans="1:25" s="426" customFormat="1" ht="12.75" x14ac:dyDescent="0.2">
      <c r="B705" s="634" t="s">
        <v>706</v>
      </c>
      <c r="C705" s="653" t="s">
        <v>707</v>
      </c>
      <c r="D705" s="628" t="s">
        <v>708</v>
      </c>
      <c r="E705" s="664" t="s">
        <v>709</v>
      </c>
      <c r="Y705" s="626"/>
    </row>
    <row r="706" spans="1:25" s="426" customFormat="1" ht="12.75" x14ac:dyDescent="0.2">
      <c r="B706" s="634">
        <f>(IF(C3&gt;=I445,C3,I445)/E402)</f>
        <v>1800</v>
      </c>
      <c r="C706" s="665">
        <v>200</v>
      </c>
      <c r="D706" s="634">
        <f>B706-C706</f>
        <v>1600</v>
      </c>
      <c r="E706" s="654"/>
      <c r="Y706" s="626"/>
    </row>
    <row r="707" spans="1:25" s="426" customFormat="1" ht="12.75" x14ac:dyDescent="0.2">
      <c r="B707" s="634" t="s">
        <v>710</v>
      </c>
      <c r="C707" s="666">
        <f>IF(E702&gt;0,C706/(E702/2),0)</f>
        <v>1.6666666666666667</v>
      </c>
      <c r="D707" s="668">
        <f>IF(E702&gt;0,D706/E702,0)</f>
        <v>6.666666666666667</v>
      </c>
      <c r="E707" s="667">
        <f>CEILING(D707+C707,1)</f>
        <v>9</v>
      </c>
      <c r="Y707" s="626"/>
    </row>
    <row r="708" spans="1:25" s="426" customFormat="1" ht="12.75" x14ac:dyDescent="0.2">
      <c r="B708" s="615"/>
      <c r="Y708" s="626"/>
    </row>
    <row r="709" spans="1:25" s="426" customFormat="1" ht="12.75" x14ac:dyDescent="0.2">
      <c r="B709" s="615"/>
      <c r="Y709" s="626"/>
    </row>
    <row r="710" spans="1:25" s="426" customFormat="1" ht="12.75" x14ac:dyDescent="0.2">
      <c r="A710" s="426">
        <f>IF(C629=1,1,0)</f>
        <v>1</v>
      </c>
      <c r="B710" s="615" t="s">
        <v>712</v>
      </c>
      <c r="C710" s="134">
        <f>IF(E707&gt;=C641,E707,C641)</f>
        <v>9</v>
      </c>
      <c r="D710" s="629">
        <f>IF(A710=1,C710*D632,0)</f>
        <v>82.5</v>
      </c>
      <c r="F710" s="669"/>
      <c r="Y710" s="626"/>
    </row>
    <row r="711" spans="1:25" s="426" customFormat="1" ht="12.75" x14ac:dyDescent="0.2">
      <c r="B711" s="615"/>
      <c r="Y711" s="626"/>
    </row>
    <row r="712" spans="1:25" s="430" customFormat="1" ht="12.75" x14ac:dyDescent="0.2">
      <c r="B712" s="678"/>
      <c r="Y712" s="651"/>
    </row>
    <row r="713" spans="1:25" s="426" customFormat="1" ht="12.75" x14ac:dyDescent="0.2">
      <c r="B713" s="615"/>
      <c r="Y713" s="626"/>
    </row>
    <row r="714" spans="1:25" s="426" customFormat="1" ht="13.5" thickBot="1" x14ac:dyDescent="0.25">
      <c r="B714" s="615"/>
      <c r="D714" s="626" t="s">
        <v>674</v>
      </c>
      <c r="Y714" s="626"/>
    </row>
    <row r="715" spans="1:25" s="426" customFormat="1" ht="13.5" thickBot="1" x14ac:dyDescent="0.25">
      <c r="B715" s="641" t="s">
        <v>665</v>
      </c>
      <c r="C715" s="643">
        <f>J367</f>
        <v>0</v>
      </c>
      <c r="D715" s="642">
        <f>IF(C715=1,D778+D790,0)</f>
        <v>0</v>
      </c>
      <c r="Y715" s="626"/>
    </row>
    <row r="716" spans="1:25" s="426" customFormat="1" ht="12.75" x14ac:dyDescent="0.2">
      <c r="Y716" s="626"/>
    </row>
    <row r="717" spans="1:25" s="426" customFormat="1" ht="12.75" x14ac:dyDescent="0.2">
      <c r="Y717" s="626"/>
    </row>
    <row r="718" spans="1:25" s="426" customFormat="1" ht="12.75" x14ac:dyDescent="0.2">
      <c r="Y718" s="626"/>
    </row>
    <row r="719" spans="1:25" s="426" customFormat="1" x14ac:dyDescent="0.25">
      <c r="B719" s="426" t="s">
        <v>716</v>
      </c>
      <c r="C719" s="633">
        <f>'Tarieven (3)'!C6</f>
        <v>300</v>
      </c>
      <c r="D719" s="633">
        <f>C719/60</f>
        <v>5</v>
      </c>
      <c r="H719" s="77" t="s">
        <v>4</v>
      </c>
      <c r="I719"/>
      <c r="J719"/>
      <c r="Y719" s="626"/>
    </row>
    <row r="720" spans="1:25" s="426" customFormat="1" x14ac:dyDescent="0.25">
      <c r="C720" s="635"/>
      <c r="D720" s="635"/>
      <c r="H720" s="3" t="str">
        <f>IF(AND(VLOOKUP(1,$A$113:$C$116,3,FALSE)&gt;0,$C$15=I720),1," ")</f>
        <v xml:space="preserve"> </v>
      </c>
      <c r="I720" s="1068" t="str">
        <f t="shared" ref="I720:I727" si="141">B121</f>
        <v>Onbedrukt / minder dan 10%</v>
      </c>
      <c r="J720" s="567">
        <v>200</v>
      </c>
      <c r="L720" s="155" t="s">
        <v>1025</v>
      </c>
      <c r="M720" s="1315" t="s">
        <v>61</v>
      </c>
      <c r="N720" s="1316"/>
      <c r="O720" s="959"/>
      <c r="Y720" s="626"/>
    </row>
    <row r="721" spans="1:25" s="426" customFormat="1" x14ac:dyDescent="0.25">
      <c r="A721" s="426" t="s">
        <v>61</v>
      </c>
      <c r="B721" s="426" t="s">
        <v>679</v>
      </c>
      <c r="C721" s="636" t="s">
        <v>680</v>
      </c>
      <c r="D721" s="635"/>
      <c r="H721" s="26" t="str">
        <f t="shared" ref="H721:H727" si="142">IF(AND(VLOOKUP(1,$A$113:$C$116,3,FALSE)&gt;0,$C$15=I721),1," ")</f>
        <v xml:space="preserve"> </v>
      </c>
      <c r="I721" s="280" t="str">
        <f t="shared" si="141"/>
        <v>10%</v>
      </c>
      <c r="J721" s="30">
        <v>190</v>
      </c>
      <c r="L721" s="1061">
        <f>IF(AND($C$3&gt;M721,$C$3&lt;=N721),1,0)</f>
        <v>0</v>
      </c>
      <c r="M721" s="406">
        <v>0</v>
      </c>
      <c r="N721" s="423">
        <v>1000</v>
      </c>
      <c r="O721" s="1074">
        <v>0.8</v>
      </c>
      <c r="Y721" s="626"/>
    </row>
    <row r="722" spans="1:25" s="426" customFormat="1" x14ac:dyDescent="0.25">
      <c r="A722" s="626">
        <f>IF(C715=1,1,0)</f>
        <v>0</v>
      </c>
      <c r="B722" s="426" t="s">
        <v>717</v>
      </c>
      <c r="C722" s="637">
        <v>8</v>
      </c>
      <c r="D722" s="426" t="s">
        <v>683</v>
      </c>
      <c r="H722" s="26" t="str">
        <f t="shared" si="142"/>
        <v xml:space="preserve"> </v>
      </c>
      <c r="I722" s="280" t="str">
        <f t="shared" si="141"/>
        <v>20%</v>
      </c>
      <c r="J722" s="30">
        <v>180</v>
      </c>
      <c r="L722" s="120">
        <f t="shared" ref="L722:L730" si="143">IF(AND($C$3&gt;M722,$C$3&lt;=N722),1,0)</f>
        <v>1</v>
      </c>
      <c r="M722" s="78">
        <v>1000</v>
      </c>
      <c r="N722" s="228">
        <v>2000</v>
      </c>
      <c r="O722" s="969">
        <v>0.81</v>
      </c>
      <c r="Y722" s="626"/>
    </row>
    <row r="723" spans="1:25" s="426" customFormat="1" x14ac:dyDescent="0.25">
      <c r="A723" s="626">
        <f>IF(AND(C715=1,C629=0,C111&gt;0),C111,IF(AND(C715=1,C629=1,C111&gt;0),0,0))</f>
        <v>0</v>
      </c>
      <c r="B723" s="426" t="s">
        <v>677</v>
      </c>
      <c r="C723" s="637">
        <v>8</v>
      </c>
      <c r="D723" s="426" t="s">
        <v>683</v>
      </c>
      <c r="F723" s="626"/>
      <c r="G723" s="626"/>
      <c r="H723" s="26" t="str">
        <f t="shared" si="142"/>
        <v xml:space="preserve"> </v>
      </c>
      <c r="I723" s="280" t="str">
        <f t="shared" si="141"/>
        <v>30%</v>
      </c>
      <c r="J723" s="30">
        <v>170</v>
      </c>
      <c r="L723" s="120">
        <f t="shared" si="143"/>
        <v>0</v>
      </c>
      <c r="M723" s="78">
        <v>2000</v>
      </c>
      <c r="N723" s="228">
        <v>3000</v>
      </c>
      <c r="O723" s="969">
        <v>0.82</v>
      </c>
      <c r="Y723" s="626"/>
    </row>
    <row r="724" spans="1:25" s="426" customFormat="1" x14ac:dyDescent="0.25">
      <c r="A724" s="626">
        <f>IF(AND(C715=1,C629=0,C111&gt;0),C111,IF(AND(C715=1,C629=1,C111&gt;0),0,0))</f>
        <v>0</v>
      </c>
      <c r="B724" s="426" t="s">
        <v>681</v>
      </c>
      <c r="C724" s="637">
        <v>6</v>
      </c>
      <c r="D724" s="426" t="s">
        <v>683</v>
      </c>
      <c r="H724" s="26" t="str">
        <f t="shared" si="142"/>
        <v xml:space="preserve"> </v>
      </c>
      <c r="I724" s="280" t="str">
        <f t="shared" si="141"/>
        <v>40%</v>
      </c>
      <c r="J724" s="30">
        <v>160</v>
      </c>
      <c r="L724" s="120">
        <f t="shared" si="143"/>
        <v>0</v>
      </c>
      <c r="M724" s="78">
        <v>3000</v>
      </c>
      <c r="N724" s="228">
        <v>4000</v>
      </c>
      <c r="O724" s="969">
        <v>0.83</v>
      </c>
      <c r="Y724" s="626"/>
    </row>
    <row r="725" spans="1:25" s="426" customFormat="1" x14ac:dyDescent="0.25">
      <c r="A725" s="626"/>
      <c r="C725" s="626"/>
      <c r="H725" s="26" t="str">
        <f t="shared" si="142"/>
        <v xml:space="preserve"> </v>
      </c>
      <c r="I725" s="280" t="str">
        <f t="shared" si="141"/>
        <v>60%</v>
      </c>
      <c r="J725" s="30">
        <v>140</v>
      </c>
      <c r="L725" s="120">
        <f t="shared" si="143"/>
        <v>0</v>
      </c>
      <c r="M725" s="78">
        <v>4000</v>
      </c>
      <c r="N725" s="228">
        <v>5000</v>
      </c>
      <c r="O725" s="969">
        <v>0.84</v>
      </c>
      <c r="Y725" s="626"/>
    </row>
    <row r="726" spans="1:25" s="426" customFormat="1" x14ac:dyDescent="0.25">
      <c r="B726" s="426" t="s">
        <v>682</v>
      </c>
      <c r="C726" s="637">
        <v>6</v>
      </c>
      <c r="D726" s="426" t="s">
        <v>684</v>
      </c>
      <c r="H726" s="26" t="str">
        <f t="shared" si="142"/>
        <v xml:space="preserve"> </v>
      </c>
      <c r="I726" s="280" t="str">
        <f t="shared" si="141"/>
        <v>80%</v>
      </c>
      <c r="J726" s="30">
        <v>120</v>
      </c>
      <c r="L726" s="120">
        <f t="shared" si="143"/>
        <v>0</v>
      </c>
      <c r="M726" s="78">
        <v>5000</v>
      </c>
      <c r="N726" s="228">
        <v>7500</v>
      </c>
      <c r="O726" s="969">
        <v>0.85</v>
      </c>
      <c r="Y726" s="626"/>
    </row>
    <row r="727" spans="1:25" s="426" customFormat="1" x14ac:dyDescent="0.25">
      <c r="H727" s="432" t="str">
        <f t="shared" si="142"/>
        <v xml:space="preserve"> </v>
      </c>
      <c r="I727" s="1070" t="str">
        <f t="shared" si="141"/>
        <v>100%</v>
      </c>
      <c r="J727" s="30">
        <v>120</v>
      </c>
      <c r="L727" s="120">
        <f t="shared" si="143"/>
        <v>0</v>
      </c>
      <c r="M727" s="78">
        <v>7500</v>
      </c>
      <c r="N727" s="228">
        <v>10000</v>
      </c>
      <c r="O727" s="969">
        <v>0.87</v>
      </c>
      <c r="Y727" s="626"/>
    </row>
    <row r="728" spans="1:25" s="426" customFormat="1" x14ac:dyDescent="0.25">
      <c r="H728" s="415"/>
      <c r="I728" s="1069" t="s">
        <v>1019</v>
      </c>
      <c r="J728" s="1008">
        <f>IF(SUM(H720:H727)&gt;0,VLOOKUP(1,H720:J727,3,FALSE),9999)</f>
        <v>9999</v>
      </c>
      <c r="L728" s="120">
        <f t="shared" si="143"/>
        <v>0</v>
      </c>
      <c r="M728" s="78">
        <v>10000</v>
      </c>
      <c r="N728" s="228">
        <v>15000</v>
      </c>
      <c r="O728" s="969">
        <v>0.88</v>
      </c>
      <c r="Y728" s="626"/>
    </row>
    <row r="729" spans="1:25" s="426" customFormat="1" x14ac:dyDescent="0.25">
      <c r="B729" s="426" t="s">
        <v>99</v>
      </c>
      <c r="C729" s="679">
        <f>B228</f>
        <v>361</v>
      </c>
      <c r="D729" s="426" t="s">
        <v>25</v>
      </c>
      <c r="L729" s="120">
        <f t="shared" si="143"/>
        <v>0</v>
      </c>
      <c r="M729" s="78">
        <v>15000</v>
      </c>
      <c r="N729" s="228">
        <v>20000</v>
      </c>
      <c r="O729" s="969">
        <v>0.89</v>
      </c>
      <c r="Y729" s="626"/>
    </row>
    <row r="730" spans="1:25" s="426" customFormat="1" x14ac:dyDescent="0.25">
      <c r="B730" s="426" t="s">
        <v>100</v>
      </c>
      <c r="C730" s="679">
        <f>C228</f>
        <v>1150</v>
      </c>
      <c r="D730" s="426" t="s">
        <v>25</v>
      </c>
      <c r="L730" s="202">
        <f t="shared" si="143"/>
        <v>0</v>
      </c>
      <c r="M730" s="1075">
        <v>20000</v>
      </c>
      <c r="N730" s="1076">
        <v>999999999</v>
      </c>
      <c r="O730" s="970">
        <v>0.9</v>
      </c>
      <c r="Y730" s="626"/>
    </row>
    <row r="731" spans="1:25" s="426" customFormat="1" ht="12.75" x14ac:dyDescent="0.2">
      <c r="Y731" s="626"/>
    </row>
    <row r="732" spans="1:25" s="426" customFormat="1" ht="12.75" x14ac:dyDescent="0.2">
      <c r="Y732" s="626"/>
    </row>
    <row r="733" spans="1:25" s="426" customFormat="1" ht="12.75" x14ac:dyDescent="0.2">
      <c r="A733" s="652"/>
      <c r="B733" s="653"/>
      <c r="C733" s="628"/>
      <c r="D733" s="628" t="s">
        <v>697</v>
      </c>
      <c r="E733" s="652" t="s">
        <v>698</v>
      </c>
      <c r="F733" s="659" t="s">
        <v>701</v>
      </c>
      <c r="G733" s="634" t="s">
        <v>702</v>
      </c>
      <c r="H733" s="661" t="s">
        <v>703</v>
      </c>
      <c r="Y733" s="626"/>
    </row>
    <row r="734" spans="1:25" s="426" customFormat="1" ht="12.75" x14ac:dyDescent="0.2">
      <c r="A734" s="429"/>
      <c r="B734" s="430" t="s">
        <v>696</v>
      </c>
      <c r="C734" s="145">
        <f>AS46</f>
        <v>1</v>
      </c>
      <c r="D734" s="145">
        <f>(C6/C7)*C734</f>
        <v>1.2</v>
      </c>
      <c r="E734" s="658">
        <f>C734*(C8/C6)</f>
        <v>0.33333333333333331</v>
      </c>
      <c r="F734" s="660">
        <f>VLOOKUP(1,A739:D744,4,FALSE)*VLOOKUP(1,E739:H744,4,FALSE)</f>
        <v>1</v>
      </c>
      <c r="G734" s="1086">
        <f>AY46</f>
        <v>0.9</v>
      </c>
      <c r="H734" s="662">
        <f>F734*G734</f>
        <v>0.9</v>
      </c>
      <c r="Y734" s="626"/>
    </row>
    <row r="735" spans="1:25" s="426" customFormat="1" ht="12.75" x14ac:dyDescent="0.2">
      <c r="C735" s="626"/>
      <c r="Y735" s="626"/>
    </row>
    <row r="736" spans="1:25" s="426" customFormat="1" ht="12.75" x14ac:dyDescent="0.2">
      <c r="C736" s="626"/>
      <c r="Y736" s="626"/>
    </row>
    <row r="737" spans="1:25" s="426" customFormat="1" x14ac:dyDescent="0.25">
      <c r="A737" s="405"/>
      <c r="B737" s="1302" t="s">
        <v>699</v>
      </c>
      <c r="C737" s="1303"/>
      <c r="D737" s="243"/>
      <c r="E737" s="433"/>
      <c r="F737" s="1302" t="s">
        <v>700</v>
      </c>
      <c r="G737" s="1303"/>
      <c r="H737" s="442"/>
      <c r="Y737" s="626"/>
    </row>
    <row r="738" spans="1:25" s="426" customFormat="1" x14ac:dyDescent="0.25">
      <c r="A738" s="339"/>
      <c r="B738" s="1292"/>
      <c r="C738" s="1293"/>
      <c r="D738" s="244"/>
      <c r="E738" s="7"/>
      <c r="F738" s="432"/>
      <c r="G738" s="436"/>
      <c r="H738" s="13"/>
      <c r="Y738" s="626"/>
    </row>
    <row r="739" spans="1:25" s="426" customFormat="1" x14ac:dyDescent="0.25">
      <c r="A739" s="399">
        <f>IF(AND($D$734&gt;=B739,$D$734&lt;C739),1,0)</f>
        <v>1</v>
      </c>
      <c r="B739" s="567">
        <v>0</v>
      </c>
      <c r="C739" s="567">
        <v>2.5</v>
      </c>
      <c r="D739" s="655">
        <v>1</v>
      </c>
      <c r="E739" s="423">
        <f>IF(AND($E$650&gt;=F739,$E$650&lt;G739),1,0)</f>
        <v>1</v>
      </c>
      <c r="F739" s="567">
        <v>0</v>
      </c>
      <c r="G739" s="486">
        <v>2</v>
      </c>
      <c r="H739" s="655">
        <v>1</v>
      </c>
      <c r="Y739" s="626"/>
    </row>
    <row r="740" spans="1:25" s="426" customFormat="1" x14ac:dyDescent="0.25">
      <c r="A740" s="120">
        <f t="shared" ref="A740:A744" si="144">IF(AND($D$734&gt;=B740,$D$734&lt;C740),1,0)</f>
        <v>0</v>
      </c>
      <c r="B740" s="30">
        <v>2.5</v>
      </c>
      <c r="C740" s="30">
        <v>3</v>
      </c>
      <c r="D740" s="656">
        <v>0.93</v>
      </c>
      <c r="E740" s="228">
        <f t="shared" ref="E740:E744" si="145">IF(AND($E$650&gt;=F740,$E$650&lt;G740),1,0)</f>
        <v>0</v>
      </c>
      <c r="F740" s="30">
        <v>2</v>
      </c>
      <c r="G740" s="28">
        <v>2.5</v>
      </c>
      <c r="H740" s="656">
        <v>0.95</v>
      </c>
      <c r="Y740" s="626"/>
    </row>
    <row r="741" spans="1:25" s="426" customFormat="1" x14ac:dyDescent="0.25">
      <c r="A741" s="120">
        <f t="shared" si="144"/>
        <v>0</v>
      </c>
      <c r="B741" s="30">
        <v>3</v>
      </c>
      <c r="C741" s="30">
        <v>3.5</v>
      </c>
      <c r="D741" s="656">
        <v>0.9</v>
      </c>
      <c r="E741" s="228">
        <f t="shared" si="145"/>
        <v>0</v>
      </c>
      <c r="F741" s="30">
        <v>2.5</v>
      </c>
      <c r="G741" s="28">
        <v>3.5</v>
      </c>
      <c r="H741" s="656">
        <v>0.9</v>
      </c>
      <c r="Y741" s="626"/>
    </row>
    <row r="742" spans="1:25" s="426" customFormat="1" x14ac:dyDescent="0.25">
      <c r="A742" s="120">
        <f t="shared" si="144"/>
        <v>0</v>
      </c>
      <c r="B742" s="30">
        <v>3.5</v>
      </c>
      <c r="C742" s="30">
        <v>4</v>
      </c>
      <c r="D742" s="656">
        <v>0.85</v>
      </c>
      <c r="E742" s="228">
        <f t="shared" si="145"/>
        <v>0</v>
      </c>
      <c r="F742" s="30">
        <v>3.5</v>
      </c>
      <c r="G742" s="28">
        <v>4</v>
      </c>
      <c r="H742" s="656">
        <v>0.85</v>
      </c>
      <c r="Y742" s="626"/>
    </row>
    <row r="743" spans="1:25" s="426" customFormat="1" x14ac:dyDescent="0.25">
      <c r="A743" s="120">
        <f t="shared" si="144"/>
        <v>0</v>
      </c>
      <c r="B743" s="30">
        <v>4</v>
      </c>
      <c r="C743" s="30">
        <v>5</v>
      </c>
      <c r="D743" s="656">
        <v>0.8</v>
      </c>
      <c r="E743" s="228">
        <f t="shared" si="145"/>
        <v>0</v>
      </c>
      <c r="F743" s="30">
        <v>4</v>
      </c>
      <c r="G743" s="28">
        <v>5.5</v>
      </c>
      <c r="H743" s="656">
        <v>0.8</v>
      </c>
      <c r="Y743" s="626"/>
    </row>
    <row r="744" spans="1:25" s="426" customFormat="1" x14ac:dyDescent="0.25">
      <c r="A744" s="202">
        <f t="shared" si="144"/>
        <v>0</v>
      </c>
      <c r="B744" s="490">
        <v>5</v>
      </c>
      <c r="C744" s="490">
        <v>99</v>
      </c>
      <c r="D744" s="657">
        <v>0.75</v>
      </c>
      <c r="E744" s="424">
        <f t="shared" si="145"/>
        <v>0</v>
      </c>
      <c r="F744" s="490">
        <v>5.5</v>
      </c>
      <c r="G744" s="34">
        <v>99</v>
      </c>
      <c r="H744" s="657">
        <v>0.75</v>
      </c>
      <c r="Y744" s="626"/>
    </row>
    <row r="745" spans="1:25" s="426" customFormat="1" ht="12.75" x14ac:dyDescent="0.2">
      <c r="C745" s="626"/>
      <c r="Y745" s="626"/>
    </row>
    <row r="746" spans="1:25" s="426" customFormat="1" ht="12.75" x14ac:dyDescent="0.2">
      <c r="C746" s="626"/>
      <c r="Y746" s="626"/>
    </row>
    <row r="747" spans="1:25" s="426" customFormat="1" x14ac:dyDescent="0.25">
      <c r="A747" s="77" t="s">
        <v>718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 s="2"/>
      <c r="Y747" s="626"/>
    </row>
    <row r="748" spans="1:25" s="426" customFormat="1" x14ac:dyDescent="0.25">
      <c r="A748"/>
      <c r="B748" s="2"/>
      <c r="C748"/>
      <c r="D748"/>
      <c r="E748"/>
      <c r="F748"/>
      <c r="G748"/>
      <c r="H748"/>
      <c r="I748"/>
      <c r="J748"/>
      <c r="K748"/>
      <c r="L748"/>
      <c r="M748"/>
      <c r="N748"/>
      <c r="O748" s="2"/>
      <c r="Y748" s="626"/>
    </row>
    <row r="749" spans="1:25" s="426" customFormat="1" x14ac:dyDescent="0.25">
      <c r="A749"/>
      <c r="B749" s="489" t="s">
        <v>99</v>
      </c>
      <c r="C749"/>
      <c r="D749"/>
      <c r="E749"/>
      <c r="F749"/>
      <c r="G749"/>
      <c r="H749"/>
      <c r="I749"/>
      <c r="J749"/>
      <c r="K749"/>
      <c r="L749"/>
      <c r="M749"/>
      <c r="N749"/>
      <c r="O749" s="2"/>
      <c r="Y749" s="626"/>
    </row>
    <row r="750" spans="1:25" s="426" customFormat="1" x14ac:dyDescent="0.25">
      <c r="A750"/>
      <c r="B750" s="472">
        <v>800</v>
      </c>
      <c r="C750" s="208">
        <f>IF(AND($C$730&gt;C757,$C$730&lt;=D757),1,0)</f>
        <v>0</v>
      </c>
      <c r="D750" s="208">
        <f t="shared" ref="D750:H750" si="146">IF(AND($C$730&gt;D757,$C$730&lt;=E757),1,0)</f>
        <v>0</v>
      </c>
      <c r="E750" s="208">
        <f t="shared" si="146"/>
        <v>0</v>
      </c>
      <c r="F750" s="208">
        <f t="shared" si="146"/>
        <v>1</v>
      </c>
      <c r="G750" s="208">
        <f t="shared" si="146"/>
        <v>0</v>
      </c>
      <c r="H750" s="473">
        <f t="shared" si="146"/>
        <v>0</v>
      </c>
      <c r="I750"/>
      <c r="J750"/>
      <c r="K750"/>
      <c r="L750"/>
      <c r="M750"/>
      <c r="N750"/>
      <c r="O750" s="2"/>
      <c r="Y750" s="626"/>
    </row>
    <row r="751" spans="1:25" s="426" customFormat="1" x14ac:dyDescent="0.25">
      <c r="A751" s="473">
        <f>IF(AND($C$729&gt;B751,$C$729&lt;=B750),1,0)</f>
        <v>0</v>
      </c>
      <c r="B751" s="434">
        <v>600</v>
      </c>
      <c r="C751" s="484">
        <v>5.5</v>
      </c>
      <c r="D751" s="484">
        <v>5.5</v>
      </c>
      <c r="E751" s="484">
        <v>5.5</v>
      </c>
      <c r="F751" s="484">
        <v>5</v>
      </c>
      <c r="G751" s="484">
        <v>4.5</v>
      </c>
      <c r="H751" s="484">
        <v>4</v>
      </c>
      <c r="I751"/>
      <c r="J751"/>
      <c r="K751"/>
      <c r="L751"/>
      <c r="M751"/>
      <c r="N751"/>
      <c r="O751" s="2"/>
      <c r="Y751" s="626"/>
    </row>
    <row r="752" spans="1:25" s="426" customFormat="1" x14ac:dyDescent="0.25">
      <c r="A752" s="473">
        <f t="shared" ref="A752:A756" si="147">IF(AND($C$729&gt;B752,$C$729&lt;=B751),1,0)</f>
        <v>0</v>
      </c>
      <c r="B752" s="434">
        <v>500</v>
      </c>
      <c r="C752" s="484">
        <v>6</v>
      </c>
      <c r="D752" s="484">
        <v>6</v>
      </c>
      <c r="E752" s="484">
        <v>5.5</v>
      </c>
      <c r="F752" s="484">
        <v>5</v>
      </c>
      <c r="G752" s="484">
        <v>4.5</v>
      </c>
      <c r="H752" s="484">
        <v>4</v>
      </c>
      <c r="I752"/>
      <c r="J752"/>
      <c r="K752"/>
      <c r="L752"/>
      <c r="M752"/>
      <c r="N752"/>
      <c r="O752" s="2"/>
      <c r="Y752" s="626"/>
    </row>
    <row r="753" spans="1:25" s="426" customFormat="1" x14ac:dyDescent="0.25">
      <c r="A753" s="473">
        <f t="shared" si="147"/>
        <v>1</v>
      </c>
      <c r="B753" s="434">
        <v>350</v>
      </c>
      <c r="C753" s="484">
        <v>6.5</v>
      </c>
      <c r="D753" s="484">
        <v>6</v>
      </c>
      <c r="E753" s="484">
        <v>5.5</v>
      </c>
      <c r="F753" s="484">
        <v>5.5</v>
      </c>
      <c r="G753" s="484">
        <v>5</v>
      </c>
      <c r="H753" s="484">
        <v>4.5</v>
      </c>
      <c r="I753"/>
      <c r="J753"/>
      <c r="K753"/>
      <c r="L753"/>
      <c r="M753"/>
      <c r="N753"/>
      <c r="O753" s="2"/>
      <c r="Y753" s="626"/>
    </row>
    <row r="754" spans="1:25" s="426" customFormat="1" x14ac:dyDescent="0.25">
      <c r="A754" s="473">
        <f t="shared" si="147"/>
        <v>0</v>
      </c>
      <c r="B754" s="434">
        <v>250</v>
      </c>
      <c r="C754" s="484">
        <v>7</v>
      </c>
      <c r="D754" s="484">
        <v>6.5</v>
      </c>
      <c r="E754" s="484">
        <v>6</v>
      </c>
      <c r="F754" s="484">
        <v>5.5</v>
      </c>
      <c r="G754" s="484">
        <v>5</v>
      </c>
      <c r="H754" s="484">
        <v>5</v>
      </c>
      <c r="I754"/>
      <c r="J754"/>
      <c r="K754"/>
      <c r="L754"/>
      <c r="M754"/>
      <c r="N754"/>
      <c r="O754" s="2"/>
      <c r="Y754" s="626"/>
    </row>
    <row r="755" spans="1:25" s="426" customFormat="1" x14ac:dyDescent="0.25">
      <c r="A755" s="473">
        <f t="shared" si="147"/>
        <v>0</v>
      </c>
      <c r="B755" s="434">
        <v>180</v>
      </c>
      <c r="C755" s="484">
        <v>6.5</v>
      </c>
      <c r="D755" s="484">
        <v>6.5</v>
      </c>
      <c r="E755" s="484">
        <v>6.5</v>
      </c>
      <c r="F755" s="484">
        <v>6</v>
      </c>
      <c r="G755" s="484">
        <v>5.5</v>
      </c>
      <c r="H755" s="484">
        <v>4.5</v>
      </c>
      <c r="I755"/>
      <c r="J755"/>
      <c r="K755"/>
      <c r="L755"/>
      <c r="M755"/>
      <c r="N755"/>
      <c r="O755" s="2"/>
      <c r="Y755" s="626"/>
    </row>
    <row r="756" spans="1:25" s="426" customFormat="1" x14ac:dyDescent="0.25">
      <c r="A756" s="473">
        <f t="shared" si="147"/>
        <v>0</v>
      </c>
      <c r="B756" s="44">
        <v>0</v>
      </c>
      <c r="C756" s="484">
        <v>6</v>
      </c>
      <c r="D756" s="484">
        <v>6</v>
      </c>
      <c r="E756" s="484">
        <v>5.5</v>
      </c>
      <c r="F756" s="484">
        <v>5</v>
      </c>
      <c r="G756" s="484">
        <v>4.5</v>
      </c>
      <c r="H756" s="484">
        <v>4</v>
      </c>
      <c r="I756"/>
      <c r="J756"/>
      <c r="K756"/>
      <c r="L756"/>
      <c r="M756"/>
      <c r="N756"/>
      <c r="O756" s="2"/>
      <c r="Y756" s="626"/>
    </row>
    <row r="757" spans="1:25" s="426" customFormat="1" ht="15.75" thickBot="1" x14ac:dyDescent="0.3">
      <c r="A757"/>
      <c r="B757"/>
      <c r="C757" s="431">
        <v>0</v>
      </c>
      <c r="D757" s="431">
        <v>500</v>
      </c>
      <c r="E757" s="431">
        <v>750</v>
      </c>
      <c r="F757" s="431">
        <v>1000</v>
      </c>
      <c r="G757" s="431">
        <v>1250</v>
      </c>
      <c r="H757" s="431">
        <v>1500</v>
      </c>
      <c r="I757" s="473">
        <v>1750</v>
      </c>
      <c r="J757" s="517" t="s">
        <v>100</v>
      </c>
      <c r="K757"/>
      <c r="L757"/>
      <c r="M757"/>
      <c r="N757"/>
      <c r="O757" s="2"/>
      <c r="Y757" s="626"/>
    </row>
    <row r="758" spans="1:25" s="426" customFormat="1" ht="15.75" thickBot="1" x14ac:dyDescent="0.3">
      <c r="A758" s="414" t="s">
        <v>719</v>
      </c>
      <c r="B758" s="531">
        <f>HLOOKUP(1,C750:H758,9,FALSE)</f>
        <v>5.5</v>
      </c>
      <c r="C758" s="23">
        <f>VLOOKUP(1,A751:H756,3,FALSE)</f>
        <v>6.5</v>
      </c>
      <c r="D758" s="23">
        <f>VLOOKUP(1,A751:H756,4,FALSE)</f>
        <v>6</v>
      </c>
      <c r="E758" s="23">
        <f>VLOOKUP(1,A751:H756,5,FALSE)</f>
        <v>5.5</v>
      </c>
      <c r="F758" s="23">
        <f>VLOOKUP(1,A751:H756,6,FALSE)</f>
        <v>5.5</v>
      </c>
      <c r="G758" s="23">
        <f>VLOOKUP(1,A751:H756,7,FALSE)</f>
        <v>5</v>
      </c>
      <c r="H758" s="38">
        <f>VLOOKUP(1,A751:H756,8,FALSE)</f>
        <v>4.5</v>
      </c>
      <c r="I758"/>
      <c r="J758"/>
      <c r="K758"/>
      <c r="L758"/>
      <c r="M758"/>
      <c r="N758"/>
      <c r="O758" s="2"/>
      <c r="Y758" s="626"/>
    </row>
    <row r="759" spans="1:25" s="426" customFormat="1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 s="2"/>
      <c r="Y759" s="626"/>
    </row>
    <row r="760" spans="1:25" s="426" customFormat="1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 s="2"/>
      <c r="Y760" s="626"/>
    </row>
    <row r="761" spans="1:25" s="426" customFormat="1" x14ac:dyDescent="0.25">
      <c r="A761" s="404"/>
      <c r="B761" s="399" t="s">
        <v>0</v>
      </c>
      <c r="C761" s="399" t="s">
        <v>720</v>
      </c>
      <c r="D761" s="442" t="s">
        <v>721</v>
      </c>
      <c r="E761" s="431" t="s">
        <v>722</v>
      </c>
      <c r="F761" s="208" t="str">
        <f>IF(F762=$B$758,1," ")</f>
        <v xml:space="preserve"> </v>
      </c>
      <c r="G761" s="23" t="str">
        <f t="shared" ref="G761:N761" si="148">IF(G762=$B$758,1," ")</f>
        <v xml:space="preserve"> </v>
      </c>
      <c r="H761" s="23" t="str">
        <f t="shared" si="148"/>
        <v xml:space="preserve"> </v>
      </c>
      <c r="I761" s="23">
        <f t="shared" si="148"/>
        <v>1</v>
      </c>
      <c r="J761" s="23" t="str">
        <f t="shared" si="148"/>
        <v xml:space="preserve"> </v>
      </c>
      <c r="K761" s="23" t="str">
        <f t="shared" si="148"/>
        <v xml:space="preserve"> </v>
      </c>
      <c r="L761" s="23" t="str">
        <f t="shared" si="148"/>
        <v xml:space="preserve"> </v>
      </c>
      <c r="M761" s="23" t="str">
        <f t="shared" si="148"/>
        <v xml:space="preserve"> </v>
      </c>
      <c r="N761" s="38" t="str">
        <f t="shared" si="148"/>
        <v xml:space="preserve"> </v>
      </c>
      <c r="O761" s="2"/>
      <c r="Y761" s="626"/>
    </row>
    <row r="762" spans="1:25" s="426" customFormat="1" x14ac:dyDescent="0.25">
      <c r="A762" s="41"/>
      <c r="B762" s="13"/>
      <c r="C762" s="52"/>
      <c r="D762" s="681">
        <f>VLOOKUP(1,L721:O730,4,FALSE)</f>
        <v>0.81</v>
      </c>
      <c r="E762" s="26" t="s">
        <v>723</v>
      </c>
      <c r="F762" s="26">
        <v>7</v>
      </c>
      <c r="G762" s="2">
        <v>6.5</v>
      </c>
      <c r="H762" s="2">
        <v>6</v>
      </c>
      <c r="I762" s="2">
        <v>5.5</v>
      </c>
      <c r="J762" s="2">
        <v>5</v>
      </c>
      <c r="K762" s="2">
        <v>4.5</v>
      </c>
      <c r="L762" s="2">
        <v>4</v>
      </c>
      <c r="M762" s="2">
        <v>3.5</v>
      </c>
      <c r="N762" s="25">
        <v>3</v>
      </c>
      <c r="O762" s="2"/>
      <c r="Y762" s="626"/>
    </row>
    <row r="763" spans="1:25" s="426" customFormat="1" x14ac:dyDescent="0.25">
      <c r="A763" s="442" t="str">
        <f>IF($C$4=B763,1," ")</f>
        <v xml:space="preserve"> </v>
      </c>
      <c r="B763" s="435" t="s">
        <v>30</v>
      </c>
      <c r="C763" s="486">
        <v>90</v>
      </c>
      <c r="D763" s="645">
        <v>1.5</v>
      </c>
      <c r="E763" s="431">
        <f>FLOOR(C763/D763,1)</f>
        <v>60</v>
      </c>
      <c r="F763" s="431">
        <f>FLOOR((E763*$F$762)*$D$762,1)</f>
        <v>340</v>
      </c>
      <c r="G763" s="449">
        <f>FLOOR((E763*$G$762)*$D$762,1)</f>
        <v>315</v>
      </c>
      <c r="H763" s="449">
        <f>FLOOR((E763*$H$762)*$D$762,1)</f>
        <v>291</v>
      </c>
      <c r="I763" s="449">
        <f>FLOOR((E763*$I$762)*$D$762,1)</f>
        <v>267</v>
      </c>
      <c r="J763" s="449">
        <f>FLOOR((E763*$J$762)*$D$762,1)</f>
        <v>243</v>
      </c>
      <c r="K763" s="449">
        <f>FLOOR((E763*$K$762)*$D$762,1)</f>
        <v>218</v>
      </c>
      <c r="L763" s="449">
        <f>FLOOR((E763*$L$762)*$D$762,1)</f>
        <v>194</v>
      </c>
      <c r="M763" s="449">
        <f>FLOOR((E763*$M$762)*$D$762,1)</f>
        <v>170</v>
      </c>
      <c r="N763" s="435">
        <f>FLOOR((E763*$N$762)*$D$762,1)</f>
        <v>145</v>
      </c>
      <c r="O763" s="2"/>
      <c r="Y763" s="626"/>
    </row>
    <row r="764" spans="1:25" s="426" customFormat="1" x14ac:dyDescent="0.25">
      <c r="A764" s="12">
        <f t="shared" ref="A764:A769" si="149">IF($C$4=B764,1," ")</f>
        <v>1</v>
      </c>
      <c r="B764" s="25" t="s">
        <v>31</v>
      </c>
      <c r="C764" s="28">
        <v>90</v>
      </c>
      <c r="D764" s="29">
        <v>2.8</v>
      </c>
      <c r="E764" s="26">
        <f t="shared" ref="E764:E769" si="150">FLOOR(C764/D764,1)</f>
        <v>32</v>
      </c>
      <c r="F764" s="26">
        <f t="shared" ref="F764:F769" si="151">FLOOR((E764*$F$762)*$D$762,1)</f>
        <v>181</v>
      </c>
      <c r="G764" s="2">
        <f t="shared" ref="G764:G769" si="152">FLOOR((E764*$G$762)*$D$762,1)</f>
        <v>168</v>
      </c>
      <c r="H764" s="2">
        <f t="shared" ref="H764:H769" si="153">FLOOR((E764*$H$762)*$D$762,1)</f>
        <v>155</v>
      </c>
      <c r="I764" s="2">
        <f t="shared" ref="I764:I769" si="154">FLOOR((E764*$I$762)*$D$762,1)</f>
        <v>142</v>
      </c>
      <c r="J764" s="2">
        <f t="shared" ref="J764:J769" si="155">FLOOR((E764*$J$762)*$D$762,1)</f>
        <v>129</v>
      </c>
      <c r="K764" s="2">
        <f t="shared" ref="K764:K769" si="156">FLOOR((E764*$K$762)*$D$762,1)</f>
        <v>116</v>
      </c>
      <c r="L764" s="2">
        <f t="shared" ref="L764:L769" si="157">FLOOR((E764*$L$762)*$D$762,1)</f>
        <v>103</v>
      </c>
      <c r="M764" s="2">
        <f t="shared" ref="M764:M769" si="158">FLOOR((E764*$M$762)*$D$762,1)</f>
        <v>90</v>
      </c>
      <c r="N764" s="25">
        <f t="shared" ref="N764:N769" si="159">FLOOR((E764*$N$762)*$D$762,1)</f>
        <v>77</v>
      </c>
      <c r="O764" s="2"/>
      <c r="Y764" s="626"/>
    </row>
    <row r="765" spans="1:25" s="426" customFormat="1" x14ac:dyDescent="0.25">
      <c r="A765" s="12" t="str">
        <f t="shared" si="149"/>
        <v xml:space="preserve"> </v>
      </c>
      <c r="B765" s="25" t="s">
        <v>32</v>
      </c>
      <c r="C765" s="28">
        <v>90</v>
      </c>
      <c r="D765" s="29">
        <v>3.8</v>
      </c>
      <c r="E765" s="26">
        <f t="shared" si="150"/>
        <v>23</v>
      </c>
      <c r="F765" s="26">
        <f t="shared" si="151"/>
        <v>130</v>
      </c>
      <c r="G765" s="2">
        <f t="shared" si="152"/>
        <v>121</v>
      </c>
      <c r="H765" s="2">
        <f t="shared" si="153"/>
        <v>111</v>
      </c>
      <c r="I765" s="2">
        <f t="shared" si="154"/>
        <v>102</v>
      </c>
      <c r="J765" s="2">
        <f t="shared" si="155"/>
        <v>93</v>
      </c>
      <c r="K765" s="2">
        <f t="shared" si="156"/>
        <v>83</v>
      </c>
      <c r="L765" s="2">
        <f t="shared" si="157"/>
        <v>74</v>
      </c>
      <c r="M765" s="2">
        <f t="shared" si="158"/>
        <v>65</v>
      </c>
      <c r="N765" s="25">
        <f t="shared" si="159"/>
        <v>55</v>
      </c>
      <c r="O765" s="2"/>
      <c r="Y765" s="626"/>
    </row>
    <row r="766" spans="1:25" s="426" customFormat="1" x14ac:dyDescent="0.25">
      <c r="A766" s="12" t="str">
        <f t="shared" si="149"/>
        <v xml:space="preserve"> </v>
      </c>
      <c r="B766" s="25" t="s">
        <v>34</v>
      </c>
      <c r="C766" s="28">
        <v>90</v>
      </c>
      <c r="D766" s="29">
        <v>3</v>
      </c>
      <c r="E766" s="26">
        <f t="shared" si="150"/>
        <v>30</v>
      </c>
      <c r="F766" s="26">
        <f t="shared" si="151"/>
        <v>170</v>
      </c>
      <c r="G766" s="2">
        <f t="shared" si="152"/>
        <v>157</v>
      </c>
      <c r="H766" s="2">
        <f t="shared" si="153"/>
        <v>145</v>
      </c>
      <c r="I766" s="2">
        <f t="shared" si="154"/>
        <v>133</v>
      </c>
      <c r="J766" s="2">
        <f t="shared" si="155"/>
        <v>121</v>
      </c>
      <c r="K766" s="2">
        <f t="shared" si="156"/>
        <v>109</v>
      </c>
      <c r="L766" s="2">
        <f t="shared" si="157"/>
        <v>97</v>
      </c>
      <c r="M766" s="2">
        <f t="shared" si="158"/>
        <v>85</v>
      </c>
      <c r="N766" s="25">
        <f t="shared" si="159"/>
        <v>72</v>
      </c>
      <c r="O766" s="2"/>
      <c r="Y766" s="626"/>
    </row>
    <row r="767" spans="1:25" s="426" customFormat="1" x14ac:dyDescent="0.25">
      <c r="A767" s="12" t="str">
        <f t="shared" si="149"/>
        <v xml:space="preserve"> </v>
      </c>
      <c r="B767" s="25" t="s">
        <v>33</v>
      </c>
      <c r="C767" s="28">
        <v>90</v>
      </c>
      <c r="D767" s="29">
        <v>3.8</v>
      </c>
      <c r="E767" s="26">
        <f t="shared" si="150"/>
        <v>23</v>
      </c>
      <c r="F767" s="26">
        <f t="shared" si="151"/>
        <v>130</v>
      </c>
      <c r="G767" s="2">
        <f t="shared" si="152"/>
        <v>121</v>
      </c>
      <c r="H767" s="2">
        <f t="shared" si="153"/>
        <v>111</v>
      </c>
      <c r="I767" s="2">
        <f t="shared" si="154"/>
        <v>102</v>
      </c>
      <c r="J767" s="2">
        <f t="shared" si="155"/>
        <v>93</v>
      </c>
      <c r="K767" s="2">
        <f t="shared" si="156"/>
        <v>83</v>
      </c>
      <c r="L767" s="2">
        <f t="shared" si="157"/>
        <v>74</v>
      </c>
      <c r="M767" s="2">
        <f t="shared" si="158"/>
        <v>65</v>
      </c>
      <c r="N767" s="25">
        <f t="shared" si="159"/>
        <v>55</v>
      </c>
      <c r="O767" s="2"/>
      <c r="Y767" s="626"/>
    </row>
    <row r="768" spans="1:25" s="426" customFormat="1" x14ac:dyDescent="0.25">
      <c r="A768" s="12" t="str">
        <f t="shared" si="149"/>
        <v xml:space="preserve"> </v>
      </c>
      <c r="B768" s="25" t="s">
        <v>35</v>
      </c>
      <c r="C768" s="28">
        <v>90</v>
      </c>
      <c r="D768" s="29">
        <v>3.6</v>
      </c>
      <c r="E768" s="26">
        <f t="shared" si="150"/>
        <v>25</v>
      </c>
      <c r="F768" s="26">
        <f t="shared" si="151"/>
        <v>141</v>
      </c>
      <c r="G768" s="2">
        <f t="shared" si="152"/>
        <v>131</v>
      </c>
      <c r="H768" s="2">
        <f t="shared" si="153"/>
        <v>121</v>
      </c>
      <c r="I768" s="2">
        <f t="shared" si="154"/>
        <v>111</v>
      </c>
      <c r="J768" s="2">
        <f t="shared" si="155"/>
        <v>101</v>
      </c>
      <c r="K768" s="2">
        <f t="shared" si="156"/>
        <v>91</v>
      </c>
      <c r="L768" s="2">
        <f t="shared" si="157"/>
        <v>81</v>
      </c>
      <c r="M768" s="2">
        <f t="shared" si="158"/>
        <v>70</v>
      </c>
      <c r="N768" s="25">
        <f t="shared" si="159"/>
        <v>60</v>
      </c>
      <c r="O768" s="2"/>
      <c r="Y768" s="626"/>
    </row>
    <row r="769" spans="1:25" s="426" customFormat="1" ht="15.75" thickBot="1" x14ac:dyDescent="0.3">
      <c r="A769" s="12" t="str">
        <f t="shared" si="149"/>
        <v xml:space="preserve"> </v>
      </c>
      <c r="B769" s="25" t="s">
        <v>36</v>
      </c>
      <c r="C769" s="34">
        <v>90</v>
      </c>
      <c r="D769" s="649">
        <v>5.6</v>
      </c>
      <c r="E769" s="432">
        <f t="shared" si="150"/>
        <v>16</v>
      </c>
      <c r="F769" s="432">
        <f t="shared" si="151"/>
        <v>90</v>
      </c>
      <c r="G769" s="343">
        <f t="shared" si="152"/>
        <v>84</v>
      </c>
      <c r="H769" s="343">
        <f t="shared" si="153"/>
        <v>77</v>
      </c>
      <c r="I769" s="343">
        <f t="shared" si="154"/>
        <v>71</v>
      </c>
      <c r="J769" s="343">
        <f t="shared" si="155"/>
        <v>64</v>
      </c>
      <c r="K769" s="343">
        <f t="shared" si="156"/>
        <v>58</v>
      </c>
      <c r="L769" s="343">
        <f t="shared" si="157"/>
        <v>51</v>
      </c>
      <c r="M769" s="343">
        <f t="shared" si="158"/>
        <v>45</v>
      </c>
      <c r="N769" s="436">
        <f t="shared" si="159"/>
        <v>38</v>
      </c>
      <c r="O769" s="2"/>
      <c r="Y769" s="626"/>
    </row>
    <row r="770" spans="1:25" s="426" customFormat="1" ht="15.75" thickBot="1" x14ac:dyDescent="0.3">
      <c r="A770" s="414" t="s">
        <v>724</v>
      </c>
      <c r="B770" s="682">
        <f>HLOOKUP(1,F761:N770,10,FALSE)</f>
        <v>142</v>
      </c>
      <c r="C770" s="43"/>
      <c r="D770" s="43"/>
      <c r="E770" s="43"/>
      <c r="F770" s="208">
        <f>VLOOKUP(1,A763:N769,6,FALSE)</f>
        <v>181</v>
      </c>
      <c r="G770" s="23">
        <f>VLOOKUP(1,A763:N769,7,FALSE)</f>
        <v>168</v>
      </c>
      <c r="H770" s="23">
        <f>VLOOKUP(1,A763:N769,8,FALSE)</f>
        <v>155</v>
      </c>
      <c r="I770" s="23">
        <f>VLOOKUP(1,A763:N769,9,FALSE)</f>
        <v>142</v>
      </c>
      <c r="J770" s="23">
        <f>VLOOKUP(1,A763:N769,10,FALSE)</f>
        <v>129</v>
      </c>
      <c r="K770" s="23">
        <f>VLOOKUP(1,A763:N769,11,FALSE)</f>
        <v>116</v>
      </c>
      <c r="L770" s="23">
        <f>VLOOKUP(1,A763:N769,12,FALSE)</f>
        <v>103</v>
      </c>
      <c r="M770" s="23">
        <f>VLOOKUP(1,A763:N769,13,FALSE)</f>
        <v>90</v>
      </c>
      <c r="N770" s="38">
        <f>VLOOKUP(1,A763:N769,14,FALSE)</f>
        <v>77</v>
      </c>
      <c r="O770" s="2"/>
      <c r="Y770" s="626"/>
    </row>
    <row r="771" spans="1:25" s="426" customFormat="1" x14ac:dyDescent="0.25">
      <c r="A771"/>
      <c r="B771"/>
      <c r="C771"/>
      <c r="D771"/>
      <c r="E771"/>
      <c r="F771" s="2"/>
      <c r="G771" s="2"/>
      <c r="H771" s="2"/>
      <c r="I771" s="2"/>
      <c r="J771" s="2"/>
      <c r="K771" s="2"/>
      <c r="L771" s="2"/>
      <c r="M771" s="2"/>
      <c r="N771" s="2"/>
      <c r="O771" s="2"/>
      <c r="Y771" s="626"/>
    </row>
    <row r="772" spans="1:25" s="426" customFormat="1" ht="12.75" x14ac:dyDescent="0.2">
      <c r="Y772" s="626"/>
    </row>
    <row r="773" spans="1:25" s="426" customFormat="1" ht="12.75" x14ac:dyDescent="0.2">
      <c r="B773" s="426" t="s">
        <v>692</v>
      </c>
      <c r="Y773" s="626"/>
    </row>
    <row r="774" spans="1:25" s="426" customFormat="1" ht="12.75" x14ac:dyDescent="0.2">
      <c r="Y774" s="626"/>
    </row>
    <row r="775" spans="1:25" s="426" customFormat="1" ht="12.75" x14ac:dyDescent="0.2">
      <c r="A775" s="426">
        <f>A722</f>
        <v>0</v>
      </c>
      <c r="B775" s="426" t="s">
        <v>717</v>
      </c>
      <c r="C775" s="626">
        <f>A775*C722</f>
        <v>0</v>
      </c>
      <c r="D775" s="635">
        <f>C775*$D$719</f>
        <v>0</v>
      </c>
      <c r="Y775" s="626"/>
    </row>
    <row r="776" spans="1:25" s="426" customFormat="1" ht="12.75" x14ac:dyDescent="0.2">
      <c r="A776" s="426">
        <f>A723</f>
        <v>0</v>
      </c>
      <c r="B776" s="426" t="s">
        <v>677</v>
      </c>
      <c r="C776" s="626">
        <f>A776*C723</f>
        <v>0</v>
      </c>
      <c r="D776" s="635">
        <f>C776*$D$719</f>
        <v>0</v>
      </c>
      <c r="Y776" s="626"/>
    </row>
    <row r="777" spans="1:25" s="426" customFormat="1" ht="12.75" x14ac:dyDescent="0.2">
      <c r="A777" s="426">
        <f>A724</f>
        <v>0</v>
      </c>
      <c r="B777" s="426" t="s">
        <v>681</v>
      </c>
      <c r="C777" s="626">
        <f>A777*C724</f>
        <v>0</v>
      </c>
      <c r="D777" s="635">
        <f>C777*$D$719</f>
        <v>0</v>
      </c>
      <c r="Y777" s="626"/>
    </row>
    <row r="778" spans="1:25" s="426" customFormat="1" ht="12.75" x14ac:dyDescent="0.2">
      <c r="B778" s="615" t="s">
        <v>693</v>
      </c>
      <c r="D778" s="633">
        <f>SUM(D775:D777)</f>
        <v>0</v>
      </c>
      <c r="Y778" s="626"/>
    </row>
    <row r="779" spans="1:25" s="426" customFormat="1" ht="12.75" x14ac:dyDescent="0.2">
      <c r="B779" s="615"/>
      <c r="Y779" s="626"/>
    </row>
    <row r="780" spans="1:25" s="426" customFormat="1" ht="12.75" x14ac:dyDescent="0.2">
      <c r="B780" s="615"/>
      <c r="Y780" s="626"/>
    </row>
    <row r="781" spans="1:25" s="426" customFormat="1" ht="12.75" x14ac:dyDescent="0.2">
      <c r="B781" s="615"/>
      <c r="C781" s="626" t="s">
        <v>1020</v>
      </c>
      <c r="D781" s="426" t="s">
        <v>1023</v>
      </c>
      <c r="E781" s="626" t="s">
        <v>1024</v>
      </c>
      <c r="Y781" s="626"/>
    </row>
    <row r="782" spans="1:25" s="426" customFormat="1" ht="12.75" x14ac:dyDescent="0.2">
      <c r="B782" s="652" t="s">
        <v>704</v>
      </c>
      <c r="C782" s="634">
        <f>B770</f>
        <v>142</v>
      </c>
      <c r="D782" s="1047">
        <f>J728</f>
        <v>9999</v>
      </c>
      <c r="E782" s="1047">
        <f>MIN(C782:D782)*H734</f>
        <v>127.8</v>
      </c>
      <c r="Y782" s="626"/>
    </row>
    <row r="783" spans="1:25" s="426" customFormat="1" ht="12.75" x14ac:dyDescent="0.2">
      <c r="C783" s="626"/>
      <c r="Y783" s="626"/>
    </row>
    <row r="784" spans="1:25" s="426" customFormat="1" ht="12.75" x14ac:dyDescent="0.2">
      <c r="Y784" s="626"/>
    </row>
    <row r="785" spans="1:25" s="426" customFormat="1" ht="12.75" x14ac:dyDescent="0.2">
      <c r="B785" s="634" t="s">
        <v>706</v>
      </c>
      <c r="C785" s="653" t="s">
        <v>707</v>
      </c>
      <c r="D785" s="628" t="s">
        <v>708</v>
      </c>
      <c r="E785" s="664" t="s">
        <v>709</v>
      </c>
      <c r="Y785" s="626"/>
    </row>
    <row r="786" spans="1:25" s="426" customFormat="1" ht="12.75" x14ac:dyDescent="0.2">
      <c r="B786" s="634">
        <f>IF(C3&gt;=I445,C3,I445)</f>
        <v>1800</v>
      </c>
      <c r="C786" s="665">
        <v>150</v>
      </c>
      <c r="D786" s="634">
        <f>B786-C786</f>
        <v>1650</v>
      </c>
      <c r="E786" s="654"/>
      <c r="Y786" s="626"/>
    </row>
    <row r="787" spans="1:25" s="426" customFormat="1" ht="12.75" x14ac:dyDescent="0.2">
      <c r="B787" s="634" t="s">
        <v>710</v>
      </c>
      <c r="C787" s="666">
        <f>C786/(E782/2)</f>
        <v>2.347417840375587</v>
      </c>
      <c r="D787" s="668">
        <f>D786/E782</f>
        <v>12.910798122065728</v>
      </c>
      <c r="E787" s="667">
        <f>CEILING(D787+C787,1)</f>
        <v>16</v>
      </c>
      <c r="Y787" s="626"/>
    </row>
    <row r="788" spans="1:25" s="426" customFormat="1" ht="12.75" x14ac:dyDescent="0.2">
      <c r="B788" s="615"/>
      <c r="Y788" s="626"/>
    </row>
    <row r="789" spans="1:25" s="426" customFormat="1" ht="12.75" x14ac:dyDescent="0.2">
      <c r="B789" s="615"/>
      <c r="Y789" s="626"/>
    </row>
    <row r="790" spans="1:25" s="426" customFormat="1" ht="12.75" x14ac:dyDescent="0.2">
      <c r="A790" s="426">
        <f>IF(C715=1,1,0)</f>
        <v>0</v>
      </c>
      <c r="B790" s="615" t="s">
        <v>712</v>
      </c>
      <c r="C790" s="134">
        <f>IF(E787&gt;=C726,E787,C726)</f>
        <v>16</v>
      </c>
      <c r="D790" s="629">
        <f>IF(A790=1,C790*D719,0)</f>
        <v>0</v>
      </c>
      <c r="F790" s="669"/>
      <c r="Y790" s="626"/>
    </row>
    <row r="791" spans="1:25" s="426" customFormat="1" ht="12.75" x14ac:dyDescent="0.2">
      <c r="B791" s="615"/>
      <c r="Y791" s="626"/>
    </row>
    <row r="792" spans="1:25" s="430" customFormat="1" ht="12.75" x14ac:dyDescent="0.2">
      <c r="B792" s="678"/>
      <c r="Y792" s="651"/>
    </row>
    <row r="793" spans="1:25" s="426" customFormat="1" ht="12.75" x14ac:dyDescent="0.2">
      <c r="Y793" s="626"/>
    </row>
    <row r="794" spans="1:25" s="426" customFormat="1" ht="13.5" thickBot="1" x14ac:dyDescent="0.25">
      <c r="B794" s="615"/>
      <c r="D794" s="626" t="s">
        <v>674</v>
      </c>
      <c r="Y794" s="626"/>
    </row>
    <row r="795" spans="1:25" s="426" customFormat="1" ht="13.5" thickBot="1" x14ac:dyDescent="0.25">
      <c r="B795" s="641" t="s">
        <v>666</v>
      </c>
      <c r="C795" s="643">
        <f>J368</f>
        <v>0</v>
      </c>
      <c r="D795" s="642">
        <f>IF(C795=1,C847+C850,0)</f>
        <v>0</v>
      </c>
      <c r="Y795" s="626"/>
    </row>
    <row r="796" spans="1:25" s="426" customFormat="1" ht="12.75" x14ac:dyDescent="0.2">
      <c r="B796" s="627"/>
      <c r="C796" s="626"/>
      <c r="D796" s="704"/>
      <c r="Y796" s="626"/>
    </row>
    <row r="797" spans="1:25" s="426" customFormat="1" ht="12.75" x14ac:dyDescent="0.2">
      <c r="Y797" s="626"/>
    </row>
    <row r="798" spans="1:25" s="426" customFormat="1" ht="12.75" x14ac:dyDescent="0.2">
      <c r="Y798" s="626"/>
    </row>
    <row r="799" spans="1:25" s="426" customFormat="1" ht="12.75" x14ac:dyDescent="0.2">
      <c r="B799" s="426" t="s">
        <v>783</v>
      </c>
      <c r="C799" s="633">
        <f>'Tarieven (3)'!C10</f>
        <v>150</v>
      </c>
      <c r="D799" s="633">
        <f>C799/60</f>
        <v>2.5</v>
      </c>
      <c r="Y799" s="626"/>
    </row>
    <row r="800" spans="1:25" s="426" customFormat="1" ht="12.75" x14ac:dyDescent="0.2">
      <c r="C800" s="635"/>
      <c r="D800" s="635"/>
      <c r="Y800" s="626"/>
    </row>
    <row r="801" spans="1:25" s="426" customFormat="1" ht="12.75" x14ac:dyDescent="0.2">
      <c r="A801" s="426" t="s">
        <v>61</v>
      </c>
      <c r="B801" s="426" t="s">
        <v>679</v>
      </c>
      <c r="C801" s="636" t="s">
        <v>680</v>
      </c>
      <c r="D801" s="635"/>
      <c r="G801" s="638">
        <v>0.01</v>
      </c>
      <c r="Y801" s="626"/>
    </row>
    <row r="802" spans="1:25" s="426" customFormat="1" ht="12.75" x14ac:dyDescent="0.2">
      <c r="A802" s="626">
        <f>IF(C795=1,1,0)</f>
        <v>0</v>
      </c>
      <c r="B802" s="426" t="s">
        <v>784</v>
      </c>
      <c r="C802" s="637">
        <v>25</v>
      </c>
      <c r="D802" s="426" t="s">
        <v>683</v>
      </c>
      <c r="G802" s="708" t="s">
        <v>777</v>
      </c>
      <c r="H802" s="719" t="s">
        <v>778</v>
      </c>
      <c r="I802" s="719" t="s">
        <v>779</v>
      </c>
      <c r="Y802" s="626"/>
    </row>
    <row r="803" spans="1:25" s="426" customFormat="1" ht="13.5" thickBot="1" x14ac:dyDescent="0.25">
      <c r="A803" s="626">
        <f>IF(C795=1,1,0)</f>
        <v>0</v>
      </c>
      <c r="B803" s="426" t="s">
        <v>786</v>
      </c>
      <c r="C803" s="637">
        <v>10</v>
      </c>
      <c r="D803" s="426" t="s">
        <v>683</v>
      </c>
      <c r="G803" s="725">
        <f>MAX(B445,H445)</f>
        <v>1800</v>
      </c>
      <c r="H803" s="145">
        <f>C807*C808</f>
        <v>1</v>
      </c>
      <c r="I803" s="145">
        <f>H803*G803</f>
        <v>1800</v>
      </c>
      <c r="Y803" s="626"/>
    </row>
    <row r="804" spans="1:25" s="426" customFormat="1" ht="12.75" x14ac:dyDescent="0.2">
      <c r="A804" s="626"/>
      <c r="C804" s="626"/>
      <c r="G804" s="735" t="s">
        <v>782</v>
      </c>
      <c r="H804" s="710" t="s">
        <v>781</v>
      </c>
      <c r="I804" s="713" t="s">
        <v>780</v>
      </c>
      <c r="Y804" s="626"/>
    </row>
    <row r="805" spans="1:25" s="426" customFormat="1" ht="13.5" thickBot="1" x14ac:dyDescent="0.25">
      <c r="B805" s="426" t="s">
        <v>796</v>
      </c>
      <c r="C805" s="637">
        <v>12</v>
      </c>
      <c r="D805" s="426" t="s">
        <v>683</v>
      </c>
      <c r="G805" s="736">
        <f>IF(CEILING((H805*G801)+H805,1)&lt;=G803,CEILING((H805*G801)+H805,1),G803)</f>
        <v>1800</v>
      </c>
      <c r="H805" s="702">
        <f>CEILING(I805/H803,1)</f>
        <v>1800</v>
      </c>
      <c r="I805" s="145">
        <f>C3</f>
        <v>1800</v>
      </c>
      <c r="Y805" s="626"/>
    </row>
    <row r="806" spans="1:25" s="426" customFormat="1" ht="12.75" x14ac:dyDescent="0.2">
      <c r="Y806" s="626"/>
    </row>
    <row r="807" spans="1:25" s="426" customFormat="1" ht="12.75" x14ac:dyDescent="0.2">
      <c r="B807" s="615" t="s">
        <v>752</v>
      </c>
      <c r="C807" s="626">
        <f>C445</f>
        <v>1</v>
      </c>
      <c r="D807" s="426" t="s">
        <v>754</v>
      </c>
      <c r="Y807" s="626"/>
    </row>
    <row r="808" spans="1:25" s="426" customFormat="1" ht="12.75" x14ac:dyDescent="0.2">
      <c r="B808" s="615" t="s">
        <v>753</v>
      </c>
      <c r="C808" s="626">
        <f>D445</f>
        <v>1</v>
      </c>
      <c r="D808" s="426" t="s">
        <v>754</v>
      </c>
      <c r="Y808" s="626"/>
    </row>
    <row r="809" spans="1:25" s="426" customFormat="1" ht="12.75" x14ac:dyDescent="0.2">
      <c r="B809" s="615" t="s">
        <v>99</v>
      </c>
      <c r="C809" s="626">
        <f>E445</f>
        <v>361</v>
      </c>
      <c r="D809" s="426" t="s">
        <v>25</v>
      </c>
      <c r="Y809" s="626"/>
    </row>
    <row r="810" spans="1:25" s="426" customFormat="1" ht="12.75" x14ac:dyDescent="0.2">
      <c r="B810" s="615" t="s">
        <v>100</v>
      </c>
      <c r="C810" s="626">
        <f>F445</f>
        <v>1150</v>
      </c>
      <c r="D810" s="426" t="s">
        <v>25</v>
      </c>
      <c r="Y810" s="626"/>
    </row>
    <row r="811" spans="1:25" s="426" customFormat="1" ht="12.75" x14ac:dyDescent="0.2">
      <c r="B811" s="615" t="s">
        <v>776</v>
      </c>
      <c r="C811" s="134">
        <f>G805</f>
        <v>1800</v>
      </c>
      <c r="D811" s="426" t="s">
        <v>754</v>
      </c>
      <c r="Y811" s="626"/>
    </row>
    <row r="812" spans="1:25" s="426" customFormat="1" ht="12.75" x14ac:dyDescent="0.2">
      <c r="Y812" s="626"/>
    </row>
    <row r="813" spans="1:25" s="426" customFormat="1" x14ac:dyDescent="0.25">
      <c r="D813" s="77"/>
      <c r="F813"/>
      <c r="G813"/>
      <c r="H813"/>
      <c r="I813"/>
      <c r="J813"/>
      <c r="K813"/>
      <c r="L813"/>
      <c r="M813"/>
      <c r="N813"/>
      <c r="O813"/>
      <c r="P813"/>
      <c r="Q813"/>
      <c r="Y813" s="626"/>
    </row>
    <row r="814" spans="1:25" s="426" customFormat="1" x14ac:dyDescent="0.25">
      <c r="A814" s="708"/>
      <c r="B814" s="405" t="s">
        <v>787</v>
      </c>
      <c r="C814" s="442">
        <f>MAX(C809:C810)</f>
        <v>1150</v>
      </c>
      <c r="D814" s="516"/>
      <c r="E814" s="427"/>
      <c r="F814" s="412"/>
      <c r="G814" s="412"/>
      <c r="H814" s="412"/>
      <c r="I814" s="412"/>
      <c r="J814" s="412"/>
      <c r="K814" s="412"/>
      <c r="L814" s="412"/>
      <c r="M814" s="412"/>
      <c r="N814" s="412"/>
      <c r="O814" s="433"/>
      <c r="P814"/>
      <c r="Q814"/>
      <c r="Y814" s="626"/>
    </row>
    <row r="815" spans="1:25" s="426" customFormat="1" x14ac:dyDescent="0.25">
      <c r="A815" s="429"/>
      <c r="B815" s="341" t="s">
        <v>788</v>
      </c>
      <c r="C815" s="13">
        <f>MIN(C809:C810)</f>
        <v>361</v>
      </c>
      <c r="D815" s="416"/>
      <c r="E815" s="430"/>
      <c r="F815" s="320"/>
      <c r="G815" s="320"/>
      <c r="H815" s="320"/>
      <c r="I815" s="320"/>
      <c r="J815" s="320"/>
      <c r="K815" s="320"/>
      <c r="L815" s="320"/>
      <c r="M815" s="320"/>
      <c r="N815" s="320"/>
      <c r="O815" s="434"/>
      <c r="P815"/>
      <c r="Q815"/>
      <c r="Y815" s="626"/>
    </row>
    <row r="816" spans="1:25" s="426" customFormat="1" x14ac:dyDescent="0.25">
      <c r="A816" s="476"/>
      <c r="B816" s="412"/>
      <c r="C816" s="412"/>
      <c r="D816" s="23">
        <v>4</v>
      </c>
      <c r="E816" s="23">
        <v>5</v>
      </c>
      <c r="F816" s="23">
        <v>6</v>
      </c>
      <c r="G816" s="23">
        <v>7</v>
      </c>
      <c r="H816" s="23">
        <v>8</v>
      </c>
      <c r="I816" s="23">
        <v>9</v>
      </c>
      <c r="J816" s="23">
        <v>10</v>
      </c>
      <c r="K816" s="23">
        <v>11</v>
      </c>
      <c r="L816" s="23">
        <v>12</v>
      </c>
      <c r="M816" s="23">
        <v>13</v>
      </c>
      <c r="N816" s="23">
        <v>14</v>
      </c>
      <c r="O816" s="38">
        <v>15</v>
      </c>
      <c r="P816"/>
      <c r="Q816"/>
      <c r="Y816" s="626"/>
    </row>
    <row r="817" spans="1:29" s="426" customFormat="1" x14ac:dyDescent="0.25">
      <c r="A817" s="431"/>
      <c r="B817" s="412"/>
      <c r="C817" s="433"/>
      <c r="D817" s="208">
        <f t="shared" ref="D817:O817" si="160">IF(AND($C$814&gt;D818,$C$814&lt;=D819),1,0)</f>
        <v>0</v>
      </c>
      <c r="E817" s="23">
        <f t="shared" si="160"/>
        <v>0</v>
      </c>
      <c r="F817" s="23">
        <f t="shared" si="160"/>
        <v>0</v>
      </c>
      <c r="G817" s="23">
        <f t="shared" si="160"/>
        <v>0</v>
      </c>
      <c r="H817" s="23">
        <f t="shared" si="160"/>
        <v>0</v>
      </c>
      <c r="I817" s="23">
        <f t="shared" si="160"/>
        <v>0</v>
      </c>
      <c r="J817" s="23">
        <f t="shared" si="160"/>
        <v>1</v>
      </c>
      <c r="K817" s="23">
        <f t="shared" si="160"/>
        <v>0</v>
      </c>
      <c r="L817" s="23">
        <f t="shared" si="160"/>
        <v>0</v>
      </c>
      <c r="M817" s="23">
        <f t="shared" si="160"/>
        <v>0</v>
      </c>
      <c r="N817" s="23">
        <f t="shared" si="160"/>
        <v>0</v>
      </c>
      <c r="O817" s="38">
        <f t="shared" si="160"/>
        <v>0</v>
      </c>
      <c r="P817"/>
      <c r="Q817"/>
      <c r="Y817" s="626"/>
    </row>
    <row r="818" spans="1:29" s="426" customFormat="1" x14ac:dyDescent="0.25">
      <c r="A818" s="6"/>
      <c r="B818"/>
      <c r="C818" s="7"/>
      <c r="D818" s="26">
        <v>0</v>
      </c>
      <c r="E818" s="2">
        <v>600</v>
      </c>
      <c r="F818" s="2">
        <v>700</v>
      </c>
      <c r="G818" s="2">
        <v>800</v>
      </c>
      <c r="H818" s="2">
        <v>900</v>
      </c>
      <c r="I818" s="2">
        <v>1000</v>
      </c>
      <c r="J818" s="2">
        <v>1100</v>
      </c>
      <c r="K818" s="2">
        <v>1200</v>
      </c>
      <c r="L818" s="2">
        <v>1300</v>
      </c>
      <c r="M818" s="2">
        <v>1400</v>
      </c>
      <c r="N818" s="2">
        <v>1500</v>
      </c>
      <c r="O818" s="25">
        <v>1600</v>
      </c>
      <c r="P818"/>
      <c r="Q818"/>
      <c r="Y818" s="626"/>
    </row>
    <row r="819" spans="1:29" s="426" customFormat="1" ht="15.75" thickBot="1" x14ac:dyDescent="0.3">
      <c r="A819" s="415"/>
      <c r="B819" s="320"/>
      <c r="C819" s="434"/>
      <c r="D819" s="26">
        <v>600</v>
      </c>
      <c r="E819" s="2">
        <v>700</v>
      </c>
      <c r="F819" s="2">
        <v>800</v>
      </c>
      <c r="G819" s="2">
        <v>900</v>
      </c>
      <c r="H819" s="2">
        <v>1000</v>
      </c>
      <c r="I819" s="2">
        <v>1100</v>
      </c>
      <c r="J819" s="2">
        <v>1200</v>
      </c>
      <c r="K819" s="2">
        <v>1300</v>
      </c>
      <c r="L819" s="343">
        <v>1400</v>
      </c>
      <c r="M819" s="343">
        <v>1500</v>
      </c>
      <c r="N819" s="343">
        <v>1600</v>
      </c>
      <c r="O819" s="436">
        <v>1700</v>
      </c>
      <c r="P819"/>
      <c r="Q819" s="2" t="s">
        <v>801</v>
      </c>
      <c r="Y819" s="626"/>
    </row>
    <row r="820" spans="1:29" s="426" customFormat="1" ht="15.75" thickBot="1" x14ac:dyDescent="0.3">
      <c r="A820" s="442">
        <f t="shared" ref="A820:A832" si="161">IF(AND($C$815&gt;B820,$C$815&lt;=C820),1,0)</f>
        <v>1</v>
      </c>
      <c r="B820" s="449">
        <v>0</v>
      </c>
      <c r="C820" s="449">
        <v>600</v>
      </c>
      <c r="D820" s="984">
        <f>FLOOR($Q$820*R820,5)</f>
        <v>3040</v>
      </c>
      <c r="E820" s="977">
        <f t="shared" ref="E820:H825" si="162">FLOOR($Q$820*S820,5)</f>
        <v>3040</v>
      </c>
      <c r="F820" s="977">
        <f t="shared" si="162"/>
        <v>3040</v>
      </c>
      <c r="G820" s="977">
        <f t="shared" si="162"/>
        <v>3040</v>
      </c>
      <c r="H820" s="978">
        <f t="shared" si="162"/>
        <v>3040</v>
      </c>
      <c r="I820" s="977">
        <f t="shared" ref="I820:K825" si="163">FLOOR($Q$826*W820,5)</f>
        <v>2945</v>
      </c>
      <c r="J820" s="977">
        <f t="shared" si="163"/>
        <v>2850</v>
      </c>
      <c r="K820" s="978">
        <f t="shared" si="163"/>
        <v>2755</v>
      </c>
      <c r="L820" s="977">
        <f t="shared" ref="L820:O828" si="164">FLOOR($Q$829*Z820,5)</f>
        <v>2660</v>
      </c>
      <c r="M820" s="977">
        <f t="shared" si="164"/>
        <v>2565</v>
      </c>
      <c r="N820" s="977">
        <f t="shared" si="164"/>
        <v>2470</v>
      </c>
      <c r="O820" s="978">
        <f t="shared" si="164"/>
        <v>2375</v>
      </c>
      <c r="P820" s="741"/>
      <c r="Q820" s="982">
        <v>0.95</v>
      </c>
      <c r="R820" s="739">
        <v>3200</v>
      </c>
      <c r="S820" s="739">
        <v>3200</v>
      </c>
      <c r="T820" s="739">
        <v>3200</v>
      </c>
      <c r="U820" s="739">
        <v>3200</v>
      </c>
      <c r="V820" s="740">
        <v>3200</v>
      </c>
      <c r="W820" s="739">
        <v>3100</v>
      </c>
      <c r="X820" s="739">
        <v>3000</v>
      </c>
      <c r="Y820" s="740">
        <v>2900</v>
      </c>
      <c r="Z820" s="739">
        <v>2800</v>
      </c>
      <c r="AA820" s="648">
        <v>2700</v>
      </c>
      <c r="AB820" s="648">
        <v>2600</v>
      </c>
      <c r="AC820" s="740">
        <v>2500</v>
      </c>
    </row>
    <row r="821" spans="1:29" s="426" customFormat="1" x14ac:dyDescent="0.25">
      <c r="A821" s="12">
        <f t="shared" si="161"/>
        <v>0</v>
      </c>
      <c r="B821" s="2">
        <v>600</v>
      </c>
      <c r="C821" s="2">
        <v>650</v>
      </c>
      <c r="D821" s="979">
        <f t="shared" ref="D821:D825" si="165">FLOOR($Q$820*R821,5)</f>
        <v>3040</v>
      </c>
      <c r="E821" s="741">
        <f t="shared" si="162"/>
        <v>3040</v>
      </c>
      <c r="F821" s="741">
        <f t="shared" si="162"/>
        <v>3040</v>
      </c>
      <c r="G821" s="741">
        <f t="shared" si="162"/>
        <v>3040</v>
      </c>
      <c r="H821" s="980">
        <f t="shared" si="162"/>
        <v>3040</v>
      </c>
      <c r="I821" s="741">
        <f t="shared" si="163"/>
        <v>2925</v>
      </c>
      <c r="J821" s="741">
        <f t="shared" si="163"/>
        <v>2815</v>
      </c>
      <c r="K821" s="980">
        <f t="shared" si="163"/>
        <v>2705</v>
      </c>
      <c r="L821" s="741">
        <f t="shared" si="164"/>
        <v>2595</v>
      </c>
      <c r="M821" s="741">
        <f t="shared" si="164"/>
        <v>2495</v>
      </c>
      <c r="N821" s="741">
        <f t="shared" si="164"/>
        <v>2395</v>
      </c>
      <c r="O821" s="980">
        <f t="shared" si="164"/>
        <v>2295</v>
      </c>
      <c r="P821" s="741"/>
      <c r="Q821" s="976"/>
      <c r="R821" s="742">
        <v>3200</v>
      </c>
      <c r="S821" s="743">
        <v>3200</v>
      </c>
      <c r="T821" s="743">
        <v>3200</v>
      </c>
      <c r="U821" s="743">
        <v>3200</v>
      </c>
      <c r="V821" s="744">
        <v>3200</v>
      </c>
      <c r="W821" s="743">
        <v>3080</v>
      </c>
      <c r="X821" s="743">
        <v>2965</v>
      </c>
      <c r="Y821" s="744">
        <v>2850</v>
      </c>
      <c r="Z821" s="743">
        <v>2735</v>
      </c>
      <c r="AA821" s="647">
        <v>2630</v>
      </c>
      <c r="AB821" s="647">
        <v>2525</v>
      </c>
      <c r="AC821" s="744">
        <v>2420</v>
      </c>
    </row>
    <row r="822" spans="1:29" s="426" customFormat="1" x14ac:dyDescent="0.25">
      <c r="A822" s="12">
        <f t="shared" si="161"/>
        <v>0</v>
      </c>
      <c r="B822" s="2">
        <v>650</v>
      </c>
      <c r="C822" s="2">
        <v>700</v>
      </c>
      <c r="D822" s="979">
        <f t="shared" si="165"/>
        <v>3040</v>
      </c>
      <c r="E822" s="741">
        <f t="shared" si="162"/>
        <v>3040</v>
      </c>
      <c r="F822" s="741">
        <f t="shared" si="162"/>
        <v>3040</v>
      </c>
      <c r="G822" s="741">
        <f t="shared" si="162"/>
        <v>3040</v>
      </c>
      <c r="H822" s="980">
        <f t="shared" si="162"/>
        <v>3040</v>
      </c>
      <c r="I822" s="741">
        <f t="shared" si="163"/>
        <v>2905</v>
      </c>
      <c r="J822" s="741">
        <f t="shared" si="163"/>
        <v>2780</v>
      </c>
      <c r="K822" s="980">
        <f t="shared" si="163"/>
        <v>2660</v>
      </c>
      <c r="L822" s="741">
        <f t="shared" si="164"/>
        <v>2535</v>
      </c>
      <c r="M822" s="741">
        <f t="shared" si="164"/>
        <v>2430</v>
      </c>
      <c r="N822" s="741">
        <f t="shared" si="164"/>
        <v>2325</v>
      </c>
      <c r="O822" s="980">
        <f t="shared" si="164"/>
        <v>2220</v>
      </c>
      <c r="P822" s="741"/>
      <c r="Q822" s="976"/>
      <c r="R822" s="742">
        <v>3200</v>
      </c>
      <c r="S822" s="743">
        <v>3200</v>
      </c>
      <c r="T822" s="743">
        <v>3200</v>
      </c>
      <c r="U822" s="743">
        <v>3200</v>
      </c>
      <c r="V822" s="744">
        <v>3200</v>
      </c>
      <c r="W822" s="743">
        <v>3060</v>
      </c>
      <c r="X822" s="743">
        <v>2930</v>
      </c>
      <c r="Y822" s="744">
        <v>2800</v>
      </c>
      <c r="Z822" s="743">
        <v>2670</v>
      </c>
      <c r="AA822" s="647">
        <v>2560</v>
      </c>
      <c r="AB822" s="647">
        <v>2450</v>
      </c>
      <c r="AC822" s="744">
        <v>2340</v>
      </c>
    </row>
    <row r="823" spans="1:29" s="426" customFormat="1" x14ac:dyDescent="0.25">
      <c r="A823" s="12">
        <f t="shared" si="161"/>
        <v>0</v>
      </c>
      <c r="B823" s="2">
        <v>700</v>
      </c>
      <c r="C823" s="2">
        <v>750</v>
      </c>
      <c r="D823" s="979">
        <f t="shared" si="165"/>
        <v>3040</v>
      </c>
      <c r="E823" s="741">
        <f t="shared" si="162"/>
        <v>3040</v>
      </c>
      <c r="F823" s="741">
        <f t="shared" si="162"/>
        <v>3040</v>
      </c>
      <c r="G823" s="741">
        <f t="shared" si="162"/>
        <v>3040</v>
      </c>
      <c r="H823" s="980">
        <f t="shared" si="162"/>
        <v>3040</v>
      </c>
      <c r="I823" s="741">
        <f t="shared" si="163"/>
        <v>2885</v>
      </c>
      <c r="J823" s="741">
        <f t="shared" si="163"/>
        <v>2750</v>
      </c>
      <c r="K823" s="980">
        <f t="shared" si="163"/>
        <v>2610</v>
      </c>
      <c r="L823" s="741">
        <f t="shared" si="164"/>
        <v>2470</v>
      </c>
      <c r="M823" s="741">
        <f t="shared" si="164"/>
        <v>2365</v>
      </c>
      <c r="N823" s="741">
        <f t="shared" si="164"/>
        <v>2255</v>
      </c>
      <c r="O823" s="980">
        <f t="shared" si="164"/>
        <v>2145</v>
      </c>
      <c r="P823" s="741"/>
      <c r="Q823" s="976"/>
      <c r="R823" s="742">
        <v>3200</v>
      </c>
      <c r="S823" s="743">
        <v>3200</v>
      </c>
      <c r="T823" s="743">
        <v>3200</v>
      </c>
      <c r="U823" s="743">
        <v>3200</v>
      </c>
      <c r="V823" s="744">
        <v>3200</v>
      </c>
      <c r="W823" s="743">
        <v>3040</v>
      </c>
      <c r="X823" s="743">
        <v>2895</v>
      </c>
      <c r="Y823" s="744">
        <v>2750</v>
      </c>
      <c r="Z823" s="743">
        <v>2605</v>
      </c>
      <c r="AA823" s="647">
        <v>2490</v>
      </c>
      <c r="AB823" s="647">
        <v>2375</v>
      </c>
      <c r="AC823" s="744">
        <v>2260</v>
      </c>
    </row>
    <row r="824" spans="1:29" s="426" customFormat="1" x14ac:dyDescent="0.25">
      <c r="A824" s="12">
        <f t="shared" si="161"/>
        <v>0</v>
      </c>
      <c r="B824" s="2">
        <v>750</v>
      </c>
      <c r="C824" s="2">
        <v>800</v>
      </c>
      <c r="D824" s="979">
        <f t="shared" si="165"/>
        <v>3040</v>
      </c>
      <c r="E824" s="741">
        <f t="shared" si="162"/>
        <v>3040</v>
      </c>
      <c r="F824" s="741">
        <f t="shared" si="162"/>
        <v>3040</v>
      </c>
      <c r="G824" s="741">
        <f t="shared" si="162"/>
        <v>3040</v>
      </c>
      <c r="H824" s="980">
        <f t="shared" si="162"/>
        <v>3040</v>
      </c>
      <c r="I824" s="741">
        <f t="shared" si="163"/>
        <v>2885</v>
      </c>
      <c r="J824" s="741">
        <f t="shared" si="163"/>
        <v>2715</v>
      </c>
      <c r="K824" s="980">
        <f t="shared" si="163"/>
        <v>2565</v>
      </c>
      <c r="L824" s="741">
        <f t="shared" si="164"/>
        <v>2410</v>
      </c>
      <c r="M824" s="741">
        <f t="shared" si="164"/>
        <v>2295</v>
      </c>
      <c r="N824" s="741">
        <f t="shared" si="164"/>
        <v>2185</v>
      </c>
      <c r="O824" s="980">
        <f t="shared" si="164"/>
        <v>2070</v>
      </c>
      <c r="P824" s="741"/>
      <c r="Q824" s="976"/>
      <c r="R824" s="742">
        <v>3200</v>
      </c>
      <c r="S824" s="743">
        <v>3200</v>
      </c>
      <c r="T824" s="743">
        <v>3200</v>
      </c>
      <c r="U824" s="743">
        <v>3200</v>
      </c>
      <c r="V824" s="744">
        <v>3200</v>
      </c>
      <c r="W824" s="743">
        <v>3040</v>
      </c>
      <c r="X824" s="743">
        <v>2860</v>
      </c>
      <c r="Y824" s="744">
        <v>2700</v>
      </c>
      <c r="Z824" s="743">
        <v>2540</v>
      </c>
      <c r="AA824" s="647">
        <v>2420</v>
      </c>
      <c r="AB824" s="647">
        <v>2300</v>
      </c>
      <c r="AC824" s="744">
        <v>2180</v>
      </c>
    </row>
    <row r="825" spans="1:29" s="426" customFormat="1" ht="15.75" thickBot="1" x14ac:dyDescent="0.3">
      <c r="A825" s="12">
        <f t="shared" si="161"/>
        <v>0</v>
      </c>
      <c r="B825" s="2">
        <v>800</v>
      </c>
      <c r="C825" s="2">
        <v>850</v>
      </c>
      <c r="D825" s="979">
        <f t="shared" si="165"/>
        <v>3040</v>
      </c>
      <c r="E825" s="741">
        <f t="shared" si="162"/>
        <v>3040</v>
      </c>
      <c r="F825" s="741">
        <f t="shared" si="162"/>
        <v>3040</v>
      </c>
      <c r="G825" s="741">
        <f t="shared" si="162"/>
        <v>3040</v>
      </c>
      <c r="H825" s="986">
        <f t="shared" si="162"/>
        <v>3040</v>
      </c>
      <c r="I825" s="741">
        <f t="shared" si="163"/>
        <v>2850</v>
      </c>
      <c r="J825" s="741">
        <f t="shared" si="163"/>
        <v>2680</v>
      </c>
      <c r="K825" s="980">
        <f t="shared" si="163"/>
        <v>2515</v>
      </c>
      <c r="L825" s="741">
        <f t="shared" si="164"/>
        <v>2350</v>
      </c>
      <c r="M825" s="741">
        <f t="shared" si="164"/>
        <v>2230</v>
      </c>
      <c r="N825" s="741">
        <f t="shared" si="164"/>
        <v>2110</v>
      </c>
      <c r="O825" s="980">
        <f t="shared" si="164"/>
        <v>1995</v>
      </c>
      <c r="P825" s="741"/>
      <c r="Q825" s="976"/>
      <c r="R825" s="745">
        <v>3200</v>
      </c>
      <c r="S825" s="746">
        <v>3200</v>
      </c>
      <c r="T825" s="746">
        <v>3200</v>
      </c>
      <c r="U825" s="746">
        <v>3200</v>
      </c>
      <c r="V825" s="747">
        <v>3200</v>
      </c>
      <c r="W825" s="743">
        <v>3000</v>
      </c>
      <c r="X825" s="743">
        <v>2825</v>
      </c>
      <c r="Y825" s="744">
        <v>2650</v>
      </c>
      <c r="Z825" s="743">
        <v>2475</v>
      </c>
      <c r="AA825" s="647">
        <v>2350</v>
      </c>
      <c r="AB825" s="647">
        <v>2225</v>
      </c>
      <c r="AC825" s="744">
        <v>2100</v>
      </c>
    </row>
    <row r="826" spans="1:29" s="426" customFormat="1" ht="15.75" thickBot="1" x14ac:dyDescent="0.3">
      <c r="A826" s="12">
        <f t="shared" si="161"/>
        <v>0</v>
      </c>
      <c r="B826" s="2">
        <v>850</v>
      </c>
      <c r="C826" s="2">
        <v>900</v>
      </c>
      <c r="D826" s="984">
        <f>FLOOR($Q$826*R826,5)</f>
        <v>2905</v>
      </c>
      <c r="E826" s="977">
        <f t="shared" ref="E826:K828" si="166">FLOOR($Q$826*S826,5)</f>
        <v>2905</v>
      </c>
      <c r="F826" s="977">
        <f t="shared" si="166"/>
        <v>2905</v>
      </c>
      <c r="G826" s="977">
        <f t="shared" si="166"/>
        <v>2905</v>
      </c>
      <c r="H826" s="977">
        <f t="shared" si="166"/>
        <v>2905</v>
      </c>
      <c r="I826" s="741">
        <f t="shared" si="166"/>
        <v>2820</v>
      </c>
      <c r="J826" s="741">
        <f t="shared" si="166"/>
        <v>3600</v>
      </c>
      <c r="K826" s="980">
        <f t="shared" si="166"/>
        <v>2470</v>
      </c>
      <c r="L826" s="741">
        <f t="shared" si="164"/>
        <v>2285</v>
      </c>
      <c r="M826" s="741">
        <f t="shared" si="164"/>
        <v>2165</v>
      </c>
      <c r="N826" s="741">
        <f t="shared" si="164"/>
        <v>2040</v>
      </c>
      <c r="O826" s="980">
        <f t="shared" si="164"/>
        <v>1915</v>
      </c>
      <c r="P826" s="741"/>
      <c r="Q826" s="982">
        <v>0.95</v>
      </c>
      <c r="R826" s="743">
        <v>3060</v>
      </c>
      <c r="S826" s="743">
        <v>3060</v>
      </c>
      <c r="T826" s="743">
        <v>3060</v>
      </c>
      <c r="U826" s="743">
        <v>3060</v>
      </c>
      <c r="V826" s="743">
        <v>3060</v>
      </c>
      <c r="W826" s="743">
        <v>2970</v>
      </c>
      <c r="X826" s="743">
        <v>3790</v>
      </c>
      <c r="Y826" s="744">
        <v>2600</v>
      </c>
      <c r="Z826" s="743">
        <v>2410</v>
      </c>
      <c r="AA826" s="647">
        <v>2280</v>
      </c>
      <c r="AB826" s="647">
        <v>2150</v>
      </c>
      <c r="AC826" s="744">
        <v>2020</v>
      </c>
    </row>
    <row r="827" spans="1:29" s="426" customFormat="1" x14ac:dyDescent="0.25">
      <c r="A827" s="12">
        <f t="shared" si="161"/>
        <v>0</v>
      </c>
      <c r="B827" s="2">
        <v>900</v>
      </c>
      <c r="C827" s="2">
        <v>950</v>
      </c>
      <c r="D827" s="979">
        <f t="shared" ref="D827:D828" si="167">FLOOR($Q$826*R827,5)</f>
        <v>2770</v>
      </c>
      <c r="E827" s="741">
        <f t="shared" si="166"/>
        <v>2770</v>
      </c>
      <c r="F827" s="741">
        <f t="shared" si="166"/>
        <v>2770</v>
      </c>
      <c r="G827" s="741">
        <f t="shared" si="166"/>
        <v>2770</v>
      </c>
      <c r="H827" s="741">
        <f t="shared" si="166"/>
        <v>2770</v>
      </c>
      <c r="I827" s="741">
        <f t="shared" si="166"/>
        <v>2680</v>
      </c>
      <c r="J827" s="741">
        <f t="shared" si="166"/>
        <v>2600</v>
      </c>
      <c r="K827" s="980">
        <f t="shared" si="166"/>
        <v>2420</v>
      </c>
      <c r="L827" s="741">
        <f t="shared" si="164"/>
        <v>2225</v>
      </c>
      <c r="M827" s="741">
        <f t="shared" si="164"/>
        <v>2095</v>
      </c>
      <c r="N827" s="741">
        <f t="shared" si="164"/>
        <v>1970</v>
      </c>
      <c r="O827" s="980">
        <f t="shared" si="164"/>
        <v>1840</v>
      </c>
      <c r="P827" s="741"/>
      <c r="Q827" s="976"/>
      <c r="R827" s="742">
        <v>2920</v>
      </c>
      <c r="S827" s="743">
        <v>2920</v>
      </c>
      <c r="T827" s="743">
        <v>2920</v>
      </c>
      <c r="U827" s="743">
        <v>2920</v>
      </c>
      <c r="V827" s="743">
        <v>2920</v>
      </c>
      <c r="W827" s="743">
        <v>2825</v>
      </c>
      <c r="X827" s="743">
        <v>2740</v>
      </c>
      <c r="Y827" s="744">
        <v>2550</v>
      </c>
      <c r="Z827" s="743">
        <v>2345</v>
      </c>
      <c r="AA827" s="647">
        <v>2210</v>
      </c>
      <c r="AB827" s="647">
        <v>2075</v>
      </c>
      <c r="AC827" s="744">
        <v>1940</v>
      </c>
    </row>
    <row r="828" spans="1:29" s="426" customFormat="1" ht="15.75" thickBot="1" x14ac:dyDescent="0.3">
      <c r="A828" s="12">
        <f t="shared" si="161"/>
        <v>0</v>
      </c>
      <c r="B828" s="2">
        <v>950</v>
      </c>
      <c r="C828" s="2">
        <v>1000</v>
      </c>
      <c r="D828" s="981">
        <f t="shared" si="167"/>
        <v>2640</v>
      </c>
      <c r="E828" s="985">
        <f t="shared" si="166"/>
        <v>2640</v>
      </c>
      <c r="F828" s="985">
        <f t="shared" si="166"/>
        <v>2640</v>
      </c>
      <c r="G828" s="985">
        <f t="shared" si="166"/>
        <v>2640</v>
      </c>
      <c r="H828" s="985">
        <f t="shared" si="166"/>
        <v>2640</v>
      </c>
      <c r="I828" s="985">
        <f t="shared" si="166"/>
        <v>2545</v>
      </c>
      <c r="J828" s="985">
        <f t="shared" si="166"/>
        <v>2460</v>
      </c>
      <c r="K828" s="986">
        <f t="shared" si="166"/>
        <v>2375</v>
      </c>
      <c r="L828" s="741">
        <f t="shared" si="164"/>
        <v>2165</v>
      </c>
      <c r="M828" s="741">
        <f t="shared" si="164"/>
        <v>2030</v>
      </c>
      <c r="N828" s="741">
        <f t="shared" si="164"/>
        <v>1900</v>
      </c>
      <c r="O828" s="980">
        <f t="shared" si="164"/>
        <v>1765</v>
      </c>
      <c r="P828" s="741"/>
      <c r="Q828" s="976"/>
      <c r="R828" s="745">
        <v>2780</v>
      </c>
      <c r="S828" s="746">
        <v>2780</v>
      </c>
      <c r="T828" s="746">
        <v>2780</v>
      </c>
      <c r="U828" s="746">
        <v>2780</v>
      </c>
      <c r="V828" s="746">
        <v>2780</v>
      </c>
      <c r="W828" s="746">
        <v>2680</v>
      </c>
      <c r="X828" s="746">
        <v>2590</v>
      </c>
      <c r="Y828" s="747">
        <v>2500</v>
      </c>
      <c r="Z828" s="743">
        <v>2280</v>
      </c>
      <c r="AA828" s="647">
        <v>2140</v>
      </c>
      <c r="AB828" s="647">
        <v>2000</v>
      </c>
      <c r="AC828" s="744">
        <v>1860</v>
      </c>
    </row>
    <row r="829" spans="1:29" s="426" customFormat="1" ht="15.75" thickBot="1" x14ac:dyDescent="0.3">
      <c r="A829" s="12">
        <f t="shared" si="161"/>
        <v>0</v>
      </c>
      <c r="B829" s="2">
        <v>1000</v>
      </c>
      <c r="C829" s="2">
        <v>1050</v>
      </c>
      <c r="D829" s="979">
        <f>FLOOR($Q$829*R829,5)</f>
        <v>2505</v>
      </c>
      <c r="E829" s="741">
        <f t="shared" ref="E829:O832" si="168">FLOOR($Q$829*S829,5)</f>
        <v>2505</v>
      </c>
      <c r="F829" s="741">
        <f t="shared" si="168"/>
        <v>2505</v>
      </c>
      <c r="G829" s="741">
        <f t="shared" si="168"/>
        <v>2505</v>
      </c>
      <c r="H829" s="741">
        <f t="shared" si="168"/>
        <v>2505</v>
      </c>
      <c r="I829" s="741">
        <f t="shared" si="168"/>
        <v>2405</v>
      </c>
      <c r="J829" s="741">
        <f t="shared" si="168"/>
        <v>2325</v>
      </c>
      <c r="K829" s="741">
        <f t="shared" si="168"/>
        <v>2230</v>
      </c>
      <c r="L829" s="741">
        <f t="shared" si="168"/>
        <v>2145</v>
      </c>
      <c r="M829" s="741">
        <f t="shared" si="168"/>
        <v>1965</v>
      </c>
      <c r="N829" s="741">
        <f t="shared" si="168"/>
        <v>1825</v>
      </c>
      <c r="O829" s="980">
        <f t="shared" si="168"/>
        <v>1690</v>
      </c>
      <c r="P829"/>
      <c r="Q829" s="983">
        <v>0.95</v>
      </c>
      <c r="R829" s="647">
        <v>2640</v>
      </c>
      <c r="S829" s="647">
        <v>2640</v>
      </c>
      <c r="T829" s="647">
        <v>2640</v>
      </c>
      <c r="U829" s="647">
        <v>2640</v>
      </c>
      <c r="V829" s="647">
        <v>2640</v>
      </c>
      <c r="W829" s="647">
        <v>2535</v>
      </c>
      <c r="X829" s="647">
        <v>2450</v>
      </c>
      <c r="Y829" s="647">
        <v>2350</v>
      </c>
      <c r="Z829" s="647">
        <v>2260</v>
      </c>
      <c r="AA829" s="647">
        <v>2070</v>
      </c>
      <c r="AB829" s="647">
        <v>1925</v>
      </c>
      <c r="AC829" s="749">
        <v>1780</v>
      </c>
    </row>
    <row r="830" spans="1:29" s="426" customFormat="1" x14ac:dyDescent="0.25">
      <c r="A830" s="12">
        <f t="shared" si="161"/>
        <v>0</v>
      </c>
      <c r="B830" s="2">
        <v>1050</v>
      </c>
      <c r="C830" s="2">
        <v>1100</v>
      </c>
      <c r="D830" s="979">
        <f t="shared" ref="D830:D832" si="169">FLOOR($Q$829*R830,5)</f>
        <v>2375</v>
      </c>
      <c r="E830" s="741">
        <f t="shared" si="168"/>
        <v>2375</v>
      </c>
      <c r="F830" s="741">
        <f t="shared" si="168"/>
        <v>2375</v>
      </c>
      <c r="G830" s="741">
        <f t="shared" si="168"/>
        <v>2375</v>
      </c>
      <c r="H830" s="741">
        <f t="shared" si="168"/>
        <v>2375</v>
      </c>
      <c r="I830" s="741">
        <f t="shared" si="168"/>
        <v>2270</v>
      </c>
      <c r="J830" s="741">
        <f t="shared" si="168"/>
        <v>2190</v>
      </c>
      <c r="K830" s="741">
        <f t="shared" si="168"/>
        <v>2090</v>
      </c>
      <c r="L830" s="741">
        <f t="shared" si="168"/>
        <v>2000</v>
      </c>
      <c r="M830" s="741">
        <f t="shared" si="168"/>
        <v>1905</v>
      </c>
      <c r="N830" s="741">
        <f t="shared" si="168"/>
        <v>1755</v>
      </c>
      <c r="O830" s="980">
        <f t="shared" si="168"/>
        <v>1615</v>
      </c>
      <c r="P830"/>
      <c r="Q830" s="41"/>
      <c r="R830" s="748">
        <v>2500</v>
      </c>
      <c r="S830" s="647">
        <v>2500</v>
      </c>
      <c r="T830" s="647">
        <v>2500</v>
      </c>
      <c r="U830" s="647">
        <v>2500</v>
      </c>
      <c r="V830" s="647">
        <v>2500</v>
      </c>
      <c r="W830" s="647">
        <v>2390</v>
      </c>
      <c r="X830" s="647">
        <v>2310</v>
      </c>
      <c r="Y830" s="647">
        <v>2200</v>
      </c>
      <c r="Z830" s="647">
        <v>2110</v>
      </c>
      <c r="AA830" s="647">
        <v>2010</v>
      </c>
      <c r="AB830" s="647">
        <v>1850</v>
      </c>
      <c r="AC830" s="749">
        <v>1700</v>
      </c>
    </row>
    <row r="831" spans="1:29" s="426" customFormat="1" x14ac:dyDescent="0.25">
      <c r="A831" s="12">
        <f t="shared" si="161"/>
        <v>0</v>
      </c>
      <c r="B831" s="2">
        <v>1100</v>
      </c>
      <c r="C831" s="2">
        <v>1150</v>
      </c>
      <c r="D831" s="979">
        <f t="shared" si="169"/>
        <v>2240</v>
      </c>
      <c r="E831" s="741">
        <f t="shared" si="168"/>
        <v>2240</v>
      </c>
      <c r="F831" s="741">
        <f t="shared" si="168"/>
        <v>2240</v>
      </c>
      <c r="G831" s="741">
        <f t="shared" si="168"/>
        <v>2240</v>
      </c>
      <c r="H831" s="741">
        <f t="shared" si="168"/>
        <v>2240</v>
      </c>
      <c r="I831" s="741">
        <f t="shared" si="168"/>
        <v>2130</v>
      </c>
      <c r="J831" s="741">
        <f t="shared" si="168"/>
        <v>2060</v>
      </c>
      <c r="K831" s="741">
        <f t="shared" si="168"/>
        <v>1945</v>
      </c>
      <c r="L831" s="741">
        <f t="shared" si="168"/>
        <v>1860</v>
      </c>
      <c r="M831" s="741">
        <f t="shared" si="168"/>
        <v>1745</v>
      </c>
      <c r="N831" s="741">
        <f t="shared" si="168"/>
        <v>1670</v>
      </c>
      <c r="O831" s="980">
        <f t="shared" si="168"/>
        <v>1535</v>
      </c>
      <c r="P831"/>
      <c r="Q831" s="41"/>
      <c r="R831" s="748">
        <v>2360</v>
      </c>
      <c r="S831" s="647">
        <v>2360</v>
      </c>
      <c r="T831" s="647">
        <v>2360</v>
      </c>
      <c r="U831" s="647">
        <v>2360</v>
      </c>
      <c r="V831" s="647">
        <v>2360</v>
      </c>
      <c r="W831" s="647">
        <v>2245</v>
      </c>
      <c r="X831" s="647">
        <v>2170</v>
      </c>
      <c r="Y831" s="647">
        <v>2050</v>
      </c>
      <c r="Z831" s="647">
        <v>1960</v>
      </c>
      <c r="AA831" s="647">
        <v>1840</v>
      </c>
      <c r="AB831" s="647">
        <v>1760</v>
      </c>
      <c r="AC831" s="749">
        <v>1620</v>
      </c>
    </row>
    <row r="832" spans="1:29" s="426" customFormat="1" x14ac:dyDescent="0.25">
      <c r="A832" s="13">
        <f t="shared" si="161"/>
        <v>0</v>
      </c>
      <c r="B832" s="343">
        <v>1150</v>
      </c>
      <c r="C832" s="965">
        <v>1250</v>
      </c>
      <c r="D832" s="981">
        <f t="shared" si="169"/>
        <v>2090</v>
      </c>
      <c r="E832" s="985">
        <f t="shared" si="168"/>
        <v>2090</v>
      </c>
      <c r="F832" s="985">
        <f t="shared" si="168"/>
        <v>2090</v>
      </c>
      <c r="G832" s="985">
        <f t="shared" si="168"/>
        <v>2090</v>
      </c>
      <c r="H832" s="985">
        <f t="shared" si="168"/>
        <v>2090</v>
      </c>
      <c r="I832" s="985">
        <f t="shared" si="168"/>
        <v>1995</v>
      </c>
      <c r="J832" s="985">
        <f t="shared" si="168"/>
        <v>1900</v>
      </c>
      <c r="K832" s="985">
        <f t="shared" si="168"/>
        <v>1805</v>
      </c>
      <c r="L832" s="985">
        <f t="shared" si="168"/>
        <v>1710</v>
      </c>
      <c r="M832" s="985">
        <f t="shared" si="168"/>
        <v>1615</v>
      </c>
      <c r="N832" s="985">
        <f t="shared" si="168"/>
        <v>1520</v>
      </c>
      <c r="O832" s="986">
        <f t="shared" si="168"/>
        <v>1450</v>
      </c>
      <c r="P832"/>
      <c r="Q832" s="52"/>
      <c r="R832" s="750">
        <v>2200</v>
      </c>
      <c r="S832" s="565">
        <v>2200</v>
      </c>
      <c r="T832" s="565">
        <v>2200</v>
      </c>
      <c r="U832" s="565">
        <v>2200</v>
      </c>
      <c r="V832" s="565">
        <v>2200</v>
      </c>
      <c r="W832" s="565">
        <v>2100</v>
      </c>
      <c r="X832" s="565">
        <v>2000</v>
      </c>
      <c r="Y832" s="565">
        <v>1900</v>
      </c>
      <c r="Z832" s="565">
        <v>1800</v>
      </c>
      <c r="AA832" s="565">
        <v>1700</v>
      </c>
      <c r="AB832" s="565">
        <v>1600</v>
      </c>
      <c r="AC832" s="566">
        <v>1530</v>
      </c>
    </row>
    <row r="833" spans="1:25" s="426" customFormat="1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Y833" s="626"/>
    </row>
    <row r="834" spans="1:25" s="426" customFormat="1" x14ac:dyDescent="0.25">
      <c r="A834" s="741"/>
      <c r="B834" s="741"/>
      <c r="C834" s="741"/>
      <c r="D834" s="987">
        <f>IF(SUM($A$820:$A$832)&gt;0,VLOOKUP(1,$A$820:$O$832,D816,FALSE),0)</f>
        <v>3040</v>
      </c>
      <c r="E834" s="988">
        <f>IF(SUM($A$820:$A$832)&gt;0,VLOOKUP(1,$A$820:$O$832,E816,FALSE),0)</f>
        <v>3040</v>
      </c>
      <c r="F834" s="988">
        <f t="shared" ref="F834:O834" si="170">IF(SUM($A$820:$A$832)&gt;0,VLOOKUP(1,$A$820:$O$832,F816,FALSE),0)</f>
        <v>3040</v>
      </c>
      <c r="G834" s="988">
        <f t="shared" si="170"/>
        <v>3040</v>
      </c>
      <c r="H834" s="988">
        <f t="shared" si="170"/>
        <v>3040</v>
      </c>
      <c r="I834" s="988">
        <f t="shared" si="170"/>
        <v>2945</v>
      </c>
      <c r="J834" s="988">
        <f t="shared" si="170"/>
        <v>2850</v>
      </c>
      <c r="K834" s="988">
        <f t="shared" si="170"/>
        <v>2755</v>
      </c>
      <c r="L834" s="988">
        <f t="shared" si="170"/>
        <v>2660</v>
      </c>
      <c r="M834" s="988">
        <f t="shared" si="170"/>
        <v>2565</v>
      </c>
      <c r="N834" s="988">
        <f t="shared" si="170"/>
        <v>2470</v>
      </c>
      <c r="O834" s="989">
        <f t="shared" si="170"/>
        <v>2375</v>
      </c>
      <c r="P834"/>
      <c r="Q834"/>
      <c r="Y834" s="626"/>
    </row>
    <row r="835" spans="1:25" s="426" customFormat="1" x14ac:dyDescent="0.25">
      <c r="A835" s="741"/>
      <c r="B835" s="741"/>
      <c r="C835" s="741"/>
      <c r="D835" s="741"/>
      <c r="E835" s="741"/>
      <c r="F835" s="741"/>
      <c r="G835" s="741"/>
      <c r="H835" s="741"/>
      <c r="I835" s="741"/>
      <c r="J835"/>
      <c r="K835"/>
      <c r="L835"/>
      <c r="M835"/>
      <c r="N835"/>
      <c r="O835"/>
      <c r="P835"/>
      <c r="Q835"/>
      <c r="Y835" s="626"/>
    </row>
    <row r="836" spans="1:25" s="426" customFormat="1" x14ac:dyDescent="0.25">
      <c r="A836" s="741"/>
      <c r="B836" s="741"/>
      <c r="C836" s="741"/>
      <c r="D836" s="741"/>
      <c r="E836" s="741"/>
      <c r="F836" s="741"/>
      <c r="G836" s="741"/>
      <c r="H836" s="741"/>
      <c r="I836" s="741"/>
      <c r="J836"/>
      <c r="K836"/>
      <c r="L836"/>
      <c r="M836"/>
      <c r="N836"/>
      <c r="O836"/>
      <c r="P836"/>
      <c r="Q836"/>
      <c r="Y836" s="626"/>
    </row>
    <row r="837" spans="1:25" s="426" customFormat="1" x14ac:dyDescent="0.25">
      <c r="B837" s="754" t="s">
        <v>789</v>
      </c>
      <c r="C837" s="755">
        <f>IF(SUM(D817:O817)&gt;0,HLOOKUP(1,D817:O834,18,FALSE),0)</f>
        <v>2850</v>
      </c>
      <c r="D837" s="756" t="s">
        <v>790</v>
      </c>
      <c r="F837" s="741"/>
      <c r="G837" s="741"/>
      <c r="H837" s="741"/>
      <c r="I837" s="741"/>
      <c r="J837"/>
      <c r="K837"/>
      <c r="L837"/>
      <c r="M837"/>
      <c r="N837"/>
      <c r="O837"/>
      <c r="P837"/>
      <c r="Q837"/>
      <c r="Y837" s="626"/>
    </row>
    <row r="838" spans="1:25" s="426" customFormat="1" x14ac:dyDescent="0.25">
      <c r="B838" s="754" t="s">
        <v>791</v>
      </c>
      <c r="C838" s="757">
        <f>G145</f>
        <v>0.95</v>
      </c>
      <c r="D838" s="741"/>
      <c r="F838" s="741"/>
      <c r="G838" s="741"/>
      <c r="H838" s="741"/>
      <c r="I838" s="741"/>
      <c r="J838"/>
      <c r="K838"/>
      <c r="L838"/>
      <c r="M838"/>
      <c r="N838"/>
      <c r="O838"/>
      <c r="P838"/>
      <c r="Q838"/>
      <c r="Y838" s="626"/>
    </row>
    <row r="839" spans="1:25" s="426" customFormat="1" x14ac:dyDescent="0.25">
      <c r="B839" s="754" t="s">
        <v>792</v>
      </c>
      <c r="C839" s="755">
        <f>C837*C838</f>
        <v>2707.5</v>
      </c>
      <c r="D839" s="756" t="s">
        <v>790</v>
      </c>
      <c r="F839" s="741"/>
      <c r="G839" s="741"/>
      <c r="H839" s="741"/>
      <c r="I839" s="741"/>
      <c r="J839"/>
      <c r="K839"/>
      <c r="L839"/>
      <c r="M839"/>
      <c r="N839"/>
      <c r="O839"/>
      <c r="P839"/>
      <c r="Q839"/>
      <c r="Y839" s="626"/>
    </row>
    <row r="840" spans="1:25" s="426" customFormat="1" ht="14.25" x14ac:dyDescent="0.2">
      <c r="B840" s="426" t="s">
        <v>794</v>
      </c>
      <c r="C840" s="973">
        <v>0.6</v>
      </c>
      <c r="D840" s="134"/>
      <c r="Y840" s="626"/>
    </row>
    <row r="841" spans="1:25" s="426" customFormat="1" ht="14.25" x14ac:dyDescent="0.2">
      <c r="B841" s="426" t="s">
        <v>795</v>
      </c>
      <c r="C841" s="974">
        <f>C840*C839</f>
        <v>1624.5</v>
      </c>
      <c r="D841" s="134" t="s">
        <v>790</v>
      </c>
      <c r="Y841" s="626"/>
    </row>
    <row r="842" spans="1:25" s="426" customFormat="1" ht="14.25" x14ac:dyDescent="0.2">
      <c r="B842" s="426" t="s">
        <v>797</v>
      </c>
      <c r="C842" s="975">
        <f>IF(C811/(C841/60)&gt;=C805,C811/(C841/60),C805)</f>
        <v>66.4819944598338</v>
      </c>
      <c r="D842" s="134" t="s">
        <v>798</v>
      </c>
      <c r="Y842" s="626"/>
    </row>
    <row r="843" spans="1:25" s="426" customFormat="1" ht="12.75" x14ac:dyDescent="0.2">
      <c r="D843" s="134"/>
      <c r="Y843" s="626"/>
    </row>
    <row r="844" spans="1:25" s="426" customFormat="1" ht="12.75" x14ac:dyDescent="0.2">
      <c r="D844" s="134"/>
      <c r="Y844" s="626"/>
    </row>
    <row r="845" spans="1:25" s="426" customFormat="1" ht="12.75" x14ac:dyDescent="0.2">
      <c r="A845" s="626">
        <f>A802</f>
        <v>0</v>
      </c>
      <c r="B845" s="426" t="s">
        <v>784</v>
      </c>
      <c r="C845" s="635" t="b">
        <f>IF(A845=1,C802*D799)</f>
        <v>0</v>
      </c>
      <c r="D845" s="134"/>
      <c r="Y845" s="626"/>
    </row>
    <row r="846" spans="1:25" s="426" customFormat="1" ht="12.75" x14ac:dyDescent="0.2">
      <c r="A846" s="626">
        <f>A803</f>
        <v>0</v>
      </c>
      <c r="B846" s="426" t="s">
        <v>786</v>
      </c>
      <c r="C846" s="758" t="b">
        <f>IF(A846=1,C803*D799)</f>
        <v>0</v>
      </c>
      <c r="D846" s="134"/>
      <c r="Y846" s="626"/>
    </row>
    <row r="847" spans="1:25" s="426" customFormat="1" ht="12.75" x14ac:dyDescent="0.2">
      <c r="B847" s="426" t="s">
        <v>762</v>
      </c>
      <c r="C847" s="635">
        <f>SUM(C845:C846)</f>
        <v>0</v>
      </c>
      <c r="D847" s="134"/>
      <c r="Y847" s="626"/>
    </row>
    <row r="848" spans="1:25" s="426" customFormat="1" ht="12.75" x14ac:dyDescent="0.2">
      <c r="D848" s="134"/>
      <c r="Y848" s="626"/>
    </row>
    <row r="849" spans="1:25" s="426" customFormat="1" ht="12.75" x14ac:dyDescent="0.2">
      <c r="D849" s="134"/>
      <c r="Y849" s="626"/>
    </row>
    <row r="850" spans="1:25" s="426" customFormat="1" ht="12.75" x14ac:dyDescent="0.2">
      <c r="A850" s="626">
        <f>IF(C795=1,1,0)</f>
        <v>0</v>
      </c>
      <c r="B850" s="615" t="s">
        <v>712</v>
      </c>
      <c r="C850" s="669">
        <f>IF(A850=1,C842*D799,0)</f>
        <v>0</v>
      </c>
      <c r="Y850" s="626"/>
    </row>
    <row r="851" spans="1:25" s="426" customFormat="1" ht="12.75" x14ac:dyDescent="0.2">
      <c r="D851" s="134"/>
      <c r="Y851" s="626"/>
    </row>
    <row r="852" spans="1:25" s="430" customFormat="1" ht="12.75" x14ac:dyDescent="0.2">
      <c r="D852" s="790"/>
      <c r="Y852" s="651"/>
    </row>
    <row r="853" spans="1:25" s="426" customFormat="1" ht="12.75" x14ac:dyDescent="0.2">
      <c r="Y853" s="626"/>
    </row>
    <row r="854" spans="1:25" s="426" customFormat="1" ht="13.5" thickBot="1" x14ac:dyDescent="0.25">
      <c r="B854" s="615"/>
      <c r="D854" s="626" t="s">
        <v>674</v>
      </c>
      <c r="Y854" s="626"/>
    </row>
    <row r="855" spans="1:25" s="426" customFormat="1" ht="13.5" thickBot="1" x14ac:dyDescent="0.25">
      <c r="B855" s="641" t="s">
        <v>667</v>
      </c>
      <c r="C855" s="643">
        <f>J369</f>
        <v>0</v>
      </c>
      <c r="D855" s="642">
        <f>IF(C855=1,C891,0)</f>
        <v>0</v>
      </c>
      <c r="Y855" s="626"/>
    </row>
    <row r="856" spans="1:25" s="426" customFormat="1" ht="12.75" x14ac:dyDescent="0.2">
      <c r="Y856" s="626"/>
    </row>
    <row r="857" spans="1:25" s="426" customFormat="1" ht="12.75" x14ac:dyDescent="0.2">
      <c r="Y857" s="626"/>
    </row>
    <row r="858" spans="1:25" s="426" customFormat="1" ht="12.75" x14ac:dyDescent="0.2">
      <c r="B858" s="426" t="s">
        <v>840</v>
      </c>
      <c r="C858" s="633">
        <f>'Tarieven (3)'!C11</f>
        <v>96</v>
      </c>
      <c r="D858" s="633">
        <f>C858/60</f>
        <v>1.6</v>
      </c>
      <c r="G858" s="638">
        <v>0.15</v>
      </c>
      <c r="Y858" s="626"/>
    </row>
    <row r="859" spans="1:25" s="426" customFormat="1" ht="12.75" x14ac:dyDescent="0.2">
      <c r="G859" s="708" t="s">
        <v>777</v>
      </c>
      <c r="H859" s="719" t="s">
        <v>778</v>
      </c>
      <c r="I859" s="719" t="s">
        <v>779</v>
      </c>
      <c r="Y859" s="626"/>
    </row>
    <row r="860" spans="1:25" s="426" customFormat="1" ht="13.5" thickBot="1" x14ac:dyDescent="0.25">
      <c r="A860" s="767">
        <f>IF(D860&gt;=D861,1,0)</f>
        <v>0</v>
      </c>
      <c r="B860" s="802" t="s">
        <v>752</v>
      </c>
      <c r="C860" s="661">
        <f>C445</f>
        <v>1</v>
      </c>
      <c r="D860" s="709">
        <f>E445</f>
        <v>361</v>
      </c>
      <c r="G860" s="725">
        <f>MAX(B445,H445)</f>
        <v>1800</v>
      </c>
      <c r="H860" s="145">
        <f>C860*C861</f>
        <v>1</v>
      </c>
      <c r="I860" s="145">
        <f>H860*G860</f>
        <v>1800</v>
      </c>
      <c r="Y860" s="626"/>
    </row>
    <row r="861" spans="1:25" s="426" customFormat="1" ht="12.75" x14ac:dyDescent="0.2">
      <c r="A861" s="658">
        <f>IF(D861&gt;D860,1,0)</f>
        <v>1</v>
      </c>
      <c r="B861" s="803" t="s">
        <v>753</v>
      </c>
      <c r="C861" s="145">
        <f>D445</f>
        <v>1</v>
      </c>
      <c r="D861" s="711">
        <f>F445</f>
        <v>1150</v>
      </c>
      <c r="G861" s="735" t="s">
        <v>782</v>
      </c>
      <c r="H861" s="710" t="s">
        <v>781</v>
      </c>
      <c r="I861" s="713" t="s">
        <v>780</v>
      </c>
      <c r="Y861" s="626"/>
    </row>
    <row r="862" spans="1:25" s="426" customFormat="1" ht="13.5" thickBot="1" x14ac:dyDescent="0.25">
      <c r="G862" s="736">
        <f>IF(CEILING((H862*G858)+H862,1)&lt;=G860,CEILING((H862*G858)+H862,1),G860)</f>
        <v>1800</v>
      </c>
      <c r="H862" s="702">
        <f>CEILING(I862/H860,1)</f>
        <v>1800</v>
      </c>
      <c r="I862" s="145">
        <f>C3</f>
        <v>1800</v>
      </c>
      <c r="Y862" s="626"/>
    </row>
    <row r="863" spans="1:25" s="426" customFormat="1" ht="12.75" x14ac:dyDescent="0.2">
      <c r="A863" s="626">
        <f>IF(C855=1,1,0)</f>
        <v>0</v>
      </c>
      <c r="B863" s="426" t="s">
        <v>859</v>
      </c>
      <c r="C863" s="637">
        <v>15</v>
      </c>
      <c r="D863" s="426" t="s">
        <v>683</v>
      </c>
      <c r="G863" s="134"/>
      <c r="H863" s="626"/>
      <c r="I863" s="626"/>
      <c r="Y863" s="626"/>
    </row>
    <row r="864" spans="1:25" s="426" customFormat="1" ht="12.75" x14ac:dyDescent="0.2">
      <c r="G864" s="134"/>
      <c r="H864" s="626"/>
      <c r="I864" s="626"/>
      <c r="Y864" s="626"/>
    </row>
    <row r="865" spans="1:31" s="426" customFormat="1" ht="12.75" x14ac:dyDescent="0.2">
      <c r="B865" s="426" t="s">
        <v>845</v>
      </c>
      <c r="C865" s="626">
        <f>I145</f>
        <v>3</v>
      </c>
      <c r="D865" s="426" t="s">
        <v>754</v>
      </c>
      <c r="G865" s="134"/>
      <c r="H865" s="626"/>
      <c r="I865" s="626"/>
      <c r="Y865" s="626"/>
    </row>
    <row r="866" spans="1:31" s="426" customFormat="1" ht="12.75" x14ac:dyDescent="0.2">
      <c r="B866" s="426" t="s">
        <v>846</v>
      </c>
      <c r="C866" s="626">
        <f>CEILING(G862/C865,1)</f>
        <v>600</v>
      </c>
      <c r="D866" s="426" t="s">
        <v>754</v>
      </c>
      <c r="Y866" s="626"/>
    </row>
    <row r="867" spans="1:31" s="426" customFormat="1" ht="12.75" x14ac:dyDescent="0.2">
      <c r="B867" s="426" t="s">
        <v>847</v>
      </c>
      <c r="C867" s="626">
        <f>VLOOKUP(1,A860:D861,3,FALSE)+2</f>
        <v>3</v>
      </c>
      <c r="Y867" s="626"/>
    </row>
    <row r="868" spans="1:31" s="426" customFormat="1" ht="12.75" x14ac:dyDescent="0.2">
      <c r="B868" s="426" t="s">
        <v>848</v>
      </c>
      <c r="C868" s="1096">
        <f>AY46</f>
        <v>0.9</v>
      </c>
      <c r="Y868" s="626"/>
    </row>
    <row r="869" spans="1:31" s="426" customFormat="1" ht="12.75" x14ac:dyDescent="0.2">
      <c r="B869" s="426" t="s">
        <v>851</v>
      </c>
      <c r="C869" s="1097">
        <v>0.7</v>
      </c>
      <c r="Y869" s="626"/>
    </row>
    <row r="870" spans="1:31" s="426" customFormat="1" ht="12.75" x14ac:dyDescent="0.2">
      <c r="B870" s="426" t="s">
        <v>682</v>
      </c>
      <c r="C870" s="637">
        <v>15</v>
      </c>
      <c r="Y870" s="626"/>
    </row>
    <row r="871" spans="1:31" s="426" customFormat="1" ht="12.75" x14ac:dyDescent="0.2">
      <c r="Y871" s="626"/>
    </row>
    <row r="872" spans="1:31" s="426" customFormat="1" x14ac:dyDescent="0.25">
      <c r="A872" s="634">
        <f>IF(SUM(A308:A322)=0,0,IF(SUM(A308:A314)&gt;0,E307,E315))</f>
        <v>0</v>
      </c>
      <c r="B872" s="517" t="s">
        <v>841</v>
      </c>
      <c r="C872" s="473" t="str">
        <f>IF(AND($A$872&gt;C873,$A$872&lt;=C874),1," ")</f>
        <v xml:space="preserve"> </v>
      </c>
      <c r="D872" s="473" t="str">
        <f t="shared" ref="D872:AE872" si="171">IF(AND($A$872&gt;D873,$A$872&lt;=D874),1," ")</f>
        <v xml:space="preserve"> </v>
      </c>
      <c r="E872" s="473" t="str">
        <f t="shared" si="171"/>
        <v xml:space="preserve"> </v>
      </c>
      <c r="F872" s="473" t="str">
        <f t="shared" si="171"/>
        <v xml:space="preserve"> </v>
      </c>
      <c r="G872" s="473" t="str">
        <f t="shared" si="171"/>
        <v xml:space="preserve"> </v>
      </c>
      <c r="H872" s="473" t="str">
        <f t="shared" si="171"/>
        <v xml:space="preserve"> </v>
      </c>
      <c r="I872" s="473" t="str">
        <f t="shared" si="171"/>
        <v xml:space="preserve"> </v>
      </c>
      <c r="J872" s="473" t="str">
        <f t="shared" si="171"/>
        <v xml:space="preserve"> </v>
      </c>
      <c r="K872" s="473" t="str">
        <f t="shared" si="171"/>
        <v xml:space="preserve"> </v>
      </c>
      <c r="L872" s="473" t="str">
        <f t="shared" si="171"/>
        <v xml:space="preserve"> </v>
      </c>
      <c r="M872" s="473" t="str">
        <f t="shared" si="171"/>
        <v xml:space="preserve"> </v>
      </c>
      <c r="N872" s="473" t="str">
        <f t="shared" si="171"/>
        <v xml:space="preserve"> </v>
      </c>
      <c r="O872" s="473" t="str">
        <f t="shared" si="171"/>
        <v xml:space="preserve"> </v>
      </c>
      <c r="P872" s="473" t="str">
        <f t="shared" si="171"/>
        <v xml:space="preserve"> </v>
      </c>
      <c r="Q872" s="473" t="str">
        <f t="shared" si="171"/>
        <v xml:space="preserve"> </v>
      </c>
      <c r="R872" s="473" t="str">
        <f t="shared" si="171"/>
        <v xml:space="preserve"> </v>
      </c>
      <c r="S872" s="473" t="str">
        <f t="shared" si="171"/>
        <v xml:space="preserve"> </v>
      </c>
      <c r="T872" s="473" t="str">
        <f t="shared" si="171"/>
        <v xml:space="preserve"> </v>
      </c>
      <c r="U872" s="473" t="str">
        <f t="shared" si="171"/>
        <v xml:space="preserve"> </v>
      </c>
      <c r="V872" s="473" t="str">
        <f t="shared" si="171"/>
        <v xml:space="preserve"> </v>
      </c>
      <c r="W872" s="473" t="str">
        <f t="shared" si="171"/>
        <v xml:space="preserve"> </v>
      </c>
      <c r="X872" s="473" t="str">
        <f t="shared" si="171"/>
        <v xml:space="preserve"> </v>
      </c>
      <c r="Y872" s="473" t="str">
        <f t="shared" si="171"/>
        <v xml:space="preserve"> </v>
      </c>
      <c r="Z872" s="473" t="str">
        <f t="shared" si="171"/>
        <v xml:space="preserve"> </v>
      </c>
      <c r="AA872" s="473" t="str">
        <f t="shared" si="171"/>
        <v xml:space="preserve"> </v>
      </c>
      <c r="AB872" s="473" t="str">
        <f t="shared" si="171"/>
        <v xml:space="preserve"> </v>
      </c>
      <c r="AC872" s="473" t="str">
        <f t="shared" si="171"/>
        <v xml:space="preserve"> </v>
      </c>
      <c r="AD872" s="473" t="str">
        <f t="shared" si="171"/>
        <v xml:space="preserve"> </v>
      </c>
      <c r="AE872" s="473" t="str">
        <f t="shared" si="171"/>
        <v xml:space="preserve"> </v>
      </c>
    </row>
    <row r="873" spans="1:31" s="426" customFormat="1" x14ac:dyDescent="0.25">
      <c r="A873" s="41"/>
      <c r="B873" s="405" t="s">
        <v>842</v>
      </c>
      <c r="C873" s="442">
        <v>0</v>
      </c>
      <c r="D873" s="442">
        <v>25</v>
      </c>
      <c r="E873" s="442">
        <v>35</v>
      </c>
      <c r="F873" s="442">
        <v>45</v>
      </c>
      <c r="G873" s="442">
        <v>55</v>
      </c>
      <c r="H873" s="442">
        <v>65</v>
      </c>
      <c r="I873" s="442">
        <v>75</v>
      </c>
      <c r="J873" s="442">
        <v>85</v>
      </c>
      <c r="K873" s="442">
        <v>95</v>
      </c>
      <c r="L873" s="442">
        <v>100</v>
      </c>
      <c r="M873" s="442">
        <v>125</v>
      </c>
      <c r="N873" s="442">
        <v>150</v>
      </c>
      <c r="O873" s="442">
        <v>175</v>
      </c>
      <c r="P873" s="442">
        <v>200</v>
      </c>
      <c r="Q873" s="442">
        <v>225</v>
      </c>
      <c r="R873" s="442">
        <v>250</v>
      </c>
      <c r="S873" s="442">
        <v>275</v>
      </c>
      <c r="T873" s="442">
        <v>300</v>
      </c>
      <c r="U873" s="442">
        <v>325</v>
      </c>
      <c r="V873" s="442">
        <v>350</v>
      </c>
      <c r="W873" s="442">
        <v>375</v>
      </c>
      <c r="X873" s="442">
        <v>400</v>
      </c>
      <c r="Y873" s="442">
        <v>425</v>
      </c>
      <c r="Z873" s="442">
        <v>450</v>
      </c>
      <c r="AA873" s="442">
        <v>475</v>
      </c>
      <c r="AB873" s="442">
        <v>500</v>
      </c>
      <c r="AC873" s="442">
        <v>525</v>
      </c>
      <c r="AD873" s="442">
        <v>550</v>
      </c>
      <c r="AE873" s="442">
        <v>575</v>
      </c>
    </row>
    <row r="874" spans="1:31" s="426" customFormat="1" x14ac:dyDescent="0.25">
      <c r="A874" s="52"/>
      <c r="B874" s="341" t="s">
        <v>843</v>
      </c>
      <c r="C874" s="13">
        <v>25</v>
      </c>
      <c r="D874" s="13">
        <v>35</v>
      </c>
      <c r="E874" s="13">
        <v>45</v>
      </c>
      <c r="F874" s="13">
        <v>55</v>
      </c>
      <c r="G874" s="13">
        <v>65</v>
      </c>
      <c r="H874" s="13">
        <v>75</v>
      </c>
      <c r="I874" s="13">
        <v>85</v>
      </c>
      <c r="J874" s="13">
        <v>95</v>
      </c>
      <c r="K874" s="13">
        <v>100</v>
      </c>
      <c r="L874" s="13">
        <v>125</v>
      </c>
      <c r="M874" s="13">
        <v>150</v>
      </c>
      <c r="N874" s="13">
        <v>175</v>
      </c>
      <c r="O874" s="13">
        <v>200</v>
      </c>
      <c r="P874" s="13">
        <v>225</v>
      </c>
      <c r="Q874" s="13">
        <v>250</v>
      </c>
      <c r="R874" s="13">
        <v>275</v>
      </c>
      <c r="S874" s="13">
        <v>300</v>
      </c>
      <c r="T874" s="13">
        <v>325</v>
      </c>
      <c r="U874" s="13">
        <v>350</v>
      </c>
      <c r="V874" s="13">
        <v>375</v>
      </c>
      <c r="W874" s="13">
        <v>400</v>
      </c>
      <c r="X874" s="13">
        <v>425</v>
      </c>
      <c r="Y874" s="13">
        <v>450</v>
      </c>
      <c r="Z874" s="13">
        <v>475</v>
      </c>
      <c r="AA874" s="13">
        <v>500</v>
      </c>
      <c r="AB874" s="13">
        <v>525</v>
      </c>
      <c r="AC874" s="13">
        <v>550</v>
      </c>
      <c r="AD874" s="13">
        <v>575</v>
      </c>
      <c r="AE874" s="13">
        <v>999</v>
      </c>
    </row>
    <row r="875" spans="1:31" s="426" customFormat="1" x14ac:dyDescent="0.25">
      <c r="A875" s="472"/>
      <c r="B875" s="517" t="s">
        <v>844</v>
      </c>
      <c r="C875" s="484">
        <v>180</v>
      </c>
      <c r="D875" s="484">
        <v>160</v>
      </c>
      <c r="E875" s="484">
        <v>140</v>
      </c>
      <c r="F875" s="484">
        <v>120</v>
      </c>
      <c r="G875" s="484">
        <v>110</v>
      </c>
      <c r="H875" s="484">
        <v>100</v>
      </c>
      <c r="I875" s="484">
        <v>93</v>
      </c>
      <c r="J875" s="484">
        <v>87</v>
      </c>
      <c r="K875" s="484">
        <v>80</v>
      </c>
      <c r="L875" s="484">
        <v>78</v>
      </c>
      <c r="M875" s="484">
        <v>76</v>
      </c>
      <c r="N875" s="484">
        <v>74</v>
      </c>
      <c r="O875" s="484">
        <v>72</v>
      </c>
      <c r="P875" s="484">
        <v>70</v>
      </c>
      <c r="Q875" s="484">
        <v>68</v>
      </c>
      <c r="R875" s="484">
        <v>66</v>
      </c>
      <c r="S875" s="484">
        <v>63</v>
      </c>
      <c r="T875" s="484">
        <v>60</v>
      </c>
      <c r="U875" s="484">
        <v>57</v>
      </c>
      <c r="V875" s="484">
        <v>54</v>
      </c>
      <c r="W875" s="484">
        <v>52</v>
      </c>
      <c r="X875" s="484">
        <v>50</v>
      </c>
      <c r="Y875" s="484">
        <v>47</v>
      </c>
      <c r="Z875" s="484">
        <v>44</v>
      </c>
      <c r="AA875" s="484">
        <v>42</v>
      </c>
      <c r="AB875" s="484">
        <v>40</v>
      </c>
      <c r="AC875" s="484">
        <v>36</v>
      </c>
      <c r="AD875" s="484">
        <v>33</v>
      </c>
      <c r="AE875" s="484">
        <v>30</v>
      </c>
    </row>
    <row r="876" spans="1:31" s="426" customFormat="1" ht="12.75" x14ac:dyDescent="0.2">
      <c r="B876" s="652" t="s">
        <v>850</v>
      </c>
      <c r="C876" s="679">
        <f>IF(SUM(C872:AE872)&gt;0,HLOOKUP(1,C872:AE875,4,FALSE)*C868,0)</f>
        <v>0</v>
      </c>
      <c r="D876" s="634">
        <f>C876*C869</f>
        <v>0</v>
      </c>
      <c r="Y876" s="626"/>
    </row>
    <row r="877" spans="1:31" s="426" customFormat="1" ht="12.75" x14ac:dyDescent="0.2">
      <c r="Y877" s="626"/>
    </row>
    <row r="878" spans="1:31" s="426" customFormat="1" ht="12.75" x14ac:dyDescent="0.2">
      <c r="Y878" s="626"/>
    </row>
    <row r="879" spans="1:31" s="426" customFormat="1" ht="12.75" x14ac:dyDescent="0.2">
      <c r="B879" s="426" t="s">
        <v>849</v>
      </c>
      <c r="C879" s="626">
        <f>C866*C867</f>
        <v>1800</v>
      </c>
      <c r="Y879" s="626"/>
    </row>
    <row r="880" spans="1:31" s="426" customFormat="1" ht="12.75" x14ac:dyDescent="0.2">
      <c r="B880" s="426" t="s">
        <v>852</v>
      </c>
      <c r="C880" s="762" t="e">
        <f>IF(C879/D876&lt;=C870,C870,C879/D876)</f>
        <v>#DIV/0!</v>
      </c>
      <c r="D880" s="426" t="s">
        <v>684</v>
      </c>
      <c r="Y880" s="626"/>
    </row>
    <row r="881" spans="1:25" s="426" customFormat="1" ht="12.75" x14ac:dyDescent="0.2">
      <c r="Y881" s="626"/>
    </row>
    <row r="882" spans="1:25" s="426" customFormat="1" ht="12.75" x14ac:dyDescent="0.2">
      <c r="C882" s="134"/>
      <c r="Y882" s="626"/>
    </row>
    <row r="883" spans="1:25" s="426" customFormat="1" ht="12.75" x14ac:dyDescent="0.2">
      <c r="B883" s="426" t="s">
        <v>853</v>
      </c>
      <c r="C883" s="707">
        <v>180</v>
      </c>
      <c r="D883" s="426" t="s">
        <v>754</v>
      </c>
      <c r="Y883" s="626"/>
    </row>
    <row r="884" spans="1:25" s="426" customFormat="1" ht="12.75" x14ac:dyDescent="0.2">
      <c r="B884" s="426" t="s">
        <v>854</v>
      </c>
      <c r="C884" s="626">
        <f>J145</f>
        <v>0.8</v>
      </c>
      <c r="Y884" s="626"/>
    </row>
    <row r="885" spans="1:25" s="426" customFormat="1" ht="12.75" x14ac:dyDescent="0.2">
      <c r="B885" s="426" t="s">
        <v>857</v>
      </c>
      <c r="C885" s="626">
        <f>C884*C883</f>
        <v>144</v>
      </c>
      <c r="D885" s="426" t="s">
        <v>754</v>
      </c>
      <c r="Y885" s="626"/>
    </row>
    <row r="886" spans="1:25" s="426" customFormat="1" ht="12.75" x14ac:dyDescent="0.2">
      <c r="B886" s="426" t="s">
        <v>858</v>
      </c>
      <c r="C886" s="134">
        <f>C3/C885</f>
        <v>12.5</v>
      </c>
      <c r="D886" s="426" t="s">
        <v>684</v>
      </c>
      <c r="Y886" s="626"/>
    </row>
    <row r="887" spans="1:25" s="426" customFormat="1" ht="12.75" x14ac:dyDescent="0.2">
      <c r="Y887" s="626"/>
    </row>
    <row r="888" spans="1:25" s="426" customFormat="1" ht="12.75" x14ac:dyDescent="0.2">
      <c r="Y888" s="626"/>
    </row>
    <row r="889" spans="1:25" s="426" customFormat="1" ht="12.75" x14ac:dyDescent="0.2">
      <c r="A889" s="626">
        <f>IF(C855=1,1,0)</f>
        <v>0</v>
      </c>
      <c r="B889" s="426" t="s">
        <v>860</v>
      </c>
      <c r="C889" s="635" t="b">
        <f>IF(A889=1,C863*D858)</f>
        <v>0</v>
      </c>
      <c r="Y889" s="626"/>
    </row>
    <row r="890" spans="1:25" s="426" customFormat="1" ht="12.75" x14ac:dyDescent="0.2">
      <c r="A890" s="626">
        <f>IF(C855=1,1,0)</f>
        <v>0</v>
      </c>
      <c r="B890" s="426" t="s">
        <v>861</v>
      </c>
      <c r="C890" s="758">
        <f>IF(A890=1,MAX(C886,C880)*D858,0)</f>
        <v>0</v>
      </c>
      <c r="Y890" s="626"/>
    </row>
    <row r="891" spans="1:25" s="426" customFormat="1" ht="12.75" x14ac:dyDescent="0.2">
      <c r="B891" s="426" t="s">
        <v>862</v>
      </c>
      <c r="C891" s="635">
        <f>SUM(C889:C890)</f>
        <v>0</v>
      </c>
      <c r="Y891" s="626"/>
    </row>
    <row r="892" spans="1:25" s="426" customFormat="1" ht="12.75" x14ac:dyDescent="0.2">
      <c r="Y892" s="626"/>
    </row>
    <row r="893" spans="1:25" s="430" customFormat="1" ht="12.75" x14ac:dyDescent="0.2">
      <c r="B893" s="678"/>
      <c r="Y893" s="651"/>
    </row>
    <row r="894" spans="1:25" s="426" customFormat="1" ht="12.75" x14ac:dyDescent="0.2">
      <c r="B894" s="615"/>
      <c r="Y894" s="626"/>
    </row>
    <row r="895" spans="1:25" s="426" customFormat="1" ht="13.5" thickBot="1" x14ac:dyDescent="0.25">
      <c r="B895" s="615"/>
      <c r="D895" s="626" t="s">
        <v>674</v>
      </c>
      <c r="Y895" s="626"/>
    </row>
    <row r="896" spans="1:25" s="426" customFormat="1" ht="13.5" thickBot="1" x14ac:dyDescent="0.25">
      <c r="B896" s="641" t="s">
        <v>668</v>
      </c>
      <c r="C896" s="643">
        <f>J370</f>
        <v>0</v>
      </c>
      <c r="D896" s="642">
        <f>IF(C896=1,C925,0)</f>
        <v>0</v>
      </c>
      <c r="Y896" s="626"/>
    </row>
    <row r="897" spans="1:25" s="426" customFormat="1" ht="12.75" x14ac:dyDescent="0.2">
      <c r="Y897" s="626"/>
    </row>
    <row r="898" spans="1:25" s="426" customFormat="1" ht="12.75" x14ac:dyDescent="0.2">
      <c r="Y898" s="626"/>
    </row>
    <row r="899" spans="1:25" s="426" customFormat="1" ht="12.75" x14ac:dyDescent="0.2">
      <c r="B899" s="426" t="s">
        <v>758</v>
      </c>
      <c r="C899" s="633">
        <f>'Tarieven (3)'!C12</f>
        <v>37</v>
      </c>
      <c r="D899" s="633">
        <f>C899/60</f>
        <v>0.6166666666666667</v>
      </c>
      <c r="Y899" s="626"/>
    </row>
    <row r="900" spans="1:25" s="426" customFormat="1" ht="12.75" x14ac:dyDescent="0.2">
      <c r="Y900" s="626"/>
    </row>
    <row r="901" spans="1:25" s="426" customFormat="1" ht="12.75" x14ac:dyDescent="0.2">
      <c r="Y901" s="626"/>
    </row>
    <row r="902" spans="1:25" s="426" customFormat="1" ht="12.75" x14ac:dyDescent="0.2">
      <c r="B902" s="426" t="s">
        <v>807</v>
      </c>
      <c r="C902" s="637">
        <v>1200</v>
      </c>
      <c r="D902" s="426" t="s">
        <v>25</v>
      </c>
      <c r="Y902" s="626"/>
    </row>
    <row r="903" spans="1:25" s="426" customFormat="1" ht="12.75" x14ac:dyDescent="0.2">
      <c r="B903" s="615" t="s">
        <v>99</v>
      </c>
      <c r="C903" s="626">
        <f>E445</f>
        <v>361</v>
      </c>
      <c r="D903" s="426" t="s">
        <v>25</v>
      </c>
      <c r="Y903" s="626"/>
    </row>
    <row r="904" spans="1:25" s="426" customFormat="1" ht="12.75" x14ac:dyDescent="0.2">
      <c r="B904" s="615" t="s">
        <v>100</v>
      </c>
      <c r="C904" s="626">
        <f>F445</f>
        <v>1150</v>
      </c>
      <c r="D904" s="426" t="s">
        <v>25</v>
      </c>
      <c r="Y904" s="626"/>
    </row>
    <row r="905" spans="1:25" s="426" customFormat="1" ht="12.75" x14ac:dyDescent="0.2">
      <c r="B905" s="615" t="s">
        <v>776</v>
      </c>
      <c r="C905" s="134">
        <f>C3</f>
        <v>1800</v>
      </c>
      <c r="D905" s="426" t="s">
        <v>754</v>
      </c>
      <c r="Y905" s="626"/>
    </row>
    <row r="906" spans="1:25" s="426" customFormat="1" ht="12.75" x14ac:dyDescent="0.2">
      <c r="B906" s="615" t="s">
        <v>808</v>
      </c>
      <c r="C906" s="134">
        <f>C902/C13</f>
        <v>400</v>
      </c>
      <c r="Y906" s="626"/>
    </row>
    <row r="907" spans="1:25" s="426" customFormat="1" ht="12.75" x14ac:dyDescent="0.2">
      <c r="B907" s="615" t="s">
        <v>809</v>
      </c>
      <c r="C907" s="134">
        <f>CEILING(C905/C906,1)</f>
        <v>5</v>
      </c>
      <c r="D907" s="426" t="s">
        <v>810</v>
      </c>
      <c r="Y907" s="626"/>
    </row>
    <row r="908" spans="1:25" s="426" customFormat="1" ht="12.75" x14ac:dyDescent="0.2">
      <c r="B908" s="615"/>
      <c r="C908" s="134"/>
      <c r="Y908" s="626"/>
    </row>
    <row r="909" spans="1:25" s="426" customFormat="1" ht="12.75" x14ac:dyDescent="0.2">
      <c r="B909" s="615"/>
      <c r="C909" s="134"/>
      <c r="Y909" s="626"/>
    </row>
    <row r="910" spans="1:25" s="426" customFormat="1" ht="12.75" x14ac:dyDescent="0.2">
      <c r="A910" s="708"/>
      <c r="B910" s="769"/>
      <c r="C910" s="770"/>
      <c r="D910" s="712">
        <v>4</v>
      </c>
      <c r="E910" s="712">
        <v>5</v>
      </c>
      <c r="F910" s="712">
        <v>6</v>
      </c>
      <c r="G910" s="712">
        <v>7</v>
      </c>
      <c r="H910" s="712">
        <v>8</v>
      </c>
      <c r="I910" s="712">
        <v>9</v>
      </c>
      <c r="J910" s="712">
        <v>10</v>
      </c>
      <c r="K910" s="712">
        <v>11</v>
      </c>
      <c r="L910" s="712">
        <v>12</v>
      </c>
      <c r="M910" s="712">
        <v>13</v>
      </c>
      <c r="N910" s="712">
        <v>14</v>
      </c>
      <c r="O910" s="664">
        <v>15</v>
      </c>
      <c r="Y910" s="626"/>
    </row>
    <row r="911" spans="1:25" s="426" customFormat="1" ht="12.75" x14ac:dyDescent="0.2">
      <c r="A911" s="428"/>
      <c r="C911" s="710"/>
      <c r="D911" s="712">
        <f>IF(AND(MAX($C$903:$C$904)&gt;D912,MAX($C$903:$C$904)&lt;=D913),1,0)</f>
        <v>1</v>
      </c>
      <c r="E911" s="712">
        <f t="shared" ref="E911:O911" si="172">IF(AND(MAX($C$903:$C$904)&gt;E912,MAX($C$903:$C$904)&lt;=E913),1,0)</f>
        <v>0</v>
      </c>
      <c r="F911" s="712">
        <f t="shared" si="172"/>
        <v>0</v>
      </c>
      <c r="G911" s="712">
        <f t="shared" si="172"/>
        <v>0</v>
      </c>
      <c r="H911" s="712">
        <f t="shared" si="172"/>
        <v>0</v>
      </c>
      <c r="I911" s="712">
        <f t="shared" si="172"/>
        <v>0</v>
      </c>
      <c r="J911" s="712">
        <f t="shared" si="172"/>
        <v>0</v>
      </c>
      <c r="K911" s="712">
        <f t="shared" si="172"/>
        <v>0</v>
      </c>
      <c r="L911" s="712">
        <f t="shared" si="172"/>
        <v>0</v>
      </c>
      <c r="M911" s="712">
        <f t="shared" si="172"/>
        <v>0</v>
      </c>
      <c r="N911" s="712">
        <f t="shared" si="172"/>
        <v>0</v>
      </c>
      <c r="O911" s="664">
        <f t="shared" si="172"/>
        <v>0</v>
      </c>
      <c r="Y911" s="626"/>
    </row>
    <row r="912" spans="1:25" s="426" customFormat="1" ht="12.75" x14ac:dyDescent="0.2">
      <c r="A912" s="428"/>
      <c r="C912" s="710"/>
      <c r="D912" s="701">
        <v>0</v>
      </c>
      <c r="E912" s="701">
        <v>1200</v>
      </c>
      <c r="F912" s="701">
        <v>1600</v>
      </c>
      <c r="G912" s="701">
        <v>2000</v>
      </c>
      <c r="H912" s="701">
        <v>2400</v>
      </c>
      <c r="I912" s="701">
        <v>2800</v>
      </c>
      <c r="J912" s="701">
        <v>3200</v>
      </c>
      <c r="K912" s="701">
        <v>3600</v>
      </c>
      <c r="L912" s="701">
        <v>4000</v>
      </c>
      <c r="M912" s="701">
        <v>4400</v>
      </c>
      <c r="N912" s="701">
        <v>4800</v>
      </c>
      <c r="O912" s="663">
        <v>5200</v>
      </c>
      <c r="Y912" s="626"/>
    </row>
    <row r="913" spans="1:25" s="426" customFormat="1" ht="12.75" x14ac:dyDescent="0.2">
      <c r="A913" s="429"/>
      <c r="B913" s="430"/>
      <c r="C913" s="711"/>
      <c r="D913" s="651">
        <v>1200</v>
      </c>
      <c r="E913" s="651">
        <v>1600</v>
      </c>
      <c r="F913" s="651">
        <v>2000</v>
      </c>
      <c r="G913" s="651">
        <v>2400</v>
      </c>
      <c r="H913" s="651">
        <v>2800</v>
      </c>
      <c r="I913" s="651">
        <v>3200</v>
      </c>
      <c r="J913" s="651">
        <v>3600</v>
      </c>
      <c r="K913" s="651">
        <v>4000</v>
      </c>
      <c r="L913" s="651">
        <v>4400</v>
      </c>
      <c r="M913" s="651">
        <v>4800</v>
      </c>
      <c r="N913" s="651">
        <v>5200</v>
      </c>
      <c r="O913" s="702">
        <v>6500</v>
      </c>
      <c r="Y913" s="626"/>
    </row>
    <row r="914" spans="1:25" s="426" customFormat="1" ht="12.75" x14ac:dyDescent="0.2">
      <c r="A914" s="150">
        <f>IF(AND(MIN($C$903:$C$904)&gt;B914,MIN($C$903:$C$904)&lt;=C914),1,0)</f>
        <v>1</v>
      </c>
      <c r="B914" s="725">
        <v>0</v>
      </c>
      <c r="C914" s="734">
        <v>800</v>
      </c>
      <c r="D914" s="771">
        <v>1</v>
      </c>
      <c r="E914" s="772">
        <v>1.5</v>
      </c>
      <c r="F914" s="772">
        <v>1.7</v>
      </c>
      <c r="G914" s="772">
        <v>1.8</v>
      </c>
      <c r="H914" s="772">
        <v>1.9</v>
      </c>
      <c r="I914" s="772">
        <v>2</v>
      </c>
      <c r="J914" s="772">
        <v>2.2000000000000002</v>
      </c>
      <c r="K914" s="772">
        <v>2.2999999999999998</v>
      </c>
      <c r="L914" s="772">
        <v>2.4</v>
      </c>
      <c r="M914" s="772">
        <v>2.5</v>
      </c>
      <c r="N914" s="772">
        <v>2.8</v>
      </c>
      <c r="O914" s="773">
        <v>3</v>
      </c>
      <c r="Y914" s="626"/>
    </row>
    <row r="915" spans="1:25" s="426" customFormat="1" ht="12.75" x14ac:dyDescent="0.2">
      <c r="A915" s="150">
        <f t="shared" ref="A915:A918" si="173">IF(AND(MIN($C$903:$C$904)&gt;B915,MIN($C$903:$C$904)&lt;=C915),1,0)</f>
        <v>0</v>
      </c>
      <c r="B915" s="725">
        <v>800</v>
      </c>
      <c r="C915" s="734">
        <v>1200</v>
      </c>
      <c r="D915" s="774">
        <v>1.5</v>
      </c>
      <c r="E915" s="775">
        <v>1.7</v>
      </c>
      <c r="F915" s="775">
        <v>1.8</v>
      </c>
      <c r="G915" s="775">
        <v>1.9</v>
      </c>
      <c r="H915" s="775">
        <v>2</v>
      </c>
      <c r="I915" s="775">
        <v>2.1</v>
      </c>
      <c r="J915" s="775">
        <v>2.2999999999999998</v>
      </c>
      <c r="K915" s="775">
        <v>2.5</v>
      </c>
      <c r="L915" s="775">
        <v>2.7</v>
      </c>
      <c r="M915" s="775">
        <v>2.8</v>
      </c>
      <c r="N915" s="775">
        <v>3.2</v>
      </c>
      <c r="O915" s="776">
        <v>3.3</v>
      </c>
      <c r="Y915" s="626"/>
    </row>
    <row r="916" spans="1:25" s="426" customFormat="1" ht="12.75" x14ac:dyDescent="0.2">
      <c r="A916" s="150">
        <f t="shared" si="173"/>
        <v>0</v>
      </c>
      <c r="B916" s="725">
        <v>1200</v>
      </c>
      <c r="C916" s="734">
        <v>1600</v>
      </c>
      <c r="D916" s="774">
        <v>1.7</v>
      </c>
      <c r="E916" s="775">
        <v>1.8</v>
      </c>
      <c r="F916" s="775">
        <v>1.9</v>
      </c>
      <c r="G916" s="775">
        <v>2</v>
      </c>
      <c r="H916" s="775">
        <v>2.2000000000000002</v>
      </c>
      <c r="I916" s="775">
        <v>2.2999999999999998</v>
      </c>
      <c r="J916" s="775">
        <v>2.5</v>
      </c>
      <c r="K916" s="775">
        <v>2.7</v>
      </c>
      <c r="L916" s="775">
        <v>3</v>
      </c>
      <c r="M916" s="775">
        <v>3.7</v>
      </c>
      <c r="N916" s="775">
        <v>3.8</v>
      </c>
      <c r="O916" s="776">
        <v>4</v>
      </c>
      <c r="Y916" s="626"/>
    </row>
    <row r="917" spans="1:25" s="426" customFormat="1" ht="12.75" x14ac:dyDescent="0.2">
      <c r="A917" s="150">
        <f t="shared" si="173"/>
        <v>0</v>
      </c>
      <c r="B917" s="725">
        <v>1600</v>
      </c>
      <c r="C917" s="734">
        <v>2000</v>
      </c>
      <c r="D917" s="774">
        <v>1.8</v>
      </c>
      <c r="E917" s="775">
        <v>1.9</v>
      </c>
      <c r="F917" s="775">
        <v>2.1</v>
      </c>
      <c r="G917" s="775">
        <v>2.2000000000000002</v>
      </c>
      <c r="H917" s="775">
        <v>2.4</v>
      </c>
      <c r="I917" s="775">
        <v>2.5</v>
      </c>
      <c r="J917" s="775">
        <v>2.7</v>
      </c>
      <c r="K917" s="775">
        <v>2.9</v>
      </c>
      <c r="L917" s="775">
        <v>3.2</v>
      </c>
      <c r="M917" s="775">
        <v>3.8</v>
      </c>
      <c r="N917" s="775">
        <v>4.2</v>
      </c>
      <c r="O917" s="776">
        <v>4.2</v>
      </c>
      <c r="Y917" s="626"/>
    </row>
    <row r="918" spans="1:25" s="426" customFormat="1" ht="12.75" x14ac:dyDescent="0.2">
      <c r="A918" s="145">
        <f t="shared" si="173"/>
        <v>0</v>
      </c>
      <c r="B918" s="658">
        <v>2000</v>
      </c>
      <c r="C918" s="702">
        <v>2500</v>
      </c>
      <c r="D918" s="774">
        <v>2</v>
      </c>
      <c r="E918" s="775">
        <v>2.1</v>
      </c>
      <c r="F918" s="775">
        <v>2.2000000000000002</v>
      </c>
      <c r="G918" s="775">
        <v>2.5</v>
      </c>
      <c r="H918" s="775">
        <v>2.6</v>
      </c>
      <c r="I918" s="775">
        <v>2.7</v>
      </c>
      <c r="J918" s="775">
        <v>2.9</v>
      </c>
      <c r="K918" s="775">
        <v>3.2</v>
      </c>
      <c r="L918" s="775">
        <v>3.5</v>
      </c>
      <c r="M918" s="775">
        <v>4</v>
      </c>
      <c r="N918" s="775">
        <v>4.4000000000000004</v>
      </c>
      <c r="O918" s="776">
        <v>4.8</v>
      </c>
      <c r="Y918" s="626"/>
    </row>
    <row r="919" spans="1:25" s="426" customFormat="1" ht="12.75" x14ac:dyDescent="0.2">
      <c r="A919" s="652"/>
      <c r="B919" s="653"/>
      <c r="C919" s="653"/>
      <c r="D919" s="768">
        <f>IF(SUM($A$914:$A$918)&gt;0,VLOOKUP(1,$A$914:$O$918,D910,FALSE),0)</f>
        <v>1</v>
      </c>
      <c r="E919" s="712">
        <f t="shared" ref="E919:O919" si="174">IF(SUM($A$914:$A$918)&gt;0,VLOOKUP(1,$A$914:$O$918,E910,FALSE),0)</f>
        <v>1.5</v>
      </c>
      <c r="F919" s="712">
        <f t="shared" si="174"/>
        <v>1.7</v>
      </c>
      <c r="G919" s="712">
        <f t="shared" si="174"/>
        <v>1.8</v>
      </c>
      <c r="H919" s="712">
        <f t="shared" si="174"/>
        <v>1.9</v>
      </c>
      <c r="I919" s="712">
        <f t="shared" si="174"/>
        <v>2</v>
      </c>
      <c r="J919" s="712">
        <f t="shared" si="174"/>
        <v>2.2000000000000002</v>
      </c>
      <c r="K919" s="712">
        <f t="shared" si="174"/>
        <v>2.2999999999999998</v>
      </c>
      <c r="L919" s="712">
        <f t="shared" si="174"/>
        <v>2.4</v>
      </c>
      <c r="M919" s="712">
        <f t="shared" si="174"/>
        <v>2.5</v>
      </c>
      <c r="N919" s="712">
        <f t="shared" si="174"/>
        <v>2.8</v>
      </c>
      <c r="O919" s="664">
        <f t="shared" si="174"/>
        <v>3</v>
      </c>
      <c r="Y919" s="626"/>
    </row>
    <row r="920" spans="1:25" s="426" customFormat="1" ht="12.75" x14ac:dyDescent="0.2">
      <c r="B920" s="615"/>
      <c r="Y920" s="626"/>
    </row>
    <row r="921" spans="1:25" s="426" customFormat="1" ht="12.75" x14ac:dyDescent="0.2">
      <c r="B921" s="615"/>
      <c r="Y921" s="626"/>
    </row>
    <row r="922" spans="1:25" s="426" customFormat="1" ht="12.75" x14ac:dyDescent="0.2">
      <c r="A922" s="626">
        <f>IF(C896=1,1,0)</f>
        <v>0</v>
      </c>
      <c r="B922" s="615" t="s">
        <v>811</v>
      </c>
      <c r="C922" s="626">
        <f>IF(A922=1,HLOOKUP(1,D911:O919,9,FALSE),0)</f>
        <v>0</v>
      </c>
      <c r="D922" s="426" t="s">
        <v>812</v>
      </c>
      <c r="Y922" s="626"/>
    </row>
    <row r="923" spans="1:25" s="426" customFormat="1" ht="12.75" x14ac:dyDescent="0.2">
      <c r="A923" s="626"/>
      <c r="B923" s="615" t="s">
        <v>813</v>
      </c>
      <c r="C923" s="626">
        <f>C922*C907</f>
        <v>0</v>
      </c>
      <c r="D923" s="426" t="s">
        <v>691</v>
      </c>
      <c r="Y923" s="626"/>
    </row>
    <row r="924" spans="1:25" s="426" customFormat="1" ht="12.75" x14ac:dyDescent="0.2">
      <c r="B924" s="615"/>
      <c r="Y924" s="626"/>
    </row>
    <row r="925" spans="1:25" s="426" customFormat="1" ht="12.75" x14ac:dyDescent="0.2">
      <c r="A925" s="626">
        <f>IF(C896=1,1,0)</f>
        <v>0</v>
      </c>
      <c r="B925" s="615" t="s">
        <v>814</v>
      </c>
      <c r="C925" s="669">
        <f>IF(A925=1,C923*D899,0)</f>
        <v>0</v>
      </c>
      <c r="Y925" s="626"/>
    </row>
    <row r="926" spans="1:25" s="426" customFormat="1" ht="12.75" x14ac:dyDescent="0.2">
      <c r="B926" s="615"/>
      <c r="Y926" s="626"/>
    </row>
    <row r="927" spans="1:25" s="430" customFormat="1" ht="12.75" x14ac:dyDescent="0.2">
      <c r="B927" s="678"/>
      <c r="Y927" s="651"/>
    </row>
    <row r="928" spans="1:25" s="426" customFormat="1" ht="12.75" x14ac:dyDescent="0.2">
      <c r="B928" s="615"/>
      <c r="Y928" s="626"/>
    </row>
    <row r="929" spans="1:25" s="426" customFormat="1" ht="12.75" x14ac:dyDescent="0.2">
      <c r="B929" s="615"/>
      <c r="Y929" s="626"/>
    </row>
    <row r="930" spans="1:25" s="426" customFormat="1" ht="13.5" thickBot="1" x14ac:dyDescent="0.25">
      <c r="B930" s="615"/>
      <c r="D930" s="626" t="s">
        <v>674</v>
      </c>
      <c r="Y930" s="626"/>
    </row>
    <row r="931" spans="1:25" s="426" customFormat="1" ht="13.5" thickBot="1" x14ac:dyDescent="0.25">
      <c r="B931" s="641" t="s">
        <v>669</v>
      </c>
      <c r="C931" s="643">
        <f>J371</f>
        <v>0</v>
      </c>
      <c r="D931" s="642">
        <f>IF(C931=1,C967,0)</f>
        <v>0</v>
      </c>
      <c r="Y931" s="626"/>
    </row>
    <row r="932" spans="1:25" s="426" customFormat="1" ht="12.75" x14ac:dyDescent="0.2">
      <c r="Y932" s="626"/>
    </row>
    <row r="933" spans="1:25" s="426" customFormat="1" ht="12.75" x14ac:dyDescent="0.2">
      <c r="Y933" s="626"/>
    </row>
    <row r="934" spans="1:25" s="426" customFormat="1" ht="12.75" x14ac:dyDescent="0.2">
      <c r="B934" s="426" t="s">
        <v>758</v>
      </c>
      <c r="C934" s="633">
        <f>'Tarieven (3)'!C9</f>
        <v>94</v>
      </c>
      <c r="D934" s="633">
        <f>C934/60</f>
        <v>1.5666666666666667</v>
      </c>
      <c r="E934" s="669"/>
      <c r="F934" s="669"/>
      <c r="Y934" s="626"/>
    </row>
    <row r="935" spans="1:25" s="426" customFormat="1" ht="12.75" x14ac:dyDescent="0.2">
      <c r="C935" s="704"/>
      <c r="D935" s="704"/>
      <c r="Y935" s="626"/>
    </row>
    <row r="936" spans="1:25" s="426" customFormat="1" ht="12.75" x14ac:dyDescent="0.2">
      <c r="B936" s="426" t="s">
        <v>826</v>
      </c>
      <c r="C936" s="705">
        <v>10</v>
      </c>
      <c r="D936" s="704" t="s">
        <v>683</v>
      </c>
      <c r="Y936" s="626"/>
    </row>
    <row r="937" spans="1:25" s="426" customFormat="1" ht="12.75" x14ac:dyDescent="0.2">
      <c r="C937" s="626"/>
      <c r="Y937" s="626"/>
    </row>
    <row r="938" spans="1:25" s="426" customFormat="1" ht="12.75" x14ac:dyDescent="0.2">
      <c r="B938" s="426" t="s">
        <v>821</v>
      </c>
      <c r="C938" s="626">
        <f>C6+C7</f>
        <v>550</v>
      </c>
      <c r="D938" s="426" t="s">
        <v>25</v>
      </c>
      <c r="Y938" s="626"/>
    </row>
    <row r="939" spans="1:25" s="426" customFormat="1" ht="12.75" x14ac:dyDescent="0.2">
      <c r="B939" s="426" t="s">
        <v>817</v>
      </c>
      <c r="C939" s="626">
        <f>C108</f>
        <v>361</v>
      </c>
      <c r="D939" s="426" t="s">
        <v>25</v>
      </c>
      <c r="Y939" s="626"/>
    </row>
    <row r="940" spans="1:25" s="426" customFormat="1" ht="12.75" x14ac:dyDescent="0.2">
      <c r="Y940" s="626"/>
    </row>
    <row r="941" spans="1:25" s="426" customFormat="1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Y941" s="626"/>
    </row>
    <row r="942" spans="1:25" s="426" customFormat="1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Y942" s="626"/>
    </row>
    <row r="943" spans="1:25" s="426" customFormat="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 s="426" t="s">
        <v>820</v>
      </c>
      <c r="Y943" s="626"/>
    </row>
    <row r="944" spans="1:25" s="426" customFormat="1" x14ac:dyDescent="0.25">
      <c r="A944" s="77" t="s">
        <v>816</v>
      </c>
      <c r="B944"/>
      <c r="C944" s="208">
        <v>3</v>
      </c>
      <c r="D944" s="23">
        <v>4</v>
      </c>
      <c r="E944" s="23">
        <v>5</v>
      </c>
      <c r="F944" s="23">
        <v>6</v>
      </c>
      <c r="G944" s="23">
        <v>7</v>
      </c>
      <c r="H944" s="23">
        <v>8</v>
      </c>
      <c r="I944" s="23">
        <v>9</v>
      </c>
      <c r="J944" s="23">
        <v>10</v>
      </c>
      <c r="K944" s="23">
        <v>11</v>
      </c>
      <c r="L944" s="23">
        <v>12</v>
      </c>
      <c r="M944" s="38">
        <v>13</v>
      </c>
      <c r="N944"/>
      <c r="O944" s="708"/>
      <c r="P944" s="427"/>
      <c r="Q944" s="427"/>
      <c r="R944" s="767">
        <v>4</v>
      </c>
      <c r="S944" s="701">
        <v>5</v>
      </c>
      <c r="T944" s="701">
        <v>6</v>
      </c>
      <c r="U944" s="701">
        <v>7</v>
      </c>
      <c r="V944" s="701">
        <v>8</v>
      </c>
      <c r="W944" s="663">
        <v>9</v>
      </c>
      <c r="Y944" s="626"/>
    </row>
    <row r="945" spans="1:25" s="426" customFormat="1" x14ac:dyDescent="0.25">
      <c r="A945" s="289"/>
      <c r="B945" s="44"/>
      <c r="C945" s="473">
        <f>IF(AND($C$939&gt;C946,$C$939&lt;=C947),1,0)</f>
        <v>0</v>
      </c>
      <c r="D945" s="473">
        <f t="shared" ref="D945:M945" si="175">IF(AND($C$939&gt;D946,$C$939&lt;=D947),1,0)</f>
        <v>1</v>
      </c>
      <c r="E945" s="473">
        <f t="shared" si="175"/>
        <v>0</v>
      </c>
      <c r="F945" s="473">
        <f t="shared" si="175"/>
        <v>0</v>
      </c>
      <c r="G945" s="473">
        <f t="shared" si="175"/>
        <v>0</v>
      </c>
      <c r="H945" s="473">
        <f t="shared" si="175"/>
        <v>0</v>
      </c>
      <c r="I945" s="473">
        <f t="shared" si="175"/>
        <v>0</v>
      </c>
      <c r="J945" s="473">
        <f t="shared" si="175"/>
        <v>0</v>
      </c>
      <c r="K945" s="473">
        <f t="shared" si="175"/>
        <v>0</v>
      </c>
      <c r="L945" s="473">
        <f t="shared" si="175"/>
        <v>0</v>
      </c>
      <c r="M945" s="473">
        <f t="shared" si="175"/>
        <v>0</v>
      </c>
      <c r="N945"/>
      <c r="O945" s="428"/>
      <c r="R945" s="768">
        <f>IF(AND($C$938&gt;R946,$C$938&lt;=R947),1,0)</f>
        <v>0</v>
      </c>
      <c r="S945" s="768">
        <f t="shared" ref="S945:W945" si="176">IF(AND($C$938&gt;S946,$C$938&lt;=S947),1,0)</f>
        <v>1</v>
      </c>
      <c r="T945" s="768">
        <f t="shared" si="176"/>
        <v>0</v>
      </c>
      <c r="U945" s="768">
        <f t="shared" si="176"/>
        <v>0</v>
      </c>
      <c r="V945" s="768">
        <f t="shared" si="176"/>
        <v>0</v>
      </c>
      <c r="W945" s="634">
        <f t="shared" si="176"/>
        <v>0</v>
      </c>
      <c r="Y945" s="626"/>
    </row>
    <row r="946" spans="1:25" s="426" customFormat="1" x14ac:dyDescent="0.25">
      <c r="A946" s="476"/>
      <c r="B946" s="433"/>
      <c r="C946" s="442">
        <v>0</v>
      </c>
      <c r="D946" s="442">
        <v>250</v>
      </c>
      <c r="E946" s="442">
        <v>500</v>
      </c>
      <c r="F946" s="442">
        <v>750</v>
      </c>
      <c r="G946" s="442">
        <v>1000</v>
      </c>
      <c r="H946" s="442">
        <v>1250</v>
      </c>
      <c r="I946" s="442">
        <v>1500</v>
      </c>
      <c r="J946" s="442">
        <v>1750</v>
      </c>
      <c r="K946" s="442">
        <v>2000</v>
      </c>
      <c r="L946" s="442">
        <v>2250</v>
      </c>
      <c r="M946" s="442">
        <v>2500</v>
      </c>
      <c r="N946"/>
      <c r="O946" s="428"/>
      <c r="R946" s="661">
        <v>0</v>
      </c>
      <c r="S946" s="701">
        <v>500</v>
      </c>
      <c r="T946" s="661">
        <v>1000</v>
      </c>
      <c r="U946" s="701">
        <v>1500</v>
      </c>
      <c r="V946" s="661">
        <v>2000</v>
      </c>
      <c r="W946" s="663">
        <v>2500</v>
      </c>
      <c r="Y946" s="626"/>
    </row>
    <row r="947" spans="1:25" s="426" customFormat="1" x14ac:dyDescent="0.25">
      <c r="A947" s="6"/>
      <c r="B947" s="434"/>
      <c r="C947" s="13">
        <v>250</v>
      </c>
      <c r="D947" s="13">
        <v>500</v>
      </c>
      <c r="E947" s="13">
        <v>750</v>
      </c>
      <c r="F947" s="13">
        <v>1000</v>
      </c>
      <c r="G947" s="13">
        <v>1250</v>
      </c>
      <c r="H947" s="13">
        <v>1500</v>
      </c>
      <c r="I947" s="13">
        <v>1750</v>
      </c>
      <c r="J947" s="13">
        <v>2000</v>
      </c>
      <c r="K947" s="13">
        <v>2250</v>
      </c>
      <c r="L947" s="13">
        <v>2500</v>
      </c>
      <c r="M947" s="13">
        <v>99999</v>
      </c>
      <c r="N947"/>
      <c r="O947" s="428"/>
      <c r="R947" s="145">
        <v>500</v>
      </c>
      <c r="S947" s="651">
        <v>1000</v>
      </c>
      <c r="T947" s="145">
        <v>1500</v>
      </c>
      <c r="U947" s="651">
        <v>2000</v>
      </c>
      <c r="V947" s="145">
        <v>2500</v>
      </c>
      <c r="W947" s="702">
        <v>999999</v>
      </c>
      <c r="Y947" s="626"/>
    </row>
    <row r="948" spans="1:25" s="426" customFormat="1" x14ac:dyDescent="0.25">
      <c r="A948" s="442">
        <f>IF($C$4=B948,1,0)</f>
        <v>0</v>
      </c>
      <c r="B948" s="777" t="s">
        <v>30</v>
      </c>
      <c r="C948" s="486">
        <v>800</v>
      </c>
      <c r="D948" s="486">
        <v>775</v>
      </c>
      <c r="E948" s="486">
        <v>750</v>
      </c>
      <c r="F948" s="486">
        <v>700</v>
      </c>
      <c r="G948" s="486">
        <v>650</v>
      </c>
      <c r="H948" s="486">
        <v>600</v>
      </c>
      <c r="I948" s="486">
        <v>575</v>
      </c>
      <c r="J948" s="486">
        <v>550</v>
      </c>
      <c r="K948" s="486">
        <v>525</v>
      </c>
      <c r="L948" s="486">
        <v>500</v>
      </c>
      <c r="M948" s="486">
        <v>450</v>
      </c>
      <c r="N948"/>
      <c r="O948" s="661">
        <f>IF(AND($C$939&gt;P948,$C$939&lt;=Q948),1,0)</f>
        <v>1</v>
      </c>
      <c r="P948" s="701">
        <v>0</v>
      </c>
      <c r="Q948" s="701">
        <v>500</v>
      </c>
      <c r="R948" s="786">
        <v>0.85</v>
      </c>
      <c r="S948" s="780">
        <v>0.83</v>
      </c>
      <c r="T948" s="786">
        <v>0.81</v>
      </c>
      <c r="U948" s="780">
        <v>0.79</v>
      </c>
      <c r="V948" s="786">
        <v>0.77</v>
      </c>
      <c r="W948" s="781">
        <v>0.75</v>
      </c>
      <c r="Y948" s="626"/>
    </row>
    <row r="949" spans="1:25" s="426" customFormat="1" x14ac:dyDescent="0.25">
      <c r="A949" s="12">
        <f t="shared" ref="A949:A956" si="177">IF($C$4=B949,1,0)</f>
        <v>1</v>
      </c>
      <c r="B949" s="778" t="s">
        <v>31</v>
      </c>
      <c r="C949" s="28">
        <v>800</v>
      </c>
      <c r="D949" s="28">
        <v>775</v>
      </c>
      <c r="E949" s="28">
        <v>750</v>
      </c>
      <c r="F949" s="28">
        <v>700</v>
      </c>
      <c r="G949" s="28">
        <v>650</v>
      </c>
      <c r="H949" s="28">
        <v>600</v>
      </c>
      <c r="I949" s="28">
        <v>575</v>
      </c>
      <c r="J949" s="28">
        <v>550</v>
      </c>
      <c r="K949" s="28">
        <v>525</v>
      </c>
      <c r="L949" s="28">
        <v>500</v>
      </c>
      <c r="M949" s="28">
        <v>450</v>
      </c>
      <c r="N949"/>
      <c r="O949" s="150">
        <f t="shared" ref="O949:O957" si="178">IF(AND($C$939&gt;P949,$C$939&lt;=Q949),1,0)</f>
        <v>0</v>
      </c>
      <c r="P949" s="626">
        <v>500</v>
      </c>
      <c r="Q949" s="626">
        <v>750</v>
      </c>
      <c r="R949" s="787">
        <v>0.85</v>
      </c>
      <c r="S949" s="782">
        <v>0.83</v>
      </c>
      <c r="T949" s="787">
        <v>0.81</v>
      </c>
      <c r="U949" s="782">
        <v>0.79</v>
      </c>
      <c r="V949" s="787">
        <v>0.77</v>
      </c>
      <c r="W949" s="783">
        <v>0.75</v>
      </c>
      <c r="Y949" s="626"/>
    </row>
    <row r="950" spans="1:25" s="426" customFormat="1" x14ac:dyDescent="0.25">
      <c r="A950" s="13">
        <f t="shared" si="177"/>
        <v>0</v>
      </c>
      <c r="B950" s="778" t="s">
        <v>32</v>
      </c>
      <c r="C950" s="34">
        <v>800</v>
      </c>
      <c r="D950" s="34">
        <v>775</v>
      </c>
      <c r="E950" s="34">
        <v>750</v>
      </c>
      <c r="F950" s="34">
        <v>700</v>
      </c>
      <c r="G950" s="34">
        <v>650</v>
      </c>
      <c r="H950" s="34">
        <v>600</v>
      </c>
      <c r="I950" s="34">
        <v>575</v>
      </c>
      <c r="J950" s="34">
        <v>550</v>
      </c>
      <c r="K950" s="34">
        <v>525</v>
      </c>
      <c r="L950" s="34">
        <v>500</v>
      </c>
      <c r="M950" s="34">
        <v>450</v>
      </c>
      <c r="N950"/>
      <c r="O950" s="150">
        <f t="shared" si="178"/>
        <v>0</v>
      </c>
      <c r="P950" s="626">
        <v>750</v>
      </c>
      <c r="Q950" s="626">
        <v>1000</v>
      </c>
      <c r="R950" s="787">
        <v>0.84</v>
      </c>
      <c r="S950" s="782">
        <v>0.82</v>
      </c>
      <c r="T950" s="787">
        <v>0.81</v>
      </c>
      <c r="U950" s="782">
        <v>0.78</v>
      </c>
      <c r="V950" s="787">
        <v>0.76</v>
      </c>
      <c r="W950" s="783">
        <v>0.74</v>
      </c>
      <c r="Y950" s="626"/>
    </row>
    <row r="951" spans="1:25" s="426" customFormat="1" x14ac:dyDescent="0.25">
      <c r="A951" s="12">
        <f t="shared" si="177"/>
        <v>0</v>
      </c>
      <c r="B951" s="777" t="s">
        <v>36</v>
      </c>
      <c r="C951" s="28">
        <v>700</v>
      </c>
      <c r="D951" s="28">
        <v>675</v>
      </c>
      <c r="E951" s="28">
        <v>650</v>
      </c>
      <c r="F951" s="28">
        <v>600</v>
      </c>
      <c r="G951" s="28">
        <v>550</v>
      </c>
      <c r="H951" s="28">
        <v>500</v>
      </c>
      <c r="I951" s="28">
        <v>475</v>
      </c>
      <c r="J951" s="28">
        <v>450</v>
      </c>
      <c r="K951" s="28">
        <v>425</v>
      </c>
      <c r="L951" s="28">
        <v>400</v>
      </c>
      <c r="M951" s="28">
        <v>350</v>
      </c>
      <c r="N951"/>
      <c r="O951" s="150">
        <f t="shared" si="178"/>
        <v>0</v>
      </c>
      <c r="P951" s="626">
        <v>1000</v>
      </c>
      <c r="Q951" s="626">
        <v>1250</v>
      </c>
      <c r="R951" s="787">
        <v>0.84</v>
      </c>
      <c r="S951" s="782">
        <v>0.82</v>
      </c>
      <c r="T951" s="787">
        <v>0.8</v>
      </c>
      <c r="U951" s="782">
        <v>0.78</v>
      </c>
      <c r="V951" s="787">
        <v>0.76</v>
      </c>
      <c r="W951" s="783">
        <v>0.74</v>
      </c>
      <c r="Y951" s="626"/>
    </row>
    <row r="952" spans="1:25" s="426" customFormat="1" x14ac:dyDescent="0.25">
      <c r="A952" s="12">
        <f t="shared" si="177"/>
        <v>0</v>
      </c>
      <c r="B952" s="778" t="s">
        <v>34</v>
      </c>
      <c r="C952" s="28">
        <v>700</v>
      </c>
      <c r="D952" s="28">
        <v>675</v>
      </c>
      <c r="E952" s="28">
        <v>650</v>
      </c>
      <c r="F952" s="28">
        <v>600</v>
      </c>
      <c r="G952" s="28">
        <v>550</v>
      </c>
      <c r="H952" s="28">
        <v>500</v>
      </c>
      <c r="I952" s="28">
        <v>475</v>
      </c>
      <c r="J952" s="28">
        <v>450</v>
      </c>
      <c r="K952" s="28">
        <v>425</v>
      </c>
      <c r="L952" s="28">
        <v>400</v>
      </c>
      <c r="M952" s="28">
        <v>350</v>
      </c>
      <c r="N952"/>
      <c r="O952" s="150">
        <f t="shared" si="178"/>
        <v>0</v>
      </c>
      <c r="P952" s="626">
        <v>1250</v>
      </c>
      <c r="Q952" s="626">
        <v>1500</v>
      </c>
      <c r="R952" s="787">
        <v>0.83</v>
      </c>
      <c r="S952" s="782">
        <v>0.82</v>
      </c>
      <c r="T952" s="787">
        <v>0.79</v>
      </c>
      <c r="U952" s="782">
        <v>0.77</v>
      </c>
      <c r="V952" s="787">
        <v>0.75</v>
      </c>
      <c r="W952" s="783">
        <v>0.73</v>
      </c>
      <c r="Y952" s="626"/>
    </row>
    <row r="953" spans="1:25" s="426" customFormat="1" x14ac:dyDescent="0.25">
      <c r="A953" s="12">
        <f t="shared" si="177"/>
        <v>0</v>
      </c>
      <c r="B953" s="778" t="s">
        <v>33</v>
      </c>
      <c r="C953" s="28">
        <v>700</v>
      </c>
      <c r="D953" s="28">
        <v>675</v>
      </c>
      <c r="E953" s="28">
        <v>650</v>
      </c>
      <c r="F953" s="28">
        <v>600</v>
      </c>
      <c r="G953" s="28">
        <v>550</v>
      </c>
      <c r="H953" s="28">
        <v>500</v>
      </c>
      <c r="I953" s="28">
        <v>475</v>
      </c>
      <c r="J953" s="28">
        <v>450</v>
      </c>
      <c r="K953" s="28">
        <v>425</v>
      </c>
      <c r="L953" s="28">
        <v>400</v>
      </c>
      <c r="M953" s="28">
        <v>350</v>
      </c>
      <c r="N953"/>
      <c r="O953" s="150">
        <f t="shared" si="178"/>
        <v>0</v>
      </c>
      <c r="P953" s="626">
        <v>1500</v>
      </c>
      <c r="Q953" s="626">
        <v>1750</v>
      </c>
      <c r="R953" s="787">
        <v>0.83</v>
      </c>
      <c r="S953" s="782">
        <v>0.81</v>
      </c>
      <c r="T953" s="787">
        <v>0.79</v>
      </c>
      <c r="U953" s="782">
        <v>0.76</v>
      </c>
      <c r="V953" s="787">
        <v>0.75</v>
      </c>
      <c r="W953" s="783">
        <v>0.73</v>
      </c>
      <c r="Y953" s="626"/>
    </row>
    <row r="954" spans="1:25" s="426" customFormat="1" x14ac:dyDescent="0.25">
      <c r="A954" s="12">
        <f t="shared" si="177"/>
        <v>0</v>
      </c>
      <c r="B954" s="778" t="s">
        <v>35</v>
      </c>
      <c r="C954" s="28">
        <v>700</v>
      </c>
      <c r="D954" s="28">
        <v>675</v>
      </c>
      <c r="E954" s="28">
        <v>650</v>
      </c>
      <c r="F954" s="28">
        <v>600</v>
      </c>
      <c r="G954" s="28">
        <v>550</v>
      </c>
      <c r="H954" s="28">
        <v>500</v>
      </c>
      <c r="I954" s="28">
        <v>475</v>
      </c>
      <c r="J954" s="28">
        <v>450</v>
      </c>
      <c r="K954" s="28">
        <v>425</v>
      </c>
      <c r="L954" s="28">
        <v>400</v>
      </c>
      <c r="M954" s="28">
        <v>350</v>
      </c>
      <c r="N954"/>
      <c r="O954" s="150">
        <f t="shared" si="178"/>
        <v>0</v>
      </c>
      <c r="P954" s="626">
        <v>1750</v>
      </c>
      <c r="Q954" s="626">
        <v>2000</v>
      </c>
      <c r="R954" s="787">
        <v>0.82</v>
      </c>
      <c r="S954" s="782">
        <v>0.81</v>
      </c>
      <c r="T954" s="787">
        <v>0.78</v>
      </c>
      <c r="U954" s="782">
        <v>0.76</v>
      </c>
      <c r="V954" s="787">
        <v>0.75</v>
      </c>
      <c r="W954" s="783">
        <v>0.72</v>
      </c>
      <c r="Y954" s="626"/>
    </row>
    <row r="955" spans="1:25" s="426" customFormat="1" x14ac:dyDescent="0.25">
      <c r="A955" s="12">
        <f t="shared" si="177"/>
        <v>0</v>
      </c>
      <c r="B955" s="778" t="s">
        <v>37</v>
      </c>
      <c r="C955" s="28">
        <v>700</v>
      </c>
      <c r="D955" s="28">
        <v>675</v>
      </c>
      <c r="E955" s="28">
        <v>650</v>
      </c>
      <c r="F955" s="28">
        <v>600</v>
      </c>
      <c r="G955" s="28">
        <v>550</v>
      </c>
      <c r="H955" s="28">
        <v>500</v>
      </c>
      <c r="I955" s="28">
        <v>475</v>
      </c>
      <c r="J955" s="28">
        <v>450</v>
      </c>
      <c r="K955" s="28">
        <v>425</v>
      </c>
      <c r="L955" s="28">
        <v>400</v>
      </c>
      <c r="M955" s="28">
        <v>350</v>
      </c>
      <c r="N955"/>
      <c r="O955" s="150">
        <f t="shared" si="178"/>
        <v>0</v>
      </c>
      <c r="P955" s="626">
        <v>2000</v>
      </c>
      <c r="Q955" s="626">
        <v>2250</v>
      </c>
      <c r="R955" s="787">
        <v>0.81</v>
      </c>
      <c r="S955" s="782">
        <v>0.8</v>
      </c>
      <c r="T955" s="787">
        <v>0.77</v>
      </c>
      <c r="U955" s="782">
        <v>0.75</v>
      </c>
      <c r="V955" s="787">
        <v>0.74</v>
      </c>
      <c r="W955" s="783">
        <v>0.72</v>
      </c>
      <c r="Y955" s="626"/>
    </row>
    <row r="956" spans="1:25" s="426" customFormat="1" x14ac:dyDescent="0.25">
      <c r="A956" s="13">
        <f t="shared" si="177"/>
        <v>0</v>
      </c>
      <c r="B956" s="779" t="s">
        <v>38</v>
      </c>
      <c r="C956" s="34">
        <v>700</v>
      </c>
      <c r="D956" s="34">
        <v>675</v>
      </c>
      <c r="E956" s="34">
        <v>650</v>
      </c>
      <c r="F956" s="34">
        <v>600</v>
      </c>
      <c r="G956" s="34">
        <v>550</v>
      </c>
      <c r="H956" s="34">
        <v>500</v>
      </c>
      <c r="I956" s="34">
        <v>475</v>
      </c>
      <c r="J956" s="34">
        <v>450</v>
      </c>
      <c r="K956" s="34">
        <v>425</v>
      </c>
      <c r="L956" s="34">
        <v>400</v>
      </c>
      <c r="M956" s="34">
        <v>350</v>
      </c>
      <c r="N956"/>
      <c r="O956" s="150">
        <f t="shared" si="178"/>
        <v>0</v>
      </c>
      <c r="P956" s="626">
        <v>2250</v>
      </c>
      <c r="Q956" s="626">
        <v>2500</v>
      </c>
      <c r="R956" s="787">
        <v>0.8</v>
      </c>
      <c r="S956" s="782">
        <v>0.78</v>
      </c>
      <c r="T956" s="787">
        <v>0.76</v>
      </c>
      <c r="U956" s="782">
        <v>0.74</v>
      </c>
      <c r="V956" s="787">
        <v>0.73</v>
      </c>
      <c r="W956" s="783">
        <v>0.72</v>
      </c>
      <c r="Y956" s="626"/>
    </row>
    <row r="957" spans="1:25" s="426" customFormat="1" x14ac:dyDescent="0.25">
      <c r="A957" s="415"/>
      <c r="B957" s="44"/>
      <c r="C957" s="473">
        <f>IF(SUM($A$948:$A$956)&gt;0,VLOOKUP(1,$A$948:$M$957,C944,FALSE),0)</f>
        <v>800</v>
      </c>
      <c r="D957" s="473">
        <f t="shared" ref="D957:M957" si="179">IF(SUM($A$948:$A$956)&gt;0,VLOOKUP(1,$A$948:$M$957,D944,FALSE),0)</f>
        <v>775</v>
      </c>
      <c r="E957" s="473">
        <f t="shared" si="179"/>
        <v>750</v>
      </c>
      <c r="F957" s="473">
        <f t="shared" si="179"/>
        <v>700</v>
      </c>
      <c r="G957" s="473">
        <f t="shared" si="179"/>
        <v>650</v>
      </c>
      <c r="H957" s="473">
        <f t="shared" si="179"/>
        <v>600</v>
      </c>
      <c r="I957" s="473">
        <f t="shared" si="179"/>
        <v>575</v>
      </c>
      <c r="J957" s="473">
        <f t="shared" si="179"/>
        <v>550</v>
      </c>
      <c r="K957" s="473">
        <f t="shared" si="179"/>
        <v>525</v>
      </c>
      <c r="L957" s="473">
        <f t="shared" si="179"/>
        <v>500</v>
      </c>
      <c r="M957" s="473">
        <f t="shared" si="179"/>
        <v>450</v>
      </c>
      <c r="N957"/>
      <c r="O957" s="145">
        <f t="shared" si="178"/>
        <v>0</v>
      </c>
      <c r="P957" s="651">
        <v>2500</v>
      </c>
      <c r="Q957" s="651">
        <v>3500</v>
      </c>
      <c r="R957" s="788">
        <v>0.8</v>
      </c>
      <c r="S957" s="784">
        <v>0.78</v>
      </c>
      <c r="T957" s="788">
        <v>0.76</v>
      </c>
      <c r="U957" s="784">
        <v>0.74</v>
      </c>
      <c r="V957" s="788">
        <v>0.72</v>
      </c>
      <c r="W957" s="785">
        <v>0.7</v>
      </c>
      <c r="Y957" s="626"/>
    </row>
    <row r="958" spans="1:25" s="426" customFormat="1" x14ac:dyDescent="0.25">
      <c r="A958"/>
      <c r="B95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/>
      <c r="O958" s="429"/>
      <c r="P958" s="653"/>
      <c r="Q958" s="653"/>
      <c r="R958" s="634">
        <f>IF(SUM($O$948:$O$957)&gt;0,VLOOKUP(1,$O$948:$W$957,R944,FALSE),0)</f>
        <v>0.85</v>
      </c>
      <c r="S958" s="634">
        <f t="shared" ref="S958:W958" si="180">IF(SUM($O$948:$O$957)&gt;0,VLOOKUP(1,$O$948:$W$957,S944,FALSE),0)</f>
        <v>0.83</v>
      </c>
      <c r="T958" s="634">
        <f t="shared" si="180"/>
        <v>0.81</v>
      </c>
      <c r="U958" s="634">
        <f t="shared" si="180"/>
        <v>0.79</v>
      </c>
      <c r="V958" s="634">
        <f t="shared" si="180"/>
        <v>0.77</v>
      </c>
      <c r="W958" s="634">
        <f t="shared" si="180"/>
        <v>0.75</v>
      </c>
      <c r="Y958" s="626"/>
    </row>
    <row r="959" spans="1:25" s="426" customFormat="1" ht="12.75" x14ac:dyDescent="0.2">
      <c r="B959" s="615"/>
      <c r="Y959" s="626"/>
    </row>
    <row r="960" spans="1:25" s="426" customFormat="1" ht="12.75" x14ac:dyDescent="0.2">
      <c r="B960" s="615" t="s">
        <v>823</v>
      </c>
      <c r="C960" s="762">
        <f>IF(SUM(C945:M945)&gt;0,HLOOKUP(1,C945:M957,13,FALSE)/60,0)</f>
        <v>12.916666666666666</v>
      </c>
      <c r="D960" s="426" t="s">
        <v>705</v>
      </c>
      <c r="Y960" s="626"/>
    </row>
    <row r="961" spans="1:25" s="426" customFormat="1" ht="12.75" x14ac:dyDescent="0.2">
      <c r="B961" s="615" t="s">
        <v>822</v>
      </c>
      <c r="C961" s="1210">
        <f>IF(SUM(R945:W945)&gt;0,HLOOKUP(1,R945:W958,14,FALSE),0)</f>
        <v>0.83</v>
      </c>
      <c r="Y961" s="626"/>
    </row>
    <row r="962" spans="1:25" s="426" customFormat="1" ht="12.75" x14ac:dyDescent="0.2">
      <c r="B962" s="615" t="s">
        <v>795</v>
      </c>
      <c r="C962" s="651">
        <f>C961*C960</f>
        <v>10.720833333333331</v>
      </c>
      <c r="D962" s="426" t="s">
        <v>705</v>
      </c>
      <c r="Y962" s="626"/>
    </row>
    <row r="963" spans="1:25" s="426" customFormat="1" ht="12.75" x14ac:dyDescent="0.2">
      <c r="B963" s="615" t="s">
        <v>813</v>
      </c>
      <c r="C963" s="134">
        <f>C3/C962</f>
        <v>167.89739603575595</v>
      </c>
      <c r="D963" s="426" t="s">
        <v>683</v>
      </c>
      <c r="Y963" s="626"/>
    </row>
    <row r="964" spans="1:25" s="426" customFormat="1" ht="12.75" x14ac:dyDescent="0.2">
      <c r="B964" s="615"/>
      <c r="C964" s="134"/>
      <c r="Y964" s="626"/>
    </row>
    <row r="965" spans="1:25" s="426" customFormat="1" ht="12.75" x14ac:dyDescent="0.2">
      <c r="A965" s="626">
        <f>IF(C931=1,1,0)</f>
        <v>0</v>
      </c>
      <c r="B965" s="615" t="s">
        <v>824</v>
      </c>
      <c r="C965" s="1184">
        <f>IF(C931=1,C936*D934,0)</f>
        <v>0</v>
      </c>
      <c r="Y965" s="626"/>
    </row>
    <row r="966" spans="1:25" s="426" customFormat="1" ht="12.75" x14ac:dyDescent="0.2">
      <c r="A966" s="626">
        <f>IF(C931=1,1,0)</f>
        <v>0</v>
      </c>
      <c r="B966" s="615" t="s">
        <v>825</v>
      </c>
      <c r="C966" s="758">
        <f>IF(A966=1,C963*D934,0)</f>
        <v>0</v>
      </c>
      <c r="Y966" s="626"/>
    </row>
    <row r="967" spans="1:25" s="426" customFormat="1" ht="12.75" x14ac:dyDescent="0.2">
      <c r="B967" s="615" t="s">
        <v>177</v>
      </c>
      <c r="C967" s="635">
        <f>SUM(C965:C966)</f>
        <v>0</v>
      </c>
      <c r="Y967" s="626"/>
    </row>
    <row r="968" spans="1:25" s="426" customFormat="1" ht="12.75" x14ac:dyDescent="0.2">
      <c r="B968" s="615"/>
      <c r="Y968" s="626"/>
    </row>
    <row r="969" spans="1:25" s="430" customFormat="1" ht="12.75" x14ac:dyDescent="0.2">
      <c r="B969" s="678"/>
      <c r="Y969" s="651"/>
    </row>
    <row r="970" spans="1:25" s="426" customFormat="1" ht="12.75" x14ac:dyDescent="0.2">
      <c r="B970" s="615"/>
      <c r="Y970" s="626"/>
    </row>
    <row r="971" spans="1:25" s="426" customFormat="1" ht="13.5" thickBot="1" x14ac:dyDescent="0.25">
      <c r="B971" s="615"/>
      <c r="D971" s="626" t="s">
        <v>674</v>
      </c>
      <c r="Y971" s="626"/>
    </row>
    <row r="972" spans="1:25" s="426" customFormat="1" ht="13.5" thickBot="1" x14ac:dyDescent="0.25">
      <c r="B972" s="641" t="s">
        <v>670</v>
      </c>
      <c r="C972" s="643">
        <f>J372</f>
        <v>0</v>
      </c>
      <c r="D972" s="642">
        <f>IF(C972=1,C982,0)</f>
        <v>0</v>
      </c>
      <c r="Y972" s="626"/>
    </row>
    <row r="973" spans="1:25" s="426" customFormat="1" ht="12.75" x14ac:dyDescent="0.2">
      <c r="Y973" s="626"/>
    </row>
    <row r="974" spans="1:25" s="426" customFormat="1" ht="12.75" x14ac:dyDescent="0.2">
      <c r="Y974" s="626"/>
    </row>
    <row r="975" spans="1:25" s="426" customFormat="1" ht="12.75" x14ac:dyDescent="0.2">
      <c r="B975" s="426" t="s">
        <v>827</v>
      </c>
      <c r="C975" s="633">
        <f>'Tarieven (3)'!C12</f>
        <v>37</v>
      </c>
      <c r="D975" s="633">
        <f>C975/60</f>
        <v>0.6166666666666667</v>
      </c>
      <c r="Y975" s="626"/>
    </row>
    <row r="976" spans="1:25" s="426" customFormat="1" ht="12.75" x14ac:dyDescent="0.2">
      <c r="B976" s="615"/>
      <c r="Y976" s="626"/>
    </row>
    <row r="977" spans="1:25" s="426" customFormat="1" ht="12.75" x14ac:dyDescent="0.2">
      <c r="B977" s="615"/>
      <c r="Y977" s="626"/>
    </row>
    <row r="978" spans="1:25" s="426" customFormat="1" ht="12.75" x14ac:dyDescent="0.2">
      <c r="B978" s="615" t="s">
        <v>829</v>
      </c>
      <c r="C978" s="637">
        <v>1500</v>
      </c>
      <c r="D978" s="426" t="s">
        <v>790</v>
      </c>
      <c r="Y978" s="626"/>
    </row>
    <row r="979" spans="1:25" s="426" customFormat="1" ht="12.75" x14ac:dyDescent="0.2">
      <c r="B979" s="615"/>
      <c r="Y979" s="626"/>
    </row>
    <row r="980" spans="1:25" s="426" customFormat="1" ht="12.75" x14ac:dyDescent="0.2">
      <c r="B980" s="615" t="s">
        <v>61</v>
      </c>
      <c r="C980" s="626">
        <f>C3</f>
        <v>1800</v>
      </c>
      <c r="D980" s="426" t="s">
        <v>754</v>
      </c>
      <c r="Y980" s="626"/>
    </row>
    <row r="981" spans="1:25" s="426" customFormat="1" ht="12.75" x14ac:dyDescent="0.2">
      <c r="B981" s="615"/>
      <c r="Y981" s="626"/>
    </row>
    <row r="982" spans="1:25" s="426" customFormat="1" ht="12.75" x14ac:dyDescent="0.2">
      <c r="A982" s="626">
        <f>IF(C972=1,1,0)</f>
        <v>0</v>
      </c>
      <c r="B982" s="615" t="s">
        <v>825</v>
      </c>
      <c r="C982" s="669">
        <f>IF(A982=1,(C980/C978)*C975,0)</f>
        <v>0</v>
      </c>
      <c r="Y982" s="626"/>
    </row>
    <row r="983" spans="1:25" s="426" customFormat="1" ht="12.75" x14ac:dyDescent="0.2">
      <c r="B983" s="615"/>
      <c r="Y983" s="626"/>
    </row>
    <row r="984" spans="1:25" s="430" customFormat="1" ht="12.75" x14ac:dyDescent="0.2">
      <c r="B984" s="678"/>
      <c r="Y984" s="651"/>
    </row>
    <row r="985" spans="1:25" s="426" customFormat="1" ht="12.75" x14ac:dyDescent="0.2">
      <c r="B985" s="615"/>
      <c r="Y985" s="626"/>
    </row>
    <row r="986" spans="1:25" s="426" customFormat="1" ht="12.75" x14ac:dyDescent="0.2">
      <c r="B986" s="615"/>
      <c r="Y986" s="626"/>
    </row>
    <row r="987" spans="1:25" s="426" customFormat="1" ht="13.5" thickBot="1" x14ac:dyDescent="0.25">
      <c r="B987" s="615"/>
      <c r="D987" s="626" t="s">
        <v>674</v>
      </c>
      <c r="Y987" s="626"/>
    </row>
    <row r="988" spans="1:25" s="426" customFormat="1" ht="13.5" thickBot="1" x14ac:dyDescent="0.25">
      <c r="B988" s="641" t="s">
        <v>671</v>
      </c>
      <c r="C988" s="643">
        <f>J373</f>
        <v>0</v>
      </c>
      <c r="D988" s="642">
        <f>IF(C988=1,C1002,0)</f>
        <v>0</v>
      </c>
      <c r="Y988" s="626"/>
    </row>
    <row r="989" spans="1:25" s="426" customFormat="1" ht="12.75" x14ac:dyDescent="0.2">
      <c r="Y989" s="626"/>
    </row>
    <row r="990" spans="1:25" s="426" customFormat="1" ht="12.75" x14ac:dyDescent="0.2">
      <c r="B990" s="615"/>
      <c r="Y990" s="626"/>
    </row>
    <row r="991" spans="1:25" s="426" customFormat="1" ht="12.75" x14ac:dyDescent="0.2">
      <c r="B991" s="426" t="s">
        <v>827</v>
      </c>
      <c r="C991" s="633">
        <f>'Tarieven (3)'!C12</f>
        <v>37</v>
      </c>
      <c r="D991" s="633">
        <f>C991/60</f>
        <v>0.6166666666666667</v>
      </c>
      <c r="Y991" s="626"/>
    </row>
    <row r="992" spans="1:25" s="426" customFormat="1" ht="12.75" x14ac:dyDescent="0.2">
      <c r="B992" s="615"/>
      <c r="Y992" s="626"/>
    </row>
    <row r="993" spans="1:25" s="426" customFormat="1" ht="12.75" x14ac:dyDescent="0.2">
      <c r="B993" s="615" t="s">
        <v>828</v>
      </c>
      <c r="C993" s="637">
        <v>8</v>
      </c>
      <c r="D993" s="426" t="s">
        <v>683</v>
      </c>
      <c r="Y993" s="626"/>
    </row>
    <row r="994" spans="1:25" s="426" customFormat="1" ht="12.75" x14ac:dyDescent="0.2">
      <c r="B994" s="615"/>
      <c r="Y994" s="626"/>
    </row>
    <row r="995" spans="1:25" s="426" customFormat="1" ht="12.75" x14ac:dyDescent="0.2">
      <c r="B995" s="615" t="s">
        <v>829</v>
      </c>
      <c r="C995" s="637">
        <v>900</v>
      </c>
      <c r="D995" s="426" t="s">
        <v>790</v>
      </c>
      <c r="Y995" s="626"/>
    </row>
    <row r="996" spans="1:25" s="426" customFormat="1" ht="12.75" x14ac:dyDescent="0.2">
      <c r="B996" s="615"/>
      <c r="Y996" s="626"/>
    </row>
    <row r="997" spans="1:25" s="426" customFormat="1" ht="12.75" x14ac:dyDescent="0.2">
      <c r="B997" s="615" t="s">
        <v>61</v>
      </c>
      <c r="C997" s="626">
        <f>C3</f>
        <v>1800</v>
      </c>
      <c r="D997" s="426" t="s">
        <v>754</v>
      </c>
      <c r="Y997" s="626"/>
    </row>
    <row r="998" spans="1:25" s="426" customFormat="1" ht="12.75" x14ac:dyDescent="0.2">
      <c r="B998" s="615"/>
      <c r="Y998" s="626"/>
    </row>
    <row r="999" spans="1:25" s="426" customFormat="1" ht="12.75" x14ac:dyDescent="0.2">
      <c r="B999" s="615"/>
      <c r="Y999" s="626"/>
    </row>
    <row r="1000" spans="1:25" s="426" customFormat="1" ht="12.75" x14ac:dyDescent="0.2">
      <c r="A1000" s="626">
        <f>IF(C988=1,1,0)</f>
        <v>0</v>
      </c>
      <c r="B1000" s="615" t="s">
        <v>824</v>
      </c>
      <c r="C1000" s="635">
        <f>IF(A1000=1,C993*D991,0)</f>
        <v>0</v>
      </c>
      <c r="Y1000" s="626"/>
    </row>
    <row r="1001" spans="1:25" s="426" customFormat="1" ht="12.75" x14ac:dyDescent="0.2">
      <c r="A1001" s="626">
        <f>IF(C988=1,1,0)</f>
        <v>0</v>
      </c>
      <c r="B1001" s="615" t="s">
        <v>830</v>
      </c>
      <c r="C1001" s="758">
        <f>IF(A1001=1,(C997/C995)*C991,0)</f>
        <v>0</v>
      </c>
      <c r="Y1001" s="626"/>
    </row>
    <row r="1002" spans="1:25" s="426" customFormat="1" ht="12.75" x14ac:dyDescent="0.2">
      <c r="B1002" s="615" t="s">
        <v>177</v>
      </c>
      <c r="C1002" s="635">
        <f>SUM(C1000:C1001)</f>
        <v>0</v>
      </c>
      <c r="Y1002" s="626"/>
    </row>
    <row r="1003" spans="1:25" s="426" customFormat="1" ht="12.75" x14ac:dyDescent="0.2">
      <c r="B1003" s="615"/>
      <c r="Y1003" s="626"/>
    </row>
    <row r="1004" spans="1:25" s="430" customFormat="1" ht="12.75" x14ac:dyDescent="0.2">
      <c r="B1004" s="678"/>
      <c r="Y1004" s="651"/>
    </row>
    <row r="1005" spans="1:25" s="426" customFormat="1" ht="12.75" x14ac:dyDescent="0.2">
      <c r="B1005" s="615"/>
      <c r="Y1005" s="626"/>
    </row>
    <row r="1006" spans="1:25" s="426" customFormat="1" ht="13.5" thickBot="1" x14ac:dyDescent="0.25">
      <c r="B1006" s="615"/>
      <c r="D1006" s="626" t="s">
        <v>674</v>
      </c>
      <c r="Y1006" s="626"/>
    </row>
    <row r="1007" spans="1:25" s="426" customFormat="1" ht="13.5" thickBot="1" x14ac:dyDescent="0.25">
      <c r="B1007" s="641" t="s">
        <v>672</v>
      </c>
      <c r="C1007" s="643">
        <f>J374</f>
        <v>0</v>
      </c>
      <c r="D1007" s="642">
        <f>IF(C1007=1,C1043,0)</f>
        <v>0</v>
      </c>
      <c r="Y1007" s="626"/>
    </row>
    <row r="1008" spans="1:25" s="426" customFormat="1" ht="12.75" x14ac:dyDescent="0.2">
      <c r="B1008" s="615"/>
      <c r="Y1008" s="626"/>
    </row>
    <row r="1009" spans="1:25" s="426" customFormat="1" ht="12.75" x14ac:dyDescent="0.2">
      <c r="B1009" s="615"/>
      <c r="Y1009" s="626"/>
    </row>
    <row r="1010" spans="1:25" s="426" customFormat="1" ht="12.75" x14ac:dyDescent="0.2">
      <c r="B1010" s="426" t="s">
        <v>827</v>
      </c>
      <c r="C1010" s="633">
        <f>'Tarieven (3)'!C12</f>
        <v>37</v>
      </c>
      <c r="D1010" s="633">
        <f>C1010/60</f>
        <v>0.6166666666666667</v>
      </c>
      <c r="Y1010" s="626"/>
    </row>
    <row r="1011" spans="1:25" s="426" customFormat="1" ht="12.75" x14ac:dyDescent="0.2">
      <c r="B1011" s="615"/>
      <c r="Y1011" s="626"/>
    </row>
    <row r="1012" spans="1:25" s="426" customFormat="1" ht="12.75" x14ac:dyDescent="0.2">
      <c r="B1012" s="615"/>
      <c r="O1012" s="626" t="s">
        <v>800</v>
      </c>
      <c r="P1012" s="626" t="s">
        <v>801</v>
      </c>
      <c r="Y1012" s="626"/>
    </row>
    <row r="1013" spans="1:25" s="426" customFormat="1" x14ac:dyDescent="0.25">
      <c r="A1013" s="719"/>
      <c r="B1013" s="411" t="s">
        <v>799</v>
      </c>
      <c r="C1013" s="435">
        <f>C814</f>
        <v>1150</v>
      </c>
      <c r="D1013" s="411"/>
      <c r="E1013" s="412"/>
      <c r="F1013" s="412"/>
      <c r="G1013" s="412"/>
      <c r="H1013" s="412"/>
      <c r="I1013" s="412"/>
      <c r="J1013" s="412"/>
      <c r="K1013" s="412"/>
      <c r="L1013" s="433"/>
      <c r="N1013" s="661">
        <f>IF($H$803=O1013,1,0)</f>
        <v>1</v>
      </c>
      <c r="O1013" s="449">
        <v>1</v>
      </c>
      <c r="P1013" s="486">
        <v>1</v>
      </c>
      <c r="Y1013" s="626"/>
    </row>
    <row r="1014" spans="1:25" s="426" customFormat="1" x14ac:dyDescent="0.25">
      <c r="A1014" s="714"/>
      <c r="B1014" s="581" t="s">
        <v>99</v>
      </c>
      <c r="C1014" s="436">
        <f>C815</f>
        <v>361</v>
      </c>
      <c r="D1014" s="581"/>
      <c r="E1014" s="320"/>
      <c r="F1014" s="320"/>
      <c r="G1014" s="320"/>
      <c r="H1014" s="320"/>
      <c r="I1014" s="320"/>
      <c r="J1014" s="320"/>
      <c r="K1014" s="320"/>
      <c r="L1014" s="434"/>
      <c r="N1014" s="150">
        <f t="shared" ref="N1014:N1021" si="181">IF($H$803=O1014,1,0)</f>
        <v>0</v>
      </c>
      <c r="O1014" s="2">
        <v>2</v>
      </c>
      <c r="P1014" s="28">
        <v>1.1299999999999999</v>
      </c>
      <c r="Y1014" s="626"/>
    </row>
    <row r="1015" spans="1:25" s="426" customFormat="1" x14ac:dyDescent="0.25">
      <c r="A1015" s="208"/>
      <c r="B1015" s="23"/>
      <c r="C1015" s="23"/>
      <c r="D1015" s="449">
        <v>4</v>
      </c>
      <c r="E1015" s="449">
        <v>5</v>
      </c>
      <c r="F1015" s="449">
        <v>6</v>
      </c>
      <c r="G1015" s="449">
        <v>7</v>
      </c>
      <c r="H1015" s="449">
        <v>8</v>
      </c>
      <c r="I1015" s="449">
        <v>9</v>
      </c>
      <c r="J1015" s="449">
        <v>10</v>
      </c>
      <c r="K1015" s="449">
        <v>11</v>
      </c>
      <c r="L1015" s="435">
        <v>12</v>
      </c>
      <c r="N1015" s="150">
        <f t="shared" si="181"/>
        <v>0</v>
      </c>
      <c r="O1015" s="2">
        <v>3</v>
      </c>
      <c r="P1015" s="28">
        <v>1.26</v>
      </c>
      <c r="Y1015" s="626"/>
    </row>
    <row r="1016" spans="1:25" s="426" customFormat="1" x14ac:dyDescent="0.25">
      <c r="A1016" s="473">
        <f>IF(SUM(D1016:L1016)&gt;0,HLOOKUP(1,D1016:L1028,13,FALSE),0)</f>
        <v>922.25</v>
      </c>
      <c r="B1016" s="412"/>
      <c r="C1016" s="412"/>
      <c r="D1016" s="208">
        <f>IF(AND($C$1013&gt;D1017,$C$1013&lt;=D1018),1,0)</f>
        <v>0</v>
      </c>
      <c r="E1016" s="23">
        <f t="shared" ref="E1016:L1016" si="182">IF(AND($C$1013&gt;E1017,$C$1013&lt;=E1018),1,0)</f>
        <v>0</v>
      </c>
      <c r="F1016" s="23">
        <f t="shared" si="182"/>
        <v>0</v>
      </c>
      <c r="G1016" s="23">
        <f t="shared" si="182"/>
        <v>0</v>
      </c>
      <c r="H1016" s="23">
        <f t="shared" si="182"/>
        <v>0</v>
      </c>
      <c r="I1016" s="23">
        <f t="shared" si="182"/>
        <v>1</v>
      </c>
      <c r="J1016" s="23">
        <f t="shared" si="182"/>
        <v>0</v>
      </c>
      <c r="K1016" s="23">
        <f t="shared" si="182"/>
        <v>0</v>
      </c>
      <c r="L1016" s="38">
        <f t="shared" si="182"/>
        <v>0</v>
      </c>
      <c r="N1016" s="150">
        <f t="shared" si="181"/>
        <v>0</v>
      </c>
      <c r="O1016" s="2">
        <v>4</v>
      </c>
      <c r="P1016" s="28">
        <v>1.39</v>
      </c>
      <c r="Y1016" s="626"/>
    </row>
    <row r="1017" spans="1:25" s="426" customFormat="1" x14ac:dyDescent="0.25">
      <c r="A1017" s="6"/>
      <c r="B1017"/>
      <c r="C1017"/>
      <c r="D1017" s="26">
        <v>0</v>
      </c>
      <c r="E1017" s="2">
        <v>200</v>
      </c>
      <c r="F1017" s="2">
        <v>400</v>
      </c>
      <c r="G1017" s="2">
        <v>600</v>
      </c>
      <c r="H1017" s="2">
        <v>800</v>
      </c>
      <c r="I1017" s="2">
        <v>1000</v>
      </c>
      <c r="J1017" s="2">
        <v>1200</v>
      </c>
      <c r="K1017" s="2">
        <v>1400</v>
      </c>
      <c r="L1017" s="25">
        <v>1600</v>
      </c>
      <c r="N1017" s="150">
        <f t="shared" si="181"/>
        <v>0</v>
      </c>
      <c r="O1017" s="2">
        <v>5</v>
      </c>
      <c r="P1017" s="28">
        <v>1.52</v>
      </c>
      <c r="Y1017" s="626"/>
    </row>
    <row r="1018" spans="1:25" s="426" customFormat="1" x14ac:dyDescent="0.25">
      <c r="A1018" s="6"/>
      <c r="B1018" s="320"/>
      <c r="C1018" s="320"/>
      <c r="D1018" s="432">
        <v>200</v>
      </c>
      <c r="E1018" s="343">
        <v>400</v>
      </c>
      <c r="F1018" s="343">
        <v>600</v>
      </c>
      <c r="G1018" s="343">
        <v>800</v>
      </c>
      <c r="H1018" s="343">
        <v>1000</v>
      </c>
      <c r="I1018" s="343">
        <v>1200</v>
      </c>
      <c r="J1018" s="343">
        <v>1400</v>
      </c>
      <c r="K1018" s="343">
        <v>1600</v>
      </c>
      <c r="L1018" s="436">
        <v>1800</v>
      </c>
      <c r="N1018" s="150">
        <f t="shared" si="181"/>
        <v>0</v>
      </c>
      <c r="O1018" s="2">
        <v>6</v>
      </c>
      <c r="P1018" s="28">
        <v>1.65</v>
      </c>
      <c r="Y1018" s="626"/>
    </row>
    <row r="1019" spans="1:25" s="426" customFormat="1" x14ac:dyDescent="0.25">
      <c r="A1019" s="442">
        <f>IF(AND($C$1014&gt;B1019,$C$1014&lt;=C1019),1,0)</f>
        <v>0</v>
      </c>
      <c r="B1019" s="449">
        <v>0</v>
      </c>
      <c r="C1019" s="435">
        <v>200</v>
      </c>
      <c r="D1019" s="759">
        <v>1100</v>
      </c>
      <c r="E1019" s="739">
        <v>1068.5</v>
      </c>
      <c r="F1019" s="739">
        <v>1037</v>
      </c>
      <c r="G1019" s="739">
        <v>1005.5</v>
      </c>
      <c r="H1019" s="739">
        <v>974</v>
      </c>
      <c r="I1019" s="739">
        <v>942.5</v>
      </c>
      <c r="J1019" s="739">
        <v>911</v>
      </c>
      <c r="K1019" s="739">
        <v>879.5</v>
      </c>
      <c r="L1019" s="740">
        <v>875</v>
      </c>
      <c r="N1019" s="150">
        <f t="shared" si="181"/>
        <v>0</v>
      </c>
      <c r="O1019" s="2">
        <v>7</v>
      </c>
      <c r="P1019" s="28">
        <v>1.78</v>
      </c>
      <c r="Y1019" s="626"/>
    </row>
    <row r="1020" spans="1:25" s="426" customFormat="1" x14ac:dyDescent="0.25">
      <c r="A1020" s="12">
        <f t="shared" ref="A1020:A1027" si="183">IF(AND($C$1014&gt;B1020,$C$1014&lt;=C1020),1,0)</f>
        <v>1</v>
      </c>
      <c r="B1020" s="2">
        <v>200</v>
      </c>
      <c r="C1020" s="25">
        <v>400</v>
      </c>
      <c r="D1020" s="742">
        <v>1068.5</v>
      </c>
      <c r="E1020" s="759">
        <v>1048.25</v>
      </c>
      <c r="F1020" s="743">
        <v>1016.75</v>
      </c>
      <c r="G1020" s="743">
        <v>985.25</v>
      </c>
      <c r="H1020" s="743">
        <v>953.75</v>
      </c>
      <c r="I1020" s="743">
        <v>922.25</v>
      </c>
      <c r="J1020" s="743">
        <v>890.75</v>
      </c>
      <c r="K1020" s="743">
        <v>859.25</v>
      </c>
      <c r="L1020" s="744">
        <v>857</v>
      </c>
      <c r="N1020" s="150">
        <f t="shared" si="181"/>
        <v>0</v>
      </c>
      <c r="O1020" s="2">
        <v>8</v>
      </c>
      <c r="P1020" s="28">
        <v>1.91</v>
      </c>
      <c r="Y1020" s="626"/>
    </row>
    <row r="1021" spans="1:25" s="426" customFormat="1" x14ac:dyDescent="0.25">
      <c r="A1021" s="12">
        <f t="shared" si="183"/>
        <v>0</v>
      </c>
      <c r="B1021" s="2">
        <v>400</v>
      </c>
      <c r="C1021" s="25">
        <v>600</v>
      </c>
      <c r="D1021" s="742">
        <v>1037</v>
      </c>
      <c r="E1021" s="743">
        <v>1016.75</v>
      </c>
      <c r="F1021" s="759">
        <v>996.5</v>
      </c>
      <c r="G1021" s="743">
        <v>965</v>
      </c>
      <c r="H1021" s="743">
        <v>933.5</v>
      </c>
      <c r="I1021" s="743">
        <v>902</v>
      </c>
      <c r="J1021" s="743">
        <v>870.5</v>
      </c>
      <c r="K1021" s="743">
        <v>839</v>
      </c>
      <c r="L1021" s="744">
        <v>830</v>
      </c>
      <c r="N1021" s="145">
        <f t="shared" si="181"/>
        <v>0</v>
      </c>
      <c r="O1021" s="343">
        <v>9</v>
      </c>
      <c r="P1021" s="34">
        <v>1.99</v>
      </c>
      <c r="Y1021" s="626"/>
    </row>
    <row r="1022" spans="1:25" s="426" customFormat="1" x14ac:dyDescent="0.25">
      <c r="A1022" s="12">
        <f t="shared" si="183"/>
        <v>0</v>
      </c>
      <c r="B1022" s="2">
        <v>600</v>
      </c>
      <c r="C1022" s="25">
        <v>800</v>
      </c>
      <c r="D1022" s="742">
        <v>1005.5</v>
      </c>
      <c r="E1022" s="743">
        <v>985.25</v>
      </c>
      <c r="F1022" s="743">
        <v>965</v>
      </c>
      <c r="G1022" s="759">
        <v>926.75</v>
      </c>
      <c r="H1022" s="743">
        <v>895.25</v>
      </c>
      <c r="I1022" s="743">
        <v>863.75</v>
      </c>
      <c r="J1022" s="743">
        <v>832.25</v>
      </c>
      <c r="K1022" s="743">
        <v>800.75</v>
      </c>
      <c r="L1022" s="744">
        <v>803</v>
      </c>
      <c r="P1022" s="634">
        <f>VLOOKUP(1,N1013:P1021,3,FALSE)</f>
        <v>1</v>
      </c>
      <c r="Y1022" s="626"/>
    </row>
    <row r="1023" spans="1:25" s="426" customFormat="1" x14ac:dyDescent="0.25">
      <c r="A1023" s="12">
        <f t="shared" si="183"/>
        <v>0</v>
      </c>
      <c r="B1023" s="2">
        <v>800</v>
      </c>
      <c r="C1023" s="25">
        <v>1000</v>
      </c>
      <c r="D1023" s="742">
        <v>974</v>
      </c>
      <c r="E1023" s="743">
        <v>953.75</v>
      </c>
      <c r="F1023" s="743">
        <v>933.5</v>
      </c>
      <c r="G1023" s="743">
        <v>895.25</v>
      </c>
      <c r="H1023" s="759">
        <v>893</v>
      </c>
      <c r="I1023" s="743">
        <v>857</v>
      </c>
      <c r="J1023" s="743">
        <v>821</v>
      </c>
      <c r="K1023" s="743">
        <v>785</v>
      </c>
      <c r="L1023" s="744">
        <v>776</v>
      </c>
      <c r="Y1023" s="626"/>
    </row>
    <row r="1024" spans="1:25" s="426" customFormat="1" x14ac:dyDescent="0.25">
      <c r="A1024" s="12">
        <f t="shared" si="183"/>
        <v>0</v>
      </c>
      <c r="B1024" s="2">
        <v>1000</v>
      </c>
      <c r="C1024" s="25">
        <v>1200</v>
      </c>
      <c r="D1024" s="742">
        <v>942.5</v>
      </c>
      <c r="E1024" s="743">
        <v>922.25</v>
      </c>
      <c r="F1024" s="743">
        <v>902</v>
      </c>
      <c r="G1024" s="743">
        <v>863.75</v>
      </c>
      <c r="H1024" s="743">
        <v>857</v>
      </c>
      <c r="I1024" s="759">
        <v>841.25</v>
      </c>
      <c r="J1024" s="743">
        <v>800.75</v>
      </c>
      <c r="K1024" s="743">
        <v>760.25</v>
      </c>
      <c r="L1024" s="744">
        <v>749</v>
      </c>
      <c r="Y1024" s="626"/>
    </row>
    <row r="1025" spans="1:25" s="426" customFormat="1" x14ac:dyDescent="0.25">
      <c r="A1025" s="12">
        <f t="shared" si="183"/>
        <v>0</v>
      </c>
      <c r="B1025" s="2">
        <v>1200</v>
      </c>
      <c r="C1025" s="25">
        <v>1400</v>
      </c>
      <c r="D1025" s="742">
        <v>911</v>
      </c>
      <c r="E1025" s="743">
        <v>890.75</v>
      </c>
      <c r="F1025" s="743">
        <v>870.5</v>
      </c>
      <c r="G1025" s="743">
        <v>832.25</v>
      </c>
      <c r="H1025" s="743">
        <v>821</v>
      </c>
      <c r="I1025" s="743">
        <v>800.75</v>
      </c>
      <c r="J1025" s="759">
        <v>789.5</v>
      </c>
      <c r="K1025" s="743">
        <v>753.5</v>
      </c>
      <c r="L1025" s="744">
        <v>722</v>
      </c>
      <c r="Y1025" s="626"/>
    </row>
    <row r="1026" spans="1:25" s="426" customFormat="1" x14ac:dyDescent="0.25">
      <c r="A1026" s="12">
        <f t="shared" si="183"/>
        <v>0</v>
      </c>
      <c r="B1026" s="2">
        <v>1400</v>
      </c>
      <c r="C1026" s="25">
        <v>1600</v>
      </c>
      <c r="D1026" s="742">
        <v>879.5</v>
      </c>
      <c r="E1026" s="743">
        <v>859.25</v>
      </c>
      <c r="F1026" s="743">
        <v>839</v>
      </c>
      <c r="G1026" s="743">
        <v>800.75</v>
      </c>
      <c r="H1026" s="743">
        <v>785</v>
      </c>
      <c r="I1026" s="743">
        <v>760.25</v>
      </c>
      <c r="J1026" s="743">
        <v>753.5</v>
      </c>
      <c r="K1026" s="759">
        <v>737.75</v>
      </c>
      <c r="L1026" s="744">
        <v>695</v>
      </c>
      <c r="Y1026" s="626"/>
    </row>
    <row r="1027" spans="1:25" s="426" customFormat="1" x14ac:dyDescent="0.25">
      <c r="A1027" s="13">
        <f t="shared" si="183"/>
        <v>0</v>
      </c>
      <c r="B1027" s="343">
        <v>1600</v>
      </c>
      <c r="C1027" s="436">
        <v>1800</v>
      </c>
      <c r="D1027" s="742">
        <v>875</v>
      </c>
      <c r="E1027" s="743">
        <v>857</v>
      </c>
      <c r="F1027" s="743">
        <v>830</v>
      </c>
      <c r="G1027" s="743">
        <v>803</v>
      </c>
      <c r="H1027" s="743">
        <v>776</v>
      </c>
      <c r="I1027" s="743">
        <v>749</v>
      </c>
      <c r="J1027" s="743">
        <v>722</v>
      </c>
      <c r="K1027" s="743">
        <v>695</v>
      </c>
      <c r="L1027" s="760">
        <v>686</v>
      </c>
      <c r="Y1027" s="626"/>
    </row>
    <row r="1028" spans="1:25" s="426" customFormat="1" x14ac:dyDescent="0.25">
      <c r="A1028"/>
      <c r="B1028"/>
      <c r="C1028"/>
      <c r="D1028" s="751">
        <f>IF(SUM($A$1019:$A$1027)&gt;0,VLOOKUP(1,$A$1019:$L$1027,D1015,FALSE),0)</f>
        <v>1068.5</v>
      </c>
      <c r="E1028" s="752">
        <f t="shared" ref="E1028:L1028" si="184">IF(SUM($A$1019:$A$1027)&gt;0,VLOOKUP(1,$A$1019:$L$1027,E1015,FALSE),0)</f>
        <v>1048.25</v>
      </c>
      <c r="F1028" s="752">
        <f t="shared" si="184"/>
        <v>1016.75</v>
      </c>
      <c r="G1028" s="752">
        <f t="shared" si="184"/>
        <v>985.25</v>
      </c>
      <c r="H1028" s="752">
        <f t="shared" si="184"/>
        <v>953.75</v>
      </c>
      <c r="I1028" s="752">
        <f t="shared" si="184"/>
        <v>922.25</v>
      </c>
      <c r="J1028" s="752">
        <f t="shared" si="184"/>
        <v>890.75</v>
      </c>
      <c r="K1028" s="752">
        <f t="shared" si="184"/>
        <v>859.25</v>
      </c>
      <c r="L1028" s="753">
        <f t="shared" si="184"/>
        <v>857</v>
      </c>
      <c r="Y1028" s="626"/>
    </row>
    <row r="1029" spans="1:25" s="426" customFormat="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Y1029" s="626"/>
    </row>
    <row r="1030" spans="1:25" s="426" customFormat="1" ht="12.75" x14ac:dyDescent="0.2">
      <c r="B1030" s="615"/>
      <c r="Y1030" s="626"/>
    </row>
    <row r="1031" spans="1:25" s="426" customFormat="1" x14ac:dyDescent="0.2">
      <c r="A1031" s="754" t="s">
        <v>789</v>
      </c>
      <c r="B1031" s="755">
        <f>IF(SUM(D1016:L1016)&gt;0,HLOOKUP(1,D1016:L1028,13,FALSE),0)</f>
        <v>922.25</v>
      </c>
      <c r="C1031" s="754" t="s">
        <v>806</v>
      </c>
      <c r="Y1031" s="626"/>
    </row>
    <row r="1032" spans="1:25" s="426" customFormat="1" x14ac:dyDescent="0.2">
      <c r="A1032" s="754" t="s">
        <v>803</v>
      </c>
      <c r="B1032" s="761">
        <f>H145</f>
        <v>0.8</v>
      </c>
      <c r="C1032" s="763"/>
      <c r="Y1032" s="626"/>
    </row>
    <row r="1033" spans="1:25" s="426" customFormat="1" x14ac:dyDescent="0.2">
      <c r="A1033" s="426" t="s">
        <v>804</v>
      </c>
      <c r="B1033" s="634">
        <f>B1031*B1032</f>
        <v>737.80000000000007</v>
      </c>
      <c r="C1033" s="754" t="s">
        <v>806</v>
      </c>
      <c r="E1033" s="754"/>
      <c r="F1033" s="741"/>
      <c r="Y1033" s="626"/>
    </row>
    <row r="1034" spans="1:25" s="426" customFormat="1" x14ac:dyDescent="0.2">
      <c r="A1034" s="754" t="s">
        <v>802</v>
      </c>
      <c r="B1034" s="757">
        <f>P1022</f>
        <v>1</v>
      </c>
      <c r="C1034" s="754"/>
      <c r="Y1034" s="626"/>
    </row>
    <row r="1035" spans="1:25" s="426" customFormat="1" ht="12.75" x14ac:dyDescent="0.2">
      <c r="A1035" s="426" t="s">
        <v>805</v>
      </c>
      <c r="B1035" s="679">
        <f>B1033/B1034</f>
        <v>737.80000000000007</v>
      </c>
      <c r="C1035" s="764" t="s">
        <v>806</v>
      </c>
      <c r="Y1035" s="626"/>
    </row>
    <row r="1036" spans="1:25" s="426" customFormat="1" ht="12.75" x14ac:dyDescent="0.2">
      <c r="A1036" s="426" t="s">
        <v>794</v>
      </c>
      <c r="B1036" s="638">
        <v>0.95</v>
      </c>
      <c r="Y1036" s="626"/>
    </row>
    <row r="1037" spans="1:25" s="426" customFormat="1" ht="12.75" x14ac:dyDescent="0.2">
      <c r="A1037" s="426" t="s">
        <v>795</v>
      </c>
      <c r="B1037" s="679">
        <f>B1036*B1035</f>
        <v>700.91000000000008</v>
      </c>
      <c r="C1037" s="765" t="s">
        <v>806</v>
      </c>
      <c r="Y1037" s="626"/>
    </row>
    <row r="1038" spans="1:25" s="426" customFormat="1" ht="12.75" x14ac:dyDescent="0.2">
      <c r="C1038" s="134"/>
      <c r="Y1038" s="626"/>
    </row>
    <row r="1039" spans="1:25" s="426" customFormat="1" ht="12.75" x14ac:dyDescent="0.2">
      <c r="Y1039" s="626"/>
    </row>
    <row r="1040" spans="1:25" s="426" customFormat="1" ht="12.75" x14ac:dyDescent="0.2">
      <c r="A1040" s="426" t="s">
        <v>797</v>
      </c>
      <c r="B1040" s="679">
        <f>C811/(B1037/60)</f>
        <v>154.08540326147434</v>
      </c>
      <c r="C1040" s="134" t="s">
        <v>798</v>
      </c>
      <c r="Y1040" s="626"/>
    </row>
    <row r="1041" spans="1:25" s="426" customFormat="1" ht="12.75" x14ac:dyDescent="0.2">
      <c r="B1041" s="615"/>
      <c r="Y1041" s="626"/>
    </row>
    <row r="1042" spans="1:25" s="426" customFormat="1" ht="12.75" x14ac:dyDescent="0.2">
      <c r="B1042" s="615"/>
      <c r="Y1042" s="626"/>
    </row>
    <row r="1043" spans="1:25" s="426" customFormat="1" ht="12.75" x14ac:dyDescent="0.2">
      <c r="A1043" s="626">
        <f>IF(C1007=1,1,0)</f>
        <v>0</v>
      </c>
      <c r="B1043" s="615" t="s">
        <v>712</v>
      </c>
      <c r="C1043" s="669">
        <f>IF(A1043=1,B1040*D1010,0)</f>
        <v>0</v>
      </c>
      <c r="Y1043" s="626"/>
    </row>
    <row r="1044" spans="1:25" s="426" customFormat="1" ht="12.75" x14ac:dyDescent="0.2">
      <c r="A1044" s="626"/>
      <c r="B1044" s="615"/>
      <c r="C1044" s="669"/>
      <c r="Y1044" s="626"/>
    </row>
    <row r="1045" spans="1:25" s="430" customFormat="1" ht="12.75" x14ac:dyDescent="0.2">
      <c r="A1045" s="651"/>
      <c r="B1045" s="678"/>
      <c r="C1045" s="766"/>
      <c r="Y1045" s="651"/>
    </row>
    <row r="1046" spans="1:25" s="426" customFormat="1" ht="12.75" x14ac:dyDescent="0.2">
      <c r="B1046" s="615"/>
      <c r="Y1046" s="626"/>
    </row>
    <row r="1047" spans="1:25" s="426" customFormat="1" ht="13.5" thickBot="1" x14ac:dyDescent="0.25">
      <c r="B1047" s="615"/>
      <c r="D1047" s="626" t="s">
        <v>674</v>
      </c>
      <c r="Y1047" s="626"/>
    </row>
    <row r="1048" spans="1:25" s="426" customFormat="1" ht="13.5" thickBot="1" x14ac:dyDescent="0.25">
      <c r="B1048" s="641" t="s">
        <v>673</v>
      </c>
      <c r="C1048" s="800"/>
      <c r="D1048" s="642">
        <f>C1052+C1058+C1064</f>
        <v>4</v>
      </c>
      <c r="Y1048" s="626"/>
    </row>
    <row r="1049" spans="1:25" s="426" customFormat="1" ht="12.75" x14ac:dyDescent="0.2">
      <c r="B1049" s="615"/>
      <c r="Y1049" s="626"/>
    </row>
    <row r="1050" spans="1:25" s="426" customFormat="1" ht="12.75" x14ac:dyDescent="0.2">
      <c r="B1050" s="615"/>
      <c r="Y1050" s="626"/>
    </row>
    <row r="1051" spans="1:25" s="426" customFormat="1" ht="13.5" thickBot="1" x14ac:dyDescent="0.25">
      <c r="B1051" s="615" t="s">
        <v>685</v>
      </c>
      <c r="C1051" s="634">
        <f>IF(C111&gt;0,C111,0)</f>
        <v>0</v>
      </c>
      <c r="Y1051" s="626"/>
    </row>
    <row r="1052" spans="1:25" s="426" customFormat="1" ht="13.5" thickBot="1" x14ac:dyDescent="0.25">
      <c r="B1052" s="791" t="s">
        <v>834</v>
      </c>
      <c r="C1052" s="792">
        <f>IF(C1051&gt;0,E119,0)</f>
        <v>0</v>
      </c>
      <c r="Y1052" s="626"/>
    </row>
    <row r="1053" spans="1:25" s="426" customFormat="1" ht="12.75" x14ac:dyDescent="0.2">
      <c r="B1053" s="615"/>
      <c r="C1053" s="793"/>
      <c r="Y1053" s="626"/>
    </row>
    <row r="1054" spans="1:25" s="426" customFormat="1" ht="12.75" x14ac:dyDescent="0.2">
      <c r="B1054" s="615"/>
      <c r="C1054" s="793"/>
      <c r="Y1054" s="626"/>
    </row>
    <row r="1055" spans="1:25" s="426" customFormat="1" ht="12.75" x14ac:dyDescent="0.2">
      <c r="B1055" s="615"/>
      <c r="Y1055" s="626"/>
    </row>
    <row r="1056" spans="1:25" s="426" customFormat="1" ht="12.75" x14ac:dyDescent="0.2">
      <c r="B1056" s="615" t="s">
        <v>835</v>
      </c>
      <c r="C1056" s="637">
        <v>1</v>
      </c>
      <c r="Y1056" s="626"/>
    </row>
    <row r="1057" spans="1:25" s="426" customFormat="1" ht="13.5" thickBot="1" x14ac:dyDescent="0.25">
      <c r="B1057" s="615"/>
      <c r="Y1057" s="626"/>
    </row>
    <row r="1058" spans="1:25" s="426" customFormat="1" ht="13.5" thickBot="1" x14ac:dyDescent="0.25">
      <c r="B1058" s="791" t="s">
        <v>836</v>
      </c>
      <c r="C1058" s="801">
        <f>'Pallet en transport (3)'!D155</f>
        <v>4</v>
      </c>
      <c r="Y1058" s="626"/>
    </row>
    <row r="1059" spans="1:25" s="426" customFormat="1" ht="12.75" x14ac:dyDescent="0.2">
      <c r="B1059" s="615"/>
      <c r="Y1059" s="626"/>
    </row>
    <row r="1060" spans="1:25" s="426" customFormat="1" ht="12.75" x14ac:dyDescent="0.2">
      <c r="B1060" s="615"/>
      <c r="Y1060" s="626"/>
    </row>
    <row r="1061" spans="1:25" s="426" customFormat="1" ht="12.75" x14ac:dyDescent="0.2">
      <c r="B1061" s="615" t="s">
        <v>669</v>
      </c>
      <c r="C1061" s="634">
        <f>C931</f>
        <v>0</v>
      </c>
      <c r="Y1061" s="626"/>
    </row>
    <row r="1062" spans="1:25" s="426" customFormat="1" ht="12.75" x14ac:dyDescent="0.2">
      <c r="B1062" s="426" t="s">
        <v>818</v>
      </c>
      <c r="C1062" s="626">
        <f>C8/1000</f>
        <v>0.1</v>
      </c>
      <c r="D1062" s="426" t="s">
        <v>819</v>
      </c>
      <c r="Y1062" s="626"/>
    </row>
    <row r="1063" spans="1:25" s="426" customFormat="1" ht="13.5" thickBot="1" x14ac:dyDescent="0.25">
      <c r="B1063" s="615" t="s">
        <v>832</v>
      </c>
      <c r="C1063" s="921">
        <f>'Tarieven (3)'!C16</f>
        <v>9.1200000000000003E-2</v>
      </c>
      <c r="Y1063" s="626"/>
    </row>
    <row r="1064" spans="1:25" s="426" customFormat="1" ht="13.5" thickBot="1" x14ac:dyDescent="0.25">
      <c r="B1064" s="791" t="s">
        <v>833</v>
      </c>
      <c r="C1064" s="792">
        <f>IF(C1061=1,C3*C1062*C1063,0)</f>
        <v>0</v>
      </c>
      <c r="Y1064" s="626"/>
    </row>
    <row r="1065" spans="1:25" s="426" customFormat="1" ht="12.75" x14ac:dyDescent="0.2">
      <c r="B1065" s="615"/>
      <c r="Y1065" s="626"/>
    </row>
    <row r="1066" spans="1:25" s="426" customFormat="1" ht="12.75" x14ac:dyDescent="0.2">
      <c r="B1066" s="615"/>
      <c r="Y1066" s="626"/>
    </row>
    <row r="1067" spans="1:25" s="430" customFormat="1" ht="12.75" x14ac:dyDescent="0.2">
      <c r="B1067" s="678"/>
      <c r="Y1067" s="651"/>
    </row>
    <row r="1068" spans="1:25" s="426" customFormat="1" ht="12.75" x14ac:dyDescent="0.2">
      <c r="B1068" s="615"/>
      <c r="Y1068" s="626"/>
    </row>
    <row r="1069" spans="1:25" s="426" customFormat="1" ht="15.75" thickBot="1" x14ac:dyDescent="0.3">
      <c r="A1069"/>
      <c r="B1069" t="s">
        <v>179</v>
      </c>
      <c r="C1069"/>
      <c r="D1069"/>
      <c r="E1069"/>
      <c r="F1069"/>
      <c r="G1069"/>
      <c r="H1069"/>
      <c r="I1069"/>
      <c r="J1069"/>
      <c r="Y1069" s="626"/>
    </row>
    <row r="1070" spans="1:25" s="426" customFormat="1" x14ac:dyDescent="0.25">
      <c r="A1070" s="217"/>
      <c r="B1070" s="1285" t="s">
        <v>152</v>
      </c>
      <c r="C1070" s="1286"/>
      <c r="D1070" s="1289"/>
      <c r="E1070" s="284" t="s">
        <v>157</v>
      </c>
      <c r="F1070" s="23" t="s">
        <v>531</v>
      </c>
      <c r="G1070" s="254" t="s">
        <v>532</v>
      </c>
      <c r="H1070" s="254" t="s">
        <v>601</v>
      </c>
      <c r="I1070" s="448" t="s">
        <v>730</v>
      </c>
      <c r="J1070" s="222" t="s">
        <v>178</v>
      </c>
      <c r="Y1070" s="626"/>
    </row>
    <row r="1071" spans="1:25" s="426" customFormat="1" x14ac:dyDescent="0.25">
      <c r="A1071" s="41"/>
      <c r="B1071" s="3" t="s">
        <v>150</v>
      </c>
      <c r="C1071" s="11" t="s">
        <v>151</v>
      </c>
      <c r="D1071" s="245" t="s">
        <v>153</v>
      </c>
      <c r="E1071" s="254">
        <f>VLOOKUP(1,50:70,39,FALSE)</f>
        <v>1</v>
      </c>
      <c r="F1071" s="23">
        <f>VLOOKUP(1,50:70,41,FALSE)</f>
        <v>0</v>
      </c>
      <c r="G1071" s="254">
        <f>VLOOKUP(1,50:70,42,FALSE)</f>
        <v>0</v>
      </c>
      <c r="H1071" s="254">
        <f>IF(SUM(C362:I362)=0,0,1)</f>
        <v>1</v>
      </c>
      <c r="I1071" s="522">
        <f>IF(AND(C1081&gt;0,C1083&gt;0,C1082&gt;0),1,0)</f>
        <v>1</v>
      </c>
      <c r="J1071" s="223">
        <v>6</v>
      </c>
      <c r="Y1071" s="626"/>
    </row>
    <row r="1072" spans="1:25" s="426" customFormat="1" x14ac:dyDescent="0.25">
      <c r="A1072" s="41" t="s">
        <v>9</v>
      </c>
      <c r="B1072" s="26">
        <f>VLOOKUP(1,50:70,33,FALSE)</f>
        <v>100</v>
      </c>
      <c r="C1072" s="12">
        <f>VLOOKUP(1,50:70,34,FALSE)</f>
        <v>2000</v>
      </c>
      <c r="D1072" s="246">
        <f>IF(AND(C6&gt;=B1072,C6&lt;=C1072),1,0)</f>
        <v>1</v>
      </c>
      <c r="E1072" s="285"/>
      <c r="F1072"/>
      <c r="G1072" s="285"/>
      <c r="H1072" s="285"/>
      <c r="I1072" s="475"/>
      <c r="J1072" s="224"/>
      <c r="Y1072" s="626"/>
    </row>
    <row r="1073" spans="1:25" s="426" customFormat="1" x14ac:dyDescent="0.25">
      <c r="A1073" s="41" t="s">
        <v>18</v>
      </c>
      <c r="B1073" s="26">
        <f>VLOOKUP(1,50:70,35,FALSE)</f>
        <v>70</v>
      </c>
      <c r="C1073" s="12">
        <f>VLOOKUP(1,50:70,36,FALSE)</f>
        <v>1000</v>
      </c>
      <c r="D1073" s="246">
        <f>IF(AND(C7&gt;=B1073,C7&lt;=C1073),1,0)</f>
        <v>1</v>
      </c>
      <c r="E1073" s="285"/>
      <c r="F1073"/>
      <c r="G1073" s="285"/>
      <c r="H1073" s="285"/>
      <c r="I1073" s="475"/>
      <c r="J1073" s="224"/>
      <c r="Y1073" s="626"/>
    </row>
    <row r="1074" spans="1:25" s="426" customFormat="1" ht="15.75" thickBot="1" x14ac:dyDescent="0.3">
      <c r="A1074" s="41" t="s">
        <v>11</v>
      </c>
      <c r="B1074" s="18">
        <f>VLOOKUP(1,50:70,37,FALSE)</f>
        <v>37</v>
      </c>
      <c r="C1074" s="13">
        <f>VLOOKUP(1,50:70,38,FALSE)</f>
        <v>1200</v>
      </c>
      <c r="D1074" s="247">
        <f>IF(AND(C8&gt;=B1074,C8&lt;=C1074),1,IF(C2=B50,1,0))</f>
        <v>1</v>
      </c>
      <c r="E1074" s="257"/>
      <c r="F1074"/>
      <c r="G1074" s="285"/>
      <c r="H1074" s="285"/>
      <c r="I1074" s="482"/>
      <c r="J1074" s="224"/>
      <c r="Y1074" s="626"/>
    </row>
    <row r="1075" spans="1:25" s="426" customFormat="1" ht="15.75" thickBot="1" x14ac:dyDescent="0.3">
      <c r="A1075" s="217"/>
      <c r="B1075" s="208" t="s">
        <v>177</v>
      </c>
      <c r="C1075" s="23"/>
      <c r="D1075" s="241">
        <f>IF(SUM(D1072:D1074)=3,1,0)</f>
        <v>1</v>
      </c>
      <c r="E1075" s="254">
        <f>IF(E1071=0,1,IF(AND(E1071=1,C6&gt;=C7),1,IF(AND(E1071=1,C6&lt;C7),0)))</f>
        <v>1</v>
      </c>
      <c r="F1075" s="23">
        <f>IF(F1071=0,1,IF(AND(F1071=1,C8&gt;C6),0,1))</f>
        <v>1</v>
      </c>
      <c r="G1075" s="254">
        <f>IF(G1071=0,1,IF(AND(G1071=1,C6&lt;(2*C7)),0,1))</f>
        <v>1</v>
      </c>
      <c r="H1075" s="254">
        <f>H1071</f>
        <v>1</v>
      </c>
      <c r="I1075" s="522">
        <f>I1071</f>
        <v>1</v>
      </c>
      <c r="J1075" s="281">
        <f>IF(SUM(D1075:I1075)=J1071,1,0)</f>
        <v>1</v>
      </c>
      <c r="Y1075" s="626"/>
    </row>
    <row r="1076" spans="1:25" s="426" customFormat="1" ht="12.75" x14ac:dyDescent="0.2">
      <c r="B1076" s="615"/>
      <c r="Y1076" s="626"/>
    </row>
    <row r="1077" spans="1:25" s="430" customFormat="1" ht="12.75" x14ac:dyDescent="0.2">
      <c r="B1077" s="678"/>
      <c r="Y1077" s="651"/>
    </row>
    <row r="1078" spans="1:25" s="426" customFormat="1" ht="12.75" x14ac:dyDescent="0.2">
      <c r="B1078" s="615"/>
      <c r="Y1078" s="626"/>
    </row>
    <row r="1079" spans="1:25" s="426" customFormat="1" ht="12.75" x14ac:dyDescent="0.2">
      <c r="B1079" s="615"/>
      <c r="Y1079" s="626"/>
    </row>
    <row r="1080" spans="1:25" s="426" customFormat="1" ht="12.75" x14ac:dyDescent="0.2">
      <c r="B1080" s="627" t="s">
        <v>646</v>
      </c>
      <c r="G1080" s="426" t="s">
        <v>1268</v>
      </c>
      <c r="H1080" s="1183"/>
      <c r="Y1080" s="626"/>
    </row>
    <row r="1081" spans="1:25" s="426" customFormat="1" ht="12.75" x14ac:dyDescent="0.2">
      <c r="B1081" s="615" t="s">
        <v>639</v>
      </c>
      <c r="C1081" s="1174">
        <f>K445</f>
        <v>340.20214019999997</v>
      </c>
      <c r="E1081" s="629">
        <f>C1081/$C$3</f>
        <v>0.18900118899999999</v>
      </c>
      <c r="F1081" s="426" t="s">
        <v>573</v>
      </c>
      <c r="G1081" s="669">
        <f>D1007</f>
        <v>0</v>
      </c>
      <c r="Y1081" s="626"/>
    </row>
    <row r="1082" spans="1:25" s="426" customFormat="1" ht="12.75" x14ac:dyDescent="0.2">
      <c r="B1082" s="615" t="s">
        <v>644</v>
      </c>
      <c r="C1082" s="1175">
        <f>D1048</f>
        <v>4</v>
      </c>
      <c r="E1082" s="629">
        <f t="shared" ref="E1082:E1085" si="185">C1082/$C$3</f>
        <v>2.2222222222222222E-3</v>
      </c>
      <c r="F1082" s="426" t="s">
        <v>570</v>
      </c>
      <c r="G1082" s="669">
        <f>D988</f>
        <v>0</v>
      </c>
      <c r="Y1082" s="626"/>
    </row>
    <row r="1083" spans="1:25" s="426" customFormat="1" ht="12.75" x14ac:dyDescent="0.2">
      <c r="B1083" s="615" t="s">
        <v>645</v>
      </c>
      <c r="C1083" s="1181">
        <f>D1007+D988+D972+D931+D896+D855+D795+D715+D629+D568+D500</f>
        <v>155.83333333333331</v>
      </c>
      <c r="D1083" s="669"/>
      <c r="E1083" s="629">
        <f t="shared" si="185"/>
        <v>8.6574074074074067E-2</v>
      </c>
      <c r="F1083" s="426" t="s">
        <v>1269</v>
      </c>
      <c r="G1083" s="669">
        <f>D972</f>
        <v>0</v>
      </c>
      <c r="Y1083" s="626"/>
    </row>
    <row r="1084" spans="1:25" s="426" customFormat="1" ht="13.5" thickBot="1" x14ac:dyDescent="0.25">
      <c r="B1084" s="615" t="s">
        <v>641</v>
      </c>
      <c r="C1084" s="630">
        <f>'Tarieven (3)'!C13</f>
        <v>20</v>
      </c>
      <c r="E1084" s="632">
        <f t="shared" si="185"/>
        <v>1.1111111111111112E-2</v>
      </c>
      <c r="F1084" s="426" t="s">
        <v>190</v>
      </c>
      <c r="G1084" s="669">
        <f>D931</f>
        <v>0</v>
      </c>
      <c r="Y1084" s="626"/>
    </row>
    <row r="1085" spans="1:25" s="426" customFormat="1" ht="13.5" thickBot="1" x14ac:dyDescent="0.25">
      <c r="B1085" s="615" t="s">
        <v>649</v>
      </c>
      <c r="C1085" s="631">
        <f>SUM(C1081:C1084)</f>
        <v>520.03547353333329</v>
      </c>
      <c r="E1085" s="631">
        <f t="shared" si="185"/>
        <v>0.2889085964074074</v>
      </c>
      <c r="F1085" s="426" t="s">
        <v>1270</v>
      </c>
      <c r="G1085" s="669">
        <f>D896</f>
        <v>0</v>
      </c>
      <c r="Y1085" s="626"/>
    </row>
    <row r="1086" spans="1:25" s="426" customFormat="1" ht="12.75" x14ac:dyDescent="0.2">
      <c r="B1086" s="615"/>
      <c r="F1086" s="426" t="s">
        <v>1271</v>
      </c>
      <c r="G1086" s="669">
        <f>D855</f>
        <v>0</v>
      </c>
      <c r="Y1086" s="626"/>
    </row>
    <row r="1087" spans="1:25" s="426" customFormat="1" ht="12.75" x14ac:dyDescent="0.2">
      <c r="B1087" s="615" t="s">
        <v>648</v>
      </c>
      <c r="C1087" s="629">
        <f>L445</f>
        <v>13.608085608</v>
      </c>
      <c r="E1087" s="629">
        <f>C1087/$C$3</f>
        <v>7.5600475599999998E-3</v>
      </c>
      <c r="F1087" s="426" t="s">
        <v>1272</v>
      </c>
      <c r="G1087" s="669">
        <f>D795</f>
        <v>0</v>
      </c>
      <c r="Y1087" s="626"/>
    </row>
    <row r="1088" spans="1:25" s="426" customFormat="1" ht="13.5" thickBot="1" x14ac:dyDescent="0.25">
      <c r="B1088" s="615" t="s">
        <v>643</v>
      </c>
      <c r="C1088" s="632">
        <f>'Marge tabel (3)'!O73</f>
        <v>34.842376726733335</v>
      </c>
      <c r="E1088" s="632">
        <f t="shared" ref="E1088:E1093" si="186">C1088/$C$3</f>
        <v>1.9356875959296298E-2</v>
      </c>
      <c r="F1088" s="426" t="s">
        <v>1273</v>
      </c>
      <c r="G1088" s="669">
        <f>D629</f>
        <v>155.83333333333331</v>
      </c>
      <c r="Y1088" s="626"/>
    </row>
    <row r="1089" spans="2:25" s="426" customFormat="1" ht="13.5" thickBot="1" x14ac:dyDescent="0.25">
      <c r="B1089" s="615" t="s">
        <v>647</v>
      </c>
      <c r="C1089" s="631">
        <f>SUM(C1087:C1088)</f>
        <v>48.450462334733331</v>
      </c>
      <c r="E1089" s="631">
        <f t="shared" si="186"/>
        <v>2.6916923519296296E-2</v>
      </c>
      <c r="F1089" s="426" t="s">
        <v>1274</v>
      </c>
      <c r="G1089" s="669">
        <f>D568</f>
        <v>0</v>
      </c>
      <c r="Y1089" s="626"/>
    </row>
    <row r="1090" spans="2:25" s="426" customFormat="1" ht="13.5" thickBot="1" x14ac:dyDescent="0.25">
      <c r="B1090" s="615"/>
      <c r="F1090" s="426" t="s">
        <v>1275</v>
      </c>
      <c r="G1090" s="669">
        <f>D500</f>
        <v>0</v>
      </c>
      <c r="Y1090" s="626"/>
    </row>
    <row r="1091" spans="2:25" s="426" customFormat="1" ht="13.5" thickBot="1" x14ac:dyDescent="0.25">
      <c r="B1091" s="615" t="s">
        <v>642</v>
      </c>
      <c r="C1091" s="906">
        <f>'Pallet en transport (3)'!E194</f>
        <v>75.320850000000007</v>
      </c>
      <c r="E1091" s="631">
        <f t="shared" si="186"/>
        <v>4.1844916666666669E-2</v>
      </c>
      <c r="F1091" s="426" t="s">
        <v>1276</v>
      </c>
      <c r="G1091" s="669">
        <f>D715</f>
        <v>0</v>
      </c>
      <c r="Y1091" s="626"/>
    </row>
    <row r="1092" spans="2:25" s="426" customFormat="1" ht="13.5" thickBot="1" x14ac:dyDescent="0.25">
      <c r="B1092" s="615"/>
      <c r="G1092" s="669"/>
      <c r="Y1092" s="626"/>
    </row>
    <row r="1093" spans="2:25" s="426" customFormat="1" ht="13.5" thickBot="1" x14ac:dyDescent="0.25">
      <c r="B1093" s="615" t="s">
        <v>650</v>
      </c>
      <c r="C1093" s="631">
        <f>SUM(C1091+C1089+C1085)</f>
        <v>643.80678586806664</v>
      </c>
      <c r="E1093" s="631">
        <f t="shared" si="186"/>
        <v>0.35767043659337033</v>
      </c>
      <c r="Y1093" s="626"/>
    </row>
    <row r="1094" spans="2:25" s="426" customFormat="1" ht="13.5" thickBot="1" x14ac:dyDescent="0.25">
      <c r="B1094" s="615" t="s">
        <v>651</v>
      </c>
      <c r="C1094" s="820">
        <f>((C1093/C3)*J1075)+C1096</f>
        <v>0.35767043659337033</v>
      </c>
      <c r="E1094" s="957"/>
      <c r="Y1094" s="626"/>
    </row>
    <row r="1095" spans="2:25" s="426" customFormat="1" ht="12.75" x14ac:dyDescent="0.2">
      <c r="B1095" s="615"/>
      <c r="Y1095" s="626"/>
    </row>
    <row r="1096" spans="2:25" s="426" customFormat="1" ht="12.75" x14ac:dyDescent="0.2">
      <c r="B1096" s="615" t="s">
        <v>1527</v>
      </c>
      <c r="C1096" s="669">
        <f>Digitaaldruk!I40</f>
        <v>0</v>
      </c>
      <c r="Y1096" s="626"/>
    </row>
    <row r="1097" spans="2:25" s="426" customFormat="1" ht="12.75" x14ac:dyDescent="0.2">
      <c r="B1097" s="615"/>
      <c r="Y1097" s="626"/>
    </row>
    <row r="1098" spans="2:25" s="426" customFormat="1" ht="12.75" x14ac:dyDescent="0.2">
      <c r="B1098" s="615"/>
      <c r="Y1098" s="626"/>
    </row>
    <row r="1099" spans="2:25" s="426" customFormat="1" ht="12.75" x14ac:dyDescent="0.2">
      <c r="B1099" s="615"/>
      <c r="Y1099" s="626"/>
    </row>
    <row r="1100" spans="2:25" s="426" customFormat="1" ht="12.75" x14ac:dyDescent="0.2">
      <c r="B1100" s="615"/>
      <c r="Y1100" s="626"/>
    </row>
    <row r="1101" spans="2:25" s="426" customFormat="1" ht="12.75" x14ac:dyDescent="0.2">
      <c r="B1101" s="615"/>
      <c r="Y1101" s="626"/>
    </row>
    <row r="1102" spans="2:25" s="426" customFormat="1" ht="12.75" x14ac:dyDescent="0.2">
      <c r="B1102" s="615"/>
      <c r="Y1102" s="626"/>
    </row>
    <row r="1103" spans="2:25" s="426" customFormat="1" ht="12.75" x14ac:dyDescent="0.2">
      <c r="B1103" s="615"/>
      <c r="Y1103" s="626"/>
    </row>
    <row r="1104" spans="2:25" s="426" customFormat="1" ht="12.75" x14ac:dyDescent="0.2">
      <c r="B1104" s="615"/>
      <c r="Y1104" s="626"/>
    </row>
    <row r="1105" spans="2:25" s="426" customFormat="1" ht="12.75" x14ac:dyDescent="0.2">
      <c r="B1105" s="615"/>
      <c r="Y1105" s="626"/>
    </row>
    <row r="1106" spans="2:25" s="426" customFormat="1" ht="12.75" x14ac:dyDescent="0.2">
      <c r="B1106" s="615"/>
      <c r="Y1106" s="626"/>
    </row>
    <row r="1107" spans="2:25" s="426" customFormat="1" ht="12.75" x14ac:dyDescent="0.2">
      <c r="B1107" s="615"/>
      <c r="Y1107" s="626"/>
    </row>
    <row r="1108" spans="2:25" s="426" customFormat="1" ht="12.75" x14ac:dyDescent="0.2">
      <c r="B1108" s="615"/>
      <c r="Y1108" s="626"/>
    </row>
    <row r="1109" spans="2:25" s="426" customFormat="1" ht="12.75" x14ac:dyDescent="0.2">
      <c r="B1109" s="615"/>
      <c r="Y1109" s="626"/>
    </row>
    <row r="1110" spans="2:25" s="426" customFormat="1" ht="12.75" x14ac:dyDescent="0.2">
      <c r="B1110" s="615"/>
      <c r="Y1110" s="626"/>
    </row>
    <row r="1111" spans="2:25" s="426" customFormat="1" ht="12.75" x14ac:dyDescent="0.2">
      <c r="B1111" s="615"/>
      <c r="Y1111" s="626"/>
    </row>
    <row r="1112" spans="2:25" s="426" customFormat="1" ht="12.75" x14ac:dyDescent="0.2">
      <c r="B1112" s="615"/>
      <c r="Y1112" s="626"/>
    </row>
    <row r="1113" spans="2:25" s="426" customFormat="1" ht="12.75" x14ac:dyDescent="0.2">
      <c r="B1113" s="615"/>
      <c r="Y1113" s="626"/>
    </row>
    <row r="1114" spans="2:25" s="426" customFormat="1" ht="12.75" x14ac:dyDescent="0.2">
      <c r="B1114" s="615"/>
      <c r="Y1114" s="626"/>
    </row>
    <row r="1115" spans="2:25" s="426" customFormat="1" ht="12.75" x14ac:dyDescent="0.2">
      <c r="B1115" s="615"/>
      <c r="Y1115" s="626"/>
    </row>
    <row r="1116" spans="2:25" s="426" customFormat="1" ht="12.75" x14ac:dyDescent="0.2">
      <c r="B1116" s="615"/>
      <c r="Y1116" s="626"/>
    </row>
    <row r="1117" spans="2:25" s="426" customFormat="1" ht="12.75" x14ac:dyDescent="0.2">
      <c r="B1117" s="615"/>
      <c r="Y1117" s="626"/>
    </row>
    <row r="1118" spans="2:25" s="426" customFormat="1" ht="12.75" x14ac:dyDescent="0.2">
      <c r="B1118" s="615"/>
      <c r="Y1118" s="626"/>
    </row>
    <row r="1119" spans="2:25" s="426" customFormat="1" ht="12.75" x14ac:dyDescent="0.2">
      <c r="B1119" s="615"/>
      <c r="Y1119" s="626"/>
    </row>
    <row r="1120" spans="2:25" s="426" customFormat="1" ht="12.75" x14ac:dyDescent="0.2">
      <c r="B1120" s="615"/>
      <c r="Y1120" s="626"/>
    </row>
    <row r="1121" spans="2:25" s="426" customFormat="1" ht="12.75" x14ac:dyDescent="0.2">
      <c r="B1121" s="615"/>
      <c r="Y1121" s="626"/>
    </row>
    <row r="1122" spans="2:25" s="426" customFormat="1" ht="12.75" x14ac:dyDescent="0.2">
      <c r="B1122" s="615"/>
      <c r="Y1122" s="626"/>
    </row>
    <row r="1123" spans="2:25" s="426" customFormat="1" ht="12.75" x14ac:dyDescent="0.2">
      <c r="B1123" s="615"/>
      <c r="Y1123" s="626"/>
    </row>
    <row r="1124" spans="2:25" s="426" customFormat="1" ht="12.75" x14ac:dyDescent="0.2">
      <c r="B1124" s="615"/>
      <c r="Y1124" s="626"/>
    </row>
    <row r="1125" spans="2:25" s="426" customFormat="1" ht="12.75" x14ac:dyDescent="0.2">
      <c r="B1125" s="615"/>
      <c r="Y1125" s="626"/>
    </row>
    <row r="1126" spans="2:25" s="426" customFormat="1" ht="12.75" x14ac:dyDescent="0.2">
      <c r="B1126" s="615"/>
      <c r="Y1126" s="626"/>
    </row>
    <row r="1127" spans="2:25" s="426" customFormat="1" ht="12.75" x14ac:dyDescent="0.2">
      <c r="B1127" s="615"/>
      <c r="Y1127" s="626"/>
    </row>
    <row r="1128" spans="2:25" s="426" customFormat="1" ht="12.75" x14ac:dyDescent="0.2">
      <c r="B1128" s="615"/>
      <c r="Y1128" s="626"/>
    </row>
    <row r="1129" spans="2:25" s="426" customFormat="1" ht="12.75" x14ac:dyDescent="0.2">
      <c r="B1129" s="615"/>
      <c r="Y1129" s="626"/>
    </row>
    <row r="1130" spans="2:25" s="426" customFormat="1" ht="12.75" x14ac:dyDescent="0.2">
      <c r="B1130" s="615"/>
      <c r="Y1130" s="626"/>
    </row>
    <row r="1131" spans="2:25" s="426" customFormat="1" ht="12.75" x14ac:dyDescent="0.2">
      <c r="B1131" s="615"/>
      <c r="Y1131" s="626"/>
    </row>
    <row r="1132" spans="2:25" s="426" customFormat="1" ht="12.75" x14ac:dyDescent="0.2">
      <c r="B1132" s="615"/>
      <c r="Y1132" s="626"/>
    </row>
    <row r="1133" spans="2:25" s="426" customFormat="1" ht="12.75" x14ac:dyDescent="0.2">
      <c r="B1133" s="615"/>
      <c r="Y1133" s="626"/>
    </row>
    <row r="1134" spans="2:25" s="426" customFormat="1" ht="12.75" x14ac:dyDescent="0.2">
      <c r="B1134" s="615"/>
      <c r="Y1134" s="626"/>
    </row>
    <row r="1135" spans="2:25" s="426" customFormat="1" ht="12.75" x14ac:dyDescent="0.2">
      <c r="B1135" s="615"/>
      <c r="Y1135" s="626"/>
    </row>
    <row r="1136" spans="2:25" s="426" customFormat="1" ht="12.75" x14ac:dyDescent="0.2">
      <c r="B1136" s="615"/>
      <c r="Y1136" s="626"/>
    </row>
    <row r="1137" spans="2:25" s="426" customFormat="1" ht="12.75" x14ac:dyDescent="0.2">
      <c r="B1137" s="615"/>
      <c r="Y1137" s="626"/>
    </row>
    <row r="1138" spans="2:25" s="426" customFormat="1" ht="12.75" x14ac:dyDescent="0.2">
      <c r="B1138" s="615"/>
      <c r="Y1138" s="626"/>
    </row>
    <row r="1139" spans="2:25" s="426" customFormat="1" ht="12.75" x14ac:dyDescent="0.2">
      <c r="B1139" s="615"/>
      <c r="Y1139" s="626"/>
    </row>
    <row r="1140" spans="2:25" s="426" customFormat="1" ht="12.75" x14ac:dyDescent="0.2">
      <c r="B1140" s="615"/>
      <c r="Y1140" s="626"/>
    </row>
    <row r="1141" spans="2:25" s="426" customFormat="1" ht="12.75" x14ac:dyDescent="0.2">
      <c r="B1141" s="615"/>
      <c r="Y1141" s="626"/>
    </row>
    <row r="1142" spans="2:25" s="426" customFormat="1" ht="12.75" x14ac:dyDescent="0.2">
      <c r="B1142" s="615"/>
      <c r="Y1142" s="626"/>
    </row>
    <row r="1143" spans="2:25" s="426" customFormat="1" ht="12.75" x14ac:dyDescent="0.2">
      <c r="B1143" s="615"/>
      <c r="Y1143" s="626"/>
    </row>
    <row r="1144" spans="2:25" s="426" customFormat="1" ht="12.75" x14ac:dyDescent="0.2">
      <c r="B1144" s="615"/>
      <c r="Y1144" s="626"/>
    </row>
    <row r="1145" spans="2:25" s="426" customFormat="1" ht="12.75" x14ac:dyDescent="0.2">
      <c r="B1145" s="615"/>
      <c r="Y1145" s="626"/>
    </row>
    <row r="1146" spans="2:25" s="426" customFormat="1" ht="12.75" x14ac:dyDescent="0.2">
      <c r="B1146" s="615"/>
      <c r="Y1146" s="626"/>
    </row>
    <row r="1147" spans="2:25" s="426" customFormat="1" ht="12.75" x14ac:dyDescent="0.2">
      <c r="B1147" s="615"/>
      <c r="Y1147" s="626"/>
    </row>
    <row r="1148" spans="2:25" s="426" customFormat="1" ht="12.75" x14ac:dyDescent="0.2">
      <c r="B1148" s="615"/>
      <c r="Y1148" s="626"/>
    </row>
    <row r="1149" spans="2:25" s="426" customFormat="1" ht="12.75" x14ac:dyDescent="0.2">
      <c r="B1149" s="615"/>
      <c r="Y1149" s="626"/>
    </row>
    <row r="1150" spans="2:25" s="426" customFormat="1" ht="12.75" x14ac:dyDescent="0.2">
      <c r="B1150" s="615"/>
      <c r="Y1150" s="626"/>
    </row>
    <row r="1151" spans="2:25" s="426" customFormat="1" ht="12.75" x14ac:dyDescent="0.2">
      <c r="B1151" s="615"/>
      <c r="Y1151" s="626"/>
    </row>
    <row r="1152" spans="2:25" s="426" customFormat="1" ht="12.75" x14ac:dyDescent="0.2">
      <c r="B1152" s="615"/>
      <c r="Y1152" s="626"/>
    </row>
    <row r="1153" spans="2:25" s="426" customFormat="1" ht="12.75" x14ac:dyDescent="0.2">
      <c r="B1153" s="615"/>
      <c r="Y1153" s="626"/>
    </row>
    <row r="1154" spans="2:25" s="426" customFormat="1" ht="12.75" x14ac:dyDescent="0.2">
      <c r="B1154" s="615"/>
      <c r="Y1154" s="626"/>
    </row>
    <row r="1155" spans="2:25" s="426" customFormat="1" ht="12.75" x14ac:dyDescent="0.2">
      <c r="B1155" s="615"/>
      <c r="Y1155" s="626"/>
    </row>
    <row r="1156" spans="2:25" s="426" customFormat="1" ht="12.75" x14ac:dyDescent="0.2">
      <c r="B1156" s="615"/>
      <c r="Y1156" s="626"/>
    </row>
    <row r="1157" spans="2:25" s="426" customFormat="1" ht="12.75" x14ac:dyDescent="0.2">
      <c r="B1157" s="615"/>
      <c r="Y1157" s="626"/>
    </row>
    <row r="1158" spans="2:25" s="426" customFormat="1" ht="12.75" x14ac:dyDescent="0.2">
      <c r="B1158" s="615"/>
      <c r="Y1158" s="626"/>
    </row>
    <row r="1159" spans="2:25" s="426" customFormat="1" ht="12.75" x14ac:dyDescent="0.2">
      <c r="B1159" s="615"/>
      <c r="Y1159" s="626"/>
    </row>
    <row r="1160" spans="2:25" s="426" customFormat="1" ht="12.75" x14ac:dyDescent="0.2">
      <c r="B1160" s="615"/>
      <c r="Y1160" s="626"/>
    </row>
    <row r="1161" spans="2:25" s="426" customFormat="1" ht="12.75" x14ac:dyDescent="0.2">
      <c r="B1161" s="615"/>
      <c r="Y1161" s="626"/>
    </row>
    <row r="1162" spans="2:25" s="426" customFormat="1" ht="12.75" x14ac:dyDescent="0.2">
      <c r="B1162" s="615"/>
      <c r="Y1162" s="626"/>
    </row>
    <row r="1163" spans="2:25" s="426" customFormat="1" ht="12.75" x14ac:dyDescent="0.2">
      <c r="B1163" s="615"/>
      <c r="Y1163" s="626"/>
    </row>
    <row r="1164" spans="2:25" s="426" customFormat="1" ht="12.75" x14ac:dyDescent="0.2">
      <c r="B1164" s="615"/>
      <c r="Y1164" s="626"/>
    </row>
    <row r="1165" spans="2:25" s="426" customFormat="1" ht="12.75" x14ac:dyDescent="0.2">
      <c r="B1165" s="615"/>
      <c r="Y1165" s="626"/>
    </row>
    <row r="1166" spans="2:25" s="426" customFormat="1" ht="12.75" x14ac:dyDescent="0.2">
      <c r="B1166" s="615"/>
      <c r="Y1166" s="626"/>
    </row>
    <row r="1167" spans="2:25" s="426" customFormat="1" ht="12.75" x14ac:dyDescent="0.2">
      <c r="B1167" s="615"/>
      <c r="Y1167" s="626"/>
    </row>
    <row r="1168" spans="2:25" s="426" customFormat="1" ht="12.75" x14ac:dyDescent="0.2">
      <c r="B1168" s="615"/>
      <c r="Y1168" s="626"/>
    </row>
    <row r="1169" spans="2:25" s="426" customFormat="1" ht="12.75" x14ac:dyDescent="0.2">
      <c r="B1169" s="615"/>
      <c r="Y1169" s="626"/>
    </row>
    <row r="1170" spans="2:25" s="426" customFormat="1" ht="12.75" x14ac:dyDescent="0.2">
      <c r="B1170" s="615"/>
      <c r="Y1170" s="626"/>
    </row>
    <row r="1171" spans="2:25" s="426" customFormat="1" ht="12.75" x14ac:dyDescent="0.2">
      <c r="B1171" s="615"/>
      <c r="Y1171" s="626"/>
    </row>
    <row r="1172" spans="2:25" s="426" customFormat="1" ht="12.75" x14ac:dyDescent="0.2">
      <c r="B1172" s="615"/>
      <c r="Y1172" s="626"/>
    </row>
    <row r="1173" spans="2:25" s="426" customFormat="1" ht="12.75" x14ac:dyDescent="0.2">
      <c r="B1173" s="615"/>
      <c r="Y1173" s="626"/>
    </row>
    <row r="1174" spans="2:25" s="426" customFormat="1" ht="12.75" x14ac:dyDescent="0.2">
      <c r="B1174" s="615"/>
      <c r="Y1174" s="626"/>
    </row>
    <row r="1175" spans="2:25" s="426" customFormat="1" ht="12.75" x14ac:dyDescent="0.2">
      <c r="B1175" s="615"/>
      <c r="Y1175" s="626"/>
    </row>
    <row r="1176" spans="2:25" s="426" customFormat="1" ht="12.75" x14ac:dyDescent="0.2">
      <c r="B1176" s="615"/>
      <c r="Y1176" s="626"/>
    </row>
    <row r="1177" spans="2:25" s="426" customFormat="1" ht="12.75" x14ac:dyDescent="0.2">
      <c r="B1177" s="615"/>
      <c r="Y1177" s="626"/>
    </row>
    <row r="1178" spans="2:25" s="426" customFormat="1" ht="12.75" x14ac:dyDescent="0.2">
      <c r="B1178" s="615"/>
      <c r="Y1178" s="626"/>
    </row>
    <row r="1179" spans="2:25" s="426" customFormat="1" ht="12.75" x14ac:dyDescent="0.2">
      <c r="B1179" s="615"/>
      <c r="Y1179" s="626"/>
    </row>
    <row r="1180" spans="2:25" s="426" customFormat="1" ht="12.75" x14ac:dyDescent="0.2">
      <c r="B1180" s="615"/>
      <c r="Y1180" s="626"/>
    </row>
    <row r="1181" spans="2:25" s="426" customFormat="1" ht="12.75" x14ac:dyDescent="0.2">
      <c r="B1181" s="615"/>
      <c r="Y1181" s="626"/>
    </row>
    <row r="1182" spans="2:25" s="426" customFormat="1" ht="12.75" x14ac:dyDescent="0.2">
      <c r="B1182" s="615"/>
      <c r="Y1182" s="626"/>
    </row>
    <row r="1183" spans="2:25" s="426" customFormat="1" ht="12.75" x14ac:dyDescent="0.2">
      <c r="B1183" s="615"/>
      <c r="Y1183" s="626"/>
    </row>
    <row r="1184" spans="2:25" s="426" customFormat="1" ht="12.75" x14ac:dyDescent="0.2">
      <c r="B1184" s="615"/>
      <c r="Y1184" s="626"/>
    </row>
    <row r="1185" spans="2:25" s="426" customFormat="1" ht="12.75" x14ac:dyDescent="0.2">
      <c r="B1185" s="615"/>
      <c r="Y1185" s="626"/>
    </row>
    <row r="1186" spans="2:25" s="426" customFormat="1" ht="12.75" x14ac:dyDescent="0.2">
      <c r="B1186" s="615"/>
      <c r="Y1186" s="626"/>
    </row>
    <row r="1187" spans="2:25" s="426" customFormat="1" ht="12.75" x14ac:dyDescent="0.2">
      <c r="B1187" s="615"/>
      <c r="Y1187" s="626"/>
    </row>
    <row r="1188" spans="2:25" s="426" customFormat="1" ht="12.75" x14ac:dyDescent="0.2">
      <c r="B1188" s="615"/>
      <c r="Y1188" s="626"/>
    </row>
    <row r="1189" spans="2:25" s="426" customFormat="1" ht="12.75" x14ac:dyDescent="0.2">
      <c r="B1189" s="615"/>
      <c r="Y1189" s="626"/>
    </row>
    <row r="1190" spans="2:25" s="426" customFormat="1" ht="12.75" x14ac:dyDescent="0.2">
      <c r="B1190" s="615"/>
      <c r="Y1190" s="626"/>
    </row>
    <row r="1191" spans="2:25" s="426" customFormat="1" ht="12.75" x14ac:dyDescent="0.2">
      <c r="B1191" s="615"/>
      <c r="Y1191" s="626"/>
    </row>
    <row r="1192" spans="2:25" s="426" customFormat="1" ht="12.75" x14ac:dyDescent="0.2">
      <c r="B1192" s="615"/>
      <c r="Y1192" s="626"/>
    </row>
    <row r="1193" spans="2:25" s="426" customFormat="1" ht="12.75" x14ac:dyDescent="0.2">
      <c r="B1193" s="615"/>
      <c r="Y1193" s="626"/>
    </row>
    <row r="1194" spans="2:25" s="426" customFormat="1" ht="12.75" x14ac:dyDescent="0.2">
      <c r="B1194" s="615"/>
      <c r="Y1194" s="626"/>
    </row>
    <row r="1195" spans="2:25" s="426" customFormat="1" ht="12.75" x14ac:dyDescent="0.2">
      <c r="B1195" s="615"/>
      <c r="Y1195" s="626"/>
    </row>
    <row r="1196" spans="2:25" s="426" customFormat="1" ht="12.75" x14ac:dyDescent="0.2">
      <c r="B1196" s="615"/>
      <c r="Y1196" s="626"/>
    </row>
    <row r="1197" spans="2:25" s="426" customFormat="1" ht="12.75" x14ac:dyDescent="0.2">
      <c r="B1197" s="615"/>
      <c r="Y1197" s="626"/>
    </row>
    <row r="1198" spans="2:25" s="426" customFormat="1" ht="12.75" x14ac:dyDescent="0.2">
      <c r="B1198" s="615"/>
      <c r="Y1198" s="626"/>
    </row>
    <row r="1199" spans="2:25" s="426" customFormat="1" ht="12.75" x14ac:dyDescent="0.2">
      <c r="B1199" s="615"/>
      <c r="Y1199" s="626"/>
    </row>
    <row r="1200" spans="2:25" s="426" customFormat="1" ht="12.75" x14ac:dyDescent="0.2">
      <c r="B1200" s="615"/>
      <c r="Y1200" s="626"/>
    </row>
    <row r="1201" spans="2:25" s="426" customFormat="1" ht="12.75" x14ac:dyDescent="0.2">
      <c r="B1201" s="615"/>
      <c r="Y1201" s="626"/>
    </row>
    <row r="1202" spans="2:25" s="426" customFormat="1" ht="12.75" x14ac:dyDescent="0.2">
      <c r="B1202" s="615"/>
      <c r="Y1202" s="626"/>
    </row>
    <row r="1203" spans="2:25" s="426" customFormat="1" ht="12.75" x14ac:dyDescent="0.2">
      <c r="B1203" s="615"/>
      <c r="Y1203" s="626"/>
    </row>
    <row r="1204" spans="2:25" s="426" customFormat="1" ht="12.75" x14ac:dyDescent="0.2">
      <c r="B1204" s="615"/>
      <c r="Y1204" s="626"/>
    </row>
    <row r="1205" spans="2:25" s="426" customFormat="1" ht="12.75" x14ac:dyDescent="0.2">
      <c r="B1205" s="615"/>
      <c r="Y1205" s="626"/>
    </row>
    <row r="1206" spans="2:25" s="426" customFormat="1" ht="12.75" x14ac:dyDescent="0.2">
      <c r="B1206" s="615"/>
      <c r="Y1206" s="626"/>
    </row>
    <row r="1207" spans="2:25" s="426" customFormat="1" ht="12.75" x14ac:dyDescent="0.2">
      <c r="B1207" s="615"/>
      <c r="Y1207" s="626"/>
    </row>
    <row r="1208" spans="2:25" s="426" customFormat="1" ht="12.75" x14ac:dyDescent="0.2">
      <c r="B1208" s="615"/>
      <c r="Y1208" s="626"/>
    </row>
    <row r="1209" spans="2:25" s="426" customFormat="1" ht="12.75" x14ac:dyDescent="0.2">
      <c r="B1209" s="615"/>
      <c r="Y1209" s="626"/>
    </row>
    <row r="1210" spans="2:25" s="426" customFormat="1" ht="12.75" x14ac:dyDescent="0.2">
      <c r="B1210" s="615"/>
      <c r="Y1210" s="626"/>
    </row>
    <row r="1211" spans="2:25" s="426" customFormat="1" ht="12.75" x14ac:dyDescent="0.2">
      <c r="B1211" s="615"/>
      <c r="Y1211" s="626"/>
    </row>
    <row r="1212" spans="2:25" s="426" customFormat="1" ht="12.75" x14ac:dyDescent="0.2">
      <c r="B1212" s="615"/>
      <c r="Y1212" s="626"/>
    </row>
    <row r="1213" spans="2:25" s="426" customFormat="1" ht="12.75" x14ac:dyDescent="0.2">
      <c r="B1213" s="615"/>
      <c r="Y1213" s="626"/>
    </row>
    <row r="1214" spans="2:25" s="426" customFormat="1" ht="12.75" x14ac:dyDescent="0.2">
      <c r="B1214" s="615"/>
      <c r="Y1214" s="626"/>
    </row>
    <row r="1215" spans="2:25" s="426" customFormat="1" ht="12.75" x14ac:dyDescent="0.2">
      <c r="B1215" s="615"/>
      <c r="Y1215" s="626"/>
    </row>
    <row r="1216" spans="2:25" s="426" customFormat="1" ht="12.75" x14ac:dyDescent="0.2">
      <c r="B1216" s="615"/>
      <c r="Y1216" s="626"/>
    </row>
    <row r="1217" spans="2:25" s="426" customFormat="1" ht="12.75" x14ac:dyDescent="0.2">
      <c r="B1217" s="615"/>
      <c r="Y1217" s="626"/>
    </row>
    <row r="1218" spans="2:25" s="426" customFormat="1" ht="12.75" x14ac:dyDescent="0.2">
      <c r="B1218" s="615"/>
      <c r="Y1218" s="626"/>
    </row>
    <row r="1219" spans="2:25" s="426" customFormat="1" ht="12.75" x14ac:dyDescent="0.2">
      <c r="B1219" s="615"/>
      <c r="Y1219" s="626"/>
    </row>
    <row r="1220" spans="2:25" s="426" customFormat="1" ht="12.75" x14ac:dyDescent="0.2">
      <c r="B1220" s="615"/>
      <c r="Y1220" s="626"/>
    </row>
    <row r="1221" spans="2:25" s="426" customFormat="1" ht="12.75" x14ac:dyDescent="0.2">
      <c r="B1221" s="615"/>
      <c r="Y1221" s="626"/>
    </row>
    <row r="1222" spans="2:25" s="426" customFormat="1" ht="12.75" x14ac:dyDescent="0.2">
      <c r="B1222" s="615"/>
      <c r="Y1222" s="626"/>
    </row>
    <row r="1223" spans="2:25" s="426" customFormat="1" ht="12.75" x14ac:dyDescent="0.2">
      <c r="B1223" s="615"/>
      <c r="Y1223" s="626"/>
    </row>
    <row r="1224" spans="2:25" s="426" customFormat="1" ht="12.75" x14ac:dyDescent="0.2">
      <c r="B1224" s="615"/>
      <c r="Y1224" s="626"/>
    </row>
    <row r="1225" spans="2:25" s="426" customFormat="1" ht="12.75" x14ac:dyDescent="0.2">
      <c r="B1225" s="615"/>
      <c r="Y1225" s="626"/>
    </row>
    <row r="1226" spans="2:25" s="426" customFormat="1" ht="12.75" x14ac:dyDescent="0.2">
      <c r="B1226" s="615"/>
      <c r="Y1226" s="626"/>
    </row>
    <row r="1227" spans="2:25" s="426" customFormat="1" ht="12.75" x14ac:dyDescent="0.2">
      <c r="B1227" s="615"/>
      <c r="Y1227" s="626"/>
    </row>
    <row r="1228" spans="2:25" s="426" customFormat="1" ht="12.75" x14ac:dyDescent="0.2">
      <c r="B1228" s="615"/>
      <c r="Y1228" s="626"/>
    </row>
    <row r="1229" spans="2:25" s="426" customFormat="1" ht="12.75" x14ac:dyDescent="0.2">
      <c r="B1229" s="615"/>
      <c r="Y1229" s="626"/>
    </row>
    <row r="1230" spans="2:25" s="426" customFormat="1" ht="12.75" x14ac:dyDescent="0.2">
      <c r="B1230" s="615"/>
      <c r="Y1230" s="626"/>
    </row>
    <row r="1231" spans="2:25" s="426" customFormat="1" ht="12.75" x14ac:dyDescent="0.2">
      <c r="B1231" s="615"/>
      <c r="Y1231" s="626"/>
    </row>
    <row r="1232" spans="2:25" s="426" customFormat="1" ht="12.75" x14ac:dyDescent="0.2">
      <c r="B1232" s="615"/>
      <c r="Y1232" s="626"/>
    </row>
    <row r="1233" spans="2:25" s="426" customFormat="1" ht="12.75" x14ac:dyDescent="0.2">
      <c r="B1233" s="615"/>
      <c r="Y1233" s="626"/>
    </row>
    <row r="1234" spans="2:25" s="426" customFormat="1" ht="12.75" x14ac:dyDescent="0.2">
      <c r="B1234" s="615"/>
      <c r="Y1234" s="626"/>
    </row>
    <row r="1235" spans="2:25" s="426" customFormat="1" ht="12.75" x14ac:dyDescent="0.2">
      <c r="B1235" s="615"/>
      <c r="Y1235" s="626"/>
    </row>
    <row r="1236" spans="2:25" s="426" customFormat="1" ht="12.75" x14ac:dyDescent="0.2">
      <c r="B1236" s="615"/>
      <c r="Y1236" s="626"/>
    </row>
    <row r="1237" spans="2:25" s="426" customFormat="1" ht="12.75" x14ac:dyDescent="0.2">
      <c r="B1237" s="615"/>
      <c r="Y1237" s="626"/>
    </row>
    <row r="1238" spans="2:25" s="426" customFormat="1" ht="12.75" x14ac:dyDescent="0.2">
      <c r="B1238" s="615"/>
      <c r="Y1238" s="626"/>
    </row>
    <row r="1239" spans="2:25" s="426" customFormat="1" ht="12.75" x14ac:dyDescent="0.2">
      <c r="B1239" s="615"/>
      <c r="Y1239" s="626"/>
    </row>
    <row r="1240" spans="2:25" s="426" customFormat="1" ht="12.75" x14ac:dyDescent="0.2">
      <c r="B1240" s="615"/>
      <c r="Y1240" s="626"/>
    </row>
    <row r="1241" spans="2:25" s="426" customFormat="1" ht="12.75" x14ac:dyDescent="0.2">
      <c r="B1241" s="615"/>
      <c r="Y1241" s="626"/>
    </row>
    <row r="1242" spans="2:25" s="426" customFormat="1" ht="12.75" x14ac:dyDescent="0.2">
      <c r="B1242" s="615"/>
      <c r="Y1242" s="626"/>
    </row>
    <row r="1243" spans="2:25" s="426" customFormat="1" ht="12.75" x14ac:dyDescent="0.2">
      <c r="B1243" s="615"/>
      <c r="Y1243" s="626"/>
    </row>
    <row r="1244" spans="2:25" s="426" customFormat="1" ht="12.75" x14ac:dyDescent="0.2">
      <c r="B1244" s="615"/>
      <c r="Y1244" s="626"/>
    </row>
    <row r="1245" spans="2:25" s="426" customFormat="1" ht="12.75" x14ac:dyDescent="0.2">
      <c r="B1245" s="615"/>
      <c r="Y1245" s="626"/>
    </row>
    <row r="1246" spans="2:25" s="426" customFormat="1" ht="12.75" x14ac:dyDescent="0.2">
      <c r="B1246" s="615"/>
      <c r="Y1246" s="626"/>
    </row>
    <row r="1247" spans="2:25" s="426" customFormat="1" ht="12.75" x14ac:dyDescent="0.2">
      <c r="B1247" s="615"/>
      <c r="Y1247" s="626"/>
    </row>
    <row r="1248" spans="2:25" s="426" customFormat="1" ht="12.75" x14ac:dyDescent="0.2">
      <c r="B1248" s="615"/>
      <c r="Y1248" s="626"/>
    </row>
    <row r="1249" spans="2:25" s="426" customFormat="1" ht="12.75" x14ac:dyDescent="0.2">
      <c r="B1249" s="615"/>
      <c r="Y1249" s="626"/>
    </row>
    <row r="1250" spans="2:25" s="426" customFormat="1" ht="12.75" x14ac:dyDescent="0.2">
      <c r="B1250" s="615"/>
      <c r="Y1250" s="626"/>
    </row>
    <row r="1251" spans="2:25" s="426" customFormat="1" ht="12.75" x14ac:dyDescent="0.2">
      <c r="B1251" s="615"/>
      <c r="Y1251" s="626"/>
    </row>
    <row r="1252" spans="2:25" s="426" customFormat="1" ht="12.75" x14ac:dyDescent="0.2">
      <c r="B1252" s="615"/>
      <c r="Y1252" s="626"/>
    </row>
    <row r="1253" spans="2:25" s="426" customFormat="1" ht="12.75" x14ac:dyDescent="0.2">
      <c r="B1253" s="615"/>
      <c r="Y1253" s="626"/>
    </row>
    <row r="1254" spans="2:25" s="426" customFormat="1" ht="12.75" x14ac:dyDescent="0.2">
      <c r="B1254" s="615"/>
      <c r="Y1254" s="626"/>
    </row>
    <row r="1255" spans="2:25" s="426" customFormat="1" ht="12.75" x14ac:dyDescent="0.2">
      <c r="B1255" s="615"/>
      <c r="Y1255" s="626"/>
    </row>
    <row r="1256" spans="2:25" s="426" customFormat="1" ht="12.75" x14ac:dyDescent="0.2">
      <c r="B1256" s="615"/>
      <c r="Y1256" s="626"/>
    </row>
    <row r="1257" spans="2:25" s="426" customFormat="1" ht="12.75" x14ac:dyDescent="0.2">
      <c r="B1257" s="615"/>
      <c r="Y1257" s="626"/>
    </row>
    <row r="1258" spans="2:25" s="426" customFormat="1" ht="12.75" x14ac:dyDescent="0.2">
      <c r="B1258" s="615"/>
      <c r="Y1258" s="626"/>
    </row>
    <row r="1259" spans="2:25" s="426" customFormat="1" ht="12.75" x14ac:dyDescent="0.2">
      <c r="B1259" s="615"/>
      <c r="Y1259" s="626"/>
    </row>
    <row r="1260" spans="2:25" s="426" customFormat="1" ht="12.75" x14ac:dyDescent="0.2">
      <c r="B1260" s="615"/>
      <c r="Y1260" s="626"/>
    </row>
    <row r="1261" spans="2:25" s="426" customFormat="1" ht="12.75" x14ac:dyDescent="0.2">
      <c r="B1261" s="615"/>
      <c r="Y1261" s="626"/>
    </row>
    <row r="1262" spans="2:25" s="426" customFormat="1" ht="12.75" x14ac:dyDescent="0.2">
      <c r="B1262" s="615"/>
      <c r="Y1262" s="626"/>
    </row>
    <row r="1263" spans="2:25" s="426" customFormat="1" ht="12.75" x14ac:dyDescent="0.2">
      <c r="B1263" s="615"/>
      <c r="Y1263" s="626"/>
    </row>
    <row r="1264" spans="2:25" s="426" customFormat="1" ht="12.75" x14ac:dyDescent="0.2">
      <c r="B1264" s="615"/>
      <c r="Y1264" s="626"/>
    </row>
    <row r="1265" spans="2:25" s="426" customFormat="1" ht="12.75" x14ac:dyDescent="0.2">
      <c r="B1265" s="615"/>
      <c r="Y1265" s="626"/>
    </row>
    <row r="1266" spans="2:25" s="426" customFormat="1" ht="12.75" x14ac:dyDescent="0.2">
      <c r="B1266" s="615"/>
      <c r="Y1266" s="626"/>
    </row>
    <row r="1267" spans="2:25" s="426" customFormat="1" ht="12.75" x14ac:dyDescent="0.2">
      <c r="B1267" s="615"/>
      <c r="Y1267" s="626"/>
    </row>
    <row r="1268" spans="2:25" s="426" customFormat="1" ht="12.75" x14ac:dyDescent="0.2">
      <c r="B1268" s="615"/>
      <c r="Y1268" s="626"/>
    </row>
    <row r="1269" spans="2:25" s="426" customFormat="1" ht="12.75" x14ac:dyDescent="0.2">
      <c r="B1269" s="615"/>
      <c r="Y1269" s="626"/>
    </row>
    <row r="1270" spans="2:25" s="426" customFormat="1" ht="12.75" x14ac:dyDescent="0.2">
      <c r="B1270" s="615"/>
      <c r="Y1270" s="626"/>
    </row>
    <row r="1271" spans="2:25" s="426" customFormat="1" ht="12.75" x14ac:dyDescent="0.2">
      <c r="B1271" s="615"/>
      <c r="Y1271" s="626"/>
    </row>
    <row r="1272" spans="2:25" s="426" customFormat="1" ht="12.75" x14ac:dyDescent="0.2">
      <c r="B1272" s="615"/>
      <c r="Y1272" s="626"/>
    </row>
    <row r="1273" spans="2:25" s="426" customFormat="1" ht="12.75" x14ac:dyDescent="0.2">
      <c r="B1273" s="615"/>
      <c r="Y1273" s="626"/>
    </row>
    <row r="1274" spans="2:25" s="426" customFormat="1" ht="12.75" x14ac:dyDescent="0.2">
      <c r="B1274" s="615"/>
      <c r="Y1274" s="626"/>
    </row>
    <row r="1275" spans="2:25" s="426" customFormat="1" ht="12.75" x14ac:dyDescent="0.2">
      <c r="B1275" s="615"/>
      <c r="Y1275" s="626"/>
    </row>
    <row r="1276" spans="2:25" s="426" customFormat="1" ht="12.75" x14ac:dyDescent="0.2">
      <c r="B1276" s="615"/>
      <c r="Y1276" s="626"/>
    </row>
    <row r="1277" spans="2:25" s="426" customFormat="1" ht="12.75" x14ac:dyDescent="0.2">
      <c r="B1277" s="615"/>
      <c r="Y1277" s="626"/>
    </row>
    <row r="1278" spans="2:25" s="426" customFormat="1" ht="12.75" x14ac:dyDescent="0.2">
      <c r="B1278" s="615"/>
      <c r="Y1278" s="626"/>
    </row>
    <row r="1279" spans="2:25" s="426" customFormat="1" ht="12.75" x14ac:dyDescent="0.2">
      <c r="B1279" s="615"/>
      <c r="Y1279" s="626"/>
    </row>
    <row r="1280" spans="2:25" s="426" customFormat="1" ht="12.75" x14ac:dyDescent="0.2">
      <c r="B1280" s="615"/>
      <c r="Y1280" s="626"/>
    </row>
    <row r="1281" spans="2:25" s="426" customFormat="1" ht="12.75" x14ac:dyDescent="0.2">
      <c r="B1281" s="615"/>
      <c r="Y1281" s="626"/>
    </row>
    <row r="1282" spans="2:25" s="426" customFormat="1" ht="12.75" x14ac:dyDescent="0.2">
      <c r="B1282" s="615"/>
      <c r="Y1282" s="626"/>
    </row>
    <row r="1283" spans="2:25" s="426" customFormat="1" ht="12.75" x14ac:dyDescent="0.2">
      <c r="B1283" s="615"/>
      <c r="Y1283" s="626"/>
    </row>
    <row r="1284" spans="2:25" s="426" customFormat="1" ht="12.75" x14ac:dyDescent="0.2">
      <c r="B1284" s="615"/>
      <c r="Y1284" s="626"/>
    </row>
    <row r="1285" spans="2:25" s="426" customFormat="1" ht="12.75" x14ac:dyDescent="0.2">
      <c r="B1285" s="615"/>
      <c r="Y1285" s="626"/>
    </row>
    <row r="1286" spans="2:25" s="426" customFormat="1" ht="12.75" x14ac:dyDescent="0.2">
      <c r="B1286" s="615"/>
      <c r="Y1286" s="626"/>
    </row>
    <row r="1287" spans="2:25" s="426" customFormat="1" ht="12.75" x14ac:dyDescent="0.2">
      <c r="B1287" s="615"/>
      <c r="Y1287" s="626"/>
    </row>
    <row r="1288" spans="2:25" s="426" customFormat="1" ht="12.75" x14ac:dyDescent="0.2">
      <c r="B1288" s="615"/>
      <c r="Y1288" s="626"/>
    </row>
    <row r="1289" spans="2:25" s="426" customFormat="1" ht="12.75" x14ac:dyDescent="0.2">
      <c r="B1289" s="615"/>
      <c r="Y1289" s="626"/>
    </row>
    <row r="1290" spans="2:25" s="426" customFormat="1" ht="12.75" x14ac:dyDescent="0.2">
      <c r="B1290" s="615"/>
      <c r="Y1290" s="626"/>
    </row>
    <row r="1291" spans="2:25" s="426" customFormat="1" ht="12.75" x14ac:dyDescent="0.2">
      <c r="B1291" s="615"/>
      <c r="Y1291" s="626"/>
    </row>
    <row r="1292" spans="2:25" s="426" customFormat="1" ht="12.75" x14ac:dyDescent="0.2">
      <c r="B1292" s="615"/>
      <c r="Y1292" s="626"/>
    </row>
    <row r="1293" spans="2:25" s="426" customFormat="1" ht="12.75" x14ac:dyDescent="0.2">
      <c r="B1293" s="615"/>
      <c r="Y1293" s="626"/>
    </row>
    <row r="1294" spans="2:25" s="426" customFormat="1" ht="12.75" x14ac:dyDescent="0.2">
      <c r="B1294" s="615"/>
      <c r="Y1294" s="626"/>
    </row>
    <row r="1295" spans="2:25" s="426" customFormat="1" ht="12.75" x14ac:dyDescent="0.2">
      <c r="B1295" s="615"/>
      <c r="Y1295" s="626"/>
    </row>
    <row r="1296" spans="2:25" s="426" customFormat="1" ht="12.75" x14ac:dyDescent="0.2">
      <c r="B1296" s="615"/>
      <c r="Y1296" s="626"/>
    </row>
    <row r="1297" spans="2:25" s="426" customFormat="1" ht="12.75" x14ac:dyDescent="0.2">
      <c r="B1297" s="615"/>
      <c r="Y1297" s="626"/>
    </row>
    <row r="1298" spans="2:25" s="426" customFormat="1" ht="12.75" x14ac:dyDescent="0.2">
      <c r="B1298" s="615"/>
      <c r="Y1298" s="626"/>
    </row>
    <row r="1299" spans="2:25" s="426" customFormat="1" ht="12.75" x14ac:dyDescent="0.2">
      <c r="B1299" s="615"/>
      <c r="Y1299" s="626"/>
    </row>
    <row r="1300" spans="2:25" s="426" customFormat="1" ht="12.75" x14ac:dyDescent="0.2">
      <c r="B1300" s="615"/>
      <c r="Y1300" s="626"/>
    </row>
    <row r="1301" spans="2:25" s="426" customFormat="1" ht="12.75" x14ac:dyDescent="0.2">
      <c r="B1301" s="615"/>
      <c r="Y1301" s="626"/>
    </row>
    <row r="1302" spans="2:25" s="426" customFormat="1" ht="12.75" x14ac:dyDescent="0.2">
      <c r="B1302" s="615"/>
      <c r="Y1302" s="626"/>
    </row>
    <row r="1303" spans="2:25" s="426" customFormat="1" ht="12.75" x14ac:dyDescent="0.2">
      <c r="B1303" s="615"/>
      <c r="Y1303" s="626"/>
    </row>
    <row r="1304" spans="2:25" s="426" customFormat="1" ht="12.75" x14ac:dyDescent="0.2">
      <c r="B1304" s="615"/>
      <c r="Y1304" s="626"/>
    </row>
    <row r="1305" spans="2:25" s="426" customFormat="1" ht="12.75" x14ac:dyDescent="0.2">
      <c r="B1305" s="615"/>
      <c r="Y1305" s="626"/>
    </row>
    <row r="1306" spans="2:25" s="426" customFormat="1" ht="12.75" x14ac:dyDescent="0.2">
      <c r="B1306" s="615"/>
      <c r="Y1306" s="626"/>
    </row>
    <row r="1307" spans="2:25" s="426" customFormat="1" ht="12.75" x14ac:dyDescent="0.2">
      <c r="B1307" s="615"/>
      <c r="Y1307" s="626"/>
    </row>
    <row r="1308" spans="2:25" s="426" customFormat="1" ht="12.75" x14ac:dyDescent="0.2">
      <c r="B1308" s="615"/>
      <c r="Y1308" s="626"/>
    </row>
    <row r="1309" spans="2:25" s="426" customFormat="1" ht="12.75" x14ac:dyDescent="0.2">
      <c r="B1309" s="615"/>
      <c r="Y1309" s="626"/>
    </row>
    <row r="1310" spans="2:25" s="426" customFormat="1" ht="12.75" x14ac:dyDescent="0.2">
      <c r="B1310" s="615"/>
      <c r="Y1310" s="626"/>
    </row>
    <row r="1311" spans="2:25" s="426" customFormat="1" ht="12.75" x14ac:dyDescent="0.2">
      <c r="B1311" s="615"/>
      <c r="Y1311" s="626"/>
    </row>
    <row r="1312" spans="2:25" s="426" customFormat="1" ht="12.75" x14ac:dyDescent="0.2">
      <c r="B1312" s="615"/>
      <c r="Y1312" s="626"/>
    </row>
    <row r="1313" spans="2:25" s="426" customFormat="1" ht="12.75" x14ac:dyDescent="0.2">
      <c r="B1313" s="615"/>
      <c r="Y1313" s="626"/>
    </row>
    <row r="1314" spans="2:25" s="426" customFormat="1" ht="12.75" x14ac:dyDescent="0.2">
      <c r="B1314" s="615"/>
      <c r="Y1314" s="626"/>
    </row>
    <row r="1315" spans="2:25" s="426" customFormat="1" ht="12.75" x14ac:dyDescent="0.2">
      <c r="B1315" s="615"/>
      <c r="Y1315" s="626"/>
    </row>
    <row r="1316" spans="2:25" s="426" customFormat="1" ht="12.75" x14ac:dyDescent="0.2">
      <c r="B1316" s="615"/>
      <c r="Y1316" s="626"/>
    </row>
    <row r="1317" spans="2:25" s="426" customFormat="1" ht="12.75" x14ac:dyDescent="0.2">
      <c r="B1317" s="615"/>
      <c r="Y1317" s="626"/>
    </row>
    <row r="1318" spans="2:25" s="426" customFormat="1" ht="12.75" x14ac:dyDescent="0.2">
      <c r="B1318" s="615"/>
      <c r="Y1318" s="626"/>
    </row>
    <row r="1319" spans="2:25" s="426" customFormat="1" ht="12.75" x14ac:dyDescent="0.2">
      <c r="B1319" s="615"/>
      <c r="Y1319" s="626"/>
    </row>
    <row r="1320" spans="2:25" s="426" customFormat="1" ht="12.75" x14ac:dyDescent="0.2">
      <c r="B1320" s="615"/>
      <c r="Y1320" s="626"/>
    </row>
    <row r="1321" spans="2:25" s="426" customFormat="1" ht="12.75" x14ac:dyDescent="0.2">
      <c r="B1321" s="615"/>
      <c r="Y1321" s="626"/>
    </row>
    <row r="1322" spans="2:25" s="426" customFormat="1" ht="12.75" x14ac:dyDescent="0.2">
      <c r="B1322" s="615"/>
      <c r="Y1322" s="626"/>
    </row>
    <row r="1323" spans="2:25" s="426" customFormat="1" ht="12.75" x14ac:dyDescent="0.2">
      <c r="B1323" s="615"/>
      <c r="Y1323" s="626"/>
    </row>
    <row r="1324" spans="2:25" s="426" customFormat="1" ht="12.75" x14ac:dyDescent="0.2">
      <c r="B1324" s="615"/>
      <c r="Y1324" s="626"/>
    </row>
    <row r="1325" spans="2:25" s="426" customFormat="1" ht="12.75" x14ac:dyDescent="0.2">
      <c r="B1325" s="615"/>
      <c r="Y1325" s="626"/>
    </row>
    <row r="1326" spans="2:25" s="426" customFormat="1" ht="12.75" x14ac:dyDescent="0.2">
      <c r="B1326" s="615"/>
      <c r="Y1326" s="626"/>
    </row>
    <row r="1327" spans="2:25" s="426" customFormat="1" ht="12.75" x14ac:dyDescent="0.2">
      <c r="B1327" s="615"/>
      <c r="Y1327" s="626"/>
    </row>
    <row r="1328" spans="2:25" s="426" customFormat="1" ht="12.75" x14ac:dyDescent="0.2">
      <c r="B1328" s="615"/>
      <c r="Y1328" s="626"/>
    </row>
    <row r="1329" spans="2:25" s="426" customFormat="1" ht="12.75" x14ac:dyDescent="0.2">
      <c r="B1329" s="615"/>
      <c r="Y1329" s="626"/>
    </row>
    <row r="1330" spans="2:25" s="426" customFormat="1" ht="12.75" x14ac:dyDescent="0.2">
      <c r="B1330" s="615"/>
      <c r="Y1330" s="626"/>
    </row>
    <row r="1331" spans="2:25" s="426" customFormat="1" ht="12.75" x14ac:dyDescent="0.2">
      <c r="B1331" s="615"/>
      <c r="Y1331" s="626"/>
    </row>
    <row r="1332" spans="2:25" s="426" customFormat="1" ht="12.75" x14ac:dyDescent="0.2">
      <c r="B1332" s="615"/>
      <c r="Y1332" s="626"/>
    </row>
    <row r="1333" spans="2:25" s="426" customFormat="1" ht="12.75" x14ac:dyDescent="0.2">
      <c r="B1333" s="615"/>
      <c r="Y1333" s="626"/>
    </row>
    <row r="1334" spans="2:25" s="426" customFormat="1" ht="12.75" x14ac:dyDescent="0.2">
      <c r="B1334" s="615"/>
      <c r="Y1334" s="626"/>
    </row>
    <row r="1335" spans="2:25" s="426" customFormat="1" ht="12.75" x14ac:dyDescent="0.2">
      <c r="B1335" s="615"/>
      <c r="Y1335" s="626"/>
    </row>
    <row r="1336" spans="2:25" s="426" customFormat="1" ht="12.75" x14ac:dyDescent="0.2">
      <c r="B1336" s="615"/>
      <c r="Y1336" s="626"/>
    </row>
    <row r="1337" spans="2:25" s="426" customFormat="1" ht="12.75" x14ac:dyDescent="0.2">
      <c r="B1337" s="615"/>
      <c r="Y1337" s="626"/>
    </row>
    <row r="1338" spans="2:25" s="426" customFormat="1" ht="12.75" x14ac:dyDescent="0.2">
      <c r="B1338" s="615"/>
      <c r="Y1338" s="626"/>
    </row>
    <row r="1339" spans="2:25" s="426" customFormat="1" ht="12.75" x14ac:dyDescent="0.2">
      <c r="B1339" s="615"/>
      <c r="Y1339" s="626"/>
    </row>
    <row r="1340" spans="2:25" s="426" customFormat="1" ht="12.75" x14ac:dyDescent="0.2">
      <c r="B1340" s="615"/>
      <c r="Y1340" s="626"/>
    </row>
    <row r="1341" spans="2:25" s="426" customFormat="1" ht="12.75" x14ac:dyDescent="0.2">
      <c r="B1341" s="615"/>
      <c r="Y1341" s="626"/>
    </row>
    <row r="1342" spans="2:25" s="426" customFormat="1" ht="12.75" x14ac:dyDescent="0.2">
      <c r="B1342" s="615"/>
      <c r="Y1342" s="626"/>
    </row>
    <row r="1343" spans="2:25" s="426" customFormat="1" ht="12.75" x14ac:dyDescent="0.2">
      <c r="B1343" s="615"/>
      <c r="Y1343" s="626"/>
    </row>
    <row r="1344" spans="2:25" s="426" customFormat="1" ht="12.75" x14ac:dyDescent="0.2">
      <c r="B1344" s="615"/>
      <c r="Y1344" s="626"/>
    </row>
    <row r="1345" spans="2:25" s="426" customFormat="1" ht="12.75" x14ac:dyDescent="0.2">
      <c r="B1345" s="615"/>
      <c r="Y1345" s="626"/>
    </row>
    <row r="1346" spans="2:25" s="426" customFormat="1" ht="12.75" x14ac:dyDescent="0.2">
      <c r="B1346" s="615"/>
      <c r="Y1346" s="626"/>
    </row>
    <row r="1347" spans="2:25" s="426" customFormat="1" ht="12.75" x14ac:dyDescent="0.2">
      <c r="B1347" s="615"/>
      <c r="Y1347" s="626"/>
    </row>
    <row r="1348" spans="2:25" s="426" customFormat="1" ht="12.75" x14ac:dyDescent="0.2">
      <c r="B1348" s="615"/>
      <c r="Y1348" s="626"/>
    </row>
    <row r="1349" spans="2:25" s="426" customFormat="1" ht="12.75" x14ac:dyDescent="0.2">
      <c r="B1349" s="615"/>
      <c r="Y1349" s="626"/>
    </row>
    <row r="1350" spans="2:25" s="426" customFormat="1" ht="12.75" x14ac:dyDescent="0.2">
      <c r="B1350" s="615"/>
      <c r="Y1350" s="626"/>
    </row>
    <row r="1351" spans="2:25" s="426" customFormat="1" ht="12.75" x14ac:dyDescent="0.2">
      <c r="B1351" s="615"/>
      <c r="Y1351" s="626"/>
    </row>
    <row r="1352" spans="2:25" s="426" customFormat="1" ht="12.75" x14ac:dyDescent="0.2">
      <c r="B1352" s="615"/>
      <c r="Y1352" s="626"/>
    </row>
    <row r="1353" spans="2:25" s="426" customFormat="1" ht="12.75" x14ac:dyDescent="0.2">
      <c r="B1353" s="615"/>
      <c r="Y1353" s="626"/>
    </row>
    <row r="1354" spans="2:25" s="426" customFormat="1" ht="12.75" x14ac:dyDescent="0.2">
      <c r="B1354" s="615"/>
      <c r="Y1354" s="626"/>
    </row>
    <row r="1355" spans="2:25" s="426" customFormat="1" ht="12.75" x14ac:dyDescent="0.2">
      <c r="B1355" s="615"/>
      <c r="Y1355" s="626"/>
    </row>
    <row r="1356" spans="2:25" s="426" customFormat="1" ht="12.75" x14ac:dyDescent="0.2">
      <c r="B1356" s="615"/>
      <c r="Y1356" s="626"/>
    </row>
    <row r="1357" spans="2:25" s="426" customFormat="1" ht="12.75" x14ac:dyDescent="0.2">
      <c r="B1357" s="615"/>
      <c r="Y1357" s="626"/>
    </row>
    <row r="1358" spans="2:25" s="426" customFormat="1" ht="12.75" x14ac:dyDescent="0.2">
      <c r="B1358" s="615"/>
      <c r="Y1358" s="626"/>
    </row>
    <row r="1359" spans="2:25" s="426" customFormat="1" ht="12.75" x14ac:dyDescent="0.2">
      <c r="B1359" s="615"/>
      <c r="Y1359" s="626"/>
    </row>
    <row r="1360" spans="2:25" s="426" customFormat="1" ht="12.75" x14ac:dyDescent="0.2">
      <c r="B1360" s="615"/>
      <c r="Y1360" s="626"/>
    </row>
    <row r="1361" spans="2:25" s="426" customFormat="1" ht="12.75" x14ac:dyDescent="0.2">
      <c r="B1361" s="615"/>
      <c r="Y1361" s="626"/>
    </row>
    <row r="1362" spans="2:25" s="426" customFormat="1" ht="12.75" x14ac:dyDescent="0.2">
      <c r="B1362" s="615"/>
      <c r="Y1362" s="626"/>
    </row>
    <row r="1363" spans="2:25" s="426" customFormat="1" ht="12.75" x14ac:dyDescent="0.2">
      <c r="B1363" s="615"/>
      <c r="Y1363" s="626"/>
    </row>
    <row r="1364" spans="2:25" s="426" customFormat="1" ht="12.75" x14ac:dyDescent="0.2">
      <c r="B1364" s="615"/>
      <c r="Y1364" s="626"/>
    </row>
    <row r="1365" spans="2:25" s="426" customFormat="1" ht="12.75" x14ac:dyDescent="0.2">
      <c r="B1365" s="615"/>
      <c r="Y1365" s="626"/>
    </row>
    <row r="1366" spans="2:25" s="426" customFormat="1" ht="12.75" x14ac:dyDescent="0.2">
      <c r="B1366" s="615"/>
      <c r="Y1366" s="626"/>
    </row>
    <row r="1367" spans="2:25" s="426" customFormat="1" ht="12.75" x14ac:dyDescent="0.2">
      <c r="B1367" s="615"/>
      <c r="Y1367" s="626"/>
    </row>
    <row r="1368" spans="2:25" s="426" customFormat="1" ht="12.75" x14ac:dyDescent="0.2">
      <c r="B1368" s="615"/>
      <c r="Y1368" s="626"/>
    </row>
    <row r="1369" spans="2:25" s="426" customFormat="1" ht="12.75" x14ac:dyDescent="0.2">
      <c r="B1369" s="615"/>
      <c r="Y1369" s="626"/>
    </row>
    <row r="1370" spans="2:25" s="426" customFormat="1" ht="12.75" x14ac:dyDescent="0.2">
      <c r="B1370" s="615"/>
      <c r="Y1370" s="626"/>
    </row>
    <row r="1371" spans="2:25" s="426" customFormat="1" ht="12.75" x14ac:dyDescent="0.2">
      <c r="B1371" s="615"/>
      <c r="Y1371" s="626"/>
    </row>
    <row r="1372" spans="2:25" s="426" customFormat="1" ht="12.75" x14ac:dyDescent="0.2">
      <c r="B1372" s="615"/>
      <c r="Y1372" s="626"/>
    </row>
    <row r="1373" spans="2:25" s="426" customFormat="1" ht="12.75" x14ac:dyDescent="0.2">
      <c r="B1373" s="615"/>
      <c r="Y1373" s="626"/>
    </row>
    <row r="1374" spans="2:25" s="426" customFormat="1" ht="12.75" x14ac:dyDescent="0.2">
      <c r="B1374" s="615"/>
      <c r="Y1374" s="626"/>
    </row>
    <row r="1375" spans="2:25" s="426" customFormat="1" ht="12.75" x14ac:dyDescent="0.2">
      <c r="B1375" s="615"/>
      <c r="Y1375" s="626"/>
    </row>
    <row r="1376" spans="2:25" s="426" customFormat="1" ht="12.75" x14ac:dyDescent="0.2">
      <c r="B1376" s="615"/>
      <c r="Y1376" s="626"/>
    </row>
    <row r="1377" spans="2:25" s="426" customFormat="1" ht="12.75" x14ac:dyDescent="0.2">
      <c r="B1377" s="615"/>
      <c r="Y1377" s="626"/>
    </row>
    <row r="1378" spans="2:25" s="426" customFormat="1" ht="12.75" x14ac:dyDescent="0.2">
      <c r="B1378" s="615"/>
      <c r="Y1378" s="626"/>
    </row>
    <row r="1379" spans="2:25" s="426" customFormat="1" ht="12.75" x14ac:dyDescent="0.2">
      <c r="B1379" s="615"/>
      <c r="Y1379" s="626"/>
    </row>
    <row r="1380" spans="2:25" s="426" customFormat="1" ht="12.75" x14ac:dyDescent="0.2">
      <c r="B1380" s="615"/>
      <c r="Y1380" s="626"/>
    </row>
    <row r="1381" spans="2:25" s="426" customFormat="1" ht="12.75" x14ac:dyDescent="0.2">
      <c r="B1381" s="615"/>
      <c r="Y1381" s="626"/>
    </row>
    <row r="1382" spans="2:25" s="426" customFormat="1" ht="12.75" x14ac:dyDescent="0.2">
      <c r="B1382" s="615"/>
      <c r="Y1382" s="626"/>
    </row>
    <row r="1383" spans="2:25" s="426" customFormat="1" ht="12.75" x14ac:dyDescent="0.2">
      <c r="B1383" s="615"/>
      <c r="Y1383" s="626"/>
    </row>
    <row r="1384" spans="2:25" s="426" customFormat="1" ht="12.75" x14ac:dyDescent="0.2">
      <c r="B1384" s="615"/>
      <c r="Y1384" s="626"/>
    </row>
    <row r="1385" spans="2:25" s="426" customFormat="1" ht="12.75" x14ac:dyDescent="0.2">
      <c r="B1385" s="615"/>
      <c r="Y1385" s="626"/>
    </row>
    <row r="1386" spans="2:25" s="426" customFormat="1" ht="12.75" x14ac:dyDescent="0.2">
      <c r="B1386" s="615"/>
      <c r="Y1386" s="626"/>
    </row>
    <row r="1387" spans="2:25" s="426" customFormat="1" ht="12.75" x14ac:dyDescent="0.2">
      <c r="B1387" s="615"/>
      <c r="Y1387" s="626"/>
    </row>
    <row r="1388" spans="2:25" s="426" customFormat="1" ht="12.75" x14ac:dyDescent="0.2">
      <c r="B1388" s="615"/>
      <c r="Y1388" s="626"/>
    </row>
    <row r="1389" spans="2:25" s="426" customFormat="1" ht="12.75" x14ac:dyDescent="0.2">
      <c r="B1389" s="615"/>
      <c r="Y1389" s="626"/>
    </row>
    <row r="1390" spans="2:25" s="426" customFormat="1" ht="12.75" x14ac:dyDescent="0.2">
      <c r="B1390" s="615"/>
      <c r="Y1390" s="626"/>
    </row>
    <row r="1391" spans="2:25" s="426" customFormat="1" ht="12.75" x14ac:dyDescent="0.2">
      <c r="B1391" s="615"/>
      <c r="Y1391" s="626"/>
    </row>
    <row r="1392" spans="2:25" s="426" customFormat="1" ht="12.75" x14ac:dyDescent="0.2">
      <c r="B1392" s="615"/>
      <c r="Y1392" s="626"/>
    </row>
    <row r="1393" spans="2:25" s="426" customFormat="1" ht="12.75" x14ac:dyDescent="0.2">
      <c r="B1393" s="615"/>
      <c r="Y1393" s="626"/>
    </row>
    <row r="1394" spans="2:25" s="426" customFormat="1" ht="12.75" x14ac:dyDescent="0.2">
      <c r="B1394" s="615"/>
      <c r="Y1394" s="626"/>
    </row>
    <row r="1395" spans="2:25" s="426" customFormat="1" ht="12.75" x14ac:dyDescent="0.2">
      <c r="B1395" s="615"/>
      <c r="Y1395" s="626"/>
    </row>
    <row r="1396" spans="2:25" s="426" customFormat="1" ht="12.75" x14ac:dyDescent="0.2">
      <c r="B1396" s="615"/>
      <c r="Y1396" s="626"/>
    </row>
    <row r="1397" spans="2:25" s="426" customFormat="1" ht="12.75" x14ac:dyDescent="0.2">
      <c r="B1397" s="615"/>
      <c r="Y1397" s="626"/>
    </row>
    <row r="1398" spans="2:25" s="426" customFormat="1" ht="12.75" x14ac:dyDescent="0.2">
      <c r="B1398" s="615"/>
      <c r="Y1398" s="626"/>
    </row>
    <row r="1399" spans="2:25" s="426" customFormat="1" ht="12.75" x14ac:dyDescent="0.2">
      <c r="B1399" s="615"/>
      <c r="Y1399" s="626"/>
    </row>
    <row r="1400" spans="2:25" s="426" customFormat="1" ht="12.75" x14ac:dyDescent="0.2">
      <c r="B1400" s="615"/>
      <c r="Y1400" s="626"/>
    </row>
    <row r="1401" spans="2:25" s="426" customFormat="1" ht="12.75" x14ac:dyDescent="0.2">
      <c r="B1401" s="615"/>
      <c r="Y1401" s="626"/>
    </row>
    <row r="1402" spans="2:25" s="426" customFormat="1" ht="12.75" x14ac:dyDescent="0.2">
      <c r="B1402" s="615"/>
      <c r="Y1402" s="626"/>
    </row>
    <row r="1403" spans="2:25" s="426" customFormat="1" ht="12.75" x14ac:dyDescent="0.2">
      <c r="B1403" s="615"/>
      <c r="Y1403" s="626"/>
    </row>
    <row r="1404" spans="2:25" s="426" customFormat="1" ht="12.75" x14ac:dyDescent="0.2">
      <c r="B1404" s="615"/>
      <c r="Y1404" s="626"/>
    </row>
    <row r="1405" spans="2:25" s="426" customFormat="1" ht="12.75" x14ac:dyDescent="0.2">
      <c r="B1405" s="615"/>
      <c r="Y1405" s="626"/>
    </row>
    <row r="1406" spans="2:25" s="426" customFormat="1" ht="12.75" x14ac:dyDescent="0.2">
      <c r="B1406" s="615"/>
      <c r="Y1406" s="626"/>
    </row>
    <row r="1407" spans="2:25" s="426" customFormat="1" ht="12.75" x14ac:dyDescent="0.2">
      <c r="B1407" s="615"/>
      <c r="Y1407" s="626"/>
    </row>
    <row r="1408" spans="2:25" s="426" customFormat="1" ht="12.75" x14ac:dyDescent="0.2">
      <c r="B1408" s="615"/>
      <c r="Y1408" s="626"/>
    </row>
    <row r="1409" spans="2:25" s="426" customFormat="1" ht="12.75" x14ac:dyDescent="0.2">
      <c r="B1409" s="615"/>
      <c r="Y1409" s="626"/>
    </row>
    <row r="1410" spans="2:25" s="426" customFormat="1" ht="12.75" x14ac:dyDescent="0.2">
      <c r="B1410" s="615"/>
      <c r="Y1410" s="626"/>
    </row>
    <row r="1411" spans="2:25" s="426" customFormat="1" ht="12.75" x14ac:dyDescent="0.2">
      <c r="B1411" s="615"/>
      <c r="Y1411" s="626"/>
    </row>
    <row r="1412" spans="2:25" s="426" customFormat="1" ht="12.75" x14ac:dyDescent="0.2">
      <c r="B1412" s="615"/>
      <c r="Y1412" s="626"/>
    </row>
    <row r="1413" spans="2:25" s="426" customFormat="1" ht="12.75" x14ac:dyDescent="0.2">
      <c r="B1413" s="615"/>
      <c r="Y1413" s="626"/>
    </row>
    <row r="1414" spans="2:25" s="426" customFormat="1" ht="12.75" x14ac:dyDescent="0.2">
      <c r="B1414" s="615"/>
      <c r="Y1414" s="626"/>
    </row>
    <row r="1415" spans="2:25" s="426" customFormat="1" ht="12.75" x14ac:dyDescent="0.2">
      <c r="B1415" s="615"/>
      <c r="Y1415" s="626"/>
    </row>
    <row r="1416" spans="2:25" s="426" customFormat="1" ht="12.75" x14ac:dyDescent="0.2">
      <c r="B1416" s="615"/>
      <c r="Y1416" s="626"/>
    </row>
    <row r="1417" spans="2:25" s="426" customFormat="1" ht="12.75" x14ac:dyDescent="0.2">
      <c r="B1417" s="615"/>
      <c r="Y1417" s="626"/>
    </row>
    <row r="1418" spans="2:25" s="426" customFormat="1" ht="12.75" x14ac:dyDescent="0.2">
      <c r="B1418" s="615"/>
      <c r="Y1418" s="626"/>
    </row>
    <row r="1419" spans="2:25" s="426" customFormat="1" ht="12.75" x14ac:dyDescent="0.2">
      <c r="B1419" s="615"/>
      <c r="Y1419" s="626"/>
    </row>
    <row r="1420" spans="2:25" s="426" customFormat="1" ht="12.75" x14ac:dyDescent="0.2">
      <c r="B1420" s="615"/>
      <c r="Y1420" s="626"/>
    </row>
    <row r="1421" spans="2:25" s="426" customFormat="1" ht="12.75" x14ac:dyDescent="0.2">
      <c r="B1421" s="615"/>
      <c r="Y1421" s="626"/>
    </row>
    <row r="1422" spans="2:25" s="426" customFormat="1" ht="12.75" x14ac:dyDescent="0.2">
      <c r="B1422" s="615"/>
      <c r="Y1422" s="626"/>
    </row>
    <row r="1423" spans="2:25" s="426" customFormat="1" ht="12.75" x14ac:dyDescent="0.2">
      <c r="B1423" s="615"/>
      <c r="Y1423" s="626"/>
    </row>
    <row r="1424" spans="2:25" s="426" customFormat="1" ht="12.75" x14ac:dyDescent="0.2">
      <c r="B1424" s="615"/>
      <c r="Y1424" s="626"/>
    </row>
    <row r="1425" spans="2:25" s="426" customFormat="1" ht="12.75" x14ac:dyDescent="0.2">
      <c r="B1425" s="615"/>
      <c r="Y1425" s="626"/>
    </row>
    <row r="1426" spans="2:25" s="426" customFormat="1" ht="12.75" x14ac:dyDescent="0.2">
      <c r="B1426" s="615"/>
      <c r="Y1426" s="626"/>
    </row>
    <row r="1427" spans="2:25" s="426" customFormat="1" ht="12.75" x14ac:dyDescent="0.2">
      <c r="B1427" s="615"/>
      <c r="Y1427" s="626"/>
    </row>
    <row r="1428" spans="2:25" s="426" customFormat="1" ht="12.75" x14ac:dyDescent="0.2">
      <c r="B1428" s="615"/>
      <c r="Y1428" s="626"/>
    </row>
    <row r="1429" spans="2:25" s="426" customFormat="1" ht="12.75" x14ac:dyDescent="0.2">
      <c r="B1429" s="615"/>
      <c r="Y1429" s="626"/>
    </row>
    <row r="1430" spans="2:25" s="426" customFormat="1" ht="12.75" x14ac:dyDescent="0.2">
      <c r="B1430" s="615"/>
      <c r="Y1430" s="626"/>
    </row>
    <row r="1431" spans="2:25" s="426" customFormat="1" ht="12.75" x14ac:dyDescent="0.2">
      <c r="B1431" s="615"/>
      <c r="Y1431" s="626"/>
    </row>
    <row r="1432" spans="2:25" s="426" customFormat="1" ht="12.75" x14ac:dyDescent="0.2">
      <c r="B1432" s="615"/>
      <c r="Y1432" s="626"/>
    </row>
    <row r="1433" spans="2:25" s="426" customFormat="1" ht="12.75" x14ac:dyDescent="0.2">
      <c r="B1433" s="615"/>
      <c r="Y1433" s="626"/>
    </row>
    <row r="1434" spans="2:25" s="426" customFormat="1" ht="12.75" x14ac:dyDescent="0.2">
      <c r="B1434" s="615"/>
      <c r="Y1434" s="626"/>
    </row>
    <row r="1435" spans="2:25" s="426" customFormat="1" ht="12.75" x14ac:dyDescent="0.2">
      <c r="B1435" s="615"/>
      <c r="Y1435" s="626"/>
    </row>
    <row r="1436" spans="2:25" s="426" customFormat="1" ht="12.75" x14ac:dyDescent="0.2">
      <c r="B1436" s="615"/>
      <c r="Y1436" s="626"/>
    </row>
    <row r="1437" spans="2:25" s="426" customFormat="1" ht="12.75" x14ac:dyDescent="0.2">
      <c r="B1437" s="615"/>
      <c r="Y1437" s="626"/>
    </row>
    <row r="1438" spans="2:25" s="426" customFormat="1" ht="12.75" x14ac:dyDescent="0.2">
      <c r="B1438" s="615"/>
      <c r="Y1438" s="626"/>
    </row>
    <row r="1439" spans="2:25" s="426" customFormat="1" ht="12.75" x14ac:dyDescent="0.2">
      <c r="B1439" s="615"/>
      <c r="Y1439" s="626"/>
    </row>
    <row r="1440" spans="2:25" s="426" customFormat="1" ht="12.75" x14ac:dyDescent="0.2">
      <c r="B1440" s="615"/>
      <c r="Y1440" s="626"/>
    </row>
    <row r="1441" spans="2:25" s="426" customFormat="1" ht="12.75" x14ac:dyDescent="0.2">
      <c r="B1441" s="615"/>
      <c r="Y1441" s="626"/>
    </row>
    <row r="1442" spans="2:25" s="426" customFormat="1" ht="12.75" x14ac:dyDescent="0.2">
      <c r="B1442" s="615"/>
      <c r="Y1442" s="626"/>
    </row>
    <row r="1443" spans="2:25" s="426" customFormat="1" ht="12.75" x14ac:dyDescent="0.2">
      <c r="B1443" s="615"/>
      <c r="Y1443" s="626"/>
    </row>
    <row r="1444" spans="2:25" s="426" customFormat="1" ht="12.75" x14ac:dyDescent="0.2">
      <c r="B1444" s="615"/>
      <c r="Y1444" s="626"/>
    </row>
    <row r="1445" spans="2:25" s="426" customFormat="1" ht="12.75" x14ac:dyDescent="0.2">
      <c r="B1445" s="615"/>
      <c r="Y1445" s="626"/>
    </row>
    <row r="1446" spans="2:25" s="426" customFormat="1" ht="12.75" x14ac:dyDescent="0.2">
      <c r="B1446" s="615"/>
      <c r="Y1446" s="626"/>
    </row>
    <row r="1447" spans="2:25" s="426" customFormat="1" ht="12.75" x14ac:dyDescent="0.2">
      <c r="B1447" s="615"/>
      <c r="Y1447" s="626"/>
    </row>
    <row r="1448" spans="2:25" s="426" customFormat="1" ht="12.75" x14ac:dyDescent="0.2">
      <c r="B1448" s="615"/>
      <c r="Y1448" s="626"/>
    </row>
    <row r="1449" spans="2:25" s="426" customFormat="1" ht="12.75" x14ac:dyDescent="0.2">
      <c r="B1449" s="615"/>
      <c r="Y1449" s="626"/>
    </row>
    <row r="1450" spans="2:25" s="426" customFormat="1" ht="12.75" x14ac:dyDescent="0.2">
      <c r="B1450" s="615"/>
      <c r="Y1450" s="626"/>
    </row>
    <row r="1451" spans="2:25" s="426" customFormat="1" ht="12.75" x14ac:dyDescent="0.2">
      <c r="B1451" s="615"/>
      <c r="Y1451" s="626"/>
    </row>
    <row r="1452" spans="2:25" s="426" customFormat="1" ht="12.75" x14ac:dyDescent="0.2">
      <c r="B1452" s="615"/>
      <c r="Y1452" s="626"/>
    </row>
    <row r="1453" spans="2:25" s="426" customFormat="1" ht="12.75" x14ac:dyDescent="0.2">
      <c r="B1453" s="615"/>
      <c r="Y1453" s="626"/>
    </row>
    <row r="1454" spans="2:25" s="426" customFormat="1" ht="12.75" x14ac:dyDescent="0.2">
      <c r="B1454" s="615"/>
      <c r="Y1454" s="626"/>
    </row>
    <row r="1455" spans="2:25" s="426" customFormat="1" ht="12.75" x14ac:dyDescent="0.2">
      <c r="B1455" s="615"/>
      <c r="Y1455" s="626"/>
    </row>
    <row r="1456" spans="2:25" s="426" customFormat="1" ht="12.75" x14ac:dyDescent="0.2">
      <c r="B1456" s="615"/>
      <c r="Y1456" s="626"/>
    </row>
    <row r="1457" spans="2:25" s="426" customFormat="1" ht="12.75" x14ac:dyDescent="0.2">
      <c r="B1457" s="615"/>
      <c r="Y1457" s="626"/>
    </row>
    <row r="1458" spans="2:25" s="426" customFormat="1" ht="12.75" x14ac:dyDescent="0.2">
      <c r="B1458" s="615"/>
      <c r="Y1458" s="626"/>
    </row>
    <row r="1459" spans="2:25" s="426" customFormat="1" ht="12.75" x14ac:dyDescent="0.2">
      <c r="B1459" s="615"/>
      <c r="Y1459" s="626"/>
    </row>
    <row r="1460" spans="2:25" s="426" customFormat="1" ht="12.75" x14ac:dyDescent="0.2">
      <c r="B1460" s="615"/>
      <c r="Y1460" s="626"/>
    </row>
    <row r="1461" spans="2:25" s="426" customFormat="1" ht="12.75" x14ac:dyDescent="0.2">
      <c r="B1461" s="615"/>
      <c r="Y1461" s="626"/>
    </row>
    <row r="1462" spans="2:25" s="426" customFormat="1" ht="12.75" x14ac:dyDescent="0.2">
      <c r="B1462" s="615"/>
      <c r="Y1462" s="626"/>
    </row>
    <row r="1463" spans="2:25" s="426" customFormat="1" ht="12.75" x14ac:dyDescent="0.2">
      <c r="B1463" s="615"/>
      <c r="Y1463" s="626"/>
    </row>
    <row r="1464" spans="2:25" s="426" customFormat="1" ht="12.75" x14ac:dyDescent="0.2">
      <c r="B1464" s="615"/>
      <c r="Y1464" s="626"/>
    </row>
    <row r="1465" spans="2:25" s="426" customFormat="1" ht="12.75" x14ac:dyDescent="0.2">
      <c r="B1465" s="615"/>
      <c r="Y1465" s="626"/>
    </row>
    <row r="1466" spans="2:25" s="426" customFormat="1" ht="12.75" x14ac:dyDescent="0.2">
      <c r="B1466" s="615"/>
      <c r="Y1466" s="626"/>
    </row>
    <row r="1467" spans="2:25" s="426" customFormat="1" ht="12.75" x14ac:dyDescent="0.2">
      <c r="B1467" s="615"/>
      <c r="Y1467" s="626"/>
    </row>
    <row r="1468" spans="2:25" s="426" customFormat="1" ht="12.75" x14ac:dyDescent="0.2">
      <c r="B1468" s="615"/>
      <c r="Y1468" s="626"/>
    </row>
    <row r="1469" spans="2:25" s="426" customFormat="1" ht="12.75" x14ac:dyDescent="0.2">
      <c r="B1469" s="615"/>
      <c r="Y1469" s="626"/>
    </row>
    <row r="1470" spans="2:25" s="426" customFormat="1" ht="12.75" x14ac:dyDescent="0.2">
      <c r="B1470" s="615"/>
      <c r="Y1470" s="626"/>
    </row>
    <row r="1471" spans="2:25" s="426" customFormat="1" ht="12.75" x14ac:dyDescent="0.2">
      <c r="B1471" s="615"/>
      <c r="Y1471" s="626"/>
    </row>
    <row r="1472" spans="2:25" s="426" customFormat="1" ht="12.75" x14ac:dyDescent="0.2">
      <c r="B1472" s="615"/>
      <c r="Y1472" s="626"/>
    </row>
    <row r="1473" spans="2:25" s="426" customFormat="1" ht="12.75" x14ac:dyDescent="0.2">
      <c r="B1473" s="615"/>
      <c r="Y1473" s="626"/>
    </row>
    <row r="1474" spans="2:25" s="426" customFormat="1" ht="12.75" x14ac:dyDescent="0.2">
      <c r="B1474" s="615"/>
      <c r="Y1474" s="626"/>
    </row>
    <row r="1475" spans="2:25" s="426" customFormat="1" ht="12.75" x14ac:dyDescent="0.2">
      <c r="B1475" s="615"/>
      <c r="Y1475" s="626"/>
    </row>
    <row r="1476" spans="2:25" s="426" customFormat="1" ht="12.75" x14ac:dyDescent="0.2">
      <c r="B1476" s="615"/>
      <c r="Y1476" s="626"/>
    </row>
    <row r="1477" spans="2:25" s="426" customFormat="1" ht="12.75" x14ac:dyDescent="0.2">
      <c r="B1477" s="615"/>
      <c r="Y1477" s="626"/>
    </row>
    <row r="1478" spans="2:25" s="426" customFormat="1" ht="12.75" x14ac:dyDescent="0.2">
      <c r="B1478" s="615"/>
      <c r="Y1478" s="626"/>
    </row>
    <row r="1479" spans="2:25" s="426" customFormat="1" ht="12.75" x14ac:dyDescent="0.2">
      <c r="B1479" s="615"/>
      <c r="Y1479" s="626"/>
    </row>
    <row r="1480" spans="2:25" s="426" customFormat="1" ht="12.75" x14ac:dyDescent="0.2">
      <c r="B1480" s="615"/>
      <c r="Y1480" s="626"/>
    </row>
    <row r="1481" spans="2:25" s="426" customFormat="1" ht="12.75" x14ac:dyDescent="0.2">
      <c r="B1481" s="615"/>
      <c r="Y1481" s="626"/>
    </row>
    <row r="1482" spans="2:25" s="426" customFormat="1" ht="12.75" x14ac:dyDescent="0.2">
      <c r="B1482" s="615"/>
      <c r="Y1482" s="626"/>
    </row>
    <row r="1483" spans="2:25" s="426" customFormat="1" ht="12.75" x14ac:dyDescent="0.2">
      <c r="B1483" s="615"/>
      <c r="Y1483" s="626"/>
    </row>
    <row r="1484" spans="2:25" s="426" customFormat="1" ht="12.75" x14ac:dyDescent="0.2">
      <c r="B1484" s="615"/>
      <c r="Y1484" s="626"/>
    </row>
    <row r="1485" spans="2:25" s="426" customFormat="1" ht="12.75" x14ac:dyDescent="0.2">
      <c r="B1485" s="615"/>
      <c r="Y1485" s="626"/>
    </row>
    <row r="1486" spans="2:25" s="426" customFormat="1" ht="12.75" x14ac:dyDescent="0.2">
      <c r="B1486" s="615"/>
      <c r="Y1486" s="626"/>
    </row>
    <row r="1487" spans="2:25" s="426" customFormat="1" ht="12.75" x14ac:dyDescent="0.2">
      <c r="B1487" s="615"/>
      <c r="Y1487" s="626"/>
    </row>
    <row r="1488" spans="2:25" s="426" customFormat="1" ht="12.75" x14ac:dyDescent="0.2">
      <c r="B1488" s="615"/>
      <c r="Y1488" s="626"/>
    </row>
    <row r="1489" spans="2:25" s="426" customFormat="1" ht="12.75" x14ac:dyDescent="0.2">
      <c r="B1489" s="615"/>
      <c r="Y1489" s="626"/>
    </row>
    <row r="1490" spans="2:25" s="426" customFormat="1" ht="12.75" x14ac:dyDescent="0.2">
      <c r="B1490" s="615"/>
      <c r="Y1490" s="626"/>
    </row>
    <row r="1491" spans="2:25" s="426" customFormat="1" ht="12.75" x14ac:dyDescent="0.2">
      <c r="B1491" s="615"/>
      <c r="Y1491" s="626"/>
    </row>
    <row r="1492" spans="2:25" s="426" customFormat="1" ht="12.75" x14ac:dyDescent="0.2">
      <c r="B1492" s="615"/>
      <c r="Y1492" s="626"/>
    </row>
    <row r="1493" spans="2:25" s="426" customFormat="1" ht="12.75" x14ac:dyDescent="0.2">
      <c r="B1493" s="615"/>
      <c r="Y1493" s="626"/>
    </row>
    <row r="1494" spans="2:25" s="426" customFormat="1" ht="12.75" x14ac:dyDescent="0.2">
      <c r="B1494" s="615"/>
      <c r="Y1494" s="626"/>
    </row>
    <row r="1495" spans="2:25" s="426" customFormat="1" ht="12.75" x14ac:dyDescent="0.2">
      <c r="B1495" s="615"/>
      <c r="Y1495" s="626"/>
    </row>
    <row r="1496" spans="2:25" s="426" customFormat="1" ht="12.75" x14ac:dyDescent="0.2">
      <c r="B1496" s="615"/>
      <c r="Y1496" s="626"/>
    </row>
    <row r="1497" spans="2:25" s="426" customFormat="1" ht="12.75" x14ac:dyDescent="0.2">
      <c r="B1497" s="615"/>
      <c r="Y1497" s="626"/>
    </row>
    <row r="1498" spans="2:25" s="426" customFormat="1" ht="12.75" x14ac:dyDescent="0.2">
      <c r="B1498" s="615"/>
      <c r="Y1498" s="626"/>
    </row>
    <row r="1499" spans="2:25" s="426" customFormat="1" ht="12.75" x14ac:dyDescent="0.2">
      <c r="B1499" s="615"/>
      <c r="Y1499" s="626"/>
    </row>
    <row r="1500" spans="2:25" s="426" customFormat="1" ht="12.75" x14ac:dyDescent="0.2">
      <c r="B1500" s="615"/>
      <c r="Y1500" s="626"/>
    </row>
    <row r="1501" spans="2:25" s="426" customFormat="1" ht="12.75" x14ac:dyDescent="0.2">
      <c r="B1501" s="615"/>
      <c r="Y1501" s="626"/>
    </row>
    <row r="1502" spans="2:25" s="426" customFormat="1" ht="12.75" x14ac:dyDescent="0.2">
      <c r="B1502" s="615"/>
      <c r="Y1502" s="626"/>
    </row>
    <row r="1503" spans="2:25" s="426" customFormat="1" ht="12.75" x14ac:dyDescent="0.2">
      <c r="B1503" s="615"/>
      <c r="Y1503" s="626"/>
    </row>
    <row r="1504" spans="2:25" s="426" customFormat="1" ht="12.75" x14ac:dyDescent="0.2">
      <c r="B1504" s="615"/>
      <c r="Y1504" s="626"/>
    </row>
    <row r="1505" spans="2:25" s="426" customFormat="1" ht="12.75" x14ac:dyDescent="0.2">
      <c r="B1505" s="615"/>
      <c r="Y1505" s="626"/>
    </row>
    <row r="1506" spans="2:25" s="426" customFormat="1" ht="12.75" x14ac:dyDescent="0.2">
      <c r="B1506" s="615"/>
      <c r="Y1506" s="626"/>
    </row>
    <row r="1507" spans="2:25" s="426" customFormat="1" ht="12.75" x14ac:dyDescent="0.2">
      <c r="B1507" s="615"/>
      <c r="Y1507" s="626"/>
    </row>
    <row r="1508" spans="2:25" s="426" customFormat="1" ht="12.75" x14ac:dyDescent="0.2">
      <c r="B1508" s="615"/>
      <c r="Y1508" s="626"/>
    </row>
    <row r="1509" spans="2:25" s="426" customFormat="1" ht="12.75" x14ac:dyDescent="0.2">
      <c r="B1509" s="615"/>
      <c r="Y1509" s="626"/>
    </row>
    <row r="1510" spans="2:25" s="426" customFormat="1" ht="12.75" x14ac:dyDescent="0.2">
      <c r="B1510" s="615"/>
      <c r="Y1510" s="626"/>
    </row>
    <row r="1511" spans="2:25" s="426" customFormat="1" ht="12.75" x14ac:dyDescent="0.2">
      <c r="B1511" s="615"/>
      <c r="Y1511" s="626"/>
    </row>
    <row r="1512" spans="2:25" s="426" customFormat="1" ht="12.75" x14ac:dyDescent="0.2">
      <c r="B1512" s="615"/>
      <c r="Y1512" s="626"/>
    </row>
    <row r="1513" spans="2:25" s="426" customFormat="1" ht="12.75" x14ac:dyDescent="0.2">
      <c r="B1513" s="615"/>
      <c r="Y1513" s="626"/>
    </row>
    <row r="1514" spans="2:25" s="426" customFormat="1" ht="12.75" x14ac:dyDescent="0.2">
      <c r="B1514" s="615"/>
      <c r="Y1514" s="626"/>
    </row>
    <row r="1515" spans="2:25" s="426" customFormat="1" ht="12.75" x14ac:dyDescent="0.2">
      <c r="B1515" s="615"/>
      <c r="Y1515" s="626"/>
    </row>
    <row r="1516" spans="2:25" s="426" customFormat="1" ht="12.75" x14ac:dyDescent="0.2">
      <c r="B1516" s="615"/>
      <c r="Y1516" s="626"/>
    </row>
    <row r="1517" spans="2:25" s="426" customFormat="1" ht="12.75" x14ac:dyDescent="0.2">
      <c r="B1517" s="615"/>
      <c r="Y1517" s="626"/>
    </row>
    <row r="1518" spans="2:25" s="426" customFormat="1" ht="12.75" x14ac:dyDescent="0.2">
      <c r="B1518" s="615"/>
      <c r="Y1518" s="626"/>
    </row>
    <row r="1519" spans="2:25" s="426" customFormat="1" ht="12.75" x14ac:dyDescent="0.2">
      <c r="B1519" s="615"/>
      <c r="Y1519" s="626"/>
    </row>
    <row r="1520" spans="2:25" s="426" customFormat="1" ht="12.75" x14ac:dyDescent="0.2">
      <c r="B1520" s="615"/>
      <c r="Y1520" s="626"/>
    </row>
    <row r="1521" spans="2:25" s="426" customFormat="1" ht="12.75" x14ac:dyDescent="0.2">
      <c r="B1521" s="615"/>
      <c r="Y1521" s="626"/>
    </row>
    <row r="1522" spans="2:25" s="426" customFormat="1" ht="12.75" x14ac:dyDescent="0.2">
      <c r="B1522" s="615"/>
      <c r="Y1522" s="626"/>
    </row>
    <row r="1523" spans="2:25" s="426" customFormat="1" ht="12.75" x14ac:dyDescent="0.2">
      <c r="B1523" s="615"/>
      <c r="Y1523" s="626"/>
    </row>
    <row r="1524" spans="2:25" s="426" customFormat="1" ht="12.75" x14ac:dyDescent="0.2">
      <c r="B1524" s="615"/>
      <c r="Y1524" s="626"/>
    </row>
    <row r="1525" spans="2:25" s="426" customFormat="1" ht="12.75" x14ac:dyDescent="0.2">
      <c r="B1525" s="615"/>
      <c r="Y1525" s="626"/>
    </row>
    <row r="1526" spans="2:25" s="426" customFormat="1" ht="12.75" x14ac:dyDescent="0.2">
      <c r="B1526" s="615"/>
      <c r="Y1526" s="626"/>
    </row>
    <row r="1527" spans="2:25" s="426" customFormat="1" ht="12.75" x14ac:dyDescent="0.2">
      <c r="B1527" s="615"/>
      <c r="Y1527" s="626"/>
    </row>
    <row r="1528" spans="2:25" s="426" customFormat="1" ht="12.75" x14ac:dyDescent="0.2">
      <c r="B1528" s="615"/>
      <c r="Y1528" s="626"/>
    </row>
    <row r="1529" spans="2:25" s="426" customFormat="1" ht="12.75" x14ac:dyDescent="0.2">
      <c r="B1529" s="615"/>
      <c r="Y1529" s="626"/>
    </row>
    <row r="1530" spans="2:25" s="426" customFormat="1" ht="12.75" x14ac:dyDescent="0.2">
      <c r="B1530" s="615"/>
      <c r="Y1530" s="626"/>
    </row>
    <row r="1531" spans="2:25" s="426" customFormat="1" ht="12.75" x14ac:dyDescent="0.2">
      <c r="B1531" s="615"/>
      <c r="Y1531" s="626"/>
    </row>
    <row r="1532" spans="2:25" s="426" customFormat="1" ht="12.75" x14ac:dyDescent="0.2">
      <c r="B1532" s="615"/>
      <c r="Y1532" s="626"/>
    </row>
    <row r="1533" spans="2:25" s="426" customFormat="1" ht="12.75" x14ac:dyDescent="0.2">
      <c r="B1533" s="615"/>
      <c r="Y1533" s="626"/>
    </row>
    <row r="1534" spans="2:25" s="426" customFormat="1" ht="12.75" x14ac:dyDescent="0.2">
      <c r="B1534" s="615"/>
      <c r="Y1534" s="626"/>
    </row>
    <row r="1535" spans="2:25" s="426" customFormat="1" ht="12.75" x14ac:dyDescent="0.2">
      <c r="B1535" s="615"/>
      <c r="Y1535" s="626"/>
    </row>
    <row r="1536" spans="2:25" s="426" customFormat="1" ht="12.75" x14ac:dyDescent="0.2">
      <c r="B1536" s="615"/>
      <c r="Y1536" s="626"/>
    </row>
    <row r="1537" spans="2:25" s="426" customFormat="1" ht="12.75" x14ac:dyDescent="0.2">
      <c r="B1537" s="615"/>
      <c r="Y1537" s="626"/>
    </row>
    <row r="1538" spans="2:25" s="426" customFormat="1" ht="12.75" x14ac:dyDescent="0.2">
      <c r="B1538" s="615"/>
      <c r="Y1538" s="626"/>
    </row>
    <row r="1539" spans="2:25" s="426" customFormat="1" ht="12.75" x14ac:dyDescent="0.2">
      <c r="B1539" s="615"/>
      <c r="Y1539" s="626"/>
    </row>
    <row r="1540" spans="2:25" s="426" customFormat="1" ht="12.75" x14ac:dyDescent="0.2">
      <c r="B1540" s="615"/>
      <c r="Y1540" s="626"/>
    </row>
    <row r="1541" spans="2:25" s="426" customFormat="1" ht="12.75" x14ac:dyDescent="0.2">
      <c r="B1541" s="615"/>
      <c r="Y1541" s="626"/>
    </row>
    <row r="1542" spans="2:25" s="426" customFormat="1" ht="12.75" x14ac:dyDescent="0.2">
      <c r="B1542" s="615"/>
      <c r="Y1542" s="626"/>
    </row>
    <row r="1543" spans="2:25" s="426" customFormat="1" ht="12.75" x14ac:dyDescent="0.2">
      <c r="B1543" s="615"/>
      <c r="Y1543" s="626"/>
    </row>
    <row r="1544" spans="2:25" s="426" customFormat="1" ht="12.75" x14ac:dyDescent="0.2">
      <c r="B1544" s="615"/>
      <c r="Y1544" s="626"/>
    </row>
    <row r="1545" spans="2:25" s="426" customFormat="1" ht="12.75" x14ac:dyDescent="0.2">
      <c r="B1545" s="615"/>
      <c r="Y1545" s="626"/>
    </row>
    <row r="1546" spans="2:25" s="426" customFormat="1" ht="12.75" x14ac:dyDescent="0.2">
      <c r="B1546" s="615"/>
      <c r="Y1546" s="626"/>
    </row>
    <row r="1547" spans="2:25" s="426" customFormat="1" ht="12.75" x14ac:dyDescent="0.2">
      <c r="B1547" s="615"/>
      <c r="Y1547" s="626"/>
    </row>
    <row r="1548" spans="2:25" s="426" customFormat="1" ht="12.75" x14ac:dyDescent="0.2">
      <c r="B1548" s="615"/>
      <c r="Y1548" s="626"/>
    </row>
    <row r="1549" spans="2:25" s="426" customFormat="1" ht="12.75" x14ac:dyDescent="0.2">
      <c r="B1549" s="615"/>
      <c r="Y1549" s="626"/>
    </row>
    <row r="1550" spans="2:25" s="426" customFormat="1" ht="12.75" x14ac:dyDescent="0.2">
      <c r="B1550" s="615"/>
      <c r="Y1550" s="626"/>
    </row>
    <row r="1551" spans="2:25" s="426" customFormat="1" ht="12.75" x14ac:dyDescent="0.2">
      <c r="B1551" s="615"/>
      <c r="Y1551" s="626"/>
    </row>
    <row r="1552" spans="2:25" s="426" customFormat="1" ht="12.75" x14ac:dyDescent="0.2">
      <c r="B1552" s="615"/>
      <c r="Y1552" s="626"/>
    </row>
    <row r="1553" spans="2:25" s="426" customFormat="1" ht="12.75" x14ac:dyDescent="0.2">
      <c r="B1553" s="615"/>
      <c r="Y1553" s="626"/>
    </row>
    <row r="1554" spans="2:25" s="426" customFormat="1" ht="12.75" x14ac:dyDescent="0.2">
      <c r="B1554" s="615"/>
      <c r="Y1554" s="626"/>
    </row>
    <row r="1555" spans="2:25" s="426" customFormat="1" ht="12.75" x14ac:dyDescent="0.2">
      <c r="B1555" s="615"/>
      <c r="Y1555" s="626"/>
    </row>
    <row r="1556" spans="2:25" s="426" customFormat="1" ht="12.75" x14ac:dyDescent="0.2">
      <c r="B1556" s="615"/>
      <c r="Y1556" s="626"/>
    </row>
    <row r="1557" spans="2:25" s="426" customFormat="1" ht="12.75" x14ac:dyDescent="0.2">
      <c r="B1557" s="615"/>
      <c r="Y1557" s="626"/>
    </row>
    <row r="1558" spans="2:25" s="426" customFormat="1" ht="12.75" x14ac:dyDescent="0.2">
      <c r="B1558" s="615"/>
      <c r="Y1558" s="626"/>
    </row>
    <row r="1559" spans="2:25" s="426" customFormat="1" ht="12.75" x14ac:dyDescent="0.2">
      <c r="B1559" s="615"/>
      <c r="Y1559" s="626"/>
    </row>
    <row r="1560" spans="2:25" s="426" customFormat="1" ht="12.75" x14ac:dyDescent="0.2">
      <c r="B1560" s="615"/>
      <c r="Y1560" s="626"/>
    </row>
    <row r="1561" spans="2:25" s="426" customFormat="1" ht="12.75" x14ac:dyDescent="0.2">
      <c r="B1561" s="615"/>
      <c r="Y1561" s="626"/>
    </row>
    <row r="1562" spans="2:25" s="426" customFormat="1" ht="12.75" x14ac:dyDescent="0.2">
      <c r="B1562" s="615"/>
      <c r="Y1562" s="626"/>
    </row>
    <row r="1563" spans="2:25" s="426" customFormat="1" ht="12.75" x14ac:dyDescent="0.2">
      <c r="B1563" s="615"/>
      <c r="Y1563" s="626"/>
    </row>
    <row r="1564" spans="2:25" s="426" customFormat="1" ht="12.75" x14ac:dyDescent="0.2">
      <c r="B1564" s="615"/>
      <c r="Y1564" s="626"/>
    </row>
    <row r="1565" spans="2:25" s="426" customFormat="1" ht="12.75" x14ac:dyDescent="0.2">
      <c r="B1565" s="615"/>
      <c r="Y1565" s="626"/>
    </row>
    <row r="1566" spans="2:25" s="426" customFormat="1" ht="12.75" x14ac:dyDescent="0.2">
      <c r="B1566" s="615"/>
      <c r="Y1566" s="626"/>
    </row>
    <row r="1567" spans="2:25" s="426" customFormat="1" ht="12.75" x14ac:dyDescent="0.2">
      <c r="B1567" s="615"/>
      <c r="Y1567" s="626"/>
    </row>
    <row r="1568" spans="2:25" s="426" customFormat="1" ht="12.75" x14ac:dyDescent="0.2">
      <c r="B1568" s="615"/>
      <c r="Y1568" s="626"/>
    </row>
    <row r="1569" spans="2:25" s="426" customFormat="1" ht="12.75" x14ac:dyDescent="0.2">
      <c r="B1569" s="615"/>
      <c r="Y1569" s="626"/>
    </row>
    <row r="1570" spans="2:25" s="426" customFormat="1" ht="12.75" x14ac:dyDescent="0.2">
      <c r="B1570" s="615"/>
      <c r="Y1570" s="626"/>
    </row>
    <row r="1571" spans="2:25" s="426" customFormat="1" ht="12.75" x14ac:dyDescent="0.2">
      <c r="B1571" s="615"/>
      <c r="Y1571" s="626"/>
    </row>
    <row r="1572" spans="2:25" s="426" customFormat="1" ht="12.75" x14ac:dyDescent="0.2">
      <c r="B1572" s="615"/>
      <c r="Y1572" s="626"/>
    </row>
  </sheetData>
  <mergeCells count="30">
    <mergeCell ref="B738:C738"/>
    <mergeCell ref="B1070:D1070"/>
    <mergeCell ref="B654:C654"/>
    <mergeCell ref="AA667:AA671"/>
    <mergeCell ref="AA672:AA684"/>
    <mergeCell ref="AA685:AA688"/>
    <mergeCell ref="M720:N720"/>
    <mergeCell ref="B737:C737"/>
    <mergeCell ref="F737:G737"/>
    <mergeCell ref="B653:C653"/>
    <mergeCell ref="F653:G653"/>
    <mergeCell ref="S178:V178"/>
    <mergeCell ref="H181:I181"/>
    <mergeCell ref="D225:E225"/>
    <mergeCell ref="F225:G225"/>
    <mergeCell ref="D236:E236"/>
    <mergeCell ref="F236:G236"/>
    <mergeCell ref="B240:G240"/>
    <mergeCell ref="B273:C273"/>
    <mergeCell ref="D273:E273"/>
    <mergeCell ref="E339:F339"/>
    <mergeCell ref="G339:H339"/>
    <mergeCell ref="C27:D27"/>
    <mergeCell ref="AG44:AM44"/>
    <mergeCell ref="AO44:AP44"/>
    <mergeCell ref="AD47:AE47"/>
    <mergeCell ref="E75:F75"/>
    <mergeCell ref="G75:H75"/>
    <mergeCell ref="I75:J75"/>
    <mergeCell ref="K75:P75"/>
  </mergeCells>
  <printOptions gridLines="1"/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EDD5-0D18-4A6D-A99F-75F28EA1517B}">
  <dimension ref="A4:P132"/>
  <sheetViews>
    <sheetView workbookViewId="0"/>
  </sheetViews>
  <sheetFormatPr defaultRowHeight="15" x14ac:dyDescent="0.25"/>
  <cols>
    <col min="2" max="2" style="2" width="8.7109375"/>
    <col min="3" max="3" customWidth="true" width="18.7109375"/>
    <col min="4" max="4" customWidth="true" width="14.85546875"/>
    <col min="7" max="7" customWidth="true" width="16.85546875"/>
    <col min="8" max="8" customWidth="true" width="16.5703125"/>
    <col min="9" max="9" customWidth="true" width="16.140625"/>
    <col min="10" max="10" customWidth="true" width="15.42578125"/>
    <col min="11" max="11" customWidth="true" width="14.28515625"/>
    <col min="12" max="12" customWidth="true" width="14.42578125"/>
    <col min="13" max="13" customWidth="true" width="14.140625"/>
    <col min="14" max="14" customWidth="true" width="16.0"/>
    <col min="15" max="15" customWidth="true" width="15.7109375"/>
    <col min="16" max="16" customWidth="true" width="15.140625"/>
  </cols>
  <sheetData>
    <row r="4" spans="1:16" x14ac:dyDescent="0.25">
      <c r="A4" s="21"/>
      <c r="B4" s="473" t="str">
        <f>VLOOKUP(BLO!B6,$A$5:$D$70,2,0)</f>
        <v>B</v>
      </c>
      <c r="C4" s="23" t="str">
        <f>VLOOKUP(BLO!B6,$A$5:$D$70,3,0)</f>
        <v>Wit extra sterk</v>
      </c>
      <c r="D4" s="472" t="str">
        <f>VLOOKUP(BLO!B6,$A$5:$D$70,4,0)</f>
        <v>BKT14WS</v>
      </c>
      <c r="G4" t="s">
        <v>39</v>
      </c>
      <c r="H4" s="2">
        <f>IF(H5='Input (3)'!$B$3,1,0)</f>
        <v>0</v>
      </c>
      <c r="I4" s="2">
        <f>IF(I5='Input (3)'!$B$3,1,0)</f>
        <v>1</v>
      </c>
      <c r="J4" s="2">
        <f>IF(J5='Input (3)'!$B$3,1,0)</f>
        <v>0</v>
      </c>
      <c r="K4" s="2">
        <f>IF(K5='Input (3)'!$B$3,1,0)</f>
        <v>0</v>
      </c>
      <c r="L4" s="2">
        <f>IF(L5='Input (3)'!$B$3,1,0)</f>
        <v>0</v>
      </c>
      <c r="M4" s="2">
        <f>IF(M5='Input (3)'!$B$3,1,0)</f>
        <v>0</v>
      </c>
      <c r="N4" s="2">
        <f>IF(N5='Input (3)'!$B$3,1,0)</f>
        <v>0</v>
      </c>
      <c r="O4" s="2">
        <f>IF(O5='Input (3)'!$B$3,1,0)</f>
        <v>0</v>
      </c>
      <c r="P4" s="2">
        <f>IF(P5='Input (3)'!$B$3,1,0)</f>
        <v>0</v>
      </c>
    </row>
    <row r="5" spans="1:16" x14ac:dyDescent="0.25">
      <c r="A5" s="13" t="s">
        <v>28</v>
      </c>
      <c r="B5" s="432" t="s">
        <v>0</v>
      </c>
      <c r="C5" s="343" t="s">
        <v>27</v>
      </c>
      <c r="D5" s="436" t="s">
        <v>29</v>
      </c>
      <c r="G5" s="11"/>
      <c r="H5" s="3" t="s">
        <v>30</v>
      </c>
      <c r="I5" s="4" t="s">
        <v>31</v>
      </c>
      <c r="J5" s="4" t="s">
        <v>32</v>
      </c>
      <c r="K5" s="4" t="s">
        <v>34</v>
      </c>
      <c r="L5" s="4" t="s">
        <v>33</v>
      </c>
      <c r="M5" s="4" t="s">
        <v>35</v>
      </c>
      <c r="N5" s="4" t="s">
        <v>36</v>
      </c>
      <c r="O5" s="4" t="s">
        <v>37</v>
      </c>
      <c r="P5" s="5" t="s">
        <v>38</v>
      </c>
    </row>
    <row r="6" spans="1:16" x14ac:dyDescent="0.25">
      <c r="A6" s="1125">
        <v>10095</v>
      </c>
      <c r="B6" s="1126" t="s">
        <v>30</v>
      </c>
      <c r="C6" s="822" t="s">
        <v>97</v>
      </c>
      <c r="D6" s="823" t="s">
        <v>410</v>
      </c>
      <c r="F6">
        <v>3</v>
      </c>
      <c r="G6" s="12" t="str">
        <f t="shared" ref="G6:G23" si="0">HLOOKUP(1,$H$4:$Q$24,F6,FALSE)</f>
        <v>Bruin budget</v>
      </c>
      <c r="H6" s="6" t="s">
        <v>97</v>
      </c>
      <c r="I6" t="s">
        <v>97</v>
      </c>
      <c r="J6" t="s">
        <v>97</v>
      </c>
      <c r="K6" t="s">
        <v>40</v>
      </c>
      <c r="L6" t="s">
        <v>97</v>
      </c>
      <c r="M6" t="s">
        <v>97</v>
      </c>
      <c r="N6" t="s">
        <v>97</v>
      </c>
      <c r="O6" t="s">
        <v>40</v>
      </c>
      <c r="P6" s="7" t="s">
        <v>97</v>
      </c>
    </row>
    <row r="7" spans="1:16" x14ac:dyDescent="0.25">
      <c r="A7" s="1125">
        <v>10097</v>
      </c>
      <c r="B7" s="29" t="s">
        <v>30</v>
      </c>
      <c r="C7" s="789" t="s">
        <v>40</v>
      </c>
      <c r="D7" s="55" t="s">
        <v>413</v>
      </c>
      <c r="F7">
        <v>4</v>
      </c>
      <c r="G7" s="12" t="str">
        <f t="shared" si="0"/>
        <v>Bruin standaard</v>
      </c>
      <c r="H7" s="6" t="s">
        <v>40</v>
      </c>
      <c r="I7" t="s">
        <v>40</v>
      </c>
      <c r="J7" t="s">
        <v>40</v>
      </c>
      <c r="K7" t="str">
        <f t="shared" ref="K7:K10" si="1">" "</f>
        <v xml:space="preserve"> </v>
      </c>
      <c r="L7" t="s">
        <v>40</v>
      </c>
      <c r="M7" t="s">
        <v>40</v>
      </c>
      <c r="N7" t="s">
        <v>40</v>
      </c>
      <c r="O7" t="s">
        <v>889</v>
      </c>
      <c r="P7" s="7" t="s">
        <v>40</v>
      </c>
    </row>
    <row r="8" spans="1:16" x14ac:dyDescent="0.25">
      <c r="A8" s="1125">
        <v>10134</v>
      </c>
      <c r="B8" s="29" t="s">
        <v>30</v>
      </c>
      <c r="C8" s="789" t="s">
        <v>889</v>
      </c>
      <c r="D8" s="55" t="s">
        <v>424</v>
      </c>
      <c r="F8">
        <v>5</v>
      </c>
      <c r="G8" s="12" t="str">
        <f t="shared" si="0"/>
        <v>bruin extra sterk</v>
      </c>
      <c r="H8" s="6" t="s">
        <v>887</v>
      </c>
      <c r="I8" t="s">
        <v>887</v>
      </c>
      <c r="J8" t="s">
        <v>887</v>
      </c>
      <c r="K8" t="str">
        <f t="shared" si="1"/>
        <v xml:space="preserve"> </v>
      </c>
      <c r="L8" t="s">
        <v>98</v>
      </c>
      <c r="M8" t="s">
        <v>41</v>
      </c>
      <c r="N8" t="s">
        <v>887</v>
      </c>
      <c r="O8" t="str">
        <f t="shared" ref="O8" si="2">" "</f>
        <v xml:space="preserve"> </v>
      </c>
      <c r="P8" s="7" t="s">
        <v>887</v>
      </c>
    </row>
    <row r="9" spans="1:16" x14ac:dyDescent="0.25">
      <c r="A9" s="1125">
        <v>10099</v>
      </c>
      <c r="B9" s="29" t="s">
        <v>30</v>
      </c>
      <c r="C9" s="789" t="s">
        <v>41</v>
      </c>
      <c r="D9" s="55" t="s">
        <v>417</v>
      </c>
      <c r="F9">
        <v>6</v>
      </c>
      <c r="G9" s="12" t="str">
        <f t="shared" si="0"/>
        <v>Wit standaard</v>
      </c>
      <c r="H9" s="6" t="s">
        <v>41</v>
      </c>
      <c r="I9" t="s">
        <v>41</v>
      </c>
      <c r="J9" t="s">
        <v>41</v>
      </c>
      <c r="K9" t="str">
        <f t="shared" si="1"/>
        <v xml:space="preserve"> </v>
      </c>
      <c r="L9" t="s">
        <v>41</v>
      </c>
      <c r="M9" t="str">
        <f t="shared" ref="M9:P9" si="3">" "</f>
        <v xml:space="preserve"> </v>
      </c>
      <c r="N9" t="s">
        <v>41</v>
      </c>
      <c r="O9" t="str">
        <f t="shared" si="3"/>
        <v xml:space="preserve"> </v>
      </c>
      <c r="P9" s="7" t="str">
        <f t="shared" si="3"/>
        <v xml:space="preserve"> </v>
      </c>
    </row>
    <row r="10" spans="1:16" x14ac:dyDescent="0.25">
      <c r="A10" s="1125">
        <v>10131</v>
      </c>
      <c r="B10" s="29" t="s">
        <v>30</v>
      </c>
      <c r="C10" s="789" t="s">
        <v>888</v>
      </c>
      <c r="D10" s="55" t="s">
        <v>426</v>
      </c>
      <c r="F10">
        <v>7</v>
      </c>
      <c r="G10" s="12" t="str">
        <f t="shared" si="0"/>
        <v>Wit extra sterk</v>
      </c>
      <c r="H10" s="6" t="s">
        <v>888</v>
      </c>
      <c r="I10" t="s">
        <v>888</v>
      </c>
      <c r="J10" t="str">
        <f t="shared" ref="J10:P10" si="4">" "</f>
        <v xml:space="preserve"> </v>
      </c>
      <c r="K10" t="str">
        <f t="shared" si="1"/>
        <v xml:space="preserve"> </v>
      </c>
      <c r="L10" t="str">
        <f t="shared" si="4"/>
        <v xml:space="preserve"> </v>
      </c>
      <c r="M10" t="str">
        <f t="shared" si="4"/>
        <v xml:space="preserve"> </v>
      </c>
      <c r="N10" t="str">
        <f t="shared" si="4"/>
        <v xml:space="preserve"> </v>
      </c>
      <c r="O10" t="str">
        <f t="shared" si="4"/>
        <v xml:space="preserve"> </v>
      </c>
      <c r="P10" s="7" t="str">
        <f t="shared" si="4"/>
        <v xml:space="preserve"> </v>
      </c>
    </row>
    <row r="11" spans="1:16" x14ac:dyDescent="0.25">
      <c r="A11" s="1125">
        <v>10326</v>
      </c>
      <c r="B11" s="29" t="s">
        <v>31</v>
      </c>
      <c r="C11" s="789" t="s">
        <v>97</v>
      </c>
      <c r="D11" s="55" t="s">
        <v>278</v>
      </c>
      <c r="F11">
        <v>8</v>
      </c>
      <c r="G11" s="12" t="str">
        <f t="shared" si="0"/>
        <v xml:space="preserve"> </v>
      </c>
      <c r="H11" s="6" t="str">
        <f t="shared" ref="H11:P23" si="5">" "</f>
        <v xml:space="preserve"> </v>
      </c>
      <c r="I11" t="str">
        <f>" "</f>
        <v xml:space="preserve"> </v>
      </c>
      <c r="J11" t="str">
        <f t="shared" si="5"/>
        <v xml:space="preserve"> </v>
      </c>
      <c r="K11" t="str">
        <f t="shared" si="5"/>
        <v xml:space="preserve"> </v>
      </c>
      <c r="L11" t="str">
        <f t="shared" si="5"/>
        <v xml:space="preserve"> </v>
      </c>
      <c r="M11" t="str">
        <f t="shared" si="5"/>
        <v xml:space="preserve"> </v>
      </c>
      <c r="N11" t="str">
        <f t="shared" si="5"/>
        <v xml:space="preserve"> </v>
      </c>
      <c r="O11" t="str">
        <f t="shared" si="5"/>
        <v xml:space="preserve"> </v>
      </c>
      <c r="P11" s="7" t="str">
        <f t="shared" si="5"/>
        <v xml:space="preserve"> </v>
      </c>
    </row>
    <row r="12" spans="1:16" x14ac:dyDescent="0.25">
      <c r="A12" s="1125">
        <v>10005</v>
      </c>
      <c r="B12" s="29" t="s">
        <v>31</v>
      </c>
      <c r="C12" s="789" t="s">
        <v>40</v>
      </c>
      <c r="D12" s="55" t="s">
        <v>43</v>
      </c>
      <c r="F12">
        <v>9</v>
      </c>
      <c r="G12" s="12" t="str">
        <f t="shared" si="0"/>
        <v xml:space="preserve"> </v>
      </c>
      <c r="H12" s="6" t="str">
        <f t="shared" si="5"/>
        <v xml:space="preserve"> </v>
      </c>
      <c r="I12" t="str">
        <f t="shared" si="5"/>
        <v xml:space="preserve"> </v>
      </c>
      <c r="J12" t="str">
        <f t="shared" si="5"/>
        <v xml:space="preserve"> </v>
      </c>
      <c r="K12" t="str">
        <f t="shared" si="5"/>
        <v xml:space="preserve"> </v>
      </c>
      <c r="L12" t="str">
        <f t="shared" si="5"/>
        <v xml:space="preserve"> </v>
      </c>
      <c r="M12" t="str">
        <f t="shared" si="5"/>
        <v xml:space="preserve"> </v>
      </c>
      <c r="N12" t="str">
        <f t="shared" si="5"/>
        <v xml:space="preserve"> </v>
      </c>
      <c r="O12" t="str">
        <f t="shared" si="5"/>
        <v xml:space="preserve"> </v>
      </c>
      <c r="P12" s="7" t="str">
        <f t="shared" si="5"/>
        <v xml:space="preserve"> </v>
      </c>
    </row>
    <row r="13" spans="1:16" x14ac:dyDescent="0.25">
      <c r="A13" s="1125">
        <v>10017</v>
      </c>
      <c r="B13" s="29" t="s">
        <v>31</v>
      </c>
      <c r="C13" s="789" t="s">
        <v>887</v>
      </c>
      <c r="D13" s="55" t="s">
        <v>44</v>
      </c>
      <c r="F13">
        <v>10</v>
      </c>
      <c r="G13" s="12" t="str">
        <f t="shared" si="0"/>
        <v xml:space="preserve"> </v>
      </c>
      <c r="H13" s="6" t="str">
        <f t="shared" si="5"/>
        <v xml:space="preserve"> </v>
      </c>
      <c r="I13" t="str">
        <f t="shared" si="5"/>
        <v xml:space="preserve"> </v>
      </c>
      <c r="J13" t="str">
        <f t="shared" si="5"/>
        <v xml:space="preserve"> </v>
      </c>
      <c r="K13" t="str">
        <f t="shared" si="5"/>
        <v xml:space="preserve"> </v>
      </c>
      <c r="L13" t="str">
        <f t="shared" si="5"/>
        <v xml:space="preserve"> </v>
      </c>
      <c r="M13" t="str">
        <f t="shared" si="5"/>
        <v xml:space="preserve"> </v>
      </c>
      <c r="N13" t="str">
        <f t="shared" si="5"/>
        <v xml:space="preserve"> </v>
      </c>
      <c r="O13" t="str">
        <f t="shared" si="5"/>
        <v xml:space="preserve"> </v>
      </c>
      <c r="P13" s="7" t="str">
        <f t="shared" si="5"/>
        <v xml:space="preserve"> </v>
      </c>
    </row>
    <row r="14" spans="1:16" x14ac:dyDescent="0.25">
      <c r="A14" s="1125">
        <v>10002</v>
      </c>
      <c r="B14" s="29" t="s">
        <v>31</v>
      </c>
      <c r="C14" s="789" t="s">
        <v>41</v>
      </c>
      <c r="D14" s="55" t="s">
        <v>45</v>
      </c>
      <c r="F14">
        <v>11</v>
      </c>
      <c r="G14" s="12" t="str">
        <f t="shared" si="0"/>
        <v xml:space="preserve"> </v>
      </c>
      <c r="H14" s="6" t="str">
        <f t="shared" si="5"/>
        <v xml:space="preserve"> </v>
      </c>
      <c r="I14" t="str">
        <f t="shared" si="5"/>
        <v xml:space="preserve"> </v>
      </c>
      <c r="J14" t="str">
        <f t="shared" si="5"/>
        <v xml:space="preserve"> </v>
      </c>
      <c r="K14" t="str">
        <f t="shared" si="5"/>
        <v xml:space="preserve"> </v>
      </c>
      <c r="L14" t="str">
        <f t="shared" si="5"/>
        <v xml:space="preserve"> </v>
      </c>
      <c r="M14" t="str">
        <f t="shared" si="5"/>
        <v xml:space="preserve"> </v>
      </c>
      <c r="N14" t="str">
        <f t="shared" si="5"/>
        <v xml:space="preserve"> </v>
      </c>
      <c r="O14" t="str">
        <f t="shared" si="5"/>
        <v xml:space="preserve"> </v>
      </c>
      <c r="P14" s="7" t="str">
        <f t="shared" si="5"/>
        <v xml:space="preserve"> </v>
      </c>
    </row>
    <row r="15" spans="1:16" x14ac:dyDescent="0.25">
      <c r="A15" s="1125">
        <v>10010</v>
      </c>
      <c r="B15" s="29" t="s">
        <v>31</v>
      </c>
      <c r="C15" s="789" t="s">
        <v>888</v>
      </c>
      <c r="D15" s="55" t="s">
        <v>46</v>
      </c>
      <c r="F15">
        <v>12</v>
      </c>
      <c r="G15" s="12" t="str">
        <f t="shared" si="0"/>
        <v xml:space="preserve"> </v>
      </c>
      <c r="H15" s="6" t="str">
        <f t="shared" si="5"/>
        <v xml:space="preserve"> </v>
      </c>
      <c r="I15" t="str">
        <f t="shared" si="5"/>
        <v xml:space="preserve"> </v>
      </c>
      <c r="J15" t="str">
        <f t="shared" si="5"/>
        <v xml:space="preserve"> </v>
      </c>
      <c r="K15" t="str">
        <f t="shared" si="5"/>
        <v xml:space="preserve"> </v>
      </c>
      <c r="L15" t="str">
        <f t="shared" si="5"/>
        <v xml:space="preserve"> </v>
      </c>
      <c r="M15" t="str">
        <f t="shared" si="5"/>
        <v xml:space="preserve"> </v>
      </c>
      <c r="N15" t="str">
        <f t="shared" si="5"/>
        <v xml:space="preserve"> </v>
      </c>
      <c r="O15" t="str">
        <f t="shared" si="5"/>
        <v xml:space="preserve"> </v>
      </c>
      <c r="P15" s="7" t="str">
        <f t="shared" si="5"/>
        <v xml:space="preserve"> </v>
      </c>
    </row>
    <row r="16" spans="1:16" x14ac:dyDescent="0.25">
      <c r="A16" s="1125">
        <v>10053</v>
      </c>
      <c r="B16" s="29" t="s">
        <v>32</v>
      </c>
      <c r="C16" s="789" t="s">
        <v>97</v>
      </c>
      <c r="D16" s="55" t="s">
        <v>371</v>
      </c>
      <c r="F16">
        <v>13</v>
      </c>
      <c r="G16" s="12" t="str">
        <f t="shared" si="0"/>
        <v xml:space="preserve"> </v>
      </c>
      <c r="H16" s="6" t="str">
        <f t="shared" si="5"/>
        <v xml:space="preserve"> </v>
      </c>
      <c r="I16" t="str">
        <f t="shared" si="5"/>
        <v xml:space="preserve"> </v>
      </c>
      <c r="J16" t="str">
        <f t="shared" si="5"/>
        <v xml:space="preserve"> </v>
      </c>
      <c r="K16" t="str">
        <f t="shared" si="5"/>
        <v xml:space="preserve"> </v>
      </c>
      <c r="L16" t="str">
        <f t="shared" si="5"/>
        <v xml:space="preserve"> </v>
      </c>
      <c r="M16" t="str">
        <f t="shared" si="5"/>
        <v xml:space="preserve"> </v>
      </c>
      <c r="N16" t="str">
        <f t="shared" si="5"/>
        <v xml:space="preserve"> </v>
      </c>
      <c r="O16" t="str">
        <f t="shared" si="5"/>
        <v xml:space="preserve"> </v>
      </c>
      <c r="P16" s="7" t="str">
        <f t="shared" si="5"/>
        <v xml:space="preserve"> </v>
      </c>
    </row>
    <row r="17" spans="1:16" x14ac:dyDescent="0.25">
      <c r="A17" s="1125">
        <v>10193</v>
      </c>
      <c r="B17" s="29" t="s">
        <v>32</v>
      </c>
      <c r="C17" s="789" t="s">
        <v>40</v>
      </c>
      <c r="D17" s="55" t="s">
        <v>379</v>
      </c>
      <c r="F17">
        <v>14</v>
      </c>
      <c r="G17" s="12" t="str">
        <f t="shared" si="0"/>
        <v xml:space="preserve"> </v>
      </c>
      <c r="H17" s="6" t="str">
        <f t="shared" si="5"/>
        <v xml:space="preserve"> </v>
      </c>
      <c r="I17" t="str">
        <f t="shared" si="5"/>
        <v xml:space="preserve"> </v>
      </c>
      <c r="J17" t="str">
        <f t="shared" si="5"/>
        <v xml:space="preserve"> </v>
      </c>
      <c r="K17" t="str">
        <f t="shared" si="5"/>
        <v xml:space="preserve"> </v>
      </c>
      <c r="L17" t="str">
        <f t="shared" si="5"/>
        <v xml:space="preserve"> </v>
      </c>
      <c r="M17" t="str">
        <f t="shared" si="5"/>
        <v xml:space="preserve"> </v>
      </c>
      <c r="N17" t="str">
        <f t="shared" si="5"/>
        <v xml:space="preserve"> </v>
      </c>
      <c r="O17" t="str">
        <f t="shared" si="5"/>
        <v xml:space="preserve"> </v>
      </c>
      <c r="P17" s="7" t="str">
        <f t="shared" si="5"/>
        <v xml:space="preserve"> </v>
      </c>
    </row>
    <row r="18" spans="1:16" x14ac:dyDescent="0.25">
      <c r="A18" s="1125">
        <v>10050</v>
      </c>
      <c r="B18" s="29" t="s">
        <v>32</v>
      </c>
      <c r="C18" s="789" t="s">
        <v>889</v>
      </c>
      <c r="D18" s="55" t="s">
        <v>385</v>
      </c>
      <c r="F18">
        <v>15</v>
      </c>
      <c r="G18" s="12" t="str">
        <f t="shared" si="0"/>
        <v xml:space="preserve"> </v>
      </c>
      <c r="H18" s="6" t="str">
        <f t="shared" si="5"/>
        <v xml:space="preserve"> </v>
      </c>
      <c r="I18" t="str">
        <f t="shared" si="5"/>
        <v xml:space="preserve"> </v>
      </c>
      <c r="J18" t="str">
        <f t="shared" si="5"/>
        <v xml:space="preserve"> </v>
      </c>
      <c r="K18" t="str">
        <f t="shared" si="5"/>
        <v xml:space="preserve"> </v>
      </c>
      <c r="L18" t="str">
        <f t="shared" si="5"/>
        <v xml:space="preserve"> </v>
      </c>
      <c r="M18" t="str">
        <f t="shared" si="5"/>
        <v xml:space="preserve"> </v>
      </c>
      <c r="N18" t="str">
        <f t="shared" si="5"/>
        <v xml:space="preserve"> </v>
      </c>
      <c r="O18" t="str">
        <f t="shared" si="5"/>
        <v xml:space="preserve"> </v>
      </c>
      <c r="P18" s="7" t="str">
        <f t="shared" si="5"/>
        <v xml:space="preserve"> </v>
      </c>
    </row>
    <row r="19" spans="1:16" x14ac:dyDescent="0.25">
      <c r="A19" s="1125">
        <v>10221</v>
      </c>
      <c r="B19" s="29" t="s">
        <v>32</v>
      </c>
      <c r="C19" s="789" t="s">
        <v>41</v>
      </c>
      <c r="D19" s="55" t="s">
        <v>390</v>
      </c>
      <c r="F19">
        <v>16</v>
      </c>
      <c r="G19" s="12" t="str">
        <f t="shared" si="0"/>
        <v xml:space="preserve"> </v>
      </c>
      <c r="H19" s="6" t="str">
        <f t="shared" si="5"/>
        <v xml:space="preserve"> </v>
      </c>
      <c r="I19" t="str">
        <f t="shared" si="5"/>
        <v xml:space="preserve"> </v>
      </c>
      <c r="J19" t="str">
        <f t="shared" si="5"/>
        <v xml:space="preserve"> </v>
      </c>
      <c r="K19" t="str">
        <f t="shared" si="5"/>
        <v xml:space="preserve"> </v>
      </c>
      <c r="L19" t="str">
        <f t="shared" si="5"/>
        <v xml:space="preserve"> </v>
      </c>
      <c r="M19" t="str">
        <f t="shared" si="5"/>
        <v xml:space="preserve"> </v>
      </c>
      <c r="N19" t="str">
        <f t="shared" si="5"/>
        <v xml:space="preserve"> </v>
      </c>
      <c r="O19" t="str">
        <f t="shared" si="5"/>
        <v xml:space="preserve"> </v>
      </c>
      <c r="P19" s="7" t="str">
        <f t="shared" si="5"/>
        <v xml:space="preserve"> </v>
      </c>
    </row>
    <row r="20" spans="1:16" x14ac:dyDescent="0.25">
      <c r="A20" s="1125">
        <v>10339</v>
      </c>
      <c r="B20" s="29" t="s">
        <v>34</v>
      </c>
      <c r="C20" s="789" t="s">
        <v>40</v>
      </c>
      <c r="D20" s="55" t="s">
        <v>1087</v>
      </c>
      <c r="F20">
        <v>17</v>
      </c>
      <c r="G20" s="12" t="str">
        <f t="shared" si="0"/>
        <v xml:space="preserve"> </v>
      </c>
      <c r="H20" s="6" t="str">
        <f t="shared" si="5"/>
        <v xml:space="preserve"> </v>
      </c>
      <c r="I20" t="str">
        <f t="shared" si="5"/>
        <v xml:space="preserve"> </v>
      </c>
      <c r="J20" t="str">
        <f t="shared" si="5"/>
        <v xml:space="preserve"> </v>
      </c>
      <c r="K20" t="str">
        <f t="shared" si="5"/>
        <v xml:space="preserve"> </v>
      </c>
      <c r="L20" t="str">
        <f t="shared" si="5"/>
        <v xml:space="preserve"> </v>
      </c>
      <c r="M20" t="str">
        <f t="shared" si="5"/>
        <v xml:space="preserve"> </v>
      </c>
      <c r="N20" t="str">
        <f t="shared" si="5"/>
        <v xml:space="preserve"> </v>
      </c>
      <c r="O20" t="str">
        <f t="shared" si="5"/>
        <v xml:space="preserve"> </v>
      </c>
      <c r="P20" s="7" t="str">
        <f t="shared" si="5"/>
        <v xml:space="preserve"> </v>
      </c>
    </row>
    <row r="21" spans="1:16" x14ac:dyDescent="0.25">
      <c r="A21" s="1125">
        <v>10335</v>
      </c>
      <c r="B21" s="29" t="s">
        <v>33</v>
      </c>
      <c r="C21" s="789" t="s">
        <v>97</v>
      </c>
      <c r="D21" s="55" t="s">
        <v>441</v>
      </c>
      <c r="F21">
        <v>18</v>
      </c>
      <c r="G21" s="12" t="str">
        <f t="shared" si="0"/>
        <v xml:space="preserve"> </v>
      </c>
      <c r="H21" s="6" t="str">
        <f t="shared" si="5"/>
        <v xml:space="preserve"> </v>
      </c>
      <c r="I21" t="str">
        <f t="shared" si="5"/>
        <v xml:space="preserve"> </v>
      </c>
      <c r="J21" t="str">
        <f t="shared" si="5"/>
        <v xml:space="preserve"> </v>
      </c>
      <c r="K21" t="str">
        <f t="shared" si="5"/>
        <v xml:space="preserve"> </v>
      </c>
      <c r="L21" t="str">
        <f t="shared" si="5"/>
        <v xml:space="preserve"> </v>
      </c>
      <c r="M21" t="str">
        <f t="shared" si="5"/>
        <v xml:space="preserve"> </v>
      </c>
      <c r="N21" t="str">
        <f t="shared" si="5"/>
        <v xml:space="preserve"> </v>
      </c>
      <c r="O21" t="str">
        <f t="shared" si="5"/>
        <v xml:space="preserve"> </v>
      </c>
      <c r="P21" s="7" t="str">
        <f t="shared" si="5"/>
        <v xml:space="preserve"> </v>
      </c>
    </row>
    <row r="22" spans="1:16" x14ac:dyDescent="0.25">
      <c r="A22" s="1125">
        <v>10368</v>
      </c>
      <c r="B22" s="29" t="s">
        <v>33</v>
      </c>
      <c r="C22" s="789" t="s">
        <v>40</v>
      </c>
      <c r="D22" s="55" t="s">
        <v>449</v>
      </c>
      <c r="F22">
        <v>19</v>
      </c>
      <c r="G22" s="12" t="str">
        <f t="shared" si="0"/>
        <v xml:space="preserve"> </v>
      </c>
      <c r="H22" s="6" t="str">
        <f t="shared" si="5"/>
        <v xml:space="preserve"> </v>
      </c>
      <c r="I22" t="str">
        <f t="shared" si="5"/>
        <v xml:space="preserve"> </v>
      </c>
      <c r="J22" t="str">
        <f t="shared" si="5"/>
        <v xml:space="preserve"> </v>
      </c>
      <c r="K22" t="str">
        <f t="shared" si="5"/>
        <v xml:space="preserve"> </v>
      </c>
      <c r="L22" t="str">
        <f t="shared" si="5"/>
        <v xml:space="preserve"> </v>
      </c>
      <c r="M22" t="str">
        <f t="shared" si="5"/>
        <v xml:space="preserve"> </v>
      </c>
      <c r="N22" t="str">
        <f t="shared" si="5"/>
        <v xml:space="preserve"> </v>
      </c>
      <c r="O22" t="str">
        <f t="shared" si="5"/>
        <v xml:space="preserve"> </v>
      </c>
      <c r="P22" s="7" t="str">
        <f t="shared" si="5"/>
        <v xml:space="preserve"> </v>
      </c>
    </row>
    <row r="23" spans="1:16" x14ac:dyDescent="0.25">
      <c r="A23" s="1125">
        <v>10136</v>
      </c>
      <c r="B23" s="29" t="s">
        <v>33</v>
      </c>
      <c r="C23" s="789" t="s">
        <v>98</v>
      </c>
      <c r="D23" s="55" t="s">
        <v>443</v>
      </c>
      <c r="F23">
        <v>20</v>
      </c>
      <c r="G23" s="13" t="str">
        <f t="shared" si="0"/>
        <v xml:space="preserve"> </v>
      </c>
      <c r="H23" s="8" t="str">
        <f t="shared" si="5"/>
        <v xml:space="preserve"> </v>
      </c>
      <c r="I23" s="9" t="str">
        <f t="shared" si="5"/>
        <v xml:space="preserve"> </v>
      </c>
      <c r="J23" s="9" t="str">
        <f t="shared" si="5"/>
        <v xml:space="preserve"> </v>
      </c>
      <c r="K23" s="9" t="str">
        <f t="shared" si="5"/>
        <v xml:space="preserve"> </v>
      </c>
      <c r="L23" s="9" t="str">
        <f t="shared" si="5"/>
        <v xml:space="preserve"> </v>
      </c>
      <c r="M23" s="9" t="str">
        <f t="shared" si="5"/>
        <v xml:space="preserve"> </v>
      </c>
      <c r="N23" s="9" t="str">
        <f t="shared" si="5"/>
        <v xml:space="preserve"> </v>
      </c>
      <c r="O23" s="9" t="str">
        <f t="shared" si="5"/>
        <v xml:space="preserve"> </v>
      </c>
      <c r="P23" s="10" t="str">
        <f t="shared" si="5"/>
        <v xml:space="preserve"> </v>
      </c>
    </row>
    <row r="24" spans="1:16" x14ac:dyDescent="0.25">
      <c r="A24" s="1125">
        <v>10140</v>
      </c>
      <c r="B24" s="29" t="s">
        <v>33</v>
      </c>
      <c r="C24" s="789" t="s">
        <v>41</v>
      </c>
      <c r="D24" s="55" t="s">
        <v>445</v>
      </c>
    </row>
    <row r="25" spans="1:16" x14ac:dyDescent="0.25">
      <c r="A25" s="1125">
        <v>10197</v>
      </c>
      <c r="B25" s="29" t="s">
        <v>35</v>
      </c>
      <c r="C25" s="789" t="s">
        <v>97</v>
      </c>
      <c r="D25" s="55" t="s">
        <v>452</v>
      </c>
    </row>
    <row r="26" spans="1:16" x14ac:dyDescent="0.25">
      <c r="A26" s="1125">
        <v>10199</v>
      </c>
      <c r="B26" s="29" t="s">
        <v>35</v>
      </c>
      <c r="C26" s="789" t="s">
        <v>40</v>
      </c>
      <c r="D26" s="55" t="s">
        <v>454</v>
      </c>
    </row>
    <row r="27" spans="1:16" x14ac:dyDescent="0.25">
      <c r="A27" s="1125">
        <v>10200</v>
      </c>
      <c r="B27" s="29" t="s">
        <v>35</v>
      </c>
      <c r="C27" s="789" t="s">
        <v>41</v>
      </c>
      <c r="D27" s="55" t="s">
        <v>456</v>
      </c>
    </row>
    <row r="28" spans="1:16" x14ac:dyDescent="0.25">
      <c r="A28" s="1125">
        <v>10178</v>
      </c>
      <c r="B28" s="29" t="s">
        <v>36</v>
      </c>
      <c r="C28" s="789" t="s">
        <v>97</v>
      </c>
      <c r="D28" s="55" t="s">
        <v>327</v>
      </c>
    </row>
    <row r="29" spans="1:16" x14ac:dyDescent="0.25">
      <c r="A29" s="1125">
        <v>10158</v>
      </c>
      <c r="B29" s="29" t="s">
        <v>36</v>
      </c>
      <c r="C29" s="789" t="s">
        <v>40</v>
      </c>
      <c r="D29" s="55" t="s">
        <v>336</v>
      </c>
    </row>
    <row r="30" spans="1:16" x14ac:dyDescent="0.25">
      <c r="A30" s="1125">
        <v>10183</v>
      </c>
      <c r="B30" s="29" t="s">
        <v>36</v>
      </c>
      <c r="C30" s="789" t="s">
        <v>887</v>
      </c>
      <c r="D30" s="55" t="s">
        <v>347</v>
      </c>
    </row>
    <row r="31" spans="1:16" x14ac:dyDescent="0.25">
      <c r="A31" s="1125">
        <v>10181</v>
      </c>
      <c r="B31" s="29" t="s">
        <v>36</v>
      </c>
      <c r="C31" s="789" t="s">
        <v>41</v>
      </c>
      <c r="D31" s="55" t="s">
        <v>332</v>
      </c>
    </row>
    <row r="32" spans="1:16" x14ac:dyDescent="0.25">
      <c r="A32" s="1125">
        <v>10214</v>
      </c>
      <c r="B32" s="29" t="s">
        <v>37</v>
      </c>
      <c r="C32" s="789" t="s">
        <v>40</v>
      </c>
      <c r="D32" s="55" t="s">
        <v>393</v>
      </c>
      <c r="G32" s="2"/>
      <c r="H32" s="2"/>
      <c r="I32" s="2"/>
      <c r="J32" s="2"/>
      <c r="K32" s="2"/>
    </row>
    <row r="33" spans="1:4" x14ac:dyDescent="0.25">
      <c r="A33" s="1125">
        <v>10215</v>
      </c>
      <c r="B33" s="29" t="s">
        <v>37</v>
      </c>
      <c r="C33" s="789" t="s">
        <v>889</v>
      </c>
      <c r="D33" s="55" t="s">
        <v>395</v>
      </c>
    </row>
    <row r="34" spans="1:4" x14ac:dyDescent="0.25">
      <c r="A34" s="1125">
        <v>10216</v>
      </c>
      <c r="B34" s="29" t="s">
        <v>38</v>
      </c>
      <c r="C34" s="789" t="s">
        <v>97</v>
      </c>
      <c r="D34" s="55" t="s">
        <v>400</v>
      </c>
    </row>
    <row r="35" spans="1:4" x14ac:dyDescent="0.25">
      <c r="A35" s="1125">
        <v>10218</v>
      </c>
      <c r="B35" s="29" t="s">
        <v>38</v>
      </c>
      <c r="C35" s="789" t="s">
        <v>40</v>
      </c>
      <c r="D35" s="55" t="s">
        <v>404</v>
      </c>
    </row>
    <row r="36" spans="1:4" x14ac:dyDescent="0.25">
      <c r="A36" s="1125">
        <v>10220</v>
      </c>
      <c r="B36" s="29" t="s">
        <v>38</v>
      </c>
      <c r="C36" s="789" t="s">
        <v>887</v>
      </c>
      <c r="D36" s="55" t="s">
        <v>408</v>
      </c>
    </row>
    <row r="37" spans="1:4" x14ac:dyDescent="0.25">
      <c r="A37" s="12"/>
      <c r="B37" s="29"/>
      <c r="C37" s="789"/>
      <c r="D37" s="55"/>
    </row>
    <row r="38" spans="1:4" x14ac:dyDescent="0.25">
      <c r="A38" s="12"/>
      <c r="B38" s="29"/>
      <c r="C38" s="789"/>
      <c r="D38" s="55"/>
    </row>
    <row r="39" spans="1:4" x14ac:dyDescent="0.25">
      <c r="A39" s="12"/>
      <c r="B39" s="29"/>
      <c r="C39" s="789"/>
      <c r="D39" s="55"/>
    </row>
    <row r="40" spans="1:4" x14ac:dyDescent="0.25">
      <c r="A40" s="12"/>
      <c r="B40" s="29"/>
      <c r="C40" s="789"/>
      <c r="D40" s="55"/>
    </row>
    <row r="41" spans="1:4" x14ac:dyDescent="0.25">
      <c r="A41" s="12"/>
      <c r="B41" s="29"/>
      <c r="C41" s="789"/>
      <c r="D41" s="55"/>
    </row>
    <row r="42" spans="1:4" x14ac:dyDescent="0.25">
      <c r="A42" s="12"/>
      <c r="B42" s="29"/>
      <c r="C42" s="789"/>
      <c r="D42" s="55"/>
    </row>
    <row r="43" spans="1:4" x14ac:dyDescent="0.25">
      <c r="A43" s="12"/>
      <c r="B43" s="29"/>
      <c r="C43" s="789"/>
      <c r="D43" s="55"/>
    </row>
    <row r="44" spans="1:4" x14ac:dyDescent="0.25">
      <c r="A44" s="12"/>
      <c r="B44" s="29"/>
      <c r="C44" s="789"/>
      <c r="D44" s="55"/>
    </row>
    <row r="45" spans="1:4" x14ac:dyDescent="0.25">
      <c r="A45" s="12"/>
      <c r="B45" s="29"/>
      <c r="C45" s="789"/>
      <c r="D45" s="55"/>
    </row>
    <row r="46" spans="1:4" x14ac:dyDescent="0.25">
      <c r="A46" s="12"/>
      <c r="B46" s="29"/>
      <c r="C46" s="789"/>
      <c r="D46" s="55"/>
    </row>
    <row r="47" spans="1:4" x14ac:dyDescent="0.25">
      <c r="A47" s="12"/>
      <c r="B47" s="29"/>
      <c r="C47" s="789"/>
      <c r="D47" s="55"/>
    </row>
    <row r="48" spans="1:4" x14ac:dyDescent="0.25">
      <c r="A48" s="12"/>
      <c r="B48" s="29"/>
      <c r="C48" s="789"/>
      <c r="D48" s="55"/>
    </row>
    <row r="49" spans="1:4" x14ac:dyDescent="0.25">
      <c r="A49" s="12"/>
      <c r="B49" s="29"/>
      <c r="C49" s="789"/>
      <c r="D49" s="55"/>
    </row>
    <row r="50" spans="1:4" x14ac:dyDescent="0.25">
      <c r="A50" s="12"/>
      <c r="B50" s="29"/>
      <c r="C50" s="789"/>
      <c r="D50" s="55"/>
    </row>
    <row r="51" spans="1:4" x14ac:dyDescent="0.25">
      <c r="A51" s="12"/>
      <c r="B51" s="29"/>
      <c r="C51" s="789"/>
      <c r="D51" s="55"/>
    </row>
    <row r="52" spans="1:4" x14ac:dyDescent="0.25">
      <c r="A52" s="12"/>
      <c r="B52" s="29"/>
      <c r="C52" s="789"/>
      <c r="D52" s="55"/>
    </row>
    <row r="53" spans="1:4" x14ac:dyDescent="0.25">
      <c r="A53" s="12"/>
      <c r="B53" s="29"/>
      <c r="C53" s="789"/>
      <c r="D53" s="55"/>
    </row>
    <row r="54" spans="1:4" x14ac:dyDescent="0.25">
      <c r="A54" s="12"/>
      <c r="B54" s="29"/>
      <c r="C54" s="789"/>
      <c r="D54" s="55"/>
    </row>
    <row r="55" spans="1:4" x14ac:dyDescent="0.25">
      <c r="A55" s="12"/>
      <c r="B55" s="29"/>
      <c r="C55" s="789"/>
      <c r="D55" s="55"/>
    </row>
    <row r="56" spans="1:4" x14ac:dyDescent="0.25">
      <c r="A56" s="12"/>
      <c r="B56" s="29"/>
      <c r="C56" s="789"/>
      <c r="D56" s="55"/>
    </row>
    <row r="57" spans="1:4" x14ac:dyDescent="0.25">
      <c r="A57" s="12"/>
      <c r="B57" s="29"/>
      <c r="C57" s="789"/>
      <c r="D57" s="55"/>
    </row>
    <row r="58" spans="1:4" x14ac:dyDescent="0.25">
      <c r="A58" s="12"/>
      <c r="B58" s="29"/>
      <c r="C58" s="789"/>
      <c r="D58" s="55"/>
    </row>
    <row r="59" spans="1:4" x14ac:dyDescent="0.25">
      <c r="A59" s="12"/>
      <c r="B59" s="29"/>
      <c r="C59" s="789"/>
      <c r="D59" s="55"/>
    </row>
    <row r="60" spans="1:4" x14ac:dyDescent="0.25">
      <c r="A60" s="12"/>
      <c r="B60" s="29"/>
      <c r="C60" s="789"/>
      <c r="D60" s="55"/>
    </row>
    <row r="61" spans="1:4" x14ac:dyDescent="0.25">
      <c r="A61" s="12"/>
      <c r="B61" s="29"/>
      <c r="C61" s="789"/>
      <c r="D61" s="55"/>
    </row>
    <row r="62" spans="1:4" x14ac:dyDescent="0.25">
      <c r="A62" s="12"/>
      <c r="B62" s="29"/>
      <c r="C62" s="789"/>
      <c r="D62" s="55"/>
    </row>
    <row r="63" spans="1:4" x14ac:dyDescent="0.25">
      <c r="A63" s="12"/>
      <c r="B63" s="29"/>
      <c r="C63" s="789"/>
      <c r="D63" s="55"/>
    </row>
    <row r="64" spans="1:4" x14ac:dyDescent="0.25">
      <c r="A64" s="12"/>
      <c r="B64" s="29"/>
      <c r="C64" s="789"/>
      <c r="D64" s="55"/>
    </row>
    <row r="65" spans="1:4" x14ac:dyDescent="0.25">
      <c r="A65" s="12"/>
      <c r="B65" s="29"/>
      <c r="C65" s="789"/>
      <c r="D65" s="55"/>
    </row>
    <row r="66" spans="1:4" x14ac:dyDescent="0.25">
      <c r="A66" s="12"/>
      <c r="B66" s="29"/>
      <c r="C66" s="789"/>
      <c r="D66" s="55"/>
    </row>
    <row r="67" spans="1:4" x14ac:dyDescent="0.25">
      <c r="A67" s="12"/>
      <c r="B67" s="29"/>
      <c r="C67" s="789"/>
      <c r="D67" s="55"/>
    </row>
    <row r="68" spans="1:4" x14ac:dyDescent="0.25">
      <c r="A68" s="12"/>
      <c r="B68" s="29"/>
      <c r="C68" s="789"/>
      <c r="D68" s="55"/>
    </row>
    <row r="69" spans="1:4" x14ac:dyDescent="0.25">
      <c r="A69" s="12"/>
      <c r="B69" s="29"/>
      <c r="C69" s="789"/>
      <c r="D69" s="55"/>
    </row>
    <row r="70" spans="1:4" x14ac:dyDescent="0.25">
      <c r="A70" s="12"/>
      <c r="B70" s="29"/>
      <c r="C70" s="789"/>
      <c r="D70" s="55"/>
    </row>
    <row r="71" spans="1:4" x14ac:dyDescent="0.25">
      <c r="A71" s="12"/>
      <c r="B71" s="29"/>
      <c r="C71" s="789"/>
      <c r="D71" s="55"/>
    </row>
    <row r="72" spans="1:4" x14ac:dyDescent="0.25">
      <c r="A72" s="12"/>
      <c r="B72" s="29"/>
      <c r="C72" s="789"/>
      <c r="D72" s="55"/>
    </row>
    <row r="73" spans="1:4" x14ac:dyDescent="0.25">
      <c r="A73" s="12"/>
      <c r="B73" s="29"/>
      <c r="C73" s="789"/>
      <c r="D73" s="55"/>
    </row>
    <row r="74" spans="1:4" x14ac:dyDescent="0.25">
      <c r="A74" s="12"/>
      <c r="B74" s="29"/>
      <c r="C74" s="789"/>
      <c r="D74" s="55"/>
    </row>
    <row r="75" spans="1:4" x14ac:dyDescent="0.25">
      <c r="A75" s="12"/>
      <c r="B75" s="29"/>
      <c r="C75" s="789"/>
      <c r="D75" s="55"/>
    </row>
    <row r="76" spans="1:4" x14ac:dyDescent="0.25">
      <c r="A76" s="12"/>
      <c r="B76" s="29"/>
      <c r="C76" s="789"/>
      <c r="D76" s="55"/>
    </row>
    <row r="77" spans="1:4" x14ac:dyDescent="0.25">
      <c r="A77" s="12"/>
      <c r="B77" s="29"/>
      <c r="C77" s="789"/>
      <c r="D77" s="55"/>
    </row>
    <row r="78" spans="1:4" x14ac:dyDescent="0.25">
      <c r="A78" s="12"/>
      <c r="B78" s="29"/>
      <c r="C78" s="789"/>
      <c r="D78" s="55"/>
    </row>
    <row r="79" spans="1:4" x14ac:dyDescent="0.25">
      <c r="A79" s="12"/>
      <c r="B79" s="29"/>
      <c r="C79" s="789"/>
      <c r="D79" s="55"/>
    </row>
    <row r="80" spans="1:4" x14ac:dyDescent="0.25">
      <c r="A80" s="12"/>
      <c r="B80" s="29"/>
      <c r="C80" s="789"/>
      <c r="D80" s="55"/>
    </row>
    <row r="81" spans="1:4" x14ac:dyDescent="0.25">
      <c r="A81" s="12"/>
      <c r="B81" s="29"/>
      <c r="C81" s="789"/>
      <c r="D81" s="55"/>
    </row>
    <row r="82" spans="1:4" x14ac:dyDescent="0.25">
      <c r="A82" s="12"/>
      <c r="B82" s="29"/>
      <c r="C82" s="789"/>
      <c r="D82" s="55"/>
    </row>
    <row r="83" spans="1:4" x14ac:dyDescent="0.25">
      <c r="A83" s="12"/>
      <c r="B83" s="29"/>
      <c r="C83" s="789"/>
      <c r="D83" s="55"/>
    </row>
    <row r="84" spans="1:4" x14ac:dyDescent="0.25">
      <c r="A84" s="12"/>
      <c r="B84" s="29"/>
      <c r="C84" s="789"/>
      <c r="D84" s="55"/>
    </row>
    <row r="85" spans="1:4" x14ac:dyDescent="0.25">
      <c r="A85" s="12"/>
      <c r="B85" s="29"/>
      <c r="C85" s="789"/>
      <c r="D85" s="55"/>
    </row>
    <row r="86" spans="1:4" x14ac:dyDescent="0.25">
      <c r="A86" s="12"/>
      <c r="B86" s="29"/>
      <c r="C86" s="789"/>
      <c r="D86" s="55"/>
    </row>
    <row r="87" spans="1:4" x14ac:dyDescent="0.25">
      <c r="A87" s="12"/>
      <c r="B87" s="29"/>
      <c r="C87" s="789"/>
      <c r="D87" s="55"/>
    </row>
    <row r="88" spans="1:4" x14ac:dyDescent="0.25">
      <c r="A88" s="12"/>
      <c r="B88" s="29"/>
      <c r="C88" s="789"/>
      <c r="D88" s="55"/>
    </row>
    <row r="89" spans="1:4" x14ac:dyDescent="0.25">
      <c r="A89" s="12"/>
      <c r="B89" s="29"/>
      <c r="C89" s="789"/>
      <c r="D89" s="55"/>
    </row>
    <row r="90" spans="1:4" x14ac:dyDescent="0.25">
      <c r="A90" s="12"/>
      <c r="B90" s="29"/>
      <c r="C90" s="789"/>
      <c r="D90" s="55"/>
    </row>
    <row r="91" spans="1:4" x14ac:dyDescent="0.25">
      <c r="A91" s="12"/>
      <c r="B91" s="29"/>
      <c r="C91" s="789"/>
      <c r="D91" s="55"/>
    </row>
    <row r="92" spans="1:4" x14ac:dyDescent="0.25">
      <c r="A92" s="12"/>
      <c r="B92" s="29"/>
      <c r="C92" s="789"/>
      <c r="D92" s="55"/>
    </row>
    <row r="93" spans="1:4" x14ac:dyDescent="0.25">
      <c r="A93" s="12"/>
      <c r="B93" s="29"/>
      <c r="C93" s="789"/>
      <c r="D93" s="55"/>
    </row>
    <row r="94" spans="1:4" x14ac:dyDescent="0.25">
      <c r="A94" s="12"/>
      <c r="B94" s="29"/>
      <c r="C94" s="789"/>
      <c r="D94" s="55"/>
    </row>
    <row r="95" spans="1:4" x14ac:dyDescent="0.25">
      <c r="A95" s="12"/>
      <c r="B95" s="29"/>
      <c r="C95" s="789"/>
      <c r="D95" s="55"/>
    </row>
    <row r="96" spans="1:4" x14ac:dyDescent="0.25">
      <c r="A96" s="12"/>
      <c r="B96" s="29"/>
      <c r="C96" s="789"/>
      <c r="D96" s="55"/>
    </row>
    <row r="97" spans="1:4" x14ac:dyDescent="0.25">
      <c r="A97" s="12"/>
      <c r="B97" s="29"/>
      <c r="C97" s="789"/>
      <c r="D97" s="55"/>
    </row>
    <row r="98" spans="1:4" x14ac:dyDescent="0.25">
      <c r="A98" s="12"/>
      <c r="B98" s="29"/>
      <c r="C98" s="789"/>
      <c r="D98" s="55"/>
    </row>
    <row r="99" spans="1:4" x14ac:dyDescent="0.25">
      <c r="A99" s="12"/>
      <c r="B99" s="29"/>
      <c r="C99" s="789"/>
      <c r="D99" s="55"/>
    </row>
    <row r="100" spans="1:4" x14ac:dyDescent="0.25">
      <c r="A100" s="12"/>
      <c r="B100" s="29"/>
      <c r="C100" s="789"/>
      <c r="D100" s="55"/>
    </row>
    <row r="101" spans="1:4" x14ac:dyDescent="0.25">
      <c r="A101" s="12"/>
      <c r="B101" s="29"/>
      <c r="C101" s="789"/>
      <c r="D101" s="55"/>
    </row>
    <row r="102" spans="1:4" x14ac:dyDescent="0.25">
      <c r="A102" s="12"/>
      <c r="B102" s="29"/>
      <c r="C102" s="789"/>
      <c r="D102" s="55"/>
    </row>
    <row r="103" spans="1:4" x14ac:dyDescent="0.25">
      <c r="A103" s="12"/>
      <c r="B103" s="29"/>
      <c r="C103" s="789"/>
      <c r="D103" s="55"/>
    </row>
    <row r="104" spans="1:4" x14ac:dyDescent="0.25">
      <c r="A104" s="12"/>
      <c r="B104" s="29"/>
      <c r="C104" s="789"/>
      <c r="D104" s="55"/>
    </row>
    <row r="105" spans="1:4" x14ac:dyDescent="0.25">
      <c r="A105" s="12"/>
      <c r="B105" s="29"/>
      <c r="C105" s="789"/>
      <c r="D105" s="55"/>
    </row>
    <row r="106" spans="1:4" x14ac:dyDescent="0.25">
      <c r="A106" s="12"/>
      <c r="B106" s="29"/>
      <c r="C106" s="789"/>
      <c r="D106" s="55"/>
    </row>
    <row r="107" spans="1:4" x14ac:dyDescent="0.25">
      <c r="A107" s="12"/>
      <c r="B107" s="29"/>
      <c r="C107" s="789"/>
      <c r="D107" s="55"/>
    </row>
    <row r="108" spans="1:4" x14ac:dyDescent="0.25">
      <c r="A108" s="12"/>
      <c r="B108" s="29"/>
      <c r="C108" s="789"/>
      <c r="D108" s="55"/>
    </row>
    <row r="109" spans="1:4" x14ac:dyDescent="0.25">
      <c r="A109" s="12"/>
      <c r="B109" s="29"/>
      <c r="C109" s="789"/>
      <c r="D109" s="55"/>
    </row>
    <row r="110" spans="1:4" x14ac:dyDescent="0.25">
      <c r="A110" s="12"/>
      <c r="B110" s="29"/>
      <c r="C110" s="789"/>
      <c r="D110" s="55"/>
    </row>
    <row r="111" spans="1:4" x14ac:dyDescent="0.25">
      <c r="A111" s="12"/>
      <c r="B111" s="29"/>
      <c r="C111" s="789"/>
      <c r="D111" s="55"/>
    </row>
    <row r="112" spans="1:4" x14ac:dyDescent="0.25">
      <c r="A112" s="12"/>
      <c r="B112" s="29"/>
      <c r="C112" s="789"/>
      <c r="D112" s="55"/>
    </row>
    <row r="113" spans="1:4" x14ac:dyDescent="0.25">
      <c r="A113" s="12"/>
      <c r="B113" s="29"/>
      <c r="C113" s="789"/>
      <c r="D113" s="55"/>
    </row>
    <row r="114" spans="1:4" x14ac:dyDescent="0.25">
      <c r="A114" s="12"/>
      <c r="B114" s="29"/>
      <c r="C114" s="789"/>
      <c r="D114" s="55"/>
    </row>
    <row r="115" spans="1:4" x14ac:dyDescent="0.25">
      <c r="A115" s="12"/>
      <c r="B115" s="29"/>
      <c r="C115" s="789"/>
      <c r="D115" s="55"/>
    </row>
    <row r="116" spans="1:4" x14ac:dyDescent="0.25">
      <c r="A116" s="12"/>
      <c r="B116" s="29"/>
      <c r="C116" s="789"/>
      <c r="D116" s="55"/>
    </row>
    <row r="117" spans="1:4" x14ac:dyDescent="0.25">
      <c r="A117" s="12"/>
      <c r="B117" s="29"/>
      <c r="C117" s="789"/>
      <c r="D117" s="55"/>
    </row>
    <row r="118" spans="1:4" x14ac:dyDescent="0.25">
      <c r="A118" s="12"/>
      <c r="B118" s="29"/>
      <c r="C118" s="789"/>
      <c r="D118" s="55"/>
    </row>
    <row r="119" spans="1:4" x14ac:dyDescent="0.25">
      <c r="A119" s="12"/>
      <c r="B119" s="29"/>
      <c r="C119" s="789"/>
      <c r="D119" s="55"/>
    </row>
    <row r="120" spans="1:4" x14ac:dyDescent="0.25">
      <c r="A120" s="12"/>
      <c r="B120" s="29"/>
      <c r="C120" s="789"/>
      <c r="D120" s="55"/>
    </row>
    <row r="121" spans="1:4" x14ac:dyDescent="0.25">
      <c r="A121" s="12"/>
      <c r="B121" s="29"/>
      <c r="C121" s="789"/>
      <c r="D121" s="55"/>
    </row>
    <row r="122" spans="1:4" x14ac:dyDescent="0.25">
      <c r="A122" s="12"/>
      <c r="B122" s="29"/>
      <c r="C122" s="789"/>
      <c r="D122" s="55"/>
    </row>
    <row r="123" spans="1:4" x14ac:dyDescent="0.25">
      <c r="A123" s="12"/>
      <c r="B123" s="29"/>
      <c r="C123" s="789"/>
      <c r="D123" s="55"/>
    </row>
    <row r="124" spans="1:4" x14ac:dyDescent="0.25">
      <c r="A124" s="12"/>
      <c r="B124" s="29"/>
      <c r="C124" s="789"/>
      <c r="D124" s="55"/>
    </row>
    <row r="125" spans="1:4" x14ac:dyDescent="0.25">
      <c r="A125" s="12"/>
      <c r="B125" s="29"/>
      <c r="C125" s="789"/>
      <c r="D125" s="55"/>
    </row>
    <row r="126" spans="1:4" x14ac:dyDescent="0.25">
      <c r="A126" s="12"/>
      <c r="B126" s="29"/>
      <c r="C126" s="789"/>
      <c r="D126" s="55"/>
    </row>
    <row r="127" spans="1:4" x14ac:dyDescent="0.25">
      <c r="A127" s="12"/>
      <c r="B127" s="29"/>
      <c r="C127" s="789"/>
      <c r="D127" s="55"/>
    </row>
    <row r="128" spans="1:4" x14ac:dyDescent="0.25">
      <c r="A128" s="12"/>
      <c r="B128" s="29"/>
      <c r="C128" s="789"/>
      <c r="D128" s="55"/>
    </row>
    <row r="129" spans="1:4" x14ac:dyDescent="0.25">
      <c r="A129" s="12"/>
      <c r="B129" s="29"/>
      <c r="C129" s="789"/>
      <c r="D129" s="55"/>
    </row>
    <row r="130" spans="1:4" x14ac:dyDescent="0.25">
      <c r="A130" s="12"/>
      <c r="B130" s="29"/>
      <c r="C130" s="789"/>
      <c r="D130" s="55"/>
    </row>
    <row r="131" spans="1:4" x14ac:dyDescent="0.25">
      <c r="A131" s="12"/>
      <c r="B131" s="29"/>
      <c r="C131" s="789"/>
      <c r="D131" s="55"/>
    </row>
    <row r="132" spans="1:4" x14ac:dyDescent="0.25">
      <c r="A132" s="13"/>
      <c r="B132" s="649"/>
      <c r="C132" s="824"/>
      <c r="D132" s="825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2DC1-F9E2-4C2B-BAFC-35D0B3C70F5A}">
  <dimension ref="B1:J37"/>
  <sheetViews>
    <sheetView workbookViewId="0">
      <selection activeCell="C5" sqref="C5:C12"/>
    </sheetView>
  </sheetViews>
  <sheetFormatPr defaultRowHeight="15" x14ac:dyDescent="0.25"/>
  <cols>
    <col min="2" max="2" customWidth="true" style="420" width="21.7109375"/>
    <col min="3" max="3" customWidth="true" style="420" width="18.28515625"/>
    <col min="4" max="4" customWidth="true" style="420" width="22.28515625"/>
    <col min="5" max="5" customWidth="true" style="420" width="19.85546875"/>
    <col min="6" max="6" customWidth="true" style="420" width="15.140625"/>
    <col min="7" max="7" customWidth="true" style="420" width="18.0"/>
    <col min="8" max="8" customWidth="true" style="420" width="17.85546875"/>
    <col min="9" max="14" style="420" width="8.7109375"/>
  </cols>
  <sheetData>
    <row r="1" spans="2:10" x14ac:dyDescent="0.25">
      <c r="B1" s="286"/>
      <c r="C1" s="77"/>
      <c r="D1" s="419"/>
      <c r="E1" s="419"/>
      <c r="F1" s="419"/>
      <c r="G1" s="419"/>
      <c r="H1" s="419"/>
      <c r="I1" s="419"/>
      <c r="J1" s="419"/>
    </row>
    <row r="2" spans="2:10" x14ac:dyDescent="0.25">
      <c r="D2" s="419"/>
      <c r="E2" s="419"/>
      <c r="F2" s="419"/>
      <c r="G2" s="419"/>
      <c r="H2" s="419"/>
      <c r="I2" s="419"/>
      <c r="J2" s="419"/>
    </row>
    <row r="3" spans="2:10" x14ac:dyDescent="0.25">
      <c r="B3" s="830"/>
      <c r="C3" s="422"/>
      <c r="D3" s="421"/>
      <c r="E3" s="408"/>
      <c r="F3" s="408"/>
      <c r="G3" s="408"/>
      <c r="H3" s="408"/>
      <c r="I3" s="408"/>
      <c r="J3" s="408"/>
    </row>
    <row r="4" spans="2:10" x14ac:dyDescent="0.25">
      <c r="B4" s="581" t="s">
        <v>488</v>
      </c>
      <c r="C4" s="339" t="s">
        <v>490</v>
      </c>
      <c r="D4" s="286"/>
      <c r="E4" s="78"/>
      <c r="F4" s="1095"/>
      <c r="G4" s="78"/>
      <c r="H4" s="286"/>
      <c r="I4" s="286"/>
      <c r="J4" s="286"/>
    </row>
    <row r="5" spans="2:10" x14ac:dyDescent="0.25">
      <c r="B5" s="831" t="s">
        <v>64</v>
      </c>
      <c r="C5" s="836">
        <v>550</v>
      </c>
      <c r="E5" s="78"/>
      <c r="F5" s="78"/>
      <c r="I5" s="421"/>
      <c r="J5" s="408"/>
    </row>
    <row r="6" spans="2:10" x14ac:dyDescent="0.25">
      <c r="B6" s="832" t="s">
        <v>63</v>
      </c>
      <c r="C6" s="837">
        <v>300</v>
      </c>
      <c r="I6" s="77"/>
      <c r="J6" s="78"/>
    </row>
    <row r="7" spans="2:10" x14ac:dyDescent="0.25">
      <c r="B7" s="832" t="s">
        <v>491</v>
      </c>
      <c r="C7" s="837">
        <v>190</v>
      </c>
      <c r="F7" s="833"/>
      <c r="G7" s="833"/>
      <c r="I7" s="111"/>
      <c r="J7" s="409"/>
    </row>
    <row r="8" spans="2:10" x14ac:dyDescent="0.25">
      <c r="B8" s="832" t="s">
        <v>492</v>
      </c>
      <c r="C8" s="837">
        <v>125</v>
      </c>
      <c r="F8" s="833"/>
      <c r="G8" s="833"/>
      <c r="I8" s="111"/>
      <c r="J8" s="111"/>
    </row>
    <row r="9" spans="2:10" x14ac:dyDescent="0.25">
      <c r="B9" s="832" t="s">
        <v>1059</v>
      </c>
      <c r="C9" s="837">
        <v>94</v>
      </c>
      <c r="F9" s="833"/>
      <c r="G9" s="833"/>
      <c r="I9" s="111"/>
      <c r="J9" s="111"/>
    </row>
    <row r="10" spans="2:10" x14ac:dyDescent="0.25">
      <c r="B10" s="832" t="s">
        <v>494</v>
      </c>
      <c r="C10" s="837">
        <v>150</v>
      </c>
      <c r="F10" s="833"/>
      <c r="G10" s="833"/>
      <c r="I10" s="111"/>
      <c r="J10" s="111"/>
    </row>
    <row r="11" spans="2:10" x14ac:dyDescent="0.25">
      <c r="B11" s="832" t="s">
        <v>54</v>
      </c>
      <c r="C11" s="826">
        <v>96</v>
      </c>
      <c r="F11" s="833"/>
      <c r="G11" s="833"/>
      <c r="I11" s="111"/>
      <c r="J11" s="111"/>
    </row>
    <row r="12" spans="2:10" x14ac:dyDescent="0.25">
      <c r="B12" s="572" t="s">
        <v>758</v>
      </c>
      <c r="C12" s="838">
        <v>37</v>
      </c>
      <c r="F12" s="833"/>
      <c r="G12" s="833"/>
      <c r="I12" s="111"/>
      <c r="J12" s="111"/>
    </row>
    <row r="13" spans="2:10" x14ac:dyDescent="0.25">
      <c r="B13" s="289" t="s">
        <v>659</v>
      </c>
      <c r="C13" s="839">
        <v>20</v>
      </c>
      <c r="F13" s="833"/>
      <c r="G13" s="833"/>
      <c r="I13" s="111"/>
      <c r="J13" s="111"/>
    </row>
    <row r="14" spans="2:10" x14ac:dyDescent="0.25">
      <c r="B14" s="907" t="s">
        <v>961</v>
      </c>
      <c r="C14" s="908">
        <v>4</v>
      </c>
      <c r="F14" s="833"/>
      <c r="G14" s="833"/>
      <c r="I14" s="111"/>
      <c r="J14" s="111"/>
    </row>
    <row r="15" spans="2:10" x14ac:dyDescent="0.25">
      <c r="B15" s="472" t="s">
        <v>956</v>
      </c>
      <c r="C15" s="919">
        <v>0.19500000000000001</v>
      </c>
      <c r="F15" s="833"/>
      <c r="G15" s="833"/>
      <c r="I15" s="111"/>
      <c r="J15" s="111"/>
    </row>
    <row r="16" spans="2:10" x14ac:dyDescent="0.25">
      <c r="B16" s="616" t="s">
        <v>972</v>
      </c>
      <c r="C16" s="920">
        <v>9.1200000000000003E-2</v>
      </c>
      <c r="F16" s="833"/>
      <c r="G16" s="77"/>
      <c r="I16" s="111"/>
      <c r="J16" s="111"/>
    </row>
    <row r="17" spans="2:10" x14ac:dyDescent="0.25">
      <c r="B17" s="77"/>
      <c r="C17" s="286"/>
      <c r="F17" s="833"/>
      <c r="G17" s="77"/>
      <c r="I17" s="78"/>
      <c r="J17" s="78"/>
    </row>
    <row r="18" spans="2:10" x14ac:dyDescent="0.25">
      <c r="B18" s="77"/>
      <c r="C18" s="77"/>
      <c r="F18" s="835"/>
      <c r="G18" s="77"/>
      <c r="I18" s="78"/>
      <c r="J18" s="78"/>
    </row>
    <row r="19" spans="2:10" x14ac:dyDescent="0.25">
      <c r="B19" s="77"/>
      <c r="C19" s="286"/>
      <c r="F19" s="834"/>
      <c r="G19" s="77"/>
      <c r="I19" s="78"/>
      <c r="J19" s="78"/>
    </row>
    <row r="20" spans="2:10" x14ac:dyDescent="0.25">
      <c r="B20" s="77"/>
      <c r="C20" s="286"/>
      <c r="F20" s="78"/>
      <c r="G20" s="78"/>
      <c r="I20" s="78"/>
      <c r="J20" s="78"/>
    </row>
    <row r="21" spans="2:10" x14ac:dyDescent="0.25">
      <c r="B21" s="77"/>
      <c r="C21" s="77"/>
      <c r="F21" s="78"/>
      <c r="G21" s="78"/>
      <c r="H21" s="78"/>
      <c r="I21" s="78"/>
      <c r="J21" s="78"/>
    </row>
    <row r="22" spans="2:10" x14ac:dyDescent="0.25">
      <c r="B22" s="77"/>
      <c r="C22" s="77"/>
      <c r="D22" s="77"/>
      <c r="E22" s="426"/>
      <c r="F22" s="426"/>
      <c r="G22" s="426"/>
      <c r="H22" s="426"/>
      <c r="I22" s="78"/>
      <c r="J22" s="78"/>
    </row>
    <row r="23" spans="2:10" x14ac:dyDescent="0.25">
      <c r="B23" s="77"/>
      <c r="C23" s="77"/>
      <c r="D23" s="77"/>
      <c r="E23" s="426"/>
      <c r="F23" s="426"/>
      <c r="G23" s="827"/>
      <c r="H23" s="426"/>
      <c r="I23" s="78"/>
      <c r="J23" s="78"/>
    </row>
    <row r="24" spans="2:10" x14ac:dyDescent="0.25">
      <c r="B24" s="77"/>
      <c r="C24" s="77"/>
      <c r="D24" s="426"/>
      <c r="E24" s="426"/>
      <c r="F24" s="426"/>
      <c r="G24" s="827"/>
      <c r="H24" s="77"/>
      <c r="I24" s="78"/>
      <c r="J24" s="78"/>
    </row>
    <row r="25" spans="2:10" x14ac:dyDescent="0.25">
      <c r="B25" s="77"/>
      <c r="C25" s="77"/>
      <c r="D25" s="77"/>
      <c r="E25" s="426"/>
      <c r="F25" s="426"/>
      <c r="G25" s="827"/>
      <c r="H25" s="134"/>
      <c r="I25" s="143"/>
      <c r="J25" s="78"/>
    </row>
    <row r="26" spans="2:10" x14ac:dyDescent="0.25">
      <c r="B26" s="77"/>
      <c r="C26" s="77"/>
      <c r="D26" s="426"/>
      <c r="E26" s="426"/>
      <c r="F26" s="426"/>
      <c r="G26" s="828"/>
      <c r="H26" s="426"/>
      <c r="I26" s="78"/>
      <c r="J26" s="78"/>
    </row>
    <row r="27" spans="2:10" x14ac:dyDescent="0.25">
      <c r="B27" s="77"/>
      <c r="C27" s="77"/>
      <c r="D27" s="426"/>
      <c r="E27" s="426"/>
      <c r="F27" s="426"/>
      <c r="G27" s="828"/>
      <c r="H27" s="426"/>
      <c r="I27" s="78"/>
      <c r="J27" s="78"/>
    </row>
    <row r="28" spans="2:10" x14ac:dyDescent="0.25">
      <c r="B28" s="77"/>
      <c r="C28" s="77"/>
      <c r="D28" s="426"/>
      <c r="E28" s="426"/>
      <c r="F28" s="426"/>
      <c r="G28" s="828"/>
      <c r="H28" s="626"/>
      <c r="I28" s="143"/>
      <c r="J28" s="78"/>
    </row>
    <row r="29" spans="2:10" x14ac:dyDescent="0.25">
      <c r="B29" s="77"/>
      <c r="C29" s="77"/>
      <c r="D29" s="426"/>
      <c r="E29" s="426"/>
      <c r="F29" s="426"/>
      <c r="G29" s="828"/>
      <c r="H29" s="77"/>
      <c r="I29" s="78"/>
      <c r="J29" s="78"/>
    </row>
    <row r="30" spans="2:10" x14ac:dyDescent="0.25">
      <c r="B30" s="77"/>
      <c r="C30" s="77"/>
      <c r="D30" s="286"/>
      <c r="E30" s="286"/>
      <c r="F30" s="286"/>
      <c r="G30" s="286"/>
      <c r="H30" s="286"/>
      <c r="I30" s="286"/>
      <c r="J30" s="286"/>
    </row>
    <row r="31" spans="2:10" x14ac:dyDescent="0.25">
      <c r="B31" s="77"/>
      <c r="C31" s="77"/>
      <c r="D31" s="286"/>
      <c r="E31" s="286"/>
      <c r="F31" s="286"/>
      <c r="G31" s="286"/>
      <c r="H31" s="286"/>
      <c r="I31" s="286"/>
      <c r="J31" s="286"/>
    </row>
    <row r="32" spans="2:10" x14ac:dyDescent="0.25">
      <c r="B32" s="77"/>
      <c r="C32" s="77"/>
      <c r="D32" s="78"/>
      <c r="E32" s="78"/>
      <c r="F32" s="78"/>
      <c r="G32" s="78"/>
      <c r="H32" s="78"/>
      <c r="I32" s="78"/>
      <c r="J32" s="78"/>
    </row>
    <row r="33" spans="2:10" x14ac:dyDescent="0.25">
      <c r="B33" s="77"/>
      <c r="C33" s="77"/>
      <c r="D33" s="78"/>
      <c r="E33" s="78"/>
      <c r="F33" s="78"/>
      <c r="G33" s="78"/>
      <c r="H33" s="78"/>
      <c r="I33" s="78"/>
      <c r="J33" s="78"/>
    </row>
    <row r="34" spans="2:10" x14ac:dyDescent="0.25">
      <c r="B34" s="77"/>
      <c r="C34" s="77"/>
      <c r="D34" s="143"/>
      <c r="E34" s="78"/>
      <c r="F34" s="78"/>
      <c r="G34" s="78"/>
      <c r="H34" s="78"/>
      <c r="I34" s="78"/>
      <c r="J34" s="78"/>
    </row>
    <row r="35" spans="2:10" x14ac:dyDescent="0.25">
      <c r="B35" s="77"/>
      <c r="C35" s="77"/>
      <c r="D35" s="143"/>
      <c r="E35" s="78"/>
      <c r="F35" s="78"/>
      <c r="G35" s="78"/>
      <c r="H35" s="78"/>
      <c r="I35" s="78"/>
      <c r="J35" s="78"/>
    </row>
    <row r="36" spans="2:10" x14ac:dyDescent="0.25">
      <c r="B36" s="77"/>
      <c r="C36" s="77"/>
      <c r="D36" s="143"/>
      <c r="E36" s="419"/>
      <c r="F36" s="829"/>
      <c r="G36" s="78"/>
      <c r="H36" s="78"/>
      <c r="I36" s="78"/>
      <c r="J36" s="78"/>
    </row>
    <row r="37" spans="2:10" x14ac:dyDescent="0.25">
      <c r="B37" s="77"/>
      <c r="C37" s="77"/>
      <c r="D37" s="78"/>
      <c r="E37" s="78"/>
      <c r="F37" s="78"/>
      <c r="G37" s="78"/>
      <c r="H37" s="425"/>
      <c r="I37" s="78"/>
      <c r="J37" s="7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2C0B-89A8-46A3-80D7-B49FA7CE84A1}">
  <dimension ref="A1:AJ258"/>
  <sheetViews>
    <sheetView workbookViewId="0">
      <selection activeCell="B19" sqref="B19:AJ254"/>
    </sheetView>
  </sheetViews>
  <sheetFormatPr defaultRowHeight="15" x14ac:dyDescent="0.25"/>
  <cols>
    <col min="1" max="1" customWidth="true" style="298" width="10.7109375"/>
    <col min="2" max="2" bestFit="true" customWidth="true" style="299" width="10.0"/>
    <col min="3" max="3" bestFit="true" customWidth="true" style="299" width="24.28515625"/>
    <col min="4" max="4" bestFit="true" customWidth="true" style="299" width="10.85546875"/>
    <col min="5" max="5" bestFit="true" customWidth="true" style="300" width="11.42578125"/>
    <col min="6" max="6" customWidth="true" style="300" width="14.5703125"/>
    <col min="7" max="11" customWidth="true" style="303" width="12.28515625"/>
    <col min="12" max="12" customWidth="true" style="301" width="12.28515625"/>
    <col min="13" max="13" customWidth="true" style="299" width="12.28515625"/>
    <col min="14" max="14" customWidth="true" style="299" width="20.0"/>
    <col min="15" max="16" customWidth="true" style="302" width="12.28515625"/>
    <col min="17" max="17" customWidth="true" style="302" width="13.0"/>
    <col min="18" max="19" customWidth="true" style="299" width="12.28515625"/>
    <col min="20" max="20" customWidth="true" style="299" width="19.7109375"/>
    <col min="21" max="21" customWidth="true" style="299" width="17.7109375"/>
    <col min="22" max="23" customWidth="true" style="303" width="17.7109375"/>
    <col min="24" max="28" customWidth="true" style="299" width="17.7109375"/>
    <col min="29" max="29" customWidth="true" style="2" width="23.140625"/>
    <col min="36" max="36" bestFit="true" customWidth="true" width="13.140625"/>
  </cols>
  <sheetData>
    <row r="1" spans="1:36" ht="15.75" thickBot="1" x14ac:dyDescent="0.3">
      <c r="A1" s="296" t="s">
        <v>213</v>
      </c>
      <c r="B1" s="297">
        <v>2</v>
      </c>
      <c r="C1" s="297">
        <v>3</v>
      </c>
      <c r="D1" s="297">
        <v>4</v>
      </c>
      <c r="E1" s="297">
        <v>5</v>
      </c>
      <c r="F1" s="297">
        <v>6</v>
      </c>
      <c r="G1" s="297">
        <v>7</v>
      </c>
      <c r="H1" s="297">
        <v>8</v>
      </c>
      <c r="I1" s="297">
        <v>9</v>
      </c>
      <c r="J1" s="297">
        <v>10</v>
      </c>
      <c r="K1" s="297">
        <v>11</v>
      </c>
      <c r="L1" s="297">
        <v>12</v>
      </c>
      <c r="M1" s="297">
        <v>13</v>
      </c>
      <c r="N1" s="297">
        <v>14</v>
      </c>
      <c r="O1" s="297">
        <v>15</v>
      </c>
      <c r="P1" s="297">
        <v>16</v>
      </c>
      <c r="Q1" s="297">
        <v>17</v>
      </c>
      <c r="R1" s="297">
        <v>18</v>
      </c>
      <c r="S1" s="297">
        <v>19</v>
      </c>
      <c r="T1" s="297">
        <v>20</v>
      </c>
      <c r="U1" s="297">
        <v>21</v>
      </c>
      <c r="V1" s="297">
        <v>22</v>
      </c>
      <c r="W1" s="297">
        <v>23</v>
      </c>
      <c r="X1" s="297">
        <v>24</v>
      </c>
      <c r="Y1" s="297">
        <v>25</v>
      </c>
      <c r="Z1" s="297">
        <v>26</v>
      </c>
      <c r="AA1" s="297">
        <v>27</v>
      </c>
      <c r="AB1" s="297">
        <v>28</v>
      </c>
      <c r="AC1" s="297">
        <v>29</v>
      </c>
    </row>
    <row r="2" spans="1:36" x14ac:dyDescent="0.25">
      <c r="A2" s="309"/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</row>
    <row r="3" spans="1:36" x14ac:dyDescent="0.25">
      <c r="A3" s="309"/>
      <c r="B3" s="310"/>
      <c r="D3" s="298"/>
      <c r="E3" s="298"/>
      <c r="F3" s="298"/>
      <c r="G3" s="299"/>
      <c r="H3" s="299"/>
      <c r="I3" s="299"/>
      <c r="J3" s="299"/>
      <c r="K3" s="299"/>
      <c r="L3" s="310"/>
      <c r="M3"/>
      <c r="N3" s="77" t="s">
        <v>470</v>
      </c>
      <c r="O3"/>
      <c r="P3"/>
      <c r="Q3"/>
      <c r="R3" s="310"/>
      <c r="S3"/>
      <c r="T3" s="77" t="s">
        <v>474</v>
      </c>
      <c r="U3"/>
      <c r="V3"/>
      <c r="W3"/>
      <c r="X3"/>
      <c r="Y3" s="310"/>
      <c r="Z3" s="310"/>
      <c r="AA3" s="310"/>
      <c r="AB3" s="310"/>
    </row>
    <row r="4" spans="1:36" x14ac:dyDescent="0.25">
      <c r="A4" s="309"/>
      <c r="B4" s="310"/>
      <c r="C4" s="943" t="s">
        <v>973</v>
      </c>
      <c r="D4" s="933"/>
      <c r="E4" s="934"/>
      <c r="F4" s="934"/>
      <c r="G4" s="934"/>
      <c r="H4" s="934"/>
      <c r="I4" s="934"/>
      <c r="J4" s="934"/>
      <c r="K4" s="935"/>
      <c r="L4" s="310"/>
      <c r="M4">
        <v>1</v>
      </c>
      <c r="N4" s="333" t="s">
        <v>471</v>
      </c>
      <c r="O4" s="334">
        <v>600</v>
      </c>
      <c r="P4" s="335">
        <v>4</v>
      </c>
      <c r="Q4" s="336" t="s">
        <v>472</v>
      </c>
      <c r="R4" s="310"/>
      <c r="S4">
        <v>1</v>
      </c>
      <c r="T4" s="333" t="s">
        <v>471</v>
      </c>
      <c r="U4" s="334">
        <v>600</v>
      </c>
      <c r="V4" s="335">
        <v>4</v>
      </c>
      <c r="W4" s="336" t="s">
        <v>472</v>
      </c>
      <c r="X4"/>
      <c r="Y4" s="310"/>
      <c r="Z4" s="310"/>
      <c r="AA4" s="310"/>
      <c r="AB4" s="310"/>
    </row>
    <row r="5" spans="1:36" x14ac:dyDescent="0.25">
      <c r="A5" s="309"/>
      <c r="B5" s="310"/>
      <c r="C5" s="936" t="s">
        <v>974</v>
      </c>
      <c r="D5" s="298"/>
      <c r="E5" s="298"/>
      <c r="F5" s="298"/>
      <c r="G5" s="298"/>
      <c r="H5" s="298"/>
      <c r="I5" s="298"/>
      <c r="J5" s="298"/>
      <c r="K5" s="937"/>
      <c r="L5" s="310"/>
      <c r="M5">
        <v>2</v>
      </c>
      <c r="N5" s="337" t="s">
        <v>471</v>
      </c>
      <c r="O5" s="12">
        <v>700</v>
      </c>
      <c r="P5" s="338">
        <v>2</v>
      </c>
      <c r="Q5" s="339" t="s">
        <v>472</v>
      </c>
      <c r="R5" s="310"/>
      <c r="S5">
        <v>2</v>
      </c>
      <c r="T5" s="337" t="s">
        <v>471</v>
      </c>
      <c r="U5" s="12">
        <v>750</v>
      </c>
      <c r="V5" s="338">
        <v>2</v>
      </c>
      <c r="W5" s="339" t="s">
        <v>472</v>
      </c>
      <c r="X5"/>
      <c r="Y5" s="310"/>
      <c r="Z5" s="310"/>
      <c r="AA5" s="310"/>
      <c r="AB5" s="310"/>
    </row>
    <row r="6" spans="1:36" x14ac:dyDescent="0.25">
      <c r="A6" s="309"/>
      <c r="B6" s="310"/>
      <c r="C6" s="936" t="s">
        <v>975</v>
      </c>
      <c r="D6" s="298"/>
      <c r="E6" s="298"/>
      <c r="F6" s="298"/>
      <c r="G6" s="298"/>
      <c r="H6" s="298"/>
      <c r="I6" s="298"/>
      <c r="J6" s="298"/>
      <c r="K6" s="937"/>
      <c r="L6" s="310"/>
      <c r="M6">
        <v>3</v>
      </c>
      <c r="N6" s="337" t="s">
        <v>473</v>
      </c>
      <c r="O6" s="12">
        <v>5000</v>
      </c>
      <c r="P6" s="340">
        <f>VLOOKUP("X",19:254,29,FALSE)</f>
        <v>0</v>
      </c>
      <c r="Q6" s="339" t="s">
        <v>472</v>
      </c>
      <c r="R6" s="310"/>
      <c r="S6">
        <v>3</v>
      </c>
      <c r="T6" s="337" t="s">
        <v>475</v>
      </c>
      <c r="U6" s="12">
        <v>5000</v>
      </c>
      <c r="V6" s="338">
        <v>5</v>
      </c>
      <c r="W6" s="339" t="s">
        <v>472</v>
      </c>
      <c r="X6"/>
      <c r="Y6" s="310"/>
      <c r="Z6" s="310"/>
      <c r="AA6" s="310"/>
      <c r="AB6" s="310"/>
    </row>
    <row r="7" spans="1:36" x14ac:dyDescent="0.25">
      <c r="A7" s="309"/>
      <c r="B7" s="310"/>
      <c r="C7" s="936"/>
      <c r="D7" s="298"/>
      <c r="E7" s="298"/>
      <c r="F7" s="298"/>
      <c r="G7" s="299"/>
      <c r="H7" s="299"/>
      <c r="I7" s="299"/>
      <c r="J7" s="299"/>
      <c r="K7" s="938"/>
      <c r="L7" s="310"/>
      <c r="M7">
        <v>4</v>
      </c>
      <c r="N7" s="337" t="str">
        <f>" "</f>
        <v xml:space="preserve"> </v>
      </c>
      <c r="O7" s="339" t="str">
        <f>" "</f>
        <v xml:space="preserve"> </v>
      </c>
      <c r="P7" s="340" t="str">
        <f>" "</f>
        <v xml:space="preserve"> </v>
      </c>
      <c r="Q7" s="339" t="str">
        <f>" "</f>
        <v xml:space="preserve"> </v>
      </c>
      <c r="R7" s="310"/>
      <c r="S7">
        <v>4</v>
      </c>
      <c r="T7" s="339" t="str">
        <f>" "</f>
        <v xml:space="preserve"> </v>
      </c>
      <c r="U7" s="12" t="str">
        <f>" "</f>
        <v xml:space="preserve"> </v>
      </c>
      <c r="V7" s="340" t="str">
        <f>" "</f>
        <v xml:space="preserve"> </v>
      </c>
      <c r="W7" s="339" t="str">
        <f>" "</f>
        <v xml:space="preserve"> </v>
      </c>
      <c r="X7" s="286"/>
      <c r="Y7" s="310"/>
      <c r="Z7" s="310"/>
      <c r="AA7" s="310"/>
      <c r="AB7" s="310"/>
    </row>
    <row r="8" spans="1:36" x14ac:dyDescent="0.25">
      <c r="A8" s="309"/>
      <c r="B8" s="310"/>
      <c r="C8" s="936"/>
      <c r="D8" s="298"/>
      <c r="E8" s="298"/>
      <c r="F8" s="298"/>
      <c r="G8" s="299"/>
      <c r="H8" s="299"/>
      <c r="I8" s="299"/>
      <c r="J8" s="299"/>
      <c r="K8" s="938"/>
      <c r="L8" s="310"/>
      <c r="M8">
        <v>5</v>
      </c>
      <c r="N8" s="337" t="str">
        <f t="shared" ref="N8:Q13" si="0">" "</f>
        <v xml:space="preserve"> </v>
      </c>
      <c r="O8" s="339" t="str">
        <f t="shared" si="0"/>
        <v xml:space="preserve"> </v>
      </c>
      <c r="P8" s="337" t="str">
        <f t="shared" si="0"/>
        <v xml:space="preserve"> </v>
      </c>
      <c r="Q8" s="339" t="str">
        <f t="shared" si="0"/>
        <v xml:space="preserve"> </v>
      </c>
      <c r="R8" s="310"/>
      <c r="S8">
        <v>5</v>
      </c>
      <c r="T8" s="337" t="str">
        <f>" "</f>
        <v xml:space="preserve"> </v>
      </c>
      <c r="U8" s="12"/>
      <c r="V8" s="340"/>
      <c r="W8" s="339"/>
      <c r="X8" s="286"/>
      <c r="Y8" s="310"/>
      <c r="Z8" s="310"/>
      <c r="AA8" s="310"/>
      <c r="AB8" s="310"/>
    </row>
    <row r="9" spans="1:36" x14ac:dyDescent="0.25">
      <c r="A9" s="309"/>
      <c r="B9" s="310"/>
      <c r="C9" s="939"/>
      <c r="D9" s="940"/>
      <c r="E9" s="940"/>
      <c r="F9" s="940"/>
      <c r="G9" s="941"/>
      <c r="H9" s="941"/>
      <c r="I9" s="941"/>
      <c r="J9" s="941"/>
      <c r="K9" s="942"/>
      <c r="L9" s="310"/>
      <c r="M9">
        <v>6</v>
      </c>
      <c r="N9" s="337" t="str">
        <f t="shared" si="0"/>
        <v xml:space="preserve"> </v>
      </c>
      <c r="O9" s="339" t="str">
        <f t="shared" si="0"/>
        <v xml:space="preserve"> </v>
      </c>
      <c r="P9" s="337" t="str">
        <f t="shared" si="0"/>
        <v xml:space="preserve"> </v>
      </c>
      <c r="Q9" s="339" t="str">
        <f t="shared" si="0"/>
        <v xml:space="preserve"> </v>
      </c>
      <c r="R9" s="310"/>
      <c r="S9">
        <v>6</v>
      </c>
      <c r="T9" s="337"/>
      <c r="U9" s="12"/>
      <c r="V9" s="340"/>
      <c r="W9" s="339"/>
      <c r="X9"/>
      <c r="Y9" s="310"/>
      <c r="Z9" s="310"/>
      <c r="AA9" s="310"/>
      <c r="AB9" s="310"/>
    </row>
    <row r="10" spans="1:36" x14ac:dyDescent="0.25">
      <c r="A10" s="309"/>
      <c r="B10" s="310"/>
      <c r="D10" s="298"/>
      <c r="E10" s="298"/>
      <c r="F10" s="298"/>
      <c r="G10" s="299"/>
      <c r="H10" s="299"/>
      <c r="I10" s="299"/>
      <c r="J10" s="299"/>
      <c r="K10" s="299"/>
      <c r="L10" s="310"/>
      <c r="M10">
        <v>7</v>
      </c>
      <c r="N10" s="337" t="str">
        <f t="shared" si="0"/>
        <v xml:space="preserve"> </v>
      </c>
      <c r="O10" s="339" t="str">
        <f t="shared" si="0"/>
        <v xml:space="preserve"> </v>
      </c>
      <c r="P10" s="337" t="str">
        <f t="shared" si="0"/>
        <v xml:space="preserve"> </v>
      </c>
      <c r="Q10" s="339" t="str">
        <f t="shared" si="0"/>
        <v xml:space="preserve"> </v>
      </c>
      <c r="R10" s="310"/>
      <c r="S10">
        <v>7</v>
      </c>
      <c r="T10" s="337"/>
      <c r="U10" s="12"/>
      <c r="V10" s="340"/>
      <c r="W10" s="339"/>
      <c r="X10"/>
      <c r="Y10" s="310"/>
      <c r="Z10" s="310"/>
      <c r="AA10" s="310"/>
      <c r="AB10" s="310"/>
    </row>
    <row r="11" spans="1:36" x14ac:dyDescent="0.25">
      <c r="A11" s="309"/>
      <c r="B11" s="310"/>
      <c r="D11" s="298"/>
      <c r="E11" s="298"/>
      <c r="F11" s="298"/>
      <c r="G11" s="299"/>
      <c r="H11" s="299"/>
      <c r="I11" s="299"/>
      <c r="J11" s="299"/>
      <c r="K11" s="299"/>
      <c r="L11" s="310"/>
      <c r="M11">
        <v>8</v>
      </c>
      <c r="N11" s="337" t="str">
        <f t="shared" si="0"/>
        <v xml:space="preserve"> </v>
      </c>
      <c r="O11" s="339" t="str">
        <f t="shared" si="0"/>
        <v xml:space="preserve"> </v>
      </c>
      <c r="P11" s="337" t="str">
        <f t="shared" si="0"/>
        <v xml:space="preserve"> </v>
      </c>
      <c r="Q11" s="339" t="str">
        <f t="shared" si="0"/>
        <v xml:space="preserve"> </v>
      </c>
      <c r="R11" s="310"/>
      <c r="S11">
        <v>8</v>
      </c>
      <c r="T11" s="337"/>
      <c r="U11" s="12"/>
      <c r="V11" s="340"/>
      <c r="W11" s="339"/>
      <c r="X11"/>
      <c r="Y11" s="310"/>
      <c r="Z11" s="310"/>
      <c r="AA11" s="310"/>
      <c r="AB11" s="310"/>
    </row>
    <row r="12" spans="1:36" x14ac:dyDescent="0.25">
      <c r="A12" s="309"/>
      <c r="B12" s="310"/>
      <c r="C12" s="346"/>
      <c r="D12" s="347"/>
      <c r="E12" s="347"/>
      <c r="F12" s="347"/>
      <c r="G12" s="299"/>
      <c r="H12" s="299"/>
      <c r="I12" s="299"/>
      <c r="J12" s="299"/>
      <c r="K12" s="299"/>
      <c r="L12" s="310"/>
      <c r="M12">
        <v>9</v>
      </c>
      <c r="N12" s="337" t="str">
        <f t="shared" si="0"/>
        <v xml:space="preserve"> </v>
      </c>
      <c r="O12" s="339" t="str">
        <f t="shared" si="0"/>
        <v xml:space="preserve"> </v>
      </c>
      <c r="P12" s="337" t="str">
        <f t="shared" si="0"/>
        <v xml:space="preserve"> </v>
      </c>
      <c r="Q12" s="339" t="str">
        <f t="shared" si="0"/>
        <v xml:space="preserve"> </v>
      </c>
      <c r="R12" s="310"/>
      <c r="S12">
        <v>9</v>
      </c>
      <c r="T12" s="337"/>
      <c r="U12" s="12"/>
      <c r="V12" s="340"/>
      <c r="W12" s="339"/>
      <c r="X12"/>
      <c r="Y12" s="310"/>
      <c r="Z12" s="310"/>
      <c r="AA12" s="310"/>
      <c r="AB12" s="310"/>
    </row>
    <row r="13" spans="1:36" x14ac:dyDescent="0.25">
      <c r="A13" s="309"/>
      <c r="B13" s="310"/>
      <c r="C13" s="346"/>
      <c r="D13" s="347"/>
      <c r="E13" s="347"/>
      <c r="F13" s="347"/>
      <c r="G13" s="299"/>
      <c r="H13" s="299"/>
      <c r="I13" s="299"/>
      <c r="J13" s="299"/>
      <c r="K13" s="299"/>
      <c r="L13" s="310"/>
      <c r="M13">
        <v>10</v>
      </c>
      <c r="N13" s="225" t="str">
        <f t="shared" si="0"/>
        <v xml:space="preserve"> </v>
      </c>
      <c r="O13" s="341" t="str">
        <f t="shared" si="0"/>
        <v xml:space="preserve"> </v>
      </c>
      <c r="P13" s="225" t="str">
        <f t="shared" si="0"/>
        <v xml:space="preserve"> </v>
      </c>
      <c r="Q13" s="341" t="str">
        <f t="shared" si="0"/>
        <v xml:space="preserve"> </v>
      </c>
      <c r="R13" s="310"/>
      <c r="S13">
        <v>10</v>
      </c>
      <c r="T13" s="225"/>
      <c r="U13" s="13"/>
      <c r="V13" s="342"/>
      <c r="W13" s="341"/>
      <c r="X13"/>
      <c r="Y13" s="310"/>
      <c r="Z13" s="310"/>
      <c r="AA13" s="310"/>
      <c r="AB13" s="310"/>
    </row>
    <row r="14" spans="1:36" x14ac:dyDescent="0.25">
      <c r="A14" s="309"/>
      <c r="B14" s="310"/>
      <c r="C14"/>
      <c r="D14"/>
      <c r="E14"/>
      <c r="F14"/>
      <c r="G14"/>
      <c r="H14"/>
      <c r="I14"/>
      <c r="J14"/>
      <c r="K14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</row>
    <row r="15" spans="1:36" ht="15.75" thickBot="1" x14ac:dyDescent="0.3">
      <c r="B15" s="298">
        <v>2</v>
      </c>
      <c r="C15" s="298">
        <v>3</v>
      </c>
      <c r="D15" s="298">
        <v>4</v>
      </c>
      <c r="E15" s="298">
        <v>5</v>
      </c>
      <c r="F15" s="298">
        <v>6</v>
      </c>
      <c r="G15" s="298">
        <v>7</v>
      </c>
      <c r="H15" s="298">
        <v>8</v>
      </c>
      <c r="I15" s="298">
        <v>9</v>
      </c>
      <c r="J15" s="298">
        <v>10</v>
      </c>
      <c r="K15" s="298">
        <v>11</v>
      </c>
      <c r="L15" s="298">
        <v>12</v>
      </c>
      <c r="M15" s="298">
        <v>13</v>
      </c>
      <c r="N15" s="298">
        <v>14</v>
      </c>
      <c r="O15" s="298">
        <v>15</v>
      </c>
      <c r="P15" s="298">
        <v>16</v>
      </c>
      <c r="Q15" s="298">
        <v>17</v>
      </c>
      <c r="R15" s="298">
        <v>18</v>
      </c>
      <c r="S15" s="298">
        <v>19</v>
      </c>
      <c r="T15" s="298">
        <v>20</v>
      </c>
      <c r="U15" s="298">
        <v>21</v>
      </c>
      <c r="V15" s="298">
        <v>22</v>
      </c>
      <c r="W15" s="298">
        <v>23</v>
      </c>
      <c r="X15" s="298">
        <v>24</v>
      </c>
      <c r="Y15" s="298">
        <v>25</v>
      </c>
      <c r="Z15" s="298">
        <v>26</v>
      </c>
      <c r="AA15" s="298">
        <v>27</v>
      </c>
      <c r="AB15" s="298">
        <v>28</v>
      </c>
      <c r="AC15" s="298">
        <v>29</v>
      </c>
      <c r="AD15" s="298">
        <v>30</v>
      </c>
      <c r="AE15" s="298">
        <v>31</v>
      </c>
      <c r="AF15" s="298">
        <v>32</v>
      </c>
      <c r="AG15" s="298">
        <v>33</v>
      </c>
      <c r="AH15" s="298">
        <v>34</v>
      </c>
      <c r="AI15" s="298">
        <v>35</v>
      </c>
      <c r="AJ15" s="298">
        <v>36</v>
      </c>
    </row>
    <row r="16" spans="1:36" ht="15.75" thickBot="1" x14ac:dyDescent="0.3">
      <c r="A16" s="327" t="s">
        <v>39</v>
      </c>
      <c r="B16" s="304" t="s">
        <v>214</v>
      </c>
      <c r="C16" s="304" t="s">
        <v>215</v>
      </c>
      <c r="D16" s="363" t="s">
        <v>216</v>
      </c>
      <c r="E16" s="361" t="s">
        <v>217</v>
      </c>
      <c r="F16" s="348">
        <v>0</v>
      </c>
      <c r="G16" s="349">
        <v>200</v>
      </c>
      <c r="H16" s="350">
        <v>500</v>
      </c>
      <c r="I16" s="349">
        <v>1000</v>
      </c>
      <c r="J16" s="350">
        <v>2000</v>
      </c>
      <c r="K16" s="351">
        <v>5000</v>
      </c>
      <c r="L16" s="370"/>
      <c r="M16" s="381"/>
      <c r="N16" s="375"/>
      <c r="O16" s="383"/>
      <c r="P16" s="375"/>
      <c r="Q16" s="383"/>
      <c r="R16" s="375"/>
      <c r="S16" s="372"/>
      <c r="T16" s="383"/>
      <c r="U16" s="375"/>
      <c r="V16" s="375"/>
      <c r="W16" s="375"/>
      <c r="X16" s="375"/>
      <c r="Y16" s="375"/>
      <c r="Z16" s="375"/>
      <c r="AA16" s="375"/>
      <c r="AB16" s="375"/>
      <c r="AC16" s="672" t="s">
        <v>476</v>
      </c>
      <c r="AD16" s="529">
        <f>VLOOKUP("X",19:254,AD15,FALSE)</f>
        <v>1</v>
      </c>
      <c r="AE16" s="529">
        <f>VLOOKUP("X",19:254,AE15,FALSE)</f>
        <v>1</v>
      </c>
      <c r="AF16" s="529">
        <f t="shared" ref="AF16:AJ16" si="1">VLOOKUP("X",19:254,AF15,FALSE)</f>
        <v>1</v>
      </c>
      <c r="AG16" s="529">
        <f t="shared" si="1"/>
        <v>1</v>
      </c>
      <c r="AH16" s="529">
        <f t="shared" si="1"/>
        <v>1</v>
      </c>
      <c r="AI16" s="529">
        <f t="shared" si="1"/>
        <v>1</v>
      </c>
      <c r="AJ16" s="281">
        <f t="shared" si="1"/>
        <v>1</v>
      </c>
    </row>
    <row r="17" spans="1:36" x14ac:dyDescent="0.25">
      <c r="A17" s="328"/>
      <c r="B17" s="305"/>
      <c r="C17" s="305"/>
      <c r="D17" s="364"/>
      <c r="E17" s="362"/>
      <c r="F17" s="316">
        <v>200</v>
      </c>
      <c r="G17" s="306">
        <v>500</v>
      </c>
      <c r="H17" s="317">
        <v>1000</v>
      </c>
      <c r="I17" s="306">
        <v>2000</v>
      </c>
      <c r="J17" s="317">
        <v>5000</v>
      </c>
      <c r="K17" s="318">
        <v>999999</v>
      </c>
      <c r="L17" s="371"/>
      <c r="M17" s="382"/>
      <c r="N17" s="376"/>
      <c r="O17" s="384"/>
      <c r="P17" s="376"/>
      <c r="Q17" s="384"/>
      <c r="R17" s="376"/>
      <c r="S17" s="373"/>
      <c r="T17" s="384" t="s">
        <v>218</v>
      </c>
      <c r="U17" s="388"/>
      <c r="V17" s="388"/>
      <c r="W17" s="388"/>
      <c r="X17" s="345"/>
      <c r="Y17" s="345"/>
      <c r="Z17" s="345"/>
      <c r="AA17" s="345"/>
      <c r="AB17" s="345"/>
      <c r="AC17" s="673">
        <v>5000</v>
      </c>
      <c r="AD17" s="12" t="s">
        <v>66</v>
      </c>
      <c r="AE17" s="2" t="s">
        <v>65</v>
      </c>
      <c r="AF17" s="12" t="s">
        <v>63</v>
      </c>
      <c r="AG17" s="2" t="s">
        <v>64</v>
      </c>
      <c r="AH17" s="12" t="s">
        <v>52</v>
      </c>
      <c r="AI17" s="2" t="s">
        <v>54</v>
      </c>
      <c r="AJ17" s="12" t="s">
        <v>67</v>
      </c>
    </row>
    <row r="18" spans="1:36" ht="15.75" thickBot="1" x14ac:dyDescent="0.3">
      <c r="A18" s="328"/>
      <c r="B18" s="307"/>
      <c r="C18" s="307"/>
      <c r="D18" s="364"/>
      <c r="E18" s="362"/>
      <c r="F18" s="352" t="s">
        <v>219</v>
      </c>
      <c r="G18" s="353" t="s">
        <v>220</v>
      </c>
      <c r="H18" s="354" t="s">
        <v>221</v>
      </c>
      <c r="I18" s="353" t="s">
        <v>222</v>
      </c>
      <c r="J18" s="355" t="s">
        <v>223</v>
      </c>
      <c r="K18" s="356" t="s">
        <v>224</v>
      </c>
      <c r="L18" s="308" t="s">
        <v>29</v>
      </c>
      <c r="M18" s="382" t="s">
        <v>225</v>
      </c>
      <c r="N18" s="376" t="s">
        <v>0</v>
      </c>
      <c r="O18" s="385" t="s">
        <v>174</v>
      </c>
      <c r="P18" s="377" t="s">
        <v>0</v>
      </c>
      <c r="Q18" s="385" t="s">
        <v>174</v>
      </c>
      <c r="R18" s="377" t="s">
        <v>0</v>
      </c>
      <c r="S18" s="374" t="s">
        <v>226</v>
      </c>
      <c r="T18" s="385"/>
      <c r="U18" s="389" t="s">
        <v>227</v>
      </c>
      <c r="V18" s="390" t="s">
        <v>228</v>
      </c>
      <c r="W18" s="390" t="s">
        <v>229</v>
      </c>
      <c r="X18" s="390" t="s">
        <v>230</v>
      </c>
      <c r="Y18" s="389" t="s">
        <v>231</v>
      </c>
      <c r="Z18" s="389" t="s">
        <v>232</v>
      </c>
      <c r="AA18" s="389" t="s">
        <v>233</v>
      </c>
      <c r="AB18" s="389" t="s">
        <v>234</v>
      </c>
      <c r="AC18" s="674">
        <v>6200</v>
      </c>
      <c r="AD18" s="13" t="s">
        <v>96</v>
      </c>
      <c r="AE18" s="343" t="s">
        <v>96</v>
      </c>
      <c r="AF18" s="13" t="s">
        <v>96</v>
      </c>
      <c r="AG18" s="343" t="s">
        <v>96</v>
      </c>
      <c r="AH18" s="13" t="s">
        <v>96</v>
      </c>
      <c r="AI18" s="343" t="s">
        <v>96</v>
      </c>
      <c r="AJ18" s="13" t="s">
        <v>96</v>
      </c>
    </row>
    <row r="19" spans="1:36" x14ac:dyDescent="0.25">
      <c r="A19" s="298" t="str">
        <f>IF('Kwaliteit conversie'!$D$4='Prijs karton'!C19,"X"," ")</f>
        <v xml:space="preserve"> </v>
      </c>
      <c r="B19" s="330" t="s">
        <v>31</v>
      </c>
      <c r="C19" s="358" t="s">
        <v>235</v>
      </c>
      <c r="D19" s="365">
        <v>0.35099999999999998</v>
      </c>
      <c r="E19" s="357">
        <v>2.84</v>
      </c>
      <c r="F19" s="922">
        <v>0</v>
      </c>
      <c r="G19" s="368">
        <v>40.5</v>
      </c>
      <c r="H19" s="368">
        <v>37.5</v>
      </c>
      <c r="I19" s="368">
        <v>37.5</v>
      </c>
      <c r="J19" s="368">
        <v>35.5</v>
      </c>
      <c r="K19" s="923">
        <v>35.5</v>
      </c>
      <c r="L19" s="924" t="s">
        <v>236</v>
      </c>
      <c r="M19" s="331" t="s">
        <v>237</v>
      </c>
      <c r="N19" s="366" t="s">
        <v>238</v>
      </c>
      <c r="O19" s="313" t="s">
        <v>239</v>
      </c>
      <c r="P19" s="366" t="s">
        <v>239</v>
      </c>
      <c r="Q19" s="313" t="s">
        <v>239</v>
      </c>
      <c r="R19" s="366" t="s">
        <v>239</v>
      </c>
      <c r="S19" s="378" t="s">
        <v>237</v>
      </c>
      <c r="T19" s="314" t="s">
        <v>240</v>
      </c>
      <c r="U19" s="391">
        <v>240</v>
      </c>
      <c r="V19" s="391">
        <v>2450</v>
      </c>
      <c r="W19" s="391">
        <v>500</v>
      </c>
      <c r="X19" s="391">
        <v>6000</v>
      </c>
      <c r="Y19" s="391">
        <v>125</v>
      </c>
      <c r="Z19" s="391">
        <v>125</v>
      </c>
      <c r="AA19" s="391">
        <v>200</v>
      </c>
      <c r="AB19" s="184">
        <v>4.0199999999999996</v>
      </c>
      <c r="AC19" s="28">
        <v>0</v>
      </c>
      <c r="AD19" s="486">
        <v>1</v>
      </c>
      <c r="AE19" s="486">
        <v>1</v>
      </c>
      <c r="AF19" s="486">
        <v>1</v>
      </c>
      <c r="AG19" s="486">
        <v>1</v>
      </c>
      <c r="AH19" s="486">
        <v>1</v>
      </c>
      <c r="AI19" s="486">
        <v>1</v>
      </c>
      <c r="AJ19" s="486">
        <v>1</v>
      </c>
    </row>
    <row r="20" spans="1:36" x14ac:dyDescent="0.25">
      <c r="A20" s="298" t="str">
        <f>IF('Kwaliteit conversie'!$D$4='Prijs karton'!C20,"X"," ")</f>
        <v xml:space="preserve"> </v>
      </c>
      <c r="B20" s="331" t="s">
        <v>31</v>
      </c>
      <c r="C20" s="359" t="s">
        <v>241</v>
      </c>
      <c r="D20" s="366">
        <v>0.30499999999999999</v>
      </c>
      <c r="E20" s="321">
        <v>2.7</v>
      </c>
      <c r="F20" s="925">
        <v>0</v>
      </c>
      <c r="G20" s="315">
        <v>27.7</v>
      </c>
      <c r="H20" s="315">
        <v>24.7</v>
      </c>
      <c r="I20" s="315">
        <v>24.2</v>
      </c>
      <c r="J20" s="315">
        <v>24.2</v>
      </c>
      <c r="K20" s="513">
        <v>23.7</v>
      </c>
      <c r="L20" s="926" t="s">
        <v>242</v>
      </c>
      <c r="M20" s="331" t="s">
        <v>243</v>
      </c>
      <c r="N20" s="366" t="s">
        <v>244</v>
      </c>
      <c r="O20" s="323" t="s">
        <v>239</v>
      </c>
      <c r="P20" s="386" t="s">
        <v>239</v>
      </c>
      <c r="Q20" s="323" t="s">
        <v>239</v>
      </c>
      <c r="R20" s="366" t="s">
        <v>239</v>
      </c>
      <c r="S20" s="378" t="s">
        <v>244</v>
      </c>
      <c r="T20" s="324" t="s">
        <v>245</v>
      </c>
      <c r="U20" s="386">
        <v>250</v>
      </c>
      <c r="V20" s="386">
        <v>2450</v>
      </c>
      <c r="W20" s="386">
        <v>500</v>
      </c>
      <c r="X20" s="386">
        <v>6200</v>
      </c>
      <c r="Y20" s="386">
        <v>480</v>
      </c>
      <c r="Z20" s="386">
        <v>240</v>
      </c>
      <c r="AA20" s="386">
        <v>200</v>
      </c>
      <c r="AB20" s="392">
        <v>3</v>
      </c>
      <c r="AC20" s="28">
        <v>0</v>
      </c>
      <c r="AD20" s="28">
        <v>1</v>
      </c>
      <c r="AE20" s="28">
        <v>1</v>
      </c>
      <c r="AF20" s="28">
        <v>1</v>
      </c>
      <c r="AG20" s="28">
        <v>1</v>
      </c>
      <c r="AH20" s="28">
        <v>1</v>
      </c>
      <c r="AI20" s="28">
        <v>1</v>
      </c>
      <c r="AJ20" s="28">
        <v>1</v>
      </c>
    </row>
    <row r="21" spans="1:36" x14ac:dyDescent="0.25">
      <c r="A21" s="298" t="str">
        <f>IF('Kwaliteit conversie'!$D$4='Prijs karton'!C21,"X"," ")</f>
        <v xml:space="preserve"> </v>
      </c>
      <c r="B21" s="331" t="s">
        <v>31</v>
      </c>
      <c r="C21" s="359" t="s">
        <v>246</v>
      </c>
      <c r="D21" s="366">
        <v>0.36499999999999999</v>
      </c>
      <c r="E21" s="321">
        <v>2.8</v>
      </c>
      <c r="F21" s="925">
        <v>0</v>
      </c>
      <c r="G21" s="315">
        <v>31</v>
      </c>
      <c r="H21" s="315">
        <v>28</v>
      </c>
      <c r="I21" s="315">
        <v>27.5</v>
      </c>
      <c r="J21" s="315">
        <v>27.5</v>
      </c>
      <c r="K21" s="513">
        <v>27</v>
      </c>
      <c r="L21" s="926" t="s">
        <v>247</v>
      </c>
      <c r="M21" s="331" t="s">
        <v>248</v>
      </c>
      <c r="N21" s="366" t="s">
        <v>238</v>
      </c>
      <c r="O21" s="323" t="s">
        <v>239</v>
      </c>
      <c r="P21" s="386" t="s">
        <v>239</v>
      </c>
      <c r="Q21" s="323" t="s">
        <v>239</v>
      </c>
      <c r="R21" s="366" t="s">
        <v>239</v>
      </c>
      <c r="S21" s="378" t="s">
        <v>249</v>
      </c>
      <c r="T21" s="324" t="s">
        <v>245</v>
      </c>
      <c r="U21" s="386">
        <v>250</v>
      </c>
      <c r="V21" s="386">
        <v>2450</v>
      </c>
      <c r="W21" s="386">
        <v>500</v>
      </c>
      <c r="X21" s="386">
        <v>6200</v>
      </c>
      <c r="Y21" s="386">
        <v>480</v>
      </c>
      <c r="Z21" s="386">
        <v>240</v>
      </c>
      <c r="AA21" s="386">
        <v>200</v>
      </c>
      <c r="AB21" s="392">
        <v>4</v>
      </c>
      <c r="AC21" s="28">
        <v>0</v>
      </c>
      <c r="AD21" s="28">
        <v>1</v>
      </c>
      <c r="AE21" s="28">
        <v>1</v>
      </c>
      <c r="AF21" s="28">
        <v>1</v>
      </c>
      <c r="AG21" s="28">
        <v>1</v>
      </c>
      <c r="AH21" s="28">
        <v>1</v>
      </c>
      <c r="AI21" s="28">
        <v>1</v>
      </c>
      <c r="AJ21" s="28">
        <v>1</v>
      </c>
    </row>
    <row r="22" spans="1:36" x14ac:dyDescent="0.25">
      <c r="A22" s="298" t="str">
        <f>IF('Kwaliteit conversie'!$D$4='Prijs karton'!C22,"X"," ")</f>
        <v xml:space="preserve"> </v>
      </c>
      <c r="B22" s="331" t="s">
        <v>31</v>
      </c>
      <c r="C22" s="359" t="s">
        <v>250</v>
      </c>
      <c r="D22" s="366">
        <v>0.35499999999999998</v>
      </c>
      <c r="E22" s="321">
        <v>2.8</v>
      </c>
      <c r="F22" s="925">
        <v>0</v>
      </c>
      <c r="G22" s="315">
        <v>28.8</v>
      </c>
      <c r="H22" s="315">
        <v>25.8</v>
      </c>
      <c r="I22" s="315">
        <v>25.3</v>
      </c>
      <c r="J22" s="315">
        <v>25.3</v>
      </c>
      <c r="K22" s="513">
        <v>24.8</v>
      </c>
      <c r="L22" s="926" t="s">
        <v>251</v>
      </c>
      <c r="M22" s="331" t="s">
        <v>249</v>
      </c>
      <c r="N22" s="366" t="s">
        <v>244</v>
      </c>
      <c r="O22" s="323" t="s">
        <v>239</v>
      </c>
      <c r="P22" s="386" t="s">
        <v>239</v>
      </c>
      <c r="Q22" s="323" t="s">
        <v>239</v>
      </c>
      <c r="R22" s="366" t="s">
        <v>239</v>
      </c>
      <c r="S22" s="378" t="s">
        <v>249</v>
      </c>
      <c r="T22" s="324" t="s">
        <v>245</v>
      </c>
      <c r="U22" s="386">
        <v>250</v>
      </c>
      <c r="V22" s="386">
        <v>2450</v>
      </c>
      <c r="W22" s="386">
        <v>500</v>
      </c>
      <c r="X22" s="386">
        <v>6200</v>
      </c>
      <c r="Y22" s="386">
        <v>480</v>
      </c>
      <c r="Z22" s="386">
        <v>240</v>
      </c>
      <c r="AA22" s="386">
        <v>200</v>
      </c>
      <c r="AB22" s="392">
        <v>3.6</v>
      </c>
      <c r="AC22" s="28">
        <v>10</v>
      </c>
      <c r="AD22" s="28">
        <v>1</v>
      </c>
      <c r="AE22" s="28">
        <v>1</v>
      </c>
      <c r="AF22" s="28">
        <v>1</v>
      </c>
      <c r="AG22" s="28">
        <v>1</v>
      </c>
      <c r="AH22" s="28">
        <v>1</v>
      </c>
      <c r="AI22" s="28">
        <v>1</v>
      </c>
      <c r="AJ22" s="28">
        <v>1</v>
      </c>
    </row>
    <row r="23" spans="1:36" x14ac:dyDescent="0.25">
      <c r="A23" s="298" t="str">
        <f>IF('Kwaliteit conversie'!$D$4='Prijs karton'!C23,"X"," ")</f>
        <v xml:space="preserve"> </v>
      </c>
      <c r="B23" s="331" t="s">
        <v>31</v>
      </c>
      <c r="C23" s="359" t="s">
        <v>252</v>
      </c>
      <c r="D23" s="366">
        <v>0.36499999999999999</v>
      </c>
      <c r="E23" s="321">
        <v>2.84</v>
      </c>
      <c r="F23" s="925">
        <v>0</v>
      </c>
      <c r="G23" s="315">
        <v>41.1</v>
      </c>
      <c r="H23" s="315">
        <v>38.1</v>
      </c>
      <c r="I23" s="315">
        <v>38.1</v>
      </c>
      <c r="J23" s="315">
        <v>36.1</v>
      </c>
      <c r="K23" s="513">
        <v>36.1</v>
      </c>
      <c r="L23" s="926" t="s">
        <v>253</v>
      </c>
      <c r="M23" s="331" t="s">
        <v>254</v>
      </c>
      <c r="N23" s="366" t="s">
        <v>238</v>
      </c>
      <c r="O23" s="323" t="s">
        <v>239</v>
      </c>
      <c r="P23" s="386" t="s">
        <v>239</v>
      </c>
      <c r="Q23" s="323" t="s">
        <v>239</v>
      </c>
      <c r="R23" s="366" t="s">
        <v>239</v>
      </c>
      <c r="S23" s="378" t="s">
        <v>254</v>
      </c>
      <c r="T23" s="324" t="s">
        <v>240</v>
      </c>
      <c r="U23" s="386">
        <v>240</v>
      </c>
      <c r="V23" s="386">
        <v>2450</v>
      </c>
      <c r="W23" s="386">
        <v>500</v>
      </c>
      <c r="X23" s="386">
        <v>6000</v>
      </c>
      <c r="Y23" s="386">
        <v>125</v>
      </c>
      <c r="Z23" s="386">
        <v>125</v>
      </c>
      <c r="AA23" s="386">
        <v>200</v>
      </c>
      <c r="AB23" s="392">
        <v>4</v>
      </c>
      <c r="AC23" s="28">
        <v>0</v>
      </c>
      <c r="AD23" s="28">
        <v>1</v>
      </c>
      <c r="AE23" s="28">
        <v>1</v>
      </c>
      <c r="AF23" s="28">
        <v>1</v>
      </c>
      <c r="AG23" s="28">
        <v>1</v>
      </c>
      <c r="AH23" s="28">
        <v>1</v>
      </c>
      <c r="AI23" s="28">
        <v>1</v>
      </c>
      <c r="AJ23" s="28">
        <v>1</v>
      </c>
    </row>
    <row r="24" spans="1:36" x14ac:dyDescent="0.25">
      <c r="A24" s="298" t="str">
        <f>IF('Kwaliteit conversie'!$D$4='Prijs karton'!C24,"X"," ")</f>
        <v xml:space="preserve"> </v>
      </c>
      <c r="B24" s="331" t="s">
        <v>31</v>
      </c>
      <c r="C24" s="359"/>
      <c r="D24" s="366"/>
      <c r="E24" s="321"/>
      <c r="F24" s="925"/>
      <c r="G24" s="315"/>
      <c r="H24" s="315"/>
      <c r="I24" s="315"/>
      <c r="J24" s="315"/>
      <c r="K24" s="513"/>
      <c r="L24" s="926"/>
      <c r="M24" s="331"/>
      <c r="N24" s="366"/>
      <c r="O24" s="323"/>
      <c r="P24" s="386"/>
      <c r="Q24" s="323"/>
      <c r="R24" s="366"/>
      <c r="S24" s="378"/>
      <c r="T24" s="324"/>
      <c r="U24" s="386"/>
      <c r="V24" s="386"/>
      <c r="W24" s="386"/>
      <c r="X24" s="386"/>
      <c r="Y24" s="386"/>
      <c r="Z24" s="386"/>
      <c r="AA24" s="386"/>
      <c r="AB24" s="392"/>
      <c r="AC24" s="28"/>
      <c r="AD24" s="28"/>
      <c r="AE24" s="28"/>
      <c r="AF24" s="28"/>
      <c r="AG24" s="28"/>
      <c r="AH24" s="28"/>
      <c r="AI24" s="28"/>
      <c r="AJ24" s="28"/>
    </row>
    <row r="25" spans="1:36" x14ac:dyDescent="0.25">
      <c r="A25" s="298" t="str">
        <f>IF('Kwaliteit conversie'!$D$4='Prijs karton'!C25,"X"," ")</f>
        <v xml:space="preserve"> </v>
      </c>
      <c r="B25" s="331" t="s">
        <v>31</v>
      </c>
      <c r="C25" s="359" t="s">
        <v>42</v>
      </c>
      <c r="D25" s="366">
        <v>0.375</v>
      </c>
      <c r="E25" s="321">
        <v>2.8</v>
      </c>
      <c r="F25" s="925">
        <v>0</v>
      </c>
      <c r="G25" s="315">
        <v>29.8</v>
      </c>
      <c r="H25" s="315">
        <v>26.8</v>
      </c>
      <c r="I25" s="315">
        <v>26.3</v>
      </c>
      <c r="J25" s="315">
        <v>26.3</v>
      </c>
      <c r="K25" s="513">
        <v>25.8</v>
      </c>
      <c r="L25" s="926" t="s">
        <v>256</v>
      </c>
      <c r="M25" s="331" t="s">
        <v>257</v>
      </c>
      <c r="N25" s="366" t="s">
        <v>244</v>
      </c>
      <c r="O25" s="323" t="s">
        <v>239</v>
      </c>
      <c r="P25" s="386" t="s">
        <v>239</v>
      </c>
      <c r="Q25" s="323" t="s">
        <v>239</v>
      </c>
      <c r="R25" s="366" t="s">
        <v>239</v>
      </c>
      <c r="S25" s="378" t="s">
        <v>249</v>
      </c>
      <c r="T25" s="324" t="s">
        <v>245</v>
      </c>
      <c r="U25" s="386">
        <v>250</v>
      </c>
      <c r="V25" s="386">
        <v>2450</v>
      </c>
      <c r="W25" s="386">
        <v>500</v>
      </c>
      <c r="X25" s="386">
        <v>6200</v>
      </c>
      <c r="Y25" s="386">
        <v>480</v>
      </c>
      <c r="Z25" s="386">
        <v>240</v>
      </c>
      <c r="AA25" s="386">
        <v>200</v>
      </c>
      <c r="AB25" s="392">
        <v>3.9</v>
      </c>
      <c r="AC25" s="28">
        <v>10</v>
      </c>
      <c r="AD25" s="28">
        <v>1</v>
      </c>
      <c r="AE25" s="28">
        <v>1</v>
      </c>
      <c r="AF25" s="28">
        <v>1</v>
      </c>
      <c r="AG25" s="28">
        <v>1</v>
      </c>
      <c r="AH25" s="28">
        <v>1</v>
      </c>
      <c r="AI25" s="28">
        <v>1</v>
      </c>
      <c r="AJ25" s="28">
        <v>1</v>
      </c>
    </row>
    <row r="26" spans="1:36" x14ac:dyDescent="0.25">
      <c r="A26" s="298" t="str">
        <f>IF('Kwaliteit conversie'!$D$4='Prijs karton'!C26,"X"," ")</f>
        <v xml:space="preserve"> </v>
      </c>
      <c r="B26" s="331" t="s">
        <v>31</v>
      </c>
      <c r="C26" s="359"/>
      <c r="D26" s="366"/>
      <c r="E26" s="321"/>
      <c r="F26" s="925"/>
      <c r="G26" s="315"/>
      <c r="H26" s="315"/>
      <c r="I26" s="315"/>
      <c r="J26" s="315"/>
      <c r="K26" s="513"/>
      <c r="L26" s="926"/>
      <c r="M26" s="331"/>
      <c r="N26" s="366"/>
      <c r="O26" s="323"/>
      <c r="P26" s="386"/>
      <c r="Q26" s="323"/>
      <c r="R26" s="366"/>
      <c r="S26" s="378"/>
      <c r="T26" s="324"/>
      <c r="U26" s="386"/>
      <c r="V26" s="386"/>
      <c r="W26" s="386"/>
      <c r="X26" s="386"/>
      <c r="Y26" s="386"/>
      <c r="Z26" s="386"/>
      <c r="AA26" s="386"/>
      <c r="AB26" s="392"/>
      <c r="AC26" s="28"/>
      <c r="AD26" s="28"/>
      <c r="AE26" s="28"/>
      <c r="AF26" s="28"/>
      <c r="AG26" s="28"/>
      <c r="AH26" s="28"/>
      <c r="AI26" s="28"/>
      <c r="AJ26" s="28"/>
    </row>
    <row r="27" spans="1:36" x14ac:dyDescent="0.25">
      <c r="A27" s="298" t="str">
        <f>IF('Kwaliteit conversie'!$D$4='Prijs karton'!C27,"X"," ")</f>
        <v xml:space="preserve"> </v>
      </c>
      <c r="B27" s="331" t="s">
        <v>31</v>
      </c>
      <c r="C27" s="359" t="s">
        <v>258</v>
      </c>
      <c r="D27" s="366">
        <v>0.38100000000000001</v>
      </c>
      <c r="E27" s="321">
        <v>2.88</v>
      </c>
      <c r="F27" s="925">
        <v>0</v>
      </c>
      <c r="G27" s="315">
        <v>44.9</v>
      </c>
      <c r="H27" s="315">
        <v>41.9</v>
      </c>
      <c r="I27" s="315">
        <v>41.9</v>
      </c>
      <c r="J27" s="315">
        <v>39.9</v>
      </c>
      <c r="K27" s="513">
        <v>39.9</v>
      </c>
      <c r="L27" s="926" t="s">
        <v>259</v>
      </c>
      <c r="M27" s="331" t="s">
        <v>260</v>
      </c>
      <c r="N27" s="366" t="s">
        <v>238</v>
      </c>
      <c r="O27" s="323" t="s">
        <v>239</v>
      </c>
      <c r="P27" s="386" t="s">
        <v>239</v>
      </c>
      <c r="Q27" s="323" t="s">
        <v>239</v>
      </c>
      <c r="R27" s="366" t="s">
        <v>239</v>
      </c>
      <c r="S27" s="378" t="s">
        <v>260</v>
      </c>
      <c r="T27" s="324" t="s">
        <v>240</v>
      </c>
      <c r="U27" s="386">
        <v>240</v>
      </c>
      <c r="V27" s="386">
        <v>2450</v>
      </c>
      <c r="W27" s="386">
        <v>500</v>
      </c>
      <c r="X27" s="386">
        <v>6000</v>
      </c>
      <c r="Y27" s="386">
        <v>125</v>
      </c>
      <c r="Z27" s="386">
        <v>125</v>
      </c>
      <c r="AA27" s="386">
        <v>200</v>
      </c>
      <c r="AB27" s="392">
        <v>4.87</v>
      </c>
      <c r="AC27" s="28">
        <v>0</v>
      </c>
      <c r="AD27" s="28">
        <v>1</v>
      </c>
      <c r="AE27" s="28">
        <v>1</v>
      </c>
      <c r="AF27" s="28">
        <v>1</v>
      </c>
      <c r="AG27" s="28">
        <v>1</v>
      </c>
      <c r="AH27" s="28">
        <v>1</v>
      </c>
      <c r="AI27" s="28">
        <v>1</v>
      </c>
      <c r="AJ27" s="28">
        <v>1</v>
      </c>
    </row>
    <row r="28" spans="1:36" x14ac:dyDescent="0.25">
      <c r="A28" s="298" t="str">
        <f>IF('Kwaliteit conversie'!$D$4='Prijs karton'!C28,"X"," ")</f>
        <v xml:space="preserve"> </v>
      </c>
      <c r="B28" s="331" t="s">
        <v>31</v>
      </c>
      <c r="C28" s="359" t="s">
        <v>261</v>
      </c>
      <c r="D28" s="366">
        <v>0.36</v>
      </c>
      <c r="E28" s="321">
        <v>2.2999999999999998</v>
      </c>
      <c r="F28" s="925">
        <v>0</v>
      </c>
      <c r="G28" s="315">
        <v>29.6</v>
      </c>
      <c r="H28" s="315">
        <v>26.6</v>
      </c>
      <c r="I28" s="315">
        <v>26.1</v>
      </c>
      <c r="J28" s="315">
        <v>26.1</v>
      </c>
      <c r="K28" s="513">
        <v>25.6</v>
      </c>
      <c r="L28" s="926" t="s">
        <v>262</v>
      </c>
      <c r="M28" s="331" t="s">
        <v>257</v>
      </c>
      <c r="N28" s="366" t="s">
        <v>255</v>
      </c>
      <c r="O28" s="323" t="s">
        <v>239</v>
      </c>
      <c r="P28" s="386" t="s">
        <v>239</v>
      </c>
      <c r="Q28" s="323" t="s">
        <v>239</v>
      </c>
      <c r="R28" s="366" t="s">
        <v>239</v>
      </c>
      <c r="S28" s="378" t="s">
        <v>249</v>
      </c>
      <c r="T28" s="324" t="s">
        <v>245</v>
      </c>
      <c r="U28" s="386">
        <v>250</v>
      </c>
      <c r="V28" s="386">
        <v>2450</v>
      </c>
      <c r="W28" s="386">
        <v>500</v>
      </c>
      <c r="X28" s="386">
        <v>6200</v>
      </c>
      <c r="Y28" s="386">
        <v>480</v>
      </c>
      <c r="Z28" s="386">
        <v>240</v>
      </c>
      <c r="AA28" s="386">
        <v>200</v>
      </c>
      <c r="AB28" s="392">
        <v>4.0999999999999996</v>
      </c>
      <c r="AC28" s="28">
        <v>0</v>
      </c>
      <c r="AD28" s="28">
        <v>1</v>
      </c>
      <c r="AE28" s="28">
        <v>1</v>
      </c>
      <c r="AF28" s="28">
        <v>1</v>
      </c>
      <c r="AG28" s="28">
        <v>1</v>
      </c>
      <c r="AH28" s="28">
        <v>1</v>
      </c>
      <c r="AI28" s="28">
        <v>1</v>
      </c>
      <c r="AJ28" s="28">
        <v>1</v>
      </c>
    </row>
    <row r="29" spans="1:36" x14ac:dyDescent="0.25">
      <c r="A29" s="298" t="str">
        <f>IF('Kwaliteit conversie'!$D$4='Prijs karton'!C29,"X"," ")</f>
        <v xml:space="preserve"> </v>
      </c>
      <c r="B29" s="331" t="s">
        <v>31</v>
      </c>
      <c r="C29" s="359" t="s">
        <v>263</v>
      </c>
      <c r="D29" s="366">
        <v>0.43</v>
      </c>
      <c r="E29" s="321">
        <v>2.8</v>
      </c>
      <c r="F29" s="925">
        <v>0</v>
      </c>
      <c r="G29" s="315">
        <v>37.5</v>
      </c>
      <c r="H29" s="315">
        <v>34.5</v>
      </c>
      <c r="I29" s="315">
        <v>34</v>
      </c>
      <c r="J29" s="315">
        <v>34</v>
      </c>
      <c r="K29" s="513">
        <v>33.5</v>
      </c>
      <c r="L29" s="926" t="s">
        <v>264</v>
      </c>
      <c r="M29" s="331" t="s">
        <v>257</v>
      </c>
      <c r="N29" s="366" t="s">
        <v>265</v>
      </c>
      <c r="O29" s="323" t="s">
        <v>239</v>
      </c>
      <c r="P29" s="386" t="s">
        <v>239</v>
      </c>
      <c r="Q29" s="323" t="s">
        <v>239</v>
      </c>
      <c r="R29" s="366" t="s">
        <v>239</v>
      </c>
      <c r="S29" s="378" t="s">
        <v>249</v>
      </c>
      <c r="T29" s="324" t="s">
        <v>245</v>
      </c>
      <c r="U29" s="386">
        <v>250</v>
      </c>
      <c r="V29" s="386">
        <v>2450</v>
      </c>
      <c r="W29" s="386">
        <v>500</v>
      </c>
      <c r="X29" s="386">
        <v>6200</v>
      </c>
      <c r="Y29" s="386">
        <v>480</v>
      </c>
      <c r="Z29" s="386">
        <v>240</v>
      </c>
      <c r="AA29" s="386">
        <v>200</v>
      </c>
      <c r="AB29" s="392">
        <v>5</v>
      </c>
      <c r="AC29" s="28">
        <v>0</v>
      </c>
      <c r="AD29" s="28">
        <v>1</v>
      </c>
      <c r="AE29" s="28">
        <v>1</v>
      </c>
      <c r="AF29" s="28">
        <v>1</v>
      </c>
      <c r="AG29" s="28">
        <v>1</v>
      </c>
      <c r="AH29" s="28">
        <v>1</v>
      </c>
      <c r="AI29" s="28">
        <v>1</v>
      </c>
      <c r="AJ29" s="28">
        <v>1</v>
      </c>
    </row>
    <row r="30" spans="1:36" x14ac:dyDescent="0.25">
      <c r="A30" s="298" t="str">
        <f>IF('Kwaliteit conversie'!$D$4='Prijs karton'!C30,"X"," ")</f>
        <v xml:space="preserve"> </v>
      </c>
      <c r="B30" s="331" t="s">
        <v>31</v>
      </c>
      <c r="C30" s="359" t="s">
        <v>266</v>
      </c>
      <c r="D30" s="366">
        <v>0.45</v>
      </c>
      <c r="E30" s="321">
        <v>2.8</v>
      </c>
      <c r="F30" s="925">
        <v>0</v>
      </c>
      <c r="G30" s="315">
        <v>38.5</v>
      </c>
      <c r="H30" s="315">
        <v>35.5</v>
      </c>
      <c r="I30" s="315">
        <v>35</v>
      </c>
      <c r="J30" s="315">
        <v>35</v>
      </c>
      <c r="K30" s="513">
        <v>34.5</v>
      </c>
      <c r="L30" s="926" t="s">
        <v>267</v>
      </c>
      <c r="M30" s="331" t="s">
        <v>257</v>
      </c>
      <c r="N30" s="366" t="s">
        <v>265</v>
      </c>
      <c r="O30" s="323" t="s">
        <v>239</v>
      </c>
      <c r="P30" s="386" t="s">
        <v>239</v>
      </c>
      <c r="Q30" s="323" t="s">
        <v>239</v>
      </c>
      <c r="R30" s="366" t="s">
        <v>239</v>
      </c>
      <c r="S30" s="378" t="s">
        <v>257</v>
      </c>
      <c r="T30" s="324" t="s">
        <v>245</v>
      </c>
      <c r="U30" s="386">
        <v>250</v>
      </c>
      <c r="V30" s="386">
        <v>2450</v>
      </c>
      <c r="W30" s="386">
        <v>500</v>
      </c>
      <c r="X30" s="386">
        <v>6200</v>
      </c>
      <c r="Y30" s="386">
        <v>480</v>
      </c>
      <c r="Z30" s="386">
        <v>240</v>
      </c>
      <c r="AA30" s="386">
        <v>200</v>
      </c>
      <c r="AB30" s="392">
        <v>5.2</v>
      </c>
      <c r="AC30" s="28">
        <v>0</v>
      </c>
      <c r="AD30" s="28">
        <v>1</v>
      </c>
      <c r="AE30" s="28">
        <v>1</v>
      </c>
      <c r="AF30" s="28">
        <v>1</v>
      </c>
      <c r="AG30" s="28">
        <v>1</v>
      </c>
      <c r="AH30" s="28">
        <v>1</v>
      </c>
      <c r="AI30" s="28">
        <v>1</v>
      </c>
      <c r="AJ30" s="28">
        <v>1</v>
      </c>
    </row>
    <row r="31" spans="1:36" x14ac:dyDescent="0.25">
      <c r="A31" s="298" t="str">
        <f>IF('Kwaliteit conversie'!$D$4='Prijs karton'!C31,"X"," ")</f>
        <v xml:space="preserve"> </v>
      </c>
      <c r="B31" s="331" t="s">
        <v>31</v>
      </c>
      <c r="C31" s="359" t="s">
        <v>45</v>
      </c>
      <c r="D31" s="366">
        <v>0.39500000000000002</v>
      </c>
      <c r="E31" s="321">
        <v>2.8</v>
      </c>
      <c r="F31" s="925">
        <v>0</v>
      </c>
      <c r="G31" s="315">
        <v>39.299999999999997</v>
      </c>
      <c r="H31" s="315">
        <v>36.299999999999997</v>
      </c>
      <c r="I31" s="315">
        <v>35.799999999999997</v>
      </c>
      <c r="J31" s="315">
        <v>35.799999999999997</v>
      </c>
      <c r="K31" s="513">
        <v>35.299999999999997</v>
      </c>
      <c r="L31" s="926" t="s">
        <v>268</v>
      </c>
      <c r="M31" s="331" t="s">
        <v>269</v>
      </c>
      <c r="N31" s="366" t="s">
        <v>244</v>
      </c>
      <c r="O31" s="323" t="s">
        <v>239</v>
      </c>
      <c r="P31" s="386" t="s">
        <v>239</v>
      </c>
      <c r="Q31" s="323" t="s">
        <v>239</v>
      </c>
      <c r="R31" s="366" t="s">
        <v>239</v>
      </c>
      <c r="S31" s="378" t="s">
        <v>257</v>
      </c>
      <c r="T31" s="324" t="s">
        <v>245</v>
      </c>
      <c r="U31" s="386">
        <v>250</v>
      </c>
      <c r="V31" s="386">
        <v>2450</v>
      </c>
      <c r="W31" s="386">
        <v>500</v>
      </c>
      <c r="X31" s="386">
        <v>6200</v>
      </c>
      <c r="Y31" s="386">
        <v>480</v>
      </c>
      <c r="Z31" s="386">
        <v>240</v>
      </c>
      <c r="AA31" s="386">
        <v>200</v>
      </c>
      <c r="AB31" s="392">
        <v>3.9</v>
      </c>
      <c r="AC31" s="28">
        <v>0</v>
      </c>
      <c r="AD31" s="28">
        <v>1</v>
      </c>
      <c r="AE31" s="28">
        <v>1</v>
      </c>
      <c r="AF31" s="28">
        <v>1</v>
      </c>
      <c r="AG31" s="28">
        <v>1</v>
      </c>
      <c r="AH31" s="28">
        <v>1</v>
      </c>
      <c r="AI31" s="28">
        <v>1</v>
      </c>
      <c r="AJ31" s="28">
        <v>1</v>
      </c>
    </row>
    <row r="32" spans="1:36" x14ac:dyDescent="0.25">
      <c r="A32" s="298" t="str">
        <f>IF('Kwaliteit conversie'!$D$4='Prijs karton'!C32,"X"," ")</f>
        <v xml:space="preserve"> </v>
      </c>
      <c r="B32" s="331" t="s">
        <v>31</v>
      </c>
      <c r="C32" s="359" t="s">
        <v>270</v>
      </c>
      <c r="D32" s="366">
        <v>0.39100000000000001</v>
      </c>
      <c r="E32" s="321">
        <v>2.85</v>
      </c>
      <c r="F32" s="925">
        <v>0</v>
      </c>
      <c r="G32" s="315" t="s">
        <v>239</v>
      </c>
      <c r="H32" s="315">
        <v>47.3</v>
      </c>
      <c r="I32" s="315">
        <v>47.3</v>
      </c>
      <c r="J32" s="315">
        <v>45.3</v>
      </c>
      <c r="K32" s="513">
        <v>45.3</v>
      </c>
      <c r="L32" s="926" t="s">
        <v>271</v>
      </c>
      <c r="M32" s="331" t="s">
        <v>269</v>
      </c>
      <c r="N32" s="366" t="s">
        <v>238</v>
      </c>
      <c r="O32" s="323" t="s">
        <v>239</v>
      </c>
      <c r="P32" s="386" t="s">
        <v>239</v>
      </c>
      <c r="Q32" s="323" t="s">
        <v>239</v>
      </c>
      <c r="R32" s="366" t="s">
        <v>239</v>
      </c>
      <c r="S32" s="378" t="s">
        <v>260</v>
      </c>
      <c r="T32" s="324" t="s">
        <v>240</v>
      </c>
      <c r="U32" s="386">
        <v>240</v>
      </c>
      <c r="V32" s="386">
        <v>2450</v>
      </c>
      <c r="W32" s="386">
        <v>500</v>
      </c>
      <c r="X32" s="386">
        <v>6000</v>
      </c>
      <c r="Y32" s="386">
        <v>125</v>
      </c>
      <c r="Z32" s="386">
        <v>125</v>
      </c>
      <c r="AA32" s="386">
        <v>500</v>
      </c>
      <c r="AB32" s="392">
        <v>4.55</v>
      </c>
      <c r="AC32" s="28">
        <v>0</v>
      </c>
      <c r="AD32" s="28">
        <v>1</v>
      </c>
      <c r="AE32" s="28">
        <v>1</v>
      </c>
      <c r="AF32" s="28">
        <v>1</v>
      </c>
      <c r="AG32" s="28">
        <v>1</v>
      </c>
      <c r="AH32" s="28">
        <v>1</v>
      </c>
      <c r="AI32" s="28">
        <v>1</v>
      </c>
      <c r="AJ32" s="28">
        <v>1</v>
      </c>
    </row>
    <row r="33" spans="1:36" x14ac:dyDescent="0.25">
      <c r="A33" s="298" t="str">
        <f>IF('Kwaliteit conversie'!$D$4='Prijs karton'!C33,"X"," ")</f>
        <v xml:space="preserve"> </v>
      </c>
      <c r="B33" s="331" t="s">
        <v>31</v>
      </c>
      <c r="C33" s="359"/>
      <c r="D33" s="366"/>
      <c r="E33" s="321"/>
      <c r="F33" s="925"/>
      <c r="G33" s="315"/>
      <c r="H33" s="315"/>
      <c r="I33" s="315"/>
      <c r="J33" s="315"/>
      <c r="K33" s="513"/>
      <c r="L33" s="926"/>
      <c r="M33" s="331"/>
      <c r="N33" s="366"/>
      <c r="O33" s="323"/>
      <c r="P33" s="386"/>
      <c r="Q33" s="323"/>
      <c r="R33" s="366"/>
      <c r="S33" s="378"/>
      <c r="T33" s="324"/>
      <c r="U33" s="386"/>
      <c r="V33" s="386"/>
      <c r="W33" s="386"/>
      <c r="X33" s="386"/>
      <c r="Y33" s="386"/>
      <c r="Z33" s="386"/>
      <c r="AA33" s="386"/>
      <c r="AB33" s="392"/>
      <c r="AC33" s="28"/>
      <c r="AD33" s="28"/>
      <c r="AE33" s="28"/>
      <c r="AF33" s="28"/>
      <c r="AG33" s="28"/>
      <c r="AH33" s="28"/>
      <c r="AI33" s="28"/>
      <c r="AJ33" s="28"/>
    </row>
    <row r="34" spans="1:36" x14ac:dyDescent="0.25">
      <c r="A34" s="298" t="str">
        <f>IF('Kwaliteit conversie'!$D$4='Prijs karton'!C34,"X"," ")</f>
        <v xml:space="preserve"> </v>
      </c>
      <c r="B34" s="331" t="s">
        <v>31</v>
      </c>
      <c r="C34" s="359"/>
      <c r="D34" s="366"/>
      <c r="E34" s="321"/>
      <c r="F34" s="925"/>
      <c r="G34" s="315"/>
      <c r="H34" s="315"/>
      <c r="I34" s="315"/>
      <c r="J34" s="315"/>
      <c r="K34" s="513"/>
      <c r="L34" s="926"/>
      <c r="M34" s="331"/>
      <c r="N34" s="366"/>
      <c r="O34" s="323"/>
      <c r="P34" s="386"/>
      <c r="Q34" s="323"/>
      <c r="R34" s="366"/>
      <c r="S34" s="378"/>
      <c r="T34" s="324"/>
      <c r="U34" s="386"/>
      <c r="V34" s="386"/>
      <c r="W34" s="386"/>
      <c r="X34" s="386"/>
      <c r="Y34" s="386"/>
      <c r="Z34" s="386"/>
      <c r="AA34" s="386"/>
      <c r="AB34" s="392"/>
      <c r="AC34" s="28"/>
      <c r="AD34" s="28"/>
      <c r="AE34" s="28"/>
      <c r="AF34" s="28"/>
      <c r="AG34" s="28"/>
      <c r="AH34" s="28"/>
      <c r="AI34" s="28"/>
      <c r="AJ34" s="28"/>
    </row>
    <row r="35" spans="1:36" x14ac:dyDescent="0.25">
      <c r="A35" s="298" t="str">
        <f>IF('Kwaliteit conversie'!$D$4='Prijs karton'!C35,"X"," ")</f>
        <v xml:space="preserve"> </v>
      </c>
      <c r="B35" s="331" t="s">
        <v>31</v>
      </c>
      <c r="C35" s="359" t="s">
        <v>272</v>
      </c>
      <c r="D35" s="366">
        <v>0.4</v>
      </c>
      <c r="E35" s="321">
        <v>2.8</v>
      </c>
      <c r="F35" s="925">
        <v>0</v>
      </c>
      <c r="G35" s="315">
        <v>38.700000000000003</v>
      </c>
      <c r="H35" s="315">
        <v>35.700000000000003</v>
      </c>
      <c r="I35" s="315">
        <v>35.200000000000003</v>
      </c>
      <c r="J35" s="315">
        <v>35.200000000000003</v>
      </c>
      <c r="K35" s="513">
        <v>34.700000000000003</v>
      </c>
      <c r="L35" s="926" t="s">
        <v>273</v>
      </c>
      <c r="M35" s="331" t="s">
        <v>274</v>
      </c>
      <c r="N35" s="366" t="s">
        <v>244</v>
      </c>
      <c r="O35" s="323" t="s">
        <v>239</v>
      </c>
      <c r="P35" s="386" t="s">
        <v>239</v>
      </c>
      <c r="Q35" s="323" t="s">
        <v>239</v>
      </c>
      <c r="R35" s="366" t="s">
        <v>239</v>
      </c>
      <c r="S35" s="378" t="s">
        <v>257</v>
      </c>
      <c r="T35" s="324" t="s">
        <v>245</v>
      </c>
      <c r="U35" s="386">
        <v>250</v>
      </c>
      <c r="V35" s="386">
        <v>2450</v>
      </c>
      <c r="W35" s="386">
        <v>500</v>
      </c>
      <c r="X35" s="386">
        <v>6200</v>
      </c>
      <c r="Y35" s="386">
        <v>480</v>
      </c>
      <c r="Z35" s="386">
        <v>240</v>
      </c>
      <c r="AA35" s="386">
        <v>200</v>
      </c>
      <c r="AB35" s="392">
        <v>4.5999999999999996</v>
      </c>
      <c r="AC35" s="28">
        <v>0</v>
      </c>
      <c r="AD35" s="28">
        <v>1</v>
      </c>
      <c r="AE35" s="28">
        <v>1</v>
      </c>
      <c r="AF35" s="28">
        <v>1</v>
      </c>
      <c r="AG35" s="28">
        <v>1</v>
      </c>
      <c r="AH35" s="28">
        <v>1</v>
      </c>
      <c r="AI35" s="28">
        <v>1</v>
      </c>
      <c r="AJ35" s="28">
        <v>1</v>
      </c>
    </row>
    <row r="36" spans="1:36" x14ac:dyDescent="0.25">
      <c r="A36" s="298" t="str">
        <f>IF('Kwaliteit conversie'!$D$4='Prijs karton'!C36,"X"," ")</f>
        <v xml:space="preserve"> </v>
      </c>
      <c r="B36" s="331" t="s">
        <v>31</v>
      </c>
      <c r="C36" s="359" t="s">
        <v>275</v>
      </c>
      <c r="D36" s="366">
        <v>0.39100000000000001</v>
      </c>
      <c r="E36" s="321">
        <v>2.87</v>
      </c>
      <c r="F36" s="925">
        <v>0</v>
      </c>
      <c r="G36" s="315">
        <v>50.6</v>
      </c>
      <c r="H36" s="315">
        <v>47.6</v>
      </c>
      <c r="I36" s="315">
        <v>47.6</v>
      </c>
      <c r="J36" s="315">
        <v>45.6</v>
      </c>
      <c r="K36" s="513">
        <v>45.6</v>
      </c>
      <c r="L36" s="926" t="s">
        <v>276</v>
      </c>
      <c r="M36" s="331" t="s">
        <v>277</v>
      </c>
      <c r="N36" s="366" t="s">
        <v>238</v>
      </c>
      <c r="O36" s="323" t="s">
        <v>239</v>
      </c>
      <c r="P36" s="386" t="s">
        <v>239</v>
      </c>
      <c r="Q36" s="323" t="s">
        <v>239</v>
      </c>
      <c r="R36" s="366" t="s">
        <v>239</v>
      </c>
      <c r="S36" s="378" t="s">
        <v>260</v>
      </c>
      <c r="T36" s="324" t="s">
        <v>240</v>
      </c>
      <c r="U36" s="386">
        <v>240</v>
      </c>
      <c r="V36" s="386">
        <v>2450</v>
      </c>
      <c r="W36" s="386">
        <v>500</v>
      </c>
      <c r="X36" s="386">
        <v>6000</v>
      </c>
      <c r="Y36" s="386">
        <v>125</v>
      </c>
      <c r="Z36" s="386">
        <v>125</v>
      </c>
      <c r="AA36" s="386">
        <v>200</v>
      </c>
      <c r="AB36" s="392">
        <v>5.07</v>
      </c>
      <c r="AC36" s="28">
        <v>0</v>
      </c>
      <c r="AD36" s="28">
        <v>1</v>
      </c>
      <c r="AE36" s="28">
        <v>1</v>
      </c>
      <c r="AF36" s="28">
        <v>1</v>
      </c>
      <c r="AG36" s="28">
        <v>1</v>
      </c>
      <c r="AH36" s="28">
        <v>1</v>
      </c>
      <c r="AI36" s="28">
        <v>1</v>
      </c>
      <c r="AJ36" s="28">
        <v>1</v>
      </c>
    </row>
    <row r="37" spans="1:36" x14ac:dyDescent="0.25">
      <c r="A37" s="298" t="str">
        <f>IF('Kwaliteit conversie'!$D$4='Prijs karton'!C37,"X"," ")</f>
        <v xml:space="preserve"> </v>
      </c>
      <c r="B37" s="331" t="s">
        <v>31</v>
      </c>
      <c r="C37" s="359"/>
      <c r="D37" s="366"/>
      <c r="E37" s="321"/>
      <c r="F37" s="925"/>
      <c r="G37" s="315"/>
      <c r="H37" s="315"/>
      <c r="I37" s="315"/>
      <c r="J37" s="315"/>
      <c r="K37" s="513"/>
      <c r="L37" s="926"/>
      <c r="M37" s="331"/>
      <c r="N37" s="366"/>
      <c r="O37" s="323"/>
      <c r="P37" s="386"/>
      <c r="Q37" s="323"/>
      <c r="R37" s="366"/>
      <c r="S37" s="378"/>
      <c r="T37" s="324"/>
      <c r="U37" s="386"/>
      <c r="V37" s="386"/>
      <c r="W37" s="386"/>
      <c r="X37" s="386"/>
      <c r="Y37" s="386"/>
      <c r="Z37" s="386"/>
      <c r="AA37" s="386"/>
      <c r="AB37" s="392"/>
      <c r="AC37" s="28"/>
      <c r="AD37" s="28"/>
      <c r="AE37" s="28"/>
      <c r="AF37" s="28"/>
      <c r="AG37" s="28"/>
      <c r="AH37" s="28"/>
      <c r="AI37" s="28"/>
      <c r="AJ37" s="28"/>
    </row>
    <row r="38" spans="1:36" x14ac:dyDescent="0.25">
      <c r="A38" s="298" t="str">
        <f>IF('Kwaliteit conversie'!$D$4='Prijs karton'!C38,"X"," ")</f>
        <v xml:space="preserve"> </v>
      </c>
      <c r="B38" s="331" t="s">
        <v>31</v>
      </c>
      <c r="C38" s="359"/>
      <c r="D38" s="366"/>
      <c r="E38" s="321"/>
      <c r="F38" s="925"/>
      <c r="G38" s="315"/>
      <c r="H38" s="315"/>
      <c r="I38" s="315"/>
      <c r="J38" s="315"/>
      <c r="K38" s="513"/>
      <c r="L38" s="926"/>
      <c r="M38" s="331"/>
      <c r="N38" s="366"/>
      <c r="O38" s="323"/>
      <c r="P38" s="386"/>
      <c r="Q38" s="323"/>
      <c r="R38" s="366"/>
      <c r="S38" s="378"/>
      <c r="T38" s="324"/>
      <c r="U38" s="386"/>
      <c r="V38" s="386"/>
      <c r="W38" s="386"/>
      <c r="X38" s="386"/>
      <c r="Y38" s="386"/>
      <c r="Z38" s="386"/>
      <c r="AA38" s="386"/>
      <c r="AB38" s="392"/>
      <c r="AC38" s="28"/>
      <c r="AD38" s="28"/>
      <c r="AE38" s="28"/>
      <c r="AF38" s="28"/>
      <c r="AG38" s="28"/>
      <c r="AH38" s="28"/>
      <c r="AI38" s="28"/>
      <c r="AJ38" s="28"/>
    </row>
    <row r="39" spans="1:36" x14ac:dyDescent="0.25">
      <c r="A39" s="298" t="str">
        <f>IF('Kwaliteit conversie'!$D$4='Prijs karton'!C39,"X"," ")</f>
        <v xml:space="preserve"> </v>
      </c>
      <c r="B39" s="331" t="s">
        <v>31</v>
      </c>
      <c r="C39" s="359" t="s">
        <v>278</v>
      </c>
      <c r="D39" s="366">
        <v>0.38500000000000001</v>
      </c>
      <c r="E39" s="321">
        <v>2.8</v>
      </c>
      <c r="F39" s="925">
        <v>0</v>
      </c>
      <c r="G39" s="315">
        <v>33.9</v>
      </c>
      <c r="H39" s="315">
        <v>30.9</v>
      </c>
      <c r="I39" s="315">
        <v>30.4</v>
      </c>
      <c r="J39" s="315">
        <v>30.4</v>
      </c>
      <c r="K39" s="513">
        <v>29.9</v>
      </c>
      <c r="L39" s="926" t="s">
        <v>279</v>
      </c>
      <c r="M39" s="331" t="s">
        <v>257</v>
      </c>
      <c r="N39" s="366" t="s">
        <v>238</v>
      </c>
      <c r="O39" s="323" t="s">
        <v>239</v>
      </c>
      <c r="P39" s="386" t="s">
        <v>239</v>
      </c>
      <c r="Q39" s="323" t="s">
        <v>239</v>
      </c>
      <c r="R39" s="366" t="s">
        <v>239</v>
      </c>
      <c r="S39" s="378" t="s">
        <v>249</v>
      </c>
      <c r="T39" s="324" t="s">
        <v>245</v>
      </c>
      <c r="U39" s="386">
        <v>250</v>
      </c>
      <c r="V39" s="386">
        <v>2450</v>
      </c>
      <c r="W39" s="386">
        <v>500</v>
      </c>
      <c r="X39" s="386">
        <v>6200</v>
      </c>
      <c r="Y39" s="386">
        <v>480</v>
      </c>
      <c r="Z39" s="386">
        <v>240</v>
      </c>
      <c r="AA39" s="386">
        <v>200</v>
      </c>
      <c r="AB39" s="392">
        <v>4.4000000000000004</v>
      </c>
      <c r="AC39" s="28">
        <v>0</v>
      </c>
      <c r="AD39" s="28">
        <v>1</v>
      </c>
      <c r="AE39" s="28">
        <v>1</v>
      </c>
      <c r="AF39" s="28">
        <v>1</v>
      </c>
      <c r="AG39" s="28">
        <v>1</v>
      </c>
      <c r="AH39" s="28">
        <v>1</v>
      </c>
      <c r="AI39" s="28">
        <v>1</v>
      </c>
      <c r="AJ39" s="28">
        <v>1</v>
      </c>
    </row>
    <row r="40" spans="1:36" x14ac:dyDescent="0.25">
      <c r="A40" s="298" t="str">
        <f>IF('Kwaliteit conversie'!$D$4='Prijs karton'!C40,"X"," ")</f>
        <v xml:space="preserve"> </v>
      </c>
      <c r="B40" s="331" t="s">
        <v>31</v>
      </c>
      <c r="C40" s="359" t="s">
        <v>43</v>
      </c>
      <c r="D40" s="366">
        <v>0.45500000000000002</v>
      </c>
      <c r="E40" s="321">
        <v>2.8</v>
      </c>
      <c r="F40" s="925">
        <v>0</v>
      </c>
      <c r="G40" s="315">
        <v>39.4</v>
      </c>
      <c r="H40" s="315">
        <v>36.4</v>
      </c>
      <c r="I40" s="315">
        <v>35.9</v>
      </c>
      <c r="J40" s="315">
        <v>35.9</v>
      </c>
      <c r="K40" s="513">
        <v>35.4</v>
      </c>
      <c r="L40" s="926" t="s">
        <v>280</v>
      </c>
      <c r="M40" s="331" t="s">
        <v>274</v>
      </c>
      <c r="N40" s="366" t="s">
        <v>265</v>
      </c>
      <c r="O40" s="323" t="s">
        <v>239</v>
      </c>
      <c r="P40" s="386" t="s">
        <v>239</v>
      </c>
      <c r="Q40" s="323" t="s">
        <v>239</v>
      </c>
      <c r="R40" s="366" t="s">
        <v>239</v>
      </c>
      <c r="S40" s="378" t="s">
        <v>257</v>
      </c>
      <c r="T40" s="324" t="s">
        <v>245</v>
      </c>
      <c r="U40" s="386">
        <v>250</v>
      </c>
      <c r="V40" s="386">
        <v>2450</v>
      </c>
      <c r="W40" s="386">
        <v>500</v>
      </c>
      <c r="X40" s="386">
        <v>6200</v>
      </c>
      <c r="Y40" s="386">
        <v>480</v>
      </c>
      <c r="Z40" s="386">
        <v>240</v>
      </c>
      <c r="AA40" s="386">
        <v>200</v>
      </c>
      <c r="AB40" s="392">
        <v>5.6</v>
      </c>
      <c r="AC40" s="28">
        <v>10</v>
      </c>
      <c r="AD40" s="28">
        <v>1</v>
      </c>
      <c r="AE40" s="28">
        <v>1</v>
      </c>
      <c r="AF40" s="28">
        <v>1</v>
      </c>
      <c r="AG40" s="28">
        <v>1</v>
      </c>
      <c r="AH40" s="28">
        <v>1</v>
      </c>
      <c r="AI40" s="28">
        <v>1</v>
      </c>
      <c r="AJ40" s="28">
        <v>1</v>
      </c>
    </row>
    <row r="41" spans="1:36" x14ac:dyDescent="0.25">
      <c r="A41" s="298" t="str">
        <f>IF('Kwaliteit conversie'!$D$4='Prijs karton'!C41,"X"," ")</f>
        <v xml:space="preserve"> </v>
      </c>
      <c r="B41" s="331" t="s">
        <v>31</v>
      </c>
      <c r="C41" s="359" t="s">
        <v>281</v>
      </c>
      <c r="D41" s="366">
        <v>0.45</v>
      </c>
      <c r="E41" s="321">
        <v>2.8</v>
      </c>
      <c r="F41" s="925">
        <v>0</v>
      </c>
      <c r="G41" s="315">
        <v>44</v>
      </c>
      <c r="H41" s="315">
        <v>41</v>
      </c>
      <c r="I41" s="315">
        <v>40.5</v>
      </c>
      <c r="J41" s="315">
        <v>40.5</v>
      </c>
      <c r="K41" s="513">
        <v>40</v>
      </c>
      <c r="L41" s="926" t="s">
        <v>282</v>
      </c>
      <c r="M41" s="331" t="s">
        <v>277</v>
      </c>
      <c r="N41" s="366" t="s">
        <v>265</v>
      </c>
      <c r="O41" s="323" t="s">
        <v>239</v>
      </c>
      <c r="P41" s="386" t="s">
        <v>239</v>
      </c>
      <c r="Q41" s="323" t="s">
        <v>239</v>
      </c>
      <c r="R41" s="366" t="s">
        <v>239</v>
      </c>
      <c r="S41" s="378" t="s">
        <v>257</v>
      </c>
      <c r="T41" s="324" t="s">
        <v>245</v>
      </c>
      <c r="U41" s="386">
        <v>250</v>
      </c>
      <c r="V41" s="386">
        <v>2450</v>
      </c>
      <c r="W41" s="386">
        <v>500</v>
      </c>
      <c r="X41" s="386">
        <v>6200</v>
      </c>
      <c r="Y41" s="386">
        <v>480</v>
      </c>
      <c r="Z41" s="386">
        <v>240</v>
      </c>
      <c r="AA41" s="386">
        <v>200</v>
      </c>
      <c r="AB41" s="392">
        <v>5.4</v>
      </c>
      <c r="AC41" s="28">
        <v>0</v>
      </c>
      <c r="AD41" s="28">
        <v>1</v>
      </c>
      <c r="AE41" s="28">
        <v>1</v>
      </c>
      <c r="AF41" s="28">
        <v>1</v>
      </c>
      <c r="AG41" s="28">
        <v>1</v>
      </c>
      <c r="AH41" s="28">
        <v>1</v>
      </c>
      <c r="AI41" s="28">
        <v>1</v>
      </c>
      <c r="AJ41" s="28">
        <v>1</v>
      </c>
    </row>
    <row r="42" spans="1:36" x14ac:dyDescent="0.25">
      <c r="A42" s="298" t="str">
        <f>IF('Kwaliteit conversie'!$D$4='Prijs karton'!C42,"X"," ")</f>
        <v xml:space="preserve"> </v>
      </c>
      <c r="B42" s="331" t="s">
        <v>31</v>
      </c>
      <c r="C42" s="359" t="s">
        <v>283</v>
      </c>
      <c r="D42" s="366">
        <v>0.42499999999999999</v>
      </c>
      <c r="E42" s="321">
        <v>2.2999999999999998</v>
      </c>
      <c r="F42" s="925">
        <v>0</v>
      </c>
      <c r="G42" s="315">
        <v>36.200000000000003</v>
      </c>
      <c r="H42" s="315">
        <v>33.200000000000003</v>
      </c>
      <c r="I42" s="315">
        <v>32.700000000000003</v>
      </c>
      <c r="J42" s="315">
        <v>32.700000000000003</v>
      </c>
      <c r="K42" s="513">
        <v>32.200000000000003</v>
      </c>
      <c r="L42" s="926" t="s">
        <v>284</v>
      </c>
      <c r="M42" s="331" t="s">
        <v>257</v>
      </c>
      <c r="N42" s="366" t="s">
        <v>285</v>
      </c>
      <c r="O42" s="323" t="s">
        <v>239</v>
      </c>
      <c r="P42" s="386" t="s">
        <v>239</v>
      </c>
      <c r="Q42" s="323" t="s">
        <v>239</v>
      </c>
      <c r="R42" s="366" t="s">
        <v>239</v>
      </c>
      <c r="S42" s="378" t="s">
        <v>257</v>
      </c>
      <c r="T42" s="324" t="s">
        <v>245</v>
      </c>
      <c r="U42" s="386">
        <v>250</v>
      </c>
      <c r="V42" s="386">
        <v>2450</v>
      </c>
      <c r="W42" s="386">
        <v>500</v>
      </c>
      <c r="X42" s="386">
        <v>6200</v>
      </c>
      <c r="Y42" s="386">
        <v>480</v>
      </c>
      <c r="Z42" s="386">
        <v>240</v>
      </c>
      <c r="AA42" s="386">
        <v>200</v>
      </c>
      <c r="AB42" s="392">
        <v>5</v>
      </c>
      <c r="AC42" s="28">
        <v>0</v>
      </c>
      <c r="AD42" s="28">
        <v>1</v>
      </c>
      <c r="AE42" s="28">
        <v>1</v>
      </c>
      <c r="AF42" s="28">
        <v>1</v>
      </c>
      <c r="AG42" s="28">
        <v>1</v>
      </c>
      <c r="AH42" s="28">
        <v>1</v>
      </c>
      <c r="AI42" s="28">
        <v>1</v>
      </c>
      <c r="AJ42" s="28">
        <v>1</v>
      </c>
    </row>
    <row r="43" spans="1:36" x14ac:dyDescent="0.25">
      <c r="A43" s="298" t="str">
        <f>IF('Kwaliteit conversie'!$D$4='Prijs karton'!C43,"X"," ")</f>
        <v xml:space="preserve"> </v>
      </c>
      <c r="B43" s="331" t="s">
        <v>31</v>
      </c>
      <c r="C43" s="359" t="s">
        <v>286</v>
      </c>
      <c r="D43" s="366">
        <v>0.43</v>
      </c>
      <c r="E43" s="321">
        <v>2.8</v>
      </c>
      <c r="F43" s="925">
        <v>0</v>
      </c>
      <c r="G43" s="315">
        <v>38.700000000000003</v>
      </c>
      <c r="H43" s="315">
        <v>35.700000000000003</v>
      </c>
      <c r="I43" s="315">
        <v>35.200000000000003</v>
      </c>
      <c r="J43" s="315">
        <v>35.200000000000003</v>
      </c>
      <c r="K43" s="513">
        <v>34.700000000000003</v>
      </c>
      <c r="L43" s="926" t="s">
        <v>287</v>
      </c>
      <c r="M43" s="331" t="s">
        <v>274</v>
      </c>
      <c r="N43" s="366" t="s">
        <v>285</v>
      </c>
      <c r="O43" s="323" t="s">
        <v>239</v>
      </c>
      <c r="P43" s="386" t="s">
        <v>239</v>
      </c>
      <c r="Q43" s="323" t="s">
        <v>239</v>
      </c>
      <c r="R43" s="366" t="s">
        <v>239</v>
      </c>
      <c r="S43" s="378" t="s">
        <v>257</v>
      </c>
      <c r="T43" s="324" t="s">
        <v>245</v>
      </c>
      <c r="U43" s="386">
        <v>250</v>
      </c>
      <c r="V43" s="386">
        <v>2450</v>
      </c>
      <c r="W43" s="386">
        <v>500</v>
      </c>
      <c r="X43" s="386">
        <v>6200</v>
      </c>
      <c r="Y43" s="386">
        <v>480</v>
      </c>
      <c r="Z43" s="386">
        <v>240</v>
      </c>
      <c r="AA43" s="386">
        <v>200</v>
      </c>
      <c r="AB43" s="392">
        <v>5.3</v>
      </c>
      <c r="AC43" s="28">
        <v>0</v>
      </c>
      <c r="AD43" s="28">
        <v>1</v>
      </c>
      <c r="AE43" s="28">
        <v>1</v>
      </c>
      <c r="AF43" s="28">
        <v>1</v>
      </c>
      <c r="AG43" s="28">
        <v>1</v>
      </c>
      <c r="AH43" s="28">
        <v>1</v>
      </c>
      <c r="AI43" s="28">
        <v>1</v>
      </c>
      <c r="AJ43" s="28">
        <v>1</v>
      </c>
    </row>
    <row r="44" spans="1:36" x14ac:dyDescent="0.25">
      <c r="A44" s="298" t="str">
        <f>IF('Kwaliteit conversie'!$D$4='Prijs karton'!C44,"X"," ")</f>
        <v>X</v>
      </c>
      <c r="B44" s="331" t="s">
        <v>31</v>
      </c>
      <c r="C44" s="359" t="s">
        <v>46</v>
      </c>
      <c r="D44" s="366">
        <v>0.45</v>
      </c>
      <c r="E44" s="321">
        <v>2.8</v>
      </c>
      <c r="F44" s="925">
        <v>0</v>
      </c>
      <c r="G44" s="315">
        <v>47.2</v>
      </c>
      <c r="H44" s="315">
        <v>44.2</v>
      </c>
      <c r="I44" s="315">
        <v>43.7</v>
      </c>
      <c r="J44" s="315">
        <v>43.7</v>
      </c>
      <c r="K44" s="513">
        <v>43.2</v>
      </c>
      <c r="L44" s="926" t="s">
        <v>288</v>
      </c>
      <c r="M44" s="331" t="s">
        <v>289</v>
      </c>
      <c r="N44" s="366" t="s">
        <v>265</v>
      </c>
      <c r="O44" s="323" t="s">
        <v>239</v>
      </c>
      <c r="P44" s="386" t="s">
        <v>239</v>
      </c>
      <c r="Q44" s="323" t="s">
        <v>239</v>
      </c>
      <c r="R44" s="366" t="s">
        <v>239</v>
      </c>
      <c r="S44" s="378" t="s">
        <v>257</v>
      </c>
      <c r="T44" s="324" t="s">
        <v>245</v>
      </c>
      <c r="U44" s="386">
        <v>250</v>
      </c>
      <c r="V44" s="386">
        <v>2450</v>
      </c>
      <c r="W44" s="386">
        <v>500</v>
      </c>
      <c r="X44" s="386">
        <v>6000</v>
      </c>
      <c r="Y44" s="386">
        <v>480</v>
      </c>
      <c r="Z44" s="386">
        <v>240</v>
      </c>
      <c r="AA44" s="386">
        <v>200</v>
      </c>
      <c r="AB44" s="392">
        <v>5.3</v>
      </c>
      <c r="AC44" s="28">
        <v>0</v>
      </c>
      <c r="AD44" s="28">
        <v>1</v>
      </c>
      <c r="AE44" s="28">
        <v>1</v>
      </c>
      <c r="AF44" s="28">
        <v>1</v>
      </c>
      <c r="AG44" s="28">
        <v>1</v>
      </c>
      <c r="AH44" s="28">
        <v>1</v>
      </c>
      <c r="AI44" s="28">
        <v>1</v>
      </c>
      <c r="AJ44" s="28">
        <v>1</v>
      </c>
    </row>
    <row r="45" spans="1:36" x14ac:dyDescent="0.25">
      <c r="A45" s="298" t="str">
        <f>IF('Kwaliteit conversie'!$D$4='Prijs karton'!C45,"X"," ")</f>
        <v xml:space="preserve"> </v>
      </c>
      <c r="B45" s="331" t="s">
        <v>31</v>
      </c>
      <c r="C45" s="359"/>
      <c r="D45" s="366"/>
      <c r="E45" s="321"/>
      <c r="F45" s="925"/>
      <c r="G45" s="315"/>
      <c r="H45" s="315"/>
      <c r="I45" s="315"/>
      <c r="J45" s="315"/>
      <c r="K45" s="513"/>
      <c r="L45" s="926"/>
      <c r="M45" s="331"/>
      <c r="N45" s="366"/>
      <c r="O45" s="323"/>
      <c r="P45" s="386"/>
      <c r="Q45" s="323"/>
      <c r="R45" s="366"/>
      <c r="S45" s="378"/>
      <c r="T45" s="324"/>
      <c r="U45" s="386"/>
      <c r="V45" s="386"/>
      <c r="W45" s="386"/>
      <c r="X45" s="386"/>
      <c r="Y45" s="386"/>
      <c r="Z45" s="386"/>
      <c r="AA45" s="386"/>
      <c r="AB45" s="392"/>
      <c r="AC45" s="28"/>
      <c r="AD45" s="28"/>
      <c r="AE45" s="28"/>
      <c r="AF45" s="28"/>
      <c r="AG45" s="28"/>
      <c r="AH45" s="28"/>
      <c r="AI45" s="28"/>
      <c r="AJ45" s="28"/>
    </row>
    <row r="46" spans="1:36" x14ac:dyDescent="0.25">
      <c r="A46" s="298" t="str">
        <f>IF('Kwaliteit conversie'!$D$4='Prijs karton'!C46,"X"," ")</f>
        <v xml:space="preserve"> </v>
      </c>
      <c r="B46" s="331" t="s">
        <v>31</v>
      </c>
      <c r="C46" s="359" t="s">
        <v>290</v>
      </c>
      <c r="D46" s="366">
        <v>0.52</v>
      </c>
      <c r="E46" s="321">
        <v>2.9</v>
      </c>
      <c r="F46" s="925">
        <v>0</v>
      </c>
      <c r="G46" s="315">
        <v>43.4</v>
      </c>
      <c r="H46" s="315">
        <v>40.4</v>
      </c>
      <c r="I46" s="315">
        <v>39.9</v>
      </c>
      <c r="J46" s="315">
        <v>39.9</v>
      </c>
      <c r="K46" s="513">
        <v>39.4</v>
      </c>
      <c r="L46" s="926" t="s">
        <v>291</v>
      </c>
      <c r="M46" s="331" t="s">
        <v>292</v>
      </c>
      <c r="N46" s="366" t="s">
        <v>265</v>
      </c>
      <c r="O46" s="323" t="s">
        <v>239</v>
      </c>
      <c r="P46" s="386" t="s">
        <v>239</v>
      </c>
      <c r="Q46" s="323" t="s">
        <v>239</v>
      </c>
      <c r="R46" s="366" t="s">
        <v>239</v>
      </c>
      <c r="S46" s="378" t="s">
        <v>292</v>
      </c>
      <c r="T46" s="324" t="s">
        <v>245</v>
      </c>
      <c r="U46" s="386">
        <v>250</v>
      </c>
      <c r="V46" s="386">
        <v>2450</v>
      </c>
      <c r="W46" s="386">
        <v>500</v>
      </c>
      <c r="X46" s="386">
        <v>6000</v>
      </c>
      <c r="Y46" s="386">
        <v>480</v>
      </c>
      <c r="Z46" s="386">
        <v>240</v>
      </c>
      <c r="AA46" s="386">
        <v>200</v>
      </c>
      <c r="AB46" s="392">
        <v>6.3</v>
      </c>
      <c r="AC46" s="28">
        <v>0</v>
      </c>
      <c r="AD46" s="28">
        <v>1</v>
      </c>
      <c r="AE46" s="28">
        <v>1</v>
      </c>
      <c r="AF46" s="28">
        <v>1</v>
      </c>
      <c r="AG46" s="28">
        <v>1</v>
      </c>
      <c r="AH46" s="28">
        <v>1</v>
      </c>
      <c r="AI46" s="28">
        <v>1</v>
      </c>
      <c r="AJ46" s="28">
        <v>1</v>
      </c>
    </row>
    <row r="47" spans="1:36" x14ac:dyDescent="0.25">
      <c r="A47" s="298" t="str">
        <f>IF('Kwaliteit conversie'!$D$4='Prijs karton'!C47,"X"," ")</f>
        <v xml:space="preserve"> </v>
      </c>
      <c r="B47" s="331" t="s">
        <v>31</v>
      </c>
      <c r="C47" s="359" t="s">
        <v>44</v>
      </c>
      <c r="D47" s="366">
        <v>0.495</v>
      </c>
      <c r="E47" s="321">
        <v>2.9</v>
      </c>
      <c r="F47" s="925">
        <v>0</v>
      </c>
      <c r="G47" s="315">
        <v>52.5</v>
      </c>
      <c r="H47" s="315">
        <v>49.5</v>
      </c>
      <c r="I47" s="315">
        <v>49</v>
      </c>
      <c r="J47" s="315">
        <v>49</v>
      </c>
      <c r="K47" s="513">
        <v>48.5</v>
      </c>
      <c r="L47" s="926" t="s">
        <v>293</v>
      </c>
      <c r="M47" s="331" t="s">
        <v>294</v>
      </c>
      <c r="N47" s="366" t="s">
        <v>265</v>
      </c>
      <c r="O47" s="323" t="s">
        <v>239</v>
      </c>
      <c r="P47" s="386" t="s">
        <v>239</v>
      </c>
      <c r="Q47" s="323" t="s">
        <v>239</v>
      </c>
      <c r="R47" s="366" t="s">
        <v>239</v>
      </c>
      <c r="S47" s="378" t="s">
        <v>274</v>
      </c>
      <c r="T47" s="324" t="s">
        <v>245</v>
      </c>
      <c r="U47" s="386">
        <v>250</v>
      </c>
      <c r="V47" s="386">
        <v>2450</v>
      </c>
      <c r="W47" s="386">
        <v>500</v>
      </c>
      <c r="X47" s="386">
        <v>6200</v>
      </c>
      <c r="Y47" s="386">
        <v>480</v>
      </c>
      <c r="Z47" s="386">
        <v>240</v>
      </c>
      <c r="AA47" s="386">
        <v>200</v>
      </c>
      <c r="AB47" s="392">
        <v>6.2</v>
      </c>
      <c r="AC47" s="28">
        <v>0</v>
      </c>
      <c r="AD47" s="28">
        <v>1</v>
      </c>
      <c r="AE47" s="28">
        <v>1</v>
      </c>
      <c r="AF47" s="28">
        <v>1</v>
      </c>
      <c r="AG47" s="28">
        <v>1</v>
      </c>
      <c r="AH47" s="28">
        <v>1</v>
      </c>
      <c r="AI47" s="28">
        <v>1</v>
      </c>
      <c r="AJ47" s="28">
        <v>1</v>
      </c>
    </row>
    <row r="48" spans="1:36" x14ac:dyDescent="0.25">
      <c r="A48" s="298" t="str">
        <f>IF('Kwaliteit conversie'!$D$4='Prijs karton'!C48,"X"," ")</f>
        <v xml:space="preserve"> </v>
      </c>
      <c r="B48" s="331" t="s">
        <v>31</v>
      </c>
      <c r="C48" s="359" t="s">
        <v>295</v>
      </c>
      <c r="D48" s="366">
        <v>0.495</v>
      </c>
      <c r="E48" s="321">
        <v>2.9</v>
      </c>
      <c r="F48" s="925">
        <v>0</v>
      </c>
      <c r="G48" s="315">
        <v>50</v>
      </c>
      <c r="H48" s="315">
        <v>47</v>
      </c>
      <c r="I48" s="315">
        <v>46.5</v>
      </c>
      <c r="J48" s="315">
        <v>46.5</v>
      </c>
      <c r="K48" s="513">
        <v>46</v>
      </c>
      <c r="L48" s="926" t="s">
        <v>296</v>
      </c>
      <c r="M48" s="331" t="s">
        <v>297</v>
      </c>
      <c r="N48" s="366" t="s">
        <v>265</v>
      </c>
      <c r="O48" s="323" t="s">
        <v>239</v>
      </c>
      <c r="P48" s="386" t="s">
        <v>239</v>
      </c>
      <c r="Q48" s="323" t="s">
        <v>239</v>
      </c>
      <c r="R48" s="366" t="s">
        <v>239</v>
      </c>
      <c r="S48" s="378" t="s">
        <v>274</v>
      </c>
      <c r="T48" s="324" t="s">
        <v>245</v>
      </c>
      <c r="U48" s="386">
        <v>250</v>
      </c>
      <c r="V48" s="386">
        <v>2450</v>
      </c>
      <c r="W48" s="386">
        <v>500</v>
      </c>
      <c r="X48" s="386">
        <v>6200</v>
      </c>
      <c r="Y48" s="386">
        <v>480</v>
      </c>
      <c r="Z48" s="386">
        <v>240</v>
      </c>
      <c r="AA48" s="386">
        <v>200</v>
      </c>
      <c r="AB48" s="392">
        <v>6.5</v>
      </c>
      <c r="AC48" s="28">
        <v>0</v>
      </c>
      <c r="AD48" s="28">
        <v>1</v>
      </c>
      <c r="AE48" s="28">
        <v>1</v>
      </c>
      <c r="AF48" s="28">
        <v>1</v>
      </c>
      <c r="AG48" s="28">
        <v>1</v>
      </c>
      <c r="AH48" s="28">
        <v>1</v>
      </c>
      <c r="AI48" s="28">
        <v>1</v>
      </c>
      <c r="AJ48" s="28">
        <v>1</v>
      </c>
    </row>
    <row r="49" spans="1:36" x14ac:dyDescent="0.25">
      <c r="A49" s="298" t="str">
        <f>IF('Kwaliteit conversie'!$D$4='Prijs karton'!C49,"X"," ")</f>
        <v xml:space="preserve"> </v>
      </c>
      <c r="B49" s="331" t="s">
        <v>31</v>
      </c>
      <c r="C49" s="359" t="s">
        <v>298</v>
      </c>
      <c r="D49" s="366">
        <v>0.47099999999999997</v>
      </c>
      <c r="E49" s="321">
        <v>3</v>
      </c>
      <c r="F49" s="925">
        <v>0</v>
      </c>
      <c r="G49" s="315">
        <v>56.5</v>
      </c>
      <c r="H49" s="315">
        <v>53.5</v>
      </c>
      <c r="I49" s="315">
        <v>53.5</v>
      </c>
      <c r="J49" s="315">
        <v>51.5</v>
      </c>
      <c r="K49" s="513">
        <v>51.5</v>
      </c>
      <c r="L49" s="926" t="s">
        <v>299</v>
      </c>
      <c r="M49" s="331" t="s">
        <v>300</v>
      </c>
      <c r="N49" s="366" t="s">
        <v>238</v>
      </c>
      <c r="O49" s="323" t="s">
        <v>239</v>
      </c>
      <c r="P49" s="386" t="s">
        <v>239</v>
      </c>
      <c r="Q49" s="323" t="s">
        <v>239</v>
      </c>
      <c r="R49" s="366" t="s">
        <v>239</v>
      </c>
      <c r="S49" s="378" t="s">
        <v>301</v>
      </c>
      <c r="T49" s="324" t="s">
        <v>240</v>
      </c>
      <c r="U49" s="386">
        <v>240</v>
      </c>
      <c r="V49" s="386">
        <v>2450</v>
      </c>
      <c r="W49" s="386">
        <v>500</v>
      </c>
      <c r="X49" s="386">
        <v>6000</v>
      </c>
      <c r="Y49" s="386">
        <v>125</v>
      </c>
      <c r="Z49" s="386">
        <v>125</v>
      </c>
      <c r="AA49" s="386">
        <v>200</v>
      </c>
      <c r="AB49" s="392">
        <v>5.74</v>
      </c>
      <c r="AC49" s="28">
        <v>0</v>
      </c>
      <c r="AD49" s="28">
        <v>1</v>
      </c>
      <c r="AE49" s="28">
        <v>1</v>
      </c>
      <c r="AF49" s="28">
        <v>1</v>
      </c>
      <c r="AG49" s="28">
        <v>1</v>
      </c>
      <c r="AH49" s="28">
        <v>1</v>
      </c>
      <c r="AI49" s="28">
        <v>1</v>
      </c>
      <c r="AJ49" s="28">
        <v>1</v>
      </c>
    </row>
    <row r="50" spans="1:36" x14ac:dyDescent="0.25">
      <c r="A50" s="298" t="str">
        <f>IF('Kwaliteit conversie'!$D$4='Prijs karton'!C50,"X"," ")</f>
        <v xml:space="preserve"> </v>
      </c>
      <c r="B50" s="331" t="s">
        <v>31</v>
      </c>
      <c r="C50" s="359"/>
      <c r="D50" s="366"/>
      <c r="E50" s="321"/>
      <c r="F50" s="925"/>
      <c r="G50" s="315"/>
      <c r="H50" s="315"/>
      <c r="I50" s="315"/>
      <c r="J50" s="315"/>
      <c r="K50" s="513"/>
      <c r="L50" s="926"/>
      <c r="M50" s="331"/>
      <c r="N50" s="366"/>
      <c r="O50" s="323" t="s">
        <v>239</v>
      </c>
      <c r="P50" s="386" t="s">
        <v>239</v>
      </c>
      <c r="Q50" s="323" t="s">
        <v>239</v>
      </c>
      <c r="R50" s="366" t="s">
        <v>239</v>
      </c>
      <c r="S50" s="378"/>
      <c r="T50" s="324"/>
      <c r="U50" s="386"/>
      <c r="V50" s="386"/>
      <c r="W50" s="386"/>
      <c r="X50" s="386"/>
      <c r="Y50" s="386"/>
      <c r="Z50" s="386"/>
      <c r="AA50" s="386"/>
      <c r="AB50" s="392"/>
      <c r="AC50" s="28"/>
      <c r="AD50" s="28"/>
      <c r="AE50" s="28"/>
      <c r="AF50" s="28"/>
      <c r="AG50" s="28"/>
      <c r="AH50" s="28"/>
      <c r="AI50" s="28"/>
      <c r="AJ50" s="28"/>
    </row>
    <row r="51" spans="1:36" x14ac:dyDescent="0.25">
      <c r="A51" s="298" t="str">
        <f>IF('Kwaliteit conversie'!$D$4='Prijs karton'!C51,"X"," ")</f>
        <v xml:space="preserve"> </v>
      </c>
      <c r="B51" s="331" t="s">
        <v>31</v>
      </c>
      <c r="C51" s="359"/>
      <c r="D51" s="366"/>
      <c r="E51" s="321"/>
      <c r="F51" s="925"/>
      <c r="G51" s="315"/>
      <c r="H51" s="315"/>
      <c r="I51" s="315"/>
      <c r="J51" s="315"/>
      <c r="K51" s="513"/>
      <c r="L51" s="926"/>
      <c r="M51" s="331"/>
      <c r="N51" s="366"/>
      <c r="O51" s="323" t="s">
        <v>239</v>
      </c>
      <c r="P51" s="386" t="s">
        <v>239</v>
      </c>
      <c r="Q51" s="323" t="s">
        <v>239</v>
      </c>
      <c r="R51" s="366" t="s">
        <v>239</v>
      </c>
      <c r="S51" s="378"/>
      <c r="T51" s="324"/>
      <c r="U51" s="386"/>
      <c r="V51" s="386"/>
      <c r="W51" s="386"/>
      <c r="X51" s="386"/>
      <c r="Y51" s="386"/>
      <c r="Z51" s="386"/>
      <c r="AA51" s="386"/>
      <c r="AB51" s="392"/>
      <c r="AC51" s="28"/>
      <c r="AD51" s="28"/>
      <c r="AE51" s="28"/>
      <c r="AF51" s="28"/>
      <c r="AG51" s="28"/>
      <c r="AH51" s="28"/>
      <c r="AI51" s="28"/>
      <c r="AJ51" s="28"/>
    </row>
    <row r="52" spans="1:36" x14ac:dyDescent="0.25">
      <c r="A52" s="298" t="str">
        <f>IF('Kwaliteit conversie'!$D$4='Prijs karton'!C52,"X"," ")</f>
        <v xml:space="preserve"> </v>
      </c>
      <c r="B52" s="331" t="s">
        <v>31</v>
      </c>
      <c r="C52" s="359" t="s">
        <v>302</v>
      </c>
      <c r="D52" s="366">
        <v>0.39500000000000002</v>
      </c>
      <c r="E52" s="321">
        <v>2.8</v>
      </c>
      <c r="F52" s="925">
        <v>0</v>
      </c>
      <c r="G52" s="315">
        <v>43.2</v>
      </c>
      <c r="H52" s="315">
        <v>40.200000000000003</v>
      </c>
      <c r="I52" s="315">
        <v>39.700000000000003</v>
      </c>
      <c r="J52" s="315">
        <v>39.700000000000003</v>
      </c>
      <c r="K52" s="513">
        <v>39.200000000000003</v>
      </c>
      <c r="L52" s="926" t="s">
        <v>303</v>
      </c>
      <c r="M52" s="331" t="s">
        <v>289</v>
      </c>
      <c r="N52" s="366" t="s">
        <v>244</v>
      </c>
      <c r="O52" s="323" t="s">
        <v>239</v>
      </c>
      <c r="P52" s="386" t="s">
        <v>239</v>
      </c>
      <c r="Q52" s="323" t="s">
        <v>239</v>
      </c>
      <c r="R52" s="366" t="s">
        <v>239</v>
      </c>
      <c r="S52" s="378" t="s">
        <v>257</v>
      </c>
      <c r="T52" s="324" t="s">
        <v>245</v>
      </c>
      <c r="U52" s="386">
        <v>250</v>
      </c>
      <c r="V52" s="386">
        <v>2450</v>
      </c>
      <c r="W52" s="386">
        <v>500</v>
      </c>
      <c r="X52" s="386">
        <v>6200</v>
      </c>
      <c r="Y52" s="386">
        <v>480</v>
      </c>
      <c r="Z52" s="386">
        <v>240</v>
      </c>
      <c r="AA52" s="386">
        <v>200</v>
      </c>
      <c r="AB52" s="392">
        <v>4.4000000000000004</v>
      </c>
      <c r="AC52" s="28">
        <v>0</v>
      </c>
      <c r="AD52" s="28">
        <v>1</v>
      </c>
      <c r="AE52" s="28">
        <v>1</v>
      </c>
      <c r="AF52" s="28">
        <v>1</v>
      </c>
      <c r="AG52" s="28">
        <v>1</v>
      </c>
      <c r="AH52" s="28">
        <v>1</v>
      </c>
      <c r="AI52" s="28">
        <v>1</v>
      </c>
      <c r="AJ52" s="28">
        <v>1</v>
      </c>
    </row>
    <row r="53" spans="1:36" x14ac:dyDescent="0.25">
      <c r="A53" s="298" t="str">
        <f>IF('Kwaliteit conversie'!$D$4='Prijs karton'!C53,"X"," ")</f>
        <v xml:space="preserve"> </v>
      </c>
      <c r="B53" s="331" t="s">
        <v>31</v>
      </c>
      <c r="C53" s="359" t="s">
        <v>304</v>
      </c>
      <c r="D53" s="366">
        <v>0.45</v>
      </c>
      <c r="E53" s="321">
        <v>2.8</v>
      </c>
      <c r="F53" s="925">
        <v>0</v>
      </c>
      <c r="G53" s="315">
        <v>43.5</v>
      </c>
      <c r="H53" s="315">
        <v>40.5</v>
      </c>
      <c r="I53" s="315">
        <v>40</v>
      </c>
      <c r="J53" s="315">
        <v>40</v>
      </c>
      <c r="K53" s="513">
        <v>39.5</v>
      </c>
      <c r="L53" s="926" t="s">
        <v>305</v>
      </c>
      <c r="M53" s="331" t="s">
        <v>269</v>
      </c>
      <c r="N53" s="366" t="s">
        <v>265</v>
      </c>
      <c r="O53" s="323" t="s">
        <v>239</v>
      </c>
      <c r="P53" s="386" t="s">
        <v>239</v>
      </c>
      <c r="Q53" s="323" t="s">
        <v>239</v>
      </c>
      <c r="R53" s="366" t="s">
        <v>239</v>
      </c>
      <c r="S53" s="378" t="s">
        <v>306</v>
      </c>
      <c r="T53" s="324" t="s">
        <v>245</v>
      </c>
      <c r="U53" s="386">
        <v>250</v>
      </c>
      <c r="V53" s="386">
        <v>2450</v>
      </c>
      <c r="W53" s="386">
        <v>500</v>
      </c>
      <c r="X53" s="386">
        <v>6200</v>
      </c>
      <c r="Y53" s="386">
        <v>480</v>
      </c>
      <c r="Z53" s="386">
        <v>240</v>
      </c>
      <c r="AA53" s="386">
        <v>200</v>
      </c>
      <c r="AB53" s="392">
        <v>4.8</v>
      </c>
      <c r="AC53" s="28">
        <v>0</v>
      </c>
      <c r="AD53" s="28">
        <v>1</v>
      </c>
      <c r="AE53" s="28">
        <v>1</v>
      </c>
      <c r="AF53" s="28">
        <v>1</v>
      </c>
      <c r="AG53" s="28">
        <v>1</v>
      </c>
      <c r="AH53" s="28">
        <v>1</v>
      </c>
      <c r="AI53" s="28">
        <v>1</v>
      </c>
      <c r="AJ53" s="28">
        <v>1</v>
      </c>
    </row>
    <row r="54" spans="1:36" x14ac:dyDescent="0.25">
      <c r="A54" s="298" t="str">
        <f>IF('Kwaliteit conversie'!$D$4='Prijs karton'!C54,"X"," ")</f>
        <v xml:space="preserve"> </v>
      </c>
      <c r="B54" s="331" t="s">
        <v>31</v>
      </c>
      <c r="C54" s="359" t="s">
        <v>307</v>
      </c>
      <c r="D54" s="366">
        <v>0.40500000000000003</v>
      </c>
      <c r="E54" s="321">
        <v>2.8</v>
      </c>
      <c r="F54" s="925">
        <v>0</v>
      </c>
      <c r="G54" s="315">
        <v>40.5</v>
      </c>
      <c r="H54" s="315">
        <v>37.5</v>
      </c>
      <c r="I54" s="315">
        <v>37</v>
      </c>
      <c r="J54" s="315">
        <v>37</v>
      </c>
      <c r="K54" s="513">
        <v>36.5</v>
      </c>
      <c r="L54" s="926" t="s">
        <v>308</v>
      </c>
      <c r="M54" s="331" t="s">
        <v>269</v>
      </c>
      <c r="N54" s="366" t="s">
        <v>238</v>
      </c>
      <c r="O54" s="323" t="s">
        <v>239</v>
      </c>
      <c r="P54" s="386" t="s">
        <v>239</v>
      </c>
      <c r="Q54" s="323" t="s">
        <v>239</v>
      </c>
      <c r="R54" s="366" t="s">
        <v>239</v>
      </c>
      <c r="S54" s="378" t="s">
        <v>306</v>
      </c>
      <c r="T54" s="324" t="s">
        <v>245</v>
      </c>
      <c r="U54" s="386">
        <v>250</v>
      </c>
      <c r="V54" s="386">
        <v>2450</v>
      </c>
      <c r="W54" s="386">
        <v>500</v>
      </c>
      <c r="X54" s="386">
        <v>6200</v>
      </c>
      <c r="Y54" s="386">
        <v>480</v>
      </c>
      <c r="Z54" s="386">
        <v>240</v>
      </c>
      <c r="AA54" s="386">
        <v>200</v>
      </c>
      <c r="AB54" s="392">
        <v>4.3</v>
      </c>
      <c r="AC54" s="28">
        <v>0</v>
      </c>
      <c r="AD54" s="28">
        <v>1</v>
      </c>
      <c r="AE54" s="28">
        <v>1</v>
      </c>
      <c r="AF54" s="28">
        <v>1</v>
      </c>
      <c r="AG54" s="28">
        <v>1</v>
      </c>
      <c r="AH54" s="28">
        <v>1</v>
      </c>
      <c r="AI54" s="28">
        <v>1</v>
      </c>
      <c r="AJ54" s="28">
        <v>1</v>
      </c>
    </row>
    <row r="55" spans="1:36" x14ac:dyDescent="0.25">
      <c r="A55" s="298" t="str">
        <f>IF('Kwaliteit conversie'!$D$4='Prijs karton'!C55,"X"," ")</f>
        <v xml:space="preserve"> </v>
      </c>
      <c r="B55" s="331" t="s">
        <v>31</v>
      </c>
      <c r="C55" s="359" t="s">
        <v>309</v>
      </c>
      <c r="D55" s="366">
        <v>0.376</v>
      </c>
      <c r="E55" s="321">
        <v>2.83</v>
      </c>
      <c r="F55" s="925">
        <v>0</v>
      </c>
      <c r="G55" s="315">
        <v>53.6</v>
      </c>
      <c r="H55" s="315">
        <v>50.6</v>
      </c>
      <c r="I55" s="315">
        <v>50.6</v>
      </c>
      <c r="J55" s="315">
        <v>48.6</v>
      </c>
      <c r="K55" s="513">
        <v>48.6</v>
      </c>
      <c r="L55" s="926" t="s">
        <v>310</v>
      </c>
      <c r="M55" s="331" t="s">
        <v>289</v>
      </c>
      <c r="N55" s="366" t="s">
        <v>238</v>
      </c>
      <c r="O55" s="323" t="s">
        <v>239</v>
      </c>
      <c r="P55" s="386" t="s">
        <v>239</v>
      </c>
      <c r="Q55" s="323" t="s">
        <v>239</v>
      </c>
      <c r="R55" s="366" t="s">
        <v>239</v>
      </c>
      <c r="S55" s="378" t="s">
        <v>311</v>
      </c>
      <c r="T55" s="324" t="s">
        <v>240</v>
      </c>
      <c r="U55" s="386">
        <v>240</v>
      </c>
      <c r="V55" s="386">
        <v>2450</v>
      </c>
      <c r="W55" s="386">
        <v>500</v>
      </c>
      <c r="X55" s="386">
        <v>6000</v>
      </c>
      <c r="Y55" s="386">
        <v>125</v>
      </c>
      <c r="Z55" s="386">
        <v>125</v>
      </c>
      <c r="AA55" s="386">
        <v>200</v>
      </c>
      <c r="AB55" s="392">
        <v>4.7699999999999996</v>
      </c>
      <c r="AC55" s="28">
        <v>0</v>
      </c>
      <c r="AD55" s="28">
        <v>1</v>
      </c>
      <c r="AE55" s="28">
        <v>1</v>
      </c>
      <c r="AF55" s="28">
        <v>1</v>
      </c>
      <c r="AG55" s="28">
        <v>1</v>
      </c>
      <c r="AH55" s="28">
        <v>1</v>
      </c>
      <c r="AI55" s="28">
        <v>1</v>
      </c>
      <c r="AJ55" s="28">
        <v>1</v>
      </c>
    </row>
    <row r="56" spans="1:36" x14ac:dyDescent="0.25">
      <c r="A56" s="298" t="str">
        <f>IF('Kwaliteit conversie'!$D$4='Prijs karton'!C56,"X"," ")</f>
        <v xml:space="preserve"> </v>
      </c>
      <c r="B56" s="331" t="s">
        <v>31</v>
      </c>
      <c r="C56" s="359" t="s">
        <v>312</v>
      </c>
      <c r="D56" s="366">
        <v>0.40100000000000002</v>
      </c>
      <c r="E56" s="321">
        <v>2.82</v>
      </c>
      <c r="F56" s="925">
        <v>0</v>
      </c>
      <c r="G56" s="315" t="s">
        <v>239</v>
      </c>
      <c r="H56" s="315">
        <v>57.4</v>
      </c>
      <c r="I56" s="315">
        <v>57.4</v>
      </c>
      <c r="J56" s="315">
        <v>55.4</v>
      </c>
      <c r="K56" s="513">
        <v>55.4</v>
      </c>
      <c r="L56" s="926" t="s">
        <v>313</v>
      </c>
      <c r="M56" s="331" t="s">
        <v>289</v>
      </c>
      <c r="N56" s="366" t="s">
        <v>238</v>
      </c>
      <c r="O56" s="323" t="s">
        <v>239</v>
      </c>
      <c r="P56" s="386" t="s">
        <v>239</v>
      </c>
      <c r="Q56" s="323" t="s">
        <v>239</v>
      </c>
      <c r="R56" s="366" t="s">
        <v>239</v>
      </c>
      <c r="S56" s="378" t="s">
        <v>289</v>
      </c>
      <c r="T56" s="324" t="s">
        <v>240</v>
      </c>
      <c r="U56" s="386">
        <v>240</v>
      </c>
      <c r="V56" s="386">
        <v>2450</v>
      </c>
      <c r="W56" s="386">
        <v>500</v>
      </c>
      <c r="X56" s="386">
        <v>6000</v>
      </c>
      <c r="Y56" s="386">
        <v>125</v>
      </c>
      <c r="Z56" s="386">
        <v>125</v>
      </c>
      <c r="AA56" s="386">
        <v>500</v>
      </c>
      <c r="AB56" s="392">
        <v>5.51</v>
      </c>
      <c r="AC56" s="28">
        <v>0</v>
      </c>
      <c r="AD56" s="28">
        <v>1</v>
      </c>
      <c r="AE56" s="28">
        <v>1</v>
      </c>
      <c r="AF56" s="28">
        <v>1</v>
      </c>
      <c r="AG56" s="28">
        <v>1</v>
      </c>
      <c r="AH56" s="28">
        <v>1</v>
      </c>
      <c r="AI56" s="28">
        <v>1</v>
      </c>
      <c r="AJ56" s="28">
        <v>1</v>
      </c>
    </row>
    <row r="57" spans="1:36" x14ac:dyDescent="0.25">
      <c r="A57" s="298" t="str">
        <f>IF('Kwaliteit conversie'!$D$4='Prijs karton'!C57,"X"," ")</f>
        <v xml:space="preserve"> </v>
      </c>
      <c r="B57" s="331" t="s">
        <v>31</v>
      </c>
      <c r="C57" s="359"/>
      <c r="D57" s="366"/>
      <c r="E57" s="321"/>
      <c r="F57" s="925"/>
      <c r="G57" s="315"/>
      <c r="H57" s="315"/>
      <c r="I57" s="315"/>
      <c r="J57" s="315"/>
      <c r="K57" s="513"/>
      <c r="L57" s="926"/>
      <c r="M57" s="331"/>
      <c r="N57" s="366"/>
      <c r="O57" s="323"/>
      <c r="P57" s="386"/>
      <c r="Q57" s="323"/>
      <c r="R57" s="366"/>
      <c r="S57" s="378"/>
      <c r="T57" s="324"/>
      <c r="U57" s="386"/>
      <c r="V57" s="386"/>
      <c r="W57" s="386"/>
      <c r="X57" s="386"/>
      <c r="Y57" s="386"/>
      <c r="Z57" s="386"/>
      <c r="AA57" s="386"/>
      <c r="AB57" s="392"/>
      <c r="AC57" s="28"/>
      <c r="AD57" s="28"/>
      <c r="AE57" s="28"/>
      <c r="AF57" s="28"/>
      <c r="AG57" s="28"/>
      <c r="AH57" s="28"/>
      <c r="AI57" s="28"/>
      <c r="AJ57" s="28"/>
    </row>
    <row r="58" spans="1:36" x14ac:dyDescent="0.25">
      <c r="A58" s="298" t="str">
        <f>IF('Kwaliteit conversie'!$D$4='Prijs karton'!C58,"X"," ")</f>
        <v xml:space="preserve"> </v>
      </c>
      <c r="B58" s="331" t="s">
        <v>31</v>
      </c>
      <c r="C58" s="359" t="s">
        <v>1360</v>
      </c>
      <c r="D58" s="366">
        <v>0.38500000000000001</v>
      </c>
      <c r="E58" s="321">
        <v>2.75</v>
      </c>
      <c r="F58" s="925">
        <v>0</v>
      </c>
      <c r="G58" s="315">
        <v>35.9</v>
      </c>
      <c r="H58" s="315">
        <v>34.5</v>
      </c>
      <c r="I58" s="315">
        <v>34.299999999999997</v>
      </c>
      <c r="J58" s="315">
        <v>34.1</v>
      </c>
      <c r="K58" s="513">
        <v>34.1</v>
      </c>
      <c r="L58" s="926" t="s">
        <v>1361</v>
      </c>
      <c r="M58" s="331" t="s">
        <v>1362</v>
      </c>
      <c r="N58" s="366" t="s">
        <v>238</v>
      </c>
      <c r="O58" s="323" t="s">
        <v>239</v>
      </c>
      <c r="P58" s="386" t="s">
        <v>239</v>
      </c>
      <c r="Q58" s="323" t="s">
        <v>239</v>
      </c>
      <c r="R58" s="366" t="s">
        <v>239</v>
      </c>
      <c r="S58" s="378" t="s">
        <v>1363</v>
      </c>
      <c r="T58" s="324" t="s">
        <v>1364</v>
      </c>
      <c r="U58" s="386">
        <v>250</v>
      </c>
      <c r="V58" s="386">
        <v>2450</v>
      </c>
      <c r="W58" s="386">
        <v>600</v>
      </c>
      <c r="X58" s="386">
        <v>6000</v>
      </c>
      <c r="Y58" s="386">
        <v>290</v>
      </c>
      <c r="Z58" s="386">
        <v>145</v>
      </c>
      <c r="AA58" s="386">
        <v>200</v>
      </c>
      <c r="AB58" s="392">
        <v>5</v>
      </c>
      <c r="AC58" s="28">
        <v>0</v>
      </c>
      <c r="AD58" s="28">
        <v>1</v>
      </c>
      <c r="AE58" s="28">
        <v>1</v>
      </c>
      <c r="AF58" s="28">
        <v>1</v>
      </c>
      <c r="AG58" s="28">
        <v>1</v>
      </c>
      <c r="AH58" s="28">
        <v>1</v>
      </c>
      <c r="AI58" s="28">
        <v>1</v>
      </c>
      <c r="AJ58" s="28">
        <v>1</v>
      </c>
    </row>
    <row r="59" spans="1:36" x14ac:dyDescent="0.25">
      <c r="A59" s="298" t="str">
        <f>IF('Kwaliteit conversie'!$D$4='Prijs karton'!C59,"X"," ")</f>
        <v xml:space="preserve"> </v>
      </c>
      <c r="B59" s="331" t="s">
        <v>31</v>
      </c>
      <c r="C59" s="359" t="s">
        <v>1365</v>
      </c>
      <c r="D59" s="366">
        <v>0.44</v>
      </c>
      <c r="E59" s="321">
        <v>2.8</v>
      </c>
      <c r="F59" s="925">
        <v>0</v>
      </c>
      <c r="G59" s="315">
        <v>39.299999999999997</v>
      </c>
      <c r="H59" s="315">
        <v>38</v>
      </c>
      <c r="I59" s="315">
        <v>37.799999999999997</v>
      </c>
      <c r="J59" s="315">
        <v>37.5</v>
      </c>
      <c r="K59" s="513">
        <v>37.5</v>
      </c>
      <c r="L59" s="926" t="s">
        <v>1366</v>
      </c>
      <c r="M59" s="331" t="s">
        <v>277</v>
      </c>
      <c r="N59" s="366" t="s">
        <v>238</v>
      </c>
      <c r="O59" s="323" t="s">
        <v>239</v>
      </c>
      <c r="P59" s="386" t="s">
        <v>239</v>
      </c>
      <c r="Q59" s="323" t="s">
        <v>239</v>
      </c>
      <c r="R59" s="366" t="s">
        <v>239</v>
      </c>
      <c r="S59" s="378" t="s">
        <v>1367</v>
      </c>
      <c r="T59" s="324" t="s">
        <v>1364</v>
      </c>
      <c r="U59" s="386">
        <v>250</v>
      </c>
      <c r="V59" s="386">
        <v>2450</v>
      </c>
      <c r="W59" s="386">
        <v>600</v>
      </c>
      <c r="X59" s="386">
        <v>6000</v>
      </c>
      <c r="Y59" s="386">
        <v>290</v>
      </c>
      <c r="Z59" s="386">
        <v>145</v>
      </c>
      <c r="AA59" s="386">
        <v>200</v>
      </c>
      <c r="AB59" s="392">
        <v>5.3</v>
      </c>
      <c r="AC59" s="28">
        <v>0</v>
      </c>
      <c r="AD59" s="28">
        <v>1</v>
      </c>
      <c r="AE59" s="28">
        <v>1</v>
      </c>
      <c r="AF59" s="28">
        <v>1</v>
      </c>
      <c r="AG59" s="28">
        <v>1</v>
      </c>
      <c r="AH59" s="28">
        <v>1</v>
      </c>
      <c r="AI59" s="28">
        <v>1</v>
      </c>
      <c r="AJ59" s="28">
        <v>1</v>
      </c>
    </row>
    <row r="60" spans="1:36" x14ac:dyDescent="0.25">
      <c r="A60" s="298" t="str">
        <f>IF('Kwaliteit conversie'!$D$4='Prijs karton'!C60,"X"," ")</f>
        <v xml:space="preserve"> </v>
      </c>
      <c r="B60" s="331" t="s">
        <v>31</v>
      </c>
      <c r="C60" s="359" t="s">
        <v>1368</v>
      </c>
      <c r="D60" s="366">
        <v>0.42499999999999999</v>
      </c>
      <c r="E60" s="321">
        <v>2.74</v>
      </c>
      <c r="F60" s="925">
        <v>0</v>
      </c>
      <c r="G60" s="315">
        <v>46.5</v>
      </c>
      <c r="H60" s="315">
        <v>45</v>
      </c>
      <c r="I60" s="315">
        <v>44.8</v>
      </c>
      <c r="J60" s="315">
        <v>44.5</v>
      </c>
      <c r="K60" s="513">
        <v>44.5</v>
      </c>
      <c r="L60" s="926" t="s">
        <v>1369</v>
      </c>
      <c r="M60" s="331" t="s">
        <v>289</v>
      </c>
      <c r="N60" s="366" t="s">
        <v>238</v>
      </c>
      <c r="O60" s="323" t="s">
        <v>239</v>
      </c>
      <c r="P60" s="386" t="s">
        <v>239</v>
      </c>
      <c r="Q60" s="323" t="s">
        <v>239</v>
      </c>
      <c r="R60" s="366" t="s">
        <v>239</v>
      </c>
      <c r="S60" s="378" t="s">
        <v>1367</v>
      </c>
      <c r="T60" s="324" t="s">
        <v>1364</v>
      </c>
      <c r="U60" s="386">
        <v>250</v>
      </c>
      <c r="V60" s="386">
        <v>2450</v>
      </c>
      <c r="W60" s="386">
        <v>600</v>
      </c>
      <c r="X60" s="386">
        <v>6000</v>
      </c>
      <c r="Y60" s="386">
        <v>290</v>
      </c>
      <c r="Z60" s="386">
        <v>145</v>
      </c>
      <c r="AA60" s="386">
        <v>200</v>
      </c>
      <c r="AB60" s="392">
        <v>5.21</v>
      </c>
      <c r="AC60" s="28">
        <v>0</v>
      </c>
      <c r="AD60" s="28">
        <v>1</v>
      </c>
      <c r="AE60" s="28">
        <v>1</v>
      </c>
      <c r="AF60" s="28">
        <v>1</v>
      </c>
      <c r="AG60" s="28">
        <v>1</v>
      </c>
      <c r="AH60" s="28">
        <v>1</v>
      </c>
      <c r="AI60" s="28">
        <v>1</v>
      </c>
      <c r="AJ60" s="28">
        <v>1</v>
      </c>
    </row>
    <row r="61" spans="1:36" x14ac:dyDescent="0.25">
      <c r="A61" s="298" t="str">
        <f>IF('Kwaliteit conversie'!$D$4='Prijs karton'!C61,"X"," ")</f>
        <v xml:space="preserve"> </v>
      </c>
      <c r="B61" s="331" t="s">
        <v>31</v>
      </c>
      <c r="C61" s="359" t="s">
        <v>1370</v>
      </c>
      <c r="D61" s="366">
        <v>0.48199999999999998</v>
      </c>
      <c r="E61" s="321">
        <v>2.82</v>
      </c>
      <c r="F61" s="925">
        <v>0</v>
      </c>
      <c r="G61" s="315">
        <v>49.9</v>
      </c>
      <c r="H61" s="315">
        <v>48.4</v>
      </c>
      <c r="I61" s="315">
        <v>48.1</v>
      </c>
      <c r="J61" s="315">
        <v>47.8</v>
      </c>
      <c r="K61" s="513">
        <v>47.8</v>
      </c>
      <c r="L61" s="926" t="s">
        <v>1371</v>
      </c>
      <c r="M61" s="331" t="s">
        <v>1372</v>
      </c>
      <c r="N61" s="366" t="s">
        <v>265</v>
      </c>
      <c r="O61" s="323" t="s">
        <v>239</v>
      </c>
      <c r="P61" s="386" t="s">
        <v>239</v>
      </c>
      <c r="Q61" s="323" t="s">
        <v>239</v>
      </c>
      <c r="R61" s="366" t="s">
        <v>239</v>
      </c>
      <c r="S61" s="378" t="s">
        <v>1363</v>
      </c>
      <c r="T61" s="324" t="s">
        <v>1364</v>
      </c>
      <c r="U61" s="386">
        <v>250</v>
      </c>
      <c r="V61" s="386">
        <v>2450</v>
      </c>
      <c r="W61" s="386">
        <v>600</v>
      </c>
      <c r="X61" s="386">
        <v>6000</v>
      </c>
      <c r="Y61" s="386">
        <v>290</v>
      </c>
      <c r="Z61" s="386">
        <v>145</v>
      </c>
      <c r="AA61" s="386">
        <v>200</v>
      </c>
      <c r="AB61" s="392">
        <v>5.78</v>
      </c>
      <c r="AC61" s="28">
        <v>0</v>
      </c>
      <c r="AD61" s="28">
        <v>1</v>
      </c>
      <c r="AE61" s="28">
        <v>1</v>
      </c>
      <c r="AF61" s="28">
        <v>1</v>
      </c>
      <c r="AG61" s="28">
        <v>1</v>
      </c>
      <c r="AH61" s="28">
        <v>1</v>
      </c>
      <c r="AI61" s="28">
        <v>1</v>
      </c>
      <c r="AJ61" s="28">
        <v>1</v>
      </c>
    </row>
    <row r="62" spans="1:36" x14ac:dyDescent="0.25">
      <c r="A62" s="298" t="str">
        <f>IF('Kwaliteit conversie'!$D$4='Prijs karton'!C62,"X"," ")</f>
        <v xml:space="preserve"> </v>
      </c>
      <c r="B62" s="331" t="s">
        <v>31</v>
      </c>
      <c r="C62" s="359" t="s">
        <v>1373</v>
      </c>
      <c r="D62" s="366">
        <v>0.37</v>
      </c>
      <c r="E62" s="321">
        <v>2.72</v>
      </c>
      <c r="F62" s="925">
        <v>0</v>
      </c>
      <c r="G62" s="315">
        <v>31.6</v>
      </c>
      <c r="H62" s="315">
        <v>30.4</v>
      </c>
      <c r="I62" s="315">
        <v>30.2</v>
      </c>
      <c r="J62" s="315">
        <v>29.9</v>
      </c>
      <c r="K62" s="513">
        <v>29.9</v>
      </c>
      <c r="L62" s="926" t="s">
        <v>1374</v>
      </c>
      <c r="M62" s="331" t="s">
        <v>1363</v>
      </c>
      <c r="N62" s="366" t="s">
        <v>238</v>
      </c>
      <c r="O62" s="323" t="s">
        <v>239</v>
      </c>
      <c r="P62" s="386" t="s">
        <v>239</v>
      </c>
      <c r="Q62" s="323" t="s">
        <v>239</v>
      </c>
      <c r="R62" s="366" t="s">
        <v>239</v>
      </c>
      <c r="S62" s="378" t="s">
        <v>1363</v>
      </c>
      <c r="T62" s="324" t="s">
        <v>1364</v>
      </c>
      <c r="U62" s="386">
        <v>250</v>
      </c>
      <c r="V62" s="386">
        <v>2450</v>
      </c>
      <c r="W62" s="386">
        <v>600</v>
      </c>
      <c r="X62" s="386">
        <v>6000</v>
      </c>
      <c r="Y62" s="386">
        <v>290</v>
      </c>
      <c r="Z62" s="386">
        <v>145</v>
      </c>
      <c r="AA62" s="386">
        <v>200</v>
      </c>
      <c r="AB62" s="392">
        <v>4.3099999999999996</v>
      </c>
      <c r="AC62" s="28">
        <v>0</v>
      </c>
      <c r="AD62" s="28">
        <v>1</v>
      </c>
      <c r="AE62" s="28">
        <v>1</v>
      </c>
      <c r="AF62" s="28">
        <v>1</v>
      </c>
      <c r="AG62" s="28">
        <v>1</v>
      </c>
      <c r="AH62" s="28">
        <v>1</v>
      </c>
      <c r="AI62" s="28">
        <v>1</v>
      </c>
      <c r="AJ62" s="28">
        <v>1</v>
      </c>
    </row>
    <row r="63" spans="1:36" x14ac:dyDescent="0.25">
      <c r="A63" s="298" t="str">
        <f>IF('Kwaliteit conversie'!$D$4='Prijs karton'!C63,"X"," ")</f>
        <v xml:space="preserve"> </v>
      </c>
      <c r="B63" s="331" t="s">
        <v>31</v>
      </c>
      <c r="C63" s="359" t="s">
        <v>1405</v>
      </c>
      <c r="D63" s="366">
        <v>0.375</v>
      </c>
      <c r="E63" s="321">
        <v>2.72</v>
      </c>
      <c r="F63" s="925">
        <v>0</v>
      </c>
      <c r="G63" s="315">
        <v>40</v>
      </c>
      <c r="H63" s="315">
        <v>38.700000000000003</v>
      </c>
      <c r="I63" s="315">
        <v>38.4</v>
      </c>
      <c r="J63" s="315">
        <v>38.1</v>
      </c>
      <c r="K63" s="513">
        <v>38.1</v>
      </c>
      <c r="L63" s="926" t="s">
        <v>1406</v>
      </c>
      <c r="M63" s="331" t="s">
        <v>1400</v>
      </c>
      <c r="N63" s="366" t="s">
        <v>238</v>
      </c>
      <c r="O63" s="323" t="s">
        <v>239</v>
      </c>
      <c r="P63" s="386" t="s">
        <v>239</v>
      </c>
      <c r="Q63" s="323" t="s">
        <v>239</v>
      </c>
      <c r="R63" s="366" t="s">
        <v>239</v>
      </c>
      <c r="S63" s="378" t="s">
        <v>1363</v>
      </c>
      <c r="T63" s="324" t="s">
        <v>1364</v>
      </c>
      <c r="U63" s="386">
        <v>250</v>
      </c>
      <c r="V63" s="386">
        <v>2450</v>
      </c>
      <c r="W63" s="386">
        <v>600</v>
      </c>
      <c r="X63" s="386">
        <v>6000</v>
      </c>
      <c r="Y63" s="386">
        <v>290</v>
      </c>
      <c r="Z63" s="386">
        <v>145</v>
      </c>
      <c r="AA63" s="386">
        <v>200</v>
      </c>
      <c r="AB63" s="392">
        <v>4.22</v>
      </c>
      <c r="AC63" s="28">
        <v>0</v>
      </c>
      <c r="AD63" s="28">
        <v>1</v>
      </c>
      <c r="AE63" s="28">
        <v>1</v>
      </c>
      <c r="AF63" s="28">
        <v>1</v>
      </c>
      <c r="AG63" s="28">
        <v>1</v>
      </c>
      <c r="AH63" s="28">
        <v>1</v>
      </c>
      <c r="AI63" s="28">
        <v>1</v>
      </c>
      <c r="AJ63" s="28">
        <v>1</v>
      </c>
    </row>
    <row r="64" spans="1:36" x14ac:dyDescent="0.25">
      <c r="A64" s="298" t="str">
        <f>IF('Kwaliteit conversie'!$D$4='Prijs karton'!C64,"X"," ")</f>
        <v xml:space="preserve"> </v>
      </c>
      <c r="B64" s="331" t="s">
        <v>31</v>
      </c>
      <c r="C64" s="359" t="s">
        <v>1407</v>
      </c>
      <c r="D64" s="366">
        <v>0.4</v>
      </c>
      <c r="E64" s="321">
        <v>2.72</v>
      </c>
      <c r="F64" s="925">
        <v>0</v>
      </c>
      <c r="G64" s="315">
        <v>49.5</v>
      </c>
      <c r="H64" s="315">
        <v>48.1</v>
      </c>
      <c r="I64" s="315">
        <v>48</v>
      </c>
      <c r="J64" s="315">
        <v>47.7</v>
      </c>
      <c r="K64" s="513">
        <v>47.7</v>
      </c>
      <c r="L64" s="926" t="s">
        <v>1408</v>
      </c>
      <c r="M64" s="331" t="s">
        <v>289</v>
      </c>
      <c r="N64" s="366" t="s">
        <v>238</v>
      </c>
      <c r="O64" s="323" t="s">
        <v>239</v>
      </c>
      <c r="P64" s="386" t="s">
        <v>239</v>
      </c>
      <c r="Q64" s="323" t="s">
        <v>239</v>
      </c>
      <c r="R64" s="366" t="s">
        <v>239</v>
      </c>
      <c r="S64" s="378" t="s">
        <v>289</v>
      </c>
      <c r="T64" s="324" t="s">
        <v>1364</v>
      </c>
      <c r="U64" s="386">
        <v>250</v>
      </c>
      <c r="V64" s="386">
        <v>2450</v>
      </c>
      <c r="W64" s="386">
        <v>600</v>
      </c>
      <c r="X64" s="386">
        <v>6000</v>
      </c>
      <c r="Y64" s="386">
        <v>290</v>
      </c>
      <c r="Z64" s="386">
        <v>145</v>
      </c>
      <c r="AA64" s="386">
        <v>200</v>
      </c>
      <c r="AB64" s="392">
        <v>5.22</v>
      </c>
      <c r="AC64" s="28">
        <v>0</v>
      </c>
      <c r="AD64" s="28">
        <v>1</v>
      </c>
      <c r="AE64" s="28">
        <v>1</v>
      </c>
      <c r="AF64" s="28">
        <v>1</v>
      </c>
      <c r="AG64" s="28">
        <v>1</v>
      </c>
      <c r="AH64" s="28">
        <v>1</v>
      </c>
      <c r="AI64" s="28">
        <v>1</v>
      </c>
      <c r="AJ64" s="28">
        <v>1</v>
      </c>
    </row>
    <row r="65" spans="1:36" x14ac:dyDescent="0.25">
      <c r="A65" s="298" t="str">
        <f>IF('Kwaliteit conversie'!$D$4='Prijs karton'!C65,"X"," ")</f>
        <v xml:space="preserve"> </v>
      </c>
      <c r="B65" s="331" t="s">
        <v>31</v>
      </c>
      <c r="C65" s="359" t="s">
        <v>1409</v>
      </c>
      <c r="D65" s="366">
        <v>0.29699999999999999</v>
      </c>
      <c r="E65" s="321">
        <v>2.61</v>
      </c>
      <c r="F65" s="925">
        <v>0</v>
      </c>
      <c r="G65" s="315">
        <v>28.1</v>
      </c>
      <c r="H65" s="315">
        <v>26.8</v>
      </c>
      <c r="I65" s="315">
        <v>26.5</v>
      </c>
      <c r="J65" s="315">
        <v>26.2</v>
      </c>
      <c r="K65" s="513">
        <v>26.2</v>
      </c>
      <c r="L65" s="926" t="s">
        <v>1410</v>
      </c>
      <c r="M65" s="331" t="s">
        <v>244</v>
      </c>
      <c r="N65" s="366" t="s">
        <v>244</v>
      </c>
      <c r="O65" s="323" t="s">
        <v>239</v>
      </c>
      <c r="P65" s="386" t="s">
        <v>239</v>
      </c>
      <c r="Q65" s="323" t="s">
        <v>239</v>
      </c>
      <c r="R65" s="366" t="s">
        <v>239</v>
      </c>
      <c r="S65" s="378" t="s">
        <v>244</v>
      </c>
      <c r="T65" s="324" t="s">
        <v>1364</v>
      </c>
      <c r="U65" s="386">
        <v>250</v>
      </c>
      <c r="V65" s="386">
        <v>2450</v>
      </c>
      <c r="W65" s="386">
        <v>600</v>
      </c>
      <c r="X65" s="386">
        <v>6000</v>
      </c>
      <c r="Y65" s="386">
        <v>290</v>
      </c>
      <c r="Z65" s="386">
        <v>145</v>
      </c>
      <c r="AA65" s="386">
        <v>200</v>
      </c>
      <c r="AB65" s="392">
        <v>3.06</v>
      </c>
      <c r="AC65" s="28">
        <v>0</v>
      </c>
      <c r="AD65" s="28">
        <v>1</v>
      </c>
      <c r="AE65" s="28">
        <v>1</v>
      </c>
      <c r="AF65" s="28">
        <v>1</v>
      </c>
      <c r="AG65" s="28">
        <v>1</v>
      </c>
      <c r="AH65" s="28">
        <v>1</v>
      </c>
      <c r="AI65" s="28">
        <v>1</v>
      </c>
      <c r="AJ65" s="28">
        <v>1</v>
      </c>
    </row>
    <row r="66" spans="1:36" x14ac:dyDescent="0.25">
      <c r="A66" s="298" t="str">
        <f>IF('Kwaliteit conversie'!$D$4='Prijs karton'!C66,"X"," ")</f>
        <v xml:space="preserve"> </v>
      </c>
      <c r="B66" s="331" t="s">
        <v>31</v>
      </c>
      <c r="C66" s="359"/>
      <c r="D66" s="366"/>
      <c r="E66" s="321"/>
      <c r="F66" s="925"/>
      <c r="G66" s="315"/>
      <c r="H66" s="315"/>
      <c r="I66" s="315"/>
      <c r="J66" s="315"/>
      <c r="K66" s="513"/>
      <c r="L66" s="926"/>
      <c r="M66" s="331"/>
      <c r="N66" s="366"/>
      <c r="O66" s="323"/>
      <c r="P66" s="386"/>
      <c r="Q66" s="323"/>
      <c r="R66" s="366"/>
      <c r="S66" s="378"/>
      <c r="T66" s="324"/>
      <c r="U66" s="386"/>
      <c r="V66" s="386"/>
      <c r="W66" s="386"/>
      <c r="X66" s="386"/>
      <c r="Y66" s="386"/>
      <c r="Z66" s="386"/>
      <c r="AA66" s="386"/>
      <c r="AB66" s="392"/>
      <c r="AC66" s="28"/>
      <c r="AD66" s="28"/>
      <c r="AE66" s="28"/>
      <c r="AF66" s="28"/>
      <c r="AG66" s="28"/>
      <c r="AH66" s="28"/>
      <c r="AI66" s="28"/>
      <c r="AJ66" s="28"/>
    </row>
    <row r="67" spans="1:36" x14ac:dyDescent="0.25">
      <c r="A67" s="298" t="str">
        <f>IF('Kwaliteit conversie'!$D$4='Prijs karton'!C67,"X"," ")</f>
        <v xml:space="preserve"> </v>
      </c>
      <c r="B67" s="331" t="s">
        <v>31</v>
      </c>
      <c r="C67" s="359"/>
      <c r="D67" s="366"/>
      <c r="E67" s="321"/>
      <c r="F67" s="925"/>
      <c r="G67" s="315"/>
      <c r="H67" s="315"/>
      <c r="I67" s="315"/>
      <c r="J67" s="315"/>
      <c r="K67" s="513"/>
      <c r="L67" s="926"/>
      <c r="M67" s="331"/>
      <c r="N67" s="366"/>
      <c r="O67" s="323"/>
      <c r="P67" s="386"/>
      <c r="Q67" s="323"/>
      <c r="R67" s="366"/>
      <c r="S67" s="378"/>
      <c r="T67" s="324"/>
      <c r="U67" s="386"/>
      <c r="V67" s="386"/>
      <c r="W67" s="386"/>
      <c r="X67" s="386"/>
      <c r="Y67" s="386"/>
      <c r="Z67" s="386"/>
      <c r="AA67" s="386"/>
      <c r="AB67" s="392"/>
      <c r="AC67" s="28"/>
      <c r="AD67" s="28"/>
      <c r="AE67" s="28"/>
      <c r="AF67" s="28"/>
      <c r="AG67" s="28"/>
      <c r="AH67" s="28"/>
      <c r="AI67" s="28"/>
      <c r="AJ67" s="28"/>
    </row>
    <row r="68" spans="1:36" x14ac:dyDescent="0.25">
      <c r="A68" s="298" t="str">
        <f>IF('Kwaliteit conversie'!$D$4='Prijs karton'!C68,"X"," ")</f>
        <v xml:space="preserve"> </v>
      </c>
      <c r="B68" s="331" t="s">
        <v>31</v>
      </c>
      <c r="C68" s="359"/>
      <c r="D68" s="366"/>
      <c r="E68" s="321"/>
      <c r="F68" s="925"/>
      <c r="G68" s="315"/>
      <c r="H68" s="315"/>
      <c r="I68" s="315"/>
      <c r="J68" s="315"/>
      <c r="K68" s="513"/>
      <c r="L68" s="926"/>
      <c r="M68" s="331"/>
      <c r="N68" s="366"/>
      <c r="O68" s="323"/>
      <c r="P68" s="386"/>
      <c r="Q68" s="323"/>
      <c r="R68" s="366"/>
      <c r="S68" s="378"/>
      <c r="T68" s="324"/>
      <c r="U68" s="386"/>
      <c r="V68" s="386"/>
      <c r="W68" s="386"/>
      <c r="X68" s="386"/>
      <c r="Y68" s="386"/>
      <c r="Z68" s="386"/>
      <c r="AA68" s="386"/>
      <c r="AB68" s="392"/>
      <c r="AC68" s="28"/>
      <c r="AD68" s="28"/>
      <c r="AE68" s="28"/>
      <c r="AF68" s="28"/>
      <c r="AG68" s="28"/>
      <c r="AH68" s="28"/>
      <c r="AI68" s="28"/>
      <c r="AJ68" s="28"/>
    </row>
    <row r="69" spans="1:36" x14ac:dyDescent="0.25">
      <c r="A69" s="298" t="str">
        <f>IF('Kwaliteit conversie'!$D$4='Prijs karton'!C69,"X"," ")</f>
        <v xml:space="preserve"> </v>
      </c>
      <c r="B69" s="331" t="s">
        <v>31</v>
      </c>
      <c r="C69" s="359"/>
      <c r="D69" s="366"/>
      <c r="E69" s="321"/>
      <c r="F69" s="925"/>
      <c r="G69" s="315"/>
      <c r="H69" s="315"/>
      <c r="I69" s="315"/>
      <c r="J69" s="315"/>
      <c r="K69" s="513"/>
      <c r="L69" s="926"/>
      <c r="M69" s="331"/>
      <c r="N69" s="366"/>
      <c r="O69" s="323"/>
      <c r="P69" s="386"/>
      <c r="Q69" s="323"/>
      <c r="R69" s="366"/>
      <c r="S69" s="378"/>
      <c r="T69" s="324"/>
      <c r="U69" s="386"/>
      <c r="V69" s="386"/>
      <c r="W69" s="386"/>
      <c r="X69" s="386"/>
      <c r="Y69" s="386"/>
      <c r="Z69" s="386"/>
      <c r="AA69" s="386"/>
      <c r="AB69" s="392"/>
      <c r="AC69" s="28"/>
      <c r="AD69" s="28"/>
      <c r="AE69" s="28"/>
      <c r="AF69" s="28"/>
      <c r="AG69" s="28"/>
      <c r="AH69" s="28"/>
      <c r="AI69" s="28"/>
      <c r="AJ69" s="28"/>
    </row>
    <row r="70" spans="1:36" x14ac:dyDescent="0.25">
      <c r="A70" s="298" t="str">
        <f>IF('Kwaliteit conversie'!$D$4='Prijs karton'!C70,"X"," ")</f>
        <v xml:space="preserve"> </v>
      </c>
      <c r="B70" s="331" t="s">
        <v>31</v>
      </c>
      <c r="C70" s="359"/>
      <c r="D70" s="366"/>
      <c r="E70" s="321"/>
      <c r="F70" s="925"/>
      <c r="G70" s="315"/>
      <c r="H70" s="315"/>
      <c r="I70" s="315"/>
      <c r="J70" s="315"/>
      <c r="K70" s="513"/>
      <c r="L70" s="926"/>
      <c r="M70" s="331"/>
      <c r="N70" s="366"/>
      <c r="O70" s="323"/>
      <c r="P70" s="386"/>
      <c r="Q70" s="323"/>
      <c r="R70" s="366"/>
      <c r="S70" s="378"/>
      <c r="T70" s="324"/>
      <c r="U70" s="386"/>
      <c r="V70" s="386"/>
      <c r="W70" s="386"/>
      <c r="X70" s="386"/>
      <c r="Y70" s="386"/>
      <c r="Z70" s="386"/>
      <c r="AA70" s="386"/>
      <c r="AB70" s="392"/>
      <c r="AC70" s="28"/>
      <c r="AD70" s="28"/>
      <c r="AE70" s="28"/>
      <c r="AF70" s="28"/>
      <c r="AG70" s="28"/>
      <c r="AH70" s="28"/>
      <c r="AI70" s="28"/>
      <c r="AJ70" s="28"/>
    </row>
    <row r="71" spans="1:36" x14ac:dyDescent="0.25">
      <c r="A71" s="298" t="str">
        <f>IF('Kwaliteit conversie'!$D$4='Prijs karton'!C71,"X"," ")</f>
        <v xml:space="preserve"> </v>
      </c>
      <c r="B71" s="331" t="s">
        <v>31</v>
      </c>
      <c r="C71" s="359"/>
      <c r="D71" s="366"/>
      <c r="E71" s="321"/>
      <c r="F71" s="925"/>
      <c r="G71" s="315"/>
      <c r="H71" s="315"/>
      <c r="I71" s="315"/>
      <c r="J71" s="315"/>
      <c r="K71" s="513"/>
      <c r="L71" s="926"/>
      <c r="M71" s="331"/>
      <c r="N71" s="366"/>
      <c r="O71" s="323"/>
      <c r="P71" s="386"/>
      <c r="Q71" s="323"/>
      <c r="R71" s="366"/>
      <c r="S71" s="378"/>
      <c r="T71" s="324"/>
      <c r="U71" s="386"/>
      <c r="V71" s="386"/>
      <c r="W71" s="386"/>
      <c r="X71" s="386"/>
      <c r="Y71" s="386"/>
      <c r="Z71" s="386"/>
      <c r="AA71" s="386"/>
      <c r="AB71" s="392"/>
      <c r="AC71" s="28"/>
      <c r="AD71" s="28"/>
      <c r="AE71" s="28"/>
      <c r="AF71" s="28"/>
      <c r="AG71" s="28"/>
      <c r="AH71" s="28"/>
      <c r="AI71" s="28"/>
      <c r="AJ71" s="28"/>
    </row>
    <row r="72" spans="1:36" x14ac:dyDescent="0.25">
      <c r="A72" s="298" t="str">
        <f>IF('Kwaliteit conversie'!$D$4='Prijs karton'!C72,"X"," ")</f>
        <v xml:space="preserve"> </v>
      </c>
      <c r="B72" s="331" t="s">
        <v>31</v>
      </c>
      <c r="C72" s="359"/>
      <c r="D72" s="366"/>
      <c r="E72" s="321"/>
      <c r="F72" s="925"/>
      <c r="G72" s="315"/>
      <c r="H72" s="315"/>
      <c r="I72" s="315"/>
      <c r="J72" s="315"/>
      <c r="K72" s="513"/>
      <c r="L72" s="926"/>
      <c r="M72" s="331"/>
      <c r="N72" s="366"/>
      <c r="O72" s="323"/>
      <c r="P72" s="386"/>
      <c r="Q72" s="323"/>
      <c r="R72" s="366"/>
      <c r="S72" s="378"/>
      <c r="T72" s="324"/>
      <c r="U72" s="386"/>
      <c r="V72" s="386"/>
      <c r="W72" s="386"/>
      <c r="X72" s="386"/>
      <c r="Y72" s="386"/>
      <c r="Z72" s="386"/>
      <c r="AA72" s="386"/>
      <c r="AB72" s="392"/>
      <c r="AC72" s="28"/>
      <c r="AD72" s="28"/>
      <c r="AE72" s="28"/>
      <c r="AF72" s="28"/>
      <c r="AG72" s="28"/>
      <c r="AH72" s="28"/>
      <c r="AI72" s="28"/>
      <c r="AJ72" s="28"/>
    </row>
    <row r="73" spans="1:36" x14ac:dyDescent="0.25">
      <c r="A73" s="298" t="str">
        <f>IF('Kwaliteit conversie'!$D$4='Prijs karton'!C73,"X"," ")</f>
        <v xml:space="preserve"> </v>
      </c>
      <c r="B73" s="331" t="s">
        <v>31</v>
      </c>
      <c r="C73" s="359"/>
      <c r="D73" s="366"/>
      <c r="E73" s="321"/>
      <c r="F73" s="925"/>
      <c r="G73" s="315"/>
      <c r="H73" s="315"/>
      <c r="I73" s="315"/>
      <c r="J73" s="315"/>
      <c r="K73" s="513"/>
      <c r="L73" s="926"/>
      <c r="M73" s="331"/>
      <c r="N73" s="366"/>
      <c r="O73" s="323"/>
      <c r="P73" s="386"/>
      <c r="Q73" s="323"/>
      <c r="R73" s="366"/>
      <c r="S73" s="378"/>
      <c r="T73" s="324"/>
      <c r="U73" s="386"/>
      <c r="V73" s="386"/>
      <c r="W73" s="386"/>
      <c r="X73" s="386"/>
      <c r="Y73" s="386"/>
      <c r="Z73" s="386"/>
      <c r="AA73" s="386"/>
      <c r="AB73" s="392"/>
      <c r="AC73" s="28"/>
      <c r="AD73" s="28"/>
      <c r="AE73" s="28"/>
      <c r="AF73" s="28"/>
      <c r="AG73" s="28"/>
      <c r="AH73" s="28"/>
      <c r="AI73" s="28"/>
      <c r="AJ73" s="28"/>
    </row>
    <row r="74" spans="1:36" x14ac:dyDescent="0.25">
      <c r="A74" s="298" t="str">
        <f>IF('Kwaliteit conversie'!$D$4='Prijs karton'!C74,"X"," ")</f>
        <v xml:space="preserve"> </v>
      </c>
      <c r="B74" s="331" t="s">
        <v>31</v>
      </c>
      <c r="C74" s="359"/>
      <c r="D74" s="366"/>
      <c r="E74" s="321"/>
      <c r="F74" s="925"/>
      <c r="G74" s="315"/>
      <c r="H74" s="315"/>
      <c r="I74" s="315"/>
      <c r="J74" s="315"/>
      <c r="K74" s="513"/>
      <c r="L74" s="926"/>
      <c r="M74" s="331"/>
      <c r="N74" s="366"/>
      <c r="O74" s="323"/>
      <c r="P74" s="386"/>
      <c r="Q74" s="323"/>
      <c r="R74" s="366"/>
      <c r="S74" s="378"/>
      <c r="T74" s="324"/>
      <c r="U74" s="386"/>
      <c r="V74" s="386"/>
      <c r="W74" s="386"/>
      <c r="X74" s="386"/>
      <c r="Y74" s="386"/>
      <c r="Z74" s="386"/>
      <c r="AA74" s="386"/>
      <c r="AB74" s="392"/>
      <c r="AC74" s="28"/>
      <c r="AD74" s="28"/>
      <c r="AE74" s="28"/>
      <c r="AF74" s="28"/>
      <c r="AG74" s="28"/>
      <c r="AH74" s="28"/>
      <c r="AI74" s="28"/>
      <c r="AJ74" s="28"/>
    </row>
    <row r="75" spans="1:36" x14ac:dyDescent="0.25">
      <c r="A75" s="298" t="str">
        <f>IF('Kwaliteit conversie'!$D$4='Prijs karton'!C75,"X"," ")</f>
        <v xml:space="preserve"> </v>
      </c>
      <c r="B75" s="331" t="s">
        <v>31</v>
      </c>
      <c r="C75" s="359"/>
      <c r="D75" s="366"/>
      <c r="E75" s="321"/>
      <c r="F75" s="925"/>
      <c r="G75" s="315"/>
      <c r="H75" s="315"/>
      <c r="I75" s="315"/>
      <c r="J75" s="315"/>
      <c r="K75" s="513"/>
      <c r="L75" s="926"/>
      <c r="M75" s="331"/>
      <c r="N75" s="366"/>
      <c r="O75" s="323"/>
      <c r="P75" s="386"/>
      <c r="Q75" s="323"/>
      <c r="R75" s="366"/>
      <c r="S75" s="378"/>
      <c r="T75" s="324"/>
      <c r="U75" s="386"/>
      <c r="V75" s="386"/>
      <c r="W75" s="386"/>
      <c r="X75" s="386"/>
      <c r="Y75" s="386"/>
      <c r="Z75" s="386"/>
      <c r="AA75" s="386"/>
      <c r="AB75" s="392"/>
      <c r="AC75" s="28"/>
      <c r="AD75" s="28"/>
      <c r="AE75" s="28"/>
      <c r="AF75" s="28"/>
      <c r="AG75" s="28"/>
      <c r="AH75" s="28"/>
      <c r="AI75" s="28"/>
      <c r="AJ75" s="28"/>
    </row>
    <row r="76" spans="1:36" x14ac:dyDescent="0.25">
      <c r="A76" s="298" t="str">
        <f>IF('Kwaliteit conversie'!$D$4='Prijs karton'!C76,"X"," ")</f>
        <v xml:space="preserve"> </v>
      </c>
      <c r="B76" s="331" t="s">
        <v>31</v>
      </c>
      <c r="C76" s="359"/>
      <c r="D76" s="366"/>
      <c r="E76" s="321"/>
      <c r="F76" s="925"/>
      <c r="G76" s="315"/>
      <c r="H76" s="315"/>
      <c r="I76" s="315"/>
      <c r="J76" s="315"/>
      <c r="K76" s="513"/>
      <c r="L76" s="926"/>
      <c r="M76" s="331"/>
      <c r="N76" s="366"/>
      <c r="O76" s="323"/>
      <c r="P76" s="386"/>
      <c r="Q76" s="323"/>
      <c r="R76" s="366"/>
      <c r="S76" s="378"/>
      <c r="T76" s="324"/>
      <c r="U76" s="386"/>
      <c r="V76" s="386"/>
      <c r="W76" s="386"/>
      <c r="X76" s="386"/>
      <c r="Y76" s="386"/>
      <c r="Z76" s="386"/>
      <c r="AA76" s="386"/>
      <c r="AB76" s="392"/>
      <c r="AC76" s="28"/>
      <c r="AD76" s="28"/>
      <c r="AE76" s="28"/>
      <c r="AF76" s="28"/>
      <c r="AG76" s="28"/>
      <c r="AH76" s="28"/>
      <c r="AI76" s="28"/>
      <c r="AJ76" s="28"/>
    </row>
    <row r="77" spans="1:36" s="320" customFormat="1" x14ac:dyDescent="0.25">
      <c r="A77" s="329" t="str">
        <f>IF('Kwaliteit conversie'!$D$4='Prijs karton'!C77,"X"," ")</f>
        <v xml:space="preserve"> </v>
      </c>
      <c r="B77" s="332" t="s">
        <v>31</v>
      </c>
      <c r="C77" s="360" t="s">
        <v>314</v>
      </c>
      <c r="D77" s="367">
        <v>0.5</v>
      </c>
      <c r="E77" s="322">
        <v>2.9</v>
      </c>
      <c r="F77" s="927">
        <v>0</v>
      </c>
      <c r="G77" s="319">
        <v>0</v>
      </c>
      <c r="H77" s="319">
        <v>0</v>
      </c>
      <c r="I77" s="319">
        <v>0</v>
      </c>
      <c r="J77" s="319">
        <v>0</v>
      </c>
      <c r="K77" s="928">
        <v>0</v>
      </c>
      <c r="L77" s="929" t="s">
        <v>315</v>
      </c>
      <c r="M77" s="379" t="s">
        <v>239</v>
      </c>
      <c r="N77" s="367" t="s">
        <v>239</v>
      </c>
      <c r="O77" s="325" t="s">
        <v>239</v>
      </c>
      <c r="P77" s="387" t="s">
        <v>239</v>
      </c>
      <c r="Q77" s="325" t="s">
        <v>239</v>
      </c>
      <c r="R77" s="367" t="s">
        <v>239</v>
      </c>
      <c r="S77" s="380" t="s">
        <v>239</v>
      </c>
      <c r="T77" s="326" t="s">
        <v>245</v>
      </c>
      <c r="U77" s="387">
        <v>250</v>
      </c>
      <c r="V77" s="387">
        <v>2450</v>
      </c>
      <c r="W77" s="387">
        <v>500</v>
      </c>
      <c r="X77" s="387">
        <v>6200</v>
      </c>
      <c r="Y77" s="387">
        <v>480</v>
      </c>
      <c r="Z77" s="387">
        <v>240</v>
      </c>
      <c r="AA77" s="387">
        <v>200</v>
      </c>
      <c r="AB77" s="393">
        <v>5</v>
      </c>
      <c r="AC77" s="34">
        <v>0</v>
      </c>
      <c r="AD77" s="34">
        <v>1</v>
      </c>
      <c r="AE77" s="34">
        <v>1</v>
      </c>
      <c r="AF77" s="34">
        <v>1</v>
      </c>
      <c r="AG77" s="34">
        <v>1</v>
      </c>
      <c r="AH77" s="34">
        <v>1</v>
      </c>
      <c r="AI77" s="34">
        <v>1</v>
      </c>
      <c r="AJ77" s="34">
        <v>1</v>
      </c>
    </row>
    <row r="78" spans="1:36" x14ac:dyDescent="0.25">
      <c r="A78" s="298" t="str">
        <f>IF('Kwaliteit conversie'!$D$4='Prijs karton'!C78,"X"," ")</f>
        <v xml:space="preserve"> </v>
      </c>
      <c r="B78" s="331"/>
      <c r="C78" s="359"/>
      <c r="D78" s="366"/>
      <c r="E78" s="321"/>
      <c r="F78" s="925"/>
      <c r="G78" s="315"/>
      <c r="H78" s="315"/>
      <c r="I78" s="315"/>
      <c r="J78" s="315"/>
      <c r="K78" s="513"/>
      <c r="L78" s="926"/>
      <c r="M78" s="331"/>
      <c r="N78" s="366"/>
      <c r="O78" s="323"/>
      <c r="P78" s="386"/>
      <c r="Q78" s="323"/>
      <c r="R78" s="366"/>
      <c r="S78" s="378"/>
      <c r="T78" s="324"/>
      <c r="U78" s="386"/>
      <c r="V78" s="386"/>
      <c r="W78" s="386"/>
      <c r="X78" s="386"/>
      <c r="Y78" s="386"/>
      <c r="Z78" s="386"/>
      <c r="AA78" s="386"/>
      <c r="AB78" s="392"/>
      <c r="AC78" s="28"/>
      <c r="AD78" s="28"/>
      <c r="AE78" s="28"/>
      <c r="AF78" s="28"/>
      <c r="AG78" s="28"/>
      <c r="AH78" s="28"/>
      <c r="AI78" s="28"/>
      <c r="AJ78" s="28"/>
    </row>
    <row r="79" spans="1:36" x14ac:dyDescent="0.25">
      <c r="A79" s="298" t="str">
        <f>IF('Kwaliteit conversie'!$D$4='Prijs karton'!C79,"X"," ")</f>
        <v xml:space="preserve"> </v>
      </c>
      <c r="B79" s="331"/>
      <c r="C79" s="359"/>
      <c r="D79" s="366"/>
      <c r="E79" s="321"/>
      <c r="F79" s="925"/>
      <c r="G79" s="315"/>
      <c r="H79" s="315"/>
      <c r="I79" s="315"/>
      <c r="J79" s="315"/>
      <c r="K79" s="513"/>
      <c r="L79" s="926"/>
      <c r="M79" s="331"/>
      <c r="N79" s="366"/>
      <c r="O79" s="323"/>
      <c r="P79" s="386"/>
      <c r="Q79" s="323"/>
      <c r="R79" s="366"/>
      <c r="S79" s="378"/>
      <c r="T79" s="324"/>
      <c r="U79" s="386"/>
      <c r="V79" s="386"/>
      <c r="W79" s="386"/>
      <c r="X79" s="386"/>
      <c r="Y79" s="386"/>
      <c r="Z79" s="386"/>
      <c r="AA79" s="386"/>
      <c r="AB79" s="392"/>
      <c r="AC79" s="28"/>
      <c r="AD79" s="28"/>
      <c r="AE79" s="28"/>
      <c r="AF79" s="28"/>
      <c r="AG79" s="28"/>
      <c r="AH79" s="28"/>
      <c r="AI79" s="28"/>
      <c r="AJ79" s="28"/>
    </row>
    <row r="80" spans="1:36" x14ac:dyDescent="0.25">
      <c r="A80" s="298" t="str">
        <f>IF('Kwaliteit conversie'!$D$4='Prijs karton'!C80,"X"," ")</f>
        <v xml:space="preserve"> </v>
      </c>
      <c r="B80" s="331"/>
      <c r="C80" s="359"/>
      <c r="D80" s="366"/>
      <c r="E80" s="321"/>
      <c r="F80" s="925"/>
      <c r="G80" s="315"/>
      <c r="H80" s="315"/>
      <c r="I80" s="315"/>
      <c r="J80" s="315"/>
      <c r="K80" s="513"/>
      <c r="L80" s="926"/>
      <c r="M80" s="331"/>
      <c r="N80" s="366"/>
      <c r="O80" s="323"/>
      <c r="P80" s="386"/>
      <c r="Q80" s="323"/>
      <c r="R80" s="366"/>
      <c r="S80" s="378"/>
      <c r="T80" s="324"/>
      <c r="U80" s="386"/>
      <c r="V80" s="386"/>
      <c r="W80" s="386"/>
      <c r="X80" s="386"/>
      <c r="Y80" s="386"/>
      <c r="Z80" s="386"/>
      <c r="AA80" s="386"/>
      <c r="AB80" s="392"/>
      <c r="AC80" s="28"/>
      <c r="AD80" s="28"/>
      <c r="AE80" s="28"/>
      <c r="AF80" s="28"/>
      <c r="AG80" s="28"/>
      <c r="AH80" s="28"/>
      <c r="AI80" s="28"/>
      <c r="AJ80" s="28"/>
    </row>
    <row r="81" spans="1:36" x14ac:dyDescent="0.25">
      <c r="A81" s="932" t="str">
        <f>IF('Kwaliteit conversie'!$D$4='Prijs karton'!C81,"X"," ")</f>
        <v xml:space="preserve"> </v>
      </c>
      <c r="B81" s="331" t="s">
        <v>36</v>
      </c>
      <c r="C81" s="359" t="s">
        <v>316</v>
      </c>
      <c r="D81" s="366">
        <v>0.56000000000000005</v>
      </c>
      <c r="E81" s="321">
        <v>5.6</v>
      </c>
      <c r="F81" s="925">
        <v>0</v>
      </c>
      <c r="G81" s="315">
        <v>57.7</v>
      </c>
      <c r="H81" s="315">
        <v>54.7</v>
      </c>
      <c r="I81" s="315">
        <v>54.2</v>
      </c>
      <c r="J81" s="315">
        <v>54.2</v>
      </c>
      <c r="K81" s="513">
        <v>53.7</v>
      </c>
      <c r="L81" s="926" t="s">
        <v>317</v>
      </c>
      <c r="M81" s="331" t="s">
        <v>318</v>
      </c>
      <c r="N81" s="366" t="s">
        <v>255</v>
      </c>
      <c r="O81" s="323" t="s">
        <v>244</v>
      </c>
      <c r="P81" s="386" t="s">
        <v>244</v>
      </c>
      <c r="Q81" s="323" t="s">
        <v>239</v>
      </c>
      <c r="R81" s="366" t="s">
        <v>239</v>
      </c>
      <c r="S81" s="378" t="s">
        <v>243</v>
      </c>
      <c r="T81" s="324" t="s">
        <v>245</v>
      </c>
      <c r="U81" s="386">
        <v>250</v>
      </c>
      <c r="V81" s="386">
        <v>2450</v>
      </c>
      <c r="W81" s="386">
        <v>500</v>
      </c>
      <c r="X81" s="386">
        <v>6200</v>
      </c>
      <c r="Y81" s="386">
        <v>180</v>
      </c>
      <c r="Z81" s="386">
        <v>90</v>
      </c>
      <c r="AA81" s="386">
        <v>200</v>
      </c>
      <c r="AB81" s="392">
        <v>6.6</v>
      </c>
      <c r="AC81" s="28">
        <v>0</v>
      </c>
      <c r="AD81" s="28">
        <v>1</v>
      </c>
      <c r="AE81" s="28">
        <v>1</v>
      </c>
      <c r="AF81" s="28">
        <v>1</v>
      </c>
      <c r="AG81" s="28">
        <v>1</v>
      </c>
      <c r="AH81" s="28">
        <v>1</v>
      </c>
      <c r="AI81" s="28">
        <v>1</v>
      </c>
      <c r="AJ81" s="28">
        <v>1</v>
      </c>
    </row>
    <row r="82" spans="1:36" x14ac:dyDescent="0.25">
      <c r="A82" s="298" t="str">
        <f>IF('Kwaliteit conversie'!$D$4='Prijs karton'!C82,"X"," ")</f>
        <v xml:space="preserve"> </v>
      </c>
      <c r="B82" s="331" t="s">
        <v>36</v>
      </c>
      <c r="C82" s="359" t="s">
        <v>319</v>
      </c>
      <c r="D82" s="366">
        <v>0.54</v>
      </c>
      <c r="E82" s="321">
        <v>5.6</v>
      </c>
      <c r="F82" s="925">
        <v>0</v>
      </c>
      <c r="G82" s="315">
        <v>45.5</v>
      </c>
      <c r="H82" s="315">
        <v>42.5</v>
      </c>
      <c r="I82" s="315">
        <v>42</v>
      </c>
      <c r="J82" s="315">
        <v>42</v>
      </c>
      <c r="K82" s="513">
        <v>41.5</v>
      </c>
      <c r="L82" s="926" t="s">
        <v>320</v>
      </c>
      <c r="M82" s="331" t="s">
        <v>249</v>
      </c>
      <c r="N82" s="366" t="s">
        <v>255</v>
      </c>
      <c r="O82" s="323" t="s">
        <v>244</v>
      </c>
      <c r="P82" s="386" t="s">
        <v>244</v>
      </c>
      <c r="Q82" s="323" t="s">
        <v>239</v>
      </c>
      <c r="R82" s="366" t="s">
        <v>239</v>
      </c>
      <c r="S82" s="378" t="s">
        <v>243</v>
      </c>
      <c r="T82" s="324" t="s">
        <v>245</v>
      </c>
      <c r="U82" s="386">
        <v>250</v>
      </c>
      <c r="V82" s="386">
        <v>2450</v>
      </c>
      <c r="W82" s="386">
        <v>500</v>
      </c>
      <c r="X82" s="386">
        <v>6200</v>
      </c>
      <c r="Y82" s="386">
        <v>180</v>
      </c>
      <c r="Z82" s="386">
        <v>90</v>
      </c>
      <c r="AA82" s="386">
        <v>200</v>
      </c>
      <c r="AB82" s="392">
        <v>6</v>
      </c>
      <c r="AC82" s="28">
        <v>10</v>
      </c>
      <c r="AD82" s="28">
        <v>1</v>
      </c>
      <c r="AE82" s="28">
        <v>1</v>
      </c>
      <c r="AF82" s="28">
        <v>1</v>
      </c>
      <c r="AG82" s="28">
        <v>1</v>
      </c>
      <c r="AH82" s="28">
        <v>1</v>
      </c>
      <c r="AI82" s="28">
        <v>1</v>
      </c>
      <c r="AJ82" s="28">
        <v>1</v>
      </c>
    </row>
    <row r="83" spans="1:36" x14ac:dyDescent="0.25">
      <c r="A83" s="298" t="str">
        <f>IF('Kwaliteit conversie'!$D$4='Prijs karton'!C83,"X"," ")</f>
        <v xml:space="preserve"> </v>
      </c>
      <c r="B83" s="331" t="s">
        <v>36</v>
      </c>
      <c r="C83" s="359" t="s">
        <v>321</v>
      </c>
      <c r="D83" s="366">
        <v>0.61799999999999999</v>
      </c>
      <c r="E83" s="321">
        <v>6.62</v>
      </c>
      <c r="F83" s="925">
        <v>0</v>
      </c>
      <c r="G83" s="315">
        <v>64.7</v>
      </c>
      <c r="H83" s="315">
        <v>61.7</v>
      </c>
      <c r="I83" s="315">
        <v>61.7</v>
      </c>
      <c r="J83" s="315">
        <v>59.7</v>
      </c>
      <c r="K83" s="513">
        <v>59.7</v>
      </c>
      <c r="L83" s="926" t="s">
        <v>322</v>
      </c>
      <c r="M83" s="331" t="s">
        <v>260</v>
      </c>
      <c r="N83" s="366" t="s">
        <v>323</v>
      </c>
      <c r="O83" s="323" t="s">
        <v>324</v>
      </c>
      <c r="P83" s="386" t="s">
        <v>323</v>
      </c>
      <c r="Q83" s="323" t="s">
        <v>239</v>
      </c>
      <c r="R83" s="366" t="s">
        <v>239</v>
      </c>
      <c r="S83" s="378" t="s">
        <v>260</v>
      </c>
      <c r="T83" s="324" t="s">
        <v>240</v>
      </c>
      <c r="U83" s="386">
        <v>240</v>
      </c>
      <c r="V83" s="386">
        <v>2450</v>
      </c>
      <c r="W83" s="386">
        <v>500</v>
      </c>
      <c r="X83" s="386">
        <v>6000</v>
      </c>
      <c r="Y83" s="386">
        <v>60</v>
      </c>
      <c r="Z83" s="386">
        <v>60</v>
      </c>
      <c r="AA83" s="386">
        <v>200</v>
      </c>
      <c r="AB83" s="392">
        <v>7.54</v>
      </c>
      <c r="AC83" s="28"/>
      <c r="AD83" s="28">
        <v>1</v>
      </c>
      <c r="AE83" s="28">
        <v>1</v>
      </c>
      <c r="AF83" s="28">
        <v>1</v>
      </c>
      <c r="AG83" s="28">
        <v>1</v>
      </c>
      <c r="AH83" s="28">
        <v>1</v>
      </c>
      <c r="AI83" s="28">
        <v>1</v>
      </c>
      <c r="AJ83" s="28">
        <v>1</v>
      </c>
    </row>
    <row r="84" spans="1:36" x14ac:dyDescent="0.25">
      <c r="A84" s="298" t="str">
        <f>IF('Kwaliteit conversie'!$D$4='Prijs karton'!C84,"X"," ")</f>
        <v xml:space="preserve"> </v>
      </c>
      <c r="B84" s="331" t="s">
        <v>36</v>
      </c>
      <c r="C84" s="359" t="s">
        <v>325</v>
      </c>
      <c r="D84" s="366">
        <v>0.62</v>
      </c>
      <c r="E84" s="321">
        <v>5.6</v>
      </c>
      <c r="F84" s="925">
        <v>0</v>
      </c>
      <c r="G84" s="315">
        <v>53.9</v>
      </c>
      <c r="H84" s="315">
        <v>50.9</v>
      </c>
      <c r="I84" s="315">
        <v>50.4</v>
      </c>
      <c r="J84" s="315">
        <v>50.4</v>
      </c>
      <c r="K84" s="513">
        <v>49.9</v>
      </c>
      <c r="L84" s="926" t="s">
        <v>326</v>
      </c>
      <c r="M84" s="331" t="s">
        <v>257</v>
      </c>
      <c r="N84" s="366" t="s">
        <v>255</v>
      </c>
      <c r="O84" s="323" t="s">
        <v>244</v>
      </c>
      <c r="P84" s="386" t="s">
        <v>285</v>
      </c>
      <c r="Q84" s="323" t="s">
        <v>239</v>
      </c>
      <c r="R84" s="366" t="s">
        <v>239</v>
      </c>
      <c r="S84" s="378" t="s">
        <v>249</v>
      </c>
      <c r="T84" s="324" t="s">
        <v>245</v>
      </c>
      <c r="U84" s="386">
        <v>250</v>
      </c>
      <c r="V84" s="386">
        <v>2450</v>
      </c>
      <c r="W84" s="386">
        <v>500</v>
      </c>
      <c r="X84" s="386">
        <v>6200</v>
      </c>
      <c r="Y84" s="386">
        <v>180</v>
      </c>
      <c r="Z84" s="386">
        <v>90</v>
      </c>
      <c r="AA84" s="386">
        <v>200</v>
      </c>
      <c r="AB84" s="392">
        <v>7.2</v>
      </c>
      <c r="AC84" s="28">
        <v>0</v>
      </c>
      <c r="AD84" s="28">
        <v>1</v>
      </c>
      <c r="AE84" s="28">
        <v>1</v>
      </c>
      <c r="AF84" s="28">
        <v>1</v>
      </c>
      <c r="AG84" s="28">
        <v>1</v>
      </c>
      <c r="AH84" s="28">
        <v>1</v>
      </c>
      <c r="AI84" s="28">
        <v>1</v>
      </c>
      <c r="AJ84" s="28">
        <v>1</v>
      </c>
    </row>
    <row r="85" spans="1:36" x14ac:dyDescent="0.25">
      <c r="A85" s="298" t="str">
        <f>IF('Kwaliteit conversie'!$D$4='Prijs karton'!C85,"X"," ")</f>
        <v xml:space="preserve"> </v>
      </c>
      <c r="B85" s="331" t="s">
        <v>36</v>
      </c>
      <c r="C85" s="359" t="s">
        <v>327</v>
      </c>
      <c r="D85" s="366">
        <v>0.58499999999999996</v>
      </c>
      <c r="E85" s="321">
        <v>5.6</v>
      </c>
      <c r="F85" s="925">
        <v>0</v>
      </c>
      <c r="G85" s="315">
        <v>47.4</v>
      </c>
      <c r="H85" s="315">
        <v>44.4</v>
      </c>
      <c r="I85" s="315">
        <v>43.9</v>
      </c>
      <c r="J85" s="315">
        <v>43.9</v>
      </c>
      <c r="K85" s="513">
        <v>43.4</v>
      </c>
      <c r="L85" s="926" t="s">
        <v>328</v>
      </c>
      <c r="M85" s="331" t="s">
        <v>257</v>
      </c>
      <c r="N85" s="366" t="s">
        <v>255</v>
      </c>
      <c r="O85" s="323" t="s">
        <v>244</v>
      </c>
      <c r="P85" s="386" t="s">
        <v>244</v>
      </c>
      <c r="Q85" s="323" t="s">
        <v>239</v>
      </c>
      <c r="R85" s="366" t="s">
        <v>239</v>
      </c>
      <c r="S85" s="378" t="s">
        <v>249</v>
      </c>
      <c r="T85" s="324" t="s">
        <v>245</v>
      </c>
      <c r="U85" s="386">
        <v>250</v>
      </c>
      <c r="V85" s="386">
        <v>2450</v>
      </c>
      <c r="W85" s="386">
        <v>500</v>
      </c>
      <c r="X85" s="386">
        <v>6200</v>
      </c>
      <c r="Y85" s="386">
        <v>180</v>
      </c>
      <c r="Z85" s="386">
        <v>90</v>
      </c>
      <c r="AA85" s="386">
        <v>200</v>
      </c>
      <c r="AB85" s="392">
        <v>6.6</v>
      </c>
      <c r="AC85" s="28">
        <v>0</v>
      </c>
      <c r="AD85" s="28">
        <v>1</v>
      </c>
      <c r="AE85" s="28">
        <v>1</v>
      </c>
      <c r="AF85" s="28">
        <v>1</v>
      </c>
      <c r="AG85" s="28">
        <v>1</v>
      </c>
      <c r="AH85" s="28">
        <v>1</v>
      </c>
      <c r="AI85" s="28">
        <v>1</v>
      </c>
      <c r="AJ85" s="28">
        <v>1</v>
      </c>
    </row>
    <row r="86" spans="1:36" x14ac:dyDescent="0.25">
      <c r="A86" s="298" t="str">
        <f>IF('Kwaliteit conversie'!$D$4='Prijs karton'!C86,"X"," ")</f>
        <v xml:space="preserve"> </v>
      </c>
      <c r="B86" s="331" t="s">
        <v>36</v>
      </c>
      <c r="C86" s="359" t="s">
        <v>329</v>
      </c>
      <c r="D86" s="366">
        <v>0.56999999999999995</v>
      </c>
      <c r="E86" s="321">
        <v>5.6</v>
      </c>
      <c r="F86" s="925">
        <v>0</v>
      </c>
      <c r="G86" s="315">
        <v>52.6</v>
      </c>
      <c r="H86" s="315">
        <v>49.6</v>
      </c>
      <c r="I86" s="315">
        <v>49.1</v>
      </c>
      <c r="J86" s="315">
        <v>49.1</v>
      </c>
      <c r="K86" s="513">
        <v>48.6</v>
      </c>
      <c r="L86" s="926" t="s">
        <v>330</v>
      </c>
      <c r="M86" s="331" t="s">
        <v>331</v>
      </c>
      <c r="N86" s="366" t="s">
        <v>255</v>
      </c>
      <c r="O86" s="323" t="s">
        <v>244</v>
      </c>
      <c r="P86" s="386" t="s">
        <v>244</v>
      </c>
      <c r="Q86" s="323" t="s">
        <v>239</v>
      </c>
      <c r="R86" s="366" t="s">
        <v>239</v>
      </c>
      <c r="S86" s="378" t="s">
        <v>249</v>
      </c>
      <c r="T86" s="324" t="s">
        <v>245</v>
      </c>
      <c r="U86" s="386">
        <v>250</v>
      </c>
      <c r="V86" s="386">
        <v>2450</v>
      </c>
      <c r="W86" s="386">
        <v>500</v>
      </c>
      <c r="X86" s="386">
        <v>6200</v>
      </c>
      <c r="Y86" s="386">
        <v>180</v>
      </c>
      <c r="Z86" s="386">
        <v>90</v>
      </c>
      <c r="AA86" s="386">
        <v>200</v>
      </c>
      <c r="AB86" s="392">
        <v>6.8</v>
      </c>
      <c r="AC86" s="28">
        <v>0</v>
      </c>
      <c r="AD86" s="28">
        <v>1</v>
      </c>
      <c r="AE86" s="28">
        <v>1</v>
      </c>
      <c r="AF86" s="28">
        <v>1</v>
      </c>
      <c r="AG86" s="28">
        <v>1</v>
      </c>
      <c r="AH86" s="28">
        <v>1</v>
      </c>
      <c r="AI86" s="28">
        <v>1</v>
      </c>
      <c r="AJ86" s="28">
        <v>1</v>
      </c>
    </row>
    <row r="87" spans="1:36" x14ac:dyDescent="0.25">
      <c r="A87" s="298" t="str">
        <f>IF('Kwaliteit conversie'!$D$4='Prijs karton'!C87,"X"," ")</f>
        <v xml:space="preserve"> </v>
      </c>
      <c r="B87" s="331" t="s">
        <v>36</v>
      </c>
      <c r="C87" s="359" t="s">
        <v>332</v>
      </c>
      <c r="D87" s="366">
        <v>0.56000000000000005</v>
      </c>
      <c r="E87" s="321">
        <v>5.6</v>
      </c>
      <c r="F87" s="925">
        <v>0</v>
      </c>
      <c r="G87" s="315">
        <v>59.4</v>
      </c>
      <c r="H87" s="315">
        <v>56.4</v>
      </c>
      <c r="I87" s="315">
        <v>55.9</v>
      </c>
      <c r="J87" s="315">
        <v>55.9</v>
      </c>
      <c r="K87" s="513">
        <v>55.4</v>
      </c>
      <c r="L87" s="926" t="s">
        <v>333</v>
      </c>
      <c r="M87" s="331" t="s">
        <v>289</v>
      </c>
      <c r="N87" s="366" t="s">
        <v>255</v>
      </c>
      <c r="O87" s="323" t="s">
        <v>244</v>
      </c>
      <c r="P87" s="386" t="s">
        <v>244</v>
      </c>
      <c r="Q87" s="323" t="s">
        <v>239</v>
      </c>
      <c r="R87" s="366" t="s">
        <v>239</v>
      </c>
      <c r="S87" s="378" t="s">
        <v>243</v>
      </c>
      <c r="T87" s="324" t="s">
        <v>245</v>
      </c>
      <c r="U87" s="386">
        <v>250</v>
      </c>
      <c r="V87" s="386">
        <v>2450</v>
      </c>
      <c r="W87" s="386">
        <v>500</v>
      </c>
      <c r="X87" s="386">
        <v>6200</v>
      </c>
      <c r="Y87" s="386">
        <v>180</v>
      </c>
      <c r="Z87" s="386">
        <v>90</v>
      </c>
      <c r="AA87" s="386">
        <v>200</v>
      </c>
      <c r="AB87" s="392">
        <v>6.5</v>
      </c>
      <c r="AC87" s="28">
        <v>0</v>
      </c>
      <c r="AD87" s="28">
        <v>1</v>
      </c>
      <c r="AE87" s="28">
        <v>1</v>
      </c>
      <c r="AF87" s="28">
        <v>1</v>
      </c>
      <c r="AG87" s="28">
        <v>1</v>
      </c>
      <c r="AH87" s="28">
        <v>1</v>
      </c>
      <c r="AI87" s="28">
        <v>1</v>
      </c>
      <c r="AJ87" s="28">
        <v>1</v>
      </c>
    </row>
    <row r="88" spans="1:36" x14ac:dyDescent="0.25">
      <c r="A88" s="298" t="str">
        <f>IF('Kwaliteit conversie'!$D$4='Prijs karton'!C88,"X"," ")</f>
        <v xml:space="preserve"> </v>
      </c>
      <c r="B88" s="331" t="s">
        <v>36</v>
      </c>
      <c r="C88" s="359" t="s">
        <v>334</v>
      </c>
      <c r="D88" s="366">
        <v>0.60399999999999998</v>
      </c>
      <c r="E88" s="321">
        <v>6.58</v>
      </c>
      <c r="F88" s="925">
        <v>0</v>
      </c>
      <c r="G88" s="315" t="s">
        <v>315</v>
      </c>
      <c r="H88" s="315">
        <v>69.099999999999994</v>
      </c>
      <c r="I88" s="315">
        <v>69.099999999999994</v>
      </c>
      <c r="J88" s="315">
        <v>68.099999999999994</v>
      </c>
      <c r="K88" s="513">
        <v>67.599999999999994</v>
      </c>
      <c r="L88" s="926" t="s">
        <v>335</v>
      </c>
      <c r="M88" s="331" t="s">
        <v>289</v>
      </c>
      <c r="N88" s="366" t="s">
        <v>238</v>
      </c>
      <c r="O88" s="323" t="s">
        <v>255</v>
      </c>
      <c r="P88" s="386" t="s">
        <v>238</v>
      </c>
      <c r="Q88" s="323" t="s">
        <v>239</v>
      </c>
      <c r="R88" s="366" t="s">
        <v>239</v>
      </c>
      <c r="S88" s="378" t="s">
        <v>260</v>
      </c>
      <c r="T88" s="324" t="s">
        <v>240</v>
      </c>
      <c r="U88" s="386">
        <v>240</v>
      </c>
      <c r="V88" s="386">
        <v>2450</v>
      </c>
      <c r="W88" s="386">
        <v>500</v>
      </c>
      <c r="X88" s="386">
        <v>6000</v>
      </c>
      <c r="Y88" s="386">
        <v>60</v>
      </c>
      <c r="Z88" s="386">
        <v>60</v>
      </c>
      <c r="AA88" s="386">
        <v>500</v>
      </c>
      <c r="AB88" s="392">
        <v>7.51</v>
      </c>
      <c r="AC88" s="28"/>
      <c r="AD88" s="28">
        <v>1</v>
      </c>
      <c r="AE88" s="28">
        <v>1</v>
      </c>
      <c r="AF88" s="28">
        <v>1</v>
      </c>
      <c r="AG88" s="28">
        <v>1</v>
      </c>
      <c r="AH88" s="28">
        <v>1</v>
      </c>
      <c r="AI88" s="28">
        <v>1</v>
      </c>
      <c r="AJ88" s="28">
        <v>1</v>
      </c>
    </row>
    <row r="89" spans="1:36" x14ac:dyDescent="0.25">
      <c r="A89" s="298" t="str">
        <f>IF('Kwaliteit conversie'!$D$4='Prijs karton'!C89,"X"," ")</f>
        <v xml:space="preserve"> </v>
      </c>
      <c r="B89" s="331" t="s">
        <v>36</v>
      </c>
      <c r="C89" s="359" t="s">
        <v>336</v>
      </c>
      <c r="D89" s="366">
        <v>0.64500000000000002</v>
      </c>
      <c r="E89" s="321">
        <v>5.6</v>
      </c>
      <c r="F89" s="925">
        <v>0</v>
      </c>
      <c r="G89" s="315">
        <v>56.4</v>
      </c>
      <c r="H89" s="315">
        <v>53.4</v>
      </c>
      <c r="I89" s="315">
        <v>52.9</v>
      </c>
      <c r="J89" s="315">
        <v>52.9</v>
      </c>
      <c r="K89" s="513">
        <v>52.4</v>
      </c>
      <c r="L89" s="926" t="s">
        <v>337</v>
      </c>
      <c r="M89" s="331" t="s">
        <v>274</v>
      </c>
      <c r="N89" s="366" t="s">
        <v>255</v>
      </c>
      <c r="O89" s="323" t="s">
        <v>244</v>
      </c>
      <c r="P89" s="386" t="s">
        <v>285</v>
      </c>
      <c r="Q89" s="323" t="s">
        <v>239</v>
      </c>
      <c r="R89" s="366" t="s">
        <v>239</v>
      </c>
      <c r="S89" s="378" t="s">
        <v>257</v>
      </c>
      <c r="T89" s="324" t="s">
        <v>245</v>
      </c>
      <c r="U89" s="386">
        <v>250</v>
      </c>
      <c r="V89" s="386">
        <v>2450</v>
      </c>
      <c r="W89" s="386">
        <v>500</v>
      </c>
      <c r="X89" s="386">
        <v>6200</v>
      </c>
      <c r="Y89" s="386">
        <v>180</v>
      </c>
      <c r="Z89" s="386">
        <v>90</v>
      </c>
      <c r="AA89" s="386">
        <v>200</v>
      </c>
      <c r="AB89" s="392">
        <v>8.1</v>
      </c>
      <c r="AC89" s="28">
        <v>10</v>
      </c>
      <c r="AD89" s="28">
        <v>1</v>
      </c>
      <c r="AE89" s="28">
        <v>1</v>
      </c>
      <c r="AF89" s="28">
        <v>1</v>
      </c>
      <c r="AG89" s="28">
        <v>1</v>
      </c>
      <c r="AH89" s="28">
        <v>1</v>
      </c>
      <c r="AI89" s="28">
        <v>1</v>
      </c>
      <c r="AJ89" s="28">
        <v>1</v>
      </c>
    </row>
    <row r="90" spans="1:36" x14ac:dyDescent="0.25">
      <c r="A90" s="298" t="str">
        <f>IF('Kwaliteit conversie'!$D$4='Prijs karton'!C90,"X"," ")</f>
        <v xml:space="preserve"> </v>
      </c>
      <c r="B90" s="331" t="s">
        <v>36</v>
      </c>
      <c r="C90" s="359" t="s">
        <v>338</v>
      </c>
      <c r="D90" s="366">
        <v>0.58899999999999997</v>
      </c>
      <c r="E90" s="321">
        <v>6.59</v>
      </c>
      <c r="F90" s="925">
        <v>0</v>
      </c>
      <c r="G90" s="315">
        <v>67.2</v>
      </c>
      <c r="H90" s="315">
        <v>64.2</v>
      </c>
      <c r="I90" s="315">
        <v>64.2</v>
      </c>
      <c r="J90" s="315">
        <v>63.7</v>
      </c>
      <c r="K90" s="513">
        <v>63.2</v>
      </c>
      <c r="L90" s="926" t="s">
        <v>339</v>
      </c>
      <c r="M90" s="331" t="s">
        <v>340</v>
      </c>
      <c r="N90" s="366" t="s">
        <v>238</v>
      </c>
      <c r="O90" s="323" t="s">
        <v>255</v>
      </c>
      <c r="P90" s="386" t="s">
        <v>238</v>
      </c>
      <c r="Q90" s="323" t="s">
        <v>239</v>
      </c>
      <c r="R90" s="366" t="s">
        <v>239</v>
      </c>
      <c r="S90" s="378" t="s">
        <v>260</v>
      </c>
      <c r="T90" s="324" t="s">
        <v>240</v>
      </c>
      <c r="U90" s="386">
        <v>240</v>
      </c>
      <c r="V90" s="386">
        <v>2450</v>
      </c>
      <c r="W90" s="386">
        <v>500</v>
      </c>
      <c r="X90" s="386">
        <v>6000</v>
      </c>
      <c r="Y90" s="386">
        <v>60</v>
      </c>
      <c r="Z90" s="386">
        <v>60</v>
      </c>
      <c r="AA90" s="386">
        <v>200</v>
      </c>
      <c r="AB90" s="392">
        <v>7.35</v>
      </c>
      <c r="AC90" s="28">
        <v>0</v>
      </c>
      <c r="AD90" s="28">
        <v>1</v>
      </c>
      <c r="AE90" s="28">
        <v>1</v>
      </c>
      <c r="AF90" s="28">
        <v>1</v>
      </c>
      <c r="AG90" s="28">
        <v>1</v>
      </c>
      <c r="AH90" s="28">
        <v>1</v>
      </c>
      <c r="AI90" s="28">
        <v>1</v>
      </c>
      <c r="AJ90" s="28">
        <v>1</v>
      </c>
    </row>
    <row r="91" spans="1:36" x14ac:dyDescent="0.25">
      <c r="A91" s="298" t="str">
        <f>IF('Kwaliteit conversie'!$D$4='Prijs karton'!C91,"X"," ")</f>
        <v xml:space="preserve"> </v>
      </c>
      <c r="B91" s="331" t="s">
        <v>36</v>
      </c>
      <c r="C91" s="359"/>
      <c r="D91" s="366"/>
      <c r="E91" s="321"/>
      <c r="F91" s="925"/>
      <c r="G91" s="315"/>
      <c r="H91" s="315"/>
      <c r="I91" s="315"/>
      <c r="J91" s="315"/>
      <c r="K91" s="513"/>
      <c r="L91" s="926"/>
      <c r="M91" s="331"/>
      <c r="N91" s="366"/>
      <c r="O91" s="323"/>
      <c r="P91" s="386"/>
      <c r="Q91" s="323"/>
      <c r="R91" s="366"/>
      <c r="S91" s="378"/>
      <c r="T91" s="324"/>
      <c r="U91" s="386"/>
      <c r="V91" s="386"/>
      <c r="W91" s="386"/>
      <c r="X91" s="386"/>
      <c r="Y91" s="386"/>
      <c r="Z91" s="386"/>
      <c r="AA91" s="386"/>
      <c r="AB91" s="392"/>
      <c r="AC91" s="28">
        <v>0</v>
      </c>
      <c r="AD91" s="28"/>
      <c r="AE91" s="28"/>
      <c r="AF91" s="28"/>
      <c r="AG91" s="28"/>
      <c r="AH91" s="28"/>
      <c r="AI91" s="28"/>
      <c r="AJ91" s="28"/>
    </row>
    <row r="92" spans="1:36" x14ac:dyDescent="0.25">
      <c r="A92" s="298" t="str">
        <f>IF('Kwaliteit conversie'!$D$4='Prijs karton'!C92,"X"," ")</f>
        <v xml:space="preserve"> </v>
      </c>
      <c r="B92" s="331" t="s">
        <v>36</v>
      </c>
      <c r="C92" s="359" t="s">
        <v>341</v>
      </c>
      <c r="D92" s="366">
        <v>0.61399999999999999</v>
      </c>
      <c r="E92" s="321">
        <v>6.62</v>
      </c>
      <c r="F92" s="925">
        <v>0</v>
      </c>
      <c r="G92" s="315">
        <v>72.2</v>
      </c>
      <c r="H92" s="315">
        <v>69.2</v>
      </c>
      <c r="I92" s="315">
        <v>69.2</v>
      </c>
      <c r="J92" s="315">
        <v>67.2</v>
      </c>
      <c r="K92" s="513">
        <v>67.2</v>
      </c>
      <c r="L92" s="926" t="s">
        <v>342</v>
      </c>
      <c r="M92" s="331" t="s">
        <v>277</v>
      </c>
      <c r="N92" s="366" t="s">
        <v>238</v>
      </c>
      <c r="O92" s="323" t="s">
        <v>255</v>
      </c>
      <c r="P92" s="386" t="s">
        <v>238</v>
      </c>
      <c r="Q92" s="323" t="s">
        <v>239</v>
      </c>
      <c r="R92" s="366" t="s">
        <v>239</v>
      </c>
      <c r="S92" s="378" t="s">
        <v>260</v>
      </c>
      <c r="T92" s="324" t="s">
        <v>240</v>
      </c>
      <c r="U92" s="386">
        <v>240</v>
      </c>
      <c r="V92" s="386">
        <v>2450</v>
      </c>
      <c r="W92" s="386">
        <v>500</v>
      </c>
      <c r="X92" s="386">
        <v>6000</v>
      </c>
      <c r="Y92" s="386">
        <v>60</v>
      </c>
      <c r="Z92" s="386">
        <v>60</v>
      </c>
      <c r="AA92" s="386">
        <v>200</v>
      </c>
      <c r="AB92" s="392">
        <v>7.7</v>
      </c>
      <c r="AC92" s="28">
        <v>0</v>
      </c>
      <c r="AD92" s="28">
        <v>1</v>
      </c>
      <c r="AE92" s="28">
        <v>1</v>
      </c>
      <c r="AF92" s="28">
        <v>1</v>
      </c>
      <c r="AG92" s="28">
        <v>1</v>
      </c>
      <c r="AH92" s="28">
        <v>1</v>
      </c>
      <c r="AI92" s="28">
        <v>1</v>
      </c>
      <c r="AJ92" s="28">
        <v>1</v>
      </c>
    </row>
    <row r="93" spans="1:36" x14ac:dyDescent="0.25">
      <c r="A93" s="298" t="str">
        <f>IF('Kwaliteit conversie'!$D$4='Prijs karton'!C93,"X"," ")</f>
        <v xml:space="preserve"> </v>
      </c>
      <c r="B93" s="331" t="s">
        <v>36</v>
      </c>
      <c r="C93" s="359" t="s">
        <v>343</v>
      </c>
      <c r="D93" s="366">
        <v>0.66500000000000004</v>
      </c>
      <c r="E93" s="321">
        <v>5.7</v>
      </c>
      <c r="F93" s="925">
        <v>0</v>
      </c>
      <c r="G93" s="315">
        <v>63.4</v>
      </c>
      <c r="H93" s="315">
        <v>60.4</v>
      </c>
      <c r="I93" s="315">
        <v>59.9</v>
      </c>
      <c r="J93" s="315">
        <v>59.9</v>
      </c>
      <c r="K93" s="513">
        <v>59.4</v>
      </c>
      <c r="L93" s="926" t="s">
        <v>344</v>
      </c>
      <c r="M93" s="331" t="s">
        <v>277</v>
      </c>
      <c r="N93" s="366" t="s">
        <v>255</v>
      </c>
      <c r="O93" s="323" t="s">
        <v>244</v>
      </c>
      <c r="P93" s="386" t="s">
        <v>265</v>
      </c>
      <c r="Q93" s="323" t="s">
        <v>239</v>
      </c>
      <c r="R93" s="366" t="s">
        <v>239</v>
      </c>
      <c r="S93" s="378" t="s">
        <v>257</v>
      </c>
      <c r="T93" s="324" t="s">
        <v>245</v>
      </c>
      <c r="U93" s="386">
        <v>250</v>
      </c>
      <c r="V93" s="386">
        <v>2450</v>
      </c>
      <c r="W93" s="386">
        <v>500</v>
      </c>
      <c r="X93" s="386">
        <v>6200</v>
      </c>
      <c r="Y93" s="386">
        <v>180</v>
      </c>
      <c r="Z93" s="386">
        <v>90</v>
      </c>
      <c r="AA93" s="386">
        <v>200</v>
      </c>
      <c r="AB93" s="392">
        <v>8.1</v>
      </c>
      <c r="AC93" s="28">
        <v>0</v>
      </c>
      <c r="AD93" s="28">
        <v>1</v>
      </c>
      <c r="AE93" s="28">
        <v>1</v>
      </c>
      <c r="AF93" s="28">
        <v>1</v>
      </c>
      <c r="AG93" s="28">
        <v>1</v>
      </c>
      <c r="AH93" s="28">
        <v>1</v>
      </c>
      <c r="AI93" s="28">
        <v>1</v>
      </c>
      <c r="AJ93" s="28">
        <v>1</v>
      </c>
    </row>
    <row r="94" spans="1:36" x14ac:dyDescent="0.25">
      <c r="A94" s="298" t="str">
        <f>IF('Kwaliteit conversie'!$D$4='Prijs karton'!C94,"X"," ")</f>
        <v xml:space="preserve"> </v>
      </c>
      <c r="B94" s="331" t="s">
        <v>36</v>
      </c>
      <c r="C94" s="359" t="s">
        <v>345</v>
      </c>
      <c r="D94" s="366">
        <v>0.69899999999999995</v>
      </c>
      <c r="E94" s="321">
        <v>6.75</v>
      </c>
      <c r="F94" s="925">
        <v>0</v>
      </c>
      <c r="G94" s="315">
        <v>77.900000000000006</v>
      </c>
      <c r="H94" s="315">
        <v>74.900000000000006</v>
      </c>
      <c r="I94" s="315">
        <v>74.900000000000006</v>
      </c>
      <c r="J94" s="315">
        <v>72.900000000000006</v>
      </c>
      <c r="K94" s="513">
        <v>72.900000000000006</v>
      </c>
      <c r="L94" s="926" t="s">
        <v>346</v>
      </c>
      <c r="M94" s="331" t="s">
        <v>300</v>
      </c>
      <c r="N94" s="366" t="s">
        <v>238</v>
      </c>
      <c r="O94" s="323" t="s">
        <v>255</v>
      </c>
      <c r="P94" s="386" t="s">
        <v>238</v>
      </c>
      <c r="Q94" s="323" t="s">
        <v>239</v>
      </c>
      <c r="R94" s="366" t="s">
        <v>239</v>
      </c>
      <c r="S94" s="378" t="s">
        <v>301</v>
      </c>
      <c r="T94" s="324" t="s">
        <v>240</v>
      </c>
      <c r="U94" s="386">
        <v>240</v>
      </c>
      <c r="V94" s="386">
        <v>2450</v>
      </c>
      <c r="W94" s="386">
        <v>500</v>
      </c>
      <c r="X94" s="386">
        <v>6000</v>
      </c>
      <c r="Y94" s="386">
        <v>60</v>
      </c>
      <c r="Z94" s="386">
        <v>60</v>
      </c>
      <c r="AA94" s="386">
        <v>200</v>
      </c>
      <c r="AB94" s="392">
        <v>8.49</v>
      </c>
      <c r="AC94" s="28"/>
      <c r="AD94" s="28">
        <v>1</v>
      </c>
      <c r="AE94" s="28">
        <v>1</v>
      </c>
      <c r="AF94" s="28">
        <v>1</v>
      </c>
      <c r="AG94" s="28">
        <v>1</v>
      </c>
      <c r="AH94" s="28">
        <v>1</v>
      </c>
      <c r="AI94" s="28">
        <v>1</v>
      </c>
      <c r="AJ94" s="28">
        <v>1</v>
      </c>
    </row>
    <row r="95" spans="1:36" x14ac:dyDescent="0.25">
      <c r="A95" s="298" t="str">
        <f>IF('Kwaliteit conversie'!$D$4='Prijs karton'!C95,"X"," ")</f>
        <v xml:space="preserve"> </v>
      </c>
      <c r="B95" s="331" t="s">
        <v>36</v>
      </c>
      <c r="C95" s="359" t="s">
        <v>347</v>
      </c>
      <c r="D95" s="366">
        <v>0.68500000000000005</v>
      </c>
      <c r="E95" s="321">
        <v>5.7</v>
      </c>
      <c r="F95" s="925">
        <v>0</v>
      </c>
      <c r="G95" s="315">
        <v>66.7</v>
      </c>
      <c r="H95" s="315">
        <v>63.7</v>
      </c>
      <c r="I95" s="315">
        <v>63.2</v>
      </c>
      <c r="J95" s="315">
        <v>63.2</v>
      </c>
      <c r="K95" s="513">
        <v>62.7</v>
      </c>
      <c r="L95" s="926" t="s">
        <v>348</v>
      </c>
      <c r="M95" s="331" t="s">
        <v>297</v>
      </c>
      <c r="N95" s="366" t="s">
        <v>255</v>
      </c>
      <c r="O95" s="323" t="s">
        <v>244</v>
      </c>
      <c r="P95" s="386" t="s">
        <v>285</v>
      </c>
      <c r="Q95" s="323" t="s">
        <v>239</v>
      </c>
      <c r="R95" s="366" t="s">
        <v>239</v>
      </c>
      <c r="S95" s="378" t="s">
        <v>274</v>
      </c>
      <c r="T95" s="324" t="s">
        <v>245</v>
      </c>
      <c r="U95" s="386">
        <v>250</v>
      </c>
      <c r="V95" s="386">
        <v>2450</v>
      </c>
      <c r="W95" s="386">
        <v>500</v>
      </c>
      <c r="X95" s="386">
        <v>6200</v>
      </c>
      <c r="Y95" s="386">
        <v>180</v>
      </c>
      <c r="Z95" s="386">
        <v>90</v>
      </c>
      <c r="AA95" s="386">
        <v>200</v>
      </c>
      <c r="AB95" s="392">
        <v>9</v>
      </c>
      <c r="AC95" s="28">
        <v>0</v>
      </c>
      <c r="AD95" s="28">
        <v>1</v>
      </c>
      <c r="AE95" s="28">
        <v>1</v>
      </c>
      <c r="AF95" s="28">
        <v>1</v>
      </c>
      <c r="AG95" s="28">
        <v>1</v>
      </c>
      <c r="AH95" s="28">
        <v>1</v>
      </c>
      <c r="AI95" s="28">
        <v>1</v>
      </c>
      <c r="AJ95" s="28">
        <v>1</v>
      </c>
    </row>
    <row r="96" spans="1:36" x14ac:dyDescent="0.25">
      <c r="A96" s="298" t="str">
        <f>IF('Kwaliteit conversie'!$D$4='Prijs karton'!C96,"X"," ")</f>
        <v xml:space="preserve"> </v>
      </c>
      <c r="B96" s="331" t="s">
        <v>36</v>
      </c>
      <c r="C96" s="359"/>
      <c r="D96" s="366"/>
      <c r="E96" s="321"/>
      <c r="F96" s="925"/>
      <c r="G96" s="315"/>
      <c r="H96" s="315"/>
      <c r="I96" s="315"/>
      <c r="J96" s="315"/>
      <c r="K96" s="513"/>
      <c r="L96" s="926"/>
      <c r="M96" s="331"/>
      <c r="N96" s="366"/>
      <c r="O96" s="323"/>
      <c r="P96" s="386"/>
      <c r="Q96" s="323"/>
      <c r="R96" s="366"/>
      <c r="S96" s="378"/>
      <c r="T96" s="324"/>
      <c r="U96" s="386"/>
      <c r="V96" s="386"/>
      <c r="W96" s="386"/>
      <c r="X96" s="386"/>
      <c r="Y96" s="386"/>
      <c r="Z96" s="386"/>
      <c r="AA96" s="386"/>
      <c r="AB96" s="392"/>
      <c r="AC96" s="28"/>
      <c r="AD96" s="28"/>
      <c r="AE96" s="28"/>
      <c r="AF96" s="28"/>
      <c r="AG96" s="28"/>
      <c r="AH96" s="28"/>
      <c r="AI96" s="28"/>
      <c r="AJ96" s="28"/>
    </row>
    <row r="97" spans="1:36" x14ac:dyDescent="0.25">
      <c r="A97" s="298" t="str">
        <f>IF('Kwaliteit conversie'!$D$4='Prijs karton'!C97,"X"," ")</f>
        <v xml:space="preserve"> </v>
      </c>
      <c r="B97" s="331" t="s">
        <v>36</v>
      </c>
      <c r="C97" s="359" t="s">
        <v>349</v>
      </c>
      <c r="D97" s="366">
        <v>0.71</v>
      </c>
      <c r="E97" s="321">
        <v>5.7</v>
      </c>
      <c r="F97" s="925">
        <v>0</v>
      </c>
      <c r="G97" s="315">
        <v>73</v>
      </c>
      <c r="H97" s="315">
        <v>70</v>
      </c>
      <c r="I97" s="315">
        <v>69.5</v>
      </c>
      <c r="J97" s="315">
        <v>69.5</v>
      </c>
      <c r="K97" s="513">
        <v>69</v>
      </c>
      <c r="L97" s="926" t="s">
        <v>350</v>
      </c>
      <c r="M97" s="331" t="s">
        <v>294</v>
      </c>
      <c r="N97" s="366" t="s">
        <v>255</v>
      </c>
      <c r="O97" s="323" t="s">
        <v>244</v>
      </c>
      <c r="P97" s="386" t="s">
        <v>265</v>
      </c>
      <c r="Q97" s="323" t="s">
        <v>239</v>
      </c>
      <c r="R97" s="366" t="s">
        <v>239</v>
      </c>
      <c r="S97" s="378" t="s">
        <v>274</v>
      </c>
      <c r="T97" s="324" t="s">
        <v>245</v>
      </c>
      <c r="U97" s="386">
        <v>250</v>
      </c>
      <c r="V97" s="386">
        <v>2450</v>
      </c>
      <c r="W97" s="386">
        <v>500</v>
      </c>
      <c r="X97" s="386">
        <v>6200</v>
      </c>
      <c r="Y97" s="386">
        <v>180</v>
      </c>
      <c r="Z97" s="386">
        <v>90</v>
      </c>
      <c r="AA97" s="386">
        <v>200</v>
      </c>
      <c r="AB97" s="392">
        <v>9.1</v>
      </c>
      <c r="AC97" s="28">
        <v>0</v>
      </c>
      <c r="AD97" s="28">
        <v>1</v>
      </c>
      <c r="AE97" s="28">
        <v>1</v>
      </c>
      <c r="AF97" s="28">
        <v>1</v>
      </c>
      <c r="AG97" s="28">
        <v>1</v>
      </c>
      <c r="AH97" s="28">
        <v>1</v>
      </c>
      <c r="AI97" s="28">
        <v>1</v>
      </c>
      <c r="AJ97" s="28">
        <v>1</v>
      </c>
    </row>
    <row r="98" spans="1:36" x14ac:dyDescent="0.25">
      <c r="A98" s="298" t="str">
        <f>IF('Kwaliteit conversie'!$D$4='Prijs karton'!C98,"X"," ")</f>
        <v xml:space="preserve"> </v>
      </c>
      <c r="B98" s="331" t="s">
        <v>36</v>
      </c>
      <c r="C98" s="359" t="s">
        <v>602</v>
      </c>
      <c r="D98" s="366">
        <v>0.745</v>
      </c>
      <c r="E98" s="321">
        <v>5.7</v>
      </c>
      <c r="F98" s="925">
        <v>0</v>
      </c>
      <c r="G98" s="315">
        <v>75.599999999999994</v>
      </c>
      <c r="H98" s="315">
        <v>72.599999999999994</v>
      </c>
      <c r="I98" s="315">
        <v>72.099999999999994</v>
      </c>
      <c r="J98" s="315">
        <v>72.099999999999994</v>
      </c>
      <c r="K98" s="513">
        <v>71.599999999999994</v>
      </c>
      <c r="L98" s="926" t="s">
        <v>976</v>
      </c>
      <c r="M98" s="331" t="s">
        <v>297</v>
      </c>
      <c r="N98" s="366" t="s">
        <v>255</v>
      </c>
      <c r="O98" s="323" t="s">
        <v>244</v>
      </c>
      <c r="P98" s="386" t="s">
        <v>265</v>
      </c>
      <c r="Q98" s="323" t="s">
        <v>239</v>
      </c>
      <c r="R98" s="366" t="s">
        <v>239</v>
      </c>
      <c r="S98" s="378" t="s">
        <v>297</v>
      </c>
      <c r="T98" s="324" t="s">
        <v>245</v>
      </c>
      <c r="U98" s="386">
        <v>250</v>
      </c>
      <c r="V98" s="386">
        <v>2450</v>
      </c>
      <c r="W98" s="386">
        <v>500</v>
      </c>
      <c r="X98" s="386">
        <v>6200</v>
      </c>
      <c r="Y98" s="386">
        <v>180</v>
      </c>
      <c r="Z98" s="386">
        <v>90</v>
      </c>
      <c r="AA98" s="386">
        <v>200</v>
      </c>
      <c r="AB98" s="392">
        <v>9.6</v>
      </c>
      <c r="AC98" s="28">
        <v>0</v>
      </c>
      <c r="AD98" s="28">
        <v>1</v>
      </c>
      <c r="AE98" s="28">
        <v>1</v>
      </c>
      <c r="AF98" s="28">
        <v>1</v>
      </c>
      <c r="AG98" s="28">
        <v>1</v>
      </c>
      <c r="AH98" s="28">
        <v>1</v>
      </c>
      <c r="AI98" s="28">
        <v>1</v>
      </c>
      <c r="AJ98" s="28">
        <v>1</v>
      </c>
    </row>
    <row r="99" spans="1:36" x14ac:dyDescent="0.25">
      <c r="A99" s="298" t="str">
        <f>IF('Kwaliteit conversie'!$D$4='Prijs karton'!C99,"X"," ")</f>
        <v xml:space="preserve"> </v>
      </c>
      <c r="B99" s="331" t="s">
        <v>36</v>
      </c>
      <c r="C99" s="359" t="s">
        <v>351</v>
      </c>
      <c r="D99" s="366">
        <v>0.745</v>
      </c>
      <c r="E99" s="321">
        <v>5.8</v>
      </c>
      <c r="F99" s="925">
        <v>0</v>
      </c>
      <c r="G99" s="315">
        <v>75.900000000000006</v>
      </c>
      <c r="H99" s="315">
        <v>72.900000000000006</v>
      </c>
      <c r="I99" s="315">
        <v>72.400000000000006</v>
      </c>
      <c r="J99" s="315">
        <v>72.400000000000006</v>
      </c>
      <c r="K99" s="513">
        <v>71.900000000000006</v>
      </c>
      <c r="L99" s="926" t="s">
        <v>352</v>
      </c>
      <c r="M99" s="331" t="s">
        <v>294</v>
      </c>
      <c r="N99" s="366" t="s">
        <v>255</v>
      </c>
      <c r="O99" s="323" t="s">
        <v>244</v>
      </c>
      <c r="P99" s="386" t="s">
        <v>265</v>
      </c>
      <c r="Q99" s="323" t="s">
        <v>239</v>
      </c>
      <c r="R99" s="366" t="s">
        <v>239</v>
      </c>
      <c r="S99" s="378" t="s">
        <v>294</v>
      </c>
      <c r="T99" s="324" t="s">
        <v>245</v>
      </c>
      <c r="U99" s="386">
        <v>250</v>
      </c>
      <c r="V99" s="386">
        <v>2450</v>
      </c>
      <c r="W99" s="386">
        <v>500</v>
      </c>
      <c r="X99" s="386">
        <v>6200</v>
      </c>
      <c r="Y99" s="386">
        <v>180</v>
      </c>
      <c r="Z99" s="386">
        <v>90</v>
      </c>
      <c r="AA99" s="386">
        <v>200</v>
      </c>
      <c r="AB99" s="392">
        <v>9.3000000000000007</v>
      </c>
      <c r="AC99" s="28">
        <v>10</v>
      </c>
      <c r="AD99" s="28">
        <v>1</v>
      </c>
      <c r="AE99" s="28">
        <v>1</v>
      </c>
      <c r="AF99" s="28">
        <v>1</v>
      </c>
      <c r="AG99" s="28">
        <v>1</v>
      </c>
      <c r="AH99" s="28">
        <v>1</v>
      </c>
      <c r="AI99" s="28">
        <v>1</v>
      </c>
      <c r="AJ99" s="28">
        <v>1</v>
      </c>
    </row>
    <row r="100" spans="1:36" x14ac:dyDescent="0.25">
      <c r="A100" s="298" t="str">
        <f>IF('Kwaliteit conversie'!$D$4='Prijs karton'!C100,"X"," ")</f>
        <v xml:space="preserve"> </v>
      </c>
      <c r="B100" s="331" t="s">
        <v>36</v>
      </c>
      <c r="C100" s="359" t="s">
        <v>353</v>
      </c>
      <c r="D100" s="366">
        <v>0.78400000000000003</v>
      </c>
      <c r="E100" s="321">
        <v>6.86</v>
      </c>
      <c r="F100" s="925">
        <v>0</v>
      </c>
      <c r="G100" s="315">
        <v>91.9</v>
      </c>
      <c r="H100" s="315">
        <v>88.9</v>
      </c>
      <c r="I100" s="315">
        <v>88.9</v>
      </c>
      <c r="J100" s="315">
        <v>86.9</v>
      </c>
      <c r="K100" s="513">
        <v>86.9</v>
      </c>
      <c r="L100" s="926" t="s">
        <v>354</v>
      </c>
      <c r="M100" s="331" t="s">
        <v>300</v>
      </c>
      <c r="N100" s="366" t="s">
        <v>238</v>
      </c>
      <c r="O100" s="323" t="s">
        <v>301</v>
      </c>
      <c r="P100" s="386" t="s">
        <v>238</v>
      </c>
      <c r="Q100" s="323" t="s">
        <v>239</v>
      </c>
      <c r="R100" s="366" t="s">
        <v>239</v>
      </c>
      <c r="S100" s="378" t="s">
        <v>300</v>
      </c>
      <c r="T100" s="324" t="s">
        <v>240</v>
      </c>
      <c r="U100" s="386">
        <v>240</v>
      </c>
      <c r="V100" s="386">
        <v>2450</v>
      </c>
      <c r="W100" s="386">
        <v>500</v>
      </c>
      <c r="X100" s="386">
        <v>6000</v>
      </c>
      <c r="Y100" s="386">
        <v>60</v>
      </c>
      <c r="Z100" s="386">
        <v>60</v>
      </c>
      <c r="AA100" s="386">
        <v>200</v>
      </c>
      <c r="AB100" s="392">
        <v>9.7100000000000009</v>
      </c>
      <c r="AC100" s="28">
        <v>0</v>
      </c>
      <c r="AD100" s="28">
        <v>1</v>
      </c>
      <c r="AE100" s="28">
        <v>1</v>
      </c>
      <c r="AF100" s="28">
        <v>1</v>
      </c>
      <c r="AG100" s="28">
        <v>1</v>
      </c>
      <c r="AH100" s="28">
        <v>1</v>
      </c>
      <c r="AI100" s="28">
        <v>1</v>
      </c>
      <c r="AJ100" s="28">
        <v>1</v>
      </c>
    </row>
    <row r="101" spans="1:36" x14ac:dyDescent="0.25">
      <c r="A101" s="298" t="str">
        <f>IF('Kwaliteit conversie'!$D$4='Prijs karton'!C101,"X"," ")</f>
        <v xml:space="preserve"> </v>
      </c>
      <c r="B101" s="331" t="s">
        <v>36</v>
      </c>
      <c r="C101" s="359"/>
      <c r="D101" s="366"/>
      <c r="E101" s="321"/>
      <c r="F101" s="925"/>
      <c r="G101" s="315"/>
      <c r="H101" s="315"/>
      <c r="I101" s="315"/>
      <c r="J101" s="315"/>
      <c r="K101" s="513"/>
      <c r="L101" s="926"/>
      <c r="M101" s="331"/>
      <c r="N101" s="366"/>
      <c r="O101" s="323"/>
      <c r="P101" s="386"/>
      <c r="Q101" s="323"/>
      <c r="R101" s="366"/>
      <c r="S101" s="378"/>
      <c r="T101" s="324"/>
      <c r="U101" s="386"/>
      <c r="V101" s="386"/>
      <c r="W101" s="386"/>
      <c r="X101" s="386"/>
      <c r="Y101" s="386"/>
      <c r="Z101" s="386"/>
      <c r="AA101" s="386"/>
      <c r="AB101" s="392"/>
      <c r="AC101" s="28"/>
      <c r="AD101" s="28"/>
      <c r="AE101" s="28"/>
      <c r="AF101" s="28"/>
      <c r="AG101" s="28"/>
      <c r="AH101" s="28"/>
      <c r="AI101" s="28"/>
      <c r="AJ101" s="28"/>
    </row>
    <row r="102" spans="1:36" x14ac:dyDescent="0.25">
      <c r="A102" s="298" t="str">
        <f>IF('Kwaliteit conversie'!$D$4='Prijs karton'!C102,"X"," ")</f>
        <v xml:space="preserve"> </v>
      </c>
      <c r="B102" s="331" t="s">
        <v>36</v>
      </c>
      <c r="C102" s="359" t="s">
        <v>355</v>
      </c>
      <c r="D102" s="366">
        <v>0.85</v>
      </c>
      <c r="E102" s="321">
        <v>5.9</v>
      </c>
      <c r="F102" s="925">
        <v>0</v>
      </c>
      <c r="G102" s="315">
        <v>78.3</v>
      </c>
      <c r="H102" s="315">
        <v>75.3</v>
      </c>
      <c r="I102" s="315">
        <v>74.8</v>
      </c>
      <c r="J102" s="315">
        <v>74.8</v>
      </c>
      <c r="K102" s="513">
        <v>74.3</v>
      </c>
      <c r="L102" s="926" t="s">
        <v>356</v>
      </c>
      <c r="M102" s="331" t="s">
        <v>294</v>
      </c>
      <c r="N102" s="366" t="s">
        <v>265</v>
      </c>
      <c r="O102" s="323" t="s">
        <v>249</v>
      </c>
      <c r="P102" s="386" t="s">
        <v>357</v>
      </c>
      <c r="Q102" s="323" t="s">
        <v>239</v>
      </c>
      <c r="R102" s="366" t="s">
        <v>239</v>
      </c>
      <c r="S102" s="378" t="s">
        <v>294</v>
      </c>
      <c r="T102" s="324" t="s">
        <v>245</v>
      </c>
      <c r="U102" s="386">
        <v>250</v>
      </c>
      <c r="V102" s="386">
        <v>2450</v>
      </c>
      <c r="W102" s="386">
        <v>500</v>
      </c>
      <c r="X102" s="386">
        <v>6200</v>
      </c>
      <c r="Y102" s="386">
        <v>180</v>
      </c>
      <c r="Z102" s="386">
        <v>90</v>
      </c>
      <c r="AA102" s="386">
        <v>200</v>
      </c>
      <c r="AB102" s="392">
        <v>10.9</v>
      </c>
      <c r="AC102" s="28">
        <v>10</v>
      </c>
      <c r="AD102" s="28">
        <v>1</v>
      </c>
      <c r="AE102" s="28">
        <v>1</v>
      </c>
      <c r="AF102" s="28">
        <v>1</v>
      </c>
      <c r="AG102" s="28">
        <v>1</v>
      </c>
      <c r="AH102" s="28">
        <v>1</v>
      </c>
      <c r="AI102" s="28">
        <v>1</v>
      </c>
      <c r="AJ102" s="28">
        <v>1</v>
      </c>
    </row>
    <row r="103" spans="1:36" x14ac:dyDescent="0.25">
      <c r="A103" s="298" t="str">
        <f>IF('Kwaliteit conversie'!$D$4='Prijs karton'!C103,"X"," ")</f>
        <v xml:space="preserve"> </v>
      </c>
      <c r="B103" s="331" t="s">
        <v>36</v>
      </c>
      <c r="C103" s="359" t="s">
        <v>358</v>
      </c>
      <c r="D103" s="366">
        <v>1.06</v>
      </c>
      <c r="E103" s="321">
        <v>6.7</v>
      </c>
      <c r="F103" s="925">
        <v>0</v>
      </c>
      <c r="G103" s="315">
        <v>114.6</v>
      </c>
      <c r="H103" s="315">
        <v>111.6</v>
      </c>
      <c r="I103" s="315">
        <v>111.1</v>
      </c>
      <c r="J103" s="315">
        <v>111.1</v>
      </c>
      <c r="K103" s="513">
        <v>110.6</v>
      </c>
      <c r="L103" s="926" t="s">
        <v>359</v>
      </c>
      <c r="M103" s="331" t="s">
        <v>360</v>
      </c>
      <c r="N103" s="366" t="s">
        <v>265</v>
      </c>
      <c r="O103" s="323" t="s">
        <v>285</v>
      </c>
      <c r="P103" s="386" t="s">
        <v>357</v>
      </c>
      <c r="Q103" s="323" t="s">
        <v>239</v>
      </c>
      <c r="R103" s="366" t="s">
        <v>239</v>
      </c>
      <c r="S103" s="378" t="s">
        <v>360</v>
      </c>
      <c r="T103" s="324" t="s">
        <v>245</v>
      </c>
      <c r="U103" s="386">
        <v>250</v>
      </c>
      <c r="V103" s="386">
        <v>2450</v>
      </c>
      <c r="W103" s="386">
        <v>500</v>
      </c>
      <c r="X103" s="386">
        <v>6200</v>
      </c>
      <c r="Y103" s="386">
        <v>170</v>
      </c>
      <c r="Z103" s="386">
        <v>90</v>
      </c>
      <c r="AA103" s="386">
        <v>200</v>
      </c>
      <c r="AB103" s="392">
        <v>14.2</v>
      </c>
      <c r="AC103" s="28">
        <v>0</v>
      </c>
      <c r="AD103" s="28">
        <v>0</v>
      </c>
      <c r="AE103" s="28">
        <v>1</v>
      </c>
      <c r="AF103" s="28">
        <v>0</v>
      </c>
      <c r="AG103" s="28">
        <v>0</v>
      </c>
      <c r="AH103" s="28">
        <v>1</v>
      </c>
      <c r="AI103" s="28">
        <v>1</v>
      </c>
      <c r="AJ103" s="28">
        <v>1</v>
      </c>
    </row>
    <row r="104" spans="1:36" x14ac:dyDescent="0.25">
      <c r="A104" s="298" t="str">
        <f>IF('Kwaliteit conversie'!$D$4='Prijs karton'!C104,"X"," ")</f>
        <v xml:space="preserve"> </v>
      </c>
      <c r="B104" s="331" t="s">
        <v>36</v>
      </c>
      <c r="C104" s="359" t="s">
        <v>361</v>
      </c>
      <c r="D104" s="366">
        <v>1.0900000000000001</v>
      </c>
      <c r="E104" s="321">
        <v>6.7</v>
      </c>
      <c r="F104" s="925">
        <v>0</v>
      </c>
      <c r="G104" s="315">
        <v>117</v>
      </c>
      <c r="H104" s="315">
        <v>114</v>
      </c>
      <c r="I104" s="315">
        <v>113.5</v>
      </c>
      <c r="J104" s="315">
        <v>113.5</v>
      </c>
      <c r="K104" s="513">
        <v>113</v>
      </c>
      <c r="L104" s="926" t="s">
        <v>362</v>
      </c>
      <c r="M104" s="331" t="s">
        <v>360</v>
      </c>
      <c r="N104" s="366" t="s">
        <v>357</v>
      </c>
      <c r="O104" s="323" t="s">
        <v>274</v>
      </c>
      <c r="P104" s="386" t="s">
        <v>357</v>
      </c>
      <c r="Q104" s="323" t="s">
        <v>239</v>
      </c>
      <c r="R104" s="366" t="s">
        <v>239</v>
      </c>
      <c r="S104" s="378" t="s">
        <v>360</v>
      </c>
      <c r="T104" s="324" t="s">
        <v>245</v>
      </c>
      <c r="U104" s="386">
        <v>250</v>
      </c>
      <c r="V104" s="386">
        <v>2450</v>
      </c>
      <c r="W104" s="386">
        <v>500</v>
      </c>
      <c r="X104" s="386">
        <v>6200</v>
      </c>
      <c r="Y104" s="386">
        <v>180</v>
      </c>
      <c r="Z104" s="386">
        <v>90</v>
      </c>
      <c r="AA104" s="386">
        <v>200</v>
      </c>
      <c r="AB104" s="392">
        <v>15.2</v>
      </c>
      <c r="AC104" s="28">
        <v>10</v>
      </c>
      <c r="AD104" s="28">
        <v>0</v>
      </c>
      <c r="AE104" s="28">
        <v>1</v>
      </c>
      <c r="AF104" s="28">
        <v>0</v>
      </c>
      <c r="AG104" s="28">
        <v>0</v>
      </c>
      <c r="AH104" s="28">
        <v>1</v>
      </c>
      <c r="AI104" s="28">
        <v>1</v>
      </c>
      <c r="AJ104" s="28">
        <v>1</v>
      </c>
    </row>
    <row r="105" spans="1:36" x14ac:dyDescent="0.25">
      <c r="A105" s="298" t="str">
        <f>IF('Kwaliteit conversie'!$D$4='Prijs karton'!C105,"X"," ")</f>
        <v xml:space="preserve"> </v>
      </c>
      <c r="B105" s="331" t="s">
        <v>36</v>
      </c>
      <c r="C105" s="359" t="s">
        <v>363</v>
      </c>
      <c r="D105" s="366">
        <v>1.028</v>
      </c>
      <c r="E105" s="321">
        <v>7.15</v>
      </c>
      <c r="F105" s="925">
        <v>0</v>
      </c>
      <c r="G105" s="315">
        <v>125</v>
      </c>
      <c r="H105" s="315">
        <v>122</v>
      </c>
      <c r="I105" s="315">
        <v>122</v>
      </c>
      <c r="J105" s="315">
        <v>120</v>
      </c>
      <c r="K105" s="513">
        <v>120</v>
      </c>
      <c r="L105" s="926" t="s">
        <v>364</v>
      </c>
      <c r="M105" s="331" t="s">
        <v>365</v>
      </c>
      <c r="N105" s="366" t="s">
        <v>260</v>
      </c>
      <c r="O105" s="323" t="s">
        <v>260</v>
      </c>
      <c r="P105" s="386" t="s">
        <v>260</v>
      </c>
      <c r="Q105" s="323" t="s">
        <v>239</v>
      </c>
      <c r="R105" s="366" t="s">
        <v>239</v>
      </c>
      <c r="S105" s="378" t="s">
        <v>365</v>
      </c>
      <c r="T105" s="324" t="s">
        <v>240</v>
      </c>
      <c r="U105" s="386">
        <v>240</v>
      </c>
      <c r="V105" s="386">
        <v>2450</v>
      </c>
      <c r="W105" s="386">
        <v>500</v>
      </c>
      <c r="X105" s="386">
        <v>6000</v>
      </c>
      <c r="Y105" s="386">
        <v>60</v>
      </c>
      <c r="Z105" s="386">
        <v>60</v>
      </c>
      <c r="AA105" s="386">
        <v>200</v>
      </c>
      <c r="AB105" s="392">
        <v>13.2</v>
      </c>
      <c r="AC105" s="28">
        <v>0</v>
      </c>
      <c r="AD105" s="28">
        <v>0</v>
      </c>
      <c r="AE105" s="28">
        <v>1</v>
      </c>
      <c r="AF105" s="28">
        <v>0</v>
      </c>
      <c r="AG105" s="28">
        <v>0</v>
      </c>
      <c r="AH105" s="28">
        <v>1</v>
      </c>
      <c r="AI105" s="28">
        <v>1</v>
      </c>
      <c r="AJ105" s="28">
        <v>1</v>
      </c>
    </row>
    <row r="106" spans="1:36" x14ac:dyDescent="0.25">
      <c r="A106" s="298" t="str">
        <f>IF('Kwaliteit conversie'!$D$4='Prijs karton'!C106,"X"," ")</f>
        <v xml:space="preserve"> </v>
      </c>
      <c r="B106" s="331" t="s">
        <v>36</v>
      </c>
      <c r="C106" s="359" t="s">
        <v>366</v>
      </c>
      <c r="D106" s="366">
        <v>1.25</v>
      </c>
      <c r="E106" s="321">
        <v>6.8</v>
      </c>
      <c r="F106" s="925">
        <v>0</v>
      </c>
      <c r="G106" s="315">
        <v>131</v>
      </c>
      <c r="H106" s="315">
        <v>128</v>
      </c>
      <c r="I106" s="315">
        <v>127.5</v>
      </c>
      <c r="J106" s="315">
        <v>127.5</v>
      </c>
      <c r="K106" s="513">
        <v>127</v>
      </c>
      <c r="L106" s="926" t="s">
        <v>367</v>
      </c>
      <c r="M106" s="331" t="s">
        <v>360</v>
      </c>
      <c r="N106" s="366" t="s">
        <v>357</v>
      </c>
      <c r="O106" s="323" t="s">
        <v>360</v>
      </c>
      <c r="P106" s="386" t="s">
        <v>357</v>
      </c>
      <c r="Q106" s="323" t="s">
        <v>239</v>
      </c>
      <c r="R106" s="366" t="s">
        <v>239</v>
      </c>
      <c r="S106" s="378" t="s">
        <v>360</v>
      </c>
      <c r="T106" s="324" t="s">
        <v>245</v>
      </c>
      <c r="U106" s="386">
        <v>250</v>
      </c>
      <c r="V106" s="386">
        <v>2450</v>
      </c>
      <c r="W106" s="386">
        <v>800</v>
      </c>
      <c r="X106" s="386">
        <v>6200</v>
      </c>
      <c r="Y106" s="386">
        <v>180</v>
      </c>
      <c r="Z106" s="386">
        <v>90</v>
      </c>
      <c r="AA106" s="386">
        <v>300</v>
      </c>
      <c r="AB106" s="392">
        <v>17.100000000000001</v>
      </c>
      <c r="AC106" s="28">
        <v>0</v>
      </c>
      <c r="AD106" s="28">
        <v>0</v>
      </c>
      <c r="AE106" s="28">
        <v>1</v>
      </c>
      <c r="AF106" s="28">
        <v>0</v>
      </c>
      <c r="AG106" s="28">
        <v>0</v>
      </c>
      <c r="AH106" s="28">
        <v>1</v>
      </c>
      <c r="AI106" s="28">
        <v>1</v>
      </c>
      <c r="AJ106" s="28">
        <v>1</v>
      </c>
    </row>
    <row r="107" spans="1:36" x14ac:dyDescent="0.25">
      <c r="A107" s="298" t="str">
        <f>IF('Kwaliteit conversie'!$D$4='Prijs karton'!C107,"X"," ")</f>
        <v xml:space="preserve"> </v>
      </c>
      <c r="B107" s="331" t="s">
        <v>36</v>
      </c>
      <c r="C107" s="359"/>
      <c r="D107" s="366"/>
      <c r="E107" s="321"/>
      <c r="F107" s="925"/>
      <c r="G107" s="315"/>
      <c r="H107" s="315"/>
      <c r="I107" s="315"/>
      <c r="J107" s="315"/>
      <c r="K107" s="513"/>
      <c r="L107" s="926"/>
      <c r="M107" s="331"/>
      <c r="N107" s="366"/>
      <c r="O107" s="323"/>
      <c r="P107" s="386"/>
      <c r="Q107" s="323"/>
      <c r="R107" s="366"/>
      <c r="S107" s="378"/>
      <c r="T107" s="324"/>
      <c r="U107" s="386"/>
      <c r="V107" s="386"/>
      <c r="W107" s="386"/>
      <c r="X107" s="386"/>
      <c r="Y107" s="386"/>
      <c r="Z107" s="386"/>
      <c r="AA107" s="386"/>
      <c r="AB107" s="392"/>
      <c r="AC107" s="28"/>
      <c r="AD107" s="28"/>
      <c r="AE107" s="28"/>
      <c r="AF107" s="28"/>
      <c r="AG107" s="28"/>
      <c r="AH107" s="28"/>
      <c r="AI107" s="28"/>
      <c r="AJ107" s="28"/>
    </row>
    <row r="108" spans="1:36" x14ac:dyDescent="0.25">
      <c r="A108" s="298" t="str">
        <f>IF('Kwaliteit conversie'!$D$4='Prijs karton'!C108,"X"," ")</f>
        <v xml:space="preserve"> </v>
      </c>
      <c r="B108" s="331" t="s">
        <v>36</v>
      </c>
      <c r="C108" s="359" t="s">
        <v>1375</v>
      </c>
      <c r="D108" s="366">
        <v>0.89700000000000002</v>
      </c>
      <c r="E108" s="321">
        <v>6.55</v>
      </c>
      <c r="F108" s="925">
        <v>0</v>
      </c>
      <c r="G108" s="315">
        <v>88.9</v>
      </c>
      <c r="H108" s="315">
        <v>87.4</v>
      </c>
      <c r="I108" s="315">
        <v>87.1</v>
      </c>
      <c r="J108" s="315">
        <v>86.8</v>
      </c>
      <c r="K108" s="513">
        <v>86.8</v>
      </c>
      <c r="L108" s="926" t="s">
        <v>1376</v>
      </c>
      <c r="M108" s="331" t="s">
        <v>1372</v>
      </c>
      <c r="N108" s="366" t="s">
        <v>265</v>
      </c>
      <c r="O108" s="323" t="s">
        <v>1367</v>
      </c>
      <c r="P108" s="386" t="s">
        <v>265</v>
      </c>
      <c r="Q108" s="323" t="s">
        <v>239</v>
      </c>
      <c r="R108" s="366" t="s">
        <v>239</v>
      </c>
      <c r="S108" s="378" t="s">
        <v>1372</v>
      </c>
      <c r="T108" s="324" t="s">
        <v>1364</v>
      </c>
      <c r="U108" s="386">
        <v>250</v>
      </c>
      <c r="V108" s="386">
        <v>2450</v>
      </c>
      <c r="W108" s="386">
        <v>600</v>
      </c>
      <c r="X108" s="386">
        <v>6000</v>
      </c>
      <c r="Y108" s="386">
        <v>130</v>
      </c>
      <c r="Z108" s="386">
        <v>65</v>
      </c>
      <c r="AA108" s="386">
        <v>200</v>
      </c>
      <c r="AB108" s="392">
        <v>11.12</v>
      </c>
      <c r="AC108" s="28">
        <v>0</v>
      </c>
      <c r="AD108" s="28">
        <v>1</v>
      </c>
      <c r="AE108" s="28">
        <v>1</v>
      </c>
      <c r="AF108" s="28">
        <v>1</v>
      </c>
      <c r="AG108" s="28">
        <v>1</v>
      </c>
      <c r="AH108" s="28">
        <v>1</v>
      </c>
      <c r="AI108" s="28">
        <v>1</v>
      </c>
      <c r="AJ108" s="28">
        <v>1</v>
      </c>
    </row>
    <row r="109" spans="1:36" x14ac:dyDescent="0.25">
      <c r="A109" s="298" t="str">
        <f>IF('Kwaliteit conversie'!$D$4='Prijs karton'!C109,"X"," ")</f>
        <v xml:space="preserve"> </v>
      </c>
      <c r="B109" s="331" t="s">
        <v>36</v>
      </c>
      <c r="C109" s="359" t="s">
        <v>1377</v>
      </c>
      <c r="D109" s="366">
        <v>1.03</v>
      </c>
      <c r="E109" s="321">
        <v>6.7</v>
      </c>
      <c r="F109" s="925">
        <v>0</v>
      </c>
      <c r="G109" s="315">
        <v>0</v>
      </c>
      <c r="H109" s="315">
        <v>119.7</v>
      </c>
      <c r="I109" s="315">
        <v>118.4</v>
      </c>
      <c r="J109" s="315">
        <v>118.4</v>
      </c>
      <c r="K109" s="513">
        <v>116.8</v>
      </c>
      <c r="L109" s="926" t="s">
        <v>1378</v>
      </c>
      <c r="M109" s="331" t="s">
        <v>360</v>
      </c>
      <c r="N109" s="366" t="s">
        <v>1379</v>
      </c>
      <c r="O109" s="323" t="s">
        <v>1367</v>
      </c>
      <c r="P109" s="386" t="s">
        <v>1379</v>
      </c>
      <c r="Q109" s="323" t="s">
        <v>239</v>
      </c>
      <c r="R109" s="366" t="s">
        <v>239</v>
      </c>
      <c r="S109" s="378" t="s">
        <v>360</v>
      </c>
      <c r="T109" s="324" t="s">
        <v>1364</v>
      </c>
      <c r="U109" s="386">
        <v>250</v>
      </c>
      <c r="V109" s="386">
        <v>2450</v>
      </c>
      <c r="W109" s="386">
        <v>600</v>
      </c>
      <c r="X109" s="386">
        <v>6000</v>
      </c>
      <c r="Y109" s="386">
        <v>130</v>
      </c>
      <c r="Z109" s="386">
        <v>65</v>
      </c>
      <c r="AA109" s="386">
        <v>500</v>
      </c>
      <c r="AB109" s="392">
        <v>13.5</v>
      </c>
      <c r="AC109" s="28">
        <v>0</v>
      </c>
      <c r="AD109" s="28">
        <v>0</v>
      </c>
      <c r="AE109" s="28">
        <v>1</v>
      </c>
      <c r="AF109" s="28">
        <v>0</v>
      </c>
      <c r="AG109" s="28">
        <v>0</v>
      </c>
      <c r="AH109" s="28">
        <v>1</v>
      </c>
      <c r="AI109" s="28">
        <v>1</v>
      </c>
      <c r="AJ109" s="28">
        <v>1</v>
      </c>
    </row>
    <row r="110" spans="1:36" x14ac:dyDescent="0.25">
      <c r="A110" s="298" t="str">
        <f>IF('Kwaliteit conversie'!$D$4='Prijs karton'!C110,"X"," ")</f>
        <v xml:space="preserve"> </v>
      </c>
      <c r="B110" s="331" t="s">
        <v>36</v>
      </c>
      <c r="C110" s="359" t="s">
        <v>1380</v>
      </c>
      <c r="D110" s="366">
        <v>0.626</v>
      </c>
      <c r="E110" s="321">
        <v>6.22</v>
      </c>
      <c r="F110" s="925">
        <v>0</v>
      </c>
      <c r="G110" s="315">
        <v>63.7</v>
      </c>
      <c r="H110" s="315">
        <v>62.4</v>
      </c>
      <c r="I110" s="315">
        <v>62.1</v>
      </c>
      <c r="J110" s="315">
        <v>61.8</v>
      </c>
      <c r="K110" s="513">
        <v>61.8</v>
      </c>
      <c r="L110" s="926" t="s">
        <v>1381</v>
      </c>
      <c r="M110" s="331" t="s">
        <v>289</v>
      </c>
      <c r="N110" s="366" t="s">
        <v>238</v>
      </c>
      <c r="O110" s="323" t="s">
        <v>244</v>
      </c>
      <c r="P110" s="386" t="s">
        <v>238</v>
      </c>
      <c r="Q110" s="323" t="s">
        <v>239</v>
      </c>
      <c r="R110" s="366" t="s">
        <v>239</v>
      </c>
      <c r="S110" s="378" t="s">
        <v>1363</v>
      </c>
      <c r="T110" s="324" t="s">
        <v>1364</v>
      </c>
      <c r="U110" s="386">
        <v>250</v>
      </c>
      <c r="V110" s="386">
        <v>2450</v>
      </c>
      <c r="W110" s="386">
        <v>600</v>
      </c>
      <c r="X110" s="386">
        <v>6000</v>
      </c>
      <c r="Y110" s="386">
        <v>130</v>
      </c>
      <c r="Z110" s="386">
        <v>65</v>
      </c>
      <c r="AA110" s="386">
        <v>200</v>
      </c>
      <c r="AB110" s="392">
        <v>7.76</v>
      </c>
      <c r="AC110" s="28">
        <v>0</v>
      </c>
      <c r="AD110" s="28">
        <v>1</v>
      </c>
      <c r="AE110" s="28">
        <v>1</v>
      </c>
      <c r="AF110" s="28">
        <v>1</v>
      </c>
      <c r="AG110" s="28">
        <v>1</v>
      </c>
      <c r="AH110" s="28">
        <v>1</v>
      </c>
      <c r="AI110" s="28">
        <v>1</v>
      </c>
      <c r="AJ110" s="28">
        <v>1</v>
      </c>
    </row>
    <row r="111" spans="1:36" x14ac:dyDescent="0.25">
      <c r="A111" s="298" t="str">
        <f>IF('Kwaliteit conversie'!$D$4='Prijs karton'!C111,"X"," ")</f>
        <v xml:space="preserve"> </v>
      </c>
      <c r="B111" s="331" t="s">
        <v>36</v>
      </c>
      <c r="C111" s="359" t="s">
        <v>1382</v>
      </c>
      <c r="D111" s="366">
        <v>0.61499999999999999</v>
      </c>
      <c r="E111" s="321">
        <v>6.24</v>
      </c>
      <c r="F111" s="925">
        <v>0</v>
      </c>
      <c r="G111" s="315">
        <v>57.4</v>
      </c>
      <c r="H111" s="315">
        <v>56</v>
      </c>
      <c r="I111" s="315">
        <v>55.7</v>
      </c>
      <c r="J111" s="315">
        <v>55.5</v>
      </c>
      <c r="K111" s="513">
        <v>55.5</v>
      </c>
      <c r="L111" s="926" t="s">
        <v>1383</v>
      </c>
      <c r="M111" s="331" t="s">
        <v>1362</v>
      </c>
      <c r="N111" s="366" t="s">
        <v>238</v>
      </c>
      <c r="O111" s="323" t="s">
        <v>244</v>
      </c>
      <c r="P111" s="386" t="s">
        <v>238</v>
      </c>
      <c r="Q111" s="323" t="s">
        <v>239</v>
      </c>
      <c r="R111" s="366" t="s">
        <v>239</v>
      </c>
      <c r="S111" s="378" t="s">
        <v>1363</v>
      </c>
      <c r="T111" s="324" t="s">
        <v>1364</v>
      </c>
      <c r="U111" s="386">
        <v>250</v>
      </c>
      <c r="V111" s="386">
        <v>2450</v>
      </c>
      <c r="W111" s="386">
        <v>600</v>
      </c>
      <c r="X111" s="386">
        <v>6000</v>
      </c>
      <c r="Y111" s="386">
        <v>130</v>
      </c>
      <c r="Z111" s="386">
        <v>65</v>
      </c>
      <c r="AA111" s="386">
        <v>200</v>
      </c>
      <c r="AB111" s="392">
        <v>7.59</v>
      </c>
      <c r="AC111" s="28">
        <v>0</v>
      </c>
      <c r="AD111" s="28">
        <v>1</v>
      </c>
      <c r="AE111" s="28">
        <v>1</v>
      </c>
      <c r="AF111" s="28">
        <v>1</v>
      </c>
      <c r="AG111" s="28">
        <v>1</v>
      </c>
      <c r="AH111" s="28">
        <v>1</v>
      </c>
      <c r="AI111" s="28">
        <v>1</v>
      </c>
      <c r="AJ111" s="28">
        <v>1</v>
      </c>
    </row>
    <row r="112" spans="1:36" x14ac:dyDescent="0.25">
      <c r="A112" s="298" t="str">
        <f>IF('Kwaliteit conversie'!$D$4='Prijs karton'!C112,"X"," ")</f>
        <v xml:space="preserve"> </v>
      </c>
      <c r="B112" s="331" t="s">
        <v>36</v>
      </c>
      <c r="C112" s="359" t="s">
        <v>1384</v>
      </c>
      <c r="D112" s="366">
        <v>0.65500000000000003</v>
      </c>
      <c r="E112" s="321">
        <v>6.3</v>
      </c>
      <c r="F112" s="925">
        <v>0</v>
      </c>
      <c r="G112" s="315">
        <v>60.7</v>
      </c>
      <c r="H112" s="315">
        <v>59.3</v>
      </c>
      <c r="I112" s="315">
        <v>59.1</v>
      </c>
      <c r="J112" s="315">
        <v>58.8</v>
      </c>
      <c r="K112" s="513">
        <v>58.8</v>
      </c>
      <c r="L112" s="926" t="s">
        <v>1385</v>
      </c>
      <c r="M112" s="331" t="s">
        <v>277</v>
      </c>
      <c r="N112" s="366" t="s">
        <v>238</v>
      </c>
      <c r="O112" s="323" t="s">
        <v>244</v>
      </c>
      <c r="P112" s="386" t="s">
        <v>238</v>
      </c>
      <c r="Q112" s="323" t="s">
        <v>239</v>
      </c>
      <c r="R112" s="366" t="s">
        <v>239</v>
      </c>
      <c r="S112" s="378" t="s">
        <v>1367</v>
      </c>
      <c r="T112" s="324" t="s">
        <v>1364</v>
      </c>
      <c r="U112" s="386">
        <v>250</v>
      </c>
      <c r="V112" s="386">
        <v>2450</v>
      </c>
      <c r="W112" s="386">
        <v>600</v>
      </c>
      <c r="X112" s="386">
        <v>6000</v>
      </c>
      <c r="Y112" s="386">
        <v>130</v>
      </c>
      <c r="Z112" s="386">
        <v>65</v>
      </c>
      <c r="AA112" s="386">
        <v>200</v>
      </c>
      <c r="AB112" s="392">
        <v>8.1</v>
      </c>
      <c r="AC112" s="28">
        <v>0</v>
      </c>
      <c r="AD112" s="28">
        <v>1</v>
      </c>
      <c r="AE112" s="28">
        <v>1</v>
      </c>
      <c r="AF112" s="28">
        <v>1</v>
      </c>
      <c r="AG112" s="28">
        <v>1</v>
      </c>
      <c r="AH112" s="28">
        <v>1</v>
      </c>
      <c r="AI112" s="28">
        <v>1</v>
      </c>
      <c r="AJ112" s="28">
        <v>1</v>
      </c>
    </row>
    <row r="113" spans="1:36" x14ac:dyDescent="0.25">
      <c r="A113" s="298" t="str">
        <f>IF('Kwaliteit conversie'!$D$4='Prijs karton'!C113,"X"," ")</f>
        <v xml:space="preserve"> </v>
      </c>
      <c r="B113" s="331" t="s">
        <v>36</v>
      </c>
      <c r="C113" s="359" t="s">
        <v>1386</v>
      </c>
      <c r="D113" s="366">
        <v>0.80100000000000005</v>
      </c>
      <c r="E113" s="321">
        <v>6.41</v>
      </c>
      <c r="F113" s="925">
        <v>0</v>
      </c>
      <c r="G113" s="315">
        <v>73.400000000000006</v>
      </c>
      <c r="H113" s="315">
        <v>71.900000000000006</v>
      </c>
      <c r="I113" s="315">
        <v>71.599999999999994</v>
      </c>
      <c r="J113" s="315">
        <v>71.400000000000006</v>
      </c>
      <c r="K113" s="513">
        <v>71.400000000000006</v>
      </c>
      <c r="L113" s="926" t="s">
        <v>1387</v>
      </c>
      <c r="M113" s="331" t="s">
        <v>1372</v>
      </c>
      <c r="N113" s="366" t="s">
        <v>265</v>
      </c>
      <c r="O113" s="323" t="s">
        <v>244</v>
      </c>
      <c r="P113" s="386" t="s">
        <v>265</v>
      </c>
      <c r="Q113" s="323" t="s">
        <v>239</v>
      </c>
      <c r="R113" s="366" t="s">
        <v>239</v>
      </c>
      <c r="S113" s="378" t="s">
        <v>1367</v>
      </c>
      <c r="T113" s="324" t="s">
        <v>1364</v>
      </c>
      <c r="U113" s="386">
        <v>250</v>
      </c>
      <c r="V113" s="386">
        <v>2450</v>
      </c>
      <c r="W113" s="386">
        <v>600</v>
      </c>
      <c r="X113" s="386">
        <v>6000</v>
      </c>
      <c r="Y113" s="386">
        <v>130</v>
      </c>
      <c r="Z113" s="386">
        <v>65</v>
      </c>
      <c r="AA113" s="386">
        <v>200</v>
      </c>
      <c r="AB113" s="392">
        <v>9.7799999999999994</v>
      </c>
      <c r="AC113" s="28">
        <v>0</v>
      </c>
      <c r="AD113" s="28">
        <v>1</v>
      </c>
      <c r="AE113" s="28">
        <v>1</v>
      </c>
      <c r="AF113" s="28">
        <v>1</v>
      </c>
      <c r="AG113" s="28">
        <v>1</v>
      </c>
      <c r="AH113" s="28">
        <v>1</v>
      </c>
      <c r="AI113" s="28">
        <v>1</v>
      </c>
      <c r="AJ113" s="28">
        <v>1</v>
      </c>
    </row>
    <row r="114" spans="1:36" x14ac:dyDescent="0.25">
      <c r="A114" s="298" t="str">
        <f>IF('Kwaliteit conversie'!$D$4='Prijs karton'!C114,"X"," ")</f>
        <v xml:space="preserve"> </v>
      </c>
      <c r="B114" s="331" t="s">
        <v>36</v>
      </c>
      <c r="C114" s="359" t="s">
        <v>1388</v>
      </c>
      <c r="D114" s="366">
        <v>0.6</v>
      </c>
      <c r="E114" s="321">
        <v>6.2</v>
      </c>
      <c r="F114" s="925">
        <v>0</v>
      </c>
      <c r="G114" s="315">
        <v>52.9</v>
      </c>
      <c r="H114" s="315">
        <v>51.6</v>
      </c>
      <c r="I114" s="315">
        <v>51.3</v>
      </c>
      <c r="J114" s="315">
        <v>51.1</v>
      </c>
      <c r="K114" s="513">
        <v>51.1</v>
      </c>
      <c r="L114" s="926" t="s">
        <v>1389</v>
      </c>
      <c r="M114" s="331" t="s">
        <v>1363</v>
      </c>
      <c r="N114" s="366" t="s">
        <v>238</v>
      </c>
      <c r="O114" s="323" t="s">
        <v>244</v>
      </c>
      <c r="P114" s="386" t="s">
        <v>238</v>
      </c>
      <c r="Q114" s="323" t="s">
        <v>239</v>
      </c>
      <c r="R114" s="366" t="s">
        <v>239</v>
      </c>
      <c r="S114" s="378" t="s">
        <v>1363</v>
      </c>
      <c r="T114" s="324" t="s">
        <v>1364</v>
      </c>
      <c r="U114" s="386">
        <v>250</v>
      </c>
      <c r="V114" s="386">
        <v>2450</v>
      </c>
      <c r="W114" s="386">
        <v>600</v>
      </c>
      <c r="X114" s="386">
        <v>6000</v>
      </c>
      <c r="Y114" s="386">
        <v>130</v>
      </c>
      <c r="Z114" s="386">
        <v>65</v>
      </c>
      <c r="AA114" s="386">
        <v>200</v>
      </c>
      <c r="AB114" s="392">
        <v>7.24</v>
      </c>
      <c r="AC114" s="28">
        <v>0</v>
      </c>
      <c r="AD114" s="28">
        <v>1</v>
      </c>
      <c r="AE114" s="28">
        <v>1</v>
      </c>
      <c r="AF114" s="28">
        <v>1</v>
      </c>
      <c r="AG114" s="28">
        <v>1</v>
      </c>
      <c r="AH114" s="28">
        <v>1</v>
      </c>
      <c r="AI114" s="28">
        <v>1</v>
      </c>
      <c r="AJ114" s="28">
        <v>1</v>
      </c>
    </row>
    <row r="115" spans="1:36" x14ac:dyDescent="0.25">
      <c r="A115" s="298" t="str">
        <f>IF('Kwaliteit conversie'!$D$4='Prijs karton'!C115,"X"," ")</f>
        <v xml:space="preserve"> </v>
      </c>
      <c r="B115" s="331" t="s">
        <v>36</v>
      </c>
      <c r="C115" s="359" t="s">
        <v>1411</v>
      </c>
      <c r="D115" s="366">
        <v>0.6</v>
      </c>
      <c r="E115" s="321">
        <v>6.2</v>
      </c>
      <c r="F115" s="925">
        <v>0</v>
      </c>
      <c r="G115" s="315">
        <v>50.3</v>
      </c>
      <c r="H115" s="315">
        <v>49</v>
      </c>
      <c r="I115" s="315">
        <v>48.8</v>
      </c>
      <c r="J115" s="315">
        <v>48.5</v>
      </c>
      <c r="K115" s="513">
        <v>48.5</v>
      </c>
      <c r="L115" s="926" t="s">
        <v>1412</v>
      </c>
      <c r="M115" s="331" t="s">
        <v>244</v>
      </c>
      <c r="N115" s="366" t="s">
        <v>244</v>
      </c>
      <c r="O115" s="323" t="s">
        <v>244</v>
      </c>
      <c r="P115" s="386" t="s">
        <v>244</v>
      </c>
      <c r="Q115" s="323" t="s">
        <v>239</v>
      </c>
      <c r="R115" s="366" t="s">
        <v>239</v>
      </c>
      <c r="S115" s="378" t="s">
        <v>244</v>
      </c>
      <c r="T115" s="324" t="s">
        <v>1364</v>
      </c>
      <c r="U115" s="386">
        <v>250</v>
      </c>
      <c r="V115" s="386">
        <v>2450</v>
      </c>
      <c r="W115" s="386">
        <v>600</v>
      </c>
      <c r="X115" s="386">
        <v>6000</v>
      </c>
      <c r="Y115" s="386">
        <v>130</v>
      </c>
      <c r="Z115" s="386">
        <v>65</v>
      </c>
      <c r="AA115" s="386">
        <v>200</v>
      </c>
      <c r="AB115" s="392">
        <v>7.03</v>
      </c>
      <c r="AC115" s="28">
        <v>0</v>
      </c>
      <c r="AD115" s="28">
        <v>1</v>
      </c>
      <c r="AE115" s="28">
        <v>1</v>
      </c>
      <c r="AF115" s="28">
        <v>1</v>
      </c>
      <c r="AG115" s="28">
        <v>1</v>
      </c>
      <c r="AH115" s="28">
        <v>1</v>
      </c>
      <c r="AI115" s="28">
        <v>1</v>
      </c>
      <c r="AJ115" s="28">
        <v>1</v>
      </c>
    </row>
    <row r="116" spans="1:36" x14ac:dyDescent="0.25">
      <c r="A116" s="298" t="str">
        <f>IF('Kwaliteit conversie'!$D$4='Prijs karton'!C116,"X"," ")</f>
        <v xml:space="preserve"> </v>
      </c>
      <c r="B116" s="331" t="s">
        <v>36</v>
      </c>
      <c r="C116" s="359"/>
      <c r="D116" s="366"/>
      <c r="E116" s="321"/>
      <c r="F116" s="925"/>
      <c r="G116" s="315"/>
      <c r="H116" s="315"/>
      <c r="I116" s="315"/>
      <c r="J116" s="315"/>
      <c r="K116" s="513"/>
      <c r="L116" s="926"/>
      <c r="M116" s="331"/>
      <c r="N116" s="366"/>
      <c r="O116" s="323"/>
      <c r="P116" s="386"/>
      <c r="Q116" s="323"/>
      <c r="R116" s="366"/>
      <c r="S116" s="378"/>
      <c r="T116" s="324"/>
      <c r="U116" s="386"/>
      <c r="V116" s="386"/>
      <c r="W116" s="386"/>
      <c r="X116" s="386"/>
      <c r="Y116" s="386"/>
      <c r="Z116" s="386"/>
      <c r="AA116" s="386"/>
      <c r="AB116" s="392"/>
      <c r="AC116" s="28"/>
      <c r="AD116" s="28"/>
      <c r="AE116" s="28"/>
      <c r="AF116" s="28"/>
      <c r="AG116" s="28"/>
      <c r="AH116" s="28"/>
      <c r="AI116" s="28"/>
      <c r="AJ116" s="28"/>
    </row>
    <row r="117" spans="1:36" x14ac:dyDescent="0.25">
      <c r="A117" s="298" t="str">
        <f>IF('Kwaliteit conversie'!$D$4='Prijs karton'!C117,"X"," ")</f>
        <v xml:space="preserve"> </v>
      </c>
      <c r="B117" s="331" t="s">
        <v>36</v>
      </c>
      <c r="C117" s="359"/>
      <c r="D117" s="366"/>
      <c r="E117" s="321"/>
      <c r="F117" s="925"/>
      <c r="G117" s="315"/>
      <c r="H117" s="315"/>
      <c r="I117" s="315"/>
      <c r="J117" s="315"/>
      <c r="K117" s="513"/>
      <c r="L117" s="926"/>
      <c r="M117" s="331"/>
      <c r="N117" s="366"/>
      <c r="O117" s="323"/>
      <c r="P117" s="386"/>
      <c r="Q117" s="323"/>
      <c r="R117" s="366"/>
      <c r="S117" s="378"/>
      <c r="T117" s="324"/>
      <c r="U117" s="386"/>
      <c r="V117" s="386"/>
      <c r="W117" s="386"/>
      <c r="X117" s="386"/>
      <c r="Y117" s="386"/>
      <c r="Z117" s="386"/>
      <c r="AA117" s="386"/>
      <c r="AB117" s="392"/>
      <c r="AC117" s="28"/>
      <c r="AD117" s="28"/>
      <c r="AE117" s="28"/>
      <c r="AF117" s="28"/>
      <c r="AG117" s="28"/>
      <c r="AH117" s="28"/>
      <c r="AI117" s="28"/>
      <c r="AJ117" s="28"/>
    </row>
    <row r="118" spans="1:36" x14ac:dyDescent="0.25">
      <c r="A118" s="298" t="str">
        <f>IF('Kwaliteit conversie'!$D$4='Prijs karton'!C118,"X"," ")</f>
        <v xml:space="preserve"> </v>
      </c>
      <c r="B118" s="331" t="s">
        <v>36</v>
      </c>
      <c r="C118" s="359"/>
      <c r="D118" s="366"/>
      <c r="E118" s="321"/>
      <c r="F118" s="925"/>
      <c r="G118" s="315"/>
      <c r="H118" s="315"/>
      <c r="I118" s="315"/>
      <c r="J118" s="315"/>
      <c r="K118" s="513"/>
      <c r="L118" s="926"/>
      <c r="M118" s="331"/>
      <c r="N118" s="366"/>
      <c r="O118" s="323"/>
      <c r="P118" s="386"/>
      <c r="Q118" s="323"/>
      <c r="R118" s="366"/>
      <c r="S118" s="378"/>
      <c r="T118" s="324"/>
      <c r="U118" s="386"/>
      <c r="V118" s="386"/>
      <c r="W118" s="386"/>
      <c r="X118" s="386"/>
      <c r="Y118" s="386"/>
      <c r="Z118" s="386"/>
      <c r="AA118" s="386"/>
      <c r="AB118" s="392"/>
      <c r="AC118" s="28"/>
      <c r="AD118" s="28"/>
      <c r="AE118" s="28"/>
      <c r="AF118" s="28"/>
      <c r="AG118" s="28"/>
      <c r="AH118" s="28"/>
      <c r="AI118" s="28"/>
      <c r="AJ118" s="28"/>
    </row>
    <row r="119" spans="1:36" x14ac:dyDescent="0.25">
      <c r="A119" s="298" t="str">
        <f>IF('Kwaliteit conversie'!$D$4='Prijs karton'!C119,"X"," ")</f>
        <v xml:space="preserve"> </v>
      </c>
      <c r="B119" s="331" t="s">
        <v>36</v>
      </c>
      <c r="C119" s="359"/>
      <c r="D119" s="366"/>
      <c r="E119" s="321"/>
      <c r="F119" s="925"/>
      <c r="G119" s="315"/>
      <c r="H119" s="315"/>
      <c r="I119" s="315"/>
      <c r="J119" s="315"/>
      <c r="K119" s="513"/>
      <c r="L119" s="926"/>
      <c r="M119" s="331"/>
      <c r="N119" s="366"/>
      <c r="O119" s="323"/>
      <c r="P119" s="386"/>
      <c r="Q119" s="323"/>
      <c r="R119" s="366"/>
      <c r="S119" s="378"/>
      <c r="T119" s="324"/>
      <c r="U119" s="386"/>
      <c r="V119" s="386"/>
      <c r="W119" s="386"/>
      <c r="X119" s="386"/>
      <c r="Y119" s="386"/>
      <c r="Z119" s="386"/>
      <c r="AA119" s="386"/>
      <c r="AB119" s="392"/>
      <c r="AC119" s="28"/>
      <c r="AD119" s="28"/>
      <c r="AE119" s="28"/>
      <c r="AF119" s="28"/>
      <c r="AG119" s="28"/>
      <c r="AH119" s="28"/>
      <c r="AI119" s="28"/>
      <c r="AJ119" s="28"/>
    </row>
    <row r="120" spans="1:36" x14ac:dyDescent="0.25">
      <c r="A120" s="298" t="str">
        <f>IF('Kwaliteit conversie'!$D$4='Prijs karton'!C120,"X"," ")</f>
        <v xml:space="preserve"> </v>
      </c>
      <c r="B120" s="331" t="s">
        <v>36</v>
      </c>
      <c r="C120" s="359"/>
      <c r="D120" s="366"/>
      <c r="E120" s="321"/>
      <c r="F120" s="925"/>
      <c r="G120" s="315"/>
      <c r="H120" s="315"/>
      <c r="I120" s="315"/>
      <c r="J120" s="315"/>
      <c r="K120" s="513"/>
      <c r="L120" s="926"/>
      <c r="M120" s="331"/>
      <c r="N120" s="366"/>
      <c r="O120" s="323"/>
      <c r="P120" s="386"/>
      <c r="Q120" s="323"/>
      <c r="R120" s="366"/>
      <c r="S120" s="378"/>
      <c r="T120" s="324"/>
      <c r="U120" s="386"/>
      <c r="V120" s="386"/>
      <c r="W120" s="386"/>
      <c r="X120" s="386"/>
      <c r="Y120" s="386"/>
      <c r="Z120" s="386"/>
      <c r="AA120" s="386"/>
      <c r="AB120" s="392"/>
      <c r="AC120" s="28"/>
      <c r="AD120" s="28"/>
      <c r="AE120" s="28"/>
      <c r="AF120" s="28"/>
      <c r="AG120" s="28"/>
      <c r="AH120" s="28"/>
      <c r="AI120" s="28"/>
      <c r="AJ120" s="28"/>
    </row>
    <row r="121" spans="1:36" x14ac:dyDescent="0.25">
      <c r="A121" s="298" t="str">
        <f>IF('Kwaliteit conversie'!$D$4='Prijs karton'!C121,"X"," ")</f>
        <v xml:space="preserve"> </v>
      </c>
      <c r="B121" s="331" t="s">
        <v>36</v>
      </c>
      <c r="C121" s="359"/>
      <c r="D121" s="366"/>
      <c r="E121" s="321"/>
      <c r="F121" s="925"/>
      <c r="G121" s="315"/>
      <c r="H121" s="315"/>
      <c r="I121" s="315"/>
      <c r="J121" s="315"/>
      <c r="K121" s="513"/>
      <c r="L121" s="926"/>
      <c r="M121" s="331"/>
      <c r="N121" s="366"/>
      <c r="O121" s="323"/>
      <c r="P121" s="386"/>
      <c r="Q121" s="323"/>
      <c r="R121" s="366"/>
      <c r="S121" s="378"/>
      <c r="T121" s="324"/>
      <c r="U121" s="386"/>
      <c r="V121" s="386"/>
      <c r="W121" s="386"/>
      <c r="X121" s="386"/>
      <c r="Y121" s="386"/>
      <c r="Z121" s="386"/>
      <c r="AA121" s="386"/>
      <c r="AB121" s="392"/>
      <c r="AC121" s="28"/>
      <c r="AD121" s="28"/>
      <c r="AE121" s="28"/>
      <c r="AF121" s="28"/>
      <c r="AG121" s="28"/>
      <c r="AH121" s="28"/>
      <c r="AI121" s="28"/>
      <c r="AJ121" s="28"/>
    </row>
    <row r="122" spans="1:36" x14ac:dyDescent="0.25">
      <c r="A122" s="298" t="str">
        <f>IF('Kwaliteit conversie'!$D$4='Prijs karton'!C122,"X"," ")</f>
        <v xml:space="preserve"> </v>
      </c>
      <c r="B122" s="331" t="s">
        <v>36</v>
      </c>
      <c r="C122" s="359"/>
      <c r="D122" s="366"/>
      <c r="E122" s="321"/>
      <c r="F122" s="925"/>
      <c r="G122" s="315"/>
      <c r="H122" s="315"/>
      <c r="I122" s="315"/>
      <c r="J122" s="315"/>
      <c r="K122" s="513"/>
      <c r="L122" s="926"/>
      <c r="M122" s="331"/>
      <c r="N122" s="366"/>
      <c r="O122" s="323"/>
      <c r="P122" s="386"/>
      <c r="Q122" s="323"/>
      <c r="R122" s="366"/>
      <c r="S122" s="378"/>
      <c r="T122" s="324"/>
      <c r="U122" s="386"/>
      <c r="V122" s="386"/>
      <c r="W122" s="386"/>
      <c r="X122" s="386"/>
      <c r="Y122" s="386"/>
      <c r="Z122" s="386"/>
      <c r="AA122" s="386"/>
      <c r="AB122" s="392"/>
      <c r="AC122" s="28"/>
      <c r="AD122" s="28"/>
      <c r="AE122" s="28"/>
      <c r="AF122" s="28"/>
      <c r="AG122" s="28"/>
      <c r="AH122" s="28"/>
      <c r="AI122" s="28"/>
      <c r="AJ122" s="28"/>
    </row>
    <row r="123" spans="1:36" s="320" customFormat="1" x14ac:dyDescent="0.25">
      <c r="A123" s="329" t="str">
        <f>IF('Kwaliteit conversie'!$D$4='Prijs karton'!C123,"X"," ")</f>
        <v xml:space="preserve"> </v>
      </c>
      <c r="B123" s="332" t="s">
        <v>36</v>
      </c>
      <c r="C123" s="360" t="s">
        <v>368</v>
      </c>
      <c r="D123" s="367">
        <v>0.75</v>
      </c>
      <c r="E123" s="322">
        <v>5.7</v>
      </c>
      <c r="F123" s="927">
        <v>0</v>
      </c>
      <c r="G123" s="319">
        <v>0</v>
      </c>
      <c r="H123" s="319">
        <v>0</v>
      </c>
      <c r="I123" s="319">
        <v>0</v>
      </c>
      <c r="J123" s="319">
        <v>0</v>
      </c>
      <c r="K123" s="928">
        <v>0</v>
      </c>
      <c r="L123" s="929" t="s">
        <v>239</v>
      </c>
      <c r="M123" s="379" t="s">
        <v>239</v>
      </c>
      <c r="N123" s="367" t="s">
        <v>239</v>
      </c>
      <c r="O123" s="325" t="s">
        <v>239</v>
      </c>
      <c r="P123" s="387" t="s">
        <v>239</v>
      </c>
      <c r="Q123" s="325" t="s">
        <v>239</v>
      </c>
      <c r="R123" s="367" t="s">
        <v>239</v>
      </c>
      <c r="S123" s="380" t="s">
        <v>239</v>
      </c>
      <c r="T123" s="326" t="s">
        <v>245</v>
      </c>
      <c r="U123" s="387">
        <v>250</v>
      </c>
      <c r="V123" s="387">
        <v>2450</v>
      </c>
      <c r="W123" s="387">
        <v>500</v>
      </c>
      <c r="X123" s="387">
        <v>6200</v>
      </c>
      <c r="Y123" s="387">
        <v>180</v>
      </c>
      <c r="Z123" s="387">
        <v>90</v>
      </c>
      <c r="AA123" s="387">
        <v>200</v>
      </c>
      <c r="AB123" s="393">
        <v>9</v>
      </c>
      <c r="AC123" s="34">
        <v>0</v>
      </c>
      <c r="AD123" s="34">
        <v>1</v>
      </c>
      <c r="AE123" s="34">
        <v>1</v>
      </c>
      <c r="AF123" s="34">
        <v>1</v>
      </c>
      <c r="AG123" s="34">
        <v>1</v>
      </c>
      <c r="AH123" s="34">
        <v>1</v>
      </c>
      <c r="AI123" s="34">
        <v>1</v>
      </c>
      <c r="AJ123" s="34">
        <v>1</v>
      </c>
    </row>
    <row r="124" spans="1:36" x14ac:dyDescent="0.25">
      <c r="A124" s="298" t="str">
        <f>IF('Kwaliteit conversie'!$D$4='Prijs karton'!C124,"X"," ")</f>
        <v xml:space="preserve"> </v>
      </c>
      <c r="B124" s="331"/>
      <c r="C124" s="359"/>
      <c r="D124" s="366"/>
      <c r="E124" s="321"/>
      <c r="F124" s="925"/>
      <c r="G124" s="315"/>
      <c r="H124" s="315"/>
      <c r="I124" s="315"/>
      <c r="J124" s="315"/>
      <c r="K124" s="513"/>
      <c r="L124" s="926"/>
      <c r="M124" s="331"/>
      <c r="N124" s="366"/>
      <c r="O124" s="323"/>
      <c r="P124" s="386"/>
      <c r="Q124" s="323"/>
      <c r="R124" s="366"/>
      <c r="S124" s="378"/>
      <c r="T124" s="324"/>
      <c r="U124" s="386"/>
      <c r="V124" s="386"/>
      <c r="W124" s="386"/>
      <c r="X124" s="386"/>
      <c r="Y124" s="386"/>
      <c r="Z124" s="386"/>
      <c r="AA124" s="386"/>
      <c r="AB124" s="392"/>
      <c r="AC124" s="28"/>
      <c r="AD124" s="28"/>
      <c r="AE124" s="28"/>
      <c r="AF124" s="28"/>
      <c r="AG124" s="28"/>
      <c r="AH124" s="28"/>
      <c r="AI124" s="28"/>
      <c r="AJ124" s="28"/>
    </row>
    <row r="125" spans="1:36" x14ac:dyDescent="0.25">
      <c r="A125" s="298" t="str">
        <f>IF('Kwaliteit conversie'!$D$4='Prijs karton'!C125,"X"," ")</f>
        <v xml:space="preserve"> </v>
      </c>
      <c r="B125" s="331"/>
      <c r="C125" s="359"/>
      <c r="D125" s="366"/>
      <c r="E125" s="321"/>
      <c r="F125" s="925"/>
      <c r="G125" s="315"/>
      <c r="H125" s="315"/>
      <c r="I125" s="315"/>
      <c r="J125" s="315"/>
      <c r="K125" s="513"/>
      <c r="L125" s="926"/>
      <c r="M125" s="331"/>
      <c r="N125" s="366"/>
      <c r="O125" s="323"/>
      <c r="P125" s="386"/>
      <c r="Q125" s="323"/>
      <c r="R125" s="366"/>
      <c r="S125" s="378"/>
      <c r="T125" s="324"/>
      <c r="U125" s="386"/>
      <c r="V125" s="386"/>
      <c r="W125" s="386"/>
      <c r="X125" s="386"/>
      <c r="Y125" s="386"/>
      <c r="Z125" s="386"/>
      <c r="AA125" s="386"/>
      <c r="AB125" s="392"/>
      <c r="AC125" s="28"/>
      <c r="AD125" s="28"/>
      <c r="AE125" s="28"/>
      <c r="AF125" s="28"/>
      <c r="AG125" s="28"/>
      <c r="AH125" s="28"/>
      <c r="AI125" s="28"/>
      <c r="AJ125" s="28"/>
    </row>
    <row r="126" spans="1:36" x14ac:dyDescent="0.25">
      <c r="A126" s="298" t="str">
        <f>IF('Kwaliteit conversie'!$D$4='Prijs karton'!C126,"X"," ")</f>
        <v xml:space="preserve"> </v>
      </c>
      <c r="B126" s="331"/>
      <c r="C126" s="359"/>
      <c r="D126" s="366"/>
      <c r="E126" s="321"/>
      <c r="F126" s="925"/>
      <c r="G126" s="315"/>
      <c r="H126" s="315"/>
      <c r="I126" s="315"/>
      <c r="J126" s="315"/>
      <c r="K126" s="513"/>
      <c r="L126" s="926"/>
      <c r="M126" s="331"/>
      <c r="N126" s="366"/>
      <c r="O126" s="323"/>
      <c r="P126" s="386"/>
      <c r="Q126" s="323"/>
      <c r="R126" s="366"/>
      <c r="S126" s="378"/>
      <c r="T126" s="324"/>
      <c r="U126" s="386"/>
      <c r="V126" s="386"/>
      <c r="W126" s="386"/>
      <c r="X126" s="386"/>
      <c r="Y126" s="386"/>
      <c r="Z126" s="386"/>
      <c r="AA126" s="386"/>
      <c r="AB126" s="392"/>
      <c r="AC126" s="28"/>
      <c r="AD126" s="28"/>
      <c r="AE126" s="28"/>
      <c r="AF126" s="28"/>
      <c r="AG126" s="28"/>
      <c r="AH126" s="28"/>
      <c r="AI126" s="28"/>
      <c r="AJ126" s="28"/>
    </row>
    <row r="127" spans="1:36" x14ac:dyDescent="0.25">
      <c r="A127" s="932" t="str">
        <f>IF('Kwaliteit conversie'!$D$4='Prijs karton'!C127,"X"," ")</f>
        <v xml:space="preserve"> </v>
      </c>
      <c r="B127" s="331" t="s">
        <v>32</v>
      </c>
      <c r="C127" s="359" t="s">
        <v>369</v>
      </c>
      <c r="D127" s="366">
        <v>0.36</v>
      </c>
      <c r="E127" s="321">
        <v>3.6</v>
      </c>
      <c r="F127" s="925">
        <v>0</v>
      </c>
      <c r="G127" s="315">
        <v>32.9</v>
      </c>
      <c r="H127" s="315">
        <v>29.9</v>
      </c>
      <c r="I127" s="315">
        <v>29.4</v>
      </c>
      <c r="J127" s="315">
        <v>29.4</v>
      </c>
      <c r="K127" s="513">
        <v>28.9</v>
      </c>
      <c r="L127" s="926" t="s">
        <v>370</v>
      </c>
      <c r="M127" s="331" t="s">
        <v>249</v>
      </c>
      <c r="N127" s="366" t="s">
        <v>244</v>
      </c>
      <c r="O127" s="323" t="s">
        <v>239</v>
      </c>
      <c r="P127" s="386" t="s">
        <v>239</v>
      </c>
      <c r="Q127" s="323" t="s">
        <v>239</v>
      </c>
      <c r="R127" s="366" t="s">
        <v>239</v>
      </c>
      <c r="S127" s="378" t="s">
        <v>249</v>
      </c>
      <c r="T127" s="324" t="s">
        <v>245</v>
      </c>
      <c r="U127" s="386">
        <v>250</v>
      </c>
      <c r="V127" s="386">
        <v>2450</v>
      </c>
      <c r="W127" s="386">
        <v>500</v>
      </c>
      <c r="X127" s="386">
        <v>6200</v>
      </c>
      <c r="Y127" s="386">
        <v>280</v>
      </c>
      <c r="Z127" s="386">
        <v>140</v>
      </c>
      <c r="AA127" s="386">
        <v>200</v>
      </c>
      <c r="AB127" s="392">
        <v>3.7</v>
      </c>
      <c r="AC127" s="28">
        <v>0</v>
      </c>
      <c r="AD127" s="28">
        <v>1</v>
      </c>
      <c r="AE127" s="28">
        <v>1</v>
      </c>
      <c r="AF127" s="28">
        <v>1</v>
      </c>
      <c r="AG127" s="28">
        <v>1</v>
      </c>
      <c r="AH127" s="28">
        <v>1</v>
      </c>
      <c r="AI127" s="28">
        <v>1</v>
      </c>
      <c r="AJ127" s="28">
        <v>1</v>
      </c>
    </row>
    <row r="128" spans="1:36" x14ac:dyDescent="0.25">
      <c r="A128" s="298" t="str">
        <f>IF('Kwaliteit conversie'!$D$4='Prijs karton'!C128,"X"," ")</f>
        <v xml:space="preserve"> </v>
      </c>
      <c r="B128" s="331" t="s">
        <v>32</v>
      </c>
      <c r="C128" s="359" t="s">
        <v>371</v>
      </c>
      <c r="D128" s="366">
        <v>0.38</v>
      </c>
      <c r="E128" s="321">
        <v>3.6</v>
      </c>
      <c r="F128" s="925">
        <v>0</v>
      </c>
      <c r="G128" s="315">
        <v>33.4</v>
      </c>
      <c r="H128" s="315">
        <v>30.4</v>
      </c>
      <c r="I128" s="315">
        <v>29.9</v>
      </c>
      <c r="J128" s="315">
        <v>29.9</v>
      </c>
      <c r="K128" s="513">
        <v>29.4</v>
      </c>
      <c r="L128" s="926" t="s">
        <v>372</v>
      </c>
      <c r="M128" s="331" t="s">
        <v>257</v>
      </c>
      <c r="N128" s="366" t="s">
        <v>244</v>
      </c>
      <c r="O128" s="323" t="s">
        <v>239</v>
      </c>
      <c r="P128" s="386" t="s">
        <v>239</v>
      </c>
      <c r="Q128" s="323" t="s">
        <v>239</v>
      </c>
      <c r="R128" s="366" t="s">
        <v>239</v>
      </c>
      <c r="S128" s="378" t="s">
        <v>249</v>
      </c>
      <c r="T128" s="324" t="s">
        <v>245</v>
      </c>
      <c r="U128" s="386">
        <v>250</v>
      </c>
      <c r="V128" s="386">
        <v>2450</v>
      </c>
      <c r="W128" s="386">
        <v>500</v>
      </c>
      <c r="X128" s="386">
        <v>6200</v>
      </c>
      <c r="Y128" s="386">
        <v>280</v>
      </c>
      <c r="Z128" s="386">
        <v>140</v>
      </c>
      <c r="AA128" s="386">
        <v>200</v>
      </c>
      <c r="AB128" s="392">
        <v>3.9</v>
      </c>
      <c r="AC128" s="28">
        <v>0</v>
      </c>
      <c r="AD128" s="28">
        <v>1</v>
      </c>
      <c r="AE128" s="28">
        <v>1</v>
      </c>
      <c r="AF128" s="28">
        <v>1</v>
      </c>
      <c r="AG128" s="28">
        <v>1</v>
      </c>
      <c r="AH128" s="28">
        <v>1</v>
      </c>
      <c r="AI128" s="28">
        <v>1</v>
      </c>
      <c r="AJ128" s="28">
        <v>1</v>
      </c>
    </row>
    <row r="129" spans="1:36" x14ac:dyDescent="0.25">
      <c r="A129" s="298" t="str">
        <f>IF('Kwaliteit conversie'!$D$4='Prijs karton'!C129,"X"," ")</f>
        <v xml:space="preserve"> </v>
      </c>
      <c r="B129" s="331" t="s">
        <v>32</v>
      </c>
      <c r="C129" s="359"/>
      <c r="D129" s="366"/>
      <c r="E129" s="321"/>
      <c r="F129" s="925"/>
      <c r="G129" s="315"/>
      <c r="H129" s="315"/>
      <c r="I129" s="315"/>
      <c r="J129" s="315"/>
      <c r="K129" s="513"/>
      <c r="L129" s="926"/>
      <c r="M129" s="331"/>
      <c r="N129" s="366"/>
      <c r="O129" s="323"/>
      <c r="P129" s="386"/>
      <c r="Q129" s="323"/>
      <c r="R129" s="366"/>
      <c r="S129" s="378"/>
      <c r="T129" s="324"/>
      <c r="U129" s="386"/>
      <c r="V129" s="386"/>
      <c r="W129" s="386"/>
      <c r="X129" s="386"/>
      <c r="Y129" s="386"/>
      <c r="Z129" s="386"/>
      <c r="AA129" s="386"/>
      <c r="AB129" s="392"/>
      <c r="AC129" s="28"/>
      <c r="AD129" s="28"/>
      <c r="AE129" s="28"/>
      <c r="AF129" s="28"/>
      <c r="AG129" s="28"/>
      <c r="AH129" s="28"/>
      <c r="AI129" s="28"/>
      <c r="AJ129" s="28"/>
    </row>
    <row r="130" spans="1:36" x14ac:dyDescent="0.25">
      <c r="A130" s="298" t="str">
        <f>IF('Kwaliteit conversie'!$D$4='Prijs karton'!C130,"X"," ")</f>
        <v xml:space="preserve"> </v>
      </c>
      <c r="B130" s="331" t="s">
        <v>32</v>
      </c>
      <c r="C130" s="359" t="s">
        <v>373</v>
      </c>
      <c r="D130" s="366">
        <v>0.435</v>
      </c>
      <c r="E130" s="321">
        <v>3.7</v>
      </c>
      <c r="F130" s="925">
        <v>0</v>
      </c>
      <c r="G130" s="315">
        <v>39.6</v>
      </c>
      <c r="H130" s="315">
        <v>36.6</v>
      </c>
      <c r="I130" s="315">
        <v>36.1</v>
      </c>
      <c r="J130" s="315">
        <v>36.1</v>
      </c>
      <c r="K130" s="513">
        <v>35.6</v>
      </c>
      <c r="L130" s="926" t="s">
        <v>374</v>
      </c>
      <c r="M130" s="331" t="s">
        <v>257</v>
      </c>
      <c r="N130" s="366" t="s">
        <v>285</v>
      </c>
      <c r="O130" s="323" t="s">
        <v>239</v>
      </c>
      <c r="P130" s="386" t="s">
        <v>239</v>
      </c>
      <c r="Q130" s="323" t="s">
        <v>239</v>
      </c>
      <c r="R130" s="366" t="s">
        <v>239</v>
      </c>
      <c r="S130" s="378" t="s">
        <v>257</v>
      </c>
      <c r="T130" s="324" t="s">
        <v>245</v>
      </c>
      <c r="U130" s="386">
        <v>250</v>
      </c>
      <c r="V130" s="386">
        <v>2450</v>
      </c>
      <c r="W130" s="386">
        <v>500</v>
      </c>
      <c r="X130" s="386">
        <v>6200</v>
      </c>
      <c r="Y130" s="386">
        <v>280</v>
      </c>
      <c r="Z130" s="386">
        <v>140</v>
      </c>
      <c r="AA130" s="386">
        <v>200</v>
      </c>
      <c r="AB130" s="392">
        <v>4.8</v>
      </c>
      <c r="AC130" s="28">
        <v>0</v>
      </c>
      <c r="AD130" s="28">
        <v>1</v>
      </c>
      <c r="AE130" s="28">
        <v>1</v>
      </c>
      <c r="AF130" s="28">
        <v>1</v>
      </c>
      <c r="AG130" s="28">
        <v>1</v>
      </c>
      <c r="AH130" s="28">
        <v>1</v>
      </c>
      <c r="AI130" s="28">
        <v>1</v>
      </c>
      <c r="AJ130" s="28">
        <v>1</v>
      </c>
    </row>
    <row r="131" spans="1:36" x14ac:dyDescent="0.25">
      <c r="A131" s="298" t="str">
        <f>IF('Kwaliteit conversie'!$D$4='Prijs karton'!C131,"X"," ")</f>
        <v xml:space="preserve"> </v>
      </c>
      <c r="B131" s="331" t="s">
        <v>32</v>
      </c>
      <c r="C131" s="359" t="s">
        <v>375</v>
      </c>
      <c r="D131" s="366">
        <v>0.5</v>
      </c>
      <c r="E131" s="321">
        <v>3.7</v>
      </c>
      <c r="F131" s="925">
        <v>0</v>
      </c>
      <c r="G131" s="315">
        <v>42.1</v>
      </c>
      <c r="H131" s="315">
        <v>39.1</v>
      </c>
      <c r="I131" s="315">
        <v>38.6</v>
      </c>
      <c r="J131" s="315">
        <v>38.6</v>
      </c>
      <c r="K131" s="513">
        <v>38.1</v>
      </c>
      <c r="L131" s="926" t="s">
        <v>376</v>
      </c>
      <c r="M131" s="331" t="s">
        <v>292</v>
      </c>
      <c r="N131" s="366" t="s">
        <v>265</v>
      </c>
      <c r="O131" s="323" t="s">
        <v>239</v>
      </c>
      <c r="P131" s="386" t="s">
        <v>239</v>
      </c>
      <c r="Q131" s="323" t="s">
        <v>239</v>
      </c>
      <c r="R131" s="366" t="s">
        <v>239</v>
      </c>
      <c r="S131" s="378" t="s">
        <v>257</v>
      </c>
      <c r="T131" s="324" t="s">
        <v>245</v>
      </c>
      <c r="U131" s="386">
        <v>250</v>
      </c>
      <c r="V131" s="386">
        <v>2450</v>
      </c>
      <c r="W131" s="386">
        <v>500</v>
      </c>
      <c r="X131" s="386">
        <v>6200</v>
      </c>
      <c r="Y131" s="386">
        <v>280</v>
      </c>
      <c r="Z131" s="386">
        <v>140</v>
      </c>
      <c r="AA131" s="386">
        <v>200</v>
      </c>
      <c r="AB131" s="392">
        <v>5.9</v>
      </c>
      <c r="AC131" s="28">
        <v>0</v>
      </c>
      <c r="AD131" s="28">
        <v>1</v>
      </c>
      <c r="AE131" s="28">
        <v>1</v>
      </c>
      <c r="AF131" s="28">
        <v>1</v>
      </c>
      <c r="AG131" s="28">
        <v>1</v>
      </c>
      <c r="AH131" s="28">
        <v>1</v>
      </c>
      <c r="AI131" s="28">
        <v>1</v>
      </c>
      <c r="AJ131" s="28">
        <v>1</v>
      </c>
    </row>
    <row r="132" spans="1:36" x14ac:dyDescent="0.25">
      <c r="A132" s="298" t="str">
        <f>IF('Kwaliteit conversie'!$D$4='Prijs karton'!C132,"X"," ")</f>
        <v xml:space="preserve"> </v>
      </c>
      <c r="B132" s="331" t="s">
        <v>32</v>
      </c>
      <c r="C132" s="359"/>
      <c r="D132" s="366"/>
      <c r="E132" s="321"/>
      <c r="F132" s="925"/>
      <c r="G132" s="315"/>
      <c r="H132" s="315"/>
      <c r="I132" s="315"/>
      <c r="J132" s="315"/>
      <c r="K132" s="513"/>
      <c r="L132" s="926"/>
      <c r="M132" s="331"/>
      <c r="N132" s="366"/>
      <c r="O132" s="323"/>
      <c r="P132" s="386"/>
      <c r="Q132" s="323"/>
      <c r="R132" s="366"/>
      <c r="S132" s="378"/>
      <c r="T132" s="324"/>
      <c r="U132" s="386"/>
      <c r="V132" s="386"/>
      <c r="W132" s="386"/>
      <c r="X132" s="386"/>
      <c r="Y132" s="386"/>
      <c r="Z132" s="386"/>
      <c r="AA132" s="386"/>
      <c r="AB132" s="392"/>
      <c r="AC132" s="28"/>
      <c r="AD132" s="28"/>
      <c r="AE132" s="28"/>
      <c r="AF132" s="28"/>
      <c r="AG132" s="28"/>
      <c r="AH132" s="28"/>
      <c r="AI132" s="28"/>
      <c r="AJ132" s="28"/>
    </row>
    <row r="133" spans="1:36" x14ac:dyDescent="0.25">
      <c r="A133" s="298" t="str">
        <f>IF('Kwaliteit conversie'!$D$4='Prijs karton'!C133,"X"," ")</f>
        <v xml:space="preserve"> </v>
      </c>
      <c r="B133" s="331" t="s">
        <v>32</v>
      </c>
      <c r="C133" s="359" t="s">
        <v>377</v>
      </c>
      <c r="D133" s="366">
        <v>0.40500000000000003</v>
      </c>
      <c r="E133" s="321">
        <v>3.6</v>
      </c>
      <c r="F133" s="925">
        <v>0</v>
      </c>
      <c r="G133" s="315">
        <v>41.5</v>
      </c>
      <c r="H133" s="315">
        <v>38.5</v>
      </c>
      <c r="I133" s="315">
        <v>38</v>
      </c>
      <c r="J133" s="315">
        <v>38</v>
      </c>
      <c r="K133" s="513">
        <v>37.5</v>
      </c>
      <c r="L133" s="926" t="s">
        <v>378</v>
      </c>
      <c r="M133" s="331" t="s">
        <v>274</v>
      </c>
      <c r="N133" s="366" t="s">
        <v>244</v>
      </c>
      <c r="O133" s="323" t="s">
        <v>239</v>
      </c>
      <c r="P133" s="386" t="s">
        <v>239</v>
      </c>
      <c r="Q133" s="323" t="s">
        <v>239</v>
      </c>
      <c r="R133" s="366" t="s">
        <v>239</v>
      </c>
      <c r="S133" s="378" t="s">
        <v>257</v>
      </c>
      <c r="T133" s="324" t="s">
        <v>245</v>
      </c>
      <c r="U133" s="386">
        <v>250</v>
      </c>
      <c r="V133" s="386">
        <v>2450</v>
      </c>
      <c r="W133" s="386">
        <v>500</v>
      </c>
      <c r="X133" s="386">
        <v>6200</v>
      </c>
      <c r="Y133" s="386">
        <v>280</v>
      </c>
      <c r="Z133" s="386">
        <v>140</v>
      </c>
      <c r="AA133" s="386">
        <v>200</v>
      </c>
      <c r="AB133" s="392">
        <v>4.5</v>
      </c>
      <c r="AC133" s="28">
        <v>0</v>
      </c>
      <c r="AD133" s="28">
        <v>1</v>
      </c>
      <c r="AE133" s="28">
        <v>1</v>
      </c>
      <c r="AF133" s="28">
        <v>1</v>
      </c>
      <c r="AG133" s="28">
        <v>1</v>
      </c>
      <c r="AH133" s="28">
        <v>1</v>
      </c>
      <c r="AI133" s="28">
        <v>1</v>
      </c>
      <c r="AJ133" s="28">
        <v>1</v>
      </c>
    </row>
    <row r="134" spans="1:36" x14ac:dyDescent="0.25">
      <c r="A134" s="298" t="str">
        <f>IF('Kwaliteit conversie'!$D$4='Prijs karton'!C134,"X"," ")</f>
        <v xml:space="preserve"> </v>
      </c>
      <c r="B134" s="331" t="s">
        <v>32</v>
      </c>
      <c r="C134" s="359" t="s">
        <v>379</v>
      </c>
      <c r="D134" s="366">
        <v>0.47</v>
      </c>
      <c r="E134" s="321">
        <v>3.7</v>
      </c>
      <c r="F134" s="925">
        <v>0</v>
      </c>
      <c r="G134" s="315">
        <v>47</v>
      </c>
      <c r="H134" s="315">
        <v>44</v>
      </c>
      <c r="I134" s="315">
        <v>43.5</v>
      </c>
      <c r="J134" s="315">
        <v>43.5</v>
      </c>
      <c r="K134" s="513">
        <v>43</v>
      </c>
      <c r="L134" s="926" t="s">
        <v>380</v>
      </c>
      <c r="M134" s="331" t="s">
        <v>274</v>
      </c>
      <c r="N134" s="366" t="s">
        <v>265</v>
      </c>
      <c r="O134" s="323" t="s">
        <v>239</v>
      </c>
      <c r="P134" s="386" t="s">
        <v>239</v>
      </c>
      <c r="Q134" s="323" t="s">
        <v>239</v>
      </c>
      <c r="R134" s="366" t="s">
        <v>239</v>
      </c>
      <c r="S134" s="378" t="s">
        <v>257</v>
      </c>
      <c r="T134" s="324" t="s">
        <v>245</v>
      </c>
      <c r="U134" s="386">
        <v>250</v>
      </c>
      <c r="V134" s="386">
        <v>2450</v>
      </c>
      <c r="W134" s="386">
        <v>500</v>
      </c>
      <c r="X134" s="386">
        <v>6200</v>
      </c>
      <c r="Y134" s="386">
        <v>280</v>
      </c>
      <c r="Z134" s="386">
        <v>140</v>
      </c>
      <c r="AA134" s="386">
        <v>200</v>
      </c>
      <c r="AB134" s="392">
        <v>5.6</v>
      </c>
      <c r="AC134" s="28">
        <v>0</v>
      </c>
      <c r="AD134" s="28">
        <v>1</v>
      </c>
      <c r="AE134" s="28">
        <v>1</v>
      </c>
      <c r="AF134" s="28">
        <v>1</v>
      </c>
      <c r="AG134" s="28">
        <v>1</v>
      </c>
      <c r="AH134" s="28">
        <v>1</v>
      </c>
      <c r="AI134" s="28">
        <v>1</v>
      </c>
      <c r="AJ134" s="28">
        <v>1</v>
      </c>
    </row>
    <row r="135" spans="1:36" x14ac:dyDescent="0.25">
      <c r="A135" s="298" t="str">
        <f>IF('Kwaliteit conversie'!$D$4='Prijs karton'!C135,"X"," ")</f>
        <v xml:space="preserve"> </v>
      </c>
      <c r="B135" s="331" t="s">
        <v>32</v>
      </c>
      <c r="C135" s="359"/>
      <c r="D135" s="366"/>
      <c r="E135" s="321"/>
      <c r="F135" s="925"/>
      <c r="G135" s="315"/>
      <c r="H135" s="315"/>
      <c r="I135" s="315"/>
      <c r="J135" s="315"/>
      <c r="K135" s="513"/>
      <c r="L135" s="926"/>
      <c r="M135" s="331"/>
      <c r="N135" s="366"/>
      <c r="O135" s="323"/>
      <c r="P135" s="386"/>
      <c r="Q135" s="323"/>
      <c r="R135" s="366"/>
      <c r="S135" s="378"/>
      <c r="T135" s="324"/>
      <c r="U135" s="386"/>
      <c r="V135" s="386"/>
      <c r="W135" s="386"/>
      <c r="X135" s="386"/>
      <c r="Y135" s="386"/>
      <c r="Z135" s="386"/>
      <c r="AA135" s="386"/>
      <c r="AB135" s="392"/>
      <c r="AC135" s="28"/>
      <c r="AD135" s="28"/>
      <c r="AE135" s="28"/>
      <c r="AF135" s="28"/>
      <c r="AG135" s="28"/>
      <c r="AH135" s="28"/>
      <c r="AI135" s="28"/>
      <c r="AJ135" s="28"/>
    </row>
    <row r="136" spans="1:36" x14ac:dyDescent="0.25">
      <c r="A136" s="298" t="str">
        <f>IF('Kwaliteit conversie'!$D$4='Prijs karton'!C136,"X"," ")</f>
        <v xml:space="preserve"> </v>
      </c>
      <c r="B136" s="331" t="s">
        <v>32</v>
      </c>
      <c r="C136" s="359" t="s">
        <v>381</v>
      </c>
      <c r="D136" s="366">
        <v>0.40300000000000002</v>
      </c>
      <c r="E136" s="321">
        <v>4.01</v>
      </c>
      <c r="F136" s="925">
        <v>0</v>
      </c>
      <c r="G136" s="315">
        <v>53.9</v>
      </c>
      <c r="H136" s="315">
        <v>50.9</v>
      </c>
      <c r="I136" s="315">
        <v>50.9</v>
      </c>
      <c r="J136" s="315">
        <v>48.9</v>
      </c>
      <c r="K136" s="513">
        <v>48.9</v>
      </c>
      <c r="L136" s="926" t="s">
        <v>382</v>
      </c>
      <c r="M136" s="331" t="s">
        <v>318</v>
      </c>
      <c r="N136" s="366" t="s">
        <v>238</v>
      </c>
      <c r="O136" s="323" t="s">
        <v>239</v>
      </c>
      <c r="P136" s="386" t="s">
        <v>239</v>
      </c>
      <c r="Q136" s="323" t="s">
        <v>239</v>
      </c>
      <c r="R136" s="366" t="s">
        <v>239</v>
      </c>
      <c r="S136" s="378" t="s">
        <v>260</v>
      </c>
      <c r="T136" s="324" t="s">
        <v>240</v>
      </c>
      <c r="U136" s="386">
        <v>240</v>
      </c>
      <c r="V136" s="386">
        <v>2450</v>
      </c>
      <c r="W136" s="386">
        <v>500</v>
      </c>
      <c r="X136" s="386">
        <v>6000</v>
      </c>
      <c r="Y136" s="386">
        <v>85</v>
      </c>
      <c r="Z136" s="386">
        <v>85</v>
      </c>
      <c r="AA136" s="386">
        <v>200</v>
      </c>
      <c r="AB136" s="392">
        <v>5.21</v>
      </c>
      <c r="AC136" s="28">
        <v>0</v>
      </c>
      <c r="AD136" s="28">
        <v>1</v>
      </c>
      <c r="AE136" s="28">
        <v>1</v>
      </c>
      <c r="AF136" s="28">
        <v>1</v>
      </c>
      <c r="AG136" s="28">
        <v>1</v>
      </c>
      <c r="AH136" s="28">
        <v>1</v>
      </c>
      <c r="AI136" s="28">
        <v>1</v>
      </c>
      <c r="AJ136" s="28">
        <v>1</v>
      </c>
    </row>
    <row r="137" spans="1:36" x14ac:dyDescent="0.25">
      <c r="A137" s="298" t="str">
        <f>IF('Kwaliteit conversie'!$D$4='Prijs karton'!C137,"X"," ")</f>
        <v xml:space="preserve"> </v>
      </c>
      <c r="B137" s="331" t="s">
        <v>32</v>
      </c>
      <c r="C137" s="359"/>
      <c r="D137" s="366"/>
      <c r="E137" s="321"/>
      <c r="F137" s="925"/>
      <c r="G137" s="315"/>
      <c r="H137" s="315"/>
      <c r="I137" s="315"/>
      <c r="J137" s="315"/>
      <c r="K137" s="513"/>
      <c r="L137" s="926"/>
      <c r="M137" s="331"/>
      <c r="N137" s="366"/>
      <c r="O137" s="323"/>
      <c r="P137" s="386"/>
      <c r="Q137" s="323"/>
      <c r="R137" s="366"/>
      <c r="S137" s="378"/>
      <c r="T137" s="324"/>
      <c r="U137" s="386"/>
      <c r="V137" s="386"/>
      <c r="W137" s="386"/>
      <c r="X137" s="386"/>
      <c r="Y137" s="386"/>
      <c r="Z137" s="386"/>
      <c r="AA137" s="386"/>
      <c r="AB137" s="392"/>
      <c r="AC137" s="28"/>
      <c r="AD137" s="28"/>
      <c r="AE137" s="28"/>
      <c r="AF137" s="28"/>
      <c r="AG137" s="28"/>
      <c r="AH137" s="28"/>
      <c r="AI137" s="28"/>
      <c r="AJ137" s="28"/>
    </row>
    <row r="138" spans="1:36" x14ac:dyDescent="0.25">
      <c r="A138" s="298" t="str">
        <f>IF('Kwaliteit conversie'!$D$4='Prijs karton'!C138,"X"," ")</f>
        <v xml:space="preserve"> </v>
      </c>
      <c r="B138" s="331" t="s">
        <v>32</v>
      </c>
      <c r="C138" s="359" t="s">
        <v>383</v>
      </c>
      <c r="D138" s="366">
        <v>0.46500000000000002</v>
      </c>
      <c r="E138" s="321">
        <v>3.7</v>
      </c>
      <c r="F138" s="925">
        <v>0</v>
      </c>
      <c r="G138" s="315">
        <v>48.8</v>
      </c>
      <c r="H138" s="315">
        <v>45.8</v>
      </c>
      <c r="I138" s="315">
        <v>45.3</v>
      </c>
      <c r="J138" s="315">
        <v>45.3</v>
      </c>
      <c r="K138" s="513">
        <v>44.8</v>
      </c>
      <c r="L138" s="926" t="s">
        <v>384</v>
      </c>
      <c r="M138" s="331" t="s">
        <v>277</v>
      </c>
      <c r="N138" s="366" t="s">
        <v>265</v>
      </c>
      <c r="O138" s="323" t="s">
        <v>239</v>
      </c>
      <c r="P138" s="386" t="s">
        <v>239</v>
      </c>
      <c r="Q138" s="323" t="s">
        <v>239</v>
      </c>
      <c r="R138" s="366" t="s">
        <v>239</v>
      </c>
      <c r="S138" s="378" t="s">
        <v>257</v>
      </c>
      <c r="T138" s="324" t="s">
        <v>245</v>
      </c>
      <c r="U138" s="386">
        <v>250</v>
      </c>
      <c r="V138" s="386">
        <v>2450</v>
      </c>
      <c r="W138" s="386">
        <v>500</v>
      </c>
      <c r="X138" s="386">
        <v>6200</v>
      </c>
      <c r="Y138" s="386">
        <v>280</v>
      </c>
      <c r="Z138" s="386">
        <v>140</v>
      </c>
      <c r="AA138" s="386">
        <v>200</v>
      </c>
      <c r="AB138" s="392">
        <v>5.4</v>
      </c>
      <c r="AC138" s="28">
        <v>0</v>
      </c>
      <c r="AD138" s="28">
        <v>1</v>
      </c>
      <c r="AE138" s="28">
        <v>1</v>
      </c>
      <c r="AF138" s="28">
        <v>1</v>
      </c>
      <c r="AG138" s="28">
        <v>1</v>
      </c>
      <c r="AH138" s="28">
        <v>1</v>
      </c>
      <c r="AI138" s="28">
        <v>1</v>
      </c>
      <c r="AJ138" s="28">
        <v>1</v>
      </c>
    </row>
    <row r="139" spans="1:36" x14ac:dyDescent="0.25">
      <c r="A139" s="298" t="str">
        <f>IF('Kwaliteit conversie'!$D$4='Prijs karton'!C139,"X"," ")</f>
        <v xml:space="preserve"> </v>
      </c>
      <c r="B139" s="331" t="s">
        <v>32</v>
      </c>
      <c r="C139" s="359"/>
      <c r="D139" s="366"/>
      <c r="E139" s="321"/>
      <c r="F139" s="925"/>
      <c r="G139" s="315"/>
      <c r="H139" s="315"/>
      <c r="I139" s="315"/>
      <c r="J139" s="315"/>
      <c r="K139" s="513"/>
      <c r="L139" s="926"/>
      <c r="M139" s="331"/>
      <c r="N139" s="366"/>
      <c r="O139" s="323" t="s">
        <v>239</v>
      </c>
      <c r="P139" s="386" t="s">
        <v>239</v>
      </c>
      <c r="Q139" s="323" t="s">
        <v>239</v>
      </c>
      <c r="R139" s="366" t="s">
        <v>239</v>
      </c>
      <c r="S139" s="378"/>
      <c r="T139" s="324"/>
      <c r="U139" s="386"/>
      <c r="V139" s="386"/>
      <c r="W139" s="386"/>
      <c r="X139" s="386"/>
      <c r="Y139" s="386"/>
      <c r="Z139" s="386"/>
      <c r="AA139" s="386"/>
      <c r="AB139" s="392"/>
      <c r="AC139" s="28"/>
      <c r="AD139" s="28"/>
      <c r="AE139" s="28"/>
      <c r="AF139" s="28"/>
      <c r="AG139" s="28"/>
      <c r="AH139" s="28"/>
      <c r="AI139" s="28"/>
      <c r="AJ139" s="28"/>
    </row>
    <row r="140" spans="1:36" x14ac:dyDescent="0.25">
      <c r="A140" s="298" t="str">
        <f>IF('Kwaliteit conversie'!$D$4='Prijs karton'!C140,"X"," ")</f>
        <v xml:space="preserve"> </v>
      </c>
      <c r="B140" s="331" t="s">
        <v>32</v>
      </c>
      <c r="C140" s="359" t="s">
        <v>385</v>
      </c>
      <c r="D140" s="366">
        <v>0.51</v>
      </c>
      <c r="E140" s="321">
        <v>3.7</v>
      </c>
      <c r="F140" s="925">
        <v>0</v>
      </c>
      <c r="G140" s="315">
        <v>55</v>
      </c>
      <c r="H140" s="315">
        <v>52</v>
      </c>
      <c r="I140" s="315">
        <v>51.5</v>
      </c>
      <c r="J140" s="315">
        <v>51.5</v>
      </c>
      <c r="K140" s="513">
        <v>51</v>
      </c>
      <c r="L140" s="926" t="s">
        <v>386</v>
      </c>
      <c r="M140" s="331" t="s">
        <v>294</v>
      </c>
      <c r="N140" s="366" t="s">
        <v>265</v>
      </c>
      <c r="O140" s="323" t="s">
        <v>239</v>
      </c>
      <c r="P140" s="386" t="s">
        <v>239</v>
      </c>
      <c r="Q140" s="323" t="s">
        <v>239</v>
      </c>
      <c r="R140" s="366" t="s">
        <v>239</v>
      </c>
      <c r="S140" s="378" t="s">
        <v>274</v>
      </c>
      <c r="T140" s="324" t="s">
        <v>245</v>
      </c>
      <c r="U140" s="386">
        <v>250</v>
      </c>
      <c r="V140" s="386">
        <v>2450</v>
      </c>
      <c r="W140" s="386">
        <v>500</v>
      </c>
      <c r="X140" s="386">
        <v>6200</v>
      </c>
      <c r="Y140" s="386">
        <v>280</v>
      </c>
      <c r="Z140" s="386">
        <v>140</v>
      </c>
      <c r="AA140" s="386">
        <v>200</v>
      </c>
      <c r="AB140" s="392">
        <v>6.3</v>
      </c>
      <c r="AC140" s="28">
        <v>0</v>
      </c>
      <c r="AD140" s="28">
        <v>1</v>
      </c>
      <c r="AE140" s="28">
        <v>1</v>
      </c>
      <c r="AF140" s="28">
        <v>1</v>
      </c>
      <c r="AG140" s="28">
        <v>1</v>
      </c>
      <c r="AH140" s="28">
        <v>1</v>
      </c>
      <c r="AI140" s="28">
        <v>1</v>
      </c>
      <c r="AJ140" s="28">
        <v>1</v>
      </c>
    </row>
    <row r="141" spans="1:36" x14ac:dyDescent="0.25">
      <c r="A141" s="298" t="str">
        <f>IF('Kwaliteit conversie'!$D$4='Prijs karton'!C141,"X"," ")</f>
        <v xml:space="preserve"> </v>
      </c>
      <c r="B141" s="331" t="s">
        <v>32</v>
      </c>
      <c r="C141" s="359" t="s">
        <v>387</v>
      </c>
      <c r="D141" s="366">
        <v>0.48299999999999998</v>
      </c>
      <c r="E141" s="321">
        <v>4.13</v>
      </c>
      <c r="F141" s="925">
        <v>0</v>
      </c>
      <c r="G141" s="315" t="s">
        <v>239</v>
      </c>
      <c r="H141" s="315">
        <v>60.5</v>
      </c>
      <c r="I141" s="315">
        <v>60.5</v>
      </c>
      <c r="J141" s="315">
        <v>58.5</v>
      </c>
      <c r="K141" s="513">
        <v>58.5</v>
      </c>
      <c r="L141" s="926" t="s">
        <v>388</v>
      </c>
      <c r="M141" s="331" t="s">
        <v>300</v>
      </c>
      <c r="N141" s="366" t="s">
        <v>238</v>
      </c>
      <c r="O141" s="323" t="s">
        <v>239</v>
      </c>
      <c r="P141" s="386" t="s">
        <v>239</v>
      </c>
      <c r="Q141" s="323" t="s">
        <v>239</v>
      </c>
      <c r="R141" s="366" t="s">
        <v>239</v>
      </c>
      <c r="S141" s="378" t="s">
        <v>389</v>
      </c>
      <c r="T141" s="324" t="s">
        <v>240</v>
      </c>
      <c r="U141" s="386">
        <v>240</v>
      </c>
      <c r="V141" s="386">
        <v>2450</v>
      </c>
      <c r="W141" s="386">
        <v>500</v>
      </c>
      <c r="X141" s="386">
        <v>6000</v>
      </c>
      <c r="Y141" s="386">
        <v>85</v>
      </c>
      <c r="Z141" s="386">
        <v>85</v>
      </c>
      <c r="AA141" s="386">
        <v>500</v>
      </c>
      <c r="AB141" s="392">
        <v>5.89</v>
      </c>
      <c r="AC141" s="28">
        <v>0</v>
      </c>
      <c r="AD141" s="28">
        <v>1</v>
      </c>
      <c r="AE141" s="28">
        <v>1</v>
      </c>
      <c r="AF141" s="28">
        <v>1</v>
      </c>
      <c r="AG141" s="28">
        <v>1</v>
      </c>
      <c r="AH141" s="28">
        <v>1</v>
      </c>
      <c r="AI141" s="28">
        <v>1</v>
      </c>
      <c r="AJ141" s="28">
        <v>1</v>
      </c>
    </row>
    <row r="142" spans="1:36" x14ac:dyDescent="0.25">
      <c r="A142" s="298" t="str">
        <f>IF('Kwaliteit conversie'!$D$4='Prijs karton'!C142,"X"," ")</f>
        <v xml:space="preserve"> </v>
      </c>
      <c r="B142" s="331" t="s">
        <v>32</v>
      </c>
      <c r="C142" s="359"/>
      <c r="D142" s="366"/>
      <c r="E142" s="321"/>
      <c r="F142" s="925"/>
      <c r="G142" s="315"/>
      <c r="H142" s="315"/>
      <c r="I142" s="315"/>
      <c r="J142" s="315"/>
      <c r="K142" s="513"/>
      <c r="L142" s="926"/>
      <c r="M142" s="331"/>
      <c r="N142" s="366"/>
      <c r="O142" s="323"/>
      <c r="P142" s="386"/>
      <c r="Q142" s="323"/>
      <c r="R142" s="366"/>
      <c r="S142" s="378"/>
      <c r="T142" s="324"/>
      <c r="U142" s="386"/>
      <c r="V142" s="386"/>
      <c r="W142" s="386"/>
      <c r="X142" s="386"/>
      <c r="Y142" s="386"/>
      <c r="Z142" s="386"/>
      <c r="AA142" s="386"/>
      <c r="AB142" s="392"/>
      <c r="AC142" s="28"/>
      <c r="AD142" s="28"/>
      <c r="AE142" s="28"/>
      <c r="AF142" s="28"/>
      <c r="AG142" s="28"/>
      <c r="AH142" s="28"/>
      <c r="AI142" s="28"/>
      <c r="AJ142" s="28"/>
    </row>
    <row r="143" spans="1:36" x14ac:dyDescent="0.25">
      <c r="A143" s="298" t="str">
        <f>IF('Kwaliteit conversie'!$D$4='Prijs karton'!C143,"X"," ")</f>
        <v xml:space="preserve"> </v>
      </c>
      <c r="B143" s="331" t="s">
        <v>32</v>
      </c>
      <c r="C143" s="359" t="s">
        <v>390</v>
      </c>
      <c r="D143" s="366">
        <v>0.47</v>
      </c>
      <c r="E143" s="321">
        <v>3.7</v>
      </c>
      <c r="F143" s="925">
        <v>0</v>
      </c>
      <c r="G143" s="315">
        <v>51.5</v>
      </c>
      <c r="H143" s="315">
        <v>48.5</v>
      </c>
      <c r="I143" s="315">
        <v>48</v>
      </c>
      <c r="J143" s="315">
        <v>48</v>
      </c>
      <c r="K143" s="513">
        <v>47.5</v>
      </c>
      <c r="L143" s="926" t="s">
        <v>391</v>
      </c>
      <c r="M143" s="331" t="s">
        <v>289</v>
      </c>
      <c r="N143" s="366" t="s">
        <v>357</v>
      </c>
      <c r="O143" s="323" t="s">
        <v>239</v>
      </c>
      <c r="P143" s="386" t="s">
        <v>239</v>
      </c>
      <c r="Q143" s="323" t="s">
        <v>239</v>
      </c>
      <c r="R143" s="366" t="s">
        <v>239</v>
      </c>
      <c r="S143" s="378" t="s">
        <v>257</v>
      </c>
      <c r="T143" s="324" t="s">
        <v>245</v>
      </c>
      <c r="U143" s="386">
        <v>250</v>
      </c>
      <c r="V143" s="386">
        <v>2450</v>
      </c>
      <c r="W143" s="386">
        <v>500</v>
      </c>
      <c r="X143" s="386">
        <v>6200</v>
      </c>
      <c r="Y143" s="386">
        <v>280</v>
      </c>
      <c r="Z143" s="386">
        <v>140</v>
      </c>
      <c r="AA143" s="386">
        <v>200</v>
      </c>
      <c r="AB143" s="392">
        <v>5.9</v>
      </c>
      <c r="AC143" s="28">
        <v>0</v>
      </c>
      <c r="AD143" s="28">
        <v>1</v>
      </c>
      <c r="AE143" s="28">
        <v>1</v>
      </c>
      <c r="AF143" s="28">
        <v>1</v>
      </c>
      <c r="AG143" s="28">
        <v>1</v>
      </c>
      <c r="AH143" s="28">
        <v>1</v>
      </c>
      <c r="AI143" s="28">
        <v>1</v>
      </c>
      <c r="AJ143" s="28">
        <v>1</v>
      </c>
    </row>
    <row r="144" spans="1:36" x14ac:dyDescent="0.25">
      <c r="A144" s="298" t="str">
        <f>IF('Kwaliteit conversie'!$D$4='Prijs karton'!C144,"X"," ")</f>
        <v xml:space="preserve"> </v>
      </c>
      <c r="B144" s="331" t="s">
        <v>32</v>
      </c>
      <c r="C144" s="359"/>
      <c r="D144" s="366"/>
      <c r="E144" s="321"/>
      <c r="F144" s="925"/>
      <c r="G144" s="315"/>
      <c r="H144" s="315"/>
      <c r="I144" s="315"/>
      <c r="J144" s="315"/>
      <c r="K144" s="513"/>
      <c r="L144" s="926"/>
      <c r="M144" s="331"/>
      <c r="N144" s="366"/>
      <c r="O144" s="323"/>
      <c r="P144" s="386"/>
      <c r="Q144" s="323"/>
      <c r="R144" s="366"/>
      <c r="S144" s="378"/>
      <c r="T144" s="324"/>
      <c r="U144" s="386"/>
      <c r="V144" s="386"/>
      <c r="W144" s="386"/>
      <c r="X144" s="386"/>
      <c r="Y144" s="386"/>
      <c r="Z144" s="386"/>
      <c r="AA144" s="386"/>
      <c r="AB144" s="392"/>
      <c r="AC144" s="28"/>
      <c r="AD144" s="28"/>
      <c r="AE144" s="28"/>
      <c r="AF144" s="28"/>
      <c r="AG144" s="28"/>
      <c r="AH144" s="28"/>
      <c r="AI144" s="28"/>
      <c r="AJ144" s="28"/>
    </row>
    <row r="145" spans="1:36" x14ac:dyDescent="0.25">
      <c r="A145" s="298" t="str">
        <f>IF('Kwaliteit conversie'!$D$4='Prijs karton'!C145,"X"," ")</f>
        <v xml:space="preserve"> </v>
      </c>
      <c r="B145" s="331" t="s">
        <v>32</v>
      </c>
      <c r="C145" s="359" t="s">
        <v>1413</v>
      </c>
      <c r="D145" s="366">
        <v>0.38</v>
      </c>
      <c r="E145" s="321">
        <v>3.75</v>
      </c>
      <c r="F145" s="925">
        <v>0</v>
      </c>
      <c r="G145" s="315">
        <v>36.5</v>
      </c>
      <c r="H145" s="315">
        <v>35</v>
      </c>
      <c r="I145" s="315">
        <v>34.700000000000003</v>
      </c>
      <c r="J145" s="315">
        <v>34.5</v>
      </c>
      <c r="K145" s="513">
        <v>34.5</v>
      </c>
      <c r="L145" s="926" t="s">
        <v>1414</v>
      </c>
      <c r="M145" s="331" t="s">
        <v>1363</v>
      </c>
      <c r="N145" s="366" t="s">
        <v>238</v>
      </c>
      <c r="O145" s="323" t="s">
        <v>239</v>
      </c>
      <c r="P145" s="386" t="s">
        <v>239</v>
      </c>
      <c r="Q145" s="323" t="s">
        <v>239</v>
      </c>
      <c r="R145" s="366" t="s">
        <v>239</v>
      </c>
      <c r="S145" s="378" t="s">
        <v>1363</v>
      </c>
      <c r="T145" s="324" t="s">
        <v>1364</v>
      </c>
      <c r="U145" s="386">
        <v>250</v>
      </c>
      <c r="V145" s="386">
        <v>2450</v>
      </c>
      <c r="W145" s="386">
        <v>600</v>
      </c>
      <c r="X145" s="386">
        <v>6000</v>
      </c>
      <c r="Y145" s="386">
        <v>210</v>
      </c>
      <c r="Z145" s="386">
        <v>105</v>
      </c>
      <c r="AA145" s="386">
        <v>200</v>
      </c>
      <c r="AB145" s="392">
        <v>4.21</v>
      </c>
      <c r="AC145" s="28">
        <v>0</v>
      </c>
      <c r="AD145" s="28">
        <v>1</v>
      </c>
      <c r="AE145" s="28">
        <v>1</v>
      </c>
      <c r="AF145" s="28">
        <v>1</v>
      </c>
      <c r="AG145" s="28">
        <v>1</v>
      </c>
      <c r="AH145" s="28">
        <v>1</v>
      </c>
      <c r="AI145" s="28">
        <v>1</v>
      </c>
      <c r="AJ145" s="28">
        <v>1</v>
      </c>
    </row>
    <row r="146" spans="1:36" x14ac:dyDescent="0.25">
      <c r="A146" s="298" t="str">
        <f>IF('Kwaliteit conversie'!$D$4='Prijs karton'!C146,"X"," ")</f>
        <v xml:space="preserve"> </v>
      </c>
      <c r="B146" s="331" t="s">
        <v>32</v>
      </c>
      <c r="C146" s="359" t="s">
        <v>1415</v>
      </c>
      <c r="D146" s="366">
        <v>0.46899999999999997</v>
      </c>
      <c r="E146" s="321">
        <v>3.91</v>
      </c>
      <c r="F146" s="925">
        <v>0</v>
      </c>
      <c r="G146" s="315">
        <v>44.2</v>
      </c>
      <c r="H146" s="315">
        <v>42.8</v>
      </c>
      <c r="I146" s="315">
        <v>42.5</v>
      </c>
      <c r="J146" s="315">
        <v>42.2</v>
      </c>
      <c r="K146" s="513">
        <v>42.2</v>
      </c>
      <c r="L146" s="926" t="s">
        <v>1416</v>
      </c>
      <c r="M146" s="331" t="s">
        <v>1363</v>
      </c>
      <c r="N146" s="366" t="s">
        <v>265</v>
      </c>
      <c r="O146" s="323" t="s">
        <v>239</v>
      </c>
      <c r="P146" s="386" t="s">
        <v>239</v>
      </c>
      <c r="Q146" s="323" t="s">
        <v>239</v>
      </c>
      <c r="R146" s="366" t="s">
        <v>239</v>
      </c>
      <c r="S146" s="378" t="s">
        <v>1367</v>
      </c>
      <c r="T146" s="324" t="s">
        <v>1364</v>
      </c>
      <c r="U146" s="386">
        <v>250</v>
      </c>
      <c r="V146" s="386">
        <v>2450</v>
      </c>
      <c r="W146" s="386">
        <v>600</v>
      </c>
      <c r="X146" s="386">
        <v>6000</v>
      </c>
      <c r="Y146" s="386">
        <v>210</v>
      </c>
      <c r="Z146" s="386">
        <v>105</v>
      </c>
      <c r="AA146" s="386">
        <v>200</v>
      </c>
      <c r="AB146" s="392">
        <v>5.34</v>
      </c>
      <c r="AC146" s="28">
        <v>0</v>
      </c>
      <c r="AD146" s="28">
        <v>1</v>
      </c>
      <c r="AE146" s="28">
        <v>1</v>
      </c>
      <c r="AF146" s="28">
        <v>1</v>
      </c>
      <c r="AG146" s="28">
        <v>1</v>
      </c>
      <c r="AH146" s="28">
        <v>1</v>
      </c>
      <c r="AI146" s="28">
        <v>1</v>
      </c>
      <c r="AJ146" s="28">
        <v>1</v>
      </c>
    </row>
    <row r="147" spans="1:36" x14ac:dyDescent="0.25">
      <c r="A147" s="298" t="str">
        <f>IF('Kwaliteit conversie'!$D$4='Prijs karton'!C147,"X"," ")</f>
        <v xml:space="preserve"> </v>
      </c>
      <c r="B147" s="331" t="s">
        <v>32</v>
      </c>
      <c r="C147" s="359" t="s">
        <v>1417</v>
      </c>
      <c r="D147" s="366">
        <v>0.39500000000000002</v>
      </c>
      <c r="E147" s="321">
        <v>3.77</v>
      </c>
      <c r="F147" s="925">
        <v>0</v>
      </c>
      <c r="G147" s="315">
        <v>41.3</v>
      </c>
      <c r="H147" s="315">
        <v>40</v>
      </c>
      <c r="I147" s="315">
        <v>39.700000000000003</v>
      </c>
      <c r="J147" s="315">
        <v>39.4</v>
      </c>
      <c r="K147" s="513">
        <v>39.4</v>
      </c>
      <c r="L147" s="926" t="s">
        <v>1418</v>
      </c>
      <c r="M147" s="331" t="s">
        <v>1362</v>
      </c>
      <c r="N147" s="366" t="s">
        <v>238</v>
      </c>
      <c r="O147" s="323" t="s">
        <v>239</v>
      </c>
      <c r="P147" s="386" t="s">
        <v>239</v>
      </c>
      <c r="Q147" s="323" t="s">
        <v>239</v>
      </c>
      <c r="R147" s="366" t="s">
        <v>239</v>
      </c>
      <c r="S147" s="378" t="s">
        <v>1363</v>
      </c>
      <c r="T147" s="324" t="s">
        <v>1364</v>
      </c>
      <c r="U147" s="386">
        <v>250</v>
      </c>
      <c r="V147" s="386">
        <v>2450</v>
      </c>
      <c r="W147" s="386">
        <v>600</v>
      </c>
      <c r="X147" s="386">
        <v>6000</v>
      </c>
      <c r="Y147" s="386">
        <v>210</v>
      </c>
      <c r="Z147" s="386">
        <v>105</v>
      </c>
      <c r="AA147" s="386">
        <v>200</v>
      </c>
      <c r="AB147" s="392">
        <v>4.6900000000000004</v>
      </c>
      <c r="AC147" s="28">
        <v>0</v>
      </c>
      <c r="AD147" s="28">
        <v>1</v>
      </c>
      <c r="AE147" s="28">
        <v>1</v>
      </c>
      <c r="AF147" s="28">
        <v>1</v>
      </c>
      <c r="AG147" s="28">
        <v>1</v>
      </c>
      <c r="AH147" s="28">
        <v>1</v>
      </c>
      <c r="AI147" s="28">
        <v>1</v>
      </c>
      <c r="AJ147" s="28">
        <v>1</v>
      </c>
    </row>
    <row r="148" spans="1:36" x14ac:dyDescent="0.25">
      <c r="A148" s="298" t="str">
        <f>IF('Kwaliteit conversie'!$D$4='Prijs karton'!C148,"X"," ")</f>
        <v xml:space="preserve"> </v>
      </c>
      <c r="B148" s="331" t="s">
        <v>32</v>
      </c>
      <c r="C148" s="359" t="s">
        <v>1419</v>
      </c>
      <c r="D148" s="366">
        <v>0.435</v>
      </c>
      <c r="E148" s="321">
        <v>3.83</v>
      </c>
      <c r="F148" s="925">
        <v>0</v>
      </c>
      <c r="G148" s="315">
        <v>43.1</v>
      </c>
      <c r="H148" s="315">
        <v>41.7</v>
      </c>
      <c r="I148" s="315">
        <v>41.5</v>
      </c>
      <c r="J148" s="315">
        <v>41.2</v>
      </c>
      <c r="K148" s="513">
        <v>41.2</v>
      </c>
      <c r="L148" s="926" t="s">
        <v>1420</v>
      </c>
      <c r="M148" s="331" t="s">
        <v>277</v>
      </c>
      <c r="N148" s="366" t="s">
        <v>238</v>
      </c>
      <c r="O148" s="323" t="s">
        <v>239</v>
      </c>
      <c r="P148" s="386" t="s">
        <v>239</v>
      </c>
      <c r="Q148" s="323" t="s">
        <v>239</v>
      </c>
      <c r="R148" s="366" t="s">
        <v>239</v>
      </c>
      <c r="S148" s="378" t="s">
        <v>1367</v>
      </c>
      <c r="T148" s="324" t="s">
        <v>1364</v>
      </c>
      <c r="U148" s="386">
        <v>250</v>
      </c>
      <c r="V148" s="386">
        <v>2450</v>
      </c>
      <c r="W148" s="386">
        <v>600</v>
      </c>
      <c r="X148" s="386">
        <v>6000</v>
      </c>
      <c r="Y148" s="386">
        <v>210</v>
      </c>
      <c r="Z148" s="386">
        <v>105</v>
      </c>
      <c r="AA148" s="386">
        <v>200</v>
      </c>
      <c r="AB148" s="392">
        <v>5.0999999999999996</v>
      </c>
      <c r="AC148" s="28">
        <v>0</v>
      </c>
      <c r="AD148" s="28">
        <v>1</v>
      </c>
      <c r="AE148" s="28">
        <v>1</v>
      </c>
      <c r="AF148" s="28">
        <v>1</v>
      </c>
      <c r="AG148" s="28">
        <v>1</v>
      </c>
      <c r="AH148" s="28">
        <v>1</v>
      </c>
      <c r="AI148" s="28">
        <v>1</v>
      </c>
      <c r="AJ148" s="28">
        <v>1</v>
      </c>
    </row>
    <row r="149" spans="1:36" x14ac:dyDescent="0.25">
      <c r="A149" s="298" t="str">
        <f>IF('Kwaliteit conversie'!$D$4='Prijs karton'!C149,"X"," ")</f>
        <v xml:space="preserve"> </v>
      </c>
      <c r="B149" s="331" t="s">
        <v>32</v>
      </c>
      <c r="C149" s="359" t="s">
        <v>1421</v>
      </c>
      <c r="D149" s="366">
        <v>0.495</v>
      </c>
      <c r="E149" s="321">
        <v>3.91</v>
      </c>
      <c r="F149" s="925">
        <v>0</v>
      </c>
      <c r="G149" s="315">
        <v>50.6</v>
      </c>
      <c r="H149" s="315">
        <v>49.3</v>
      </c>
      <c r="I149" s="315">
        <v>49</v>
      </c>
      <c r="J149" s="315">
        <v>48.7</v>
      </c>
      <c r="K149" s="513">
        <v>48.7</v>
      </c>
      <c r="L149" s="926" t="s">
        <v>1422</v>
      </c>
      <c r="M149" s="331" t="s">
        <v>1372</v>
      </c>
      <c r="N149" s="366" t="s">
        <v>265</v>
      </c>
      <c r="O149" s="323" t="s">
        <v>239</v>
      </c>
      <c r="P149" s="386" t="s">
        <v>239</v>
      </c>
      <c r="Q149" s="323" t="s">
        <v>239</v>
      </c>
      <c r="R149" s="366" t="s">
        <v>239</v>
      </c>
      <c r="S149" s="378" t="s">
        <v>1363</v>
      </c>
      <c r="T149" s="324" t="s">
        <v>1364</v>
      </c>
      <c r="U149" s="386">
        <v>250</v>
      </c>
      <c r="V149" s="386">
        <v>2450</v>
      </c>
      <c r="W149" s="386">
        <v>600</v>
      </c>
      <c r="X149" s="386">
        <v>6000</v>
      </c>
      <c r="Y149" s="386">
        <v>210</v>
      </c>
      <c r="Z149" s="386">
        <v>105</v>
      </c>
      <c r="AA149" s="386">
        <v>200</v>
      </c>
      <c r="AB149" s="392">
        <v>5.82</v>
      </c>
      <c r="AC149" s="28">
        <v>0</v>
      </c>
      <c r="AD149" s="28">
        <v>1</v>
      </c>
      <c r="AE149" s="28">
        <v>1</v>
      </c>
      <c r="AF149" s="28">
        <v>1</v>
      </c>
      <c r="AG149" s="28">
        <v>1</v>
      </c>
      <c r="AH149" s="28">
        <v>1</v>
      </c>
      <c r="AI149" s="28">
        <v>1</v>
      </c>
      <c r="AJ149" s="28">
        <v>1</v>
      </c>
    </row>
    <row r="150" spans="1:36" x14ac:dyDescent="0.25">
      <c r="A150" s="298" t="str">
        <f>IF('Kwaliteit conversie'!$D$4='Prijs karton'!C150,"X"," ")</f>
        <v xml:space="preserve"> </v>
      </c>
      <c r="B150" s="331" t="s">
        <v>32</v>
      </c>
      <c r="C150" s="359"/>
      <c r="D150" s="366"/>
      <c r="E150" s="321"/>
      <c r="F150" s="925"/>
      <c r="G150" s="315"/>
      <c r="H150" s="315"/>
      <c r="I150" s="315"/>
      <c r="J150" s="315"/>
      <c r="K150" s="513"/>
      <c r="L150" s="926"/>
      <c r="M150" s="331"/>
      <c r="N150" s="366"/>
      <c r="O150" s="323"/>
      <c r="P150" s="386"/>
      <c r="Q150" s="323"/>
      <c r="R150" s="366"/>
      <c r="S150" s="378"/>
      <c r="T150" s="324"/>
      <c r="U150" s="386"/>
      <c r="V150" s="386"/>
      <c r="W150" s="386"/>
      <c r="X150" s="386"/>
      <c r="Y150" s="386"/>
      <c r="Z150" s="386"/>
      <c r="AA150" s="386"/>
      <c r="AB150" s="392"/>
      <c r="AC150" s="28"/>
      <c r="AD150" s="28"/>
      <c r="AE150" s="28"/>
      <c r="AF150" s="28"/>
      <c r="AG150" s="28"/>
      <c r="AH150" s="28"/>
      <c r="AI150" s="28"/>
      <c r="AJ150" s="28"/>
    </row>
    <row r="151" spans="1:36" x14ac:dyDescent="0.25">
      <c r="A151" s="298" t="str">
        <f>IF('Kwaliteit conversie'!$D$4='Prijs karton'!C151,"X"," ")</f>
        <v xml:space="preserve"> </v>
      </c>
      <c r="B151" s="331" t="s">
        <v>32</v>
      </c>
      <c r="C151" s="359"/>
      <c r="D151" s="366"/>
      <c r="E151" s="321"/>
      <c r="F151" s="925"/>
      <c r="G151" s="315"/>
      <c r="H151" s="315"/>
      <c r="I151" s="315"/>
      <c r="J151" s="315"/>
      <c r="K151" s="513"/>
      <c r="L151" s="926"/>
      <c r="M151" s="331"/>
      <c r="N151" s="366"/>
      <c r="O151" s="323"/>
      <c r="P151" s="386"/>
      <c r="Q151" s="323"/>
      <c r="R151" s="366"/>
      <c r="S151" s="378"/>
      <c r="T151" s="324"/>
      <c r="U151" s="386"/>
      <c r="V151" s="386"/>
      <c r="W151" s="386"/>
      <c r="X151" s="386"/>
      <c r="Y151" s="386"/>
      <c r="Z151" s="386"/>
      <c r="AA151" s="386"/>
      <c r="AB151" s="392"/>
      <c r="AC151" s="28"/>
      <c r="AD151" s="28"/>
      <c r="AE151" s="28"/>
      <c r="AF151" s="28"/>
      <c r="AG151" s="28"/>
      <c r="AH151" s="28"/>
      <c r="AI151" s="28"/>
      <c r="AJ151" s="28"/>
    </row>
    <row r="152" spans="1:36" x14ac:dyDescent="0.25">
      <c r="A152" s="298" t="str">
        <f>IF('Kwaliteit conversie'!$D$4='Prijs karton'!C152,"X"," ")</f>
        <v xml:space="preserve"> </v>
      </c>
      <c r="B152" s="331" t="s">
        <v>32</v>
      </c>
      <c r="C152" s="359"/>
      <c r="D152" s="366"/>
      <c r="E152" s="321"/>
      <c r="F152" s="925"/>
      <c r="G152" s="315"/>
      <c r="H152" s="315"/>
      <c r="I152" s="315"/>
      <c r="J152" s="315"/>
      <c r="K152" s="513"/>
      <c r="L152" s="926"/>
      <c r="M152" s="331"/>
      <c r="N152" s="366"/>
      <c r="O152" s="323"/>
      <c r="P152" s="386"/>
      <c r="Q152" s="323"/>
      <c r="R152" s="366"/>
      <c r="S152" s="378"/>
      <c r="T152" s="324"/>
      <c r="U152" s="386"/>
      <c r="V152" s="386"/>
      <c r="W152" s="386"/>
      <c r="X152" s="386"/>
      <c r="Y152" s="386"/>
      <c r="Z152" s="386"/>
      <c r="AA152" s="386"/>
      <c r="AB152" s="392"/>
      <c r="AC152" s="28"/>
      <c r="AD152" s="28"/>
      <c r="AE152" s="28"/>
      <c r="AF152" s="28"/>
      <c r="AG152" s="28"/>
      <c r="AH152" s="28"/>
      <c r="AI152" s="28"/>
      <c r="AJ152" s="28"/>
    </row>
    <row r="153" spans="1:36" x14ac:dyDescent="0.25">
      <c r="A153" s="298" t="str">
        <f>IF('Kwaliteit conversie'!$D$4='Prijs karton'!C153,"X"," ")</f>
        <v xml:space="preserve"> </v>
      </c>
      <c r="B153" s="331" t="s">
        <v>32</v>
      </c>
      <c r="C153" s="359"/>
      <c r="D153" s="366"/>
      <c r="E153" s="321"/>
      <c r="F153" s="925"/>
      <c r="G153" s="315"/>
      <c r="H153" s="315"/>
      <c r="I153" s="315"/>
      <c r="J153" s="315"/>
      <c r="K153" s="513"/>
      <c r="L153" s="926"/>
      <c r="M153" s="331"/>
      <c r="N153" s="366"/>
      <c r="O153" s="323"/>
      <c r="P153" s="386"/>
      <c r="Q153" s="323"/>
      <c r="R153" s="366"/>
      <c r="S153" s="378"/>
      <c r="T153" s="324"/>
      <c r="U153" s="386"/>
      <c r="V153" s="386"/>
      <c r="W153" s="386"/>
      <c r="X153" s="386"/>
      <c r="Y153" s="386"/>
      <c r="Z153" s="386"/>
      <c r="AA153" s="386"/>
      <c r="AB153" s="392"/>
      <c r="AC153" s="28"/>
      <c r="AD153" s="28"/>
      <c r="AE153" s="28"/>
      <c r="AF153" s="28"/>
      <c r="AG153" s="28"/>
      <c r="AH153" s="28"/>
      <c r="AI153" s="28"/>
      <c r="AJ153" s="28"/>
    </row>
    <row r="154" spans="1:36" x14ac:dyDescent="0.25">
      <c r="A154" s="298" t="str">
        <f>IF('Kwaliteit conversie'!$D$4='Prijs karton'!C154,"X"," ")</f>
        <v xml:space="preserve"> </v>
      </c>
      <c r="B154" s="331" t="s">
        <v>32</v>
      </c>
      <c r="C154" s="359"/>
      <c r="D154" s="366"/>
      <c r="E154" s="321"/>
      <c r="F154" s="925"/>
      <c r="G154" s="315"/>
      <c r="H154" s="315"/>
      <c r="I154" s="315"/>
      <c r="J154" s="315"/>
      <c r="K154" s="513"/>
      <c r="L154" s="926"/>
      <c r="M154" s="331"/>
      <c r="N154" s="366"/>
      <c r="O154" s="323"/>
      <c r="P154" s="386"/>
      <c r="Q154" s="323"/>
      <c r="R154" s="366"/>
      <c r="S154" s="378"/>
      <c r="T154" s="324"/>
      <c r="U154" s="386"/>
      <c r="V154" s="386"/>
      <c r="W154" s="386"/>
      <c r="X154" s="386"/>
      <c r="Y154" s="386"/>
      <c r="Z154" s="386"/>
      <c r="AA154" s="386"/>
      <c r="AB154" s="392"/>
      <c r="AC154" s="28"/>
      <c r="AD154" s="28"/>
      <c r="AE154" s="28"/>
      <c r="AF154" s="28"/>
      <c r="AG154" s="28"/>
      <c r="AH154" s="28"/>
      <c r="AI154" s="28"/>
      <c r="AJ154" s="28"/>
    </row>
    <row r="155" spans="1:36" x14ac:dyDescent="0.25">
      <c r="A155" s="298" t="str">
        <f>IF('Kwaliteit conversie'!$D$4='Prijs karton'!C155,"X"," ")</f>
        <v xml:space="preserve"> </v>
      </c>
      <c r="B155" s="331" t="s">
        <v>32</v>
      </c>
      <c r="C155" s="359"/>
      <c r="D155" s="366"/>
      <c r="E155" s="321"/>
      <c r="F155" s="925"/>
      <c r="G155" s="315"/>
      <c r="H155" s="315"/>
      <c r="I155" s="315"/>
      <c r="J155" s="315"/>
      <c r="K155" s="513"/>
      <c r="L155" s="926"/>
      <c r="M155" s="331"/>
      <c r="N155" s="366"/>
      <c r="O155" s="323"/>
      <c r="P155" s="386"/>
      <c r="Q155" s="323"/>
      <c r="R155" s="366"/>
      <c r="S155" s="378"/>
      <c r="T155" s="324"/>
      <c r="U155" s="386"/>
      <c r="V155" s="386"/>
      <c r="W155" s="386"/>
      <c r="X155" s="386"/>
      <c r="Y155" s="386"/>
      <c r="Z155" s="386"/>
      <c r="AA155" s="386"/>
      <c r="AB155" s="392"/>
      <c r="AC155" s="28"/>
      <c r="AD155" s="28"/>
      <c r="AE155" s="28"/>
      <c r="AF155" s="28"/>
      <c r="AG155" s="28"/>
      <c r="AH155" s="28"/>
      <c r="AI155" s="28"/>
      <c r="AJ155" s="28"/>
    </row>
    <row r="156" spans="1:36" s="320" customFormat="1" x14ac:dyDescent="0.25">
      <c r="A156" s="329" t="str">
        <f>IF('Kwaliteit conversie'!$D$4='Prijs karton'!C156,"X"," ")</f>
        <v xml:space="preserve"> </v>
      </c>
      <c r="B156" s="332" t="s">
        <v>32</v>
      </c>
      <c r="C156" s="360" t="s">
        <v>392</v>
      </c>
      <c r="D156" s="367">
        <v>0.5</v>
      </c>
      <c r="E156" s="322">
        <v>3.8</v>
      </c>
      <c r="F156" s="927">
        <v>0</v>
      </c>
      <c r="G156" s="319">
        <v>0</v>
      </c>
      <c r="H156" s="319">
        <v>0</v>
      </c>
      <c r="I156" s="319">
        <v>0</v>
      </c>
      <c r="J156" s="319">
        <v>0</v>
      </c>
      <c r="K156" s="928">
        <v>0</v>
      </c>
      <c r="L156" s="929" t="s">
        <v>239</v>
      </c>
      <c r="M156" s="379" t="s">
        <v>239</v>
      </c>
      <c r="N156" s="367" t="s">
        <v>239</v>
      </c>
      <c r="O156" s="325" t="s">
        <v>239</v>
      </c>
      <c r="P156" s="387" t="s">
        <v>239</v>
      </c>
      <c r="Q156" s="325" t="s">
        <v>239</v>
      </c>
      <c r="R156" s="367" t="s">
        <v>239</v>
      </c>
      <c r="S156" s="380" t="s">
        <v>239</v>
      </c>
      <c r="T156" s="326" t="s">
        <v>245</v>
      </c>
      <c r="U156" s="387">
        <v>250</v>
      </c>
      <c r="V156" s="387">
        <v>2450</v>
      </c>
      <c r="W156" s="387">
        <v>500</v>
      </c>
      <c r="X156" s="387">
        <v>6200</v>
      </c>
      <c r="Y156" s="387">
        <v>280</v>
      </c>
      <c r="Z156" s="387">
        <v>140</v>
      </c>
      <c r="AA156" s="387">
        <v>200</v>
      </c>
      <c r="AB156" s="393">
        <v>5</v>
      </c>
      <c r="AC156" s="34">
        <v>0</v>
      </c>
      <c r="AD156" s="34">
        <v>1</v>
      </c>
      <c r="AE156" s="34">
        <v>1</v>
      </c>
      <c r="AF156" s="34">
        <v>1</v>
      </c>
      <c r="AG156" s="34">
        <v>1</v>
      </c>
      <c r="AH156" s="34">
        <v>1</v>
      </c>
      <c r="AI156" s="34">
        <v>1</v>
      </c>
      <c r="AJ156" s="34">
        <v>1</v>
      </c>
    </row>
    <row r="157" spans="1:36" x14ac:dyDescent="0.25">
      <c r="A157" s="298" t="str">
        <f>IF('Kwaliteit conversie'!$D$4='Prijs karton'!C157,"X"," ")</f>
        <v xml:space="preserve"> </v>
      </c>
      <c r="B157" s="331"/>
      <c r="C157" s="359"/>
      <c r="D157" s="366"/>
      <c r="E157" s="321"/>
      <c r="F157" s="925"/>
      <c r="G157" s="315"/>
      <c r="H157" s="315"/>
      <c r="I157" s="315"/>
      <c r="J157" s="315"/>
      <c r="K157" s="513"/>
      <c r="L157" s="926"/>
      <c r="M157" s="331"/>
      <c r="N157" s="366"/>
      <c r="O157" s="323"/>
      <c r="P157" s="386"/>
      <c r="Q157" s="323"/>
      <c r="R157" s="366"/>
      <c r="S157" s="378"/>
      <c r="T157" s="324"/>
      <c r="U157" s="386"/>
      <c r="V157" s="386"/>
      <c r="W157" s="386"/>
      <c r="X157" s="386"/>
      <c r="Y157" s="386"/>
      <c r="Z157" s="386"/>
      <c r="AA157" s="386"/>
      <c r="AB157" s="392"/>
      <c r="AC157" s="28"/>
      <c r="AD157" s="28"/>
      <c r="AE157" s="28"/>
      <c r="AF157" s="28"/>
      <c r="AG157" s="28"/>
      <c r="AH157" s="28"/>
      <c r="AI157" s="28"/>
      <c r="AJ157" s="28"/>
    </row>
    <row r="158" spans="1:36" x14ac:dyDescent="0.25">
      <c r="A158" s="298" t="str">
        <f>IF('Kwaliteit conversie'!$D$4='Prijs karton'!C158,"X"," ")</f>
        <v xml:space="preserve"> </v>
      </c>
      <c r="B158" s="331"/>
      <c r="C158" s="359"/>
      <c r="D158" s="366"/>
      <c r="E158" s="321"/>
      <c r="F158" s="925"/>
      <c r="G158" s="315"/>
      <c r="H158" s="315"/>
      <c r="I158" s="315"/>
      <c r="J158" s="315"/>
      <c r="K158" s="513"/>
      <c r="L158" s="926"/>
      <c r="M158" s="331"/>
      <c r="N158" s="366"/>
      <c r="O158" s="323"/>
      <c r="P158" s="386"/>
      <c r="Q158" s="323"/>
      <c r="R158" s="366"/>
      <c r="S158" s="378"/>
      <c r="T158" s="324"/>
      <c r="U158" s="386"/>
      <c r="V158" s="386"/>
      <c r="W158" s="386"/>
      <c r="X158" s="386"/>
      <c r="Y158" s="386"/>
      <c r="Z158" s="386"/>
      <c r="AA158" s="386"/>
      <c r="AB158" s="392"/>
      <c r="AC158" s="28"/>
      <c r="AD158" s="28"/>
      <c r="AE158" s="28"/>
      <c r="AF158" s="28"/>
      <c r="AG158" s="28"/>
      <c r="AH158" s="28"/>
      <c r="AI158" s="28"/>
      <c r="AJ158" s="28"/>
    </row>
    <row r="159" spans="1:36" x14ac:dyDescent="0.25">
      <c r="A159" s="298" t="str">
        <f>IF('Kwaliteit conversie'!$D$4='Prijs karton'!C159,"X"," ")</f>
        <v xml:space="preserve"> </v>
      </c>
      <c r="B159" s="331"/>
      <c r="C159" s="359"/>
      <c r="D159" s="366"/>
      <c r="E159" s="321"/>
      <c r="F159" s="925"/>
      <c r="G159" s="315"/>
      <c r="H159" s="315"/>
      <c r="I159" s="315"/>
      <c r="J159" s="315"/>
      <c r="K159" s="513"/>
      <c r="L159" s="926"/>
      <c r="M159" s="331"/>
      <c r="N159" s="366"/>
      <c r="O159" s="323"/>
      <c r="P159" s="386"/>
      <c r="Q159" s="323"/>
      <c r="R159" s="366"/>
      <c r="S159" s="378"/>
      <c r="T159" s="324"/>
      <c r="U159" s="386"/>
      <c r="V159" s="386"/>
      <c r="W159" s="386"/>
      <c r="X159" s="386"/>
      <c r="Y159" s="386"/>
      <c r="Z159" s="386"/>
      <c r="AA159" s="386"/>
      <c r="AB159" s="392"/>
      <c r="AC159" s="28"/>
      <c r="AD159" s="28"/>
      <c r="AE159" s="28"/>
      <c r="AF159" s="28"/>
      <c r="AG159" s="28"/>
      <c r="AH159" s="28"/>
      <c r="AI159" s="28"/>
      <c r="AJ159" s="28"/>
    </row>
    <row r="160" spans="1:36" x14ac:dyDescent="0.25">
      <c r="A160" s="298" t="str">
        <f>IF('Kwaliteit conversie'!$D$4='Prijs karton'!C160,"X"," ")</f>
        <v xml:space="preserve"> </v>
      </c>
      <c r="B160" s="331" t="s">
        <v>37</v>
      </c>
      <c r="C160" s="359"/>
      <c r="D160" s="366"/>
      <c r="E160" s="321"/>
      <c r="F160" s="925"/>
      <c r="G160" s="315"/>
      <c r="H160" s="315"/>
      <c r="I160" s="315"/>
      <c r="J160" s="315"/>
      <c r="K160" s="513"/>
      <c r="L160" s="926"/>
      <c r="M160" s="331"/>
      <c r="N160" s="366"/>
      <c r="O160" s="323"/>
      <c r="P160" s="386"/>
      <c r="Q160" s="323"/>
      <c r="R160" s="366"/>
      <c r="S160" s="378"/>
      <c r="T160" s="324"/>
      <c r="U160" s="386"/>
      <c r="V160" s="386"/>
      <c r="W160" s="386"/>
      <c r="X160" s="386"/>
      <c r="Y160" s="386"/>
      <c r="Z160" s="386"/>
      <c r="AA160" s="386"/>
      <c r="AB160" s="392"/>
      <c r="AC160" s="28"/>
      <c r="AD160" s="28"/>
      <c r="AE160" s="28"/>
      <c r="AF160" s="28"/>
      <c r="AG160" s="28"/>
      <c r="AH160" s="28"/>
      <c r="AI160" s="28"/>
      <c r="AJ160" s="28"/>
    </row>
    <row r="161" spans="1:36" x14ac:dyDescent="0.25">
      <c r="A161" s="932" t="str">
        <f>IF('Kwaliteit conversie'!$D$4='Prijs karton'!C161,"X"," ")</f>
        <v xml:space="preserve"> </v>
      </c>
      <c r="B161" s="331" t="s">
        <v>37</v>
      </c>
      <c r="C161" s="359" t="s">
        <v>393</v>
      </c>
      <c r="D161" s="366">
        <v>1.28</v>
      </c>
      <c r="E161" s="321">
        <v>8.6999999999999993</v>
      </c>
      <c r="F161" s="925">
        <v>0</v>
      </c>
      <c r="G161" s="315">
        <v>149</v>
      </c>
      <c r="H161" s="315">
        <v>146</v>
      </c>
      <c r="I161" s="315">
        <v>145.5</v>
      </c>
      <c r="J161" s="315">
        <v>145.5</v>
      </c>
      <c r="K161" s="513">
        <v>145</v>
      </c>
      <c r="L161" s="926" t="s">
        <v>394</v>
      </c>
      <c r="M161" s="331" t="s">
        <v>360</v>
      </c>
      <c r="N161" s="366" t="s">
        <v>357</v>
      </c>
      <c r="O161" s="323" t="s">
        <v>360</v>
      </c>
      <c r="P161" s="386" t="s">
        <v>357</v>
      </c>
      <c r="Q161" s="323" t="s">
        <v>239</v>
      </c>
      <c r="R161" s="366" t="s">
        <v>239</v>
      </c>
      <c r="S161" s="378" t="s">
        <v>360</v>
      </c>
      <c r="T161" s="324" t="s">
        <v>245</v>
      </c>
      <c r="U161" s="386">
        <v>250</v>
      </c>
      <c r="V161" s="386">
        <v>2450</v>
      </c>
      <c r="W161" s="386">
        <v>800</v>
      </c>
      <c r="X161" s="386">
        <v>6200</v>
      </c>
      <c r="Y161" s="386">
        <v>160</v>
      </c>
      <c r="Z161" s="386">
        <v>80</v>
      </c>
      <c r="AA161" s="386">
        <v>300</v>
      </c>
      <c r="AB161" s="392">
        <v>17.2</v>
      </c>
      <c r="AC161" s="28">
        <v>0</v>
      </c>
      <c r="AD161" s="28">
        <v>0</v>
      </c>
      <c r="AE161" s="28">
        <v>1</v>
      </c>
      <c r="AF161" s="28">
        <v>0</v>
      </c>
      <c r="AG161" s="28">
        <v>0</v>
      </c>
      <c r="AH161" s="28">
        <v>1</v>
      </c>
      <c r="AI161" s="28">
        <v>0</v>
      </c>
      <c r="AJ161" s="28">
        <v>1</v>
      </c>
    </row>
    <row r="162" spans="1:36" x14ac:dyDescent="0.25">
      <c r="A162" s="298" t="str">
        <f>IF('Kwaliteit conversie'!$D$4='Prijs karton'!C162,"X"," ")</f>
        <v xml:space="preserve"> </v>
      </c>
      <c r="B162" s="331" t="s">
        <v>37</v>
      </c>
      <c r="C162" s="359" t="s">
        <v>395</v>
      </c>
      <c r="D162" s="366">
        <v>1.415</v>
      </c>
      <c r="E162" s="321">
        <v>8.9</v>
      </c>
      <c r="F162" s="925">
        <v>0</v>
      </c>
      <c r="G162" s="315">
        <v>163.5</v>
      </c>
      <c r="H162" s="315">
        <v>160.5</v>
      </c>
      <c r="I162" s="315">
        <v>160</v>
      </c>
      <c r="J162" s="315">
        <v>160</v>
      </c>
      <c r="K162" s="513">
        <v>159.5</v>
      </c>
      <c r="L162" s="926" t="s">
        <v>396</v>
      </c>
      <c r="M162" s="331" t="s">
        <v>397</v>
      </c>
      <c r="N162" s="366" t="s">
        <v>398</v>
      </c>
      <c r="O162" s="323" t="s">
        <v>399</v>
      </c>
      <c r="P162" s="386" t="s">
        <v>398</v>
      </c>
      <c r="Q162" s="323" t="s">
        <v>239</v>
      </c>
      <c r="R162" s="366" t="s">
        <v>239</v>
      </c>
      <c r="S162" s="378" t="s">
        <v>397</v>
      </c>
      <c r="T162" s="324" t="s">
        <v>245</v>
      </c>
      <c r="U162" s="386">
        <v>250</v>
      </c>
      <c r="V162" s="386">
        <v>2450</v>
      </c>
      <c r="W162" s="386">
        <v>800</v>
      </c>
      <c r="X162" s="386">
        <v>6200</v>
      </c>
      <c r="Y162" s="386">
        <v>160</v>
      </c>
      <c r="Z162" s="386">
        <v>80</v>
      </c>
      <c r="AA162" s="386">
        <v>300</v>
      </c>
      <c r="AB162" s="392">
        <v>19.600000000000001</v>
      </c>
      <c r="AC162" s="28">
        <v>0</v>
      </c>
      <c r="AD162" s="28">
        <v>0</v>
      </c>
      <c r="AE162" s="28">
        <v>1</v>
      </c>
      <c r="AF162" s="28">
        <v>0</v>
      </c>
      <c r="AG162" s="28">
        <v>0</v>
      </c>
      <c r="AH162" s="28">
        <v>1</v>
      </c>
      <c r="AI162" s="28">
        <v>0</v>
      </c>
      <c r="AJ162" s="28">
        <v>1</v>
      </c>
    </row>
    <row r="163" spans="1:36" x14ac:dyDescent="0.25">
      <c r="A163" s="298" t="str">
        <f>IF('Kwaliteit conversie'!$D$4='Prijs karton'!C163,"X"," ")</f>
        <v xml:space="preserve"> </v>
      </c>
      <c r="B163" s="331" t="s">
        <v>37</v>
      </c>
      <c r="C163" s="359"/>
      <c r="D163" s="366"/>
      <c r="E163" s="321"/>
      <c r="F163" s="925"/>
      <c r="G163" s="315"/>
      <c r="H163" s="315"/>
      <c r="I163" s="315"/>
      <c r="J163" s="315"/>
      <c r="K163" s="513"/>
      <c r="L163" s="926"/>
      <c r="M163" s="331"/>
      <c r="N163" s="366"/>
      <c r="O163" s="323"/>
      <c r="P163" s="386"/>
      <c r="Q163" s="323"/>
      <c r="R163" s="366"/>
      <c r="S163" s="378"/>
      <c r="T163" s="324"/>
      <c r="U163" s="386"/>
      <c r="V163" s="386"/>
      <c r="W163" s="386"/>
      <c r="X163" s="386"/>
      <c r="Y163" s="386"/>
      <c r="Z163" s="386"/>
      <c r="AA163" s="386"/>
      <c r="AB163" s="392"/>
      <c r="AC163" s="28"/>
      <c r="AD163" s="28"/>
      <c r="AE163" s="28"/>
      <c r="AF163" s="28"/>
      <c r="AG163" s="28"/>
      <c r="AH163" s="28"/>
      <c r="AI163" s="28"/>
      <c r="AJ163" s="28"/>
    </row>
    <row r="164" spans="1:36" x14ac:dyDescent="0.25">
      <c r="A164" s="298" t="str">
        <f>IF('Kwaliteit conversie'!$D$4='Prijs karton'!C164,"X"," ")</f>
        <v xml:space="preserve"> </v>
      </c>
      <c r="B164" s="331" t="s">
        <v>37</v>
      </c>
      <c r="C164" s="359"/>
      <c r="D164" s="366"/>
      <c r="E164" s="321"/>
      <c r="F164" s="925"/>
      <c r="G164" s="315"/>
      <c r="H164" s="315"/>
      <c r="I164" s="315"/>
      <c r="J164" s="315"/>
      <c r="K164" s="513"/>
      <c r="L164" s="926"/>
      <c r="M164" s="331"/>
      <c r="N164" s="366"/>
      <c r="O164" s="323"/>
      <c r="P164" s="386"/>
      <c r="Q164" s="323"/>
      <c r="R164" s="366"/>
      <c r="S164" s="378"/>
      <c r="T164" s="324"/>
      <c r="U164" s="386"/>
      <c r="V164" s="386"/>
      <c r="W164" s="386"/>
      <c r="X164" s="386"/>
      <c r="Y164" s="386"/>
      <c r="Z164" s="386"/>
      <c r="AA164" s="386"/>
      <c r="AB164" s="392"/>
      <c r="AC164" s="28"/>
      <c r="AD164" s="28"/>
      <c r="AE164" s="28"/>
      <c r="AF164" s="28"/>
      <c r="AG164" s="28"/>
      <c r="AH164" s="28"/>
      <c r="AI164" s="28"/>
      <c r="AJ164" s="28"/>
    </row>
    <row r="165" spans="1:36" x14ac:dyDescent="0.25">
      <c r="A165" s="298" t="str">
        <f>IF('Kwaliteit conversie'!$D$4='Prijs karton'!C165,"X"," ")</f>
        <v xml:space="preserve"> </v>
      </c>
      <c r="B165" s="331" t="s">
        <v>37</v>
      </c>
      <c r="C165" s="359"/>
      <c r="D165" s="366"/>
      <c r="E165" s="321"/>
      <c r="F165" s="925"/>
      <c r="G165" s="315"/>
      <c r="H165" s="315"/>
      <c r="I165" s="315"/>
      <c r="J165" s="315"/>
      <c r="K165" s="513"/>
      <c r="L165" s="926"/>
      <c r="M165" s="331"/>
      <c r="N165" s="366"/>
      <c r="O165" s="323"/>
      <c r="P165" s="386"/>
      <c r="Q165" s="323"/>
      <c r="R165" s="366"/>
      <c r="S165" s="378"/>
      <c r="T165" s="324"/>
      <c r="U165" s="386"/>
      <c r="V165" s="386"/>
      <c r="W165" s="386"/>
      <c r="X165" s="386"/>
      <c r="Y165" s="386"/>
      <c r="Z165" s="386"/>
      <c r="AA165" s="386"/>
      <c r="AB165" s="392"/>
      <c r="AC165" s="28"/>
      <c r="AD165" s="28"/>
      <c r="AE165" s="28"/>
      <c r="AF165" s="28"/>
      <c r="AG165" s="28"/>
      <c r="AH165" s="28"/>
      <c r="AI165" s="28"/>
      <c r="AJ165" s="28"/>
    </row>
    <row r="166" spans="1:36" x14ac:dyDescent="0.25">
      <c r="A166" s="298" t="str">
        <f>IF('Kwaliteit conversie'!$D$4='Prijs karton'!C166,"X"," ")</f>
        <v xml:space="preserve"> </v>
      </c>
      <c r="B166" s="331" t="s">
        <v>37</v>
      </c>
      <c r="C166" s="359"/>
      <c r="D166" s="366"/>
      <c r="E166" s="321"/>
      <c r="F166" s="925"/>
      <c r="G166" s="315"/>
      <c r="H166" s="315"/>
      <c r="I166" s="315"/>
      <c r="J166" s="315"/>
      <c r="K166" s="513"/>
      <c r="L166" s="926"/>
      <c r="M166" s="331"/>
      <c r="N166" s="366"/>
      <c r="O166" s="323"/>
      <c r="P166" s="386"/>
      <c r="Q166" s="323"/>
      <c r="R166" s="366"/>
      <c r="S166" s="378"/>
      <c r="T166" s="324"/>
      <c r="U166" s="386"/>
      <c r="V166" s="386"/>
      <c r="W166" s="386"/>
      <c r="X166" s="386"/>
      <c r="Y166" s="386"/>
      <c r="Z166" s="386"/>
      <c r="AA166" s="386"/>
      <c r="AB166" s="392"/>
      <c r="AC166" s="28"/>
      <c r="AD166" s="28"/>
      <c r="AE166" s="28"/>
      <c r="AF166" s="28"/>
      <c r="AG166" s="28"/>
      <c r="AH166" s="28"/>
      <c r="AI166" s="28"/>
      <c r="AJ166" s="28"/>
    </row>
    <row r="167" spans="1:36" x14ac:dyDescent="0.25">
      <c r="A167" s="298" t="str">
        <f>IF('Kwaliteit conversie'!$D$4='Prijs karton'!C167,"X"," ")</f>
        <v xml:space="preserve"> </v>
      </c>
      <c r="B167" s="331" t="s">
        <v>37</v>
      </c>
      <c r="C167" s="359"/>
      <c r="D167" s="366"/>
      <c r="E167" s="321"/>
      <c r="F167" s="925"/>
      <c r="G167" s="315"/>
      <c r="H167" s="315"/>
      <c r="I167" s="315"/>
      <c r="J167" s="315"/>
      <c r="K167" s="513"/>
      <c r="L167" s="926"/>
      <c r="M167" s="331"/>
      <c r="N167" s="366"/>
      <c r="O167" s="323"/>
      <c r="P167" s="386"/>
      <c r="Q167" s="323"/>
      <c r="R167" s="366"/>
      <c r="S167" s="378"/>
      <c r="T167" s="324"/>
      <c r="U167" s="386"/>
      <c r="V167" s="386"/>
      <c r="W167" s="386"/>
      <c r="X167" s="386"/>
      <c r="Y167" s="386"/>
      <c r="Z167" s="386"/>
      <c r="AA167" s="386"/>
      <c r="AB167" s="392"/>
      <c r="AC167" s="28"/>
      <c r="AD167" s="28"/>
      <c r="AE167" s="28"/>
      <c r="AF167" s="28"/>
      <c r="AG167" s="28"/>
      <c r="AH167" s="28"/>
      <c r="AI167" s="28"/>
      <c r="AJ167" s="28"/>
    </row>
    <row r="168" spans="1:36" x14ac:dyDescent="0.25">
      <c r="A168" s="298" t="str">
        <f>IF('Kwaliteit conversie'!$D$4='Prijs karton'!C168,"X"," ")</f>
        <v xml:space="preserve"> </v>
      </c>
      <c r="B168" s="331" t="s">
        <v>37</v>
      </c>
      <c r="C168" s="359"/>
      <c r="D168" s="366"/>
      <c r="E168" s="321"/>
      <c r="F168" s="925"/>
      <c r="G168" s="315"/>
      <c r="H168" s="315"/>
      <c r="I168" s="315"/>
      <c r="J168" s="315"/>
      <c r="K168" s="513"/>
      <c r="L168" s="926"/>
      <c r="M168" s="331"/>
      <c r="N168" s="366"/>
      <c r="O168" s="323"/>
      <c r="P168" s="386"/>
      <c r="Q168" s="323"/>
      <c r="R168" s="366"/>
      <c r="S168" s="378"/>
      <c r="T168" s="324"/>
      <c r="U168" s="386"/>
      <c r="V168" s="386"/>
      <c r="W168" s="386"/>
      <c r="X168" s="386"/>
      <c r="Y168" s="386"/>
      <c r="Z168" s="386"/>
      <c r="AA168" s="386"/>
      <c r="AB168" s="392"/>
      <c r="AC168" s="28"/>
      <c r="AD168" s="28"/>
      <c r="AE168" s="28"/>
      <c r="AF168" s="28"/>
      <c r="AG168" s="28"/>
      <c r="AH168" s="28"/>
      <c r="AI168" s="28"/>
      <c r="AJ168" s="28"/>
    </row>
    <row r="169" spans="1:36" x14ac:dyDescent="0.25">
      <c r="A169" s="298" t="str">
        <f>IF('Kwaliteit conversie'!$D$4='Prijs karton'!C169,"X"," ")</f>
        <v xml:space="preserve"> </v>
      </c>
      <c r="B169" s="331" t="s">
        <v>37</v>
      </c>
      <c r="C169" s="359"/>
      <c r="D169" s="366"/>
      <c r="E169" s="321"/>
      <c r="F169" s="925"/>
      <c r="G169" s="315"/>
      <c r="H169" s="315"/>
      <c r="I169" s="315"/>
      <c r="J169" s="315"/>
      <c r="K169" s="513"/>
      <c r="L169" s="926"/>
      <c r="M169" s="331"/>
      <c r="N169" s="366"/>
      <c r="O169" s="323"/>
      <c r="P169" s="386"/>
      <c r="Q169" s="323"/>
      <c r="R169" s="366"/>
      <c r="S169" s="378"/>
      <c r="T169" s="324"/>
      <c r="U169" s="386"/>
      <c r="V169" s="386"/>
      <c r="W169" s="386"/>
      <c r="X169" s="386"/>
      <c r="Y169" s="386"/>
      <c r="Z169" s="386"/>
      <c r="AA169" s="386"/>
      <c r="AB169" s="392"/>
      <c r="AC169" s="28"/>
      <c r="AD169" s="28"/>
      <c r="AE169" s="28"/>
      <c r="AF169" s="28"/>
      <c r="AG169" s="28"/>
      <c r="AH169" s="28"/>
      <c r="AI169" s="28"/>
      <c r="AJ169" s="28"/>
    </row>
    <row r="170" spans="1:36" s="320" customFormat="1" x14ac:dyDescent="0.25">
      <c r="A170" s="329" t="str">
        <f>IF('Kwaliteit conversie'!$D$4='Prijs karton'!C170,"X"," ")</f>
        <v xml:space="preserve"> </v>
      </c>
      <c r="B170" s="332" t="s">
        <v>37</v>
      </c>
      <c r="C170" s="360"/>
      <c r="D170" s="367"/>
      <c r="E170" s="322"/>
      <c r="F170" s="927"/>
      <c r="G170" s="319"/>
      <c r="H170" s="319"/>
      <c r="I170" s="319"/>
      <c r="J170" s="319"/>
      <c r="K170" s="928"/>
      <c r="L170" s="929"/>
      <c r="M170" s="379"/>
      <c r="N170" s="367"/>
      <c r="O170" s="325"/>
      <c r="P170" s="387"/>
      <c r="Q170" s="325"/>
      <c r="R170" s="367"/>
      <c r="S170" s="380"/>
      <c r="T170" s="326"/>
      <c r="U170" s="387"/>
      <c r="V170" s="387"/>
      <c r="W170" s="387"/>
      <c r="X170" s="387"/>
      <c r="Y170" s="387"/>
      <c r="Z170" s="387"/>
      <c r="AA170" s="387"/>
      <c r="AB170" s="393"/>
      <c r="AC170" s="34"/>
      <c r="AD170" s="34"/>
      <c r="AE170" s="34"/>
      <c r="AF170" s="34"/>
      <c r="AG170" s="34"/>
      <c r="AH170" s="34"/>
      <c r="AI170" s="34"/>
      <c r="AJ170" s="34"/>
    </row>
    <row r="171" spans="1:36" x14ac:dyDescent="0.25">
      <c r="A171" s="298" t="str">
        <f>IF('Kwaliteit conversie'!$D$4='Prijs karton'!C171,"X"," ")</f>
        <v xml:space="preserve"> </v>
      </c>
      <c r="B171" s="331"/>
      <c r="C171" s="359"/>
      <c r="D171" s="366"/>
      <c r="E171" s="321"/>
      <c r="F171" s="925"/>
      <c r="G171" s="315"/>
      <c r="H171" s="315"/>
      <c r="I171" s="315"/>
      <c r="J171" s="315"/>
      <c r="K171" s="513"/>
      <c r="L171" s="926"/>
      <c r="M171" s="331"/>
      <c r="N171" s="366"/>
      <c r="O171" s="323"/>
      <c r="P171" s="386"/>
      <c r="Q171" s="323"/>
      <c r="R171" s="366"/>
      <c r="S171" s="378"/>
      <c r="T171" s="324"/>
      <c r="U171" s="386"/>
      <c r="V171" s="386"/>
      <c r="W171" s="386"/>
      <c r="X171" s="386"/>
      <c r="Y171" s="386"/>
      <c r="Z171" s="386"/>
      <c r="AA171" s="386"/>
      <c r="AB171" s="392"/>
      <c r="AC171" s="28"/>
      <c r="AD171" s="28"/>
      <c r="AE171" s="28"/>
      <c r="AF171" s="28"/>
      <c r="AG171" s="28"/>
      <c r="AH171" s="28"/>
      <c r="AI171" s="28"/>
      <c r="AJ171" s="28"/>
    </row>
    <row r="172" spans="1:36" x14ac:dyDescent="0.25">
      <c r="A172" s="298" t="str">
        <f>IF('Kwaliteit conversie'!$D$4='Prijs karton'!C172,"X"," ")</f>
        <v xml:space="preserve"> </v>
      </c>
      <c r="B172" s="331"/>
      <c r="C172" s="359"/>
      <c r="D172" s="366"/>
      <c r="E172" s="321"/>
      <c r="F172" s="925"/>
      <c r="G172" s="315"/>
      <c r="H172" s="315"/>
      <c r="I172" s="315"/>
      <c r="J172" s="315"/>
      <c r="K172" s="513"/>
      <c r="L172" s="926"/>
      <c r="M172" s="331"/>
      <c r="N172" s="366"/>
      <c r="O172" s="323"/>
      <c r="P172" s="386"/>
      <c r="Q172" s="323"/>
      <c r="R172" s="366"/>
      <c r="S172" s="378"/>
      <c r="T172" s="324"/>
      <c r="U172" s="386"/>
      <c r="V172" s="386"/>
      <c r="W172" s="386"/>
      <c r="X172" s="386"/>
      <c r="Y172" s="386"/>
      <c r="Z172" s="386"/>
      <c r="AA172" s="386"/>
      <c r="AB172" s="392"/>
      <c r="AC172" s="28"/>
      <c r="AD172" s="28"/>
      <c r="AE172" s="28"/>
      <c r="AF172" s="28"/>
      <c r="AG172" s="28"/>
      <c r="AH172" s="28"/>
      <c r="AI172" s="28"/>
      <c r="AJ172" s="28"/>
    </row>
    <row r="173" spans="1:36" x14ac:dyDescent="0.25">
      <c r="A173" s="298" t="str">
        <f>IF('Kwaliteit conversie'!$D$4='Prijs karton'!C173,"X"," ")</f>
        <v xml:space="preserve"> </v>
      </c>
      <c r="B173" s="331"/>
      <c r="C173" s="359"/>
      <c r="D173" s="366"/>
      <c r="E173" s="321"/>
      <c r="F173" s="925"/>
      <c r="G173" s="315"/>
      <c r="H173" s="315"/>
      <c r="I173" s="315"/>
      <c r="J173" s="315"/>
      <c r="K173" s="513"/>
      <c r="L173" s="926"/>
      <c r="M173" s="331"/>
      <c r="N173" s="366"/>
      <c r="O173" s="323"/>
      <c r="P173" s="386"/>
      <c r="Q173" s="323"/>
      <c r="R173" s="366"/>
      <c r="S173" s="378"/>
      <c r="T173" s="324"/>
      <c r="U173" s="386"/>
      <c r="V173" s="386"/>
      <c r="W173" s="386"/>
      <c r="X173" s="386"/>
      <c r="Y173" s="386"/>
      <c r="Z173" s="386"/>
      <c r="AA173" s="386"/>
      <c r="AB173" s="392"/>
      <c r="AC173" s="28"/>
      <c r="AD173" s="28"/>
      <c r="AE173" s="28"/>
      <c r="AF173" s="28"/>
      <c r="AG173" s="28"/>
      <c r="AH173" s="28"/>
      <c r="AI173" s="28"/>
      <c r="AJ173" s="28"/>
    </row>
    <row r="174" spans="1:36" x14ac:dyDescent="0.25">
      <c r="A174" s="932" t="str">
        <f>IF('Kwaliteit conversie'!$D$4='Prijs karton'!C174,"X"," ")</f>
        <v xml:space="preserve"> </v>
      </c>
      <c r="B174" s="331" t="s">
        <v>38</v>
      </c>
      <c r="C174" s="359" t="s">
        <v>400</v>
      </c>
      <c r="D174" s="366">
        <v>1.085</v>
      </c>
      <c r="E174" s="321">
        <v>12.5</v>
      </c>
      <c r="F174" s="925">
        <v>0</v>
      </c>
      <c r="G174" s="315">
        <v>123.9</v>
      </c>
      <c r="H174" s="315">
        <v>120.9</v>
      </c>
      <c r="I174" s="315">
        <v>120.4</v>
      </c>
      <c r="J174" s="315">
        <v>120.4</v>
      </c>
      <c r="K174" s="513">
        <v>119.9</v>
      </c>
      <c r="L174" s="926" t="s">
        <v>401</v>
      </c>
      <c r="M174" s="331" t="s">
        <v>277</v>
      </c>
      <c r="N174" s="366" t="s">
        <v>265</v>
      </c>
      <c r="O174" s="323" t="s">
        <v>285</v>
      </c>
      <c r="P174" s="386" t="s">
        <v>285</v>
      </c>
      <c r="Q174" s="323" t="s">
        <v>285</v>
      </c>
      <c r="R174" s="366" t="s">
        <v>285</v>
      </c>
      <c r="S174" s="378" t="s">
        <v>277</v>
      </c>
      <c r="T174" s="324" t="s">
        <v>245</v>
      </c>
      <c r="U174" s="386">
        <v>250</v>
      </c>
      <c r="V174" s="386">
        <v>2450</v>
      </c>
      <c r="W174" s="386">
        <v>800</v>
      </c>
      <c r="X174" s="386">
        <v>6200</v>
      </c>
      <c r="Y174" s="386">
        <v>130</v>
      </c>
      <c r="Z174" s="386">
        <v>65</v>
      </c>
      <c r="AA174" s="386">
        <v>300</v>
      </c>
      <c r="AB174" s="392">
        <v>13.1</v>
      </c>
      <c r="AC174" s="28">
        <v>0</v>
      </c>
      <c r="AD174" s="28">
        <v>0</v>
      </c>
      <c r="AE174" s="28">
        <v>1</v>
      </c>
      <c r="AF174" s="28">
        <v>0</v>
      </c>
      <c r="AG174" s="28">
        <v>0</v>
      </c>
      <c r="AH174" s="28">
        <v>0</v>
      </c>
      <c r="AI174" s="28">
        <v>0</v>
      </c>
      <c r="AJ174" s="28">
        <v>1</v>
      </c>
    </row>
    <row r="175" spans="1:36" x14ac:dyDescent="0.25">
      <c r="A175" s="298" t="str">
        <f>IF('Kwaliteit conversie'!$D$4='Prijs karton'!C175,"X"," ")</f>
        <v xml:space="preserve"> </v>
      </c>
      <c r="B175" s="331" t="s">
        <v>38</v>
      </c>
      <c r="C175" s="359" t="s">
        <v>402</v>
      </c>
      <c r="D175" s="366">
        <v>1.21</v>
      </c>
      <c r="E175" s="321">
        <v>12.7</v>
      </c>
      <c r="F175" s="925">
        <v>0</v>
      </c>
      <c r="G175" s="315">
        <v>141</v>
      </c>
      <c r="H175" s="315">
        <v>138</v>
      </c>
      <c r="I175" s="315">
        <v>137.5</v>
      </c>
      <c r="J175" s="315">
        <v>137.5</v>
      </c>
      <c r="K175" s="513">
        <v>137</v>
      </c>
      <c r="L175" s="926" t="s">
        <v>403</v>
      </c>
      <c r="M175" s="331" t="s">
        <v>294</v>
      </c>
      <c r="N175" s="366" t="s">
        <v>357</v>
      </c>
      <c r="O175" s="323" t="s">
        <v>285</v>
      </c>
      <c r="P175" s="386" t="s">
        <v>357</v>
      </c>
      <c r="Q175" s="323" t="s">
        <v>285</v>
      </c>
      <c r="R175" s="366" t="s">
        <v>285</v>
      </c>
      <c r="S175" s="378" t="s">
        <v>294</v>
      </c>
      <c r="T175" s="324" t="s">
        <v>245</v>
      </c>
      <c r="U175" s="386">
        <v>250</v>
      </c>
      <c r="V175" s="386">
        <v>2450</v>
      </c>
      <c r="W175" s="386">
        <v>800</v>
      </c>
      <c r="X175" s="386">
        <v>6200</v>
      </c>
      <c r="Y175" s="386">
        <v>130</v>
      </c>
      <c r="Z175" s="386">
        <v>65</v>
      </c>
      <c r="AA175" s="386">
        <v>300</v>
      </c>
      <c r="AB175" s="392">
        <v>15.5</v>
      </c>
      <c r="AC175" s="28">
        <v>0</v>
      </c>
      <c r="AD175" s="28">
        <v>0</v>
      </c>
      <c r="AE175" s="28">
        <v>1</v>
      </c>
      <c r="AF175" s="28">
        <v>0</v>
      </c>
      <c r="AG175" s="28">
        <v>0</v>
      </c>
      <c r="AH175" s="28">
        <v>0</v>
      </c>
      <c r="AI175" s="28">
        <v>0</v>
      </c>
      <c r="AJ175" s="28">
        <v>1</v>
      </c>
    </row>
    <row r="176" spans="1:36" x14ac:dyDescent="0.25">
      <c r="A176" s="298" t="str">
        <f>IF('Kwaliteit conversie'!$D$4='Prijs karton'!C176,"X"," ")</f>
        <v xml:space="preserve"> </v>
      </c>
      <c r="B176" s="331" t="s">
        <v>38</v>
      </c>
      <c r="C176" s="359" t="s">
        <v>404</v>
      </c>
      <c r="D176" s="366">
        <v>1.4</v>
      </c>
      <c r="E176" s="321">
        <v>12.9</v>
      </c>
      <c r="F176" s="925">
        <v>0</v>
      </c>
      <c r="G176" s="315">
        <v>161.19999999999999</v>
      </c>
      <c r="H176" s="315">
        <v>158.19999999999999</v>
      </c>
      <c r="I176" s="315">
        <v>157.69999999999999</v>
      </c>
      <c r="J176" s="315">
        <v>157.69999999999999</v>
      </c>
      <c r="K176" s="513">
        <v>157.19999999999999</v>
      </c>
      <c r="L176" s="926" t="s">
        <v>405</v>
      </c>
      <c r="M176" s="331" t="s">
        <v>360</v>
      </c>
      <c r="N176" s="366" t="s">
        <v>357</v>
      </c>
      <c r="O176" s="323" t="s">
        <v>398</v>
      </c>
      <c r="P176" s="386" t="s">
        <v>357</v>
      </c>
      <c r="Q176" s="323" t="s">
        <v>398</v>
      </c>
      <c r="R176" s="366" t="s">
        <v>357</v>
      </c>
      <c r="S176" s="378" t="s">
        <v>294</v>
      </c>
      <c r="T176" s="324" t="s">
        <v>245</v>
      </c>
      <c r="U176" s="386">
        <v>250</v>
      </c>
      <c r="V176" s="386">
        <v>2450</v>
      </c>
      <c r="W176" s="386">
        <v>800</v>
      </c>
      <c r="X176" s="386">
        <v>6200</v>
      </c>
      <c r="Y176" s="386">
        <v>130</v>
      </c>
      <c r="Z176" s="386">
        <v>65</v>
      </c>
      <c r="AA176" s="386">
        <v>300</v>
      </c>
      <c r="AB176" s="392">
        <v>19.3</v>
      </c>
      <c r="AC176" s="28">
        <v>0</v>
      </c>
      <c r="AD176" s="28">
        <v>0</v>
      </c>
      <c r="AE176" s="28">
        <v>1</v>
      </c>
      <c r="AF176" s="28">
        <v>0</v>
      </c>
      <c r="AG176" s="28">
        <v>0</v>
      </c>
      <c r="AH176" s="28">
        <v>0</v>
      </c>
      <c r="AI176" s="28">
        <v>0</v>
      </c>
      <c r="AJ176" s="28">
        <v>1</v>
      </c>
    </row>
    <row r="177" spans="1:36" x14ac:dyDescent="0.25">
      <c r="A177" s="298" t="str">
        <f>IF('Kwaliteit conversie'!$D$4='Prijs karton'!C177,"X"," ")</f>
        <v xml:space="preserve"> </v>
      </c>
      <c r="B177" s="331" t="s">
        <v>38</v>
      </c>
      <c r="C177" s="359" t="s">
        <v>406</v>
      </c>
      <c r="D177" s="366">
        <v>1.54</v>
      </c>
      <c r="E177" s="321">
        <v>13.1</v>
      </c>
      <c r="F177" s="925">
        <v>0</v>
      </c>
      <c r="G177" s="315">
        <v>180.8</v>
      </c>
      <c r="H177" s="315">
        <v>177.8</v>
      </c>
      <c r="I177" s="315">
        <v>177.3</v>
      </c>
      <c r="J177" s="315">
        <v>177.3</v>
      </c>
      <c r="K177" s="513">
        <v>176.8</v>
      </c>
      <c r="L177" s="926" t="s">
        <v>407</v>
      </c>
      <c r="M177" s="331" t="s">
        <v>360</v>
      </c>
      <c r="N177" s="366" t="s">
        <v>398</v>
      </c>
      <c r="O177" s="323" t="s">
        <v>398</v>
      </c>
      <c r="P177" s="386" t="s">
        <v>398</v>
      </c>
      <c r="Q177" s="323" t="s">
        <v>399</v>
      </c>
      <c r="R177" s="366" t="s">
        <v>357</v>
      </c>
      <c r="S177" s="378" t="s">
        <v>360</v>
      </c>
      <c r="T177" s="324" t="s">
        <v>245</v>
      </c>
      <c r="U177" s="386">
        <v>250</v>
      </c>
      <c r="V177" s="386">
        <v>2450</v>
      </c>
      <c r="W177" s="386">
        <v>800</v>
      </c>
      <c r="X177" s="386">
        <v>6200</v>
      </c>
      <c r="Y177" s="386">
        <v>130</v>
      </c>
      <c r="Z177" s="386">
        <v>65</v>
      </c>
      <c r="AA177" s="386">
        <v>300</v>
      </c>
      <c r="AB177" s="392">
        <v>22.8</v>
      </c>
      <c r="AC177" s="28">
        <v>0</v>
      </c>
      <c r="AD177" s="28">
        <v>0</v>
      </c>
      <c r="AE177" s="28">
        <v>1</v>
      </c>
      <c r="AF177" s="28">
        <v>0</v>
      </c>
      <c r="AG177" s="28">
        <v>0</v>
      </c>
      <c r="AH177" s="28">
        <v>0</v>
      </c>
      <c r="AI177" s="28">
        <v>0</v>
      </c>
      <c r="AJ177" s="28">
        <v>1</v>
      </c>
    </row>
    <row r="178" spans="1:36" x14ac:dyDescent="0.25">
      <c r="A178" s="298" t="str">
        <f>IF('Kwaliteit conversie'!$D$4='Prijs karton'!C178,"X"," ")</f>
        <v xml:space="preserve"> </v>
      </c>
      <c r="B178" s="331" t="s">
        <v>38</v>
      </c>
      <c r="C178" s="359" t="s">
        <v>408</v>
      </c>
      <c r="D178" s="366">
        <v>1.8149999999999999</v>
      </c>
      <c r="E178" s="321">
        <v>13.4</v>
      </c>
      <c r="F178" s="925">
        <v>0</v>
      </c>
      <c r="G178" s="315">
        <v>215.7</v>
      </c>
      <c r="H178" s="315">
        <v>212.7</v>
      </c>
      <c r="I178" s="315">
        <v>212.2</v>
      </c>
      <c r="J178" s="315">
        <v>212.2</v>
      </c>
      <c r="K178" s="513">
        <v>211.7</v>
      </c>
      <c r="L178" s="926" t="s">
        <v>409</v>
      </c>
      <c r="M178" s="331" t="s">
        <v>397</v>
      </c>
      <c r="N178" s="366" t="s">
        <v>398</v>
      </c>
      <c r="O178" s="323" t="s">
        <v>399</v>
      </c>
      <c r="P178" s="386" t="s">
        <v>398</v>
      </c>
      <c r="Q178" s="323" t="s">
        <v>399</v>
      </c>
      <c r="R178" s="366" t="s">
        <v>398</v>
      </c>
      <c r="S178" s="378" t="s">
        <v>397</v>
      </c>
      <c r="T178" s="324" t="s">
        <v>245</v>
      </c>
      <c r="U178" s="386">
        <v>250</v>
      </c>
      <c r="V178" s="386">
        <v>2450</v>
      </c>
      <c r="W178" s="386">
        <v>800</v>
      </c>
      <c r="X178" s="386">
        <v>6200</v>
      </c>
      <c r="Y178" s="386">
        <v>130</v>
      </c>
      <c r="Z178" s="386">
        <v>65</v>
      </c>
      <c r="AA178" s="386">
        <v>300</v>
      </c>
      <c r="AB178" s="392">
        <v>26.3</v>
      </c>
      <c r="AC178" s="28">
        <v>0</v>
      </c>
      <c r="AD178" s="28">
        <v>0</v>
      </c>
      <c r="AE178" s="28">
        <v>1</v>
      </c>
      <c r="AF178" s="28">
        <v>0</v>
      </c>
      <c r="AG178" s="28">
        <v>0</v>
      </c>
      <c r="AH178" s="28">
        <v>0</v>
      </c>
      <c r="AI178" s="28">
        <v>0</v>
      </c>
      <c r="AJ178" s="28">
        <v>1</v>
      </c>
    </row>
    <row r="179" spans="1:36" x14ac:dyDescent="0.25">
      <c r="A179" s="298" t="str">
        <f>IF('Kwaliteit conversie'!$D$4='Prijs karton'!C179,"X"," ")</f>
        <v xml:space="preserve"> </v>
      </c>
      <c r="B179" s="331" t="s">
        <v>38</v>
      </c>
      <c r="C179" s="359"/>
      <c r="D179" s="366"/>
      <c r="E179" s="321"/>
      <c r="F179" s="925"/>
      <c r="G179" s="315"/>
      <c r="H179" s="315"/>
      <c r="I179" s="315"/>
      <c r="J179" s="315"/>
      <c r="K179" s="513"/>
      <c r="L179" s="926"/>
      <c r="M179" s="331"/>
      <c r="N179" s="366"/>
      <c r="O179" s="323"/>
      <c r="P179" s="386"/>
      <c r="Q179" s="323"/>
      <c r="R179" s="366"/>
      <c r="S179" s="378"/>
      <c r="T179" s="324"/>
      <c r="U179" s="386"/>
      <c r="V179" s="386"/>
      <c r="W179" s="386"/>
      <c r="X179" s="386"/>
      <c r="Y179" s="386"/>
      <c r="Z179" s="386"/>
      <c r="AA179" s="386"/>
      <c r="AB179" s="392"/>
      <c r="AC179" s="28"/>
      <c r="AD179" s="28"/>
      <c r="AE179" s="28"/>
      <c r="AF179" s="28"/>
      <c r="AG179" s="28"/>
      <c r="AH179" s="28"/>
      <c r="AI179" s="28"/>
      <c r="AJ179" s="28"/>
    </row>
    <row r="180" spans="1:36" x14ac:dyDescent="0.25">
      <c r="A180" s="298" t="str">
        <f>IF('Kwaliteit conversie'!$D$4='Prijs karton'!C180,"X"," ")</f>
        <v xml:space="preserve"> </v>
      </c>
      <c r="B180" s="331" t="s">
        <v>38</v>
      </c>
      <c r="C180" s="359"/>
      <c r="D180" s="366"/>
      <c r="E180" s="321"/>
      <c r="F180" s="925"/>
      <c r="G180" s="315"/>
      <c r="H180" s="315"/>
      <c r="I180" s="315"/>
      <c r="J180" s="315"/>
      <c r="K180" s="513"/>
      <c r="L180" s="926"/>
      <c r="M180" s="331"/>
      <c r="N180" s="366"/>
      <c r="O180" s="323"/>
      <c r="P180" s="386"/>
      <c r="Q180" s="323"/>
      <c r="R180" s="366"/>
      <c r="S180" s="378"/>
      <c r="T180" s="324"/>
      <c r="U180" s="386"/>
      <c r="V180" s="386"/>
      <c r="W180" s="386"/>
      <c r="X180" s="386"/>
      <c r="Y180" s="386"/>
      <c r="Z180" s="386"/>
      <c r="AA180" s="386"/>
      <c r="AB180" s="392"/>
      <c r="AC180" s="28"/>
      <c r="AD180" s="28"/>
      <c r="AE180" s="28"/>
      <c r="AF180" s="28"/>
      <c r="AG180" s="28"/>
      <c r="AH180" s="28"/>
      <c r="AI180" s="28"/>
      <c r="AJ180" s="28"/>
    </row>
    <row r="181" spans="1:36" x14ac:dyDescent="0.25">
      <c r="A181" s="298" t="str">
        <f>IF('Kwaliteit conversie'!$D$4='Prijs karton'!C181,"X"," ")</f>
        <v xml:space="preserve"> </v>
      </c>
      <c r="B181" s="331" t="s">
        <v>38</v>
      </c>
      <c r="C181" s="359"/>
      <c r="D181" s="366"/>
      <c r="E181" s="321"/>
      <c r="F181" s="925"/>
      <c r="G181" s="315"/>
      <c r="H181" s="315"/>
      <c r="I181" s="315"/>
      <c r="J181" s="315"/>
      <c r="K181" s="513"/>
      <c r="L181" s="926"/>
      <c r="M181" s="331"/>
      <c r="N181" s="366"/>
      <c r="O181" s="323"/>
      <c r="P181" s="386"/>
      <c r="Q181" s="323"/>
      <c r="R181" s="366"/>
      <c r="S181" s="378"/>
      <c r="T181" s="324"/>
      <c r="U181" s="386"/>
      <c r="V181" s="386"/>
      <c r="W181" s="386"/>
      <c r="X181" s="386"/>
      <c r="Y181" s="386"/>
      <c r="Z181" s="386"/>
      <c r="AA181" s="386"/>
      <c r="AB181" s="392"/>
      <c r="AC181" s="28"/>
      <c r="AD181" s="28"/>
      <c r="AE181" s="28"/>
      <c r="AF181" s="28"/>
      <c r="AG181" s="28"/>
      <c r="AH181" s="28"/>
      <c r="AI181" s="28"/>
      <c r="AJ181" s="28"/>
    </row>
    <row r="182" spans="1:36" x14ac:dyDescent="0.25">
      <c r="A182" s="298" t="str">
        <f>IF('Kwaliteit conversie'!$D$4='Prijs karton'!C182,"X"," ")</f>
        <v xml:space="preserve"> </v>
      </c>
      <c r="B182" s="331" t="s">
        <v>38</v>
      </c>
      <c r="C182" s="359"/>
      <c r="D182" s="366"/>
      <c r="E182" s="321"/>
      <c r="F182" s="925"/>
      <c r="G182" s="315"/>
      <c r="H182" s="315"/>
      <c r="I182" s="315"/>
      <c r="J182" s="315"/>
      <c r="K182" s="513"/>
      <c r="L182" s="926"/>
      <c r="M182" s="331"/>
      <c r="N182" s="366"/>
      <c r="O182" s="323"/>
      <c r="P182" s="386"/>
      <c r="Q182" s="323"/>
      <c r="R182" s="366"/>
      <c r="S182" s="378"/>
      <c r="T182" s="324"/>
      <c r="U182" s="386"/>
      <c r="V182" s="386"/>
      <c r="W182" s="386"/>
      <c r="X182" s="386"/>
      <c r="Y182" s="386"/>
      <c r="Z182" s="386"/>
      <c r="AA182" s="386"/>
      <c r="AB182" s="392"/>
      <c r="AC182" s="28"/>
      <c r="AD182" s="28"/>
      <c r="AE182" s="28"/>
      <c r="AF182" s="28"/>
      <c r="AG182" s="28"/>
      <c r="AH182" s="28"/>
      <c r="AI182" s="28"/>
      <c r="AJ182" s="28"/>
    </row>
    <row r="183" spans="1:36" x14ac:dyDescent="0.25">
      <c r="A183" s="298" t="str">
        <f>IF('Kwaliteit conversie'!$D$4='Prijs karton'!C183,"X"," ")</f>
        <v xml:space="preserve"> </v>
      </c>
      <c r="B183" s="331" t="s">
        <v>38</v>
      </c>
      <c r="C183" s="359"/>
      <c r="D183" s="366"/>
      <c r="E183" s="321"/>
      <c r="F183" s="925"/>
      <c r="G183" s="315"/>
      <c r="H183" s="315"/>
      <c r="I183" s="315"/>
      <c r="J183" s="315"/>
      <c r="K183" s="513"/>
      <c r="L183" s="926"/>
      <c r="M183" s="331"/>
      <c r="N183" s="366"/>
      <c r="O183" s="323"/>
      <c r="P183" s="386"/>
      <c r="Q183" s="323"/>
      <c r="R183" s="366"/>
      <c r="S183" s="378"/>
      <c r="T183" s="324"/>
      <c r="U183" s="386"/>
      <c r="V183" s="386"/>
      <c r="W183" s="386"/>
      <c r="X183" s="386"/>
      <c r="Y183" s="386"/>
      <c r="Z183" s="386"/>
      <c r="AA183" s="386"/>
      <c r="AB183" s="392"/>
      <c r="AC183" s="28"/>
      <c r="AD183" s="28"/>
      <c r="AE183" s="28"/>
      <c r="AF183" s="28"/>
      <c r="AG183" s="28"/>
      <c r="AH183" s="28"/>
      <c r="AI183" s="28"/>
      <c r="AJ183" s="28"/>
    </row>
    <row r="184" spans="1:36" x14ac:dyDescent="0.25">
      <c r="A184" s="298" t="str">
        <f>IF('Kwaliteit conversie'!$D$4='Prijs karton'!C184,"X"," ")</f>
        <v xml:space="preserve"> </v>
      </c>
      <c r="B184" s="331" t="s">
        <v>38</v>
      </c>
      <c r="C184" s="359"/>
      <c r="D184" s="366"/>
      <c r="E184" s="321"/>
      <c r="F184" s="925"/>
      <c r="G184" s="315"/>
      <c r="H184" s="315"/>
      <c r="I184" s="315"/>
      <c r="J184" s="315"/>
      <c r="K184" s="513"/>
      <c r="L184" s="926"/>
      <c r="M184" s="331"/>
      <c r="N184" s="366"/>
      <c r="O184" s="323"/>
      <c r="P184" s="386"/>
      <c r="Q184" s="323"/>
      <c r="R184" s="366"/>
      <c r="S184" s="378"/>
      <c r="T184" s="324"/>
      <c r="U184" s="386"/>
      <c r="V184" s="386"/>
      <c r="W184" s="386"/>
      <c r="X184" s="386"/>
      <c r="Y184" s="386"/>
      <c r="Z184" s="386"/>
      <c r="AA184" s="386"/>
      <c r="AB184" s="392"/>
      <c r="AC184" s="28"/>
      <c r="AD184" s="28"/>
      <c r="AE184" s="28"/>
      <c r="AF184" s="28"/>
      <c r="AG184" s="28"/>
      <c r="AH184" s="28"/>
      <c r="AI184" s="28"/>
      <c r="AJ184" s="28"/>
    </row>
    <row r="185" spans="1:36" s="320" customFormat="1" x14ac:dyDescent="0.25">
      <c r="A185" s="329" t="str">
        <f>IF('Kwaliteit conversie'!$D$4='Prijs karton'!C185,"X"," ")</f>
        <v xml:space="preserve"> </v>
      </c>
      <c r="B185" s="332" t="s">
        <v>38</v>
      </c>
      <c r="C185" s="360"/>
      <c r="D185" s="367"/>
      <c r="E185" s="322"/>
      <c r="F185" s="927"/>
      <c r="G185" s="319"/>
      <c r="H185" s="319"/>
      <c r="I185" s="319"/>
      <c r="J185" s="319"/>
      <c r="K185" s="928"/>
      <c r="L185" s="929"/>
      <c r="M185" s="379"/>
      <c r="N185" s="367"/>
      <c r="O185" s="325"/>
      <c r="P185" s="387"/>
      <c r="Q185" s="325"/>
      <c r="R185" s="367"/>
      <c r="S185" s="380"/>
      <c r="T185" s="326"/>
      <c r="U185" s="387"/>
      <c r="V185" s="387"/>
      <c r="W185" s="387"/>
      <c r="X185" s="387"/>
      <c r="Y185" s="387"/>
      <c r="Z185" s="387"/>
      <c r="AA185" s="387"/>
      <c r="AB185" s="393"/>
      <c r="AC185" s="34"/>
      <c r="AD185" s="34"/>
      <c r="AE185" s="34"/>
      <c r="AF185" s="34"/>
      <c r="AG185" s="34"/>
      <c r="AH185" s="34"/>
      <c r="AI185" s="34"/>
      <c r="AJ185" s="34"/>
    </row>
    <row r="186" spans="1:36" x14ac:dyDescent="0.25">
      <c r="A186" s="298" t="str">
        <f>IF('Kwaliteit conversie'!$D$4='Prijs karton'!C186,"X"," ")</f>
        <v xml:space="preserve"> </v>
      </c>
      <c r="B186" s="331"/>
      <c r="C186" s="359"/>
      <c r="D186" s="366"/>
      <c r="E186" s="321"/>
      <c r="F186" s="925"/>
      <c r="G186" s="315"/>
      <c r="H186" s="315"/>
      <c r="I186" s="315"/>
      <c r="J186" s="315"/>
      <c r="K186" s="513"/>
      <c r="L186" s="926"/>
      <c r="M186" s="331"/>
      <c r="N186" s="366"/>
      <c r="O186" s="323"/>
      <c r="P186" s="386"/>
      <c r="Q186" s="323"/>
      <c r="R186" s="366"/>
      <c r="S186" s="378"/>
      <c r="T186" s="324"/>
      <c r="U186" s="386"/>
      <c r="V186" s="386"/>
      <c r="W186" s="386"/>
      <c r="X186" s="386"/>
      <c r="Y186" s="386"/>
      <c r="Z186" s="386"/>
      <c r="AA186" s="386"/>
      <c r="AB186" s="392"/>
      <c r="AC186" s="28"/>
      <c r="AD186" s="28"/>
      <c r="AE186" s="28"/>
      <c r="AF186" s="28"/>
      <c r="AG186" s="28"/>
      <c r="AH186" s="28"/>
      <c r="AI186" s="28"/>
      <c r="AJ186" s="28"/>
    </row>
    <row r="187" spans="1:36" x14ac:dyDescent="0.25">
      <c r="A187" s="298" t="str">
        <f>IF('Kwaliteit conversie'!$D$4='Prijs karton'!C187,"X"," ")</f>
        <v xml:space="preserve"> </v>
      </c>
      <c r="B187" s="331" t="s">
        <v>30</v>
      </c>
      <c r="C187" s="359" t="s">
        <v>1423</v>
      </c>
      <c r="D187" s="366">
        <v>0.29299999999999998</v>
      </c>
      <c r="E187" s="321">
        <v>1.46</v>
      </c>
      <c r="F187" s="925">
        <v>0</v>
      </c>
      <c r="G187" s="315">
        <v>30.9</v>
      </c>
      <c r="H187" s="315">
        <v>29.4</v>
      </c>
      <c r="I187" s="315">
        <v>29.1</v>
      </c>
      <c r="J187" s="315">
        <v>28.9</v>
      </c>
      <c r="K187" s="513">
        <v>28.9</v>
      </c>
      <c r="L187" s="926" t="s">
        <v>1424</v>
      </c>
      <c r="M187" s="331" t="s">
        <v>244</v>
      </c>
      <c r="N187" s="366" t="s">
        <v>244</v>
      </c>
      <c r="O187" s="323" t="s">
        <v>239</v>
      </c>
      <c r="P187" s="386" t="s">
        <v>239</v>
      </c>
      <c r="Q187" s="323" t="s">
        <v>239</v>
      </c>
      <c r="R187" s="366" t="s">
        <v>239</v>
      </c>
      <c r="S187" s="378" t="s">
        <v>244</v>
      </c>
      <c r="T187" s="324" t="s">
        <v>1364</v>
      </c>
      <c r="U187" s="386">
        <v>250</v>
      </c>
      <c r="V187" s="386">
        <v>2450</v>
      </c>
      <c r="W187" s="386">
        <v>600</v>
      </c>
      <c r="X187" s="386">
        <v>6000</v>
      </c>
      <c r="Y187" s="386">
        <v>500</v>
      </c>
      <c r="Z187" s="386">
        <v>250</v>
      </c>
      <c r="AA187" s="386">
        <v>200</v>
      </c>
      <c r="AB187" s="392">
        <v>3.11</v>
      </c>
      <c r="AC187" s="28">
        <v>0</v>
      </c>
      <c r="AD187" s="28">
        <v>1</v>
      </c>
      <c r="AE187" s="28">
        <v>1</v>
      </c>
      <c r="AF187" s="28">
        <v>0</v>
      </c>
      <c r="AG187" s="28">
        <v>1</v>
      </c>
      <c r="AH187" s="28">
        <v>1</v>
      </c>
      <c r="AI187" s="28">
        <v>1</v>
      </c>
      <c r="AJ187" s="28">
        <v>1</v>
      </c>
    </row>
    <row r="188" spans="1:36" x14ac:dyDescent="0.25">
      <c r="A188" s="298" t="str">
        <f>IF('Kwaliteit conversie'!$D$4='Prijs karton'!C188,"X"," ")</f>
        <v xml:space="preserve"> </v>
      </c>
      <c r="B188" s="331" t="s">
        <v>30</v>
      </c>
      <c r="C188" s="359" t="s">
        <v>1425</v>
      </c>
      <c r="D188" s="366">
        <v>0.35299999999999998</v>
      </c>
      <c r="E188" s="321">
        <v>1.55</v>
      </c>
      <c r="F188" s="925">
        <v>0</v>
      </c>
      <c r="G188" s="315">
        <v>34.4</v>
      </c>
      <c r="H188" s="315">
        <v>33.1</v>
      </c>
      <c r="I188" s="315">
        <v>32.799999999999997</v>
      </c>
      <c r="J188" s="315">
        <v>32.5</v>
      </c>
      <c r="K188" s="513">
        <v>32.5</v>
      </c>
      <c r="L188" s="926" t="s">
        <v>1426</v>
      </c>
      <c r="M188" s="331" t="s">
        <v>1363</v>
      </c>
      <c r="N188" s="366" t="s">
        <v>244</v>
      </c>
      <c r="O188" s="323" t="s">
        <v>239</v>
      </c>
      <c r="P188" s="386" t="s">
        <v>239</v>
      </c>
      <c r="Q188" s="323" t="s">
        <v>239</v>
      </c>
      <c r="R188" s="366" t="s">
        <v>239</v>
      </c>
      <c r="S188" s="378" t="s">
        <v>1363</v>
      </c>
      <c r="T188" s="324" t="s">
        <v>1364</v>
      </c>
      <c r="U188" s="386">
        <v>250</v>
      </c>
      <c r="V188" s="386">
        <v>2450</v>
      </c>
      <c r="W188" s="386">
        <v>600</v>
      </c>
      <c r="X188" s="386">
        <v>6000</v>
      </c>
      <c r="Y188" s="386">
        <v>500</v>
      </c>
      <c r="Z188" s="386">
        <v>250</v>
      </c>
      <c r="AA188" s="386">
        <v>200</v>
      </c>
      <c r="AB188" s="392">
        <v>4.17</v>
      </c>
      <c r="AC188" s="28">
        <v>0</v>
      </c>
      <c r="AD188" s="28">
        <v>1</v>
      </c>
      <c r="AE188" s="28">
        <v>1</v>
      </c>
      <c r="AF188" s="28">
        <v>0</v>
      </c>
      <c r="AG188" s="28">
        <v>1</v>
      </c>
      <c r="AH188" s="28">
        <v>1</v>
      </c>
      <c r="AI188" s="28">
        <v>1</v>
      </c>
      <c r="AJ188" s="28">
        <v>1</v>
      </c>
    </row>
    <row r="189" spans="1:36" x14ac:dyDescent="0.25">
      <c r="A189" s="932" t="str">
        <f>IF('Kwaliteit conversie'!$D$4='Prijs karton'!C189,"X"," ")</f>
        <v xml:space="preserve"> </v>
      </c>
      <c r="B189" s="331" t="s">
        <v>30</v>
      </c>
      <c r="C189" s="359" t="s">
        <v>410</v>
      </c>
      <c r="D189" s="366">
        <v>0.32500000000000001</v>
      </c>
      <c r="E189" s="321">
        <v>1.5</v>
      </c>
      <c r="F189" s="925">
        <v>0</v>
      </c>
      <c r="G189" s="315">
        <v>26.6</v>
      </c>
      <c r="H189" s="315">
        <v>23.6</v>
      </c>
      <c r="I189" s="315">
        <v>23.1</v>
      </c>
      <c r="J189" s="315">
        <v>23.1</v>
      </c>
      <c r="K189" s="513">
        <v>22.6</v>
      </c>
      <c r="L189" s="926" t="s">
        <v>411</v>
      </c>
      <c r="M189" s="331" t="s">
        <v>249</v>
      </c>
      <c r="N189" s="366" t="s">
        <v>412</v>
      </c>
      <c r="O189" s="323" t="s">
        <v>239</v>
      </c>
      <c r="P189" s="386" t="s">
        <v>239</v>
      </c>
      <c r="Q189" s="323" t="s">
        <v>239</v>
      </c>
      <c r="R189" s="366" t="s">
        <v>239</v>
      </c>
      <c r="S189" s="378" t="s">
        <v>249</v>
      </c>
      <c r="T189" s="324" t="s">
        <v>245</v>
      </c>
      <c r="U189" s="386">
        <v>250</v>
      </c>
      <c r="V189" s="386">
        <v>2450</v>
      </c>
      <c r="W189" s="386">
        <v>500</v>
      </c>
      <c r="X189" s="386">
        <v>6200</v>
      </c>
      <c r="Y189" s="386">
        <v>700</v>
      </c>
      <c r="Z189" s="386">
        <v>350</v>
      </c>
      <c r="AA189" s="386">
        <v>200</v>
      </c>
      <c r="AB189" s="392">
        <v>3.6</v>
      </c>
      <c r="AC189" s="28">
        <v>0</v>
      </c>
      <c r="AD189" s="28">
        <v>1</v>
      </c>
      <c r="AE189" s="28">
        <v>1</v>
      </c>
      <c r="AF189" s="28">
        <v>0</v>
      </c>
      <c r="AG189" s="28">
        <v>1</v>
      </c>
      <c r="AH189" s="28">
        <v>1</v>
      </c>
      <c r="AI189" s="28">
        <v>1</v>
      </c>
      <c r="AJ189" s="28">
        <v>1</v>
      </c>
    </row>
    <row r="190" spans="1:36" x14ac:dyDescent="0.25">
      <c r="A190" s="298" t="str">
        <f>IF('Kwaliteit conversie'!$D$4='Prijs karton'!C190,"X"," ")</f>
        <v xml:space="preserve"> </v>
      </c>
      <c r="B190" s="331" t="s">
        <v>30</v>
      </c>
      <c r="C190" s="359"/>
      <c r="D190" s="366"/>
      <c r="E190" s="321"/>
      <c r="F190" s="925"/>
      <c r="G190" s="315"/>
      <c r="H190" s="315"/>
      <c r="I190" s="315"/>
      <c r="J190" s="315"/>
      <c r="K190" s="513"/>
      <c r="L190" s="926"/>
      <c r="M190" s="331"/>
      <c r="N190" s="366"/>
      <c r="O190" s="323"/>
      <c r="P190" s="386"/>
      <c r="Q190" s="323"/>
      <c r="R190" s="366"/>
      <c r="S190" s="378"/>
      <c r="T190" s="324"/>
      <c r="U190" s="386"/>
      <c r="V190" s="386"/>
      <c r="W190" s="386"/>
      <c r="X190" s="386"/>
      <c r="Y190" s="386"/>
      <c r="Z190" s="386"/>
      <c r="AA190" s="386"/>
      <c r="AB190" s="392"/>
      <c r="AC190" s="28"/>
      <c r="AD190" s="28"/>
      <c r="AE190" s="28"/>
      <c r="AF190" s="28"/>
      <c r="AG190" s="28"/>
      <c r="AH190" s="28"/>
      <c r="AI190" s="28"/>
      <c r="AJ190" s="28"/>
    </row>
    <row r="191" spans="1:36" x14ac:dyDescent="0.25">
      <c r="A191" s="298" t="str">
        <f>IF('Kwaliteit conversie'!$D$4='Prijs karton'!C191,"X"," ")</f>
        <v xml:space="preserve"> </v>
      </c>
      <c r="B191" s="331" t="s">
        <v>30</v>
      </c>
      <c r="C191" s="359" t="s">
        <v>1427</v>
      </c>
      <c r="D191" s="366">
        <v>0.36799999999999999</v>
      </c>
      <c r="E191" s="321">
        <v>1.62</v>
      </c>
      <c r="F191" s="925">
        <v>0</v>
      </c>
      <c r="G191" s="315">
        <v>40</v>
      </c>
      <c r="H191" s="315">
        <v>38.5</v>
      </c>
      <c r="I191" s="315">
        <v>38.299999999999997</v>
      </c>
      <c r="J191" s="315">
        <v>38</v>
      </c>
      <c r="K191" s="513">
        <v>38</v>
      </c>
      <c r="L191" s="926" t="s">
        <v>1428</v>
      </c>
      <c r="M191" s="331" t="s">
        <v>1362</v>
      </c>
      <c r="N191" s="366" t="s">
        <v>244</v>
      </c>
      <c r="O191" s="323" t="s">
        <v>239</v>
      </c>
      <c r="P191" s="386" t="s">
        <v>239</v>
      </c>
      <c r="Q191" s="323" t="s">
        <v>239</v>
      </c>
      <c r="R191" s="366" t="s">
        <v>239</v>
      </c>
      <c r="S191" s="378" t="s">
        <v>1429</v>
      </c>
      <c r="T191" s="324" t="s">
        <v>1364</v>
      </c>
      <c r="U191" s="386">
        <v>250</v>
      </c>
      <c r="V191" s="386">
        <v>2450</v>
      </c>
      <c r="W191" s="386">
        <v>600</v>
      </c>
      <c r="X191" s="386">
        <v>6000</v>
      </c>
      <c r="Y191" s="386">
        <v>500</v>
      </c>
      <c r="Z191" s="386">
        <v>250</v>
      </c>
      <c r="AA191" s="386">
        <v>200</v>
      </c>
      <c r="AB191" s="392">
        <v>4.78</v>
      </c>
      <c r="AC191" s="28">
        <v>0</v>
      </c>
      <c r="AD191" s="28">
        <v>1</v>
      </c>
      <c r="AE191" s="28">
        <v>1</v>
      </c>
      <c r="AF191" s="28">
        <v>0</v>
      </c>
      <c r="AG191" s="28">
        <v>1</v>
      </c>
      <c r="AH191" s="28">
        <v>1</v>
      </c>
      <c r="AI191" s="28">
        <v>1</v>
      </c>
      <c r="AJ191" s="28">
        <v>1</v>
      </c>
    </row>
    <row r="192" spans="1:36" x14ac:dyDescent="0.25">
      <c r="A192" s="298" t="str">
        <f>IF('Kwaliteit conversie'!$D$4='Prijs karton'!C192,"X"," ")</f>
        <v xml:space="preserve"> </v>
      </c>
      <c r="B192" s="331" t="s">
        <v>30</v>
      </c>
      <c r="C192" s="359" t="s">
        <v>413</v>
      </c>
      <c r="D192" s="366">
        <v>0.37</v>
      </c>
      <c r="E192" s="321">
        <v>1.5</v>
      </c>
      <c r="F192" s="925">
        <v>0</v>
      </c>
      <c r="G192" s="315">
        <v>31.4</v>
      </c>
      <c r="H192" s="315">
        <v>28.4</v>
      </c>
      <c r="I192" s="315">
        <v>27.9</v>
      </c>
      <c r="J192" s="315">
        <v>27.9</v>
      </c>
      <c r="K192" s="513">
        <v>27.4</v>
      </c>
      <c r="L192" s="926" t="s">
        <v>414</v>
      </c>
      <c r="M192" s="331" t="s">
        <v>257</v>
      </c>
      <c r="N192" s="366" t="s">
        <v>244</v>
      </c>
      <c r="O192" s="323" t="s">
        <v>239</v>
      </c>
      <c r="P192" s="386" t="s">
        <v>239</v>
      </c>
      <c r="Q192" s="323" t="s">
        <v>239</v>
      </c>
      <c r="R192" s="366" t="s">
        <v>239</v>
      </c>
      <c r="S192" s="378" t="s">
        <v>249</v>
      </c>
      <c r="T192" s="324" t="s">
        <v>245</v>
      </c>
      <c r="U192" s="386">
        <v>250</v>
      </c>
      <c r="V192" s="386">
        <v>2450</v>
      </c>
      <c r="W192" s="386">
        <v>500</v>
      </c>
      <c r="X192" s="386">
        <v>6200</v>
      </c>
      <c r="Y192" s="386">
        <v>700</v>
      </c>
      <c r="Z192" s="386">
        <v>350</v>
      </c>
      <c r="AA192" s="386">
        <v>200</v>
      </c>
      <c r="AB192" s="392">
        <v>4.2</v>
      </c>
      <c r="AC192" s="28">
        <v>0</v>
      </c>
      <c r="AD192" s="28">
        <v>1</v>
      </c>
      <c r="AE192" s="28">
        <v>1</v>
      </c>
      <c r="AF192" s="28">
        <v>0</v>
      </c>
      <c r="AG192" s="28">
        <v>1</v>
      </c>
      <c r="AH192" s="28">
        <v>1</v>
      </c>
      <c r="AI192" s="28">
        <v>1</v>
      </c>
      <c r="AJ192" s="28">
        <v>1</v>
      </c>
    </row>
    <row r="193" spans="1:36" x14ac:dyDescent="0.25">
      <c r="A193" s="298" t="str">
        <f>IF('Kwaliteit conversie'!$D$4='Prijs karton'!C193,"X"," ")</f>
        <v xml:space="preserve"> </v>
      </c>
      <c r="B193" s="331" t="s">
        <v>30</v>
      </c>
      <c r="C193" s="359" t="s">
        <v>415</v>
      </c>
      <c r="D193" s="366">
        <v>0.372</v>
      </c>
      <c r="E193" s="321">
        <v>1.55</v>
      </c>
      <c r="F193" s="925">
        <v>0</v>
      </c>
      <c r="G193" s="315" t="s">
        <v>239</v>
      </c>
      <c r="H193" s="315">
        <v>47.9</v>
      </c>
      <c r="I193" s="315">
        <v>47.9</v>
      </c>
      <c r="J193" s="315">
        <v>45.9</v>
      </c>
      <c r="K193" s="513">
        <v>45.9</v>
      </c>
      <c r="L193" s="926" t="s">
        <v>416</v>
      </c>
      <c r="M193" s="331" t="s">
        <v>318</v>
      </c>
      <c r="N193" s="366" t="s">
        <v>244</v>
      </c>
      <c r="O193" s="323" t="s">
        <v>239</v>
      </c>
      <c r="P193" s="386" t="s">
        <v>239</v>
      </c>
      <c r="Q193" s="323" t="s">
        <v>239</v>
      </c>
      <c r="R193" s="366" t="s">
        <v>239</v>
      </c>
      <c r="S193" s="378" t="s">
        <v>260</v>
      </c>
      <c r="T193" s="324" t="s">
        <v>240</v>
      </c>
      <c r="U193" s="386">
        <v>240</v>
      </c>
      <c r="V193" s="386">
        <v>2450</v>
      </c>
      <c r="W193" s="386">
        <v>500</v>
      </c>
      <c r="X193" s="386">
        <v>6000</v>
      </c>
      <c r="Y193" s="386">
        <v>250</v>
      </c>
      <c r="Z193" s="386">
        <v>250</v>
      </c>
      <c r="AA193" s="386">
        <v>500</v>
      </c>
      <c r="AB193" s="392">
        <v>4.8600000000000003</v>
      </c>
      <c r="AC193" s="28">
        <v>0</v>
      </c>
      <c r="AD193" s="28">
        <v>1</v>
      </c>
      <c r="AE193" s="28">
        <v>1</v>
      </c>
      <c r="AF193" s="28">
        <v>0</v>
      </c>
      <c r="AG193" s="28">
        <v>1</v>
      </c>
      <c r="AH193" s="28">
        <v>1</v>
      </c>
      <c r="AI193" s="28">
        <v>1</v>
      </c>
      <c r="AJ193" s="28">
        <v>1</v>
      </c>
    </row>
    <row r="194" spans="1:36" x14ac:dyDescent="0.25">
      <c r="A194" s="298" t="str">
        <f>IF('Kwaliteit conversie'!$D$4='Prijs karton'!C194,"X"," ")</f>
        <v xml:space="preserve"> </v>
      </c>
      <c r="B194" s="331" t="s">
        <v>30</v>
      </c>
      <c r="C194" s="359" t="s">
        <v>417</v>
      </c>
      <c r="D194" s="366">
        <v>0.36499999999999999</v>
      </c>
      <c r="E194" s="321">
        <v>1.5</v>
      </c>
      <c r="F194" s="925">
        <v>0</v>
      </c>
      <c r="G194" s="315">
        <v>33.9</v>
      </c>
      <c r="H194" s="315">
        <v>30.9</v>
      </c>
      <c r="I194" s="315">
        <v>30.4</v>
      </c>
      <c r="J194" s="315">
        <v>30.4</v>
      </c>
      <c r="K194" s="513">
        <v>29.9</v>
      </c>
      <c r="L194" s="926" t="s">
        <v>418</v>
      </c>
      <c r="M194" s="331" t="s">
        <v>269</v>
      </c>
      <c r="N194" s="366" t="s">
        <v>412</v>
      </c>
      <c r="O194" s="323" t="s">
        <v>239</v>
      </c>
      <c r="P194" s="386" t="s">
        <v>239</v>
      </c>
      <c r="Q194" s="323" t="s">
        <v>239</v>
      </c>
      <c r="R194" s="366" t="s">
        <v>239</v>
      </c>
      <c r="S194" s="378" t="s">
        <v>257</v>
      </c>
      <c r="T194" s="324" t="s">
        <v>245</v>
      </c>
      <c r="U194" s="386">
        <v>250</v>
      </c>
      <c r="V194" s="386">
        <v>2450</v>
      </c>
      <c r="W194" s="386">
        <v>500</v>
      </c>
      <c r="X194" s="386">
        <v>6200</v>
      </c>
      <c r="Y194" s="386">
        <v>700</v>
      </c>
      <c r="Z194" s="386">
        <v>350</v>
      </c>
      <c r="AA194" s="386">
        <v>200</v>
      </c>
      <c r="AB194" s="392">
        <v>3.9</v>
      </c>
      <c r="AC194" s="28">
        <v>0</v>
      </c>
      <c r="AD194" s="28">
        <v>1</v>
      </c>
      <c r="AE194" s="28">
        <v>1</v>
      </c>
      <c r="AF194" s="28">
        <v>0</v>
      </c>
      <c r="AG194" s="28">
        <v>1</v>
      </c>
      <c r="AH194" s="28">
        <v>1</v>
      </c>
      <c r="AI194" s="28">
        <v>1</v>
      </c>
      <c r="AJ194" s="28">
        <v>1</v>
      </c>
    </row>
    <row r="195" spans="1:36" x14ac:dyDescent="0.25">
      <c r="A195" s="298" t="str">
        <f>IF('Kwaliteit conversie'!$D$4='Prijs karton'!C195,"X"," ")</f>
        <v xml:space="preserve"> </v>
      </c>
      <c r="B195" s="331" t="s">
        <v>419</v>
      </c>
      <c r="C195" s="359" t="s">
        <v>420</v>
      </c>
      <c r="D195" s="366">
        <v>0.35699999999999998</v>
      </c>
      <c r="E195" s="321">
        <v>1.5</v>
      </c>
      <c r="F195" s="925">
        <v>0</v>
      </c>
      <c r="G195" s="315" t="s">
        <v>239</v>
      </c>
      <c r="H195" s="315">
        <v>46.9</v>
      </c>
      <c r="I195" s="315">
        <v>46.9</v>
      </c>
      <c r="J195" s="315">
        <v>44.9</v>
      </c>
      <c r="K195" s="513">
        <v>44.9</v>
      </c>
      <c r="L195" s="926" t="s">
        <v>421</v>
      </c>
      <c r="M195" s="331" t="s">
        <v>289</v>
      </c>
      <c r="N195" s="366" t="s">
        <v>244</v>
      </c>
      <c r="O195" s="323" t="s">
        <v>239</v>
      </c>
      <c r="P195" s="386" t="s">
        <v>239</v>
      </c>
      <c r="Q195" s="323" t="s">
        <v>239</v>
      </c>
      <c r="R195" s="366" t="s">
        <v>239</v>
      </c>
      <c r="S195" s="378" t="s">
        <v>311</v>
      </c>
      <c r="T195" s="324" t="s">
        <v>240</v>
      </c>
      <c r="U195" s="386">
        <v>240</v>
      </c>
      <c r="V195" s="386">
        <v>2450</v>
      </c>
      <c r="W195" s="386">
        <v>500</v>
      </c>
      <c r="X195" s="386">
        <v>6000</v>
      </c>
      <c r="Y195" s="386">
        <v>250</v>
      </c>
      <c r="Z195" s="386">
        <v>250</v>
      </c>
      <c r="AA195" s="386">
        <v>500</v>
      </c>
      <c r="AB195" s="392">
        <v>4.55</v>
      </c>
      <c r="AC195" s="28">
        <v>0</v>
      </c>
      <c r="AD195" s="28">
        <v>1</v>
      </c>
      <c r="AE195" s="28">
        <v>1</v>
      </c>
      <c r="AF195" s="28">
        <v>0</v>
      </c>
      <c r="AG195" s="28">
        <v>1</v>
      </c>
      <c r="AH195" s="28">
        <v>1</v>
      </c>
      <c r="AI195" s="28">
        <v>1</v>
      </c>
      <c r="AJ195" s="28">
        <v>1</v>
      </c>
    </row>
    <row r="196" spans="1:36" x14ac:dyDescent="0.25">
      <c r="A196" s="298" t="str">
        <f>IF('Kwaliteit conversie'!$D$4='Prijs karton'!C196,"X"," ")</f>
        <v xml:space="preserve"> </v>
      </c>
      <c r="B196" s="331" t="s">
        <v>30</v>
      </c>
      <c r="C196" s="359" t="s">
        <v>422</v>
      </c>
      <c r="D196" s="366">
        <v>0.38200000000000001</v>
      </c>
      <c r="E196" s="321">
        <v>1.49</v>
      </c>
      <c r="F196" s="925">
        <v>0</v>
      </c>
      <c r="G196" s="315" t="s">
        <v>239</v>
      </c>
      <c r="H196" s="315">
        <v>50.5</v>
      </c>
      <c r="I196" s="315">
        <v>50.5</v>
      </c>
      <c r="J196" s="315">
        <v>48.5</v>
      </c>
      <c r="K196" s="513">
        <v>48.5</v>
      </c>
      <c r="L196" s="926" t="s">
        <v>423</v>
      </c>
      <c r="M196" s="331" t="s">
        <v>269</v>
      </c>
      <c r="N196" s="366" t="s">
        <v>244</v>
      </c>
      <c r="O196" s="323" t="s">
        <v>239</v>
      </c>
      <c r="P196" s="386" t="s">
        <v>239</v>
      </c>
      <c r="Q196" s="323" t="s">
        <v>239</v>
      </c>
      <c r="R196" s="366" t="s">
        <v>239</v>
      </c>
      <c r="S196" s="378" t="s">
        <v>269</v>
      </c>
      <c r="T196" s="324" t="s">
        <v>240</v>
      </c>
      <c r="U196" s="386">
        <v>240</v>
      </c>
      <c r="V196" s="386">
        <v>2450</v>
      </c>
      <c r="W196" s="386">
        <v>500</v>
      </c>
      <c r="X196" s="386">
        <v>6000</v>
      </c>
      <c r="Y196" s="386">
        <v>250</v>
      </c>
      <c r="Z196" s="386">
        <v>250</v>
      </c>
      <c r="AA196" s="386">
        <v>500</v>
      </c>
      <c r="AB196" s="392">
        <v>4.0199999999999996</v>
      </c>
      <c r="AC196" s="28">
        <v>0</v>
      </c>
      <c r="AD196" s="28">
        <v>1</v>
      </c>
      <c r="AE196" s="28">
        <v>1</v>
      </c>
      <c r="AF196" s="28">
        <v>0</v>
      </c>
      <c r="AG196" s="28">
        <v>1</v>
      </c>
      <c r="AH196" s="28">
        <v>1</v>
      </c>
      <c r="AI196" s="28">
        <v>1</v>
      </c>
      <c r="AJ196" s="28">
        <v>1</v>
      </c>
    </row>
    <row r="197" spans="1:36" x14ac:dyDescent="0.25">
      <c r="A197" s="298" t="str">
        <f>IF('Kwaliteit conversie'!$D$4='Prijs karton'!C197,"X"," ")</f>
        <v xml:space="preserve"> </v>
      </c>
      <c r="B197" s="331" t="s">
        <v>30</v>
      </c>
      <c r="C197" s="359" t="s">
        <v>1430</v>
      </c>
      <c r="D197" s="366">
        <v>0.35799999999999998</v>
      </c>
      <c r="E197" s="321">
        <v>1.56</v>
      </c>
      <c r="F197" s="925">
        <v>0</v>
      </c>
      <c r="G197" s="315">
        <v>40.700000000000003</v>
      </c>
      <c r="H197" s="315">
        <v>39.299999999999997</v>
      </c>
      <c r="I197" s="315">
        <v>39.1</v>
      </c>
      <c r="J197" s="315">
        <v>38.700000000000003</v>
      </c>
      <c r="K197" s="513">
        <v>38.700000000000003</v>
      </c>
      <c r="L197" s="926" t="s">
        <v>1431</v>
      </c>
      <c r="M197" s="331" t="s">
        <v>1400</v>
      </c>
      <c r="N197" s="366" t="s">
        <v>244</v>
      </c>
      <c r="O197" s="323" t="s">
        <v>239</v>
      </c>
      <c r="P197" s="386" t="s">
        <v>239</v>
      </c>
      <c r="Q197" s="323" t="s">
        <v>239</v>
      </c>
      <c r="R197" s="366" t="s">
        <v>239</v>
      </c>
      <c r="S197" s="378" t="s">
        <v>1363</v>
      </c>
      <c r="T197" s="324" t="s">
        <v>1364</v>
      </c>
      <c r="U197" s="386">
        <v>250</v>
      </c>
      <c r="V197" s="386">
        <v>2450</v>
      </c>
      <c r="W197" s="386">
        <v>600</v>
      </c>
      <c r="X197" s="386">
        <v>6000</v>
      </c>
      <c r="Y197" s="386">
        <v>500</v>
      </c>
      <c r="Z197" s="386">
        <v>250</v>
      </c>
      <c r="AA197" s="386">
        <v>200</v>
      </c>
      <c r="AB197" s="392">
        <v>4.2</v>
      </c>
      <c r="AC197" s="28">
        <v>0</v>
      </c>
      <c r="AD197" s="28">
        <v>1</v>
      </c>
      <c r="AE197" s="28">
        <v>1</v>
      </c>
      <c r="AF197" s="28">
        <v>0</v>
      </c>
      <c r="AG197" s="28">
        <v>1</v>
      </c>
      <c r="AH197" s="28">
        <v>1</v>
      </c>
      <c r="AI197" s="28">
        <v>1</v>
      </c>
      <c r="AJ197" s="28">
        <v>1</v>
      </c>
    </row>
    <row r="198" spans="1:36" x14ac:dyDescent="0.25">
      <c r="A198" s="298" t="str">
        <f>IF('Kwaliteit conversie'!$D$4='Prijs karton'!C198,"X"," ")</f>
        <v xml:space="preserve"> </v>
      </c>
      <c r="B198" s="331" t="s">
        <v>30</v>
      </c>
      <c r="C198" s="359" t="s">
        <v>424</v>
      </c>
      <c r="D198" s="366">
        <v>0.39</v>
      </c>
      <c r="E198" s="321">
        <v>1.5</v>
      </c>
      <c r="F198" s="925">
        <v>0</v>
      </c>
      <c r="G198" s="315">
        <v>43.8</v>
      </c>
      <c r="H198" s="315">
        <v>40.799999999999997</v>
      </c>
      <c r="I198" s="315">
        <v>40.299999999999997</v>
      </c>
      <c r="J198" s="315">
        <v>40.299999999999997</v>
      </c>
      <c r="K198" s="513">
        <v>39.799999999999997</v>
      </c>
      <c r="L198" s="926" t="s">
        <v>425</v>
      </c>
      <c r="M198" s="331" t="s">
        <v>277</v>
      </c>
      <c r="N198" s="366" t="s">
        <v>244</v>
      </c>
      <c r="O198" s="323" t="s">
        <v>239</v>
      </c>
      <c r="P198" s="386" t="s">
        <v>239</v>
      </c>
      <c r="Q198" s="323" t="s">
        <v>239</v>
      </c>
      <c r="R198" s="366" t="s">
        <v>239</v>
      </c>
      <c r="S198" s="378" t="s">
        <v>318</v>
      </c>
      <c r="T198" s="324" t="s">
        <v>245</v>
      </c>
      <c r="U198" s="386">
        <v>250</v>
      </c>
      <c r="V198" s="386">
        <v>2450</v>
      </c>
      <c r="W198" s="386">
        <v>500</v>
      </c>
      <c r="X198" s="386">
        <v>6200</v>
      </c>
      <c r="Y198" s="386">
        <v>700</v>
      </c>
      <c r="Z198" s="386">
        <v>350</v>
      </c>
      <c r="AA198" s="386">
        <v>200</v>
      </c>
      <c r="AB198" s="392">
        <v>4.8</v>
      </c>
      <c r="AC198" s="28">
        <v>0</v>
      </c>
      <c r="AD198" s="28">
        <v>1</v>
      </c>
      <c r="AE198" s="28">
        <v>1</v>
      </c>
      <c r="AF198" s="28">
        <v>0</v>
      </c>
      <c r="AG198" s="28">
        <v>1</v>
      </c>
      <c r="AH198" s="28">
        <v>1</v>
      </c>
      <c r="AI198" s="28">
        <v>1</v>
      </c>
      <c r="AJ198" s="28">
        <v>1</v>
      </c>
    </row>
    <row r="199" spans="1:36" x14ac:dyDescent="0.25">
      <c r="A199" s="298" t="str">
        <f>IF('Kwaliteit conversie'!$D$4='Prijs karton'!C199,"X"," ")</f>
        <v xml:space="preserve"> </v>
      </c>
      <c r="B199" s="331" t="s">
        <v>30</v>
      </c>
      <c r="C199" s="359" t="s">
        <v>426</v>
      </c>
      <c r="D199" s="366">
        <v>0.39</v>
      </c>
      <c r="E199" s="321">
        <v>1.5</v>
      </c>
      <c r="F199" s="925">
        <v>0</v>
      </c>
      <c r="G199" s="315">
        <v>35.1</v>
      </c>
      <c r="H199" s="315">
        <v>32.1</v>
      </c>
      <c r="I199" s="315">
        <v>31.6</v>
      </c>
      <c r="J199" s="315">
        <v>31.6</v>
      </c>
      <c r="K199" s="513">
        <v>31.1</v>
      </c>
      <c r="L199" s="926" t="s">
        <v>427</v>
      </c>
      <c r="M199" s="331" t="s">
        <v>269</v>
      </c>
      <c r="N199" s="366" t="s">
        <v>244</v>
      </c>
      <c r="O199" s="323" t="s">
        <v>239</v>
      </c>
      <c r="P199" s="386" t="s">
        <v>239</v>
      </c>
      <c r="Q199" s="323" t="s">
        <v>239</v>
      </c>
      <c r="R199" s="366" t="s">
        <v>239</v>
      </c>
      <c r="S199" s="378" t="s">
        <v>257</v>
      </c>
      <c r="T199" s="324" t="s">
        <v>245</v>
      </c>
      <c r="U199" s="386">
        <v>250</v>
      </c>
      <c r="V199" s="386">
        <v>2450</v>
      </c>
      <c r="W199" s="386">
        <v>500</v>
      </c>
      <c r="X199" s="386">
        <v>6200</v>
      </c>
      <c r="Y199" s="386">
        <v>700</v>
      </c>
      <c r="Z199" s="386">
        <v>350</v>
      </c>
      <c r="AA199" s="386">
        <v>200</v>
      </c>
      <c r="AB199" s="392">
        <v>4.2</v>
      </c>
      <c r="AC199" s="28">
        <v>0</v>
      </c>
      <c r="AD199" s="28">
        <v>1</v>
      </c>
      <c r="AE199" s="28">
        <v>1</v>
      </c>
      <c r="AF199" s="28">
        <v>0</v>
      </c>
      <c r="AG199" s="28">
        <v>1</v>
      </c>
      <c r="AH199" s="28">
        <v>1</v>
      </c>
      <c r="AI199" s="28">
        <v>1</v>
      </c>
      <c r="AJ199" s="28">
        <v>1</v>
      </c>
    </row>
    <row r="200" spans="1:36" x14ac:dyDescent="0.25">
      <c r="A200" s="298" t="str">
        <f>IF('Kwaliteit conversie'!$D$4='Prijs karton'!C200,"X"," ")</f>
        <v xml:space="preserve"> </v>
      </c>
      <c r="B200" s="331" t="s">
        <v>30</v>
      </c>
      <c r="C200" s="359" t="s">
        <v>428</v>
      </c>
      <c r="D200" s="366">
        <v>0.39</v>
      </c>
      <c r="E200" s="321">
        <v>1.5</v>
      </c>
      <c r="F200" s="925">
        <v>0</v>
      </c>
      <c r="G200" s="315">
        <v>41.3</v>
      </c>
      <c r="H200" s="315">
        <v>38.299999999999997</v>
      </c>
      <c r="I200" s="315">
        <v>37.799999999999997</v>
      </c>
      <c r="J200" s="315">
        <v>37.799999999999997</v>
      </c>
      <c r="K200" s="513">
        <v>37.299999999999997</v>
      </c>
      <c r="L200" s="926" t="s">
        <v>429</v>
      </c>
      <c r="M200" s="331" t="s">
        <v>269</v>
      </c>
      <c r="N200" s="366" t="s">
        <v>244</v>
      </c>
      <c r="O200" s="323" t="s">
        <v>239</v>
      </c>
      <c r="P200" s="386" t="s">
        <v>239</v>
      </c>
      <c r="Q200" s="323" t="s">
        <v>239</v>
      </c>
      <c r="R200" s="366" t="s">
        <v>239</v>
      </c>
      <c r="S200" s="378" t="s">
        <v>269</v>
      </c>
      <c r="T200" s="324" t="s">
        <v>245</v>
      </c>
      <c r="U200" s="386">
        <v>250</v>
      </c>
      <c r="V200" s="386">
        <v>2450</v>
      </c>
      <c r="W200" s="386">
        <v>500</v>
      </c>
      <c r="X200" s="386">
        <v>6200</v>
      </c>
      <c r="Y200" s="386">
        <v>700</v>
      </c>
      <c r="Z200" s="386">
        <v>350</v>
      </c>
      <c r="AA200" s="386">
        <v>200</v>
      </c>
      <c r="AB200" s="392">
        <v>4</v>
      </c>
      <c r="AC200" s="28">
        <v>0</v>
      </c>
      <c r="AD200" s="28">
        <v>1</v>
      </c>
      <c r="AE200" s="28">
        <v>1</v>
      </c>
      <c r="AF200" s="28">
        <v>0</v>
      </c>
      <c r="AG200" s="28">
        <v>1</v>
      </c>
      <c r="AH200" s="28">
        <v>1</v>
      </c>
      <c r="AI200" s="28">
        <v>1</v>
      </c>
      <c r="AJ200" s="28">
        <v>1</v>
      </c>
    </row>
    <row r="201" spans="1:36" x14ac:dyDescent="0.25">
      <c r="A201" s="298" t="str">
        <f>IF('Kwaliteit conversie'!$D$4='Prijs karton'!C201,"X"," ")</f>
        <v xml:space="preserve"> </v>
      </c>
      <c r="B201" s="331" t="s">
        <v>30</v>
      </c>
      <c r="C201" s="359" t="s">
        <v>430</v>
      </c>
      <c r="D201" s="366">
        <v>0.39</v>
      </c>
      <c r="E201" s="321">
        <v>1.5</v>
      </c>
      <c r="F201" s="925">
        <v>0</v>
      </c>
      <c r="G201" s="315">
        <v>44.4</v>
      </c>
      <c r="H201" s="315">
        <v>41.4</v>
      </c>
      <c r="I201" s="315">
        <v>40.9</v>
      </c>
      <c r="J201" s="315">
        <v>40.9</v>
      </c>
      <c r="K201" s="513">
        <v>40.4</v>
      </c>
      <c r="L201" s="926" t="s">
        <v>431</v>
      </c>
      <c r="M201" s="331" t="s">
        <v>289</v>
      </c>
      <c r="N201" s="366" t="s">
        <v>244</v>
      </c>
      <c r="O201" s="323" t="s">
        <v>239</v>
      </c>
      <c r="P201" s="386" t="s">
        <v>239</v>
      </c>
      <c r="Q201" s="323" t="s">
        <v>239</v>
      </c>
      <c r="R201" s="366" t="s">
        <v>239</v>
      </c>
      <c r="S201" s="378" t="s">
        <v>269</v>
      </c>
      <c r="T201" s="324" t="s">
        <v>245</v>
      </c>
      <c r="U201" s="386">
        <v>250</v>
      </c>
      <c r="V201" s="386">
        <v>2450</v>
      </c>
      <c r="W201" s="386">
        <v>500</v>
      </c>
      <c r="X201" s="386">
        <v>6200</v>
      </c>
      <c r="Y201" s="386">
        <v>700</v>
      </c>
      <c r="Z201" s="386">
        <v>350</v>
      </c>
      <c r="AA201" s="386">
        <v>200</v>
      </c>
      <c r="AB201" s="392">
        <v>4.5</v>
      </c>
      <c r="AC201" s="28">
        <v>0</v>
      </c>
      <c r="AD201" s="28">
        <v>1</v>
      </c>
      <c r="AE201" s="28">
        <v>1</v>
      </c>
      <c r="AF201" s="28">
        <v>0</v>
      </c>
      <c r="AG201" s="28">
        <v>1</v>
      </c>
      <c r="AH201" s="28">
        <v>1</v>
      </c>
      <c r="AI201" s="28">
        <v>1</v>
      </c>
      <c r="AJ201" s="28">
        <v>1</v>
      </c>
    </row>
    <row r="202" spans="1:36" x14ac:dyDescent="0.25">
      <c r="A202" s="298" t="str">
        <f>IF('Kwaliteit conversie'!$D$4='Prijs karton'!C202,"X"," ")</f>
        <v xml:space="preserve"> </v>
      </c>
      <c r="B202" s="331" t="s">
        <v>30</v>
      </c>
      <c r="C202" s="359" t="s">
        <v>1432</v>
      </c>
      <c r="D202" s="366">
        <v>0.36299999999999999</v>
      </c>
      <c r="E202" s="321">
        <v>1.53</v>
      </c>
      <c r="F202" s="925">
        <v>0</v>
      </c>
      <c r="G202" s="315">
        <v>43.9</v>
      </c>
      <c r="H202" s="315">
        <v>42.4</v>
      </c>
      <c r="I202" s="315">
        <v>42.1</v>
      </c>
      <c r="J202" s="315">
        <v>41.9</v>
      </c>
      <c r="K202" s="513">
        <v>41.9</v>
      </c>
      <c r="L202" s="926" t="s">
        <v>1433</v>
      </c>
      <c r="M202" s="331" t="s">
        <v>1400</v>
      </c>
      <c r="N202" s="366" t="s">
        <v>244</v>
      </c>
      <c r="O202" s="323" t="s">
        <v>239</v>
      </c>
      <c r="P202" s="386" t="s">
        <v>239</v>
      </c>
      <c r="Q202" s="323" t="s">
        <v>239</v>
      </c>
      <c r="R202" s="366" t="s">
        <v>239</v>
      </c>
      <c r="S202" s="378" t="s">
        <v>1400</v>
      </c>
      <c r="T202" s="324" t="s">
        <v>1364</v>
      </c>
      <c r="U202" s="394">
        <v>250</v>
      </c>
      <c r="V202" s="395">
        <v>2450</v>
      </c>
      <c r="W202" s="395">
        <v>600</v>
      </c>
      <c r="X202" s="394">
        <v>6000</v>
      </c>
      <c r="Y202" s="394">
        <v>500</v>
      </c>
      <c r="Z202" s="394">
        <v>250</v>
      </c>
      <c r="AA202" s="394">
        <v>200</v>
      </c>
      <c r="AB202" s="392">
        <v>3.96</v>
      </c>
      <c r="AC202" s="28">
        <v>0</v>
      </c>
      <c r="AD202" s="28">
        <v>1</v>
      </c>
      <c r="AE202" s="28">
        <v>1</v>
      </c>
      <c r="AF202" s="28">
        <v>0</v>
      </c>
      <c r="AG202" s="28">
        <v>1</v>
      </c>
      <c r="AH202" s="28">
        <v>1</v>
      </c>
      <c r="AI202" s="28">
        <v>1</v>
      </c>
      <c r="AJ202" s="28">
        <v>1</v>
      </c>
    </row>
    <row r="203" spans="1:36" x14ac:dyDescent="0.25">
      <c r="A203" s="298" t="str">
        <f>IF('Kwaliteit conversie'!$D$4='Prijs karton'!C203,"X"," ")</f>
        <v xml:space="preserve"> </v>
      </c>
      <c r="B203" s="331" t="s">
        <v>30</v>
      </c>
      <c r="C203" s="359" t="s">
        <v>1434</v>
      </c>
      <c r="D203" s="366">
        <v>0.38300000000000001</v>
      </c>
      <c r="E203" s="321">
        <v>1.51</v>
      </c>
      <c r="F203" s="925">
        <v>0</v>
      </c>
      <c r="G203" s="315"/>
      <c r="H203" s="315"/>
      <c r="I203" s="315"/>
      <c r="J203" s="315"/>
      <c r="K203" s="513">
        <v>0</v>
      </c>
      <c r="L203" s="926" t="s">
        <v>1435</v>
      </c>
      <c r="M203" s="331" t="s">
        <v>289</v>
      </c>
      <c r="N203" s="366" t="s">
        <v>244</v>
      </c>
      <c r="O203" s="323" t="s">
        <v>239</v>
      </c>
      <c r="P203" s="386" t="s">
        <v>239</v>
      </c>
      <c r="Q203" s="323" t="s">
        <v>239</v>
      </c>
      <c r="R203" s="366" t="s">
        <v>239</v>
      </c>
      <c r="S203" s="378" t="s">
        <v>289</v>
      </c>
      <c r="T203" s="324" t="s">
        <v>1364</v>
      </c>
      <c r="U203" s="394">
        <v>250</v>
      </c>
      <c r="V203" s="395">
        <v>2450</v>
      </c>
      <c r="W203" s="395">
        <v>600</v>
      </c>
      <c r="X203" s="394">
        <v>6000</v>
      </c>
      <c r="Y203" s="394">
        <v>500</v>
      </c>
      <c r="Z203" s="394">
        <v>250</v>
      </c>
      <c r="AA203" s="394">
        <v>200</v>
      </c>
      <c r="AB203" s="392"/>
      <c r="AC203" s="28">
        <v>0</v>
      </c>
      <c r="AD203" s="28">
        <v>1</v>
      </c>
      <c r="AE203" s="28">
        <v>1</v>
      </c>
      <c r="AF203" s="28">
        <v>0</v>
      </c>
      <c r="AG203" s="28">
        <v>1</v>
      </c>
      <c r="AH203" s="28">
        <v>1</v>
      </c>
      <c r="AI203" s="28">
        <v>1</v>
      </c>
      <c r="AJ203" s="28">
        <v>1</v>
      </c>
    </row>
    <row r="204" spans="1:36" x14ac:dyDescent="0.25">
      <c r="A204" s="298" t="str">
        <f>IF('Kwaliteit conversie'!$D$4='Prijs karton'!C204,"X"," ")</f>
        <v xml:space="preserve"> </v>
      </c>
      <c r="B204" s="331" t="s">
        <v>30</v>
      </c>
      <c r="C204" s="359"/>
      <c r="D204" s="366"/>
      <c r="E204" s="321"/>
      <c r="F204" s="925"/>
      <c r="G204" s="315"/>
      <c r="H204" s="315"/>
      <c r="I204" s="315"/>
      <c r="J204" s="315"/>
      <c r="K204" s="513"/>
      <c r="L204" s="926"/>
      <c r="M204" s="331"/>
      <c r="N204" s="366"/>
      <c r="O204" s="323"/>
      <c r="P204" s="386"/>
      <c r="Q204" s="323"/>
      <c r="R204" s="366"/>
      <c r="S204" s="378"/>
      <c r="T204" s="324"/>
      <c r="U204" s="394"/>
      <c r="V204" s="395"/>
      <c r="W204" s="395"/>
      <c r="X204" s="394"/>
      <c r="Y204" s="394"/>
      <c r="Z204" s="394"/>
      <c r="AA204" s="394"/>
      <c r="AB204" s="392"/>
      <c r="AC204" s="28"/>
      <c r="AD204" s="28"/>
      <c r="AE204" s="28"/>
      <c r="AF204" s="28"/>
      <c r="AG204" s="28"/>
      <c r="AH204" s="28"/>
      <c r="AI204" s="28"/>
      <c r="AJ204" s="28"/>
    </row>
    <row r="205" spans="1:36" s="320" customFormat="1" x14ac:dyDescent="0.25">
      <c r="A205" s="329" t="str">
        <f>IF('Kwaliteit conversie'!$D$4='Prijs karton'!C205,"X"," ")</f>
        <v xml:space="preserve"> </v>
      </c>
      <c r="B205" s="332" t="s">
        <v>30</v>
      </c>
      <c r="C205" s="360" t="s">
        <v>432</v>
      </c>
      <c r="D205" s="367"/>
      <c r="E205" s="322">
        <v>1.5</v>
      </c>
      <c r="F205" s="927">
        <v>0</v>
      </c>
      <c r="G205" s="319">
        <v>0</v>
      </c>
      <c r="H205" s="319">
        <v>0</v>
      </c>
      <c r="I205" s="319">
        <v>0</v>
      </c>
      <c r="J205" s="319">
        <v>0</v>
      </c>
      <c r="K205" s="928">
        <v>0</v>
      </c>
      <c r="L205" s="929" t="s">
        <v>239</v>
      </c>
      <c r="M205" s="379" t="s">
        <v>239</v>
      </c>
      <c r="N205" s="367" t="s">
        <v>239</v>
      </c>
      <c r="O205" s="325" t="s">
        <v>239</v>
      </c>
      <c r="P205" s="387" t="s">
        <v>239</v>
      </c>
      <c r="Q205" s="325" t="s">
        <v>239</v>
      </c>
      <c r="R205" s="367" t="s">
        <v>239</v>
      </c>
      <c r="S205" s="380" t="s">
        <v>239</v>
      </c>
      <c r="T205" s="326" t="s">
        <v>245</v>
      </c>
      <c r="U205" s="387">
        <v>250</v>
      </c>
      <c r="V205" s="387">
        <v>2450</v>
      </c>
      <c r="W205" s="387">
        <v>500</v>
      </c>
      <c r="X205" s="387">
        <v>6200</v>
      </c>
      <c r="Y205" s="387">
        <v>700</v>
      </c>
      <c r="Z205" s="387">
        <v>350</v>
      </c>
      <c r="AA205" s="387">
        <v>200</v>
      </c>
      <c r="AB205" s="393">
        <v>4.5</v>
      </c>
      <c r="AC205" s="34">
        <v>0</v>
      </c>
      <c r="AD205" s="34">
        <v>1</v>
      </c>
      <c r="AE205" s="34">
        <v>1</v>
      </c>
      <c r="AF205" s="34">
        <v>0</v>
      </c>
      <c r="AG205" s="34">
        <v>1</v>
      </c>
      <c r="AH205" s="34">
        <v>1</v>
      </c>
      <c r="AI205" s="34">
        <v>1</v>
      </c>
      <c r="AJ205" s="34">
        <v>1</v>
      </c>
    </row>
    <row r="206" spans="1:36" x14ac:dyDescent="0.25">
      <c r="A206" s="298" t="str">
        <f>IF('Kwaliteit conversie'!$D$4='Prijs karton'!C206,"X"," ")</f>
        <v xml:space="preserve"> </v>
      </c>
      <c r="B206" s="331"/>
      <c r="C206" s="359"/>
      <c r="D206" s="366"/>
      <c r="E206" s="321"/>
      <c r="F206" s="925"/>
      <c r="G206" s="315"/>
      <c r="H206" s="315"/>
      <c r="I206" s="315"/>
      <c r="J206" s="315"/>
      <c r="K206" s="513"/>
      <c r="L206" s="926"/>
      <c r="M206" s="331"/>
      <c r="N206" s="366"/>
      <c r="O206" s="323"/>
      <c r="P206" s="386"/>
      <c r="Q206" s="323"/>
      <c r="R206" s="366"/>
      <c r="S206" s="378"/>
      <c r="T206" s="324"/>
      <c r="U206" s="386"/>
      <c r="V206" s="386"/>
      <c r="W206" s="386"/>
      <c r="X206" s="386"/>
      <c r="Y206" s="386"/>
      <c r="Z206" s="386"/>
      <c r="AA206" s="386"/>
      <c r="AB206" s="392"/>
      <c r="AC206" s="28"/>
      <c r="AD206" s="28"/>
      <c r="AE206" s="28"/>
      <c r="AF206" s="28"/>
      <c r="AG206" s="28"/>
      <c r="AH206" s="28"/>
      <c r="AI206" s="28"/>
      <c r="AJ206" s="28"/>
    </row>
    <row r="207" spans="1:36" x14ac:dyDescent="0.25">
      <c r="A207" s="298" t="str">
        <f>IF('Kwaliteit conversie'!$D$4='Prijs karton'!C207,"X"," ")</f>
        <v xml:space="preserve"> </v>
      </c>
      <c r="B207" s="331"/>
      <c r="C207" s="359"/>
      <c r="D207" s="366"/>
      <c r="E207" s="321"/>
      <c r="F207" s="925"/>
      <c r="G207" s="315"/>
      <c r="H207" s="315"/>
      <c r="I207" s="315"/>
      <c r="J207" s="315"/>
      <c r="K207" s="513"/>
      <c r="L207" s="926"/>
      <c r="M207" s="331"/>
      <c r="N207" s="366"/>
      <c r="O207" s="323"/>
      <c r="P207" s="386"/>
      <c r="Q207" s="323"/>
      <c r="R207" s="366"/>
      <c r="S207" s="378"/>
      <c r="T207" s="324"/>
      <c r="U207" s="386"/>
      <c r="V207" s="386"/>
      <c r="W207" s="386"/>
      <c r="X207" s="386"/>
      <c r="Y207" s="386"/>
      <c r="Z207" s="386"/>
      <c r="AA207" s="386"/>
      <c r="AB207" s="392"/>
      <c r="AC207" s="28"/>
      <c r="AD207" s="28"/>
      <c r="AE207" s="28"/>
      <c r="AF207" s="28"/>
      <c r="AG207" s="28"/>
      <c r="AH207" s="28"/>
      <c r="AI207" s="28"/>
      <c r="AJ207" s="28"/>
    </row>
    <row r="208" spans="1:36" x14ac:dyDescent="0.25">
      <c r="A208" s="298" t="str">
        <f>IF('Kwaliteit conversie'!$D$4='Prijs karton'!C208,"X"," ")</f>
        <v xml:space="preserve"> </v>
      </c>
      <c r="B208" s="331"/>
      <c r="C208" s="359"/>
      <c r="D208" s="366"/>
      <c r="E208" s="321"/>
      <c r="F208" s="925"/>
      <c r="G208" s="315"/>
      <c r="H208" s="315"/>
      <c r="I208" s="315"/>
      <c r="J208" s="315"/>
      <c r="K208" s="513"/>
      <c r="L208" s="926"/>
      <c r="M208" s="331"/>
      <c r="N208" s="366"/>
      <c r="O208" s="323"/>
      <c r="P208" s="386"/>
      <c r="Q208" s="323"/>
      <c r="R208" s="366"/>
      <c r="S208" s="378"/>
      <c r="T208" s="324"/>
      <c r="U208" s="386"/>
      <c r="V208" s="386"/>
      <c r="W208" s="386"/>
      <c r="X208" s="386"/>
      <c r="Y208" s="386"/>
      <c r="Z208" s="386"/>
      <c r="AA208" s="386"/>
      <c r="AB208" s="392"/>
      <c r="AC208" s="28"/>
      <c r="AD208" s="28"/>
      <c r="AE208" s="28"/>
      <c r="AF208" s="28"/>
      <c r="AG208" s="28"/>
      <c r="AH208" s="28"/>
      <c r="AI208" s="28"/>
      <c r="AJ208" s="28"/>
    </row>
    <row r="209" spans="1:36" x14ac:dyDescent="0.25">
      <c r="A209" s="932" t="str">
        <f>IF('Kwaliteit conversie'!$D$4='Prijs karton'!C209,"X"," ")</f>
        <v xml:space="preserve"> </v>
      </c>
      <c r="B209" s="331" t="s">
        <v>33</v>
      </c>
      <c r="C209" s="359" t="s">
        <v>433</v>
      </c>
      <c r="D209" s="366">
        <v>0.57299999999999995</v>
      </c>
      <c r="E209" s="321">
        <v>4.18</v>
      </c>
      <c r="F209" s="925">
        <v>0</v>
      </c>
      <c r="G209" s="315">
        <v>63.5</v>
      </c>
      <c r="H209" s="315">
        <v>60.5</v>
      </c>
      <c r="I209" s="315">
        <v>60.5</v>
      </c>
      <c r="J209" s="315">
        <v>58.5</v>
      </c>
      <c r="K209" s="513">
        <v>58.5</v>
      </c>
      <c r="L209" s="926" t="s">
        <v>434</v>
      </c>
      <c r="M209" s="331" t="s">
        <v>260</v>
      </c>
      <c r="N209" s="366" t="s">
        <v>244</v>
      </c>
      <c r="O209" s="323" t="s">
        <v>255</v>
      </c>
      <c r="P209" s="386" t="s">
        <v>238</v>
      </c>
      <c r="Q209" s="323" t="s">
        <v>239</v>
      </c>
      <c r="R209" s="366" t="s">
        <v>239</v>
      </c>
      <c r="S209" s="378" t="s">
        <v>260</v>
      </c>
      <c r="T209" s="324" t="s">
        <v>240</v>
      </c>
      <c r="U209" s="386">
        <v>240</v>
      </c>
      <c r="V209" s="386">
        <v>2450</v>
      </c>
      <c r="W209" s="386">
        <v>500</v>
      </c>
      <c r="X209" s="386">
        <v>6000</v>
      </c>
      <c r="Y209" s="386">
        <v>85</v>
      </c>
      <c r="Z209" s="386">
        <v>85</v>
      </c>
      <c r="AA209" s="386">
        <v>200</v>
      </c>
      <c r="AB209" s="392">
        <v>7.15</v>
      </c>
      <c r="AC209" s="28">
        <v>0</v>
      </c>
      <c r="AD209" s="28">
        <v>1</v>
      </c>
      <c r="AE209" s="28">
        <v>1</v>
      </c>
      <c r="AF209" s="28">
        <v>1</v>
      </c>
      <c r="AG209" s="28">
        <v>1</v>
      </c>
      <c r="AH209" s="28">
        <v>1</v>
      </c>
      <c r="AI209" s="28">
        <v>1</v>
      </c>
      <c r="AJ209" s="28">
        <v>1</v>
      </c>
    </row>
    <row r="210" spans="1:36" x14ac:dyDescent="0.25">
      <c r="A210" s="298" t="str">
        <f>IF('Kwaliteit conversie'!$D$4='Prijs karton'!C210,"X"," ")</f>
        <v xml:space="preserve"> </v>
      </c>
      <c r="B210" s="331" t="s">
        <v>33</v>
      </c>
      <c r="C210" s="359" t="s">
        <v>435</v>
      </c>
      <c r="D210" s="366">
        <v>0.58299999999999996</v>
      </c>
      <c r="E210" s="321">
        <v>4.17</v>
      </c>
      <c r="F210" s="925">
        <v>0</v>
      </c>
      <c r="G210" s="315">
        <v>69.8</v>
      </c>
      <c r="H210" s="315">
        <v>66.8</v>
      </c>
      <c r="I210" s="315">
        <v>66.8</v>
      </c>
      <c r="J210" s="315">
        <v>64.8</v>
      </c>
      <c r="K210" s="513">
        <v>64.8</v>
      </c>
      <c r="L210" s="926" t="s">
        <v>436</v>
      </c>
      <c r="M210" s="331" t="s">
        <v>318</v>
      </c>
      <c r="N210" s="366" t="s">
        <v>244</v>
      </c>
      <c r="O210" s="323" t="s">
        <v>255</v>
      </c>
      <c r="P210" s="386" t="s">
        <v>238</v>
      </c>
      <c r="Q210" s="323" t="s">
        <v>239</v>
      </c>
      <c r="R210" s="366" t="s">
        <v>239</v>
      </c>
      <c r="S210" s="378" t="s">
        <v>260</v>
      </c>
      <c r="T210" s="324" t="s">
        <v>240</v>
      </c>
      <c r="U210" s="386">
        <v>240</v>
      </c>
      <c r="V210" s="386">
        <v>2450</v>
      </c>
      <c r="W210" s="386">
        <v>500</v>
      </c>
      <c r="X210" s="386">
        <v>6000</v>
      </c>
      <c r="Y210" s="386">
        <v>85</v>
      </c>
      <c r="Z210" s="386">
        <v>85</v>
      </c>
      <c r="AA210" s="386">
        <v>200</v>
      </c>
      <c r="AB210" s="392">
        <v>7.35</v>
      </c>
      <c r="AC210" s="28">
        <v>0</v>
      </c>
      <c r="AD210" s="28">
        <v>1</v>
      </c>
      <c r="AE210" s="28">
        <v>1</v>
      </c>
      <c r="AF210" s="28">
        <v>1</v>
      </c>
      <c r="AG210" s="28">
        <v>1</v>
      </c>
      <c r="AH210" s="28">
        <v>1</v>
      </c>
      <c r="AI210" s="28">
        <v>1</v>
      </c>
      <c r="AJ210" s="28">
        <v>1</v>
      </c>
    </row>
    <row r="211" spans="1:36" x14ac:dyDescent="0.25">
      <c r="A211" s="298" t="str">
        <f>IF('Kwaliteit conversie'!$D$4='Prijs karton'!C211,"X"," ")</f>
        <v xml:space="preserve"> </v>
      </c>
      <c r="B211" s="331" t="s">
        <v>33</v>
      </c>
      <c r="C211" s="359" t="s">
        <v>437</v>
      </c>
      <c r="D211" s="366">
        <v>0.62</v>
      </c>
      <c r="E211" s="321">
        <v>4.0999999999999996</v>
      </c>
      <c r="F211" s="925">
        <v>0</v>
      </c>
      <c r="G211" s="315">
        <v>58.5</v>
      </c>
      <c r="H211" s="315">
        <v>55.5</v>
      </c>
      <c r="I211" s="315">
        <v>55</v>
      </c>
      <c r="J211" s="315">
        <v>55</v>
      </c>
      <c r="K211" s="513">
        <v>54.5</v>
      </c>
      <c r="L211" s="926" t="s">
        <v>438</v>
      </c>
      <c r="M211" s="331" t="s">
        <v>277</v>
      </c>
      <c r="N211" s="366" t="s">
        <v>244</v>
      </c>
      <c r="O211" s="323" t="s">
        <v>244</v>
      </c>
      <c r="P211" s="386" t="s">
        <v>285</v>
      </c>
      <c r="Q211" s="323" t="s">
        <v>239</v>
      </c>
      <c r="R211" s="366" t="s">
        <v>239</v>
      </c>
      <c r="S211" s="378" t="s">
        <v>249</v>
      </c>
      <c r="T211" s="324" t="s">
        <v>245</v>
      </c>
      <c r="U211" s="386">
        <v>250</v>
      </c>
      <c r="V211" s="386">
        <v>2450</v>
      </c>
      <c r="W211" s="386">
        <v>500</v>
      </c>
      <c r="X211" s="386">
        <v>6200</v>
      </c>
      <c r="Y211" s="386">
        <v>250</v>
      </c>
      <c r="Z211" s="386">
        <v>125</v>
      </c>
      <c r="AA211" s="386">
        <v>200</v>
      </c>
      <c r="AB211" s="392">
        <v>8</v>
      </c>
      <c r="AC211" s="28">
        <v>0</v>
      </c>
      <c r="AD211" s="28">
        <v>1</v>
      </c>
      <c r="AE211" s="28">
        <v>1</v>
      </c>
      <c r="AF211" s="28">
        <v>1</v>
      </c>
      <c r="AG211" s="28">
        <v>1</v>
      </c>
      <c r="AH211" s="28">
        <v>1</v>
      </c>
      <c r="AI211" s="28">
        <v>1</v>
      </c>
      <c r="AJ211" s="28">
        <v>1</v>
      </c>
    </row>
    <row r="212" spans="1:36" x14ac:dyDescent="0.25">
      <c r="A212" s="298" t="str">
        <f>IF('Kwaliteit conversie'!$D$4='Prijs karton'!C212,"X"," ")</f>
        <v xml:space="preserve"> </v>
      </c>
      <c r="B212" s="331" t="s">
        <v>33</v>
      </c>
      <c r="C212" s="359" t="s">
        <v>439</v>
      </c>
      <c r="D212" s="366">
        <v>0.58299999999999996</v>
      </c>
      <c r="E212" s="321">
        <v>4.1500000000000004</v>
      </c>
      <c r="F212" s="925">
        <v>0</v>
      </c>
      <c r="G212" s="315" t="s">
        <v>239</v>
      </c>
      <c r="H212" s="315">
        <v>68.400000000000006</v>
      </c>
      <c r="I212" s="315">
        <v>68.400000000000006</v>
      </c>
      <c r="J212" s="315">
        <v>66.400000000000006</v>
      </c>
      <c r="K212" s="513">
        <v>66.400000000000006</v>
      </c>
      <c r="L212" s="926" t="s">
        <v>440</v>
      </c>
      <c r="M212" s="331" t="s">
        <v>289</v>
      </c>
      <c r="N212" s="366" t="s">
        <v>244</v>
      </c>
      <c r="O212" s="323" t="s">
        <v>255</v>
      </c>
      <c r="P212" s="386" t="s">
        <v>238</v>
      </c>
      <c r="Q212" s="323" t="s">
        <v>239</v>
      </c>
      <c r="R212" s="366" t="s">
        <v>239</v>
      </c>
      <c r="S212" s="378" t="s">
        <v>260</v>
      </c>
      <c r="T212" s="324" t="s">
        <v>240</v>
      </c>
      <c r="U212" s="386">
        <v>240</v>
      </c>
      <c r="V212" s="386">
        <v>2450</v>
      </c>
      <c r="W212" s="386">
        <v>500</v>
      </c>
      <c r="X212" s="386">
        <v>6000</v>
      </c>
      <c r="Y212" s="386">
        <v>85</v>
      </c>
      <c r="Z212" s="386">
        <v>85</v>
      </c>
      <c r="AA212" s="386">
        <v>500</v>
      </c>
      <c r="AB212" s="392">
        <v>7.47</v>
      </c>
      <c r="AC212" s="28">
        <v>0</v>
      </c>
      <c r="AD212" s="28">
        <v>1</v>
      </c>
      <c r="AE212" s="28">
        <v>1</v>
      </c>
      <c r="AF212" s="28">
        <v>1</v>
      </c>
      <c r="AG212" s="28">
        <v>1</v>
      </c>
      <c r="AH212" s="28">
        <v>1</v>
      </c>
      <c r="AI212" s="28">
        <v>1</v>
      </c>
      <c r="AJ212" s="28">
        <v>1</v>
      </c>
    </row>
    <row r="213" spans="1:36" x14ac:dyDescent="0.25">
      <c r="A213" s="298" t="str">
        <f>IF('Kwaliteit conversie'!$D$4='Prijs karton'!C213,"X"," ")</f>
        <v xml:space="preserve"> </v>
      </c>
      <c r="B213" s="331" t="s">
        <v>33</v>
      </c>
      <c r="C213" s="359" t="s">
        <v>441</v>
      </c>
      <c r="D213" s="366">
        <v>0.51500000000000001</v>
      </c>
      <c r="E213" s="321">
        <v>4</v>
      </c>
      <c r="F213" s="925">
        <v>0</v>
      </c>
      <c r="G213" s="315">
        <v>43.9</v>
      </c>
      <c r="H213" s="315">
        <v>40.9</v>
      </c>
      <c r="I213" s="315">
        <v>40.4</v>
      </c>
      <c r="J213" s="315">
        <v>40.4</v>
      </c>
      <c r="K213" s="513">
        <v>39.9</v>
      </c>
      <c r="L213" s="926" t="s">
        <v>442</v>
      </c>
      <c r="M213" s="331" t="s">
        <v>249</v>
      </c>
      <c r="N213" s="366" t="s">
        <v>412</v>
      </c>
      <c r="O213" s="323" t="s">
        <v>244</v>
      </c>
      <c r="P213" s="386" t="s">
        <v>244</v>
      </c>
      <c r="Q213" s="323" t="s">
        <v>239</v>
      </c>
      <c r="R213" s="366" t="s">
        <v>239</v>
      </c>
      <c r="S213" s="378" t="s">
        <v>243</v>
      </c>
      <c r="T213" s="324" t="s">
        <v>245</v>
      </c>
      <c r="U213" s="386">
        <v>250</v>
      </c>
      <c r="V213" s="386">
        <v>2450</v>
      </c>
      <c r="W213" s="386">
        <v>500</v>
      </c>
      <c r="X213" s="386">
        <v>6200</v>
      </c>
      <c r="Y213" s="386">
        <v>250</v>
      </c>
      <c r="Z213" s="386">
        <v>125</v>
      </c>
      <c r="AA213" s="386">
        <v>200</v>
      </c>
      <c r="AB213" s="392">
        <v>6</v>
      </c>
      <c r="AC213" s="28">
        <v>0</v>
      </c>
      <c r="AD213" s="28">
        <v>1</v>
      </c>
      <c r="AE213" s="28">
        <v>1</v>
      </c>
      <c r="AF213" s="28">
        <v>1</v>
      </c>
      <c r="AG213" s="28">
        <v>1</v>
      </c>
      <c r="AH213" s="28">
        <v>1</v>
      </c>
      <c r="AI213" s="28">
        <v>1</v>
      </c>
      <c r="AJ213" s="28">
        <v>1</v>
      </c>
    </row>
    <row r="214" spans="1:36" x14ac:dyDescent="0.25">
      <c r="A214" s="298" t="str">
        <f>IF('Kwaliteit conversie'!$D$4='Prijs karton'!C214,"X"," ")</f>
        <v xml:space="preserve"> </v>
      </c>
      <c r="B214" s="331" t="s">
        <v>33</v>
      </c>
      <c r="C214" s="359" t="s">
        <v>443</v>
      </c>
      <c r="D214" s="366">
        <v>0.53500000000000003</v>
      </c>
      <c r="E214" s="321">
        <v>4</v>
      </c>
      <c r="F214" s="925">
        <v>0</v>
      </c>
      <c r="G214" s="315">
        <v>54.7</v>
      </c>
      <c r="H214" s="315">
        <v>51.7</v>
      </c>
      <c r="I214" s="315">
        <v>51.2</v>
      </c>
      <c r="J214" s="315">
        <v>51.2</v>
      </c>
      <c r="K214" s="513">
        <v>50.7</v>
      </c>
      <c r="L214" s="926" t="s">
        <v>444</v>
      </c>
      <c r="M214" s="331" t="s">
        <v>269</v>
      </c>
      <c r="N214" s="366" t="s">
        <v>412</v>
      </c>
      <c r="O214" s="323" t="s">
        <v>244</v>
      </c>
      <c r="P214" s="386" t="s">
        <v>244</v>
      </c>
      <c r="Q214" s="323" t="s">
        <v>239</v>
      </c>
      <c r="R214" s="366" t="s">
        <v>239</v>
      </c>
      <c r="S214" s="378" t="s">
        <v>243</v>
      </c>
      <c r="T214" s="324" t="s">
        <v>245</v>
      </c>
      <c r="U214" s="386">
        <v>250</v>
      </c>
      <c r="V214" s="386">
        <v>2450</v>
      </c>
      <c r="W214" s="386">
        <v>500</v>
      </c>
      <c r="X214" s="386">
        <v>6200</v>
      </c>
      <c r="Y214" s="386">
        <v>250</v>
      </c>
      <c r="Z214" s="386">
        <v>125</v>
      </c>
      <c r="AA214" s="386">
        <v>200</v>
      </c>
      <c r="AB214" s="392">
        <v>6.1</v>
      </c>
      <c r="AC214" s="28">
        <v>0</v>
      </c>
      <c r="AD214" s="28">
        <v>1</v>
      </c>
      <c r="AE214" s="28">
        <v>1</v>
      </c>
      <c r="AF214" s="28">
        <v>1</v>
      </c>
      <c r="AG214" s="28">
        <v>1</v>
      </c>
      <c r="AH214" s="28">
        <v>1</v>
      </c>
      <c r="AI214" s="28">
        <v>1</v>
      </c>
      <c r="AJ214" s="28">
        <v>1</v>
      </c>
    </row>
    <row r="215" spans="1:36" x14ac:dyDescent="0.25">
      <c r="A215" s="298" t="str">
        <f>IF('Kwaliteit conversie'!$D$4='Prijs karton'!C215,"X"," ")</f>
        <v xml:space="preserve"> </v>
      </c>
      <c r="B215" s="331" t="s">
        <v>33</v>
      </c>
      <c r="C215" s="359" t="s">
        <v>445</v>
      </c>
      <c r="D215" s="366">
        <v>0.53500000000000003</v>
      </c>
      <c r="E215" s="321">
        <v>4</v>
      </c>
      <c r="F215" s="925">
        <v>0</v>
      </c>
      <c r="G215" s="315">
        <v>55.7</v>
      </c>
      <c r="H215" s="315">
        <v>52.7</v>
      </c>
      <c r="I215" s="315">
        <v>52.2</v>
      </c>
      <c r="J215" s="315">
        <v>52.2</v>
      </c>
      <c r="K215" s="513">
        <v>51.7</v>
      </c>
      <c r="L215" s="926" t="s">
        <v>446</v>
      </c>
      <c r="M215" s="331" t="s">
        <v>289</v>
      </c>
      <c r="N215" s="366" t="s">
        <v>412</v>
      </c>
      <c r="O215" s="323" t="s">
        <v>244</v>
      </c>
      <c r="P215" s="386" t="s">
        <v>244</v>
      </c>
      <c r="Q215" s="323" t="s">
        <v>239</v>
      </c>
      <c r="R215" s="366" t="s">
        <v>239</v>
      </c>
      <c r="S215" s="378" t="s">
        <v>243</v>
      </c>
      <c r="T215" s="324" t="s">
        <v>245</v>
      </c>
      <c r="U215" s="386">
        <v>250</v>
      </c>
      <c r="V215" s="386">
        <v>2450</v>
      </c>
      <c r="W215" s="386">
        <v>500</v>
      </c>
      <c r="X215" s="386">
        <v>6200</v>
      </c>
      <c r="Y215" s="386">
        <v>250</v>
      </c>
      <c r="Z215" s="386">
        <v>125</v>
      </c>
      <c r="AA215" s="386">
        <v>200</v>
      </c>
      <c r="AB215" s="392">
        <v>6.6</v>
      </c>
      <c r="AC215" s="28">
        <v>0</v>
      </c>
      <c r="AD215" s="28">
        <v>1</v>
      </c>
      <c r="AE215" s="28">
        <v>1</v>
      </c>
      <c r="AF215" s="28">
        <v>1</v>
      </c>
      <c r="AG215" s="28">
        <v>1</v>
      </c>
      <c r="AH215" s="28">
        <v>1</v>
      </c>
      <c r="AI215" s="28">
        <v>1</v>
      </c>
      <c r="AJ215" s="28">
        <v>1</v>
      </c>
    </row>
    <row r="216" spans="1:36" x14ac:dyDescent="0.25">
      <c r="A216" s="298" t="str">
        <f>IF('Kwaliteit conversie'!$D$4='Prijs karton'!C216,"X"," ")</f>
        <v xml:space="preserve"> </v>
      </c>
      <c r="B216" s="331" t="s">
        <v>33</v>
      </c>
      <c r="C216" s="359" t="s">
        <v>447</v>
      </c>
      <c r="D216" s="366">
        <v>0.54500000000000004</v>
      </c>
      <c r="E216" s="321">
        <v>4</v>
      </c>
      <c r="F216" s="925">
        <v>0</v>
      </c>
      <c r="G216" s="315">
        <v>50</v>
      </c>
      <c r="H216" s="315">
        <v>47</v>
      </c>
      <c r="I216" s="315">
        <v>46.5</v>
      </c>
      <c r="J216" s="315">
        <v>46.5</v>
      </c>
      <c r="K216" s="513">
        <v>46</v>
      </c>
      <c r="L216" s="926" t="s">
        <v>448</v>
      </c>
      <c r="M216" s="331" t="s">
        <v>331</v>
      </c>
      <c r="N216" s="366" t="s">
        <v>412</v>
      </c>
      <c r="O216" s="323" t="s">
        <v>244</v>
      </c>
      <c r="P216" s="386" t="s">
        <v>244</v>
      </c>
      <c r="Q216" s="323" t="s">
        <v>239</v>
      </c>
      <c r="R216" s="366" t="s">
        <v>239</v>
      </c>
      <c r="S216" s="378" t="s">
        <v>249</v>
      </c>
      <c r="T216" s="324" t="s">
        <v>245</v>
      </c>
      <c r="U216" s="386">
        <v>250</v>
      </c>
      <c r="V216" s="386">
        <v>2450</v>
      </c>
      <c r="W216" s="386">
        <v>500</v>
      </c>
      <c r="X216" s="386">
        <v>6200</v>
      </c>
      <c r="Y216" s="386">
        <v>250</v>
      </c>
      <c r="Z216" s="386">
        <v>125</v>
      </c>
      <c r="AA216" s="386">
        <v>200</v>
      </c>
      <c r="AB216" s="392">
        <v>6.9</v>
      </c>
      <c r="AC216" s="28">
        <v>0</v>
      </c>
      <c r="AD216" s="28">
        <v>1</v>
      </c>
      <c r="AE216" s="28">
        <v>1</v>
      </c>
      <c r="AF216" s="28">
        <v>1</v>
      </c>
      <c r="AG216" s="28">
        <v>1</v>
      </c>
      <c r="AH216" s="28">
        <v>1</v>
      </c>
      <c r="AI216" s="28">
        <v>1</v>
      </c>
      <c r="AJ216" s="28">
        <v>1</v>
      </c>
    </row>
    <row r="217" spans="1:36" x14ac:dyDescent="0.25">
      <c r="A217" s="298" t="str">
        <f>IF('Kwaliteit conversie'!$D$4='Prijs karton'!C217,"X"," ")</f>
        <v xml:space="preserve"> </v>
      </c>
      <c r="B217" s="331" t="s">
        <v>33</v>
      </c>
      <c r="C217" s="359" t="s">
        <v>449</v>
      </c>
      <c r="D217" s="366">
        <v>0.625</v>
      </c>
      <c r="E217" s="321">
        <v>4.0999999999999996</v>
      </c>
      <c r="F217" s="925">
        <v>0</v>
      </c>
      <c r="G217" s="315">
        <v>55.6</v>
      </c>
      <c r="H217" s="315">
        <v>52.6</v>
      </c>
      <c r="I217" s="315">
        <v>52.1</v>
      </c>
      <c r="J217" s="315">
        <v>52.1</v>
      </c>
      <c r="K217" s="513">
        <v>51.6</v>
      </c>
      <c r="L217" s="926" t="s">
        <v>450</v>
      </c>
      <c r="M217" s="331" t="s">
        <v>274</v>
      </c>
      <c r="N217" s="366" t="s">
        <v>244</v>
      </c>
      <c r="O217" s="323" t="s">
        <v>244</v>
      </c>
      <c r="P217" s="386" t="s">
        <v>285</v>
      </c>
      <c r="Q217" s="323" t="s">
        <v>239</v>
      </c>
      <c r="R217" s="366" t="s">
        <v>239</v>
      </c>
      <c r="S217" s="378" t="s">
        <v>249</v>
      </c>
      <c r="T217" s="324" t="s">
        <v>245</v>
      </c>
      <c r="U217" s="386">
        <v>250</v>
      </c>
      <c r="V217" s="386">
        <v>2450</v>
      </c>
      <c r="W217" s="386">
        <v>500</v>
      </c>
      <c r="X217" s="386">
        <v>6200</v>
      </c>
      <c r="Y217" s="386">
        <v>250</v>
      </c>
      <c r="Z217" s="386">
        <v>125</v>
      </c>
      <c r="AA217" s="386">
        <v>200</v>
      </c>
      <c r="AB217" s="392">
        <v>8.1</v>
      </c>
      <c r="AC217" s="28">
        <v>0</v>
      </c>
      <c r="AD217" s="28">
        <v>1</v>
      </c>
      <c r="AE217" s="28">
        <v>1</v>
      </c>
      <c r="AF217" s="28">
        <v>1</v>
      </c>
      <c r="AG217" s="28">
        <v>1</v>
      </c>
      <c r="AH217" s="28">
        <v>1</v>
      </c>
      <c r="AI217" s="28">
        <v>1</v>
      </c>
      <c r="AJ217" s="28">
        <v>1</v>
      </c>
    </row>
    <row r="218" spans="1:36" x14ac:dyDescent="0.25">
      <c r="A218" s="298" t="str">
        <f>IF('Kwaliteit conversie'!$D$4='Prijs karton'!C218,"X"," ")</f>
        <v xml:space="preserve"> </v>
      </c>
      <c r="B218" s="331" t="s">
        <v>33</v>
      </c>
      <c r="C218" s="359" t="s">
        <v>1436</v>
      </c>
      <c r="D218" s="366">
        <v>0.53</v>
      </c>
      <c r="E218" s="321">
        <v>4</v>
      </c>
      <c r="F218" s="925">
        <v>0</v>
      </c>
      <c r="G218" s="315">
        <v>48.1</v>
      </c>
      <c r="H218" s="315">
        <v>46.8</v>
      </c>
      <c r="I218" s="315">
        <v>46.6</v>
      </c>
      <c r="J218" s="315">
        <v>46.4</v>
      </c>
      <c r="K218" s="513">
        <v>46.4</v>
      </c>
      <c r="L218" s="926" t="s">
        <v>1437</v>
      </c>
      <c r="M218" s="331" t="s">
        <v>1392</v>
      </c>
      <c r="N218" s="366" t="s">
        <v>244</v>
      </c>
      <c r="O218" s="323" t="s">
        <v>244</v>
      </c>
      <c r="P218" s="386" t="s">
        <v>244</v>
      </c>
      <c r="Q218" s="323" t="s">
        <v>239</v>
      </c>
      <c r="R218" s="366" t="s">
        <v>239</v>
      </c>
      <c r="S218" s="378" t="s">
        <v>244</v>
      </c>
      <c r="T218" s="324" t="s">
        <v>1364</v>
      </c>
      <c r="U218" s="386">
        <v>250</v>
      </c>
      <c r="V218" s="386">
        <v>2450</v>
      </c>
      <c r="W218" s="386">
        <v>600</v>
      </c>
      <c r="X218" s="386">
        <v>6000</v>
      </c>
      <c r="Y218" s="386">
        <v>190</v>
      </c>
      <c r="Z218" s="386">
        <v>95</v>
      </c>
      <c r="AA218" s="386">
        <v>200</v>
      </c>
      <c r="AB218" s="392">
        <v>7.3</v>
      </c>
      <c r="AC218" s="28">
        <v>0</v>
      </c>
      <c r="AD218" s="28">
        <v>1</v>
      </c>
      <c r="AE218" s="28">
        <v>1</v>
      </c>
      <c r="AF218" s="28">
        <v>1</v>
      </c>
      <c r="AG218" s="28">
        <v>1</v>
      </c>
      <c r="AH218" s="28">
        <v>1</v>
      </c>
      <c r="AI218" s="28">
        <v>1</v>
      </c>
      <c r="AJ218" s="28">
        <v>1</v>
      </c>
    </row>
    <row r="219" spans="1:36" x14ac:dyDescent="0.25">
      <c r="A219" s="298" t="str">
        <f>IF('Kwaliteit conversie'!$D$4='Prijs karton'!C219,"X"," ")</f>
        <v xml:space="preserve"> </v>
      </c>
      <c r="B219" s="331" t="s">
        <v>33</v>
      </c>
      <c r="C219" s="359" t="s">
        <v>1390</v>
      </c>
      <c r="D219" s="366">
        <v>0.59</v>
      </c>
      <c r="E219" s="321">
        <v>4.0599999999999996</v>
      </c>
      <c r="F219" s="925">
        <v>0</v>
      </c>
      <c r="G219" s="315">
        <v>63.9</v>
      </c>
      <c r="H219" s="315">
        <v>62</v>
      </c>
      <c r="I219" s="315">
        <v>61.8</v>
      </c>
      <c r="J219" s="315">
        <v>61.5</v>
      </c>
      <c r="K219" s="513">
        <v>61.5</v>
      </c>
      <c r="L219" s="926" t="s">
        <v>1391</v>
      </c>
      <c r="M219" s="331" t="s">
        <v>289</v>
      </c>
      <c r="N219" s="366" t="s">
        <v>244</v>
      </c>
      <c r="O219" s="323" t="s">
        <v>244</v>
      </c>
      <c r="P219" s="386" t="s">
        <v>238</v>
      </c>
      <c r="Q219" s="323" t="s">
        <v>239</v>
      </c>
      <c r="R219" s="366" t="s">
        <v>239</v>
      </c>
      <c r="S219" s="378" t="s">
        <v>1392</v>
      </c>
      <c r="T219" s="324" t="s">
        <v>1364</v>
      </c>
      <c r="U219" s="386">
        <v>250</v>
      </c>
      <c r="V219" s="386">
        <v>2450</v>
      </c>
      <c r="W219" s="386">
        <v>600</v>
      </c>
      <c r="X219" s="386">
        <v>6000</v>
      </c>
      <c r="Y219" s="386">
        <v>190</v>
      </c>
      <c r="Z219" s="386">
        <v>95</v>
      </c>
      <c r="AA219" s="386">
        <v>200</v>
      </c>
      <c r="AB219" s="392">
        <v>8.1300000000000008</v>
      </c>
      <c r="AC219" s="28">
        <v>0</v>
      </c>
      <c r="AD219" s="28">
        <v>1</v>
      </c>
      <c r="AE219" s="28">
        <v>1</v>
      </c>
      <c r="AF219" s="28">
        <v>1</v>
      </c>
      <c r="AG219" s="28">
        <v>1</v>
      </c>
      <c r="AH219" s="28">
        <v>1</v>
      </c>
      <c r="AI219" s="28">
        <v>1</v>
      </c>
      <c r="AJ219" s="28">
        <v>1</v>
      </c>
    </row>
    <row r="220" spans="1:36" x14ac:dyDescent="0.25">
      <c r="A220" s="298" t="str">
        <f>IF('Kwaliteit conversie'!$D$4='Prijs karton'!C220,"X"," ")</f>
        <v xml:space="preserve"> </v>
      </c>
      <c r="B220" s="331" t="s">
        <v>33</v>
      </c>
      <c r="C220" s="359" t="s">
        <v>1393</v>
      </c>
      <c r="D220" s="366">
        <v>0.58799999999999997</v>
      </c>
      <c r="E220" s="321">
        <v>4.07</v>
      </c>
      <c r="F220" s="925">
        <v>0</v>
      </c>
      <c r="G220" s="315">
        <v>52.6</v>
      </c>
      <c r="H220" s="315">
        <v>51.2</v>
      </c>
      <c r="I220" s="315">
        <v>50.9</v>
      </c>
      <c r="J220" s="315">
        <v>50.8</v>
      </c>
      <c r="K220" s="513">
        <v>50.8</v>
      </c>
      <c r="L220" s="926" t="s">
        <v>1394</v>
      </c>
      <c r="M220" s="331" t="s">
        <v>1362</v>
      </c>
      <c r="N220" s="366" t="s">
        <v>244</v>
      </c>
      <c r="O220" s="323" t="s">
        <v>244</v>
      </c>
      <c r="P220" s="386" t="s">
        <v>238</v>
      </c>
      <c r="Q220" s="323" t="s">
        <v>239</v>
      </c>
      <c r="R220" s="366" t="s">
        <v>239</v>
      </c>
      <c r="S220" s="378" t="s">
        <v>1392</v>
      </c>
      <c r="T220" s="324" t="s">
        <v>1364</v>
      </c>
      <c r="U220" s="386">
        <v>250</v>
      </c>
      <c r="V220" s="386">
        <v>2450</v>
      </c>
      <c r="W220" s="386">
        <v>600</v>
      </c>
      <c r="X220" s="386">
        <v>6000</v>
      </c>
      <c r="Y220" s="386">
        <v>190</v>
      </c>
      <c r="Z220" s="386">
        <v>95</v>
      </c>
      <c r="AA220" s="386">
        <v>200</v>
      </c>
      <c r="AB220" s="392">
        <v>7.8</v>
      </c>
      <c r="AC220" s="28">
        <v>0</v>
      </c>
      <c r="AD220" s="28">
        <v>1</v>
      </c>
      <c r="AE220" s="28">
        <v>1</v>
      </c>
      <c r="AF220" s="28">
        <v>1</v>
      </c>
      <c r="AG220" s="28">
        <v>1</v>
      </c>
      <c r="AH220" s="28">
        <v>1</v>
      </c>
      <c r="AI220" s="28">
        <v>1</v>
      </c>
      <c r="AJ220" s="28">
        <v>1</v>
      </c>
    </row>
    <row r="221" spans="1:36" x14ac:dyDescent="0.25">
      <c r="A221" s="298" t="str">
        <f>IF('Kwaliteit conversie'!$D$4='Prijs karton'!C221,"X"," ")</f>
        <v xml:space="preserve"> </v>
      </c>
      <c r="B221" s="331" t="s">
        <v>33</v>
      </c>
      <c r="C221" s="359" t="s">
        <v>1395</v>
      </c>
      <c r="D221" s="366">
        <v>0.57799999999999996</v>
      </c>
      <c r="E221" s="321">
        <v>4.1100000000000003</v>
      </c>
      <c r="F221" s="925">
        <v>0</v>
      </c>
      <c r="G221" s="315">
        <v>59.2</v>
      </c>
      <c r="H221" s="315">
        <v>57.8</v>
      </c>
      <c r="I221" s="315">
        <v>57.5</v>
      </c>
      <c r="J221" s="315">
        <v>57.2</v>
      </c>
      <c r="K221" s="513">
        <v>57.2</v>
      </c>
      <c r="L221" s="926" t="s">
        <v>1396</v>
      </c>
      <c r="M221" s="331" t="s">
        <v>1397</v>
      </c>
      <c r="N221" s="366" t="s">
        <v>244</v>
      </c>
      <c r="O221" s="323" t="s">
        <v>244</v>
      </c>
      <c r="P221" s="386" t="s">
        <v>238</v>
      </c>
      <c r="Q221" s="323" t="s">
        <v>239</v>
      </c>
      <c r="R221" s="366" t="s">
        <v>239</v>
      </c>
      <c r="S221" s="378" t="s">
        <v>1392</v>
      </c>
      <c r="T221" s="324" t="s">
        <v>1364</v>
      </c>
      <c r="U221" s="386">
        <v>250</v>
      </c>
      <c r="V221" s="386">
        <v>2450</v>
      </c>
      <c r="W221" s="386">
        <v>600</v>
      </c>
      <c r="X221" s="386">
        <v>6000</v>
      </c>
      <c r="Y221" s="386">
        <v>190</v>
      </c>
      <c r="Z221" s="386">
        <v>95</v>
      </c>
      <c r="AA221" s="386">
        <v>200</v>
      </c>
      <c r="AB221" s="392">
        <v>7.7</v>
      </c>
      <c r="AC221" s="28">
        <v>0</v>
      </c>
      <c r="AD221" s="28">
        <v>1</v>
      </c>
      <c r="AE221" s="28">
        <v>1</v>
      </c>
      <c r="AF221" s="28">
        <v>1</v>
      </c>
      <c r="AG221" s="28">
        <v>1</v>
      </c>
      <c r="AH221" s="28">
        <v>1</v>
      </c>
      <c r="AI221" s="28">
        <v>1</v>
      </c>
      <c r="AJ221" s="28">
        <v>1</v>
      </c>
    </row>
    <row r="222" spans="1:36" x14ac:dyDescent="0.25">
      <c r="A222" s="298" t="str">
        <f>IF('Kwaliteit conversie'!$D$4='Prijs karton'!C222,"X"," ")</f>
        <v xml:space="preserve"> </v>
      </c>
      <c r="B222" s="331" t="s">
        <v>33</v>
      </c>
      <c r="C222" s="359" t="s">
        <v>1398</v>
      </c>
      <c r="D222" s="366">
        <v>0.72899999999999998</v>
      </c>
      <c r="E222" s="321">
        <v>4.18</v>
      </c>
      <c r="F222" s="925">
        <v>0</v>
      </c>
      <c r="G222" s="315">
        <v>70.7</v>
      </c>
      <c r="H222" s="315">
        <v>69.2</v>
      </c>
      <c r="I222" s="315">
        <v>68.900000000000006</v>
      </c>
      <c r="J222" s="315">
        <v>68.599999999999994</v>
      </c>
      <c r="K222" s="513">
        <v>68.599999999999994</v>
      </c>
      <c r="L222" s="926" t="s">
        <v>1399</v>
      </c>
      <c r="M222" s="331" t="s">
        <v>277</v>
      </c>
      <c r="N222" s="366" t="s">
        <v>265</v>
      </c>
      <c r="O222" s="323" t="s">
        <v>244</v>
      </c>
      <c r="P222" s="386" t="s">
        <v>265</v>
      </c>
      <c r="Q222" s="323" t="s">
        <v>239</v>
      </c>
      <c r="R222" s="366" t="s">
        <v>239</v>
      </c>
      <c r="S222" s="378" t="s">
        <v>1367</v>
      </c>
      <c r="T222" s="324" t="s">
        <v>1364</v>
      </c>
      <c r="U222" s="386">
        <v>250</v>
      </c>
      <c r="V222" s="386">
        <v>2450</v>
      </c>
      <c r="W222" s="386">
        <v>600</v>
      </c>
      <c r="X222" s="386">
        <v>6000</v>
      </c>
      <c r="Y222" s="386">
        <v>190</v>
      </c>
      <c r="Z222" s="386">
        <v>95</v>
      </c>
      <c r="AA222" s="386">
        <v>200</v>
      </c>
      <c r="AB222" s="392">
        <v>9.6999999999999993</v>
      </c>
      <c r="AC222" s="28">
        <v>0</v>
      </c>
      <c r="AD222" s="28">
        <v>1</v>
      </c>
      <c r="AE222" s="28">
        <v>1</v>
      </c>
      <c r="AF222" s="28">
        <v>1</v>
      </c>
      <c r="AG222" s="28">
        <v>1</v>
      </c>
      <c r="AH222" s="28">
        <v>1</v>
      </c>
      <c r="AI222" s="28">
        <v>1</v>
      </c>
      <c r="AJ222" s="28">
        <v>1</v>
      </c>
    </row>
    <row r="223" spans="1:36" x14ac:dyDescent="0.25">
      <c r="A223" s="298" t="str">
        <f>IF('Kwaliteit conversie'!$D$4='Prijs karton'!C223,"X"," ")</f>
        <v xml:space="preserve"> </v>
      </c>
      <c r="B223" s="331" t="s">
        <v>33</v>
      </c>
      <c r="C223" s="359"/>
      <c r="D223" s="366"/>
      <c r="E223" s="321"/>
      <c r="F223" s="925">
        <v>0</v>
      </c>
      <c r="G223" s="315"/>
      <c r="H223" s="315"/>
      <c r="I223" s="315"/>
      <c r="J223" s="315"/>
      <c r="K223" s="513"/>
      <c r="L223" s="926"/>
      <c r="M223" s="331"/>
      <c r="N223" s="366"/>
      <c r="O223" s="323"/>
      <c r="P223" s="386"/>
      <c r="Q223" s="323"/>
      <c r="R223" s="366"/>
      <c r="S223" s="378"/>
      <c r="T223" s="324"/>
      <c r="U223" s="386"/>
      <c r="V223" s="386"/>
      <c r="W223" s="386"/>
      <c r="X223" s="386"/>
      <c r="Y223" s="386"/>
      <c r="Z223" s="386"/>
      <c r="AA223" s="386"/>
      <c r="AB223" s="392"/>
      <c r="AC223" s="28"/>
      <c r="AD223" s="28"/>
      <c r="AE223" s="28"/>
      <c r="AF223" s="28"/>
      <c r="AG223" s="28"/>
      <c r="AH223" s="28"/>
      <c r="AI223" s="28"/>
      <c r="AJ223" s="28"/>
    </row>
    <row r="224" spans="1:36" x14ac:dyDescent="0.25">
      <c r="A224" s="298" t="str">
        <f>IF('Kwaliteit conversie'!$D$4='Prijs karton'!C224,"X"," ")</f>
        <v xml:space="preserve"> </v>
      </c>
      <c r="B224" s="331" t="s">
        <v>33</v>
      </c>
      <c r="C224" s="359" t="s">
        <v>1438</v>
      </c>
      <c r="D224" s="366">
        <v>0.56999999999999995</v>
      </c>
      <c r="E224" s="321">
        <v>4.05</v>
      </c>
      <c r="F224" s="925">
        <v>0</v>
      </c>
      <c r="G224" s="315">
        <v>49.1</v>
      </c>
      <c r="H224" s="315">
        <v>47.8</v>
      </c>
      <c r="I224" s="315">
        <v>47.6</v>
      </c>
      <c r="J224" s="315">
        <v>47.3</v>
      </c>
      <c r="K224" s="513">
        <v>47.3</v>
      </c>
      <c r="L224" s="926" t="s">
        <v>1439</v>
      </c>
      <c r="M224" s="331" t="s">
        <v>1392</v>
      </c>
      <c r="N224" s="366" t="s">
        <v>244</v>
      </c>
      <c r="O224" s="323" t="s">
        <v>244</v>
      </c>
      <c r="P224" s="386" t="s">
        <v>244</v>
      </c>
      <c r="Q224" s="323" t="s">
        <v>239</v>
      </c>
      <c r="R224" s="366" t="s">
        <v>239</v>
      </c>
      <c r="S224" s="378" t="s">
        <v>1392</v>
      </c>
      <c r="T224" s="324" t="s">
        <v>1364</v>
      </c>
      <c r="U224" s="386">
        <v>250</v>
      </c>
      <c r="V224" s="386">
        <v>2450</v>
      </c>
      <c r="W224" s="386">
        <v>600</v>
      </c>
      <c r="X224" s="386">
        <v>6000</v>
      </c>
      <c r="Y224" s="386">
        <v>190</v>
      </c>
      <c r="Z224" s="386">
        <v>95</v>
      </c>
      <c r="AA224" s="386">
        <v>200</v>
      </c>
      <c r="AB224" s="392">
        <v>7.56</v>
      </c>
      <c r="AC224" s="28">
        <v>0</v>
      </c>
      <c r="AD224" s="28">
        <v>1</v>
      </c>
      <c r="AE224" s="28">
        <v>1</v>
      </c>
      <c r="AF224" s="28">
        <v>1</v>
      </c>
      <c r="AG224" s="28">
        <v>1</v>
      </c>
      <c r="AH224" s="28">
        <v>1</v>
      </c>
      <c r="AI224" s="28">
        <v>1</v>
      </c>
      <c r="AJ224" s="28">
        <v>1</v>
      </c>
    </row>
    <row r="225" spans="1:36" x14ac:dyDescent="0.25">
      <c r="A225" s="298" t="str">
        <f>IF('Kwaliteit conversie'!$D$4='Prijs karton'!C225,"X"," ")</f>
        <v xml:space="preserve"> </v>
      </c>
      <c r="B225" s="331" t="s">
        <v>33</v>
      </c>
      <c r="C225" s="359"/>
      <c r="D225" s="366"/>
      <c r="E225" s="321"/>
      <c r="F225" s="925"/>
      <c r="G225" s="315"/>
      <c r="H225" s="315"/>
      <c r="I225" s="315"/>
      <c r="J225" s="315"/>
      <c r="K225" s="513"/>
      <c r="L225" s="926"/>
      <c r="M225" s="331"/>
      <c r="N225" s="366"/>
      <c r="O225" s="323"/>
      <c r="P225" s="386"/>
      <c r="Q225" s="323"/>
      <c r="R225" s="366"/>
      <c r="S225" s="378"/>
      <c r="T225" s="324"/>
      <c r="U225" s="386"/>
      <c r="V225" s="386"/>
      <c r="W225" s="386"/>
      <c r="X225" s="386"/>
      <c r="Y225" s="386"/>
      <c r="Z225" s="386"/>
      <c r="AA225" s="386"/>
      <c r="AB225" s="392"/>
      <c r="AC225" s="28"/>
      <c r="AD225" s="28"/>
      <c r="AE225" s="28"/>
      <c r="AF225" s="28"/>
      <c r="AG225" s="28"/>
      <c r="AH225" s="28"/>
      <c r="AI225" s="28"/>
      <c r="AJ225" s="28"/>
    </row>
    <row r="226" spans="1:36" s="320" customFormat="1" x14ac:dyDescent="0.25">
      <c r="A226" s="329" t="str">
        <f>IF('Kwaliteit conversie'!$D$4='Prijs karton'!C226,"X"," ")</f>
        <v xml:space="preserve"> </v>
      </c>
      <c r="B226" s="332" t="s">
        <v>33</v>
      </c>
      <c r="C226" s="360" t="s">
        <v>451</v>
      </c>
      <c r="D226" s="367"/>
      <c r="E226" s="322">
        <v>4</v>
      </c>
      <c r="F226" s="927">
        <v>0</v>
      </c>
      <c r="G226" s="319">
        <v>0</v>
      </c>
      <c r="H226" s="319"/>
      <c r="I226" s="319">
        <v>0</v>
      </c>
      <c r="J226" s="319">
        <v>0</v>
      </c>
      <c r="K226" s="928">
        <v>0</v>
      </c>
      <c r="L226" s="929" t="s">
        <v>239</v>
      </c>
      <c r="M226" s="379" t="s">
        <v>239</v>
      </c>
      <c r="N226" s="367" t="s">
        <v>239</v>
      </c>
      <c r="O226" s="325" t="s">
        <v>239</v>
      </c>
      <c r="P226" s="387" t="s">
        <v>239</v>
      </c>
      <c r="Q226" s="325" t="s">
        <v>239</v>
      </c>
      <c r="R226" s="367" t="s">
        <v>239</v>
      </c>
      <c r="S226" s="380" t="s">
        <v>239</v>
      </c>
      <c r="T226" s="326" t="s">
        <v>245</v>
      </c>
      <c r="U226" s="387">
        <v>250</v>
      </c>
      <c r="V226" s="387">
        <v>2450</v>
      </c>
      <c r="W226" s="387">
        <v>500</v>
      </c>
      <c r="X226" s="387">
        <v>6200</v>
      </c>
      <c r="Y226" s="387">
        <v>250</v>
      </c>
      <c r="Z226" s="387">
        <v>125</v>
      </c>
      <c r="AA226" s="387">
        <v>200</v>
      </c>
      <c r="AB226" s="393">
        <v>6</v>
      </c>
      <c r="AC226" s="34">
        <v>0</v>
      </c>
      <c r="AD226" s="34">
        <v>1</v>
      </c>
      <c r="AE226" s="34">
        <v>1</v>
      </c>
      <c r="AF226" s="34">
        <v>1</v>
      </c>
      <c r="AG226" s="34">
        <v>1</v>
      </c>
      <c r="AH226" s="34">
        <v>1</v>
      </c>
      <c r="AI226" s="34">
        <v>1</v>
      </c>
      <c r="AJ226" s="34">
        <v>1</v>
      </c>
    </row>
    <row r="227" spans="1:36" x14ac:dyDescent="0.25">
      <c r="A227" s="298" t="str">
        <f>IF('Kwaliteit conversie'!$D$4='Prijs karton'!C227,"X"," ")</f>
        <v xml:space="preserve"> </v>
      </c>
      <c r="B227" s="331"/>
      <c r="C227" s="359"/>
      <c r="D227" s="366"/>
      <c r="E227" s="321"/>
      <c r="F227" s="925"/>
      <c r="G227" s="315"/>
      <c r="H227" s="315"/>
      <c r="I227" s="315"/>
      <c r="J227" s="315"/>
      <c r="K227" s="513"/>
      <c r="L227" s="926"/>
      <c r="M227" s="331"/>
      <c r="N227" s="366"/>
      <c r="O227" s="323"/>
      <c r="P227" s="386"/>
      <c r="Q227" s="323"/>
      <c r="R227" s="366"/>
      <c r="S227" s="378"/>
      <c r="T227" s="324"/>
      <c r="U227" s="386"/>
      <c r="V227" s="386"/>
      <c r="W227" s="386"/>
      <c r="X227" s="386"/>
      <c r="Y227" s="386"/>
      <c r="Z227" s="386"/>
      <c r="AA227" s="386"/>
      <c r="AB227" s="392"/>
      <c r="AC227" s="28"/>
      <c r="AD227" s="28"/>
      <c r="AE227" s="28"/>
      <c r="AF227" s="28"/>
      <c r="AG227" s="28"/>
      <c r="AH227" s="28"/>
      <c r="AI227" s="28"/>
      <c r="AJ227" s="28"/>
    </row>
    <row r="228" spans="1:36" x14ac:dyDescent="0.25">
      <c r="A228" s="298" t="str">
        <f>IF('Kwaliteit conversie'!$D$4='Prijs karton'!C228,"X"," ")</f>
        <v xml:space="preserve"> </v>
      </c>
      <c r="B228" s="331"/>
      <c r="C228" s="359"/>
      <c r="D228" s="366"/>
      <c r="E228" s="321"/>
      <c r="F228" s="925"/>
      <c r="G228" s="315"/>
      <c r="H228" s="315"/>
      <c r="I228" s="315"/>
      <c r="J228" s="315"/>
      <c r="K228" s="513"/>
      <c r="L228" s="926"/>
      <c r="M228" s="331"/>
      <c r="N228" s="366"/>
      <c r="O228" s="323"/>
      <c r="P228" s="386"/>
      <c r="Q228" s="323"/>
      <c r="R228" s="366"/>
      <c r="S228" s="378"/>
      <c r="T228" s="324"/>
      <c r="U228" s="386"/>
      <c r="V228" s="386"/>
      <c r="W228" s="386"/>
      <c r="X228" s="386"/>
      <c r="Y228" s="386"/>
      <c r="Z228" s="386"/>
      <c r="AA228" s="386"/>
      <c r="AB228" s="392"/>
      <c r="AC228" s="28"/>
      <c r="AD228" s="28"/>
      <c r="AE228" s="28"/>
      <c r="AF228" s="28"/>
      <c r="AG228" s="28"/>
      <c r="AH228" s="28"/>
      <c r="AI228" s="28"/>
      <c r="AJ228" s="28"/>
    </row>
    <row r="229" spans="1:36" x14ac:dyDescent="0.25">
      <c r="A229" s="298" t="str">
        <f>IF('Kwaliteit conversie'!$D$4='Prijs karton'!C229,"X"," ")</f>
        <v xml:space="preserve"> </v>
      </c>
      <c r="B229" s="331"/>
      <c r="C229" s="359"/>
      <c r="D229" s="366"/>
      <c r="E229" s="321"/>
      <c r="F229" s="925"/>
      <c r="G229" s="315"/>
      <c r="H229" s="315"/>
      <c r="I229" s="315"/>
      <c r="J229" s="315"/>
      <c r="K229" s="513"/>
      <c r="L229" s="926"/>
      <c r="M229" s="331"/>
      <c r="N229" s="366"/>
      <c r="O229" s="323"/>
      <c r="P229" s="386"/>
      <c r="Q229" s="323"/>
      <c r="R229" s="366"/>
      <c r="S229" s="378"/>
      <c r="T229" s="324"/>
      <c r="U229" s="386"/>
      <c r="V229" s="386"/>
      <c r="W229" s="386"/>
      <c r="X229" s="386"/>
      <c r="Y229" s="386"/>
      <c r="Z229" s="386"/>
      <c r="AA229" s="386"/>
      <c r="AB229" s="392"/>
      <c r="AC229" s="28"/>
      <c r="AD229" s="28"/>
      <c r="AE229" s="28"/>
      <c r="AF229" s="28"/>
      <c r="AG229" s="28"/>
      <c r="AH229" s="28"/>
      <c r="AI229" s="28"/>
      <c r="AJ229" s="28"/>
    </row>
    <row r="230" spans="1:36" x14ac:dyDescent="0.25">
      <c r="A230" s="932" t="str">
        <f>IF('Kwaliteit conversie'!$D$4='Prijs karton'!C230,"X"," ")</f>
        <v xml:space="preserve"> </v>
      </c>
      <c r="B230" s="331" t="s">
        <v>35</v>
      </c>
      <c r="C230" s="359" t="s">
        <v>452</v>
      </c>
      <c r="D230" s="366">
        <v>0.51500000000000001</v>
      </c>
      <c r="E230" s="321">
        <v>3.5</v>
      </c>
      <c r="F230" s="925">
        <v>0</v>
      </c>
      <c r="G230" s="315">
        <v>43.7</v>
      </c>
      <c r="H230" s="315">
        <v>40.700000000000003</v>
      </c>
      <c r="I230" s="315">
        <v>40.200000000000003</v>
      </c>
      <c r="J230" s="315">
        <v>40.200000000000003</v>
      </c>
      <c r="K230" s="513">
        <v>39.700000000000003</v>
      </c>
      <c r="L230" s="926" t="s">
        <v>453</v>
      </c>
      <c r="M230" s="331" t="s">
        <v>249</v>
      </c>
      <c r="N230" s="366" t="s">
        <v>255</v>
      </c>
      <c r="O230" s="323" t="s">
        <v>244</v>
      </c>
      <c r="P230" s="386" t="s">
        <v>255</v>
      </c>
      <c r="Q230" s="323" t="s">
        <v>239</v>
      </c>
      <c r="R230" s="366" t="s">
        <v>239</v>
      </c>
      <c r="S230" s="378" t="s">
        <v>243</v>
      </c>
      <c r="T230" s="324" t="s">
        <v>245</v>
      </c>
      <c r="U230" s="386">
        <v>250</v>
      </c>
      <c r="V230" s="386">
        <v>2450</v>
      </c>
      <c r="W230" s="386">
        <v>500</v>
      </c>
      <c r="X230" s="386">
        <v>6200</v>
      </c>
      <c r="Y230" s="386">
        <v>300</v>
      </c>
      <c r="Z230" s="386">
        <v>150</v>
      </c>
      <c r="AA230" s="386">
        <v>200</v>
      </c>
      <c r="AB230" s="392">
        <v>6.1</v>
      </c>
      <c r="AC230" s="28">
        <v>0</v>
      </c>
      <c r="AD230" s="28">
        <v>1</v>
      </c>
      <c r="AE230" s="28">
        <v>1</v>
      </c>
      <c r="AF230" s="28">
        <v>1</v>
      </c>
      <c r="AG230" s="28">
        <v>1</v>
      </c>
      <c r="AH230" s="28">
        <v>1</v>
      </c>
      <c r="AI230" s="28">
        <v>1</v>
      </c>
      <c r="AJ230" s="28">
        <v>1</v>
      </c>
    </row>
    <row r="231" spans="1:36" x14ac:dyDescent="0.25">
      <c r="A231" s="298" t="str">
        <f>IF('Kwaliteit conversie'!$D$4='Prijs karton'!C231,"X"," ")</f>
        <v xml:space="preserve"> </v>
      </c>
      <c r="B231" s="331" t="s">
        <v>35</v>
      </c>
      <c r="C231" s="359" t="s">
        <v>454</v>
      </c>
      <c r="D231" s="366">
        <v>0.54500000000000004</v>
      </c>
      <c r="E231" s="321">
        <v>3.5</v>
      </c>
      <c r="F231" s="925">
        <v>0</v>
      </c>
      <c r="G231" s="315">
        <v>49.8</v>
      </c>
      <c r="H231" s="315">
        <v>46.8</v>
      </c>
      <c r="I231" s="315">
        <v>46.3</v>
      </c>
      <c r="J231" s="315">
        <v>46.3</v>
      </c>
      <c r="K231" s="513">
        <v>45.8</v>
      </c>
      <c r="L231" s="926" t="s">
        <v>455</v>
      </c>
      <c r="M231" s="331" t="s">
        <v>331</v>
      </c>
      <c r="N231" s="366" t="s">
        <v>255</v>
      </c>
      <c r="O231" s="323" t="s">
        <v>244</v>
      </c>
      <c r="P231" s="386" t="s">
        <v>255</v>
      </c>
      <c r="Q231" s="323" t="s">
        <v>239</v>
      </c>
      <c r="R231" s="366" t="s">
        <v>239</v>
      </c>
      <c r="S231" s="378" t="s">
        <v>249</v>
      </c>
      <c r="T231" s="324" t="s">
        <v>245</v>
      </c>
      <c r="U231" s="386">
        <v>250</v>
      </c>
      <c r="V231" s="386">
        <v>2450</v>
      </c>
      <c r="W231" s="386">
        <v>500</v>
      </c>
      <c r="X231" s="386">
        <v>6200</v>
      </c>
      <c r="Y231" s="386">
        <v>300</v>
      </c>
      <c r="Z231" s="386">
        <v>150</v>
      </c>
      <c r="AA231" s="386">
        <v>200</v>
      </c>
      <c r="AB231" s="392">
        <v>6.9</v>
      </c>
      <c r="AC231" s="28">
        <v>10</v>
      </c>
      <c r="AD231" s="28">
        <v>1</v>
      </c>
      <c r="AE231" s="28">
        <v>1</v>
      </c>
      <c r="AF231" s="28">
        <v>1</v>
      </c>
      <c r="AG231" s="28">
        <v>1</v>
      </c>
      <c r="AH231" s="28">
        <v>1</v>
      </c>
      <c r="AI231" s="28">
        <v>1</v>
      </c>
      <c r="AJ231" s="28">
        <v>1</v>
      </c>
    </row>
    <row r="232" spans="1:36" x14ac:dyDescent="0.25">
      <c r="A232" s="298" t="str">
        <f>IF('Kwaliteit conversie'!$D$4='Prijs karton'!C232,"X"," ")</f>
        <v xml:space="preserve"> </v>
      </c>
      <c r="B232" s="331" t="s">
        <v>35</v>
      </c>
      <c r="C232" s="359" t="s">
        <v>456</v>
      </c>
      <c r="D232" s="366">
        <v>0.53500000000000003</v>
      </c>
      <c r="E232" s="321">
        <v>3.5</v>
      </c>
      <c r="F232" s="925">
        <v>0</v>
      </c>
      <c r="G232" s="315">
        <v>55.5</v>
      </c>
      <c r="H232" s="315">
        <v>52.5</v>
      </c>
      <c r="I232" s="315">
        <v>52</v>
      </c>
      <c r="J232" s="315">
        <v>52</v>
      </c>
      <c r="K232" s="513">
        <v>51.5</v>
      </c>
      <c r="L232" s="926" t="s">
        <v>457</v>
      </c>
      <c r="M232" s="331" t="s">
        <v>289</v>
      </c>
      <c r="N232" s="366" t="s">
        <v>255</v>
      </c>
      <c r="O232" s="323" t="s">
        <v>244</v>
      </c>
      <c r="P232" s="386" t="s">
        <v>255</v>
      </c>
      <c r="Q232" s="323" t="s">
        <v>239</v>
      </c>
      <c r="R232" s="366" t="s">
        <v>239</v>
      </c>
      <c r="S232" s="378" t="s">
        <v>243</v>
      </c>
      <c r="T232" s="324" t="s">
        <v>245</v>
      </c>
      <c r="U232" s="386">
        <v>250</v>
      </c>
      <c r="V232" s="386">
        <v>2450</v>
      </c>
      <c r="W232" s="386">
        <v>500</v>
      </c>
      <c r="X232" s="386">
        <v>6200</v>
      </c>
      <c r="Y232" s="386">
        <v>300</v>
      </c>
      <c r="Z232" s="386">
        <v>150</v>
      </c>
      <c r="AA232" s="386">
        <v>200</v>
      </c>
      <c r="AB232" s="392">
        <v>6.7</v>
      </c>
      <c r="AC232" s="28">
        <v>0</v>
      </c>
      <c r="AD232" s="28">
        <v>1</v>
      </c>
      <c r="AE232" s="28">
        <v>1</v>
      </c>
      <c r="AF232" s="28">
        <v>1</v>
      </c>
      <c r="AG232" s="28">
        <v>1</v>
      </c>
      <c r="AH232" s="28">
        <v>1</v>
      </c>
      <c r="AI232" s="28">
        <v>1</v>
      </c>
      <c r="AJ232" s="28">
        <v>1</v>
      </c>
    </row>
    <row r="233" spans="1:36" x14ac:dyDescent="0.25">
      <c r="A233" s="298" t="str">
        <f>IF('Kwaliteit conversie'!$D$4='Prijs karton'!C233,"X"," ")</f>
        <v xml:space="preserve"> </v>
      </c>
      <c r="B233" s="331" t="s">
        <v>35</v>
      </c>
      <c r="C233" s="359" t="s">
        <v>458</v>
      </c>
      <c r="D233" s="366">
        <v>0.64500000000000002</v>
      </c>
      <c r="E233" s="321">
        <v>3.6</v>
      </c>
      <c r="F233" s="925">
        <v>0</v>
      </c>
      <c r="G233" s="315">
        <v>59.5</v>
      </c>
      <c r="H233" s="315">
        <v>56.5</v>
      </c>
      <c r="I233" s="315">
        <v>56</v>
      </c>
      <c r="J233" s="315">
        <v>56</v>
      </c>
      <c r="K233" s="513">
        <v>55.5</v>
      </c>
      <c r="L233" s="926" t="s">
        <v>459</v>
      </c>
      <c r="M233" s="331" t="s">
        <v>274</v>
      </c>
      <c r="N233" s="366" t="s">
        <v>285</v>
      </c>
      <c r="O233" s="323" t="s">
        <v>244</v>
      </c>
      <c r="P233" s="386" t="s">
        <v>244</v>
      </c>
      <c r="Q233" s="323" t="s">
        <v>239</v>
      </c>
      <c r="R233" s="366" t="s">
        <v>239</v>
      </c>
      <c r="S233" s="378" t="s">
        <v>257</v>
      </c>
      <c r="T233" s="324" t="s">
        <v>245</v>
      </c>
      <c r="U233" s="386">
        <v>250</v>
      </c>
      <c r="V233" s="386">
        <v>2450</v>
      </c>
      <c r="W233" s="386">
        <v>500</v>
      </c>
      <c r="X233" s="386">
        <v>6200</v>
      </c>
      <c r="Y233" s="386">
        <v>300</v>
      </c>
      <c r="Z233" s="386">
        <v>150</v>
      </c>
      <c r="AA233" s="386">
        <v>200</v>
      </c>
      <c r="AB233" s="392">
        <v>9.1</v>
      </c>
      <c r="AC233" s="28">
        <v>0</v>
      </c>
      <c r="AD233" s="28">
        <v>1</v>
      </c>
      <c r="AE233" s="28">
        <v>1</v>
      </c>
      <c r="AF233" s="28">
        <v>1</v>
      </c>
      <c r="AG233" s="28">
        <v>1</v>
      </c>
      <c r="AH233" s="28">
        <v>1</v>
      </c>
      <c r="AI233" s="28">
        <v>1</v>
      </c>
      <c r="AJ233" s="28">
        <v>1</v>
      </c>
    </row>
    <row r="234" spans="1:36" x14ac:dyDescent="0.25">
      <c r="A234" s="298" t="str">
        <f>IF('Kwaliteit conversie'!$D$4='Prijs karton'!C234,"X"," ")</f>
        <v xml:space="preserve"> </v>
      </c>
      <c r="B234" s="331" t="s">
        <v>35</v>
      </c>
      <c r="C234" s="359" t="s">
        <v>460</v>
      </c>
      <c r="D234" s="366">
        <v>0.64</v>
      </c>
      <c r="E234" s="321">
        <v>3.6</v>
      </c>
      <c r="F234" s="925">
        <v>0</v>
      </c>
      <c r="G234" s="315">
        <v>58.4</v>
      </c>
      <c r="H234" s="315">
        <v>55.4</v>
      </c>
      <c r="I234" s="315">
        <v>54.9</v>
      </c>
      <c r="J234" s="315">
        <v>54.9</v>
      </c>
      <c r="K234" s="513">
        <v>54.4</v>
      </c>
      <c r="L234" s="926" t="s">
        <v>461</v>
      </c>
      <c r="M234" s="331" t="s">
        <v>277</v>
      </c>
      <c r="N234" s="366" t="s">
        <v>285</v>
      </c>
      <c r="O234" s="323" t="s">
        <v>244</v>
      </c>
      <c r="P234" s="386" t="s">
        <v>244</v>
      </c>
      <c r="Q234" s="323" t="s">
        <v>239</v>
      </c>
      <c r="R234" s="366" t="s">
        <v>239</v>
      </c>
      <c r="S234" s="378" t="s">
        <v>257</v>
      </c>
      <c r="T234" s="324" t="s">
        <v>245</v>
      </c>
      <c r="U234" s="386">
        <v>250</v>
      </c>
      <c r="V234" s="386">
        <v>2450</v>
      </c>
      <c r="W234" s="386">
        <v>500</v>
      </c>
      <c r="X234" s="386">
        <v>6200</v>
      </c>
      <c r="Y234" s="386">
        <v>300</v>
      </c>
      <c r="Z234" s="386">
        <v>150</v>
      </c>
      <c r="AA234" s="386">
        <v>200</v>
      </c>
      <c r="AB234" s="392">
        <v>8.6999999999999993</v>
      </c>
      <c r="AC234" s="28">
        <v>0</v>
      </c>
      <c r="AD234" s="28">
        <v>1</v>
      </c>
      <c r="AE234" s="28">
        <v>1</v>
      </c>
      <c r="AF234" s="28">
        <v>1</v>
      </c>
      <c r="AG234" s="28">
        <v>1</v>
      </c>
      <c r="AH234" s="28">
        <v>1</v>
      </c>
      <c r="AI234" s="28">
        <v>1</v>
      </c>
      <c r="AJ234" s="28">
        <v>1</v>
      </c>
    </row>
    <row r="235" spans="1:36" x14ac:dyDescent="0.25">
      <c r="A235" s="298" t="str">
        <f>IF('Kwaliteit conversie'!$D$4='Prijs karton'!C235,"X"," ")</f>
        <v xml:space="preserve"> </v>
      </c>
      <c r="B235" s="331" t="s">
        <v>35</v>
      </c>
      <c r="C235" s="359"/>
      <c r="D235" s="366"/>
      <c r="E235" s="321"/>
      <c r="F235" s="925"/>
      <c r="G235" s="315"/>
      <c r="H235" s="315"/>
      <c r="I235" s="315"/>
      <c r="J235" s="315"/>
      <c r="K235" s="513"/>
      <c r="L235" s="926"/>
      <c r="M235" s="331"/>
      <c r="N235" s="366"/>
      <c r="O235" s="323"/>
      <c r="P235" s="386"/>
      <c r="Q235" s="323"/>
      <c r="R235" s="366"/>
      <c r="S235" s="378"/>
      <c r="T235" s="324"/>
      <c r="U235" s="386"/>
      <c r="V235" s="386"/>
      <c r="W235" s="386"/>
      <c r="X235" s="386"/>
      <c r="Y235" s="386"/>
      <c r="Z235" s="386"/>
      <c r="AA235" s="386"/>
      <c r="AB235" s="392"/>
      <c r="AC235" s="28"/>
      <c r="AD235" s="28"/>
      <c r="AE235" s="28"/>
      <c r="AF235" s="28"/>
      <c r="AG235" s="28"/>
      <c r="AH235" s="28"/>
      <c r="AI235" s="28"/>
      <c r="AJ235" s="28"/>
    </row>
    <row r="236" spans="1:36" x14ac:dyDescent="0.25">
      <c r="A236" s="298" t="str">
        <f>IF('Kwaliteit conversie'!$D$4='Prijs karton'!C236,"X"," ")</f>
        <v xml:space="preserve"> </v>
      </c>
      <c r="B236" s="331" t="s">
        <v>35</v>
      </c>
      <c r="C236" s="359"/>
      <c r="D236" s="366"/>
      <c r="E236" s="321"/>
      <c r="F236" s="925"/>
      <c r="G236" s="315"/>
      <c r="H236" s="315"/>
      <c r="I236" s="315"/>
      <c r="J236" s="315"/>
      <c r="K236" s="513"/>
      <c r="L236" s="926"/>
      <c r="M236" s="331"/>
      <c r="N236" s="366"/>
      <c r="O236" s="323"/>
      <c r="P236" s="386"/>
      <c r="Q236" s="323"/>
      <c r="R236" s="366"/>
      <c r="S236" s="378"/>
      <c r="T236" s="324"/>
      <c r="U236" s="386"/>
      <c r="V236" s="386"/>
      <c r="W236" s="386"/>
      <c r="X236" s="386"/>
      <c r="Y236" s="386"/>
      <c r="Z236" s="386"/>
      <c r="AA236" s="386"/>
      <c r="AB236" s="392"/>
      <c r="AC236" s="28"/>
      <c r="AD236" s="28"/>
      <c r="AE236" s="28"/>
      <c r="AF236" s="28"/>
      <c r="AG236" s="28"/>
      <c r="AH236" s="28"/>
      <c r="AI236" s="28"/>
      <c r="AJ236" s="28"/>
    </row>
    <row r="237" spans="1:36" x14ac:dyDescent="0.25">
      <c r="A237" s="298" t="str">
        <f>IF('Kwaliteit conversie'!$D$4='Prijs karton'!C237,"X"," ")</f>
        <v xml:space="preserve"> </v>
      </c>
      <c r="B237" s="331" t="s">
        <v>35</v>
      </c>
      <c r="C237" s="359"/>
      <c r="D237" s="366"/>
      <c r="E237" s="321"/>
      <c r="F237" s="925"/>
      <c r="G237" s="315"/>
      <c r="H237" s="315"/>
      <c r="I237" s="315"/>
      <c r="J237" s="315"/>
      <c r="K237" s="513"/>
      <c r="L237" s="926"/>
      <c r="M237" s="331"/>
      <c r="N237" s="366"/>
      <c r="O237" s="323"/>
      <c r="P237" s="386"/>
      <c r="Q237" s="323"/>
      <c r="R237" s="366"/>
      <c r="S237" s="378"/>
      <c r="T237" s="324"/>
      <c r="U237" s="386"/>
      <c r="V237" s="386"/>
      <c r="W237" s="386"/>
      <c r="X237" s="386"/>
      <c r="Y237" s="386"/>
      <c r="Z237" s="386"/>
      <c r="AA237" s="386"/>
      <c r="AB237" s="392"/>
      <c r="AC237" s="28"/>
      <c r="AD237" s="28"/>
      <c r="AE237" s="28"/>
      <c r="AF237" s="28"/>
      <c r="AG237" s="28"/>
      <c r="AH237" s="28"/>
      <c r="AI237" s="28"/>
      <c r="AJ237" s="28"/>
    </row>
    <row r="238" spans="1:36" x14ac:dyDescent="0.25">
      <c r="A238" s="298" t="str">
        <f>IF('Kwaliteit conversie'!$D$4='Prijs karton'!C238,"X"," ")</f>
        <v xml:space="preserve"> </v>
      </c>
      <c r="B238" s="331" t="s">
        <v>35</v>
      </c>
      <c r="C238" s="359"/>
      <c r="D238" s="366"/>
      <c r="E238" s="321"/>
      <c r="F238" s="925"/>
      <c r="G238" s="315"/>
      <c r="H238" s="315"/>
      <c r="I238" s="315"/>
      <c r="J238" s="315"/>
      <c r="K238" s="513"/>
      <c r="L238" s="926"/>
      <c r="M238" s="331"/>
      <c r="N238" s="366"/>
      <c r="O238" s="323"/>
      <c r="P238" s="386"/>
      <c r="Q238" s="323"/>
      <c r="R238" s="366"/>
      <c r="S238" s="378"/>
      <c r="T238" s="324"/>
      <c r="U238" s="386"/>
      <c r="V238" s="386"/>
      <c r="W238" s="386"/>
      <c r="X238" s="386"/>
      <c r="Y238" s="386"/>
      <c r="Z238" s="386"/>
      <c r="AA238" s="386"/>
      <c r="AB238" s="392"/>
      <c r="AC238" s="28"/>
      <c r="AD238" s="28"/>
      <c r="AE238" s="28"/>
      <c r="AF238" s="28"/>
      <c r="AG238" s="28"/>
      <c r="AH238" s="28"/>
      <c r="AI238" s="28"/>
      <c r="AJ238" s="28"/>
    </row>
    <row r="239" spans="1:36" x14ac:dyDescent="0.25">
      <c r="A239" s="298" t="str">
        <f>IF('Kwaliteit conversie'!$D$4='Prijs karton'!C239,"X"," ")</f>
        <v xml:space="preserve"> </v>
      </c>
      <c r="B239" s="331" t="s">
        <v>35</v>
      </c>
      <c r="C239" s="359"/>
      <c r="D239" s="366"/>
      <c r="E239" s="321"/>
      <c r="F239" s="925"/>
      <c r="G239" s="315"/>
      <c r="H239" s="315"/>
      <c r="I239" s="315"/>
      <c r="J239" s="315"/>
      <c r="K239" s="513"/>
      <c r="L239" s="926"/>
      <c r="M239" s="331"/>
      <c r="N239" s="366"/>
      <c r="O239" s="323"/>
      <c r="P239" s="386"/>
      <c r="Q239" s="323"/>
      <c r="R239" s="366"/>
      <c r="S239" s="378"/>
      <c r="T239" s="324"/>
      <c r="U239" s="386"/>
      <c r="V239" s="386"/>
      <c r="W239" s="386"/>
      <c r="X239" s="386"/>
      <c r="Y239" s="386"/>
      <c r="Z239" s="386"/>
      <c r="AA239" s="386"/>
      <c r="AB239" s="392"/>
      <c r="AC239" s="28"/>
      <c r="AD239" s="28"/>
      <c r="AE239" s="28"/>
      <c r="AF239" s="28"/>
      <c r="AG239" s="28"/>
      <c r="AH239" s="28"/>
      <c r="AI239" s="28"/>
      <c r="AJ239" s="28"/>
    </row>
    <row r="240" spans="1:36" x14ac:dyDescent="0.25">
      <c r="A240" s="298" t="str">
        <f>IF('Kwaliteit conversie'!$D$4='Prijs karton'!C240,"X"," ")</f>
        <v xml:space="preserve"> </v>
      </c>
      <c r="B240" s="331" t="s">
        <v>35</v>
      </c>
      <c r="C240" s="359"/>
      <c r="D240" s="366"/>
      <c r="E240" s="321"/>
      <c r="F240" s="925"/>
      <c r="G240" s="315"/>
      <c r="H240" s="315"/>
      <c r="I240" s="315"/>
      <c r="J240" s="315"/>
      <c r="K240" s="513"/>
      <c r="L240" s="926"/>
      <c r="M240" s="331"/>
      <c r="N240" s="366"/>
      <c r="O240" s="323"/>
      <c r="P240" s="386"/>
      <c r="Q240" s="323"/>
      <c r="R240" s="366"/>
      <c r="S240" s="378"/>
      <c r="T240" s="324"/>
      <c r="U240" s="386"/>
      <c r="V240" s="386"/>
      <c r="W240" s="386"/>
      <c r="X240" s="386"/>
      <c r="Y240" s="386"/>
      <c r="Z240" s="386"/>
      <c r="AA240" s="386"/>
      <c r="AB240" s="392"/>
      <c r="AC240" s="28"/>
      <c r="AD240" s="28"/>
      <c r="AE240" s="28"/>
      <c r="AF240" s="28"/>
      <c r="AG240" s="28"/>
      <c r="AH240" s="28"/>
      <c r="AI240" s="28"/>
      <c r="AJ240" s="28"/>
    </row>
    <row r="241" spans="1:36" s="320" customFormat="1" x14ac:dyDescent="0.25">
      <c r="A241" s="329" t="str">
        <f>IF('Kwaliteit conversie'!$D$4='Prijs karton'!C241,"X"," ")</f>
        <v xml:space="preserve"> </v>
      </c>
      <c r="B241" s="332" t="s">
        <v>35</v>
      </c>
      <c r="C241" s="360" t="s">
        <v>462</v>
      </c>
      <c r="D241" s="367"/>
      <c r="E241" s="322">
        <v>3.6</v>
      </c>
      <c r="F241" s="927">
        <v>0</v>
      </c>
      <c r="G241" s="319">
        <v>0</v>
      </c>
      <c r="H241" s="319">
        <v>0</v>
      </c>
      <c r="I241" s="319">
        <v>0</v>
      </c>
      <c r="J241" s="319">
        <v>0</v>
      </c>
      <c r="K241" s="928">
        <v>0</v>
      </c>
      <c r="L241" s="929" t="s">
        <v>239</v>
      </c>
      <c r="M241" s="379" t="s">
        <v>239</v>
      </c>
      <c r="N241" s="367" t="s">
        <v>239</v>
      </c>
      <c r="O241" s="325" t="s">
        <v>239</v>
      </c>
      <c r="P241" s="387" t="s">
        <v>239</v>
      </c>
      <c r="Q241" s="325" t="s">
        <v>239</v>
      </c>
      <c r="R241" s="367" t="s">
        <v>239</v>
      </c>
      <c r="S241" s="380" t="s">
        <v>239</v>
      </c>
      <c r="T241" s="326" t="s">
        <v>245</v>
      </c>
      <c r="U241" s="387">
        <v>250</v>
      </c>
      <c r="V241" s="387">
        <v>2450</v>
      </c>
      <c r="W241" s="387">
        <v>500</v>
      </c>
      <c r="X241" s="387">
        <v>6200</v>
      </c>
      <c r="Y241" s="387">
        <v>300</v>
      </c>
      <c r="Z241" s="387">
        <v>150</v>
      </c>
      <c r="AA241" s="387">
        <v>200</v>
      </c>
      <c r="AB241" s="393">
        <v>7</v>
      </c>
      <c r="AC241" s="34">
        <v>0</v>
      </c>
      <c r="AD241" s="34">
        <v>1</v>
      </c>
      <c r="AE241" s="34">
        <v>1</v>
      </c>
      <c r="AF241" s="34">
        <v>1</v>
      </c>
      <c r="AG241" s="34">
        <v>1</v>
      </c>
      <c r="AH241" s="34">
        <v>1</v>
      </c>
      <c r="AI241" s="34">
        <v>1</v>
      </c>
      <c r="AJ241" s="34">
        <v>1</v>
      </c>
    </row>
    <row r="242" spans="1:36" x14ac:dyDescent="0.25">
      <c r="A242" s="298" t="str">
        <f>IF('Kwaliteit conversie'!$D$4='Prijs karton'!C242,"X"," ")</f>
        <v xml:space="preserve"> </v>
      </c>
      <c r="B242" s="331"/>
      <c r="C242" s="359"/>
      <c r="D242" s="366"/>
      <c r="E242" s="321"/>
      <c r="F242" s="925"/>
      <c r="G242" s="315"/>
      <c r="H242" s="315"/>
      <c r="I242" s="315"/>
      <c r="J242" s="315"/>
      <c r="K242" s="513"/>
      <c r="L242" s="926"/>
      <c r="M242" s="331"/>
      <c r="N242" s="366"/>
      <c r="O242" s="323"/>
      <c r="P242" s="386"/>
      <c r="Q242" s="323"/>
      <c r="R242" s="366"/>
      <c r="S242" s="378"/>
      <c r="T242" s="324"/>
      <c r="U242" s="386"/>
      <c r="V242" s="386"/>
      <c r="W242" s="386"/>
      <c r="X242" s="386"/>
      <c r="Y242" s="386"/>
      <c r="Z242" s="386"/>
      <c r="AA242" s="386"/>
      <c r="AB242" s="392"/>
      <c r="AC242" s="28"/>
      <c r="AD242" s="28"/>
      <c r="AE242" s="28"/>
      <c r="AF242" s="28"/>
      <c r="AG242" s="28"/>
      <c r="AH242" s="28"/>
      <c r="AI242" s="28"/>
      <c r="AJ242" s="28"/>
    </row>
    <row r="243" spans="1:36" x14ac:dyDescent="0.25">
      <c r="A243" s="298" t="str">
        <f>IF('Kwaliteit conversie'!$D$4='Prijs karton'!C243,"X"," ")</f>
        <v xml:space="preserve"> </v>
      </c>
      <c r="B243" s="331"/>
      <c r="C243" s="359"/>
      <c r="D243" s="366"/>
      <c r="E243" s="321"/>
      <c r="F243" s="925"/>
      <c r="G243" s="315"/>
      <c r="H243" s="315"/>
      <c r="I243" s="315"/>
      <c r="J243" s="315"/>
      <c r="K243" s="513"/>
      <c r="L243" s="926"/>
      <c r="M243" s="331"/>
      <c r="N243" s="366"/>
      <c r="O243" s="323"/>
      <c r="P243" s="386"/>
      <c r="Q243" s="323"/>
      <c r="R243" s="366"/>
      <c r="S243" s="378"/>
      <c r="T243" s="324"/>
      <c r="U243" s="386"/>
      <c r="V243" s="386"/>
      <c r="W243" s="386"/>
      <c r="X243" s="386"/>
      <c r="Y243" s="386"/>
      <c r="Z243" s="386"/>
      <c r="AA243" s="386"/>
      <c r="AB243" s="392"/>
      <c r="AC243" s="28"/>
      <c r="AD243" s="28"/>
      <c r="AE243" s="28"/>
      <c r="AF243" s="28"/>
      <c r="AG243" s="28"/>
      <c r="AH243" s="28"/>
      <c r="AI243" s="28"/>
      <c r="AJ243" s="28"/>
    </row>
    <row r="244" spans="1:36" x14ac:dyDescent="0.25">
      <c r="A244" s="298" t="str">
        <f>IF('Kwaliteit conversie'!$D$4='Prijs karton'!C244,"X"," ")</f>
        <v xml:space="preserve"> </v>
      </c>
      <c r="B244" s="331"/>
      <c r="C244" s="359"/>
      <c r="D244" s="366"/>
      <c r="E244" s="321"/>
      <c r="F244" s="925"/>
      <c r="G244" s="315"/>
      <c r="H244" s="315"/>
      <c r="I244" s="315"/>
      <c r="J244" s="315"/>
      <c r="K244" s="513"/>
      <c r="L244" s="926"/>
      <c r="M244" s="331"/>
      <c r="N244" s="366"/>
      <c r="O244" s="323"/>
      <c r="P244" s="386"/>
      <c r="Q244" s="323"/>
      <c r="R244" s="366"/>
      <c r="S244" s="378"/>
      <c r="T244" s="324"/>
      <c r="U244" s="386"/>
      <c r="V244" s="386"/>
      <c r="W244" s="386"/>
      <c r="X244" s="386"/>
      <c r="Y244" s="386"/>
      <c r="Z244" s="386"/>
      <c r="AA244" s="386"/>
      <c r="AB244" s="392"/>
      <c r="AC244" s="28"/>
      <c r="AD244" s="28"/>
      <c r="AE244" s="28"/>
      <c r="AF244" s="28"/>
      <c r="AG244" s="28"/>
      <c r="AH244" s="28"/>
      <c r="AI244" s="28"/>
      <c r="AJ244" s="28"/>
    </row>
    <row r="245" spans="1:36" x14ac:dyDescent="0.25">
      <c r="A245" s="298" t="str">
        <f>IF('Kwaliteit conversie'!$D$4='Prijs karton'!C245,"X"," ")</f>
        <v xml:space="preserve"> </v>
      </c>
      <c r="B245" s="331" t="s">
        <v>34</v>
      </c>
      <c r="C245" s="359"/>
      <c r="D245" s="366"/>
      <c r="E245" s="321"/>
      <c r="F245" s="925"/>
      <c r="G245" s="315"/>
      <c r="H245" s="315"/>
      <c r="I245" s="315"/>
      <c r="J245" s="315"/>
      <c r="K245" s="513"/>
      <c r="L245" s="926"/>
      <c r="M245" s="331"/>
      <c r="N245" s="366"/>
      <c r="O245" s="323"/>
      <c r="P245" s="386"/>
      <c r="Q245" s="323"/>
      <c r="R245" s="366"/>
      <c r="S245" s="378"/>
      <c r="T245" s="324"/>
      <c r="U245" s="386"/>
      <c r="V245" s="386"/>
      <c r="W245" s="386"/>
      <c r="X245" s="386"/>
      <c r="Y245" s="386"/>
      <c r="Z245" s="386"/>
      <c r="AA245" s="386"/>
      <c r="AB245" s="392"/>
      <c r="AC245" s="28"/>
      <c r="AD245" s="28"/>
      <c r="AE245" s="28"/>
      <c r="AF245" s="28"/>
      <c r="AG245" s="28"/>
      <c r="AH245" s="28"/>
      <c r="AI245" s="28"/>
      <c r="AJ245" s="28"/>
    </row>
    <row r="246" spans="1:36" x14ac:dyDescent="0.25">
      <c r="A246" s="932" t="str">
        <f>IF('Kwaliteit conversie'!$D$4='Prijs karton'!C246,"X"," ")</f>
        <v xml:space="preserve"> </v>
      </c>
      <c r="B246" s="331" t="s">
        <v>34</v>
      </c>
      <c r="C246" s="359" t="s">
        <v>463</v>
      </c>
      <c r="D246" s="366">
        <v>0.56299999999999994</v>
      </c>
      <c r="E246" s="321">
        <v>2.83</v>
      </c>
      <c r="F246" s="925">
        <v>0</v>
      </c>
      <c r="G246" s="315" t="s">
        <v>239</v>
      </c>
      <c r="H246" s="315">
        <v>68.099999999999994</v>
      </c>
      <c r="I246" s="315">
        <v>68.099999999999994</v>
      </c>
      <c r="J246" s="315">
        <v>66.099999999999994</v>
      </c>
      <c r="K246" s="513">
        <v>66.099999999999994</v>
      </c>
      <c r="L246" s="926" t="s">
        <v>464</v>
      </c>
      <c r="M246" s="331" t="s">
        <v>289</v>
      </c>
      <c r="N246" s="366" t="s">
        <v>244</v>
      </c>
      <c r="O246" s="323" t="s">
        <v>255</v>
      </c>
      <c r="P246" s="386" t="s">
        <v>244</v>
      </c>
      <c r="Q246" s="323" t="s">
        <v>239</v>
      </c>
      <c r="R246" s="366" t="s">
        <v>239</v>
      </c>
      <c r="S246" s="378" t="s">
        <v>260</v>
      </c>
      <c r="T246" s="324" t="s">
        <v>240</v>
      </c>
      <c r="U246" s="386">
        <v>240</v>
      </c>
      <c r="V246" s="386">
        <v>2450</v>
      </c>
      <c r="W246" s="386">
        <v>500</v>
      </c>
      <c r="X246" s="386">
        <v>6000</v>
      </c>
      <c r="Y246" s="386">
        <v>125</v>
      </c>
      <c r="Z246" s="386">
        <v>125</v>
      </c>
      <c r="AA246" s="386">
        <v>500</v>
      </c>
      <c r="AB246" s="392">
        <v>7.26</v>
      </c>
      <c r="AC246" s="28">
        <v>0</v>
      </c>
      <c r="AD246" s="28">
        <v>1</v>
      </c>
      <c r="AE246" s="28">
        <v>1</v>
      </c>
      <c r="AF246" s="28">
        <v>1</v>
      </c>
      <c r="AG246" s="28">
        <v>1</v>
      </c>
      <c r="AH246" s="28">
        <v>1</v>
      </c>
      <c r="AI246" s="28">
        <v>1</v>
      </c>
      <c r="AJ246" s="28">
        <v>1</v>
      </c>
    </row>
    <row r="247" spans="1:36" x14ac:dyDescent="0.25">
      <c r="A247" s="298" t="str">
        <f>IF('Kwaliteit conversie'!$D$4='Prijs karton'!C247,"X"," ")</f>
        <v xml:space="preserve"> </v>
      </c>
      <c r="B247" s="331" t="s">
        <v>34</v>
      </c>
      <c r="C247" s="359" t="s">
        <v>465</v>
      </c>
      <c r="D247" s="366">
        <v>0.60799999999999998</v>
      </c>
      <c r="E247" s="321">
        <v>2.91</v>
      </c>
      <c r="F247" s="925">
        <v>0</v>
      </c>
      <c r="G247" s="315" t="s">
        <v>239</v>
      </c>
      <c r="H247" s="315">
        <v>69.8</v>
      </c>
      <c r="I247" s="315">
        <v>69.8</v>
      </c>
      <c r="J247" s="315">
        <v>67.8</v>
      </c>
      <c r="K247" s="513">
        <v>65.8</v>
      </c>
      <c r="L247" s="926" t="s">
        <v>466</v>
      </c>
      <c r="M247" s="331" t="s">
        <v>318</v>
      </c>
      <c r="N247" s="366" t="s">
        <v>244</v>
      </c>
      <c r="O247" s="323" t="s">
        <v>255</v>
      </c>
      <c r="P247" s="386" t="s">
        <v>244</v>
      </c>
      <c r="Q247" s="323" t="s">
        <v>239</v>
      </c>
      <c r="R247" s="366" t="s">
        <v>239</v>
      </c>
      <c r="S247" s="378" t="s">
        <v>260</v>
      </c>
      <c r="T247" s="324" t="s">
        <v>240</v>
      </c>
      <c r="U247" s="386">
        <v>240</v>
      </c>
      <c r="V247" s="386">
        <v>2450</v>
      </c>
      <c r="W247" s="386">
        <v>500</v>
      </c>
      <c r="X247" s="386">
        <v>6000</v>
      </c>
      <c r="Y247" s="386">
        <v>125</v>
      </c>
      <c r="Z247" s="386">
        <v>125</v>
      </c>
      <c r="AA247" s="386">
        <v>500</v>
      </c>
      <c r="AB247" s="392">
        <v>7.61</v>
      </c>
      <c r="AC247" s="28">
        <v>0</v>
      </c>
      <c r="AD247" s="28">
        <v>1</v>
      </c>
      <c r="AE247" s="28">
        <v>1</v>
      </c>
      <c r="AF247" s="28">
        <v>1</v>
      </c>
      <c r="AG247" s="28">
        <v>1</v>
      </c>
      <c r="AH247" s="28">
        <v>1</v>
      </c>
      <c r="AI247" s="28">
        <v>1</v>
      </c>
      <c r="AJ247" s="28">
        <v>1</v>
      </c>
    </row>
    <row r="248" spans="1:36" x14ac:dyDescent="0.25">
      <c r="A248" s="298" t="str">
        <f>IF('Kwaliteit conversie'!$D$4='Prijs karton'!C248,"X"," ")</f>
        <v xml:space="preserve"> </v>
      </c>
      <c r="B248" s="331" t="s">
        <v>34</v>
      </c>
      <c r="C248" s="359" t="s">
        <v>467</v>
      </c>
      <c r="D248" s="366">
        <v>0.55300000000000005</v>
      </c>
      <c r="E248" s="321">
        <v>2.86</v>
      </c>
      <c r="F248" s="925">
        <v>0</v>
      </c>
      <c r="G248" s="315">
        <v>60.8</v>
      </c>
      <c r="H248" s="315">
        <v>58.8</v>
      </c>
      <c r="I248" s="315">
        <v>58.8</v>
      </c>
      <c r="J248" s="315">
        <v>57.3</v>
      </c>
      <c r="K248" s="513">
        <v>56.8</v>
      </c>
      <c r="L248" s="926" t="s">
        <v>468</v>
      </c>
      <c r="M248" s="331" t="s">
        <v>260</v>
      </c>
      <c r="N248" s="366" t="s">
        <v>244</v>
      </c>
      <c r="O248" s="323" t="s">
        <v>255</v>
      </c>
      <c r="P248" s="386" t="s">
        <v>244</v>
      </c>
      <c r="Q248" s="323" t="s">
        <v>239</v>
      </c>
      <c r="R248" s="366" t="s">
        <v>239</v>
      </c>
      <c r="S248" s="378" t="s">
        <v>260</v>
      </c>
      <c r="T248" s="324" t="s">
        <v>240</v>
      </c>
      <c r="U248" s="386">
        <v>240</v>
      </c>
      <c r="V248" s="386">
        <v>2450</v>
      </c>
      <c r="W248" s="386">
        <v>500</v>
      </c>
      <c r="X248" s="386">
        <v>6000</v>
      </c>
      <c r="Y248" s="386">
        <v>125</v>
      </c>
      <c r="Z248" s="386">
        <v>125</v>
      </c>
      <c r="AA248" s="386">
        <v>200</v>
      </c>
      <c r="AB248" s="392">
        <v>6.94</v>
      </c>
      <c r="AC248" s="28">
        <v>0</v>
      </c>
      <c r="AD248" s="28">
        <v>1</v>
      </c>
      <c r="AE248" s="28">
        <v>1</v>
      </c>
      <c r="AF248" s="28">
        <v>1</v>
      </c>
      <c r="AG248" s="28">
        <v>1</v>
      </c>
      <c r="AH248" s="28">
        <v>1</v>
      </c>
      <c r="AI248" s="28">
        <v>1</v>
      </c>
      <c r="AJ248" s="28">
        <v>1</v>
      </c>
    </row>
    <row r="249" spans="1:36" x14ac:dyDescent="0.25">
      <c r="A249" s="298" t="str">
        <f>IF('Kwaliteit conversie'!$D$4='Prijs karton'!C249,"X"," ")</f>
        <v xml:space="preserve"> </v>
      </c>
      <c r="B249" s="331" t="s">
        <v>34</v>
      </c>
      <c r="C249" s="359" t="s">
        <v>1401</v>
      </c>
      <c r="D249" s="366">
        <v>0.56999999999999995</v>
      </c>
      <c r="E249" s="321">
        <v>2.86</v>
      </c>
      <c r="F249" s="925">
        <v>0</v>
      </c>
      <c r="G249" s="315">
        <v>55.4</v>
      </c>
      <c r="H249" s="315">
        <v>54</v>
      </c>
      <c r="I249" s="315">
        <v>53.7</v>
      </c>
      <c r="J249" s="315">
        <v>53.5</v>
      </c>
      <c r="K249" s="513">
        <v>53.5</v>
      </c>
      <c r="L249" s="926" t="s">
        <v>1402</v>
      </c>
      <c r="M249" s="331" t="s">
        <v>1362</v>
      </c>
      <c r="N249" s="366" t="s">
        <v>244</v>
      </c>
      <c r="O249" s="323" t="s">
        <v>244</v>
      </c>
      <c r="P249" s="386" t="s">
        <v>244</v>
      </c>
      <c r="Q249" s="323" t="s">
        <v>239</v>
      </c>
      <c r="R249" s="366" t="s">
        <v>239</v>
      </c>
      <c r="S249" s="378" t="s">
        <v>1363</v>
      </c>
      <c r="T249" s="324" t="s">
        <v>1364</v>
      </c>
      <c r="U249" s="386">
        <v>250</v>
      </c>
      <c r="V249" s="386">
        <v>2450</v>
      </c>
      <c r="W249" s="386">
        <v>600</v>
      </c>
      <c r="X249" s="386">
        <v>6000</v>
      </c>
      <c r="Y249" s="386">
        <v>270</v>
      </c>
      <c r="Z249" s="386">
        <v>135</v>
      </c>
      <c r="AA249" s="386">
        <v>200</v>
      </c>
      <c r="AB249" s="392">
        <v>8.39</v>
      </c>
      <c r="AC249" s="28">
        <v>0</v>
      </c>
      <c r="AD249" s="28">
        <v>1</v>
      </c>
      <c r="AE249" s="28">
        <v>1</v>
      </c>
      <c r="AF249" s="28">
        <v>1</v>
      </c>
      <c r="AG249" s="28">
        <v>1</v>
      </c>
      <c r="AH249" s="28">
        <v>1</v>
      </c>
      <c r="AI249" s="28">
        <v>1</v>
      </c>
      <c r="AJ249" s="28">
        <v>1</v>
      </c>
    </row>
    <row r="250" spans="1:36" x14ac:dyDescent="0.25">
      <c r="A250" s="298" t="str">
        <f>IF('Kwaliteit conversie'!$D$4='Prijs karton'!C250,"X"," ")</f>
        <v xml:space="preserve"> </v>
      </c>
      <c r="B250" s="331" t="s">
        <v>34</v>
      </c>
      <c r="C250" s="359" t="s">
        <v>1403</v>
      </c>
      <c r="D250" s="366">
        <v>0.55500000000000005</v>
      </c>
      <c r="E250" s="321">
        <v>2.77</v>
      </c>
      <c r="F250" s="925">
        <v>0</v>
      </c>
      <c r="G250" s="315">
        <v>53.6</v>
      </c>
      <c r="H250" s="315">
        <v>52.1</v>
      </c>
      <c r="I250" s="315">
        <v>51.9</v>
      </c>
      <c r="J250" s="315">
        <v>51.9</v>
      </c>
      <c r="K250" s="513">
        <v>51.9</v>
      </c>
      <c r="L250" s="926" t="s">
        <v>1404</v>
      </c>
      <c r="M250" s="331" t="s">
        <v>1363</v>
      </c>
      <c r="N250" s="366" t="s">
        <v>244</v>
      </c>
      <c r="O250" s="323" t="s">
        <v>244</v>
      </c>
      <c r="P250" s="386" t="s">
        <v>244</v>
      </c>
      <c r="Q250" s="323" t="s">
        <v>239</v>
      </c>
      <c r="R250" s="366" t="s">
        <v>239</v>
      </c>
      <c r="S250" s="378" t="s">
        <v>1363</v>
      </c>
      <c r="T250" s="324" t="s">
        <v>1364</v>
      </c>
      <c r="U250" s="386">
        <v>250</v>
      </c>
      <c r="V250" s="386">
        <v>2450</v>
      </c>
      <c r="W250" s="386">
        <v>600</v>
      </c>
      <c r="X250" s="386">
        <v>6000</v>
      </c>
      <c r="Y250" s="386">
        <v>270</v>
      </c>
      <c r="Z250" s="386">
        <v>135</v>
      </c>
      <c r="AA250" s="386">
        <v>200</v>
      </c>
      <c r="AB250" s="392">
        <v>7.33</v>
      </c>
      <c r="AC250" s="28">
        <v>0</v>
      </c>
      <c r="AD250" s="28">
        <v>1</v>
      </c>
      <c r="AE250" s="28">
        <v>1</v>
      </c>
      <c r="AF250" s="28">
        <v>1</v>
      </c>
      <c r="AG250" s="28">
        <v>1</v>
      </c>
      <c r="AH250" s="28">
        <v>1</v>
      </c>
      <c r="AI250" s="28">
        <v>1</v>
      </c>
      <c r="AJ250" s="28">
        <v>1</v>
      </c>
    </row>
    <row r="251" spans="1:36" x14ac:dyDescent="0.25">
      <c r="A251" s="298" t="str">
        <f>IF('Kwaliteit conversie'!$D$4='Prijs karton'!C251,"X"," ")</f>
        <v xml:space="preserve"> </v>
      </c>
      <c r="B251" s="331" t="s">
        <v>34</v>
      </c>
      <c r="C251" s="359" t="s">
        <v>1440</v>
      </c>
      <c r="D251" s="366">
        <v>0.56999999999999995</v>
      </c>
      <c r="E251" s="321">
        <v>2.74</v>
      </c>
      <c r="F251" s="925">
        <v>0</v>
      </c>
      <c r="G251" s="315">
        <v>62.9</v>
      </c>
      <c r="H251" s="315">
        <v>61.5</v>
      </c>
      <c r="I251" s="315">
        <v>61.2</v>
      </c>
      <c r="J251" s="315">
        <v>60.9</v>
      </c>
      <c r="K251" s="513">
        <v>60.9</v>
      </c>
      <c r="L251" s="926" t="s">
        <v>1441</v>
      </c>
      <c r="M251" s="331" t="s">
        <v>289</v>
      </c>
      <c r="N251" s="366" t="s">
        <v>244</v>
      </c>
      <c r="O251" s="323" t="s">
        <v>244</v>
      </c>
      <c r="P251" s="386" t="s">
        <v>244</v>
      </c>
      <c r="Q251" s="323" t="s">
        <v>239</v>
      </c>
      <c r="R251" s="366" t="s">
        <v>239</v>
      </c>
      <c r="S251" s="378" t="s">
        <v>1363</v>
      </c>
      <c r="T251" s="324" t="s">
        <v>1364</v>
      </c>
      <c r="U251" s="386">
        <v>250</v>
      </c>
      <c r="V251" s="386">
        <v>2450</v>
      </c>
      <c r="W251" s="386">
        <v>600</v>
      </c>
      <c r="X251" s="386">
        <v>6000</v>
      </c>
      <c r="Y251" s="386">
        <v>270</v>
      </c>
      <c r="Z251" s="386">
        <v>135</v>
      </c>
      <c r="AA251" s="386">
        <v>200</v>
      </c>
      <c r="AB251" s="392">
        <v>8.19</v>
      </c>
      <c r="AC251" s="28">
        <v>0</v>
      </c>
      <c r="AD251" s="28">
        <v>1</v>
      </c>
      <c r="AE251" s="28">
        <v>1</v>
      </c>
      <c r="AF251" s="28">
        <v>1</v>
      </c>
      <c r="AG251" s="28">
        <v>1</v>
      </c>
      <c r="AH251" s="28">
        <v>1</v>
      </c>
      <c r="AI251" s="28">
        <v>1</v>
      </c>
      <c r="AJ251" s="28">
        <v>1</v>
      </c>
    </row>
    <row r="252" spans="1:36" x14ac:dyDescent="0.25">
      <c r="A252" s="298" t="str">
        <f>IF('Kwaliteit conversie'!$D$4='Prijs karton'!C252,"X"," ")</f>
        <v xml:space="preserve"> </v>
      </c>
      <c r="B252" s="331" t="s">
        <v>34</v>
      </c>
      <c r="C252" s="359" t="s">
        <v>1442</v>
      </c>
      <c r="D252" s="366">
        <v>0.60799999999999998</v>
      </c>
      <c r="E252" s="321">
        <v>2.84</v>
      </c>
      <c r="F252" s="925">
        <v>0</v>
      </c>
      <c r="G252" s="315" t="s">
        <v>315</v>
      </c>
      <c r="H252" s="315">
        <v>62.8</v>
      </c>
      <c r="I252" s="315">
        <v>62.8</v>
      </c>
      <c r="J252" s="315">
        <v>62.8</v>
      </c>
      <c r="K252" s="513">
        <v>62.8</v>
      </c>
      <c r="L252" s="926" t="s">
        <v>1443</v>
      </c>
      <c r="M252" s="331" t="s">
        <v>289</v>
      </c>
      <c r="N252" s="366" t="s">
        <v>238</v>
      </c>
      <c r="O252" s="323" t="s">
        <v>244</v>
      </c>
      <c r="P252" s="386" t="s">
        <v>238</v>
      </c>
      <c r="Q252" s="323" t="s">
        <v>239</v>
      </c>
      <c r="R252" s="366" t="s">
        <v>239</v>
      </c>
      <c r="S252" s="378" t="s">
        <v>289</v>
      </c>
      <c r="T252" s="324" t="s">
        <v>1364</v>
      </c>
      <c r="U252" s="386">
        <v>250</v>
      </c>
      <c r="V252" s="386">
        <v>2450</v>
      </c>
      <c r="W252" s="386">
        <v>600</v>
      </c>
      <c r="X252" s="386">
        <v>6000</v>
      </c>
      <c r="Y252" s="386">
        <v>270</v>
      </c>
      <c r="Z252" s="386">
        <v>135</v>
      </c>
      <c r="AA252" s="386">
        <v>500</v>
      </c>
      <c r="AB252" s="392">
        <v>9.2799999999999994</v>
      </c>
      <c r="AC252" s="28">
        <v>0</v>
      </c>
      <c r="AD252" s="28">
        <v>1</v>
      </c>
      <c r="AE252" s="28">
        <v>1</v>
      </c>
      <c r="AF252" s="28">
        <v>1</v>
      </c>
      <c r="AG252" s="28">
        <v>1</v>
      </c>
      <c r="AH252" s="28">
        <v>1</v>
      </c>
      <c r="AI252" s="28">
        <v>1</v>
      </c>
      <c r="AJ252" s="28">
        <v>1</v>
      </c>
    </row>
    <row r="253" spans="1:36" x14ac:dyDescent="0.25">
      <c r="A253" s="298" t="str">
        <f>IF('Kwaliteit conversie'!$D$4='Prijs karton'!C253,"X"," ")</f>
        <v xml:space="preserve"> </v>
      </c>
      <c r="B253" s="331" t="s">
        <v>34</v>
      </c>
      <c r="C253" s="359"/>
      <c r="D253" s="366"/>
      <c r="E253" s="321"/>
      <c r="F253" s="925"/>
      <c r="G253" s="315"/>
      <c r="H253" s="315"/>
      <c r="I253" s="315"/>
      <c r="J253" s="315"/>
      <c r="K253" s="513"/>
      <c r="L253" s="926"/>
      <c r="M253" s="331"/>
      <c r="N253" s="366"/>
      <c r="O253" s="323"/>
      <c r="P253" s="386"/>
      <c r="Q253" s="323"/>
      <c r="R253" s="366"/>
      <c r="S253" s="378"/>
      <c r="T253" s="324"/>
      <c r="U253" s="386"/>
      <c r="V253" s="386"/>
      <c r="W253" s="386"/>
      <c r="X253" s="386"/>
      <c r="Y253" s="386"/>
      <c r="Z253" s="386"/>
      <c r="AA253" s="386"/>
      <c r="AB253" s="392"/>
      <c r="AC253" s="28"/>
      <c r="AD253" s="28"/>
      <c r="AE253" s="28"/>
      <c r="AF253" s="28"/>
      <c r="AG253" s="28"/>
      <c r="AH253" s="28"/>
      <c r="AI253" s="28"/>
      <c r="AJ253" s="28"/>
    </row>
    <row r="254" spans="1:36" s="320" customFormat="1" ht="15.75" thickBot="1" x14ac:dyDescent="0.3">
      <c r="A254" s="329" t="str">
        <f>IF('Kwaliteit conversie'!$D$4='Prijs karton'!C254,"X"," ")</f>
        <v xml:space="preserve"> </v>
      </c>
      <c r="B254" s="332" t="s">
        <v>34</v>
      </c>
      <c r="C254" s="360" t="s">
        <v>469</v>
      </c>
      <c r="D254" s="367"/>
      <c r="E254" s="322">
        <v>3</v>
      </c>
      <c r="F254" s="930">
        <v>0</v>
      </c>
      <c r="G254" s="369">
        <v>0</v>
      </c>
      <c r="H254" s="369">
        <v>0</v>
      </c>
      <c r="I254" s="369">
        <v>0</v>
      </c>
      <c r="J254" s="369">
        <v>0</v>
      </c>
      <c r="K254" s="931">
        <v>0</v>
      </c>
      <c r="L254" s="929" t="s">
        <v>239</v>
      </c>
      <c r="M254" s="379" t="s">
        <v>239</v>
      </c>
      <c r="N254" s="367" t="s">
        <v>239</v>
      </c>
      <c r="O254" s="325" t="s">
        <v>239</v>
      </c>
      <c r="P254" s="387" t="s">
        <v>239</v>
      </c>
      <c r="Q254" s="325" t="s">
        <v>239</v>
      </c>
      <c r="R254" s="367" t="s">
        <v>239</v>
      </c>
      <c r="S254" s="380" t="s">
        <v>239</v>
      </c>
      <c r="T254" s="326" t="s">
        <v>240</v>
      </c>
      <c r="U254" s="387">
        <v>240</v>
      </c>
      <c r="V254" s="387">
        <v>2450</v>
      </c>
      <c r="W254" s="387">
        <v>500</v>
      </c>
      <c r="X254" s="387">
        <v>6000</v>
      </c>
      <c r="Y254" s="387">
        <v>125</v>
      </c>
      <c r="Z254" s="387">
        <v>125</v>
      </c>
      <c r="AA254" s="387">
        <v>500</v>
      </c>
      <c r="AB254" s="393">
        <v>7</v>
      </c>
      <c r="AC254" s="34">
        <v>0</v>
      </c>
      <c r="AD254" s="34">
        <v>1</v>
      </c>
      <c r="AE254" s="34">
        <v>1</v>
      </c>
      <c r="AF254" s="34">
        <v>1</v>
      </c>
      <c r="AG254" s="34">
        <v>1</v>
      </c>
      <c r="AH254" s="34">
        <v>1</v>
      </c>
      <c r="AI254" s="34">
        <v>1</v>
      </c>
      <c r="AJ254" s="34">
        <v>1</v>
      </c>
    </row>
    <row r="255" spans="1:36" x14ac:dyDescent="0.25">
      <c r="B255" s="298"/>
      <c r="C255" s="312"/>
      <c r="D255" s="298"/>
      <c r="E255" s="311"/>
      <c r="U255" s="310"/>
      <c r="V255" s="310"/>
      <c r="W255" s="310"/>
      <c r="X255" s="310"/>
      <c r="Y255" s="310"/>
      <c r="Z255" s="310"/>
      <c r="AA255" s="310"/>
    </row>
    <row r="256" spans="1:36" x14ac:dyDescent="0.25">
      <c r="B256" s="298"/>
      <c r="C256" s="298"/>
      <c r="D256" s="298"/>
      <c r="E256" s="311"/>
      <c r="U256" s="310"/>
      <c r="V256" s="310"/>
      <c r="W256" s="310"/>
      <c r="X256" s="310"/>
      <c r="Y256" s="310"/>
      <c r="Z256" s="310"/>
      <c r="AA256" s="310"/>
    </row>
    <row r="257" spans="2:5" x14ac:dyDescent="0.25">
      <c r="B257" s="298"/>
      <c r="C257" s="298"/>
      <c r="D257" s="298"/>
      <c r="E257" s="311"/>
    </row>
    <row r="258" spans="2:5" x14ac:dyDescent="0.25">
      <c r="B258" s="298"/>
      <c r="C258" s="298"/>
      <c r="D258" s="298"/>
      <c r="E258" s="31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B6E8-0ECF-45D2-8BBA-72766EACB40E}">
  <dimension ref="B1:AJ118"/>
  <sheetViews>
    <sheetView workbookViewId="0"/>
  </sheetViews>
  <sheetFormatPr defaultRowHeight="15" x14ac:dyDescent="0.25"/>
  <cols>
    <col min="2" max="2" customWidth="true" width="20.5703125"/>
    <col min="3" max="3" customWidth="true" width="16.85546875"/>
    <col min="4" max="4" customWidth="true" width="11.28515625"/>
    <col min="5" max="5" customWidth="true" width="13.28515625"/>
    <col min="6" max="6" customWidth="true" width="13.85546875"/>
    <col min="7" max="7" customWidth="true" width="12.42578125"/>
    <col min="8" max="8" customWidth="true" width="13.42578125"/>
    <col min="9" max="9" customWidth="true" width="10.42578125"/>
    <col min="10" max="10" customWidth="true" width="11.42578125"/>
    <col min="11" max="11" customWidth="true" width="13.7109375"/>
    <col min="12" max="12" customWidth="true" width="13.5703125"/>
    <col min="15" max="15" customWidth="true" width="10.42578125"/>
    <col min="22" max="22" bestFit="true" customWidth="true" width="9.5703125"/>
  </cols>
  <sheetData>
    <row r="1" spans="2:11" x14ac:dyDescent="0.25">
      <c r="H1" s="1185">
        <v>0</v>
      </c>
      <c r="I1" s="1186"/>
      <c r="J1" s="1187">
        <v>0.01</v>
      </c>
      <c r="K1" t="s">
        <v>1284</v>
      </c>
    </row>
    <row r="2" spans="2:11" x14ac:dyDescent="0.25">
      <c r="H2" s="1185">
        <v>-0.06</v>
      </c>
      <c r="I2" s="1186"/>
      <c r="J2" s="1187">
        <v>-0.04</v>
      </c>
      <c r="K2" t="s">
        <v>1285</v>
      </c>
    </row>
    <row r="3" spans="2:11" x14ac:dyDescent="0.25">
      <c r="B3" s="404"/>
      <c r="C3" s="43"/>
      <c r="D3" s="43"/>
      <c r="E3" s="473">
        <f>IF(OR('Rekenblad (3)'!E362=1,'Rekenblad (3)'!F362=1),1,0)</f>
        <v>1</v>
      </c>
      <c r="F3" s="38">
        <f>IF(E3=1,0,1)</f>
        <v>0</v>
      </c>
    </row>
    <row r="4" spans="2:11" x14ac:dyDescent="0.25">
      <c r="B4" s="41"/>
      <c r="C4" s="1317" t="s">
        <v>863</v>
      </c>
      <c r="D4" s="1318"/>
      <c r="E4" s="399" t="s">
        <v>864</v>
      </c>
      <c r="F4" s="399" t="s">
        <v>865</v>
      </c>
      <c r="H4" s="417" t="s">
        <v>144</v>
      </c>
      <c r="I4" s="399" t="s">
        <v>866</v>
      </c>
      <c r="J4" s="399" t="s">
        <v>867</v>
      </c>
    </row>
    <row r="5" spans="2:11" x14ac:dyDescent="0.25">
      <c r="B5" s="52"/>
      <c r="C5" s="1319" t="s">
        <v>868</v>
      </c>
      <c r="D5" s="1320"/>
      <c r="E5" s="120" t="s">
        <v>721</v>
      </c>
      <c r="F5" s="120" t="s">
        <v>721</v>
      </c>
      <c r="H5" s="227" t="s">
        <v>864</v>
      </c>
      <c r="I5" s="804" t="s">
        <v>869</v>
      </c>
      <c r="J5" s="120" t="s">
        <v>870</v>
      </c>
    </row>
    <row r="6" spans="2:11" x14ac:dyDescent="0.25">
      <c r="B6" s="442" t="str">
        <f t="shared" ref="B6:B65" si="0">IF(AND($B$73&gt;C6,$B$73&lt;=D6),1,"")</f>
        <v/>
      </c>
      <c r="C6" s="417">
        <v>1</v>
      </c>
      <c r="D6" s="406">
        <v>25</v>
      </c>
      <c r="E6" s="805">
        <f>I6+H6</f>
        <v>0.74</v>
      </c>
      <c r="F6" s="806">
        <f>J6+I6</f>
        <v>0.75</v>
      </c>
      <c r="H6" s="807">
        <v>-0.06</v>
      </c>
      <c r="I6" s="1190">
        <v>0.8</v>
      </c>
      <c r="J6" s="807">
        <v>-0.05</v>
      </c>
    </row>
    <row r="7" spans="2:11" x14ac:dyDescent="0.25">
      <c r="B7" s="12" t="str">
        <f t="shared" si="0"/>
        <v/>
      </c>
      <c r="C7" s="227">
        <v>25</v>
      </c>
      <c r="D7" s="78">
        <v>50</v>
      </c>
      <c r="E7" s="808">
        <f t="shared" ref="E7:F38" si="1">I7+H7</f>
        <v>0.34</v>
      </c>
      <c r="F7" s="809">
        <f t="shared" si="1"/>
        <v>0.35000000000000003</v>
      </c>
      <c r="H7" s="807">
        <v>-0.06</v>
      </c>
      <c r="I7" s="1191">
        <v>0.4</v>
      </c>
      <c r="J7" s="807">
        <v>-0.05</v>
      </c>
    </row>
    <row r="8" spans="2:11" x14ac:dyDescent="0.25">
      <c r="B8" s="12" t="str">
        <f t="shared" si="0"/>
        <v/>
      </c>
      <c r="C8" s="227">
        <v>50</v>
      </c>
      <c r="D8" s="78">
        <v>55</v>
      </c>
      <c r="E8" s="808">
        <f t="shared" si="1"/>
        <v>0.31</v>
      </c>
      <c r="F8" s="809">
        <f t="shared" si="1"/>
        <v>0.32</v>
      </c>
      <c r="H8" s="807">
        <v>-0.06</v>
      </c>
      <c r="I8" s="1191">
        <v>0.37</v>
      </c>
      <c r="J8" s="807">
        <v>-0.05</v>
      </c>
    </row>
    <row r="9" spans="2:11" x14ac:dyDescent="0.25">
      <c r="B9" s="12" t="str">
        <f t="shared" si="0"/>
        <v/>
      </c>
      <c r="C9" s="227">
        <v>55</v>
      </c>
      <c r="D9" s="78">
        <v>60</v>
      </c>
      <c r="E9" s="808">
        <f t="shared" si="1"/>
        <v>0.28999999999999998</v>
      </c>
      <c r="F9" s="809">
        <f t="shared" si="1"/>
        <v>0.3</v>
      </c>
      <c r="H9" s="807">
        <v>-0.06</v>
      </c>
      <c r="I9" s="1191">
        <v>0.35</v>
      </c>
      <c r="J9" s="807">
        <v>-0.05</v>
      </c>
    </row>
    <row r="10" spans="2:11" x14ac:dyDescent="0.25">
      <c r="B10" s="12" t="str">
        <f t="shared" si="0"/>
        <v/>
      </c>
      <c r="C10" s="227">
        <v>60</v>
      </c>
      <c r="D10" s="78">
        <v>65</v>
      </c>
      <c r="E10" s="808">
        <f t="shared" si="1"/>
        <v>0.22999999999999998</v>
      </c>
      <c r="F10" s="809">
        <f t="shared" si="1"/>
        <v>0.24</v>
      </c>
      <c r="H10" s="807">
        <v>-0.06</v>
      </c>
      <c r="I10" s="1191">
        <v>0.28999999999999998</v>
      </c>
      <c r="J10" s="807">
        <v>-0.05</v>
      </c>
    </row>
    <row r="11" spans="2:11" x14ac:dyDescent="0.25">
      <c r="B11" s="12" t="str">
        <f t="shared" si="0"/>
        <v/>
      </c>
      <c r="C11" s="227">
        <v>65</v>
      </c>
      <c r="D11" s="78">
        <v>70</v>
      </c>
      <c r="E11" s="808">
        <f t="shared" si="1"/>
        <v>0.22000000000000003</v>
      </c>
      <c r="F11" s="809">
        <f t="shared" si="1"/>
        <v>0.23000000000000004</v>
      </c>
      <c r="H11" s="807">
        <v>-0.06</v>
      </c>
      <c r="I11" s="1191">
        <v>0.28000000000000003</v>
      </c>
      <c r="J11" s="807">
        <v>-0.05</v>
      </c>
    </row>
    <row r="12" spans="2:11" x14ac:dyDescent="0.25">
      <c r="B12" s="12" t="str">
        <f t="shared" si="0"/>
        <v/>
      </c>
      <c r="C12" s="227">
        <v>70</v>
      </c>
      <c r="D12" s="78">
        <v>75</v>
      </c>
      <c r="E12" s="808">
        <f t="shared" si="1"/>
        <v>0.21000000000000002</v>
      </c>
      <c r="F12" s="809">
        <f t="shared" si="1"/>
        <v>0.22000000000000003</v>
      </c>
      <c r="H12" s="807">
        <v>-0.06</v>
      </c>
      <c r="I12" s="1191">
        <v>0.27</v>
      </c>
      <c r="J12" s="807">
        <v>-0.05</v>
      </c>
    </row>
    <row r="13" spans="2:11" x14ac:dyDescent="0.25">
      <c r="B13" s="12" t="str">
        <f t="shared" si="0"/>
        <v/>
      </c>
      <c r="C13" s="227">
        <v>75</v>
      </c>
      <c r="D13" s="78">
        <v>80</v>
      </c>
      <c r="E13" s="808">
        <f t="shared" si="1"/>
        <v>0.2</v>
      </c>
      <c r="F13" s="809">
        <f t="shared" si="1"/>
        <v>0.21000000000000002</v>
      </c>
      <c r="H13" s="807">
        <v>-0.06</v>
      </c>
      <c r="I13" s="1191">
        <v>0.26</v>
      </c>
      <c r="J13" s="807">
        <v>-0.05</v>
      </c>
    </row>
    <row r="14" spans="2:11" x14ac:dyDescent="0.25">
      <c r="B14" s="12" t="str">
        <f t="shared" si="0"/>
        <v/>
      </c>
      <c r="C14" s="227">
        <v>80</v>
      </c>
      <c r="D14" s="78">
        <v>85</v>
      </c>
      <c r="E14" s="808">
        <f t="shared" si="1"/>
        <v>0.19</v>
      </c>
      <c r="F14" s="809">
        <f t="shared" si="1"/>
        <v>0.2</v>
      </c>
      <c r="H14" s="807">
        <v>-0.06</v>
      </c>
      <c r="I14" s="1191">
        <v>0.25</v>
      </c>
      <c r="J14" s="807">
        <v>-0.05</v>
      </c>
    </row>
    <row r="15" spans="2:11" x14ac:dyDescent="0.25">
      <c r="B15" s="12" t="str">
        <f t="shared" si="0"/>
        <v/>
      </c>
      <c r="C15" s="227">
        <v>85</v>
      </c>
      <c r="D15" s="78">
        <v>90</v>
      </c>
      <c r="E15" s="808">
        <f t="shared" si="1"/>
        <v>0.18</v>
      </c>
      <c r="F15" s="809">
        <f t="shared" si="1"/>
        <v>0.19</v>
      </c>
      <c r="H15" s="807">
        <v>-0.06</v>
      </c>
      <c r="I15" s="1191">
        <v>0.24</v>
      </c>
      <c r="J15" s="807">
        <v>-0.05</v>
      </c>
    </row>
    <row r="16" spans="2:11" x14ac:dyDescent="0.25">
      <c r="B16" s="12" t="str">
        <f t="shared" si="0"/>
        <v/>
      </c>
      <c r="C16" s="227">
        <v>90</v>
      </c>
      <c r="D16" s="78">
        <v>95</v>
      </c>
      <c r="E16" s="808">
        <f t="shared" si="1"/>
        <v>0.17</v>
      </c>
      <c r="F16" s="809">
        <f t="shared" si="1"/>
        <v>0.18</v>
      </c>
      <c r="H16" s="807">
        <v>-0.06</v>
      </c>
      <c r="I16" s="1191">
        <v>0.23</v>
      </c>
      <c r="J16" s="807">
        <v>-0.05</v>
      </c>
    </row>
    <row r="17" spans="2:10" x14ac:dyDescent="0.25">
      <c r="B17" s="12" t="str">
        <f t="shared" si="0"/>
        <v/>
      </c>
      <c r="C17" s="26">
        <v>95</v>
      </c>
      <c r="D17" s="2">
        <v>100</v>
      </c>
      <c r="E17" s="808">
        <f t="shared" si="1"/>
        <v>0.16</v>
      </c>
      <c r="F17" s="809">
        <f t="shared" si="1"/>
        <v>0.16999999999999998</v>
      </c>
      <c r="H17" s="807">
        <v>-0.06</v>
      </c>
      <c r="I17" s="1191">
        <v>0.22</v>
      </c>
      <c r="J17" s="807">
        <v>-0.05</v>
      </c>
    </row>
    <row r="18" spans="2:10" x14ac:dyDescent="0.25">
      <c r="B18" s="12" t="str">
        <f t="shared" si="0"/>
        <v/>
      </c>
      <c r="C18" s="26">
        <v>100</v>
      </c>
      <c r="D18" s="2">
        <v>105</v>
      </c>
      <c r="E18" s="808">
        <f t="shared" si="1"/>
        <v>0.15</v>
      </c>
      <c r="F18" s="809">
        <f t="shared" si="1"/>
        <v>0.15999999999999998</v>
      </c>
      <c r="H18" s="807">
        <v>-0.06</v>
      </c>
      <c r="I18" s="1191">
        <v>0.21</v>
      </c>
      <c r="J18" s="807">
        <v>-0.05</v>
      </c>
    </row>
    <row r="19" spans="2:10" x14ac:dyDescent="0.25">
      <c r="B19" s="12" t="str">
        <f t="shared" si="0"/>
        <v/>
      </c>
      <c r="C19" s="26">
        <v>105</v>
      </c>
      <c r="D19" s="2">
        <v>110</v>
      </c>
      <c r="E19" s="808">
        <f t="shared" si="1"/>
        <v>0.14499999999999999</v>
      </c>
      <c r="F19" s="809">
        <f t="shared" si="1"/>
        <v>0.15499999999999997</v>
      </c>
      <c r="H19" s="807">
        <v>-0.06</v>
      </c>
      <c r="I19" s="1191">
        <v>0.20499999999999999</v>
      </c>
      <c r="J19" s="807">
        <v>-0.05</v>
      </c>
    </row>
    <row r="20" spans="2:10" x14ac:dyDescent="0.25">
      <c r="B20" s="12" t="str">
        <f t="shared" si="0"/>
        <v/>
      </c>
      <c r="C20" s="26">
        <v>110</v>
      </c>
      <c r="D20" s="2">
        <v>115</v>
      </c>
      <c r="E20" s="808">
        <f t="shared" si="1"/>
        <v>0.14000000000000001</v>
      </c>
      <c r="F20" s="809">
        <f t="shared" si="1"/>
        <v>0.15000000000000002</v>
      </c>
      <c r="H20" s="807">
        <v>-0.06</v>
      </c>
      <c r="I20" s="1191">
        <v>0.2</v>
      </c>
      <c r="J20" s="807">
        <v>-0.05</v>
      </c>
    </row>
    <row r="21" spans="2:10" x14ac:dyDescent="0.25">
      <c r="B21" s="12" t="str">
        <f t="shared" si="0"/>
        <v/>
      </c>
      <c r="C21" s="26">
        <v>115</v>
      </c>
      <c r="D21" s="2">
        <v>120</v>
      </c>
      <c r="E21" s="808">
        <f t="shared" si="1"/>
        <v>0.13500000000000001</v>
      </c>
      <c r="F21" s="809">
        <f t="shared" si="1"/>
        <v>0.14500000000000002</v>
      </c>
      <c r="H21" s="807">
        <v>-0.06</v>
      </c>
      <c r="I21" s="1191">
        <v>0.19500000000000001</v>
      </c>
      <c r="J21" s="807">
        <v>-0.05</v>
      </c>
    </row>
    <row r="22" spans="2:10" x14ac:dyDescent="0.25">
      <c r="B22" s="12" t="str">
        <f t="shared" si="0"/>
        <v/>
      </c>
      <c r="C22" s="26">
        <v>120</v>
      </c>
      <c r="D22" s="2">
        <v>130</v>
      </c>
      <c r="E22" s="808">
        <f t="shared" si="1"/>
        <v>0.13</v>
      </c>
      <c r="F22" s="809">
        <f t="shared" si="1"/>
        <v>0.14000000000000001</v>
      </c>
      <c r="H22" s="807">
        <v>-0.06</v>
      </c>
      <c r="I22" s="1191">
        <v>0.19</v>
      </c>
      <c r="J22" s="807">
        <v>-0.05</v>
      </c>
    </row>
    <row r="23" spans="2:10" x14ac:dyDescent="0.25">
      <c r="B23" s="12" t="str">
        <f t="shared" si="0"/>
        <v/>
      </c>
      <c r="C23" s="26">
        <v>130</v>
      </c>
      <c r="D23" s="2">
        <v>140</v>
      </c>
      <c r="E23" s="808">
        <f t="shared" si="1"/>
        <v>0.125</v>
      </c>
      <c r="F23" s="809">
        <f t="shared" si="1"/>
        <v>0.13500000000000001</v>
      </c>
      <c r="H23" s="807">
        <v>-0.06</v>
      </c>
      <c r="I23" s="1191">
        <v>0.185</v>
      </c>
      <c r="J23" s="807">
        <v>-0.05</v>
      </c>
    </row>
    <row r="24" spans="2:10" x14ac:dyDescent="0.25">
      <c r="B24" s="12" t="str">
        <f t="shared" si="0"/>
        <v/>
      </c>
      <c r="C24" s="26">
        <v>140</v>
      </c>
      <c r="D24" s="2">
        <v>150</v>
      </c>
      <c r="E24" s="808">
        <f t="shared" si="1"/>
        <v>0.12</v>
      </c>
      <c r="F24" s="809">
        <f t="shared" si="1"/>
        <v>0.13</v>
      </c>
      <c r="H24" s="807">
        <v>-0.06</v>
      </c>
      <c r="I24" s="1191">
        <v>0.18</v>
      </c>
      <c r="J24" s="807">
        <v>-0.05</v>
      </c>
    </row>
    <row r="25" spans="2:10" x14ac:dyDescent="0.25">
      <c r="B25" s="12" t="str">
        <f t="shared" si="0"/>
        <v/>
      </c>
      <c r="C25" s="26">
        <v>150</v>
      </c>
      <c r="D25" s="2">
        <v>160</v>
      </c>
      <c r="E25" s="808">
        <f t="shared" si="1"/>
        <v>0.11499999999999999</v>
      </c>
      <c r="F25" s="809">
        <f t="shared" si="1"/>
        <v>0.12499999999999999</v>
      </c>
      <c r="H25" s="807">
        <v>-0.06</v>
      </c>
      <c r="I25" s="1191">
        <v>0.17499999999999999</v>
      </c>
      <c r="J25" s="807">
        <v>-0.05</v>
      </c>
    </row>
    <row r="26" spans="2:10" x14ac:dyDescent="0.25">
      <c r="B26" s="12" t="str">
        <f t="shared" si="0"/>
        <v/>
      </c>
      <c r="C26" s="26">
        <v>160</v>
      </c>
      <c r="D26" s="2">
        <v>170</v>
      </c>
      <c r="E26" s="808">
        <f t="shared" si="1"/>
        <v>0.11000000000000001</v>
      </c>
      <c r="F26" s="809">
        <f t="shared" si="1"/>
        <v>0.12000000000000001</v>
      </c>
      <c r="H26" s="807">
        <v>-0.06</v>
      </c>
      <c r="I26" s="1191">
        <v>0.17</v>
      </c>
      <c r="J26" s="807">
        <v>-0.05</v>
      </c>
    </row>
    <row r="27" spans="2:10" x14ac:dyDescent="0.25">
      <c r="B27" s="12" t="str">
        <f t="shared" si="0"/>
        <v/>
      </c>
      <c r="C27" s="26">
        <v>170</v>
      </c>
      <c r="D27" s="2">
        <v>180</v>
      </c>
      <c r="E27" s="808">
        <f t="shared" si="1"/>
        <v>0.10500000000000001</v>
      </c>
      <c r="F27" s="809">
        <f t="shared" si="1"/>
        <v>0.115</v>
      </c>
      <c r="H27" s="807">
        <v>-0.06</v>
      </c>
      <c r="I27" s="1191">
        <v>0.16500000000000001</v>
      </c>
      <c r="J27" s="807">
        <v>-0.05</v>
      </c>
    </row>
    <row r="28" spans="2:10" x14ac:dyDescent="0.25">
      <c r="B28" s="12" t="str">
        <f t="shared" si="0"/>
        <v/>
      </c>
      <c r="C28" s="26">
        <v>180</v>
      </c>
      <c r="D28" s="2">
        <v>190</v>
      </c>
      <c r="E28" s="808">
        <f t="shared" si="1"/>
        <v>0.1</v>
      </c>
      <c r="F28" s="809">
        <f t="shared" si="1"/>
        <v>0.11</v>
      </c>
      <c r="H28" s="807">
        <v>-0.06</v>
      </c>
      <c r="I28" s="1191">
        <v>0.16</v>
      </c>
      <c r="J28" s="807">
        <v>-0.05</v>
      </c>
    </row>
    <row r="29" spans="2:10" x14ac:dyDescent="0.25">
      <c r="B29" s="12" t="str">
        <f t="shared" si="0"/>
        <v/>
      </c>
      <c r="C29" s="26">
        <v>190</v>
      </c>
      <c r="D29" s="2">
        <v>200</v>
      </c>
      <c r="E29" s="808">
        <f t="shared" si="1"/>
        <v>9.5000000000000001E-2</v>
      </c>
      <c r="F29" s="809">
        <f t="shared" si="1"/>
        <v>0.105</v>
      </c>
      <c r="H29" s="807">
        <v>-0.06</v>
      </c>
      <c r="I29" s="1191">
        <v>0.155</v>
      </c>
      <c r="J29" s="807">
        <v>-0.05</v>
      </c>
    </row>
    <row r="30" spans="2:10" x14ac:dyDescent="0.25">
      <c r="B30" s="12" t="str">
        <f t="shared" si="0"/>
        <v/>
      </c>
      <c r="C30" s="26">
        <v>200</v>
      </c>
      <c r="D30" s="2">
        <v>220</v>
      </c>
      <c r="E30" s="808">
        <f t="shared" si="1"/>
        <v>0.09</v>
      </c>
      <c r="F30" s="809">
        <f t="shared" si="1"/>
        <v>9.9999999999999992E-2</v>
      </c>
      <c r="H30" s="807">
        <v>-0.06</v>
      </c>
      <c r="I30" s="1190">
        <v>0.15</v>
      </c>
      <c r="J30" s="807">
        <v>-0.05</v>
      </c>
    </row>
    <row r="31" spans="2:10" x14ac:dyDescent="0.25">
      <c r="B31" s="12" t="str">
        <f t="shared" si="0"/>
        <v/>
      </c>
      <c r="C31" s="26">
        <v>220</v>
      </c>
      <c r="D31" s="2">
        <v>240</v>
      </c>
      <c r="E31" s="808">
        <f t="shared" si="1"/>
        <v>8.4999999999999992E-2</v>
      </c>
      <c r="F31" s="809">
        <f t="shared" si="1"/>
        <v>9.4999999999999987E-2</v>
      </c>
      <c r="H31" s="807">
        <v>-0.06</v>
      </c>
      <c r="I31" s="1191">
        <v>0.14499999999999999</v>
      </c>
      <c r="J31" s="807">
        <v>-0.05</v>
      </c>
    </row>
    <row r="32" spans="2:10" x14ac:dyDescent="0.25">
      <c r="B32" s="12" t="str">
        <f t="shared" si="0"/>
        <v/>
      </c>
      <c r="C32" s="26">
        <v>240</v>
      </c>
      <c r="D32" s="2">
        <v>260</v>
      </c>
      <c r="E32" s="808">
        <f t="shared" si="1"/>
        <v>8.0000000000000016E-2</v>
      </c>
      <c r="F32" s="809">
        <f t="shared" si="1"/>
        <v>9.0000000000000011E-2</v>
      </c>
      <c r="H32" s="807">
        <v>-0.06</v>
      </c>
      <c r="I32" s="1191">
        <v>0.14000000000000001</v>
      </c>
      <c r="J32" s="807">
        <v>-0.05</v>
      </c>
    </row>
    <row r="33" spans="2:10" x14ac:dyDescent="0.25">
      <c r="B33" s="12" t="str">
        <f t="shared" si="0"/>
        <v/>
      </c>
      <c r="C33" s="26">
        <v>260</v>
      </c>
      <c r="D33" s="2">
        <v>280</v>
      </c>
      <c r="E33" s="808">
        <f t="shared" si="1"/>
        <v>7.5000000000000011E-2</v>
      </c>
      <c r="F33" s="809">
        <f t="shared" si="1"/>
        <v>8.5000000000000006E-2</v>
      </c>
      <c r="H33" s="807">
        <v>-0.06</v>
      </c>
      <c r="I33" s="1191">
        <v>0.13500000000000001</v>
      </c>
      <c r="J33" s="807">
        <v>-0.05</v>
      </c>
    </row>
    <row r="34" spans="2:10" x14ac:dyDescent="0.25">
      <c r="B34" s="12" t="str">
        <f t="shared" si="0"/>
        <v/>
      </c>
      <c r="C34" s="26">
        <v>280</v>
      </c>
      <c r="D34" s="2">
        <v>300</v>
      </c>
      <c r="E34" s="808">
        <f t="shared" si="1"/>
        <v>7.0000000000000007E-2</v>
      </c>
      <c r="F34" s="809">
        <f t="shared" si="1"/>
        <v>0.08</v>
      </c>
      <c r="H34" s="807">
        <v>-0.06</v>
      </c>
      <c r="I34" s="1191">
        <v>0.13</v>
      </c>
      <c r="J34" s="807">
        <v>-0.05</v>
      </c>
    </row>
    <row r="35" spans="2:10" x14ac:dyDescent="0.25">
      <c r="B35" s="12" t="str">
        <f t="shared" si="0"/>
        <v/>
      </c>
      <c r="C35" s="26">
        <v>300</v>
      </c>
      <c r="D35" s="2">
        <v>325</v>
      </c>
      <c r="E35" s="808">
        <f t="shared" si="1"/>
        <v>6.9500000000000006E-2</v>
      </c>
      <c r="F35" s="809">
        <f t="shared" si="1"/>
        <v>7.9500000000000001E-2</v>
      </c>
      <c r="H35" s="807">
        <v>-0.06</v>
      </c>
      <c r="I35" s="1191">
        <v>0.1295</v>
      </c>
      <c r="J35" s="807">
        <v>-0.05</v>
      </c>
    </row>
    <row r="36" spans="2:10" x14ac:dyDescent="0.25">
      <c r="B36" s="12" t="str">
        <f t="shared" si="0"/>
        <v/>
      </c>
      <c r="C36" s="26">
        <v>325</v>
      </c>
      <c r="D36" s="2">
        <v>350</v>
      </c>
      <c r="E36" s="808">
        <f t="shared" si="1"/>
        <v>6.9000000000000006E-2</v>
      </c>
      <c r="F36" s="809">
        <f t="shared" si="1"/>
        <v>7.9000000000000001E-2</v>
      </c>
      <c r="H36" s="807">
        <v>-0.06</v>
      </c>
      <c r="I36" s="1191">
        <v>0.129</v>
      </c>
      <c r="J36" s="807">
        <v>-0.05</v>
      </c>
    </row>
    <row r="37" spans="2:10" x14ac:dyDescent="0.25">
      <c r="B37" s="12" t="str">
        <f t="shared" si="0"/>
        <v/>
      </c>
      <c r="C37" s="26">
        <v>350</v>
      </c>
      <c r="D37" s="2">
        <v>400</v>
      </c>
      <c r="E37" s="808">
        <f t="shared" si="1"/>
        <v>6.8500000000000005E-2</v>
      </c>
      <c r="F37" s="809">
        <f t="shared" si="1"/>
        <v>7.85E-2</v>
      </c>
      <c r="H37" s="807">
        <v>-0.06</v>
      </c>
      <c r="I37" s="1191">
        <v>0.1285</v>
      </c>
      <c r="J37" s="807">
        <v>-0.05</v>
      </c>
    </row>
    <row r="38" spans="2:10" x14ac:dyDescent="0.25">
      <c r="B38" s="12" t="str">
        <f t="shared" si="0"/>
        <v/>
      </c>
      <c r="C38" s="26">
        <v>400</v>
      </c>
      <c r="D38" s="2">
        <v>450</v>
      </c>
      <c r="E38" s="808">
        <f t="shared" si="1"/>
        <v>6.8000000000000005E-2</v>
      </c>
      <c r="F38" s="809">
        <f t="shared" si="1"/>
        <v>7.8E-2</v>
      </c>
      <c r="H38" s="807">
        <v>-0.06</v>
      </c>
      <c r="I38" s="1192">
        <v>0.128</v>
      </c>
      <c r="J38" s="807">
        <v>-0.05</v>
      </c>
    </row>
    <row r="39" spans="2:10" x14ac:dyDescent="0.25">
      <c r="B39" s="12" t="str">
        <f t="shared" si="0"/>
        <v/>
      </c>
      <c r="C39" s="26">
        <v>450</v>
      </c>
      <c r="D39" s="2">
        <v>500</v>
      </c>
      <c r="E39" s="808">
        <f t="shared" ref="E39:F65" si="2">I39+H39</f>
        <v>6.7500000000000004E-2</v>
      </c>
      <c r="F39" s="809">
        <f t="shared" si="2"/>
        <v>7.7499999999999999E-2</v>
      </c>
      <c r="H39" s="807">
        <v>-0.06</v>
      </c>
      <c r="I39" s="1191">
        <v>0.1275</v>
      </c>
      <c r="J39" s="807">
        <v>-0.05</v>
      </c>
    </row>
    <row r="40" spans="2:10" x14ac:dyDescent="0.25">
      <c r="B40" s="12">
        <f t="shared" si="0"/>
        <v>1</v>
      </c>
      <c r="C40" s="26">
        <v>500</v>
      </c>
      <c r="D40" s="2">
        <v>550</v>
      </c>
      <c r="E40" s="808">
        <f t="shared" si="2"/>
        <v>6.7000000000000004E-2</v>
      </c>
      <c r="F40" s="809">
        <f t="shared" si="2"/>
        <v>7.6999999999999999E-2</v>
      </c>
      <c r="H40" s="807">
        <v>-0.06</v>
      </c>
      <c r="I40" s="1191">
        <v>0.127</v>
      </c>
      <c r="J40" s="807">
        <v>-0.05</v>
      </c>
    </row>
    <row r="41" spans="2:10" x14ac:dyDescent="0.25">
      <c r="B41" s="12" t="str">
        <f t="shared" si="0"/>
        <v/>
      </c>
      <c r="C41" s="26">
        <v>550</v>
      </c>
      <c r="D41" s="2">
        <v>600</v>
      </c>
      <c r="E41" s="808">
        <f t="shared" si="2"/>
        <v>6.6500000000000004E-2</v>
      </c>
      <c r="F41" s="809">
        <f t="shared" si="2"/>
        <v>7.6499999999999999E-2</v>
      </c>
      <c r="H41" s="807">
        <v>-0.06</v>
      </c>
      <c r="I41" s="1191">
        <v>0.1265</v>
      </c>
      <c r="J41" s="807">
        <v>-0.05</v>
      </c>
    </row>
    <row r="42" spans="2:10" x14ac:dyDescent="0.25">
      <c r="B42" s="12" t="str">
        <f t="shared" si="0"/>
        <v/>
      </c>
      <c r="C42" s="26">
        <v>600</v>
      </c>
      <c r="D42" s="2">
        <v>650</v>
      </c>
      <c r="E42" s="808">
        <f t="shared" si="2"/>
        <v>6.6000000000000003E-2</v>
      </c>
      <c r="F42" s="809">
        <f t="shared" si="2"/>
        <v>7.5999999999999998E-2</v>
      </c>
      <c r="H42" s="807">
        <v>-0.06</v>
      </c>
      <c r="I42" s="1191">
        <v>0.126</v>
      </c>
      <c r="J42" s="807">
        <v>-0.05</v>
      </c>
    </row>
    <row r="43" spans="2:10" x14ac:dyDescent="0.25">
      <c r="B43" s="12" t="str">
        <f t="shared" si="0"/>
        <v/>
      </c>
      <c r="C43" s="26">
        <v>650</v>
      </c>
      <c r="D43" s="2">
        <v>700</v>
      </c>
      <c r="E43" s="808">
        <f t="shared" si="2"/>
        <v>6.5500000000000003E-2</v>
      </c>
      <c r="F43" s="809">
        <f t="shared" si="2"/>
        <v>7.5499999999999998E-2</v>
      </c>
      <c r="H43" s="807">
        <v>-0.06</v>
      </c>
      <c r="I43" s="1191">
        <v>0.1255</v>
      </c>
      <c r="J43" s="807">
        <v>-0.05</v>
      </c>
    </row>
    <row r="44" spans="2:10" x14ac:dyDescent="0.25">
      <c r="B44" s="12" t="str">
        <f t="shared" si="0"/>
        <v/>
      </c>
      <c r="C44" s="26">
        <v>700</v>
      </c>
      <c r="D44" s="2">
        <v>750</v>
      </c>
      <c r="E44" s="808">
        <f t="shared" si="2"/>
        <v>6.5000000000000002E-2</v>
      </c>
      <c r="F44" s="809">
        <f t="shared" si="2"/>
        <v>7.4999999999999997E-2</v>
      </c>
      <c r="H44" s="807">
        <v>-0.06</v>
      </c>
      <c r="I44" s="1191">
        <v>0.125</v>
      </c>
      <c r="J44" s="807">
        <v>-0.05</v>
      </c>
    </row>
    <row r="45" spans="2:10" x14ac:dyDescent="0.25">
      <c r="B45" s="12" t="str">
        <f t="shared" si="0"/>
        <v/>
      </c>
      <c r="C45" s="26">
        <v>750</v>
      </c>
      <c r="D45" s="2">
        <v>800</v>
      </c>
      <c r="E45" s="808">
        <f t="shared" si="2"/>
        <v>6.4500000000000002E-2</v>
      </c>
      <c r="F45" s="809">
        <f t="shared" si="2"/>
        <v>7.4499999999999997E-2</v>
      </c>
      <c r="H45" s="807">
        <v>-0.06</v>
      </c>
      <c r="I45" s="1191">
        <v>0.1245</v>
      </c>
      <c r="J45" s="807">
        <v>-0.05</v>
      </c>
    </row>
    <row r="46" spans="2:10" x14ac:dyDescent="0.25">
      <c r="B46" s="12" t="str">
        <f t="shared" si="0"/>
        <v/>
      </c>
      <c r="C46" s="26">
        <v>800</v>
      </c>
      <c r="D46" s="2">
        <v>850</v>
      </c>
      <c r="E46" s="808">
        <f t="shared" si="2"/>
        <v>6.3500000000000001E-2</v>
      </c>
      <c r="F46" s="809">
        <f t="shared" si="2"/>
        <v>7.3499999999999996E-2</v>
      </c>
      <c r="H46" s="807">
        <v>-0.06</v>
      </c>
      <c r="I46" s="1191">
        <v>0.1235</v>
      </c>
      <c r="J46" s="807">
        <v>-0.05</v>
      </c>
    </row>
    <row r="47" spans="2:10" x14ac:dyDescent="0.25">
      <c r="B47" s="12" t="str">
        <f t="shared" si="0"/>
        <v/>
      </c>
      <c r="C47" s="26">
        <v>850</v>
      </c>
      <c r="D47" s="2">
        <v>900</v>
      </c>
      <c r="E47" s="808">
        <f t="shared" si="2"/>
        <v>6.25E-2</v>
      </c>
      <c r="F47" s="809">
        <f t="shared" si="2"/>
        <v>7.2499999999999995E-2</v>
      </c>
      <c r="H47" s="807">
        <v>-0.06</v>
      </c>
      <c r="I47" s="1191">
        <v>0.1225</v>
      </c>
      <c r="J47" s="807">
        <v>-0.05</v>
      </c>
    </row>
    <row r="48" spans="2:10" x14ac:dyDescent="0.25">
      <c r="B48" s="12" t="str">
        <f t="shared" si="0"/>
        <v/>
      </c>
      <c r="C48" s="26">
        <v>900</v>
      </c>
      <c r="D48" s="2">
        <v>950</v>
      </c>
      <c r="E48" s="808">
        <f t="shared" si="2"/>
        <v>6.1700000000000005E-2</v>
      </c>
      <c r="F48" s="809">
        <f t="shared" si="2"/>
        <v>7.17E-2</v>
      </c>
      <c r="H48" s="807">
        <v>-0.06</v>
      </c>
      <c r="I48" s="1191">
        <v>0.1217</v>
      </c>
      <c r="J48" s="807">
        <v>-0.05</v>
      </c>
    </row>
    <row r="49" spans="2:10" x14ac:dyDescent="0.25">
      <c r="B49" s="12" t="str">
        <f t="shared" si="0"/>
        <v/>
      </c>
      <c r="C49" s="26">
        <v>950</v>
      </c>
      <c r="D49" s="2">
        <v>1000</v>
      </c>
      <c r="E49" s="808">
        <f t="shared" si="2"/>
        <v>6.0800000000000007E-2</v>
      </c>
      <c r="F49" s="809">
        <f t="shared" si="2"/>
        <v>7.0800000000000002E-2</v>
      </c>
      <c r="H49" s="807">
        <v>-0.06</v>
      </c>
      <c r="I49" s="1191">
        <v>0.1208</v>
      </c>
      <c r="J49" s="807">
        <v>-0.05</v>
      </c>
    </row>
    <row r="50" spans="2:10" x14ac:dyDescent="0.25">
      <c r="B50" s="12" t="str">
        <f t="shared" si="0"/>
        <v/>
      </c>
      <c r="C50" s="26">
        <v>1000</v>
      </c>
      <c r="D50" s="2">
        <v>1200</v>
      </c>
      <c r="E50" s="808">
        <f t="shared" si="2"/>
        <v>0.06</v>
      </c>
      <c r="F50" s="809">
        <f t="shared" si="2"/>
        <v>6.9999999999999993E-2</v>
      </c>
      <c r="H50" s="807">
        <v>-0.06</v>
      </c>
      <c r="I50" s="1190">
        <v>0.12</v>
      </c>
      <c r="J50" s="807">
        <v>-0.05</v>
      </c>
    </row>
    <row r="51" spans="2:10" x14ac:dyDescent="0.25">
      <c r="B51" s="12" t="str">
        <f t="shared" si="0"/>
        <v/>
      </c>
      <c r="C51" s="26">
        <v>1200</v>
      </c>
      <c r="D51" s="2">
        <v>1400</v>
      </c>
      <c r="E51" s="808">
        <f t="shared" si="2"/>
        <v>5.8900000000000008E-2</v>
      </c>
      <c r="F51" s="809">
        <f t="shared" si="2"/>
        <v>6.8900000000000003E-2</v>
      </c>
      <c r="H51" s="807">
        <v>-0.06</v>
      </c>
      <c r="I51" s="1191">
        <v>0.11890000000000001</v>
      </c>
      <c r="J51" s="807">
        <v>-0.05</v>
      </c>
    </row>
    <row r="52" spans="2:10" x14ac:dyDescent="0.25">
      <c r="B52" s="12" t="str">
        <f t="shared" si="0"/>
        <v/>
      </c>
      <c r="C52" s="26">
        <v>1400</v>
      </c>
      <c r="D52" s="2">
        <v>1600</v>
      </c>
      <c r="E52" s="808">
        <f t="shared" si="2"/>
        <v>5.7499999999999996E-2</v>
      </c>
      <c r="F52" s="809">
        <f t="shared" si="2"/>
        <v>6.7499999999999991E-2</v>
      </c>
      <c r="H52" s="807">
        <v>-0.06</v>
      </c>
      <c r="I52" s="1191">
        <v>0.11749999999999999</v>
      </c>
      <c r="J52" s="807">
        <v>-0.05</v>
      </c>
    </row>
    <row r="53" spans="2:10" x14ac:dyDescent="0.25">
      <c r="B53" s="12" t="str">
        <f t="shared" si="0"/>
        <v/>
      </c>
      <c r="C53" s="26">
        <v>1600</v>
      </c>
      <c r="D53" s="2">
        <v>1800</v>
      </c>
      <c r="E53" s="808">
        <f t="shared" si="2"/>
        <v>5.6400000000000006E-2</v>
      </c>
      <c r="F53" s="809">
        <f t="shared" si="2"/>
        <v>6.6400000000000001E-2</v>
      </c>
      <c r="H53" s="807">
        <v>-0.06</v>
      </c>
      <c r="I53" s="1191">
        <v>0.1164</v>
      </c>
      <c r="J53" s="807">
        <v>-0.05</v>
      </c>
    </row>
    <row r="54" spans="2:10" x14ac:dyDescent="0.25">
      <c r="B54" s="12" t="str">
        <f t="shared" si="0"/>
        <v/>
      </c>
      <c r="C54" s="26">
        <v>1800</v>
      </c>
      <c r="D54" s="2">
        <v>2000</v>
      </c>
      <c r="E54" s="808">
        <f t="shared" si="2"/>
        <v>5.5000000000000007E-2</v>
      </c>
      <c r="F54" s="809">
        <f t="shared" si="2"/>
        <v>6.5000000000000002E-2</v>
      </c>
      <c r="H54" s="807">
        <v>-0.06</v>
      </c>
      <c r="I54" s="1192">
        <v>0.115</v>
      </c>
      <c r="J54" s="807">
        <v>-0.05</v>
      </c>
    </row>
    <row r="55" spans="2:10" x14ac:dyDescent="0.25">
      <c r="B55" s="12" t="str">
        <f t="shared" si="0"/>
        <v/>
      </c>
      <c r="C55" s="26">
        <v>2000</v>
      </c>
      <c r="D55" s="2">
        <v>2250</v>
      </c>
      <c r="E55" s="808">
        <f t="shared" si="2"/>
        <v>5.3699999999999998E-2</v>
      </c>
      <c r="F55" s="809">
        <f t="shared" si="2"/>
        <v>6.3699999999999993E-2</v>
      </c>
      <c r="H55" s="807">
        <v>-0.06</v>
      </c>
      <c r="I55" s="1190">
        <v>0.1137</v>
      </c>
      <c r="J55" s="807">
        <v>-0.05</v>
      </c>
    </row>
    <row r="56" spans="2:10" x14ac:dyDescent="0.25">
      <c r="B56" s="12" t="str">
        <f t="shared" si="0"/>
        <v/>
      </c>
      <c r="C56" s="26">
        <v>2250</v>
      </c>
      <c r="D56" s="2">
        <v>2500</v>
      </c>
      <c r="E56" s="808">
        <f t="shared" si="2"/>
        <v>5.2500000000000005E-2</v>
      </c>
      <c r="F56" s="809">
        <f t="shared" si="2"/>
        <v>6.25E-2</v>
      </c>
      <c r="H56" s="807">
        <v>-0.06</v>
      </c>
      <c r="I56" s="1191">
        <v>0.1125</v>
      </c>
      <c r="J56" s="807">
        <v>-0.05</v>
      </c>
    </row>
    <row r="57" spans="2:10" x14ac:dyDescent="0.25">
      <c r="B57" s="12" t="str">
        <f t="shared" si="0"/>
        <v/>
      </c>
      <c r="C57" s="26">
        <v>2500</v>
      </c>
      <c r="D57" s="2">
        <v>2750</v>
      </c>
      <c r="E57" s="808">
        <f t="shared" si="2"/>
        <v>5.1299999999999998E-2</v>
      </c>
      <c r="F57" s="809">
        <f t="shared" si="2"/>
        <v>6.1299999999999993E-2</v>
      </c>
      <c r="H57" s="807">
        <v>-0.06</v>
      </c>
      <c r="I57" s="1191">
        <v>0.1113</v>
      </c>
      <c r="J57" s="807">
        <v>-0.05</v>
      </c>
    </row>
    <row r="58" spans="2:10" x14ac:dyDescent="0.25">
      <c r="B58" s="12" t="str">
        <f t="shared" si="0"/>
        <v/>
      </c>
      <c r="C58" s="26">
        <v>2750</v>
      </c>
      <c r="D58" s="2">
        <v>3000</v>
      </c>
      <c r="E58" s="808">
        <f t="shared" si="2"/>
        <v>0.05</v>
      </c>
      <c r="F58" s="809">
        <f t="shared" si="2"/>
        <v>0.06</v>
      </c>
      <c r="H58" s="807">
        <v>-0.06</v>
      </c>
      <c r="I58" s="1191">
        <v>0.11</v>
      </c>
      <c r="J58" s="807">
        <v>-0.05</v>
      </c>
    </row>
    <row r="59" spans="2:10" x14ac:dyDescent="0.25">
      <c r="B59" s="12" t="str">
        <f t="shared" si="0"/>
        <v/>
      </c>
      <c r="C59" s="26">
        <v>3000</v>
      </c>
      <c r="D59" s="2">
        <v>3500</v>
      </c>
      <c r="E59" s="808">
        <f t="shared" si="2"/>
        <v>4.4999999999999998E-2</v>
      </c>
      <c r="F59" s="809">
        <f t="shared" si="2"/>
        <v>5.4999999999999993E-2</v>
      </c>
      <c r="H59" s="807">
        <v>-0.06</v>
      </c>
      <c r="I59" s="1191">
        <v>0.105</v>
      </c>
      <c r="J59" s="807">
        <v>-0.05</v>
      </c>
    </row>
    <row r="60" spans="2:10" x14ac:dyDescent="0.25">
      <c r="B60" s="12" t="str">
        <f t="shared" si="0"/>
        <v/>
      </c>
      <c r="C60" s="26">
        <v>3500</v>
      </c>
      <c r="D60" s="2">
        <v>4000</v>
      </c>
      <c r="E60" s="808">
        <f t="shared" si="2"/>
        <v>4.0000000000000008E-2</v>
      </c>
      <c r="F60" s="809">
        <f t="shared" si="2"/>
        <v>0.05</v>
      </c>
      <c r="H60" s="807">
        <v>-0.06</v>
      </c>
      <c r="I60" s="1192">
        <v>0.1</v>
      </c>
      <c r="J60" s="807">
        <v>-0.05</v>
      </c>
    </row>
    <row r="61" spans="2:10" x14ac:dyDescent="0.25">
      <c r="B61" s="12" t="str">
        <f t="shared" si="0"/>
        <v/>
      </c>
      <c r="C61" s="26">
        <v>4000</v>
      </c>
      <c r="D61" s="2">
        <v>5000</v>
      </c>
      <c r="E61" s="808">
        <f t="shared" si="2"/>
        <v>3.8000000000000006E-2</v>
      </c>
      <c r="F61" s="809">
        <f t="shared" si="2"/>
        <v>4.8000000000000001E-2</v>
      </c>
      <c r="H61" s="807">
        <v>-0.06</v>
      </c>
      <c r="I61" s="1191">
        <v>9.8000000000000004E-2</v>
      </c>
      <c r="J61" s="807">
        <v>-0.05</v>
      </c>
    </row>
    <row r="62" spans="2:10" x14ac:dyDescent="0.25">
      <c r="B62" s="12" t="str">
        <f t="shared" si="0"/>
        <v/>
      </c>
      <c r="C62" s="26">
        <v>5000</v>
      </c>
      <c r="D62" s="2">
        <v>6000</v>
      </c>
      <c r="E62" s="808">
        <f t="shared" si="2"/>
        <v>3.6000000000000004E-2</v>
      </c>
      <c r="F62" s="809">
        <f t="shared" si="2"/>
        <v>4.5999999999999999E-2</v>
      </c>
      <c r="H62" s="807">
        <v>-0.06</v>
      </c>
      <c r="I62" s="1191">
        <v>9.6000000000000002E-2</v>
      </c>
      <c r="J62" s="807">
        <v>-0.05</v>
      </c>
    </row>
    <row r="63" spans="2:10" x14ac:dyDescent="0.25">
      <c r="B63" s="12" t="str">
        <f t="shared" si="0"/>
        <v/>
      </c>
      <c r="C63" s="26">
        <v>6000</v>
      </c>
      <c r="D63" s="2">
        <v>7000</v>
      </c>
      <c r="E63" s="808">
        <f t="shared" si="2"/>
        <v>3.4000000000000002E-2</v>
      </c>
      <c r="F63" s="809">
        <f t="shared" si="2"/>
        <v>4.3999999999999997E-2</v>
      </c>
      <c r="H63" s="807">
        <v>-0.06</v>
      </c>
      <c r="I63" s="1191">
        <v>9.4E-2</v>
      </c>
      <c r="J63" s="807">
        <v>-0.05</v>
      </c>
    </row>
    <row r="64" spans="2:10" x14ac:dyDescent="0.25">
      <c r="B64" s="12" t="str">
        <f t="shared" si="0"/>
        <v/>
      </c>
      <c r="C64" s="26">
        <v>7000</v>
      </c>
      <c r="D64" s="2">
        <v>8000</v>
      </c>
      <c r="E64" s="808">
        <f t="shared" si="2"/>
        <v>3.2000000000000001E-2</v>
      </c>
      <c r="F64" s="809">
        <f t="shared" si="2"/>
        <v>4.1999999999999996E-2</v>
      </c>
      <c r="H64" s="807">
        <v>-0.06</v>
      </c>
      <c r="I64" s="1191">
        <v>9.1999999999999998E-2</v>
      </c>
      <c r="J64" s="807">
        <v>-0.05</v>
      </c>
    </row>
    <row r="65" spans="2:15" x14ac:dyDescent="0.25">
      <c r="B65" s="13" t="str">
        <f t="shared" si="0"/>
        <v/>
      </c>
      <c r="C65" s="432">
        <v>8000</v>
      </c>
      <c r="D65" s="343">
        <v>1000000</v>
      </c>
      <c r="E65" s="812">
        <f t="shared" si="2"/>
        <v>0.03</v>
      </c>
      <c r="F65" s="804">
        <f t="shared" si="2"/>
        <v>3.9999999999999994E-2</v>
      </c>
      <c r="H65" s="807">
        <v>-0.06</v>
      </c>
      <c r="I65" s="1192">
        <v>0.09</v>
      </c>
      <c r="J65" s="807">
        <v>-0.05</v>
      </c>
    </row>
    <row r="66" spans="2:15" x14ac:dyDescent="0.25">
      <c r="B66" s="213"/>
      <c r="C66" s="43"/>
      <c r="D66" s="43"/>
      <c r="E66" s="621">
        <f>VLOOKUP(1,B6:F65,4,FALSE)</f>
        <v>6.7000000000000004E-2</v>
      </c>
      <c r="F66" s="621">
        <f>VLOOKUP(1,B6:F65,5,FALSE)</f>
        <v>7.6999999999999999E-2</v>
      </c>
    </row>
    <row r="68" spans="2:15" ht="15.75" thickBot="1" x14ac:dyDescent="0.3">
      <c r="E68" s="2" t="s">
        <v>886</v>
      </c>
      <c r="F68" s="2"/>
      <c r="G68" s="2"/>
      <c r="H68" s="2"/>
    </row>
    <row r="69" spans="2:15" x14ac:dyDescent="0.25">
      <c r="B69" s="213"/>
      <c r="C69" s="472"/>
      <c r="D69" s="514">
        <v>1</v>
      </c>
      <c r="E69" s="473"/>
      <c r="F69" s="473">
        <f>'Rekenblad (3)'!J372</f>
        <v>0</v>
      </c>
      <c r="G69" s="38">
        <f>'Rekenblad (3)'!J373</f>
        <v>0</v>
      </c>
      <c r="H69" s="38">
        <f>H79</f>
        <v>0</v>
      </c>
      <c r="I69" s="473">
        <f>IF(AND('Rekenblad (3)'!C2='Rekenblad (3)'!B50,'Rekenblad (3)'!J365=1),1,IF(AND('Rekenblad (3)'!C2='Rekenblad (3)'!B50,'Rekenblad (3)'!J369=1),1,0))</f>
        <v>0</v>
      </c>
      <c r="J69" s="473">
        <f>C83</f>
        <v>1</v>
      </c>
      <c r="K69" s="208">
        <f>IF(AND('Rekenblad (3)'!F347=1,U93=1,J69=0),1,0)</f>
        <v>0</v>
      </c>
      <c r="L69" s="208">
        <v>0</v>
      </c>
      <c r="M69" s="951">
        <v>0</v>
      </c>
      <c r="N69" s="23">
        <v>0</v>
      </c>
      <c r="O69" s="580"/>
    </row>
    <row r="70" spans="2:15" x14ac:dyDescent="0.25">
      <c r="B70" s="6" t="s">
        <v>674</v>
      </c>
      <c r="C70" s="12" t="s">
        <v>872</v>
      </c>
      <c r="D70" s="25" t="s">
        <v>871</v>
      </c>
      <c r="E70" s="12" t="s">
        <v>871</v>
      </c>
      <c r="F70" s="442" t="s">
        <v>874</v>
      </c>
      <c r="G70" s="442" t="s">
        <v>874</v>
      </c>
      <c r="H70" s="442" t="s">
        <v>875</v>
      </c>
      <c r="I70" s="404" t="s">
        <v>876</v>
      </c>
      <c r="J70" s="7" t="s">
        <v>997</v>
      </c>
      <c r="K70" s="6" t="s">
        <v>1013</v>
      </c>
      <c r="L70" s="6"/>
      <c r="M70" s="41"/>
      <c r="O70" s="819" t="s">
        <v>177</v>
      </c>
    </row>
    <row r="71" spans="2:15" x14ac:dyDescent="0.25">
      <c r="B71" s="415"/>
      <c r="C71" s="52"/>
      <c r="D71" s="436" t="s">
        <v>2</v>
      </c>
      <c r="E71" s="13" t="s">
        <v>873</v>
      </c>
      <c r="F71" s="13" t="s">
        <v>569</v>
      </c>
      <c r="G71" s="13" t="s">
        <v>570</v>
      </c>
      <c r="H71" s="13" t="s">
        <v>63</v>
      </c>
      <c r="I71" s="52" t="s">
        <v>877</v>
      </c>
      <c r="J71" s="7" t="s">
        <v>64</v>
      </c>
      <c r="K71" s="6" t="s">
        <v>64</v>
      </c>
      <c r="L71" s="6"/>
      <c r="M71" s="41"/>
      <c r="O71" s="446" t="s">
        <v>643</v>
      </c>
    </row>
    <row r="72" spans="2:15" x14ac:dyDescent="0.25">
      <c r="B72" s="52"/>
      <c r="C72" s="814">
        <f>IF(SUM(B6:B65)&gt;0,HLOOKUP(1,E3:F66,64,FALSE),0)</f>
        <v>6.7000000000000004E-2</v>
      </c>
      <c r="D72" s="821">
        <f>'Rekenblad (3)'!AU46</f>
        <v>0</v>
      </c>
      <c r="E72" s="815">
        <v>0.03</v>
      </c>
      <c r="F72" s="815">
        <v>0.03</v>
      </c>
      <c r="G72" s="815">
        <v>0.03</v>
      </c>
      <c r="H72" s="815">
        <v>0.1</v>
      </c>
      <c r="I72" s="815">
        <v>0.08</v>
      </c>
      <c r="J72" s="1032">
        <f>D85*H107</f>
        <v>0</v>
      </c>
      <c r="K72" s="1066">
        <f>HLOOKUP(1,Q97:AI100,4,FALSE)</f>
        <v>7.0000000000000007E-2</v>
      </c>
      <c r="L72" s="817"/>
      <c r="M72" s="1035"/>
      <c r="N72" s="1036"/>
      <c r="O72" s="1037"/>
    </row>
    <row r="73" spans="2:15" ht="15.75" thickBot="1" x14ac:dyDescent="0.3">
      <c r="B73" s="813">
        <f>'Rekenblad (3)'!C1085</f>
        <v>520.03547353333329</v>
      </c>
      <c r="C73" s="813">
        <f>B73*C72</f>
        <v>34.842376726733335</v>
      </c>
      <c r="D73" s="816">
        <f>IF(D72&gt;0,D72*B73*D69,0)</f>
        <v>0</v>
      </c>
      <c r="E73" s="816">
        <f>IF(E72&gt;0,E72*B73*E69,0)</f>
        <v>0</v>
      </c>
      <c r="F73" s="816">
        <f>IF(F72&gt;0,F72*B73*F69,0)</f>
        <v>0</v>
      </c>
      <c r="G73" s="816">
        <f>IF(G72&gt;0,G72*B73*G69,0)</f>
        <v>0</v>
      </c>
      <c r="H73" s="816">
        <f>IF(H72&gt;0,H72*B73*H69,0)</f>
        <v>0</v>
      </c>
      <c r="I73" s="816">
        <f>IF(I72&gt;0,I72*B73*I69,0)</f>
        <v>0</v>
      </c>
      <c r="J73" s="816">
        <f>IF(J72&gt;0,J72*B73*J69,0)</f>
        <v>0</v>
      </c>
      <c r="K73" s="818">
        <f>IF(K72&gt;0,K72*B73*K69,0)</f>
        <v>0</v>
      </c>
      <c r="L73" s="818">
        <f>IF(L72&gt;0,L72*B73*L69,0)</f>
        <v>0</v>
      </c>
      <c r="M73" s="818">
        <f>IF(M72&gt;0,M72*B73*M69,0)</f>
        <v>0</v>
      </c>
      <c r="N73" s="818">
        <f>IF(N72&gt;0,N72*B73*N69,0)</f>
        <v>0</v>
      </c>
      <c r="O73" s="1038">
        <f>SUM(C73:N73)</f>
        <v>34.842376726733335</v>
      </c>
    </row>
    <row r="75" spans="2:15" ht="15.75" thickBot="1" x14ac:dyDescent="0.3"/>
    <row r="76" spans="2:15" x14ac:dyDescent="0.25">
      <c r="B76" s="404"/>
      <c r="C76" s="551">
        <f>'Rekenblad (3)'!B228</f>
        <v>361</v>
      </c>
      <c r="D76" s="551">
        <f>'Rekenblad (3)'!C228</f>
        <v>1150</v>
      </c>
      <c r="E76" s="484">
        <v>0</v>
      </c>
      <c r="F76" s="473">
        <f>'Rekenblad (3)'!C7</f>
        <v>250</v>
      </c>
      <c r="G76" s="213"/>
      <c r="H76" s="222"/>
    </row>
    <row r="77" spans="2:15" x14ac:dyDescent="0.25">
      <c r="B77" s="41"/>
      <c r="C77" s="41" t="s">
        <v>880</v>
      </c>
      <c r="D77" s="41" t="s">
        <v>879</v>
      </c>
      <c r="E77" s="12" t="s">
        <v>881</v>
      </c>
      <c r="F77" s="41" t="s">
        <v>883</v>
      </c>
      <c r="G77" s="431" t="s">
        <v>884</v>
      </c>
      <c r="H77" s="224" t="s">
        <v>885</v>
      </c>
    </row>
    <row r="78" spans="2:15" x14ac:dyDescent="0.25">
      <c r="B78" s="52"/>
      <c r="C78" s="34">
        <v>280</v>
      </c>
      <c r="D78" s="34">
        <v>690</v>
      </c>
      <c r="E78" s="13" t="s">
        <v>882</v>
      </c>
      <c r="F78" s="28">
        <v>125</v>
      </c>
      <c r="G78" s="432" t="s">
        <v>63</v>
      </c>
      <c r="H78" s="224" t="s">
        <v>63</v>
      </c>
    </row>
    <row r="79" spans="2:15" ht="15.75" thickBot="1" x14ac:dyDescent="0.3">
      <c r="B79" s="472" t="s">
        <v>878</v>
      </c>
      <c r="C79" s="208">
        <f>IF(C76&lt;C78,1,0)</f>
        <v>0</v>
      </c>
      <c r="D79" s="473">
        <f>IF(D76&lt;D78,1,0)</f>
        <v>0</v>
      </c>
      <c r="E79" s="473">
        <f>IF(SUM(C79:D79)=E76,0,1)</f>
        <v>0</v>
      </c>
      <c r="F79" s="473">
        <f>IF(F76&lt;F78,1,0)</f>
        <v>0</v>
      </c>
      <c r="G79" s="208">
        <f>'Rekenblad (3)'!J367</f>
        <v>0</v>
      </c>
      <c r="H79" s="500">
        <f>IF(AND(G79=1,SUM(E79:F79)&gt;1),1,0)</f>
        <v>0</v>
      </c>
    </row>
    <row r="82" spans="2:36" ht="15.75" thickBot="1" x14ac:dyDescent="0.3">
      <c r="B82" t="s">
        <v>998</v>
      </c>
    </row>
    <row r="83" spans="2:36" ht="15.75" thickBot="1" x14ac:dyDescent="0.3">
      <c r="B83" s="14" t="s">
        <v>1014</v>
      </c>
      <c r="C83" s="3">
        <f>IF(AND('Rekenblad (3)'!F347,'Rekenblad (3)'!AA46=1,SUM(B86:B100)+SUM(E83:N83)=2),1,0)</f>
        <v>1</v>
      </c>
      <c r="D83" s="1029">
        <f>IF(AND(SUM(B86:B100)=1,SUM(E83:N83)=1),HLOOKUP(1,E83:N101,19,FALSE),0)</f>
        <v>0</v>
      </c>
      <c r="E83" s="23" t="str">
        <f>IF(AND($C$85&gt;E84,$C$85&lt;=E85),1," ")</f>
        <v xml:space="preserve"> </v>
      </c>
      <c r="F83" s="23" t="str">
        <f t="shared" ref="F83:N83" si="3">IF(AND($C$85&gt;F84,$C$85&lt;=F85),1," ")</f>
        <v xml:space="preserve"> </v>
      </c>
      <c r="G83" s="23" t="str">
        <f t="shared" si="3"/>
        <v xml:space="preserve"> </v>
      </c>
      <c r="H83" s="23" t="str">
        <f t="shared" si="3"/>
        <v xml:space="preserve"> </v>
      </c>
      <c r="I83" s="23" t="str">
        <f t="shared" si="3"/>
        <v xml:space="preserve"> </v>
      </c>
      <c r="J83" s="23">
        <f t="shared" si="3"/>
        <v>1</v>
      </c>
      <c r="K83" s="23" t="str">
        <f t="shared" si="3"/>
        <v xml:space="preserve"> </v>
      </c>
      <c r="L83" s="23" t="str">
        <f t="shared" si="3"/>
        <v xml:space="preserve"> </v>
      </c>
      <c r="M83" s="23" t="str">
        <f t="shared" si="3"/>
        <v xml:space="preserve"> </v>
      </c>
      <c r="N83" s="1008" t="str">
        <f t="shared" si="3"/>
        <v xml:space="preserve"> </v>
      </c>
      <c r="Q83" s="670" t="s">
        <v>801</v>
      </c>
      <c r="R83" s="1028">
        <f>HLOOKUP(1,R84:AJ87,4,FALSE)</f>
        <v>1</v>
      </c>
      <c r="S83" s="2"/>
      <c r="T83" s="1027"/>
      <c r="U83" s="1027"/>
      <c r="V83" s="1027"/>
      <c r="W83" s="1027"/>
      <c r="X83" s="1027"/>
      <c r="Y83" s="1027"/>
      <c r="Z83" s="1027"/>
      <c r="AA83" s="1027"/>
      <c r="AB83" s="1027"/>
      <c r="AC83" s="1027"/>
      <c r="AD83" s="1027"/>
      <c r="AE83" s="1027"/>
      <c r="AF83" s="2"/>
      <c r="AG83" s="2"/>
      <c r="AH83" s="2"/>
      <c r="AI83" s="2"/>
      <c r="AJ83" s="2"/>
    </row>
    <row r="84" spans="2:36" ht="15.75" thickBot="1" x14ac:dyDescent="0.3">
      <c r="B84" s="950" t="s">
        <v>23</v>
      </c>
      <c r="C84" s="951">
        <f>'Rekenblad (3)'!C645</f>
        <v>361</v>
      </c>
      <c r="D84" s="1030">
        <f>R83</f>
        <v>1</v>
      </c>
      <c r="E84" s="449">
        <v>0</v>
      </c>
      <c r="F84" s="449">
        <v>700</v>
      </c>
      <c r="G84" s="449">
        <v>800</v>
      </c>
      <c r="H84" s="449">
        <v>900</v>
      </c>
      <c r="I84" s="1009">
        <v>1000</v>
      </c>
      <c r="J84" s="1009">
        <v>1100</v>
      </c>
      <c r="K84" s="1009">
        <v>1200</v>
      </c>
      <c r="L84" s="1009">
        <v>1300</v>
      </c>
      <c r="M84" s="1009">
        <v>1450</v>
      </c>
      <c r="N84" s="1010">
        <v>1600</v>
      </c>
      <c r="Q84" s="341" t="s">
        <v>999</v>
      </c>
      <c r="R84" s="202">
        <f>IF(AND($Q$86&gt;=R85,$Q$86&lt;R86),1,0)</f>
        <v>0</v>
      </c>
      <c r="S84" s="1021">
        <f t="shared" ref="S84:AJ84" si="4">IF(AND($Q$86&gt;=S85,$Q$86&lt;S86),1,0)</f>
        <v>0</v>
      </c>
      <c r="T84" s="1021">
        <f t="shared" si="4"/>
        <v>1</v>
      </c>
      <c r="U84" s="1021">
        <f t="shared" si="4"/>
        <v>0</v>
      </c>
      <c r="V84" s="1021">
        <f t="shared" si="4"/>
        <v>0</v>
      </c>
      <c r="W84" s="1021">
        <f t="shared" si="4"/>
        <v>0</v>
      </c>
      <c r="X84" s="1021">
        <f t="shared" si="4"/>
        <v>0</v>
      </c>
      <c r="Y84" s="1021">
        <f t="shared" si="4"/>
        <v>0</v>
      </c>
      <c r="Z84" s="1021">
        <f t="shared" si="4"/>
        <v>0</v>
      </c>
      <c r="AA84" s="1021">
        <f t="shared" si="4"/>
        <v>0</v>
      </c>
      <c r="AB84" s="1021">
        <f t="shared" si="4"/>
        <v>0</v>
      </c>
      <c r="AC84" s="1021">
        <f t="shared" si="4"/>
        <v>0</v>
      </c>
      <c r="AD84" s="1021">
        <f t="shared" si="4"/>
        <v>0</v>
      </c>
      <c r="AE84" s="1021">
        <f t="shared" si="4"/>
        <v>0</v>
      </c>
      <c r="AF84" s="1021">
        <f t="shared" si="4"/>
        <v>0</v>
      </c>
      <c r="AG84" s="1021">
        <f t="shared" si="4"/>
        <v>0</v>
      </c>
      <c r="AH84" s="1021">
        <f t="shared" si="4"/>
        <v>0</v>
      </c>
      <c r="AI84" s="1021">
        <f t="shared" si="4"/>
        <v>0</v>
      </c>
      <c r="AJ84" s="1021">
        <f t="shared" si="4"/>
        <v>0</v>
      </c>
    </row>
    <row r="85" spans="2:36" ht="15.75" thickBot="1" x14ac:dyDescent="0.3">
      <c r="B85" s="6" t="s">
        <v>24</v>
      </c>
      <c r="C85" s="432">
        <f>'Rekenblad (3)'!C646</f>
        <v>1150</v>
      </c>
      <c r="D85" s="1031">
        <f>D83*D84</f>
        <v>0</v>
      </c>
      <c r="E85" s="965">
        <v>700</v>
      </c>
      <c r="F85" s="965">
        <v>800</v>
      </c>
      <c r="G85" s="965">
        <v>900</v>
      </c>
      <c r="H85" s="965">
        <v>1000</v>
      </c>
      <c r="I85" s="1011">
        <v>1100</v>
      </c>
      <c r="J85" s="1011">
        <v>1200</v>
      </c>
      <c r="K85" s="1011">
        <v>1300</v>
      </c>
      <c r="L85" s="1011">
        <v>1450</v>
      </c>
      <c r="M85" s="1011">
        <v>1600</v>
      </c>
      <c r="N85" s="1012">
        <v>1700</v>
      </c>
      <c r="Q85" s="399" t="s">
        <v>1000</v>
      </c>
      <c r="R85" s="399">
        <v>0</v>
      </c>
      <c r="S85" s="442">
        <v>200</v>
      </c>
      <c r="T85" s="1022">
        <v>500</v>
      </c>
      <c r="U85" s="1022">
        <v>750</v>
      </c>
      <c r="V85" s="1022">
        <v>1000</v>
      </c>
      <c r="W85" s="1022">
        <v>1250</v>
      </c>
      <c r="X85" s="1022">
        <v>1500</v>
      </c>
      <c r="Y85" s="1022">
        <v>1750</v>
      </c>
      <c r="Z85" s="1022">
        <v>2000</v>
      </c>
      <c r="AA85" s="1022">
        <v>2250</v>
      </c>
      <c r="AB85" s="1022">
        <v>2500</v>
      </c>
      <c r="AC85" s="1022">
        <v>2750</v>
      </c>
      <c r="AD85" s="1022">
        <v>3000</v>
      </c>
      <c r="AE85" s="1022">
        <v>3500</v>
      </c>
      <c r="AF85" s="1022">
        <v>4000</v>
      </c>
      <c r="AG85" s="1022">
        <v>5000</v>
      </c>
      <c r="AH85" s="1022">
        <v>6000</v>
      </c>
      <c r="AI85" s="1022">
        <v>8000</v>
      </c>
      <c r="AJ85" s="1022">
        <v>10000</v>
      </c>
    </row>
    <row r="86" spans="2:36" x14ac:dyDescent="0.25">
      <c r="B86" s="1013">
        <f>IF(AND($C$84&gt;C86,$C$84&lt;=D86),1," ")</f>
        <v>1</v>
      </c>
      <c r="C86" s="2">
        <v>0</v>
      </c>
      <c r="D86" s="25">
        <v>400</v>
      </c>
      <c r="E86" s="1014">
        <v>0</v>
      </c>
      <c r="F86" s="1014">
        <v>0</v>
      </c>
      <c r="G86" s="1014">
        <v>0</v>
      </c>
      <c r="H86" s="1014">
        <v>0</v>
      </c>
      <c r="I86" s="1015">
        <v>0</v>
      </c>
      <c r="J86" s="1015">
        <v>0</v>
      </c>
      <c r="K86" s="1015">
        <v>0</v>
      </c>
      <c r="L86" s="1015">
        <v>0</v>
      </c>
      <c r="M86" s="1015">
        <v>0</v>
      </c>
      <c r="N86" s="1016">
        <v>0</v>
      </c>
      <c r="Q86" s="1024">
        <f>'Rekenblad (3)'!I108</f>
        <v>723.87720000000002</v>
      </c>
      <c r="R86" s="202">
        <v>200</v>
      </c>
      <c r="S86" s="13">
        <v>500</v>
      </c>
      <c r="T86" s="1023">
        <v>750</v>
      </c>
      <c r="U86" s="1023">
        <v>1000</v>
      </c>
      <c r="V86" s="1023">
        <v>1250</v>
      </c>
      <c r="W86" s="1023">
        <v>1500</v>
      </c>
      <c r="X86" s="1023">
        <v>1750</v>
      </c>
      <c r="Y86" s="1023">
        <v>2000</v>
      </c>
      <c r="Z86" s="1023">
        <v>2250</v>
      </c>
      <c r="AA86" s="1023">
        <v>2500</v>
      </c>
      <c r="AB86" s="1023">
        <v>2750</v>
      </c>
      <c r="AC86" s="1023">
        <v>3000</v>
      </c>
      <c r="AD86" s="1023">
        <v>3500</v>
      </c>
      <c r="AE86" s="1023">
        <v>4000</v>
      </c>
      <c r="AF86" s="1023">
        <v>5000</v>
      </c>
      <c r="AG86" s="1023">
        <v>6000</v>
      </c>
      <c r="AH86" s="1023">
        <v>8000</v>
      </c>
      <c r="AI86" s="1023">
        <v>10000</v>
      </c>
      <c r="AJ86" s="1023">
        <v>99999999</v>
      </c>
    </row>
    <row r="87" spans="2:36" x14ac:dyDescent="0.25">
      <c r="B87" s="990" t="str">
        <f t="shared" ref="B87:B100" si="5">IF(AND($C$84&gt;C87,$C$84&lt;=D87),1," ")</f>
        <v xml:space="preserve"> </v>
      </c>
      <c r="C87" s="2">
        <v>400</v>
      </c>
      <c r="D87" s="25">
        <v>450</v>
      </c>
      <c r="E87" s="1014">
        <v>0.03</v>
      </c>
      <c r="F87" s="1014">
        <v>0</v>
      </c>
      <c r="G87" s="1014">
        <v>0</v>
      </c>
      <c r="H87" s="1014">
        <v>0</v>
      </c>
      <c r="I87" s="1015">
        <v>0</v>
      </c>
      <c r="J87" s="1015">
        <v>0</v>
      </c>
      <c r="K87" s="1015">
        <v>0</v>
      </c>
      <c r="L87" s="1015">
        <v>0</v>
      </c>
      <c r="M87" s="1015">
        <v>0</v>
      </c>
      <c r="N87" s="1016">
        <v>0</v>
      </c>
      <c r="Q87" s="1020" t="s">
        <v>801</v>
      </c>
      <c r="R87" s="1025">
        <v>1</v>
      </c>
      <c r="S87" s="1026">
        <v>1</v>
      </c>
      <c r="T87" s="1026">
        <v>1</v>
      </c>
      <c r="U87" s="1026">
        <v>1</v>
      </c>
      <c r="V87" s="1026">
        <v>1</v>
      </c>
      <c r="W87" s="1026">
        <v>1</v>
      </c>
      <c r="X87" s="1026">
        <v>1</v>
      </c>
      <c r="Y87" s="1026">
        <v>1</v>
      </c>
      <c r="Z87" s="1026">
        <v>1</v>
      </c>
      <c r="AA87" s="1026">
        <v>1</v>
      </c>
      <c r="AB87" s="1026">
        <v>0.9</v>
      </c>
      <c r="AC87" s="1026">
        <v>0.8</v>
      </c>
      <c r="AD87" s="1026">
        <v>0.7</v>
      </c>
      <c r="AE87" s="1026">
        <v>0.6</v>
      </c>
      <c r="AF87" s="1026">
        <v>0.6</v>
      </c>
      <c r="AG87" s="1026">
        <v>0.6</v>
      </c>
      <c r="AH87" s="1026">
        <v>0.6</v>
      </c>
      <c r="AI87" s="1026">
        <v>0.6</v>
      </c>
      <c r="AJ87" s="1026">
        <v>0.6</v>
      </c>
    </row>
    <row r="88" spans="2:36" x14ac:dyDescent="0.25">
      <c r="B88" s="990" t="str">
        <f t="shared" si="5"/>
        <v xml:space="preserve"> </v>
      </c>
      <c r="C88" s="2">
        <v>450</v>
      </c>
      <c r="D88" s="25">
        <v>500</v>
      </c>
      <c r="E88" s="1014">
        <v>0.05</v>
      </c>
      <c r="F88" s="1014">
        <v>0.03</v>
      </c>
      <c r="G88" s="1014">
        <v>0</v>
      </c>
      <c r="H88" s="1014">
        <v>0</v>
      </c>
      <c r="I88" s="1015">
        <v>0</v>
      </c>
      <c r="J88" s="1015">
        <v>0</v>
      </c>
      <c r="K88" s="1015">
        <v>0</v>
      </c>
      <c r="L88" s="1015">
        <v>0</v>
      </c>
      <c r="M88" s="1015">
        <v>0</v>
      </c>
      <c r="N88" s="1016">
        <v>0</v>
      </c>
    </row>
    <row r="89" spans="2:36" x14ac:dyDescent="0.25">
      <c r="B89" s="990" t="str">
        <f t="shared" si="5"/>
        <v xml:space="preserve"> </v>
      </c>
      <c r="C89" s="2">
        <v>500</v>
      </c>
      <c r="D89" s="25">
        <v>550</v>
      </c>
      <c r="E89" s="1014">
        <v>0.05</v>
      </c>
      <c r="F89" s="1014">
        <v>0.05</v>
      </c>
      <c r="G89" s="1014">
        <v>0.03</v>
      </c>
      <c r="H89" s="1014">
        <v>0.02</v>
      </c>
      <c r="I89" s="1015">
        <v>0.01</v>
      </c>
      <c r="J89" s="1015">
        <v>0</v>
      </c>
      <c r="K89" s="1015">
        <v>0</v>
      </c>
      <c r="L89" s="1015">
        <v>0</v>
      </c>
      <c r="M89" s="1015">
        <v>0</v>
      </c>
      <c r="N89" s="1016">
        <v>0</v>
      </c>
    </row>
    <row r="90" spans="2:36" x14ac:dyDescent="0.25">
      <c r="B90" s="990" t="str">
        <f t="shared" si="5"/>
        <v xml:space="preserve"> </v>
      </c>
      <c r="C90" s="2">
        <v>550</v>
      </c>
      <c r="D90" s="25">
        <v>600</v>
      </c>
      <c r="E90" s="1014">
        <v>0.1</v>
      </c>
      <c r="F90" s="1014">
        <v>0.08</v>
      </c>
      <c r="G90" s="1014">
        <v>0.05</v>
      </c>
      <c r="H90" s="1014">
        <v>0.03</v>
      </c>
      <c r="I90" s="1015">
        <v>0.02</v>
      </c>
      <c r="J90" s="1015">
        <v>0.01</v>
      </c>
      <c r="K90" s="1015">
        <v>0</v>
      </c>
      <c r="L90" s="1015">
        <v>0</v>
      </c>
      <c r="M90" s="1015">
        <v>0</v>
      </c>
      <c r="N90" s="1016">
        <v>0</v>
      </c>
    </row>
    <row r="91" spans="2:36" x14ac:dyDescent="0.25">
      <c r="B91" s="990" t="str">
        <f t="shared" si="5"/>
        <v xml:space="preserve"> </v>
      </c>
      <c r="C91" s="2">
        <v>600</v>
      </c>
      <c r="D91" s="25">
        <v>700</v>
      </c>
      <c r="E91" s="1014">
        <v>0.15</v>
      </c>
      <c r="F91" s="1014">
        <v>0.1</v>
      </c>
      <c r="G91" s="1014">
        <v>0.08</v>
      </c>
      <c r="H91" s="1014">
        <v>0.06</v>
      </c>
      <c r="I91" s="1015">
        <v>0.04</v>
      </c>
      <c r="J91" s="1015">
        <v>0.02</v>
      </c>
      <c r="K91" s="1015">
        <v>0.02</v>
      </c>
      <c r="L91" s="1015">
        <v>0.01</v>
      </c>
      <c r="M91" s="1015">
        <v>0</v>
      </c>
      <c r="N91" s="1016">
        <v>0</v>
      </c>
      <c r="Q91" t="s">
        <v>1015</v>
      </c>
    </row>
    <row r="92" spans="2:36" x14ac:dyDescent="0.25">
      <c r="B92" s="990" t="str">
        <f t="shared" si="5"/>
        <v xml:space="preserve"> </v>
      </c>
      <c r="C92" s="2">
        <v>700</v>
      </c>
      <c r="D92" s="25">
        <v>800</v>
      </c>
      <c r="E92" s="1014">
        <v>0.16</v>
      </c>
      <c r="F92" s="1014">
        <v>0.13</v>
      </c>
      <c r="G92" s="1014">
        <v>0.12</v>
      </c>
      <c r="H92" s="1014">
        <v>0.08</v>
      </c>
      <c r="I92" s="1015">
        <v>0.06</v>
      </c>
      <c r="J92" s="1015">
        <v>0.04</v>
      </c>
      <c r="K92" s="1015">
        <v>0.03</v>
      </c>
      <c r="L92" s="1015">
        <v>0.02</v>
      </c>
      <c r="M92" s="1015">
        <v>0.01</v>
      </c>
      <c r="N92" s="1016">
        <v>0</v>
      </c>
      <c r="Q92" s="208" t="s">
        <v>19</v>
      </c>
      <c r="R92" s="23" t="s">
        <v>9</v>
      </c>
      <c r="S92" s="208">
        <f>C84</f>
        <v>361</v>
      </c>
      <c r="T92" s="38">
        <f>C85</f>
        <v>1150</v>
      </c>
      <c r="U92" s="951" t="s">
        <v>1016</v>
      </c>
      <c r="V92" s="1062" t="s">
        <v>731</v>
      </c>
    </row>
    <row r="93" spans="2:36" x14ac:dyDescent="0.25">
      <c r="B93" s="990" t="str">
        <f t="shared" si="5"/>
        <v xml:space="preserve"> </v>
      </c>
      <c r="C93" s="2">
        <v>800</v>
      </c>
      <c r="D93" s="25">
        <v>900</v>
      </c>
      <c r="E93" s="1014">
        <v>0.17</v>
      </c>
      <c r="F93" s="1014">
        <v>0.15</v>
      </c>
      <c r="G93" s="1014">
        <v>0.13</v>
      </c>
      <c r="H93" s="1014">
        <v>0.1</v>
      </c>
      <c r="I93" s="1015">
        <v>0.08</v>
      </c>
      <c r="J93" s="1015">
        <v>0.06</v>
      </c>
      <c r="K93" s="1015">
        <v>0.04</v>
      </c>
      <c r="L93" s="1015">
        <v>0.03</v>
      </c>
      <c r="M93" s="1015">
        <v>0.02</v>
      </c>
      <c r="N93" s="1016">
        <v>0.01</v>
      </c>
      <c r="Q93" s="649">
        <v>1100</v>
      </c>
      <c r="R93" s="1039">
        <v>2420</v>
      </c>
      <c r="S93" s="432">
        <f>IF(S92&gt;Q93,1,0)</f>
        <v>0</v>
      </c>
      <c r="T93" s="966">
        <f>IF(T92&gt;R93,1,0)</f>
        <v>0</v>
      </c>
      <c r="U93" s="13">
        <f>IF(SUM(S93:T93)&gt;0,1,0)</f>
        <v>0</v>
      </c>
      <c r="V93" s="1065">
        <v>7.0000000000000007E-2</v>
      </c>
    </row>
    <row r="94" spans="2:36" x14ac:dyDescent="0.25">
      <c r="B94" s="990" t="str">
        <f t="shared" si="5"/>
        <v xml:space="preserve"> </v>
      </c>
      <c r="C94" s="2">
        <v>900</v>
      </c>
      <c r="D94" s="25">
        <v>1000</v>
      </c>
      <c r="E94" s="1014">
        <v>0.18</v>
      </c>
      <c r="F94" s="1014">
        <v>0.16</v>
      </c>
      <c r="G94" s="1014">
        <v>0.14000000000000001</v>
      </c>
      <c r="H94" s="1014">
        <v>0.12</v>
      </c>
      <c r="I94" s="1015">
        <v>0.1</v>
      </c>
      <c r="J94" s="1015">
        <v>0.08</v>
      </c>
      <c r="K94" s="1015">
        <v>0.06</v>
      </c>
      <c r="L94" s="1015">
        <v>0.05</v>
      </c>
      <c r="M94" s="1015">
        <v>0.03</v>
      </c>
      <c r="N94" s="1016">
        <v>0.03</v>
      </c>
    </row>
    <row r="95" spans="2:36" x14ac:dyDescent="0.25">
      <c r="B95" s="990" t="str">
        <f t="shared" si="5"/>
        <v xml:space="preserve"> </v>
      </c>
      <c r="C95" s="2">
        <v>1000</v>
      </c>
      <c r="D95" s="25">
        <v>1150</v>
      </c>
      <c r="E95" s="1014">
        <v>0.2</v>
      </c>
      <c r="F95" s="1014">
        <v>0.2</v>
      </c>
      <c r="G95" s="1014">
        <v>0.16</v>
      </c>
      <c r="H95" s="1014">
        <v>0.14000000000000001</v>
      </c>
      <c r="I95" s="1015">
        <v>0.12</v>
      </c>
      <c r="J95" s="1015">
        <v>0.1</v>
      </c>
      <c r="K95" s="1015">
        <v>0.08</v>
      </c>
      <c r="L95" s="1015">
        <v>7.0000000000000007E-2</v>
      </c>
      <c r="M95" s="1015">
        <v>0.05</v>
      </c>
      <c r="N95" s="1016">
        <v>0.04</v>
      </c>
    </row>
    <row r="96" spans="2:36" x14ac:dyDescent="0.25">
      <c r="B96" s="990" t="str">
        <f t="shared" si="5"/>
        <v xml:space="preserve"> </v>
      </c>
      <c r="C96" s="2">
        <v>1150</v>
      </c>
      <c r="D96" s="25">
        <v>1300</v>
      </c>
      <c r="E96" s="1014">
        <v>0.2</v>
      </c>
      <c r="F96" s="1014">
        <v>0.2</v>
      </c>
      <c r="G96" s="1014">
        <v>0.18</v>
      </c>
      <c r="H96" s="1014">
        <v>0.16</v>
      </c>
      <c r="I96" s="1015">
        <v>0.14000000000000001</v>
      </c>
      <c r="J96" s="1015">
        <v>0.12</v>
      </c>
      <c r="K96" s="1015">
        <v>0.1</v>
      </c>
      <c r="L96" s="1015">
        <v>0.09</v>
      </c>
      <c r="M96" s="1015">
        <v>7.0000000000000007E-2</v>
      </c>
      <c r="N96" s="1016">
        <v>0.06</v>
      </c>
      <c r="Q96" s="1059">
        <v>1</v>
      </c>
      <c r="R96" s="952">
        <v>1</v>
      </c>
      <c r="S96" s="1060">
        <v>1</v>
      </c>
      <c r="T96" s="1060">
        <v>1</v>
      </c>
      <c r="U96" s="1060">
        <v>1</v>
      </c>
      <c r="V96" s="1060">
        <v>1</v>
      </c>
      <c r="W96" s="1060">
        <v>1</v>
      </c>
      <c r="X96" s="1060">
        <v>1</v>
      </c>
      <c r="Y96" s="1060">
        <v>1</v>
      </c>
      <c r="Z96" s="1060">
        <v>0.7</v>
      </c>
      <c r="AA96" s="1060">
        <v>0.3</v>
      </c>
      <c r="AB96" s="1060">
        <v>0</v>
      </c>
      <c r="AC96" s="1060">
        <v>0</v>
      </c>
      <c r="AD96" s="1060">
        <v>0</v>
      </c>
      <c r="AE96" s="952">
        <v>0</v>
      </c>
      <c r="AF96" s="952">
        <v>0</v>
      </c>
      <c r="AG96" s="952">
        <v>0</v>
      </c>
      <c r="AH96" s="952">
        <v>0</v>
      </c>
      <c r="AI96" s="952">
        <v>0</v>
      </c>
    </row>
    <row r="97" spans="2:35" x14ac:dyDescent="0.25">
      <c r="B97" s="990" t="str">
        <f t="shared" si="5"/>
        <v xml:space="preserve"> </v>
      </c>
      <c r="C97" s="2">
        <v>1300</v>
      </c>
      <c r="D97" s="25">
        <v>1450</v>
      </c>
      <c r="E97" s="1014">
        <v>0.2</v>
      </c>
      <c r="F97" s="1014">
        <v>0.2</v>
      </c>
      <c r="G97" s="1014">
        <v>0.2</v>
      </c>
      <c r="H97" s="1014">
        <v>0.18</v>
      </c>
      <c r="I97" s="1015">
        <v>0.16</v>
      </c>
      <c r="J97" s="1015">
        <v>0.16</v>
      </c>
      <c r="K97" s="1015">
        <v>0.12</v>
      </c>
      <c r="L97" s="1015">
        <v>0.11</v>
      </c>
      <c r="M97" s="1015">
        <v>0.09</v>
      </c>
      <c r="N97" s="1016">
        <v>0.08</v>
      </c>
      <c r="Q97" s="1021">
        <f>IF(AND($Q$86&gt;=Q98,$Q$86&lt;Q99),1,0)</f>
        <v>0</v>
      </c>
      <c r="R97" s="1021">
        <f t="shared" ref="R97:AI97" si="6">IF(AND($Q$86&gt;=R98,$Q$86&lt;R99),1,0)</f>
        <v>0</v>
      </c>
      <c r="S97" s="1021">
        <f t="shared" si="6"/>
        <v>1</v>
      </c>
      <c r="T97" s="1021">
        <f t="shared" si="6"/>
        <v>0</v>
      </c>
      <c r="U97" s="1021">
        <f t="shared" si="6"/>
        <v>0</v>
      </c>
      <c r="V97" s="1021">
        <f t="shared" si="6"/>
        <v>0</v>
      </c>
      <c r="W97" s="1021">
        <f t="shared" si="6"/>
        <v>0</v>
      </c>
      <c r="X97" s="1021">
        <f t="shared" si="6"/>
        <v>0</v>
      </c>
      <c r="Y97" s="1021">
        <f t="shared" si="6"/>
        <v>0</v>
      </c>
      <c r="Z97" s="1021">
        <f t="shared" si="6"/>
        <v>0</v>
      </c>
      <c r="AA97" s="1021">
        <f t="shared" si="6"/>
        <v>0</v>
      </c>
      <c r="AB97" s="1021">
        <f t="shared" si="6"/>
        <v>0</v>
      </c>
      <c r="AC97" s="1021">
        <f t="shared" si="6"/>
        <v>0</v>
      </c>
      <c r="AD97" s="1021">
        <f t="shared" si="6"/>
        <v>0</v>
      </c>
      <c r="AE97" s="1021">
        <f t="shared" si="6"/>
        <v>0</v>
      </c>
      <c r="AF97" s="1021">
        <f t="shared" si="6"/>
        <v>0</v>
      </c>
      <c r="AG97" s="1021">
        <f t="shared" si="6"/>
        <v>0</v>
      </c>
      <c r="AH97" s="1021">
        <f t="shared" si="6"/>
        <v>0</v>
      </c>
      <c r="AI97" s="1021">
        <f t="shared" si="6"/>
        <v>0</v>
      </c>
    </row>
    <row r="98" spans="2:35" x14ac:dyDescent="0.25">
      <c r="B98" s="990" t="str">
        <f t="shared" si="5"/>
        <v xml:space="preserve"> </v>
      </c>
      <c r="C98" s="2">
        <v>1450</v>
      </c>
      <c r="D98" s="25">
        <v>1600</v>
      </c>
      <c r="E98" s="1014">
        <v>0.2</v>
      </c>
      <c r="F98" s="1014">
        <v>0.2</v>
      </c>
      <c r="G98" s="1014">
        <v>0.2</v>
      </c>
      <c r="H98" s="1014">
        <v>0.2</v>
      </c>
      <c r="I98" s="1015">
        <v>0.2</v>
      </c>
      <c r="J98" s="1015">
        <v>0.18</v>
      </c>
      <c r="K98" s="1015">
        <v>0.16</v>
      </c>
      <c r="L98" s="1015">
        <v>0.13</v>
      </c>
      <c r="M98" s="1015">
        <v>0.11</v>
      </c>
      <c r="N98" s="1016">
        <v>0.1</v>
      </c>
      <c r="Q98" s="1061">
        <v>0</v>
      </c>
      <c r="R98" s="1062">
        <v>200</v>
      </c>
      <c r="S98" s="1063">
        <v>500</v>
      </c>
      <c r="T98" s="1063">
        <v>750</v>
      </c>
      <c r="U98" s="1063">
        <v>1000</v>
      </c>
      <c r="V98" s="1063">
        <v>1250</v>
      </c>
      <c r="W98" s="1063">
        <v>1500</v>
      </c>
      <c r="X98" s="1063">
        <v>1750</v>
      </c>
      <c r="Y98" s="1063">
        <v>2000</v>
      </c>
      <c r="Z98" s="1063">
        <v>2250</v>
      </c>
      <c r="AA98" s="1063">
        <v>2500</v>
      </c>
      <c r="AB98" s="1063">
        <v>2750</v>
      </c>
      <c r="AC98" s="1063">
        <v>3000</v>
      </c>
      <c r="AD98" s="1063">
        <v>3500</v>
      </c>
      <c r="AE98" s="1063">
        <v>4000</v>
      </c>
      <c r="AF98" s="1063">
        <v>5000</v>
      </c>
      <c r="AG98" s="1063">
        <v>6000</v>
      </c>
      <c r="AH98" s="1063">
        <v>8000</v>
      </c>
      <c r="AI98" s="1063">
        <v>10000</v>
      </c>
    </row>
    <row r="99" spans="2:35" x14ac:dyDescent="0.25">
      <c r="B99" s="990" t="str">
        <f t="shared" si="5"/>
        <v xml:space="preserve"> </v>
      </c>
      <c r="C99" s="2">
        <v>1600</v>
      </c>
      <c r="D99" s="25">
        <v>1750</v>
      </c>
      <c r="E99" s="1014">
        <v>0.25</v>
      </c>
      <c r="F99" s="1014">
        <v>0.25</v>
      </c>
      <c r="G99" s="1014">
        <v>0.25</v>
      </c>
      <c r="H99" s="1014">
        <v>0.25</v>
      </c>
      <c r="I99" s="1015">
        <v>0.25</v>
      </c>
      <c r="J99" s="1015">
        <v>0.22</v>
      </c>
      <c r="K99" s="1015">
        <v>0.2</v>
      </c>
      <c r="L99" s="1015">
        <v>0.17</v>
      </c>
      <c r="M99" s="1015">
        <v>0.14000000000000001</v>
      </c>
      <c r="N99" s="1016">
        <v>0.13</v>
      </c>
      <c r="Q99" s="202">
        <v>200</v>
      </c>
      <c r="R99" s="13">
        <v>500</v>
      </c>
      <c r="S99" s="1023">
        <v>750</v>
      </c>
      <c r="T99" s="1023">
        <v>1000</v>
      </c>
      <c r="U99" s="1023">
        <v>1250</v>
      </c>
      <c r="V99" s="1023">
        <v>1500</v>
      </c>
      <c r="W99" s="1023">
        <v>1750</v>
      </c>
      <c r="X99" s="1023">
        <v>2000</v>
      </c>
      <c r="Y99" s="1023">
        <v>2250</v>
      </c>
      <c r="Z99" s="1023">
        <v>2500</v>
      </c>
      <c r="AA99" s="1023">
        <v>2750</v>
      </c>
      <c r="AB99" s="1023">
        <v>3000</v>
      </c>
      <c r="AC99" s="1023">
        <v>3500</v>
      </c>
      <c r="AD99" s="1023">
        <v>4000</v>
      </c>
      <c r="AE99" s="1023">
        <v>5000</v>
      </c>
      <c r="AF99" s="1023">
        <v>6000</v>
      </c>
      <c r="AG99" s="1023">
        <v>8000</v>
      </c>
      <c r="AH99" s="1023">
        <v>10000</v>
      </c>
      <c r="AI99" s="1023">
        <v>99999999</v>
      </c>
    </row>
    <row r="100" spans="2:35" x14ac:dyDescent="0.25">
      <c r="B100" s="991" t="str">
        <f t="shared" si="5"/>
        <v xml:space="preserve"> </v>
      </c>
      <c r="C100" s="965">
        <v>1750</v>
      </c>
      <c r="D100" s="966">
        <v>9999</v>
      </c>
      <c r="E100" s="1014">
        <v>0.25</v>
      </c>
      <c r="F100" s="1014">
        <v>0.25</v>
      </c>
      <c r="G100" s="1014">
        <v>0.25</v>
      </c>
      <c r="H100" s="1014">
        <v>0.25</v>
      </c>
      <c r="I100" s="1015">
        <v>0.25</v>
      </c>
      <c r="J100" s="1015">
        <v>0.25</v>
      </c>
      <c r="K100" s="1015">
        <v>0.25</v>
      </c>
      <c r="L100" s="1015">
        <v>0.2</v>
      </c>
      <c r="M100" s="1015">
        <v>0.18</v>
      </c>
      <c r="N100" s="1016">
        <v>0.16</v>
      </c>
      <c r="Q100" s="1064">
        <f>$V$93*Q96</f>
        <v>7.0000000000000007E-2</v>
      </c>
      <c r="R100" s="1064">
        <f t="shared" ref="R100:AI100" si="7">$V$93*R96</f>
        <v>7.0000000000000007E-2</v>
      </c>
      <c r="S100" s="1064">
        <f t="shared" si="7"/>
        <v>7.0000000000000007E-2</v>
      </c>
      <c r="T100" s="1064">
        <f t="shared" si="7"/>
        <v>7.0000000000000007E-2</v>
      </c>
      <c r="U100" s="1064">
        <f t="shared" si="7"/>
        <v>7.0000000000000007E-2</v>
      </c>
      <c r="V100" s="1064">
        <f t="shared" si="7"/>
        <v>7.0000000000000007E-2</v>
      </c>
      <c r="W100" s="1064">
        <f t="shared" si="7"/>
        <v>7.0000000000000007E-2</v>
      </c>
      <c r="X100" s="1064">
        <f t="shared" si="7"/>
        <v>7.0000000000000007E-2</v>
      </c>
      <c r="Y100" s="1064">
        <f t="shared" si="7"/>
        <v>7.0000000000000007E-2</v>
      </c>
      <c r="Z100" s="1064">
        <f t="shared" si="7"/>
        <v>4.9000000000000002E-2</v>
      </c>
      <c r="AA100" s="1064">
        <f t="shared" si="7"/>
        <v>2.1000000000000001E-2</v>
      </c>
      <c r="AB100" s="1064">
        <f t="shared" si="7"/>
        <v>0</v>
      </c>
      <c r="AC100" s="1064">
        <f t="shared" si="7"/>
        <v>0</v>
      </c>
      <c r="AD100" s="1064">
        <f t="shared" si="7"/>
        <v>0</v>
      </c>
      <c r="AE100" s="1064">
        <f t="shared" si="7"/>
        <v>0</v>
      </c>
      <c r="AF100" s="1064">
        <f t="shared" si="7"/>
        <v>0</v>
      </c>
      <c r="AG100" s="1064">
        <f t="shared" si="7"/>
        <v>0</v>
      </c>
      <c r="AH100" s="1064">
        <f t="shared" si="7"/>
        <v>0</v>
      </c>
      <c r="AI100" s="1064">
        <f t="shared" si="7"/>
        <v>0</v>
      </c>
    </row>
    <row r="101" spans="2:35" x14ac:dyDescent="0.25">
      <c r="B101" s="415"/>
      <c r="C101" s="43"/>
      <c r="D101" s="43"/>
      <c r="E101" s="1017">
        <f>IF(SUM($B$86:$B$100)=1,VLOOKUP(1,$B$86:$N$100,4,FALSE),0)</f>
        <v>0</v>
      </c>
      <c r="F101" s="1018">
        <f>IF(SUM($B$86:$B$100)=1,VLOOKUP(1,$B$86:$N$100,5,FALSE),0)</f>
        <v>0</v>
      </c>
      <c r="G101" s="1018">
        <f>IF(SUM($B$86:$B$100)=1,VLOOKUP(1,$B$86:$N$100,6,FALSE),0)</f>
        <v>0</v>
      </c>
      <c r="H101" s="1018">
        <f>IF(SUM($B$86:$B$100)=1,VLOOKUP(1,$B$86:$N$100,7,FALSE),0)</f>
        <v>0</v>
      </c>
      <c r="I101" s="1018">
        <f>IF(SUM($B$86:$B$100)=1,VLOOKUP(1,$B$86:$N$100,8,FALSE),0)</f>
        <v>0</v>
      </c>
      <c r="J101" s="1018">
        <f>IF(SUM($B$86:$B$100)=1,VLOOKUP(1,$B$86:$N$100,9,FALSE),0)</f>
        <v>0</v>
      </c>
      <c r="K101" s="1018">
        <f>IF(SUM($B$86:$B$100)=1,VLOOKUP(1,$B$86:$N$100,10,FALSE),0)</f>
        <v>0</v>
      </c>
      <c r="L101" s="1018">
        <f>IF(SUM($B$86:$B$100)=1,VLOOKUP(1,$B$86:$N$100,11,FALSE),0)</f>
        <v>0</v>
      </c>
      <c r="M101" s="1018">
        <f>IF(SUM($B$86:$B$100)=1,VLOOKUP(1,$B$86:$N$100,12,FALSE),0)</f>
        <v>0</v>
      </c>
      <c r="N101" s="1019">
        <f>IF(SUM($B$86:$B$100)=1,VLOOKUP(1,$B$86:$N$100,13,FALSE),0)</f>
        <v>0</v>
      </c>
    </row>
    <row r="104" spans="2:35" x14ac:dyDescent="0.25">
      <c r="B104" s="1188" t="str">
        <f>IF(AND($C$85&gt;B105,$C$85&lt;=B106),1," ")</f>
        <v xml:space="preserve"> </v>
      </c>
      <c r="C104" s="1188" t="str">
        <f t="shared" ref="C104:G104" si="8">IF(AND($C$85&gt;C105,$C$85&lt;=C106),1," ")</f>
        <v xml:space="preserve"> </v>
      </c>
      <c r="D104" s="1188" t="str">
        <f t="shared" si="8"/>
        <v xml:space="preserve"> </v>
      </c>
      <c r="E104" s="1188" t="str">
        <f t="shared" si="8"/>
        <v xml:space="preserve"> </v>
      </c>
      <c r="F104" s="1188" t="str">
        <f t="shared" si="8"/>
        <v xml:space="preserve"> </v>
      </c>
      <c r="G104" s="1188">
        <f t="shared" si="8"/>
        <v>1</v>
      </c>
      <c r="H104" s="1029"/>
      <c r="I104" s="479"/>
      <c r="J104" s="479"/>
      <c r="K104" s="479"/>
      <c r="L104" s="479"/>
      <c r="M104" s="479"/>
      <c r="N104" s="479"/>
      <c r="P104" s="479"/>
      <c r="Q104" s="479"/>
      <c r="R104" s="479"/>
      <c r="S104" s="479"/>
      <c r="T104" s="479"/>
      <c r="U104" s="479"/>
      <c r="V104" s="479"/>
      <c r="W104" s="479"/>
      <c r="X104" s="479"/>
      <c r="Y104" s="479"/>
    </row>
    <row r="105" spans="2:35" x14ac:dyDescent="0.25">
      <c r="B105" s="1022">
        <v>0</v>
      </c>
      <c r="C105" s="442">
        <v>800</v>
      </c>
      <c r="D105" s="1022">
        <v>850</v>
      </c>
      <c r="E105" s="1022">
        <v>900</v>
      </c>
      <c r="F105" s="1022">
        <v>950</v>
      </c>
      <c r="G105" s="1022">
        <v>1000</v>
      </c>
      <c r="H105" s="864"/>
      <c r="I105" s="479"/>
      <c r="J105" s="479"/>
      <c r="K105" s="479"/>
      <c r="L105" s="479"/>
      <c r="M105" s="479"/>
      <c r="N105" s="479"/>
      <c r="P105" s="479"/>
      <c r="Q105" s="479"/>
      <c r="R105" s="479"/>
      <c r="S105" s="479"/>
      <c r="T105" s="479"/>
      <c r="U105" s="479"/>
      <c r="V105" s="479"/>
      <c r="W105" s="479"/>
      <c r="X105" s="479"/>
      <c r="Y105" s="479"/>
    </row>
    <row r="106" spans="2:35" x14ac:dyDescent="0.25">
      <c r="B106" s="1023">
        <v>800</v>
      </c>
      <c r="C106" s="13">
        <v>850</v>
      </c>
      <c r="D106" s="1023">
        <v>900</v>
      </c>
      <c r="E106" s="1023">
        <v>950</v>
      </c>
      <c r="F106" s="1023">
        <v>1000</v>
      </c>
      <c r="G106" s="1023">
        <v>9999999</v>
      </c>
      <c r="H106" s="864"/>
      <c r="I106" s="479"/>
      <c r="J106" s="479"/>
      <c r="K106" s="479"/>
      <c r="L106" s="479"/>
      <c r="M106" s="479"/>
      <c r="N106" s="479"/>
      <c r="P106" s="479"/>
      <c r="Q106" s="479"/>
      <c r="R106" s="479"/>
      <c r="S106" s="479"/>
      <c r="T106" s="479"/>
      <c r="U106" s="479"/>
      <c r="V106" s="479"/>
      <c r="W106" s="479"/>
      <c r="X106" s="479"/>
      <c r="Y106" s="479"/>
    </row>
    <row r="107" spans="2:35" x14ac:dyDescent="0.25">
      <c r="B107" s="1189">
        <v>1</v>
      </c>
      <c r="C107" s="1189">
        <v>0.8</v>
      </c>
      <c r="D107" s="1189">
        <v>0.6</v>
      </c>
      <c r="E107" s="1189">
        <v>0.4</v>
      </c>
      <c r="F107" s="1189">
        <v>0.2</v>
      </c>
      <c r="G107" s="1189">
        <v>0</v>
      </c>
      <c r="H107" s="1029">
        <f>IF(SUM(B104:G104)&gt;0,HLOOKUP(1,B104:G107,4,FALSE),0)</f>
        <v>0</v>
      </c>
      <c r="I107" s="479"/>
      <c r="J107" s="479"/>
      <c r="K107" s="479"/>
      <c r="L107" s="479"/>
      <c r="M107" s="479"/>
      <c r="N107" s="479"/>
      <c r="P107" s="479"/>
      <c r="Q107" s="479"/>
      <c r="R107" s="479"/>
      <c r="S107" s="479"/>
      <c r="T107" s="479"/>
      <c r="U107" s="479"/>
      <c r="V107" s="479"/>
      <c r="W107" s="479"/>
      <c r="X107" s="479"/>
      <c r="Y107" s="479"/>
    </row>
    <row r="108" spans="2:35" x14ac:dyDescent="0.25">
      <c r="E108" s="479"/>
      <c r="F108" s="479"/>
      <c r="G108" s="479"/>
      <c r="H108" s="479"/>
      <c r="I108" s="479"/>
      <c r="J108" s="479"/>
      <c r="K108" s="479"/>
      <c r="L108" s="479"/>
      <c r="M108" s="479"/>
      <c r="N108" s="479"/>
      <c r="P108" s="479"/>
      <c r="Q108" s="479"/>
      <c r="R108" s="479"/>
      <c r="S108" s="479"/>
      <c r="T108" s="479"/>
      <c r="U108" s="479"/>
      <c r="V108" s="479"/>
      <c r="W108" s="479"/>
      <c r="X108" s="479"/>
      <c r="Y108" s="479"/>
    </row>
    <row r="109" spans="2:35" x14ac:dyDescent="0.25">
      <c r="E109" s="479"/>
      <c r="F109" s="479"/>
      <c r="G109" s="479"/>
      <c r="H109" s="479"/>
      <c r="I109" s="479"/>
      <c r="J109" s="479"/>
      <c r="K109" s="479"/>
      <c r="L109" s="479"/>
      <c r="M109" s="479"/>
      <c r="N109" s="479"/>
      <c r="P109" s="479"/>
      <c r="Q109" s="479"/>
      <c r="R109" s="479"/>
      <c r="S109" s="479"/>
      <c r="T109" s="479"/>
      <c r="U109" s="479"/>
      <c r="V109" s="479"/>
      <c r="W109" s="479"/>
      <c r="X109" s="479"/>
      <c r="Y109" s="479"/>
    </row>
    <row r="110" spans="2:35" x14ac:dyDescent="0.25">
      <c r="E110" s="479"/>
      <c r="F110" s="479"/>
      <c r="G110" s="479"/>
      <c r="H110" s="479"/>
      <c r="I110" s="479"/>
      <c r="J110" s="479"/>
      <c r="K110" s="479"/>
      <c r="L110" s="479"/>
      <c r="M110" s="479"/>
      <c r="N110" s="479"/>
      <c r="P110" s="479"/>
      <c r="Q110" s="479"/>
      <c r="R110" s="479"/>
      <c r="S110" s="479"/>
      <c r="T110" s="479"/>
      <c r="U110" s="479"/>
      <c r="V110" s="479"/>
      <c r="W110" s="479"/>
      <c r="X110" s="479"/>
      <c r="Y110" s="479"/>
    </row>
    <row r="111" spans="2:35" x14ac:dyDescent="0.25">
      <c r="E111" s="479"/>
      <c r="F111" s="479"/>
      <c r="G111" s="479"/>
      <c r="H111" s="479"/>
      <c r="I111" s="479"/>
      <c r="J111" s="479"/>
      <c r="K111" s="479"/>
      <c r="L111" s="479"/>
      <c r="M111" s="479"/>
      <c r="N111" s="479"/>
      <c r="P111" s="479"/>
      <c r="Q111" s="479"/>
      <c r="R111" s="479"/>
      <c r="S111" s="479"/>
      <c r="T111" s="479"/>
      <c r="U111" s="479"/>
      <c r="V111" s="479"/>
      <c r="W111" s="479"/>
      <c r="X111" s="479"/>
      <c r="Y111" s="479"/>
    </row>
    <row r="112" spans="2:35" x14ac:dyDescent="0.25">
      <c r="E112" s="479"/>
      <c r="F112" s="479"/>
      <c r="G112" s="479"/>
      <c r="H112" s="479"/>
      <c r="I112" s="479"/>
      <c r="J112" s="479"/>
      <c r="K112" s="479"/>
      <c r="L112" s="479"/>
      <c r="M112" s="479"/>
      <c r="N112" s="479"/>
      <c r="P112" s="479"/>
      <c r="Q112" s="479"/>
      <c r="R112" s="479"/>
      <c r="S112" s="479"/>
      <c r="T112" s="479"/>
      <c r="U112" s="479"/>
      <c r="V112" s="479"/>
      <c r="W112" s="479"/>
      <c r="X112" s="479"/>
      <c r="Y112" s="479"/>
    </row>
    <row r="113" spans="5:25" x14ac:dyDescent="0.25">
      <c r="E113" s="479"/>
      <c r="F113" s="479"/>
      <c r="G113" s="479"/>
      <c r="H113" s="479"/>
      <c r="I113" s="479"/>
      <c r="J113" s="479"/>
      <c r="K113" s="479"/>
      <c r="L113" s="479"/>
      <c r="M113" s="479"/>
      <c r="N113" s="479"/>
      <c r="P113" s="479"/>
      <c r="Q113" s="479"/>
      <c r="R113" s="479"/>
      <c r="S113" s="479"/>
      <c r="T113" s="479"/>
      <c r="U113" s="479"/>
      <c r="V113" s="479"/>
      <c r="W113" s="479"/>
      <c r="X113" s="479"/>
      <c r="Y113" s="479"/>
    </row>
    <row r="114" spans="5:25" x14ac:dyDescent="0.25">
      <c r="E114" s="479"/>
      <c r="F114" s="479"/>
      <c r="G114" s="479"/>
      <c r="H114" s="479"/>
      <c r="I114" s="479"/>
      <c r="J114" s="479"/>
      <c r="K114" s="479"/>
      <c r="L114" s="479"/>
      <c r="M114" s="479"/>
      <c r="N114" s="479"/>
      <c r="P114" s="479"/>
      <c r="Q114" s="479"/>
      <c r="R114" s="479"/>
      <c r="S114" s="479"/>
      <c r="T114" s="479"/>
      <c r="U114" s="479"/>
      <c r="V114" s="479"/>
      <c r="W114" s="479"/>
      <c r="X114" s="479"/>
      <c r="Y114" s="479"/>
    </row>
    <row r="115" spans="5:25" x14ac:dyDescent="0.25">
      <c r="E115" s="479"/>
      <c r="F115" s="479"/>
      <c r="G115" s="479"/>
      <c r="H115" s="479"/>
      <c r="I115" s="479"/>
      <c r="J115" s="479"/>
      <c r="K115" s="479"/>
      <c r="L115" s="479"/>
      <c r="M115" s="479"/>
      <c r="N115" s="479"/>
      <c r="P115" s="479"/>
      <c r="Q115" s="479"/>
      <c r="R115" s="479"/>
      <c r="S115" s="479"/>
      <c r="T115" s="479"/>
      <c r="U115" s="479"/>
      <c r="V115" s="479"/>
      <c r="W115" s="479"/>
      <c r="X115" s="479"/>
      <c r="Y115" s="479"/>
    </row>
    <row r="116" spans="5:25" x14ac:dyDescent="0.25">
      <c r="E116" s="479"/>
      <c r="F116" s="479"/>
      <c r="G116" s="479"/>
      <c r="H116" s="479"/>
      <c r="I116" s="479"/>
      <c r="J116" s="479"/>
      <c r="K116" s="479"/>
      <c r="L116" s="479"/>
      <c r="M116" s="479"/>
      <c r="N116" s="479"/>
      <c r="P116" s="479"/>
      <c r="Q116" s="479"/>
      <c r="R116" s="479"/>
      <c r="S116" s="479"/>
      <c r="T116" s="479"/>
      <c r="U116" s="479"/>
      <c r="V116" s="479"/>
      <c r="W116" s="479"/>
      <c r="X116" s="479"/>
      <c r="Y116" s="479"/>
    </row>
    <row r="117" spans="5:25" x14ac:dyDescent="0.25">
      <c r="E117" s="479"/>
      <c r="F117" s="479"/>
      <c r="G117" s="479"/>
      <c r="H117" s="479"/>
      <c r="I117" s="479"/>
      <c r="J117" s="479"/>
      <c r="K117" s="479"/>
      <c r="L117" s="479"/>
      <c r="M117" s="479"/>
      <c r="N117" s="479"/>
      <c r="P117" s="479"/>
      <c r="Q117" s="479"/>
      <c r="R117" s="479"/>
      <c r="S117" s="479"/>
      <c r="T117" s="479"/>
      <c r="U117" s="479"/>
      <c r="V117" s="479"/>
      <c r="W117" s="479"/>
      <c r="X117" s="479"/>
      <c r="Y117" s="479"/>
    </row>
    <row r="118" spans="5:25" x14ac:dyDescent="0.25">
      <c r="E118" s="479"/>
      <c r="F118" s="479"/>
      <c r="G118" s="479"/>
      <c r="H118" s="479"/>
      <c r="I118" s="479"/>
      <c r="J118" s="479"/>
      <c r="K118" s="479"/>
      <c r="L118" s="479"/>
      <c r="M118" s="479"/>
      <c r="N118" s="479"/>
      <c r="P118" s="479"/>
      <c r="Q118" s="479"/>
      <c r="R118" s="479"/>
      <c r="S118" s="479"/>
      <c r="T118" s="479"/>
      <c r="U118" s="479"/>
      <c r="V118" s="479"/>
      <c r="W118" s="479"/>
      <c r="X118" s="479"/>
      <c r="Y118" s="479"/>
    </row>
  </sheetData>
  <mergeCells count="2">
    <mergeCell ref="C4:D4"/>
    <mergeCell ref="C5:D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EFEA-0721-4067-BA36-9461C96C113A}">
  <dimension ref="B1:AQ196"/>
  <sheetViews>
    <sheetView workbookViewId="0"/>
  </sheetViews>
  <sheetFormatPr defaultRowHeight="15" x14ac:dyDescent="0.25"/>
  <cols>
    <col min="2" max="2" customWidth="true" width="9.28515625"/>
    <col min="3" max="3" customWidth="true" width="31.5703125"/>
    <col min="4" max="4" bestFit="true" customWidth="true" width="9.42578125"/>
    <col min="12" max="12" style="468" width="8.7109375"/>
    <col min="13" max="13" customWidth="true" width="10.85546875"/>
    <col min="14" max="14" bestFit="true" customWidth="true" style="2" width="9.42578125"/>
    <col min="15" max="15" customWidth="true" width="10.85546875"/>
    <col min="16" max="17" customWidth="true" width="10.28515625"/>
    <col min="22" max="22" customWidth="true" width="9.7109375"/>
    <col min="23" max="23" customWidth="true" width="10.0"/>
    <col min="29" max="29" bestFit="true" customWidth="true" width="16.7109375"/>
    <col min="36" max="36" customWidth="true" width="11.0"/>
  </cols>
  <sheetData>
    <row r="1" spans="3:29" x14ac:dyDescent="0.25">
      <c r="C1" t="s">
        <v>995</v>
      </c>
      <c r="D1" s="2">
        <f>IF(SUM('Rekenblad (3)'!C362:I362)=0,0,1)</f>
        <v>1</v>
      </c>
    </row>
    <row r="2" spans="3:29" x14ac:dyDescent="0.25">
      <c r="T2" s="2"/>
      <c r="U2" s="2"/>
      <c r="V2" s="2"/>
      <c r="W2" s="2"/>
      <c r="X2" s="2"/>
      <c r="Y2" s="2"/>
      <c r="Z2" s="2"/>
      <c r="AA2" s="2"/>
      <c r="AB2" s="2"/>
      <c r="AC2" s="2"/>
    </row>
    <row r="3" spans="3:29" x14ac:dyDescent="0.25">
      <c r="C3" t="s">
        <v>893</v>
      </c>
      <c r="D3" s="2">
        <f>'Rekenblad (3)'!F108</f>
        <v>361</v>
      </c>
      <c r="E3" t="s">
        <v>25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3:29" x14ac:dyDescent="0.25">
      <c r="C4" t="s">
        <v>894</v>
      </c>
      <c r="D4" s="2">
        <f>'Rekenblad (3)'!G108</f>
        <v>557</v>
      </c>
      <c r="E4" t="s">
        <v>25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3:29" x14ac:dyDescent="0.25">
      <c r="C5" t="s">
        <v>916</v>
      </c>
      <c r="D5" s="2">
        <f>(D3/1000)*(D4/1000)</f>
        <v>0.20107700000000001</v>
      </c>
      <c r="E5" t="s">
        <v>508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3:29" x14ac:dyDescent="0.25">
      <c r="D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3:29" x14ac:dyDescent="0.25">
      <c r="C7" s="473" t="s">
        <v>31</v>
      </c>
      <c r="D7" s="23" t="s">
        <v>912</v>
      </c>
      <c r="E7" s="472"/>
      <c r="F7" s="23"/>
      <c r="G7" s="47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3:29" x14ac:dyDescent="0.25">
      <c r="C8" s="431">
        <f>IF(AND($D$3&gt;E8,$D$3&lt;=F8),1,0)</f>
        <v>0</v>
      </c>
      <c r="D8" s="442">
        <f>IF(AND($D$4&gt;E8,$D$4&lt;=F8),1,0)</f>
        <v>0</v>
      </c>
      <c r="E8" s="854">
        <v>0</v>
      </c>
      <c r="F8" s="854">
        <v>100</v>
      </c>
      <c r="G8" s="857">
        <v>30</v>
      </c>
      <c r="T8" s="2"/>
      <c r="U8" s="2"/>
      <c r="V8" s="2"/>
      <c r="W8" s="2"/>
      <c r="X8" s="2"/>
      <c r="Y8" s="2"/>
      <c r="Z8" s="2"/>
      <c r="AA8" s="2"/>
      <c r="AB8" s="2"/>
      <c r="AC8" s="2"/>
    </row>
    <row r="9" spans="3:29" x14ac:dyDescent="0.25">
      <c r="C9" s="26">
        <f t="shared" ref="C9:C23" si="0">IF(AND($D$3&gt;E9,$D$3&lt;=F9),1,0)</f>
        <v>0</v>
      </c>
      <c r="D9" s="12">
        <f t="shared" ref="D9:D23" si="1">IF(AND($D$4&gt;E9,$D$4&lt;=F9),1,0)</f>
        <v>0</v>
      </c>
      <c r="E9" s="855">
        <v>100</v>
      </c>
      <c r="F9" s="855">
        <v>200</v>
      </c>
      <c r="G9" s="851">
        <v>40</v>
      </c>
      <c r="T9" s="2"/>
      <c r="U9" s="2"/>
      <c r="V9" s="2"/>
      <c r="W9" s="2"/>
      <c r="X9" s="2"/>
      <c r="Y9" s="2"/>
      <c r="Z9" s="2"/>
      <c r="AA9" s="2"/>
      <c r="AB9" s="2"/>
      <c r="AC9" s="2"/>
    </row>
    <row r="10" spans="3:29" x14ac:dyDescent="0.25">
      <c r="C10" s="26">
        <f t="shared" si="0"/>
        <v>0</v>
      </c>
      <c r="D10" s="12">
        <f t="shared" si="1"/>
        <v>0</v>
      </c>
      <c r="E10" s="855">
        <v>200</v>
      </c>
      <c r="F10" s="855">
        <v>300</v>
      </c>
      <c r="G10" s="851">
        <v>50</v>
      </c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3:29" x14ac:dyDescent="0.25">
      <c r="C11" s="26">
        <f t="shared" si="0"/>
        <v>1</v>
      </c>
      <c r="D11" s="12">
        <f t="shared" si="1"/>
        <v>0</v>
      </c>
      <c r="E11" s="855">
        <v>300</v>
      </c>
      <c r="F11" s="855">
        <v>400</v>
      </c>
      <c r="G11" s="851">
        <v>60</v>
      </c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3:29" x14ac:dyDescent="0.25">
      <c r="C12" s="26">
        <f t="shared" si="0"/>
        <v>0</v>
      </c>
      <c r="D12" s="12">
        <f t="shared" si="1"/>
        <v>0</v>
      </c>
      <c r="E12" s="855">
        <v>400</v>
      </c>
      <c r="F12" s="855">
        <v>500</v>
      </c>
      <c r="G12" s="851">
        <v>70</v>
      </c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3:29" x14ac:dyDescent="0.25">
      <c r="C13" s="26">
        <f t="shared" si="0"/>
        <v>0</v>
      </c>
      <c r="D13" s="12">
        <f t="shared" si="1"/>
        <v>1</v>
      </c>
      <c r="E13" s="855">
        <v>500</v>
      </c>
      <c r="F13" s="855">
        <v>600</v>
      </c>
      <c r="G13" s="851">
        <v>80</v>
      </c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3:29" x14ac:dyDescent="0.25">
      <c r="C14" s="26">
        <f t="shared" si="0"/>
        <v>0</v>
      </c>
      <c r="D14" s="12">
        <f t="shared" si="1"/>
        <v>0</v>
      </c>
      <c r="E14" s="855">
        <v>600</v>
      </c>
      <c r="F14" s="855">
        <v>700</v>
      </c>
      <c r="G14" s="851">
        <v>100</v>
      </c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3:29" x14ac:dyDescent="0.25">
      <c r="C15" s="26">
        <f t="shared" si="0"/>
        <v>0</v>
      </c>
      <c r="D15" s="12">
        <f t="shared" si="1"/>
        <v>0</v>
      </c>
      <c r="E15" s="855">
        <v>700</v>
      </c>
      <c r="F15" s="855">
        <v>800</v>
      </c>
      <c r="G15" s="851">
        <v>120</v>
      </c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3:29" x14ac:dyDescent="0.25">
      <c r="C16" s="26">
        <f t="shared" si="0"/>
        <v>0</v>
      </c>
      <c r="D16" s="12">
        <f t="shared" si="1"/>
        <v>0</v>
      </c>
      <c r="E16" s="855">
        <v>800</v>
      </c>
      <c r="F16" s="855">
        <v>900</v>
      </c>
      <c r="G16" s="851">
        <v>140</v>
      </c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3:29" x14ac:dyDescent="0.25">
      <c r="C17" s="26">
        <f t="shared" si="0"/>
        <v>0</v>
      </c>
      <c r="D17" s="12">
        <f t="shared" si="1"/>
        <v>0</v>
      </c>
      <c r="E17" s="855">
        <v>900</v>
      </c>
      <c r="F17" s="855">
        <v>1000</v>
      </c>
      <c r="G17" s="851">
        <v>160</v>
      </c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3:29" x14ac:dyDescent="0.25">
      <c r="C18" s="26">
        <f t="shared" si="0"/>
        <v>0</v>
      </c>
      <c r="D18" s="12">
        <f t="shared" si="1"/>
        <v>0</v>
      </c>
      <c r="E18" s="855">
        <v>1000</v>
      </c>
      <c r="F18" s="855">
        <v>1200</v>
      </c>
      <c r="G18" s="851">
        <v>180</v>
      </c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3:29" x14ac:dyDescent="0.25">
      <c r="C19" s="26">
        <f t="shared" si="0"/>
        <v>0</v>
      </c>
      <c r="D19" s="12">
        <f t="shared" si="1"/>
        <v>0</v>
      </c>
      <c r="E19" s="855">
        <v>1200</v>
      </c>
      <c r="F19" s="855">
        <v>1400</v>
      </c>
      <c r="G19" s="851">
        <v>190</v>
      </c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3:29" x14ac:dyDescent="0.25">
      <c r="C20" s="26">
        <f t="shared" si="0"/>
        <v>0</v>
      </c>
      <c r="D20" s="12">
        <f t="shared" si="1"/>
        <v>0</v>
      </c>
      <c r="E20" s="855">
        <v>1400</v>
      </c>
      <c r="F20" s="855">
        <v>1600</v>
      </c>
      <c r="G20" s="851">
        <v>200</v>
      </c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3:29" x14ac:dyDescent="0.25">
      <c r="C21" s="26">
        <f t="shared" si="0"/>
        <v>0</v>
      </c>
      <c r="D21" s="12">
        <f t="shared" si="1"/>
        <v>0</v>
      </c>
      <c r="E21" s="855">
        <v>1600</v>
      </c>
      <c r="F21" s="855">
        <v>1800</v>
      </c>
      <c r="G21" s="851">
        <v>210</v>
      </c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3:29" x14ac:dyDescent="0.25">
      <c r="C22" s="26">
        <f t="shared" si="0"/>
        <v>0</v>
      </c>
      <c r="D22" s="12">
        <f t="shared" si="1"/>
        <v>0</v>
      </c>
      <c r="E22" s="855">
        <v>1800</v>
      </c>
      <c r="F22" s="855">
        <v>2000</v>
      </c>
      <c r="G22" s="851">
        <v>220</v>
      </c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3:29" x14ac:dyDescent="0.25">
      <c r="C23" s="432">
        <f t="shared" si="0"/>
        <v>0</v>
      </c>
      <c r="D23" s="13">
        <f t="shared" si="1"/>
        <v>0</v>
      </c>
      <c r="E23" s="856">
        <v>2000</v>
      </c>
      <c r="F23" s="856">
        <v>99999</v>
      </c>
      <c r="G23" s="853">
        <v>240</v>
      </c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3:29" x14ac:dyDescent="0.25">
      <c r="C24" s="208">
        <f>VLOOKUP(1,C8:G23,5,FALSE)</f>
        <v>60</v>
      </c>
      <c r="D24" s="473">
        <f>VLOOKUP(1,D8:G23,4,FALSE)</f>
        <v>80</v>
      </c>
      <c r="E24" s="43"/>
      <c r="F24" s="23"/>
      <c r="G24" s="44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3:29" x14ac:dyDescent="0.25">
      <c r="D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3:29" x14ac:dyDescent="0.25">
      <c r="D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3:29" x14ac:dyDescent="0.25">
      <c r="D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3:29" x14ac:dyDescent="0.25">
      <c r="C28" s="213"/>
      <c r="D28" s="23"/>
      <c r="E28" s="873">
        <v>1</v>
      </c>
      <c r="F28" s="873">
        <v>2</v>
      </c>
      <c r="G28" s="873">
        <v>3</v>
      </c>
      <c r="H28" s="873">
        <v>4</v>
      </c>
      <c r="I28" s="873">
        <v>5</v>
      </c>
      <c r="J28" s="873">
        <v>6</v>
      </c>
      <c r="K28" s="873">
        <v>7</v>
      </c>
      <c r="L28" s="873">
        <v>8</v>
      </c>
      <c r="M28" s="873">
        <v>9</v>
      </c>
      <c r="N28" s="873">
        <v>10</v>
      </c>
      <c r="O28" s="873">
        <v>11</v>
      </c>
      <c r="P28" s="873">
        <v>12</v>
      </c>
      <c r="Q28" s="873">
        <v>13</v>
      </c>
      <c r="R28" s="873">
        <v>14</v>
      </c>
      <c r="S28" s="873">
        <v>15</v>
      </c>
      <c r="T28" s="873">
        <v>16</v>
      </c>
      <c r="U28" s="873">
        <v>17</v>
      </c>
      <c r="V28" s="873">
        <v>18</v>
      </c>
      <c r="W28" s="873">
        <v>19</v>
      </c>
      <c r="X28" s="873">
        <v>20</v>
      </c>
      <c r="Y28" s="873">
        <v>21</v>
      </c>
      <c r="Z28" s="873">
        <v>22</v>
      </c>
      <c r="AA28" s="873">
        <v>23</v>
      </c>
      <c r="AB28" s="873">
        <v>24</v>
      </c>
      <c r="AC28" s="874">
        <v>25</v>
      </c>
    </row>
    <row r="29" spans="3:29" x14ac:dyDescent="0.25">
      <c r="C29" s="845" t="s">
        <v>922</v>
      </c>
      <c r="D29" s="845" t="s">
        <v>898</v>
      </c>
      <c r="E29" s="845" t="s">
        <v>108</v>
      </c>
      <c r="F29" s="845" t="s">
        <v>61</v>
      </c>
      <c r="G29" s="846" t="s">
        <v>899</v>
      </c>
      <c r="H29" s="845" t="s">
        <v>898</v>
      </c>
      <c r="I29" s="845" t="s">
        <v>898</v>
      </c>
      <c r="J29" s="845" t="s">
        <v>898</v>
      </c>
      <c r="L29" s="859" t="s">
        <v>905</v>
      </c>
      <c r="M29" s="845" t="s">
        <v>907</v>
      </c>
      <c r="N29" s="442" t="s">
        <v>910</v>
      </c>
      <c r="O29" s="404" t="s">
        <v>911</v>
      </c>
      <c r="P29" s="442" t="s">
        <v>913</v>
      </c>
      <c r="Q29" s="442" t="s">
        <v>6</v>
      </c>
      <c r="S29" s="845" t="s">
        <v>906</v>
      </c>
      <c r="T29" s="845" t="s">
        <v>907</v>
      </c>
      <c r="U29" s="442" t="s">
        <v>801</v>
      </c>
      <c r="V29" s="404" t="s">
        <v>911</v>
      </c>
      <c r="W29" s="442" t="s">
        <v>913</v>
      </c>
      <c r="X29" s="442" t="s">
        <v>6</v>
      </c>
      <c r="Y29" s="2"/>
      <c r="Z29" s="442" t="s">
        <v>915</v>
      </c>
      <c r="AA29" s="442" t="s">
        <v>605</v>
      </c>
      <c r="AB29" s="442" t="s">
        <v>919</v>
      </c>
      <c r="AC29" s="442" t="s">
        <v>898</v>
      </c>
    </row>
    <row r="30" spans="3:29" x14ac:dyDescent="0.25">
      <c r="C30" s="848">
        <f>MAX(C31:C69)</f>
        <v>39</v>
      </c>
      <c r="D30" s="848" t="s">
        <v>900</v>
      </c>
      <c r="E30" s="848" t="s">
        <v>901</v>
      </c>
      <c r="F30" s="848" t="s">
        <v>810</v>
      </c>
      <c r="G30" s="849" t="s">
        <v>902</v>
      </c>
      <c r="H30" s="848" t="s">
        <v>903</v>
      </c>
      <c r="I30" s="848" t="s">
        <v>897</v>
      </c>
      <c r="J30" s="848" t="s">
        <v>904</v>
      </c>
      <c r="L30" s="342"/>
      <c r="M30" s="52"/>
      <c r="N30" s="13"/>
      <c r="O30" s="52"/>
      <c r="P30" s="13" t="s">
        <v>911</v>
      </c>
      <c r="Q30" s="13" t="s">
        <v>914</v>
      </c>
      <c r="S30" s="13"/>
      <c r="T30" s="52"/>
      <c r="U30" s="13"/>
      <c r="V30" s="52"/>
      <c r="W30" s="13" t="s">
        <v>911</v>
      </c>
      <c r="X30" s="13" t="s">
        <v>914</v>
      </c>
      <c r="Y30" s="2"/>
      <c r="Z30" s="13" t="s">
        <v>898</v>
      </c>
      <c r="AA30" s="13" t="s">
        <v>920</v>
      </c>
      <c r="AB30" s="13" t="s">
        <v>918</v>
      </c>
      <c r="AC30" s="13" t="s">
        <v>921</v>
      </c>
    </row>
    <row r="31" spans="3:29" x14ac:dyDescent="0.25">
      <c r="C31" s="845">
        <f>IF(Z31&gt;0,1,0)</f>
        <v>1</v>
      </c>
      <c r="D31" s="851">
        <v>10</v>
      </c>
      <c r="E31" s="845">
        <v>1</v>
      </c>
      <c r="F31" s="851">
        <v>1</v>
      </c>
      <c r="G31" s="851">
        <v>1200</v>
      </c>
      <c r="H31" s="851">
        <v>800</v>
      </c>
      <c r="I31" s="851">
        <v>1</v>
      </c>
      <c r="J31" s="851">
        <v>0</v>
      </c>
      <c r="L31" s="340">
        <f t="shared" ref="L31:L69" si="2">G31/$D$4</f>
        <v>2.1543985637342908</v>
      </c>
      <c r="M31" s="12">
        <f>FLOOR(L31,1)</f>
        <v>2</v>
      </c>
      <c r="N31" s="860">
        <f>(1-(L31-M31))</f>
        <v>0.84560143626570916</v>
      </c>
      <c r="O31" s="861">
        <f>$D$4-((L31-M31)*$D$4)</f>
        <v>471</v>
      </c>
      <c r="P31" s="846">
        <f>$D$24*2</f>
        <v>160</v>
      </c>
      <c r="Q31" s="861">
        <f>IF(P31&gt;=O31,M31+1,M31)</f>
        <v>2</v>
      </c>
      <c r="S31" s="340">
        <f t="shared" ref="S31:S69" si="3">H31/$D$3</f>
        <v>2.21606648199446</v>
      </c>
      <c r="T31" s="12">
        <f>FLOOR(S31,1)</f>
        <v>2</v>
      </c>
      <c r="U31" s="860">
        <f>(1-(S31-T31))</f>
        <v>0.78393351800554001</v>
      </c>
      <c r="V31" s="861">
        <f>$D$3-((S31-T31)*$D$3)</f>
        <v>282.99999999999994</v>
      </c>
      <c r="W31" s="846">
        <f>$C$24*2</f>
        <v>120</v>
      </c>
      <c r="X31" s="861">
        <f>IF(W31&gt;=V31,T31+1,T31)</f>
        <v>2</v>
      </c>
      <c r="Y31" s="2"/>
      <c r="Z31" s="12">
        <f>Q31*X31</f>
        <v>4</v>
      </c>
      <c r="AA31" s="12">
        <f>Z31*$D$5</f>
        <v>0.80430800000000002</v>
      </c>
      <c r="AB31" s="12">
        <f>(G31/1000)*(H31/1000)</f>
        <v>0.96</v>
      </c>
      <c r="AC31" s="864">
        <f>IF(Z31&gt;0,AA31/AB31,0)</f>
        <v>0.83782083333333335</v>
      </c>
    </row>
    <row r="32" spans="3:29" x14ac:dyDescent="0.25">
      <c r="C32" s="850">
        <f>IF(Z32&gt;0,MAX(C31)+1,0)</f>
        <v>2</v>
      </c>
      <c r="D32" s="851">
        <v>20</v>
      </c>
      <c r="E32" s="850">
        <v>2</v>
      </c>
      <c r="F32" s="851">
        <v>1</v>
      </c>
      <c r="G32" s="851">
        <v>1200</v>
      </c>
      <c r="H32" s="851">
        <v>1000</v>
      </c>
      <c r="I32" s="851">
        <v>0</v>
      </c>
      <c r="J32" s="851">
        <v>1</v>
      </c>
      <c r="L32" s="340">
        <f t="shared" si="2"/>
        <v>2.1543985637342908</v>
      </c>
      <c r="M32" s="12">
        <f t="shared" ref="M32:M69" si="4">FLOOR(L32,1)</f>
        <v>2</v>
      </c>
      <c r="N32" s="860">
        <f t="shared" ref="N32:N69" si="5">(1-(L32-M32))</f>
        <v>0.84560143626570916</v>
      </c>
      <c r="O32" s="861">
        <f>$D$4-((L32-M32)*$D$4)</f>
        <v>471</v>
      </c>
      <c r="P32" s="861">
        <f t="shared" ref="P32:P69" si="6">$D$24*2</f>
        <v>160</v>
      </c>
      <c r="Q32" s="861">
        <f t="shared" ref="Q32:Q69" si="7">IF(P32&gt;=O32,M32+1,M32)</f>
        <v>2</v>
      </c>
      <c r="S32" s="340">
        <f t="shared" si="3"/>
        <v>2.770083102493075</v>
      </c>
      <c r="T32" s="12">
        <f t="shared" ref="T32:T69" si="8">FLOOR(S32,1)</f>
        <v>2</v>
      </c>
      <c r="U32" s="860">
        <f t="shared" ref="U32:U69" si="9">(1-(S32-T32))</f>
        <v>0.22991689750692501</v>
      </c>
      <c r="V32" s="861">
        <f t="shared" ref="V32:V69" si="10">$D$3-((S32-T32)*$D$3)</f>
        <v>82.999999999999943</v>
      </c>
      <c r="W32" s="861">
        <f t="shared" ref="W32:W69" si="11">$C$24*2</f>
        <v>120</v>
      </c>
      <c r="X32" s="861">
        <f t="shared" ref="X32:X69" si="12">IF(W32&gt;=V32,T32+1,T32)</f>
        <v>3</v>
      </c>
      <c r="Y32" s="2"/>
      <c r="Z32" s="12">
        <f t="shared" ref="Z32:Z69" si="13">Q32*X32</f>
        <v>6</v>
      </c>
      <c r="AA32" s="12">
        <f>Z32*$D$5</f>
        <v>1.2064620000000001</v>
      </c>
      <c r="AB32" s="12">
        <f t="shared" ref="AB32:AB69" si="14">(G32/1000)*(H32/1000)</f>
        <v>1.2</v>
      </c>
      <c r="AC32" s="864">
        <f t="shared" ref="AC32:AC69" si="15">IF(Z32&gt;0,AA32/AB32,0)</f>
        <v>1.0053850000000002</v>
      </c>
    </row>
    <row r="33" spans="3:29" x14ac:dyDescent="0.25">
      <c r="C33" s="850">
        <f>IF(Z33&gt;0,MAX(C31:C32)+1,0)</f>
        <v>3</v>
      </c>
      <c r="D33" s="851">
        <v>10</v>
      </c>
      <c r="E33" s="850">
        <v>3</v>
      </c>
      <c r="F33" s="851">
        <v>2</v>
      </c>
      <c r="G33" s="852">
        <v>1600</v>
      </c>
      <c r="H33" s="851">
        <v>1200</v>
      </c>
      <c r="I33" s="851">
        <v>2</v>
      </c>
      <c r="J33" s="851">
        <v>0</v>
      </c>
      <c r="L33" s="340">
        <f t="shared" si="2"/>
        <v>2.8725314183123878</v>
      </c>
      <c r="M33" s="12">
        <f t="shared" si="4"/>
        <v>2</v>
      </c>
      <c r="N33" s="860">
        <f t="shared" si="5"/>
        <v>0.12746858168761221</v>
      </c>
      <c r="O33" s="861">
        <f t="shared" ref="O33:O68" si="16">$D$4-((L33-M33)*$D$4)</f>
        <v>71</v>
      </c>
      <c r="P33" s="861">
        <f t="shared" si="6"/>
        <v>160</v>
      </c>
      <c r="Q33" s="861">
        <f t="shared" si="7"/>
        <v>3</v>
      </c>
      <c r="S33" s="340">
        <f t="shared" si="3"/>
        <v>3.3240997229916895</v>
      </c>
      <c r="T33" s="12">
        <f t="shared" si="8"/>
        <v>3</v>
      </c>
      <c r="U33" s="860">
        <f t="shared" si="9"/>
        <v>0.67590027700831046</v>
      </c>
      <c r="V33" s="861">
        <f t="shared" si="10"/>
        <v>244.00000000000006</v>
      </c>
      <c r="W33" s="861">
        <f t="shared" si="11"/>
        <v>120</v>
      </c>
      <c r="X33" s="861">
        <f t="shared" si="12"/>
        <v>3</v>
      </c>
      <c r="Y33" s="2"/>
      <c r="Z33" s="12">
        <f t="shared" si="13"/>
        <v>9</v>
      </c>
      <c r="AA33" s="12">
        <f t="shared" ref="AA33:AA69" si="17">Z33*$D$5</f>
        <v>1.809693</v>
      </c>
      <c r="AB33" s="12">
        <f t="shared" si="14"/>
        <v>1.92</v>
      </c>
      <c r="AC33" s="864">
        <f t="shared" si="15"/>
        <v>0.94254843750000006</v>
      </c>
    </row>
    <row r="34" spans="3:29" x14ac:dyDescent="0.25">
      <c r="C34" s="850">
        <f>IF(Z34&gt;0,MAX(C31:C33)+1,0)</f>
        <v>4</v>
      </c>
      <c r="D34" s="851">
        <v>10</v>
      </c>
      <c r="E34" s="850">
        <v>4</v>
      </c>
      <c r="F34" s="851">
        <v>2</v>
      </c>
      <c r="G34" s="851">
        <v>2400</v>
      </c>
      <c r="H34" s="851">
        <v>800</v>
      </c>
      <c r="I34" s="851">
        <v>2</v>
      </c>
      <c r="J34" s="851">
        <v>0</v>
      </c>
      <c r="L34" s="340">
        <f t="shared" si="2"/>
        <v>4.3087971274685817</v>
      </c>
      <c r="M34" s="12">
        <f t="shared" si="4"/>
        <v>4</v>
      </c>
      <c r="N34" s="860">
        <f t="shared" si="5"/>
        <v>0.69120287253141832</v>
      </c>
      <c r="O34" s="861">
        <f t="shared" si="16"/>
        <v>385</v>
      </c>
      <c r="P34" s="861">
        <f t="shared" si="6"/>
        <v>160</v>
      </c>
      <c r="Q34" s="861">
        <f t="shared" si="7"/>
        <v>4</v>
      </c>
      <c r="S34" s="340">
        <f t="shared" si="3"/>
        <v>2.21606648199446</v>
      </c>
      <c r="T34" s="12">
        <f t="shared" si="8"/>
        <v>2</v>
      </c>
      <c r="U34" s="860">
        <f t="shared" si="9"/>
        <v>0.78393351800554001</v>
      </c>
      <c r="V34" s="861">
        <f t="shared" si="10"/>
        <v>282.99999999999994</v>
      </c>
      <c r="W34" s="861">
        <f t="shared" si="11"/>
        <v>120</v>
      </c>
      <c r="X34" s="861">
        <f t="shared" si="12"/>
        <v>2</v>
      </c>
      <c r="Y34" s="2"/>
      <c r="Z34" s="12">
        <f t="shared" si="13"/>
        <v>8</v>
      </c>
      <c r="AA34" s="12">
        <f t="shared" si="17"/>
        <v>1.608616</v>
      </c>
      <c r="AB34" s="12">
        <f t="shared" si="14"/>
        <v>1.92</v>
      </c>
      <c r="AC34" s="864">
        <f t="shared" si="15"/>
        <v>0.83782083333333335</v>
      </c>
    </row>
    <row r="35" spans="3:29" x14ac:dyDescent="0.25">
      <c r="C35" s="850">
        <f>IF(Z35&gt;0,MAX(C31:C34)+1,0)</f>
        <v>5</v>
      </c>
      <c r="D35" s="851">
        <v>20</v>
      </c>
      <c r="E35" s="850">
        <v>5</v>
      </c>
      <c r="F35" s="851">
        <v>2</v>
      </c>
      <c r="G35" s="851">
        <v>2000</v>
      </c>
      <c r="H35" s="851">
        <v>1200</v>
      </c>
      <c r="I35" s="851">
        <v>0</v>
      </c>
      <c r="J35" s="851">
        <v>2</v>
      </c>
      <c r="L35" s="340">
        <f t="shared" si="2"/>
        <v>3.5906642728904847</v>
      </c>
      <c r="M35" s="12">
        <f t="shared" si="4"/>
        <v>3</v>
      </c>
      <c r="N35" s="860">
        <f t="shared" si="5"/>
        <v>0.40933572710951527</v>
      </c>
      <c r="O35" s="861">
        <f t="shared" si="16"/>
        <v>228</v>
      </c>
      <c r="P35" s="861">
        <f t="shared" si="6"/>
        <v>160</v>
      </c>
      <c r="Q35" s="861">
        <f t="shared" si="7"/>
        <v>3</v>
      </c>
      <c r="S35" s="340">
        <f t="shared" si="3"/>
        <v>3.3240997229916895</v>
      </c>
      <c r="T35" s="12">
        <f t="shared" si="8"/>
        <v>3</v>
      </c>
      <c r="U35" s="860">
        <f t="shared" si="9"/>
        <v>0.67590027700831046</v>
      </c>
      <c r="V35" s="861">
        <f t="shared" si="10"/>
        <v>244.00000000000006</v>
      </c>
      <c r="W35" s="861">
        <f t="shared" si="11"/>
        <v>120</v>
      </c>
      <c r="X35" s="861">
        <f t="shared" si="12"/>
        <v>3</v>
      </c>
      <c r="Y35" s="2"/>
      <c r="Z35" s="12">
        <f t="shared" si="13"/>
        <v>9</v>
      </c>
      <c r="AA35" s="12">
        <f t="shared" si="17"/>
        <v>1.809693</v>
      </c>
      <c r="AB35" s="12">
        <f t="shared" si="14"/>
        <v>2.4</v>
      </c>
      <c r="AC35" s="864">
        <f t="shared" si="15"/>
        <v>0.75403874999999998</v>
      </c>
    </row>
    <row r="36" spans="3:29" x14ac:dyDescent="0.25">
      <c r="C36" s="850">
        <f>IF(Z36&gt;0,MAX(C31:C35)+1,0)</f>
        <v>6</v>
      </c>
      <c r="D36" s="851">
        <v>20</v>
      </c>
      <c r="E36" s="850">
        <v>6</v>
      </c>
      <c r="F36" s="851">
        <v>2</v>
      </c>
      <c r="G36" s="851">
        <v>2400</v>
      </c>
      <c r="H36" s="851">
        <v>1000</v>
      </c>
      <c r="I36" s="851">
        <v>0</v>
      </c>
      <c r="J36" s="851">
        <v>2</v>
      </c>
      <c r="L36" s="340">
        <f t="shared" si="2"/>
        <v>4.3087971274685817</v>
      </c>
      <c r="M36" s="12">
        <f t="shared" si="4"/>
        <v>4</v>
      </c>
      <c r="N36" s="860">
        <f t="shared" si="5"/>
        <v>0.69120287253141832</v>
      </c>
      <c r="O36" s="861">
        <f t="shared" si="16"/>
        <v>385</v>
      </c>
      <c r="P36" s="861">
        <f t="shared" si="6"/>
        <v>160</v>
      </c>
      <c r="Q36" s="861">
        <f t="shared" si="7"/>
        <v>4</v>
      </c>
      <c r="S36" s="340">
        <f t="shared" si="3"/>
        <v>2.770083102493075</v>
      </c>
      <c r="T36" s="12">
        <f t="shared" si="8"/>
        <v>2</v>
      </c>
      <c r="U36" s="860">
        <f t="shared" si="9"/>
        <v>0.22991689750692501</v>
      </c>
      <c r="V36" s="861">
        <f t="shared" si="10"/>
        <v>82.999999999999943</v>
      </c>
      <c r="W36" s="861">
        <f t="shared" si="11"/>
        <v>120</v>
      </c>
      <c r="X36" s="861">
        <f t="shared" si="12"/>
        <v>3</v>
      </c>
      <c r="Y36" s="2"/>
      <c r="Z36" s="12">
        <f t="shared" si="13"/>
        <v>12</v>
      </c>
      <c r="AA36" s="12">
        <f t="shared" si="17"/>
        <v>2.4129240000000003</v>
      </c>
      <c r="AB36" s="12">
        <f t="shared" si="14"/>
        <v>2.4</v>
      </c>
      <c r="AC36" s="864">
        <f t="shared" si="15"/>
        <v>1.0053850000000002</v>
      </c>
    </row>
    <row r="37" spans="3:29" x14ac:dyDescent="0.25">
      <c r="C37" s="850">
        <f>IF(Z37&gt;0,MAX(C31:C36)+1,0)</f>
        <v>7</v>
      </c>
      <c r="D37" s="851">
        <v>10</v>
      </c>
      <c r="E37" s="850">
        <v>7</v>
      </c>
      <c r="F37" s="851">
        <v>3</v>
      </c>
      <c r="G37" s="851">
        <v>2400</v>
      </c>
      <c r="H37" s="851">
        <v>1200</v>
      </c>
      <c r="I37" s="851">
        <v>3</v>
      </c>
      <c r="J37" s="851">
        <v>0</v>
      </c>
      <c r="L37" s="340">
        <f t="shared" si="2"/>
        <v>4.3087971274685817</v>
      </c>
      <c r="M37" s="12">
        <f t="shared" si="4"/>
        <v>4</v>
      </c>
      <c r="N37" s="860">
        <f t="shared" si="5"/>
        <v>0.69120287253141832</v>
      </c>
      <c r="O37" s="861">
        <f t="shared" si="16"/>
        <v>385</v>
      </c>
      <c r="P37" s="861">
        <f t="shared" si="6"/>
        <v>160</v>
      </c>
      <c r="Q37" s="861">
        <f t="shared" si="7"/>
        <v>4</v>
      </c>
      <c r="S37" s="340">
        <f t="shared" si="3"/>
        <v>3.3240997229916895</v>
      </c>
      <c r="T37" s="12">
        <f t="shared" si="8"/>
        <v>3</v>
      </c>
      <c r="U37" s="860">
        <f t="shared" si="9"/>
        <v>0.67590027700831046</v>
      </c>
      <c r="V37" s="861">
        <f t="shared" si="10"/>
        <v>244.00000000000006</v>
      </c>
      <c r="W37" s="861">
        <f t="shared" si="11"/>
        <v>120</v>
      </c>
      <c r="X37" s="861">
        <f t="shared" si="12"/>
        <v>3</v>
      </c>
      <c r="Y37" s="2"/>
      <c r="Z37" s="12">
        <f t="shared" si="13"/>
        <v>12</v>
      </c>
      <c r="AA37" s="12">
        <f t="shared" si="17"/>
        <v>2.4129240000000003</v>
      </c>
      <c r="AB37" s="12">
        <f t="shared" si="14"/>
        <v>2.88</v>
      </c>
      <c r="AC37" s="864">
        <f t="shared" si="15"/>
        <v>0.83782083333333346</v>
      </c>
    </row>
    <row r="38" spans="3:29" x14ac:dyDescent="0.25">
      <c r="C38" s="850">
        <f>IF(Z38&gt;0,MAX(C31:C37)+1,0)</f>
        <v>8</v>
      </c>
      <c r="D38" s="851">
        <v>10</v>
      </c>
      <c r="E38" s="850">
        <v>8</v>
      </c>
      <c r="F38" s="851">
        <v>3</v>
      </c>
      <c r="G38" s="851">
        <v>3600</v>
      </c>
      <c r="H38" s="851">
        <v>800</v>
      </c>
      <c r="I38" s="851">
        <v>3</v>
      </c>
      <c r="J38" s="851">
        <v>0</v>
      </c>
      <c r="L38" s="340">
        <f t="shared" si="2"/>
        <v>6.4631956912028725</v>
      </c>
      <c r="M38" s="12">
        <f t="shared" si="4"/>
        <v>6</v>
      </c>
      <c r="N38" s="860">
        <f t="shared" si="5"/>
        <v>0.53680430879712748</v>
      </c>
      <c r="O38" s="861">
        <f t="shared" si="16"/>
        <v>299</v>
      </c>
      <c r="P38" s="861">
        <f t="shared" si="6"/>
        <v>160</v>
      </c>
      <c r="Q38" s="861">
        <f t="shared" si="7"/>
        <v>6</v>
      </c>
      <c r="S38" s="340">
        <f t="shared" si="3"/>
        <v>2.21606648199446</v>
      </c>
      <c r="T38" s="12">
        <f t="shared" si="8"/>
        <v>2</v>
      </c>
      <c r="U38" s="860">
        <f t="shared" si="9"/>
        <v>0.78393351800554001</v>
      </c>
      <c r="V38" s="861">
        <f t="shared" si="10"/>
        <v>282.99999999999994</v>
      </c>
      <c r="W38" s="861">
        <f t="shared" si="11"/>
        <v>120</v>
      </c>
      <c r="X38" s="861">
        <f t="shared" si="12"/>
        <v>2</v>
      </c>
      <c r="Y38" s="2"/>
      <c r="Z38" s="12">
        <f t="shared" si="13"/>
        <v>12</v>
      </c>
      <c r="AA38" s="12">
        <f t="shared" si="17"/>
        <v>2.4129240000000003</v>
      </c>
      <c r="AB38" s="12">
        <f t="shared" si="14"/>
        <v>2.8800000000000003</v>
      </c>
      <c r="AC38" s="864">
        <f t="shared" si="15"/>
        <v>0.83782083333333335</v>
      </c>
    </row>
    <row r="39" spans="3:29" x14ac:dyDescent="0.25">
      <c r="C39" s="850">
        <f>IF(Z39&gt;0,MAX(C31:C38)+1,0)</f>
        <v>9</v>
      </c>
      <c r="D39" s="851">
        <v>20</v>
      </c>
      <c r="E39" s="850">
        <v>9</v>
      </c>
      <c r="F39" s="851">
        <v>3</v>
      </c>
      <c r="G39" s="851">
        <v>3000</v>
      </c>
      <c r="H39" s="851">
        <v>1200</v>
      </c>
      <c r="I39" s="851">
        <v>0</v>
      </c>
      <c r="J39" s="851">
        <v>3</v>
      </c>
      <c r="L39" s="340">
        <f t="shared" si="2"/>
        <v>5.3859964093357275</v>
      </c>
      <c r="M39" s="12">
        <f t="shared" si="4"/>
        <v>5</v>
      </c>
      <c r="N39" s="860">
        <f t="shared" si="5"/>
        <v>0.61400359066427246</v>
      </c>
      <c r="O39" s="861">
        <f t="shared" si="16"/>
        <v>341.99999999999977</v>
      </c>
      <c r="P39" s="861">
        <f t="shared" si="6"/>
        <v>160</v>
      </c>
      <c r="Q39" s="861">
        <f t="shared" si="7"/>
        <v>5</v>
      </c>
      <c r="S39" s="340">
        <f t="shared" si="3"/>
        <v>3.3240997229916895</v>
      </c>
      <c r="T39" s="12">
        <f t="shared" si="8"/>
        <v>3</v>
      </c>
      <c r="U39" s="860">
        <f t="shared" si="9"/>
        <v>0.67590027700831046</v>
      </c>
      <c r="V39" s="861">
        <f t="shared" si="10"/>
        <v>244.00000000000006</v>
      </c>
      <c r="W39" s="861">
        <f t="shared" si="11"/>
        <v>120</v>
      </c>
      <c r="X39" s="861">
        <f t="shared" si="12"/>
        <v>3</v>
      </c>
      <c r="Y39" s="2"/>
      <c r="Z39" s="12">
        <f t="shared" si="13"/>
        <v>15</v>
      </c>
      <c r="AA39" s="12">
        <f t="shared" si="17"/>
        <v>3.0161549999999999</v>
      </c>
      <c r="AB39" s="12">
        <f t="shared" si="14"/>
        <v>3.5999999999999996</v>
      </c>
      <c r="AC39" s="864">
        <f t="shared" si="15"/>
        <v>0.83782083333333335</v>
      </c>
    </row>
    <row r="40" spans="3:29" x14ac:dyDescent="0.25">
      <c r="C40" s="850">
        <f>IF(Z40&gt;0,MAX(C31:C39)+1,0)</f>
        <v>10</v>
      </c>
      <c r="D40" s="851">
        <v>20</v>
      </c>
      <c r="E40" s="850">
        <v>10</v>
      </c>
      <c r="F40" s="851">
        <v>3</v>
      </c>
      <c r="G40" s="851">
        <v>3600</v>
      </c>
      <c r="H40" s="851">
        <v>1000</v>
      </c>
      <c r="I40" s="851">
        <v>0</v>
      </c>
      <c r="J40" s="851">
        <v>3</v>
      </c>
      <c r="L40" s="340">
        <f t="shared" si="2"/>
        <v>6.4631956912028725</v>
      </c>
      <c r="M40" s="12">
        <f t="shared" si="4"/>
        <v>6</v>
      </c>
      <c r="N40" s="860">
        <f t="shared" si="5"/>
        <v>0.53680430879712748</v>
      </c>
      <c r="O40" s="861">
        <f t="shared" si="16"/>
        <v>299</v>
      </c>
      <c r="P40" s="861">
        <f t="shared" si="6"/>
        <v>160</v>
      </c>
      <c r="Q40" s="861">
        <f t="shared" si="7"/>
        <v>6</v>
      </c>
      <c r="S40" s="340">
        <f t="shared" si="3"/>
        <v>2.770083102493075</v>
      </c>
      <c r="T40" s="12">
        <f t="shared" si="8"/>
        <v>2</v>
      </c>
      <c r="U40" s="860">
        <f t="shared" si="9"/>
        <v>0.22991689750692501</v>
      </c>
      <c r="V40" s="861">
        <f t="shared" si="10"/>
        <v>82.999999999999943</v>
      </c>
      <c r="W40" s="861">
        <f t="shared" si="11"/>
        <v>120</v>
      </c>
      <c r="X40" s="861">
        <f t="shared" si="12"/>
        <v>3</v>
      </c>
      <c r="Y40" s="2"/>
      <c r="Z40" s="12">
        <f t="shared" si="13"/>
        <v>18</v>
      </c>
      <c r="AA40" s="12">
        <f t="shared" si="17"/>
        <v>3.619386</v>
      </c>
      <c r="AB40" s="12">
        <f t="shared" si="14"/>
        <v>3.6</v>
      </c>
      <c r="AC40" s="864">
        <f t="shared" si="15"/>
        <v>1.005385</v>
      </c>
    </row>
    <row r="41" spans="3:29" x14ac:dyDescent="0.25">
      <c r="C41" s="850">
        <f>IF(Z41&gt;0,MAX(C31:C40)+1,0)</f>
        <v>11</v>
      </c>
      <c r="D41" s="851">
        <v>10</v>
      </c>
      <c r="E41" s="850">
        <v>11</v>
      </c>
      <c r="F41" s="851">
        <v>4</v>
      </c>
      <c r="G41" s="851">
        <v>2400</v>
      </c>
      <c r="H41" s="851">
        <v>1600</v>
      </c>
      <c r="I41" s="851">
        <v>4</v>
      </c>
      <c r="J41" s="851">
        <v>0</v>
      </c>
      <c r="L41" s="340">
        <f t="shared" si="2"/>
        <v>4.3087971274685817</v>
      </c>
      <c r="M41" s="12">
        <f t="shared" si="4"/>
        <v>4</v>
      </c>
      <c r="N41" s="860">
        <f t="shared" si="5"/>
        <v>0.69120287253141832</v>
      </c>
      <c r="O41" s="861">
        <f t="shared" si="16"/>
        <v>385</v>
      </c>
      <c r="P41" s="861">
        <f t="shared" si="6"/>
        <v>160</v>
      </c>
      <c r="Q41" s="861">
        <f t="shared" si="7"/>
        <v>4</v>
      </c>
      <c r="S41" s="340">
        <f t="shared" si="3"/>
        <v>4.43213296398892</v>
      </c>
      <c r="T41" s="12">
        <f t="shared" si="8"/>
        <v>4</v>
      </c>
      <c r="U41" s="860">
        <f t="shared" si="9"/>
        <v>0.56786703601108002</v>
      </c>
      <c r="V41" s="861">
        <f t="shared" si="10"/>
        <v>204.99999999999989</v>
      </c>
      <c r="W41" s="861">
        <f t="shared" si="11"/>
        <v>120</v>
      </c>
      <c r="X41" s="861">
        <f t="shared" si="12"/>
        <v>4</v>
      </c>
      <c r="Y41" s="2"/>
      <c r="Z41" s="12">
        <f t="shared" si="13"/>
        <v>16</v>
      </c>
      <c r="AA41" s="12">
        <f t="shared" si="17"/>
        <v>3.2172320000000001</v>
      </c>
      <c r="AB41" s="12">
        <f t="shared" si="14"/>
        <v>3.84</v>
      </c>
      <c r="AC41" s="864">
        <f t="shared" si="15"/>
        <v>0.83782083333333335</v>
      </c>
    </row>
    <row r="42" spans="3:29" x14ac:dyDescent="0.25">
      <c r="C42" s="850">
        <f>IF(Z42&gt;0,MAX(C31:C41)+1,0)</f>
        <v>12</v>
      </c>
      <c r="D42" s="851">
        <v>10</v>
      </c>
      <c r="E42" s="850">
        <v>12</v>
      </c>
      <c r="F42" s="851">
        <v>4</v>
      </c>
      <c r="G42" s="851">
        <v>3200</v>
      </c>
      <c r="H42" s="851">
        <v>1200</v>
      </c>
      <c r="I42" s="851">
        <v>4</v>
      </c>
      <c r="J42" s="851">
        <v>0</v>
      </c>
      <c r="L42" s="340">
        <f t="shared" si="2"/>
        <v>5.7450628366247756</v>
      </c>
      <c r="M42" s="12">
        <f t="shared" si="4"/>
        <v>5</v>
      </c>
      <c r="N42" s="860">
        <f t="shared" si="5"/>
        <v>0.25493716337522443</v>
      </c>
      <c r="O42" s="861">
        <f t="shared" si="16"/>
        <v>142</v>
      </c>
      <c r="P42" s="861">
        <f t="shared" si="6"/>
        <v>160</v>
      </c>
      <c r="Q42" s="861">
        <f t="shared" si="7"/>
        <v>6</v>
      </c>
      <c r="S42" s="340">
        <f t="shared" si="3"/>
        <v>3.3240997229916895</v>
      </c>
      <c r="T42" s="12">
        <f t="shared" si="8"/>
        <v>3</v>
      </c>
      <c r="U42" s="860">
        <f t="shared" si="9"/>
        <v>0.67590027700831046</v>
      </c>
      <c r="V42" s="861">
        <f t="shared" si="10"/>
        <v>244.00000000000006</v>
      </c>
      <c r="W42" s="861">
        <f t="shared" si="11"/>
        <v>120</v>
      </c>
      <c r="X42" s="861">
        <f t="shared" si="12"/>
        <v>3</v>
      </c>
      <c r="Y42" s="2"/>
      <c r="Z42" s="12">
        <f t="shared" si="13"/>
        <v>18</v>
      </c>
      <c r="AA42" s="12">
        <f t="shared" si="17"/>
        <v>3.619386</v>
      </c>
      <c r="AB42" s="12">
        <f t="shared" si="14"/>
        <v>3.84</v>
      </c>
      <c r="AC42" s="864">
        <f t="shared" si="15"/>
        <v>0.94254843750000006</v>
      </c>
    </row>
    <row r="43" spans="3:29" x14ac:dyDescent="0.25">
      <c r="C43" s="850">
        <f>IF(Z43&gt;0,MAX(C31:C42)+1,0)</f>
        <v>13</v>
      </c>
      <c r="D43" s="851">
        <v>10</v>
      </c>
      <c r="E43" s="850">
        <v>13</v>
      </c>
      <c r="F43" s="851">
        <v>4</v>
      </c>
      <c r="G43" s="851">
        <v>4800</v>
      </c>
      <c r="H43" s="851">
        <v>800</v>
      </c>
      <c r="I43" s="851">
        <v>4</v>
      </c>
      <c r="J43" s="851">
        <v>0</v>
      </c>
      <c r="L43" s="340">
        <f t="shared" si="2"/>
        <v>8.6175942549371634</v>
      </c>
      <c r="M43" s="12">
        <f t="shared" si="4"/>
        <v>8</v>
      </c>
      <c r="N43" s="860">
        <f t="shared" si="5"/>
        <v>0.38240574506283664</v>
      </c>
      <c r="O43" s="861">
        <f t="shared" si="16"/>
        <v>213</v>
      </c>
      <c r="P43" s="861">
        <f t="shared" si="6"/>
        <v>160</v>
      </c>
      <c r="Q43" s="861">
        <f t="shared" si="7"/>
        <v>8</v>
      </c>
      <c r="S43" s="340">
        <f t="shared" si="3"/>
        <v>2.21606648199446</v>
      </c>
      <c r="T43" s="12">
        <f t="shared" si="8"/>
        <v>2</v>
      </c>
      <c r="U43" s="860">
        <f t="shared" si="9"/>
        <v>0.78393351800554001</v>
      </c>
      <c r="V43" s="861">
        <f t="shared" si="10"/>
        <v>282.99999999999994</v>
      </c>
      <c r="W43" s="861">
        <f t="shared" si="11"/>
        <v>120</v>
      </c>
      <c r="X43" s="861">
        <f t="shared" si="12"/>
        <v>2</v>
      </c>
      <c r="Y43" s="2"/>
      <c r="Z43" s="12">
        <f t="shared" si="13"/>
        <v>16</v>
      </c>
      <c r="AA43" s="12">
        <f t="shared" si="17"/>
        <v>3.2172320000000001</v>
      </c>
      <c r="AB43" s="12">
        <f t="shared" si="14"/>
        <v>3.84</v>
      </c>
      <c r="AC43" s="864">
        <f t="shared" si="15"/>
        <v>0.83782083333333335</v>
      </c>
    </row>
    <row r="44" spans="3:29" x14ac:dyDescent="0.25">
      <c r="C44" s="850">
        <f>IF(Z44&gt;0,MAX(C31:C43)+1,0)</f>
        <v>14</v>
      </c>
      <c r="D44" s="851">
        <v>20</v>
      </c>
      <c r="E44" s="850">
        <v>14</v>
      </c>
      <c r="F44" s="851">
        <v>4</v>
      </c>
      <c r="G44" s="851">
        <v>2400</v>
      </c>
      <c r="H44" s="851">
        <v>2000</v>
      </c>
      <c r="I44" s="851">
        <v>0</v>
      </c>
      <c r="J44" s="851">
        <v>4</v>
      </c>
      <c r="L44" s="340">
        <f t="shared" si="2"/>
        <v>4.3087971274685817</v>
      </c>
      <c r="M44" s="12">
        <f t="shared" si="4"/>
        <v>4</v>
      </c>
      <c r="N44" s="860">
        <f t="shared" si="5"/>
        <v>0.69120287253141832</v>
      </c>
      <c r="O44" s="861">
        <f t="shared" si="16"/>
        <v>385</v>
      </c>
      <c r="P44" s="861">
        <f t="shared" si="6"/>
        <v>160</v>
      </c>
      <c r="Q44" s="861">
        <f t="shared" si="7"/>
        <v>4</v>
      </c>
      <c r="S44" s="340">
        <f t="shared" si="3"/>
        <v>5.54016620498615</v>
      </c>
      <c r="T44" s="12">
        <f t="shared" si="8"/>
        <v>5</v>
      </c>
      <c r="U44" s="860">
        <f t="shared" si="9"/>
        <v>0.45983379501385002</v>
      </c>
      <c r="V44" s="861">
        <f t="shared" si="10"/>
        <v>165.99999999999986</v>
      </c>
      <c r="W44" s="861">
        <f t="shared" si="11"/>
        <v>120</v>
      </c>
      <c r="X44" s="861">
        <f t="shared" si="12"/>
        <v>5</v>
      </c>
      <c r="Y44" s="2"/>
      <c r="Z44" s="12">
        <f t="shared" si="13"/>
        <v>20</v>
      </c>
      <c r="AA44" s="12">
        <f t="shared" si="17"/>
        <v>4.0215399999999999</v>
      </c>
      <c r="AB44" s="12">
        <f t="shared" si="14"/>
        <v>4.8</v>
      </c>
      <c r="AC44" s="864">
        <f t="shared" si="15"/>
        <v>0.83782083333333335</v>
      </c>
    </row>
    <row r="45" spans="3:29" x14ac:dyDescent="0.25">
      <c r="C45" s="850">
        <f>IF(Z45&gt;0,MAX(C31:C44)+1,0)</f>
        <v>15</v>
      </c>
      <c r="D45" s="851">
        <v>20</v>
      </c>
      <c r="E45" s="850">
        <v>15</v>
      </c>
      <c r="F45" s="851">
        <v>4</v>
      </c>
      <c r="G45" s="851">
        <v>4000</v>
      </c>
      <c r="H45" s="851">
        <v>1200</v>
      </c>
      <c r="I45" s="851">
        <v>0</v>
      </c>
      <c r="J45" s="851">
        <v>4</v>
      </c>
      <c r="L45" s="340">
        <f t="shared" si="2"/>
        <v>7.1813285457809695</v>
      </c>
      <c r="M45" s="12">
        <f t="shared" si="4"/>
        <v>7</v>
      </c>
      <c r="N45" s="860">
        <f t="shared" si="5"/>
        <v>0.81867145421903054</v>
      </c>
      <c r="O45" s="861">
        <f t="shared" si="16"/>
        <v>456</v>
      </c>
      <c r="P45" s="861">
        <f t="shared" si="6"/>
        <v>160</v>
      </c>
      <c r="Q45" s="861">
        <f t="shared" si="7"/>
        <v>7</v>
      </c>
      <c r="S45" s="340">
        <f t="shared" si="3"/>
        <v>3.3240997229916895</v>
      </c>
      <c r="T45" s="12">
        <f t="shared" si="8"/>
        <v>3</v>
      </c>
      <c r="U45" s="860">
        <f t="shared" si="9"/>
        <v>0.67590027700831046</v>
      </c>
      <c r="V45" s="861">
        <f t="shared" si="10"/>
        <v>244.00000000000006</v>
      </c>
      <c r="W45" s="861">
        <f t="shared" si="11"/>
        <v>120</v>
      </c>
      <c r="X45" s="861">
        <f t="shared" si="12"/>
        <v>3</v>
      </c>
      <c r="Y45" s="2"/>
      <c r="Z45" s="12">
        <f t="shared" si="13"/>
        <v>21</v>
      </c>
      <c r="AA45" s="12">
        <f t="shared" si="17"/>
        <v>4.2226170000000005</v>
      </c>
      <c r="AB45" s="12">
        <f t="shared" si="14"/>
        <v>4.8</v>
      </c>
      <c r="AC45" s="864">
        <f t="shared" si="15"/>
        <v>0.87971187500000014</v>
      </c>
    </row>
    <row r="46" spans="3:29" x14ac:dyDescent="0.25">
      <c r="C46" s="850">
        <f>IF(Z46&gt;0,MAX(C31:C45)+1,0)</f>
        <v>16</v>
      </c>
      <c r="D46" s="851">
        <v>10</v>
      </c>
      <c r="E46" s="850">
        <v>16</v>
      </c>
      <c r="F46" s="851">
        <v>5</v>
      </c>
      <c r="G46" s="851">
        <v>4000</v>
      </c>
      <c r="H46" s="851">
        <v>1200</v>
      </c>
      <c r="I46" s="851">
        <v>5</v>
      </c>
      <c r="J46" s="851">
        <v>0</v>
      </c>
      <c r="L46" s="340">
        <f t="shared" si="2"/>
        <v>7.1813285457809695</v>
      </c>
      <c r="M46" s="12">
        <f t="shared" si="4"/>
        <v>7</v>
      </c>
      <c r="N46" s="860">
        <f t="shared" si="5"/>
        <v>0.81867145421903054</v>
      </c>
      <c r="O46" s="861">
        <f t="shared" si="16"/>
        <v>456</v>
      </c>
      <c r="P46" s="861">
        <f t="shared" si="6"/>
        <v>160</v>
      </c>
      <c r="Q46" s="861">
        <f t="shared" si="7"/>
        <v>7</v>
      </c>
      <c r="S46" s="340">
        <f t="shared" si="3"/>
        <v>3.3240997229916895</v>
      </c>
      <c r="T46" s="12">
        <f t="shared" si="8"/>
        <v>3</v>
      </c>
      <c r="U46" s="860">
        <f t="shared" si="9"/>
        <v>0.67590027700831046</v>
      </c>
      <c r="V46" s="861">
        <f t="shared" si="10"/>
        <v>244.00000000000006</v>
      </c>
      <c r="W46" s="861">
        <f t="shared" si="11"/>
        <v>120</v>
      </c>
      <c r="X46" s="861">
        <f t="shared" si="12"/>
        <v>3</v>
      </c>
      <c r="Y46" s="2"/>
      <c r="Z46" s="12">
        <f t="shared" si="13"/>
        <v>21</v>
      </c>
      <c r="AA46" s="12">
        <f t="shared" si="17"/>
        <v>4.2226170000000005</v>
      </c>
      <c r="AB46" s="12">
        <f t="shared" si="14"/>
        <v>4.8</v>
      </c>
      <c r="AC46" s="864">
        <f t="shared" si="15"/>
        <v>0.87971187500000014</v>
      </c>
    </row>
    <row r="47" spans="3:29" x14ac:dyDescent="0.25">
      <c r="C47" s="850">
        <f>IF(Z47&gt;0,MAX(C31:C46)+1,0)</f>
        <v>17</v>
      </c>
      <c r="D47" s="851">
        <v>20</v>
      </c>
      <c r="E47" s="850">
        <v>17</v>
      </c>
      <c r="F47" s="851">
        <v>4</v>
      </c>
      <c r="G47" s="851">
        <v>4800</v>
      </c>
      <c r="H47" s="851">
        <v>1000</v>
      </c>
      <c r="I47" s="851">
        <v>0</v>
      </c>
      <c r="J47" s="851">
        <v>4</v>
      </c>
      <c r="L47" s="340">
        <f t="shared" si="2"/>
        <v>8.6175942549371634</v>
      </c>
      <c r="M47" s="12">
        <f t="shared" si="4"/>
        <v>8</v>
      </c>
      <c r="N47" s="860">
        <f t="shared" si="5"/>
        <v>0.38240574506283664</v>
      </c>
      <c r="O47" s="861">
        <f t="shared" si="16"/>
        <v>213</v>
      </c>
      <c r="P47" s="861">
        <f t="shared" si="6"/>
        <v>160</v>
      </c>
      <c r="Q47" s="861">
        <f t="shared" si="7"/>
        <v>8</v>
      </c>
      <c r="S47" s="340">
        <f t="shared" si="3"/>
        <v>2.770083102493075</v>
      </c>
      <c r="T47" s="12">
        <f t="shared" si="8"/>
        <v>2</v>
      </c>
      <c r="U47" s="860">
        <f t="shared" si="9"/>
        <v>0.22991689750692501</v>
      </c>
      <c r="V47" s="861">
        <f t="shared" si="10"/>
        <v>82.999999999999943</v>
      </c>
      <c r="W47" s="861">
        <f t="shared" si="11"/>
        <v>120</v>
      </c>
      <c r="X47" s="861">
        <f t="shared" si="12"/>
        <v>3</v>
      </c>
      <c r="Y47" s="2"/>
      <c r="Z47" s="12">
        <f t="shared" si="13"/>
        <v>24</v>
      </c>
      <c r="AA47" s="12">
        <f t="shared" si="17"/>
        <v>4.8258480000000006</v>
      </c>
      <c r="AB47" s="12">
        <f t="shared" si="14"/>
        <v>4.8</v>
      </c>
      <c r="AC47" s="864">
        <f t="shared" si="15"/>
        <v>1.0053850000000002</v>
      </c>
    </row>
    <row r="48" spans="3:29" x14ac:dyDescent="0.25">
      <c r="C48" s="850">
        <f>IF(Z48&gt;0,MAX(C31:C47)+1,0)</f>
        <v>18</v>
      </c>
      <c r="D48" s="851">
        <v>10</v>
      </c>
      <c r="E48" s="850">
        <v>18</v>
      </c>
      <c r="F48" s="851">
        <v>5</v>
      </c>
      <c r="G48" s="851">
        <v>6000</v>
      </c>
      <c r="H48" s="851">
        <v>800</v>
      </c>
      <c r="I48" s="851">
        <v>5</v>
      </c>
      <c r="J48" s="851">
        <v>0</v>
      </c>
      <c r="L48" s="340">
        <f t="shared" si="2"/>
        <v>10.771992818671455</v>
      </c>
      <c r="M48" s="12">
        <f t="shared" si="4"/>
        <v>10</v>
      </c>
      <c r="N48" s="860">
        <f t="shared" si="5"/>
        <v>0.22800718132854492</v>
      </c>
      <c r="O48" s="861">
        <f t="shared" si="16"/>
        <v>126.99999999999955</v>
      </c>
      <c r="P48" s="861">
        <f t="shared" si="6"/>
        <v>160</v>
      </c>
      <c r="Q48" s="861">
        <f t="shared" si="7"/>
        <v>11</v>
      </c>
      <c r="S48" s="340">
        <f t="shared" si="3"/>
        <v>2.21606648199446</v>
      </c>
      <c r="T48" s="12">
        <f t="shared" si="8"/>
        <v>2</v>
      </c>
      <c r="U48" s="860">
        <f t="shared" si="9"/>
        <v>0.78393351800554001</v>
      </c>
      <c r="V48" s="861">
        <f t="shared" si="10"/>
        <v>282.99999999999994</v>
      </c>
      <c r="W48" s="861">
        <f t="shared" si="11"/>
        <v>120</v>
      </c>
      <c r="X48" s="861">
        <f t="shared" si="12"/>
        <v>2</v>
      </c>
      <c r="Y48" s="2"/>
      <c r="Z48" s="12">
        <f t="shared" si="13"/>
        <v>22</v>
      </c>
      <c r="AA48" s="12">
        <f t="shared" si="17"/>
        <v>4.4236940000000002</v>
      </c>
      <c r="AB48" s="12">
        <f t="shared" si="14"/>
        <v>4.8000000000000007</v>
      </c>
      <c r="AC48" s="864">
        <f t="shared" si="15"/>
        <v>0.92160291666666661</v>
      </c>
    </row>
    <row r="49" spans="3:29" x14ac:dyDescent="0.25">
      <c r="C49" s="850">
        <f>IF(Z49&gt;0,MAX(C31:C48)+1,0)</f>
        <v>19</v>
      </c>
      <c r="D49" s="851">
        <v>10</v>
      </c>
      <c r="E49" s="850">
        <v>19</v>
      </c>
      <c r="F49" s="851">
        <v>6</v>
      </c>
      <c r="G49" s="851">
        <v>2400</v>
      </c>
      <c r="H49" s="851">
        <v>2400</v>
      </c>
      <c r="I49" s="851">
        <v>6</v>
      </c>
      <c r="J49" s="851">
        <v>0</v>
      </c>
      <c r="L49" s="340">
        <f t="shared" si="2"/>
        <v>4.3087971274685817</v>
      </c>
      <c r="M49" s="12">
        <f t="shared" si="4"/>
        <v>4</v>
      </c>
      <c r="N49" s="860">
        <f t="shared" si="5"/>
        <v>0.69120287253141832</v>
      </c>
      <c r="O49" s="861">
        <f t="shared" si="16"/>
        <v>385</v>
      </c>
      <c r="P49" s="861">
        <f t="shared" si="6"/>
        <v>160</v>
      </c>
      <c r="Q49" s="861">
        <f t="shared" si="7"/>
        <v>4</v>
      </c>
      <c r="S49" s="340">
        <f t="shared" si="3"/>
        <v>6.6481994459833791</v>
      </c>
      <c r="T49" s="12">
        <f t="shared" si="8"/>
        <v>6</v>
      </c>
      <c r="U49" s="860">
        <f t="shared" si="9"/>
        <v>0.35180055401662091</v>
      </c>
      <c r="V49" s="861">
        <f t="shared" si="10"/>
        <v>127.00000000000014</v>
      </c>
      <c r="W49" s="861">
        <f t="shared" si="11"/>
        <v>120</v>
      </c>
      <c r="X49" s="861">
        <f t="shared" si="12"/>
        <v>6</v>
      </c>
      <c r="Y49" s="2"/>
      <c r="Z49" s="12">
        <f t="shared" si="13"/>
        <v>24</v>
      </c>
      <c r="AA49" s="12">
        <f t="shared" si="17"/>
        <v>4.8258480000000006</v>
      </c>
      <c r="AB49" s="12">
        <f t="shared" si="14"/>
        <v>5.76</v>
      </c>
      <c r="AC49" s="864">
        <f t="shared" si="15"/>
        <v>0.83782083333333346</v>
      </c>
    </row>
    <row r="50" spans="3:29" x14ac:dyDescent="0.25">
      <c r="C50" s="850">
        <f>IF(Z50&gt;0,MAX(C31:C49)+1,0)</f>
        <v>20</v>
      </c>
      <c r="D50" s="851">
        <v>10</v>
      </c>
      <c r="E50" s="850">
        <v>20</v>
      </c>
      <c r="F50" s="851">
        <v>6</v>
      </c>
      <c r="G50" s="851">
        <v>4800</v>
      </c>
      <c r="H50" s="851">
        <v>1200</v>
      </c>
      <c r="I50" s="851">
        <v>6</v>
      </c>
      <c r="J50" s="851">
        <v>0</v>
      </c>
      <c r="L50" s="340">
        <f t="shared" si="2"/>
        <v>8.6175942549371634</v>
      </c>
      <c r="M50" s="12">
        <f t="shared" si="4"/>
        <v>8</v>
      </c>
      <c r="N50" s="860">
        <f t="shared" si="5"/>
        <v>0.38240574506283664</v>
      </c>
      <c r="O50" s="861">
        <f t="shared" si="16"/>
        <v>213</v>
      </c>
      <c r="P50" s="861">
        <f t="shared" si="6"/>
        <v>160</v>
      </c>
      <c r="Q50" s="861">
        <f t="shared" si="7"/>
        <v>8</v>
      </c>
      <c r="S50" s="340">
        <f t="shared" si="3"/>
        <v>3.3240997229916895</v>
      </c>
      <c r="T50" s="12">
        <f t="shared" si="8"/>
        <v>3</v>
      </c>
      <c r="U50" s="860">
        <f t="shared" si="9"/>
        <v>0.67590027700831046</v>
      </c>
      <c r="V50" s="861">
        <f t="shared" si="10"/>
        <v>244.00000000000006</v>
      </c>
      <c r="W50" s="861">
        <f t="shared" si="11"/>
        <v>120</v>
      </c>
      <c r="X50" s="861">
        <f t="shared" si="12"/>
        <v>3</v>
      </c>
      <c r="Y50" s="2"/>
      <c r="Z50" s="12">
        <f t="shared" si="13"/>
        <v>24</v>
      </c>
      <c r="AA50" s="12">
        <f t="shared" si="17"/>
        <v>4.8258480000000006</v>
      </c>
      <c r="AB50" s="12">
        <f t="shared" si="14"/>
        <v>5.76</v>
      </c>
      <c r="AC50" s="864">
        <f t="shared" si="15"/>
        <v>0.83782083333333346</v>
      </c>
    </row>
    <row r="51" spans="3:29" x14ac:dyDescent="0.25">
      <c r="C51" s="850">
        <f>IF(Z51&gt;0,MAX(C31:C50)+1,0)</f>
        <v>21</v>
      </c>
      <c r="D51" s="851">
        <v>10</v>
      </c>
      <c r="E51" s="850">
        <v>21</v>
      </c>
      <c r="F51" s="851">
        <v>6</v>
      </c>
      <c r="G51" s="851">
        <v>3600</v>
      </c>
      <c r="H51" s="851">
        <v>1600</v>
      </c>
      <c r="I51" s="851">
        <v>6</v>
      </c>
      <c r="J51" s="851">
        <v>0</v>
      </c>
      <c r="L51" s="340">
        <f t="shared" si="2"/>
        <v>6.4631956912028725</v>
      </c>
      <c r="M51" s="12">
        <f t="shared" si="4"/>
        <v>6</v>
      </c>
      <c r="N51" s="860">
        <f t="shared" si="5"/>
        <v>0.53680430879712748</v>
      </c>
      <c r="O51" s="861">
        <f t="shared" si="16"/>
        <v>299</v>
      </c>
      <c r="P51" s="861">
        <f t="shared" si="6"/>
        <v>160</v>
      </c>
      <c r="Q51" s="861">
        <f t="shared" si="7"/>
        <v>6</v>
      </c>
      <c r="S51" s="340">
        <f t="shared" si="3"/>
        <v>4.43213296398892</v>
      </c>
      <c r="T51" s="12">
        <f t="shared" si="8"/>
        <v>4</v>
      </c>
      <c r="U51" s="860">
        <f t="shared" si="9"/>
        <v>0.56786703601108002</v>
      </c>
      <c r="V51" s="861">
        <f t="shared" si="10"/>
        <v>204.99999999999989</v>
      </c>
      <c r="W51" s="861">
        <f t="shared" si="11"/>
        <v>120</v>
      </c>
      <c r="X51" s="861">
        <f t="shared" si="12"/>
        <v>4</v>
      </c>
      <c r="Y51" s="2"/>
      <c r="Z51" s="12">
        <f t="shared" si="13"/>
        <v>24</v>
      </c>
      <c r="AA51" s="12">
        <f t="shared" si="17"/>
        <v>4.8258480000000006</v>
      </c>
      <c r="AB51" s="12">
        <f t="shared" si="14"/>
        <v>5.7600000000000007</v>
      </c>
      <c r="AC51" s="864">
        <f t="shared" si="15"/>
        <v>0.83782083333333335</v>
      </c>
    </row>
    <row r="52" spans="3:29" x14ac:dyDescent="0.25">
      <c r="C52" s="850">
        <f>IF(Z52&gt;0,MAX(C31:C51)+1,0)</f>
        <v>22</v>
      </c>
      <c r="D52" s="851">
        <v>20</v>
      </c>
      <c r="E52" s="850">
        <v>22</v>
      </c>
      <c r="F52" s="851">
        <v>5</v>
      </c>
      <c r="G52" s="851">
        <v>5000</v>
      </c>
      <c r="H52" s="851">
        <v>1200</v>
      </c>
      <c r="I52" s="851">
        <v>0</v>
      </c>
      <c r="J52" s="851">
        <v>5</v>
      </c>
      <c r="L52" s="340">
        <f t="shared" si="2"/>
        <v>8.9766606822262123</v>
      </c>
      <c r="M52" s="12">
        <f t="shared" si="4"/>
        <v>8</v>
      </c>
      <c r="N52" s="860">
        <f t="shared" si="5"/>
        <v>2.3339317773787727E-2</v>
      </c>
      <c r="O52" s="861">
        <f t="shared" si="16"/>
        <v>12.999999999999773</v>
      </c>
      <c r="P52" s="861">
        <f t="shared" si="6"/>
        <v>160</v>
      </c>
      <c r="Q52" s="861">
        <f t="shared" si="7"/>
        <v>9</v>
      </c>
      <c r="S52" s="340">
        <f t="shared" si="3"/>
        <v>3.3240997229916895</v>
      </c>
      <c r="T52" s="12">
        <f t="shared" si="8"/>
        <v>3</v>
      </c>
      <c r="U52" s="860">
        <f t="shared" si="9"/>
        <v>0.67590027700831046</v>
      </c>
      <c r="V52" s="861">
        <f t="shared" si="10"/>
        <v>244.00000000000006</v>
      </c>
      <c r="W52" s="861">
        <f t="shared" si="11"/>
        <v>120</v>
      </c>
      <c r="X52" s="861">
        <f t="shared" si="12"/>
        <v>3</v>
      </c>
      <c r="Y52" s="2"/>
      <c r="Z52" s="12">
        <f t="shared" si="13"/>
        <v>27</v>
      </c>
      <c r="AA52" s="12">
        <f t="shared" si="17"/>
        <v>5.4290789999999998</v>
      </c>
      <c r="AB52" s="12">
        <f t="shared" si="14"/>
        <v>6</v>
      </c>
      <c r="AC52" s="864">
        <f t="shared" si="15"/>
        <v>0.9048465</v>
      </c>
    </row>
    <row r="53" spans="3:29" x14ac:dyDescent="0.25">
      <c r="C53" s="850">
        <f>IF(Z53&gt;0,MAX(C31:C52)+1,0)</f>
        <v>23</v>
      </c>
      <c r="D53" s="851">
        <v>20</v>
      </c>
      <c r="E53" s="850">
        <v>23</v>
      </c>
      <c r="F53" s="851">
        <v>5</v>
      </c>
      <c r="G53" s="851">
        <v>6000</v>
      </c>
      <c r="H53" s="851">
        <v>1000</v>
      </c>
      <c r="I53" s="851">
        <v>0</v>
      </c>
      <c r="J53" s="851">
        <v>5</v>
      </c>
      <c r="L53" s="340">
        <f t="shared" si="2"/>
        <v>10.771992818671455</v>
      </c>
      <c r="M53" s="12">
        <f t="shared" si="4"/>
        <v>10</v>
      </c>
      <c r="N53" s="860">
        <f t="shared" si="5"/>
        <v>0.22800718132854492</v>
      </c>
      <c r="O53" s="861">
        <f t="shared" si="16"/>
        <v>126.99999999999955</v>
      </c>
      <c r="P53" s="861">
        <f t="shared" si="6"/>
        <v>160</v>
      </c>
      <c r="Q53" s="861">
        <f t="shared" si="7"/>
        <v>11</v>
      </c>
      <c r="S53" s="340">
        <f t="shared" si="3"/>
        <v>2.770083102493075</v>
      </c>
      <c r="T53" s="12">
        <f t="shared" si="8"/>
        <v>2</v>
      </c>
      <c r="U53" s="860">
        <f t="shared" si="9"/>
        <v>0.22991689750692501</v>
      </c>
      <c r="V53" s="861">
        <f t="shared" si="10"/>
        <v>82.999999999999943</v>
      </c>
      <c r="W53" s="861">
        <f t="shared" si="11"/>
        <v>120</v>
      </c>
      <c r="X53" s="861">
        <f t="shared" si="12"/>
        <v>3</v>
      </c>
      <c r="Y53" s="2"/>
      <c r="Z53" s="12">
        <f t="shared" si="13"/>
        <v>33</v>
      </c>
      <c r="AA53" s="12">
        <f t="shared" si="17"/>
        <v>6.6355409999999999</v>
      </c>
      <c r="AB53" s="12">
        <f t="shared" si="14"/>
        <v>6</v>
      </c>
      <c r="AC53" s="864">
        <f t="shared" si="15"/>
        <v>1.1059235000000001</v>
      </c>
    </row>
    <row r="54" spans="3:29" x14ac:dyDescent="0.25">
      <c r="C54" s="850">
        <f>IF(Z54&gt;0,MAX(C31:C53)+1,0)</f>
        <v>24</v>
      </c>
      <c r="D54" s="851">
        <v>20</v>
      </c>
      <c r="E54" s="850">
        <v>24</v>
      </c>
      <c r="F54" s="851">
        <v>6</v>
      </c>
      <c r="G54" s="851">
        <v>6000</v>
      </c>
      <c r="H54" s="851">
        <v>1200</v>
      </c>
      <c r="I54" s="851">
        <v>0</v>
      </c>
      <c r="J54" s="851">
        <v>6</v>
      </c>
      <c r="L54" s="340">
        <f t="shared" si="2"/>
        <v>10.771992818671455</v>
      </c>
      <c r="M54" s="12">
        <f t="shared" si="4"/>
        <v>10</v>
      </c>
      <c r="N54" s="860">
        <f t="shared" si="5"/>
        <v>0.22800718132854492</v>
      </c>
      <c r="O54" s="861">
        <f t="shared" si="16"/>
        <v>126.99999999999955</v>
      </c>
      <c r="P54" s="861">
        <f t="shared" si="6"/>
        <v>160</v>
      </c>
      <c r="Q54" s="861">
        <f t="shared" si="7"/>
        <v>11</v>
      </c>
      <c r="S54" s="340">
        <f t="shared" si="3"/>
        <v>3.3240997229916895</v>
      </c>
      <c r="T54" s="12">
        <f t="shared" si="8"/>
        <v>3</v>
      </c>
      <c r="U54" s="860">
        <f t="shared" si="9"/>
        <v>0.67590027700831046</v>
      </c>
      <c r="V54" s="861">
        <f t="shared" si="10"/>
        <v>244.00000000000006</v>
      </c>
      <c r="W54" s="861">
        <f t="shared" si="11"/>
        <v>120</v>
      </c>
      <c r="X54" s="861">
        <f t="shared" si="12"/>
        <v>3</v>
      </c>
      <c r="Y54" s="2"/>
      <c r="Z54" s="12">
        <f t="shared" si="13"/>
        <v>33</v>
      </c>
      <c r="AA54" s="12">
        <f t="shared" si="17"/>
        <v>6.6355409999999999</v>
      </c>
      <c r="AB54" s="12">
        <f t="shared" si="14"/>
        <v>7.1999999999999993</v>
      </c>
      <c r="AC54" s="864">
        <f t="shared" si="15"/>
        <v>0.92160291666666672</v>
      </c>
    </row>
    <row r="55" spans="3:29" x14ac:dyDescent="0.25">
      <c r="C55" s="850">
        <f>IF(Z55&gt;0,MAX(C31:C54)+1,0)</f>
        <v>25</v>
      </c>
      <c r="D55" s="851">
        <v>20</v>
      </c>
      <c r="E55" s="850">
        <v>25</v>
      </c>
      <c r="F55" s="851">
        <v>6</v>
      </c>
      <c r="G55" s="851">
        <v>3000</v>
      </c>
      <c r="H55" s="851">
        <v>2400</v>
      </c>
      <c r="I55" s="851">
        <v>0</v>
      </c>
      <c r="J55" s="851">
        <v>6</v>
      </c>
      <c r="L55" s="340">
        <f t="shared" si="2"/>
        <v>5.3859964093357275</v>
      </c>
      <c r="M55" s="12">
        <f t="shared" si="4"/>
        <v>5</v>
      </c>
      <c r="N55" s="860">
        <f t="shared" si="5"/>
        <v>0.61400359066427246</v>
      </c>
      <c r="O55" s="861">
        <f t="shared" si="16"/>
        <v>341.99999999999977</v>
      </c>
      <c r="P55" s="861">
        <f t="shared" si="6"/>
        <v>160</v>
      </c>
      <c r="Q55" s="861">
        <f t="shared" si="7"/>
        <v>5</v>
      </c>
      <c r="S55" s="340">
        <f t="shared" si="3"/>
        <v>6.6481994459833791</v>
      </c>
      <c r="T55" s="12">
        <f t="shared" si="8"/>
        <v>6</v>
      </c>
      <c r="U55" s="860">
        <f t="shared" si="9"/>
        <v>0.35180055401662091</v>
      </c>
      <c r="V55" s="861">
        <f t="shared" si="10"/>
        <v>127.00000000000014</v>
      </c>
      <c r="W55" s="861">
        <f t="shared" si="11"/>
        <v>120</v>
      </c>
      <c r="X55" s="861">
        <f t="shared" si="12"/>
        <v>6</v>
      </c>
      <c r="Y55" s="2"/>
      <c r="Z55" s="12">
        <f t="shared" si="13"/>
        <v>30</v>
      </c>
      <c r="AA55" s="12">
        <f t="shared" si="17"/>
        <v>6.0323099999999998</v>
      </c>
      <c r="AB55" s="12">
        <f t="shared" si="14"/>
        <v>7.1999999999999993</v>
      </c>
      <c r="AC55" s="864">
        <f t="shared" si="15"/>
        <v>0.83782083333333335</v>
      </c>
    </row>
    <row r="56" spans="3:29" x14ac:dyDescent="0.25">
      <c r="C56" s="850">
        <f>IF(Z56&gt;0,MAX(C31:C55)+1,0)</f>
        <v>26</v>
      </c>
      <c r="D56" s="851">
        <v>20</v>
      </c>
      <c r="E56" s="850">
        <v>26</v>
      </c>
      <c r="F56" s="851">
        <v>6</v>
      </c>
      <c r="G56" s="851">
        <v>3600</v>
      </c>
      <c r="H56" s="851">
        <v>2000</v>
      </c>
      <c r="I56" s="851">
        <v>0</v>
      </c>
      <c r="J56" s="851">
        <v>6</v>
      </c>
      <c r="L56" s="340">
        <f t="shared" si="2"/>
        <v>6.4631956912028725</v>
      </c>
      <c r="M56" s="12">
        <f t="shared" si="4"/>
        <v>6</v>
      </c>
      <c r="N56" s="860">
        <f t="shared" si="5"/>
        <v>0.53680430879712748</v>
      </c>
      <c r="O56" s="861">
        <f t="shared" si="16"/>
        <v>299</v>
      </c>
      <c r="P56" s="861">
        <f t="shared" si="6"/>
        <v>160</v>
      </c>
      <c r="Q56" s="861">
        <f t="shared" si="7"/>
        <v>6</v>
      </c>
      <c r="S56" s="340">
        <f t="shared" si="3"/>
        <v>5.54016620498615</v>
      </c>
      <c r="T56" s="12">
        <f t="shared" si="8"/>
        <v>5</v>
      </c>
      <c r="U56" s="860">
        <f t="shared" si="9"/>
        <v>0.45983379501385002</v>
      </c>
      <c r="V56" s="861">
        <f t="shared" si="10"/>
        <v>165.99999999999986</v>
      </c>
      <c r="W56" s="861">
        <f t="shared" si="11"/>
        <v>120</v>
      </c>
      <c r="X56" s="861">
        <f t="shared" si="12"/>
        <v>5</v>
      </c>
      <c r="Y56" s="2"/>
      <c r="Z56" s="12">
        <f t="shared" si="13"/>
        <v>30</v>
      </c>
      <c r="AA56" s="12">
        <f t="shared" si="17"/>
        <v>6.0323099999999998</v>
      </c>
      <c r="AB56" s="12">
        <f t="shared" si="14"/>
        <v>7.2</v>
      </c>
      <c r="AC56" s="864">
        <f t="shared" si="15"/>
        <v>0.83782083333333324</v>
      </c>
    </row>
    <row r="57" spans="3:29" x14ac:dyDescent="0.25">
      <c r="C57" s="850">
        <f>IF(Z57&gt;0,MAX(C31:C56)+1,0)</f>
        <v>27</v>
      </c>
      <c r="D57" s="851">
        <v>10</v>
      </c>
      <c r="E57" s="850">
        <v>27</v>
      </c>
      <c r="F57" s="851">
        <v>8</v>
      </c>
      <c r="G57" s="851">
        <v>6400</v>
      </c>
      <c r="H57" s="851">
        <v>1200</v>
      </c>
      <c r="I57" s="851">
        <v>8</v>
      </c>
      <c r="J57" s="851">
        <v>0</v>
      </c>
      <c r="L57" s="340">
        <f t="shared" si="2"/>
        <v>11.490125673249551</v>
      </c>
      <c r="M57" s="12">
        <f t="shared" si="4"/>
        <v>11</v>
      </c>
      <c r="N57" s="860">
        <f t="shared" si="5"/>
        <v>0.50987432675044886</v>
      </c>
      <c r="O57" s="861">
        <f t="shared" si="16"/>
        <v>284</v>
      </c>
      <c r="P57" s="861">
        <f t="shared" si="6"/>
        <v>160</v>
      </c>
      <c r="Q57" s="861">
        <f t="shared" si="7"/>
        <v>11</v>
      </c>
      <c r="S57" s="340">
        <f t="shared" si="3"/>
        <v>3.3240997229916895</v>
      </c>
      <c r="T57" s="12">
        <f t="shared" si="8"/>
        <v>3</v>
      </c>
      <c r="U57" s="860">
        <f t="shared" si="9"/>
        <v>0.67590027700831046</v>
      </c>
      <c r="V57" s="861">
        <f t="shared" si="10"/>
        <v>244.00000000000006</v>
      </c>
      <c r="W57" s="861">
        <f t="shared" si="11"/>
        <v>120</v>
      </c>
      <c r="X57" s="861">
        <f t="shared" si="12"/>
        <v>3</v>
      </c>
      <c r="Y57" s="2"/>
      <c r="Z57" s="12">
        <f t="shared" si="13"/>
        <v>33</v>
      </c>
      <c r="AA57" s="12">
        <f t="shared" si="17"/>
        <v>6.6355409999999999</v>
      </c>
      <c r="AB57" s="12">
        <f t="shared" si="14"/>
        <v>7.68</v>
      </c>
      <c r="AC57" s="864">
        <f t="shared" si="15"/>
        <v>0.86400273437499997</v>
      </c>
    </row>
    <row r="58" spans="3:29" x14ac:dyDescent="0.25">
      <c r="C58" s="850">
        <f>IF(Z58&gt;0,MAX(C31:C57)+1,0)</f>
        <v>28</v>
      </c>
      <c r="D58" s="851">
        <v>10</v>
      </c>
      <c r="E58" s="850">
        <v>28</v>
      </c>
      <c r="F58" s="851">
        <v>8</v>
      </c>
      <c r="G58" s="851">
        <v>3200</v>
      </c>
      <c r="H58" s="851">
        <v>2400</v>
      </c>
      <c r="I58" s="851">
        <v>8</v>
      </c>
      <c r="J58" s="851">
        <v>0</v>
      </c>
      <c r="L58" s="340">
        <f t="shared" si="2"/>
        <v>5.7450628366247756</v>
      </c>
      <c r="M58" s="12">
        <f t="shared" si="4"/>
        <v>5</v>
      </c>
      <c r="N58" s="860">
        <f t="shared" si="5"/>
        <v>0.25493716337522443</v>
      </c>
      <c r="O58" s="861">
        <f t="shared" si="16"/>
        <v>142</v>
      </c>
      <c r="P58" s="861">
        <f t="shared" si="6"/>
        <v>160</v>
      </c>
      <c r="Q58" s="861">
        <f t="shared" si="7"/>
        <v>6</v>
      </c>
      <c r="S58" s="340">
        <f t="shared" si="3"/>
        <v>6.6481994459833791</v>
      </c>
      <c r="T58" s="12">
        <f t="shared" si="8"/>
        <v>6</v>
      </c>
      <c r="U58" s="860">
        <f t="shared" si="9"/>
        <v>0.35180055401662091</v>
      </c>
      <c r="V58" s="861">
        <f t="shared" si="10"/>
        <v>127.00000000000014</v>
      </c>
      <c r="W58" s="861">
        <f t="shared" si="11"/>
        <v>120</v>
      </c>
      <c r="X58" s="861">
        <f t="shared" si="12"/>
        <v>6</v>
      </c>
      <c r="Y58" s="2"/>
      <c r="Z58" s="12">
        <f t="shared" si="13"/>
        <v>36</v>
      </c>
      <c r="AA58" s="12">
        <f t="shared" si="17"/>
        <v>7.238772</v>
      </c>
      <c r="AB58" s="12">
        <f t="shared" si="14"/>
        <v>7.68</v>
      </c>
      <c r="AC58" s="864">
        <f t="shared" si="15"/>
        <v>0.94254843750000006</v>
      </c>
    </row>
    <row r="59" spans="3:29" x14ac:dyDescent="0.25">
      <c r="C59" s="850">
        <f>IF(Z59&gt;0,MAX(C41:C58)+1,0)</f>
        <v>29</v>
      </c>
      <c r="D59" s="851">
        <v>10</v>
      </c>
      <c r="E59" s="850">
        <v>29</v>
      </c>
      <c r="F59" s="851">
        <v>8</v>
      </c>
      <c r="G59" s="851">
        <v>4800</v>
      </c>
      <c r="H59" s="851">
        <v>1600</v>
      </c>
      <c r="I59" s="851">
        <v>8</v>
      </c>
      <c r="J59" s="851">
        <v>0</v>
      </c>
      <c r="L59" s="340">
        <f t="shared" si="2"/>
        <v>8.6175942549371634</v>
      </c>
      <c r="M59" s="12">
        <f t="shared" si="4"/>
        <v>8</v>
      </c>
      <c r="N59" s="860">
        <f t="shared" si="5"/>
        <v>0.38240574506283664</v>
      </c>
      <c r="O59" s="861">
        <f t="shared" si="16"/>
        <v>213</v>
      </c>
      <c r="P59" s="861">
        <f t="shared" si="6"/>
        <v>160</v>
      </c>
      <c r="Q59" s="861">
        <f t="shared" si="7"/>
        <v>8</v>
      </c>
      <c r="S59" s="340">
        <f t="shared" si="3"/>
        <v>4.43213296398892</v>
      </c>
      <c r="T59" s="12">
        <f t="shared" si="8"/>
        <v>4</v>
      </c>
      <c r="U59" s="860">
        <f t="shared" si="9"/>
        <v>0.56786703601108002</v>
      </c>
      <c r="V59" s="861">
        <f t="shared" si="10"/>
        <v>204.99999999999989</v>
      </c>
      <c r="W59" s="861">
        <f t="shared" si="11"/>
        <v>120</v>
      </c>
      <c r="X59" s="861">
        <f t="shared" si="12"/>
        <v>4</v>
      </c>
      <c r="Y59" s="2"/>
      <c r="Z59" s="12">
        <f t="shared" si="13"/>
        <v>32</v>
      </c>
      <c r="AA59" s="12">
        <f t="shared" si="17"/>
        <v>6.4344640000000002</v>
      </c>
      <c r="AB59" s="12">
        <f t="shared" si="14"/>
        <v>7.68</v>
      </c>
      <c r="AC59" s="864">
        <f t="shared" si="15"/>
        <v>0.83782083333333335</v>
      </c>
    </row>
    <row r="60" spans="3:29" x14ac:dyDescent="0.25">
      <c r="C60" s="850">
        <f>IF(Z60&gt;0,MAX(C31:C59)+1,0)</f>
        <v>30</v>
      </c>
      <c r="D60" s="851">
        <v>20</v>
      </c>
      <c r="E60" s="850">
        <v>30</v>
      </c>
      <c r="F60" s="851">
        <v>8</v>
      </c>
      <c r="G60" s="851">
        <v>4800</v>
      </c>
      <c r="H60" s="851">
        <v>2000</v>
      </c>
      <c r="I60" s="851">
        <v>0</v>
      </c>
      <c r="J60" s="851">
        <v>8</v>
      </c>
      <c r="L60" s="340">
        <f t="shared" si="2"/>
        <v>8.6175942549371634</v>
      </c>
      <c r="M60" s="12">
        <f t="shared" si="4"/>
        <v>8</v>
      </c>
      <c r="N60" s="860">
        <f t="shared" si="5"/>
        <v>0.38240574506283664</v>
      </c>
      <c r="O60" s="861">
        <f t="shared" si="16"/>
        <v>213</v>
      </c>
      <c r="P60" s="861">
        <f t="shared" si="6"/>
        <v>160</v>
      </c>
      <c r="Q60" s="861">
        <f t="shared" si="7"/>
        <v>8</v>
      </c>
      <c r="S60" s="340">
        <f t="shared" si="3"/>
        <v>5.54016620498615</v>
      </c>
      <c r="T60" s="12">
        <f t="shared" si="8"/>
        <v>5</v>
      </c>
      <c r="U60" s="860">
        <f t="shared" si="9"/>
        <v>0.45983379501385002</v>
      </c>
      <c r="V60" s="861">
        <f t="shared" si="10"/>
        <v>165.99999999999986</v>
      </c>
      <c r="W60" s="861">
        <f t="shared" si="11"/>
        <v>120</v>
      </c>
      <c r="X60" s="861">
        <f t="shared" si="12"/>
        <v>5</v>
      </c>
      <c r="Y60" s="2"/>
      <c r="Z60" s="12">
        <f t="shared" si="13"/>
        <v>40</v>
      </c>
      <c r="AA60" s="12">
        <f t="shared" si="17"/>
        <v>8.0430799999999998</v>
      </c>
      <c r="AB60" s="12">
        <f t="shared" si="14"/>
        <v>9.6</v>
      </c>
      <c r="AC60" s="864">
        <f t="shared" si="15"/>
        <v>0.83782083333333335</v>
      </c>
    </row>
    <row r="61" spans="3:29" x14ac:dyDescent="0.25">
      <c r="C61" s="850">
        <f>IF(Z61&gt;0,MAX(C31:C60)+1,0)</f>
        <v>31</v>
      </c>
      <c r="D61" s="851">
        <v>20</v>
      </c>
      <c r="E61" s="850">
        <v>31</v>
      </c>
      <c r="F61" s="851">
        <v>8</v>
      </c>
      <c r="G61" s="851">
        <v>4000</v>
      </c>
      <c r="H61" s="851">
        <v>2400</v>
      </c>
      <c r="I61" s="851">
        <v>0</v>
      </c>
      <c r="J61" s="851">
        <v>8</v>
      </c>
      <c r="L61" s="340">
        <f t="shared" si="2"/>
        <v>7.1813285457809695</v>
      </c>
      <c r="M61" s="12">
        <f t="shared" si="4"/>
        <v>7</v>
      </c>
      <c r="N61" s="860">
        <f t="shared" si="5"/>
        <v>0.81867145421903054</v>
      </c>
      <c r="O61" s="861">
        <f t="shared" si="16"/>
        <v>456</v>
      </c>
      <c r="P61" s="861">
        <f t="shared" si="6"/>
        <v>160</v>
      </c>
      <c r="Q61" s="861">
        <f t="shared" si="7"/>
        <v>7</v>
      </c>
      <c r="S61" s="340">
        <f t="shared" si="3"/>
        <v>6.6481994459833791</v>
      </c>
      <c r="T61" s="12">
        <f t="shared" si="8"/>
        <v>6</v>
      </c>
      <c r="U61" s="860">
        <f t="shared" si="9"/>
        <v>0.35180055401662091</v>
      </c>
      <c r="V61" s="861">
        <f t="shared" si="10"/>
        <v>127.00000000000014</v>
      </c>
      <c r="W61" s="861">
        <f t="shared" si="11"/>
        <v>120</v>
      </c>
      <c r="X61" s="861">
        <f t="shared" si="12"/>
        <v>6</v>
      </c>
      <c r="Y61" s="2"/>
      <c r="Z61" s="12">
        <f t="shared" si="13"/>
        <v>42</v>
      </c>
      <c r="AA61" s="12">
        <f t="shared" si="17"/>
        <v>8.445234000000001</v>
      </c>
      <c r="AB61" s="12">
        <f t="shared" si="14"/>
        <v>9.6</v>
      </c>
      <c r="AC61" s="864">
        <f t="shared" si="15"/>
        <v>0.87971187500000014</v>
      </c>
    </row>
    <row r="62" spans="3:29" x14ac:dyDescent="0.25">
      <c r="C62" s="850">
        <f>IF(Z62&gt;0,MAX(C31:C61)+1,0)</f>
        <v>32</v>
      </c>
      <c r="D62" s="851">
        <v>10</v>
      </c>
      <c r="E62" s="850">
        <v>32</v>
      </c>
      <c r="F62" s="851">
        <v>10</v>
      </c>
      <c r="G62" s="851">
        <v>4000</v>
      </c>
      <c r="H62" s="851">
        <v>2400</v>
      </c>
      <c r="I62" s="851">
        <v>10</v>
      </c>
      <c r="J62" s="851">
        <v>0</v>
      </c>
      <c r="L62" s="340">
        <f t="shared" si="2"/>
        <v>7.1813285457809695</v>
      </c>
      <c r="M62" s="12">
        <f t="shared" si="4"/>
        <v>7</v>
      </c>
      <c r="N62" s="860">
        <f t="shared" si="5"/>
        <v>0.81867145421903054</v>
      </c>
      <c r="O62" s="861">
        <f t="shared" si="16"/>
        <v>456</v>
      </c>
      <c r="P62" s="861">
        <f t="shared" si="6"/>
        <v>160</v>
      </c>
      <c r="Q62" s="861">
        <f t="shared" si="7"/>
        <v>7</v>
      </c>
      <c r="S62" s="340">
        <f t="shared" si="3"/>
        <v>6.6481994459833791</v>
      </c>
      <c r="T62" s="12">
        <f t="shared" si="8"/>
        <v>6</v>
      </c>
      <c r="U62" s="860">
        <f t="shared" si="9"/>
        <v>0.35180055401662091</v>
      </c>
      <c r="V62" s="861">
        <f t="shared" si="10"/>
        <v>127.00000000000014</v>
      </c>
      <c r="W62" s="861">
        <f t="shared" si="11"/>
        <v>120</v>
      </c>
      <c r="X62" s="861">
        <f t="shared" si="12"/>
        <v>6</v>
      </c>
      <c r="Y62" s="2"/>
      <c r="Z62" s="12">
        <f t="shared" si="13"/>
        <v>42</v>
      </c>
      <c r="AA62" s="12">
        <f t="shared" si="17"/>
        <v>8.445234000000001</v>
      </c>
      <c r="AB62" s="12">
        <f t="shared" si="14"/>
        <v>9.6</v>
      </c>
      <c r="AC62" s="864">
        <f t="shared" si="15"/>
        <v>0.87971187500000014</v>
      </c>
    </row>
    <row r="63" spans="3:29" x14ac:dyDescent="0.25">
      <c r="C63" s="850">
        <f>IF(Z63&gt;0,MAX(C31:C62)+1,0)</f>
        <v>33</v>
      </c>
      <c r="D63" s="851">
        <v>10</v>
      </c>
      <c r="E63" s="850">
        <v>33</v>
      </c>
      <c r="F63" s="851">
        <v>10</v>
      </c>
      <c r="G63" s="851">
        <v>6000</v>
      </c>
      <c r="H63" s="851">
        <v>1600</v>
      </c>
      <c r="I63" s="851">
        <v>10</v>
      </c>
      <c r="J63" s="851">
        <v>0</v>
      </c>
      <c r="L63" s="340">
        <f t="shared" si="2"/>
        <v>10.771992818671455</v>
      </c>
      <c r="M63" s="12">
        <f t="shared" si="4"/>
        <v>10</v>
      </c>
      <c r="N63" s="860">
        <f t="shared" si="5"/>
        <v>0.22800718132854492</v>
      </c>
      <c r="O63" s="861">
        <f t="shared" si="16"/>
        <v>126.99999999999955</v>
      </c>
      <c r="P63" s="861">
        <f t="shared" si="6"/>
        <v>160</v>
      </c>
      <c r="Q63" s="861">
        <f t="shared" si="7"/>
        <v>11</v>
      </c>
      <c r="S63" s="340">
        <f t="shared" si="3"/>
        <v>4.43213296398892</v>
      </c>
      <c r="T63" s="12">
        <f t="shared" si="8"/>
        <v>4</v>
      </c>
      <c r="U63" s="860">
        <f t="shared" si="9"/>
        <v>0.56786703601108002</v>
      </c>
      <c r="V63" s="861">
        <f t="shared" si="10"/>
        <v>204.99999999999989</v>
      </c>
      <c r="W63" s="861">
        <f t="shared" si="11"/>
        <v>120</v>
      </c>
      <c r="X63" s="861">
        <f t="shared" si="12"/>
        <v>4</v>
      </c>
      <c r="Y63" s="2"/>
      <c r="Z63" s="12">
        <f t="shared" si="13"/>
        <v>44</v>
      </c>
      <c r="AA63" s="12">
        <f t="shared" si="17"/>
        <v>8.8473880000000005</v>
      </c>
      <c r="AB63" s="12">
        <f t="shared" si="14"/>
        <v>9.6000000000000014</v>
      </c>
      <c r="AC63" s="864">
        <f t="shared" si="15"/>
        <v>0.92160291666666661</v>
      </c>
    </row>
    <row r="64" spans="3:29" x14ac:dyDescent="0.25">
      <c r="C64" s="850">
        <f>IF(Z64&gt;0,MAX(C31:C63)+1,0)</f>
        <v>34</v>
      </c>
      <c r="D64" s="851">
        <v>10</v>
      </c>
      <c r="E64" s="850">
        <v>34</v>
      </c>
      <c r="F64" s="851">
        <v>12</v>
      </c>
      <c r="G64" s="851">
        <v>4800</v>
      </c>
      <c r="H64" s="851">
        <v>2400</v>
      </c>
      <c r="I64" s="851">
        <v>12</v>
      </c>
      <c r="J64" s="851">
        <v>0</v>
      </c>
      <c r="L64" s="340">
        <f t="shared" si="2"/>
        <v>8.6175942549371634</v>
      </c>
      <c r="M64" s="12">
        <f t="shared" si="4"/>
        <v>8</v>
      </c>
      <c r="N64" s="860">
        <f t="shared" si="5"/>
        <v>0.38240574506283664</v>
      </c>
      <c r="O64" s="861">
        <f t="shared" si="16"/>
        <v>213</v>
      </c>
      <c r="P64" s="861">
        <f t="shared" si="6"/>
        <v>160</v>
      </c>
      <c r="Q64" s="861">
        <f t="shared" si="7"/>
        <v>8</v>
      </c>
      <c r="S64" s="340">
        <f t="shared" si="3"/>
        <v>6.6481994459833791</v>
      </c>
      <c r="T64" s="12">
        <f t="shared" si="8"/>
        <v>6</v>
      </c>
      <c r="U64" s="860">
        <f t="shared" si="9"/>
        <v>0.35180055401662091</v>
      </c>
      <c r="V64" s="861">
        <f t="shared" si="10"/>
        <v>127.00000000000014</v>
      </c>
      <c r="W64" s="861">
        <f t="shared" si="11"/>
        <v>120</v>
      </c>
      <c r="X64" s="861">
        <f t="shared" si="12"/>
        <v>6</v>
      </c>
      <c r="Y64" s="2"/>
      <c r="Z64" s="12">
        <f t="shared" si="13"/>
        <v>48</v>
      </c>
      <c r="AA64" s="12">
        <f t="shared" si="17"/>
        <v>9.6516960000000012</v>
      </c>
      <c r="AB64" s="12">
        <f t="shared" si="14"/>
        <v>11.52</v>
      </c>
      <c r="AC64" s="864">
        <f t="shared" si="15"/>
        <v>0.83782083333333346</v>
      </c>
    </row>
    <row r="65" spans="3:29" x14ac:dyDescent="0.25">
      <c r="C65" s="850">
        <f>IF(Z65&gt;0,MAX(C31:C64)+1,0)</f>
        <v>35</v>
      </c>
      <c r="D65" s="851">
        <v>20</v>
      </c>
      <c r="E65" s="850">
        <v>35</v>
      </c>
      <c r="F65" s="851">
        <v>10</v>
      </c>
      <c r="G65" s="851">
        <v>5000</v>
      </c>
      <c r="H65" s="851">
        <v>2400</v>
      </c>
      <c r="I65" s="851">
        <v>0</v>
      </c>
      <c r="J65" s="851">
        <v>10</v>
      </c>
      <c r="L65" s="340">
        <f t="shared" si="2"/>
        <v>8.9766606822262123</v>
      </c>
      <c r="M65" s="12">
        <f t="shared" si="4"/>
        <v>8</v>
      </c>
      <c r="N65" s="860">
        <f t="shared" si="5"/>
        <v>2.3339317773787727E-2</v>
      </c>
      <c r="O65" s="861">
        <f t="shared" si="16"/>
        <v>12.999999999999773</v>
      </c>
      <c r="P65" s="861">
        <f t="shared" si="6"/>
        <v>160</v>
      </c>
      <c r="Q65" s="861">
        <f t="shared" si="7"/>
        <v>9</v>
      </c>
      <c r="S65" s="340">
        <f t="shared" si="3"/>
        <v>6.6481994459833791</v>
      </c>
      <c r="T65" s="12">
        <f t="shared" si="8"/>
        <v>6</v>
      </c>
      <c r="U65" s="860">
        <f t="shared" si="9"/>
        <v>0.35180055401662091</v>
      </c>
      <c r="V65" s="861">
        <f t="shared" si="10"/>
        <v>127.00000000000014</v>
      </c>
      <c r="W65" s="861">
        <f t="shared" si="11"/>
        <v>120</v>
      </c>
      <c r="X65" s="861">
        <f t="shared" si="12"/>
        <v>6</v>
      </c>
      <c r="Y65" s="2"/>
      <c r="Z65" s="12">
        <f t="shared" si="13"/>
        <v>54</v>
      </c>
      <c r="AA65" s="12">
        <f t="shared" si="17"/>
        <v>10.858158</v>
      </c>
      <c r="AB65" s="12">
        <f t="shared" si="14"/>
        <v>12</v>
      </c>
      <c r="AC65" s="864">
        <f t="shared" si="15"/>
        <v>0.9048465</v>
      </c>
    </row>
    <row r="66" spans="3:29" x14ac:dyDescent="0.25">
      <c r="C66" s="850">
        <f>IF(Z66&gt;0,MAX(C31:C65)+1,0)</f>
        <v>36</v>
      </c>
      <c r="D66" s="851">
        <v>20</v>
      </c>
      <c r="E66" s="850">
        <v>36</v>
      </c>
      <c r="F66" s="851">
        <v>10</v>
      </c>
      <c r="G66" s="851">
        <v>6000</v>
      </c>
      <c r="H66" s="851">
        <v>2000</v>
      </c>
      <c r="I66" s="851">
        <v>0</v>
      </c>
      <c r="J66" s="851">
        <v>10</v>
      </c>
      <c r="L66" s="340">
        <f t="shared" si="2"/>
        <v>10.771992818671455</v>
      </c>
      <c r="M66" s="12">
        <f t="shared" si="4"/>
        <v>10</v>
      </c>
      <c r="N66" s="860">
        <f t="shared" si="5"/>
        <v>0.22800718132854492</v>
      </c>
      <c r="O66" s="861">
        <f t="shared" si="16"/>
        <v>126.99999999999955</v>
      </c>
      <c r="P66" s="861">
        <f t="shared" si="6"/>
        <v>160</v>
      </c>
      <c r="Q66" s="861">
        <f t="shared" si="7"/>
        <v>11</v>
      </c>
      <c r="S66" s="340">
        <f t="shared" si="3"/>
        <v>5.54016620498615</v>
      </c>
      <c r="T66" s="12">
        <f t="shared" si="8"/>
        <v>5</v>
      </c>
      <c r="U66" s="860">
        <f t="shared" si="9"/>
        <v>0.45983379501385002</v>
      </c>
      <c r="V66" s="861">
        <f t="shared" si="10"/>
        <v>165.99999999999986</v>
      </c>
      <c r="W66" s="861">
        <f t="shared" si="11"/>
        <v>120</v>
      </c>
      <c r="X66" s="861">
        <f t="shared" si="12"/>
        <v>5</v>
      </c>
      <c r="Y66" s="2"/>
      <c r="Z66" s="12">
        <f t="shared" si="13"/>
        <v>55</v>
      </c>
      <c r="AA66" s="12">
        <f t="shared" si="17"/>
        <v>11.059235000000001</v>
      </c>
      <c r="AB66" s="12">
        <f t="shared" si="14"/>
        <v>12</v>
      </c>
      <c r="AC66" s="864">
        <f t="shared" si="15"/>
        <v>0.92160291666666672</v>
      </c>
    </row>
    <row r="67" spans="3:29" x14ac:dyDescent="0.25">
      <c r="C67" s="850">
        <f>IF(Z67&gt;0,MAX(C31:C66)+1,0)</f>
        <v>37</v>
      </c>
      <c r="D67" s="851">
        <v>10</v>
      </c>
      <c r="E67" s="850">
        <v>37</v>
      </c>
      <c r="F67" s="851">
        <v>14</v>
      </c>
      <c r="G67" s="851">
        <v>5600</v>
      </c>
      <c r="H67" s="851">
        <v>2400</v>
      </c>
      <c r="I67" s="851">
        <v>14</v>
      </c>
      <c r="J67" s="851">
        <v>0</v>
      </c>
      <c r="L67" s="340">
        <f t="shared" si="2"/>
        <v>10.053859964093357</v>
      </c>
      <c r="M67" s="12">
        <f t="shared" si="4"/>
        <v>10</v>
      </c>
      <c r="N67" s="860">
        <f t="shared" si="5"/>
        <v>0.94614003590664275</v>
      </c>
      <c r="O67" s="861">
        <f t="shared" si="16"/>
        <v>527</v>
      </c>
      <c r="P67" s="861">
        <f t="shared" si="6"/>
        <v>160</v>
      </c>
      <c r="Q67" s="861">
        <f t="shared" si="7"/>
        <v>10</v>
      </c>
      <c r="S67" s="340">
        <f t="shared" si="3"/>
        <v>6.6481994459833791</v>
      </c>
      <c r="T67" s="12">
        <f t="shared" si="8"/>
        <v>6</v>
      </c>
      <c r="U67" s="860">
        <f t="shared" si="9"/>
        <v>0.35180055401662091</v>
      </c>
      <c r="V67" s="861">
        <f t="shared" si="10"/>
        <v>127.00000000000014</v>
      </c>
      <c r="W67" s="861">
        <f t="shared" si="11"/>
        <v>120</v>
      </c>
      <c r="X67" s="861">
        <f t="shared" si="12"/>
        <v>6</v>
      </c>
      <c r="Y67" s="2"/>
      <c r="Z67" s="12">
        <f t="shared" si="13"/>
        <v>60</v>
      </c>
      <c r="AA67" s="12">
        <f t="shared" si="17"/>
        <v>12.06462</v>
      </c>
      <c r="AB67" s="12">
        <f t="shared" si="14"/>
        <v>13.44</v>
      </c>
      <c r="AC67" s="864">
        <f t="shared" si="15"/>
        <v>0.89766517857142858</v>
      </c>
    </row>
    <row r="68" spans="3:29" x14ac:dyDescent="0.25">
      <c r="C68" s="850">
        <f>IF(Z68&gt;0,MAX(C31:C67)+1,0)</f>
        <v>38</v>
      </c>
      <c r="D68" s="851">
        <v>20</v>
      </c>
      <c r="E68" s="850">
        <v>38</v>
      </c>
      <c r="F68" s="851">
        <v>12</v>
      </c>
      <c r="G68" s="851">
        <v>6000</v>
      </c>
      <c r="H68" s="851">
        <v>2400</v>
      </c>
      <c r="I68" s="851">
        <v>0</v>
      </c>
      <c r="J68" s="851">
        <v>12</v>
      </c>
      <c r="L68" s="340">
        <f t="shared" si="2"/>
        <v>10.771992818671455</v>
      </c>
      <c r="M68" s="12">
        <f t="shared" si="4"/>
        <v>10</v>
      </c>
      <c r="N68" s="860">
        <f t="shared" si="5"/>
        <v>0.22800718132854492</v>
      </c>
      <c r="O68" s="861">
        <f t="shared" si="16"/>
        <v>126.99999999999955</v>
      </c>
      <c r="P68" s="861">
        <f t="shared" si="6"/>
        <v>160</v>
      </c>
      <c r="Q68" s="861">
        <f t="shared" si="7"/>
        <v>11</v>
      </c>
      <c r="S68" s="340">
        <f t="shared" si="3"/>
        <v>6.6481994459833791</v>
      </c>
      <c r="T68" s="12">
        <f t="shared" si="8"/>
        <v>6</v>
      </c>
      <c r="U68" s="860">
        <f t="shared" si="9"/>
        <v>0.35180055401662091</v>
      </c>
      <c r="V68" s="861">
        <f t="shared" si="10"/>
        <v>127.00000000000014</v>
      </c>
      <c r="W68" s="861">
        <f t="shared" si="11"/>
        <v>120</v>
      </c>
      <c r="X68" s="861">
        <f t="shared" si="12"/>
        <v>6</v>
      </c>
      <c r="Y68" s="2"/>
      <c r="Z68" s="12">
        <f t="shared" si="13"/>
        <v>66</v>
      </c>
      <c r="AA68" s="12">
        <f t="shared" si="17"/>
        <v>13.271082</v>
      </c>
      <c r="AB68" s="12">
        <f t="shared" si="14"/>
        <v>14.399999999999999</v>
      </c>
      <c r="AC68" s="864">
        <f t="shared" si="15"/>
        <v>0.92160291666666672</v>
      </c>
    </row>
    <row r="69" spans="3:29" x14ac:dyDescent="0.25">
      <c r="C69" s="848">
        <f>IF(Z69&gt;0,MAX(C31:C68)+1,0)</f>
        <v>39</v>
      </c>
      <c r="D69" s="853">
        <v>10</v>
      </c>
      <c r="E69" s="848">
        <v>39</v>
      </c>
      <c r="F69" s="853">
        <v>16</v>
      </c>
      <c r="G69" s="853">
        <v>6400</v>
      </c>
      <c r="H69" s="853">
        <v>2400</v>
      </c>
      <c r="I69" s="853">
        <v>16</v>
      </c>
      <c r="J69" s="853">
        <v>0</v>
      </c>
      <c r="L69" s="342">
        <f t="shared" si="2"/>
        <v>11.490125673249551</v>
      </c>
      <c r="M69" s="13">
        <f t="shared" si="4"/>
        <v>11</v>
      </c>
      <c r="N69" s="862">
        <f t="shared" si="5"/>
        <v>0.50987432675044886</v>
      </c>
      <c r="O69" s="849">
        <f>$D$4-((L69-M69)*$D$4)</f>
        <v>284</v>
      </c>
      <c r="P69" s="849">
        <f t="shared" si="6"/>
        <v>160</v>
      </c>
      <c r="Q69" s="849">
        <f t="shared" si="7"/>
        <v>11</v>
      </c>
      <c r="S69" s="342">
        <f t="shared" si="3"/>
        <v>6.6481994459833791</v>
      </c>
      <c r="T69" s="13">
        <f t="shared" si="8"/>
        <v>6</v>
      </c>
      <c r="U69" s="862">
        <f t="shared" si="9"/>
        <v>0.35180055401662091</v>
      </c>
      <c r="V69" s="849">
        <f t="shared" si="10"/>
        <v>127.00000000000014</v>
      </c>
      <c r="W69" s="849">
        <f t="shared" si="11"/>
        <v>120</v>
      </c>
      <c r="X69" s="849">
        <f t="shared" si="12"/>
        <v>6</v>
      </c>
      <c r="Y69" s="2"/>
      <c r="Z69" s="13">
        <f t="shared" si="13"/>
        <v>66</v>
      </c>
      <c r="AA69" s="13">
        <f t="shared" si="17"/>
        <v>13.271082</v>
      </c>
      <c r="AB69" s="13">
        <f t="shared" si="14"/>
        <v>15.36</v>
      </c>
      <c r="AC69" s="865">
        <f t="shared" si="15"/>
        <v>0.86400273437499997</v>
      </c>
    </row>
    <row r="70" spans="3:29" x14ac:dyDescent="0.25">
      <c r="C70" s="6"/>
      <c r="D70" s="2"/>
      <c r="S70" s="2"/>
      <c r="U70" s="2"/>
      <c r="V70" s="2"/>
      <c r="W70" s="2"/>
      <c r="X70" s="2"/>
      <c r="Y70" s="2"/>
      <c r="Z70" s="2"/>
      <c r="AA70" s="2"/>
      <c r="AB70" s="2"/>
      <c r="AC70" s="25"/>
    </row>
    <row r="71" spans="3:29" x14ac:dyDescent="0.25">
      <c r="C71" s="845" t="s">
        <v>922</v>
      </c>
      <c r="D71" s="845" t="s">
        <v>898</v>
      </c>
      <c r="E71" s="845" t="s">
        <v>108</v>
      </c>
      <c r="F71" s="845" t="s">
        <v>61</v>
      </c>
      <c r="G71" s="846" t="s">
        <v>899</v>
      </c>
      <c r="H71" s="845" t="s">
        <v>898</v>
      </c>
      <c r="I71" s="845" t="s">
        <v>898</v>
      </c>
      <c r="J71" s="845" t="s">
        <v>898</v>
      </c>
      <c r="L71" s="859" t="s">
        <v>908</v>
      </c>
      <c r="M71" s="845" t="s">
        <v>907</v>
      </c>
      <c r="N71" s="442" t="s">
        <v>910</v>
      </c>
      <c r="O71" s="404" t="s">
        <v>911</v>
      </c>
      <c r="P71" s="442" t="s">
        <v>913</v>
      </c>
      <c r="Q71" s="442" t="s">
        <v>6</v>
      </c>
      <c r="S71" s="845" t="s">
        <v>909</v>
      </c>
      <c r="T71" s="845" t="s">
        <v>907</v>
      </c>
      <c r="U71" s="442" t="s">
        <v>801</v>
      </c>
      <c r="V71" s="404" t="s">
        <v>911</v>
      </c>
      <c r="W71" s="442" t="s">
        <v>913</v>
      </c>
      <c r="X71" s="442" t="s">
        <v>6</v>
      </c>
      <c r="Y71" s="2"/>
      <c r="Z71" s="442" t="s">
        <v>915</v>
      </c>
      <c r="AA71" s="442" t="s">
        <v>605</v>
      </c>
      <c r="AB71" s="442" t="s">
        <v>917</v>
      </c>
      <c r="AC71" s="442" t="s">
        <v>898</v>
      </c>
    </row>
    <row r="72" spans="3:29" x14ac:dyDescent="0.25">
      <c r="C72" s="848">
        <f>MAX(C73:C111)</f>
        <v>39</v>
      </c>
      <c r="D72" s="848" t="s">
        <v>900</v>
      </c>
      <c r="E72" s="848" t="s">
        <v>901</v>
      </c>
      <c r="F72" s="848" t="s">
        <v>810</v>
      </c>
      <c r="G72" s="849" t="s">
        <v>902</v>
      </c>
      <c r="H72" s="848" t="s">
        <v>903</v>
      </c>
      <c r="I72" s="848" t="s">
        <v>897</v>
      </c>
      <c r="J72" s="848" t="s">
        <v>904</v>
      </c>
      <c r="L72" s="342"/>
      <c r="M72" s="52"/>
      <c r="N72" s="13"/>
      <c r="O72" s="52"/>
      <c r="P72" s="13" t="s">
        <v>911</v>
      </c>
      <c r="Q72" s="13" t="s">
        <v>914</v>
      </c>
      <c r="S72" s="13"/>
      <c r="T72" s="52"/>
      <c r="U72" s="13"/>
      <c r="V72" s="13"/>
      <c r="W72" s="13" t="s">
        <v>911</v>
      </c>
      <c r="X72" s="13" t="s">
        <v>914</v>
      </c>
      <c r="Y72" s="2"/>
      <c r="Z72" s="13" t="s">
        <v>898</v>
      </c>
      <c r="AA72" s="13" t="s">
        <v>920</v>
      </c>
      <c r="AB72" s="13" t="s">
        <v>918</v>
      </c>
      <c r="AC72" s="13" t="s">
        <v>921</v>
      </c>
    </row>
    <row r="73" spans="3:29" x14ac:dyDescent="0.25">
      <c r="C73" s="845">
        <f>IF(Z73&gt;0,1,0)</f>
        <v>1</v>
      </c>
      <c r="D73" s="866">
        <v>10</v>
      </c>
      <c r="E73" s="845">
        <v>101</v>
      </c>
      <c r="F73" s="868">
        <v>1</v>
      </c>
      <c r="G73" s="851">
        <v>1200</v>
      </c>
      <c r="H73" s="851">
        <v>800</v>
      </c>
      <c r="I73" s="851">
        <v>1</v>
      </c>
      <c r="J73" s="851">
        <v>0</v>
      </c>
      <c r="L73" s="340">
        <f t="shared" ref="L73:L111" si="18">G73/$D$3</f>
        <v>3.3240997229916895</v>
      </c>
      <c r="M73" s="12">
        <f>FLOOR(L73,1)</f>
        <v>3</v>
      </c>
      <c r="N73" s="860">
        <f t="shared" ref="N73:N111" si="19">(1-(L73-M73))</f>
        <v>0.67590027700831046</v>
      </c>
      <c r="O73" s="861">
        <f>$D$3-((L73-M73)*$D$3)</f>
        <v>244.00000000000006</v>
      </c>
      <c r="P73" s="846">
        <f>$C$24*2</f>
        <v>120</v>
      </c>
      <c r="Q73" s="861">
        <f t="shared" ref="Q73:Q111" si="20">IF(P73&gt;=O73,M73+1,M73)</f>
        <v>3</v>
      </c>
      <c r="S73" s="340">
        <f t="shared" ref="S73:S111" si="21">H73/$D$4</f>
        <v>1.4362657091561939</v>
      </c>
      <c r="T73" s="12">
        <f>FLOOR(S73,1)</f>
        <v>1</v>
      </c>
      <c r="U73" s="860">
        <f t="shared" ref="U73:U111" si="22">(1-(S73-T73))</f>
        <v>0.56373429084380611</v>
      </c>
      <c r="V73" s="861">
        <f>$D$4-((S73-T73)*$D$4)</f>
        <v>314</v>
      </c>
      <c r="W73" s="846">
        <f>$D$24*2</f>
        <v>160</v>
      </c>
      <c r="X73" s="861">
        <f t="shared" ref="X73:X111" si="23">IF(W73&gt;=V73,T73+1,T73)</f>
        <v>1</v>
      </c>
      <c r="Y73" s="2"/>
      <c r="Z73" s="12">
        <f t="shared" ref="Z73:Z111" si="24">Q73*X73</f>
        <v>3</v>
      </c>
      <c r="AA73" s="12">
        <f t="shared" ref="AA73:AA111" si="25">Z73*$D$5</f>
        <v>0.60323100000000007</v>
      </c>
      <c r="AB73" s="12">
        <f t="shared" ref="AB73:AB111" si="26">(G73/1000)*(H73/1000)</f>
        <v>0.96</v>
      </c>
      <c r="AC73" s="864">
        <f t="shared" ref="AC73:AC111" si="27">IF(Z73&gt;0,AA73/AB73,0)</f>
        <v>0.62836562500000015</v>
      </c>
    </row>
    <row r="74" spans="3:29" x14ac:dyDescent="0.25">
      <c r="C74" s="850">
        <f>IF(Z74&gt;0,MAX(C73)+1,0)</f>
        <v>2</v>
      </c>
      <c r="D74" s="866">
        <v>20</v>
      </c>
      <c r="E74" s="850">
        <v>102</v>
      </c>
      <c r="F74" s="868">
        <v>1</v>
      </c>
      <c r="G74" s="851">
        <v>1200</v>
      </c>
      <c r="H74" s="851">
        <v>1000</v>
      </c>
      <c r="I74" s="851">
        <v>0</v>
      </c>
      <c r="J74" s="851">
        <v>1</v>
      </c>
      <c r="L74" s="340">
        <f t="shared" si="18"/>
        <v>3.3240997229916895</v>
      </c>
      <c r="M74" s="12">
        <f t="shared" ref="M74:M111" si="28">FLOOR(L74,1)</f>
        <v>3</v>
      </c>
      <c r="N74" s="860">
        <f t="shared" si="19"/>
        <v>0.67590027700831046</v>
      </c>
      <c r="O74" s="861">
        <f t="shared" ref="O74:O111" si="29">$D$3-((L74-M74)*$D$3)</f>
        <v>244.00000000000006</v>
      </c>
      <c r="P74" s="861">
        <f t="shared" ref="P74:P111" si="30">$C$24*2</f>
        <v>120</v>
      </c>
      <c r="Q74" s="861">
        <f t="shared" si="20"/>
        <v>3</v>
      </c>
      <c r="S74" s="340">
        <f t="shared" si="21"/>
        <v>1.7953321364452424</v>
      </c>
      <c r="T74" s="12">
        <f t="shared" ref="T74:T111" si="31">FLOOR(S74,1)</f>
        <v>1</v>
      </c>
      <c r="U74" s="860">
        <f t="shared" si="22"/>
        <v>0.20466786355475763</v>
      </c>
      <c r="V74" s="861">
        <f t="shared" ref="V74:V111" si="32">$D$4-((S74-T74)*$D$4)</f>
        <v>114</v>
      </c>
      <c r="W74" s="861">
        <f t="shared" ref="W74:W111" si="33">$D$24*2</f>
        <v>160</v>
      </c>
      <c r="X74" s="861">
        <f t="shared" si="23"/>
        <v>2</v>
      </c>
      <c r="Y74" s="2"/>
      <c r="Z74" s="12">
        <f t="shared" si="24"/>
        <v>6</v>
      </c>
      <c r="AA74" s="12">
        <f t="shared" si="25"/>
        <v>1.2064620000000001</v>
      </c>
      <c r="AB74" s="12">
        <f t="shared" si="26"/>
        <v>1.2</v>
      </c>
      <c r="AC74" s="864">
        <f t="shared" si="27"/>
        <v>1.0053850000000002</v>
      </c>
    </row>
    <row r="75" spans="3:29" x14ac:dyDescent="0.25">
      <c r="C75" s="850">
        <f>IF(Z75&gt;0,MAX(C73:C74)+1,0)</f>
        <v>3</v>
      </c>
      <c r="D75" s="866">
        <v>10</v>
      </c>
      <c r="E75" s="850">
        <v>103</v>
      </c>
      <c r="F75" s="868">
        <v>2</v>
      </c>
      <c r="G75" s="852">
        <v>1600</v>
      </c>
      <c r="H75" s="851">
        <v>1200</v>
      </c>
      <c r="I75" s="851">
        <v>2</v>
      </c>
      <c r="J75" s="851">
        <v>0</v>
      </c>
      <c r="L75" s="340">
        <f t="shared" si="18"/>
        <v>4.43213296398892</v>
      </c>
      <c r="M75" s="12">
        <f t="shared" si="28"/>
        <v>4</v>
      </c>
      <c r="N75" s="860">
        <f t="shared" si="19"/>
        <v>0.56786703601108002</v>
      </c>
      <c r="O75" s="861">
        <f t="shared" si="29"/>
        <v>204.99999999999989</v>
      </c>
      <c r="P75" s="861">
        <f t="shared" si="30"/>
        <v>120</v>
      </c>
      <c r="Q75" s="861">
        <f t="shared" si="20"/>
        <v>4</v>
      </c>
      <c r="S75" s="340">
        <f t="shared" si="21"/>
        <v>2.1543985637342908</v>
      </c>
      <c r="T75" s="12">
        <f t="shared" si="31"/>
        <v>2</v>
      </c>
      <c r="U75" s="860">
        <f t="shared" si="22"/>
        <v>0.84560143626570916</v>
      </c>
      <c r="V75" s="861">
        <f t="shared" si="32"/>
        <v>471</v>
      </c>
      <c r="W75" s="861">
        <f t="shared" si="33"/>
        <v>160</v>
      </c>
      <c r="X75" s="861">
        <f t="shared" si="23"/>
        <v>2</v>
      </c>
      <c r="Y75" s="2"/>
      <c r="Z75" s="12">
        <f t="shared" si="24"/>
        <v>8</v>
      </c>
      <c r="AA75" s="12">
        <f t="shared" si="25"/>
        <v>1.608616</v>
      </c>
      <c r="AB75" s="12">
        <f t="shared" si="26"/>
        <v>1.92</v>
      </c>
      <c r="AC75" s="864">
        <f t="shared" si="27"/>
        <v>0.83782083333333335</v>
      </c>
    </row>
    <row r="76" spans="3:29" x14ac:dyDescent="0.25">
      <c r="C76" s="850">
        <f>IF(Z76&gt;0,MAX(C73:C75)+1,0)</f>
        <v>4</v>
      </c>
      <c r="D76" s="866">
        <v>10</v>
      </c>
      <c r="E76" s="850">
        <v>104</v>
      </c>
      <c r="F76" s="868">
        <v>2</v>
      </c>
      <c r="G76" s="851">
        <v>2400</v>
      </c>
      <c r="H76" s="851">
        <v>800</v>
      </c>
      <c r="I76" s="851">
        <v>2</v>
      </c>
      <c r="J76" s="851">
        <v>0</v>
      </c>
      <c r="L76" s="340">
        <f t="shared" si="18"/>
        <v>6.6481994459833791</v>
      </c>
      <c r="M76" s="12">
        <f t="shared" si="28"/>
        <v>6</v>
      </c>
      <c r="N76" s="860">
        <f t="shared" si="19"/>
        <v>0.35180055401662091</v>
      </c>
      <c r="O76" s="861">
        <f t="shared" si="29"/>
        <v>127.00000000000014</v>
      </c>
      <c r="P76" s="861">
        <f t="shared" si="30"/>
        <v>120</v>
      </c>
      <c r="Q76" s="861">
        <f t="shared" si="20"/>
        <v>6</v>
      </c>
      <c r="S76" s="340">
        <f t="shared" si="21"/>
        <v>1.4362657091561939</v>
      </c>
      <c r="T76" s="12">
        <f t="shared" si="31"/>
        <v>1</v>
      </c>
      <c r="U76" s="860">
        <f t="shared" si="22"/>
        <v>0.56373429084380611</v>
      </c>
      <c r="V76" s="861">
        <f t="shared" si="32"/>
        <v>314</v>
      </c>
      <c r="W76" s="861">
        <f t="shared" si="33"/>
        <v>160</v>
      </c>
      <c r="X76" s="861">
        <f t="shared" si="23"/>
        <v>1</v>
      </c>
      <c r="Y76" s="2"/>
      <c r="Z76" s="12">
        <f t="shared" si="24"/>
        <v>6</v>
      </c>
      <c r="AA76" s="12">
        <f t="shared" si="25"/>
        <v>1.2064620000000001</v>
      </c>
      <c r="AB76" s="12">
        <f t="shared" si="26"/>
        <v>1.92</v>
      </c>
      <c r="AC76" s="864">
        <f t="shared" si="27"/>
        <v>0.62836562500000015</v>
      </c>
    </row>
    <row r="77" spans="3:29" x14ac:dyDescent="0.25">
      <c r="C77" s="850">
        <f>IF(Z77&gt;0,MAX(C73:C76)+1,0)</f>
        <v>5</v>
      </c>
      <c r="D77" s="866">
        <v>20</v>
      </c>
      <c r="E77" s="850">
        <v>105</v>
      </c>
      <c r="F77" s="868">
        <v>2</v>
      </c>
      <c r="G77" s="851">
        <v>2000</v>
      </c>
      <c r="H77" s="851">
        <v>1200</v>
      </c>
      <c r="I77" s="851">
        <v>0</v>
      </c>
      <c r="J77" s="851">
        <v>2</v>
      </c>
      <c r="L77" s="340">
        <f t="shared" si="18"/>
        <v>5.54016620498615</v>
      </c>
      <c r="M77" s="12">
        <f t="shared" si="28"/>
        <v>5</v>
      </c>
      <c r="N77" s="860">
        <f t="shared" si="19"/>
        <v>0.45983379501385002</v>
      </c>
      <c r="O77" s="861">
        <f t="shared" si="29"/>
        <v>165.99999999999986</v>
      </c>
      <c r="P77" s="861">
        <f t="shared" si="30"/>
        <v>120</v>
      </c>
      <c r="Q77" s="861">
        <f t="shared" si="20"/>
        <v>5</v>
      </c>
      <c r="S77" s="340">
        <f t="shared" si="21"/>
        <v>2.1543985637342908</v>
      </c>
      <c r="T77" s="12">
        <f t="shared" si="31"/>
        <v>2</v>
      </c>
      <c r="U77" s="860">
        <f t="shared" si="22"/>
        <v>0.84560143626570916</v>
      </c>
      <c r="V77" s="861">
        <f t="shared" si="32"/>
        <v>471</v>
      </c>
      <c r="W77" s="861">
        <f t="shared" si="33"/>
        <v>160</v>
      </c>
      <c r="X77" s="861">
        <f t="shared" si="23"/>
        <v>2</v>
      </c>
      <c r="Y77" s="2"/>
      <c r="Z77" s="12">
        <f t="shared" si="24"/>
        <v>10</v>
      </c>
      <c r="AA77" s="12">
        <f t="shared" si="25"/>
        <v>2.0107699999999999</v>
      </c>
      <c r="AB77" s="12">
        <f t="shared" si="26"/>
        <v>2.4</v>
      </c>
      <c r="AC77" s="864">
        <f t="shared" si="27"/>
        <v>0.83782083333333335</v>
      </c>
    </row>
    <row r="78" spans="3:29" x14ac:dyDescent="0.25">
      <c r="C78" s="850">
        <f>IF(Z78&gt;0,MAX(C73:C77)+1,0)</f>
        <v>6</v>
      </c>
      <c r="D78" s="866">
        <v>20</v>
      </c>
      <c r="E78" s="850">
        <v>106</v>
      </c>
      <c r="F78" s="868">
        <v>2</v>
      </c>
      <c r="G78" s="851">
        <v>2400</v>
      </c>
      <c r="H78" s="851">
        <v>1000</v>
      </c>
      <c r="I78" s="851">
        <v>0</v>
      </c>
      <c r="J78" s="851">
        <v>2</v>
      </c>
      <c r="L78" s="340">
        <f t="shared" si="18"/>
        <v>6.6481994459833791</v>
      </c>
      <c r="M78" s="12">
        <f t="shared" si="28"/>
        <v>6</v>
      </c>
      <c r="N78" s="860">
        <f t="shared" si="19"/>
        <v>0.35180055401662091</v>
      </c>
      <c r="O78" s="861">
        <f t="shared" si="29"/>
        <v>127.00000000000014</v>
      </c>
      <c r="P78" s="861">
        <f t="shared" si="30"/>
        <v>120</v>
      </c>
      <c r="Q78" s="861">
        <f t="shared" si="20"/>
        <v>6</v>
      </c>
      <c r="S78" s="340">
        <f t="shared" si="21"/>
        <v>1.7953321364452424</v>
      </c>
      <c r="T78" s="12">
        <f t="shared" si="31"/>
        <v>1</v>
      </c>
      <c r="U78" s="860">
        <f t="shared" si="22"/>
        <v>0.20466786355475763</v>
      </c>
      <c r="V78" s="861">
        <f t="shared" si="32"/>
        <v>114</v>
      </c>
      <c r="W78" s="861">
        <f t="shared" si="33"/>
        <v>160</v>
      </c>
      <c r="X78" s="861">
        <f t="shared" si="23"/>
        <v>2</v>
      </c>
      <c r="Y78" s="2"/>
      <c r="Z78" s="12">
        <f t="shared" si="24"/>
        <v>12</v>
      </c>
      <c r="AA78" s="12">
        <f t="shared" si="25"/>
        <v>2.4129240000000003</v>
      </c>
      <c r="AB78" s="12">
        <f t="shared" si="26"/>
        <v>2.4</v>
      </c>
      <c r="AC78" s="864">
        <f t="shared" si="27"/>
        <v>1.0053850000000002</v>
      </c>
    </row>
    <row r="79" spans="3:29" x14ac:dyDescent="0.25">
      <c r="C79" s="850">
        <f>IF(Z79&gt;0,MAX(C73:C78)+1,0)</f>
        <v>7</v>
      </c>
      <c r="D79" s="866">
        <v>10</v>
      </c>
      <c r="E79" s="850">
        <v>107</v>
      </c>
      <c r="F79" s="868">
        <v>3</v>
      </c>
      <c r="G79" s="851">
        <v>2400</v>
      </c>
      <c r="H79" s="851">
        <v>1200</v>
      </c>
      <c r="I79" s="851">
        <v>3</v>
      </c>
      <c r="J79" s="851">
        <v>0</v>
      </c>
      <c r="L79" s="340">
        <f t="shared" si="18"/>
        <v>6.6481994459833791</v>
      </c>
      <c r="M79" s="12">
        <f t="shared" si="28"/>
        <v>6</v>
      </c>
      <c r="N79" s="860">
        <f t="shared" si="19"/>
        <v>0.35180055401662091</v>
      </c>
      <c r="O79" s="861">
        <f t="shared" si="29"/>
        <v>127.00000000000014</v>
      </c>
      <c r="P79" s="861">
        <f t="shared" si="30"/>
        <v>120</v>
      </c>
      <c r="Q79" s="861">
        <f t="shared" si="20"/>
        <v>6</v>
      </c>
      <c r="S79" s="340">
        <f t="shared" si="21"/>
        <v>2.1543985637342908</v>
      </c>
      <c r="T79" s="12">
        <f t="shared" si="31"/>
        <v>2</v>
      </c>
      <c r="U79" s="860">
        <f t="shared" si="22"/>
        <v>0.84560143626570916</v>
      </c>
      <c r="V79" s="861">
        <f t="shared" si="32"/>
        <v>471</v>
      </c>
      <c r="W79" s="861">
        <f t="shared" si="33"/>
        <v>160</v>
      </c>
      <c r="X79" s="861">
        <f t="shared" si="23"/>
        <v>2</v>
      </c>
      <c r="Y79" s="2"/>
      <c r="Z79" s="12">
        <f t="shared" si="24"/>
        <v>12</v>
      </c>
      <c r="AA79" s="12">
        <f t="shared" si="25"/>
        <v>2.4129240000000003</v>
      </c>
      <c r="AB79" s="12">
        <f t="shared" si="26"/>
        <v>2.88</v>
      </c>
      <c r="AC79" s="864">
        <f t="shared" si="27"/>
        <v>0.83782083333333346</v>
      </c>
    </row>
    <row r="80" spans="3:29" x14ac:dyDescent="0.25">
      <c r="C80" s="850">
        <f>IF(Z80&gt;0,MAX(C73:C79)+1,0)</f>
        <v>8</v>
      </c>
      <c r="D80" s="866">
        <v>10</v>
      </c>
      <c r="E80" s="850">
        <v>108</v>
      </c>
      <c r="F80" s="868">
        <v>3</v>
      </c>
      <c r="G80" s="851">
        <v>3600</v>
      </c>
      <c r="H80" s="851">
        <v>800</v>
      </c>
      <c r="I80" s="851">
        <v>3</v>
      </c>
      <c r="J80" s="851">
        <v>0</v>
      </c>
      <c r="L80" s="340">
        <f t="shared" si="18"/>
        <v>9.97229916897507</v>
      </c>
      <c r="M80" s="12">
        <f t="shared" si="28"/>
        <v>9</v>
      </c>
      <c r="N80" s="860">
        <f t="shared" si="19"/>
        <v>2.7700831024930039E-2</v>
      </c>
      <c r="O80" s="861">
        <f t="shared" si="29"/>
        <v>9.9999999999997726</v>
      </c>
      <c r="P80" s="861">
        <f t="shared" si="30"/>
        <v>120</v>
      </c>
      <c r="Q80" s="861">
        <f t="shared" si="20"/>
        <v>10</v>
      </c>
      <c r="S80" s="340">
        <f t="shared" si="21"/>
        <v>1.4362657091561939</v>
      </c>
      <c r="T80" s="12">
        <f t="shared" si="31"/>
        <v>1</v>
      </c>
      <c r="U80" s="860">
        <f t="shared" si="22"/>
        <v>0.56373429084380611</v>
      </c>
      <c r="V80" s="861">
        <f t="shared" si="32"/>
        <v>314</v>
      </c>
      <c r="W80" s="861">
        <f t="shared" si="33"/>
        <v>160</v>
      </c>
      <c r="X80" s="861">
        <f t="shared" si="23"/>
        <v>1</v>
      </c>
      <c r="Y80" s="2"/>
      <c r="Z80" s="12">
        <f t="shared" si="24"/>
        <v>10</v>
      </c>
      <c r="AA80" s="12">
        <f t="shared" si="25"/>
        <v>2.0107699999999999</v>
      </c>
      <c r="AB80" s="12">
        <f t="shared" si="26"/>
        <v>2.8800000000000003</v>
      </c>
      <c r="AC80" s="864">
        <f t="shared" si="27"/>
        <v>0.69818402777777766</v>
      </c>
    </row>
    <row r="81" spans="3:29" x14ac:dyDescent="0.25">
      <c r="C81" s="850">
        <f>IF(Z81&gt;0,MAX(C73:C80)+1,0)</f>
        <v>9</v>
      </c>
      <c r="D81" s="866">
        <v>20</v>
      </c>
      <c r="E81" s="850">
        <v>109</v>
      </c>
      <c r="F81" s="868">
        <v>3</v>
      </c>
      <c r="G81" s="851">
        <v>3000</v>
      </c>
      <c r="H81" s="851">
        <v>1200</v>
      </c>
      <c r="I81" s="851">
        <v>0</v>
      </c>
      <c r="J81" s="851">
        <v>3</v>
      </c>
      <c r="L81" s="340">
        <f t="shared" si="18"/>
        <v>8.310249307479225</v>
      </c>
      <c r="M81" s="12">
        <f t="shared" si="28"/>
        <v>8</v>
      </c>
      <c r="N81" s="860">
        <f t="shared" si="19"/>
        <v>0.68975069252077503</v>
      </c>
      <c r="O81" s="861">
        <f t="shared" si="29"/>
        <v>248.99999999999977</v>
      </c>
      <c r="P81" s="861">
        <f t="shared" si="30"/>
        <v>120</v>
      </c>
      <c r="Q81" s="861">
        <f t="shared" si="20"/>
        <v>8</v>
      </c>
      <c r="S81" s="340">
        <f t="shared" si="21"/>
        <v>2.1543985637342908</v>
      </c>
      <c r="T81" s="12">
        <f t="shared" si="31"/>
        <v>2</v>
      </c>
      <c r="U81" s="860">
        <f t="shared" si="22"/>
        <v>0.84560143626570916</v>
      </c>
      <c r="V81" s="861">
        <f t="shared" si="32"/>
        <v>471</v>
      </c>
      <c r="W81" s="861">
        <f t="shared" si="33"/>
        <v>160</v>
      </c>
      <c r="X81" s="861">
        <f t="shared" si="23"/>
        <v>2</v>
      </c>
      <c r="Y81" s="2"/>
      <c r="Z81" s="12">
        <f t="shared" si="24"/>
        <v>16</v>
      </c>
      <c r="AA81" s="12">
        <f t="shared" si="25"/>
        <v>3.2172320000000001</v>
      </c>
      <c r="AB81" s="12">
        <f t="shared" si="26"/>
        <v>3.5999999999999996</v>
      </c>
      <c r="AC81" s="864">
        <f t="shared" si="27"/>
        <v>0.89367555555555567</v>
      </c>
    </row>
    <row r="82" spans="3:29" x14ac:dyDescent="0.25">
      <c r="C82" s="850">
        <f>IF(Z82&gt;0,MAX(C73:C81)+1,0)</f>
        <v>10</v>
      </c>
      <c r="D82" s="866">
        <v>20</v>
      </c>
      <c r="E82" s="850">
        <v>110</v>
      </c>
      <c r="F82" s="868">
        <v>3</v>
      </c>
      <c r="G82" s="851">
        <v>3600</v>
      </c>
      <c r="H82" s="851">
        <v>1000</v>
      </c>
      <c r="I82" s="851">
        <v>0</v>
      </c>
      <c r="J82" s="851">
        <v>3</v>
      </c>
      <c r="L82" s="340">
        <f t="shared" si="18"/>
        <v>9.97229916897507</v>
      </c>
      <c r="M82" s="12">
        <f t="shared" si="28"/>
        <v>9</v>
      </c>
      <c r="N82" s="860">
        <f t="shared" si="19"/>
        <v>2.7700831024930039E-2</v>
      </c>
      <c r="O82" s="861">
        <f t="shared" si="29"/>
        <v>9.9999999999997726</v>
      </c>
      <c r="P82" s="861">
        <f t="shared" si="30"/>
        <v>120</v>
      </c>
      <c r="Q82" s="861">
        <f t="shared" si="20"/>
        <v>10</v>
      </c>
      <c r="S82" s="340">
        <f t="shared" si="21"/>
        <v>1.7953321364452424</v>
      </c>
      <c r="T82" s="12">
        <f t="shared" si="31"/>
        <v>1</v>
      </c>
      <c r="U82" s="860">
        <f t="shared" si="22"/>
        <v>0.20466786355475763</v>
      </c>
      <c r="V82" s="861">
        <f t="shared" si="32"/>
        <v>114</v>
      </c>
      <c r="W82" s="861">
        <f t="shared" si="33"/>
        <v>160</v>
      </c>
      <c r="X82" s="861">
        <f t="shared" si="23"/>
        <v>2</v>
      </c>
      <c r="Z82" s="12">
        <f t="shared" si="24"/>
        <v>20</v>
      </c>
      <c r="AA82" s="12">
        <f t="shared" si="25"/>
        <v>4.0215399999999999</v>
      </c>
      <c r="AB82" s="12">
        <f t="shared" si="26"/>
        <v>3.6</v>
      </c>
      <c r="AC82" s="864">
        <f t="shared" si="27"/>
        <v>1.1170944444444444</v>
      </c>
    </row>
    <row r="83" spans="3:29" x14ac:dyDescent="0.25">
      <c r="C83" s="850">
        <f>IF(Z83&gt;0,MAX(C73:C82)+1,0)</f>
        <v>11</v>
      </c>
      <c r="D83" s="866">
        <v>10</v>
      </c>
      <c r="E83" s="850">
        <v>111</v>
      </c>
      <c r="F83" s="868">
        <v>4</v>
      </c>
      <c r="G83" s="851">
        <v>2400</v>
      </c>
      <c r="H83" s="851">
        <v>1600</v>
      </c>
      <c r="I83" s="851">
        <v>4</v>
      </c>
      <c r="J83" s="851">
        <v>0</v>
      </c>
      <c r="L83" s="340">
        <f t="shared" si="18"/>
        <v>6.6481994459833791</v>
      </c>
      <c r="M83" s="12">
        <f t="shared" si="28"/>
        <v>6</v>
      </c>
      <c r="N83" s="860">
        <f t="shared" si="19"/>
        <v>0.35180055401662091</v>
      </c>
      <c r="O83" s="861">
        <f t="shared" si="29"/>
        <v>127.00000000000014</v>
      </c>
      <c r="P83" s="861">
        <f t="shared" si="30"/>
        <v>120</v>
      </c>
      <c r="Q83" s="861">
        <f t="shared" si="20"/>
        <v>6</v>
      </c>
      <c r="S83" s="340">
        <f t="shared" si="21"/>
        <v>2.8725314183123878</v>
      </c>
      <c r="T83" s="12">
        <f t="shared" si="31"/>
        <v>2</v>
      </c>
      <c r="U83" s="860">
        <f t="shared" si="22"/>
        <v>0.12746858168761221</v>
      </c>
      <c r="V83" s="861">
        <f t="shared" si="32"/>
        <v>71</v>
      </c>
      <c r="W83" s="861">
        <f t="shared" si="33"/>
        <v>160</v>
      </c>
      <c r="X83" s="861">
        <f t="shared" si="23"/>
        <v>3</v>
      </c>
      <c r="Z83" s="12">
        <f t="shared" si="24"/>
        <v>18</v>
      </c>
      <c r="AA83" s="12">
        <f t="shared" si="25"/>
        <v>3.619386</v>
      </c>
      <c r="AB83" s="12">
        <f t="shared" si="26"/>
        <v>3.84</v>
      </c>
      <c r="AC83" s="864">
        <f t="shared" si="27"/>
        <v>0.94254843750000006</v>
      </c>
    </row>
    <row r="84" spans="3:29" x14ac:dyDescent="0.25">
      <c r="C84" s="850">
        <f>IF(Z84&gt;0,MAX(C73:C83)+1,0)</f>
        <v>12</v>
      </c>
      <c r="D84" s="866">
        <v>10</v>
      </c>
      <c r="E84" s="850">
        <v>112</v>
      </c>
      <c r="F84" s="868">
        <v>4</v>
      </c>
      <c r="G84" s="851">
        <v>3200</v>
      </c>
      <c r="H84" s="851">
        <v>1200</v>
      </c>
      <c r="I84" s="851">
        <v>4</v>
      </c>
      <c r="J84" s="851">
        <v>0</v>
      </c>
      <c r="L84" s="340">
        <f t="shared" si="18"/>
        <v>8.86426592797784</v>
      </c>
      <c r="M84" s="12">
        <f t="shared" si="28"/>
        <v>8</v>
      </c>
      <c r="N84" s="860">
        <f t="shared" si="19"/>
        <v>0.13573407202216003</v>
      </c>
      <c r="O84" s="861">
        <f t="shared" si="29"/>
        <v>48.999999999999773</v>
      </c>
      <c r="P84" s="861">
        <f t="shared" si="30"/>
        <v>120</v>
      </c>
      <c r="Q84" s="861">
        <f t="shared" si="20"/>
        <v>9</v>
      </c>
      <c r="S84" s="340">
        <f t="shared" si="21"/>
        <v>2.1543985637342908</v>
      </c>
      <c r="T84" s="12">
        <f t="shared" si="31"/>
        <v>2</v>
      </c>
      <c r="U84" s="860">
        <f t="shared" si="22"/>
        <v>0.84560143626570916</v>
      </c>
      <c r="V84" s="861">
        <f t="shared" si="32"/>
        <v>471</v>
      </c>
      <c r="W84" s="861">
        <f t="shared" si="33"/>
        <v>160</v>
      </c>
      <c r="X84" s="861">
        <f t="shared" si="23"/>
        <v>2</v>
      </c>
      <c r="Z84" s="12">
        <f t="shared" si="24"/>
        <v>18</v>
      </c>
      <c r="AA84" s="12">
        <f t="shared" si="25"/>
        <v>3.619386</v>
      </c>
      <c r="AB84" s="12">
        <f t="shared" si="26"/>
        <v>3.84</v>
      </c>
      <c r="AC84" s="864">
        <f t="shared" si="27"/>
        <v>0.94254843750000006</v>
      </c>
    </row>
    <row r="85" spans="3:29" x14ac:dyDescent="0.25">
      <c r="C85" s="850">
        <f>IF(Z85&gt;0,MAX(C73:C84)+1,0)</f>
        <v>13</v>
      </c>
      <c r="D85" s="866">
        <v>10</v>
      </c>
      <c r="E85" s="850">
        <v>113</v>
      </c>
      <c r="F85" s="868">
        <v>4</v>
      </c>
      <c r="G85" s="851">
        <v>4800</v>
      </c>
      <c r="H85" s="851">
        <v>800</v>
      </c>
      <c r="I85" s="851">
        <v>4</v>
      </c>
      <c r="J85" s="851">
        <v>0</v>
      </c>
      <c r="L85" s="340">
        <f t="shared" si="18"/>
        <v>13.296398891966758</v>
      </c>
      <c r="M85" s="12">
        <f t="shared" si="28"/>
        <v>13</v>
      </c>
      <c r="N85" s="860">
        <f t="shared" si="19"/>
        <v>0.70360110803324183</v>
      </c>
      <c r="O85" s="861">
        <f t="shared" si="29"/>
        <v>254.00000000000028</v>
      </c>
      <c r="P85" s="861">
        <f t="shared" si="30"/>
        <v>120</v>
      </c>
      <c r="Q85" s="861">
        <f t="shared" si="20"/>
        <v>13</v>
      </c>
      <c r="S85" s="340">
        <f t="shared" si="21"/>
        <v>1.4362657091561939</v>
      </c>
      <c r="T85" s="12">
        <f t="shared" si="31"/>
        <v>1</v>
      </c>
      <c r="U85" s="860">
        <f t="shared" si="22"/>
        <v>0.56373429084380611</v>
      </c>
      <c r="V85" s="861">
        <f t="shared" si="32"/>
        <v>314</v>
      </c>
      <c r="W85" s="861">
        <f t="shared" si="33"/>
        <v>160</v>
      </c>
      <c r="X85" s="861">
        <f t="shared" si="23"/>
        <v>1</v>
      </c>
      <c r="Z85" s="12">
        <f t="shared" si="24"/>
        <v>13</v>
      </c>
      <c r="AA85" s="12">
        <f t="shared" si="25"/>
        <v>2.614001</v>
      </c>
      <c r="AB85" s="12">
        <f t="shared" si="26"/>
        <v>3.84</v>
      </c>
      <c r="AC85" s="864">
        <f t="shared" si="27"/>
        <v>0.68072942708333339</v>
      </c>
    </row>
    <row r="86" spans="3:29" x14ac:dyDescent="0.25">
      <c r="C86" s="850">
        <f>IF(Z86&gt;0,MAX(C73:C85)+1,0)</f>
        <v>14</v>
      </c>
      <c r="D86" s="866">
        <v>20</v>
      </c>
      <c r="E86" s="850">
        <v>114</v>
      </c>
      <c r="F86" s="868">
        <v>4</v>
      </c>
      <c r="G86" s="851">
        <v>2400</v>
      </c>
      <c r="H86" s="851">
        <v>2000</v>
      </c>
      <c r="I86" s="851">
        <v>0</v>
      </c>
      <c r="J86" s="851">
        <v>4</v>
      </c>
      <c r="L86" s="340">
        <f t="shared" si="18"/>
        <v>6.6481994459833791</v>
      </c>
      <c r="M86" s="12">
        <f t="shared" si="28"/>
        <v>6</v>
      </c>
      <c r="N86" s="860">
        <f t="shared" si="19"/>
        <v>0.35180055401662091</v>
      </c>
      <c r="O86" s="861">
        <f t="shared" si="29"/>
        <v>127.00000000000014</v>
      </c>
      <c r="P86" s="861">
        <f t="shared" si="30"/>
        <v>120</v>
      </c>
      <c r="Q86" s="861">
        <f t="shared" si="20"/>
        <v>6</v>
      </c>
      <c r="S86" s="340">
        <f t="shared" si="21"/>
        <v>3.5906642728904847</v>
      </c>
      <c r="T86" s="12">
        <f t="shared" si="31"/>
        <v>3</v>
      </c>
      <c r="U86" s="860">
        <f t="shared" si="22"/>
        <v>0.40933572710951527</v>
      </c>
      <c r="V86" s="861">
        <f t="shared" si="32"/>
        <v>228</v>
      </c>
      <c r="W86" s="861">
        <f t="shared" si="33"/>
        <v>160</v>
      </c>
      <c r="X86" s="861">
        <f t="shared" si="23"/>
        <v>3</v>
      </c>
      <c r="Z86" s="12">
        <f t="shared" si="24"/>
        <v>18</v>
      </c>
      <c r="AA86" s="12">
        <f t="shared" si="25"/>
        <v>3.619386</v>
      </c>
      <c r="AB86" s="12">
        <f t="shared" si="26"/>
        <v>4.8</v>
      </c>
      <c r="AC86" s="864">
        <f t="shared" si="27"/>
        <v>0.75403874999999998</v>
      </c>
    </row>
    <row r="87" spans="3:29" x14ac:dyDescent="0.25">
      <c r="C87" s="850">
        <f>IF(Z87&gt;0,MAX(C73:C86)+1,0)</f>
        <v>15</v>
      </c>
      <c r="D87" s="866">
        <v>20</v>
      </c>
      <c r="E87" s="850">
        <v>115</v>
      </c>
      <c r="F87" s="868">
        <v>4</v>
      </c>
      <c r="G87" s="851">
        <v>4000</v>
      </c>
      <c r="H87" s="851">
        <v>1200</v>
      </c>
      <c r="I87" s="851">
        <v>0</v>
      </c>
      <c r="J87" s="851">
        <v>4</v>
      </c>
      <c r="L87" s="340">
        <f t="shared" si="18"/>
        <v>11.0803324099723</v>
      </c>
      <c r="M87" s="12">
        <f t="shared" si="28"/>
        <v>11</v>
      </c>
      <c r="N87" s="860">
        <f t="shared" si="19"/>
        <v>0.91966759002770004</v>
      </c>
      <c r="O87" s="861">
        <f t="shared" si="29"/>
        <v>331.99999999999972</v>
      </c>
      <c r="P87" s="861">
        <f t="shared" si="30"/>
        <v>120</v>
      </c>
      <c r="Q87" s="861">
        <f t="shared" si="20"/>
        <v>11</v>
      </c>
      <c r="S87" s="340">
        <f t="shared" si="21"/>
        <v>2.1543985637342908</v>
      </c>
      <c r="T87" s="12">
        <f t="shared" si="31"/>
        <v>2</v>
      </c>
      <c r="U87" s="860">
        <f t="shared" si="22"/>
        <v>0.84560143626570916</v>
      </c>
      <c r="V87" s="861">
        <f t="shared" si="32"/>
        <v>471</v>
      </c>
      <c r="W87" s="861">
        <f t="shared" si="33"/>
        <v>160</v>
      </c>
      <c r="X87" s="861">
        <f t="shared" si="23"/>
        <v>2</v>
      </c>
      <c r="Z87" s="12">
        <f t="shared" si="24"/>
        <v>22</v>
      </c>
      <c r="AA87" s="12">
        <f t="shared" si="25"/>
        <v>4.4236940000000002</v>
      </c>
      <c r="AB87" s="12">
        <f t="shared" si="26"/>
        <v>4.8</v>
      </c>
      <c r="AC87" s="864">
        <f t="shared" si="27"/>
        <v>0.92160291666666672</v>
      </c>
    </row>
    <row r="88" spans="3:29" x14ac:dyDescent="0.25">
      <c r="C88" s="850">
        <f>IF(Z88&gt;0,MAX(C73:C87)+1,0)</f>
        <v>16</v>
      </c>
      <c r="D88" s="866">
        <v>10</v>
      </c>
      <c r="E88" s="850">
        <v>116</v>
      </c>
      <c r="F88" s="868">
        <v>5</v>
      </c>
      <c r="G88" s="851">
        <v>4000</v>
      </c>
      <c r="H88" s="851">
        <v>1200</v>
      </c>
      <c r="I88" s="851">
        <v>5</v>
      </c>
      <c r="J88" s="851">
        <v>0</v>
      </c>
      <c r="L88" s="340">
        <f t="shared" si="18"/>
        <v>11.0803324099723</v>
      </c>
      <c r="M88" s="12">
        <f t="shared" si="28"/>
        <v>11</v>
      </c>
      <c r="N88" s="860">
        <f t="shared" si="19"/>
        <v>0.91966759002770004</v>
      </c>
      <c r="O88" s="861">
        <f t="shared" si="29"/>
        <v>331.99999999999972</v>
      </c>
      <c r="P88" s="861">
        <f t="shared" si="30"/>
        <v>120</v>
      </c>
      <c r="Q88" s="861">
        <f t="shared" si="20"/>
        <v>11</v>
      </c>
      <c r="S88" s="340">
        <f t="shared" si="21"/>
        <v>2.1543985637342908</v>
      </c>
      <c r="T88" s="12">
        <f t="shared" si="31"/>
        <v>2</v>
      </c>
      <c r="U88" s="860">
        <f t="shared" si="22"/>
        <v>0.84560143626570916</v>
      </c>
      <c r="V88" s="861">
        <f t="shared" si="32"/>
        <v>471</v>
      </c>
      <c r="W88" s="861">
        <f t="shared" si="33"/>
        <v>160</v>
      </c>
      <c r="X88" s="861">
        <f t="shared" si="23"/>
        <v>2</v>
      </c>
      <c r="Z88" s="12">
        <f t="shared" si="24"/>
        <v>22</v>
      </c>
      <c r="AA88" s="12">
        <f t="shared" si="25"/>
        <v>4.4236940000000002</v>
      </c>
      <c r="AB88" s="12">
        <f t="shared" si="26"/>
        <v>4.8</v>
      </c>
      <c r="AC88" s="864">
        <f t="shared" si="27"/>
        <v>0.92160291666666672</v>
      </c>
    </row>
    <row r="89" spans="3:29" x14ac:dyDescent="0.25">
      <c r="C89" s="850">
        <f>IF(Z89&gt;0,MAX(C73:C88)+1,0)</f>
        <v>17</v>
      </c>
      <c r="D89" s="866">
        <v>20</v>
      </c>
      <c r="E89" s="850">
        <v>117</v>
      </c>
      <c r="F89" s="868">
        <v>4</v>
      </c>
      <c r="G89" s="851">
        <v>4800</v>
      </c>
      <c r="H89" s="851">
        <v>1000</v>
      </c>
      <c r="I89" s="851">
        <v>0</v>
      </c>
      <c r="J89" s="851">
        <v>4</v>
      </c>
      <c r="L89" s="340">
        <f t="shared" si="18"/>
        <v>13.296398891966758</v>
      </c>
      <c r="M89" s="12">
        <f t="shared" si="28"/>
        <v>13</v>
      </c>
      <c r="N89" s="860">
        <f t="shared" si="19"/>
        <v>0.70360110803324183</v>
      </c>
      <c r="O89" s="861">
        <f t="shared" si="29"/>
        <v>254.00000000000028</v>
      </c>
      <c r="P89" s="861">
        <f t="shared" si="30"/>
        <v>120</v>
      </c>
      <c r="Q89" s="861">
        <f t="shared" si="20"/>
        <v>13</v>
      </c>
      <c r="S89" s="340">
        <f t="shared" si="21"/>
        <v>1.7953321364452424</v>
      </c>
      <c r="T89" s="12">
        <f t="shared" si="31"/>
        <v>1</v>
      </c>
      <c r="U89" s="860">
        <f t="shared" si="22"/>
        <v>0.20466786355475763</v>
      </c>
      <c r="V89" s="861">
        <f t="shared" si="32"/>
        <v>114</v>
      </c>
      <c r="W89" s="861">
        <f t="shared" si="33"/>
        <v>160</v>
      </c>
      <c r="X89" s="861">
        <f t="shared" si="23"/>
        <v>2</v>
      </c>
      <c r="Z89" s="12">
        <f t="shared" si="24"/>
        <v>26</v>
      </c>
      <c r="AA89" s="12">
        <f t="shared" si="25"/>
        <v>5.228002</v>
      </c>
      <c r="AB89" s="12">
        <f t="shared" si="26"/>
        <v>4.8</v>
      </c>
      <c r="AC89" s="864">
        <f t="shared" si="27"/>
        <v>1.0891670833333333</v>
      </c>
    </row>
    <row r="90" spans="3:29" x14ac:dyDescent="0.25">
      <c r="C90" s="850">
        <f>IF(Z90&gt;0,MAX(C73:C89)+1,0)</f>
        <v>18</v>
      </c>
      <c r="D90" s="866">
        <v>10</v>
      </c>
      <c r="E90" s="850">
        <v>118</v>
      </c>
      <c r="F90" s="868">
        <v>5</v>
      </c>
      <c r="G90" s="851">
        <v>6000</v>
      </c>
      <c r="H90" s="851">
        <v>800</v>
      </c>
      <c r="I90" s="851">
        <v>5</v>
      </c>
      <c r="J90" s="851">
        <v>0</v>
      </c>
      <c r="L90" s="340">
        <f t="shared" si="18"/>
        <v>16.62049861495845</v>
      </c>
      <c r="M90" s="12">
        <f t="shared" si="28"/>
        <v>16</v>
      </c>
      <c r="N90" s="860">
        <f t="shared" si="19"/>
        <v>0.37950138504155007</v>
      </c>
      <c r="O90" s="861">
        <f t="shared" si="29"/>
        <v>136.99999999999957</v>
      </c>
      <c r="P90" s="861">
        <f t="shared" si="30"/>
        <v>120</v>
      </c>
      <c r="Q90" s="861">
        <f t="shared" si="20"/>
        <v>16</v>
      </c>
      <c r="S90" s="340">
        <f t="shared" si="21"/>
        <v>1.4362657091561939</v>
      </c>
      <c r="T90" s="12">
        <f t="shared" si="31"/>
        <v>1</v>
      </c>
      <c r="U90" s="860">
        <f t="shared" si="22"/>
        <v>0.56373429084380611</v>
      </c>
      <c r="V90" s="861">
        <f t="shared" si="32"/>
        <v>314</v>
      </c>
      <c r="W90" s="861">
        <f t="shared" si="33"/>
        <v>160</v>
      </c>
      <c r="X90" s="861">
        <f t="shared" si="23"/>
        <v>1</v>
      </c>
      <c r="Z90" s="12">
        <f t="shared" si="24"/>
        <v>16</v>
      </c>
      <c r="AA90" s="12">
        <f t="shared" si="25"/>
        <v>3.2172320000000001</v>
      </c>
      <c r="AB90" s="12">
        <f t="shared" si="26"/>
        <v>4.8000000000000007</v>
      </c>
      <c r="AC90" s="864">
        <f t="shared" si="27"/>
        <v>0.67025666666666661</v>
      </c>
    </row>
    <row r="91" spans="3:29" x14ac:dyDescent="0.25">
      <c r="C91" s="850">
        <f>IF(Z91&gt;0,MAX(C73:C90)+1,0)</f>
        <v>19</v>
      </c>
      <c r="D91" s="866">
        <v>10</v>
      </c>
      <c r="E91" s="850">
        <v>119</v>
      </c>
      <c r="F91" s="868">
        <v>6</v>
      </c>
      <c r="G91" s="851">
        <v>2400</v>
      </c>
      <c r="H91" s="851">
        <v>2400</v>
      </c>
      <c r="I91" s="851">
        <v>6</v>
      </c>
      <c r="J91" s="851">
        <v>0</v>
      </c>
      <c r="L91" s="340">
        <f t="shared" si="18"/>
        <v>6.6481994459833791</v>
      </c>
      <c r="M91" s="12">
        <f t="shared" si="28"/>
        <v>6</v>
      </c>
      <c r="N91" s="860">
        <f t="shared" si="19"/>
        <v>0.35180055401662091</v>
      </c>
      <c r="O91" s="861">
        <f t="shared" si="29"/>
        <v>127.00000000000014</v>
      </c>
      <c r="P91" s="861">
        <f t="shared" si="30"/>
        <v>120</v>
      </c>
      <c r="Q91" s="861">
        <f t="shared" si="20"/>
        <v>6</v>
      </c>
      <c r="S91" s="340">
        <f t="shared" si="21"/>
        <v>4.3087971274685817</v>
      </c>
      <c r="T91" s="12">
        <f t="shared" si="31"/>
        <v>4</v>
      </c>
      <c r="U91" s="860">
        <f t="shared" si="22"/>
        <v>0.69120287253141832</v>
      </c>
      <c r="V91" s="861">
        <f t="shared" si="32"/>
        <v>385</v>
      </c>
      <c r="W91" s="861">
        <f t="shared" si="33"/>
        <v>160</v>
      </c>
      <c r="X91" s="861">
        <f t="shared" si="23"/>
        <v>4</v>
      </c>
      <c r="Z91" s="12">
        <f t="shared" si="24"/>
        <v>24</v>
      </c>
      <c r="AA91" s="12">
        <f t="shared" si="25"/>
        <v>4.8258480000000006</v>
      </c>
      <c r="AB91" s="12">
        <f t="shared" si="26"/>
        <v>5.76</v>
      </c>
      <c r="AC91" s="864">
        <f t="shared" si="27"/>
        <v>0.83782083333333346</v>
      </c>
    </row>
    <row r="92" spans="3:29" x14ac:dyDescent="0.25">
      <c r="C92" s="850">
        <f>IF(Z92&gt;0,MAX(C73:C91)+1,0)</f>
        <v>20</v>
      </c>
      <c r="D92" s="866">
        <v>10</v>
      </c>
      <c r="E92" s="850">
        <v>120</v>
      </c>
      <c r="F92" s="868">
        <v>6</v>
      </c>
      <c r="G92" s="851">
        <v>4800</v>
      </c>
      <c r="H92" s="851">
        <v>1200</v>
      </c>
      <c r="I92" s="851">
        <v>6</v>
      </c>
      <c r="J92" s="851">
        <v>0</v>
      </c>
      <c r="L92" s="340">
        <f t="shared" si="18"/>
        <v>13.296398891966758</v>
      </c>
      <c r="M92" s="12">
        <f t="shared" si="28"/>
        <v>13</v>
      </c>
      <c r="N92" s="860">
        <f t="shared" si="19"/>
        <v>0.70360110803324183</v>
      </c>
      <c r="O92" s="861">
        <f t="shared" si="29"/>
        <v>254.00000000000028</v>
      </c>
      <c r="P92" s="861">
        <f t="shared" si="30"/>
        <v>120</v>
      </c>
      <c r="Q92" s="861">
        <f t="shared" si="20"/>
        <v>13</v>
      </c>
      <c r="S92" s="340">
        <f t="shared" si="21"/>
        <v>2.1543985637342908</v>
      </c>
      <c r="T92" s="12">
        <f t="shared" si="31"/>
        <v>2</v>
      </c>
      <c r="U92" s="860">
        <f t="shared" si="22"/>
        <v>0.84560143626570916</v>
      </c>
      <c r="V92" s="861">
        <f t="shared" si="32"/>
        <v>471</v>
      </c>
      <c r="W92" s="861">
        <f t="shared" si="33"/>
        <v>160</v>
      </c>
      <c r="X92" s="861">
        <f t="shared" si="23"/>
        <v>2</v>
      </c>
      <c r="Z92" s="12">
        <f t="shared" si="24"/>
        <v>26</v>
      </c>
      <c r="AA92" s="12">
        <f t="shared" si="25"/>
        <v>5.228002</v>
      </c>
      <c r="AB92" s="12">
        <f t="shared" si="26"/>
        <v>5.76</v>
      </c>
      <c r="AC92" s="864">
        <f t="shared" si="27"/>
        <v>0.90763923611111119</v>
      </c>
    </row>
    <row r="93" spans="3:29" x14ac:dyDescent="0.25">
      <c r="C93" s="850">
        <f>IF(Z93&gt;0,MAX(C73:C92)+1,0)</f>
        <v>21</v>
      </c>
      <c r="D93" s="866">
        <v>10</v>
      </c>
      <c r="E93" s="850">
        <v>121</v>
      </c>
      <c r="F93" s="868">
        <v>6</v>
      </c>
      <c r="G93" s="851">
        <v>3600</v>
      </c>
      <c r="H93" s="851">
        <v>1600</v>
      </c>
      <c r="I93" s="851">
        <v>6</v>
      </c>
      <c r="J93" s="851">
        <v>0</v>
      </c>
      <c r="L93" s="340">
        <f t="shared" si="18"/>
        <v>9.97229916897507</v>
      </c>
      <c r="M93" s="12">
        <f t="shared" si="28"/>
        <v>9</v>
      </c>
      <c r="N93" s="860">
        <f t="shared" si="19"/>
        <v>2.7700831024930039E-2</v>
      </c>
      <c r="O93" s="861">
        <f t="shared" si="29"/>
        <v>9.9999999999997726</v>
      </c>
      <c r="P93" s="861">
        <f t="shared" si="30"/>
        <v>120</v>
      </c>
      <c r="Q93" s="861">
        <f t="shared" si="20"/>
        <v>10</v>
      </c>
      <c r="S93" s="340">
        <f t="shared" si="21"/>
        <v>2.8725314183123878</v>
      </c>
      <c r="T93" s="12">
        <f t="shared" si="31"/>
        <v>2</v>
      </c>
      <c r="U93" s="860">
        <f t="shared" si="22"/>
        <v>0.12746858168761221</v>
      </c>
      <c r="V93" s="861">
        <f t="shared" si="32"/>
        <v>71</v>
      </c>
      <c r="W93" s="861">
        <f t="shared" si="33"/>
        <v>160</v>
      </c>
      <c r="X93" s="861">
        <f t="shared" si="23"/>
        <v>3</v>
      </c>
      <c r="Z93" s="12">
        <f t="shared" si="24"/>
        <v>30</v>
      </c>
      <c r="AA93" s="12">
        <f t="shared" si="25"/>
        <v>6.0323099999999998</v>
      </c>
      <c r="AB93" s="12">
        <f t="shared" si="26"/>
        <v>5.7600000000000007</v>
      </c>
      <c r="AC93" s="864">
        <f t="shared" si="27"/>
        <v>1.0472760416666664</v>
      </c>
    </row>
    <row r="94" spans="3:29" x14ac:dyDescent="0.25">
      <c r="C94" s="850">
        <f>IF(Z94&gt;0,MAX(C73:C93)+1,0)</f>
        <v>22</v>
      </c>
      <c r="D94" s="866">
        <v>20</v>
      </c>
      <c r="E94" s="850">
        <v>122</v>
      </c>
      <c r="F94" s="868">
        <v>5</v>
      </c>
      <c r="G94" s="851">
        <v>5000</v>
      </c>
      <c r="H94" s="851">
        <v>1200</v>
      </c>
      <c r="I94" s="851">
        <v>0</v>
      </c>
      <c r="J94" s="851">
        <v>5</v>
      </c>
      <c r="L94" s="340">
        <f t="shared" si="18"/>
        <v>13.850415512465373</v>
      </c>
      <c r="M94" s="12">
        <f t="shared" si="28"/>
        <v>13</v>
      </c>
      <c r="N94" s="860">
        <f t="shared" si="19"/>
        <v>0.14958448753462683</v>
      </c>
      <c r="O94" s="861">
        <f t="shared" si="29"/>
        <v>54.000000000000284</v>
      </c>
      <c r="P94" s="861">
        <f t="shared" si="30"/>
        <v>120</v>
      </c>
      <c r="Q94" s="861">
        <f t="shared" si="20"/>
        <v>14</v>
      </c>
      <c r="S94" s="340">
        <f t="shared" si="21"/>
        <v>2.1543985637342908</v>
      </c>
      <c r="T94" s="12">
        <f t="shared" si="31"/>
        <v>2</v>
      </c>
      <c r="U94" s="860">
        <f t="shared" si="22"/>
        <v>0.84560143626570916</v>
      </c>
      <c r="V94" s="861">
        <f t="shared" si="32"/>
        <v>471</v>
      </c>
      <c r="W94" s="861">
        <f t="shared" si="33"/>
        <v>160</v>
      </c>
      <c r="X94" s="861">
        <f t="shared" si="23"/>
        <v>2</v>
      </c>
      <c r="Z94" s="12">
        <f t="shared" si="24"/>
        <v>28</v>
      </c>
      <c r="AA94" s="12">
        <f t="shared" si="25"/>
        <v>5.6301560000000004</v>
      </c>
      <c r="AB94" s="12">
        <f t="shared" si="26"/>
        <v>6</v>
      </c>
      <c r="AC94" s="864">
        <f t="shared" si="27"/>
        <v>0.93835933333333343</v>
      </c>
    </row>
    <row r="95" spans="3:29" x14ac:dyDescent="0.25">
      <c r="C95" s="850">
        <f>IF(Z95&gt;0,MAX(C73:C94)+1,0)</f>
        <v>23</v>
      </c>
      <c r="D95" s="866">
        <v>20</v>
      </c>
      <c r="E95" s="850">
        <v>123</v>
      </c>
      <c r="F95" s="868">
        <v>5</v>
      </c>
      <c r="G95" s="851">
        <v>6000</v>
      </c>
      <c r="H95" s="851">
        <v>1000</v>
      </c>
      <c r="I95" s="851">
        <v>0</v>
      </c>
      <c r="J95" s="851">
        <v>5</v>
      </c>
      <c r="L95" s="340">
        <f t="shared" si="18"/>
        <v>16.62049861495845</v>
      </c>
      <c r="M95" s="12">
        <f t="shared" si="28"/>
        <v>16</v>
      </c>
      <c r="N95" s="860">
        <f t="shared" si="19"/>
        <v>0.37950138504155007</v>
      </c>
      <c r="O95" s="861">
        <f t="shared" si="29"/>
        <v>136.99999999999957</v>
      </c>
      <c r="P95" s="861">
        <f t="shared" si="30"/>
        <v>120</v>
      </c>
      <c r="Q95" s="861">
        <f t="shared" si="20"/>
        <v>16</v>
      </c>
      <c r="S95" s="340">
        <f t="shared" si="21"/>
        <v>1.7953321364452424</v>
      </c>
      <c r="T95" s="12">
        <f t="shared" si="31"/>
        <v>1</v>
      </c>
      <c r="U95" s="860">
        <f t="shared" si="22"/>
        <v>0.20466786355475763</v>
      </c>
      <c r="V95" s="861">
        <f t="shared" si="32"/>
        <v>114</v>
      </c>
      <c r="W95" s="861">
        <f t="shared" si="33"/>
        <v>160</v>
      </c>
      <c r="X95" s="861">
        <f t="shared" si="23"/>
        <v>2</v>
      </c>
      <c r="Z95" s="12">
        <f t="shared" si="24"/>
        <v>32</v>
      </c>
      <c r="AA95" s="12">
        <f t="shared" si="25"/>
        <v>6.4344640000000002</v>
      </c>
      <c r="AB95" s="12">
        <f t="shared" si="26"/>
        <v>6</v>
      </c>
      <c r="AC95" s="864">
        <f t="shared" si="27"/>
        <v>1.0724106666666666</v>
      </c>
    </row>
    <row r="96" spans="3:29" x14ac:dyDescent="0.25">
      <c r="C96" s="850">
        <f>IF(Z96&gt;0,MAX(C73:C95)+1,0)</f>
        <v>24</v>
      </c>
      <c r="D96" s="866">
        <v>20</v>
      </c>
      <c r="E96" s="850">
        <v>124</v>
      </c>
      <c r="F96" s="868">
        <v>6</v>
      </c>
      <c r="G96" s="851">
        <v>6000</v>
      </c>
      <c r="H96" s="851">
        <v>1200</v>
      </c>
      <c r="I96" s="851">
        <v>0</v>
      </c>
      <c r="J96" s="851">
        <v>6</v>
      </c>
      <c r="L96" s="340">
        <f t="shared" si="18"/>
        <v>16.62049861495845</v>
      </c>
      <c r="M96" s="12">
        <f t="shared" si="28"/>
        <v>16</v>
      </c>
      <c r="N96" s="860">
        <f t="shared" si="19"/>
        <v>0.37950138504155007</v>
      </c>
      <c r="O96" s="861">
        <f t="shared" si="29"/>
        <v>136.99999999999957</v>
      </c>
      <c r="P96" s="861">
        <f t="shared" si="30"/>
        <v>120</v>
      </c>
      <c r="Q96" s="861">
        <f t="shared" si="20"/>
        <v>16</v>
      </c>
      <c r="S96" s="340">
        <f t="shared" si="21"/>
        <v>2.1543985637342908</v>
      </c>
      <c r="T96" s="12">
        <f t="shared" si="31"/>
        <v>2</v>
      </c>
      <c r="U96" s="860">
        <f t="shared" si="22"/>
        <v>0.84560143626570916</v>
      </c>
      <c r="V96" s="861">
        <f t="shared" si="32"/>
        <v>471</v>
      </c>
      <c r="W96" s="861">
        <f t="shared" si="33"/>
        <v>160</v>
      </c>
      <c r="X96" s="861">
        <f t="shared" si="23"/>
        <v>2</v>
      </c>
      <c r="Z96" s="12">
        <f t="shared" si="24"/>
        <v>32</v>
      </c>
      <c r="AA96" s="12">
        <f t="shared" si="25"/>
        <v>6.4344640000000002</v>
      </c>
      <c r="AB96" s="12">
        <f t="shared" si="26"/>
        <v>7.1999999999999993</v>
      </c>
      <c r="AC96" s="864">
        <f t="shared" si="27"/>
        <v>0.89367555555555567</v>
      </c>
    </row>
    <row r="97" spans="3:29" x14ac:dyDescent="0.25">
      <c r="C97" s="850">
        <f>IF(Z97&gt;0,MAX(C73:C96)+1,0)</f>
        <v>25</v>
      </c>
      <c r="D97" s="866">
        <v>20</v>
      </c>
      <c r="E97" s="850">
        <v>125</v>
      </c>
      <c r="F97" s="868">
        <v>6</v>
      </c>
      <c r="G97" s="851">
        <v>3000</v>
      </c>
      <c r="H97" s="851">
        <v>2400</v>
      </c>
      <c r="I97" s="851">
        <v>0</v>
      </c>
      <c r="J97" s="851">
        <v>6</v>
      </c>
      <c r="L97" s="340">
        <f t="shared" si="18"/>
        <v>8.310249307479225</v>
      </c>
      <c r="M97" s="12">
        <f t="shared" si="28"/>
        <v>8</v>
      </c>
      <c r="N97" s="860">
        <f t="shared" si="19"/>
        <v>0.68975069252077503</v>
      </c>
      <c r="O97" s="861">
        <f t="shared" si="29"/>
        <v>248.99999999999977</v>
      </c>
      <c r="P97" s="861">
        <f t="shared" si="30"/>
        <v>120</v>
      </c>
      <c r="Q97" s="861">
        <f t="shared" si="20"/>
        <v>8</v>
      </c>
      <c r="S97" s="340">
        <f t="shared" si="21"/>
        <v>4.3087971274685817</v>
      </c>
      <c r="T97" s="12">
        <f t="shared" si="31"/>
        <v>4</v>
      </c>
      <c r="U97" s="860">
        <f t="shared" si="22"/>
        <v>0.69120287253141832</v>
      </c>
      <c r="V97" s="861">
        <f t="shared" si="32"/>
        <v>385</v>
      </c>
      <c r="W97" s="861">
        <f t="shared" si="33"/>
        <v>160</v>
      </c>
      <c r="X97" s="861">
        <f t="shared" si="23"/>
        <v>4</v>
      </c>
      <c r="Z97" s="12">
        <f t="shared" si="24"/>
        <v>32</v>
      </c>
      <c r="AA97" s="12">
        <f t="shared" si="25"/>
        <v>6.4344640000000002</v>
      </c>
      <c r="AB97" s="12">
        <f t="shared" si="26"/>
        <v>7.1999999999999993</v>
      </c>
      <c r="AC97" s="864">
        <f t="shared" si="27"/>
        <v>0.89367555555555567</v>
      </c>
    </row>
    <row r="98" spans="3:29" x14ac:dyDescent="0.25">
      <c r="C98" s="850">
        <f>IF(Z98&gt;0,MAX(C73:C97)+1,0)</f>
        <v>26</v>
      </c>
      <c r="D98" s="866">
        <v>20</v>
      </c>
      <c r="E98" s="850">
        <v>126</v>
      </c>
      <c r="F98" s="868">
        <v>6</v>
      </c>
      <c r="G98" s="851">
        <v>3600</v>
      </c>
      <c r="H98" s="851">
        <v>2000</v>
      </c>
      <c r="I98" s="851">
        <v>0</v>
      </c>
      <c r="J98" s="851">
        <v>6</v>
      </c>
      <c r="L98" s="340">
        <f t="shared" si="18"/>
        <v>9.97229916897507</v>
      </c>
      <c r="M98" s="12">
        <f t="shared" si="28"/>
        <v>9</v>
      </c>
      <c r="N98" s="860">
        <f t="shared" si="19"/>
        <v>2.7700831024930039E-2</v>
      </c>
      <c r="O98" s="861">
        <f t="shared" si="29"/>
        <v>9.9999999999997726</v>
      </c>
      <c r="P98" s="861">
        <f t="shared" si="30"/>
        <v>120</v>
      </c>
      <c r="Q98" s="861">
        <f t="shared" si="20"/>
        <v>10</v>
      </c>
      <c r="S98" s="340">
        <f t="shared" si="21"/>
        <v>3.5906642728904847</v>
      </c>
      <c r="T98" s="12">
        <f t="shared" si="31"/>
        <v>3</v>
      </c>
      <c r="U98" s="860">
        <f t="shared" si="22"/>
        <v>0.40933572710951527</v>
      </c>
      <c r="V98" s="861">
        <f t="shared" si="32"/>
        <v>228</v>
      </c>
      <c r="W98" s="861">
        <f t="shared" si="33"/>
        <v>160</v>
      </c>
      <c r="X98" s="861">
        <f t="shared" si="23"/>
        <v>3</v>
      </c>
      <c r="Z98" s="12">
        <f t="shared" si="24"/>
        <v>30</v>
      </c>
      <c r="AA98" s="12">
        <f t="shared" si="25"/>
        <v>6.0323099999999998</v>
      </c>
      <c r="AB98" s="12">
        <f t="shared" si="26"/>
        <v>7.2</v>
      </c>
      <c r="AC98" s="864">
        <f t="shared" si="27"/>
        <v>0.83782083333333324</v>
      </c>
    </row>
    <row r="99" spans="3:29" x14ac:dyDescent="0.25">
      <c r="C99" s="850">
        <f>IF(Z99&gt;0,MAX(C73:C98)+1,0)</f>
        <v>27</v>
      </c>
      <c r="D99" s="866">
        <v>10</v>
      </c>
      <c r="E99" s="850">
        <v>127</v>
      </c>
      <c r="F99" s="868">
        <v>8</v>
      </c>
      <c r="G99" s="851">
        <v>6400</v>
      </c>
      <c r="H99" s="851">
        <v>1200</v>
      </c>
      <c r="I99" s="851">
        <v>8</v>
      </c>
      <c r="J99" s="851">
        <v>0</v>
      </c>
      <c r="L99" s="340">
        <f t="shared" si="18"/>
        <v>17.72853185595568</v>
      </c>
      <c r="M99" s="12">
        <f t="shared" si="28"/>
        <v>17</v>
      </c>
      <c r="N99" s="860">
        <f t="shared" si="19"/>
        <v>0.27146814404432007</v>
      </c>
      <c r="O99" s="861">
        <f t="shared" si="29"/>
        <v>97.999999999999545</v>
      </c>
      <c r="P99" s="861">
        <f t="shared" si="30"/>
        <v>120</v>
      </c>
      <c r="Q99" s="861">
        <f t="shared" si="20"/>
        <v>18</v>
      </c>
      <c r="S99" s="340">
        <f t="shared" si="21"/>
        <v>2.1543985637342908</v>
      </c>
      <c r="T99" s="12">
        <f t="shared" si="31"/>
        <v>2</v>
      </c>
      <c r="U99" s="860">
        <f t="shared" si="22"/>
        <v>0.84560143626570916</v>
      </c>
      <c r="V99" s="861">
        <f t="shared" si="32"/>
        <v>471</v>
      </c>
      <c r="W99" s="861">
        <f t="shared" si="33"/>
        <v>160</v>
      </c>
      <c r="X99" s="861">
        <f t="shared" si="23"/>
        <v>2</v>
      </c>
      <c r="Z99" s="12">
        <f t="shared" si="24"/>
        <v>36</v>
      </c>
      <c r="AA99" s="12">
        <f t="shared" si="25"/>
        <v>7.238772</v>
      </c>
      <c r="AB99" s="12">
        <f t="shared" si="26"/>
        <v>7.68</v>
      </c>
      <c r="AC99" s="864">
        <f t="shared" si="27"/>
        <v>0.94254843750000006</v>
      </c>
    </row>
    <row r="100" spans="3:29" x14ac:dyDescent="0.25">
      <c r="C100" s="850">
        <f>IF(Z100&gt;0,MAX(C73:C99)+1,0)</f>
        <v>28</v>
      </c>
      <c r="D100" s="866">
        <v>10</v>
      </c>
      <c r="E100" s="850">
        <v>128</v>
      </c>
      <c r="F100" s="868">
        <v>8</v>
      </c>
      <c r="G100" s="851">
        <v>3200</v>
      </c>
      <c r="H100" s="851">
        <v>2400</v>
      </c>
      <c r="I100" s="851">
        <v>8</v>
      </c>
      <c r="J100" s="851">
        <v>0</v>
      </c>
      <c r="L100" s="340">
        <f t="shared" si="18"/>
        <v>8.86426592797784</v>
      </c>
      <c r="M100" s="12">
        <f t="shared" si="28"/>
        <v>8</v>
      </c>
      <c r="N100" s="860">
        <f t="shared" si="19"/>
        <v>0.13573407202216003</v>
      </c>
      <c r="O100" s="861">
        <f t="shared" si="29"/>
        <v>48.999999999999773</v>
      </c>
      <c r="P100" s="861">
        <f t="shared" si="30"/>
        <v>120</v>
      </c>
      <c r="Q100" s="861">
        <f t="shared" si="20"/>
        <v>9</v>
      </c>
      <c r="S100" s="340">
        <f t="shared" si="21"/>
        <v>4.3087971274685817</v>
      </c>
      <c r="T100" s="12">
        <f t="shared" si="31"/>
        <v>4</v>
      </c>
      <c r="U100" s="860">
        <f t="shared" si="22"/>
        <v>0.69120287253141832</v>
      </c>
      <c r="V100" s="861">
        <f t="shared" si="32"/>
        <v>385</v>
      </c>
      <c r="W100" s="861">
        <f t="shared" si="33"/>
        <v>160</v>
      </c>
      <c r="X100" s="861">
        <f t="shared" si="23"/>
        <v>4</v>
      </c>
      <c r="Z100" s="12">
        <f t="shared" si="24"/>
        <v>36</v>
      </c>
      <c r="AA100" s="12">
        <f t="shared" si="25"/>
        <v>7.238772</v>
      </c>
      <c r="AB100" s="12">
        <f t="shared" si="26"/>
        <v>7.68</v>
      </c>
      <c r="AC100" s="864">
        <f t="shared" si="27"/>
        <v>0.94254843750000006</v>
      </c>
    </row>
    <row r="101" spans="3:29" x14ac:dyDescent="0.25">
      <c r="C101" s="850">
        <f>IF(Z101&gt;0,MAX(C83:C100)+1,0)</f>
        <v>29</v>
      </c>
      <c r="D101" s="866">
        <v>10</v>
      </c>
      <c r="E101" s="850">
        <v>129</v>
      </c>
      <c r="F101" s="868">
        <v>8</v>
      </c>
      <c r="G101" s="851">
        <v>4800</v>
      </c>
      <c r="H101" s="851">
        <v>1600</v>
      </c>
      <c r="I101" s="851">
        <v>8</v>
      </c>
      <c r="J101" s="851">
        <v>0</v>
      </c>
      <c r="L101" s="340">
        <f t="shared" si="18"/>
        <v>13.296398891966758</v>
      </c>
      <c r="M101" s="12">
        <f t="shared" si="28"/>
        <v>13</v>
      </c>
      <c r="N101" s="860">
        <f t="shared" si="19"/>
        <v>0.70360110803324183</v>
      </c>
      <c r="O101" s="861">
        <f t="shared" si="29"/>
        <v>254.00000000000028</v>
      </c>
      <c r="P101" s="861">
        <f t="shared" si="30"/>
        <v>120</v>
      </c>
      <c r="Q101" s="861">
        <f t="shared" si="20"/>
        <v>13</v>
      </c>
      <c r="S101" s="340">
        <f t="shared" si="21"/>
        <v>2.8725314183123878</v>
      </c>
      <c r="T101" s="12">
        <f t="shared" si="31"/>
        <v>2</v>
      </c>
      <c r="U101" s="860">
        <f t="shared" si="22"/>
        <v>0.12746858168761221</v>
      </c>
      <c r="V101" s="861">
        <f t="shared" si="32"/>
        <v>71</v>
      </c>
      <c r="W101" s="861">
        <f t="shared" si="33"/>
        <v>160</v>
      </c>
      <c r="X101" s="861">
        <f t="shared" si="23"/>
        <v>3</v>
      </c>
      <c r="Z101" s="12">
        <f t="shared" si="24"/>
        <v>39</v>
      </c>
      <c r="AA101" s="12">
        <f t="shared" si="25"/>
        <v>7.8420030000000001</v>
      </c>
      <c r="AB101" s="12">
        <f t="shared" si="26"/>
        <v>7.68</v>
      </c>
      <c r="AC101" s="864">
        <f t="shared" si="27"/>
        <v>1.021094140625</v>
      </c>
    </row>
    <row r="102" spans="3:29" x14ac:dyDescent="0.25">
      <c r="C102" s="850">
        <f>IF(Z102&gt;0,MAX(C73:C101)+1,0)</f>
        <v>30</v>
      </c>
      <c r="D102" s="866">
        <v>20</v>
      </c>
      <c r="E102" s="850">
        <v>130</v>
      </c>
      <c r="F102" s="868">
        <v>8</v>
      </c>
      <c r="G102" s="851">
        <v>4800</v>
      </c>
      <c r="H102" s="851">
        <v>2000</v>
      </c>
      <c r="I102" s="851">
        <v>0</v>
      </c>
      <c r="J102" s="851">
        <v>8</v>
      </c>
      <c r="L102" s="340">
        <f t="shared" si="18"/>
        <v>13.296398891966758</v>
      </c>
      <c r="M102" s="12">
        <f t="shared" si="28"/>
        <v>13</v>
      </c>
      <c r="N102" s="860">
        <f t="shared" si="19"/>
        <v>0.70360110803324183</v>
      </c>
      <c r="O102" s="861">
        <f t="shared" si="29"/>
        <v>254.00000000000028</v>
      </c>
      <c r="P102" s="861">
        <f t="shared" si="30"/>
        <v>120</v>
      </c>
      <c r="Q102" s="861">
        <f t="shared" si="20"/>
        <v>13</v>
      </c>
      <c r="S102" s="340">
        <f t="shared" si="21"/>
        <v>3.5906642728904847</v>
      </c>
      <c r="T102" s="12">
        <f t="shared" si="31"/>
        <v>3</v>
      </c>
      <c r="U102" s="860">
        <f t="shared" si="22"/>
        <v>0.40933572710951527</v>
      </c>
      <c r="V102" s="861">
        <f t="shared" si="32"/>
        <v>228</v>
      </c>
      <c r="W102" s="861">
        <f t="shared" si="33"/>
        <v>160</v>
      </c>
      <c r="X102" s="861">
        <f t="shared" si="23"/>
        <v>3</v>
      </c>
      <c r="Z102" s="12">
        <f t="shared" si="24"/>
        <v>39</v>
      </c>
      <c r="AA102" s="12">
        <f t="shared" si="25"/>
        <v>7.8420030000000001</v>
      </c>
      <c r="AB102" s="12">
        <f t="shared" si="26"/>
        <v>9.6</v>
      </c>
      <c r="AC102" s="864">
        <f t="shared" si="27"/>
        <v>0.81687531250000001</v>
      </c>
    </row>
    <row r="103" spans="3:29" x14ac:dyDescent="0.25">
      <c r="C103" s="850">
        <f>IF(Z103&gt;0,MAX(C73:C102)+1,0)</f>
        <v>31</v>
      </c>
      <c r="D103" s="866">
        <v>20</v>
      </c>
      <c r="E103" s="850">
        <v>131</v>
      </c>
      <c r="F103" s="868">
        <v>8</v>
      </c>
      <c r="G103" s="851">
        <v>4000</v>
      </c>
      <c r="H103" s="851">
        <v>2400</v>
      </c>
      <c r="I103" s="851">
        <v>0</v>
      </c>
      <c r="J103" s="851">
        <v>8</v>
      </c>
      <c r="L103" s="340">
        <f t="shared" si="18"/>
        <v>11.0803324099723</v>
      </c>
      <c r="M103" s="12">
        <f t="shared" si="28"/>
        <v>11</v>
      </c>
      <c r="N103" s="860">
        <f t="shared" si="19"/>
        <v>0.91966759002770004</v>
      </c>
      <c r="O103" s="861">
        <f t="shared" si="29"/>
        <v>331.99999999999972</v>
      </c>
      <c r="P103" s="861">
        <f t="shared" si="30"/>
        <v>120</v>
      </c>
      <c r="Q103" s="861">
        <f t="shared" si="20"/>
        <v>11</v>
      </c>
      <c r="S103" s="340">
        <f t="shared" si="21"/>
        <v>4.3087971274685817</v>
      </c>
      <c r="T103" s="12">
        <f t="shared" si="31"/>
        <v>4</v>
      </c>
      <c r="U103" s="860">
        <f t="shared" si="22"/>
        <v>0.69120287253141832</v>
      </c>
      <c r="V103" s="861">
        <f t="shared" si="32"/>
        <v>385</v>
      </c>
      <c r="W103" s="861">
        <f t="shared" si="33"/>
        <v>160</v>
      </c>
      <c r="X103" s="861">
        <f t="shared" si="23"/>
        <v>4</v>
      </c>
      <c r="Z103" s="12">
        <f t="shared" si="24"/>
        <v>44</v>
      </c>
      <c r="AA103" s="12">
        <f t="shared" si="25"/>
        <v>8.8473880000000005</v>
      </c>
      <c r="AB103" s="12">
        <f t="shared" si="26"/>
        <v>9.6</v>
      </c>
      <c r="AC103" s="864">
        <f t="shared" si="27"/>
        <v>0.92160291666666672</v>
      </c>
    </row>
    <row r="104" spans="3:29" x14ac:dyDescent="0.25">
      <c r="C104" s="850">
        <f>IF(Z104&gt;0,MAX(C73:C103)+1,0)</f>
        <v>32</v>
      </c>
      <c r="D104" s="866">
        <v>10</v>
      </c>
      <c r="E104" s="850">
        <v>132</v>
      </c>
      <c r="F104" s="868">
        <v>10</v>
      </c>
      <c r="G104" s="851">
        <v>4000</v>
      </c>
      <c r="H104" s="851">
        <v>2400</v>
      </c>
      <c r="I104" s="851">
        <v>10</v>
      </c>
      <c r="J104" s="851">
        <v>0</v>
      </c>
      <c r="L104" s="340">
        <f t="shared" si="18"/>
        <v>11.0803324099723</v>
      </c>
      <c r="M104" s="12">
        <f t="shared" si="28"/>
        <v>11</v>
      </c>
      <c r="N104" s="860">
        <f t="shared" si="19"/>
        <v>0.91966759002770004</v>
      </c>
      <c r="O104" s="861">
        <f t="shared" si="29"/>
        <v>331.99999999999972</v>
      </c>
      <c r="P104" s="861">
        <f t="shared" si="30"/>
        <v>120</v>
      </c>
      <c r="Q104" s="861">
        <f t="shared" si="20"/>
        <v>11</v>
      </c>
      <c r="S104" s="340">
        <f t="shared" si="21"/>
        <v>4.3087971274685817</v>
      </c>
      <c r="T104" s="12">
        <f t="shared" si="31"/>
        <v>4</v>
      </c>
      <c r="U104" s="860">
        <f t="shared" si="22"/>
        <v>0.69120287253141832</v>
      </c>
      <c r="V104" s="861">
        <f t="shared" si="32"/>
        <v>385</v>
      </c>
      <c r="W104" s="861">
        <f t="shared" si="33"/>
        <v>160</v>
      </c>
      <c r="X104" s="861">
        <f t="shared" si="23"/>
        <v>4</v>
      </c>
      <c r="Z104" s="12">
        <f t="shared" si="24"/>
        <v>44</v>
      </c>
      <c r="AA104" s="12">
        <f t="shared" si="25"/>
        <v>8.8473880000000005</v>
      </c>
      <c r="AB104" s="12">
        <f t="shared" si="26"/>
        <v>9.6</v>
      </c>
      <c r="AC104" s="864">
        <f t="shared" si="27"/>
        <v>0.92160291666666672</v>
      </c>
    </row>
    <row r="105" spans="3:29" x14ac:dyDescent="0.25">
      <c r="C105" s="850">
        <f>IF(Z105&gt;0,MAX(C73:C104)+1,0)</f>
        <v>33</v>
      </c>
      <c r="D105" s="866">
        <v>10</v>
      </c>
      <c r="E105" s="850">
        <v>133</v>
      </c>
      <c r="F105" s="868">
        <v>10</v>
      </c>
      <c r="G105" s="851">
        <v>6000</v>
      </c>
      <c r="H105" s="851">
        <v>1600</v>
      </c>
      <c r="I105" s="851">
        <v>10</v>
      </c>
      <c r="J105" s="851">
        <v>0</v>
      </c>
      <c r="L105" s="340">
        <f t="shared" si="18"/>
        <v>16.62049861495845</v>
      </c>
      <c r="M105" s="12">
        <f t="shared" si="28"/>
        <v>16</v>
      </c>
      <c r="N105" s="860">
        <f t="shared" si="19"/>
        <v>0.37950138504155007</v>
      </c>
      <c r="O105" s="861">
        <f t="shared" si="29"/>
        <v>136.99999999999957</v>
      </c>
      <c r="P105" s="861">
        <f t="shared" si="30"/>
        <v>120</v>
      </c>
      <c r="Q105" s="861">
        <f t="shared" si="20"/>
        <v>16</v>
      </c>
      <c r="S105" s="340">
        <f t="shared" si="21"/>
        <v>2.8725314183123878</v>
      </c>
      <c r="T105" s="12">
        <f t="shared" si="31"/>
        <v>2</v>
      </c>
      <c r="U105" s="860">
        <f t="shared" si="22"/>
        <v>0.12746858168761221</v>
      </c>
      <c r="V105" s="861">
        <f t="shared" si="32"/>
        <v>71</v>
      </c>
      <c r="W105" s="861">
        <f t="shared" si="33"/>
        <v>160</v>
      </c>
      <c r="X105" s="861">
        <f t="shared" si="23"/>
        <v>3</v>
      </c>
      <c r="Z105" s="12">
        <f t="shared" si="24"/>
        <v>48</v>
      </c>
      <c r="AA105" s="12">
        <f t="shared" si="25"/>
        <v>9.6516960000000012</v>
      </c>
      <c r="AB105" s="12">
        <f t="shared" si="26"/>
        <v>9.6000000000000014</v>
      </c>
      <c r="AC105" s="864">
        <f t="shared" si="27"/>
        <v>1.005385</v>
      </c>
    </row>
    <row r="106" spans="3:29" x14ac:dyDescent="0.25">
      <c r="C106" s="850">
        <f>IF(Z106&gt;0,MAX(C73:C105)+1,0)</f>
        <v>34</v>
      </c>
      <c r="D106" s="866">
        <v>10</v>
      </c>
      <c r="E106" s="850">
        <v>134</v>
      </c>
      <c r="F106" s="868">
        <v>12</v>
      </c>
      <c r="G106" s="851">
        <v>4800</v>
      </c>
      <c r="H106" s="851">
        <v>2400</v>
      </c>
      <c r="I106" s="851">
        <v>12</v>
      </c>
      <c r="J106" s="851">
        <v>0</v>
      </c>
      <c r="L106" s="340">
        <f t="shared" si="18"/>
        <v>13.296398891966758</v>
      </c>
      <c r="M106" s="12">
        <f t="shared" si="28"/>
        <v>13</v>
      </c>
      <c r="N106" s="860">
        <f t="shared" si="19"/>
        <v>0.70360110803324183</v>
      </c>
      <c r="O106" s="861">
        <f t="shared" si="29"/>
        <v>254.00000000000028</v>
      </c>
      <c r="P106" s="861">
        <f t="shared" si="30"/>
        <v>120</v>
      </c>
      <c r="Q106" s="861">
        <f t="shared" si="20"/>
        <v>13</v>
      </c>
      <c r="S106" s="340">
        <f t="shared" si="21"/>
        <v>4.3087971274685817</v>
      </c>
      <c r="T106" s="12">
        <f t="shared" si="31"/>
        <v>4</v>
      </c>
      <c r="U106" s="860">
        <f t="shared" si="22"/>
        <v>0.69120287253141832</v>
      </c>
      <c r="V106" s="861">
        <f t="shared" si="32"/>
        <v>385</v>
      </c>
      <c r="W106" s="861">
        <f t="shared" si="33"/>
        <v>160</v>
      </c>
      <c r="X106" s="861">
        <f t="shared" si="23"/>
        <v>4</v>
      </c>
      <c r="Z106" s="12">
        <f t="shared" si="24"/>
        <v>52</v>
      </c>
      <c r="AA106" s="12">
        <f t="shared" si="25"/>
        <v>10.456004</v>
      </c>
      <c r="AB106" s="12">
        <f t="shared" si="26"/>
        <v>11.52</v>
      </c>
      <c r="AC106" s="864">
        <f t="shared" si="27"/>
        <v>0.90763923611111119</v>
      </c>
    </row>
    <row r="107" spans="3:29" x14ac:dyDescent="0.25">
      <c r="C107" s="850">
        <f>IF(Z107&gt;0,MAX(C73:C106)+1,0)</f>
        <v>35</v>
      </c>
      <c r="D107" s="866">
        <v>20</v>
      </c>
      <c r="E107" s="850">
        <v>135</v>
      </c>
      <c r="F107" s="868">
        <v>10</v>
      </c>
      <c r="G107" s="851">
        <v>5000</v>
      </c>
      <c r="H107" s="851">
        <v>2400</v>
      </c>
      <c r="I107" s="851">
        <v>0</v>
      </c>
      <c r="J107" s="851">
        <v>10</v>
      </c>
      <c r="L107" s="340">
        <f t="shared" si="18"/>
        <v>13.850415512465373</v>
      </c>
      <c r="M107" s="12">
        <f t="shared" si="28"/>
        <v>13</v>
      </c>
      <c r="N107" s="860">
        <f t="shared" si="19"/>
        <v>0.14958448753462683</v>
      </c>
      <c r="O107" s="861">
        <f t="shared" si="29"/>
        <v>54.000000000000284</v>
      </c>
      <c r="P107" s="861">
        <f t="shared" si="30"/>
        <v>120</v>
      </c>
      <c r="Q107" s="861">
        <f t="shared" si="20"/>
        <v>14</v>
      </c>
      <c r="S107" s="340">
        <f t="shared" si="21"/>
        <v>4.3087971274685817</v>
      </c>
      <c r="T107" s="12">
        <f t="shared" si="31"/>
        <v>4</v>
      </c>
      <c r="U107" s="860">
        <f t="shared" si="22"/>
        <v>0.69120287253141832</v>
      </c>
      <c r="V107" s="861">
        <f t="shared" si="32"/>
        <v>385</v>
      </c>
      <c r="W107" s="861">
        <f t="shared" si="33"/>
        <v>160</v>
      </c>
      <c r="X107" s="861">
        <f t="shared" si="23"/>
        <v>4</v>
      </c>
      <c r="Z107" s="12">
        <f t="shared" si="24"/>
        <v>56</v>
      </c>
      <c r="AA107" s="12">
        <f t="shared" si="25"/>
        <v>11.260312000000001</v>
      </c>
      <c r="AB107" s="12">
        <f t="shared" si="26"/>
        <v>12</v>
      </c>
      <c r="AC107" s="864">
        <f t="shared" si="27"/>
        <v>0.93835933333333343</v>
      </c>
    </row>
    <row r="108" spans="3:29" x14ac:dyDescent="0.25">
      <c r="C108" s="850">
        <f>IF(Z108&gt;0,MAX(C73:C107)+1,0)</f>
        <v>36</v>
      </c>
      <c r="D108" s="866">
        <v>20</v>
      </c>
      <c r="E108" s="850">
        <v>136</v>
      </c>
      <c r="F108" s="868">
        <v>10</v>
      </c>
      <c r="G108" s="851">
        <v>6000</v>
      </c>
      <c r="H108" s="851">
        <v>2000</v>
      </c>
      <c r="I108" s="851">
        <v>0</v>
      </c>
      <c r="J108" s="851">
        <v>10</v>
      </c>
      <c r="L108" s="340">
        <f t="shared" si="18"/>
        <v>16.62049861495845</v>
      </c>
      <c r="M108" s="12">
        <f t="shared" si="28"/>
        <v>16</v>
      </c>
      <c r="N108" s="860">
        <f t="shared" si="19"/>
        <v>0.37950138504155007</v>
      </c>
      <c r="O108" s="861">
        <f t="shared" si="29"/>
        <v>136.99999999999957</v>
      </c>
      <c r="P108" s="861">
        <f t="shared" si="30"/>
        <v>120</v>
      </c>
      <c r="Q108" s="861">
        <f t="shared" si="20"/>
        <v>16</v>
      </c>
      <c r="S108" s="340">
        <f t="shared" si="21"/>
        <v>3.5906642728904847</v>
      </c>
      <c r="T108" s="12">
        <f t="shared" si="31"/>
        <v>3</v>
      </c>
      <c r="U108" s="860">
        <f t="shared" si="22"/>
        <v>0.40933572710951527</v>
      </c>
      <c r="V108" s="861">
        <f t="shared" si="32"/>
        <v>228</v>
      </c>
      <c r="W108" s="861">
        <f t="shared" si="33"/>
        <v>160</v>
      </c>
      <c r="X108" s="861">
        <f t="shared" si="23"/>
        <v>3</v>
      </c>
      <c r="Z108" s="12">
        <f t="shared" si="24"/>
        <v>48</v>
      </c>
      <c r="AA108" s="12">
        <f t="shared" si="25"/>
        <v>9.6516960000000012</v>
      </c>
      <c r="AB108" s="12">
        <f t="shared" si="26"/>
        <v>12</v>
      </c>
      <c r="AC108" s="864">
        <f t="shared" si="27"/>
        <v>0.80430800000000013</v>
      </c>
    </row>
    <row r="109" spans="3:29" x14ac:dyDescent="0.25">
      <c r="C109" s="850">
        <f>IF(Z109&gt;0,MAX(C73:C108)+1,0)</f>
        <v>37</v>
      </c>
      <c r="D109" s="866">
        <v>10</v>
      </c>
      <c r="E109" s="850">
        <v>137</v>
      </c>
      <c r="F109" s="868">
        <v>14</v>
      </c>
      <c r="G109" s="851">
        <v>5600</v>
      </c>
      <c r="H109" s="851">
        <v>2400</v>
      </c>
      <c r="I109" s="851">
        <v>14</v>
      </c>
      <c r="J109" s="851">
        <v>0</v>
      </c>
      <c r="L109" s="340">
        <f t="shared" si="18"/>
        <v>15.512465373961218</v>
      </c>
      <c r="M109" s="12">
        <f t="shared" si="28"/>
        <v>15</v>
      </c>
      <c r="N109" s="860">
        <f t="shared" si="19"/>
        <v>0.48753462603878184</v>
      </c>
      <c r="O109" s="861">
        <f t="shared" si="29"/>
        <v>176.00000000000026</v>
      </c>
      <c r="P109" s="861">
        <f t="shared" si="30"/>
        <v>120</v>
      </c>
      <c r="Q109" s="861">
        <f t="shared" si="20"/>
        <v>15</v>
      </c>
      <c r="S109" s="340">
        <f t="shared" si="21"/>
        <v>4.3087971274685817</v>
      </c>
      <c r="T109" s="12">
        <f t="shared" si="31"/>
        <v>4</v>
      </c>
      <c r="U109" s="860">
        <f t="shared" si="22"/>
        <v>0.69120287253141832</v>
      </c>
      <c r="V109" s="861">
        <f t="shared" si="32"/>
        <v>385</v>
      </c>
      <c r="W109" s="861">
        <f t="shared" si="33"/>
        <v>160</v>
      </c>
      <c r="X109" s="861">
        <f t="shared" si="23"/>
        <v>4</v>
      </c>
      <c r="Z109" s="12">
        <f t="shared" si="24"/>
        <v>60</v>
      </c>
      <c r="AA109" s="12">
        <f t="shared" si="25"/>
        <v>12.06462</v>
      </c>
      <c r="AB109" s="12">
        <f t="shared" si="26"/>
        <v>13.44</v>
      </c>
      <c r="AC109" s="864">
        <f t="shared" si="27"/>
        <v>0.89766517857142858</v>
      </c>
    </row>
    <row r="110" spans="3:29" x14ac:dyDescent="0.25">
      <c r="C110" s="850">
        <f>IF(Z110&gt;0,MAX(C73:C109)+1,0)</f>
        <v>38</v>
      </c>
      <c r="D110" s="866">
        <v>20</v>
      </c>
      <c r="E110" s="850">
        <v>138</v>
      </c>
      <c r="F110" s="868">
        <v>12</v>
      </c>
      <c r="G110" s="851">
        <v>6000</v>
      </c>
      <c r="H110" s="851">
        <v>2400</v>
      </c>
      <c r="I110" s="851">
        <v>0</v>
      </c>
      <c r="J110" s="851">
        <v>12</v>
      </c>
      <c r="L110" s="340">
        <f t="shared" si="18"/>
        <v>16.62049861495845</v>
      </c>
      <c r="M110" s="12">
        <f t="shared" si="28"/>
        <v>16</v>
      </c>
      <c r="N110" s="860">
        <f t="shared" si="19"/>
        <v>0.37950138504155007</v>
      </c>
      <c r="O110" s="861">
        <f t="shared" si="29"/>
        <v>136.99999999999957</v>
      </c>
      <c r="P110" s="861">
        <f t="shared" si="30"/>
        <v>120</v>
      </c>
      <c r="Q110" s="861">
        <f t="shared" si="20"/>
        <v>16</v>
      </c>
      <c r="S110" s="340">
        <f t="shared" si="21"/>
        <v>4.3087971274685817</v>
      </c>
      <c r="T110" s="12">
        <f t="shared" si="31"/>
        <v>4</v>
      </c>
      <c r="U110" s="860">
        <f t="shared" si="22"/>
        <v>0.69120287253141832</v>
      </c>
      <c r="V110" s="861">
        <f t="shared" si="32"/>
        <v>385</v>
      </c>
      <c r="W110" s="861">
        <f t="shared" si="33"/>
        <v>160</v>
      </c>
      <c r="X110" s="861">
        <f t="shared" si="23"/>
        <v>4</v>
      </c>
      <c r="Z110" s="12">
        <f t="shared" si="24"/>
        <v>64</v>
      </c>
      <c r="AA110" s="12">
        <f t="shared" si="25"/>
        <v>12.868928</v>
      </c>
      <c r="AB110" s="12">
        <f t="shared" si="26"/>
        <v>14.399999999999999</v>
      </c>
      <c r="AC110" s="864">
        <f t="shared" si="27"/>
        <v>0.89367555555555567</v>
      </c>
    </row>
    <row r="111" spans="3:29" x14ac:dyDescent="0.25">
      <c r="C111" s="848">
        <f>IF(Z111&gt;0,MAX(C73:C110)+1,0)</f>
        <v>39</v>
      </c>
      <c r="D111" s="867">
        <v>10</v>
      </c>
      <c r="E111" s="848">
        <v>139</v>
      </c>
      <c r="F111" s="869">
        <v>16</v>
      </c>
      <c r="G111" s="853">
        <v>6400</v>
      </c>
      <c r="H111" s="853">
        <v>2400</v>
      </c>
      <c r="I111" s="853">
        <v>16</v>
      </c>
      <c r="J111" s="853">
        <v>0</v>
      </c>
      <c r="K111" s="320"/>
      <c r="L111" s="342">
        <f t="shared" si="18"/>
        <v>17.72853185595568</v>
      </c>
      <c r="M111" s="13">
        <f t="shared" si="28"/>
        <v>17</v>
      </c>
      <c r="N111" s="862">
        <f t="shared" si="19"/>
        <v>0.27146814404432007</v>
      </c>
      <c r="O111" s="849">
        <f t="shared" si="29"/>
        <v>97.999999999999545</v>
      </c>
      <c r="P111" s="849">
        <f t="shared" si="30"/>
        <v>120</v>
      </c>
      <c r="Q111" s="849">
        <f t="shared" si="20"/>
        <v>18</v>
      </c>
      <c r="R111" s="320"/>
      <c r="S111" s="342">
        <f t="shared" si="21"/>
        <v>4.3087971274685817</v>
      </c>
      <c r="T111" s="13">
        <f t="shared" si="31"/>
        <v>4</v>
      </c>
      <c r="U111" s="862">
        <f t="shared" si="22"/>
        <v>0.69120287253141832</v>
      </c>
      <c r="V111" s="849">
        <f t="shared" si="32"/>
        <v>385</v>
      </c>
      <c r="W111" s="849">
        <f t="shared" si="33"/>
        <v>160</v>
      </c>
      <c r="X111" s="849">
        <f t="shared" si="23"/>
        <v>4</v>
      </c>
      <c r="Y111" s="320"/>
      <c r="Z111" s="13">
        <f t="shared" si="24"/>
        <v>72</v>
      </c>
      <c r="AA111" s="13">
        <f t="shared" si="25"/>
        <v>14.477544</v>
      </c>
      <c r="AB111" s="13">
        <f t="shared" si="26"/>
        <v>15.36</v>
      </c>
      <c r="AC111" s="865">
        <f t="shared" si="27"/>
        <v>0.94254843750000006</v>
      </c>
    </row>
    <row r="113" spans="2:43" x14ac:dyDescent="0.25">
      <c r="Q113" s="1321" t="s">
        <v>925</v>
      </c>
      <c r="R113" s="1321"/>
    </row>
    <row r="114" spans="2:43" x14ac:dyDescent="0.25">
      <c r="Q114" s="879">
        <v>0</v>
      </c>
      <c r="R114" s="880">
        <v>10</v>
      </c>
    </row>
    <row r="115" spans="2:43" x14ac:dyDescent="0.25">
      <c r="Q115" s="639">
        <v>0.5</v>
      </c>
      <c r="R115" s="557">
        <v>20</v>
      </c>
    </row>
    <row r="116" spans="2:43" x14ac:dyDescent="0.25">
      <c r="Q116" s="639">
        <v>0.7</v>
      </c>
      <c r="R116" s="557">
        <v>25</v>
      </c>
    </row>
    <row r="117" spans="2:43" x14ac:dyDescent="0.25">
      <c r="Q117" s="639">
        <v>0.85</v>
      </c>
      <c r="R117" s="557">
        <v>35</v>
      </c>
    </row>
    <row r="118" spans="2:43" x14ac:dyDescent="0.25">
      <c r="Q118" s="639">
        <v>0.9</v>
      </c>
      <c r="R118" s="557">
        <v>40</v>
      </c>
    </row>
    <row r="119" spans="2:43" x14ac:dyDescent="0.25">
      <c r="Q119" s="639">
        <v>0.95</v>
      </c>
      <c r="R119" s="557">
        <v>45</v>
      </c>
    </row>
    <row r="120" spans="2:43" x14ac:dyDescent="0.25">
      <c r="Q120" s="639">
        <v>1</v>
      </c>
      <c r="R120" s="557">
        <v>50</v>
      </c>
    </row>
    <row r="121" spans="2:43" x14ac:dyDescent="0.25">
      <c r="Q121" s="639">
        <v>1.05</v>
      </c>
      <c r="R121" s="557">
        <v>50</v>
      </c>
    </row>
    <row r="122" spans="2:43" x14ac:dyDescent="0.25">
      <c r="Q122" s="639">
        <v>1.1000000000000001</v>
      </c>
      <c r="R122" s="557">
        <v>45</v>
      </c>
    </row>
    <row r="123" spans="2:43" x14ac:dyDescent="0.25">
      <c r="Q123" s="639">
        <v>1.1499999999999999</v>
      </c>
      <c r="R123" s="557">
        <v>35</v>
      </c>
    </row>
    <row r="124" spans="2:43" x14ac:dyDescent="0.25">
      <c r="Q124" s="639">
        <v>1.3</v>
      </c>
      <c r="R124" s="557">
        <v>20</v>
      </c>
    </row>
    <row r="125" spans="2:43" x14ac:dyDescent="0.25">
      <c r="Q125" s="640">
        <v>1.5</v>
      </c>
      <c r="R125" s="559">
        <v>5</v>
      </c>
    </row>
    <row r="127" spans="2:43" x14ac:dyDescent="0.25">
      <c r="B127" s="404"/>
      <c r="C127" s="845"/>
      <c r="D127" s="858" t="s">
        <v>898</v>
      </c>
      <c r="E127" s="1312" t="s">
        <v>898</v>
      </c>
      <c r="F127" s="1303"/>
      <c r="G127" s="1312" t="s">
        <v>923</v>
      </c>
      <c r="H127" s="1303"/>
      <c r="I127" s="1312" t="s">
        <v>915</v>
      </c>
      <c r="J127" s="1303"/>
      <c r="K127" s="442" t="s">
        <v>61</v>
      </c>
      <c r="L127" s="451" t="s">
        <v>61</v>
      </c>
      <c r="M127" s="442" t="s">
        <v>605</v>
      </c>
      <c r="N127" s="442" t="s">
        <v>605</v>
      </c>
      <c r="O127" s="404" t="s">
        <v>489</v>
      </c>
      <c r="P127" s="486">
        <v>50</v>
      </c>
      <c r="Q127" s="486">
        <v>50</v>
      </c>
      <c r="R127" s="476"/>
      <c r="S127" s="442"/>
      <c r="T127" s="883"/>
      <c r="U127" s="486">
        <v>25</v>
      </c>
      <c r="V127" s="404"/>
      <c r="X127" s="845"/>
      <c r="Y127" s="858" t="s">
        <v>898</v>
      </c>
      <c r="Z127" s="476" t="s">
        <v>898</v>
      </c>
      <c r="AA127" s="433"/>
      <c r="AB127" s="476" t="s">
        <v>923</v>
      </c>
      <c r="AC127" s="433"/>
      <c r="AD127" s="476" t="s">
        <v>915</v>
      </c>
      <c r="AE127" s="433"/>
      <c r="AF127" s="442" t="s">
        <v>61</v>
      </c>
      <c r="AG127" s="451" t="s">
        <v>61</v>
      </c>
      <c r="AH127" s="442" t="s">
        <v>605</v>
      </c>
      <c r="AI127" s="442" t="s">
        <v>605</v>
      </c>
      <c r="AJ127" s="404" t="s">
        <v>489</v>
      </c>
      <c r="AK127" s="486">
        <v>50</v>
      </c>
      <c r="AL127" s="486">
        <v>50</v>
      </c>
      <c r="AM127" s="404"/>
      <c r="AN127" s="404"/>
      <c r="AO127" s="883"/>
      <c r="AP127" s="486">
        <v>25</v>
      </c>
      <c r="AQ127" s="404"/>
    </row>
    <row r="128" spans="2:43" x14ac:dyDescent="0.25">
      <c r="B128" s="41" t="s">
        <v>522</v>
      </c>
      <c r="C128" s="850"/>
      <c r="D128" s="847" t="s">
        <v>901</v>
      </c>
      <c r="E128" s="432" t="s">
        <v>558</v>
      </c>
      <c r="F128" s="436" t="s">
        <v>9</v>
      </c>
      <c r="G128" s="432" t="s">
        <v>558</v>
      </c>
      <c r="H128" s="436" t="s">
        <v>9</v>
      </c>
      <c r="I128" s="432" t="s">
        <v>18</v>
      </c>
      <c r="J128" s="436" t="s">
        <v>9</v>
      </c>
      <c r="K128" s="13" t="s">
        <v>914</v>
      </c>
      <c r="L128" s="342" t="s">
        <v>810</v>
      </c>
      <c r="M128" s="13" t="s">
        <v>918</v>
      </c>
      <c r="N128" s="13" t="s">
        <v>920</v>
      </c>
      <c r="O128" s="13" t="s">
        <v>921</v>
      </c>
      <c r="P128" s="13" t="s">
        <v>924</v>
      </c>
      <c r="Q128" s="13" t="s">
        <v>915</v>
      </c>
      <c r="R128" s="432" t="s">
        <v>925</v>
      </c>
      <c r="S128" s="13" t="s">
        <v>926</v>
      </c>
      <c r="T128" s="884"/>
      <c r="U128" s="12" t="s">
        <v>927</v>
      </c>
      <c r="V128" s="13" t="s">
        <v>39</v>
      </c>
      <c r="X128" s="850" t="s">
        <v>523</v>
      </c>
      <c r="Y128" s="847" t="s">
        <v>901</v>
      </c>
      <c r="Z128" s="432" t="s">
        <v>558</v>
      </c>
      <c r="AA128" s="436" t="s">
        <v>9</v>
      </c>
      <c r="AB128" s="432" t="s">
        <v>558</v>
      </c>
      <c r="AC128" s="436" t="s">
        <v>9</v>
      </c>
      <c r="AD128" s="432" t="s">
        <v>18</v>
      </c>
      <c r="AE128" s="436" t="s">
        <v>9</v>
      </c>
      <c r="AF128" s="13" t="s">
        <v>914</v>
      </c>
      <c r="AG128" s="342" t="s">
        <v>810</v>
      </c>
      <c r="AH128" s="13" t="s">
        <v>918</v>
      </c>
      <c r="AI128" s="13" t="s">
        <v>920</v>
      </c>
      <c r="AJ128" s="13" t="s">
        <v>921</v>
      </c>
      <c r="AK128" s="13" t="s">
        <v>924</v>
      </c>
      <c r="AL128" s="13" t="s">
        <v>915</v>
      </c>
      <c r="AM128" s="13" t="s">
        <v>925</v>
      </c>
      <c r="AN128" s="13" t="s">
        <v>926</v>
      </c>
      <c r="AO128" s="884"/>
      <c r="AP128" s="12" t="s">
        <v>927</v>
      </c>
      <c r="AQ128" s="13" t="s">
        <v>39</v>
      </c>
    </row>
    <row r="129" spans="2:43" x14ac:dyDescent="0.25">
      <c r="B129" s="472"/>
      <c r="C129" s="870">
        <f>C30</f>
        <v>39</v>
      </c>
      <c r="D129" s="871"/>
      <c r="E129" s="6"/>
      <c r="F129" s="7"/>
      <c r="G129" s="6"/>
      <c r="H129" s="7"/>
      <c r="I129" s="6"/>
      <c r="J129" s="7"/>
      <c r="K129" s="473">
        <f>MAX(K130:K134)</f>
        <v>6</v>
      </c>
      <c r="L129" s="12">
        <f>MIN(L130:L134)</f>
        <v>1</v>
      </c>
      <c r="M129" s="472"/>
      <c r="N129" s="13"/>
      <c r="P129" s="472"/>
      <c r="Q129" s="472"/>
      <c r="R129" s="213"/>
      <c r="S129" s="442">
        <f>MAX(S130:S134)</f>
        <v>150</v>
      </c>
      <c r="T129" s="885">
        <f>MIN(T130:T134)</f>
        <v>1.2</v>
      </c>
      <c r="U129" s="472"/>
      <c r="V129" s="442">
        <f>MAX(V130:V134)</f>
        <v>175</v>
      </c>
      <c r="X129" s="870"/>
      <c r="Y129" s="858"/>
      <c r="Z129" s="6"/>
      <c r="AA129" s="7"/>
      <c r="AB129" s="6"/>
      <c r="AC129" s="7"/>
      <c r="AD129" s="6"/>
      <c r="AE129" s="7"/>
      <c r="AF129" s="473">
        <f>MAX(AF130:AF131)</f>
        <v>6</v>
      </c>
      <c r="AG129" s="12">
        <f>MIN(AG130:AG131)</f>
        <v>1</v>
      </c>
      <c r="AH129" s="472"/>
      <c r="AI129" s="13"/>
      <c r="AK129" s="404"/>
      <c r="AL129" s="404"/>
      <c r="AM129" s="404"/>
      <c r="AN129" s="442">
        <f>MAX(AN130:AN131)</f>
        <v>150</v>
      </c>
      <c r="AO129" s="885">
        <f>MIN(AO130:AO131)</f>
        <v>1.2</v>
      </c>
      <c r="AP129" s="472"/>
      <c r="AQ129" s="442">
        <f>MAX(AQ130:AQ134)</f>
        <v>175</v>
      </c>
    </row>
    <row r="130" spans="2:43" x14ac:dyDescent="0.25">
      <c r="B130" s="12">
        <f>IF(AND(SUM(D130:D134)&gt;0,V130=$V$129),1,0)</f>
        <v>0</v>
      </c>
      <c r="C130" s="845">
        <v>1</v>
      </c>
      <c r="D130" s="858">
        <f>IF($C$129&gt;=C130,VLOOKUP(C130,$C$31:$J$69,3,FALSE),0)</f>
        <v>1</v>
      </c>
      <c r="E130" s="431">
        <f>IF($D130&gt;0,VLOOKUP($D130,$E$31:$AC$111,4,FALSE),0)</f>
        <v>800</v>
      </c>
      <c r="F130" s="435">
        <f>IF($D130&gt;0,VLOOKUP($D130,$E$31:$AC$111,3,FALSE),0)</f>
        <v>1200</v>
      </c>
      <c r="G130" s="431">
        <f>IF(D130&gt;0,$D$3)</f>
        <v>361</v>
      </c>
      <c r="H130" s="449">
        <f>IF(D130&gt;0,$D$4)</f>
        <v>557</v>
      </c>
      <c r="I130" s="431">
        <f>IF($D130&gt;0,VLOOKUP($D130,$E$31:$AC$111,20,FALSE),0)</f>
        <v>2</v>
      </c>
      <c r="J130" s="435">
        <f>IF($D130&gt;0,VLOOKUP($D130,$E$31:$AC$111,13,FALSE),0)</f>
        <v>2</v>
      </c>
      <c r="K130" s="26">
        <f>IF(AND(D130&gt;0,L130=$L$129),J130*I130,0)</f>
        <v>4</v>
      </c>
      <c r="L130" s="431">
        <f>IF($D130&gt;0,VLOOKUP($D130,$E$31:$AC$111,2,FALSE),0)</f>
        <v>1</v>
      </c>
      <c r="M130" s="431">
        <f>IF($D130&gt;0,VLOOKUP($D130,$E$31:$AC$111,24,FALSE),0)</f>
        <v>0.96</v>
      </c>
      <c r="N130" s="442">
        <f>IF($D130&gt;0,VLOOKUP($D130,$E$31:$AC$111,23,FALSE),0)</f>
        <v>0.80430800000000002</v>
      </c>
      <c r="O130" s="875">
        <f>IF($D130&gt;0,VLOOKUP($D130,$E$31:$AC$111,25,FALSE),0)</f>
        <v>0.83782083333333335</v>
      </c>
      <c r="P130" s="431">
        <f>IF(AND(D130&gt;0,L130=$L$129),$P$127,0)</f>
        <v>50</v>
      </c>
      <c r="Q130" s="442">
        <f>IF(AND(D130&gt;0,K130=$K$129),$Q$127,0)</f>
        <v>0</v>
      </c>
      <c r="R130" s="431">
        <f>IF(D130&gt;0,VLOOKUP(O130,$Q$114:$R$125,2),0)</f>
        <v>25</v>
      </c>
      <c r="S130" s="442">
        <f>IF(D130&gt;0,SUM(P130:R130),0)</f>
        <v>75</v>
      </c>
      <c r="T130" s="340">
        <f>IF(AND(D130&gt;0,S130=$S$129),M130,9999)</f>
        <v>9999</v>
      </c>
      <c r="U130" s="26">
        <f>IF(AND(D130&gt;0,T130=$T$129),$U$127,0)</f>
        <v>0</v>
      </c>
      <c r="V130" s="442">
        <f>IF(D130&gt;0,S130+U130,0)</f>
        <v>75</v>
      </c>
      <c r="X130" s="858">
        <f>IF(AQ130=AQ129,1,0)</f>
        <v>1</v>
      </c>
      <c r="Y130" s="858">
        <f>IF(SUM(B130:B134)&gt;0,VLOOKUP(1,B130:V134,3,FALSE),0)</f>
        <v>2</v>
      </c>
      <c r="Z130" s="431">
        <f>IF($Y$130&gt;0,VLOOKUP($Y$130,$D$130:$V$134,2,FALSE),0)</f>
        <v>1000</v>
      </c>
      <c r="AA130" s="449">
        <f>IF($Y$130&gt;0,VLOOKUP($Y$130,$D$130:$V$134,3,FALSE),0)</f>
        <v>1200</v>
      </c>
      <c r="AB130" s="431">
        <f>IF($Y$130&gt;0,VLOOKUP($Y$130,$D$130:$V$134,4,FALSE),0)</f>
        <v>361</v>
      </c>
      <c r="AC130" s="449">
        <f>IF($Y$130&gt;0,VLOOKUP($Y$130,$D$130:$V$134,5,FALSE),0)</f>
        <v>557</v>
      </c>
      <c r="AD130" s="431">
        <f>IF($Y$130&gt;0,VLOOKUP($Y$130,$D$130:$V$134,6,FALSE),0)</f>
        <v>3</v>
      </c>
      <c r="AE130" s="435">
        <f>IF($Y$130&gt;0,VLOOKUP($Y$130,$D$130:$V$134,7,FALSE),0)</f>
        <v>2</v>
      </c>
      <c r="AF130" s="442">
        <f>IF(AND(Y130&gt;0,AG130=$AG$129),AE130*AD130,0)</f>
        <v>6</v>
      </c>
      <c r="AG130" s="435">
        <f>IF($Y$130&gt;0,VLOOKUP($Y$130,$D$130:$V$134,9,FALSE),0)</f>
        <v>1</v>
      </c>
      <c r="AH130" s="435">
        <f>IF($Y$130&gt;0,VLOOKUP($Y$130,$D$130:$V$134,10,FALSE),0)</f>
        <v>1.2</v>
      </c>
      <c r="AI130" s="910">
        <f>IF($Y$130&gt;0,VLOOKUP($Y$130,$D$130:$V$134,11,FALSE),0)</f>
        <v>1.2064620000000001</v>
      </c>
      <c r="AJ130" s="881">
        <f>IF($Y$130&gt;0,VLOOKUP($Y$130,$D$130:$V$134,12,FALSE),0)</f>
        <v>1.0053850000000002</v>
      </c>
      <c r="AK130" s="431">
        <f>IF(AND(Y130&gt;0,AG130=$AG$129),$AK$127,0)</f>
        <v>50</v>
      </c>
      <c r="AL130" s="431">
        <f>IF(AND(Y130&gt;0,AF130=$AF$129),$AL$127,0)</f>
        <v>50</v>
      </c>
      <c r="AM130" s="431">
        <f>IF(Y130&gt;0,VLOOKUP(AJ130,$Q$114:$R$125,2),0)</f>
        <v>50</v>
      </c>
      <c r="AN130" s="442">
        <f>IF(Y130&gt;0,SUM(AK130:AM130),0)</f>
        <v>150</v>
      </c>
      <c r="AO130" s="451">
        <f>IF(AND(Y130&gt;0,AN130=$AN$129),AH130,9999)</f>
        <v>1.2</v>
      </c>
      <c r="AP130" s="431">
        <f>IF(AND(Y130&gt;0,AO130=$AO$129),$AP$127,0)</f>
        <v>25</v>
      </c>
      <c r="AQ130" s="442">
        <f>IF(Y130&gt;0,AN130+AP130,0)</f>
        <v>175</v>
      </c>
    </row>
    <row r="131" spans="2:43" x14ac:dyDescent="0.25">
      <c r="B131" s="12">
        <f>IF(AND(SUM(D130:D134)&gt;0,V131=$V$129),1,0)</f>
        <v>1</v>
      </c>
      <c r="C131" s="850">
        <v>2</v>
      </c>
      <c r="D131" s="847">
        <f>IF($C$129&gt;=C131,VLOOKUP(C131,$C$31:$J$69,3,FALSE),0)</f>
        <v>2</v>
      </c>
      <c r="E131" s="26">
        <f>IF(D131&gt;0,VLOOKUP(D131,$E$31:$AC$111,4,FALSE),0)</f>
        <v>1000</v>
      </c>
      <c r="F131" s="25">
        <f>IF(D131&gt;0,VLOOKUP(D131,$E$31:$AC$111,3,FALSE),0)</f>
        <v>1200</v>
      </c>
      <c r="G131" s="26">
        <f t="shared" ref="G131:G134" si="34">IF(D131&gt;0,$D$3)</f>
        <v>361</v>
      </c>
      <c r="H131" s="2">
        <f t="shared" ref="H131:H134" si="35">IF(D131&gt;0,$D$4)</f>
        <v>557</v>
      </c>
      <c r="I131" s="26">
        <f t="shared" ref="I131:I134" si="36">IF($D131&gt;0,VLOOKUP($D131,$E$31:$AC$111,20,FALSE),0)</f>
        <v>3</v>
      </c>
      <c r="J131" s="25">
        <f t="shared" ref="J131:J134" si="37">IF($D131&gt;0,VLOOKUP($D131,$E$31:$AC$111,13,FALSE),0)</f>
        <v>2</v>
      </c>
      <c r="K131" s="26">
        <f t="shared" ref="K131:K134" si="38">IF(AND(D131&gt;0,L131=$L$129),J131*I131,0)</f>
        <v>6</v>
      </c>
      <c r="L131" s="26">
        <f t="shared" ref="L131:L134" si="39">IF($D131&gt;0,VLOOKUP($D131,$E$31:$AC$111,2,FALSE),0)</f>
        <v>1</v>
      </c>
      <c r="M131" s="26">
        <f t="shared" ref="M131:M140" si="40">IF($D131&gt;0,VLOOKUP($D131,$E$31:$AC$111,24,FALSE),0)</f>
        <v>1.2</v>
      </c>
      <c r="N131" s="12">
        <f t="shared" ref="N131:N134" si="41">IF($D131&gt;0,VLOOKUP($D131,$E$31:$AC$111,23,FALSE),0)</f>
        <v>1.2064620000000001</v>
      </c>
      <c r="O131" s="479">
        <f t="shared" ref="O131:O134" si="42">IF($D131&gt;0,VLOOKUP($D131,$E$31:$AC$111,25,FALSE),0)</f>
        <v>1.0053850000000002</v>
      </c>
      <c r="P131" s="26">
        <f>IF(AND(D131&gt;0,L131=$L$129),$P$127,0)</f>
        <v>50</v>
      </c>
      <c r="Q131" s="12">
        <f t="shared" ref="Q131:Q134" si="43">IF(AND(D131&gt;0,K131=$K$129),$Q$127,0)</f>
        <v>50</v>
      </c>
      <c r="R131" s="26">
        <f t="shared" ref="R131:R140" si="44">IF(D131&gt;0,VLOOKUP(O131,$Q$114:$R$125,2),0)</f>
        <v>50</v>
      </c>
      <c r="S131" s="12">
        <f t="shared" ref="S131:S134" si="45">IF(D131&gt;0,SUM(P131:R131),0)</f>
        <v>150</v>
      </c>
      <c r="T131" s="340">
        <f t="shared" ref="T131:T134" si="46">IF(AND(D131&gt;0,S131=$S$129),M131,9999)</f>
        <v>1.2</v>
      </c>
      <c r="U131" s="26">
        <f t="shared" ref="U131:U134" si="47">IF(AND(D131&gt;0,T131=$T$129),$U$127,0)</f>
        <v>25</v>
      </c>
      <c r="V131" s="12">
        <f t="shared" ref="V131:V134" si="48">IF(D131&gt;0,S131+U131,0)</f>
        <v>175</v>
      </c>
      <c r="X131" s="432">
        <f>IF(AQ131=AQ129,1,0)</f>
        <v>1</v>
      </c>
      <c r="Y131" s="872">
        <f>IF(SUM(B136:B140)&gt;0,VLOOKUP(1,B136:V140,3,FALSE),0)</f>
        <v>102</v>
      </c>
      <c r="Z131" s="432">
        <f>IF($Y$131&gt;0,VLOOKUP($Y$131,$D$136:$V$140,2,FALSE),0)</f>
        <v>1000</v>
      </c>
      <c r="AA131" s="343">
        <f>IF($Y$131&gt;0,VLOOKUP($Y$131,$D$136:$V$140,3,FALSE),0)</f>
        <v>1200</v>
      </c>
      <c r="AB131" s="432">
        <f>IF($Y$131&gt;0,VLOOKUP($Y$131,$D$136:$V$140,4,FALSE),0)</f>
        <v>557</v>
      </c>
      <c r="AC131" s="343">
        <f>IF($Y$131&gt;0,VLOOKUP($Y$131,$D$136:$V$140,5,FALSE),0)</f>
        <v>361</v>
      </c>
      <c r="AD131" s="432">
        <f>IF($Y$131&gt;0,VLOOKUP($Y$131,$D$136:$V$140,6,FALSE),0)</f>
        <v>2</v>
      </c>
      <c r="AE131" s="436">
        <f>IF($Y$131&gt;0,VLOOKUP($Y$131,$D$136:$V$140,7,FALSE),0)</f>
        <v>3</v>
      </c>
      <c r="AF131" s="13">
        <f>IF(AND(Y131&gt;0,AG131=$AG$129),AE131*AD131,0)</f>
        <v>6</v>
      </c>
      <c r="AG131" s="436">
        <f>IF($Y$131&gt;0,VLOOKUP($Y$131,$D$136:$V$140,9,FALSE),0)</f>
        <v>1</v>
      </c>
      <c r="AH131" s="436">
        <f>IF($Y$131&gt;0,VLOOKUP($Y$131,$D$136:$V$140,10,FALSE),0)</f>
        <v>1.2</v>
      </c>
      <c r="AI131" s="911">
        <f>IF($Y$131&gt;0,VLOOKUP($Y$131,$D$136:$V$140,11,FALSE),0)</f>
        <v>1.2064620000000001</v>
      </c>
      <c r="AJ131" s="882">
        <f>IF($Y$131&gt;0,VLOOKUP($Y$131,$D$136:$V$140,12,FALSE),0)</f>
        <v>1.0053850000000002</v>
      </c>
      <c r="AK131" s="432">
        <f>IF(AND(Y131&gt;0,AG131=$AG$129),$AK$127,0)</f>
        <v>50</v>
      </c>
      <c r="AL131" s="432">
        <f>IF(AND(Y131&gt;0,AF131=$AF$129),$AL$127,0)</f>
        <v>50</v>
      </c>
      <c r="AM131" s="432">
        <f>IF(Y131&gt;0,VLOOKUP(AJ131,$Q$114:$R$125,2),0)</f>
        <v>50</v>
      </c>
      <c r="AN131" s="13">
        <f>IF(Y131&gt;0,SUM(AK131:AM131),0)</f>
        <v>150</v>
      </c>
      <c r="AO131" s="342">
        <f>IF(AND(Y131&gt;0,AN131=$AN$129),AH131,9999)</f>
        <v>1.2</v>
      </c>
      <c r="AP131" s="432">
        <f>IF(AND(Y131&gt;0,AO131=$AO$129),$AP$127,0)</f>
        <v>25</v>
      </c>
      <c r="AQ131" s="13">
        <f>IF(Y131&gt;0,AN131+AP131,0)</f>
        <v>175</v>
      </c>
    </row>
    <row r="132" spans="2:43" x14ac:dyDescent="0.25">
      <c r="B132" s="12">
        <f>IF(AND(SUM(D130:D134)&gt;0,V132=$V$129),1,0)</f>
        <v>0</v>
      </c>
      <c r="C132" s="850">
        <v>3</v>
      </c>
      <c r="D132" s="847">
        <f>IF($C$129&gt;=C132,VLOOKUP(C132,$C$31:$J$69,3,FALSE),0)</f>
        <v>3</v>
      </c>
      <c r="E132" s="26">
        <f>IF(D132&gt;0,VLOOKUP(D132,$E$31:$AC$111,4,FALSE),0)</f>
        <v>1200</v>
      </c>
      <c r="F132" s="25">
        <f>IF(D132&gt;0,VLOOKUP(D132,$E$31:$AC$111,3,FALSE),0)</f>
        <v>1600</v>
      </c>
      <c r="G132" s="26">
        <f t="shared" si="34"/>
        <v>361</v>
      </c>
      <c r="H132" s="2">
        <f t="shared" si="35"/>
        <v>557</v>
      </c>
      <c r="I132" s="26">
        <f t="shared" si="36"/>
        <v>3</v>
      </c>
      <c r="J132" s="25">
        <f t="shared" si="37"/>
        <v>3</v>
      </c>
      <c r="K132" s="26">
        <f t="shared" si="38"/>
        <v>0</v>
      </c>
      <c r="L132" s="26">
        <f t="shared" si="39"/>
        <v>2</v>
      </c>
      <c r="M132" s="26">
        <f t="shared" si="40"/>
        <v>1.92</v>
      </c>
      <c r="N132" s="12">
        <f t="shared" si="41"/>
        <v>1.809693</v>
      </c>
      <c r="O132" s="479">
        <f t="shared" si="42"/>
        <v>0.94254843750000006</v>
      </c>
      <c r="P132" s="26">
        <f t="shared" ref="P132:P134" si="49">IF(AND(D132&gt;0,L132=$L$129),$P$127,0)</f>
        <v>0</v>
      </c>
      <c r="Q132" s="12">
        <f t="shared" si="43"/>
        <v>0</v>
      </c>
      <c r="R132" s="26">
        <f t="shared" si="44"/>
        <v>40</v>
      </c>
      <c r="S132" s="12">
        <f t="shared" si="45"/>
        <v>40</v>
      </c>
      <c r="T132" s="340">
        <f t="shared" si="46"/>
        <v>9999</v>
      </c>
      <c r="U132" s="26">
        <f t="shared" si="47"/>
        <v>0</v>
      </c>
      <c r="V132" s="12">
        <f t="shared" si="48"/>
        <v>40</v>
      </c>
    </row>
    <row r="133" spans="2:43" x14ac:dyDescent="0.25">
      <c r="B133" s="12">
        <f>IF(AND(SUM(D130:D134)&gt;0,V133=$V$129),1,0)</f>
        <v>0</v>
      </c>
      <c r="C133" s="850">
        <v>4</v>
      </c>
      <c r="D133" s="847">
        <f>IF($C$129&gt;=C133,VLOOKUP(C133,$C$31:$J$69,3,FALSE),0)</f>
        <v>4</v>
      </c>
      <c r="E133" s="26">
        <f>IF(D133&gt;0,VLOOKUP(D133,$E$31:$AC$111,4,FALSE),0)</f>
        <v>800</v>
      </c>
      <c r="F133" s="25">
        <f>IF(D133&gt;0,VLOOKUP(D133,$E$31:$AC$111,3,FALSE),0)</f>
        <v>2400</v>
      </c>
      <c r="G133" s="26">
        <f t="shared" si="34"/>
        <v>361</v>
      </c>
      <c r="H133" s="2">
        <f t="shared" si="35"/>
        <v>557</v>
      </c>
      <c r="I133" s="26">
        <f t="shared" si="36"/>
        <v>2</v>
      </c>
      <c r="J133" s="25">
        <f t="shared" si="37"/>
        <v>4</v>
      </c>
      <c r="K133" s="26">
        <f t="shared" si="38"/>
        <v>0</v>
      </c>
      <c r="L133" s="26">
        <f t="shared" si="39"/>
        <v>2</v>
      </c>
      <c r="M133" s="26">
        <f t="shared" si="40"/>
        <v>1.92</v>
      </c>
      <c r="N133" s="12">
        <f t="shared" si="41"/>
        <v>1.608616</v>
      </c>
      <c r="O133" s="479">
        <f t="shared" si="42"/>
        <v>0.83782083333333335</v>
      </c>
      <c r="P133" s="26">
        <f t="shared" si="49"/>
        <v>0</v>
      </c>
      <c r="Q133" s="12">
        <f t="shared" si="43"/>
        <v>0</v>
      </c>
      <c r="R133" s="26">
        <f t="shared" si="44"/>
        <v>25</v>
      </c>
      <c r="S133" s="12">
        <f t="shared" si="45"/>
        <v>25</v>
      </c>
      <c r="T133" s="340">
        <f t="shared" si="46"/>
        <v>9999</v>
      </c>
      <c r="U133" s="26">
        <f t="shared" si="47"/>
        <v>0</v>
      </c>
      <c r="V133" s="12">
        <f t="shared" si="48"/>
        <v>25</v>
      </c>
      <c r="X133" t="s">
        <v>928</v>
      </c>
      <c r="Z133" s="473">
        <f>VLOOKUP(1,X130:Y131,2,FALSE)</f>
        <v>2</v>
      </c>
    </row>
    <row r="134" spans="2:43" x14ac:dyDescent="0.25">
      <c r="B134" s="12">
        <f>IF(AND(SUM(D130:D134)&gt;0,V134=$V$129),1,0)</f>
        <v>0</v>
      </c>
      <c r="C134" s="848">
        <v>5</v>
      </c>
      <c r="D134" s="872">
        <f>IF($C$129&gt;=C134,VLOOKUP(C134,$C$31:$J$69,3,FALSE),0)</f>
        <v>5</v>
      </c>
      <c r="E134" s="432">
        <f>IF(D134&gt;0,VLOOKUP(D134,$E$31:$AC$111,4,FALSE),0)</f>
        <v>1200</v>
      </c>
      <c r="F134" s="436">
        <f>IF(D134&gt;0,VLOOKUP(D134,$E$31:$AC$111,3,FALSE),0)</f>
        <v>2000</v>
      </c>
      <c r="G134" s="432">
        <f t="shared" si="34"/>
        <v>361</v>
      </c>
      <c r="H134" s="343">
        <f t="shared" si="35"/>
        <v>557</v>
      </c>
      <c r="I134" s="432">
        <f t="shared" si="36"/>
        <v>3</v>
      </c>
      <c r="J134" s="436">
        <f t="shared" si="37"/>
        <v>3</v>
      </c>
      <c r="K134" s="26">
        <f t="shared" si="38"/>
        <v>0</v>
      </c>
      <c r="L134" s="432">
        <f t="shared" si="39"/>
        <v>2</v>
      </c>
      <c r="M134" s="432">
        <f t="shared" si="40"/>
        <v>2.4</v>
      </c>
      <c r="N134" s="13">
        <f t="shared" si="41"/>
        <v>1.809693</v>
      </c>
      <c r="O134" s="876">
        <f t="shared" si="42"/>
        <v>0.75403874999999998</v>
      </c>
      <c r="P134" s="432">
        <f t="shared" si="49"/>
        <v>0</v>
      </c>
      <c r="Q134" s="13">
        <f t="shared" si="43"/>
        <v>0</v>
      </c>
      <c r="R134" s="432">
        <f t="shared" si="44"/>
        <v>25</v>
      </c>
      <c r="S134" s="13">
        <f t="shared" si="45"/>
        <v>25</v>
      </c>
      <c r="T134" s="340">
        <f t="shared" si="46"/>
        <v>9999</v>
      </c>
      <c r="U134" s="26">
        <f t="shared" si="47"/>
        <v>0</v>
      </c>
      <c r="V134" s="13">
        <f t="shared" si="48"/>
        <v>25</v>
      </c>
    </row>
    <row r="135" spans="2:43" x14ac:dyDescent="0.25">
      <c r="B135" s="472"/>
      <c r="C135" s="870">
        <f>C72</f>
        <v>39</v>
      </c>
      <c r="D135" s="871"/>
      <c r="E135" s="26"/>
      <c r="F135" s="25"/>
      <c r="G135" s="6"/>
      <c r="H135" s="7"/>
      <c r="I135" s="6"/>
      <c r="J135" s="7"/>
      <c r="K135" s="442">
        <f>MAX(K136:K140)</f>
        <v>6</v>
      </c>
      <c r="L135" s="12">
        <f>MIN(L136:L140)</f>
        <v>1</v>
      </c>
      <c r="M135" s="473"/>
      <c r="O135" s="472"/>
      <c r="Q135" s="472"/>
      <c r="R135" s="213"/>
      <c r="S135" s="442">
        <f>MAX(S136:S140)</f>
        <v>150</v>
      </c>
      <c r="T135" s="885">
        <f>MIN(T136:T140)</f>
        <v>1.2</v>
      </c>
      <c r="U135" s="472"/>
      <c r="V135" s="12">
        <f>MAX(V136:V140)</f>
        <v>175</v>
      </c>
    </row>
    <row r="136" spans="2:43" x14ac:dyDescent="0.25">
      <c r="B136" s="442">
        <f>IF(AND(SUM(D136:D140)&gt;0,V136=$V$135),1,0)</f>
        <v>0</v>
      </c>
      <c r="C136" s="850">
        <v>1</v>
      </c>
      <c r="D136" s="858">
        <f>IF($C$135&gt;=C136,VLOOKUP(C136,$C$73:$J$111,3,FALSE),0)</f>
        <v>101</v>
      </c>
      <c r="E136" s="431">
        <f>IF(D136&gt;0,VLOOKUP(D136,$E$31:$AC$111,4,FALSE),0)</f>
        <v>800</v>
      </c>
      <c r="F136" s="435">
        <f>IF(D136&gt;0,VLOOKUP(D136,$E$31:$AC$111,3,FALSE),0)</f>
        <v>1200</v>
      </c>
      <c r="G136" s="431">
        <f>IF(D136&gt;0,$D$4)</f>
        <v>557</v>
      </c>
      <c r="H136" s="449">
        <f>IF(D136&gt;0,$D$3)</f>
        <v>361</v>
      </c>
      <c r="I136" s="431">
        <f>IF($D136&gt;0,VLOOKUP($D136,$E$31:$AC$111,20,FALSE),0)</f>
        <v>1</v>
      </c>
      <c r="J136" s="449">
        <f>IF($D136&gt;0,VLOOKUP($D136,$E$31:$AC$111,13,FALSE),0)</f>
        <v>3</v>
      </c>
      <c r="K136" s="442">
        <f>IF(AND(D136&gt;0,L136=$L$135),J136*I136,0)</f>
        <v>3</v>
      </c>
      <c r="L136" s="449">
        <f>IF($D136&gt;0,VLOOKUP($D136,$E$31:$AC$111,2,FALSE),0)</f>
        <v>1</v>
      </c>
      <c r="M136" s="442">
        <f t="shared" si="40"/>
        <v>0.96</v>
      </c>
      <c r="N136" s="442">
        <f>IF($D136&gt;0,VLOOKUP($D136,$E$31:$AC$111,23,FALSE),0)</f>
        <v>0.60323100000000007</v>
      </c>
      <c r="O136" s="877">
        <f>IF($D136&gt;0,VLOOKUP($D136,$E$31:$AC$111,25,FALSE),0)</f>
        <v>0.62836562500000015</v>
      </c>
      <c r="P136" s="431">
        <f>IF(AND(D136&gt;0,L136=$L$135),$P$127,0)</f>
        <v>50</v>
      </c>
      <c r="Q136" s="442">
        <f>IF(AND(D136&gt;0,K136=$K$135),$Q$127,0)</f>
        <v>0</v>
      </c>
      <c r="R136" s="431">
        <f t="shared" si="44"/>
        <v>20</v>
      </c>
      <c r="S136" s="442">
        <f>IF(D136&gt;0,SUM(P136:R136),0)</f>
        <v>70</v>
      </c>
      <c r="T136" s="340">
        <f>IF(AND(D136&gt;0,S136=$S$135),M136,9999)</f>
        <v>9999</v>
      </c>
      <c r="U136" s="431">
        <f>IF(AND(D136&gt;0,T136=$T$135),$U$127,0)</f>
        <v>0</v>
      </c>
      <c r="V136" s="442">
        <f>IF(D136&gt;0,S136+U136,0)</f>
        <v>70</v>
      </c>
    </row>
    <row r="137" spans="2:43" x14ac:dyDescent="0.25">
      <c r="B137" s="12">
        <f>IF(AND(SUM(D136:D140)&gt;0,V137=$V$135),1,0)</f>
        <v>1</v>
      </c>
      <c r="C137" s="850">
        <v>2</v>
      </c>
      <c r="D137" s="847">
        <f>IF($C$135&gt;=C137,VLOOKUP(C137,$C$73:$J$111,3,FALSE),0)</f>
        <v>102</v>
      </c>
      <c r="E137" s="26">
        <f>IF(D137&gt;0,VLOOKUP(D137,$E$31:$AC$111,4,FALSE),0)</f>
        <v>1000</v>
      </c>
      <c r="F137" s="25">
        <f>IF(D137&gt;0,VLOOKUP(D137,$E$31:$AC$111,3,FALSE),0)</f>
        <v>1200</v>
      </c>
      <c r="G137" s="26">
        <f t="shared" ref="G137:G140" si="50">IF(D137&gt;0,$D$4)</f>
        <v>557</v>
      </c>
      <c r="H137" s="2">
        <f t="shared" ref="H137:H140" si="51">IF(D137&gt;0,$D$3)</f>
        <v>361</v>
      </c>
      <c r="I137" s="26">
        <f t="shared" ref="I137:I140" si="52">IF($D137&gt;0,VLOOKUP($D137,$E$31:$AC$111,20,FALSE),0)</f>
        <v>2</v>
      </c>
      <c r="J137" s="2">
        <f t="shared" ref="J137:J140" si="53">IF($D137&gt;0,VLOOKUP($D137,$E$31:$AC$111,13,FALSE),0)</f>
        <v>3</v>
      </c>
      <c r="K137" s="12">
        <f t="shared" ref="K137:K140" si="54">IF(AND(D137&gt;0,L137=$L$135),J137*I137,0)</f>
        <v>6</v>
      </c>
      <c r="L137" s="2">
        <f t="shared" ref="L137:L140" si="55">IF($D137&gt;0,VLOOKUP($D137,$E$31:$AC$111,2,FALSE),0)</f>
        <v>1</v>
      </c>
      <c r="M137" s="12">
        <f t="shared" si="40"/>
        <v>1.2</v>
      </c>
      <c r="N137" s="12">
        <f t="shared" ref="N137:N140" si="56">IF($D137&gt;0,VLOOKUP($D137,$E$31:$AC$111,23,FALSE),0)</f>
        <v>1.2064620000000001</v>
      </c>
      <c r="O137" s="863">
        <f t="shared" ref="O137:O140" si="57">IF($D137&gt;0,VLOOKUP($D137,$E$31:$AC$111,25,FALSE),0)</f>
        <v>1.0053850000000002</v>
      </c>
      <c r="P137" s="26">
        <f t="shared" ref="P137:P140" si="58">IF(AND(D137&gt;0,L137=$L$135),$P$127,0)</f>
        <v>50</v>
      </c>
      <c r="Q137" s="12">
        <f t="shared" ref="Q137:Q140" si="59">IF(AND(D137&gt;0,K137=$K$135),$Q$127,0)</f>
        <v>50</v>
      </c>
      <c r="R137" s="26">
        <f t="shared" si="44"/>
        <v>50</v>
      </c>
      <c r="S137" s="12">
        <f t="shared" ref="S137:S140" si="60">IF(D137&gt;0,SUM(P137:R137),0)</f>
        <v>150</v>
      </c>
      <c r="T137" s="340">
        <f t="shared" ref="T137:T140" si="61">IF(AND(D137&gt;0,S137=$S$135),M137,9999)</f>
        <v>1.2</v>
      </c>
      <c r="U137" s="26">
        <f t="shared" ref="U137:U140" si="62">IF(AND(D137&gt;0,T137=$T$135),$U$127,0)</f>
        <v>25</v>
      </c>
      <c r="V137" s="12">
        <f t="shared" ref="V137:V140" si="63">IF(D137&gt;0,S137+U137,0)</f>
        <v>175</v>
      </c>
    </row>
    <row r="138" spans="2:43" x14ac:dyDescent="0.25">
      <c r="B138" s="12">
        <f>IF(AND(SUM(D136:D140)&gt;0,V138=$V$135),1,0)</f>
        <v>0</v>
      </c>
      <c r="C138" s="850">
        <v>3</v>
      </c>
      <c r="D138" s="847">
        <f>IF($C$135&gt;=C138,VLOOKUP(C138,$C$73:$J$111,3,FALSE),0)</f>
        <v>103</v>
      </c>
      <c r="E138" s="26">
        <f>IF(D138&gt;0,VLOOKUP(D138,$E$31:$AC$111,4,FALSE),0)</f>
        <v>1200</v>
      </c>
      <c r="F138" s="25">
        <f>IF(D138&gt;0,VLOOKUP(D138,$E$31:$AC$111,3,FALSE),0)</f>
        <v>1600</v>
      </c>
      <c r="G138" s="26">
        <f t="shared" si="50"/>
        <v>557</v>
      </c>
      <c r="H138" s="2">
        <f t="shared" si="51"/>
        <v>361</v>
      </c>
      <c r="I138" s="26">
        <f t="shared" si="52"/>
        <v>2</v>
      </c>
      <c r="J138" s="2">
        <f t="shared" si="53"/>
        <v>4</v>
      </c>
      <c r="K138" s="12">
        <f t="shared" si="54"/>
        <v>0</v>
      </c>
      <c r="L138" s="2">
        <f t="shared" si="55"/>
        <v>2</v>
      </c>
      <c r="M138" s="12">
        <f t="shared" si="40"/>
        <v>1.92</v>
      </c>
      <c r="N138" s="12">
        <f t="shared" si="56"/>
        <v>1.608616</v>
      </c>
      <c r="O138" s="863">
        <f t="shared" si="57"/>
        <v>0.83782083333333335</v>
      </c>
      <c r="P138" s="26">
        <f t="shared" si="58"/>
        <v>0</v>
      </c>
      <c r="Q138" s="12">
        <f t="shared" si="59"/>
        <v>0</v>
      </c>
      <c r="R138" s="26">
        <f t="shared" si="44"/>
        <v>25</v>
      </c>
      <c r="S138" s="12">
        <f t="shared" si="60"/>
        <v>25</v>
      </c>
      <c r="T138" s="340">
        <f t="shared" si="61"/>
        <v>9999</v>
      </c>
      <c r="U138" s="26">
        <f t="shared" si="62"/>
        <v>0</v>
      </c>
      <c r="V138" s="12">
        <f t="shared" si="63"/>
        <v>25</v>
      </c>
    </row>
    <row r="139" spans="2:43" x14ac:dyDescent="0.25">
      <c r="B139" s="12">
        <f>IF(AND(SUM(D136:D140)&gt;0,V139=$V$135),1,0)</f>
        <v>0</v>
      </c>
      <c r="C139" s="850">
        <v>4</v>
      </c>
      <c r="D139" s="847">
        <f>IF($C$135&gt;=C139,VLOOKUP(C139,$C$73:$J$111,3,FALSE),0)</f>
        <v>104</v>
      </c>
      <c r="E139" s="26">
        <f>IF(D139&gt;0,VLOOKUP(D139,$E$31:$AC$111,4,FALSE),0)</f>
        <v>800</v>
      </c>
      <c r="F139" s="25">
        <f>IF(D139&gt;0,VLOOKUP(D139,$E$31:$AC$111,3,FALSE),0)</f>
        <v>2400</v>
      </c>
      <c r="G139" s="26">
        <f t="shared" si="50"/>
        <v>557</v>
      </c>
      <c r="H139" s="2">
        <f t="shared" si="51"/>
        <v>361</v>
      </c>
      <c r="I139" s="26">
        <f t="shared" si="52"/>
        <v>1</v>
      </c>
      <c r="J139" s="2">
        <f t="shared" si="53"/>
        <v>6</v>
      </c>
      <c r="K139" s="12">
        <f t="shared" si="54"/>
        <v>0</v>
      </c>
      <c r="L139" s="2">
        <f t="shared" si="55"/>
        <v>2</v>
      </c>
      <c r="M139" s="12">
        <f t="shared" si="40"/>
        <v>1.92</v>
      </c>
      <c r="N139" s="12">
        <f t="shared" si="56"/>
        <v>1.2064620000000001</v>
      </c>
      <c r="O139" s="863">
        <f t="shared" si="57"/>
        <v>0.62836562500000015</v>
      </c>
      <c r="P139" s="26">
        <f t="shared" si="58"/>
        <v>0</v>
      </c>
      <c r="Q139" s="12">
        <f t="shared" si="59"/>
        <v>0</v>
      </c>
      <c r="R139" s="26">
        <f t="shared" si="44"/>
        <v>20</v>
      </c>
      <c r="S139" s="12">
        <f t="shared" si="60"/>
        <v>20</v>
      </c>
      <c r="T139" s="340">
        <f t="shared" si="61"/>
        <v>9999</v>
      </c>
      <c r="U139" s="26">
        <f t="shared" si="62"/>
        <v>0</v>
      </c>
      <c r="V139" s="12">
        <f t="shared" si="63"/>
        <v>20</v>
      </c>
    </row>
    <row r="140" spans="2:43" x14ac:dyDescent="0.25">
      <c r="B140" s="13">
        <f>IF(AND(SUM(D136:D140)&gt;0,V140=$V$135),1,0)</f>
        <v>0</v>
      </c>
      <c r="C140" s="848">
        <v>5</v>
      </c>
      <c r="D140" s="872">
        <f>IF($C$135&gt;=C140,VLOOKUP(C140,$C$73:$J$111,3,FALSE),0)</f>
        <v>105</v>
      </c>
      <c r="E140" s="432">
        <f>IF(D140&gt;0,VLOOKUP(D140,$E$31:$AC$111,4,FALSE),0)</f>
        <v>1200</v>
      </c>
      <c r="F140" s="436">
        <f>IF(D140&gt;0,VLOOKUP(D140,$E$31:$AC$111,3,FALSE),0)</f>
        <v>2000</v>
      </c>
      <c r="G140" s="432">
        <f t="shared" si="50"/>
        <v>557</v>
      </c>
      <c r="H140" s="343">
        <f t="shared" si="51"/>
        <v>361</v>
      </c>
      <c r="I140" s="432">
        <f t="shared" si="52"/>
        <v>2</v>
      </c>
      <c r="J140" s="343">
        <f t="shared" si="53"/>
        <v>5</v>
      </c>
      <c r="K140" s="13">
        <f t="shared" si="54"/>
        <v>0</v>
      </c>
      <c r="L140" s="343">
        <f t="shared" si="55"/>
        <v>2</v>
      </c>
      <c r="M140" s="13">
        <f t="shared" si="40"/>
        <v>2.4</v>
      </c>
      <c r="N140" s="13">
        <f t="shared" si="56"/>
        <v>2.0107699999999999</v>
      </c>
      <c r="O140" s="878">
        <f t="shared" si="57"/>
        <v>0.83782083333333335</v>
      </c>
      <c r="P140" s="432">
        <f t="shared" si="58"/>
        <v>0</v>
      </c>
      <c r="Q140" s="13">
        <f t="shared" si="59"/>
        <v>0</v>
      </c>
      <c r="R140" s="432">
        <f t="shared" si="44"/>
        <v>25</v>
      </c>
      <c r="S140" s="13">
        <f t="shared" si="60"/>
        <v>25</v>
      </c>
      <c r="T140" s="342">
        <f t="shared" si="61"/>
        <v>9999</v>
      </c>
      <c r="U140" s="432">
        <f t="shared" si="62"/>
        <v>0</v>
      </c>
      <c r="V140" s="13">
        <f t="shared" si="63"/>
        <v>25</v>
      </c>
    </row>
    <row r="141" spans="2:43" x14ac:dyDescent="0.25">
      <c r="S141" s="2"/>
    </row>
    <row r="145" spans="3:6" x14ac:dyDescent="0.25">
      <c r="C145" t="s">
        <v>801</v>
      </c>
      <c r="D145" s="442">
        <f>'Rekenblad (3)'!E108</f>
        <v>2</v>
      </c>
      <c r="E145" t="s">
        <v>25</v>
      </c>
    </row>
    <row r="146" spans="3:6" x14ac:dyDescent="0.25">
      <c r="C146" t="s">
        <v>895</v>
      </c>
      <c r="D146" s="473">
        <f>'Rekenblad (3)'!C13</f>
        <v>3</v>
      </c>
      <c r="E146" t="s">
        <v>25</v>
      </c>
    </row>
    <row r="147" spans="3:6" x14ac:dyDescent="0.25">
      <c r="C147" t="s">
        <v>896</v>
      </c>
      <c r="D147" s="13">
        <f>D146*D145</f>
        <v>6</v>
      </c>
      <c r="E147" t="s">
        <v>25</v>
      </c>
    </row>
    <row r="149" spans="3:6" x14ac:dyDescent="0.25">
      <c r="C149" t="s">
        <v>929</v>
      </c>
      <c r="D149" s="431">
        <f>VLOOKUP($Z$133,$D$130:$V$140,2,FALSE)</f>
        <v>1000</v>
      </c>
      <c r="E149" s="442">
        <f>VLOOKUP($Z$133,$D$130:$V$140,3,FALSE)</f>
        <v>1200</v>
      </c>
      <c r="F149" t="s">
        <v>25</v>
      </c>
    </row>
    <row r="150" spans="3:6" x14ac:dyDescent="0.25">
      <c r="C150" t="s">
        <v>930</v>
      </c>
      <c r="D150" s="208">
        <f>VLOOKUP($Z$133,$D$130:$V$140,4,FALSE)*VLOOKUP($Z$133,$D$130:$V$140,6,FALSE)</f>
        <v>1083</v>
      </c>
      <c r="E150" s="473">
        <f>VLOOKUP($Z$133,$D$130:$V$140,5,FALSE)*VLOOKUP($Z$133,$D$130:$V$140,7,FALSE)</f>
        <v>1114</v>
      </c>
      <c r="F150" t="s">
        <v>25</v>
      </c>
    </row>
    <row r="151" spans="3:6" x14ac:dyDescent="0.25">
      <c r="C151" t="s">
        <v>931</v>
      </c>
      <c r="D151" s="432">
        <f>MAX(D149:D150)</f>
        <v>1083</v>
      </c>
      <c r="E151" s="13">
        <f>MAX(E149:E150)</f>
        <v>1200</v>
      </c>
      <c r="F151" t="s">
        <v>25</v>
      </c>
    </row>
    <row r="152" spans="3:6" x14ac:dyDescent="0.25">
      <c r="D152" s="2"/>
      <c r="E152" s="2"/>
    </row>
    <row r="153" spans="3:6" x14ac:dyDescent="0.25">
      <c r="C153" t="s">
        <v>959</v>
      </c>
      <c r="D153" s="473">
        <f>IF(D160&gt;0,VLOOKUP($Z$133,$D$130:$V$140,9,FALSE),0)</f>
        <v>1</v>
      </c>
      <c r="E153" s="2"/>
    </row>
    <row r="154" spans="3:6" x14ac:dyDescent="0.25">
      <c r="C154" t="s">
        <v>960</v>
      </c>
      <c r="D154" s="473">
        <f>D153*D174</f>
        <v>1</v>
      </c>
      <c r="E154" s="2"/>
    </row>
    <row r="155" spans="3:6" x14ac:dyDescent="0.25">
      <c r="C155" t="s">
        <v>962</v>
      </c>
      <c r="D155" s="796">
        <f>D154*'Tarieven (3)'!C14</f>
        <v>4</v>
      </c>
      <c r="E155" s="2"/>
    </row>
    <row r="156" spans="3:6" x14ac:dyDescent="0.25">
      <c r="D156" s="2"/>
      <c r="E156" s="2"/>
    </row>
    <row r="158" spans="3:6" x14ac:dyDescent="0.25">
      <c r="C158" t="s">
        <v>933</v>
      </c>
      <c r="D158" s="473">
        <f>'Rekenblad (3)'!K362</f>
        <v>1950</v>
      </c>
      <c r="E158" t="s">
        <v>25</v>
      </c>
    </row>
    <row r="159" spans="3:6" x14ac:dyDescent="0.25">
      <c r="C159" t="s">
        <v>934</v>
      </c>
      <c r="D159" s="473">
        <f>'Rekenblad (3)'!C17</f>
        <v>2100</v>
      </c>
      <c r="E159" t="s">
        <v>25</v>
      </c>
    </row>
    <row r="160" spans="3:6" x14ac:dyDescent="0.25">
      <c r="C160" t="s">
        <v>935</v>
      </c>
      <c r="D160" s="473">
        <f>MIN(D158:D159)</f>
        <v>1950</v>
      </c>
      <c r="E160" t="s">
        <v>25</v>
      </c>
    </row>
    <row r="161" spans="3:5" x14ac:dyDescent="0.25">
      <c r="C161" t="s">
        <v>932</v>
      </c>
      <c r="D161" s="484">
        <v>150</v>
      </c>
      <c r="E161" t="s">
        <v>25</v>
      </c>
    </row>
    <row r="162" spans="3:5" x14ac:dyDescent="0.25">
      <c r="C162" t="s">
        <v>936</v>
      </c>
      <c r="D162" s="473">
        <f>IF(D160&gt;0,D160-D161,0)</f>
        <v>1800</v>
      </c>
      <c r="E162" t="s">
        <v>25</v>
      </c>
    </row>
    <row r="164" spans="3:5" x14ac:dyDescent="0.25">
      <c r="C164" t="s">
        <v>937</v>
      </c>
      <c r="D164" s="473">
        <f>CEILING(D162/D147,5)</f>
        <v>300</v>
      </c>
      <c r="E164" s="59" t="s">
        <v>754</v>
      </c>
    </row>
    <row r="165" spans="3:5" x14ac:dyDescent="0.25">
      <c r="C165" t="s">
        <v>942</v>
      </c>
      <c r="D165" s="473">
        <f>IF(OR('Rekenblad (3)'!C988=1,'Rekenblad (3)'!E362=1,'Rekenblad (3)'!F362=1),1,0)</f>
        <v>1</v>
      </c>
      <c r="E165" s="59"/>
    </row>
    <row r="166" spans="3:5" x14ac:dyDescent="0.25">
      <c r="C166" t="s">
        <v>939</v>
      </c>
      <c r="D166" s="473">
        <f>'Rekenblad (3)'!K145</f>
        <v>25</v>
      </c>
      <c r="E166" t="s">
        <v>754</v>
      </c>
    </row>
    <row r="167" spans="3:5" x14ac:dyDescent="0.25">
      <c r="C167" t="s">
        <v>940</v>
      </c>
      <c r="D167" s="473">
        <f>FLOOR(D164/D166,1)*D166</f>
        <v>300</v>
      </c>
      <c r="E167" t="s">
        <v>754</v>
      </c>
    </row>
    <row r="168" spans="3:5" x14ac:dyDescent="0.25">
      <c r="C168" t="s">
        <v>941</v>
      </c>
      <c r="D168" s="473">
        <f>IF(D165=0,D164,D167)</f>
        <v>300</v>
      </c>
      <c r="E168" t="s">
        <v>754</v>
      </c>
    </row>
    <row r="169" spans="3:5" x14ac:dyDescent="0.25">
      <c r="D169" s="2"/>
    </row>
    <row r="170" spans="3:5" x14ac:dyDescent="0.25">
      <c r="C170" t="s">
        <v>943</v>
      </c>
      <c r="D170" s="473">
        <f>IF(D160&gt;0,VLOOKUP($Z$133,$D$130:$V$140,8,FALSE),0)</f>
        <v>6</v>
      </c>
      <c r="E170" t="s">
        <v>754</v>
      </c>
    </row>
    <row r="171" spans="3:5" x14ac:dyDescent="0.25">
      <c r="C171" t="s">
        <v>944</v>
      </c>
      <c r="D171" s="473">
        <f>D170*D168</f>
        <v>1800</v>
      </c>
      <c r="E171" t="s">
        <v>754</v>
      </c>
    </row>
    <row r="173" spans="3:5" x14ac:dyDescent="0.25">
      <c r="C173" t="s">
        <v>945</v>
      </c>
      <c r="D173" s="473">
        <f>'Rekenblad (3)'!C3</f>
        <v>1800</v>
      </c>
      <c r="E173" t="s">
        <v>754</v>
      </c>
    </row>
    <row r="174" spans="3:5" x14ac:dyDescent="0.25">
      <c r="C174" t="s">
        <v>946</v>
      </c>
      <c r="D174" s="473">
        <f>IF(D160&gt;0,CEILING(D173/D171,1),0)</f>
        <v>1</v>
      </c>
      <c r="E174" t="s">
        <v>754</v>
      </c>
    </row>
    <row r="175" spans="3:5" x14ac:dyDescent="0.25">
      <c r="D175" s="2"/>
    </row>
    <row r="176" spans="3:5" x14ac:dyDescent="0.25">
      <c r="D176" s="2"/>
    </row>
    <row r="177" spans="3:5" x14ac:dyDescent="0.25">
      <c r="C177" s="888" t="s">
        <v>949</v>
      </c>
      <c r="D177" s="2"/>
    </row>
    <row r="179" spans="3:5" x14ac:dyDescent="0.25">
      <c r="C179" t="s">
        <v>947</v>
      </c>
      <c r="D179" s="484">
        <v>1150</v>
      </c>
    </row>
    <row r="180" spans="3:5" x14ac:dyDescent="0.25">
      <c r="C180" t="s">
        <v>948</v>
      </c>
      <c r="D180" s="2">
        <f>IF(D162&gt;=D179,1,2)</f>
        <v>1</v>
      </c>
    </row>
    <row r="181" spans="3:5" x14ac:dyDescent="0.25">
      <c r="C181" t="s">
        <v>9</v>
      </c>
      <c r="D181" s="2">
        <f>E151</f>
        <v>1200</v>
      </c>
      <c r="E181" t="s">
        <v>25</v>
      </c>
    </row>
    <row r="182" spans="3:5" x14ac:dyDescent="0.25">
      <c r="C182" t="s">
        <v>903</v>
      </c>
      <c r="D182" s="2">
        <f>D151</f>
        <v>1083</v>
      </c>
      <c r="E182" t="s">
        <v>25</v>
      </c>
    </row>
    <row r="183" spans="3:5" x14ac:dyDescent="0.25">
      <c r="C183" t="s">
        <v>963</v>
      </c>
      <c r="D183" s="2">
        <f>D174/D180</f>
        <v>1</v>
      </c>
    </row>
    <row r="184" spans="3:5" x14ac:dyDescent="0.25">
      <c r="D184" s="2"/>
    </row>
    <row r="185" spans="3:5" x14ac:dyDescent="0.25">
      <c r="C185" t="s">
        <v>951</v>
      </c>
      <c r="D185" s="909">
        <f>(((D181/1000)*(D182/1000))/2.4)*D183</f>
        <v>0.54149999999999998</v>
      </c>
      <c r="E185" t="s">
        <v>950</v>
      </c>
    </row>
    <row r="187" spans="3:5" x14ac:dyDescent="0.25">
      <c r="C187" t="s">
        <v>952</v>
      </c>
      <c r="D187" s="22">
        <v>13.2</v>
      </c>
      <c r="E187" t="s">
        <v>950</v>
      </c>
    </row>
    <row r="190" spans="3:5" x14ac:dyDescent="0.25">
      <c r="C190" s="899" t="s">
        <v>953</v>
      </c>
      <c r="D190" s="900">
        <f>FLOOR(D185/D187,1)</f>
        <v>0</v>
      </c>
      <c r="E190" s="903">
        <f>IF(D190&gt;0,'Transport tarieven (3)'!C81*D190,0)</f>
        <v>0</v>
      </c>
    </row>
    <row r="191" spans="3:5" x14ac:dyDescent="0.25">
      <c r="C191" s="899" t="s">
        <v>954</v>
      </c>
      <c r="D191" s="901">
        <f>D185-(D190*D187)</f>
        <v>0.54149999999999998</v>
      </c>
      <c r="E191" s="904">
        <f>'Transport tarieven (3)'!C82</f>
        <v>63.03</v>
      </c>
    </row>
    <row r="192" spans="3:5" x14ac:dyDescent="0.25">
      <c r="C192" s="899" t="s">
        <v>955</v>
      </c>
      <c r="D192" s="901"/>
      <c r="E192" s="904">
        <f>SUM(E190:E191)</f>
        <v>63.03</v>
      </c>
    </row>
    <row r="193" spans="3:6" x14ac:dyDescent="0.25">
      <c r="C193" s="899" t="s">
        <v>956</v>
      </c>
      <c r="D193" s="901"/>
      <c r="E193" s="904">
        <f>E192*'Tarieven (3)'!C15</f>
        <v>12.290850000000001</v>
      </c>
    </row>
    <row r="194" spans="3:6" x14ac:dyDescent="0.25">
      <c r="C194" s="899" t="s">
        <v>957</v>
      </c>
      <c r="D194" s="901"/>
      <c r="E194" s="904">
        <f>SUM(E192:E193)</f>
        <v>75.320850000000007</v>
      </c>
      <c r="F194" s="1171" t="s">
        <v>986</v>
      </c>
    </row>
    <row r="195" spans="3:6" x14ac:dyDescent="0.25">
      <c r="C195" s="899"/>
      <c r="D195" s="901"/>
      <c r="E195" s="904"/>
    </row>
    <row r="196" spans="3:6" x14ac:dyDescent="0.25">
      <c r="C196" s="899" t="s">
        <v>958</v>
      </c>
      <c r="D196" s="902"/>
      <c r="E196" s="905">
        <f>E194/D173</f>
        <v>4.1844916666666669E-2</v>
      </c>
    </row>
  </sheetData>
  <mergeCells count="4">
    <mergeCell ref="Q113:R113"/>
    <mergeCell ref="E127:F127"/>
    <mergeCell ref="G127:H127"/>
    <mergeCell ref="I127:J12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BF8B-C38D-4020-831A-12761FF4BC61}">
  <dimension ref="A4:AF83"/>
  <sheetViews>
    <sheetView workbookViewId="0"/>
  </sheetViews>
  <sheetFormatPr defaultRowHeight="15" x14ac:dyDescent="0.25"/>
  <cols>
    <col min="1" max="1" customWidth="true" width="25.140625"/>
    <col min="2" max="3" customWidth="true" width="13.42578125"/>
    <col min="4" max="4" customWidth="true" width="16.7109375"/>
    <col min="9" max="9" customWidth="true" width="13.28515625"/>
    <col min="10" max="10" customWidth="true" width="13.140625"/>
    <col min="11" max="11" customWidth="true" width="14.42578125"/>
    <col min="13" max="13" customWidth="true" width="15.85546875"/>
  </cols>
  <sheetData>
    <row r="4" spans="1:32" s="71" customFormat="1" ht="12.75" x14ac:dyDescent="0.2">
      <c r="A4" s="71" t="s">
        <v>118</v>
      </c>
      <c r="B4" s="72"/>
      <c r="C4" s="72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32" s="71" customFormat="1" ht="12.75" x14ac:dyDescent="0.2">
      <c r="B5" s="893"/>
      <c r="C5" s="72"/>
      <c r="E5" s="74"/>
      <c r="F5" s="74"/>
      <c r="G5" s="75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</row>
    <row r="6" spans="1:32" s="71" customFormat="1" x14ac:dyDescent="0.25">
      <c r="A6" s="891" t="s">
        <v>119</v>
      </c>
      <c r="B6" s="2">
        <f>'Pallet en transport (3)'!D191</f>
        <v>0.54149999999999998</v>
      </c>
      <c r="C6" s="892" t="s">
        <v>120</v>
      </c>
      <c r="D6" s="76"/>
      <c r="E6" s="77"/>
      <c r="F6" s="77"/>
      <c r="G6" s="78"/>
      <c r="H6" s="79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</row>
    <row r="7" spans="1:32" s="71" customFormat="1" ht="12.75" x14ac:dyDescent="0.2">
      <c r="B7" s="894"/>
      <c r="C7" s="72"/>
      <c r="E7" s="80"/>
      <c r="F7" s="80"/>
      <c r="G7" s="81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</row>
    <row r="8" spans="1:32" s="71" customFormat="1" ht="12.75" x14ac:dyDescent="0.2">
      <c r="B8" s="73"/>
      <c r="C8" s="72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82"/>
      <c r="W8" s="82"/>
    </row>
    <row r="9" spans="1:32" s="71" customFormat="1" ht="12.75" x14ac:dyDescent="0.2">
      <c r="A9" s="74"/>
      <c r="B9" s="75"/>
      <c r="C9" s="8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82"/>
      <c r="W9" s="82"/>
    </row>
    <row r="10" spans="1:32" s="71" customFormat="1" x14ac:dyDescent="0.25">
      <c r="A10" s="84"/>
      <c r="B10" s="484">
        <v>1</v>
      </c>
      <c r="C10" s="484">
        <v>0</v>
      </c>
      <c r="D10" s="86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87"/>
      <c r="W10" s="82"/>
    </row>
    <row r="11" spans="1:32" s="71" customFormat="1" ht="12.75" x14ac:dyDescent="0.2">
      <c r="A11" s="88" t="s">
        <v>121</v>
      </c>
      <c r="B11" s="889" t="s">
        <v>122</v>
      </c>
      <c r="C11" s="889" t="s">
        <v>35</v>
      </c>
      <c r="D11" s="86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90"/>
      <c r="V11" s="91"/>
      <c r="W11" s="92"/>
    </row>
    <row r="12" spans="1:32" s="71" customFormat="1" x14ac:dyDescent="0.25">
      <c r="A12" s="93" t="s">
        <v>123</v>
      </c>
      <c r="B12" s="34">
        <v>3030</v>
      </c>
      <c r="C12" s="34">
        <v>8080</v>
      </c>
      <c r="D12" s="86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94"/>
      <c r="W12" s="82"/>
    </row>
    <row r="13" spans="1:32" s="71" customFormat="1" ht="12.75" x14ac:dyDescent="0.2">
      <c r="A13" s="80"/>
      <c r="B13" s="95"/>
      <c r="C13" s="95"/>
      <c r="E13" s="74"/>
      <c r="F13" s="74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82"/>
      <c r="W13" s="82"/>
      <c r="X13" s="74"/>
      <c r="AA13" s="82"/>
      <c r="AB13" s="82"/>
      <c r="AC13" s="96"/>
      <c r="AD13" s="97"/>
      <c r="AE13" s="97"/>
      <c r="AF13" s="98"/>
    </row>
    <row r="14" spans="1:32" s="71" customFormat="1" ht="12.75" x14ac:dyDescent="0.2">
      <c r="B14" s="83"/>
      <c r="C14" s="83"/>
      <c r="D14" s="99"/>
      <c r="E14" s="100">
        <v>4</v>
      </c>
      <c r="F14" s="101">
        <v>5</v>
      </c>
      <c r="G14" s="101">
        <v>6</v>
      </c>
      <c r="H14" s="102">
        <v>7</v>
      </c>
      <c r="I14" s="103">
        <v>8</v>
      </c>
      <c r="J14" s="104">
        <v>9</v>
      </c>
      <c r="K14" s="105">
        <v>10</v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86"/>
      <c r="AA14" s="82"/>
      <c r="AB14" s="82"/>
      <c r="AC14" s="96"/>
      <c r="AD14" s="97"/>
      <c r="AE14" s="97"/>
      <c r="AF14" s="98"/>
    </row>
    <row r="15" spans="1:32" s="71" customFormat="1" ht="12.75" x14ac:dyDescent="0.2">
      <c r="A15" s="76"/>
      <c r="B15" s="106"/>
      <c r="C15" s="107"/>
      <c r="D15" s="108"/>
      <c r="E15" s="105" t="str">
        <f><![CDATA[IF(AND($B$10=1,$B$12>=E17,$B$12<=E18),1,IF(AND($B$10=1,$B$12>=E19,$B$12<=E20),1,IF(AND($B$10=1,$B$12>=E21,$B$12<=E22),1,IF(AND($B$10=1,$B$12>=E23,$B$12<=E24),1,IF(AND($B$10=1,$B$12>=E25,$B$12<=E26),1,IF(AND($B$10=1,$B$12>=E27,$B$12<=E28),1,IF(AND($B$10=1,$B$12>=E29,$B$12<=E30),1,IF(AND($B$10=1,$B$12>=E31,$B$12<=E32),1,IF(AND($B$10=1,$B$12>=E33,$B$12<=E34),1," ")))))))))]]></f>
        <v xml:space="preserve"> </v>
      </c>
      <c r="F15" s="105" t="str">
        <f><![CDATA[IF(AND($B$10=1,$B$12>=F17,$B$12<=F18),1,IF(AND($B$10=1,$B$12>=F19,$B$12<=F20),1,IF(AND($B$10=1,$B$12>=F21,$B$12<=F22),1,IF(AND($B$10=1,$B$12>=F23,$B$12<=F24),1,IF(AND($B$10=1,$B$12>=F25,$B$12<=F26),1,IF(AND($B$10=1,$B$12>=F27,$B$12<=F28),1,IF(AND($B$10=1,$B$12>=F29,$B$12<=F30),1,IF(AND($B$10=1,$B$12>=F31,$B$12<=F32),1,IF(AND($B$10=1,$B$12>=F33,$B$12<=F34),1," ")))))))))]]></f>
        <v xml:space="preserve"> </v>
      </c>
      <c r="G15" s="105">
        <f><![CDATA[IF(AND($B$10=1,$B$12>=G17,$B$12<=G18),1,IF(AND($B$10=1,$B$12>=G19,$B$12<=G20),1,IF(AND($B$10=1,$B$12>=G21,$B$12<=G22),1,IF(AND($B$10=1,$B$12>=G23,$B$12<=G24),1,IF(AND($B$10=1,$B$12>=G25,$B$12<=G26),1,IF(AND($B$10=1,$B$12>=G27,$B$12<=G28),1,IF(AND($B$10=1,$B$12>=G29,$B$12<=G30),1,IF(AND($B$10=1,$B$12>=G31,$B$12<=G32),1,IF(AND($B$10=1,$B$12>=G33,$B$12<=G34),1," ")))))))))]]></f>
        <v>1</v>
      </c>
      <c r="H15" s="109" t="str">
        <f><![CDATA[IF(AND($B$10=1,$B$12>=H17,$B$12<=H18),1,IF(AND($B$10=1,$B$12>=H19,$B$12<=H20),1,IF(AND($B$10=1,$B$12>=H21,$B$12<=H22),1,IF(AND($B$10=1,$B$12>=H23,$B$12<=H24),1,IF(AND($B$10=1,$B$12>=H25,$B$12<=H26),1,IF(AND($B$10=1,$B$12>=H27,$B$12<=H28),1,IF(AND($B$10=1,$B$12>=H29,$B$12<=H30),1,IF(AND($B$10=1,$B$12>=H31,$B$12<=H32),1,IF(AND($B$10=1,$B$12>=H33,$B$12<=H34),1," ")))))))))]]></f>
        <v xml:space="preserve"> </v>
      </c>
      <c r="I15" s="110" t="str">
        <f><![CDATA[IF(AND($C$10=1,$C$12>=I17,$C$12<=I18),1,IF(AND($C$10=1,$C$12>=I19,$C$12<=I20),1,IF(AND($C$10=1,$C$12>=I21,$C$12<=I22),1,IF(AND($C$10=1,$C$12>=I23,$C$12<=I24),1,IF(AND($C$10=1,$C$12>=I25,$C$12<=I26),1,IF(AND($C$10=1,$C$12>=I27,$C$12<=I28),1,IF(AND($C$10=1,$C$12>=I29,$C$12<=I30),1,IF(AND($C$10=1,$C$12>=I31,$C$12<=I32),1,IF(AND($C$10=1,$C$12>=I33,$C$12<=I34),1," ")))))))))]]></f>
        <v xml:space="preserve"> </v>
      </c>
      <c r="J15" s="110" t="str">
        <f><![CDATA[IF(AND($C$10=1,$C$12>=J17,$C$12<=J18),1,IF(AND($C$10=1,$C$12>=J19,$C$12<=J20),1,IF(AND($C$10=1,$C$12>=J21,$C$12<=J22),1,IF(AND($C$10=1,$C$12>=J23,$C$12<=J24),1,IF(AND($C$10=1,$C$12>=J25,$C$12<=J26),1,IF(AND($C$10=1,$C$12>=J27,$C$12<=J28),1,IF(AND($C$10=1,$C$12>=J29,$C$12<=J30),1,IF(AND($C$10=1,$C$12>=J31,$C$12<=J32),1,IF(AND($C$10=1,$C$12>=J33,$C$12<=J34),1," ")))))))))]]></f>
        <v xml:space="preserve"> </v>
      </c>
      <c r="K15" s="85" t="str">
        <f><![CDATA[IF(AND($C$10=1,$C$12>=K17,$C$12<=K18),1,IF(AND($C$10=1,$C$12>=K19,$C$12<=K20),1,IF(AND($C$10=1,$C$12>=K21,$C$12<=K22),1,IF(AND($C$10=1,$C$12>=K23,$C$12<=K24),1,IF(AND($C$10=1,$C$12>=K25,$C$12<=K26),1,IF(AND($C$10=1,$C$12>=K27,$C$12<=K28),1,IF(AND($C$10=1,$C$12>=K29,$C$12<=K30),1,IF(AND($C$10=1,$C$12>=K31,$C$12<=K32),1,IF(AND($C$10=1,$C$12>=K33,$C$12<=K34),1," ")))))))))]]></f>
        <v xml:space="preserve"> </v>
      </c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86"/>
      <c r="AA15" s="82"/>
      <c r="AB15" s="82"/>
      <c r="AC15" s="96"/>
      <c r="AD15" s="97"/>
      <c r="AE15" s="97"/>
      <c r="AF15" s="98"/>
    </row>
    <row r="16" spans="1:32" s="71" customFormat="1" ht="12.75" x14ac:dyDescent="0.2">
      <c r="A16" s="76"/>
      <c r="B16" s="112" t="s">
        <v>124</v>
      </c>
      <c r="C16" s="113" t="s">
        <v>125</v>
      </c>
      <c r="D16" s="114" t="s">
        <v>126</v>
      </c>
      <c r="E16" s="115" t="s">
        <v>127</v>
      </c>
      <c r="F16" s="105" t="s">
        <v>128</v>
      </c>
      <c r="G16" s="105" t="s">
        <v>129</v>
      </c>
      <c r="H16" s="116" t="s">
        <v>130</v>
      </c>
      <c r="I16" s="103" t="s">
        <v>131</v>
      </c>
      <c r="J16" s="103" t="s">
        <v>132</v>
      </c>
      <c r="K16" s="117" t="s">
        <v>133</v>
      </c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86"/>
      <c r="AA16" s="82"/>
      <c r="AB16" s="82"/>
      <c r="AC16" s="96"/>
      <c r="AD16" s="97"/>
      <c r="AE16" s="97"/>
      <c r="AF16" s="98"/>
    </row>
    <row r="17" spans="1:32" s="71" customFormat="1" ht="12.75" x14ac:dyDescent="0.2">
      <c r="A17" s="76"/>
      <c r="B17" s="118"/>
      <c r="C17" s="119"/>
      <c r="D17" s="120" t="s">
        <v>134</v>
      </c>
      <c r="E17" s="121">
        <v>5000</v>
      </c>
      <c r="F17" s="122">
        <v>5100</v>
      </c>
      <c r="G17" s="122">
        <v>1000</v>
      </c>
      <c r="H17" s="123">
        <v>1500</v>
      </c>
      <c r="I17" s="124">
        <v>2300</v>
      </c>
      <c r="J17" s="125">
        <v>1000</v>
      </c>
      <c r="K17" s="125">
        <v>4700</v>
      </c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86"/>
      <c r="AA17" s="82"/>
      <c r="AB17" s="82"/>
      <c r="AC17" s="96"/>
      <c r="AD17" s="97"/>
      <c r="AE17" s="97"/>
      <c r="AF17" s="98"/>
    </row>
    <row r="18" spans="1:32" s="71" customFormat="1" ht="12.75" x14ac:dyDescent="0.2">
      <c r="A18" s="76"/>
      <c r="B18" s="126"/>
      <c r="C18" s="127"/>
      <c r="D18" s="128"/>
      <c r="E18" s="129">
        <v>5099</v>
      </c>
      <c r="F18" s="130">
        <v>5499</v>
      </c>
      <c r="G18" s="130">
        <v>1499</v>
      </c>
      <c r="H18" s="131">
        <v>1999</v>
      </c>
      <c r="I18" s="132">
        <v>2399</v>
      </c>
      <c r="J18" s="132">
        <v>2299</v>
      </c>
      <c r="K18" s="133">
        <v>4999</v>
      </c>
      <c r="L18" s="134"/>
      <c r="M18" s="111"/>
      <c r="N18" s="111"/>
      <c r="O18" s="111"/>
      <c r="P18" s="111"/>
      <c r="Q18" s="111"/>
      <c r="R18" s="111"/>
      <c r="S18" s="111"/>
      <c r="T18" s="111"/>
      <c r="U18" s="111"/>
      <c r="V18" s="86"/>
      <c r="AA18" s="82"/>
      <c r="AB18" s="82"/>
      <c r="AC18" s="96"/>
      <c r="AD18" s="97"/>
      <c r="AE18" s="97"/>
      <c r="AF18" s="98"/>
    </row>
    <row r="19" spans="1:32" s="71" customFormat="1" ht="12.75" x14ac:dyDescent="0.2">
      <c r="A19" s="76"/>
      <c r="B19" s="135"/>
      <c r="C19" s="136"/>
      <c r="D19" s="137" t="s">
        <v>135</v>
      </c>
      <c r="E19" s="138">
        <v>5500</v>
      </c>
      <c r="F19" s="139">
        <v>5700</v>
      </c>
      <c r="G19" s="139">
        <v>2000</v>
      </c>
      <c r="H19" s="140">
        <v>4500</v>
      </c>
      <c r="I19" s="141">
        <v>2400</v>
      </c>
      <c r="J19" s="141">
        <v>2500</v>
      </c>
      <c r="K19" s="125">
        <v>5500</v>
      </c>
      <c r="L19" s="134"/>
      <c r="M19" s="111"/>
      <c r="N19" s="111"/>
      <c r="O19" s="111"/>
      <c r="P19" s="111"/>
      <c r="Q19" s="111"/>
      <c r="R19" s="111"/>
      <c r="S19" s="111"/>
      <c r="T19" s="111"/>
      <c r="U19" s="111"/>
      <c r="V19" s="86"/>
      <c r="AA19" s="82"/>
      <c r="AB19" s="82"/>
      <c r="AC19" s="96"/>
      <c r="AD19" s="97"/>
      <c r="AE19" s="97"/>
      <c r="AF19" s="98"/>
    </row>
    <row r="20" spans="1:32" s="71" customFormat="1" ht="12.75" x14ac:dyDescent="0.2">
      <c r="A20" s="76"/>
      <c r="B20" s="142"/>
      <c r="C20" s="143"/>
      <c r="D20" s="128"/>
      <c r="E20" s="144">
        <v>5599</v>
      </c>
      <c r="F20" s="130">
        <v>6099</v>
      </c>
      <c r="G20" s="130">
        <v>4499</v>
      </c>
      <c r="H20" s="131">
        <v>4599</v>
      </c>
      <c r="I20" s="132">
        <v>2499</v>
      </c>
      <c r="J20" s="132">
        <v>2899</v>
      </c>
      <c r="K20" s="133">
        <v>5999</v>
      </c>
      <c r="L20" s="134"/>
      <c r="M20" s="111"/>
      <c r="N20" s="111"/>
      <c r="O20" s="111"/>
      <c r="P20" s="111"/>
      <c r="Q20" s="111"/>
      <c r="R20" s="111"/>
      <c r="S20" s="111"/>
      <c r="T20" s="111"/>
      <c r="U20" s="111"/>
      <c r="V20" s="86"/>
      <c r="AA20" s="82"/>
      <c r="AB20" s="82"/>
      <c r="AC20" s="96"/>
      <c r="AD20" s="97"/>
      <c r="AE20" s="97"/>
      <c r="AF20" s="98"/>
    </row>
    <row r="21" spans="1:32" s="71" customFormat="1" ht="12.75" x14ac:dyDescent="0.2">
      <c r="A21" s="76"/>
      <c r="B21" s="142"/>
      <c r="C21" s="143"/>
      <c r="D21" s="137" t="s">
        <v>136</v>
      </c>
      <c r="E21" s="138">
        <v>5600</v>
      </c>
      <c r="F21" s="139"/>
      <c r="G21" s="139">
        <v>4600</v>
      </c>
      <c r="H21" s="140">
        <v>7000</v>
      </c>
      <c r="I21" s="141">
        <v>2900</v>
      </c>
      <c r="J21" s="141">
        <v>3000</v>
      </c>
      <c r="K21" s="125">
        <v>6400</v>
      </c>
      <c r="L21" s="134"/>
      <c r="M21" s="111"/>
      <c r="N21" s="111"/>
      <c r="O21" s="111"/>
      <c r="P21" s="111"/>
      <c r="Q21" s="111"/>
      <c r="R21" s="111"/>
      <c r="S21" s="111"/>
      <c r="T21" s="111"/>
      <c r="U21" s="111"/>
      <c r="V21" s="86"/>
      <c r="AA21" s="82"/>
      <c r="AB21" s="82"/>
      <c r="AC21" s="96"/>
      <c r="AD21" s="97"/>
      <c r="AE21" s="97"/>
      <c r="AF21" s="98"/>
    </row>
    <row r="22" spans="1:32" s="71" customFormat="1" ht="12.75" x14ac:dyDescent="0.2">
      <c r="A22" s="76"/>
      <c r="B22" s="142"/>
      <c r="C22" s="143"/>
      <c r="D22" s="145"/>
      <c r="E22" s="144">
        <v>5699</v>
      </c>
      <c r="F22" s="130"/>
      <c r="G22" s="130">
        <v>4999</v>
      </c>
      <c r="H22" s="131">
        <v>9999</v>
      </c>
      <c r="I22" s="132">
        <v>2999</v>
      </c>
      <c r="J22" s="132">
        <v>3499</v>
      </c>
      <c r="K22" s="133">
        <v>6499</v>
      </c>
      <c r="L22" s="134"/>
      <c r="M22" s="111"/>
      <c r="N22" s="111"/>
      <c r="O22" s="111"/>
      <c r="P22" s="111"/>
      <c r="Q22" s="111"/>
      <c r="R22" s="111"/>
      <c r="S22" s="111"/>
      <c r="T22" s="111"/>
      <c r="U22" s="111"/>
      <c r="V22" s="86"/>
      <c r="AA22" s="82"/>
      <c r="AB22" s="82"/>
      <c r="AC22" s="96"/>
      <c r="AD22" s="97"/>
      <c r="AE22" s="97"/>
      <c r="AF22" s="98"/>
    </row>
    <row r="23" spans="1:32" s="71" customFormat="1" ht="12.75" x14ac:dyDescent="0.2">
      <c r="A23" s="76"/>
      <c r="B23" s="142"/>
      <c r="C23" s="143"/>
      <c r="D23" s="137" t="s">
        <v>137</v>
      </c>
      <c r="E23" s="146"/>
      <c r="F23" s="147"/>
      <c r="G23" s="147">
        <v>6100</v>
      </c>
      <c r="H23" s="148"/>
      <c r="I23" s="149">
        <v>3500</v>
      </c>
      <c r="J23" s="149">
        <v>3800</v>
      </c>
      <c r="K23" s="122"/>
      <c r="L23" s="134"/>
      <c r="M23" s="111"/>
      <c r="N23" s="111"/>
      <c r="O23" s="111"/>
      <c r="P23" s="111"/>
      <c r="Q23" s="111"/>
      <c r="R23" s="111"/>
      <c r="S23" s="111"/>
      <c r="T23" s="111"/>
      <c r="U23" s="111"/>
      <c r="V23" s="86"/>
      <c r="AA23" s="82"/>
      <c r="AB23" s="82"/>
      <c r="AC23" s="96"/>
      <c r="AD23" s="97"/>
      <c r="AE23" s="97"/>
      <c r="AF23" s="98"/>
    </row>
    <row r="24" spans="1:32" s="71" customFormat="1" ht="12.75" x14ac:dyDescent="0.2">
      <c r="A24" s="76"/>
      <c r="B24" s="142"/>
      <c r="C24" s="143"/>
      <c r="D24" s="145"/>
      <c r="E24" s="146"/>
      <c r="F24" s="147"/>
      <c r="G24" s="147">
        <v>6999</v>
      </c>
      <c r="H24" s="148"/>
      <c r="I24" s="149">
        <v>3599</v>
      </c>
      <c r="J24" s="149">
        <v>3899</v>
      </c>
      <c r="K24" s="122"/>
      <c r="L24" s="134"/>
      <c r="M24" s="111"/>
      <c r="N24" s="111"/>
      <c r="O24" s="111"/>
      <c r="P24" s="111"/>
      <c r="Q24" s="111"/>
      <c r="R24" s="111"/>
      <c r="S24" s="111"/>
      <c r="T24" s="111"/>
      <c r="U24" s="111"/>
      <c r="V24" s="86"/>
      <c r="AA24" s="82"/>
      <c r="AB24" s="82"/>
      <c r="AC24" s="96"/>
      <c r="AD24" s="97"/>
      <c r="AE24" s="97"/>
      <c r="AF24" s="98"/>
    </row>
    <row r="25" spans="1:32" s="71" customFormat="1" ht="12.75" x14ac:dyDescent="0.2">
      <c r="A25" s="76"/>
      <c r="B25" s="142"/>
      <c r="C25" s="143"/>
      <c r="D25" s="137" t="s">
        <v>138</v>
      </c>
      <c r="E25" s="138"/>
      <c r="F25" s="139"/>
      <c r="G25" s="139"/>
      <c r="H25" s="140"/>
      <c r="I25" s="141">
        <v>3600</v>
      </c>
      <c r="J25" s="141">
        <v>4000</v>
      </c>
      <c r="K25" s="125"/>
      <c r="L25" s="134"/>
      <c r="M25" s="111"/>
      <c r="N25" s="111"/>
      <c r="O25" s="111"/>
      <c r="P25" s="111"/>
      <c r="Q25" s="111"/>
      <c r="R25" s="111"/>
      <c r="S25" s="111"/>
      <c r="T25" s="111"/>
      <c r="U25" s="111"/>
      <c r="V25" s="86"/>
      <c r="AA25" s="82"/>
      <c r="AB25" s="82"/>
      <c r="AC25" s="96"/>
      <c r="AD25" s="97"/>
      <c r="AE25" s="97"/>
      <c r="AF25" s="98"/>
    </row>
    <row r="26" spans="1:32" s="71" customFormat="1" ht="12.75" x14ac:dyDescent="0.2">
      <c r="A26" s="76"/>
      <c r="B26" s="142"/>
      <c r="C26" s="143"/>
      <c r="D26" s="145"/>
      <c r="E26" s="144"/>
      <c r="F26" s="130"/>
      <c r="G26" s="130"/>
      <c r="H26" s="131"/>
      <c r="I26" s="132">
        <v>3699</v>
      </c>
      <c r="J26" s="132">
        <v>4699</v>
      </c>
      <c r="K26" s="133"/>
      <c r="L26" s="134"/>
      <c r="M26" s="111"/>
      <c r="N26" s="111"/>
      <c r="O26" s="111"/>
      <c r="P26" s="111"/>
      <c r="Q26" s="111"/>
      <c r="R26" s="111"/>
      <c r="S26" s="111"/>
      <c r="T26" s="111"/>
      <c r="U26" s="111"/>
      <c r="V26" s="86"/>
      <c r="AA26" s="82"/>
      <c r="AB26" s="82"/>
      <c r="AC26" s="96"/>
      <c r="AD26" s="97"/>
      <c r="AE26" s="97"/>
      <c r="AF26" s="98"/>
    </row>
    <row r="27" spans="1:32" s="71" customFormat="1" ht="12.75" x14ac:dyDescent="0.2">
      <c r="A27" s="76"/>
      <c r="B27" s="142"/>
      <c r="C27" s="143"/>
      <c r="D27" s="137" t="s">
        <v>139</v>
      </c>
      <c r="E27" s="138"/>
      <c r="F27" s="139"/>
      <c r="G27" s="139"/>
      <c r="H27" s="140"/>
      <c r="I27" s="141">
        <v>3700</v>
      </c>
      <c r="J27" s="141">
        <v>5000</v>
      </c>
      <c r="K27" s="125"/>
      <c r="L27" s="134"/>
      <c r="M27" s="111"/>
      <c r="N27" s="111"/>
      <c r="O27" s="111"/>
      <c r="P27" s="111"/>
      <c r="Q27" s="111"/>
      <c r="R27" s="111"/>
      <c r="S27" s="111"/>
      <c r="T27" s="111"/>
      <c r="U27" s="111"/>
      <c r="V27" s="86"/>
      <c r="AA27" s="82"/>
      <c r="AB27" s="82"/>
      <c r="AC27" s="96"/>
      <c r="AD27" s="97"/>
      <c r="AE27" s="97"/>
      <c r="AF27" s="98"/>
    </row>
    <row r="28" spans="1:32" s="71" customFormat="1" ht="12.75" x14ac:dyDescent="0.2">
      <c r="A28" s="76"/>
      <c r="B28" s="142"/>
      <c r="C28" s="143"/>
      <c r="D28" s="145"/>
      <c r="E28" s="144"/>
      <c r="F28" s="130"/>
      <c r="G28" s="130"/>
      <c r="H28" s="131"/>
      <c r="I28" s="132">
        <v>3799</v>
      </c>
      <c r="J28" s="132">
        <v>5499</v>
      </c>
      <c r="K28" s="133"/>
      <c r="L28" s="134"/>
      <c r="M28" s="111"/>
      <c r="N28" s="111"/>
      <c r="O28" s="111"/>
      <c r="P28" s="111"/>
      <c r="Q28" s="111"/>
      <c r="R28" s="111"/>
      <c r="S28" s="111"/>
      <c r="T28" s="111"/>
      <c r="U28" s="111"/>
      <c r="V28" s="86"/>
      <c r="AA28" s="82"/>
      <c r="AB28" s="82"/>
      <c r="AC28" s="96"/>
      <c r="AD28" s="97"/>
      <c r="AE28" s="97"/>
      <c r="AF28" s="98"/>
    </row>
    <row r="29" spans="1:32" s="71" customFormat="1" ht="12.75" x14ac:dyDescent="0.2">
      <c r="A29" s="76"/>
      <c r="B29" s="142"/>
      <c r="C29" s="143"/>
      <c r="D29" s="137" t="s">
        <v>140</v>
      </c>
      <c r="E29" s="138"/>
      <c r="F29" s="139"/>
      <c r="G29" s="139"/>
      <c r="H29" s="140"/>
      <c r="I29" s="141">
        <v>3900</v>
      </c>
      <c r="J29" s="141">
        <v>6000</v>
      </c>
      <c r="K29" s="125"/>
      <c r="L29" s="134"/>
      <c r="M29" s="111"/>
      <c r="N29" s="111"/>
      <c r="O29" s="111"/>
      <c r="P29" s="111"/>
      <c r="Q29" s="111"/>
      <c r="R29" s="111"/>
      <c r="S29" s="111"/>
      <c r="T29" s="111"/>
      <c r="U29" s="111"/>
      <c r="V29" s="86"/>
      <c r="AA29" s="82"/>
      <c r="AB29" s="82"/>
      <c r="AC29" s="96"/>
      <c r="AD29" s="97"/>
      <c r="AE29" s="97"/>
      <c r="AF29" s="98"/>
    </row>
    <row r="30" spans="1:32" s="71" customFormat="1" ht="12.75" x14ac:dyDescent="0.2">
      <c r="A30" s="76"/>
      <c r="B30" s="142"/>
      <c r="C30" s="143"/>
      <c r="D30" s="145"/>
      <c r="E30" s="144"/>
      <c r="F30" s="130"/>
      <c r="G30" s="130"/>
      <c r="H30" s="131"/>
      <c r="I30" s="132">
        <v>3999</v>
      </c>
      <c r="J30" s="132">
        <v>6399</v>
      </c>
      <c r="K30" s="133"/>
      <c r="L30" s="134"/>
      <c r="M30" s="111"/>
      <c r="N30" s="111"/>
      <c r="O30" s="111"/>
      <c r="P30" s="111"/>
      <c r="Q30" s="111"/>
      <c r="R30" s="111"/>
      <c r="S30" s="111"/>
      <c r="T30" s="111"/>
      <c r="U30" s="111"/>
      <c r="V30" s="86"/>
      <c r="AA30" s="82"/>
      <c r="AB30" s="82"/>
      <c r="AC30" s="96"/>
      <c r="AD30" s="97"/>
      <c r="AE30" s="97"/>
      <c r="AF30" s="98"/>
    </row>
    <row r="31" spans="1:32" s="71" customFormat="1" ht="12.75" x14ac:dyDescent="0.2">
      <c r="A31" s="76"/>
      <c r="B31" s="142"/>
      <c r="C31" s="143"/>
      <c r="D31" s="137" t="s">
        <v>141</v>
      </c>
      <c r="E31" s="138"/>
      <c r="F31" s="139"/>
      <c r="G31" s="139"/>
      <c r="H31" s="140"/>
      <c r="I31" s="141"/>
      <c r="J31" s="141">
        <v>7000</v>
      </c>
      <c r="K31" s="125"/>
      <c r="L31" s="134"/>
      <c r="M31" s="111"/>
      <c r="N31" s="111" t="s">
        <v>122</v>
      </c>
      <c r="O31" s="111" t="s">
        <v>35</v>
      </c>
      <c r="P31" s="111"/>
      <c r="Q31" s="111"/>
      <c r="R31" s="111"/>
      <c r="S31" s="111"/>
      <c r="T31" s="111"/>
      <c r="U31" s="111"/>
      <c r="V31" s="86"/>
      <c r="AA31" s="82"/>
      <c r="AB31" s="82"/>
      <c r="AC31" s="96"/>
      <c r="AD31" s="97"/>
      <c r="AE31" s="97"/>
      <c r="AF31" s="98"/>
    </row>
    <row r="32" spans="1:32" s="71" customFormat="1" x14ac:dyDescent="0.25">
      <c r="A32" s="76"/>
      <c r="B32" s="142"/>
      <c r="C32" s="143"/>
      <c r="D32" s="145"/>
      <c r="E32" s="144"/>
      <c r="F32" s="130"/>
      <c r="G32" s="130"/>
      <c r="H32" s="131"/>
      <c r="I32" s="132"/>
      <c r="J32" s="132">
        <v>9999</v>
      </c>
      <c r="K32" s="133"/>
      <c r="L32" s="134"/>
      <c r="M32" s="111" t="s">
        <v>142</v>
      </c>
      <c r="N32" s="885">
        <v>1</v>
      </c>
      <c r="O32" s="885">
        <v>1</v>
      </c>
      <c r="P32" s="111"/>
      <c r="Q32" s="111"/>
      <c r="R32" s="111"/>
      <c r="S32" s="111"/>
      <c r="T32" s="111"/>
      <c r="U32" s="111"/>
      <c r="V32" s="86"/>
      <c r="W32" s="74"/>
      <c r="X32" s="74"/>
      <c r="AA32" s="82"/>
      <c r="AB32" s="82"/>
      <c r="AC32" s="96"/>
      <c r="AD32" s="97"/>
      <c r="AE32" s="97"/>
      <c r="AF32" s="98"/>
    </row>
    <row r="33" spans="1:32" s="71" customFormat="1" ht="12.75" x14ac:dyDescent="0.2">
      <c r="A33" s="76"/>
      <c r="B33" s="142"/>
      <c r="C33" s="143"/>
      <c r="D33" s="150" t="s">
        <v>143</v>
      </c>
      <c r="E33" s="151"/>
      <c r="F33" s="147"/>
      <c r="G33" s="147"/>
      <c r="H33" s="148"/>
      <c r="I33" s="149"/>
      <c r="J33" s="149"/>
      <c r="K33" s="122"/>
      <c r="L33" s="134"/>
      <c r="M33" s="111"/>
      <c r="N33" s="111"/>
      <c r="O33" s="111"/>
      <c r="P33" s="111"/>
      <c r="Q33" s="111"/>
      <c r="R33" s="111"/>
      <c r="S33" s="111"/>
      <c r="T33" s="111"/>
      <c r="U33" s="111" t="s">
        <v>144</v>
      </c>
      <c r="V33" s="152" t="s">
        <v>145</v>
      </c>
      <c r="W33" s="77"/>
      <c r="X33" s="78"/>
      <c r="Y33" s="86"/>
      <c r="AA33" s="82"/>
      <c r="AB33" s="82"/>
      <c r="AC33" s="96"/>
      <c r="AD33" s="97"/>
      <c r="AE33" s="97"/>
      <c r="AF33" s="98"/>
    </row>
    <row r="34" spans="1:32" s="71" customFormat="1" ht="13.5" thickBot="1" x14ac:dyDescent="0.25">
      <c r="A34" s="76"/>
      <c r="B34" s="153"/>
      <c r="C34" s="154"/>
      <c r="D34" s="145"/>
      <c r="E34" s="151"/>
      <c r="F34" s="147"/>
      <c r="G34" s="147"/>
      <c r="H34" s="148"/>
      <c r="I34" s="149"/>
      <c r="J34" s="149"/>
      <c r="K34" s="122"/>
      <c r="L34" s="134"/>
      <c r="M34" s="155" t="s">
        <v>127</v>
      </c>
      <c r="N34" s="156" t="s">
        <v>128</v>
      </c>
      <c r="O34" s="117" t="s">
        <v>129</v>
      </c>
      <c r="P34" s="116" t="s">
        <v>130</v>
      </c>
      <c r="Q34" s="103" t="s">
        <v>131</v>
      </c>
      <c r="R34" s="103" t="s">
        <v>132</v>
      </c>
      <c r="S34" s="117" t="s">
        <v>133</v>
      </c>
      <c r="T34" s="111"/>
      <c r="U34" s="111" t="s">
        <v>146</v>
      </c>
      <c r="V34" s="152" t="s">
        <v>127</v>
      </c>
      <c r="W34" s="77"/>
      <c r="X34" s="78"/>
      <c r="Y34" s="86"/>
      <c r="AA34" s="82"/>
      <c r="AB34" s="82"/>
      <c r="AC34" s="96"/>
      <c r="AD34" s="97"/>
      <c r="AE34" s="97"/>
      <c r="AF34" s="98"/>
    </row>
    <row r="35" spans="1:32" s="71" customFormat="1" ht="12.75" x14ac:dyDescent="0.2">
      <c r="A35" s="76"/>
      <c r="B35" s="118"/>
      <c r="C35" s="89" t="str">
        <f>IF(AND($B$6&gt;0,$B$6&lt;=D35),"D"," ")</f>
        <v xml:space="preserve"> </v>
      </c>
      <c r="D35" s="157">
        <v>0.2</v>
      </c>
      <c r="E35" s="158">
        <f t="shared" ref="E35:H75" si="0">M35*$N$32</f>
        <v>26.605</v>
      </c>
      <c r="F35" s="159">
        <f t="shared" si="0"/>
        <v>34.700000000000003</v>
      </c>
      <c r="G35" s="159">
        <f t="shared" si="0"/>
        <v>38.1</v>
      </c>
      <c r="H35" s="160">
        <f t="shared" si="0"/>
        <v>47.62</v>
      </c>
      <c r="I35" s="159">
        <f t="shared" ref="I35:K75" si="1">Q35*$O$32</f>
        <v>43.66</v>
      </c>
      <c r="J35" s="161">
        <f t="shared" si="1"/>
        <v>53.42</v>
      </c>
      <c r="K35" s="161">
        <f t="shared" si="1"/>
        <v>65.319999999999993</v>
      </c>
      <c r="L35" s="162"/>
      <c r="M35" s="163">
        <f>U35*V35</f>
        <v>26.605</v>
      </c>
      <c r="N35" s="164">
        <v>34.700000000000003</v>
      </c>
      <c r="O35" s="164">
        <v>38.1</v>
      </c>
      <c r="P35" s="165">
        <v>47.62</v>
      </c>
      <c r="Q35" s="164">
        <v>43.66</v>
      </c>
      <c r="R35" s="166">
        <v>53.42</v>
      </c>
      <c r="S35" s="166">
        <v>65.319999999999993</v>
      </c>
      <c r="T35" s="162"/>
      <c r="U35" s="167">
        <v>0.85</v>
      </c>
      <c r="V35" s="168">
        <v>31.3</v>
      </c>
      <c r="W35" s="169"/>
      <c r="X35" s="162"/>
      <c r="Y35" s="86"/>
      <c r="AA35" s="82"/>
      <c r="AB35" s="82"/>
      <c r="AC35" s="96"/>
      <c r="AD35" s="97"/>
      <c r="AE35" s="97"/>
      <c r="AF35" s="98"/>
    </row>
    <row r="36" spans="1:32" s="71" customFormat="1" ht="12.75" x14ac:dyDescent="0.2">
      <c r="A36" s="76"/>
      <c r="B36" s="170"/>
      <c r="C36" s="171" t="str">
        <f t="shared" ref="C36:C68" si="2">IF(AND($B$6&gt;0,$B$6&gt;D35,$B$6&lt;=D36),"D"," ")</f>
        <v xml:space="preserve"> </v>
      </c>
      <c r="D36" s="157">
        <v>0.4</v>
      </c>
      <c r="E36" s="172">
        <f t="shared" si="0"/>
        <v>32.499299999999998</v>
      </c>
      <c r="F36" s="173">
        <f t="shared" si="0"/>
        <v>42.52</v>
      </c>
      <c r="G36" s="173">
        <f t="shared" si="0"/>
        <v>46.93</v>
      </c>
      <c r="H36" s="174">
        <f t="shared" si="0"/>
        <v>52.37</v>
      </c>
      <c r="I36" s="173">
        <f t="shared" si="1"/>
        <v>50.22</v>
      </c>
      <c r="J36" s="175">
        <f t="shared" si="1"/>
        <v>63.35</v>
      </c>
      <c r="K36" s="175">
        <f t="shared" si="1"/>
        <v>77.2</v>
      </c>
      <c r="L36" s="162"/>
      <c r="M36" s="176">
        <f t="shared" ref="M36:M56" si="3">U36*V36</f>
        <v>32.499299999999998</v>
      </c>
      <c r="N36" s="177">
        <v>42.52</v>
      </c>
      <c r="O36" s="177">
        <v>46.93</v>
      </c>
      <c r="P36" s="178">
        <v>52.37</v>
      </c>
      <c r="Q36" s="177">
        <v>50.22</v>
      </c>
      <c r="R36" s="179">
        <v>63.35</v>
      </c>
      <c r="S36" s="179">
        <v>77.2</v>
      </c>
      <c r="T36" s="162"/>
      <c r="U36" s="180">
        <v>0.85299999999999998</v>
      </c>
      <c r="V36" s="181">
        <v>38.1</v>
      </c>
      <c r="W36" s="169"/>
      <c r="X36" s="162"/>
      <c r="Y36" s="86"/>
      <c r="AA36" s="82"/>
      <c r="AB36" s="82"/>
      <c r="AC36" s="96"/>
      <c r="AD36" s="97"/>
      <c r="AE36" s="97"/>
      <c r="AF36" s="98"/>
    </row>
    <row r="37" spans="1:32" s="71" customFormat="1" ht="12.75" x14ac:dyDescent="0.2">
      <c r="A37" s="76"/>
      <c r="B37" s="170"/>
      <c r="C37" s="171" t="str">
        <f t="shared" si="2"/>
        <v xml:space="preserve"> </v>
      </c>
      <c r="D37" s="157">
        <v>0.5</v>
      </c>
      <c r="E37" s="172">
        <f t="shared" si="0"/>
        <v>36.653919999999999</v>
      </c>
      <c r="F37" s="173">
        <f t="shared" si="0"/>
        <v>48.9</v>
      </c>
      <c r="G37" s="173">
        <f t="shared" si="0"/>
        <v>54.98</v>
      </c>
      <c r="H37" s="174">
        <f t="shared" si="0"/>
        <v>63.07</v>
      </c>
      <c r="I37" s="173">
        <f t="shared" si="1"/>
        <v>58.83</v>
      </c>
      <c r="J37" s="175">
        <f t="shared" si="1"/>
        <v>74.59</v>
      </c>
      <c r="K37" s="175">
        <f t="shared" si="1"/>
        <v>91.39</v>
      </c>
      <c r="L37" s="162"/>
      <c r="M37" s="176">
        <f t="shared" si="3"/>
        <v>36.653919999999999</v>
      </c>
      <c r="N37" s="177">
        <v>48.9</v>
      </c>
      <c r="O37" s="177">
        <v>54.98</v>
      </c>
      <c r="P37" s="178">
        <v>63.07</v>
      </c>
      <c r="Q37" s="177">
        <v>58.83</v>
      </c>
      <c r="R37" s="179">
        <v>74.59</v>
      </c>
      <c r="S37" s="179">
        <v>91.39</v>
      </c>
      <c r="T37" s="162"/>
      <c r="U37" s="180">
        <v>0.85599999999999998</v>
      </c>
      <c r="V37" s="181">
        <v>42.82</v>
      </c>
      <c r="W37" s="169"/>
      <c r="X37" s="162"/>
      <c r="Y37" s="86"/>
      <c r="AA37" s="82"/>
      <c r="AB37" s="82"/>
      <c r="AC37" s="96"/>
      <c r="AD37" s="97"/>
      <c r="AE37" s="97"/>
      <c r="AF37" s="98"/>
    </row>
    <row r="38" spans="1:32" s="71" customFormat="1" ht="12.75" x14ac:dyDescent="0.2">
      <c r="A38" s="76"/>
      <c r="B38" s="170"/>
      <c r="C38" s="171" t="str">
        <f t="shared" si="2"/>
        <v>D</v>
      </c>
      <c r="D38" s="157">
        <v>0.6</v>
      </c>
      <c r="E38" s="172">
        <f t="shared" si="0"/>
        <v>40.836860000000001</v>
      </c>
      <c r="F38" s="173">
        <f t="shared" si="0"/>
        <v>55.29</v>
      </c>
      <c r="G38" s="173">
        <f t="shared" si="0"/>
        <v>63.03</v>
      </c>
      <c r="H38" s="174">
        <f t="shared" si="0"/>
        <v>73.760000000000005</v>
      </c>
      <c r="I38" s="173">
        <f t="shared" si="1"/>
        <v>67.44</v>
      </c>
      <c r="J38" s="175">
        <f t="shared" si="1"/>
        <v>85.82</v>
      </c>
      <c r="K38" s="175">
        <f t="shared" si="1"/>
        <v>105.58</v>
      </c>
      <c r="L38" s="162"/>
      <c r="M38" s="176">
        <f t="shared" si="3"/>
        <v>40.836860000000001</v>
      </c>
      <c r="N38" s="177">
        <v>55.29</v>
      </c>
      <c r="O38" s="177">
        <v>63.03</v>
      </c>
      <c r="P38" s="178">
        <v>73.760000000000005</v>
      </c>
      <c r="Q38" s="177">
        <v>67.44</v>
      </c>
      <c r="R38" s="179">
        <v>85.82</v>
      </c>
      <c r="S38" s="179">
        <v>105.58</v>
      </c>
      <c r="T38" s="162"/>
      <c r="U38" s="180">
        <v>0.85899999999999999</v>
      </c>
      <c r="V38" s="181">
        <v>47.54</v>
      </c>
      <c r="W38" s="169"/>
      <c r="X38" s="162"/>
      <c r="Y38" s="86"/>
    </row>
    <row r="39" spans="1:32" s="71" customFormat="1" ht="12.75" x14ac:dyDescent="0.2">
      <c r="A39" s="76"/>
      <c r="B39" s="170"/>
      <c r="C39" s="171" t="str">
        <f t="shared" si="2"/>
        <v xml:space="preserve"> </v>
      </c>
      <c r="D39" s="157">
        <v>0.7</v>
      </c>
      <c r="E39" s="172">
        <f t="shared" si="0"/>
        <v>45.056740000000005</v>
      </c>
      <c r="F39" s="173">
        <f t="shared" si="0"/>
        <v>51.67</v>
      </c>
      <c r="G39" s="173">
        <f t="shared" si="0"/>
        <v>71.08</v>
      </c>
      <c r="H39" s="174">
        <f t="shared" si="0"/>
        <v>84.46</v>
      </c>
      <c r="I39" s="173">
        <f t="shared" si="1"/>
        <v>76.06</v>
      </c>
      <c r="J39" s="175">
        <f t="shared" si="1"/>
        <v>97.06</v>
      </c>
      <c r="K39" s="175">
        <f t="shared" si="1"/>
        <v>119.77</v>
      </c>
      <c r="L39" s="162"/>
      <c r="M39" s="176">
        <f t="shared" si="3"/>
        <v>45.056740000000005</v>
      </c>
      <c r="N39" s="177">
        <v>51.67</v>
      </c>
      <c r="O39" s="177">
        <v>71.08</v>
      </c>
      <c r="P39" s="178">
        <v>84.46</v>
      </c>
      <c r="Q39" s="177">
        <v>76.06</v>
      </c>
      <c r="R39" s="179">
        <v>97.06</v>
      </c>
      <c r="S39" s="179">
        <v>119.77</v>
      </c>
      <c r="T39" s="162"/>
      <c r="U39" s="180">
        <v>0.86199999999999999</v>
      </c>
      <c r="V39" s="181">
        <v>52.27</v>
      </c>
      <c r="W39" s="169"/>
      <c r="X39" s="162"/>
      <c r="Y39" s="86"/>
    </row>
    <row r="40" spans="1:32" s="71" customFormat="1" ht="12.75" x14ac:dyDescent="0.2">
      <c r="A40" s="76"/>
      <c r="B40" s="170"/>
      <c r="C40" s="171" t="str">
        <f t="shared" si="2"/>
        <v xml:space="preserve"> </v>
      </c>
      <c r="D40" s="157">
        <v>0.8</v>
      </c>
      <c r="E40" s="172">
        <f t="shared" si="0"/>
        <v>49.296350000000004</v>
      </c>
      <c r="F40" s="173">
        <f t="shared" si="0"/>
        <v>68.06</v>
      </c>
      <c r="G40" s="173">
        <f t="shared" si="0"/>
        <v>79.13</v>
      </c>
      <c r="H40" s="174">
        <f t="shared" si="0"/>
        <v>95.15</v>
      </c>
      <c r="I40" s="173">
        <f t="shared" si="1"/>
        <v>84.67</v>
      </c>
      <c r="J40" s="175">
        <f t="shared" si="1"/>
        <v>108.3</v>
      </c>
      <c r="K40" s="175">
        <f t="shared" si="1"/>
        <v>133.94999999999999</v>
      </c>
      <c r="L40" s="162"/>
      <c r="M40" s="176">
        <f t="shared" si="3"/>
        <v>49.296350000000004</v>
      </c>
      <c r="N40" s="177">
        <v>68.06</v>
      </c>
      <c r="O40" s="177">
        <v>79.13</v>
      </c>
      <c r="P40" s="178">
        <v>95.15</v>
      </c>
      <c r="Q40" s="177">
        <v>84.67</v>
      </c>
      <c r="R40" s="179">
        <v>108.3</v>
      </c>
      <c r="S40" s="179">
        <v>133.94999999999999</v>
      </c>
      <c r="T40" s="162"/>
      <c r="U40" s="180">
        <v>0.86499999999999999</v>
      </c>
      <c r="V40" s="181">
        <v>56.99</v>
      </c>
      <c r="W40" s="169"/>
      <c r="X40" s="162"/>
      <c r="Y40" s="86"/>
    </row>
    <row r="41" spans="1:32" s="71" customFormat="1" ht="12.75" x14ac:dyDescent="0.2">
      <c r="A41" s="76"/>
      <c r="B41" s="170"/>
      <c r="C41" s="171" t="str">
        <f t="shared" si="2"/>
        <v xml:space="preserve"> </v>
      </c>
      <c r="D41" s="157">
        <v>0.9</v>
      </c>
      <c r="E41" s="172">
        <f t="shared" si="0"/>
        <v>53.564280000000004</v>
      </c>
      <c r="F41" s="173">
        <f t="shared" si="0"/>
        <v>74.44</v>
      </c>
      <c r="G41" s="173">
        <f t="shared" si="0"/>
        <v>87.18</v>
      </c>
      <c r="H41" s="174">
        <f t="shared" si="0"/>
        <v>105.85</v>
      </c>
      <c r="I41" s="173">
        <f t="shared" si="1"/>
        <v>93.28</v>
      </c>
      <c r="J41" s="175">
        <f t="shared" si="1"/>
        <v>119.53</v>
      </c>
      <c r="K41" s="175">
        <f t="shared" si="1"/>
        <v>148.13999999999999</v>
      </c>
      <c r="L41" s="162"/>
      <c r="M41" s="176">
        <f t="shared" si="3"/>
        <v>53.564280000000004</v>
      </c>
      <c r="N41" s="177">
        <v>74.44</v>
      </c>
      <c r="O41" s="177">
        <v>87.18</v>
      </c>
      <c r="P41" s="178">
        <v>105.85</v>
      </c>
      <c r="Q41" s="177">
        <v>93.28</v>
      </c>
      <c r="R41" s="179">
        <v>119.53</v>
      </c>
      <c r="S41" s="179">
        <v>148.13999999999999</v>
      </c>
      <c r="T41" s="162"/>
      <c r="U41" s="180">
        <v>0.86799999999999999</v>
      </c>
      <c r="V41" s="181">
        <v>61.71</v>
      </c>
      <c r="W41" s="169"/>
      <c r="X41" s="162"/>
      <c r="Y41" s="86"/>
    </row>
    <row r="42" spans="1:32" s="71" customFormat="1" ht="12.75" x14ac:dyDescent="0.2">
      <c r="A42" s="76"/>
      <c r="B42" s="170"/>
      <c r="C42" s="171" t="str">
        <f t="shared" si="2"/>
        <v xml:space="preserve"> </v>
      </c>
      <c r="D42" s="157">
        <v>1</v>
      </c>
      <c r="E42" s="172">
        <f t="shared" si="0"/>
        <v>57.860530000000004</v>
      </c>
      <c r="F42" s="173">
        <f t="shared" si="0"/>
        <v>80.83</v>
      </c>
      <c r="G42" s="173">
        <f t="shared" si="0"/>
        <v>95.23</v>
      </c>
      <c r="H42" s="174">
        <f t="shared" si="0"/>
        <v>116.54</v>
      </c>
      <c r="I42" s="173">
        <f t="shared" si="1"/>
        <v>101.89</v>
      </c>
      <c r="J42" s="175">
        <f t="shared" si="1"/>
        <v>130.77000000000001</v>
      </c>
      <c r="K42" s="175">
        <f t="shared" si="1"/>
        <v>162.33000000000001</v>
      </c>
      <c r="L42" s="162"/>
      <c r="M42" s="176">
        <f t="shared" si="3"/>
        <v>57.860530000000004</v>
      </c>
      <c r="N42" s="177">
        <v>80.83</v>
      </c>
      <c r="O42" s="177">
        <v>95.23</v>
      </c>
      <c r="P42" s="178">
        <v>116.54</v>
      </c>
      <c r="Q42" s="177">
        <v>101.89</v>
      </c>
      <c r="R42" s="179">
        <v>130.77000000000001</v>
      </c>
      <c r="S42" s="179">
        <v>162.33000000000001</v>
      </c>
      <c r="T42" s="162"/>
      <c r="U42" s="180">
        <v>0.871</v>
      </c>
      <c r="V42" s="181">
        <v>66.430000000000007</v>
      </c>
      <c r="W42" s="169"/>
      <c r="X42" s="162"/>
      <c r="Y42" s="86"/>
    </row>
    <row r="43" spans="1:32" s="71" customFormat="1" ht="12.75" x14ac:dyDescent="0.2">
      <c r="A43" s="76"/>
      <c r="B43" s="170"/>
      <c r="C43" s="171" t="str">
        <f t="shared" si="2"/>
        <v xml:space="preserve"> </v>
      </c>
      <c r="D43" s="157">
        <v>1.2</v>
      </c>
      <c r="E43" s="172">
        <f t="shared" si="0"/>
        <v>64.999380000000002</v>
      </c>
      <c r="F43" s="173">
        <f t="shared" si="0"/>
        <v>90.92</v>
      </c>
      <c r="G43" s="173">
        <f t="shared" si="0"/>
        <v>107.47</v>
      </c>
      <c r="H43" s="174">
        <f t="shared" si="0"/>
        <v>132.41</v>
      </c>
      <c r="I43" s="173">
        <f t="shared" si="1"/>
        <v>114.99</v>
      </c>
      <c r="J43" s="175">
        <f t="shared" si="1"/>
        <v>148.58000000000001</v>
      </c>
      <c r="K43" s="175">
        <f t="shared" si="1"/>
        <v>179.75</v>
      </c>
      <c r="L43" s="162"/>
      <c r="M43" s="176">
        <f t="shared" si="3"/>
        <v>64.999380000000002</v>
      </c>
      <c r="N43" s="177">
        <v>90.92</v>
      </c>
      <c r="O43" s="177">
        <v>107.47</v>
      </c>
      <c r="P43" s="178">
        <v>132.41</v>
      </c>
      <c r="Q43" s="177">
        <v>114.99</v>
      </c>
      <c r="R43" s="179">
        <v>148.58000000000001</v>
      </c>
      <c r="S43" s="179">
        <v>179.75</v>
      </c>
      <c r="T43" s="162"/>
      <c r="U43" s="180">
        <v>0.874</v>
      </c>
      <c r="V43" s="181">
        <v>74.37</v>
      </c>
      <c r="W43" s="169"/>
      <c r="X43" s="162"/>
      <c r="Y43" s="86"/>
    </row>
    <row r="44" spans="1:32" s="71" customFormat="1" ht="12.75" x14ac:dyDescent="0.2">
      <c r="A44" s="76"/>
      <c r="B44" s="170"/>
      <c r="C44" s="171" t="str">
        <f t="shared" si="2"/>
        <v xml:space="preserve"> </v>
      </c>
      <c r="D44" s="157">
        <v>1.4</v>
      </c>
      <c r="E44" s="172">
        <f t="shared" si="0"/>
        <v>72.185870000000008</v>
      </c>
      <c r="F44" s="173">
        <f t="shared" si="0"/>
        <v>101.01</v>
      </c>
      <c r="G44" s="173">
        <f t="shared" si="0"/>
        <v>119.72</v>
      </c>
      <c r="H44" s="174">
        <f t="shared" si="0"/>
        <v>148.28</v>
      </c>
      <c r="I44" s="173">
        <f t="shared" si="1"/>
        <v>128.09</v>
      </c>
      <c r="J44" s="175">
        <f t="shared" si="1"/>
        <v>166.38</v>
      </c>
      <c r="K44" s="175">
        <f t="shared" si="1"/>
        <v>197.17</v>
      </c>
      <c r="L44" s="162"/>
      <c r="M44" s="176">
        <f t="shared" si="3"/>
        <v>72.185870000000008</v>
      </c>
      <c r="N44" s="177">
        <v>101.01</v>
      </c>
      <c r="O44" s="177">
        <v>119.72</v>
      </c>
      <c r="P44" s="178">
        <v>148.28</v>
      </c>
      <c r="Q44" s="177">
        <v>128.09</v>
      </c>
      <c r="R44" s="179">
        <v>166.38</v>
      </c>
      <c r="S44" s="179">
        <v>197.17</v>
      </c>
      <c r="T44" s="162"/>
      <c r="U44" s="180">
        <v>0.877</v>
      </c>
      <c r="V44" s="181">
        <v>82.31</v>
      </c>
      <c r="W44" s="169"/>
      <c r="X44" s="162"/>
      <c r="Y44" s="86"/>
    </row>
    <row r="45" spans="1:32" s="71" customFormat="1" ht="12.75" x14ac:dyDescent="0.2">
      <c r="A45" s="76"/>
      <c r="B45" s="170"/>
      <c r="C45" s="171" t="str">
        <f t="shared" si="2"/>
        <v xml:space="preserve"> </v>
      </c>
      <c r="D45" s="157">
        <v>1.6</v>
      </c>
      <c r="E45" s="172">
        <f t="shared" si="0"/>
        <v>79.411199999999994</v>
      </c>
      <c r="F45" s="173">
        <f t="shared" si="0"/>
        <v>111.1</v>
      </c>
      <c r="G45" s="173">
        <f t="shared" si="0"/>
        <v>131.96</v>
      </c>
      <c r="H45" s="174">
        <f t="shared" si="0"/>
        <v>164.14</v>
      </c>
      <c r="I45" s="173">
        <f t="shared" si="1"/>
        <v>141.19999999999999</v>
      </c>
      <c r="J45" s="175">
        <f t="shared" si="1"/>
        <v>184.19</v>
      </c>
      <c r="K45" s="175">
        <f t="shared" si="1"/>
        <v>214.58</v>
      </c>
      <c r="L45" s="162"/>
      <c r="M45" s="176">
        <f t="shared" si="3"/>
        <v>79.411199999999994</v>
      </c>
      <c r="N45" s="177">
        <v>111.1</v>
      </c>
      <c r="O45" s="177">
        <v>131.96</v>
      </c>
      <c r="P45" s="178">
        <v>164.14</v>
      </c>
      <c r="Q45" s="177">
        <v>141.19999999999999</v>
      </c>
      <c r="R45" s="179">
        <v>184.19</v>
      </c>
      <c r="S45" s="179">
        <v>214.58</v>
      </c>
      <c r="T45" s="162"/>
      <c r="U45" s="180">
        <v>0.88</v>
      </c>
      <c r="V45" s="181">
        <v>90.24</v>
      </c>
      <c r="W45" s="169"/>
      <c r="X45" s="162"/>
      <c r="Y45" s="86"/>
    </row>
    <row r="46" spans="1:32" s="71" customFormat="1" ht="12.75" x14ac:dyDescent="0.2">
      <c r="A46" s="76"/>
      <c r="B46" s="170"/>
      <c r="C46" s="171" t="str">
        <f t="shared" si="2"/>
        <v xml:space="preserve"> </v>
      </c>
      <c r="D46" s="157">
        <v>1.8</v>
      </c>
      <c r="E46" s="172">
        <f t="shared" si="0"/>
        <v>86.692940000000007</v>
      </c>
      <c r="F46" s="173">
        <f t="shared" si="0"/>
        <v>121.19</v>
      </c>
      <c r="G46" s="173">
        <f t="shared" si="0"/>
        <v>144.21</v>
      </c>
      <c r="H46" s="174">
        <f t="shared" si="0"/>
        <v>180.01</v>
      </c>
      <c r="I46" s="173">
        <f t="shared" si="1"/>
        <v>154.30000000000001</v>
      </c>
      <c r="J46" s="175">
        <f t="shared" si="1"/>
        <v>201.99</v>
      </c>
      <c r="K46" s="175">
        <f t="shared" si="1"/>
        <v>232</v>
      </c>
      <c r="L46" s="162"/>
      <c r="M46" s="176">
        <f t="shared" si="3"/>
        <v>86.692940000000007</v>
      </c>
      <c r="N46" s="177">
        <v>121.19</v>
      </c>
      <c r="O46" s="177">
        <v>144.21</v>
      </c>
      <c r="P46" s="178">
        <v>180.01</v>
      </c>
      <c r="Q46" s="177">
        <v>154.30000000000001</v>
      </c>
      <c r="R46" s="179">
        <v>201.99</v>
      </c>
      <c r="S46" s="179">
        <v>232</v>
      </c>
      <c r="T46" s="162"/>
      <c r="U46" s="180">
        <v>0.88300000000000001</v>
      </c>
      <c r="V46" s="181">
        <v>98.18</v>
      </c>
      <c r="W46" s="169"/>
      <c r="X46" s="162"/>
      <c r="Y46" s="86"/>
    </row>
    <row r="47" spans="1:32" s="71" customFormat="1" ht="12.75" x14ac:dyDescent="0.2">
      <c r="A47" s="76"/>
      <c r="B47" s="170"/>
      <c r="C47" s="171" t="str">
        <f t="shared" si="2"/>
        <v xml:space="preserve"> </v>
      </c>
      <c r="D47" s="157">
        <v>2</v>
      </c>
      <c r="E47" s="172">
        <f t="shared" si="0"/>
        <v>94.022320000000008</v>
      </c>
      <c r="F47" s="173">
        <f t="shared" si="0"/>
        <v>131.29</v>
      </c>
      <c r="G47" s="173">
        <f t="shared" si="0"/>
        <v>156.44999999999999</v>
      </c>
      <c r="H47" s="174">
        <f t="shared" si="0"/>
        <v>195.88</v>
      </c>
      <c r="I47" s="173">
        <f t="shared" si="1"/>
        <v>167.4</v>
      </c>
      <c r="J47" s="175">
        <f t="shared" si="1"/>
        <v>219.8</v>
      </c>
      <c r="K47" s="175">
        <f t="shared" si="1"/>
        <v>249.42</v>
      </c>
      <c r="L47" s="162"/>
      <c r="M47" s="176">
        <f t="shared" si="3"/>
        <v>94.022320000000008</v>
      </c>
      <c r="N47" s="177">
        <v>131.29</v>
      </c>
      <c r="O47" s="177">
        <v>156.44999999999999</v>
      </c>
      <c r="P47" s="178">
        <v>195.88</v>
      </c>
      <c r="Q47" s="177">
        <v>167.4</v>
      </c>
      <c r="R47" s="179">
        <v>219.8</v>
      </c>
      <c r="S47" s="179">
        <v>249.42</v>
      </c>
      <c r="T47" s="162"/>
      <c r="U47" s="180">
        <v>0.88600000000000001</v>
      </c>
      <c r="V47" s="181">
        <v>106.12</v>
      </c>
      <c r="W47" s="169"/>
      <c r="X47" s="162"/>
      <c r="Y47" s="86"/>
    </row>
    <row r="48" spans="1:32" s="71" customFormat="1" ht="12.75" x14ac:dyDescent="0.2">
      <c r="A48" s="76"/>
      <c r="B48" s="170"/>
      <c r="C48" s="171" t="str">
        <f t="shared" si="2"/>
        <v xml:space="preserve"> </v>
      </c>
      <c r="D48" s="157">
        <v>2.4</v>
      </c>
      <c r="E48" s="172">
        <f t="shared" si="0"/>
        <v>99.79025</v>
      </c>
      <c r="F48" s="173">
        <f t="shared" si="0"/>
        <v>138.63</v>
      </c>
      <c r="G48" s="173">
        <f t="shared" si="0"/>
        <v>165.01</v>
      </c>
      <c r="H48" s="174">
        <f t="shared" si="0"/>
        <v>206.38</v>
      </c>
      <c r="I48" s="173">
        <f t="shared" si="1"/>
        <v>176.28</v>
      </c>
      <c r="J48" s="175">
        <f t="shared" si="1"/>
        <v>231.29</v>
      </c>
      <c r="K48" s="175">
        <f t="shared" si="1"/>
        <v>264.33999999999997</v>
      </c>
      <c r="L48" s="162"/>
      <c r="M48" s="176">
        <f t="shared" si="3"/>
        <v>99.79025</v>
      </c>
      <c r="N48" s="177">
        <v>138.63</v>
      </c>
      <c r="O48" s="177">
        <v>165.01</v>
      </c>
      <c r="P48" s="178">
        <v>206.38</v>
      </c>
      <c r="Q48" s="177">
        <v>176.28</v>
      </c>
      <c r="R48" s="179">
        <v>231.29</v>
      </c>
      <c r="S48" s="179">
        <v>264.33999999999997</v>
      </c>
      <c r="T48" s="162"/>
      <c r="U48" s="180">
        <v>0.88900000000000001</v>
      </c>
      <c r="V48" s="181">
        <v>112.25</v>
      </c>
      <c r="W48" s="169"/>
      <c r="X48" s="162"/>
      <c r="Y48" s="86"/>
    </row>
    <row r="49" spans="1:25" s="71" customFormat="1" ht="12.75" x14ac:dyDescent="0.2">
      <c r="A49" s="76"/>
      <c r="B49" s="170"/>
      <c r="C49" s="171" t="str">
        <f t="shared" si="2"/>
        <v xml:space="preserve"> </v>
      </c>
      <c r="D49" s="157">
        <v>2.8</v>
      </c>
      <c r="E49" s="172">
        <f t="shared" si="0"/>
        <v>105.59496</v>
      </c>
      <c r="F49" s="173">
        <f t="shared" si="0"/>
        <v>145.97</v>
      </c>
      <c r="G49" s="173">
        <f t="shared" si="0"/>
        <v>173.56</v>
      </c>
      <c r="H49" s="174">
        <f t="shared" si="0"/>
        <v>216.88</v>
      </c>
      <c r="I49" s="173">
        <f t="shared" si="1"/>
        <v>185.16</v>
      </c>
      <c r="J49" s="175">
        <f t="shared" si="1"/>
        <v>242.79</v>
      </c>
      <c r="K49" s="175">
        <f t="shared" si="1"/>
        <v>279.26</v>
      </c>
      <c r="L49" s="162"/>
      <c r="M49" s="176">
        <f t="shared" si="3"/>
        <v>105.59496</v>
      </c>
      <c r="N49" s="177">
        <v>145.97</v>
      </c>
      <c r="O49" s="177">
        <v>173.56</v>
      </c>
      <c r="P49" s="178">
        <v>216.88</v>
      </c>
      <c r="Q49" s="177">
        <v>185.16</v>
      </c>
      <c r="R49" s="179">
        <v>242.79</v>
      </c>
      <c r="S49" s="179">
        <v>279.26</v>
      </c>
      <c r="T49" s="162"/>
      <c r="U49" s="180">
        <v>0.89200000000000002</v>
      </c>
      <c r="V49" s="181">
        <v>118.38</v>
      </c>
      <c r="W49" s="169"/>
      <c r="X49" s="162"/>
      <c r="Y49" s="86"/>
    </row>
    <row r="50" spans="1:25" s="71" customFormat="1" ht="12.75" x14ac:dyDescent="0.2">
      <c r="A50" s="76"/>
      <c r="B50" s="170"/>
      <c r="C50" s="171" t="str">
        <f t="shared" si="2"/>
        <v xml:space="preserve"> </v>
      </c>
      <c r="D50" s="157">
        <v>3.2</v>
      </c>
      <c r="E50" s="172">
        <f t="shared" si="0"/>
        <v>111.43645000000001</v>
      </c>
      <c r="F50" s="173">
        <f t="shared" si="0"/>
        <v>153.31</v>
      </c>
      <c r="G50" s="173">
        <f t="shared" si="0"/>
        <v>182.12</v>
      </c>
      <c r="H50" s="174">
        <f t="shared" si="0"/>
        <v>227.38</v>
      </c>
      <c r="I50" s="173">
        <f t="shared" si="1"/>
        <v>194.04</v>
      </c>
      <c r="J50" s="175">
        <f t="shared" si="1"/>
        <v>254.28</v>
      </c>
      <c r="K50" s="175">
        <f t="shared" si="1"/>
        <v>294.18</v>
      </c>
      <c r="L50" s="162"/>
      <c r="M50" s="176">
        <f t="shared" si="3"/>
        <v>111.43645000000001</v>
      </c>
      <c r="N50" s="177">
        <v>153.31</v>
      </c>
      <c r="O50" s="177">
        <v>182.12</v>
      </c>
      <c r="P50" s="178">
        <v>227.38</v>
      </c>
      <c r="Q50" s="177">
        <v>194.04</v>
      </c>
      <c r="R50" s="179">
        <v>254.28</v>
      </c>
      <c r="S50" s="179">
        <v>294.18</v>
      </c>
      <c r="T50" s="162"/>
      <c r="U50" s="180">
        <v>0.89500000000000002</v>
      </c>
      <c r="V50" s="181">
        <v>124.51</v>
      </c>
      <c r="W50" s="169"/>
      <c r="X50" s="162"/>
      <c r="Y50" s="86"/>
    </row>
    <row r="51" spans="1:25" s="71" customFormat="1" ht="12.75" x14ac:dyDescent="0.2">
      <c r="A51" s="76"/>
      <c r="B51" s="170"/>
      <c r="C51" s="171" t="str">
        <f t="shared" si="2"/>
        <v xml:space="preserve"> </v>
      </c>
      <c r="D51" s="157">
        <v>3.6</v>
      </c>
      <c r="E51" s="172">
        <f t="shared" si="0"/>
        <v>117.31471999999999</v>
      </c>
      <c r="F51" s="173">
        <f t="shared" si="0"/>
        <v>160.66</v>
      </c>
      <c r="G51" s="173">
        <f t="shared" si="0"/>
        <v>190.68</v>
      </c>
      <c r="H51" s="174">
        <f t="shared" si="0"/>
        <v>237.88</v>
      </c>
      <c r="I51" s="173">
        <f t="shared" si="1"/>
        <v>202.92</v>
      </c>
      <c r="J51" s="175">
        <f t="shared" si="1"/>
        <v>265.77</v>
      </c>
      <c r="K51" s="175">
        <f t="shared" si="1"/>
        <v>309.10000000000002</v>
      </c>
      <c r="L51" s="162"/>
      <c r="M51" s="176">
        <f t="shared" si="3"/>
        <v>117.31471999999999</v>
      </c>
      <c r="N51" s="177">
        <v>160.66</v>
      </c>
      <c r="O51" s="177">
        <v>190.68</v>
      </c>
      <c r="P51" s="178">
        <v>237.88</v>
      </c>
      <c r="Q51" s="177">
        <v>202.92</v>
      </c>
      <c r="R51" s="179">
        <v>265.77</v>
      </c>
      <c r="S51" s="179">
        <v>309.10000000000002</v>
      </c>
      <c r="T51" s="162"/>
      <c r="U51" s="180">
        <v>0.89800000000000002</v>
      </c>
      <c r="V51" s="181">
        <v>130.63999999999999</v>
      </c>
      <c r="W51" s="169"/>
      <c r="X51" s="162"/>
      <c r="Y51" s="86"/>
    </row>
    <row r="52" spans="1:25" s="71" customFormat="1" ht="12.75" x14ac:dyDescent="0.2">
      <c r="A52" s="76"/>
      <c r="B52" s="170"/>
      <c r="C52" s="171" t="str">
        <f t="shared" si="2"/>
        <v xml:space="preserve"> </v>
      </c>
      <c r="D52" s="157">
        <v>4</v>
      </c>
      <c r="E52" s="172">
        <f t="shared" si="0"/>
        <v>123.09300000000002</v>
      </c>
      <c r="F52" s="173">
        <f t="shared" si="0"/>
        <v>168</v>
      </c>
      <c r="G52" s="173">
        <f t="shared" si="0"/>
        <v>199.23</v>
      </c>
      <c r="H52" s="174">
        <f t="shared" si="0"/>
        <v>248.38</v>
      </c>
      <c r="I52" s="173">
        <f t="shared" si="1"/>
        <v>211.8</v>
      </c>
      <c r="J52" s="175">
        <f t="shared" si="1"/>
        <v>277.26</v>
      </c>
      <c r="K52" s="175">
        <f t="shared" si="1"/>
        <v>324.02</v>
      </c>
      <c r="L52" s="162"/>
      <c r="M52" s="176">
        <f t="shared" si="3"/>
        <v>123.09300000000002</v>
      </c>
      <c r="N52" s="177">
        <v>168</v>
      </c>
      <c r="O52" s="177">
        <v>199.23</v>
      </c>
      <c r="P52" s="178">
        <v>248.38</v>
      </c>
      <c r="Q52" s="177">
        <v>211.8</v>
      </c>
      <c r="R52" s="179">
        <v>277.26</v>
      </c>
      <c r="S52" s="179">
        <v>324.02</v>
      </c>
      <c r="T52" s="162"/>
      <c r="U52" s="180">
        <v>0.9</v>
      </c>
      <c r="V52" s="181">
        <v>136.77000000000001</v>
      </c>
      <c r="W52" s="169"/>
      <c r="X52" s="162"/>
      <c r="Y52" s="86"/>
    </row>
    <row r="53" spans="1:25" s="71" customFormat="1" ht="12.75" x14ac:dyDescent="0.2">
      <c r="A53" s="76"/>
      <c r="B53" s="170"/>
      <c r="C53" s="171" t="str">
        <f t="shared" si="2"/>
        <v xml:space="preserve"> </v>
      </c>
      <c r="D53" s="157">
        <v>4.4000000000000004</v>
      </c>
      <c r="E53" s="172">
        <f t="shared" si="0"/>
        <v>131.46800000000002</v>
      </c>
      <c r="F53" s="173">
        <f t="shared" si="0"/>
        <v>175.34</v>
      </c>
      <c r="G53" s="173">
        <f t="shared" si="0"/>
        <v>207.79</v>
      </c>
      <c r="H53" s="174">
        <f t="shared" si="0"/>
        <v>258.88</v>
      </c>
      <c r="I53" s="173">
        <f t="shared" si="1"/>
        <v>220.68</v>
      </c>
      <c r="J53" s="175">
        <f t="shared" si="1"/>
        <v>288.76</v>
      </c>
      <c r="K53" s="175">
        <f t="shared" si="1"/>
        <v>338.94</v>
      </c>
      <c r="L53" s="182"/>
      <c r="M53" s="176">
        <f t="shared" si="3"/>
        <v>131.46800000000002</v>
      </c>
      <c r="N53" s="177">
        <v>175.34</v>
      </c>
      <c r="O53" s="183">
        <v>207.79</v>
      </c>
      <c r="P53" s="178">
        <v>258.88</v>
      </c>
      <c r="Q53" s="183">
        <v>220.68</v>
      </c>
      <c r="R53" s="184">
        <v>288.76</v>
      </c>
      <c r="S53" s="184">
        <v>338.94</v>
      </c>
      <c r="T53" s="162"/>
      <c r="U53" s="180">
        <v>0.92</v>
      </c>
      <c r="V53" s="185">
        <v>142.9</v>
      </c>
      <c r="W53" s="169"/>
      <c r="X53" s="182"/>
      <c r="Y53" s="86"/>
    </row>
    <row r="54" spans="1:25" s="71" customFormat="1" ht="12.75" x14ac:dyDescent="0.2">
      <c r="A54" s="76"/>
      <c r="B54" s="170"/>
      <c r="C54" s="171" t="str">
        <f t="shared" si="2"/>
        <v xml:space="preserve"> </v>
      </c>
      <c r="D54" s="157">
        <v>4.8</v>
      </c>
      <c r="E54" s="172">
        <f t="shared" si="0"/>
        <v>140.0882</v>
      </c>
      <c r="F54" s="173">
        <f t="shared" si="0"/>
        <v>182.69</v>
      </c>
      <c r="G54" s="173">
        <f t="shared" si="0"/>
        <v>216.35</v>
      </c>
      <c r="H54" s="174">
        <f t="shared" si="0"/>
        <v>269.39</v>
      </c>
      <c r="I54" s="173">
        <f t="shared" si="1"/>
        <v>229.56</v>
      </c>
      <c r="J54" s="175">
        <f t="shared" si="1"/>
        <v>300.25</v>
      </c>
      <c r="K54" s="175">
        <f t="shared" si="1"/>
        <v>353.86</v>
      </c>
      <c r="L54" s="162"/>
      <c r="M54" s="176">
        <f t="shared" si="3"/>
        <v>140.0882</v>
      </c>
      <c r="N54" s="177">
        <v>182.69</v>
      </c>
      <c r="O54" s="183">
        <v>216.35</v>
      </c>
      <c r="P54" s="178">
        <v>269.39</v>
      </c>
      <c r="Q54" s="183">
        <v>229.56</v>
      </c>
      <c r="R54" s="184">
        <v>300.25</v>
      </c>
      <c r="S54" s="184">
        <v>353.86</v>
      </c>
      <c r="T54" s="162"/>
      <c r="U54" s="180">
        <v>0.94</v>
      </c>
      <c r="V54" s="185">
        <v>149.03</v>
      </c>
      <c r="W54" s="169"/>
      <c r="X54" s="182"/>
      <c r="Y54" s="86"/>
    </row>
    <row r="55" spans="1:25" s="71" customFormat="1" ht="12.75" x14ac:dyDescent="0.2">
      <c r="A55" s="76"/>
      <c r="B55" s="170"/>
      <c r="C55" s="171" t="str">
        <f t="shared" si="2"/>
        <v xml:space="preserve"> </v>
      </c>
      <c r="D55" s="157">
        <v>5.2</v>
      </c>
      <c r="E55" s="172">
        <f t="shared" si="0"/>
        <v>148.95359999999999</v>
      </c>
      <c r="F55" s="173">
        <f t="shared" si="0"/>
        <v>190.03</v>
      </c>
      <c r="G55" s="173">
        <f t="shared" si="0"/>
        <v>224.9</v>
      </c>
      <c r="H55" s="174">
        <f t="shared" si="0"/>
        <v>279.89</v>
      </c>
      <c r="I55" s="173">
        <f t="shared" si="1"/>
        <v>238.43</v>
      </c>
      <c r="J55" s="175">
        <f t="shared" si="1"/>
        <v>311.74</v>
      </c>
      <c r="K55" s="175">
        <f t="shared" si="1"/>
        <v>368.78</v>
      </c>
      <c r="L55" s="182"/>
      <c r="M55" s="176">
        <f t="shared" si="3"/>
        <v>148.95359999999999</v>
      </c>
      <c r="N55" s="177">
        <v>190.03</v>
      </c>
      <c r="O55" s="183">
        <v>224.9</v>
      </c>
      <c r="P55" s="178">
        <v>279.89</v>
      </c>
      <c r="Q55" s="183">
        <v>238.43</v>
      </c>
      <c r="R55" s="184">
        <v>311.74</v>
      </c>
      <c r="S55" s="184">
        <v>368.78</v>
      </c>
      <c r="T55" s="162"/>
      <c r="U55" s="180">
        <v>0.96</v>
      </c>
      <c r="V55" s="185">
        <v>155.16</v>
      </c>
      <c r="W55" s="169"/>
      <c r="X55" s="162"/>
      <c r="Y55" s="86"/>
    </row>
    <row r="56" spans="1:25" s="71" customFormat="1" ht="13.5" thickBot="1" x14ac:dyDescent="0.25">
      <c r="A56" s="76"/>
      <c r="B56" s="170"/>
      <c r="C56" s="171" t="str">
        <f t="shared" si="2"/>
        <v xml:space="preserve"> </v>
      </c>
      <c r="D56" s="157">
        <v>5.6</v>
      </c>
      <c r="E56" s="186">
        <f t="shared" si="0"/>
        <v>158.0642</v>
      </c>
      <c r="F56" s="173">
        <f t="shared" si="0"/>
        <v>197.37</v>
      </c>
      <c r="G56" s="173">
        <f t="shared" si="0"/>
        <v>233.46</v>
      </c>
      <c r="H56" s="174">
        <f t="shared" si="0"/>
        <v>290.39</v>
      </c>
      <c r="I56" s="173">
        <f t="shared" si="1"/>
        <v>247.31</v>
      </c>
      <c r="J56" s="175">
        <f t="shared" si="1"/>
        <v>323.24</v>
      </c>
      <c r="K56" s="175">
        <f t="shared" si="1"/>
        <v>383.7</v>
      </c>
      <c r="L56" s="162"/>
      <c r="M56" s="187">
        <f t="shared" si="3"/>
        <v>158.0642</v>
      </c>
      <c r="N56" s="177">
        <v>197.37</v>
      </c>
      <c r="O56" s="183">
        <v>233.46</v>
      </c>
      <c r="P56" s="178">
        <v>290.39</v>
      </c>
      <c r="Q56" s="183">
        <v>247.31</v>
      </c>
      <c r="R56" s="184">
        <v>323.24</v>
      </c>
      <c r="S56" s="184">
        <v>383.7</v>
      </c>
      <c r="T56" s="162"/>
      <c r="U56" s="188">
        <v>0.98</v>
      </c>
      <c r="V56" s="189">
        <v>161.29</v>
      </c>
      <c r="W56" s="169"/>
      <c r="X56" s="182"/>
      <c r="Y56" s="86"/>
    </row>
    <row r="57" spans="1:25" s="71" customFormat="1" ht="12.75" x14ac:dyDescent="0.2">
      <c r="A57" s="76"/>
      <c r="B57" s="170"/>
      <c r="C57" s="171" t="str">
        <f t="shared" si="2"/>
        <v xml:space="preserve"> </v>
      </c>
      <c r="D57" s="157">
        <v>6</v>
      </c>
      <c r="E57" s="190">
        <f t="shared" si="0"/>
        <v>167.42</v>
      </c>
      <c r="F57" s="175">
        <f t="shared" si="0"/>
        <v>204.72</v>
      </c>
      <c r="G57" s="173">
        <f t="shared" si="0"/>
        <v>242.01</v>
      </c>
      <c r="H57" s="174">
        <f t="shared" si="0"/>
        <v>300.89</v>
      </c>
      <c r="I57" s="173">
        <f t="shared" si="1"/>
        <v>256.19</v>
      </c>
      <c r="J57" s="175">
        <f t="shared" si="1"/>
        <v>334.73</v>
      </c>
      <c r="K57" s="175">
        <f t="shared" si="1"/>
        <v>398.62</v>
      </c>
      <c r="L57" s="182"/>
      <c r="M57" s="191">
        <v>167.42</v>
      </c>
      <c r="N57" s="184">
        <v>204.72</v>
      </c>
      <c r="O57" s="183">
        <v>242.01</v>
      </c>
      <c r="P57" s="178">
        <v>300.89</v>
      </c>
      <c r="Q57" s="183">
        <v>256.19</v>
      </c>
      <c r="R57" s="184">
        <v>334.73</v>
      </c>
      <c r="S57" s="184">
        <v>398.62</v>
      </c>
      <c r="T57" s="162"/>
      <c r="U57" s="162"/>
      <c r="V57" s="192"/>
      <c r="W57" s="77"/>
      <c r="X57" s="77"/>
      <c r="Y57" s="86"/>
    </row>
    <row r="58" spans="1:25" s="71" customFormat="1" ht="12.75" x14ac:dyDescent="0.2">
      <c r="A58" s="76"/>
      <c r="B58" s="170"/>
      <c r="C58" s="171" t="str">
        <f t="shared" si="2"/>
        <v xml:space="preserve"> </v>
      </c>
      <c r="D58" s="157">
        <v>6.4</v>
      </c>
      <c r="E58" s="190">
        <f t="shared" si="0"/>
        <v>173.55</v>
      </c>
      <c r="F58" s="175">
        <f t="shared" si="0"/>
        <v>212.06</v>
      </c>
      <c r="G58" s="173">
        <f t="shared" si="0"/>
        <v>250.57</v>
      </c>
      <c r="H58" s="174">
        <f t="shared" si="0"/>
        <v>311.39</v>
      </c>
      <c r="I58" s="173">
        <f t="shared" si="1"/>
        <v>265.07</v>
      </c>
      <c r="J58" s="175">
        <f t="shared" si="1"/>
        <v>346.22</v>
      </c>
      <c r="K58" s="175">
        <f t="shared" si="1"/>
        <v>413.54</v>
      </c>
      <c r="L58" s="162"/>
      <c r="M58" s="191">
        <v>173.55</v>
      </c>
      <c r="N58" s="179">
        <v>212.06</v>
      </c>
      <c r="O58" s="183">
        <v>250.57</v>
      </c>
      <c r="P58" s="178">
        <v>311.39</v>
      </c>
      <c r="Q58" s="183">
        <v>265.07</v>
      </c>
      <c r="R58" s="184">
        <v>346.22</v>
      </c>
      <c r="S58" s="184">
        <v>413.54</v>
      </c>
      <c r="T58" s="162"/>
      <c r="U58" s="162"/>
      <c r="V58" s="86"/>
      <c r="W58" s="80"/>
      <c r="X58" s="80"/>
    </row>
    <row r="59" spans="1:25" s="71" customFormat="1" ht="12.75" x14ac:dyDescent="0.2">
      <c r="A59" s="76"/>
      <c r="B59" s="170"/>
      <c r="C59" s="171" t="str">
        <f t="shared" si="2"/>
        <v xml:space="preserve"> </v>
      </c>
      <c r="D59" s="157">
        <v>6.8</v>
      </c>
      <c r="E59" s="190">
        <f t="shared" si="0"/>
        <v>179.68</v>
      </c>
      <c r="F59" s="175">
        <f t="shared" si="0"/>
        <v>219.4</v>
      </c>
      <c r="G59" s="173">
        <f t="shared" si="0"/>
        <v>259.13</v>
      </c>
      <c r="H59" s="174">
        <f t="shared" si="0"/>
        <v>321.89</v>
      </c>
      <c r="I59" s="173">
        <f t="shared" si="1"/>
        <v>273.95</v>
      </c>
      <c r="J59" s="175">
        <f t="shared" si="1"/>
        <v>357.71</v>
      </c>
      <c r="K59" s="175">
        <f t="shared" si="1"/>
        <v>428.46</v>
      </c>
      <c r="L59" s="182"/>
      <c r="M59" s="191">
        <v>179.68</v>
      </c>
      <c r="N59" s="184">
        <v>219.4</v>
      </c>
      <c r="O59" s="183">
        <v>259.13</v>
      </c>
      <c r="P59" s="178">
        <v>321.89</v>
      </c>
      <c r="Q59" s="183">
        <v>273.95</v>
      </c>
      <c r="R59" s="184">
        <v>357.71</v>
      </c>
      <c r="S59" s="184">
        <v>428.46</v>
      </c>
      <c r="T59" s="162"/>
      <c r="U59" s="162"/>
      <c r="V59" s="86"/>
    </row>
    <row r="60" spans="1:25" s="71" customFormat="1" ht="12.75" x14ac:dyDescent="0.2">
      <c r="A60" s="76"/>
      <c r="B60" s="170"/>
      <c r="C60" s="171" t="str">
        <f t="shared" si="2"/>
        <v xml:space="preserve"> </v>
      </c>
      <c r="D60" s="157">
        <v>7.2</v>
      </c>
      <c r="E60" s="190">
        <f t="shared" si="0"/>
        <v>185.81</v>
      </c>
      <c r="F60" s="175">
        <f t="shared" si="0"/>
        <v>226.74</v>
      </c>
      <c r="G60" s="173">
        <f t="shared" si="0"/>
        <v>267.68</v>
      </c>
      <c r="H60" s="174">
        <f t="shared" si="0"/>
        <v>332.29</v>
      </c>
      <c r="I60" s="173">
        <f t="shared" si="1"/>
        <v>282.83</v>
      </c>
      <c r="J60" s="175">
        <f t="shared" si="1"/>
        <v>369.21</v>
      </c>
      <c r="K60" s="175">
        <f t="shared" si="1"/>
        <v>443.38</v>
      </c>
      <c r="L60" s="162"/>
      <c r="M60" s="191">
        <v>185.81</v>
      </c>
      <c r="N60" s="184">
        <v>226.74</v>
      </c>
      <c r="O60" s="183">
        <v>267.68</v>
      </c>
      <c r="P60" s="178">
        <v>332.29</v>
      </c>
      <c r="Q60" s="183">
        <v>282.83</v>
      </c>
      <c r="R60" s="184">
        <v>369.21</v>
      </c>
      <c r="S60" s="184">
        <v>443.38</v>
      </c>
      <c r="T60" s="162"/>
      <c r="U60" s="162"/>
      <c r="V60" s="86"/>
    </row>
    <row r="61" spans="1:25" s="71" customFormat="1" ht="12.75" x14ac:dyDescent="0.2">
      <c r="A61" s="76"/>
      <c r="B61" s="170"/>
      <c r="C61" s="171" t="str">
        <f t="shared" si="2"/>
        <v xml:space="preserve"> </v>
      </c>
      <c r="D61" s="157">
        <v>7.6</v>
      </c>
      <c r="E61" s="190">
        <f t="shared" si="0"/>
        <v>191.94</v>
      </c>
      <c r="F61" s="175">
        <f t="shared" si="0"/>
        <v>234.09</v>
      </c>
      <c r="G61" s="173">
        <f t="shared" si="0"/>
        <v>276.24</v>
      </c>
      <c r="H61" s="174">
        <f t="shared" si="0"/>
        <v>342.89</v>
      </c>
      <c r="I61" s="173">
        <f t="shared" si="1"/>
        <v>291.70999999999998</v>
      </c>
      <c r="J61" s="175">
        <f t="shared" si="1"/>
        <v>380.7</v>
      </c>
      <c r="K61" s="175">
        <f t="shared" si="1"/>
        <v>458.3</v>
      </c>
      <c r="L61" s="182"/>
      <c r="M61" s="191">
        <v>191.94</v>
      </c>
      <c r="N61" s="179">
        <v>234.09</v>
      </c>
      <c r="O61" s="183">
        <v>276.24</v>
      </c>
      <c r="P61" s="178">
        <v>342.89</v>
      </c>
      <c r="Q61" s="183">
        <v>291.70999999999998</v>
      </c>
      <c r="R61" s="184">
        <v>380.7</v>
      </c>
      <c r="S61" s="184">
        <v>458.3</v>
      </c>
      <c r="T61" s="162"/>
      <c r="U61" s="162"/>
      <c r="V61" s="86"/>
    </row>
    <row r="62" spans="1:25" s="71" customFormat="1" ht="12.75" x14ac:dyDescent="0.2">
      <c r="A62" s="76"/>
      <c r="B62" s="170"/>
      <c r="C62" s="171" t="str">
        <f t="shared" si="2"/>
        <v xml:space="preserve"> </v>
      </c>
      <c r="D62" s="157">
        <v>8</v>
      </c>
      <c r="E62" s="190">
        <f t="shared" si="0"/>
        <v>198.06</v>
      </c>
      <c r="F62" s="175">
        <f t="shared" si="0"/>
        <v>241.43</v>
      </c>
      <c r="G62" s="173">
        <f t="shared" si="0"/>
        <v>284.8</v>
      </c>
      <c r="H62" s="174">
        <f t="shared" si="0"/>
        <v>353.39</v>
      </c>
      <c r="I62" s="173">
        <f t="shared" si="1"/>
        <v>300.58999999999997</v>
      </c>
      <c r="J62" s="175">
        <f t="shared" si="1"/>
        <v>392.19</v>
      </c>
      <c r="K62" s="175">
        <f t="shared" si="1"/>
        <v>473.22</v>
      </c>
      <c r="L62" s="162"/>
      <c r="M62" s="191">
        <v>198.06</v>
      </c>
      <c r="N62" s="184">
        <v>241.43</v>
      </c>
      <c r="O62" s="183">
        <v>284.8</v>
      </c>
      <c r="P62" s="178">
        <v>353.39</v>
      </c>
      <c r="Q62" s="183">
        <v>300.58999999999997</v>
      </c>
      <c r="R62" s="184">
        <v>392.19</v>
      </c>
      <c r="S62" s="184">
        <v>473.22</v>
      </c>
      <c r="T62" s="162"/>
      <c r="U62" s="162"/>
      <c r="V62" s="86"/>
    </row>
    <row r="63" spans="1:25" s="71" customFormat="1" ht="12.75" x14ac:dyDescent="0.2">
      <c r="A63" s="76"/>
      <c r="B63" s="170"/>
      <c r="C63" s="171" t="str">
        <f t="shared" si="2"/>
        <v xml:space="preserve"> </v>
      </c>
      <c r="D63" s="157">
        <v>8.4</v>
      </c>
      <c r="E63" s="190">
        <f t="shared" si="0"/>
        <v>204.19</v>
      </c>
      <c r="F63" s="175">
        <f t="shared" si="0"/>
        <v>248.77</v>
      </c>
      <c r="G63" s="173">
        <f t="shared" si="0"/>
        <v>293.35000000000002</v>
      </c>
      <c r="H63" s="174">
        <f t="shared" si="0"/>
        <v>363.89</v>
      </c>
      <c r="I63" s="173">
        <f t="shared" si="1"/>
        <v>309.47000000000003</v>
      </c>
      <c r="J63" s="175">
        <f t="shared" si="1"/>
        <v>403.69</v>
      </c>
      <c r="K63" s="175">
        <f t="shared" si="1"/>
        <v>488.14</v>
      </c>
      <c r="L63" s="182"/>
      <c r="M63" s="191">
        <v>204.19</v>
      </c>
      <c r="N63" s="184">
        <v>248.77</v>
      </c>
      <c r="O63" s="183">
        <v>293.35000000000002</v>
      </c>
      <c r="P63" s="178">
        <v>363.89</v>
      </c>
      <c r="Q63" s="183">
        <v>309.47000000000003</v>
      </c>
      <c r="R63" s="184">
        <v>403.69</v>
      </c>
      <c r="S63" s="184">
        <v>488.14</v>
      </c>
      <c r="T63" s="162"/>
      <c r="U63" s="162"/>
      <c r="V63" s="86"/>
    </row>
    <row r="64" spans="1:25" s="71" customFormat="1" ht="12.75" x14ac:dyDescent="0.2">
      <c r="A64" s="76"/>
      <c r="B64" s="170"/>
      <c r="C64" s="171" t="str">
        <f t="shared" si="2"/>
        <v xml:space="preserve"> </v>
      </c>
      <c r="D64" s="157">
        <v>8.8000000000000007</v>
      </c>
      <c r="E64" s="190">
        <f t="shared" si="0"/>
        <v>210.32</v>
      </c>
      <c r="F64" s="175">
        <f t="shared" si="0"/>
        <v>256.12</v>
      </c>
      <c r="G64" s="173">
        <f t="shared" si="0"/>
        <v>301.91000000000003</v>
      </c>
      <c r="H64" s="174">
        <f t="shared" si="0"/>
        <v>374.39</v>
      </c>
      <c r="I64" s="173">
        <f t="shared" si="1"/>
        <v>318.35000000000002</v>
      </c>
      <c r="J64" s="175">
        <f t="shared" si="1"/>
        <v>415.18</v>
      </c>
      <c r="K64" s="175">
        <f t="shared" si="1"/>
        <v>503.06</v>
      </c>
      <c r="L64" s="162"/>
      <c r="M64" s="191">
        <v>210.32</v>
      </c>
      <c r="N64" s="179">
        <v>256.12</v>
      </c>
      <c r="O64" s="183">
        <v>301.91000000000003</v>
      </c>
      <c r="P64" s="178">
        <v>374.39</v>
      </c>
      <c r="Q64" s="183">
        <v>318.35000000000002</v>
      </c>
      <c r="R64" s="184">
        <v>415.18</v>
      </c>
      <c r="S64" s="184">
        <v>503.06</v>
      </c>
      <c r="T64" s="162"/>
      <c r="U64" s="162"/>
      <c r="V64" s="86"/>
    </row>
    <row r="65" spans="1:24" s="71" customFormat="1" ht="12.75" x14ac:dyDescent="0.2">
      <c r="A65" s="76"/>
      <c r="B65" s="170"/>
      <c r="C65" s="171" t="str">
        <f t="shared" si="2"/>
        <v xml:space="preserve"> </v>
      </c>
      <c r="D65" s="157">
        <v>9.1999999999999993</v>
      </c>
      <c r="E65" s="190">
        <f t="shared" si="0"/>
        <v>216.45</v>
      </c>
      <c r="F65" s="175">
        <f t="shared" si="0"/>
        <v>263.45999999999998</v>
      </c>
      <c r="G65" s="173">
        <f t="shared" si="0"/>
        <v>310.47000000000003</v>
      </c>
      <c r="H65" s="174">
        <f t="shared" si="0"/>
        <v>384.89</v>
      </c>
      <c r="I65" s="173">
        <f t="shared" si="1"/>
        <v>327.23</v>
      </c>
      <c r="J65" s="175">
        <f t="shared" si="1"/>
        <v>426.67</v>
      </c>
      <c r="K65" s="175">
        <f t="shared" si="1"/>
        <v>517.98</v>
      </c>
      <c r="L65" s="182"/>
      <c r="M65" s="191">
        <v>216.45</v>
      </c>
      <c r="N65" s="184">
        <v>263.45999999999998</v>
      </c>
      <c r="O65" s="183">
        <v>310.47000000000003</v>
      </c>
      <c r="P65" s="178">
        <v>384.89</v>
      </c>
      <c r="Q65" s="183">
        <v>327.23</v>
      </c>
      <c r="R65" s="184">
        <v>426.67</v>
      </c>
      <c r="S65" s="184">
        <v>517.98</v>
      </c>
      <c r="T65" s="162"/>
      <c r="U65" s="162"/>
      <c r="V65" s="86"/>
    </row>
    <row r="66" spans="1:24" s="71" customFormat="1" ht="12.75" x14ac:dyDescent="0.2">
      <c r="A66" s="76"/>
      <c r="B66" s="170"/>
      <c r="C66" s="171" t="str">
        <f t="shared" si="2"/>
        <v xml:space="preserve"> </v>
      </c>
      <c r="D66" s="157">
        <v>9.6</v>
      </c>
      <c r="E66" s="190">
        <f t="shared" si="0"/>
        <v>222.58</v>
      </c>
      <c r="F66" s="175">
        <f t="shared" si="0"/>
        <v>270.8</v>
      </c>
      <c r="G66" s="173">
        <f t="shared" si="0"/>
        <v>319.02</v>
      </c>
      <c r="H66" s="174">
        <f t="shared" si="0"/>
        <v>395.39</v>
      </c>
      <c r="I66" s="173">
        <f t="shared" si="1"/>
        <v>336.11</v>
      </c>
      <c r="J66" s="175">
        <f t="shared" si="1"/>
        <v>438.16</v>
      </c>
      <c r="K66" s="175">
        <f t="shared" si="1"/>
        <v>532.9</v>
      </c>
      <c r="L66" s="162"/>
      <c r="M66" s="191">
        <v>222.58</v>
      </c>
      <c r="N66" s="184">
        <v>270.8</v>
      </c>
      <c r="O66" s="183">
        <v>319.02</v>
      </c>
      <c r="P66" s="178">
        <v>395.39</v>
      </c>
      <c r="Q66" s="183">
        <v>336.11</v>
      </c>
      <c r="R66" s="184">
        <v>438.16</v>
      </c>
      <c r="S66" s="184">
        <v>532.9</v>
      </c>
      <c r="T66" s="162"/>
      <c r="U66" s="162"/>
      <c r="V66" s="86"/>
    </row>
    <row r="67" spans="1:24" s="71" customFormat="1" ht="12.75" x14ac:dyDescent="0.2">
      <c r="A67" s="76"/>
      <c r="B67" s="170"/>
      <c r="C67" s="171" t="str">
        <f t="shared" si="2"/>
        <v xml:space="preserve"> </v>
      </c>
      <c r="D67" s="157">
        <v>10</v>
      </c>
      <c r="E67" s="190">
        <f t="shared" si="0"/>
        <v>228.71</v>
      </c>
      <c r="F67" s="175">
        <f t="shared" si="0"/>
        <v>278.14999999999998</v>
      </c>
      <c r="G67" s="173">
        <f t="shared" si="0"/>
        <v>327.58</v>
      </c>
      <c r="H67" s="174">
        <f t="shared" si="0"/>
        <v>405.89</v>
      </c>
      <c r="I67" s="173">
        <f t="shared" si="1"/>
        <v>344.96899999999999</v>
      </c>
      <c r="J67" s="175">
        <f t="shared" si="1"/>
        <v>449.66</v>
      </c>
      <c r="K67" s="175">
        <f t="shared" si="1"/>
        <v>547.82000000000005</v>
      </c>
      <c r="L67" s="182"/>
      <c r="M67" s="191">
        <v>228.71</v>
      </c>
      <c r="N67" s="179">
        <v>278.14999999999998</v>
      </c>
      <c r="O67" s="183">
        <v>327.58</v>
      </c>
      <c r="P67" s="178">
        <v>405.89</v>
      </c>
      <c r="Q67" s="183">
        <v>344.96899999999999</v>
      </c>
      <c r="R67" s="184">
        <v>449.66</v>
      </c>
      <c r="S67" s="184">
        <v>547.82000000000005</v>
      </c>
      <c r="T67" s="162"/>
      <c r="U67" s="162"/>
      <c r="V67" s="86"/>
    </row>
    <row r="68" spans="1:24" s="71" customFormat="1" ht="12.75" x14ac:dyDescent="0.2">
      <c r="A68" s="76"/>
      <c r="B68" s="170"/>
      <c r="C68" s="171" t="str">
        <f t="shared" si="2"/>
        <v xml:space="preserve"> </v>
      </c>
      <c r="D68" s="157">
        <v>10.4</v>
      </c>
      <c r="E68" s="190">
        <f t="shared" si="0"/>
        <v>234.84</v>
      </c>
      <c r="F68" s="175">
        <f t="shared" si="0"/>
        <v>285.49</v>
      </c>
      <c r="G68" s="173">
        <f t="shared" si="0"/>
        <v>336.14</v>
      </c>
      <c r="H68" s="174">
        <f t="shared" si="0"/>
        <v>416.4</v>
      </c>
      <c r="I68" s="173">
        <f t="shared" si="1"/>
        <v>353.87</v>
      </c>
      <c r="J68" s="175">
        <f t="shared" si="1"/>
        <v>461.15</v>
      </c>
      <c r="K68" s="175">
        <f t="shared" si="1"/>
        <v>562.74</v>
      </c>
      <c r="L68" s="162"/>
      <c r="M68" s="191">
        <v>234.84</v>
      </c>
      <c r="N68" s="184">
        <v>285.49</v>
      </c>
      <c r="O68" s="183">
        <v>336.14</v>
      </c>
      <c r="P68" s="178">
        <v>416.4</v>
      </c>
      <c r="Q68" s="183">
        <v>353.87</v>
      </c>
      <c r="R68" s="184">
        <v>461.15</v>
      </c>
      <c r="S68" s="184">
        <v>562.74</v>
      </c>
      <c r="T68" s="162"/>
      <c r="U68" s="162"/>
      <c r="V68" s="86"/>
    </row>
    <row r="69" spans="1:24" s="71" customFormat="1" ht="12.75" x14ac:dyDescent="0.2">
      <c r="A69" s="76"/>
      <c r="B69" s="170"/>
      <c r="C69" s="171"/>
      <c r="D69" s="157">
        <v>10.8</v>
      </c>
      <c r="E69" s="190">
        <f t="shared" si="0"/>
        <v>240.97</v>
      </c>
      <c r="F69" s="175">
        <f t="shared" si="0"/>
        <v>282.83</v>
      </c>
      <c r="G69" s="173">
        <f t="shared" si="0"/>
        <v>344.69</v>
      </c>
      <c r="H69" s="174">
        <f t="shared" si="0"/>
        <v>426.9</v>
      </c>
      <c r="I69" s="173">
        <f t="shared" si="1"/>
        <v>362.74</v>
      </c>
      <c r="J69" s="175">
        <f t="shared" si="1"/>
        <v>472.64</v>
      </c>
      <c r="K69" s="175">
        <f t="shared" si="1"/>
        <v>577.66</v>
      </c>
      <c r="L69" s="162"/>
      <c r="M69" s="191">
        <v>240.97</v>
      </c>
      <c r="N69" s="184">
        <v>282.83</v>
      </c>
      <c r="O69" s="183">
        <v>344.69</v>
      </c>
      <c r="P69" s="178">
        <v>426.9</v>
      </c>
      <c r="Q69" s="183">
        <v>362.74</v>
      </c>
      <c r="R69" s="184">
        <v>472.64</v>
      </c>
      <c r="S69" s="184">
        <v>577.66</v>
      </c>
      <c r="T69" s="162"/>
      <c r="U69" s="162"/>
      <c r="V69" s="86"/>
    </row>
    <row r="70" spans="1:24" s="71" customFormat="1" ht="12.75" x14ac:dyDescent="0.2">
      <c r="A70" s="76"/>
      <c r="B70" s="170"/>
      <c r="C70" s="171"/>
      <c r="D70" s="157">
        <v>11.2</v>
      </c>
      <c r="E70" s="190">
        <f t="shared" si="0"/>
        <v>247.1</v>
      </c>
      <c r="F70" s="175">
        <f t="shared" si="0"/>
        <v>300.17</v>
      </c>
      <c r="G70" s="173">
        <f t="shared" si="0"/>
        <v>353.25</v>
      </c>
      <c r="H70" s="174">
        <f t="shared" si="0"/>
        <v>437.4</v>
      </c>
      <c r="I70" s="173">
        <f t="shared" si="1"/>
        <v>371.62</v>
      </c>
      <c r="J70" s="175">
        <f t="shared" si="1"/>
        <v>484.14</v>
      </c>
      <c r="K70" s="175">
        <f t="shared" si="1"/>
        <v>592.58000000000004</v>
      </c>
      <c r="L70" s="162"/>
      <c r="M70" s="191">
        <v>247.1</v>
      </c>
      <c r="N70" s="184">
        <v>300.17</v>
      </c>
      <c r="O70" s="183">
        <v>353.25</v>
      </c>
      <c r="P70" s="178">
        <v>437.4</v>
      </c>
      <c r="Q70" s="183">
        <v>371.62</v>
      </c>
      <c r="R70" s="184">
        <v>484.14</v>
      </c>
      <c r="S70" s="184">
        <v>592.58000000000004</v>
      </c>
      <c r="T70" s="162"/>
      <c r="U70" s="162"/>
      <c r="V70" s="86"/>
    </row>
    <row r="71" spans="1:24" s="71" customFormat="1" ht="12.75" x14ac:dyDescent="0.2">
      <c r="A71" s="76"/>
      <c r="B71" s="170"/>
      <c r="C71" s="171"/>
      <c r="D71" s="157">
        <v>11.6</v>
      </c>
      <c r="E71" s="190">
        <f t="shared" si="0"/>
        <v>253.23</v>
      </c>
      <c r="F71" s="175">
        <f t="shared" si="0"/>
        <v>307.52</v>
      </c>
      <c r="G71" s="173">
        <f t="shared" si="0"/>
        <v>361.8</v>
      </c>
      <c r="H71" s="174">
        <f t="shared" si="0"/>
        <v>447.9</v>
      </c>
      <c r="I71" s="173">
        <f t="shared" si="1"/>
        <v>380.5</v>
      </c>
      <c r="J71" s="175">
        <f t="shared" si="1"/>
        <v>495.63</v>
      </c>
      <c r="K71" s="175">
        <f t="shared" si="1"/>
        <v>607.5</v>
      </c>
      <c r="L71" s="162"/>
      <c r="M71" s="191">
        <v>253.23</v>
      </c>
      <c r="N71" s="184">
        <v>307.52</v>
      </c>
      <c r="O71" s="183">
        <v>361.8</v>
      </c>
      <c r="P71" s="178">
        <v>447.9</v>
      </c>
      <c r="Q71" s="183">
        <v>380.5</v>
      </c>
      <c r="R71" s="184">
        <v>495.63</v>
      </c>
      <c r="S71" s="184">
        <v>607.5</v>
      </c>
      <c r="T71" s="162"/>
      <c r="U71" s="162"/>
      <c r="V71" s="86"/>
    </row>
    <row r="72" spans="1:24" s="71" customFormat="1" ht="12.75" x14ac:dyDescent="0.2">
      <c r="A72" s="76"/>
      <c r="B72" s="170"/>
      <c r="C72" s="171"/>
      <c r="D72" s="157">
        <v>12</v>
      </c>
      <c r="E72" s="190">
        <f t="shared" si="0"/>
        <v>259.36</v>
      </c>
      <c r="F72" s="175">
        <f t="shared" si="0"/>
        <v>314.86</v>
      </c>
      <c r="G72" s="173">
        <f t="shared" si="0"/>
        <v>370.36</v>
      </c>
      <c r="H72" s="174">
        <f t="shared" si="0"/>
        <v>458.4</v>
      </c>
      <c r="I72" s="173">
        <f t="shared" si="1"/>
        <v>389.38</v>
      </c>
      <c r="J72" s="175">
        <f t="shared" si="1"/>
        <v>507.12</v>
      </c>
      <c r="K72" s="175">
        <f t="shared" si="1"/>
        <v>622.41999999999996</v>
      </c>
      <c r="L72" s="162"/>
      <c r="M72" s="191">
        <v>259.36</v>
      </c>
      <c r="N72" s="184">
        <v>314.86</v>
      </c>
      <c r="O72" s="183">
        <v>370.36</v>
      </c>
      <c r="P72" s="178">
        <v>458.4</v>
      </c>
      <c r="Q72" s="183">
        <v>389.38</v>
      </c>
      <c r="R72" s="184">
        <v>507.12</v>
      </c>
      <c r="S72" s="184">
        <v>622.41999999999996</v>
      </c>
      <c r="T72" s="162"/>
      <c r="U72" s="162"/>
      <c r="V72" s="86"/>
    </row>
    <row r="73" spans="1:24" s="71" customFormat="1" ht="12.75" x14ac:dyDescent="0.2">
      <c r="A73" s="76"/>
      <c r="B73" s="170"/>
      <c r="C73" s="171" t="str">
        <f>IF(AND($B$6&gt;0,$B$6&gt;D68,$B$6&lt;=D73),"D"," ")</f>
        <v xml:space="preserve"> </v>
      </c>
      <c r="D73" s="157">
        <v>12.4</v>
      </c>
      <c r="E73" s="190">
        <f t="shared" si="0"/>
        <v>265.49</v>
      </c>
      <c r="F73" s="175">
        <f t="shared" si="0"/>
        <v>322.2</v>
      </c>
      <c r="G73" s="173">
        <f t="shared" si="0"/>
        <v>378.92</v>
      </c>
      <c r="H73" s="174">
        <f t="shared" si="0"/>
        <v>468.9</v>
      </c>
      <c r="I73" s="173">
        <f t="shared" si="1"/>
        <v>398.26</v>
      </c>
      <c r="J73" s="175">
        <f t="shared" si="1"/>
        <v>518.61</v>
      </c>
      <c r="K73" s="175">
        <f t="shared" si="1"/>
        <v>637.34</v>
      </c>
      <c r="L73" s="182"/>
      <c r="M73" s="191">
        <v>265.49</v>
      </c>
      <c r="N73" s="184">
        <v>322.2</v>
      </c>
      <c r="O73" s="183">
        <v>378.92</v>
      </c>
      <c r="P73" s="178">
        <v>468.9</v>
      </c>
      <c r="Q73" s="183">
        <v>398.26</v>
      </c>
      <c r="R73" s="184">
        <v>518.61</v>
      </c>
      <c r="S73" s="184">
        <v>637.34</v>
      </c>
      <c r="T73" s="162"/>
      <c r="U73" s="162"/>
      <c r="V73" s="86"/>
    </row>
    <row r="74" spans="1:24" s="71" customFormat="1" ht="12.75" x14ac:dyDescent="0.2">
      <c r="A74" s="76"/>
      <c r="B74" s="170"/>
      <c r="C74" s="171"/>
      <c r="D74" s="157">
        <v>12.8</v>
      </c>
      <c r="E74" s="190">
        <f t="shared" si="0"/>
        <v>271.62</v>
      </c>
      <c r="F74" s="175">
        <f t="shared" si="0"/>
        <v>329.55</v>
      </c>
      <c r="G74" s="173">
        <f t="shared" si="0"/>
        <v>387.47</v>
      </c>
      <c r="H74" s="174">
        <f t="shared" si="0"/>
        <v>479.4</v>
      </c>
      <c r="I74" s="173">
        <f t="shared" si="1"/>
        <v>407.14</v>
      </c>
      <c r="J74" s="175">
        <f t="shared" si="1"/>
        <v>530.11</v>
      </c>
      <c r="K74" s="175">
        <f t="shared" si="1"/>
        <v>652.26</v>
      </c>
      <c r="L74" s="182"/>
      <c r="M74" s="191">
        <v>271.62</v>
      </c>
      <c r="N74" s="184">
        <v>329.55</v>
      </c>
      <c r="O74" s="183">
        <v>387.47</v>
      </c>
      <c r="P74" s="178">
        <v>479.4</v>
      </c>
      <c r="Q74" s="183">
        <v>407.14</v>
      </c>
      <c r="R74" s="184">
        <v>530.11</v>
      </c>
      <c r="S74" s="184">
        <v>652.26</v>
      </c>
      <c r="T74" s="162"/>
      <c r="U74" s="162"/>
      <c r="V74" s="86"/>
    </row>
    <row r="75" spans="1:24" s="71" customFormat="1" ht="12.75" x14ac:dyDescent="0.2">
      <c r="A75" s="76"/>
      <c r="B75" s="193" t="s">
        <v>147</v>
      </c>
      <c r="C75" s="171" t="str">
        <f>IF(AND($B$6&gt;0,$B$6&gt;D73,$B$6&lt;=D75),"D"," ")</f>
        <v xml:space="preserve"> </v>
      </c>
      <c r="D75" s="157">
        <v>13.2</v>
      </c>
      <c r="E75" s="190">
        <f t="shared" si="0"/>
        <v>277.75</v>
      </c>
      <c r="F75" s="175">
        <f t="shared" si="0"/>
        <v>336.89</v>
      </c>
      <c r="G75" s="173">
        <f t="shared" si="0"/>
        <v>396.03</v>
      </c>
      <c r="H75" s="174">
        <f t="shared" si="0"/>
        <v>489.9</v>
      </c>
      <c r="I75" s="173">
        <f t="shared" si="1"/>
        <v>416.2</v>
      </c>
      <c r="J75" s="175">
        <f t="shared" si="1"/>
        <v>541.6</v>
      </c>
      <c r="K75" s="175">
        <f t="shared" si="1"/>
        <v>667.18</v>
      </c>
      <c r="L75" s="162"/>
      <c r="M75" s="191">
        <v>277.75</v>
      </c>
      <c r="N75" s="179">
        <v>336.89</v>
      </c>
      <c r="O75" s="183">
        <v>396.03</v>
      </c>
      <c r="P75" s="178">
        <v>489.9</v>
      </c>
      <c r="Q75" s="183">
        <v>416.2</v>
      </c>
      <c r="R75" s="184">
        <v>541.6</v>
      </c>
      <c r="S75" s="184">
        <v>667.18</v>
      </c>
      <c r="T75" s="162"/>
      <c r="U75" s="162"/>
      <c r="V75" s="86"/>
    </row>
    <row r="76" spans="1:24" s="71" customFormat="1" ht="12.75" x14ac:dyDescent="0.2">
      <c r="A76" s="76"/>
      <c r="B76" s="194"/>
      <c r="C76" s="194" t="str">
        <f>IF(AND($B$6&gt;0,$B$6&gt;D75,$B$6&lt;=D76),"D"," ")</f>
        <v xml:space="preserve"> </v>
      </c>
      <c r="D76" s="195"/>
      <c r="E76" s="196"/>
      <c r="F76" s="197"/>
      <c r="G76" s="198"/>
      <c r="H76" s="199"/>
      <c r="I76" s="198"/>
      <c r="J76" s="198"/>
      <c r="K76" s="197"/>
      <c r="L76" s="182"/>
      <c r="M76" s="196"/>
      <c r="N76" s="197"/>
      <c r="O76" s="198"/>
      <c r="P76" s="200"/>
      <c r="Q76" s="198"/>
      <c r="R76" s="197"/>
      <c r="S76" s="197"/>
      <c r="T76" s="162"/>
      <c r="U76" s="162"/>
      <c r="V76" s="86"/>
    </row>
    <row r="77" spans="1:24" s="71" customFormat="1" ht="12.75" x14ac:dyDescent="0.2">
      <c r="A77" s="76"/>
      <c r="B77" s="95"/>
      <c r="C77" s="201"/>
      <c r="D77" s="110" t="s">
        <v>147</v>
      </c>
      <c r="E77" s="895">
        <f t="shared" ref="E77:K77" si="4">VLOOKUP("V",$B$35:$U$76,E14,FALSE)</f>
        <v>277.75</v>
      </c>
      <c r="F77" s="896">
        <f t="shared" si="4"/>
        <v>336.89</v>
      </c>
      <c r="G77" s="895">
        <f t="shared" si="4"/>
        <v>396.03</v>
      </c>
      <c r="H77" s="897">
        <f t="shared" si="4"/>
        <v>489.9</v>
      </c>
      <c r="I77" s="898">
        <f t="shared" si="4"/>
        <v>416.2</v>
      </c>
      <c r="J77" s="895">
        <f t="shared" si="4"/>
        <v>541.6</v>
      </c>
      <c r="K77" s="895">
        <f t="shared" si="4"/>
        <v>667.18</v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86"/>
    </row>
    <row r="78" spans="1:24" s="71" customFormat="1" ht="12.75" x14ac:dyDescent="0.2">
      <c r="A78" s="76"/>
      <c r="B78" s="72"/>
      <c r="C78" s="203"/>
      <c r="D78" s="204" t="s">
        <v>148</v>
      </c>
      <c r="E78" s="895">
        <f t="shared" ref="E78:K78" si="5">IF($B$6&gt;0,VLOOKUP("D",$C$35:$U$76,E14-1,FALSE)," ")</f>
        <v>40.836860000000001</v>
      </c>
      <c r="F78" s="895">
        <f t="shared" si="5"/>
        <v>55.29</v>
      </c>
      <c r="G78" s="895">
        <f t="shared" si="5"/>
        <v>63.03</v>
      </c>
      <c r="H78" s="897">
        <f t="shared" si="5"/>
        <v>73.760000000000005</v>
      </c>
      <c r="I78" s="898">
        <f t="shared" si="5"/>
        <v>67.44</v>
      </c>
      <c r="J78" s="895">
        <f t="shared" si="5"/>
        <v>85.82</v>
      </c>
      <c r="K78" s="895">
        <f t="shared" si="5"/>
        <v>105.58</v>
      </c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86"/>
    </row>
    <row r="79" spans="1:24" s="71" customFormat="1" ht="12.75" x14ac:dyDescent="0.2">
      <c r="B79" s="72"/>
      <c r="C79" s="72"/>
      <c r="D79" s="80"/>
      <c r="E79" s="80"/>
      <c r="F79" s="80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X79" s="80"/>
    </row>
    <row r="80" spans="1:24" s="71" customFormat="1" ht="12.75" x14ac:dyDescent="0.2">
      <c r="B80" s="72"/>
      <c r="C80" s="72"/>
      <c r="M80" s="79"/>
      <c r="N80" s="73"/>
      <c r="O80" s="73"/>
      <c r="P80" s="73"/>
      <c r="Q80" s="73"/>
      <c r="R80" s="73"/>
      <c r="S80" s="73"/>
      <c r="T80" s="73"/>
      <c r="U80" s="73"/>
    </row>
    <row r="81" spans="1:21" s="71" customFormat="1" ht="12.75" x14ac:dyDescent="0.2">
      <c r="A81" s="71" t="s">
        <v>124</v>
      </c>
      <c r="B81" s="73" t="s">
        <v>147</v>
      </c>
      <c r="C81" s="890">
        <f>IF(SUM(E15:U15)&gt;0,HLOOKUP(1,E15:K78,63,FALSE))</f>
        <v>396.03</v>
      </c>
      <c r="M81" s="79"/>
      <c r="N81" s="73"/>
      <c r="O81" s="73"/>
      <c r="P81" s="73"/>
      <c r="Q81" s="73"/>
      <c r="R81" s="73"/>
      <c r="S81" s="73"/>
      <c r="T81" s="73"/>
      <c r="U81" s="73"/>
    </row>
    <row r="82" spans="1:21" s="71" customFormat="1" ht="12.75" x14ac:dyDescent="0.2">
      <c r="A82" s="71" t="s">
        <v>125</v>
      </c>
      <c r="B82" s="73" t="s">
        <v>148</v>
      </c>
      <c r="C82" s="890">
        <f>IF(SUM(E15:U15)&gt;0,HLOOKUP(1,E15:K78,64,FALSE))</f>
        <v>63.03</v>
      </c>
      <c r="M82" s="79"/>
      <c r="N82" s="73"/>
      <c r="O82" s="73"/>
      <c r="P82" s="73"/>
      <c r="Q82" s="73"/>
      <c r="R82" s="73"/>
      <c r="S82" s="73"/>
      <c r="T82" s="73"/>
      <c r="U82" s="73"/>
    </row>
    <row r="83" spans="1:21" s="71" customFormat="1" ht="12.75" x14ac:dyDescent="0.2">
      <c r="B83" s="72"/>
      <c r="C83" s="72"/>
      <c r="M83" s="79"/>
      <c r="N83" s="73"/>
      <c r="O83" s="73"/>
      <c r="P83" s="73"/>
      <c r="Q83" s="73"/>
      <c r="R83" s="73"/>
      <c r="S83" s="73"/>
      <c r="T83" s="73"/>
      <c r="U83" s="7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1E9D-198B-45E6-A1B2-1AF425264860}">
  <dimension ref="A2:T33"/>
  <sheetViews>
    <sheetView workbookViewId="0">
      <selection activeCell="E38" sqref="E38"/>
    </sheetView>
  </sheetViews>
  <sheetFormatPr defaultRowHeight="15" x14ac:dyDescent="0.25"/>
  <cols>
    <col min="1" max="1" customWidth="true" width="50.42578125"/>
    <col min="2" max="2" customWidth="true" width="27.42578125"/>
    <col min="3" max="3" customWidth="true" width="15.0"/>
    <col min="8" max="8" customWidth="true" width="13.140625"/>
    <col min="10" max="10" customWidth="true" width="11.28515625"/>
    <col min="14" max="14" customWidth="true" width="9.85546875"/>
    <col min="15" max="15" customWidth="true" width="13.7109375"/>
  </cols>
  <sheetData>
    <row r="2" spans="1:20" x14ac:dyDescent="0.25">
      <c r="A2" t="s">
        <v>1085</v>
      </c>
      <c r="B2" s="1127">
        <f>BLO!B6</f>
        <v>10010</v>
      </c>
      <c r="I2" s="14" t="s">
        <v>971</v>
      </c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33"/>
    </row>
    <row r="3" spans="1:20" x14ac:dyDescent="0.25">
      <c r="A3" t="s">
        <v>0</v>
      </c>
      <c r="B3" s="1128" t="str">
        <f>'Kwaliteit conversie (4)'!B4</f>
        <v>B</v>
      </c>
      <c r="I3" s="6" t="s">
        <v>1012</v>
      </c>
      <c r="T3" s="7"/>
    </row>
    <row r="4" spans="1:20" x14ac:dyDescent="0.25">
      <c r="A4" t="s">
        <v>1</v>
      </c>
      <c r="B4" s="1128" t="str">
        <f>'Kwaliteit conversie (4)'!C4</f>
        <v>Wit extra sterk</v>
      </c>
      <c r="I4" s="6" t="s">
        <v>991</v>
      </c>
      <c r="T4" s="7"/>
    </row>
    <row r="5" spans="1:20" x14ac:dyDescent="0.25">
      <c r="I5" s="6"/>
      <c r="T5" s="7"/>
    </row>
    <row r="6" spans="1:20" x14ac:dyDescent="0.25">
      <c r="A6" t="s">
        <v>2</v>
      </c>
      <c r="B6" s="22" t="str">
        <f>BLO!B2</f>
        <v>0201</v>
      </c>
      <c r="I6" s="6"/>
      <c r="T6" s="7"/>
    </row>
    <row r="7" spans="1:20" x14ac:dyDescent="0.25">
      <c r="A7" t="s">
        <v>9</v>
      </c>
      <c r="B7" s="22">
        <f>BLO!B3</f>
        <v>300</v>
      </c>
      <c r="C7" t="s">
        <v>25</v>
      </c>
      <c r="I7" s="6"/>
      <c r="T7" s="7"/>
    </row>
    <row r="8" spans="1:20" x14ac:dyDescent="0.25">
      <c r="A8" t="s">
        <v>18</v>
      </c>
      <c r="B8" s="22">
        <f>BLO!B4</f>
        <v>250</v>
      </c>
      <c r="C8" t="s">
        <v>25</v>
      </c>
      <c r="I8" s="6"/>
      <c r="T8" s="7"/>
    </row>
    <row r="9" spans="1:20" x14ac:dyDescent="0.25">
      <c r="A9" t="s">
        <v>19</v>
      </c>
      <c r="B9" s="22">
        <f>BLO!B5</f>
        <v>100</v>
      </c>
      <c r="C9" t="s">
        <v>25</v>
      </c>
      <c r="I9" s="6"/>
      <c r="T9" s="7"/>
    </row>
    <row r="10" spans="1:20" x14ac:dyDescent="0.25">
      <c r="I10" s="6"/>
      <c r="T10" s="7"/>
    </row>
    <row r="11" spans="1:20" x14ac:dyDescent="0.25">
      <c r="A11" t="s">
        <v>3</v>
      </c>
      <c r="B11" s="22" t="str">
        <f>BLO!B12</f>
        <v>onbedrukt</v>
      </c>
      <c r="I11" s="6"/>
      <c r="T11" s="7"/>
    </row>
    <row r="12" spans="1:20" x14ac:dyDescent="0.25">
      <c r="A12" t="s">
        <v>4</v>
      </c>
      <c r="B12" s="22" t="s">
        <v>84</v>
      </c>
      <c r="I12" s="6"/>
      <c r="T12" s="7"/>
    </row>
    <row r="13" spans="1:20" x14ac:dyDescent="0.25">
      <c r="A13" t="s">
        <v>5</v>
      </c>
      <c r="B13" s="22" t="str">
        <f>BLO!B8</f>
        <v>geen handgrepen / stansbewerking</v>
      </c>
      <c r="I13" s="6"/>
      <c r="T13" s="7"/>
    </row>
    <row r="14" spans="1:20" x14ac:dyDescent="0.25">
      <c r="A14" t="s">
        <v>1088</v>
      </c>
      <c r="B14" s="22" t="s">
        <v>1089</v>
      </c>
      <c r="I14" s="6"/>
      <c r="T14" s="7"/>
    </row>
    <row r="15" spans="1:20" x14ac:dyDescent="0.25">
      <c r="A15" t="s">
        <v>969</v>
      </c>
      <c r="B15" s="22"/>
      <c r="C15" t="s">
        <v>25</v>
      </c>
      <c r="I15" s="415"/>
      <c r="J15" s="918"/>
      <c r="K15" s="918"/>
      <c r="L15" s="918"/>
      <c r="M15" s="918"/>
      <c r="N15" s="918"/>
      <c r="O15" s="918"/>
      <c r="P15" s="918"/>
      <c r="Q15" s="918"/>
      <c r="R15" s="918"/>
      <c r="S15" s="918"/>
      <c r="T15" s="912"/>
    </row>
    <row r="17" spans="1:19" x14ac:dyDescent="0.25">
      <c r="A17" t="s">
        <v>6</v>
      </c>
      <c r="B17" s="840">
        <f>Mastersheet!J15</f>
        <v>490</v>
      </c>
      <c r="C17" t="s">
        <v>26</v>
      </c>
      <c r="I17" s="1005" t="s">
        <v>1080</v>
      </c>
      <c r="J17" s="1005"/>
      <c r="K17" s="1005"/>
      <c r="L17" s="1005"/>
      <c r="M17" s="1005"/>
      <c r="N17" s="1005"/>
      <c r="O17" s="1005"/>
    </row>
    <row r="18" spans="1:19" x14ac:dyDescent="0.25">
      <c r="I18" s="1109" t="s">
        <v>639</v>
      </c>
      <c r="J18" s="1110"/>
      <c r="K18" s="1110"/>
      <c r="L18" s="1111">
        <f>'Rekenblad (4)'!E1081</f>
        <v>0.20182932400000003</v>
      </c>
      <c r="M18" s="1110"/>
      <c r="N18" s="1110"/>
      <c r="O18" s="1112"/>
    </row>
    <row r="19" spans="1:19" x14ac:dyDescent="0.25">
      <c r="I19" s="1113" t="s">
        <v>645</v>
      </c>
      <c r="J19" s="1005"/>
      <c r="K19" s="1005"/>
      <c r="L19" s="1114">
        <f>'Rekenblad (4)'!E1083</f>
        <v>0.14285714285714285</v>
      </c>
      <c r="M19" s="1277">
        <f>L19+L20</f>
        <v>0.15102040816326529</v>
      </c>
      <c r="N19" s="1279" t="s">
        <v>1081</v>
      </c>
      <c r="O19" s="1280"/>
      <c r="P19" s="615"/>
      <c r="S19" s="958"/>
    </row>
    <row r="20" spans="1:19" x14ac:dyDescent="0.25">
      <c r="I20" s="1113" t="s">
        <v>644</v>
      </c>
      <c r="J20" s="1005"/>
      <c r="K20" s="1005"/>
      <c r="L20" s="1114">
        <f>'Rekenblad (4)'!E1082</f>
        <v>8.1632653061224497E-3</v>
      </c>
      <c r="M20" s="1278"/>
      <c r="N20" s="1281"/>
      <c r="O20" s="1282"/>
      <c r="P20" s="615"/>
      <c r="S20" s="958"/>
    </row>
    <row r="21" spans="1:19" x14ac:dyDescent="0.25">
      <c r="A21" s="213" t="s">
        <v>660</v>
      </c>
      <c r="B21" s="213"/>
      <c r="C21" s="917" t="str">
        <f>IF('Rekenblad (4)'!I445=0," ",CEILING('Rekenblad (4)'!I445,10))</f>
        <v xml:space="preserve"> </v>
      </c>
      <c r="D21" s="44" t="s">
        <v>26</v>
      </c>
      <c r="I21" s="1113" t="s">
        <v>641</v>
      </c>
      <c r="J21" s="1005"/>
      <c r="K21" s="1005"/>
      <c r="L21" s="1114">
        <f>'Rekenblad (4)'!E1084</f>
        <v>4.0816326530612242E-2</v>
      </c>
      <c r="M21" s="1005"/>
      <c r="N21" s="1005"/>
      <c r="O21" s="1115"/>
      <c r="P21" s="615"/>
      <c r="S21" s="958"/>
    </row>
    <row r="22" spans="1:19" x14ac:dyDescent="0.25">
      <c r="I22" s="1119" t="s">
        <v>642</v>
      </c>
      <c r="J22" s="1120"/>
      <c r="K22" s="1120"/>
      <c r="L22" s="1121">
        <f>'Rekenblad (4)'!E1091</f>
        <v>0.15371602040816329</v>
      </c>
      <c r="M22" s="1120"/>
      <c r="N22" s="1120"/>
      <c r="O22" s="1122"/>
    </row>
    <row r="23" spans="1:19" x14ac:dyDescent="0.25">
      <c r="A23" s="213" t="s">
        <v>970</v>
      </c>
      <c r="B23" s="915">
        <f>'Rekenblad (4)'!C1094</f>
        <v>0.59285352763795929</v>
      </c>
      <c r="C23" s="916">
        <f>B17</f>
        <v>490</v>
      </c>
      <c r="D23" s="44" t="s">
        <v>661</v>
      </c>
      <c r="I23" s="1109"/>
      <c r="J23" s="1110"/>
      <c r="K23" s="1110"/>
      <c r="L23" s="1111"/>
      <c r="M23" s="1110"/>
      <c r="N23" s="1110"/>
      <c r="O23" s="1112"/>
    </row>
    <row r="24" spans="1:19" x14ac:dyDescent="0.25">
      <c r="I24" s="1119" t="s">
        <v>985</v>
      </c>
      <c r="J24" s="1120"/>
      <c r="K24" s="1120"/>
      <c r="L24" s="1121">
        <f>'Rekenblad (4)'!E1089</f>
        <v>4.547144853591837E-2</v>
      </c>
      <c r="M24" s="1120"/>
      <c r="N24" s="1120"/>
      <c r="O24" s="1122"/>
    </row>
    <row r="25" spans="1:19" x14ac:dyDescent="0.25">
      <c r="I25" s="1123"/>
      <c r="J25" s="1110"/>
      <c r="K25" s="1110"/>
      <c r="L25" s="1110"/>
      <c r="M25" s="1110"/>
      <c r="N25" s="1110"/>
      <c r="O25" s="1112"/>
    </row>
    <row r="26" spans="1:19" x14ac:dyDescent="0.25">
      <c r="I26" s="1119" t="s">
        <v>651</v>
      </c>
      <c r="J26" s="1120"/>
      <c r="K26" s="1120"/>
      <c r="L26" s="1121">
        <f>'Rekenblad (4)'!E1093</f>
        <v>0.59285352763795929</v>
      </c>
      <c r="M26" s="1120"/>
      <c r="N26" s="1120"/>
      <c r="O26" s="1122"/>
    </row>
    <row r="27" spans="1:19" x14ac:dyDescent="0.25">
      <c r="A27" s="1274" t="s">
        <v>965</v>
      </c>
      <c r="B27" s="1275"/>
      <c r="C27" s="1275"/>
      <c r="D27" s="1276"/>
      <c r="I27" s="1113"/>
      <c r="J27" s="1005"/>
      <c r="K27" s="1005"/>
      <c r="L27" s="1114"/>
      <c r="M27" s="1005"/>
      <c r="N27" s="1005"/>
      <c r="O27" s="1115"/>
    </row>
    <row r="28" spans="1:19" x14ac:dyDescent="0.25">
      <c r="A28" s="944" t="s">
        <v>964</v>
      </c>
      <c r="B28" s="945" t="str">
        <f>IF('Rekenblad (4)'!AV46=1,'Pallet en transport (4)'!D151&amp; " x "&amp;'Pallet en transport (4)'!E151," ")</f>
        <v>1083 x 1200</v>
      </c>
      <c r="C28" s="946" t="s">
        <v>25</v>
      </c>
      <c r="D28" s="947"/>
      <c r="I28" s="1116"/>
      <c r="J28" s="1005"/>
      <c r="K28" s="1005"/>
      <c r="L28" s="1005"/>
      <c r="M28" s="1005"/>
      <c r="N28" s="1005"/>
      <c r="O28" s="1115"/>
    </row>
    <row r="29" spans="1:19" x14ac:dyDescent="0.25">
      <c r="A29" s="41" t="s">
        <v>939</v>
      </c>
      <c r="B29" s="26">
        <f>IF('Rekenblad (4)'!AV46=1,IF('Pallet en transport (4)'!D165=0,0,'Pallet en transport (4)'!D166)," ")</f>
        <v>25</v>
      </c>
      <c r="C29" t="s">
        <v>661</v>
      </c>
      <c r="D29" s="7"/>
      <c r="I29" s="1113"/>
      <c r="J29" s="1005"/>
      <c r="K29" s="1005"/>
      <c r="L29" s="1114"/>
      <c r="M29" s="1005"/>
      <c r="N29" s="1005"/>
      <c r="O29" s="1115"/>
    </row>
    <row r="30" spans="1:19" x14ac:dyDescent="0.25">
      <c r="A30" s="41" t="s">
        <v>943</v>
      </c>
      <c r="B30" s="26">
        <f>IF('Rekenblad (4)'!AV46=1,'Pallet en transport (4)'!D170," ")</f>
        <v>6</v>
      </c>
      <c r="C30" t="s">
        <v>661</v>
      </c>
      <c r="D30" s="7"/>
      <c r="I30" s="1116" t="s">
        <v>1079</v>
      </c>
      <c r="J30" s="1005"/>
      <c r="K30" s="1005"/>
      <c r="L30" s="1005"/>
      <c r="M30" s="1005"/>
      <c r="N30" s="1005"/>
      <c r="O30" s="1115"/>
    </row>
    <row r="31" spans="1:19" x14ac:dyDescent="0.25">
      <c r="A31" s="41" t="s">
        <v>977</v>
      </c>
      <c r="B31" s="26">
        <f>IF('Rekenblad (4)'!AV46=1,'Pallet en transport (4)'!D171," ")</f>
        <v>1800</v>
      </c>
      <c r="C31" t="s">
        <v>661</v>
      </c>
      <c r="D31" s="7"/>
      <c r="I31" s="1117">
        <f>'Rekenblad (4)'!C362</f>
        <v>0</v>
      </c>
      <c r="J31" s="1117">
        <f>'Rekenblad (4)'!D362</f>
        <v>0</v>
      </c>
      <c r="K31" s="1117">
        <f>'Rekenblad (4)'!E362</f>
        <v>1</v>
      </c>
      <c r="L31" s="1117">
        <f>'Rekenblad (4)'!F362</f>
        <v>0</v>
      </c>
      <c r="M31" s="1117">
        <f>'Rekenblad (4)'!G362</f>
        <v>0</v>
      </c>
      <c r="N31" s="1117">
        <f>'Rekenblad (4)'!H362</f>
        <v>0</v>
      </c>
      <c r="O31" s="1117">
        <f>'Rekenblad (4)'!I362</f>
        <v>0</v>
      </c>
    </row>
    <row r="32" spans="1:19" x14ac:dyDescent="0.25">
      <c r="A32" s="41" t="s">
        <v>966</v>
      </c>
      <c r="B32" s="26">
        <f>IF('Rekenblad (4)'!AV46=1,'Pallet en transport (4)'!D160," ")</f>
        <v>1950</v>
      </c>
      <c r="C32" t="s">
        <v>25</v>
      </c>
      <c r="D32" s="7"/>
      <c r="I32" s="1117" t="s">
        <v>66</v>
      </c>
      <c r="J32" s="1117" t="s">
        <v>65</v>
      </c>
      <c r="K32" s="1117" t="s">
        <v>63</v>
      </c>
      <c r="L32" s="1118" t="s">
        <v>64</v>
      </c>
      <c r="M32" s="1117" t="s">
        <v>554</v>
      </c>
      <c r="N32" s="1118" t="s">
        <v>54</v>
      </c>
      <c r="O32" s="1117" t="s">
        <v>67</v>
      </c>
    </row>
    <row r="33" spans="1:4" x14ac:dyDescent="0.25">
      <c r="A33" s="52" t="s">
        <v>978</v>
      </c>
      <c r="B33" s="432">
        <f>IF('Rekenblad (4)'!AV46=1,'Pallet en transport (4)'!D174," ")</f>
        <v>1</v>
      </c>
      <c r="C33" s="918" t="s">
        <v>661</v>
      </c>
      <c r="D33" s="912"/>
    </row>
  </sheetData>
  <mergeCells count="3">
    <mergeCell ref="M19:M20"/>
    <mergeCell ref="N19:O20"/>
    <mergeCell ref="A27:D27"/>
  </mergeCells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4">
        <x14:dataValidation type="list" allowBlank="1" showInputMessage="1" showErrorMessage="1" xr:uid="{8DFF2E20-6BEF-4F3D-9DC9-8D598D89BCE0}">
          <x14:formula1>
            <xm:f>'Rekenblad (4)'!$B$133:$B$136</xm:f>
          </x14:formula1>
          <xm:sqref>B13</xm:sqref>
        </x14:dataValidation>
        <x14:dataValidation type="list" allowBlank="1" showInputMessage="1" showErrorMessage="1" xr:uid="{CD175875-9717-4AAF-A8E6-07701C953BE7}">
          <x14:formula1>
            <xm:f>'Rekenblad (4)'!$B$121:$B$128</xm:f>
          </x14:formula1>
          <xm:sqref>B12</xm:sqref>
        </x14:dataValidation>
        <x14:dataValidation type="list" allowBlank="1" showInputMessage="1" showErrorMessage="1" xr:uid="{AE5A792E-48F4-41E6-93CC-D0594CC98943}">
          <x14:formula1>
            <xm:f>'Rekenblad (4)'!$B$113:$B$116</xm:f>
          </x14:formula1>
          <xm:sqref>B11</xm:sqref>
        </x14:dataValidation>
        <x14:dataValidation type="list" allowBlank="1" showInputMessage="1" showErrorMessage="1" xr:uid="{686D6EB9-AECF-4EB1-8F58-8AFC932306F8}">
          <x14:formula1>
            <xm:f>'Rekenblad (4)'!$B$86:$B$107</xm:f>
          </x14:formula1>
          <xm:sqref>B6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D1A6-FA0E-403F-B9B9-8998C44CFBC2}">
  <dimension ref="A2:BD1572"/>
  <sheetViews>
    <sheetView topLeftCell="A1060" workbookViewId="0">
      <selection activeCell="C1097" sqref="C1097"/>
    </sheetView>
  </sheetViews>
  <sheetFormatPr defaultRowHeight="15" x14ac:dyDescent="0.25"/>
  <cols>
    <col min="1" max="1" customWidth="true" width="17.5703125"/>
    <col min="2" max="2" customWidth="true" style="1" width="44.28515625"/>
    <col min="3" max="3" customWidth="true" width="32.85546875"/>
    <col min="4" max="4" customWidth="true" width="24.7109375"/>
    <col min="5" max="5" customWidth="true" width="19.7109375"/>
    <col min="6" max="6" customWidth="true" width="16.28515625"/>
    <col min="7" max="7" customWidth="true" width="20.5703125"/>
    <col min="8" max="8" customWidth="true" width="25.0"/>
    <col min="9" max="9" customWidth="true" width="23.140625"/>
    <col min="10" max="10" customWidth="true" width="21.7109375"/>
    <col min="11" max="11" customWidth="true" width="20.28515625"/>
    <col min="12" max="12" customWidth="true" width="25.7109375"/>
    <col min="13" max="13" customWidth="true" width="18.7109375"/>
    <col min="14" max="14" customWidth="true" width="19.85546875"/>
    <col min="15" max="15" customWidth="true" width="20.0"/>
    <col min="16" max="16" customWidth="true" width="21.85546875"/>
    <col min="17" max="17" customWidth="true" width="16.42578125"/>
    <col min="18" max="18" customWidth="true" width="22.7109375"/>
    <col min="19" max="19" customWidth="true" width="20.7109375"/>
    <col min="20" max="20" customWidth="true" width="22.7109375"/>
    <col min="21" max="21" customWidth="true" width="16.42578125"/>
    <col min="22" max="22" customWidth="true" width="16.85546875"/>
    <col min="23" max="23" customWidth="true" width="16.0"/>
    <col min="24" max="24" customWidth="true" width="12.5703125"/>
    <col min="25" max="25" bestFit="true" customWidth="true" style="2" width="9.28515625"/>
    <col min="26" max="26" bestFit="true" customWidth="true" width="9.28515625"/>
    <col min="27" max="27" customWidth="true" width="38.0"/>
    <col min="28" max="28" customWidth="true" width="15.7109375"/>
    <col min="29" max="29" customWidth="true" width="11.85546875"/>
    <col min="32" max="32" customWidth="true" width="13.28515625"/>
    <col min="39" max="39" customWidth="true" width="17.0"/>
    <col min="40" max="40" customWidth="true" width="16.85546875"/>
    <col min="43" max="43" customWidth="true" width="10.0"/>
    <col min="44" max="44" customWidth="true" width="13.5703125"/>
    <col min="46" max="46" customWidth="true" width="11.85546875"/>
    <col min="47" max="47" customWidth="true" width="11.7109375"/>
    <col min="48" max="48" customWidth="true" width="16.7109375"/>
    <col min="49" max="49" customWidth="true" width="21.42578125"/>
    <col min="50" max="50" customWidth="true" width="17.0"/>
    <col min="51" max="51" customWidth="true" width="16.85546875"/>
    <col min="52" max="52" customWidth="true" width="20.7109375"/>
  </cols>
  <sheetData>
    <row r="2" spans="2:5" x14ac:dyDescent="0.25">
      <c r="B2" s="1" t="s">
        <v>77</v>
      </c>
      <c r="C2" s="2" t="str">
        <f>'Input (4)'!B6</f>
        <v>0201</v>
      </c>
    </row>
    <row r="3" spans="2:5" x14ac:dyDescent="0.25">
      <c r="B3" s="1" t="s">
        <v>61</v>
      </c>
      <c r="C3" s="2">
        <f>'Input (4)'!B17</f>
        <v>490</v>
      </c>
    </row>
    <row r="4" spans="2:5" x14ac:dyDescent="0.25">
      <c r="B4" s="1" t="s">
        <v>584</v>
      </c>
      <c r="C4" s="2" t="str">
        <f>'Kwaliteit conversie (4)'!B4</f>
        <v>B</v>
      </c>
    </row>
    <row r="5" spans="2:5" x14ac:dyDescent="0.25">
      <c r="C5" s="2"/>
    </row>
    <row r="6" spans="2:5" x14ac:dyDescent="0.25">
      <c r="B6" s="1" t="s">
        <v>9</v>
      </c>
      <c r="C6" s="2">
        <f>'Input (4)'!B7</f>
        <v>300</v>
      </c>
    </row>
    <row r="7" spans="2:5" x14ac:dyDescent="0.25">
      <c r="B7" s="1" t="s">
        <v>10</v>
      </c>
      <c r="C7" s="2">
        <f>'Input (4)'!B8</f>
        <v>250</v>
      </c>
    </row>
    <row r="8" spans="2:5" x14ac:dyDescent="0.25">
      <c r="B8" s="1" t="s">
        <v>11</v>
      </c>
      <c r="C8" s="2">
        <f>'Input (4)'!B9</f>
        <v>100</v>
      </c>
    </row>
    <row r="9" spans="2:5" x14ac:dyDescent="0.25">
      <c r="B9" s="1" t="s">
        <v>152</v>
      </c>
      <c r="C9" s="2">
        <f>IF(SUM(D1072:D1074)=3,1,0)</f>
        <v>1</v>
      </c>
    </row>
    <row r="10" spans="2:5" x14ac:dyDescent="0.25">
      <c r="B10" s="1" t="s">
        <v>156</v>
      </c>
      <c r="C10" s="2">
        <f>IF(AND(E1071=1,C6&gt;=C7),1,IF(E1071=0,1,0))</f>
        <v>1</v>
      </c>
      <c r="D10" s="2"/>
      <c r="E10" s="2"/>
    </row>
    <row r="11" spans="2:5" x14ac:dyDescent="0.25">
      <c r="C11" s="2"/>
      <c r="D11" s="2"/>
      <c r="E11" s="2"/>
    </row>
    <row r="12" spans="2:5" x14ac:dyDescent="0.25">
      <c r="B12" s="1" t="s">
        <v>7</v>
      </c>
      <c r="C12" s="2">
        <f>E145</f>
        <v>2</v>
      </c>
    </row>
    <row r="13" spans="2:5" x14ac:dyDescent="0.25">
      <c r="B13" s="1" t="s">
        <v>47</v>
      </c>
      <c r="C13" s="2">
        <f>F145</f>
        <v>3</v>
      </c>
    </row>
    <row r="14" spans="2:5" x14ac:dyDescent="0.25">
      <c r="B14" s="1" t="s">
        <v>80</v>
      </c>
      <c r="C14" s="2" t="str">
        <f>'Input (4)'!B11</f>
        <v>onbedrukt</v>
      </c>
    </row>
    <row r="15" spans="2:5" x14ac:dyDescent="0.25">
      <c r="B15" s="1" t="s">
        <v>83</v>
      </c>
      <c r="C15" s="59" t="str">
        <f>'Input (4)'!B12</f>
        <v>Onbedrukt / minder dan 10%</v>
      </c>
    </row>
    <row r="16" spans="2:5" x14ac:dyDescent="0.25">
      <c r="B16" s="1" t="s">
        <v>94</v>
      </c>
      <c r="C16" s="59" t="str">
        <f>'Input (4)'!B13</f>
        <v>geen handgrepen / stansbewerking</v>
      </c>
    </row>
    <row r="17" spans="1:13" x14ac:dyDescent="0.25">
      <c r="B17" s="1" t="s">
        <v>79</v>
      </c>
      <c r="C17" s="2">
        <f>IF(AND('Input (4)'!B15&gt;0,'Input (4)'!B15&lt;2100),'Input (4)'!B15,2100)</f>
        <v>2100</v>
      </c>
      <c r="D17" t="s">
        <v>25</v>
      </c>
    </row>
    <row r="18" spans="1:13" x14ac:dyDescent="0.25">
      <c r="C18" s="2"/>
    </row>
    <row r="19" spans="1:13" x14ac:dyDescent="0.25">
      <c r="B19" s="286" t="s">
        <v>205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3" x14ac:dyDescent="0.25">
      <c r="B20" s="208">
        <f>IF(AND($C$6&gt;B21,$C$6&lt;=B22),1,0)</f>
        <v>0</v>
      </c>
      <c r="C20" s="208">
        <f t="shared" ref="C20:L20" si="0">IF(AND($C$6&gt;C21,$C$6&lt;=C22),1,0)</f>
        <v>0</v>
      </c>
      <c r="D20" s="208">
        <f t="shared" si="0"/>
        <v>1</v>
      </c>
      <c r="E20" s="208">
        <f t="shared" si="0"/>
        <v>0</v>
      </c>
      <c r="F20" s="208">
        <f t="shared" si="0"/>
        <v>0</v>
      </c>
      <c r="G20" s="208">
        <f t="shared" si="0"/>
        <v>0</v>
      </c>
      <c r="H20" s="208">
        <f t="shared" si="0"/>
        <v>0</v>
      </c>
      <c r="I20" s="208">
        <f t="shared" si="0"/>
        <v>0</v>
      </c>
      <c r="J20" s="208">
        <f t="shared" si="0"/>
        <v>0</v>
      </c>
      <c r="K20" s="208">
        <f t="shared" si="0"/>
        <v>0</v>
      </c>
      <c r="L20" s="216">
        <f t="shared" si="0"/>
        <v>0</v>
      </c>
    </row>
    <row r="21" spans="1:13" x14ac:dyDescent="0.25">
      <c r="B21" s="40">
        <v>0</v>
      </c>
      <c r="C21" s="40">
        <v>200</v>
      </c>
      <c r="D21" s="40">
        <v>250</v>
      </c>
      <c r="E21" s="40">
        <v>300</v>
      </c>
      <c r="F21" s="40">
        <v>350</v>
      </c>
      <c r="G21" s="40">
        <v>400</v>
      </c>
      <c r="H21" s="40">
        <v>500</v>
      </c>
      <c r="I21" s="40">
        <v>600</v>
      </c>
      <c r="J21" s="40">
        <v>750</v>
      </c>
      <c r="K21" s="40">
        <v>1000</v>
      </c>
      <c r="L21" s="40">
        <v>1250</v>
      </c>
    </row>
    <row r="22" spans="1:13" x14ac:dyDescent="0.25">
      <c r="B22" s="34">
        <v>200</v>
      </c>
      <c r="C22" s="34">
        <v>250</v>
      </c>
      <c r="D22" s="34">
        <v>300</v>
      </c>
      <c r="E22" s="34">
        <v>350</v>
      </c>
      <c r="F22" s="34">
        <v>400</v>
      </c>
      <c r="G22" s="34">
        <v>500</v>
      </c>
      <c r="H22" s="34">
        <v>600</v>
      </c>
      <c r="I22" s="34">
        <v>750</v>
      </c>
      <c r="J22" s="34">
        <v>1000</v>
      </c>
      <c r="K22" s="34">
        <v>1250</v>
      </c>
      <c r="L22" s="34">
        <v>99999</v>
      </c>
    </row>
    <row r="23" spans="1:13" x14ac:dyDescent="0.25">
      <c r="A23" t="s">
        <v>202</v>
      </c>
      <c r="B23" s="219">
        <v>60</v>
      </c>
      <c r="C23" s="219">
        <v>65</v>
      </c>
      <c r="D23" s="219">
        <v>70</v>
      </c>
      <c r="E23" s="219">
        <v>75</v>
      </c>
      <c r="F23" s="219">
        <v>80</v>
      </c>
      <c r="G23" s="219">
        <v>85</v>
      </c>
      <c r="H23" s="219">
        <v>90</v>
      </c>
      <c r="I23" s="219">
        <v>95</v>
      </c>
      <c r="J23" s="219">
        <v>100</v>
      </c>
      <c r="K23" s="219">
        <v>105</v>
      </c>
      <c r="L23" s="219">
        <v>110</v>
      </c>
      <c r="M23" s="216">
        <f>HLOOKUP(1,B20:L24,4,FALSE)</f>
        <v>70</v>
      </c>
    </row>
    <row r="24" spans="1:13" x14ac:dyDescent="0.25">
      <c r="A24" t="s">
        <v>203</v>
      </c>
      <c r="B24" s="283" t="s">
        <v>204</v>
      </c>
      <c r="C24" s="219">
        <v>40</v>
      </c>
      <c r="D24" s="219">
        <v>40</v>
      </c>
      <c r="E24" s="219">
        <v>40</v>
      </c>
      <c r="F24" s="219">
        <v>40</v>
      </c>
      <c r="G24" s="219">
        <v>40</v>
      </c>
      <c r="H24" s="219">
        <v>40</v>
      </c>
      <c r="I24" s="219">
        <v>40</v>
      </c>
      <c r="J24" s="219">
        <v>50</v>
      </c>
      <c r="K24" s="219">
        <v>50</v>
      </c>
      <c r="L24" s="219">
        <v>60</v>
      </c>
      <c r="M24" s="13">
        <f>HLOOKUP(1,B20:L24,5,FALSE)</f>
        <v>40</v>
      </c>
    </row>
    <row r="25" spans="1:13" x14ac:dyDescent="0.25">
      <c r="C25" s="2"/>
    </row>
    <row r="26" spans="1:13" x14ac:dyDescent="0.25">
      <c r="B26" s="215" t="s">
        <v>208</v>
      </c>
      <c r="C26" s="2"/>
    </row>
    <row r="27" spans="1:13" x14ac:dyDescent="0.25">
      <c r="B27" s="291"/>
      <c r="C27" s="1283" t="s">
        <v>206</v>
      </c>
      <c r="D27" s="1284"/>
      <c r="E27" s="105" t="s">
        <v>207</v>
      </c>
    </row>
    <row r="28" spans="1:13" x14ac:dyDescent="0.25">
      <c r="B28" s="156">
        <f>IF(AND($C$6&gt;C28,$C$6&lt;=D28),1,0)</f>
        <v>1</v>
      </c>
      <c r="C28" s="27">
        <v>0</v>
      </c>
      <c r="D28" s="288">
        <v>400</v>
      </c>
      <c r="E28" s="40">
        <v>37</v>
      </c>
    </row>
    <row r="29" spans="1:13" x14ac:dyDescent="0.25">
      <c r="B29" s="120">
        <f t="shared" ref="B29:B39" si="1">IF(AND($C$6&gt;C29,$C$6&lt;=D29),1,0)</f>
        <v>0</v>
      </c>
      <c r="C29" s="22">
        <v>400</v>
      </c>
      <c r="D29" s="261">
        <v>450</v>
      </c>
      <c r="E29" s="28">
        <v>40</v>
      </c>
    </row>
    <row r="30" spans="1:13" x14ac:dyDescent="0.25">
      <c r="B30" s="120">
        <f t="shared" si="1"/>
        <v>0</v>
      </c>
      <c r="C30" s="22">
        <v>450</v>
      </c>
      <c r="D30" s="261">
        <v>500</v>
      </c>
      <c r="E30" s="28">
        <v>43</v>
      </c>
    </row>
    <row r="31" spans="1:13" x14ac:dyDescent="0.25">
      <c r="B31" s="120">
        <f t="shared" si="1"/>
        <v>0</v>
      </c>
      <c r="C31" s="22">
        <v>500</v>
      </c>
      <c r="D31" s="261">
        <v>550</v>
      </c>
      <c r="E31" s="28">
        <v>47</v>
      </c>
    </row>
    <row r="32" spans="1:13" x14ac:dyDescent="0.25">
      <c r="B32" s="120">
        <f t="shared" si="1"/>
        <v>0</v>
      </c>
      <c r="C32" s="22">
        <v>550</v>
      </c>
      <c r="D32" s="261">
        <v>600</v>
      </c>
      <c r="E32" s="28">
        <v>50</v>
      </c>
    </row>
    <row r="33" spans="1:52" x14ac:dyDescent="0.25">
      <c r="B33" s="120">
        <f t="shared" si="1"/>
        <v>0</v>
      </c>
      <c r="C33" s="22">
        <v>600</v>
      </c>
      <c r="D33" s="261">
        <v>650</v>
      </c>
      <c r="E33" s="28">
        <v>54</v>
      </c>
    </row>
    <row r="34" spans="1:52" x14ac:dyDescent="0.25">
      <c r="B34" s="120">
        <f t="shared" si="1"/>
        <v>0</v>
      </c>
      <c r="C34" s="22">
        <v>650</v>
      </c>
      <c r="D34" s="261">
        <v>700</v>
      </c>
      <c r="E34" s="28">
        <v>57</v>
      </c>
    </row>
    <row r="35" spans="1:52" x14ac:dyDescent="0.25">
      <c r="B35" s="120">
        <f t="shared" si="1"/>
        <v>0</v>
      </c>
      <c r="C35" s="22">
        <v>700</v>
      </c>
      <c r="D35" s="261">
        <v>850</v>
      </c>
      <c r="E35" s="28">
        <v>60</v>
      </c>
    </row>
    <row r="36" spans="1:52" x14ac:dyDescent="0.25">
      <c r="B36" s="120">
        <f t="shared" si="1"/>
        <v>0</v>
      </c>
      <c r="C36" s="22">
        <v>850</v>
      </c>
      <c r="D36" s="261">
        <v>1000</v>
      </c>
      <c r="E36" s="28">
        <v>70</v>
      </c>
    </row>
    <row r="37" spans="1:52" x14ac:dyDescent="0.25">
      <c r="B37" s="120">
        <f t="shared" si="1"/>
        <v>0</v>
      </c>
      <c r="C37" s="22">
        <v>1000</v>
      </c>
      <c r="D37" s="261">
        <v>1200</v>
      </c>
      <c r="E37" s="28">
        <v>80</v>
      </c>
    </row>
    <row r="38" spans="1:52" x14ac:dyDescent="0.25">
      <c r="B38" s="120">
        <f t="shared" si="1"/>
        <v>0</v>
      </c>
      <c r="C38" s="22">
        <v>1200</v>
      </c>
      <c r="D38" s="261">
        <v>2000</v>
      </c>
      <c r="E38" s="28">
        <v>95</v>
      </c>
    </row>
    <row r="39" spans="1:52" x14ac:dyDescent="0.25">
      <c r="B39" s="202">
        <f t="shared" si="1"/>
        <v>0</v>
      </c>
      <c r="C39" s="32">
        <v>2000</v>
      </c>
      <c r="D39" s="229">
        <v>9999</v>
      </c>
      <c r="E39" s="34">
        <v>110</v>
      </c>
    </row>
    <row r="40" spans="1:52" x14ac:dyDescent="0.25">
      <c r="B40" s="77"/>
      <c r="C40" s="2"/>
      <c r="D40" s="77"/>
    </row>
    <row r="41" spans="1:52" x14ac:dyDescent="0.25">
      <c r="B41" s="289" t="s">
        <v>106</v>
      </c>
      <c r="C41" s="23"/>
      <c r="D41" s="290"/>
      <c r="E41" s="216">
        <f>VLOOKUP(1,B28:E39,4,FALSE)</f>
        <v>37</v>
      </c>
    </row>
    <row r="42" spans="1:52" x14ac:dyDescent="0.25">
      <c r="C42" s="2"/>
    </row>
    <row r="43" spans="1:52" x14ac:dyDescent="0.25">
      <c r="C43" s="2"/>
    </row>
    <row r="44" spans="1:52" x14ac:dyDescent="0.25">
      <c r="A44" s="213"/>
      <c r="B44" s="57"/>
      <c r="C44" s="2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23"/>
      <c r="Z44" s="43"/>
      <c r="AA44" s="43"/>
      <c r="AB44" s="43"/>
      <c r="AC44" s="43"/>
      <c r="AD44" s="43"/>
      <c r="AE44" s="43"/>
      <c r="AF44" s="44"/>
      <c r="AG44" s="1285" t="s">
        <v>159</v>
      </c>
      <c r="AH44" s="1286"/>
      <c r="AI44" s="1286"/>
      <c r="AJ44" s="1286"/>
      <c r="AK44" s="1286"/>
      <c r="AL44" s="1286"/>
      <c r="AM44" s="1286"/>
      <c r="AN44" s="217"/>
      <c r="AO44" s="1285" t="s">
        <v>159</v>
      </c>
      <c r="AP44" s="1286"/>
      <c r="AQ44" s="472"/>
      <c r="AR44" s="472"/>
      <c r="AS44" s="472"/>
      <c r="AT44" s="472"/>
      <c r="AU44" s="950"/>
      <c r="AV44" s="404"/>
      <c r="AW44" s="404"/>
      <c r="AX44" s="404"/>
      <c r="AY44" s="944"/>
      <c r="AZ44" s="944"/>
    </row>
    <row r="45" spans="1:52" s="2" customFormat="1" x14ac:dyDescent="0.25">
      <c r="A45" s="24"/>
      <c r="B45" s="58" t="s">
        <v>78</v>
      </c>
      <c r="C45" s="23">
        <v>3</v>
      </c>
      <c r="D45" s="23">
        <v>4</v>
      </c>
      <c r="E45" s="23">
        <v>5</v>
      </c>
      <c r="F45" s="23">
        <v>6</v>
      </c>
      <c r="G45" s="23">
        <v>7</v>
      </c>
      <c r="H45" s="23">
        <v>8</v>
      </c>
      <c r="I45" s="23">
        <v>9</v>
      </c>
      <c r="J45" s="23">
        <v>10</v>
      </c>
      <c r="K45" s="23">
        <v>11</v>
      </c>
      <c r="L45" s="23">
        <v>12</v>
      </c>
      <c r="M45" s="23">
        <v>13</v>
      </c>
      <c r="N45" s="23">
        <v>14</v>
      </c>
      <c r="O45" s="23">
        <v>15</v>
      </c>
      <c r="P45" s="23">
        <v>16</v>
      </c>
      <c r="Q45" s="23">
        <v>17</v>
      </c>
      <c r="R45" s="23">
        <v>18</v>
      </c>
      <c r="S45" s="23">
        <v>19</v>
      </c>
      <c r="T45" s="4">
        <v>20</v>
      </c>
      <c r="U45" s="4">
        <v>21</v>
      </c>
      <c r="V45" s="4">
        <v>22</v>
      </c>
      <c r="W45" s="4">
        <v>23</v>
      </c>
      <c r="X45" s="4">
        <v>24</v>
      </c>
      <c r="Y45" s="23">
        <v>25</v>
      </c>
      <c r="Z45" s="23">
        <v>26</v>
      </c>
      <c r="AA45" s="23">
        <v>27</v>
      </c>
      <c r="AB45" s="23">
        <v>28</v>
      </c>
      <c r="AC45" s="23">
        <v>29</v>
      </c>
      <c r="AD45" s="23">
        <v>30</v>
      </c>
      <c r="AE45" s="23">
        <v>31</v>
      </c>
      <c r="AF45" s="23">
        <v>32</v>
      </c>
      <c r="AG45" s="4">
        <v>33</v>
      </c>
      <c r="AH45" s="4">
        <v>34</v>
      </c>
      <c r="AI45" s="23">
        <v>35</v>
      </c>
      <c r="AJ45" s="23">
        <v>36</v>
      </c>
      <c r="AK45" s="23">
        <v>37</v>
      </c>
      <c r="AL45" s="23">
        <v>38</v>
      </c>
      <c r="AM45" s="23">
        <v>39</v>
      </c>
      <c r="AN45" s="2">
        <v>40</v>
      </c>
      <c r="AO45" s="2">
        <v>41</v>
      </c>
      <c r="AP45" s="2">
        <v>42</v>
      </c>
      <c r="AQ45" s="2">
        <v>43</v>
      </c>
      <c r="AR45" s="2">
        <v>44</v>
      </c>
      <c r="AS45" s="2">
        <v>45</v>
      </c>
      <c r="AT45" s="2">
        <v>46</v>
      </c>
      <c r="AU45" s="2">
        <v>47</v>
      </c>
      <c r="AV45" s="442">
        <v>48</v>
      </c>
      <c r="AW45" s="951">
        <v>49</v>
      </c>
      <c r="AX45" s="951">
        <v>50</v>
      </c>
      <c r="AY45" s="951">
        <v>51</v>
      </c>
      <c r="AZ45" s="951">
        <v>52</v>
      </c>
    </row>
    <row r="46" spans="1:52" x14ac:dyDescent="0.25">
      <c r="A46" s="17"/>
      <c r="B46" s="42"/>
      <c r="C46" s="24">
        <f>C6</f>
        <v>300</v>
      </c>
      <c r="D46" s="23">
        <f>C7</f>
        <v>250</v>
      </c>
      <c r="E46" s="23">
        <f>C8</f>
        <v>100</v>
      </c>
      <c r="F46" s="23">
        <f>C13</f>
        <v>3</v>
      </c>
      <c r="G46" s="23"/>
      <c r="H46" s="23"/>
      <c r="I46" s="23">
        <f>C12</f>
        <v>2</v>
      </c>
      <c r="J46" s="38"/>
      <c r="K46" s="24">
        <f>C6</f>
        <v>300</v>
      </c>
      <c r="L46" s="23">
        <f>C7</f>
        <v>250</v>
      </c>
      <c r="M46" s="23">
        <f>C8</f>
        <v>100</v>
      </c>
      <c r="N46" s="23">
        <f>C13</f>
        <v>3</v>
      </c>
      <c r="O46" s="23"/>
      <c r="P46" s="23"/>
      <c r="Q46" s="23">
        <f>C12</f>
        <v>2</v>
      </c>
      <c r="R46" s="38"/>
      <c r="S46" s="24"/>
      <c r="T46" s="208">
        <f>VLOOKUP(1,50:70,T45,FALSE)</f>
        <v>1</v>
      </c>
      <c r="U46" s="23">
        <f>VLOOKUP(1,50:70,U45,FALSE)</f>
        <v>1</v>
      </c>
      <c r="V46" s="23">
        <f>VLOOKUP(1,50:70,V45,FALSE)</f>
        <v>0</v>
      </c>
      <c r="W46" s="23">
        <f>VLOOKUP(1,50:70,W45,FALSE)</f>
        <v>0</v>
      </c>
      <c r="X46" s="38">
        <f>VLOOKUP(1,50:70,X45,FALSE)</f>
        <v>0</v>
      </c>
      <c r="Y46" s="43"/>
      <c r="Z46" s="38"/>
      <c r="AA46" s="38">
        <f t="shared" ref="AA46:AU46" si="2">VLOOKUP(1,50:70,AA45,FALSE)</f>
        <v>1</v>
      </c>
      <c r="AB46" s="38">
        <f t="shared" si="2"/>
        <v>1</v>
      </c>
      <c r="AC46" s="24">
        <f t="shared" si="2"/>
        <v>0</v>
      </c>
      <c r="AD46" s="24">
        <f t="shared" si="2"/>
        <v>127</v>
      </c>
      <c r="AE46" s="19">
        <f t="shared" si="2"/>
        <v>127</v>
      </c>
      <c r="AF46" s="18">
        <f t="shared" si="2"/>
        <v>107</v>
      </c>
      <c r="AG46" s="208">
        <f t="shared" si="2"/>
        <v>100</v>
      </c>
      <c r="AH46" s="38">
        <f t="shared" si="2"/>
        <v>2000</v>
      </c>
      <c r="AI46" s="19">
        <f t="shared" si="2"/>
        <v>70</v>
      </c>
      <c r="AJ46" s="19">
        <f t="shared" si="2"/>
        <v>1000</v>
      </c>
      <c r="AK46" s="18">
        <f t="shared" si="2"/>
        <v>37</v>
      </c>
      <c r="AL46" s="20">
        <f t="shared" si="2"/>
        <v>1200</v>
      </c>
      <c r="AM46" s="208">
        <f t="shared" si="2"/>
        <v>1</v>
      </c>
      <c r="AN46" s="208">
        <f t="shared" si="2"/>
        <v>4</v>
      </c>
      <c r="AO46" s="208">
        <f t="shared" si="2"/>
        <v>0</v>
      </c>
      <c r="AP46" s="208">
        <f t="shared" si="2"/>
        <v>0</v>
      </c>
      <c r="AQ46" s="208">
        <f t="shared" si="2"/>
        <v>1</v>
      </c>
      <c r="AR46" s="208">
        <f t="shared" si="2"/>
        <v>1</v>
      </c>
      <c r="AS46" s="208">
        <f t="shared" si="2"/>
        <v>1</v>
      </c>
      <c r="AT46" s="208">
        <f t="shared" si="2"/>
        <v>0</v>
      </c>
      <c r="AU46" s="1006">
        <f t="shared" si="2"/>
        <v>0</v>
      </c>
      <c r="AV46" s="951">
        <f>VLOOKUP(1,50:70,AV45,FALSE)</f>
        <v>1</v>
      </c>
      <c r="AW46" s="951" t="str">
        <f>VLOOKUP(1,50:70,AW45,FALSE)</f>
        <v>0,2</v>
      </c>
      <c r="AX46" s="951">
        <f>VLOOKUP(1,50:70,AX45,FALSE)</f>
        <v>1</v>
      </c>
      <c r="AY46" s="1029">
        <f>VLOOKUP(1,50:70,AY45,FALSE)</f>
        <v>0.9</v>
      </c>
      <c r="AZ46" s="1098">
        <f>VLOOKUP(1,50:70,AZ45,FALSE)</f>
        <v>1</v>
      </c>
    </row>
    <row r="47" spans="1:52" x14ac:dyDescent="0.25">
      <c r="A47" s="17"/>
      <c r="B47" s="39"/>
      <c r="C47" s="16" t="s">
        <v>23</v>
      </c>
      <c r="D47" s="43"/>
      <c r="E47" s="43"/>
      <c r="F47" s="43"/>
      <c r="G47" s="43"/>
      <c r="H47" s="43"/>
      <c r="I47" s="43"/>
      <c r="J47" s="44"/>
      <c r="K47" s="16" t="s">
        <v>24</v>
      </c>
      <c r="L47" s="43"/>
      <c r="M47" s="43"/>
      <c r="N47" s="43"/>
      <c r="O47" s="43"/>
      <c r="P47" s="43"/>
      <c r="Q47" s="43"/>
      <c r="R47" s="44"/>
      <c r="S47" s="24" t="s">
        <v>48</v>
      </c>
      <c r="T47" s="6" t="s">
        <v>53</v>
      </c>
      <c r="X47" s="7"/>
      <c r="Y47" s="43"/>
      <c r="Z47" s="38"/>
      <c r="AA47" s="13" t="s">
        <v>68</v>
      </c>
      <c r="AB47" s="13" t="s">
        <v>72</v>
      </c>
      <c r="AC47" s="51" t="s">
        <v>74</v>
      </c>
      <c r="AD47" s="1290" t="s">
        <v>117</v>
      </c>
      <c r="AE47" s="1291"/>
      <c r="AF47" s="21" t="s">
        <v>116</v>
      </c>
      <c r="AG47" s="18" t="s">
        <v>9</v>
      </c>
      <c r="AH47" s="10"/>
      <c r="AI47" s="16" t="s">
        <v>18</v>
      </c>
      <c r="AJ47" s="44"/>
      <c r="AK47" s="16" t="s">
        <v>19</v>
      </c>
      <c r="AL47" s="44"/>
      <c r="AM47" s="18" t="s">
        <v>154</v>
      </c>
      <c r="AN47" s="217" t="s">
        <v>165</v>
      </c>
      <c r="AO47" s="473" t="s">
        <v>983</v>
      </c>
      <c r="AP47" s="213" t="s">
        <v>530</v>
      </c>
      <c r="AQ47" s="473" t="s">
        <v>575</v>
      </c>
      <c r="AR47" s="473" t="s">
        <v>583</v>
      </c>
      <c r="AS47" s="473" t="s">
        <v>695</v>
      </c>
      <c r="AT47" s="473" t="s">
        <v>755</v>
      </c>
      <c r="AU47" s="1006" t="s">
        <v>871</v>
      </c>
      <c r="AV47" s="959"/>
      <c r="AW47" s="959"/>
      <c r="AX47" s="13" t="s">
        <v>1011</v>
      </c>
      <c r="AY47" s="52"/>
      <c r="AZ47" s="52"/>
    </row>
    <row r="48" spans="1:52" x14ac:dyDescent="0.25">
      <c r="A48" s="51"/>
      <c r="B48" s="35" t="s">
        <v>2</v>
      </c>
      <c r="C48" s="3" t="s">
        <v>9</v>
      </c>
      <c r="D48" s="4" t="s">
        <v>18</v>
      </c>
      <c r="E48" s="4" t="s">
        <v>19</v>
      </c>
      <c r="F48" s="4" t="s">
        <v>21</v>
      </c>
      <c r="G48" s="4" t="s">
        <v>22</v>
      </c>
      <c r="H48" s="4" t="s">
        <v>55</v>
      </c>
      <c r="I48" s="4" t="s">
        <v>20</v>
      </c>
      <c r="J48" s="11" t="s">
        <v>57</v>
      </c>
      <c r="K48" s="3" t="s">
        <v>9</v>
      </c>
      <c r="L48" s="4" t="s">
        <v>18</v>
      </c>
      <c r="M48" s="4" t="s">
        <v>19</v>
      </c>
      <c r="N48" s="4" t="s">
        <v>21</v>
      </c>
      <c r="O48" s="4" t="s">
        <v>22</v>
      </c>
      <c r="P48" s="4" t="s">
        <v>55</v>
      </c>
      <c r="Q48" s="4" t="s">
        <v>20</v>
      </c>
      <c r="R48" s="11" t="s">
        <v>58</v>
      </c>
      <c r="S48" s="11"/>
      <c r="T48" s="3" t="s">
        <v>50</v>
      </c>
      <c r="U48" s="4" t="s">
        <v>51</v>
      </c>
      <c r="V48" s="4" t="s">
        <v>52</v>
      </c>
      <c r="W48" s="4" t="s">
        <v>54</v>
      </c>
      <c r="X48" s="5" t="s">
        <v>67</v>
      </c>
      <c r="Y48" s="3" t="s">
        <v>59</v>
      </c>
      <c r="Z48" s="5" t="s">
        <v>62</v>
      </c>
      <c r="AA48" s="11" t="s">
        <v>69</v>
      </c>
      <c r="AB48" s="3" t="s">
        <v>69</v>
      </c>
      <c r="AC48" s="11" t="s">
        <v>69</v>
      </c>
      <c r="AD48" s="11" t="s">
        <v>75</v>
      </c>
      <c r="AE48" s="3" t="s">
        <v>76</v>
      </c>
      <c r="AF48" s="12"/>
      <c r="AG48" s="3" t="s">
        <v>113</v>
      </c>
      <c r="AH48" s="11" t="s">
        <v>112</v>
      </c>
      <c r="AI48" s="3" t="s">
        <v>111</v>
      </c>
      <c r="AJ48" s="11" t="s">
        <v>110</v>
      </c>
      <c r="AK48" s="4" t="s">
        <v>149</v>
      </c>
      <c r="AL48" s="11" t="s">
        <v>110</v>
      </c>
      <c r="AM48" s="3" t="s">
        <v>155</v>
      </c>
      <c r="AN48" s="12" t="s">
        <v>66</v>
      </c>
      <c r="AO48" s="41"/>
      <c r="AP48" s="6"/>
      <c r="AQ48" s="12" t="s">
        <v>187</v>
      </c>
      <c r="AR48" s="12" t="s">
        <v>178</v>
      </c>
      <c r="AS48" s="12" t="s">
        <v>51</v>
      </c>
      <c r="AT48" s="12" t="s">
        <v>50</v>
      </c>
      <c r="AU48" s="26" t="s">
        <v>2</v>
      </c>
      <c r="AV48" s="404" t="s">
        <v>996</v>
      </c>
      <c r="AW48" s="12" t="s">
        <v>1003</v>
      </c>
      <c r="AX48" s="41"/>
      <c r="AY48" s="1062" t="s">
        <v>1046</v>
      </c>
      <c r="AZ48" s="41" t="s">
        <v>1060</v>
      </c>
    </row>
    <row r="49" spans="1:56" x14ac:dyDescent="0.25">
      <c r="A49" s="41"/>
      <c r="B49" s="36"/>
      <c r="C49" s="6"/>
      <c r="J49" s="41"/>
      <c r="K49" s="6"/>
      <c r="R49" s="41"/>
      <c r="S49" s="12"/>
      <c r="T49" s="6"/>
      <c r="X49" s="7"/>
      <c r="Y49" s="26"/>
      <c r="Z49" s="25"/>
      <c r="AA49" s="41"/>
      <c r="AB49" s="6"/>
      <c r="AC49" s="41"/>
      <c r="AD49" s="41"/>
      <c r="AE49" s="6"/>
      <c r="AF49" s="12"/>
      <c r="AG49" s="6"/>
      <c r="AH49" s="41"/>
      <c r="AI49" s="6"/>
      <c r="AJ49" s="41"/>
      <c r="AL49" s="41"/>
      <c r="AM49" s="6"/>
      <c r="AN49" s="41"/>
      <c r="AO49" s="41"/>
      <c r="AP49" s="6"/>
      <c r="AQ49" s="41"/>
      <c r="AR49" s="41"/>
      <c r="AS49" s="41"/>
      <c r="AT49" s="41"/>
      <c r="AU49" s="6"/>
      <c r="AV49" s="41"/>
      <c r="AW49" s="41"/>
      <c r="AX49" s="41"/>
      <c r="AY49" s="41"/>
      <c r="AZ49" s="41"/>
    </row>
    <row r="50" spans="1:56" x14ac:dyDescent="0.25">
      <c r="A50" s="12" t="str">
        <f>IF($C$2=B50,1," ")</f>
        <v xml:space="preserve"> </v>
      </c>
      <c r="B50" s="36" t="s">
        <v>12</v>
      </c>
      <c r="C50" s="29">
        <v>1</v>
      </c>
      <c r="D50" s="22"/>
      <c r="E50" s="22"/>
      <c r="F50" s="22"/>
      <c r="G50" s="22"/>
      <c r="H50" s="45"/>
      <c r="I50" s="22"/>
      <c r="J50" s="12">
        <f>(C50*$C$46)+(D50*$D$46)+(E50*$E$46)+(F50*$F$46)+(I50*$I$46)+(G50*H50)</f>
        <v>300</v>
      </c>
      <c r="K50" s="29"/>
      <c r="L50" s="22">
        <v>1</v>
      </c>
      <c r="M50" s="22"/>
      <c r="N50" s="22"/>
      <c r="O50" s="22"/>
      <c r="P50" s="45"/>
      <c r="Q50" s="22"/>
      <c r="R50" s="12">
        <f>(K50*$K$46)+(L50*$L$46)+(M50*$M$46)+(N50*$N$46)+(Q50*$Q$46)+(O50*P50)</f>
        <v>250</v>
      </c>
      <c r="S50" s="28">
        <v>1</v>
      </c>
      <c r="T50" s="29">
        <v>1</v>
      </c>
      <c r="U50" s="22">
        <v>1</v>
      </c>
      <c r="V50" s="22"/>
      <c r="W50" s="22">
        <v>1</v>
      </c>
      <c r="X50" s="30">
        <v>1</v>
      </c>
      <c r="Y50" s="47">
        <f t="shared" ref="Y50:Y70" si="3">(J50/1000)*(R50/1000)</f>
        <v>7.4999999999999997E-2</v>
      </c>
      <c r="Z50" s="49">
        <f>Y50*$C$3</f>
        <v>36.75</v>
      </c>
      <c r="AA50" s="28">
        <v>0</v>
      </c>
      <c r="AB50" s="29">
        <v>0</v>
      </c>
      <c r="AC50" s="28">
        <v>0</v>
      </c>
      <c r="AD50" s="28"/>
      <c r="AE50" s="29"/>
      <c r="AF50" s="12"/>
      <c r="AG50" s="29">
        <v>65</v>
      </c>
      <c r="AH50" s="28">
        <v>2000</v>
      </c>
      <c r="AI50" s="29">
        <v>65</v>
      </c>
      <c r="AJ50" s="28">
        <v>5000</v>
      </c>
      <c r="AK50" s="22">
        <v>0</v>
      </c>
      <c r="AL50" s="28">
        <v>0</v>
      </c>
      <c r="AM50" s="29">
        <v>0</v>
      </c>
      <c r="AN50" s="28">
        <v>4</v>
      </c>
      <c r="AO50" s="28">
        <v>0</v>
      </c>
      <c r="AP50" s="29">
        <v>0</v>
      </c>
      <c r="AQ50" s="28">
        <v>0</v>
      </c>
      <c r="AR50" s="28">
        <v>0</v>
      </c>
      <c r="AS50" s="28">
        <v>0</v>
      </c>
      <c r="AT50" s="28">
        <v>0</v>
      </c>
      <c r="AU50" s="810">
        <v>0</v>
      </c>
      <c r="AV50" s="28">
        <v>1</v>
      </c>
      <c r="AW50" s="1033" t="s">
        <v>1027</v>
      </c>
      <c r="AX50" s="28">
        <v>0</v>
      </c>
      <c r="AY50" s="639">
        <v>0.9</v>
      </c>
      <c r="AZ50" s="557">
        <v>0</v>
      </c>
      <c r="BD50" s="1" t="s">
        <v>12</v>
      </c>
    </row>
    <row r="51" spans="1:56" x14ac:dyDescent="0.25">
      <c r="A51" s="12" t="str">
        <f t="shared" ref="A51:A70" si="4">IF($C$2=B51,1," ")</f>
        <v xml:space="preserve"> </v>
      </c>
      <c r="B51" s="36" t="s">
        <v>13</v>
      </c>
      <c r="C51" s="29"/>
      <c r="D51" s="22">
        <v>0.5</v>
      </c>
      <c r="E51" s="22">
        <v>1</v>
      </c>
      <c r="F51" s="22">
        <v>1</v>
      </c>
      <c r="G51" s="22"/>
      <c r="H51" s="45"/>
      <c r="I51" s="22">
        <v>2</v>
      </c>
      <c r="J51" s="12">
        <f t="shared" ref="J51:J70" si="5">(C51*$C$46)+(D51*$D$46)+(E51*$E$46)+(F51*$F$46)+(I51*$I$46)+(G51*H51)</f>
        <v>232</v>
      </c>
      <c r="K51" s="29">
        <v>2</v>
      </c>
      <c r="L51" s="22">
        <v>2</v>
      </c>
      <c r="M51" s="22"/>
      <c r="N51" s="22"/>
      <c r="O51" s="22"/>
      <c r="P51" s="45"/>
      <c r="Q51" s="22">
        <v>7</v>
      </c>
      <c r="R51" s="12">
        <f t="shared" ref="R51:R70" si="6">(K51*$K$46)+(L51*$L$46)+(M51*$M$46)+(N51*$N$46)+(Q51*$Q$46)+(O51*P51)</f>
        <v>1114</v>
      </c>
      <c r="S51" s="28">
        <v>3</v>
      </c>
      <c r="T51" s="29">
        <v>1</v>
      </c>
      <c r="U51" s="22">
        <v>1</v>
      </c>
      <c r="V51" s="22"/>
      <c r="W51" s="22"/>
      <c r="X51" s="55"/>
      <c r="Y51" s="47">
        <f t="shared" si="3"/>
        <v>0.25844800000000001</v>
      </c>
      <c r="Z51" s="49">
        <f t="shared" ref="Z51:Z70" si="7">Y51*$C$3</f>
        <v>126.63952</v>
      </c>
      <c r="AA51" s="28">
        <v>1</v>
      </c>
      <c r="AB51" s="29">
        <v>1</v>
      </c>
      <c r="AC51" s="28">
        <v>0</v>
      </c>
      <c r="AD51" s="12">
        <f>(0.5*D46)+I46</f>
        <v>127</v>
      </c>
      <c r="AE51" s="26">
        <v>0</v>
      </c>
      <c r="AF51" s="12">
        <f>J51-AD51-AE51</f>
        <v>105</v>
      </c>
      <c r="AG51" s="29">
        <v>100</v>
      </c>
      <c r="AH51" s="28">
        <v>2000</v>
      </c>
      <c r="AI51" s="26">
        <f>M23</f>
        <v>70</v>
      </c>
      <c r="AJ51" s="28">
        <v>1000</v>
      </c>
      <c r="AK51" s="2">
        <f>E41</f>
        <v>37</v>
      </c>
      <c r="AL51" s="28">
        <v>1200</v>
      </c>
      <c r="AM51" s="29">
        <v>1</v>
      </c>
      <c r="AN51" s="28">
        <v>4</v>
      </c>
      <c r="AO51" s="28">
        <v>0</v>
      </c>
      <c r="AP51" s="29">
        <v>0</v>
      </c>
      <c r="AQ51" s="28">
        <v>1</v>
      </c>
      <c r="AR51" s="28">
        <v>1</v>
      </c>
      <c r="AS51" s="28">
        <v>1</v>
      </c>
      <c r="AT51" s="28">
        <v>0</v>
      </c>
      <c r="AU51" s="810">
        <v>0</v>
      </c>
      <c r="AV51" s="28">
        <v>1</v>
      </c>
      <c r="AW51" s="1033" t="s">
        <v>1027</v>
      </c>
      <c r="AX51" s="28">
        <v>1</v>
      </c>
      <c r="AY51" s="639">
        <v>0.9</v>
      </c>
      <c r="AZ51" s="557">
        <v>1</v>
      </c>
      <c r="BD51" s="1" t="s">
        <v>13</v>
      </c>
    </row>
    <row r="52" spans="1:56" x14ac:dyDescent="0.25">
      <c r="A52" s="12">
        <f t="shared" si="4"/>
        <v>1</v>
      </c>
      <c r="B52" s="36" t="s">
        <v>8</v>
      </c>
      <c r="C52" s="29"/>
      <c r="D52" s="22">
        <v>1</v>
      </c>
      <c r="E52" s="22">
        <v>1</v>
      </c>
      <c r="F52" s="22">
        <v>1</v>
      </c>
      <c r="G52" s="22"/>
      <c r="H52" s="45"/>
      <c r="I52" s="22">
        <v>4</v>
      </c>
      <c r="J52" s="12">
        <f t="shared" si="5"/>
        <v>361</v>
      </c>
      <c r="K52" s="29">
        <v>2</v>
      </c>
      <c r="L52" s="22">
        <v>2</v>
      </c>
      <c r="M52" s="22"/>
      <c r="N52" s="22"/>
      <c r="O52" s="22"/>
      <c r="P52" s="45"/>
      <c r="Q52" s="22">
        <v>7</v>
      </c>
      <c r="R52" s="12">
        <f t="shared" si="6"/>
        <v>1114</v>
      </c>
      <c r="S52" s="28">
        <v>3</v>
      </c>
      <c r="T52" s="29">
        <v>1</v>
      </c>
      <c r="U52" s="22">
        <v>1</v>
      </c>
      <c r="V52" s="22"/>
      <c r="W52" s="22"/>
      <c r="X52" s="55"/>
      <c r="Y52" s="47">
        <f t="shared" si="3"/>
        <v>0.40215400000000001</v>
      </c>
      <c r="Z52" s="49">
        <f t="shared" si="7"/>
        <v>197.05546000000001</v>
      </c>
      <c r="AA52" s="28">
        <v>1</v>
      </c>
      <c r="AB52" s="29">
        <v>1</v>
      </c>
      <c r="AC52" s="28">
        <v>0</v>
      </c>
      <c r="AD52" s="12">
        <f>(0.5*D46)+I46</f>
        <v>127</v>
      </c>
      <c r="AE52" s="26">
        <f>(0.5*D46)+I46</f>
        <v>127</v>
      </c>
      <c r="AF52" s="12">
        <f>J52-AD52-AE52</f>
        <v>107</v>
      </c>
      <c r="AG52" s="29">
        <v>100</v>
      </c>
      <c r="AH52" s="28">
        <v>2000</v>
      </c>
      <c r="AI52" s="26">
        <f>M23</f>
        <v>70</v>
      </c>
      <c r="AJ52" s="28">
        <v>1000</v>
      </c>
      <c r="AK52" s="2">
        <f>E41</f>
        <v>37</v>
      </c>
      <c r="AL52" s="28">
        <v>1200</v>
      </c>
      <c r="AM52" s="29">
        <v>1</v>
      </c>
      <c r="AN52" s="28">
        <v>4</v>
      </c>
      <c r="AO52" s="28">
        <v>0</v>
      </c>
      <c r="AP52" s="29">
        <v>0</v>
      </c>
      <c r="AQ52" s="28">
        <v>1</v>
      </c>
      <c r="AR52" s="28">
        <v>1</v>
      </c>
      <c r="AS52" s="28">
        <v>1</v>
      </c>
      <c r="AT52" s="28">
        <v>0</v>
      </c>
      <c r="AU52" s="810">
        <v>0</v>
      </c>
      <c r="AV52" s="28">
        <v>1</v>
      </c>
      <c r="AW52" s="1033" t="s">
        <v>1027</v>
      </c>
      <c r="AX52" s="28">
        <v>1</v>
      </c>
      <c r="AY52" s="639">
        <v>0.9</v>
      </c>
      <c r="AZ52" s="557">
        <v>1</v>
      </c>
      <c r="BD52" s="1" t="s">
        <v>8</v>
      </c>
    </row>
    <row r="53" spans="1:56" x14ac:dyDescent="0.25">
      <c r="A53" s="12" t="str">
        <f t="shared" si="4"/>
        <v xml:space="preserve"> </v>
      </c>
      <c r="B53" s="36" t="s">
        <v>14</v>
      </c>
      <c r="C53" s="29"/>
      <c r="D53" s="22">
        <v>2</v>
      </c>
      <c r="E53" s="22">
        <v>1</v>
      </c>
      <c r="F53" s="22">
        <v>2</v>
      </c>
      <c r="G53" s="22"/>
      <c r="H53" s="45"/>
      <c r="I53" s="22">
        <v>4</v>
      </c>
      <c r="J53" s="12">
        <f t="shared" si="5"/>
        <v>614</v>
      </c>
      <c r="K53" s="29">
        <v>2</v>
      </c>
      <c r="L53" s="22">
        <v>2</v>
      </c>
      <c r="M53" s="22"/>
      <c r="N53" s="22"/>
      <c r="O53" s="22"/>
      <c r="P53" s="45"/>
      <c r="Q53" s="22">
        <v>7</v>
      </c>
      <c r="R53" s="12">
        <f t="shared" si="6"/>
        <v>1114</v>
      </c>
      <c r="S53" s="28">
        <v>3</v>
      </c>
      <c r="T53" s="29">
        <v>1</v>
      </c>
      <c r="U53" s="22">
        <v>1</v>
      </c>
      <c r="V53" s="22"/>
      <c r="W53" s="22"/>
      <c r="X53" s="55"/>
      <c r="Y53" s="47">
        <f t="shared" si="3"/>
        <v>0.68399600000000005</v>
      </c>
      <c r="Z53" s="49">
        <f t="shared" si="7"/>
        <v>335.15804000000003</v>
      </c>
      <c r="AA53" s="28">
        <v>1</v>
      </c>
      <c r="AB53" s="29">
        <v>1</v>
      </c>
      <c r="AC53" s="28">
        <v>0</v>
      </c>
      <c r="AD53" s="12">
        <f>D46+I46</f>
        <v>252</v>
      </c>
      <c r="AE53" s="26">
        <f>D46+I46</f>
        <v>252</v>
      </c>
      <c r="AF53" s="12">
        <f>J53-AD53-AE53</f>
        <v>110</v>
      </c>
      <c r="AG53" s="29">
        <v>100</v>
      </c>
      <c r="AH53" s="28">
        <v>2000</v>
      </c>
      <c r="AI53" s="26">
        <f>M24</f>
        <v>40</v>
      </c>
      <c r="AJ53" s="28">
        <v>1000</v>
      </c>
      <c r="AK53" s="2">
        <f>E41</f>
        <v>37</v>
      </c>
      <c r="AL53" s="28">
        <v>1200</v>
      </c>
      <c r="AM53" s="29">
        <v>1</v>
      </c>
      <c r="AN53" s="28">
        <v>4</v>
      </c>
      <c r="AO53" s="28">
        <v>0</v>
      </c>
      <c r="AP53" s="29">
        <v>1</v>
      </c>
      <c r="AQ53" s="28">
        <v>1</v>
      </c>
      <c r="AR53" s="28">
        <v>1</v>
      </c>
      <c r="AS53" s="28">
        <v>1</v>
      </c>
      <c r="AT53" s="28">
        <v>0</v>
      </c>
      <c r="AU53" s="810">
        <v>0</v>
      </c>
      <c r="AV53" s="28">
        <v>1</v>
      </c>
      <c r="AW53" s="1033" t="s">
        <v>1027</v>
      </c>
      <c r="AX53" s="28">
        <v>1</v>
      </c>
      <c r="AY53" s="639">
        <v>0.9</v>
      </c>
      <c r="AZ53" s="557">
        <v>1</v>
      </c>
      <c r="BD53" s="1" t="s">
        <v>14</v>
      </c>
    </row>
    <row r="54" spans="1:56" x14ac:dyDescent="0.25">
      <c r="A54" s="12" t="str">
        <f t="shared" si="4"/>
        <v xml:space="preserve"> </v>
      </c>
      <c r="B54" s="36" t="s">
        <v>15</v>
      </c>
      <c r="C54" s="29">
        <v>1</v>
      </c>
      <c r="D54" s="22"/>
      <c r="E54" s="22">
        <v>2</v>
      </c>
      <c r="F54" s="22">
        <v>2</v>
      </c>
      <c r="G54" s="22"/>
      <c r="H54" s="45"/>
      <c r="I54" s="22">
        <v>4</v>
      </c>
      <c r="J54" s="12">
        <f t="shared" si="5"/>
        <v>514</v>
      </c>
      <c r="K54" s="29"/>
      <c r="L54" s="22">
        <v>2</v>
      </c>
      <c r="M54" s="22">
        <v>3</v>
      </c>
      <c r="N54" s="22">
        <v>1</v>
      </c>
      <c r="O54" s="22"/>
      <c r="P54" s="45"/>
      <c r="Q54" s="22">
        <v>8</v>
      </c>
      <c r="R54" s="12">
        <f t="shared" si="6"/>
        <v>819</v>
      </c>
      <c r="S54" s="28">
        <v>4</v>
      </c>
      <c r="T54" s="29">
        <v>1</v>
      </c>
      <c r="U54" s="22"/>
      <c r="V54" s="22"/>
      <c r="W54" s="22"/>
      <c r="X54" s="55"/>
      <c r="Y54" s="47">
        <f t="shared" si="3"/>
        <v>0.42096600000000001</v>
      </c>
      <c r="Z54" s="49">
        <f t="shared" si="7"/>
        <v>206.27333999999999</v>
      </c>
      <c r="AA54" s="28">
        <v>0</v>
      </c>
      <c r="AB54" s="29">
        <v>0</v>
      </c>
      <c r="AC54" s="28">
        <v>0</v>
      </c>
      <c r="AD54" s="12">
        <f>E46+I46</f>
        <v>102</v>
      </c>
      <c r="AE54" s="26">
        <f>E46+I46</f>
        <v>102</v>
      </c>
      <c r="AF54" s="12"/>
      <c r="AG54" s="29">
        <v>200</v>
      </c>
      <c r="AH54" s="28">
        <v>2000</v>
      </c>
      <c r="AI54" s="29">
        <v>100</v>
      </c>
      <c r="AJ54" s="28">
        <v>1200</v>
      </c>
      <c r="AK54" s="22">
        <v>40</v>
      </c>
      <c r="AL54" s="28">
        <v>200</v>
      </c>
      <c r="AM54" s="29">
        <v>1</v>
      </c>
      <c r="AN54" s="28">
        <v>4</v>
      </c>
      <c r="AO54" s="28">
        <v>0</v>
      </c>
      <c r="AP54" s="29">
        <v>0</v>
      </c>
      <c r="AQ54" s="28">
        <v>0</v>
      </c>
      <c r="AR54" s="28">
        <v>0</v>
      </c>
      <c r="AS54" s="28">
        <v>0</v>
      </c>
      <c r="AT54" s="28">
        <v>0</v>
      </c>
      <c r="AU54" s="810">
        <v>0</v>
      </c>
      <c r="AV54" s="28">
        <v>1</v>
      </c>
      <c r="AW54" s="1033" t="s">
        <v>1027</v>
      </c>
      <c r="AX54" s="28">
        <v>0</v>
      </c>
      <c r="AY54" s="639">
        <v>0.9</v>
      </c>
      <c r="AZ54" s="557">
        <v>0</v>
      </c>
      <c r="BD54" s="1" t="s">
        <v>15</v>
      </c>
    </row>
    <row r="55" spans="1:56" x14ac:dyDescent="0.25">
      <c r="A55" s="12" t="str">
        <f t="shared" si="4"/>
        <v xml:space="preserve"> </v>
      </c>
      <c r="B55" s="36" t="s">
        <v>49</v>
      </c>
      <c r="C55" s="29">
        <v>1</v>
      </c>
      <c r="D55" s="22"/>
      <c r="E55" s="22">
        <v>2</v>
      </c>
      <c r="F55" s="22">
        <v>2</v>
      </c>
      <c r="G55" s="22"/>
      <c r="H55" s="45"/>
      <c r="I55" s="22">
        <v>4</v>
      </c>
      <c r="J55" s="12">
        <f t="shared" si="5"/>
        <v>514</v>
      </c>
      <c r="K55" s="29"/>
      <c r="L55" s="22">
        <v>2</v>
      </c>
      <c r="M55" s="22">
        <v>3</v>
      </c>
      <c r="N55" s="22">
        <v>1</v>
      </c>
      <c r="O55" s="22"/>
      <c r="P55" s="45"/>
      <c r="Q55" s="22">
        <v>8</v>
      </c>
      <c r="R55" s="12">
        <f t="shared" si="6"/>
        <v>819</v>
      </c>
      <c r="S55" s="28">
        <v>4</v>
      </c>
      <c r="T55" s="29">
        <v>1</v>
      </c>
      <c r="U55" s="22"/>
      <c r="V55" s="22"/>
      <c r="W55" s="22"/>
      <c r="X55" s="55"/>
      <c r="Y55" s="47">
        <f t="shared" si="3"/>
        <v>0.42096600000000001</v>
      </c>
      <c r="Z55" s="49">
        <f t="shared" si="7"/>
        <v>206.27333999999999</v>
      </c>
      <c r="AA55" s="28">
        <v>0</v>
      </c>
      <c r="AB55" s="29">
        <v>0</v>
      </c>
      <c r="AC55" s="28">
        <v>0</v>
      </c>
      <c r="AD55" s="12">
        <f>E46+I46</f>
        <v>102</v>
      </c>
      <c r="AE55" s="26">
        <f>E46+I46</f>
        <v>102</v>
      </c>
      <c r="AF55" s="12"/>
      <c r="AG55" s="29">
        <v>200</v>
      </c>
      <c r="AH55" s="28">
        <v>2000</v>
      </c>
      <c r="AI55" s="29">
        <v>100</v>
      </c>
      <c r="AJ55" s="28">
        <v>1200</v>
      </c>
      <c r="AK55" s="22">
        <v>40</v>
      </c>
      <c r="AL55" s="28">
        <v>200</v>
      </c>
      <c r="AM55" s="29">
        <v>1</v>
      </c>
      <c r="AN55" s="28">
        <v>4</v>
      </c>
      <c r="AO55" s="28">
        <v>0</v>
      </c>
      <c r="AP55" s="29">
        <v>0</v>
      </c>
      <c r="AQ55" s="28">
        <v>0</v>
      </c>
      <c r="AR55" s="28">
        <v>0</v>
      </c>
      <c r="AS55" s="28">
        <v>0</v>
      </c>
      <c r="AT55" s="12">
        <f>C8+C12</f>
        <v>102</v>
      </c>
      <c r="AU55" s="810">
        <v>0.04</v>
      </c>
      <c r="AV55" s="28">
        <v>1</v>
      </c>
      <c r="AW55" s="1033" t="s">
        <v>1004</v>
      </c>
      <c r="AX55" s="28">
        <v>0</v>
      </c>
      <c r="AY55" s="639">
        <v>0.85</v>
      </c>
      <c r="AZ55" s="557">
        <v>0</v>
      </c>
      <c r="BD55" s="1" t="s">
        <v>49</v>
      </c>
    </row>
    <row r="56" spans="1:56" x14ac:dyDescent="0.25">
      <c r="A56" s="12" t="str">
        <f t="shared" si="4"/>
        <v xml:space="preserve"> </v>
      </c>
      <c r="B56" s="36" t="s">
        <v>56</v>
      </c>
      <c r="C56" s="29"/>
      <c r="D56" s="22">
        <v>3</v>
      </c>
      <c r="E56" s="22">
        <v>2</v>
      </c>
      <c r="F56" s="22">
        <v>4</v>
      </c>
      <c r="G56" s="22"/>
      <c r="H56" s="45"/>
      <c r="I56" s="22">
        <v>8</v>
      </c>
      <c r="J56" s="12">
        <f t="shared" si="5"/>
        <v>978</v>
      </c>
      <c r="K56" s="29">
        <v>1</v>
      </c>
      <c r="L56" s="22"/>
      <c r="M56" s="22">
        <v>2</v>
      </c>
      <c r="N56" s="22"/>
      <c r="O56" s="22">
        <v>2</v>
      </c>
      <c r="P56" s="45">
        <v>50</v>
      </c>
      <c r="Q56" s="22">
        <v>8</v>
      </c>
      <c r="R56" s="12">
        <f t="shared" si="6"/>
        <v>616</v>
      </c>
      <c r="S56" s="28">
        <v>4</v>
      </c>
      <c r="T56" s="29">
        <v>1</v>
      </c>
      <c r="U56" s="22"/>
      <c r="V56" s="22"/>
      <c r="W56" s="22"/>
      <c r="X56" s="55"/>
      <c r="Y56" s="47">
        <f t="shared" si="3"/>
        <v>0.60244799999999998</v>
      </c>
      <c r="Z56" s="49">
        <f t="shared" si="7"/>
        <v>295.19952000000001</v>
      </c>
      <c r="AA56" s="28">
        <v>0</v>
      </c>
      <c r="AB56" s="29">
        <v>0</v>
      </c>
      <c r="AC56" s="28">
        <v>1</v>
      </c>
      <c r="AD56" s="28"/>
      <c r="AE56" s="29"/>
      <c r="AF56" s="12"/>
      <c r="AG56" s="29">
        <v>300</v>
      </c>
      <c r="AH56" s="28">
        <v>2000</v>
      </c>
      <c r="AI56" s="29">
        <v>100</v>
      </c>
      <c r="AJ56" s="28">
        <v>500</v>
      </c>
      <c r="AK56" s="22">
        <v>80</v>
      </c>
      <c r="AL56" s="28">
        <v>200</v>
      </c>
      <c r="AM56" s="29">
        <v>1</v>
      </c>
      <c r="AN56" s="28">
        <v>2</v>
      </c>
      <c r="AO56" s="28">
        <v>0</v>
      </c>
      <c r="AP56" s="29">
        <v>0</v>
      </c>
      <c r="AQ56" s="28">
        <v>0</v>
      </c>
      <c r="AR56" s="28">
        <v>0</v>
      </c>
      <c r="AS56" s="28">
        <v>0</v>
      </c>
      <c r="AT56" s="12">
        <f>(P56+C12)</f>
        <v>52</v>
      </c>
      <c r="AU56" s="810">
        <v>0.04</v>
      </c>
      <c r="AV56" s="28">
        <v>1</v>
      </c>
      <c r="AW56" s="1033" t="s">
        <v>1078</v>
      </c>
      <c r="AX56" s="28">
        <v>0</v>
      </c>
      <c r="AY56" s="639">
        <v>0.82</v>
      </c>
      <c r="AZ56" s="557">
        <v>0</v>
      </c>
      <c r="BD56" s="1" t="s">
        <v>56</v>
      </c>
    </row>
    <row r="57" spans="1:56" x14ac:dyDescent="0.25">
      <c r="A57" s="12" t="str">
        <f t="shared" si="4"/>
        <v xml:space="preserve"> </v>
      </c>
      <c r="B57" s="36" t="s">
        <v>16</v>
      </c>
      <c r="C57" s="29">
        <v>1</v>
      </c>
      <c r="D57" s="22"/>
      <c r="E57" s="22">
        <v>4</v>
      </c>
      <c r="F57" s="22">
        <v>12</v>
      </c>
      <c r="G57" s="22"/>
      <c r="H57" s="45"/>
      <c r="I57" s="22">
        <v>12</v>
      </c>
      <c r="J57" s="12">
        <f t="shared" si="5"/>
        <v>760</v>
      </c>
      <c r="K57" s="29"/>
      <c r="L57" s="22">
        <v>2</v>
      </c>
      <c r="M57" s="22">
        <v>3</v>
      </c>
      <c r="N57" s="22">
        <v>1</v>
      </c>
      <c r="O57" s="22"/>
      <c r="P57" s="45"/>
      <c r="Q57" s="22">
        <v>8</v>
      </c>
      <c r="R57" s="12">
        <f t="shared" si="6"/>
        <v>819</v>
      </c>
      <c r="S57" s="28"/>
      <c r="T57" s="29"/>
      <c r="U57" s="22"/>
      <c r="V57" s="22">
        <v>0</v>
      </c>
      <c r="W57" s="22"/>
      <c r="X57" s="55"/>
      <c r="Y57" s="47">
        <f t="shared" si="3"/>
        <v>0.62243999999999999</v>
      </c>
      <c r="Z57" s="49">
        <f t="shared" si="7"/>
        <v>304.99560000000002</v>
      </c>
      <c r="AA57" s="28">
        <v>0</v>
      </c>
      <c r="AB57" s="29">
        <v>0</v>
      </c>
      <c r="AC57" s="28">
        <v>0</v>
      </c>
      <c r="AD57" s="28"/>
      <c r="AE57" s="29"/>
      <c r="AF57" s="12"/>
      <c r="AG57" s="29">
        <v>80</v>
      </c>
      <c r="AH57" s="28">
        <v>1400</v>
      </c>
      <c r="AI57" s="29">
        <v>50</v>
      </c>
      <c r="AJ57" s="28">
        <v>550</v>
      </c>
      <c r="AK57" s="22">
        <v>23</v>
      </c>
      <c r="AL57" s="28">
        <v>200</v>
      </c>
      <c r="AM57" s="29">
        <v>0</v>
      </c>
      <c r="AN57" s="28">
        <v>0</v>
      </c>
      <c r="AO57" s="28">
        <v>1</v>
      </c>
      <c r="AP57" s="29">
        <v>0</v>
      </c>
      <c r="AQ57" s="28">
        <v>0</v>
      </c>
      <c r="AR57" s="28">
        <v>0</v>
      </c>
      <c r="AS57" s="28">
        <v>0</v>
      </c>
      <c r="AT57" s="28">
        <v>0</v>
      </c>
      <c r="AU57" s="810">
        <v>0.02</v>
      </c>
      <c r="AV57" s="28">
        <v>1</v>
      </c>
      <c r="AW57" s="1033" t="s">
        <v>1005</v>
      </c>
      <c r="AX57" s="28">
        <v>0</v>
      </c>
      <c r="AY57" s="639">
        <v>0.9</v>
      </c>
      <c r="AZ57" s="557"/>
      <c r="BD57" s="1" t="s">
        <v>16</v>
      </c>
    </row>
    <row r="58" spans="1:56" x14ac:dyDescent="0.25">
      <c r="A58" s="12" t="str">
        <f t="shared" si="4"/>
        <v xml:space="preserve"> </v>
      </c>
      <c r="B58" s="36" t="s">
        <v>17</v>
      </c>
      <c r="C58" s="29">
        <v>1</v>
      </c>
      <c r="D58" s="22"/>
      <c r="E58" s="22">
        <v>4</v>
      </c>
      <c r="F58" s="22">
        <v>8</v>
      </c>
      <c r="G58" s="22"/>
      <c r="H58" s="45"/>
      <c r="I58" s="22">
        <v>12</v>
      </c>
      <c r="J58" s="12">
        <f t="shared" si="5"/>
        <v>748</v>
      </c>
      <c r="K58" s="29"/>
      <c r="L58" s="22">
        <v>2</v>
      </c>
      <c r="M58" s="22">
        <v>2</v>
      </c>
      <c r="N58" s="22">
        <v>1</v>
      </c>
      <c r="O58" s="22">
        <v>1</v>
      </c>
      <c r="P58" s="45">
        <v>30</v>
      </c>
      <c r="Q58" s="22">
        <v>4</v>
      </c>
      <c r="R58" s="12">
        <f t="shared" si="6"/>
        <v>741</v>
      </c>
      <c r="S58" s="28"/>
      <c r="T58" s="29"/>
      <c r="U58" s="22"/>
      <c r="V58" s="22">
        <v>0</v>
      </c>
      <c r="W58" s="22"/>
      <c r="X58" s="55"/>
      <c r="Y58" s="47">
        <f t="shared" si="3"/>
        <v>0.55426799999999998</v>
      </c>
      <c r="Z58" s="49">
        <f t="shared" si="7"/>
        <v>271.59132</v>
      </c>
      <c r="AA58" s="28">
        <v>0</v>
      </c>
      <c r="AB58" s="29">
        <v>0</v>
      </c>
      <c r="AC58" s="28">
        <v>0</v>
      </c>
      <c r="AD58" s="28"/>
      <c r="AE58" s="29"/>
      <c r="AF58" s="12"/>
      <c r="AG58" s="29">
        <v>80</v>
      </c>
      <c r="AH58" s="28">
        <v>1400</v>
      </c>
      <c r="AI58" s="29">
        <v>50</v>
      </c>
      <c r="AJ58" s="28">
        <v>550</v>
      </c>
      <c r="AK58" s="22">
        <v>23</v>
      </c>
      <c r="AL58" s="28">
        <v>200</v>
      </c>
      <c r="AM58" s="29">
        <v>0</v>
      </c>
      <c r="AN58" s="28">
        <v>0</v>
      </c>
      <c r="AO58" s="28">
        <v>1</v>
      </c>
      <c r="AP58" s="29">
        <v>0</v>
      </c>
      <c r="AQ58" s="28">
        <v>0</v>
      </c>
      <c r="AR58" s="28">
        <v>0</v>
      </c>
      <c r="AS58" s="28">
        <v>0</v>
      </c>
      <c r="AT58" s="28">
        <v>0</v>
      </c>
      <c r="AU58" s="810">
        <v>0.02</v>
      </c>
      <c r="AV58" s="28">
        <v>1</v>
      </c>
      <c r="AW58" s="1033" t="s">
        <v>1005</v>
      </c>
      <c r="AX58" s="28">
        <v>0</v>
      </c>
      <c r="AY58" s="639">
        <v>0.9</v>
      </c>
      <c r="AZ58" s="557"/>
      <c r="BD58" s="1" t="s">
        <v>17</v>
      </c>
    </row>
    <row r="59" spans="1:56" x14ac:dyDescent="0.25">
      <c r="A59" s="12" t="str">
        <f t="shared" si="4"/>
        <v xml:space="preserve"> </v>
      </c>
      <c r="B59" s="36" t="s">
        <v>60</v>
      </c>
      <c r="C59" s="29">
        <v>1</v>
      </c>
      <c r="D59" s="22"/>
      <c r="E59" s="22">
        <v>4</v>
      </c>
      <c r="F59" s="22">
        <v>8</v>
      </c>
      <c r="G59" s="22"/>
      <c r="H59" s="45"/>
      <c r="I59" s="22">
        <v>12</v>
      </c>
      <c r="J59" s="12">
        <f t="shared" si="5"/>
        <v>748</v>
      </c>
      <c r="K59" s="29"/>
      <c r="L59" s="22">
        <v>1</v>
      </c>
      <c r="M59" s="22">
        <v>2</v>
      </c>
      <c r="N59" s="22"/>
      <c r="O59" s="22"/>
      <c r="P59" s="45"/>
      <c r="Q59" s="22">
        <v>4</v>
      </c>
      <c r="R59" s="12">
        <f t="shared" si="6"/>
        <v>458</v>
      </c>
      <c r="S59" s="28"/>
      <c r="T59" s="29"/>
      <c r="U59" s="22"/>
      <c r="V59" s="22">
        <v>0</v>
      </c>
      <c r="W59" s="22"/>
      <c r="X59" s="55"/>
      <c r="Y59" s="47">
        <f t="shared" si="3"/>
        <v>0.342584</v>
      </c>
      <c r="Z59" s="49">
        <f t="shared" si="7"/>
        <v>167.86616000000001</v>
      </c>
      <c r="AA59" s="28">
        <v>0</v>
      </c>
      <c r="AB59" s="29">
        <v>0</v>
      </c>
      <c r="AC59" s="28">
        <v>0</v>
      </c>
      <c r="AD59" s="28"/>
      <c r="AE59" s="29"/>
      <c r="AF59" s="12"/>
      <c r="AG59" s="29">
        <v>100</v>
      </c>
      <c r="AH59" s="28">
        <v>1400</v>
      </c>
      <c r="AI59" s="29">
        <v>50</v>
      </c>
      <c r="AJ59" s="28">
        <v>800</v>
      </c>
      <c r="AK59" s="22">
        <v>30</v>
      </c>
      <c r="AL59" s="28">
        <v>200</v>
      </c>
      <c r="AM59" s="29">
        <v>0</v>
      </c>
      <c r="AN59" s="28">
        <v>0</v>
      </c>
      <c r="AO59" s="28">
        <v>1</v>
      </c>
      <c r="AP59" s="29">
        <v>0</v>
      </c>
      <c r="AQ59" s="28">
        <v>0</v>
      </c>
      <c r="AR59" s="28">
        <v>0</v>
      </c>
      <c r="AS59" s="28">
        <v>0</v>
      </c>
      <c r="AT59" s="28">
        <v>0</v>
      </c>
      <c r="AU59" s="810">
        <v>0.02</v>
      </c>
      <c r="AV59" s="28">
        <v>1</v>
      </c>
      <c r="AW59" s="1033" t="s">
        <v>1005</v>
      </c>
      <c r="AX59" s="28">
        <v>0</v>
      </c>
      <c r="AY59" s="639">
        <v>0.9</v>
      </c>
      <c r="AZ59" s="557"/>
      <c r="BD59" s="1" t="s">
        <v>60</v>
      </c>
    </row>
    <row r="60" spans="1:56" x14ac:dyDescent="0.25">
      <c r="A60" s="12" t="str">
        <f t="shared" si="4"/>
        <v xml:space="preserve"> </v>
      </c>
      <c r="B60" s="36" t="s">
        <v>71</v>
      </c>
      <c r="C60" s="29"/>
      <c r="D60" s="22">
        <v>1</v>
      </c>
      <c r="E60" s="22">
        <v>2</v>
      </c>
      <c r="F60" s="22">
        <v>2</v>
      </c>
      <c r="G60" s="22"/>
      <c r="H60" s="45"/>
      <c r="I60" s="22">
        <v>4</v>
      </c>
      <c r="J60" s="12">
        <f t="shared" si="5"/>
        <v>464</v>
      </c>
      <c r="K60" s="29">
        <v>1</v>
      </c>
      <c r="L60" s="22"/>
      <c r="M60" s="22">
        <v>2</v>
      </c>
      <c r="N60" s="22"/>
      <c r="O60" s="22"/>
      <c r="P60" s="45"/>
      <c r="Q60" s="22">
        <v>4</v>
      </c>
      <c r="R60" s="12">
        <f t="shared" si="6"/>
        <v>508</v>
      </c>
      <c r="S60" s="28">
        <v>2</v>
      </c>
      <c r="T60" s="29">
        <v>1</v>
      </c>
      <c r="U60" s="22"/>
      <c r="V60" s="22"/>
      <c r="W60" s="22"/>
      <c r="X60" s="55"/>
      <c r="Y60" s="47">
        <f t="shared" si="3"/>
        <v>0.235712</v>
      </c>
      <c r="Z60" s="49">
        <f t="shared" si="7"/>
        <v>115.49888</v>
      </c>
      <c r="AA60" s="28">
        <v>0</v>
      </c>
      <c r="AB60" s="29">
        <v>0</v>
      </c>
      <c r="AC60" s="28">
        <v>0</v>
      </c>
      <c r="AD60" s="12">
        <f>E46+I46</f>
        <v>102</v>
      </c>
      <c r="AE60" s="26">
        <f>E46+I46</f>
        <v>102</v>
      </c>
      <c r="AF60" s="12"/>
      <c r="AG60" s="29">
        <v>150</v>
      </c>
      <c r="AH60" s="28">
        <v>2000</v>
      </c>
      <c r="AI60" s="29">
        <v>100</v>
      </c>
      <c r="AJ60" s="28">
        <v>1200</v>
      </c>
      <c r="AK60" s="22">
        <v>45</v>
      </c>
      <c r="AL60" s="28">
        <v>400</v>
      </c>
      <c r="AM60" s="29">
        <v>1</v>
      </c>
      <c r="AN60" s="28">
        <v>4</v>
      </c>
      <c r="AO60" s="28">
        <v>0</v>
      </c>
      <c r="AP60" s="29">
        <v>0</v>
      </c>
      <c r="AQ60" s="28">
        <v>0</v>
      </c>
      <c r="AR60" s="28">
        <v>0</v>
      </c>
      <c r="AS60" s="28">
        <v>0</v>
      </c>
      <c r="AT60" s="28">
        <v>0</v>
      </c>
      <c r="AU60" s="810">
        <v>0</v>
      </c>
      <c r="AV60" s="28">
        <v>1</v>
      </c>
      <c r="AW60" s="1033" t="s">
        <v>1027</v>
      </c>
      <c r="AX60" s="28">
        <v>0</v>
      </c>
      <c r="AY60" s="639">
        <v>0.9</v>
      </c>
      <c r="AZ60" s="557"/>
      <c r="BD60" s="1" t="s">
        <v>71</v>
      </c>
    </row>
    <row r="61" spans="1:56" x14ac:dyDescent="0.25">
      <c r="A61" s="12" t="str">
        <f t="shared" si="4"/>
        <v xml:space="preserve"> </v>
      </c>
      <c r="B61" s="36" t="s">
        <v>70</v>
      </c>
      <c r="C61" s="29"/>
      <c r="D61" s="22"/>
      <c r="E61" s="22">
        <v>1</v>
      </c>
      <c r="F61" s="22"/>
      <c r="G61" s="22"/>
      <c r="H61" s="45"/>
      <c r="I61" s="22">
        <v>0</v>
      </c>
      <c r="J61" s="12">
        <f t="shared" si="5"/>
        <v>100</v>
      </c>
      <c r="K61" s="29">
        <v>2</v>
      </c>
      <c r="L61" s="22">
        <v>2</v>
      </c>
      <c r="M61" s="22"/>
      <c r="N61" s="22"/>
      <c r="O61" s="22"/>
      <c r="P61" s="45"/>
      <c r="Q61" s="22">
        <v>7</v>
      </c>
      <c r="R61" s="12">
        <f t="shared" si="6"/>
        <v>1114</v>
      </c>
      <c r="S61" s="28">
        <v>4</v>
      </c>
      <c r="T61" s="29">
        <v>1</v>
      </c>
      <c r="U61" s="22">
        <v>1</v>
      </c>
      <c r="V61" s="22"/>
      <c r="W61" s="22"/>
      <c r="X61" s="55"/>
      <c r="Y61" s="47">
        <f t="shared" si="3"/>
        <v>0.11140000000000001</v>
      </c>
      <c r="Z61" s="49">
        <f t="shared" si="7"/>
        <v>54.586000000000006</v>
      </c>
      <c r="AA61" s="28">
        <v>1</v>
      </c>
      <c r="AB61" s="29">
        <v>1</v>
      </c>
      <c r="AC61" s="28">
        <v>0</v>
      </c>
      <c r="AD61" s="28"/>
      <c r="AE61" s="29"/>
      <c r="AF61" s="12"/>
      <c r="AG61" s="29">
        <v>100</v>
      </c>
      <c r="AH61" s="28">
        <v>2000</v>
      </c>
      <c r="AI61" s="26">
        <f>M24</f>
        <v>40</v>
      </c>
      <c r="AJ61" s="28">
        <v>1000</v>
      </c>
      <c r="AK61" s="22">
        <v>100</v>
      </c>
      <c r="AL61" s="28">
        <v>1200</v>
      </c>
      <c r="AM61" s="29">
        <v>1</v>
      </c>
      <c r="AN61" s="28">
        <v>4</v>
      </c>
      <c r="AO61" s="28">
        <v>0</v>
      </c>
      <c r="AP61" s="29">
        <v>0</v>
      </c>
      <c r="AQ61" s="28">
        <v>1</v>
      </c>
      <c r="AR61" s="28">
        <v>1</v>
      </c>
      <c r="AS61" s="28">
        <v>1</v>
      </c>
      <c r="AT61" s="28">
        <v>0</v>
      </c>
      <c r="AU61" s="810">
        <v>0</v>
      </c>
      <c r="AV61" s="28">
        <v>1</v>
      </c>
      <c r="AW61" s="1033" t="s">
        <v>1005</v>
      </c>
      <c r="AX61" s="28">
        <v>1</v>
      </c>
      <c r="AY61" s="639">
        <v>0.9</v>
      </c>
      <c r="AZ61" s="557">
        <v>1</v>
      </c>
      <c r="BD61" s="1" t="s">
        <v>70</v>
      </c>
    </row>
    <row r="62" spans="1:56" x14ac:dyDescent="0.25">
      <c r="A62" s="12" t="str">
        <f t="shared" si="4"/>
        <v xml:space="preserve"> </v>
      </c>
      <c r="B62" s="36" t="s">
        <v>981</v>
      </c>
      <c r="C62" s="29"/>
      <c r="D62" s="22">
        <v>2</v>
      </c>
      <c r="E62" s="22">
        <v>2</v>
      </c>
      <c r="F62" s="22">
        <v>2</v>
      </c>
      <c r="G62" s="22"/>
      <c r="H62" s="45"/>
      <c r="I62" s="22">
        <v>8</v>
      </c>
      <c r="J62" s="12">
        <f t="shared" si="5"/>
        <v>722</v>
      </c>
      <c r="K62" s="29">
        <v>1</v>
      </c>
      <c r="L62" s="22"/>
      <c r="M62" s="22">
        <v>2</v>
      </c>
      <c r="N62" s="22"/>
      <c r="O62" s="22">
        <v>2</v>
      </c>
      <c r="P62" s="45">
        <v>50</v>
      </c>
      <c r="Q62" s="22">
        <v>8</v>
      </c>
      <c r="R62" s="12">
        <f t="shared" si="6"/>
        <v>616</v>
      </c>
      <c r="S62" s="28">
        <v>4</v>
      </c>
      <c r="T62" s="29">
        <v>1</v>
      </c>
      <c r="U62" s="22"/>
      <c r="V62" s="22"/>
      <c r="W62" s="22"/>
      <c r="X62" s="55"/>
      <c r="Y62" s="47">
        <f t="shared" si="3"/>
        <v>0.44475199999999998</v>
      </c>
      <c r="Z62" s="49">
        <f t="shared" si="7"/>
        <v>217.92847999999998</v>
      </c>
      <c r="AA62" s="28">
        <v>0</v>
      </c>
      <c r="AB62" s="29">
        <v>0</v>
      </c>
      <c r="AC62" s="28">
        <v>1</v>
      </c>
      <c r="AD62" s="12">
        <f>(0.5*D46)+E46+(3*I46)+F46</f>
        <v>234</v>
      </c>
      <c r="AE62" s="26">
        <f>(0.5*D46)+E46+(3*I46)+F46</f>
        <v>234</v>
      </c>
      <c r="AF62" s="12"/>
      <c r="AG62" s="29">
        <v>200</v>
      </c>
      <c r="AH62" s="28">
        <v>2000</v>
      </c>
      <c r="AI62" s="29">
        <v>100</v>
      </c>
      <c r="AJ62" s="28">
        <v>800</v>
      </c>
      <c r="AK62" s="22">
        <v>20</v>
      </c>
      <c r="AL62" s="28">
        <v>80</v>
      </c>
      <c r="AM62" s="29">
        <v>1</v>
      </c>
      <c r="AN62" s="12">
        <f>IF(J62+C166&gt;=I183,1,2)</f>
        <v>1</v>
      </c>
      <c r="AO62" s="28">
        <v>0</v>
      </c>
      <c r="AP62" s="29">
        <v>0</v>
      </c>
      <c r="AQ62" s="28">
        <v>0</v>
      </c>
      <c r="AR62" s="28">
        <v>0</v>
      </c>
      <c r="AS62" s="28">
        <v>0</v>
      </c>
      <c r="AT62" s="12">
        <f>(P62+(C12*3)+C8)</f>
        <v>156</v>
      </c>
      <c r="AU62" s="810">
        <v>0.04</v>
      </c>
      <c r="AV62" s="28">
        <v>1</v>
      </c>
      <c r="AW62" s="28">
        <v>2</v>
      </c>
      <c r="AX62" s="28">
        <v>0</v>
      </c>
      <c r="AY62" s="639">
        <v>0.82</v>
      </c>
      <c r="AZ62" s="557"/>
      <c r="BD62" s="1" t="s">
        <v>981</v>
      </c>
    </row>
    <row r="63" spans="1:56" x14ac:dyDescent="0.25">
      <c r="A63" s="12" t="str">
        <f t="shared" si="4"/>
        <v xml:space="preserve"> </v>
      </c>
      <c r="B63" s="36" t="s">
        <v>982</v>
      </c>
      <c r="C63" s="29"/>
      <c r="D63" s="22">
        <v>2</v>
      </c>
      <c r="E63" s="22">
        <v>3</v>
      </c>
      <c r="F63" s="22">
        <v>2</v>
      </c>
      <c r="G63" s="22"/>
      <c r="H63" s="45"/>
      <c r="I63" s="22">
        <v>8</v>
      </c>
      <c r="J63" s="12">
        <f t="shared" si="5"/>
        <v>822</v>
      </c>
      <c r="K63" s="29">
        <v>1</v>
      </c>
      <c r="L63" s="22">
        <v>2</v>
      </c>
      <c r="M63" s="22"/>
      <c r="N63" s="22">
        <v>6</v>
      </c>
      <c r="O63" s="22"/>
      <c r="P63" s="45"/>
      <c r="Q63" s="22">
        <v>4</v>
      </c>
      <c r="R63" s="12">
        <f t="shared" si="6"/>
        <v>826</v>
      </c>
      <c r="S63" s="28"/>
      <c r="T63" s="29"/>
      <c r="U63" s="22"/>
      <c r="V63" s="22">
        <v>0</v>
      </c>
      <c r="W63" s="22"/>
      <c r="X63" s="55"/>
      <c r="Y63" s="47">
        <f t="shared" si="3"/>
        <v>0.67897199999999991</v>
      </c>
      <c r="Z63" s="49">
        <f t="shared" si="7"/>
        <v>332.69627999999994</v>
      </c>
      <c r="AA63" s="28">
        <v>0</v>
      </c>
      <c r="AB63" s="29">
        <v>0</v>
      </c>
      <c r="AC63" s="28">
        <v>0</v>
      </c>
      <c r="AD63" s="28"/>
      <c r="AE63" s="29"/>
      <c r="AF63" s="12"/>
      <c r="AG63" s="29">
        <v>180</v>
      </c>
      <c r="AH63" s="28">
        <v>1400</v>
      </c>
      <c r="AI63" s="29">
        <v>80</v>
      </c>
      <c r="AJ63" s="28">
        <v>600</v>
      </c>
      <c r="AK63" s="22">
        <v>60</v>
      </c>
      <c r="AL63" s="28">
        <v>400</v>
      </c>
      <c r="AM63" s="29">
        <v>1</v>
      </c>
      <c r="AN63" s="28">
        <v>0</v>
      </c>
      <c r="AO63" s="28">
        <v>1</v>
      </c>
      <c r="AP63" s="29">
        <v>0</v>
      </c>
      <c r="AQ63" s="28">
        <v>0</v>
      </c>
      <c r="AR63" s="28">
        <v>0</v>
      </c>
      <c r="AS63" s="28">
        <v>0</v>
      </c>
      <c r="AT63" s="28">
        <v>0</v>
      </c>
      <c r="AU63" s="810">
        <v>0.02</v>
      </c>
      <c r="AV63" s="28">
        <v>1</v>
      </c>
      <c r="AW63" s="28">
        <v>0</v>
      </c>
      <c r="AX63" s="28">
        <v>0</v>
      </c>
      <c r="AY63" s="639">
        <v>0.9</v>
      </c>
      <c r="AZ63" s="557"/>
      <c r="BD63" s="1" t="s">
        <v>982</v>
      </c>
    </row>
    <row r="64" spans="1:56" x14ac:dyDescent="0.25">
      <c r="A64" s="12" t="str">
        <f t="shared" si="4"/>
        <v xml:space="preserve"> </v>
      </c>
      <c r="B64" s="36" t="s">
        <v>992</v>
      </c>
      <c r="C64" s="997">
        <v>1</v>
      </c>
      <c r="D64" s="998">
        <v>1</v>
      </c>
      <c r="E64" s="998">
        <v>1</v>
      </c>
      <c r="F64" s="998">
        <v>1</v>
      </c>
      <c r="G64" s="998"/>
      <c r="H64" s="999"/>
      <c r="I64" s="998"/>
      <c r="J64" s="1000">
        <f t="shared" si="5"/>
        <v>653</v>
      </c>
      <c r="K64" s="997">
        <v>1</v>
      </c>
      <c r="L64" s="998">
        <v>1</v>
      </c>
      <c r="M64" s="998">
        <v>1</v>
      </c>
      <c r="N64" s="998">
        <v>1</v>
      </c>
      <c r="O64" s="998">
        <v>1</v>
      </c>
      <c r="P64" s="999"/>
      <c r="Q64" s="998"/>
      <c r="R64" s="1000">
        <f t="shared" si="6"/>
        <v>653</v>
      </c>
      <c r="S64" s="1001"/>
      <c r="T64" s="997">
        <v>0</v>
      </c>
      <c r="U64" s="998">
        <v>0</v>
      </c>
      <c r="V64" s="998">
        <v>0</v>
      </c>
      <c r="W64" s="998">
        <v>0</v>
      </c>
      <c r="X64" s="1002">
        <v>0</v>
      </c>
      <c r="Y64" s="1003">
        <f t="shared" si="3"/>
        <v>0.42640900000000004</v>
      </c>
      <c r="Z64" s="1004">
        <f t="shared" si="7"/>
        <v>208.94041000000001</v>
      </c>
      <c r="AA64" s="1001">
        <v>0</v>
      </c>
      <c r="AB64" s="997">
        <v>0</v>
      </c>
      <c r="AC64" s="1001">
        <v>0</v>
      </c>
      <c r="AD64" s="1001"/>
      <c r="AE64" s="997"/>
      <c r="AF64" s="1000"/>
      <c r="AG64" s="997">
        <v>99</v>
      </c>
      <c r="AH64" s="1001">
        <v>9999</v>
      </c>
      <c r="AI64" s="997">
        <v>99</v>
      </c>
      <c r="AJ64" s="1001">
        <v>9999</v>
      </c>
      <c r="AK64" s="998">
        <v>99</v>
      </c>
      <c r="AL64" s="1001">
        <v>9999</v>
      </c>
      <c r="AM64" s="997">
        <v>0</v>
      </c>
      <c r="AN64" s="1001">
        <v>0</v>
      </c>
      <c r="AO64" s="1001">
        <v>0</v>
      </c>
      <c r="AP64" s="997">
        <v>0</v>
      </c>
      <c r="AQ64" s="1001">
        <v>0</v>
      </c>
      <c r="AR64" s="1001">
        <v>0</v>
      </c>
      <c r="AS64" s="1001">
        <v>0</v>
      </c>
      <c r="AT64" s="1001">
        <v>0</v>
      </c>
      <c r="AU64" s="1007">
        <v>0</v>
      </c>
      <c r="AV64" s="1001">
        <v>0</v>
      </c>
      <c r="AW64" s="1001">
        <v>0</v>
      </c>
      <c r="AX64" s="28">
        <v>0</v>
      </c>
      <c r="AY64" s="639">
        <v>0.9</v>
      </c>
      <c r="AZ64" s="561"/>
      <c r="BA64" s="1005" t="s">
        <v>994</v>
      </c>
      <c r="BD64" s="1" t="s">
        <v>992</v>
      </c>
    </row>
    <row r="65" spans="1:56" x14ac:dyDescent="0.25">
      <c r="A65" s="12" t="str">
        <f t="shared" si="4"/>
        <v xml:space="preserve"> </v>
      </c>
      <c r="B65" s="36" t="s">
        <v>1343</v>
      </c>
      <c r="C65" s="997">
        <v>1</v>
      </c>
      <c r="D65" s="998">
        <v>1</v>
      </c>
      <c r="E65" s="998">
        <v>1</v>
      </c>
      <c r="F65" s="998">
        <v>1</v>
      </c>
      <c r="G65" s="998"/>
      <c r="H65" s="999"/>
      <c r="I65" s="998"/>
      <c r="J65" s="1000">
        <f t="shared" si="5"/>
        <v>653</v>
      </c>
      <c r="K65" s="997">
        <v>1</v>
      </c>
      <c r="L65" s="998">
        <v>1</v>
      </c>
      <c r="M65" s="998">
        <v>1</v>
      </c>
      <c r="N65" s="998">
        <v>1</v>
      </c>
      <c r="O65" s="998">
        <v>1</v>
      </c>
      <c r="P65" s="999"/>
      <c r="Q65" s="998"/>
      <c r="R65" s="1000">
        <f t="shared" si="6"/>
        <v>653</v>
      </c>
      <c r="S65" s="1001"/>
      <c r="T65" s="997">
        <v>0</v>
      </c>
      <c r="U65" s="998">
        <v>0</v>
      </c>
      <c r="V65" s="998">
        <v>0</v>
      </c>
      <c r="W65" s="998">
        <v>0</v>
      </c>
      <c r="X65" s="1002">
        <v>0</v>
      </c>
      <c r="Y65" s="1003">
        <f t="shared" si="3"/>
        <v>0.42640900000000004</v>
      </c>
      <c r="Z65" s="1004">
        <f t="shared" si="7"/>
        <v>208.94041000000001</v>
      </c>
      <c r="AA65" s="1001">
        <v>0</v>
      </c>
      <c r="AB65" s="997">
        <v>0</v>
      </c>
      <c r="AC65" s="1001">
        <v>0</v>
      </c>
      <c r="AD65" s="1001"/>
      <c r="AE65" s="997"/>
      <c r="AF65" s="1000"/>
      <c r="AG65" s="997">
        <v>99</v>
      </c>
      <c r="AH65" s="1001">
        <v>9999</v>
      </c>
      <c r="AI65" s="997">
        <v>99</v>
      </c>
      <c r="AJ65" s="1001">
        <v>9999</v>
      </c>
      <c r="AK65" s="998">
        <v>99</v>
      </c>
      <c r="AL65" s="1001">
        <v>9999</v>
      </c>
      <c r="AM65" s="997">
        <v>0</v>
      </c>
      <c r="AN65" s="1001">
        <v>0</v>
      </c>
      <c r="AO65" s="1001">
        <v>0</v>
      </c>
      <c r="AP65" s="997">
        <v>0</v>
      </c>
      <c r="AQ65" s="1001">
        <v>0</v>
      </c>
      <c r="AR65" s="1001">
        <v>0</v>
      </c>
      <c r="AS65" s="1001">
        <v>0</v>
      </c>
      <c r="AT65" s="1001">
        <v>0</v>
      </c>
      <c r="AU65" s="1007">
        <v>0</v>
      </c>
      <c r="AV65" s="1001">
        <v>0</v>
      </c>
      <c r="AW65" s="1001">
        <v>0</v>
      </c>
      <c r="AX65" s="28">
        <v>0</v>
      </c>
      <c r="AY65" s="639">
        <v>0.9</v>
      </c>
      <c r="AZ65" s="561"/>
      <c r="BA65" s="1005" t="s">
        <v>994</v>
      </c>
      <c r="BD65" s="1" t="s">
        <v>993</v>
      </c>
    </row>
    <row r="66" spans="1:56" x14ac:dyDescent="0.25">
      <c r="A66" s="12" t="str">
        <f t="shared" si="4"/>
        <v xml:space="preserve"> </v>
      </c>
      <c r="B66" s="36"/>
      <c r="C66" s="29"/>
      <c r="D66" s="22"/>
      <c r="E66" s="22"/>
      <c r="F66" s="22"/>
      <c r="G66" s="22"/>
      <c r="H66" s="45"/>
      <c r="I66" s="22"/>
      <c r="J66" s="12">
        <f t="shared" si="5"/>
        <v>0</v>
      </c>
      <c r="K66" s="29"/>
      <c r="L66" s="22"/>
      <c r="M66" s="22"/>
      <c r="N66" s="22"/>
      <c r="O66" s="22"/>
      <c r="P66" s="45"/>
      <c r="Q66" s="22"/>
      <c r="R66" s="12">
        <f t="shared" si="6"/>
        <v>0</v>
      </c>
      <c r="S66" s="28"/>
      <c r="T66" s="29"/>
      <c r="U66" s="22"/>
      <c r="V66" s="22"/>
      <c r="W66" s="22"/>
      <c r="X66" s="55"/>
      <c r="Y66" s="47">
        <f t="shared" si="3"/>
        <v>0</v>
      </c>
      <c r="Z66" s="49">
        <f t="shared" si="7"/>
        <v>0</v>
      </c>
      <c r="AA66" s="28"/>
      <c r="AB66" s="53"/>
      <c r="AC66" s="28"/>
      <c r="AD66" s="28"/>
      <c r="AE66" s="29"/>
      <c r="AF66" s="12"/>
      <c r="AG66" s="29"/>
      <c r="AH66" s="28"/>
      <c r="AI66" s="29"/>
      <c r="AJ66" s="28"/>
      <c r="AK66" s="22"/>
      <c r="AL66" s="28"/>
      <c r="AM66" s="29"/>
      <c r="AN66" s="28"/>
      <c r="AO66" s="28"/>
      <c r="AP66" s="29"/>
      <c r="AQ66" s="28"/>
      <c r="AR66" s="28"/>
      <c r="AS66" s="28"/>
      <c r="AT66" s="28"/>
      <c r="AU66" s="810"/>
      <c r="AV66" s="967"/>
      <c r="AW66" s="28"/>
      <c r="AX66" s="28"/>
      <c r="AY66" s="639"/>
      <c r="AZ66" s="557"/>
    </row>
    <row r="67" spans="1:56" x14ac:dyDescent="0.25">
      <c r="A67" s="12" t="str">
        <f t="shared" si="4"/>
        <v xml:space="preserve"> </v>
      </c>
      <c r="B67" s="36"/>
      <c r="C67" s="29"/>
      <c r="D67" s="22"/>
      <c r="E67" s="22"/>
      <c r="F67" s="22"/>
      <c r="G67" s="22"/>
      <c r="H67" s="45"/>
      <c r="I67" s="22"/>
      <c r="J67" s="12">
        <f t="shared" si="5"/>
        <v>0</v>
      </c>
      <c r="K67" s="29"/>
      <c r="L67" s="22"/>
      <c r="M67" s="22"/>
      <c r="N67" s="22"/>
      <c r="O67" s="22"/>
      <c r="P67" s="45"/>
      <c r="Q67" s="22"/>
      <c r="R67" s="12">
        <f t="shared" si="6"/>
        <v>0</v>
      </c>
      <c r="S67" s="28"/>
      <c r="T67" s="29"/>
      <c r="U67" s="22"/>
      <c r="V67" s="22"/>
      <c r="W67" s="22"/>
      <c r="X67" s="55"/>
      <c r="Y67" s="47">
        <f t="shared" si="3"/>
        <v>0</v>
      </c>
      <c r="Z67" s="49">
        <f t="shared" si="7"/>
        <v>0</v>
      </c>
      <c r="AA67" s="28"/>
      <c r="AB67" s="53"/>
      <c r="AC67" s="28"/>
      <c r="AD67" s="28"/>
      <c r="AE67" s="29"/>
      <c r="AF67" s="12"/>
      <c r="AG67" s="29"/>
      <c r="AH67" s="28"/>
      <c r="AI67" s="29"/>
      <c r="AJ67" s="28"/>
      <c r="AK67" s="22"/>
      <c r="AL67" s="28"/>
      <c r="AM67" s="29"/>
      <c r="AN67" s="28"/>
      <c r="AO67" s="28"/>
      <c r="AP67" s="29"/>
      <c r="AQ67" s="28"/>
      <c r="AR67" s="28"/>
      <c r="AS67" s="28"/>
      <c r="AT67" s="28"/>
      <c r="AU67" s="810"/>
      <c r="AV67" s="967"/>
      <c r="AW67" s="28"/>
      <c r="AX67" s="28"/>
      <c r="AY67" s="639"/>
      <c r="AZ67" s="557"/>
    </row>
    <row r="68" spans="1:56" x14ac:dyDescent="0.25">
      <c r="A68" s="12" t="str">
        <f t="shared" si="4"/>
        <v xml:space="preserve"> </v>
      </c>
      <c r="B68" s="36"/>
      <c r="C68" s="29"/>
      <c r="D68" s="22"/>
      <c r="E68" s="22"/>
      <c r="F68" s="22"/>
      <c r="G68" s="22"/>
      <c r="H68" s="45"/>
      <c r="I68" s="22"/>
      <c r="J68" s="12">
        <f t="shared" si="5"/>
        <v>0</v>
      </c>
      <c r="K68" s="29"/>
      <c r="L68" s="22"/>
      <c r="M68" s="22"/>
      <c r="N68" s="22"/>
      <c r="O68" s="22"/>
      <c r="P68" s="45"/>
      <c r="Q68" s="22"/>
      <c r="R68" s="12">
        <f t="shared" si="6"/>
        <v>0</v>
      </c>
      <c r="S68" s="28"/>
      <c r="T68" s="29"/>
      <c r="U68" s="22"/>
      <c r="V68" s="22"/>
      <c r="W68" s="22"/>
      <c r="X68" s="55"/>
      <c r="Y68" s="47">
        <f t="shared" si="3"/>
        <v>0</v>
      </c>
      <c r="Z68" s="49">
        <f t="shared" si="7"/>
        <v>0</v>
      </c>
      <c r="AA68" s="28"/>
      <c r="AB68" s="53"/>
      <c r="AC68" s="28"/>
      <c r="AD68" s="28"/>
      <c r="AE68" s="29"/>
      <c r="AF68" s="12"/>
      <c r="AG68" s="29"/>
      <c r="AH68" s="28"/>
      <c r="AI68" s="29"/>
      <c r="AJ68" s="28"/>
      <c r="AK68" s="22"/>
      <c r="AL68" s="28"/>
      <c r="AM68" s="29"/>
      <c r="AN68" s="28"/>
      <c r="AO68" s="28"/>
      <c r="AP68" s="29"/>
      <c r="AQ68" s="28"/>
      <c r="AR68" s="28"/>
      <c r="AS68" s="28"/>
      <c r="AT68" s="28"/>
      <c r="AU68" s="810"/>
      <c r="AV68" s="967"/>
      <c r="AW68" s="28"/>
      <c r="AX68" s="28"/>
      <c r="AY68" s="639"/>
      <c r="AZ68" s="557"/>
    </row>
    <row r="69" spans="1:56" x14ac:dyDescent="0.25">
      <c r="A69" s="12" t="str">
        <f t="shared" si="4"/>
        <v xml:space="preserve"> </v>
      </c>
      <c r="B69" s="36"/>
      <c r="C69" s="29"/>
      <c r="D69" s="22"/>
      <c r="E69" s="22"/>
      <c r="F69" s="22"/>
      <c r="G69" s="22"/>
      <c r="H69" s="45"/>
      <c r="I69" s="22"/>
      <c r="J69" s="12">
        <f t="shared" si="5"/>
        <v>0</v>
      </c>
      <c r="K69" s="29"/>
      <c r="L69" s="22"/>
      <c r="M69" s="22"/>
      <c r="N69" s="22"/>
      <c r="O69" s="22"/>
      <c r="P69" s="45"/>
      <c r="Q69" s="22"/>
      <c r="R69" s="12">
        <f t="shared" si="6"/>
        <v>0</v>
      </c>
      <c r="S69" s="28"/>
      <c r="T69" s="29"/>
      <c r="U69" s="22"/>
      <c r="V69" s="22"/>
      <c r="W69" s="22"/>
      <c r="X69" s="55"/>
      <c r="Y69" s="47">
        <f t="shared" si="3"/>
        <v>0</v>
      </c>
      <c r="Z69" s="49">
        <f t="shared" si="7"/>
        <v>0</v>
      </c>
      <c r="AA69" s="28"/>
      <c r="AB69" s="53"/>
      <c r="AC69" s="28"/>
      <c r="AD69" s="28"/>
      <c r="AE69" s="29"/>
      <c r="AF69" s="12"/>
      <c r="AG69" s="29"/>
      <c r="AH69" s="28"/>
      <c r="AI69" s="29"/>
      <c r="AJ69" s="28"/>
      <c r="AK69" s="22"/>
      <c r="AL69" s="28"/>
      <c r="AM69" s="29"/>
      <c r="AN69" s="28"/>
      <c r="AO69" s="28"/>
      <c r="AP69" s="29"/>
      <c r="AQ69" s="28"/>
      <c r="AR69" s="28"/>
      <c r="AS69" s="28"/>
      <c r="AT69" s="28"/>
      <c r="AU69" s="810"/>
      <c r="AV69" s="967"/>
      <c r="AW69" s="28"/>
      <c r="AX69" s="28"/>
      <c r="AY69" s="639"/>
      <c r="AZ69" s="557"/>
    </row>
    <row r="70" spans="1:56" x14ac:dyDescent="0.25">
      <c r="A70" s="13" t="str">
        <f t="shared" si="4"/>
        <v xml:space="preserve"> </v>
      </c>
      <c r="B70" s="37"/>
      <c r="C70" s="31"/>
      <c r="D70" s="32"/>
      <c r="E70" s="32"/>
      <c r="F70" s="32"/>
      <c r="G70" s="32"/>
      <c r="H70" s="46"/>
      <c r="I70" s="32"/>
      <c r="J70" s="13">
        <f t="shared" si="5"/>
        <v>0</v>
      </c>
      <c r="K70" s="31"/>
      <c r="L70" s="32"/>
      <c r="M70" s="32"/>
      <c r="N70" s="32"/>
      <c r="O70" s="32"/>
      <c r="P70" s="46"/>
      <c r="Q70" s="32"/>
      <c r="R70" s="13">
        <f t="shared" si="6"/>
        <v>0</v>
      </c>
      <c r="S70" s="34"/>
      <c r="T70" s="31"/>
      <c r="U70" s="32"/>
      <c r="V70" s="32"/>
      <c r="W70" s="32"/>
      <c r="X70" s="56"/>
      <c r="Y70" s="48">
        <f t="shared" si="3"/>
        <v>0</v>
      </c>
      <c r="Z70" s="50">
        <f t="shared" si="7"/>
        <v>0</v>
      </c>
      <c r="AA70" s="34"/>
      <c r="AB70" s="54"/>
      <c r="AC70" s="34"/>
      <c r="AD70" s="34"/>
      <c r="AE70" s="31"/>
      <c r="AF70" s="13"/>
      <c r="AG70" s="31"/>
      <c r="AH70" s="34"/>
      <c r="AI70" s="31"/>
      <c r="AJ70" s="34"/>
      <c r="AK70" s="32"/>
      <c r="AL70" s="34"/>
      <c r="AM70" s="31"/>
      <c r="AN70" s="34"/>
      <c r="AO70" s="34"/>
      <c r="AP70" s="31"/>
      <c r="AQ70" s="34"/>
      <c r="AR70" s="34"/>
      <c r="AS70" s="34"/>
      <c r="AT70" s="34"/>
      <c r="AU70" s="811"/>
      <c r="AV70" s="474"/>
      <c r="AW70" s="34"/>
      <c r="AX70" s="34"/>
      <c r="AY70" s="640"/>
      <c r="AZ70" s="559"/>
    </row>
    <row r="73" spans="1:56" x14ac:dyDescent="0.25">
      <c r="B73" t="s">
        <v>1009</v>
      </c>
    </row>
    <row r="74" spans="1:56" x14ac:dyDescent="0.25">
      <c r="B74"/>
    </row>
    <row r="75" spans="1:56" x14ac:dyDescent="0.25">
      <c r="B75" s="404"/>
      <c r="C75" s="412"/>
      <c r="D75" s="404"/>
      <c r="E75" s="1313" t="s">
        <v>9</v>
      </c>
      <c r="F75" s="1303"/>
      <c r="G75" s="1313" t="s">
        <v>18</v>
      </c>
      <c r="H75" s="1303"/>
      <c r="I75" s="1314" t="s">
        <v>19</v>
      </c>
      <c r="J75" s="1303"/>
      <c r="K75" s="1285" t="s">
        <v>1010</v>
      </c>
      <c r="L75" s="1286"/>
      <c r="M75" s="1286"/>
      <c r="N75" s="1286"/>
      <c r="O75" s="1286"/>
      <c r="P75" s="1284"/>
      <c r="Q75" s="442" t="s">
        <v>1007</v>
      </c>
    </row>
    <row r="76" spans="1:56" x14ac:dyDescent="0.25">
      <c r="B76" s="12" t="s">
        <v>912</v>
      </c>
      <c r="C76" s="2" t="s">
        <v>31</v>
      </c>
      <c r="D76" s="12" t="s">
        <v>1006</v>
      </c>
      <c r="E76" s="26" t="s">
        <v>150</v>
      </c>
      <c r="F76" s="25" t="s">
        <v>151</v>
      </c>
      <c r="G76" s="26" t="s">
        <v>691</v>
      </c>
      <c r="H76" s="25" t="s">
        <v>151</v>
      </c>
      <c r="I76" s="2" t="s">
        <v>691</v>
      </c>
      <c r="J76" s="25" t="s">
        <v>151</v>
      </c>
      <c r="K76" s="26" t="s">
        <v>983</v>
      </c>
      <c r="L76" s="442" t="s">
        <v>530</v>
      </c>
      <c r="M76" s="2" t="s">
        <v>1011</v>
      </c>
      <c r="N76" s="404"/>
      <c r="P76" s="404"/>
      <c r="Q76" s="12" t="s">
        <v>1008</v>
      </c>
    </row>
    <row r="77" spans="1:56" x14ac:dyDescent="0.25">
      <c r="B77" s="951"/>
      <c r="C77" s="23"/>
      <c r="D77" s="951"/>
      <c r="E77" s="208">
        <f>AG46</f>
        <v>100</v>
      </c>
      <c r="F77" s="208">
        <f t="shared" ref="F77:J77" si="8">AH46</f>
        <v>2000</v>
      </c>
      <c r="G77" s="208">
        <f t="shared" si="8"/>
        <v>70</v>
      </c>
      <c r="H77" s="208">
        <f t="shared" si="8"/>
        <v>1000</v>
      </c>
      <c r="I77" s="208">
        <f t="shared" si="8"/>
        <v>37</v>
      </c>
      <c r="J77" s="951">
        <f t="shared" si="8"/>
        <v>1200</v>
      </c>
      <c r="K77" s="208">
        <f>AO46</f>
        <v>0</v>
      </c>
      <c r="L77" s="951">
        <f>AP46</f>
        <v>0</v>
      </c>
      <c r="M77" s="23">
        <f>AX46</f>
        <v>1</v>
      </c>
      <c r="N77" s="959"/>
      <c r="O77" s="43"/>
      <c r="P77" s="959"/>
      <c r="Q77" s="952">
        <v>9</v>
      </c>
    </row>
    <row r="78" spans="1:56" x14ac:dyDescent="0.25">
      <c r="B78" s="951">
        <f>C6</f>
        <v>300</v>
      </c>
      <c r="C78" s="23">
        <f>C7</f>
        <v>250</v>
      </c>
      <c r="D78" s="951">
        <f>C8</f>
        <v>100</v>
      </c>
      <c r="E78" s="951">
        <f>IF(B78&gt;=E77,1,0)</f>
        <v>1</v>
      </c>
      <c r="F78" s="38">
        <f>IF(B78&lt;=F77,1,0)</f>
        <v>1</v>
      </c>
      <c r="G78" s="951">
        <f>IF(C78&gt;=G77,1,0)</f>
        <v>1</v>
      </c>
      <c r="H78" s="38">
        <f>IF(C78&lt;=H77,1,0)</f>
        <v>1</v>
      </c>
      <c r="I78" s="951">
        <f>IF(D78&gt;=I77,1,0)</f>
        <v>1</v>
      </c>
      <c r="J78" s="38">
        <f>IF(D78&lt;=J77,1,0)</f>
        <v>1</v>
      </c>
      <c r="K78" s="432">
        <f>IF(K77=0,1,IF(AND(K77=1,C8&lt;=C6),1,0))</f>
        <v>1</v>
      </c>
      <c r="L78" s="13">
        <f>IF(L77=0,1,IF(AND(L77=1,C6&gt;=(C7*2)),1,0))</f>
        <v>1</v>
      </c>
      <c r="M78" s="965">
        <f>IF(M77=0,1,IF(AND(M77=1,C8&gt;=(C6*0.1)),1,0))</f>
        <v>1</v>
      </c>
      <c r="N78" s="52"/>
      <c r="O78" s="918"/>
      <c r="P78" s="52"/>
      <c r="Q78" s="13">
        <f>IF(SUM(E78:P78)=Q77,1,0)</f>
        <v>1</v>
      </c>
    </row>
    <row r="79" spans="1:56" x14ac:dyDescent="0.25">
      <c r="B79"/>
    </row>
    <row r="80" spans="1:56" x14ac:dyDescent="0.25">
      <c r="B80"/>
    </row>
    <row r="81" spans="1:7" x14ac:dyDescent="0.25">
      <c r="B81"/>
    </row>
    <row r="82" spans="1:7" x14ac:dyDescent="0.25">
      <c r="B82"/>
    </row>
    <row r="84" spans="1:7" x14ac:dyDescent="0.25">
      <c r="B84" s="1" t="s">
        <v>890</v>
      </c>
    </row>
    <row r="85" spans="1:7" x14ac:dyDescent="0.25">
      <c r="A85" s="17"/>
      <c r="B85" s="42" t="s">
        <v>2</v>
      </c>
      <c r="C85" s="21" t="s">
        <v>57</v>
      </c>
      <c r="D85" s="21" t="s">
        <v>58</v>
      </c>
      <c r="E85" s="473" t="s">
        <v>854</v>
      </c>
      <c r="F85" s="208" t="s">
        <v>891</v>
      </c>
      <c r="G85" s="473" t="s">
        <v>892</v>
      </c>
    </row>
    <row r="86" spans="1:7" x14ac:dyDescent="0.25">
      <c r="A86" s="11"/>
      <c r="B86" s="35"/>
      <c r="C86" s="51"/>
      <c r="D86" s="51"/>
      <c r="E86" s="841"/>
      <c r="F86" s="404"/>
      <c r="G86" s="404"/>
    </row>
    <row r="87" spans="1:7" x14ac:dyDescent="0.25">
      <c r="A87" s="12" t="str">
        <f t="shared" ref="A87:B102" si="9">A50</f>
        <v xml:space="preserve"> </v>
      </c>
      <c r="B87" s="36" t="str">
        <f t="shared" si="9"/>
        <v>0110</v>
      </c>
      <c r="C87" s="12">
        <f t="shared" ref="C87:C107" si="10">J50</f>
        <v>300</v>
      </c>
      <c r="D87" s="12">
        <f t="shared" ref="D87:D107" si="11">R50</f>
        <v>250</v>
      </c>
      <c r="E87" s="557">
        <v>1</v>
      </c>
      <c r="F87" s="12">
        <f>C87</f>
        <v>300</v>
      </c>
      <c r="G87" s="12">
        <f>D87</f>
        <v>250</v>
      </c>
    </row>
    <row r="88" spans="1:7" x14ac:dyDescent="0.25">
      <c r="A88" s="12" t="str">
        <f t="shared" si="9"/>
        <v xml:space="preserve"> </v>
      </c>
      <c r="B88" s="36" t="str">
        <f t="shared" si="9"/>
        <v>0200</v>
      </c>
      <c r="C88" s="12">
        <f t="shared" si="10"/>
        <v>232</v>
      </c>
      <c r="D88" s="12">
        <f t="shared" si="11"/>
        <v>1114</v>
      </c>
      <c r="E88" s="557">
        <v>2</v>
      </c>
      <c r="F88" s="12">
        <f t="shared" ref="F88:G103" si="12">C88</f>
        <v>232</v>
      </c>
      <c r="G88" s="12">
        <f>D88/E88</f>
        <v>557</v>
      </c>
    </row>
    <row r="89" spans="1:7" x14ac:dyDescent="0.25">
      <c r="A89" s="12">
        <f t="shared" si="9"/>
        <v>1</v>
      </c>
      <c r="B89" s="36" t="str">
        <f t="shared" si="9"/>
        <v>0201</v>
      </c>
      <c r="C89" s="12">
        <f t="shared" si="10"/>
        <v>361</v>
      </c>
      <c r="D89" s="12">
        <f t="shared" si="11"/>
        <v>1114</v>
      </c>
      <c r="E89" s="557">
        <v>2</v>
      </c>
      <c r="F89" s="12">
        <f t="shared" si="12"/>
        <v>361</v>
      </c>
      <c r="G89" s="12">
        <f t="shared" ref="G89:G90" si="13">D89/E89</f>
        <v>557</v>
      </c>
    </row>
    <row r="90" spans="1:7" x14ac:dyDescent="0.25">
      <c r="A90" s="12" t="str">
        <f t="shared" si="9"/>
        <v xml:space="preserve"> </v>
      </c>
      <c r="B90" s="36" t="str">
        <f t="shared" si="9"/>
        <v>0203</v>
      </c>
      <c r="C90" s="12">
        <f t="shared" si="10"/>
        <v>614</v>
      </c>
      <c r="D90" s="12">
        <f t="shared" si="11"/>
        <v>1114</v>
      </c>
      <c r="E90" s="557">
        <v>2</v>
      </c>
      <c r="F90" s="12">
        <f t="shared" si="12"/>
        <v>614</v>
      </c>
      <c r="G90" s="12">
        <f t="shared" si="13"/>
        <v>557</v>
      </c>
    </row>
    <row r="91" spans="1:7" x14ac:dyDescent="0.25">
      <c r="A91" s="12" t="str">
        <f t="shared" si="9"/>
        <v xml:space="preserve"> </v>
      </c>
      <c r="B91" s="36" t="str">
        <f t="shared" si="9"/>
        <v>0409</v>
      </c>
      <c r="C91" s="12">
        <f t="shared" si="10"/>
        <v>514</v>
      </c>
      <c r="D91" s="12">
        <f t="shared" si="11"/>
        <v>819</v>
      </c>
      <c r="E91" s="557">
        <v>1</v>
      </c>
      <c r="F91" s="12">
        <f t="shared" si="12"/>
        <v>514</v>
      </c>
      <c r="G91" s="12">
        <f t="shared" si="12"/>
        <v>819</v>
      </c>
    </row>
    <row r="92" spans="1:7" x14ac:dyDescent="0.25">
      <c r="A92" s="12" t="str">
        <f t="shared" si="9"/>
        <v xml:space="preserve"> </v>
      </c>
      <c r="B92" s="36" t="str">
        <f t="shared" si="9"/>
        <v>0410</v>
      </c>
      <c r="C92" s="12">
        <f t="shared" si="10"/>
        <v>514</v>
      </c>
      <c r="D92" s="12">
        <f t="shared" si="11"/>
        <v>819</v>
      </c>
      <c r="E92" s="557">
        <v>1</v>
      </c>
      <c r="F92" s="12">
        <f t="shared" si="12"/>
        <v>514</v>
      </c>
      <c r="G92" s="12">
        <f t="shared" si="12"/>
        <v>819</v>
      </c>
    </row>
    <row r="93" spans="1:7" x14ac:dyDescent="0.25">
      <c r="A93" s="12" t="str">
        <f t="shared" si="9"/>
        <v xml:space="preserve"> </v>
      </c>
      <c r="B93" s="36" t="str">
        <f t="shared" si="9"/>
        <v>0412</v>
      </c>
      <c r="C93" s="12">
        <f t="shared" si="10"/>
        <v>978</v>
      </c>
      <c r="D93" s="12">
        <f t="shared" si="11"/>
        <v>616</v>
      </c>
      <c r="E93" s="557">
        <v>1</v>
      </c>
      <c r="F93" s="12">
        <f t="shared" si="12"/>
        <v>978</v>
      </c>
      <c r="G93" s="12">
        <f t="shared" si="12"/>
        <v>616</v>
      </c>
    </row>
    <row r="94" spans="1:7" x14ac:dyDescent="0.25">
      <c r="A94" s="12" t="str">
        <f t="shared" si="9"/>
        <v xml:space="preserve"> </v>
      </c>
      <c r="B94" s="36" t="str">
        <f t="shared" si="9"/>
        <v>0427</v>
      </c>
      <c r="C94" s="12">
        <f t="shared" si="10"/>
        <v>760</v>
      </c>
      <c r="D94" s="12">
        <f t="shared" si="11"/>
        <v>819</v>
      </c>
      <c r="E94" s="557">
        <v>1</v>
      </c>
      <c r="F94" s="12">
        <f t="shared" si="12"/>
        <v>760</v>
      </c>
      <c r="G94" s="12">
        <f t="shared" si="12"/>
        <v>819</v>
      </c>
    </row>
    <row r="95" spans="1:7" x14ac:dyDescent="0.25">
      <c r="A95" s="12" t="str">
        <f t="shared" si="9"/>
        <v xml:space="preserve"> </v>
      </c>
      <c r="B95" s="36" t="str">
        <f t="shared" si="9"/>
        <v>0421</v>
      </c>
      <c r="C95" s="12">
        <f t="shared" si="10"/>
        <v>748</v>
      </c>
      <c r="D95" s="12">
        <f t="shared" si="11"/>
        <v>741</v>
      </c>
      <c r="E95" s="557">
        <v>1</v>
      </c>
      <c r="F95" s="12">
        <f t="shared" si="12"/>
        <v>748</v>
      </c>
      <c r="G95" s="12">
        <f t="shared" si="12"/>
        <v>741</v>
      </c>
    </row>
    <row r="96" spans="1:7" x14ac:dyDescent="0.25">
      <c r="A96" s="12" t="str">
        <f t="shared" si="9"/>
        <v xml:space="preserve"> </v>
      </c>
      <c r="B96" s="36" t="str">
        <f t="shared" si="9"/>
        <v>0422</v>
      </c>
      <c r="C96" s="12">
        <f t="shared" si="10"/>
        <v>748</v>
      </c>
      <c r="D96" s="12">
        <f t="shared" si="11"/>
        <v>458</v>
      </c>
      <c r="E96" s="557">
        <v>1</v>
      </c>
      <c r="F96" s="12">
        <f t="shared" si="12"/>
        <v>748</v>
      </c>
      <c r="G96" s="12">
        <f t="shared" si="12"/>
        <v>458</v>
      </c>
    </row>
    <row r="97" spans="1:9" x14ac:dyDescent="0.25">
      <c r="A97" s="12" t="str">
        <f t="shared" si="9"/>
        <v xml:space="preserve"> </v>
      </c>
      <c r="B97" s="36" t="str">
        <f t="shared" si="9"/>
        <v>0452</v>
      </c>
      <c r="C97" s="12">
        <f t="shared" si="10"/>
        <v>464</v>
      </c>
      <c r="D97" s="12">
        <f t="shared" si="11"/>
        <v>508</v>
      </c>
      <c r="E97" s="557">
        <v>1</v>
      </c>
      <c r="F97" s="12">
        <f t="shared" si="12"/>
        <v>464</v>
      </c>
      <c r="G97" s="12">
        <f t="shared" si="12"/>
        <v>508</v>
      </c>
    </row>
    <row r="98" spans="1:9" x14ac:dyDescent="0.25">
      <c r="A98" s="12" t="str">
        <f t="shared" si="9"/>
        <v xml:space="preserve"> </v>
      </c>
      <c r="B98" s="36" t="str">
        <f t="shared" si="9"/>
        <v>0501</v>
      </c>
      <c r="C98" s="12">
        <f t="shared" si="10"/>
        <v>100</v>
      </c>
      <c r="D98" s="12">
        <f t="shared" si="11"/>
        <v>1114</v>
      </c>
      <c r="E98" s="557">
        <v>2</v>
      </c>
      <c r="F98" s="12">
        <f t="shared" si="12"/>
        <v>100</v>
      </c>
      <c r="G98" s="12">
        <f>D98/E98</f>
        <v>557</v>
      </c>
    </row>
    <row r="99" spans="1:9" x14ac:dyDescent="0.25">
      <c r="A99" s="12" t="str">
        <f t="shared" si="9"/>
        <v xml:space="preserve"> </v>
      </c>
      <c r="B99" s="36" t="str">
        <f t="shared" si="9"/>
        <v>0401</v>
      </c>
      <c r="C99" s="12">
        <f t="shared" si="10"/>
        <v>722</v>
      </c>
      <c r="D99" s="12">
        <f t="shared" si="11"/>
        <v>616</v>
      </c>
      <c r="E99" s="557">
        <v>1</v>
      </c>
      <c r="F99" s="12">
        <f t="shared" si="12"/>
        <v>722</v>
      </c>
      <c r="G99" s="12">
        <f t="shared" si="12"/>
        <v>616</v>
      </c>
    </row>
    <row r="100" spans="1:9" x14ac:dyDescent="0.25">
      <c r="A100" s="12" t="str">
        <f t="shared" si="9"/>
        <v xml:space="preserve"> </v>
      </c>
      <c r="B100" s="36" t="str">
        <f t="shared" si="9"/>
        <v>0471</v>
      </c>
      <c r="C100" s="12">
        <f t="shared" si="10"/>
        <v>822</v>
      </c>
      <c r="D100" s="12">
        <f t="shared" si="11"/>
        <v>826</v>
      </c>
      <c r="E100" s="557">
        <v>1</v>
      </c>
      <c r="F100" s="12">
        <f t="shared" si="12"/>
        <v>822</v>
      </c>
      <c r="G100" s="12">
        <f t="shared" si="12"/>
        <v>826</v>
      </c>
    </row>
    <row r="101" spans="1:9" x14ac:dyDescent="0.25">
      <c r="A101" s="12" t="str">
        <f t="shared" si="9"/>
        <v xml:space="preserve"> </v>
      </c>
      <c r="B101" s="36" t="str">
        <f t="shared" si="9"/>
        <v>0933</v>
      </c>
      <c r="C101" s="12">
        <f t="shared" si="10"/>
        <v>653</v>
      </c>
      <c r="D101" s="12">
        <f t="shared" si="11"/>
        <v>653</v>
      </c>
      <c r="E101" s="557">
        <v>1</v>
      </c>
      <c r="F101" s="12">
        <f t="shared" si="12"/>
        <v>653</v>
      </c>
      <c r="G101" s="12">
        <f t="shared" si="12"/>
        <v>653</v>
      </c>
    </row>
    <row r="102" spans="1:9" x14ac:dyDescent="0.25">
      <c r="A102" s="12" t="str">
        <f t="shared" si="9"/>
        <v xml:space="preserve"> </v>
      </c>
      <c r="B102" s="36" t="str">
        <f t="shared" si="9"/>
        <v>0701</v>
      </c>
      <c r="C102" s="12">
        <f t="shared" si="10"/>
        <v>653</v>
      </c>
      <c r="D102" s="12">
        <f t="shared" si="11"/>
        <v>653</v>
      </c>
      <c r="E102" s="557">
        <v>1</v>
      </c>
      <c r="F102" s="12">
        <f t="shared" si="12"/>
        <v>653</v>
      </c>
      <c r="G102" s="12">
        <f t="shared" si="12"/>
        <v>653</v>
      </c>
    </row>
    <row r="103" spans="1:9" x14ac:dyDescent="0.25">
      <c r="A103" s="12" t="str">
        <f t="shared" ref="A103:B107" si="14">A66</f>
        <v xml:space="preserve"> </v>
      </c>
      <c r="B103" s="36">
        <f t="shared" si="14"/>
        <v>0</v>
      </c>
      <c r="C103" s="12">
        <f t="shared" si="10"/>
        <v>0</v>
      </c>
      <c r="D103" s="12">
        <f t="shared" si="11"/>
        <v>0</v>
      </c>
      <c r="E103" s="557"/>
      <c r="F103" s="12">
        <f t="shared" si="12"/>
        <v>0</v>
      </c>
      <c r="G103" s="12">
        <f t="shared" si="12"/>
        <v>0</v>
      </c>
    </row>
    <row r="104" spans="1:9" x14ac:dyDescent="0.25">
      <c r="A104" s="12" t="str">
        <f t="shared" si="14"/>
        <v xml:space="preserve"> </v>
      </c>
      <c r="B104" s="36">
        <f t="shared" si="14"/>
        <v>0</v>
      </c>
      <c r="C104" s="12">
        <f t="shared" si="10"/>
        <v>0</v>
      </c>
      <c r="D104" s="12">
        <f t="shared" si="11"/>
        <v>0</v>
      </c>
      <c r="E104" s="557"/>
      <c r="F104" s="12">
        <f t="shared" ref="F104:G107" si="15">C104</f>
        <v>0</v>
      </c>
      <c r="G104" s="12">
        <f t="shared" si="15"/>
        <v>0</v>
      </c>
    </row>
    <row r="105" spans="1:9" x14ac:dyDescent="0.25">
      <c r="A105" s="12" t="str">
        <f t="shared" si="14"/>
        <v xml:space="preserve"> </v>
      </c>
      <c r="B105" s="36">
        <f t="shared" si="14"/>
        <v>0</v>
      </c>
      <c r="C105" s="12">
        <f t="shared" si="10"/>
        <v>0</v>
      </c>
      <c r="D105" s="12">
        <f t="shared" si="11"/>
        <v>0</v>
      </c>
      <c r="E105" s="557"/>
      <c r="F105" s="12">
        <f t="shared" si="15"/>
        <v>0</v>
      </c>
      <c r="G105" s="12">
        <f t="shared" si="15"/>
        <v>0</v>
      </c>
    </row>
    <row r="106" spans="1:9" x14ac:dyDescent="0.25">
      <c r="A106" s="12" t="str">
        <f t="shared" si="14"/>
        <v xml:space="preserve"> </v>
      </c>
      <c r="B106" s="36">
        <f t="shared" si="14"/>
        <v>0</v>
      </c>
      <c r="C106" s="12">
        <f t="shared" si="10"/>
        <v>0</v>
      </c>
      <c r="D106" s="12">
        <f t="shared" si="11"/>
        <v>0</v>
      </c>
      <c r="E106" s="842"/>
      <c r="F106" s="12">
        <f t="shared" si="15"/>
        <v>0</v>
      </c>
      <c r="G106" s="12">
        <f t="shared" si="15"/>
        <v>0</v>
      </c>
      <c r="H106" s="843" t="s">
        <v>508</v>
      </c>
      <c r="I106" s="404" t="s">
        <v>605</v>
      </c>
    </row>
    <row r="107" spans="1:9" x14ac:dyDescent="0.25">
      <c r="A107" s="13" t="str">
        <f t="shared" si="14"/>
        <v xml:space="preserve"> </v>
      </c>
      <c r="B107" s="37">
        <f t="shared" si="14"/>
        <v>0</v>
      </c>
      <c r="C107" s="13">
        <f t="shared" si="10"/>
        <v>0</v>
      </c>
      <c r="D107" s="13">
        <f t="shared" si="11"/>
        <v>0</v>
      </c>
      <c r="E107" s="842"/>
      <c r="F107" s="12">
        <f t="shared" si="15"/>
        <v>0</v>
      </c>
      <c r="G107" s="12">
        <f t="shared" si="15"/>
        <v>0</v>
      </c>
      <c r="H107" s="844" t="s">
        <v>604</v>
      </c>
      <c r="I107" s="52" t="s">
        <v>603</v>
      </c>
    </row>
    <row r="108" spans="1:9" x14ac:dyDescent="0.25">
      <c r="A108" s="16"/>
      <c r="B108" s="57" t="s">
        <v>92</v>
      </c>
      <c r="C108" s="21">
        <f>VLOOKUP(1,A87:G107,3,FALSE)</f>
        <v>361</v>
      </c>
      <c r="D108" s="38">
        <f>VLOOKUP(1,A87:G107,4,FALSE)</f>
        <v>1114</v>
      </c>
      <c r="E108" s="473">
        <f>VLOOKUP(1,A87:G107,5,FALSE)</f>
        <v>2</v>
      </c>
      <c r="F108" s="473">
        <f>VLOOKUP(1,A87:G107,6,FALSE)</f>
        <v>361</v>
      </c>
      <c r="G108" s="473">
        <f>VLOOKUP(1,A87:G107,7,FALSE)</f>
        <v>557</v>
      </c>
      <c r="H108" s="844">
        <f>(C108/1000)*(D108/1000)</f>
        <v>0.40215400000000001</v>
      </c>
      <c r="I108" s="545">
        <f>H108*C3</f>
        <v>197.05546000000001</v>
      </c>
    </row>
    <row r="111" spans="1:9" x14ac:dyDescent="0.25">
      <c r="B111" s="1" t="s">
        <v>82</v>
      </c>
      <c r="C111" s="21">
        <f>VLOOKUP(1,A113:C116,3,FALSE)</f>
        <v>0</v>
      </c>
      <c r="D111" s="21">
        <f>VLOOKUP(1,A113:D116,4,FALSE)</f>
        <v>0</v>
      </c>
    </row>
    <row r="112" spans="1:9" x14ac:dyDescent="0.25">
      <c r="A112" s="16"/>
      <c r="B112" s="42" t="s">
        <v>39</v>
      </c>
      <c r="C112" s="38" t="s">
        <v>95</v>
      </c>
      <c r="D112" s="13" t="s">
        <v>838</v>
      </c>
    </row>
    <row r="113" spans="1:5" x14ac:dyDescent="0.25">
      <c r="A113" s="11">
        <f>IF($C$14=B113,1," ")</f>
        <v>1</v>
      </c>
      <c r="B113" s="469" t="s">
        <v>1146</v>
      </c>
      <c r="C113" s="40">
        <v>0</v>
      </c>
      <c r="D113" s="486">
        <v>0</v>
      </c>
    </row>
    <row r="114" spans="1:5" x14ac:dyDescent="0.25">
      <c r="A114" s="12" t="str">
        <f t="shared" ref="A114:A116" si="16">IF($C$14=B114,1," ")</f>
        <v xml:space="preserve"> </v>
      </c>
      <c r="B114" s="61" t="s">
        <v>1147</v>
      </c>
      <c r="C114" s="28">
        <v>1</v>
      </c>
      <c r="D114" s="28">
        <v>30</v>
      </c>
    </row>
    <row r="115" spans="1:5" x14ac:dyDescent="0.25">
      <c r="A115" s="12" t="str">
        <f t="shared" si="16"/>
        <v xml:space="preserve"> </v>
      </c>
      <c r="B115" s="61" t="s">
        <v>1148</v>
      </c>
      <c r="C115" s="28">
        <v>1</v>
      </c>
      <c r="D115" s="28">
        <v>40</v>
      </c>
    </row>
    <row r="116" spans="1:5" x14ac:dyDescent="0.25">
      <c r="A116" s="13" t="str">
        <f t="shared" si="16"/>
        <v xml:space="preserve"> </v>
      </c>
      <c r="B116" s="1158" t="s">
        <v>1149</v>
      </c>
      <c r="C116" s="34">
        <v>2</v>
      </c>
      <c r="D116" s="34">
        <v>80</v>
      </c>
    </row>
    <row r="118" spans="1:5" x14ac:dyDescent="0.25">
      <c r="E118" s="794">
        <v>0.06</v>
      </c>
    </row>
    <row r="119" spans="1:5" x14ac:dyDescent="0.25">
      <c r="C119" s="620">
        <f>VLOOKUP(1,A121:C128,3,FALSE)</f>
        <v>0.05</v>
      </c>
      <c r="D119" s="480">
        <f>VLOOKUP(1,A121:D128,4,FALSE)</f>
        <v>2.0107700000000003E-2</v>
      </c>
      <c r="E119" s="796">
        <f>IF(VLOOKUP(1,A121:E128,5,FALSE)&lt;=D111,D111,VLOOKUP(1,A121:E128,5,FALSE))</f>
        <v>0.59116637999999999</v>
      </c>
    </row>
    <row r="120" spans="1:5" x14ac:dyDescent="0.25">
      <c r="A120" s="16"/>
      <c r="B120" s="42" t="s">
        <v>39</v>
      </c>
      <c r="C120" s="473" t="s">
        <v>489</v>
      </c>
      <c r="D120" s="473" t="s">
        <v>837</v>
      </c>
      <c r="E120" s="442" t="s">
        <v>839</v>
      </c>
    </row>
    <row r="121" spans="1:5" x14ac:dyDescent="0.25">
      <c r="A121" s="11">
        <f>IF($C$15=B121,1," ")</f>
        <v>1</v>
      </c>
      <c r="B121" s="60" t="s">
        <v>84</v>
      </c>
      <c r="C121" s="639">
        <v>0.05</v>
      </c>
      <c r="D121" s="47">
        <f t="shared" ref="D121:D128" si="17">C121*$H$108</f>
        <v>2.0107700000000003E-2</v>
      </c>
      <c r="E121" s="797">
        <f t="shared" ref="E121:E128" si="18">(D121*$C$3)*$E$118</f>
        <v>0.59116637999999999</v>
      </c>
    </row>
    <row r="122" spans="1:5" x14ac:dyDescent="0.25">
      <c r="A122" s="12" t="str">
        <f t="shared" ref="A122:A128" si="19">IF($C$15=B122,1," ")</f>
        <v xml:space="preserve"> </v>
      </c>
      <c r="B122" s="61" t="s">
        <v>85</v>
      </c>
      <c r="C122" s="639">
        <v>0.1</v>
      </c>
      <c r="D122" s="47">
        <f t="shared" si="17"/>
        <v>4.0215400000000005E-2</v>
      </c>
      <c r="E122" s="798">
        <f t="shared" si="18"/>
        <v>1.18233276</v>
      </c>
    </row>
    <row r="123" spans="1:5" x14ac:dyDescent="0.25">
      <c r="A123" s="12" t="str">
        <f t="shared" si="19"/>
        <v xml:space="preserve"> </v>
      </c>
      <c r="B123" s="61" t="s">
        <v>86</v>
      </c>
      <c r="C123" s="639">
        <v>0.2</v>
      </c>
      <c r="D123" s="47">
        <f t="shared" si="17"/>
        <v>8.0430800000000011E-2</v>
      </c>
      <c r="E123" s="798">
        <f t="shared" si="18"/>
        <v>2.36466552</v>
      </c>
    </row>
    <row r="124" spans="1:5" x14ac:dyDescent="0.25">
      <c r="A124" s="12" t="str">
        <f t="shared" si="19"/>
        <v xml:space="preserve"> </v>
      </c>
      <c r="B124" s="61" t="s">
        <v>87</v>
      </c>
      <c r="C124" s="639">
        <v>0.3</v>
      </c>
      <c r="D124" s="47">
        <f t="shared" si="17"/>
        <v>0.1206462</v>
      </c>
      <c r="E124" s="798">
        <f t="shared" si="18"/>
        <v>3.5469982799999995</v>
      </c>
    </row>
    <row r="125" spans="1:5" x14ac:dyDescent="0.25">
      <c r="A125" s="12" t="str">
        <f t="shared" si="19"/>
        <v xml:space="preserve"> </v>
      </c>
      <c r="B125" s="61" t="s">
        <v>88</v>
      </c>
      <c r="C125" s="639">
        <v>0.4</v>
      </c>
      <c r="D125" s="47">
        <f t="shared" si="17"/>
        <v>0.16086160000000002</v>
      </c>
      <c r="E125" s="798">
        <f t="shared" si="18"/>
        <v>4.7293310399999999</v>
      </c>
    </row>
    <row r="126" spans="1:5" x14ac:dyDescent="0.25">
      <c r="A126" s="12" t="str">
        <f t="shared" si="19"/>
        <v xml:space="preserve"> </v>
      </c>
      <c r="B126" s="61" t="s">
        <v>89</v>
      </c>
      <c r="C126" s="639">
        <v>0.6</v>
      </c>
      <c r="D126" s="47">
        <f t="shared" si="17"/>
        <v>0.24129239999999999</v>
      </c>
      <c r="E126" s="798">
        <f t="shared" si="18"/>
        <v>7.093996559999999</v>
      </c>
    </row>
    <row r="127" spans="1:5" x14ac:dyDescent="0.25">
      <c r="A127" s="12" t="str">
        <f t="shared" si="19"/>
        <v xml:space="preserve"> </v>
      </c>
      <c r="B127" s="61" t="s">
        <v>90</v>
      </c>
      <c r="C127" s="639">
        <v>0.8</v>
      </c>
      <c r="D127" s="47">
        <f t="shared" si="17"/>
        <v>0.32172320000000004</v>
      </c>
      <c r="E127" s="798">
        <f t="shared" si="18"/>
        <v>9.4586620799999999</v>
      </c>
    </row>
    <row r="128" spans="1:5" x14ac:dyDescent="0.25">
      <c r="A128" s="13" t="str">
        <f t="shared" si="19"/>
        <v xml:space="preserve"> </v>
      </c>
      <c r="B128" s="62" t="s">
        <v>91</v>
      </c>
      <c r="C128" s="640">
        <v>1</v>
      </c>
      <c r="D128" s="795">
        <f t="shared" si="17"/>
        <v>0.40215400000000001</v>
      </c>
      <c r="E128" s="799">
        <f t="shared" si="18"/>
        <v>11.823327600000001</v>
      </c>
    </row>
    <row r="131" spans="1:25" x14ac:dyDescent="0.25">
      <c r="B131" s="1" t="s">
        <v>93</v>
      </c>
      <c r="C131" s="21">
        <f>VLOOKUP(1,A133:C136,3,FALSE)</f>
        <v>0</v>
      </c>
    </row>
    <row r="132" spans="1:25" x14ac:dyDescent="0.25">
      <c r="A132" s="213"/>
      <c r="B132" s="509" t="s">
        <v>39</v>
      </c>
      <c r="C132" s="473" t="s">
        <v>562</v>
      </c>
    </row>
    <row r="133" spans="1:25" x14ac:dyDescent="0.25">
      <c r="A133" s="442">
        <f>IF($C$16=B133,1," ")</f>
        <v>1</v>
      </c>
      <c r="B133" s="36" t="s">
        <v>1150</v>
      </c>
      <c r="C133" s="28">
        <v>0</v>
      </c>
    </row>
    <row r="134" spans="1:25" x14ac:dyDescent="0.25">
      <c r="A134" s="12" t="str">
        <f>IF($C$16=B134,1," ")</f>
        <v xml:space="preserve"> </v>
      </c>
      <c r="B134" s="36" t="s">
        <v>1151</v>
      </c>
      <c r="C134" s="28">
        <v>2</v>
      </c>
    </row>
    <row r="135" spans="1:25" x14ac:dyDescent="0.25">
      <c r="A135" s="12" t="str">
        <f>IF($C$16=B135,1," ")</f>
        <v xml:space="preserve"> </v>
      </c>
      <c r="B135" s="36" t="s">
        <v>1152</v>
      </c>
      <c r="C135" s="28">
        <v>2</v>
      </c>
    </row>
    <row r="136" spans="1:25" x14ac:dyDescent="0.25">
      <c r="A136" s="13" t="str">
        <f>IF($C$16=B136,1," ")</f>
        <v xml:space="preserve"> </v>
      </c>
      <c r="B136" s="37"/>
      <c r="C136" s="474"/>
    </row>
    <row r="138" spans="1:25" s="320" customFormat="1" x14ac:dyDescent="0.25">
      <c r="Y138" s="343"/>
    </row>
    <row r="139" spans="1:25" x14ac:dyDescent="0.25">
      <c r="B139"/>
    </row>
    <row r="140" spans="1:25" x14ac:dyDescent="0.25">
      <c r="B140" t="s">
        <v>589</v>
      </c>
      <c r="C140" s="473">
        <f>AR46</f>
        <v>1</v>
      </c>
      <c r="E140" t="s">
        <v>815</v>
      </c>
      <c r="G140" s="484">
        <v>300</v>
      </c>
      <c r="H140" s="473">
        <f>IF(AND(C140=1,C141&lt;=G140),1,0)</f>
        <v>0</v>
      </c>
    </row>
    <row r="141" spans="1:25" x14ac:dyDescent="0.25">
      <c r="B141" t="s">
        <v>588</v>
      </c>
      <c r="C141" s="473">
        <f>C6+C7</f>
        <v>550</v>
      </c>
      <c r="D141" t="s">
        <v>25</v>
      </c>
    </row>
    <row r="142" spans="1:25" x14ac:dyDescent="0.25">
      <c r="B142" t="s">
        <v>590</v>
      </c>
      <c r="C142" s="473">
        <f>C108</f>
        <v>361</v>
      </c>
      <c r="D142" t="s">
        <v>25</v>
      </c>
    </row>
    <row r="143" spans="1:25" x14ac:dyDescent="0.25">
      <c r="B143"/>
    </row>
    <row r="144" spans="1:25" ht="15.75" thickBot="1" x14ac:dyDescent="0.3">
      <c r="B144" s="2">
        <v>2</v>
      </c>
      <c r="C144" s="2">
        <v>3</v>
      </c>
      <c r="D144" s="2">
        <v>4</v>
      </c>
      <c r="E144" s="2">
        <v>5</v>
      </c>
      <c r="F144" s="2">
        <v>6</v>
      </c>
      <c r="G144" s="2">
        <v>7</v>
      </c>
      <c r="H144" s="2">
        <v>8</v>
      </c>
      <c r="I144" s="2">
        <v>9</v>
      </c>
      <c r="J144" s="2">
        <v>10</v>
      </c>
      <c r="K144" s="2">
        <v>11</v>
      </c>
      <c r="L144" s="2">
        <v>12</v>
      </c>
      <c r="M144" s="2">
        <v>13</v>
      </c>
      <c r="N144" s="2">
        <v>14</v>
      </c>
      <c r="O144" s="2"/>
    </row>
    <row r="145" spans="1:25" ht="15.75" thickBot="1" x14ac:dyDescent="0.3">
      <c r="A145" s="670"/>
      <c r="B145" s="671" t="s">
        <v>28</v>
      </c>
      <c r="C145" s="519">
        <f>IF(H140=1,0,IF(AND(C141&lt;=C157,C142&lt;=D158),1,IF(C142&lt;=C158,1,0)))*C140</f>
        <v>0</v>
      </c>
      <c r="D145" s="519">
        <f>IF(H140=1,1,IF(AND(C141&lt;=D157,C142&gt;=D158),1,0))*C140</f>
        <v>0</v>
      </c>
      <c r="E145" s="519">
        <f t="shared" ref="E145:N145" si="20">VLOOKUP(1,148:158,E144,FALSE)</f>
        <v>2</v>
      </c>
      <c r="F145" s="467">
        <f t="shared" si="20"/>
        <v>3</v>
      </c>
      <c r="G145" s="467">
        <f t="shared" si="20"/>
        <v>0.95</v>
      </c>
      <c r="H145" s="467">
        <f t="shared" si="20"/>
        <v>0.8</v>
      </c>
      <c r="I145" s="467">
        <f t="shared" si="20"/>
        <v>3</v>
      </c>
      <c r="J145" s="467">
        <f t="shared" si="20"/>
        <v>0.8</v>
      </c>
      <c r="K145" s="467">
        <f t="shared" si="20"/>
        <v>25</v>
      </c>
      <c r="L145" s="467">
        <f t="shared" si="20"/>
        <v>300</v>
      </c>
      <c r="M145" s="467">
        <f t="shared" si="20"/>
        <v>300</v>
      </c>
      <c r="N145" s="1094">
        <f t="shared" si="20"/>
        <v>1</v>
      </c>
      <c r="O145" s="281"/>
    </row>
    <row r="146" spans="1:25" x14ac:dyDescent="0.25">
      <c r="A146" s="339"/>
      <c r="B146" s="7"/>
      <c r="C146" s="120"/>
      <c r="D146" s="41"/>
      <c r="E146" s="41"/>
      <c r="F146" s="41"/>
      <c r="G146" s="41"/>
      <c r="H146" s="41"/>
      <c r="I146" s="41"/>
      <c r="J146" s="41"/>
      <c r="K146" s="887"/>
      <c r="L146" s="887"/>
      <c r="M146" s="887"/>
      <c r="N146" s="1040"/>
      <c r="O146" s="41"/>
    </row>
    <row r="147" spans="1:25" x14ac:dyDescent="0.25">
      <c r="A147" s="341"/>
      <c r="B147" s="434"/>
      <c r="C147" s="202" t="s">
        <v>585</v>
      </c>
      <c r="D147" s="13" t="s">
        <v>587</v>
      </c>
      <c r="E147" s="13" t="s">
        <v>20</v>
      </c>
      <c r="F147" s="13" t="s">
        <v>713</v>
      </c>
      <c r="G147" s="13" t="s">
        <v>793</v>
      </c>
      <c r="H147" s="13" t="s">
        <v>990</v>
      </c>
      <c r="I147" s="13" t="s">
        <v>855</v>
      </c>
      <c r="J147" s="13" t="s">
        <v>856</v>
      </c>
      <c r="K147" s="12" t="s">
        <v>938</v>
      </c>
      <c r="L147" s="12" t="s">
        <v>967</v>
      </c>
      <c r="M147" s="12" t="s">
        <v>968</v>
      </c>
      <c r="N147" s="432" t="s">
        <v>1058</v>
      </c>
      <c r="O147" s="12"/>
    </row>
    <row r="148" spans="1:25" x14ac:dyDescent="0.25">
      <c r="A148" s="442" t="str">
        <f t="shared" ref="A148:A157" si="21">IF($C$4=B148,1," ")</f>
        <v xml:space="preserve"> </v>
      </c>
      <c r="B148" s="516" t="s">
        <v>30</v>
      </c>
      <c r="C148" s="486">
        <v>390</v>
      </c>
      <c r="D148" s="486">
        <v>390</v>
      </c>
      <c r="E148" s="28">
        <v>1</v>
      </c>
      <c r="F148" s="28">
        <v>1.5</v>
      </c>
      <c r="G148" s="969">
        <v>1</v>
      </c>
      <c r="H148" s="969">
        <v>1</v>
      </c>
      <c r="I148" s="28">
        <v>4</v>
      </c>
      <c r="J148" s="28">
        <v>1</v>
      </c>
      <c r="K148" s="486">
        <v>50</v>
      </c>
      <c r="L148" s="486">
        <v>600</v>
      </c>
      <c r="M148" s="486">
        <v>600</v>
      </c>
      <c r="N148" s="1041">
        <v>1</v>
      </c>
      <c r="O148" s="968"/>
    </row>
    <row r="149" spans="1:25" x14ac:dyDescent="0.25">
      <c r="A149" s="12">
        <f t="shared" si="21"/>
        <v>1</v>
      </c>
      <c r="B149" s="77" t="s">
        <v>31</v>
      </c>
      <c r="C149" s="28">
        <v>400</v>
      </c>
      <c r="D149" s="28">
        <v>400</v>
      </c>
      <c r="E149" s="28">
        <v>2</v>
      </c>
      <c r="F149" s="28">
        <v>3</v>
      </c>
      <c r="G149" s="969">
        <v>0.95</v>
      </c>
      <c r="H149" s="969">
        <v>0.8</v>
      </c>
      <c r="I149" s="28">
        <v>3</v>
      </c>
      <c r="J149" s="28">
        <v>0.8</v>
      </c>
      <c r="K149" s="28">
        <v>25</v>
      </c>
      <c r="L149" s="28">
        <v>300</v>
      </c>
      <c r="M149" s="28">
        <v>300</v>
      </c>
      <c r="N149" s="1042">
        <v>1</v>
      </c>
      <c r="O149" s="969"/>
    </row>
    <row r="150" spans="1:25" x14ac:dyDescent="0.25">
      <c r="A150" s="13" t="str">
        <f t="shared" si="21"/>
        <v xml:space="preserve"> </v>
      </c>
      <c r="B150" s="416" t="s">
        <v>32</v>
      </c>
      <c r="C150" s="34">
        <v>405</v>
      </c>
      <c r="D150" s="34">
        <v>405</v>
      </c>
      <c r="E150" s="28">
        <v>3</v>
      </c>
      <c r="F150" s="28">
        <v>4</v>
      </c>
      <c r="G150" s="969">
        <v>0.9</v>
      </c>
      <c r="H150" s="969">
        <v>0.75</v>
      </c>
      <c r="I150" s="28">
        <v>2</v>
      </c>
      <c r="J150" s="28">
        <v>0.6</v>
      </c>
      <c r="K150" s="34">
        <v>20</v>
      </c>
      <c r="L150" s="34">
        <v>250</v>
      </c>
      <c r="M150" s="34">
        <v>250</v>
      </c>
      <c r="N150" s="1043">
        <v>1</v>
      </c>
      <c r="O150" s="970"/>
    </row>
    <row r="151" spans="1:25" x14ac:dyDescent="0.25">
      <c r="A151" s="12" t="str">
        <f t="shared" si="21"/>
        <v xml:space="preserve"> </v>
      </c>
      <c r="B151" s="77" t="s">
        <v>36</v>
      </c>
      <c r="C151" s="28">
        <v>600</v>
      </c>
      <c r="D151" s="486">
        <v>500</v>
      </c>
      <c r="E151" s="486">
        <v>4</v>
      </c>
      <c r="F151" s="486">
        <v>6</v>
      </c>
      <c r="G151" s="968">
        <v>0.65</v>
      </c>
      <c r="H151" s="968">
        <v>0.6</v>
      </c>
      <c r="I151" s="486">
        <v>1</v>
      </c>
      <c r="J151" s="486">
        <v>0.4</v>
      </c>
      <c r="K151" s="486">
        <v>15</v>
      </c>
      <c r="L151" s="486">
        <v>200</v>
      </c>
      <c r="M151" s="486">
        <v>200</v>
      </c>
      <c r="N151" s="1041">
        <v>1</v>
      </c>
      <c r="O151" s="968"/>
    </row>
    <row r="152" spans="1:25" x14ac:dyDescent="0.25">
      <c r="A152" s="12" t="str">
        <f t="shared" si="21"/>
        <v xml:space="preserve"> </v>
      </c>
      <c r="B152" s="77" t="s">
        <v>34</v>
      </c>
      <c r="C152" s="28">
        <v>410</v>
      </c>
      <c r="D152" s="28">
        <v>410</v>
      </c>
      <c r="E152" s="28">
        <v>2</v>
      </c>
      <c r="F152" s="28">
        <v>3</v>
      </c>
      <c r="G152" s="969">
        <v>1</v>
      </c>
      <c r="H152" s="969">
        <v>0.7</v>
      </c>
      <c r="I152" s="28">
        <v>3</v>
      </c>
      <c r="J152" s="28">
        <v>0.8</v>
      </c>
      <c r="K152" s="28">
        <v>25</v>
      </c>
      <c r="L152" s="28">
        <v>300</v>
      </c>
      <c r="M152" s="28">
        <v>300</v>
      </c>
      <c r="N152" s="1042">
        <v>1</v>
      </c>
      <c r="O152" s="969"/>
    </row>
    <row r="153" spans="1:25" x14ac:dyDescent="0.25">
      <c r="A153" s="12" t="str">
        <f t="shared" si="21"/>
        <v xml:space="preserve"> </v>
      </c>
      <c r="B153" s="77" t="s">
        <v>33</v>
      </c>
      <c r="C153" s="28">
        <v>500</v>
      </c>
      <c r="D153" s="28">
        <v>450</v>
      </c>
      <c r="E153" s="28">
        <v>3</v>
      </c>
      <c r="F153" s="28">
        <v>4</v>
      </c>
      <c r="G153" s="969">
        <v>0.85</v>
      </c>
      <c r="H153" s="969">
        <v>0.7</v>
      </c>
      <c r="I153" s="28">
        <v>2</v>
      </c>
      <c r="J153" s="28">
        <v>0.6</v>
      </c>
      <c r="K153" s="28">
        <v>20</v>
      </c>
      <c r="L153" s="28">
        <v>250</v>
      </c>
      <c r="M153" s="28">
        <v>250</v>
      </c>
      <c r="N153" s="1042">
        <v>1</v>
      </c>
      <c r="O153" s="969"/>
    </row>
    <row r="154" spans="1:25" x14ac:dyDescent="0.25">
      <c r="A154" s="12" t="str">
        <f t="shared" si="21"/>
        <v xml:space="preserve"> </v>
      </c>
      <c r="B154" s="77" t="s">
        <v>35</v>
      </c>
      <c r="C154" s="28">
        <v>500</v>
      </c>
      <c r="D154" s="28">
        <v>450</v>
      </c>
      <c r="E154" s="28">
        <v>3</v>
      </c>
      <c r="F154" s="28">
        <v>3.5</v>
      </c>
      <c r="G154" s="969">
        <v>0.85</v>
      </c>
      <c r="H154" s="969">
        <v>0.7</v>
      </c>
      <c r="I154" s="28">
        <v>2</v>
      </c>
      <c r="J154" s="28">
        <v>0.6</v>
      </c>
      <c r="K154" s="28">
        <v>20</v>
      </c>
      <c r="L154" s="28">
        <v>250</v>
      </c>
      <c r="M154" s="28">
        <v>250</v>
      </c>
      <c r="N154" s="1042">
        <v>1</v>
      </c>
      <c r="O154" s="969"/>
    </row>
    <row r="155" spans="1:25" x14ac:dyDescent="0.25">
      <c r="A155" s="515" t="str">
        <f t="shared" si="21"/>
        <v xml:space="preserve"> </v>
      </c>
      <c r="B155" s="77" t="s">
        <v>37</v>
      </c>
      <c r="C155" s="28">
        <v>600</v>
      </c>
      <c r="D155" s="28">
        <v>500</v>
      </c>
      <c r="E155" s="28">
        <v>6</v>
      </c>
      <c r="F155" s="28">
        <v>9</v>
      </c>
      <c r="G155" s="969">
        <v>0.65</v>
      </c>
      <c r="H155" s="969">
        <v>0.35</v>
      </c>
      <c r="I155" s="28">
        <v>1</v>
      </c>
      <c r="J155" s="28">
        <v>0.2</v>
      </c>
      <c r="K155" s="28">
        <v>1</v>
      </c>
      <c r="L155" s="28">
        <v>1</v>
      </c>
      <c r="M155" s="28">
        <v>1</v>
      </c>
      <c r="N155" s="1042">
        <v>1</v>
      </c>
      <c r="O155" s="969"/>
    </row>
    <row r="156" spans="1:25" x14ac:dyDescent="0.25">
      <c r="A156" s="13" t="str">
        <f t="shared" si="21"/>
        <v xml:space="preserve"> </v>
      </c>
      <c r="B156" s="416" t="s">
        <v>38</v>
      </c>
      <c r="C156" s="34">
        <v>700</v>
      </c>
      <c r="D156" s="34">
        <v>600</v>
      </c>
      <c r="E156" s="34">
        <v>9</v>
      </c>
      <c r="F156" s="34">
        <v>13</v>
      </c>
      <c r="G156" s="970">
        <v>0.5</v>
      </c>
      <c r="H156" s="970">
        <v>0.35</v>
      </c>
      <c r="I156" s="34">
        <v>1</v>
      </c>
      <c r="J156" s="34">
        <v>0.1</v>
      </c>
      <c r="K156" s="28">
        <v>1</v>
      </c>
      <c r="L156" s="28">
        <v>1</v>
      </c>
      <c r="M156" s="28">
        <v>1</v>
      </c>
      <c r="N156" s="1043">
        <v>1</v>
      </c>
      <c r="O156" s="970"/>
    </row>
    <row r="157" spans="1:25" x14ac:dyDescent="0.25">
      <c r="A157" s="411" t="str">
        <f t="shared" si="21"/>
        <v xml:space="preserve"> </v>
      </c>
      <c r="B157" s="405" t="s">
        <v>28</v>
      </c>
      <c r="C157" s="473">
        <f>VLOOKUP(1,A148:C156,3,FALSE)</f>
        <v>400</v>
      </c>
      <c r="D157" s="473">
        <f>VLOOKUP(1,A148:D156,4,FALSE)</f>
        <v>400</v>
      </c>
      <c r="E157" s="486"/>
      <c r="F157" s="486"/>
      <c r="G157" s="486"/>
      <c r="H157" s="486"/>
      <c r="I157" s="486"/>
      <c r="J157" s="486"/>
      <c r="K157" s="886"/>
      <c r="L157" s="886"/>
      <c r="M157" s="886"/>
      <c r="N157" s="53"/>
      <c r="O157" s="967"/>
    </row>
    <row r="158" spans="1:25" x14ac:dyDescent="0.25">
      <c r="A158" s="8"/>
      <c r="B158" s="341" t="s">
        <v>586</v>
      </c>
      <c r="C158" s="484">
        <v>325</v>
      </c>
      <c r="D158" s="34">
        <v>1100</v>
      </c>
      <c r="E158" s="34"/>
      <c r="F158" s="34"/>
      <c r="G158" s="34"/>
      <c r="H158" s="34"/>
      <c r="I158" s="34"/>
      <c r="J158" s="34"/>
      <c r="K158" s="474"/>
      <c r="L158" s="474"/>
      <c r="M158" s="474"/>
      <c r="N158" s="1044"/>
      <c r="O158" s="474"/>
    </row>
    <row r="159" spans="1:25" x14ac:dyDescent="0.25">
      <c r="B159"/>
    </row>
    <row r="160" spans="1:25" s="320" customFormat="1" x14ac:dyDescent="0.25">
      <c r="B160" s="441"/>
      <c r="Y160" s="343"/>
    </row>
    <row r="162" spans="1:10" x14ac:dyDescent="0.25">
      <c r="B162" s="215" t="s">
        <v>194</v>
      </c>
    </row>
    <row r="163" spans="1:10" x14ac:dyDescent="0.25">
      <c r="C163" s="2"/>
    </row>
    <row r="164" spans="1:10" x14ac:dyDescent="0.25">
      <c r="A164" s="2" t="s">
        <v>176</v>
      </c>
      <c r="C164" s="2" t="s">
        <v>168</v>
      </c>
      <c r="D164" s="2" t="s">
        <v>169</v>
      </c>
      <c r="E164" s="2" t="s">
        <v>170</v>
      </c>
      <c r="H164" s="59" t="s">
        <v>1326</v>
      </c>
    </row>
    <row r="165" spans="1:10" x14ac:dyDescent="0.25">
      <c r="A165" s="216">
        <f>IF(SUM(D165:E165)&gt;0,1,0)</f>
        <v>0</v>
      </c>
      <c r="B165" s="221" t="s">
        <v>166</v>
      </c>
      <c r="C165" s="219">
        <v>70</v>
      </c>
      <c r="D165" s="208">
        <f>AC46</f>
        <v>0</v>
      </c>
      <c r="E165" s="216">
        <f>E175</f>
        <v>0</v>
      </c>
      <c r="H165" s="14"/>
      <c r="I165" s="412"/>
      <c r="J165" s="486">
        <v>3</v>
      </c>
    </row>
    <row r="166" spans="1:10" x14ac:dyDescent="0.25">
      <c r="A166" s="13">
        <f>IF(SUM(D166:E166)&gt;0,1,0)</f>
        <v>0</v>
      </c>
      <c r="B166" s="37" t="s">
        <v>167</v>
      </c>
      <c r="C166" s="219">
        <v>50</v>
      </c>
      <c r="D166" s="18">
        <f>AC46</f>
        <v>0</v>
      </c>
      <c r="E166" s="34">
        <v>0</v>
      </c>
      <c r="H166" s="14" t="s">
        <v>1327</v>
      </c>
      <c r="I166" s="547">
        <f>E238</f>
        <v>320</v>
      </c>
      <c r="J166" s="442">
        <f>IF(OR(C184&gt;=I166,C185&gt;=I166,C186&gt;=I166,C187&gt;=I166),1,0)</f>
        <v>1</v>
      </c>
    </row>
    <row r="167" spans="1:10" x14ac:dyDescent="0.25">
      <c r="H167" s="6" t="s">
        <v>1328</v>
      </c>
      <c r="I167" s="556">
        <f>D242</f>
        <v>1400</v>
      </c>
      <c r="J167" s="12">
        <f>IF(OR(C184&lt;=I167,C185&lt;=I167,C186&lt;=I167,C187&lt;=I167),1,0)</f>
        <v>1</v>
      </c>
    </row>
    <row r="168" spans="1:10" x14ac:dyDescent="0.25">
      <c r="H168" s="570" t="s">
        <v>1329</v>
      </c>
      <c r="I168" s="443">
        <f>F242</f>
        <v>1580</v>
      </c>
      <c r="J168" s="13">
        <f>IF(E183&lt;=I168,1,0)</f>
        <v>1</v>
      </c>
    </row>
    <row r="169" spans="1:10" x14ac:dyDescent="0.25">
      <c r="B169" s="221"/>
      <c r="C169" s="216" t="s">
        <v>75</v>
      </c>
      <c r="D169" s="216" t="s">
        <v>76</v>
      </c>
      <c r="E169" s="38" t="s">
        <v>173</v>
      </c>
      <c r="H169" s="950" t="s">
        <v>1292</v>
      </c>
      <c r="I169" s="1204"/>
      <c r="J169" s="951">
        <f>IF(SUM(J166:J168)=J165,1,0)</f>
        <v>1</v>
      </c>
    </row>
    <row r="170" spans="1:10" x14ac:dyDescent="0.25">
      <c r="B170" s="37" t="s">
        <v>172</v>
      </c>
      <c r="C170" s="13">
        <f>AD46</f>
        <v>127</v>
      </c>
      <c r="D170" s="13">
        <f>AE46</f>
        <v>127</v>
      </c>
      <c r="E170" s="20">
        <f>SUM(C170:D170)</f>
        <v>254</v>
      </c>
    </row>
    <row r="171" spans="1:10" x14ac:dyDescent="0.25">
      <c r="C171" s="2"/>
      <c r="D171" s="2"/>
      <c r="E171" s="2"/>
    </row>
    <row r="173" spans="1:10" x14ac:dyDescent="0.25">
      <c r="B173" s="35"/>
      <c r="C173" s="11">
        <v>51</v>
      </c>
      <c r="D173" s="11">
        <v>76</v>
      </c>
      <c r="E173" s="11" t="s">
        <v>174</v>
      </c>
    </row>
    <row r="174" spans="1:10" x14ac:dyDescent="0.25">
      <c r="B174" s="37"/>
      <c r="C174" s="13">
        <v>74</v>
      </c>
      <c r="D174" s="13">
        <v>93</v>
      </c>
      <c r="E174" s="13" t="s">
        <v>175</v>
      </c>
    </row>
    <row r="175" spans="1:10" x14ac:dyDescent="0.25">
      <c r="B175" s="220" t="s">
        <v>171</v>
      </c>
      <c r="C175" s="216">
        <f>IF(AND(E170&gt;=C173,E170&lt;=C174),1,0)</f>
        <v>0</v>
      </c>
      <c r="D175" s="38">
        <f>IF(AND(E170&gt;=D173,E170&lt;=D174),1,0)</f>
        <v>0</v>
      </c>
      <c r="E175" s="216">
        <f>IF(SUM(C175:D175)&gt;0,1,0)</f>
        <v>0</v>
      </c>
    </row>
    <row r="178" spans="1:23" ht="15.75" thickBot="1" x14ac:dyDescent="0.3">
      <c r="S178" s="1285" t="s">
        <v>729</v>
      </c>
      <c r="T178" s="1286"/>
      <c r="U178" s="1286"/>
      <c r="V178" s="1284"/>
    </row>
    <row r="179" spans="1:23" x14ac:dyDescent="0.25">
      <c r="A179" s="243"/>
      <c r="B179" s="278" t="s">
        <v>166</v>
      </c>
      <c r="C179" s="241">
        <f>A165*C165</f>
        <v>0</v>
      </c>
      <c r="D179" s="70">
        <v>2</v>
      </c>
      <c r="E179" s="260"/>
      <c r="F179" s="15"/>
      <c r="G179" s="4"/>
      <c r="H179" s="264"/>
      <c r="I179" s="265"/>
      <c r="J179" s="15"/>
      <c r="K179" s="51"/>
      <c r="L179" s="511" t="s">
        <v>188</v>
      </c>
      <c r="M179" s="438"/>
      <c r="N179" s="476"/>
      <c r="O179" s="431" t="s">
        <v>1325</v>
      </c>
      <c r="P179" s="431" t="s">
        <v>28</v>
      </c>
      <c r="Q179" s="476"/>
      <c r="R179" s="501" t="s">
        <v>555</v>
      </c>
      <c r="S179" s="433"/>
      <c r="T179" s="404"/>
      <c r="U179" s="404"/>
      <c r="V179" s="404"/>
    </row>
    <row r="180" spans="1:23" ht="15.75" thickBot="1" x14ac:dyDescent="0.3">
      <c r="A180" s="244"/>
      <c r="B180" s="279" t="s">
        <v>167</v>
      </c>
      <c r="C180" s="241">
        <f>A166*C166</f>
        <v>0</v>
      </c>
      <c r="D180" s="33">
        <v>40</v>
      </c>
      <c r="E180" s="244"/>
      <c r="F180" s="9"/>
      <c r="G180" s="9"/>
      <c r="H180" s="266"/>
      <c r="I180" s="267"/>
      <c r="J180" s="9"/>
      <c r="K180" s="13"/>
      <c r="L180" s="276">
        <f>AA46</f>
        <v>1</v>
      </c>
      <c r="M180" s="415"/>
      <c r="N180" s="8"/>
      <c r="O180" s="18">
        <f>IF(C111&gt;0,1,0)</f>
        <v>0</v>
      </c>
      <c r="P180" s="18">
        <f>IF(C131=0,0,1)</f>
        <v>0</v>
      </c>
      <c r="Q180" s="415"/>
      <c r="R180" s="445">
        <f>IF(SUM(R184:R187)&gt;0,1,0)</f>
        <v>1</v>
      </c>
      <c r="S180" s="434"/>
      <c r="T180" s="13"/>
      <c r="U180" s="13"/>
      <c r="V180" s="13"/>
      <c r="W180" s="2"/>
    </row>
    <row r="181" spans="1:23" ht="15.75" thickTop="1" x14ac:dyDescent="0.25">
      <c r="A181" s="6"/>
      <c r="B181" s="274" t="s">
        <v>61</v>
      </c>
      <c r="C181" s="256" t="s">
        <v>18</v>
      </c>
      <c r="D181" s="226" t="s">
        <v>24</v>
      </c>
      <c r="E181" s="3" t="s">
        <v>184</v>
      </c>
      <c r="F181" s="248" t="s">
        <v>186</v>
      </c>
      <c r="G181" s="3" t="s">
        <v>184</v>
      </c>
      <c r="H181" s="1287" t="s">
        <v>99</v>
      </c>
      <c r="I181" s="1288"/>
      <c r="J181" s="226" t="s">
        <v>100</v>
      </c>
      <c r="K181" s="137" t="s">
        <v>164</v>
      </c>
      <c r="L181" s="292" t="s">
        <v>189</v>
      </c>
      <c r="M181" s="439" t="s">
        <v>495</v>
      </c>
      <c r="N181" s="476" t="s">
        <v>556</v>
      </c>
      <c r="O181" s="476" t="s">
        <v>567</v>
      </c>
      <c r="P181" s="431" t="s">
        <v>576</v>
      </c>
      <c r="Q181" s="239" t="s">
        <v>714</v>
      </c>
      <c r="R181" s="269" t="s">
        <v>191</v>
      </c>
      <c r="S181" s="235" t="s">
        <v>192</v>
      </c>
      <c r="T181" s="442" t="s">
        <v>726</v>
      </c>
      <c r="U181" s="661" t="s">
        <v>149</v>
      </c>
      <c r="V181" s="661" t="s">
        <v>110</v>
      </c>
      <c r="W181" s="2"/>
    </row>
    <row r="182" spans="1:23" x14ac:dyDescent="0.25">
      <c r="A182" s="6"/>
      <c r="B182" s="256" t="s">
        <v>180</v>
      </c>
      <c r="C182" s="256" t="s">
        <v>109</v>
      </c>
      <c r="D182" s="228" t="s">
        <v>182</v>
      </c>
      <c r="E182" s="26" t="s">
        <v>185</v>
      </c>
      <c r="F182" s="249" t="s">
        <v>181</v>
      </c>
      <c r="G182" s="26" t="s">
        <v>185</v>
      </c>
      <c r="H182" s="268" t="s">
        <v>181</v>
      </c>
      <c r="I182" s="269" t="s">
        <v>182</v>
      </c>
      <c r="J182" s="228" t="s">
        <v>187</v>
      </c>
      <c r="K182" s="120" t="s">
        <v>180</v>
      </c>
      <c r="L182" s="78" t="s">
        <v>190</v>
      </c>
      <c r="M182" s="26" t="s">
        <v>96</v>
      </c>
      <c r="N182" s="8"/>
      <c r="O182" s="227" t="s">
        <v>774</v>
      </c>
      <c r="P182" s="26" t="s">
        <v>577</v>
      </c>
      <c r="Q182" s="242" t="s">
        <v>96</v>
      </c>
      <c r="R182" s="675" t="s">
        <v>96</v>
      </c>
      <c r="S182" s="277" t="s">
        <v>193</v>
      </c>
      <c r="T182" s="120" t="s">
        <v>727</v>
      </c>
      <c r="U182" s="120" t="s">
        <v>728</v>
      </c>
      <c r="V182" s="120" t="s">
        <v>728</v>
      </c>
    </row>
    <row r="183" spans="1:23" x14ac:dyDescent="0.25">
      <c r="A183" s="8"/>
      <c r="B183" s="275"/>
      <c r="C183" s="257" t="s">
        <v>183</v>
      </c>
      <c r="D183" s="70">
        <v>1000</v>
      </c>
      <c r="E183" s="208">
        <f>D108</f>
        <v>1114</v>
      </c>
      <c r="F183" s="250">
        <v>4000</v>
      </c>
      <c r="G183" s="208">
        <f>D108</f>
        <v>1114</v>
      </c>
      <c r="H183" s="263">
        <v>1400</v>
      </c>
      <c r="I183" s="270">
        <v>530</v>
      </c>
      <c r="J183" s="20"/>
      <c r="K183" s="216">
        <f>AN46</f>
        <v>4</v>
      </c>
      <c r="L183" s="262">
        <v>95</v>
      </c>
      <c r="M183" s="213"/>
      <c r="N183" s="31">
        <v>200</v>
      </c>
      <c r="O183" s="473">
        <f>IF(OR(C111=0,C111=1,C111=2),1,0)</f>
        <v>1</v>
      </c>
      <c r="P183" s="208">
        <f>AQ46</f>
        <v>1</v>
      </c>
      <c r="Q183" s="241">
        <f>'Prijs karton (4)'!AD16</f>
        <v>1</v>
      </c>
      <c r="R183" s="676">
        <v>10</v>
      </c>
      <c r="S183" s="230">
        <v>6</v>
      </c>
      <c r="T183" s="41"/>
      <c r="U183" s="52"/>
      <c r="V183" s="52"/>
    </row>
    <row r="184" spans="1:23" x14ac:dyDescent="0.25">
      <c r="A184" s="26" t="str">
        <f>IF(R184=1,B184," ")</f>
        <v xml:space="preserve"> </v>
      </c>
      <c r="B184" s="258">
        <v>1</v>
      </c>
      <c r="C184" s="258">
        <f>(C108*B184)+(2*C180)</f>
        <v>361</v>
      </c>
      <c r="D184" s="251">
        <f>IF(E184&lt;=$D$179,E184*$E$183,IF(E184&gt;$D$179,(E184*$E$183)+$D$180))</f>
        <v>1114</v>
      </c>
      <c r="E184" s="3">
        <f>CEILING(D183/E183,1)</f>
        <v>1</v>
      </c>
      <c r="F184" s="236">
        <f>IF(G184&lt;=$D$179,G184*$G$183,IF(G184&gt;$D$179,(G184*$G$183)+$D$180))</f>
        <v>3382</v>
      </c>
      <c r="G184" s="4">
        <f>IF((F183/G183)&gt;D179,FLOOR((F183-D180)/G183,1),IF((F183/G183)&lt;=D179,FLOOR((F183/G183),1)))</f>
        <v>3</v>
      </c>
      <c r="H184" s="271">
        <f>IF(C184&lt;=$H$183,1,0)</f>
        <v>1</v>
      </c>
      <c r="I184" s="239">
        <f>IF(C184&gt;=$I$183,1,0)</f>
        <v>0</v>
      </c>
      <c r="J184" s="25">
        <f>IF(AND(E184&gt;0,G184&gt;0),1,0)</f>
        <v>1</v>
      </c>
      <c r="K184" s="11">
        <f>IF(B184&lt;=$K$183,1,0)</f>
        <v>1</v>
      </c>
      <c r="L184" s="3">
        <f>IF(L180=0,1,IF(AND(L180=1,C8&gt;=L183),1,IF(AND(L180=1,C8&lt;L183),0)))</f>
        <v>1</v>
      </c>
      <c r="M184" s="26">
        <f>T46</f>
        <v>1</v>
      </c>
      <c r="N184" s="26">
        <f>IF($E$183&gt;=$N$183,1,0)</f>
        <v>1</v>
      </c>
      <c r="O184" s="26">
        <f>$O$183</f>
        <v>1</v>
      </c>
      <c r="P184" s="431">
        <f>IF($P$180=0,1,IF(AND($P$180=1,$P$183=1),1,IF(AND($P$180=1,$P$183=0),0)))</f>
        <v>1</v>
      </c>
      <c r="Q184" s="240">
        <f>$Q$183</f>
        <v>1</v>
      </c>
      <c r="R184" s="485">
        <f>IF(SUM(H184:Q184)=$R$183,1,0)</f>
        <v>0</v>
      </c>
      <c r="S184" s="271">
        <f>IF(SUM(H184:K184)+M184+Q184=$S$183,1,0)</f>
        <v>0</v>
      </c>
      <c r="T184" s="442" t="str">
        <f>IF(S184=1,B184," ")</f>
        <v xml:space="preserve"> </v>
      </c>
      <c r="U184" s="442" t="str">
        <f>IF(S184=1,E184," ")</f>
        <v xml:space="preserve"> </v>
      </c>
      <c r="V184" s="12" t="str">
        <f>IF(S184=1,G184," ")</f>
        <v xml:space="preserve"> </v>
      </c>
    </row>
    <row r="185" spans="1:23" x14ac:dyDescent="0.25">
      <c r="A185" s="26">
        <f>IF(R185=1,B185," ")</f>
        <v>2</v>
      </c>
      <c r="B185" s="259">
        <v>2</v>
      </c>
      <c r="C185" s="259">
        <f>(C108*B185)+(2*C180)+(B184*C179)</f>
        <v>722</v>
      </c>
      <c r="D185" s="252">
        <f>IF(E185&lt;=$D$179,E185*$E$183,IF(E185&gt;$D$179,(E185*$E$183)+$D$180))</f>
        <v>1114</v>
      </c>
      <c r="E185" s="26">
        <f>CEILING(D183/E183,1)</f>
        <v>1</v>
      </c>
      <c r="F185" s="237">
        <f>IF(G185&lt;=$D$179,G185*$G$183,IF(G185&gt;$D$179,(G185*$G$183)+$D$180))</f>
        <v>3382</v>
      </c>
      <c r="G185" s="2">
        <f>IF((F183/G183)&gt;D179,FLOOR((F183-D180)/G183,1),IF((F183/G183)&lt;=D179,FLOOR((F183/G183),1)))</f>
        <v>3</v>
      </c>
      <c r="H185" s="272">
        <f>IF(C185&lt;=$H$183,1,0)</f>
        <v>1</v>
      </c>
      <c r="I185" s="240">
        <f t="shared" ref="I185:I187" si="22">IF(C185&gt;=$I$183,1,0)</f>
        <v>1</v>
      </c>
      <c r="J185" s="25">
        <f>IF(AND(E185&gt;0,G185&gt;0),1,0)</f>
        <v>1</v>
      </c>
      <c r="K185" s="12">
        <f>IF(B185&lt;=$K$183,1,0)</f>
        <v>1</v>
      </c>
      <c r="L185" s="26">
        <f>IF(L180=0,1,IF(AND(L180=1,C8&gt;=L183),1,IF(AND(L180=1,C8&lt;L183),0)))</f>
        <v>1</v>
      </c>
      <c r="M185" s="26">
        <f>T46</f>
        <v>1</v>
      </c>
      <c r="N185" s="26">
        <f>IF($E$183&gt;=$N$183,1,0)</f>
        <v>1</v>
      </c>
      <c r="O185" s="26">
        <f>$O$183</f>
        <v>1</v>
      </c>
      <c r="P185" s="26">
        <f>IF($P$180=0,1,IF(AND($P$180=1,$P$183=1),1,IF(AND($P$180=1,$P$183=0),0)))</f>
        <v>1</v>
      </c>
      <c r="Q185" s="240">
        <f t="shared" ref="Q185:Q187" si="23">$Q$183</f>
        <v>1</v>
      </c>
      <c r="R185" s="246">
        <f t="shared" ref="R185:R187" si="24">IF(SUM(H185:Q185)=$R$183,1,0)</f>
        <v>1</v>
      </c>
      <c r="S185" s="272">
        <f t="shared" ref="S185:S187" si="25">IF(SUM(H185:K185)+M185+Q185=$S$183,1,0)</f>
        <v>1</v>
      </c>
      <c r="T185" s="12">
        <f>IF(S185=1,B185," ")</f>
        <v>2</v>
      </c>
      <c r="U185" s="12">
        <f>IF(S185=1,E185," ")</f>
        <v>1</v>
      </c>
      <c r="V185" s="12">
        <f>IF(S185=1,G185," ")</f>
        <v>3</v>
      </c>
    </row>
    <row r="186" spans="1:23" x14ac:dyDescent="0.25">
      <c r="A186" s="26">
        <f>IF(R186=1,B186," ")</f>
        <v>3</v>
      </c>
      <c r="B186" s="259">
        <v>3</v>
      </c>
      <c r="C186" s="259">
        <f>(C108*B186)+(2*C180)+(B185*C179)</f>
        <v>1083</v>
      </c>
      <c r="D186" s="252">
        <f>IF(E186&lt;=$D$179,E186*$E$183,IF(E186&gt;$D$179,(E186*$E$183)+$D$180))</f>
        <v>1114</v>
      </c>
      <c r="E186" s="26">
        <f>CEILING(D183/E183,1)</f>
        <v>1</v>
      </c>
      <c r="F186" s="237">
        <f>IF(G186&lt;=$D$179,G186*$G$183,IF(G186&gt;$D$179,(G186*$G$183)+$D$180))</f>
        <v>3382</v>
      </c>
      <c r="G186" s="2">
        <f>IF((F183/G183)&gt;D179,FLOOR((F183-D180)/G183,1),IF((F183/G183)&lt;=D179,FLOOR((F183/G183),1)))</f>
        <v>3</v>
      </c>
      <c r="H186" s="272">
        <f>IF(C186&lt;=$H$183,1,0)</f>
        <v>1</v>
      </c>
      <c r="I186" s="240">
        <f t="shared" si="22"/>
        <v>1</v>
      </c>
      <c r="J186" s="25">
        <f>IF(AND(E186&gt;0,G186&gt;0),1,0)</f>
        <v>1</v>
      </c>
      <c r="K186" s="12">
        <f>IF(B186&lt;=$K$183,1,0)</f>
        <v>1</v>
      </c>
      <c r="L186" s="26">
        <f>IF(L180=0,1,IF(AND(L180=1,C8&gt;=L183),1,IF(AND(L180=1,C8&lt;L183),0)))</f>
        <v>1</v>
      </c>
      <c r="M186" s="26">
        <f>T46</f>
        <v>1</v>
      </c>
      <c r="N186" s="26">
        <f>IF($E$183&gt;=$N$183,1,0)</f>
        <v>1</v>
      </c>
      <c r="O186" s="26">
        <f>$O$183</f>
        <v>1</v>
      </c>
      <c r="P186" s="26">
        <f>IF($P$180=0,1,IF(AND($P$180=1,$P$183=1),1,IF(AND($P$180=1,$P$183=0),0)))</f>
        <v>1</v>
      </c>
      <c r="Q186" s="240">
        <f t="shared" si="23"/>
        <v>1</v>
      </c>
      <c r="R186" s="246">
        <f t="shared" si="24"/>
        <v>1</v>
      </c>
      <c r="S186" s="272">
        <f t="shared" si="25"/>
        <v>1</v>
      </c>
      <c r="T186" s="12">
        <f>IF(S186=1,B186," ")</f>
        <v>3</v>
      </c>
      <c r="U186" s="12">
        <f>IF(S186=1,E186," ")</f>
        <v>1</v>
      </c>
      <c r="V186" s="12">
        <f>IF(S186=1,G186," ")</f>
        <v>3</v>
      </c>
    </row>
    <row r="187" spans="1:23" x14ac:dyDescent="0.25">
      <c r="A187" s="18" t="str">
        <f>IF(R187=1,B187," ")</f>
        <v xml:space="preserve"> </v>
      </c>
      <c r="B187" s="255">
        <v>4</v>
      </c>
      <c r="C187" s="255">
        <f>(C108*B187)+(2*C180)+(B186*C179)</f>
        <v>1444</v>
      </c>
      <c r="D187" s="253">
        <f>IF(E187&lt;=$D$179,E187*$E$183,IF(E187&gt;$D$179,(E187*$E$183)+$D$180))</f>
        <v>1114</v>
      </c>
      <c r="E187" s="18">
        <f>CEILING(D183/E183,1)</f>
        <v>1</v>
      </c>
      <c r="F187" s="238">
        <f>IF(G187&lt;=$D$179,G187*$G$183,IF(G187&gt;$D$179,(G187*$G$183)+$D$180))</f>
        <v>3382</v>
      </c>
      <c r="G187" s="19">
        <f>IF((F183/G183)&gt;D179,FLOOR((F183-D180)/G183,1),IF((F183/G183)&lt;=D179,FLOOR((F183/G183),1)))</f>
        <v>3</v>
      </c>
      <c r="H187" s="273">
        <f>IF(C187&lt;=$H$183,1,0)</f>
        <v>0</v>
      </c>
      <c r="I187" s="242">
        <f t="shared" si="22"/>
        <v>1</v>
      </c>
      <c r="J187" s="20">
        <f>IF(AND(E187&gt;0,G187&gt;0),1,0)</f>
        <v>1</v>
      </c>
      <c r="K187" s="13">
        <f>IF(B187&lt;=$K$183,1,0)</f>
        <v>1</v>
      </c>
      <c r="L187" s="18">
        <f>IF(L180=0,1,IF(AND(L180=1,C8&gt;=L183),1,IF(AND(L180=1,C8&lt;L183),0)))</f>
        <v>1</v>
      </c>
      <c r="M187" s="18">
        <f>T46</f>
        <v>1</v>
      </c>
      <c r="N187" s="18">
        <f>IF($E$183&gt;=$N$183,1,0)</f>
        <v>1</v>
      </c>
      <c r="O187" s="18">
        <f>$O$183</f>
        <v>1</v>
      </c>
      <c r="P187" s="432">
        <f>IF($P$180=0,1,IF(AND($P$180=1,$P$183=1),1,IF(AND($P$180=1,$P$183=0),0)))</f>
        <v>1</v>
      </c>
      <c r="Q187" s="242">
        <f t="shared" si="23"/>
        <v>1</v>
      </c>
      <c r="R187" s="677">
        <f t="shared" si="24"/>
        <v>0</v>
      </c>
      <c r="S187" s="273">
        <f t="shared" si="25"/>
        <v>0</v>
      </c>
      <c r="T187" s="13" t="str">
        <f>IF(S187=1,B187," ")</f>
        <v xml:space="preserve"> </v>
      </c>
      <c r="U187" s="13" t="str">
        <f>IF(S187=1,E187," ")</f>
        <v xml:space="preserve"> </v>
      </c>
      <c r="V187" s="13" t="str">
        <f>IF(S187=1,G187," ")</f>
        <v xml:space="preserve"> </v>
      </c>
    </row>
    <row r="188" spans="1:23" x14ac:dyDescent="0.25">
      <c r="M188" s="2"/>
    </row>
    <row r="189" spans="1:23" x14ac:dyDescent="0.25">
      <c r="E189" t="s">
        <v>725</v>
      </c>
      <c r="F189" s="407">
        <f>IF(AND(B402&lt;&gt;"mini",C402="mini"),1,IF(AND(B402&lt;&gt;"mini",C402="Emba 295"),1,0))</f>
        <v>0</v>
      </c>
    </row>
    <row r="190" spans="1:23" x14ac:dyDescent="0.25">
      <c r="A190" s="3" t="s">
        <v>195</v>
      </c>
      <c r="B190" s="218" t="s">
        <v>196</v>
      </c>
      <c r="C190" s="5" t="s">
        <v>197</v>
      </c>
      <c r="E190" s="3" t="s">
        <v>195</v>
      </c>
      <c r="F190" s="218" t="s">
        <v>196</v>
      </c>
      <c r="G190" s="5" t="s">
        <v>197</v>
      </c>
    </row>
    <row r="191" spans="1:23" x14ac:dyDescent="0.25">
      <c r="A191" s="18">
        <f>MIN(A184:A187)</f>
        <v>2</v>
      </c>
      <c r="B191" s="13">
        <f>IF(SUM(A184:A187)&gt;0,VLOOKUP(A191,$A$184:$S$187,5,FALSE),0)</f>
        <v>1</v>
      </c>
      <c r="C191" s="20">
        <f>IF(SUM(A184:A187)&gt;0,VLOOKUP(A191,$A$184:$S$187,7,FALSE),0)</f>
        <v>3</v>
      </c>
      <c r="E191" s="18">
        <f>MIN(T184:T187)</f>
        <v>2</v>
      </c>
      <c r="F191" s="13">
        <f>IF(SUM(S184:S187)&gt;0,VLOOKUP(E191,T184:V187,2,FALSE),0)</f>
        <v>1</v>
      </c>
      <c r="G191" s="20">
        <f>IF(SUM(S184:S187)&gt;0,VLOOKUP(E191,T184:V187,3,FALSE),0)</f>
        <v>3</v>
      </c>
    </row>
    <row r="192" spans="1:23" x14ac:dyDescent="0.25">
      <c r="A192" s="26" t="s">
        <v>165</v>
      </c>
      <c r="B192" s="280" t="s">
        <v>196</v>
      </c>
      <c r="C192" s="25" t="s">
        <v>197</v>
      </c>
      <c r="E192" s="26" t="s">
        <v>165</v>
      </c>
      <c r="F192" s="280" t="s">
        <v>196</v>
      </c>
      <c r="G192" s="25" t="s">
        <v>197</v>
      </c>
    </row>
    <row r="193" spans="1:25" x14ac:dyDescent="0.25">
      <c r="A193" s="18">
        <f>IF(AND(MAX(A184:A187)=4,A191&lt;4,O180=1),MAX(A184:A187)-1,MAX(A184:A187))</f>
        <v>3</v>
      </c>
      <c r="B193" s="13">
        <f>IF(SUM(A184:A187)&gt;0,VLOOKUP(A193,$A$184:$S$187,5,FALSE),0)</f>
        <v>1</v>
      </c>
      <c r="C193" s="20">
        <f>IF(SUM(A184:A187)&gt;0,VLOOKUP(A193,$A$184:$S$187,7,FALSE),0)</f>
        <v>3</v>
      </c>
      <c r="E193" s="18">
        <f>MAX(T184:T187)</f>
        <v>3</v>
      </c>
      <c r="F193" s="13">
        <f>IF(SUM(S184:S187)&gt;0,VLOOKUP(E193,T184:V187,2,FALSE),0)</f>
        <v>1</v>
      </c>
      <c r="G193" s="20">
        <f>IF(SUM(S184:S187)&gt;0,VLOOKUP(E193,T184:V187,3,FALSE),0)</f>
        <v>3</v>
      </c>
    </row>
    <row r="195" spans="1:25" s="320" customFormat="1" x14ac:dyDescent="0.25">
      <c r="B195" s="441"/>
      <c r="Y195" s="343"/>
    </row>
    <row r="196" spans="1:25" x14ac:dyDescent="0.25">
      <c r="L196" s="292"/>
    </row>
    <row r="197" spans="1:25" x14ac:dyDescent="0.25">
      <c r="B197" s="215" t="s">
        <v>199</v>
      </c>
    </row>
    <row r="198" spans="1:25" x14ac:dyDescent="0.25">
      <c r="B198" s="215"/>
    </row>
    <row r="200" spans="1:25" x14ac:dyDescent="0.25">
      <c r="A200" s="14"/>
      <c r="B200" s="282"/>
      <c r="C200" s="15"/>
      <c r="D200" s="15"/>
      <c r="E200" s="15"/>
      <c r="F200" s="15"/>
      <c r="G200" s="15"/>
      <c r="H200" s="1099">
        <v>1000</v>
      </c>
      <c r="I200" s="137" t="s">
        <v>188</v>
      </c>
      <c r="J200" s="14"/>
      <c r="K200" s="15"/>
      <c r="L200" s="412"/>
      <c r="M200" s="404"/>
      <c r="N200" s="442" t="s">
        <v>28</v>
      </c>
      <c r="O200" s="404"/>
      <c r="P200" s="433"/>
    </row>
    <row r="201" spans="1:25" x14ac:dyDescent="0.25">
      <c r="A201" s="8"/>
      <c r="B201" s="9"/>
      <c r="C201" s="9"/>
      <c r="D201" s="9"/>
      <c r="E201" s="9"/>
      <c r="F201" s="9"/>
      <c r="G201" s="9"/>
      <c r="H201" s="34">
        <v>820</v>
      </c>
      <c r="I201" s="145">
        <f>AA46</f>
        <v>1</v>
      </c>
      <c r="J201" s="8"/>
      <c r="K201" s="9"/>
      <c r="L201" s="320"/>
      <c r="M201" s="41"/>
      <c r="N201" s="13">
        <f>IF(C131=0,0,1)</f>
        <v>0</v>
      </c>
      <c r="O201" s="52"/>
      <c r="P201" s="70">
        <v>11</v>
      </c>
    </row>
    <row r="202" spans="1:25" x14ac:dyDescent="0.25">
      <c r="A202" s="14"/>
      <c r="B202" s="35" t="s">
        <v>61</v>
      </c>
      <c r="C202" s="156" t="s">
        <v>18</v>
      </c>
      <c r="D202" s="156" t="s">
        <v>9</v>
      </c>
      <c r="E202" s="231" t="s">
        <v>99</v>
      </c>
      <c r="F202" s="232"/>
      <c r="G202" s="233" t="s">
        <v>100</v>
      </c>
      <c r="H202" s="234"/>
      <c r="I202" s="2" t="s">
        <v>189</v>
      </c>
      <c r="J202" s="156" t="s">
        <v>210</v>
      </c>
      <c r="K202" s="156" t="s">
        <v>209</v>
      </c>
      <c r="L202" s="417" t="s">
        <v>211</v>
      </c>
      <c r="M202" s="437" t="s">
        <v>496</v>
      </c>
      <c r="N202" s="442" t="s">
        <v>576</v>
      </c>
      <c r="O202" s="399" t="s">
        <v>1</v>
      </c>
      <c r="P202" s="423" t="s">
        <v>108</v>
      </c>
    </row>
    <row r="203" spans="1:25" ht="15.75" thickBot="1" x14ac:dyDescent="0.3">
      <c r="A203" s="6"/>
      <c r="B203" s="36" t="s">
        <v>180</v>
      </c>
      <c r="C203" s="120" t="s">
        <v>109</v>
      </c>
      <c r="D203" s="120" t="s">
        <v>109</v>
      </c>
      <c r="E203" s="227" t="s">
        <v>110</v>
      </c>
      <c r="F203" s="228" t="s">
        <v>111</v>
      </c>
      <c r="G203" s="227" t="s">
        <v>110</v>
      </c>
      <c r="H203" s="228" t="s">
        <v>111</v>
      </c>
      <c r="I203" s="78" t="s">
        <v>190</v>
      </c>
      <c r="J203" s="202" t="s">
        <v>180</v>
      </c>
      <c r="K203" s="202" t="s">
        <v>180</v>
      </c>
      <c r="L203" s="227" t="s">
        <v>212</v>
      </c>
      <c r="M203" s="12" t="s">
        <v>96</v>
      </c>
      <c r="N203" s="12" t="s">
        <v>577</v>
      </c>
      <c r="O203" s="202" t="s">
        <v>96</v>
      </c>
      <c r="P203" s="228" t="s">
        <v>96</v>
      </c>
    </row>
    <row r="204" spans="1:25" ht="15.75" thickBot="1" x14ac:dyDescent="0.3">
      <c r="A204" s="225"/>
      <c r="B204" s="37"/>
      <c r="C204" s="52"/>
      <c r="D204" s="41"/>
      <c r="E204" s="262">
        <v>2400</v>
      </c>
      <c r="F204" s="484">
        <v>450</v>
      </c>
      <c r="G204" s="262">
        <v>5960</v>
      </c>
      <c r="H204" s="473">
        <f>IF(OR(C111&gt;0,AT46&gt;0,C131&gt;0),H200,H201)</f>
        <v>820</v>
      </c>
      <c r="I204" s="219">
        <v>95</v>
      </c>
      <c r="J204" s="219">
        <v>800</v>
      </c>
      <c r="K204" s="293">
        <v>4500</v>
      </c>
      <c r="L204" s="208">
        <f>J388</f>
        <v>500</v>
      </c>
      <c r="M204" s="208"/>
      <c r="N204" s="431">
        <f>AQ46</f>
        <v>1</v>
      </c>
      <c r="O204" s="208">
        <f>'Prijs karton (4)'!AE16</f>
        <v>1</v>
      </c>
      <c r="P204" s="281">
        <f>IF(SUM(P205:P206)&gt;0,1,0)</f>
        <v>1</v>
      </c>
    </row>
    <row r="205" spans="1:25" x14ac:dyDescent="0.25">
      <c r="A205" s="156" t="str">
        <f>IF(P205=1,B205," ")</f>
        <v xml:space="preserve"> </v>
      </c>
      <c r="B205" s="12">
        <v>1</v>
      </c>
      <c r="C205" s="11">
        <f>C108</f>
        <v>361</v>
      </c>
      <c r="D205" s="11">
        <f>D108</f>
        <v>1114</v>
      </c>
      <c r="E205" s="2">
        <f>IF(C205&lt;=E204,1,0)</f>
        <v>1</v>
      </c>
      <c r="F205" s="11">
        <f>IF(C205&gt;=F204,1,0)</f>
        <v>0</v>
      </c>
      <c r="G205" s="26">
        <f>IF(D205&lt;=G204,1,0)</f>
        <v>1</v>
      </c>
      <c r="H205" s="11">
        <f>IF(D205&gt;=H204,1,0)</f>
        <v>1</v>
      </c>
      <c r="I205" s="4">
        <f>IF(AND(I201=1,C8&gt;=I204),1,IF(I201=0,1,0))</f>
        <v>1</v>
      </c>
      <c r="J205" s="40">
        <v>1</v>
      </c>
      <c r="K205" s="40">
        <v>1</v>
      </c>
      <c r="L205" s="431">
        <f>IF(D205&gt;=L204,1,0)</f>
        <v>1</v>
      </c>
      <c r="M205" s="26">
        <f>T46</f>
        <v>1</v>
      </c>
      <c r="N205" s="431">
        <f>IF($N$201=0,1,IF(AND($N$201=1,$N$204=1),1,IF(AND($P$180=1,$N$204=0),0)))</f>
        <v>1</v>
      </c>
      <c r="O205" s="12">
        <f>O204</f>
        <v>1</v>
      </c>
      <c r="P205" s="25">
        <f>IF(SUM(E205:O205)=P201,1,0)</f>
        <v>0</v>
      </c>
    </row>
    <row r="206" spans="1:25" x14ac:dyDescent="0.25">
      <c r="A206" s="202">
        <f>IF(P206=1,B206," ")</f>
        <v>2</v>
      </c>
      <c r="B206" s="13">
        <v>2</v>
      </c>
      <c r="C206" s="13">
        <f>B206*C108</f>
        <v>722</v>
      </c>
      <c r="D206" s="13">
        <f>D108</f>
        <v>1114</v>
      </c>
      <c r="E206" s="19">
        <f>IF(C206&lt;=E204,1,0)</f>
        <v>1</v>
      </c>
      <c r="F206" s="13">
        <f>IF(C206&gt;=F204,1,0)</f>
        <v>1</v>
      </c>
      <c r="G206" s="18">
        <f>IF(D206&lt;=G204,1,0)</f>
        <v>1</v>
      </c>
      <c r="H206" s="13">
        <f>IF(D206&gt;=H204,1,0)</f>
        <v>1</v>
      </c>
      <c r="I206" s="19">
        <f>IF(AND(I201=1,C8&gt;=I204),1,IF(I201=0,1,0))</f>
        <v>1</v>
      </c>
      <c r="J206" s="13">
        <f>IF(C205&lt;=J204,1,0)</f>
        <v>1</v>
      </c>
      <c r="K206" s="13">
        <f>IF(D205&lt;=K204,1,0)</f>
        <v>1</v>
      </c>
      <c r="L206" s="432">
        <f>IF(D206&gt;=L204,1,0)</f>
        <v>1</v>
      </c>
      <c r="M206" s="18">
        <f>T46</f>
        <v>1</v>
      </c>
      <c r="N206" s="432">
        <f>IF($N$201=0,1,IF(AND($N$201=1,$N$204=1),1,IF(AND($P$180=1,$N$204=0),0)))</f>
        <v>1</v>
      </c>
      <c r="O206" s="13">
        <f>O204</f>
        <v>1</v>
      </c>
      <c r="P206" s="436">
        <f>IF(SUM(E206:O206)=P201,1,0)</f>
        <v>1</v>
      </c>
    </row>
    <row r="208" spans="1:25" x14ac:dyDescent="0.25">
      <c r="A208" t="s">
        <v>195</v>
      </c>
      <c r="B208" s="216">
        <f>MIN(A205:A206)</f>
        <v>2</v>
      </c>
    </row>
    <row r="209" spans="1:25" x14ac:dyDescent="0.25">
      <c r="A209" t="s">
        <v>165</v>
      </c>
      <c r="B209" s="13">
        <f>MAX(A205:A206)</f>
        <v>2</v>
      </c>
    </row>
    <row r="211" spans="1:25" s="320" customFormat="1" x14ac:dyDescent="0.25">
      <c r="B211" s="441"/>
      <c r="Y211" s="343"/>
    </row>
    <row r="213" spans="1:25" x14ac:dyDescent="0.25">
      <c r="B213" s="215" t="s">
        <v>198</v>
      </c>
    </row>
    <row r="215" spans="1:25" ht="15.75" thickBot="1" x14ac:dyDescent="0.3">
      <c r="B215" s="1" t="s">
        <v>158</v>
      </c>
    </row>
    <row r="216" spans="1:25" x14ac:dyDescent="0.25">
      <c r="A216" s="220" t="s">
        <v>499</v>
      </c>
      <c r="B216" s="403" t="s">
        <v>500</v>
      </c>
      <c r="C216" s="396" t="s">
        <v>497</v>
      </c>
      <c r="D216" s="398" t="s">
        <v>498</v>
      </c>
      <c r="E216" s="444" t="s">
        <v>501</v>
      </c>
    </row>
    <row r="217" spans="1:25" x14ac:dyDescent="0.25">
      <c r="A217" s="447" t="s">
        <v>99</v>
      </c>
      <c r="B217" s="396"/>
      <c r="C217" s="413">
        <f>B228</f>
        <v>361</v>
      </c>
      <c r="D217" s="448">
        <f>H388</f>
        <v>250</v>
      </c>
      <c r="E217" s="446" t="s">
        <v>96</v>
      </c>
    </row>
    <row r="218" spans="1:25" ht="15.75" thickBot="1" x14ac:dyDescent="0.3">
      <c r="A218" s="441" t="s">
        <v>100</v>
      </c>
      <c r="B218" s="34">
        <v>50</v>
      </c>
      <c r="C218" s="443">
        <f>C228</f>
        <v>1150</v>
      </c>
      <c r="D218" s="343">
        <f>J388</f>
        <v>500</v>
      </c>
      <c r="E218" s="445">
        <f>IF(AND(C217&gt;=D217,(C218+B218)&gt;D218),     1,0)</f>
        <v>1</v>
      </c>
      <c r="F218" t="s">
        <v>502</v>
      </c>
    </row>
    <row r="221" spans="1:25" x14ac:dyDescent="0.25">
      <c r="T221" s="442" t="s">
        <v>578</v>
      </c>
    </row>
    <row r="222" spans="1:25" x14ac:dyDescent="0.25">
      <c r="T222" s="473">
        <f>IF(AND(T227=1,T224=1),1,0)</f>
        <v>0</v>
      </c>
    </row>
    <row r="223" spans="1:25" x14ac:dyDescent="0.25">
      <c r="Q223" s="294" t="s">
        <v>163</v>
      </c>
      <c r="T223" s="442" t="s">
        <v>579</v>
      </c>
    </row>
    <row r="224" spans="1:25" ht="15.75" thickBot="1" x14ac:dyDescent="0.3">
      <c r="Q224" s="295">
        <f>C8/C7</f>
        <v>0.4</v>
      </c>
      <c r="T224" s="473">
        <f>IF(C131=0,0,1)</f>
        <v>0</v>
      </c>
    </row>
    <row r="225" spans="2:25" x14ac:dyDescent="0.25">
      <c r="B225" s="63" t="s">
        <v>18</v>
      </c>
      <c r="C225" s="209" t="s">
        <v>9</v>
      </c>
      <c r="D225" s="1294" t="s">
        <v>99</v>
      </c>
      <c r="E225" s="1295"/>
      <c r="F225" s="1296" t="s">
        <v>100</v>
      </c>
      <c r="G225" s="1297"/>
      <c r="H225" s="64" t="s">
        <v>101</v>
      </c>
      <c r="I225" s="63" t="s">
        <v>102</v>
      </c>
      <c r="J225" s="205" t="s">
        <v>103</v>
      </c>
      <c r="K225" s="206"/>
      <c r="L225" s="205" t="s">
        <v>104</v>
      </c>
      <c r="M225" s="206"/>
      <c r="N225" s="205" t="s">
        <v>105</v>
      </c>
      <c r="O225" s="207"/>
      <c r="P225" s="63" t="s">
        <v>106</v>
      </c>
      <c r="Q225" s="63" t="s">
        <v>107</v>
      </c>
      <c r="R225" s="63" t="s">
        <v>161</v>
      </c>
      <c r="S225" s="502" t="s">
        <v>162</v>
      </c>
      <c r="T225" s="431" t="s">
        <v>580</v>
      </c>
      <c r="U225" s="913" t="s">
        <v>660</v>
      </c>
      <c r="V225" s="503" t="s">
        <v>108</v>
      </c>
    </row>
    <row r="226" spans="2:25" x14ac:dyDescent="0.25">
      <c r="B226" s="65" t="s">
        <v>109</v>
      </c>
      <c r="C226" s="210" t="s">
        <v>115</v>
      </c>
      <c r="D226" s="68" t="s">
        <v>110</v>
      </c>
      <c r="E226" s="67" t="s">
        <v>111</v>
      </c>
      <c r="F226" s="66" t="s">
        <v>110</v>
      </c>
      <c r="G226" s="67" t="s">
        <v>111</v>
      </c>
      <c r="H226" s="66" t="s">
        <v>112</v>
      </c>
      <c r="I226" s="65" t="s">
        <v>110</v>
      </c>
      <c r="J226" s="66" t="s">
        <v>111</v>
      </c>
      <c r="K226" s="65" t="s">
        <v>110</v>
      </c>
      <c r="L226" s="41"/>
      <c r="M226" s="41"/>
      <c r="N226" s="68" t="s">
        <v>111</v>
      </c>
      <c r="O226" s="68" t="s">
        <v>110</v>
      </c>
      <c r="P226" s="65"/>
      <c r="Q226" s="65" t="s">
        <v>114</v>
      </c>
      <c r="R226" s="41"/>
      <c r="S226" s="26" t="s">
        <v>96</v>
      </c>
      <c r="T226" s="26"/>
      <c r="U226" s="415"/>
      <c r="V226" s="504" t="s">
        <v>96</v>
      </c>
    </row>
    <row r="227" spans="2:25" x14ac:dyDescent="0.25">
      <c r="B227" s="52"/>
      <c r="C227" s="211">
        <v>36</v>
      </c>
      <c r="D227" s="19">
        <f>IF(C111=0,800,600)</f>
        <v>800</v>
      </c>
      <c r="E227" s="33">
        <v>180</v>
      </c>
      <c r="F227" s="31">
        <v>1700</v>
      </c>
      <c r="G227" s="33">
        <v>440</v>
      </c>
      <c r="H227" s="31">
        <v>200</v>
      </c>
      <c r="I227" s="34">
        <v>370</v>
      </c>
      <c r="J227" s="31">
        <v>50</v>
      </c>
      <c r="K227" s="34">
        <v>740</v>
      </c>
      <c r="L227" s="31">
        <v>50</v>
      </c>
      <c r="M227" s="34">
        <v>740</v>
      </c>
      <c r="N227" s="32">
        <v>180</v>
      </c>
      <c r="O227" s="32">
        <v>840</v>
      </c>
      <c r="P227" s="34">
        <v>50</v>
      </c>
      <c r="Q227" s="34">
        <v>7</v>
      </c>
      <c r="R227" s="52"/>
      <c r="S227" s="18"/>
      <c r="T227" s="208">
        <f>AQ46</f>
        <v>1</v>
      </c>
      <c r="U227" s="26">
        <f>IF(M348=0,L145,M349)</f>
        <v>300</v>
      </c>
      <c r="V227" s="223">
        <v>18</v>
      </c>
    </row>
    <row r="228" spans="2:25" ht="15.75" thickBot="1" x14ac:dyDescent="0.3">
      <c r="B228" s="69">
        <f>C108</f>
        <v>361</v>
      </c>
      <c r="C228" s="212">
        <f>D108+C227</f>
        <v>1150</v>
      </c>
      <c r="D228" s="19">
        <f>IF(B228&lt;=D227,1,0)</f>
        <v>1</v>
      </c>
      <c r="E228" s="21">
        <f>IF(B228&gt;=E227,1,0)</f>
        <v>1</v>
      </c>
      <c r="F228" s="18">
        <f>IF(C228&lt;=F227,1,0)</f>
        <v>1</v>
      </c>
      <c r="G228" s="21">
        <f>IF(C228&gt;=G227,1,0)</f>
        <v>1</v>
      </c>
      <c r="H228" s="18">
        <f>IF(MAX(AD46:AE46)&gt;H227,0,1)</f>
        <v>1</v>
      </c>
      <c r="I228" s="13">
        <f>IF(AF46&lt;=I227,1,0)</f>
        <v>1</v>
      </c>
      <c r="J228" s="18">
        <f>IF(D46&gt;=J227,1,0)</f>
        <v>1</v>
      </c>
      <c r="K228" s="13">
        <f>IF(D46&lt;=K227,1,0)</f>
        <v>1</v>
      </c>
      <c r="L228" s="18">
        <f>IF(C46&gt;=L227,1,0)</f>
        <v>1</v>
      </c>
      <c r="M228" s="13">
        <f>IF(C46&lt;=M227,1,0)</f>
        <v>1</v>
      </c>
      <c r="N228" s="18">
        <f>IF(C46+D46&gt;=N227,1,0)</f>
        <v>1</v>
      </c>
      <c r="O228" s="21">
        <f>IF(C46+D46&lt;=O227,1,0)</f>
        <v>1</v>
      </c>
      <c r="P228" s="13">
        <f>IF(E46&gt;=P227,1,0)</f>
        <v>1</v>
      </c>
      <c r="Q228" s="13">
        <f>IF(Q224&lt;=Q227,1,0)</f>
        <v>1</v>
      </c>
      <c r="R228" s="216">
        <f>'Prijs karton (4)'!AF16</f>
        <v>1</v>
      </c>
      <c r="S228" s="208">
        <f>U46</f>
        <v>1</v>
      </c>
      <c r="T228" s="208">
        <f>IF($T$224=0,1,IF(AND($T$224=1,$T$227=1),1,IF(AND($P$180=1,$T$227=0),0)))</f>
        <v>1</v>
      </c>
      <c r="U228" s="208">
        <f>IF(C3&gt;=U227,1,0)</f>
        <v>1</v>
      </c>
      <c r="V228" s="500">
        <f>IF(SUM(D228:U228)=V227,1,0)</f>
        <v>1</v>
      </c>
    </row>
    <row r="230" spans="2:25" s="320" customFormat="1" x14ac:dyDescent="0.25">
      <c r="B230" s="441"/>
      <c r="Y230" s="343"/>
    </row>
    <row r="233" spans="2:25" x14ac:dyDescent="0.25">
      <c r="B233" s="215" t="s">
        <v>73</v>
      </c>
      <c r="F233" s="484">
        <v>2900</v>
      </c>
    </row>
    <row r="234" spans="2:25" x14ac:dyDescent="0.25">
      <c r="C234" s="473" t="s">
        <v>617</v>
      </c>
      <c r="F234" s="442" t="s">
        <v>831</v>
      </c>
      <c r="Q234" s="216" t="s">
        <v>163</v>
      </c>
      <c r="T234" s="442" t="s">
        <v>579</v>
      </c>
    </row>
    <row r="235" spans="2:25" ht="15.75" thickBot="1" x14ac:dyDescent="0.3">
      <c r="C235" s="473">
        <f>AB46</f>
        <v>1</v>
      </c>
      <c r="F235" s="473">
        <f>IF(C2=B50,1,0)</f>
        <v>0</v>
      </c>
      <c r="P235" s="2"/>
      <c r="Q235" s="473">
        <f>C8/C7</f>
        <v>0.4</v>
      </c>
      <c r="T235" s="473">
        <f>IF(C131=0,0,1)</f>
        <v>0</v>
      </c>
    </row>
    <row r="236" spans="2:25" x14ac:dyDescent="0.25">
      <c r="B236" s="63" t="s">
        <v>18</v>
      </c>
      <c r="C236" s="209" t="s">
        <v>9</v>
      </c>
      <c r="D236" s="1294" t="s">
        <v>99</v>
      </c>
      <c r="E236" s="1295"/>
      <c r="F236" s="1296" t="s">
        <v>512</v>
      </c>
      <c r="G236" s="1297"/>
      <c r="H236" s="64" t="s">
        <v>101</v>
      </c>
      <c r="I236" s="63" t="s">
        <v>102</v>
      </c>
      <c r="J236" s="205" t="s">
        <v>103</v>
      </c>
      <c r="K236" s="206"/>
      <c r="L236" s="205" t="s">
        <v>104</v>
      </c>
      <c r="M236" s="206"/>
      <c r="N236" s="205" t="s">
        <v>105</v>
      </c>
      <c r="O236" s="207"/>
      <c r="P236" s="508" t="s">
        <v>561</v>
      </c>
      <c r="Q236" s="63" t="s">
        <v>107</v>
      </c>
      <c r="R236" s="63" t="s">
        <v>161</v>
      </c>
      <c r="S236" s="502" t="s">
        <v>162</v>
      </c>
      <c r="T236" s="431" t="s">
        <v>580</v>
      </c>
      <c r="U236" s="913" t="s">
        <v>660</v>
      </c>
      <c r="V236" s="503" t="s">
        <v>108</v>
      </c>
    </row>
    <row r="237" spans="2:25" x14ac:dyDescent="0.25">
      <c r="B237" s="65" t="s">
        <v>109</v>
      </c>
      <c r="C237" s="210" t="s">
        <v>115</v>
      </c>
      <c r="D237" s="68" t="s">
        <v>110</v>
      </c>
      <c r="E237" s="67" t="s">
        <v>111</v>
      </c>
      <c r="F237" s="66" t="s">
        <v>110</v>
      </c>
      <c r="G237" s="67" t="s">
        <v>111</v>
      </c>
      <c r="H237" s="66" t="s">
        <v>112</v>
      </c>
      <c r="I237" s="214" t="s">
        <v>160</v>
      </c>
      <c r="J237" s="66" t="s">
        <v>111</v>
      </c>
      <c r="K237" s="65" t="s">
        <v>110</v>
      </c>
      <c r="L237" s="41"/>
      <c r="M237" s="41"/>
      <c r="N237" s="68" t="s">
        <v>111</v>
      </c>
      <c r="O237" s="68" t="s">
        <v>110</v>
      </c>
      <c r="P237" s="507" t="s">
        <v>12</v>
      </c>
      <c r="Q237" s="65" t="s">
        <v>114</v>
      </c>
      <c r="R237" s="41"/>
      <c r="S237" s="26" t="s">
        <v>96</v>
      </c>
      <c r="T237" s="26"/>
      <c r="U237" s="415"/>
      <c r="V237" s="504" t="s">
        <v>96</v>
      </c>
    </row>
    <row r="238" spans="2:25" x14ac:dyDescent="0.25">
      <c r="B238" s="52"/>
      <c r="C238" s="211">
        <f>36</f>
        <v>36</v>
      </c>
      <c r="D238" s="19">
        <f>IF(C111=0,1400,1115)</f>
        <v>1400</v>
      </c>
      <c r="E238" s="33">
        <f>320</f>
        <v>320</v>
      </c>
      <c r="F238" s="18">
        <f>IF(F235=1,F242,F233)</f>
        <v>2900</v>
      </c>
      <c r="G238" s="33">
        <v>740</v>
      </c>
      <c r="H238" s="31">
        <v>386</v>
      </c>
      <c r="I238" s="34"/>
      <c r="J238" s="31">
        <v>135</v>
      </c>
      <c r="K238" s="34">
        <v>1040</v>
      </c>
      <c r="L238" s="31">
        <v>130</v>
      </c>
      <c r="M238" s="34">
        <v>1040</v>
      </c>
      <c r="N238" s="32">
        <v>355</v>
      </c>
      <c r="O238" s="32">
        <v>1440</v>
      </c>
      <c r="P238" s="13">
        <f>IF(C2=P237,0,50)</f>
        <v>50</v>
      </c>
      <c r="Q238" s="34">
        <v>10</v>
      </c>
      <c r="R238" s="52"/>
      <c r="S238" s="18"/>
      <c r="T238" s="208">
        <f>AQ46</f>
        <v>1</v>
      </c>
      <c r="U238" s="26">
        <f>IF(N348=0,M145,N349)</f>
        <v>300</v>
      </c>
      <c r="V238" s="223">
        <v>17</v>
      </c>
    </row>
    <row r="239" spans="2:25" ht="15.75" thickBot="1" x14ac:dyDescent="0.3">
      <c r="B239" s="547">
        <f>C108</f>
        <v>361</v>
      </c>
      <c r="C239" s="548">
        <f>D108+(C238*C235)</f>
        <v>1150</v>
      </c>
      <c r="D239" s="2">
        <f>IF(B239&lt;=D238,1,0)</f>
        <v>1</v>
      </c>
      <c r="E239" s="442">
        <f>IF(B239&gt;=E238,1,0)</f>
        <v>1</v>
      </c>
      <c r="F239" s="26">
        <f>IF(C239&lt;=F238,1,0)</f>
        <v>1</v>
      </c>
      <c r="G239" s="442">
        <f>IF(C239&gt;=G238,1,0)</f>
        <v>1</v>
      </c>
      <c r="H239" s="26">
        <f>IF(MAX(AD67:AE67)&gt;H238,0,1)</f>
        <v>1</v>
      </c>
      <c r="I239" s="549"/>
      <c r="J239" s="26">
        <f>IF(D46&gt;=J238,1,0)</f>
        <v>1</v>
      </c>
      <c r="K239" s="12">
        <f>IF(D46&lt;=K238,1,0)</f>
        <v>1</v>
      </c>
      <c r="L239" s="26">
        <f>IF(C46&gt;=L238,1,0)</f>
        <v>1</v>
      </c>
      <c r="M239" s="12">
        <f>IF(C46&lt;=M238,1,0)</f>
        <v>1</v>
      </c>
      <c r="N239" s="26">
        <f>IF(C46+D46&gt;=N238,1,0)</f>
        <v>1</v>
      </c>
      <c r="O239" s="442">
        <f>IF(C46+D46&lt;=O238,1,0)</f>
        <v>1</v>
      </c>
      <c r="P239" s="12">
        <f>IF(E46&gt;=P238,1,0)</f>
        <v>1</v>
      </c>
      <c r="Q239" s="12">
        <f>IF(Q235&lt;=Q238,1,0)</f>
        <v>1</v>
      </c>
      <c r="R239" s="442">
        <f>'Prijs karton (4)'!AG16</f>
        <v>1</v>
      </c>
      <c r="S239" s="431">
        <f>U46</f>
        <v>1</v>
      </c>
      <c r="T239" s="431">
        <f>IF($T$235=0,1,IF(AND($T$235=1,$T$238=1),1,IF(AND($P$180=1,$T$238=0),0)))</f>
        <v>1</v>
      </c>
      <c r="U239" s="914">
        <f>IF(C3&gt;=U238,1,0)</f>
        <v>1</v>
      </c>
      <c r="V239" s="500">
        <f>IF(SUM(D239:U239)=V238,1,0)</f>
        <v>1</v>
      </c>
    </row>
    <row r="240" spans="2:25" ht="15.75" thickTop="1" x14ac:dyDescent="0.25">
      <c r="B240" s="1298" t="s">
        <v>626</v>
      </c>
      <c r="C240" s="1299"/>
      <c r="D240" s="1299"/>
      <c r="E240" s="1299"/>
      <c r="F240" s="1300"/>
      <c r="G240" s="1301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4"/>
    </row>
    <row r="241" spans="1:25" x14ac:dyDescent="0.25">
      <c r="B241" s="547">
        <f>C108*C247</f>
        <v>0</v>
      </c>
      <c r="C241" s="1207">
        <f>(D108+(C238*C235*C248))*C247</f>
        <v>0</v>
      </c>
      <c r="D241" s="208">
        <f>IF(AND(B241=0,C246=0,C247=0),0,IF(C246=1,1,IF(AND(C246=0,C247=1,FLOOR(D242/B241,1)&lt;=C242),FLOOR(D242/B241,1),C242)))</f>
        <v>0</v>
      </c>
      <c r="E241" s="562">
        <f>IF(C246=1,1,IF(AND(C246=0,C247=1),CEILING(E242/B241,1),0))</f>
        <v>0</v>
      </c>
      <c r="F241" s="208">
        <f>IF(C246=1,1,IF(AND(C246=0,C247=1),FLOOR(F242/C241,1),0))</f>
        <v>0</v>
      </c>
      <c r="G241" s="550">
        <f>IF(C246=1,1,IF(AND(C246=0,C247=1),CEILING(G242/C241,1),0))</f>
        <v>0</v>
      </c>
      <c r="H241" s="2"/>
      <c r="I241" s="54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5" x14ac:dyDescent="0.25">
      <c r="B242" s="1208" t="s">
        <v>1334</v>
      </c>
      <c r="C242" s="1209">
        <f>IF(AND(C246=0,C247=1),MAX(A184:A187),0)</f>
        <v>0</v>
      </c>
      <c r="D242" s="1206">
        <f>D238</f>
        <v>1400</v>
      </c>
      <c r="E242" s="550">
        <f>E238</f>
        <v>320</v>
      </c>
      <c r="F242" s="565">
        <v>1580</v>
      </c>
      <c r="G242" s="566">
        <v>710</v>
      </c>
      <c r="H242" s="407"/>
      <c r="I242" s="407"/>
      <c r="J242" s="407"/>
      <c r="K242" s="407"/>
      <c r="L242" s="407"/>
      <c r="M242" s="407"/>
      <c r="N242" s="407"/>
      <c r="O242" s="407"/>
      <c r="P242" s="407"/>
      <c r="Q242" s="407"/>
      <c r="R242" s="407"/>
      <c r="S242" s="407"/>
      <c r="T242" s="407"/>
      <c r="U242" s="407"/>
    </row>
    <row r="243" spans="1:25" x14ac:dyDescent="0.25">
      <c r="B243" s="407"/>
      <c r="C243" s="407"/>
      <c r="D243" s="558" t="s">
        <v>622</v>
      </c>
      <c r="E243" s="562" t="s">
        <v>621</v>
      </c>
      <c r="F243" s="558" t="s">
        <v>623</v>
      </c>
      <c r="G243" s="550" t="s">
        <v>624</v>
      </c>
      <c r="H243" s="407"/>
      <c r="I243" s="407"/>
      <c r="J243" s="407"/>
      <c r="K243" s="407"/>
      <c r="L243" s="407"/>
      <c r="M243" s="407"/>
      <c r="N243" s="407"/>
      <c r="O243" s="407"/>
      <c r="P243" s="407"/>
      <c r="Q243" s="407"/>
      <c r="R243" s="407"/>
      <c r="S243" s="407"/>
      <c r="T243" s="407"/>
      <c r="U243" s="407"/>
    </row>
    <row r="244" spans="1:25" x14ac:dyDescent="0.25">
      <c r="B244" s="407"/>
      <c r="C244" s="407"/>
      <c r="E244" s="407"/>
      <c r="F244" s="407"/>
      <c r="G244" s="407"/>
      <c r="H244" s="407"/>
      <c r="I244" s="407"/>
      <c r="J244" s="407"/>
      <c r="K244" s="407"/>
      <c r="L244" s="407"/>
      <c r="M244" s="407"/>
      <c r="N244" s="407"/>
      <c r="O244" s="407"/>
      <c r="P244" s="407"/>
      <c r="Q244" s="407"/>
      <c r="R244" s="407"/>
      <c r="S244" s="407"/>
      <c r="T244" s="407"/>
      <c r="U244" s="407"/>
    </row>
    <row r="245" spans="1:25" x14ac:dyDescent="0.25">
      <c r="B245" s="555"/>
      <c r="C245" s="407"/>
      <c r="D245" s="407"/>
      <c r="F245" s="407"/>
      <c r="G245" s="407"/>
      <c r="H245" s="407"/>
      <c r="I245" s="407"/>
      <c r="J245" s="407"/>
      <c r="K245" s="407"/>
      <c r="L245" s="407"/>
      <c r="M245" s="407"/>
      <c r="N245" s="407"/>
      <c r="O245" s="407"/>
      <c r="P245" s="407"/>
      <c r="Q245" s="407"/>
      <c r="R245" s="407"/>
      <c r="S245" s="407"/>
      <c r="T245" s="407"/>
      <c r="U245" s="407"/>
    </row>
    <row r="246" spans="1:25" x14ac:dyDescent="0.25">
      <c r="A246" s="2" t="s">
        <v>64</v>
      </c>
      <c r="B246" s="555" t="s">
        <v>625</v>
      </c>
      <c r="C246" s="551">
        <f>IF(SUM(C362:I362)&gt;0,IF(B402=A246,1,0))</f>
        <v>0</v>
      </c>
      <c r="D246" s="407"/>
      <c r="E246" s="407"/>
      <c r="F246" s="407"/>
      <c r="G246" s="407"/>
      <c r="H246" s="407"/>
      <c r="I246" s="407"/>
      <c r="J246" s="407"/>
      <c r="K246" s="407"/>
      <c r="L246" s="407"/>
      <c r="M246" s="407"/>
      <c r="N246" s="407"/>
      <c r="O246" s="407"/>
      <c r="P246" s="407"/>
      <c r="Q246" s="407"/>
      <c r="R246" s="407"/>
      <c r="S246" s="407"/>
      <c r="T246" s="407"/>
      <c r="U246" s="407"/>
    </row>
    <row r="247" spans="1:25" x14ac:dyDescent="0.25">
      <c r="A247" s="2" t="s">
        <v>64</v>
      </c>
      <c r="B247" s="555" t="s">
        <v>600</v>
      </c>
      <c r="C247" s="551">
        <f>IF(SUM(C362:I362)&gt;0,IF(C402=A247,1,0),0)</f>
        <v>0</v>
      </c>
      <c r="D247" s="407"/>
      <c r="E247" s="407"/>
      <c r="F247" s="407"/>
      <c r="G247" s="407"/>
      <c r="H247" s="407"/>
      <c r="I247" s="407"/>
      <c r="J247" s="407"/>
      <c r="K247" s="407"/>
      <c r="L247" s="407"/>
      <c r="M247" s="407"/>
      <c r="N247" s="407"/>
      <c r="O247" s="407"/>
      <c r="P247" s="407"/>
      <c r="Q247" s="407"/>
      <c r="R247" s="407"/>
      <c r="S247" s="407"/>
      <c r="T247" s="407"/>
      <c r="U247" s="407"/>
    </row>
    <row r="248" spans="1:25" x14ac:dyDescent="0.25">
      <c r="A248" s="2" t="s">
        <v>64</v>
      </c>
      <c r="B248" s="555" t="s">
        <v>620</v>
      </c>
      <c r="C248" s="551">
        <f>IF(SUM(A250:A254)&gt;0,VLOOKUP(1,A250:C254,3,FALSE),0)</f>
        <v>0</v>
      </c>
      <c r="D248" s="407"/>
      <c r="E248" s="407"/>
      <c r="F248" s="407"/>
      <c r="G248" s="407"/>
      <c r="H248" s="407"/>
      <c r="I248" s="407"/>
      <c r="J248" s="407"/>
      <c r="K248" s="407"/>
      <c r="L248" s="407"/>
      <c r="M248" s="407"/>
      <c r="N248" s="407"/>
      <c r="O248" s="407"/>
      <c r="P248" s="407"/>
      <c r="Q248" s="407"/>
      <c r="R248" s="407"/>
      <c r="S248" s="407"/>
      <c r="T248" s="407"/>
      <c r="U248" s="407"/>
    </row>
    <row r="249" spans="1:25" x14ac:dyDescent="0.25">
      <c r="A249" s="208" t="s">
        <v>615</v>
      </c>
      <c r="B249" s="552" t="s">
        <v>614</v>
      </c>
      <c r="C249" s="551" t="s">
        <v>616</v>
      </c>
      <c r="D249" s="407"/>
      <c r="E249" s="407"/>
      <c r="F249" s="407"/>
      <c r="G249" s="407"/>
      <c r="H249" s="407"/>
      <c r="I249" s="407"/>
      <c r="J249" s="407"/>
      <c r="K249" s="407"/>
      <c r="L249" s="407"/>
      <c r="M249" s="407"/>
      <c r="N249" s="407"/>
      <c r="O249" s="407"/>
      <c r="P249" s="407"/>
      <c r="Q249" s="407"/>
      <c r="R249" s="407"/>
      <c r="S249" s="407"/>
      <c r="T249" s="407"/>
      <c r="U249" s="407"/>
    </row>
    <row r="250" spans="1:25" x14ac:dyDescent="0.25">
      <c r="A250" s="442" t="b">
        <f>IF(SUM(C362:I362)&gt;0,IF(HLOOKUP(1,$C$362:$I$374,2,FALSE)=B250,1),0)</f>
        <v>0</v>
      </c>
      <c r="B250" s="553" t="s">
        <v>65</v>
      </c>
      <c r="C250" s="560">
        <v>0</v>
      </c>
      <c r="D250" s="555" t="s">
        <v>618</v>
      </c>
      <c r="E250" s="407"/>
      <c r="F250" s="407"/>
      <c r="G250" s="407"/>
      <c r="H250" s="407"/>
      <c r="I250" s="407"/>
      <c r="J250" s="407"/>
      <c r="K250" s="407"/>
      <c r="L250" s="407"/>
      <c r="M250" s="407"/>
      <c r="N250" s="407"/>
      <c r="O250" s="407"/>
      <c r="P250" s="407"/>
      <c r="Q250" s="407"/>
      <c r="R250" s="407"/>
      <c r="S250" s="407"/>
      <c r="T250" s="407"/>
      <c r="U250" s="407"/>
    </row>
    <row r="251" spans="1:25" x14ac:dyDescent="0.25">
      <c r="A251" s="12" t="b">
        <f>IF(SUM(C362:I362)&gt;0,IF(HLOOKUP(1,$C$362:$I$374,2,FALSE)=B251,1),0)</f>
        <v>0</v>
      </c>
      <c r="B251" s="554" t="s">
        <v>66</v>
      </c>
      <c r="C251" s="561">
        <v>0</v>
      </c>
      <c r="D251" s="555" t="s">
        <v>618</v>
      </c>
      <c r="E251" s="407"/>
      <c r="F251" s="407"/>
      <c r="G251" s="407"/>
      <c r="H251" s="407"/>
      <c r="I251" s="407"/>
      <c r="J251" s="407"/>
      <c r="K251" s="407"/>
      <c r="L251" s="407"/>
      <c r="M251" s="407"/>
      <c r="N251" s="407"/>
      <c r="O251" s="407"/>
      <c r="P251" s="407"/>
      <c r="Q251" s="407"/>
      <c r="R251" s="407"/>
      <c r="S251" s="407"/>
      <c r="T251" s="407"/>
      <c r="U251" s="407"/>
    </row>
    <row r="252" spans="1:25" x14ac:dyDescent="0.25">
      <c r="A252" s="28">
        <v>0</v>
      </c>
      <c r="B252" s="41" t="s">
        <v>64</v>
      </c>
      <c r="C252" s="557">
        <v>0</v>
      </c>
      <c r="D252" s="407"/>
      <c r="E252" s="407"/>
      <c r="F252" s="407"/>
      <c r="G252" s="407"/>
      <c r="H252" s="407"/>
      <c r="I252" s="407"/>
      <c r="J252" s="407"/>
      <c r="K252" s="407"/>
      <c r="L252" s="407"/>
      <c r="M252" s="407"/>
      <c r="N252" s="407"/>
      <c r="O252" s="407"/>
      <c r="P252" s="407"/>
      <c r="Q252" s="407"/>
      <c r="R252" s="407"/>
      <c r="S252" s="407"/>
      <c r="T252" s="407"/>
      <c r="U252" s="407"/>
    </row>
    <row r="253" spans="1:25" x14ac:dyDescent="0.25">
      <c r="A253" s="12">
        <f>IF(SUM(C362:I362)&gt;0,IF(HLOOKUP(1,$C$362:$I$374,2,FALSE)=B253,1),0)</f>
        <v>1</v>
      </c>
      <c r="B253" s="41" t="s">
        <v>63</v>
      </c>
      <c r="C253" s="556">
        <f>IF(A253=1,C247,0)</f>
        <v>0</v>
      </c>
      <c r="D253" s="407"/>
      <c r="E253" s="407"/>
      <c r="F253" s="407"/>
      <c r="G253" s="407"/>
      <c r="H253" s="407"/>
      <c r="I253" s="407"/>
      <c r="J253" s="407"/>
      <c r="K253" s="407"/>
      <c r="L253" s="407"/>
      <c r="M253" s="407"/>
      <c r="N253" s="407"/>
      <c r="O253" s="407"/>
      <c r="P253" s="407"/>
      <c r="Q253" s="407"/>
      <c r="R253" s="407"/>
      <c r="S253" s="407"/>
      <c r="T253" s="407"/>
      <c r="U253" s="407"/>
    </row>
    <row r="254" spans="1:25" x14ac:dyDescent="0.25">
      <c r="A254" s="34">
        <v>0</v>
      </c>
      <c r="B254" s="52" t="s">
        <v>554</v>
      </c>
      <c r="C254" s="559">
        <v>0</v>
      </c>
      <c r="D254" s="555" t="s">
        <v>619</v>
      </c>
      <c r="E254" s="407"/>
      <c r="F254" s="407"/>
      <c r="G254" s="407"/>
      <c r="H254" s="407"/>
      <c r="I254" s="407"/>
      <c r="J254" s="407"/>
      <c r="K254" s="407"/>
      <c r="L254" s="407"/>
      <c r="M254" s="407"/>
      <c r="N254" s="407"/>
      <c r="O254" s="407"/>
      <c r="P254" s="407"/>
      <c r="Q254" s="407"/>
      <c r="R254" s="407"/>
      <c r="S254" s="407"/>
      <c r="T254" s="407"/>
      <c r="U254" s="407"/>
    </row>
    <row r="255" spans="1:25" x14ac:dyDescent="0.25">
      <c r="B255" s="407"/>
      <c r="C255" s="407"/>
      <c r="D255" s="407"/>
      <c r="E255" s="407"/>
      <c r="F255" s="407"/>
      <c r="G255" s="407"/>
      <c r="H255" s="407"/>
      <c r="I255" s="407"/>
      <c r="J255" s="407"/>
      <c r="K255" s="407"/>
      <c r="L255" s="407"/>
      <c r="M255" s="407"/>
      <c r="N255" s="407"/>
      <c r="O255" s="407"/>
      <c r="P255" s="407"/>
      <c r="Q255" s="407"/>
      <c r="R255" s="407"/>
      <c r="S255" s="407"/>
      <c r="T255" s="407"/>
      <c r="U255" s="407"/>
    </row>
    <row r="256" spans="1:25" s="320" customFormat="1" x14ac:dyDescent="0.25">
      <c r="B256" s="441"/>
      <c r="Y256" s="343"/>
    </row>
    <row r="258" spans="1:12" x14ac:dyDescent="0.25">
      <c r="B258" s="215" t="s">
        <v>200</v>
      </c>
    </row>
    <row r="259" spans="1:12" x14ac:dyDescent="0.25">
      <c r="B259"/>
      <c r="C259" s="215"/>
    </row>
    <row r="260" spans="1:12" x14ac:dyDescent="0.25">
      <c r="B260" s="440" t="s">
        <v>511</v>
      </c>
      <c r="C260" s="464"/>
      <c r="D260" s="449" t="s">
        <v>18</v>
      </c>
      <c r="E260" s="442" t="s">
        <v>9</v>
      </c>
      <c r="F260" s="442" t="s">
        <v>508</v>
      </c>
      <c r="G260" s="2"/>
    </row>
    <row r="261" spans="1:12" x14ac:dyDescent="0.25">
      <c r="B261" s="438"/>
      <c r="C261" s="464" t="s">
        <v>506</v>
      </c>
      <c r="D261" s="449">
        <f>C108</f>
        <v>361</v>
      </c>
      <c r="E261" s="442">
        <f>D108</f>
        <v>1114</v>
      </c>
      <c r="F261" s="451">
        <f>(D261/1000)*(E261/1000)</f>
        <v>0.40215400000000001</v>
      </c>
      <c r="G261" s="479"/>
      <c r="H261" s="450"/>
    </row>
    <row r="262" spans="1:12" ht="15.75" thickBot="1" x14ac:dyDescent="0.3">
      <c r="B262" s="462"/>
      <c r="C262" s="465" t="s">
        <v>510</v>
      </c>
      <c r="D262" s="463">
        <v>40</v>
      </c>
      <c r="E262" s="460"/>
      <c r="F262" s="460"/>
    </row>
    <row r="263" spans="1:12" ht="15.75" thickTop="1" x14ac:dyDescent="0.25">
      <c r="B263" s="6"/>
      <c r="C263" s="36" t="s">
        <v>503</v>
      </c>
      <c r="D263" s="344">
        <v>500</v>
      </c>
      <c r="E263" s="34">
        <v>500</v>
      </c>
      <c r="F263" s="340"/>
      <c r="G263" s="2"/>
      <c r="H263" s="455"/>
    </row>
    <row r="264" spans="1:12" x14ac:dyDescent="0.25">
      <c r="B264" s="6"/>
      <c r="C264" s="36" t="s">
        <v>504</v>
      </c>
      <c r="D264" s="2">
        <f>H388</f>
        <v>250</v>
      </c>
      <c r="E264" s="12">
        <f>J388</f>
        <v>500</v>
      </c>
      <c r="F264" s="453"/>
      <c r="G264" s="2"/>
    </row>
    <row r="265" spans="1:12" x14ac:dyDescent="0.25">
      <c r="B265" s="6"/>
      <c r="C265" s="36"/>
      <c r="E265" s="41"/>
      <c r="F265" s="452"/>
      <c r="G265" s="459"/>
      <c r="H265" s="456"/>
    </row>
    <row r="266" spans="1:12" x14ac:dyDescent="0.25">
      <c r="B266" s="213"/>
      <c r="C266" s="466" t="s">
        <v>505</v>
      </c>
      <c r="D266" s="397">
        <f>MAX(D263:D264)</f>
        <v>500</v>
      </c>
      <c r="E266" s="403">
        <f>MAX(E263:E264)</f>
        <v>500</v>
      </c>
      <c r="F266" s="480">
        <f>(D266/1000)*(E266/1000)</f>
        <v>0.25</v>
      </c>
      <c r="G266" s="2"/>
      <c r="H266" s="457"/>
    </row>
    <row r="267" spans="1:12" ht="15.75" thickBot="1" x14ac:dyDescent="0.3">
      <c r="B267" s="440">
        <f>C111</f>
        <v>0</v>
      </c>
      <c r="C267" s="464" t="s">
        <v>507</v>
      </c>
      <c r="D267" s="449">
        <f>IF(B267&gt;0,E238,0)</f>
        <v>0</v>
      </c>
      <c r="E267" s="442">
        <f>IF(B267&gt;0,G238-D262,0)</f>
        <v>0</v>
      </c>
      <c r="F267" s="451">
        <f>(D267/1000)*(E267/1000)</f>
        <v>0</v>
      </c>
      <c r="G267" s="2"/>
    </row>
    <row r="268" spans="1:12" ht="15.75" thickBot="1" x14ac:dyDescent="0.3">
      <c r="B268" s="414"/>
      <c r="C268" s="458" t="s">
        <v>509</v>
      </c>
      <c r="D268" s="461">
        <f>MAX(D267,D266)-D262</f>
        <v>460</v>
      </c>
      <c r="E268" s="461">
        <f>MAX(E267,E266)-D262</f>
        <v>460</v>
      </c>
      <c r="F268" s="481">
        <f>(D268/1000)*(E268/1000)</f>
        <v>0.21160000000000001</v>
      </c>
      <c r="G268" s="2"/>
    </row>
    <row r="269" spans="1:12" x14ac:dyDescent="0.25">
      <c r="B269"/>
      <c r="C269" s="1"/>
      <c r="D269" s="407"/>
      <c r="E269" s="407"/>
      <c r="F269" s="468"/>
      <c r="G269" s="2"/>
    </row>
    <row r="270" spans="1:12" x14ac:dyDescent="0.25">
      <c r="B270"/>
      <c r="C270" s="1"/>
      <c r="D270" s="407"/>
      <c r="E270" s="407"/>
      <c r="F270" s="468"/>
      <c r="G270" s="2"/>
    </row>
    <row r="271" spans="1:12" x14ac:dyDescent="0.25">
      <c r="A271" t="s">
        <v>524</v>
      </c>
      <c r="B271" s="2"/>
      <c r="C271" s="1"/>
      <c r="D271" s="407"/>
      <c r="E271" s="407"/>
      <c r="F271" s="468"/>
      <c r="H271" s="2"/>
      <c r="I271" s="951">
        <f>MIN(I274:I275)</f>
        <v>0.190554</v>
      </c>
      <c r="K271" s="403">
        <f>MIN(K274:K275)</f>
        <v>0</v>
      </c>
    </row>
    <row r="272" spans="1:12" x14ac:dyDescent="0.25">
      <c r="A272" s="404"/>
      <c r="B272" s="440"/>
      <c r="C272" s="469"/>
      <c r="D272" s="470"/>
      <c r="E272" s="471"/>
      <c r="F272" s="451"/>
      <c r="G272" s="404"/>
      <c r="H272" s="404"/>
      <c r="I272" s="442" t="s">
        <v>516</v>
      </c>
      <c r="J272" s="404"/>
      <c r="K272" s="442" t="s">
        <v>515</v>
      </c>
      <c r="L272" s="404"/>
    </row>
    <row r="273" spans="1:12" x14ac:dyDescent="0.25">
      <c r="A273" s="13" t="s">
        <v>517</v>
      </c>
      <c r="B273" s="1292" t="s">
        <v>518</v>
      </c>
      <c r="C273" s="1293"/>
      <c r="D273" s="1292" t="s">
        <v>519</v>
      </c>
      <c r="E273" s="1293"/>
      <c r="F273" s="13" t="s">
        <v>520</v>
      </c>
      <c r="G273" s="13" t="s">
        <v>521</v>
      </c>
      <c r="H273" s="52" t="s">
        <v>513</v>
      </c>
      <c r="I273" s="41" t="s">
        <v>514</v>
      </c>
      <c r="J273" s="12" t="s">
        <v>522</v>
      </c>
      <c r="K273" s="41" t="s">
        <v>514</v>
      </c>
      <c r="L273" s="12" t="s">
        <v>523</v>
      </c>
    </row>
    <row r="274" spans="1:12" x14ac:dyDescent="0.25">
      <c r="A274" s="403">
        <f>IF(SUM(L274:L275)=0,1,IF(SUM(L274:L275)=2,1,L274))</f>
        <v>1</v>
      </c>
      <c r="B274" s="208">
        <f>IF(ROUND(D268/D261,0)=0,1,ROUND(D268/D261,0))</f>
        <v>1</v>
      </c>
      <c r="C274" s="38">
        <f>IF(ROUND(E268/E261,0)=0,1,ROUND(E268/E261,0))</f>
        <v>1</v>
      </c>
      <c r="D274" s="208">
        <f>B274*D261</f>
        <v>361</v>
      </c>
      <c r="E274" s="38">
        <f>C274*E261</f>
        <v>1114</v>
      </c>
      <c r="F274" s="403">
        <f>C274*B274</f>
        <v>1</v>
      </c>
      <c r="G274" s="402">
        <f>(D274/1000)*(E274/1000)</f>
        <v>0.40215400000000001</v>
      </c>
      <c r="H274" s="403">
        <f>IF((G274)&gt;=F268,1,0)</f>
        <v>1</v>
      </c>
      <c r="I274" s="403">
        <f>IF(SUM(H274:H275)=2,G274-F268,0)</f>
        <v>0.190554</v>
      </c>
      <c r="J274" s="403">
        <f>IF(AND(H274=1,I274=I271),1,0)</f>
        <v>1</v>
      </c>
      <c r="K274" s="403">
        <f>IF(SUM(H274:H275)=0,F268-G274,0)</f>
        <v>0</v>
      </c>
      <c r="L274" s="403">
        <f>IF(AND(SUM(J274:J275)=0,K274=K271,),1,J274)</f>
        <v>1</v>
      </c>
    </row>
    <row r="275" spans="1:12" x14ac:dyDescent="0.25">
      <c r="A275" s="403">
        <f>IF(SUM(L274:L275)=2,0,L275)</f>
        <v>0</v>
      </c>
      <c r="B275" s="432">
        <f>IF(ROUND(E268/D261,0)=0,1,ROUND(E268/D261,0))</f>
        <v>1</v>
      </c>
      <c r="C275" s="436">
        <f>IF(ROUND(D268/E261,0)=0,1,ROUND(D268/E261,0))</f>
        <v>1</v>
      </c>
      <c r="D275" s="432">
        <f>B275*D261</f>
        <v>361</v>
      </c>
      <c r="E275" s="436">
        <f>C275*E261</f>
        <v>1114</v>
      </c>
      <c r="F275" s="473">
        <f>B275*C275</f>
        <v>1</v>
      </c>
      <c r="G275" s="342">
        <f>(D275/1000)*(E275/1000)</f>
        <v>0.40215400000000001</v>
      </c>
      <c r="H275" s="13">
        <f>IF(G275&gt;=F268,1,0)</f>
        <v>1</v>
      </c>
      <c r="I275" s="13">
        <f>IF(SUM(H274:H275)=2,G275-F268,0)</f>
        <v>0.190554</v>
      </c>
      <c r="J275" s="13">
        <f>IF(AND(H275=1,I275=I271),1,0)</f>
        <v>1</v>
      </c>
      <c r="K275" s="13">
        <f>IF(SUM(H274:H275)=0,F268-G275,0)</f>
        <v>0</v>
      </c>
      <c r="L275" s="13">
        <f>IF(AND(SUM(J274:J275)=0,K275=K271,),1,J275)</f>
        <v>1</v>
      </c>
    </row>
    <row r="276" spans="1:12" x14ac:dyDescent="0.25">
      <c r="A276" s="2"/>
      <c r="B276" s="2"/>
      <c r="C276" s="59" t="s">
        <v>39</v>
      </c>
      <c r="D276" s="477">
        <f>VLOOKUP(1,A274:L275,4,FALSE)</f>
        <v>361</v>
      </c>
      <c r="E276" s="471">
        <f>VLOOKUP(1,A274:L275,5,FALSE)</f>
        <v>1114</v>
      </c>
      <c r="F276" s="2"/>
      <c r="G276" s="2"/>
      <c r="H276" s="2"/>
      <c r="I276" s="2"/>
      <c r="J276" s="2"/>
      <c r="K276" s="2"/>
      <c r="L276" s="2"/>
    </row>
    <row r="277" spans="1:12" ht="15.75" thickBot="1" x14ac:dyDescent="0.3">
      <c r="A277" s="2"/>
      <c r="B277" s="2"/>
      <c r="C277" s="59" t="s">
        <v>533</v>
      </c>
      <c r="D277" s="477">
        <f>MAX(D268,D276)</f>
        <v>460</v>
      </c>
      <c r="E277" s="471">
        <f>MAX(E268,E276)</f>
        <v>1114</v>
      </c>
      <c r="F277" s="2"/>
      <c r="G277" s="2"/>
      <c r="H277" s="2"/>
      <c r="I277" s="2"/>
      <c r="J277" s="2"/>
      <c r="K277" s="2"/>
      <c r="L277" s="2"/>
    </row>
    <row r="278" spans="1:12" ht="15.75" thickBot="1" x14ac:dyDescent="0.3">
      <c r="A278" s="2"/>
      <c r="B278" s="2"/>
      <c r="C278" s="59" t="s">
        <v>785</v>
      </c>
      <c r="D278" s="478">
        <f>D277/VLOOKUP(1,A274:C275,2,FALSE)</f>
        <v>460</v>
      </c>
      <c r="E278" s="738">
        <f>E277/VLOOKUP(1,A274:C275,3,FALSE)</f>
        <v>1114</v>
      </c>
      <c r="F278" s="2"/>
      <c r="G278" s="2"/>
      <c r="H278" s="2"/>
      <c r="I278" s="2"/>
      <c r="J278" s="2"/>
      <c r="K278" s="2"/>
      <c r="L278" s="2"/>
    </row>
    <row r="279" spans="1:12" x14ac:dyDescent="0.25">
      <c r="C279" s="459"/>
    </row>
    <row r="280" spans="1:12" x14ac:dyDescent="0.25">
      <c r="C280" s="2" t="s">
        <v>18</v>
      </c>
      <c r="D280" s="2" t="s">
        <v>9</v>
      </c>
    </row>
    <row r="281" spans="1:12" x14ac:dyDescent="0.25">
      <c r="B281" s="1" t="s">
        <v>525</v>
      </c>
      <c r="C281" s="407">
        <f>D277+D262</f>
        <v>500</v>
      </c>
      <c r="D281" s="407">
        <f>E277+D262</f>
        <v>1154</v>
      </c>
    </row>
    <row r="282" spans="1:12" x14ac:dyDescent="0.25">
      <c r="B282" s="1" t="s">
        <v>526</v>
      </c>
      <c r="C282" s="407">
        <f>MIN(C281:D281)</f>
        <v>500</v>
      </c>
      <c r="D282" s="407">
        <f>MAX(C281:D281)</f>
        <v>1154</v>
      </c>
    </row>
    <row r="284" spans="1:12" x14ac:dyDescent="0.25">
      <c r="B284" s="1" t="s">
        <v>527</v>
      </c>
      <c r="C284" s="454">
        <v>1200</v>
      </c>
      <c r="D284" s="454">
        <v>1690</v>
      </c>
      <c r="E284" s="403" t="s">
        <v>187</v>
      </c>
    </row>
    <row r="285" spans="1:12" x14ac:dyDescent="0.25">
      <c r="B285" s="1" t="s">
        <v>152</v>
      </c>
      <c r="C285" s="208">
        <f>IF(C282&lt;=C284,1,0)</f>
        <v>1</v>
      </c>
      <c r="D285" s="403">
        <f>IF(D282&lt;=D284,1,0)</f>
        <v>1</v>
      </c>
      <c r="E285" s="403">
        <f>IF(SUM(C285:D285)=2,1,0)</f>
        <v>1</v>
      </c>
    </row>
    <row r="287" spans="1:12" x14ac:dyDescent="0.25">
      <c r="B287" s="1" t="s">
        <v>528</v>
      </c>
      <c r="C287" s="208">
        <f>C284</f>
        <v>1200</v>
      </c>
      <c r="D287" s="403">
        <f>D284</f>
        <v>1690</v>
      </c>
      <c r="E287" s="403" t="s">
        <v>187</v>
      </c>
    </row>
    <row r="288" spans="1:12" x14ac:dyDescent="0.25">
      <c r="C288" s="208">
        <f>IF(C282&lt;=C287,1,0)</f>
        <v>1</v>
      </c>
      <c r="D288" s="403">
        <f>IF(D282&lt;=D287,1,0)</f>
        <v>1</v>
      </c>
      <c r="E288" s="403">
        <f>IF(SUM(C288:D288)=2,1,0)</f>
        <v>1</v>
      </c>
    </row>
    <row r="289" spans="2:25" x14ac:dyDescent="0.25">
      <c r="C289" s="2"/>
      <c r="D289" s="2"/>
      <c r="E289" s="2"/>
      <c r="L289" s="512"/>
    </row>
    <row r="290" spans="2:25" ht="15.75" thickBot="1" x14ac:dyDescent="0.3">
      <c r="C290" s="2"/>
      <c r="D290" s="2"/>
      <c r="E290" s="2"/>
    </row>
    <row r="291" spans="2:25" x14ac:dyDescent="0.25">
      <c r="C291" s="2"/>
      <c r="D291" s="2"/>
      <c r="F291" s="498">
        <v>3</v>
      </c>
      <c r="L291" s="450"/>
    </row>
    <row r="292" spans="2:25" x14ac:dyDescent="0.25">
      <c r="B292" s="220"/>
      <c r="C292" s="473" t="s">
        <v>152</v>
      </c>
      <c r="D292" s="208" t="s">
        <v>534</v>
      </c>
      <c r="E292" s="476" t="s">
        <v>161</v>
      </c>
      <c r="F292" s="499" t="s">
        <v>535</v>
      </c>
    </row>
    <row r="293" spans="2:25" ht="15.75" thickBot="1" x14ac:dyDescent="0.3">
      <c r="B293" s="483" t="s">
        <v>529</v>
      </c>
      <c r="C293" s="13">
        <f>IF(SUM(E285,E288)=2,1,0)</f>
        <v>1</v>
      </c>
      <c r="D293" s="18">
        <f>V46</f>
        <v>0</v>
      </c>
      <c r="E293" s="208">
        <f>'Prijs karton (4)'!AH16</f>
        <v>1</v>
      </c>
      <c r="F293" s="500">
        <f>IF(SUM(C293:E293)=F291,1,0)</f>
        <v>0</v>
      </c>
    </row>
    <row r="295" spans="2:25" s="320" customFormat="1" x14ac:dyDescent="0.25">
      <c r="B295" s="441"/>
      <c r="Y295" s="343"/>
    </row>
    <row r="297" spans="2:25" x14ac:dyDescent="0.25">
      <c r="B297" s="215" t="s">
        <v>201</v>
      </c>
    </row>
    <row r="298" spans="2:25" x14ac:dyDescent="0.25">
      <c r="B298" s="215"/>
    </row>
    <row r="299" spans="2:25" ht="15.75" thickBot="1" x14ac:dyDescent="0.3">
      <c r="B299" s="77" t="s">
        <v>544</v>
      </c>
    </row>
    <row r="300" spans="2:25" ht="15.75" thickBot="1" x14ac:dyDescent="0.3">
      <c r="B300" s="484">
        <v>80</v>
      </c>
      <c r="C300" s="262">
        <v>150</v>
      </c>
      <c r="D300" s="281">
        <f>IF(SUM(D301:D302)&gt;0,1,0)</f>
        <v>1</v>
      </c>
    </row>
    <row r="301" spans="2:25" x14ac:dyDescent="0.25">
      <c r="B301" s="399">
        <f>IF(C307&gt;=B300,1,0)</f>
        <v>1</v>
      </c>
      <c r="C301" s="431">
        <f>IF(E307&gt;=C300,1,0)</f>
        <v>1</v>
      </c>
      <c r="D301" s="12">
        <f>IF(SUM(B301:C301)=2,1,0)</f>
        <v>1</v>
      </c>
    </row>
    <row r="302" spans="2:25" x14ac:dyDescent="0.25">
      <c r="B302" s="202">
        <f>IF(C315&gt;=B300,1,0)</f>
        <v>1</v>
      </c>
      <c r="C302" s="18">
        <f>IF(E315&gt;=C300,1,0)</f>
        <v>1</v>
      </c>
      <c r="D302" s="13">
        <f>IF(SUM(B302:C302)=2,1,0)</f>
        <v>1</v>
      </c>
    </row>
    <row r="304" spans="2:25" x14ac:dyDescent="0.25">
      <c r="B304"/>
    </row>
    <row r="305" spans="1:21" x14ac:dyDescent="0.25">
      <c r="A305" s="473" t="s">
        <v>549</v>
      </c>
      <c r="B305" s="399" t="s">
        <v>61</v>
      </c>
      <c r="C305" s="411"/>
      <c r="D305" s="486">
        <v>400</v>
      </c>
      <c r="E305" s="103"/>
      <c r="F305" s="956">
        <v>1000</v>
      </c>
      <c r="G305" s="486">
        <v>2400</v>
      </c>
      <c r="H305" s="488"/>
      <c r="I305" s="43"/>
      <c r="J305" s="417" t="s">
        <v>18</v>
      </c>
      <c r="K305" s="423"/>
      <c r="L305" s="496" t="s">
        <v>9</v>
      </c>
      <c r="M305" s="497"/>
      <c r="N305" s="399" t="s">
        <v>537</v>
      </c>
      <c r="O305" s="431" t="s">
        <v>545</v>
      </c>
      <c r="P305" s="442" t="s">
        <v>566</v>
      </c>
      <c r="Q305" s="435" t="s">
        <v>81</v>
      </c>
      <c r="R305" s="442" t="s">
        <v>582</v>
      </c>
      <c r="S305" s="442" t="s">
        <v>536</v>
      </c>
      <c r="T305" s="399" t="s">
        <v>547</v>
      </c>
      <c r="U305" s="399" t="s">
        <v>547</v>
      </c>
    </row>
    <row r="306" spans="1:21" x14ac:dyDescent="0.25">
      <c r="A306" s="491">
        <f>IF(SUM(S308:S314)=0,0,IF(AND(SUM(S308:S314)&gt;0,A307=1),0,IF(AND(SUM(S308:S314)&gt;0,A307=0),1)))</f>
        <v>0</v>
      </c>
      <c r="B306" s="120" t="s">
        <v>180</v>
      </c>
      <c r="C306" s="287" t="s">
        <v>18</v>
      </c>
      <c r="D306" s="473" t="s">
        <v>539</v>
      </c>
      <c r="E306" s="103" t="s">
        <v>9</v>
      </c>
      <c r="F306" s="489" t="s">
        <v>538</v>
      </c>
      <c r="G306" s="489" t="s">
        <v>548</v>
      </c>
      <c r="H306" s="487" t="s">
        <v>541</v>
      </c>
      <c r="I306" s="401" t="s">
        <v>540</v>
      </c>
      <c r="J306" s="489" t="s">
        <v>542</v>
      </c>
      <c r="K306" s="489" t="s">
        <v>543</v>
      </c>
      <c r="L306" s="489" t="s">
        <v>542</v>
      </c>
      <c r="M306" s="489" t="s">
        <v>181</v>
      </c>
      <c r="N306" s="228"/>
      <c r="O306" s="204" t="s">
        <v>546</v>
      </c>
      <c r="P306" s="41"/>
      <c r="Q306" s="7"/>
      <c r="R306" s="52"/>
      <c r="S306" s="202"/>
      <c r="T306" s="120" t="s">
        <v>113</v>
      </c>
      <c r="U306" s="120" t="s">
        <v>112</v>
      </c>
    </row>
    <row r="307" spans="1:21" x14ac:dyDescent="0.25">
      <c r="A307" s="492">
        <f>IF(SUM(S316:S322)=0,0,IF(SUM(S316:S322)&gt;0,1))</f>
        <v>0</v>
      </c>
      <c r="B307" s="341"/>
      <c r="C307" s="913">
        <f>C6</f>
        <v>300</v>
      </c>
      <c r="D307" s="41"/>
      <c r="E307" s="38">
        <f>C7</f>
        <v>250</v>
      </c>
      <c r="F307" s="473"/>
      <c r="G307" s="41"/>
      <c r="H307" s="241"/>
      <c r="I307" s="70">
        <v>55</v>
      </c>
      <c r="J307" s="34">
        <v>60</v>
      </c>
      <c r="K307" s="490">
        <v>1300</v>
      </c>
      <c r="L307" s="28">
        <v>65</v>
      </c>
      <c r="M307" s="28">
        <v>600</v>
      </c>
      <c r="N307" s="442"/>
      <c r="O307" s="213"/>
      <c r="P307" s="473">
        <f>W46</f>
        <v>0</v>
      </c>
      <c r="Q307" s="473">
        <f>IF(C111=0,1,0)</f>
        <v>1</v>
      </c>
      <c r="R307" s="473">
        <f>IF(C131=0,1,0)</f>
        <v>1</v>
      </c>
      <c r="S307" s="484">
        <v>9</v>
      </c>
      <c r="T307" s="442"/>
      <c r="U307" s="404"/>
    </row>
    <row r="308" spans="1:21" x14ac:dyDescent="0.25">
      <c r="A308" s="510" t="str">
        <f t="shared" ref="A308:A314" si="26">IF(AND($A$306=1,S308=1),B308," ")</f>
        <v xml:space="preserve"> </v>
      </c>
      <c r="B308" s="431">
        <v>1</v>
      </c>
      <c r="C308" s="442">
        <f>B308*$C$307</f>
        <v>300</v>
      </c>
      <c r="D308" s="435">
        <f>CEILING($D$305/$C$307,1)</f>
        <v>2</v>
      </c>
      <c r="E308" s="2">
        <f t="shared" ref="E308:E314" si="27">$E$307</f>
        <v>250</v>
      </c>
      <c r="F308" s="431">
        <f t="shared" ref="F308:F314" si="28">CEILING($F$305/$E$307,1)</f>
        <v>4</v>
      </c>
      <c r="G308" s="442">
        <f>FLOOR($G$305/$E$307,1)</f>
        <v>9</v>
      </c>
      <c r="H308" s="485">
        <v>6</v>
      </c>
      <c r="I308" s="2">
        <f t="shared" ref="I308:I314" si="29">$I$307*H308</f>
        <v>330</v>
      </c>
      <c r="J308" s="442">
        <f t="shared" ref="J308:J314" si="30">IF($C$307&gt;=$J$307,1,0)</f>
        <v>1</v>
      </c>
      <c r="K308" s="449">
        <f t="shared" ref="K308:K314" si="31">IF(C308&lt;=$K$307-I308,1,0)</f>
        <v>1</v>
      </c>
      <c r="L308" s="431">
        <f t="shared" ref="L308:L314" si="32">IF(E308&gt;=$L$307,1,0)</f>
        <v>1</v>
      </c>
      <c r="M308" s="431">
        <f t="shared" ref="M308:M314" si="33">IF(E308&lt;=$M$307,1,0)</f>
        <v>1</v>
      </c>
      <c r="N308" s="442">
        <f>$D$300</f>
        <v>1</v>
      </c>
      <c r="O308" s="2">
        <f t="shared" ref="O308:O314" si="34">IF(B308&gt;=D308,1,0)</f>
        <v>0</v>
      </c>
      <c r="P308" s="442">
        <f>$P$307</f>
        <v>0</v>
      </c>
      <c r="Q308" s="2">
        <f>$Q$307</f>
        <v>1</v>
      </c>
      <c r="R308" s="442">
        <f t="shared" ref="R308:R314" si="35">$R$307</f>
        <v>1</v>
      </c>
      <c r="S308" s="431">
        <f t="shared" ref="S308:S314" si="36">IF(SUM(J308:R308)=$S$307,1,0)</f>
        <v>0</v>
      </c>
      <c r="T308" s="431">
        <f t="shared" ref="T308:T314" si="37">S308*B308*F308</f>
        <v>0</v>
      </c>
      <c r="U308" s="442">
        <f t="shared" ref="U308:U314" si="38">S308*B308*G308</f>
        <v>0</v>
      </c>
    </row>
    <row r="309" spans="1:21" x14ac:dyDescent="0.25">
      <c r="A309" s="510" t="str">
        <f t="shared" si="26"/>
        <v xml:space="preserve"> </v>
      </c>
      <c r="B309" s="26">
        <v>2</v>
      </c>
      <c r="C309" s="12">
        <f t="shared" ref="C309:C314" si="39">B309*$C$307</f>
        <v>600</v>
      </c>
      <c r="D309" s="25">
        <f t="shared" ref="D309:D314" si="40">CEILING($D$305/$C$307,1)</f>
        <v>2</v>
      </c>
      <c r="E309" s="2">
        <f t="shared" si="27"/>
        <v>250</v>
      </c>
      <c r="F309" s="26">
        <f t="shared" si="28"/>
        <v>4</v>
      </c>
      <c r="G309" s="12">
        <f t="shared" ref="G309:G314" si="41">FLOOR($G$305/$E$307,1)</f>
        <v>9</v>
      </c>
      <c r="H309" s="246">
        <v>5</v>
      </c>
      <c r="I309" s="2">
        <f t="shared" si="29"/>
        <v>275</v>
      </c>
      <c r="J309" s="12">
        <f t="shared" si="30"/>
        <v>1</v>
      </c>
      <c r="K309" s="2">
        <f t="shared" si="31"/>
        <v>1</v>
      </c>
      <c r="L309" s="26">
        <f t="shared" si="32"/>
        <v>1</v>
      </c>
      <c r="M309" s="26">
        <f t="shared" si="33"/>
        <v>1</v>
      </c>
      <c r="N309" s="12">
        <f t="shared" ref="N309:N314" si="42">$D$300</f>
        <v>1</v>
      </c>
      <c r="O309" s="2">
        <f t="shared" si="34"/>
        <v>1</v>
      </c>
      <c r="P309" s="12">
        <f>$P$307</f>
        <v>0</v>
      </c>
      <c r="Q309" s="2">
        <f>$Q$307</f>
        <v>1</v>
      </c>
      <c r="R309" s="12">
        <f t="shared" si="35"/>
        <v>1</v>
      </c>
      <c r="S309" s="26">
        <f t="shared" si="36"/>
        <v>0</v>
      </c>
      <c r="T309" s="26">
        <f t="shared" si="37"/>
        <v>0</v>
      </c>
      <c r="U309" s="12">
        <f t="shared" si="38"/>
        <v>0</v>
      </c>
    </row>
    <row r="310" spans="1:21" x14ac:dyDescent="0.25">
      <c r="A310" s="510" t="str">
        <f t="shared" si="26"/>
        <v xml:space="preserve"> </v>
      </c>
      <c r="B310" s="26">
        <v>3</v>
      </c>
      <c r="C310" s="12">
        <f t="shared" si="39"/>
        <v>900</v>
      </c>
      <c r="D310" s="25">
        <f t="shared" si="40"/>
        <v>2</v>
      </c>
      <c r="E310" s="2">
        <f t="shared" si="27"/>
        <v>250</v>
      </c>
      <c r="F310" s="26">
        <f t="shared" si="28"/>
        <v>4</v>
      </c>
      <c r="G310" s="12">
        <f t="shared" si="41"/>
        <v>9</v>
      </c>
      <c r="H310" s="246">
        <v>4</v>
      </c>
      <c r="I310" s="2">
        <f t="shared" si="29"/>
        <v>220</v>
      </c>
      <c r="J310" s="12">
        <f t="shared" si="30"/>
        <v>1</v>
      </c>
      <c r="K310" s="2">
        <f t="shared" si="31"/>
        <v>1</v>
      </c>
      <c r="L310" s="26">
        <f t="shared" si="32"/>
        <v>1</v>
      </c>
      <c r="M310" s="26">
        <f t="shared" si="33"/>
        <v>1</v>
      </c>
      <c r="N310" s="12">
        <f t="shared" si="42"/>
        <v>1</v>
      </c>
      <c r="O310" s="2">
        <f t="shared" si="34"/>
        <v>1</v>
      </c>
      <c r="P310" s="12">
        <f t="shared" ref="P310:P314" si="43">$P$307</f>
        <v>0</v>
      </c>
      <c r="Q310" s="2">
        <f t="shared" ref="Q310:Q314" si="44">$Q$307</f>
        <v>1</v>
      </c>
      <c r="R310" s="12">
        <f t="shared" si="35"/>
        <v>1</v>
      </c>
      <c r="S310" s="26">
        <f t="shared" si="36"/>
        <v>0</v>
      </c>
      <c r="T310" s="26">
        <f t="shared" si="37"/>
        <v>0</v>
      </c>
      <c r="U310" s="12">
        <f t="shared" si="38"/>
        <v>0</v>
      </c>
    </row>
    <row r="311" spans="1:21" x14ac:dyDescent="0.25">
      <c r="A311" s="510" t="str">
        <f t="shared" si="26"/>
        <v xml:space="preserve"> </v>
      </c>
      <c r="B311" s="26">
        <v>4</v>
      </c>
      <c r="C311" s="12">
        <f t="shared" si="39"/>
        <v>1200</v>
      </c>
      <c r="D311" s="25">
        <f t="shared" si="40"/>
        <v>2</v>
      </c>
      <c r="E311" s="2">
        <f t="shared" si="27"/>
        <v>250</v>
      </c>
      <c r="F311" s="26">
        <f t="shared" si="28"/>
        <v>4</v>
      </c>
      <c r="G311" s="12">
        <f t="shared" si="41"/>
        <v>9</v>
      </c>
      <c r="H311" s="246">
        <v>3</v>
      </c>
      <c r="I311" s="2">
        <f t="shared" si="29"/>
        <v>165</v>
      </c>
      <c r="J311" s="12">
        <f t="shared" si="30"/>
        <v>1</v>
      </c>
      <c r="K311" s="2">
        <f t="shared" si="31"/>
        <v>0</v>
      </c>
      <c r="L311" s="26">
        <f t="shared" si="32"/>
        <v>1</v>
      </c>
      <c r="M311" s="26">
        <f t="shared" si="33"/>
        <v>1</v>
      </c>
      <c r="N311" s="12">
        <f t="shared" si="42"/>
        <v>1</v>
      </c>
      <c r="O311" s="2">
        <f t="shared" si="34"/>
        <v>1</v>
      </c>
      <c r="P311" s="12">
        <f t="shared" si="43"/>
        <v>0</v>
      </c>
      <c r="Q311" s="2">
        <f t="shared" si="44"/>
        <v>1</v>
      </c>
      <c r="R311" s="12">
        <f t="shared" si="35"/>
        <v>1</v>
      </c>
      <c r="S311" s="26">
        <f t="shared" si="36"/>
        <v>0</v>
      </c>
      <c r="T311" s="26">
        <f t="shared" si="37"/>
        <v>0</v>
      </c>
      <c r="U311" s="12">
        <f t="shared" si="38"/>
        <v>0</v>
      </c>
    </row>
    <row r="312" spans="1:21" x14ac:dyDescent="0.25">
      <c r="A312" s="510" t="str">
        <f t="shared" si="26"/>
        <v xml:space="preserve"> </v>
      </c>
      <c r="B312" s="26">
        <v>5</v>
      </c>
      <c r="C312" s="12">
        <f t="shared" si="39"/>
        <v>1500</v>
      </c>
      <c r="D312" s="25">
        <f t="shared" si="40"/>
        <v>2</v>
      </c>
      <c r="E312" s="2">
        <f t="shared" si="27"/>
        <v>250</v>
      </c>
      <c r="F312" s="26">
        <f t="shared" si="28"/>
        <v>4</v>
      </c>
      <c r="G312" s="12">
        <f t="shared" si="41"/>
        <v>9</v>
      </c>
      <c r="H312" s="246">
        <v>2</v>
      </c>
      <c r="I312" s="2">
        <f t="shared" si="29"/>
        <v>110</v>
      </c>
      <c r="J312" s="12">
        <f t="shared" si="30"/>
        <v>1</v>
      </c>
      <c r="K312" s="2">
        <f t="shared" si="31"/>
        <v>0</v>
      </c>
      <c r="L312" s="26">
        <f t="shared" si="32"/>
        <v>1</v>
      </c>
      <c r="M312" s="26">
        <f t="shared" si="33"/>
        <v>1</v>
      </c>
      <c r="N312" s="12">
        <f t="shared" si="42"/>
        <v>1</v>
      </c>
      <c r="O312" s="2">
        <f t="shared" si="34"/>
        <v>1</v>
      </c>
      <c r="P312" s="12">
        <f t="shared" si="43"/>
        <v>0</v>
      </c>
      <c r="Q312" s="2">
        <f t="shared" si="44"/>
        <v>1</v>
      </c>
      <c r="R312" s="12">
        <f t="shared" si="35"/>
        <v>1</v>
      </c>
      <c r="S312" s="26">
        <f t="shared" si="36"/>
        <v>0</v>
      </c>
      <c r="T312" s="26">
        <f t="shared" si="37"/>
        <v>0</v>
      </c>
      <c r="U312" s="12">
        <f t="shared" si="38"/>
        <v>0</v>
      </c>
    </row>
    <row r="313" spans="1:21" x14ac:dyDescent="0.25">
      <c r="A313" s="510" t="str">
        <f t="shared" si="26"/>
        <v xml:space="preserve"> </v>
      </c>
      <c r="B313" s="26">
        <v>6</v>
      </c>
      <c r="C313" s="12">
        <f t="shared" si="39"/>
        <v>1800</v>
      </c>
      <c r="D313" s="25">
        <f t="shared" si="40"/>
        <v>2</v>
      </c>
      <c r="E313" s="2">
        <f t="shared" si="27"/>
        <v>250</v>
      </c>
      <c r="F313" s="26">
        <f t="shared" si="28"/>
        <v>4</v>
      </c>
      <c r="G313" s="12">
        <f t="shared" si="41"/>
        <v>9</v>
      </c>
      <c r="H313" s="246">
        <v>1</v>
      </c>
      <c r="I313" s="2">
        <f t="shared" si="29"/>
        <v>55</v>
      </c>
      <c r="J313" s="12">
        <f t="shared" si="30"/>
        <v>1</v>
      </c>
      <c r="K313" s="2">
        <f t="shared" si="31"/>
        <v>0</v>
      </c>
      <c r="L313" s="26">
        <f t="shared" si="32"/>
        <v>1</v>
      </c>
      <c r="M313" s="26">
        <f t="shared" si="33"/>
        <v>1</v>
      </c>
      <c r="N313" s="12">
        <f t="shared" si="42"/>
        <v>1</v>
      </c>
      <c r="O313" s="2">
        <f t="shared" si="34"/>
        <v>1</v>
      </c>
      <c r="P313" s="12">
        <f t="shared" si="43"/>
        <v>0</v>
      </c>
      <c r="Q313" s="2">
        <f t="shared" si="44"/>
        <v>1</v>
      </c>
      <c r="R313" s="12">
        <f t="shared" si="35"/>
        <v>1</v>
      </c>
      <c r="S313" s="26">
        <f t="shared" si="36"/>
        <v>0</v>
      </c>
      <c r="T313" s="26">
        <f t="shared" si="37"/>
        <v>0</v>
      </c>
      <c r="U313" s="12">
        <f t="shared" si="38"/>
        <v>0</v>
      </c>
    </row>
    <row r="314" spans="1:21" x14ac:dyDescent="0.25">
      <c r="A314" s="510" t="str">
        <f t="shared" si="26"/>
        <v xml:space="preserve"> </v>
      </c>
      <c r="B314" s="18">
        <v>7</v>
      </c>
      <c r="C314" s="13">
        <f t="shared" si="39"/>
        <v>2100</v>
      </c>
      <c r="D314" s="436">
        <f t="shared" si="40"/>
        <v>2</v>
      </c>
      <c r="E314" s="2">
        <f t="shared" si="27"/>
        <v>250</v>
      </c>
      <c r="F314" s="18">
        <f t="shared" si="28"/>
        <v>4</v>
      </c>
      <c r="G314" s="13">
        <f t="shared" si="41"/>
        <v>9</v>
      </c>
      <c r="H314" s="247">
        <v>0</v>
      </c>
      <c r="I314" s="2">
        <f t="shared" si="29"/>
        <v>0</v>
      </c>
      <c r="J314" s="12">
        <f t="shared" si="30"/>
        <v>1</v>
      </c>
      <c r="K314" s="2">
        <f t="shared" si="31"/>
        <v>0</v>
      </c>
      <c r="L314" s="18">
        <f t="shared" si="32"/>
        <v>1</v>
      </c>
      <c r="M314" s="18">
        <f t="shared" si="33"/>
        <v>1</v>
      </c>
      <c r="N314" s="13">
        <f t="shared" si="42"/>
        <v>1</v>
      </c>
      <c r="O314" s="2">
        <f t="shared" si="34"/>
        <v>1</v>
      </c>
      <c r="P314" s="12">
        <f t="shared" si="43"/>
        <v>0</v>
      </c>
      <c r="Q314" s="2">
        <f t="shared" si="44"/>
        <v>1</v>
      </c>
      <c r="R314" s="12">
        <f t="shared" si="35"/>
        <v>1</v>
      </c>
      <c r="S314" s="26">
        <f t="shared" si="36"/>
        <v>0</v>
      </c>
      <c r="T314" s="18">
        <f t="shared" si="37"/>
        <v>0</v>
      </c>
      <c r="U314" s="13">
        <f t="shared" si="38"/>
        <v>0</v>
      </c>
    </row>
    <row r="315" spans="1:21" x14ac:dyDescent="0.25">
      <c r="A315" s="472"/>
      <c r="B315" s="12"/>
      <c r="C315" s="26">
        <f>E307</f>
        <v>250</v>
      </c>
      <c r="D315" s="41"/>
      <c r="E315" s="38">
        <f>C307</f>
        <v>300</v>
      </c>
      <c r="F315" s="12"/>
      <c r="G315" s="41"/>
      <c r="H315" s="488"/>
      <c r="I315" s="44"/>
      <c r="J315" s="473"/>
      <c r="K315" s="473"/>
      <c r="L315" s="12"/>
      <c r="M315" s="12"/>
      <c r="N315" s="436"/>
      <c r="O315" s="213"/>
      <c r="P315" s="472"/>
      <c r="Q315" s="43"/>
      <c r="R315" s="473"/>
      <c r="S315" s="442"/>
      <c r="T315" s="12"/>
      <c r="U315" s="52"/>
    </row>
    <row r="316" spans="1:21" x14ac:dyDescent="0.25">
      <c r="A316" s="493" t="str">
        <f t="shared" ref="A316:A322" si="45">IF(AND($A$307=1,S316=1),B316," ")</f>
        <v xml:space="preserve"> </v>
      </c>
      <c r="B316" s="449">
        <v>1</v>
      </c>
      <c r="C316" s="442">
        <f>B316*$C$315</f>
        <v>250</v>
      </c>
      <c r="D316" s="435">
        <f>CEILING($D$305/$C$315,1)</f>
        <v>2</v>
      </c>
      <c r="E316" s="435">
        <f t="shared" ref="E316:E322" si="46">$E$315</f>
        <v>300</v>
      </c>
      <c r="F316" s="431">
        <f t="shared" ref="F316:F322" si="47">CEILING($F$305/$E$315,1)</f>
        <v>4</v>
      </c>
      <c r="G316" s="442">
        <f>FLOOR($G$305/$E$315,1)</f>
        <v>8</v>
      </c>
      <c r="H316" s="485">
        <v>0</v>
      </c>
      <c r="I316" s="435">
        <f t="shared" ref="I316:I322" si="48">$I$307*H316</f>
        <v>0</v>
      </c>
      <c r="J316" s="442">
        <f t="shared" ref="J316:J322" si="49">IF($C$315&gt;=$J$307,1,0)</f>
        <v>1</v>
      </c>
      <c r="K316" s="431">
        <f t="shared" ref="K316:K322" si="50">IF(C316&lt;=$K$307-I316,1,0)</f>
        <v>1</v>
      </c>
      <c r="L316" s="431">
        <f t="shared" ref="L316:L322" si="51">IF(E316&gt;=$L$307,1,0)</f>
        <v>1</v>
      </c>
      <c r="M316" s="442">
        <f t="shared" ref="M316:M322" si="52">IF(E316&lt;=$M$307,1,0)</f>
        <v>1</v>
      </c>
      <c r="N316" s="442">
        <f>$D$300</f>
        <v>1</v>
      </c>
      <c r="O316" s="431">
        <f t="shared" ref="O316:O322" si="53">IF(B316&gt;=D316,1,0)</f>
        <v>0</v>
      </c>
      <c r="P316" s="442">
        <f>$P$307</f>
        <v>0</v>
      </c>
      <c r="Q316" s="431">
        <f>$Q$307</f>
        <v>1</v>
      </c>
      <c r="R316" s="12">
        <f t="shared" ref="R316:R322" si="54">$R$307</f>
        <v>1</v>
      </c>
      <c r="S316" s="442">
        <f t="shared" ref="S316:S322" si="55">IF(SUM(J316:R316)=$S$307,1,0)</f>
        <v>0</v>
      </c>
      <c r="T316" s="442">
        <f t="shared" ref="T316:T322" si="56">S316*B316*F316</f>
        <v>0</v>
      </c>
      <c r="U316" s="442">
        <f t="shared" ref="U316:U322" si="57">S316*B316*G316</f>
        <v>0</v>
      </c>
    </row>
    <row r="317" spans="1:21" x14ac:dyDescent="0.25">
      <c r="A317" s="494" t="str">
        <f t="shared" si="45"/>
        <v xml:space="preserve"> </v>
      </c>
      <c r="B317" s="2">
        <v>2</v>
      </c>
      <c r="C317" s="12">
        <f t="shared" ref="C317:C322" si="58">B317*$C$315</f>
        <v>500</v>
      </c>
      <c r="D317" s="25">
        <f t="shared" ref="D317:D322" si="59">CEILING($D$305/$C$315,1)</f>
        <v>2</v>
      </c>
      <c r="E317" s="25">
        <f t="shared" si="46"/>
        <v>300</v>
      </c>
      <c r="F317" s="26">
        <f t="shared" si="47"/>
        <v>4</v>
      </c>
      <c r="G317" s="12">
        <f t="shared" ref="G317:G322" si="60">FLOOR($G$305/$E$315,1)</f>
        <v>8</v>
      </c>
      <c r="H317" s="246">
        <v>1</v>
      </c>
      <c r="I317" s="25">
        <f t="shared" si="48"/>
        <v>55</v>
      </c>
      <c r="J317" s="12">
        <f t="shared" si="49"/>
        <v>1</v>
      </c>
      <c r="K317" s="26">
        <f t="shared" si="50"/>
        <v>1</v>
      </c>
      <c r="L317" s="26">
        <f t="shared" si="51"/>
        <v>1</v>
      </c>
      <c r="M317" s="12">
        <f t="shared" si="52"/>
        <v>1</v>
      </c>
      <c r="N317" s="12">
        <f t="shared" ref="N317:N322" si="61">$D$300</f>
        <v>1</v>
      </c>
      <c r="O317" s="26">
        <f t="shared" si="53"/>
        <v>1</v>
      </c>
      <c r="P317" s="12">
        <f>$P$307</f>
        <v>0</v>
      </c>
      <c r="Q317" s="26">
        <f>$Q$307</f>
        <v>1</v>
      </c>
      <c r="R317" s="12">
        <f t="shared" si="54"/>
        <v>1</v>
      </c>
      <c r="S317" s="12">
        <f t="shared" si="55"/>
        <v>0</v>
      </c>
      <c r="T317" s="12">
        <f t="shared" si="56"/>
        <v>0</v>
      </c>
      <c r="U317" s="12">
        <f t="shared" si="57"/>
        <v>0</v>
      </c>
    </row>
    <row r="318" spans="1:21" x14ac:dyDescent="0.25">
      <c r="A318" s="494" t="str">
        <f t="shared" si="45"/>
        <v xml:space="preserve"> </v>
      </c>
      <c r="B318" s="2">
        <v>3</v>
      </c>
      <c r="C318" s="12">
        <f t="shared" si="58"/>
        <v>750</v>
      </c>
      <c r="D318" s="25">
        <f t="shared" si="59"/>
        <v>2</v>
      </c>
      <c r="E318" s="25">
        <f t="shared" si="46"/>
        <v>300</v>
      </c>
      <c r="F318" s="26">
        <f t="shared" si="47"/>
        <v>4</v>
      </c>
      <c r="G318" s="12">
        <f t="shared" si="60"/>
        <v>8</v>
      </c>
      <c r="H318" s="246">
        <v>2</v>
      </c>
      <c r="I318" s="25">
        <f t="shared" si="48"/>
        <v>110</v>
      </c>
      <c r="J318" s="12">
        <f t="shared" si="49"/>
        <v>1</v>
      </c>
      <c r="K318" s="26">
        <f t="shared" si="50"/>
        <v>1</v>
      </c>
      <c r="L318" s="26">
        <f t="shared" si="51"/>
        <v>1</v>
      </c>
      <c r="M318" s="12">
        <f t="shared" si="52"/>
        <v>1</v>
      </c>
      <c r="N318" s="12">
        <f t="shared" si="61"/>
        <v>1</v>
      </c>
      <c r="O318" s="26">
        <f t="shared" si="53"/>
        <v>1</v>
      </c>
      <c r="P318" s="12">
        <f t="shared" ref="P318:P322" si="62">$P$307</f>
        <v>0</v>
      </c>
      <c r="Q318" s="26">
        <f t="shared" ref="Q318:Q322" si="63">$Q$307</f>
        <v>1</v>
      </c>
      <c r="R318" s="12">
        <f t="shared" si="54"/>
        <v>1</v>
      </c>
      <c r="S318" s="12">
        <f t="shared" si="55"/>
        <v>0</v>
      </c>
      <c r="T318" s="12">
        <f t="shared" si="56"/>
        <v>0</v>
      </c>
      <c r="U318" s="12">
        <f t="shared" si="57"/>
        <v>0</v>
      </c>
    </row>
    <row r="319" spans="1:21" x14ac:dyDescent="0.25">
      <c r="A319" s="494" t="str">
        <f t="shared" si="45"/>
        <v xml:space="preserve"> </v>
      </c>
      <c r="B319" s="2">
        <v>4</v>
      </c>
      <c r="C319" s="12">
        <f t="shared" si="58"/>
        <v>1000</v>
      </c>
      <c r="D319" s="25">
        <f t="shared" si="59"/>
        <v>2</v>
      </c>
      <c r="E319" s="25">
        <f t="shared" si="46"/>
        <v>300</v>
      </c>
      <c r="F319" s="26">
        <f t="shared" si="47"/>
        <v>4</v>
      </c>
      <c r="G319" s="12">
        <f t="shared" si="60"/>
        <v>8</v>
      </c>
      <c r="H319" s="246">
        <v>3</v>
      </c>
      <c r="I319" s="25">
        <f t="shared" si="48"/>
        <v>165</v>
      </c>
      <c r="J319" s="12">
        <f t="shared" si="49"/>
        <v>1</v>
      </c>
      <c r="K319" s="26">
        <f t="shared" si="50"/>
        <v>1</v>
      </c>
      <c r="L319" s="26">
        <f t="shared" si="51"/>
        <v>1</v>
      </c>
      <c r="M319" s="12">
        <f t="shared" si="52"/>
        <v>1</v>
      </c>
      <c r="N319" s="12">
        <f t="shared" si="61"/>
        <v>1</v>
      </c>
      <c r="O319" s="26">
        <f t="shared" si="53"/>
        <v>1</v>
      </c>
      <c r="P319" s="12">
        <f t="shared" si="62"/>
        <v>0</v>
      </c>
      <c r="Q319" s="26">
        <f t="shared" si="63"/>
        <v>1</v>
      </c>
      <c r="R319" s="12">
        <f t="shared" si="54"/>
        <v>1</v>
      </c>
      <c r="S319" s="12">
        <f t="shared" si="55"/>
        <v>0</v>
      </c>
      <c r="T319" s="12">
        <f t="shared" si="56"/>
        <v>0</v>
      </c>
      <c r="U319" s="12">
        <f t="shared" si="57"/>
        <v>0</v>
      </c>
    </row>
    <row r="320" spans="1:21" x14ac:dyDescent="0.25">
      <c r="A320" s="494" t="str">
        <f t="shared" si="45"/>
        <v xml:space="preserve"> </v>
      </c>
      <c r="B320" s="2">
        <v>5</v>
      </c>
      <c r="C320" s="12">
        <f t="shared" si="58"/>
        <v>1250</v>
      </c>
      <c r="D320" s="25">
        <f t="shared" si="59"/>
        <v>2</v>
      </c>
      <c r="E320" s="25">
        <f t="shared" si="46"/>
        <v>300</v>
      </c>
      <c r="F320" s="26">
        <f t="shared" si="47"/>
        <v>4</v>
      </c>
      <c r="G320" s="12">
        <f t="shared" si="60"/>
        <v>8</v>
      </c>
      <c r="H320" s="246">
        <v>4</v>
      </c>
      <c r="I320" s="25">
        <f t="shared" si="48"/>
        <v>220</v>
      </c>
      <c r="J320" s="12">
        <f t="shared" si="49"/>
        <v>1</v>
      </c>
      <c r="K320" s="26">
        <f t="shared" si="50"/>
        <v>0</v>
      </c>
      <c r="L320" s="26">
        <f t="shared" si="51"/>
        <v>1</v>
      </c>
      <c r="M320" s="12">
        <f t="shared" si="52"/>
        <v>1</v>
      </c>
      <c r="N320" s="12">
        <f t="shared" si="61"/>
        <v>1</v>
      </c>
      <c r="O320" s="26">
        <f t="shared" si="53"/>
        <v>1</v>
      </c>
      <c r="P320" s="12">
        <f t="shared" si="62"/>
        <v>0</v>
      </c>
      <c r="Q320" s="26">
        <f t="shared" si="63"/>
        <v>1</v>
      </c>
      <c r="R320" s="12">
        <f t="shared" si="54"/>
        <v>1</v>
      </c>
      <c r="S320" s="12">
        <f t="shared" si="55"/>
        <v>0</v>
      </c>
      <c r="T320" s="12">
        <f t="shared" si="56"/>
        <v>0</v>
      </c>
      <c r="U320" s="12">
        <f t="shared" si="57"/>
        <v>0</v>
      </c>
    </row>
    <row r="321" spans="1:25" x14ac:dyDescent="0.25">
      <c r="A321" s="494" t="str">
        <f t="shared" si="45"/>
        <v xml:space="preserve"> </v>
      </c>
      <c r="B321" s="2">
        <v>6</v>
      </c>
      <c r="C321" s="12">
        <f t="shared" si="58"/>
        <v>1500</v>
      </c>
      <c r="D321" s="25">
        <f t="shared" si="59"/>
        <v>2</v>
      </c>
      <c r="E321" s="25">
        <f t="shared" si="46"/>
        <v>300</v>
      </c>
      <c r="F321" s="26">
        <f t="shared" si="47"/>
        <v>4</v>
      </c>
      <c r="G321" s="12">
        <f t="shared" si="60"/>
        <v>8</v>
      </c>
      <c r="H321" s="246">
        <v>5</v>
      </c>
      <c r="I321" s="25">
        <f t="shared" si="48"/>
        <v>275</v>
      </c>
      <c r="J321" s="12">
        <f t="shared" si="49"/>
        <v>1</v>
      </c>
      <c r="K321" s="26">
        <f t="shared" si="50"/>
        <v>0</v>
      </c>
      <c r="L321" s="26">
        <f t="shared" si="51"/>
        <v>1</v>
      </c>
      <c r="M321" s="12">
        <f t="shared" si="52"/>
        <v>1</v>
      </c>
      <c r="N321" s="12">
        <f t="shared" si="61"/>
        <v>1</v>
      </c>
      <c r="O321" s="26">
        <f t="shared" si="53"/>
        <v>1</v>
      </c>
      <c r="P321" s="12">
        <f t="shared" si="62"/>
        <v>0</v>
      </c>
      <c r="Q321" s="26">
        <f t="shared" si="63"/>
        <v>1</v>
      </c>
      <c r="R321" s="12">
        <f t="shared" si="54"/>
        <v>1</v>
      </c>
      <c r="S321" s="12">
        <f t="shared" si="55"/>
        <v>0</v>
      </c>
      <c r="T321" s="12">
        <f t="shared" si="56"/>
        <v>0</v>
      </c>
      <c r="U321" s="12">
        <f t="shared" si="57"/>
        <v>0</v>
      </c>
    </row>
    <row r="322" spans="1:25" x14ac:dyDescent="0.25">
      <c r="A322" s="495" t="str">
        <f t="shared" si="45"/>
        <v xml:space="preserve"> </v>
      </c>
      <c r="B322" s="343">
        <v>7</v>
      </c>
      <c r="C322" s="13">
        <f t="shared" si="58"/>
        <v>1750</v>
      </c>
      <c r="D322" s="436">
        <f t="shared" si="59"/>
        <v>2</v>
      </c>
      <c r="E322" s="436">
        <f t="shared" si="46"/>
        <v>300</v>
      </c>
      <c r="F322" s="18">
        <f t="shared" si="47"/>
        <v>4</v>
      </c>
      <c r="G322" s="13">
        <f t="shared" si="60"/>
        <v>8</v>
      </c>
      <c r="H322" s="247">
        <v>6</v>
      </c>
      <c r="I322" s="436">
        <f t="shared" si="48"/>
        <v>330</v>
      </c>
      <c r="J322" s="13">
        <f t="shared" si="49"/>
        <v>1</v>
      </c>
      <c r="K322" s="18">
        <f t="shared" si="50"/>
        <v>0</v>
      </c>
      <c r="L322" s="18">
        <f t="shared" si="51"/>
        <v>1</v>
      </c>
      <c r="M322" s="13">
        <f t="shared" si="52"/>
        <v>1</v>
      </c>
      <c r="N322" s="13">
        <f t="shared" si="61"/>
        <v>1</v>
      </c>
      <c r="O322" s="18">
        <f t="shared" si="53"/>
        <v>1</v>
      </c>
      <c r="P322" s="13">
        <f t="shared" si="62"/>
        <v>0</v>
      </c>
      <c r="Q322" s="18">
        <f t="shared" si="63"/>
        <v>1</v>
      </c>
      <c r="R322" s="13">
        <f t="shared" si="54"/>
        <v>1</v>
      </c>
      <c r="S322" s="13">
        <f t="shared" si="55"/>
        <v>0</v>
      </c>
      <c r="T322" s="13">
        <f t="shared" si="56"/>
        <v>0</v>
      </c>
      <c r="U322" s="13">
        <f t="shared" si="57"/>
        <v>0</v>
      </c>
    </row>
    <row r="323" spans="1:2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2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5" x14ac:dyDescent="0.25">
      <c r="A325" s="2"/>
      <c r="B325" s="2"/>
      <c r="C325" s="2"/>
      <c r="D325" s="486">
        <v>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5" x14ac:dyDescent="0.25">
      <c r="A326" s="213"/>
      <c r="B326" s="473" t="s">
        <v>108</v>
      </c>
      <c r="C326" s="23" t="s">
        <v>1</v>
      </c>
      <c r="D326" s="44" t="s">
        <v>715</v>
      </c>
    </row>
    <row r="327" spans="1:25" x14ac:dyDescent="0.25">
      <c r="A327" s="415" t="s">
        <v>551</v>
      </c>
      <c r="B327" s="13">
        <f>IF(SUM(A308:A322)&gt;0,1,0)</f>
        <v>0</v>
      </c>
      <c r="C327" s="343">
        <f>'Prijs karton (4)'!AH16</f>
        <v>1</v>
      </c>
      <c r="D327" s="13">
        <f>IF(SUM(B327:C327)=D325,1,0)</f>
        <v>0</v>
      </c>
    </row>
    <row r="328" spans="1:25" x14ac:dyDescent="0.25">
      <c r="B328" s="2"/>
    </row>
    <row r="330" spans="1:25" x14ac:dyDescent="0.25">
      <c r="A330" s="3" t="s">
        <v>195</v>
      </c>
      <c r="B330" s="218" t="s">
        <v>550</v>
      </c>
      <c r="C330" s="218" t="s">
        <v>550</v>
      </c>
      <c r="D330" s="404" t="s">
        <v>196</v>
      </c>
    </row>
    <row r="331" spans="1:25" x14ac:dyDescent="0.25">
      <c r="A331" s="18">
        <f>MIN(A308:A322)</f>
        <v>0</v>
      </c>
      <c r="B331" s="13">
        <f>IF(SUM(A308:A322)&gt;0,VLOOKUP(A331,A308:U322,20,FALSE),0)</f>
        <v>0</v>
      </c>
      <c r="C331" s="20">
        <f>IF(SUM(A308:A322)&gt;0,VLOOKUP(A331,A308:U322,21,FALSE),0)</f>
        <v>0</v>
      </c>
      <c r="D331" s="13">
        <f>IF(SUM(A308:A322)&gt;0,VLOOKUP(A331,A308:G322,6,FALSE),0)</f>
        <v>0</v>
      </c>
    </row>
    <row r="332" spans="1:25" x14ac:dyDescent="0.25">
      <c r="A332" s="26" t="s">
        <v>165</v>
      </c>
      <c r="B332" s="218" t="s">
        <v>550</v>
      </c>
      <c r="C332" s="218" t="s">
        <v>550</v>
      </c>
      <c r="D332" s="41" t="s">
        <v>197</v>
      </c>
    </row>
    <row r="333" spans="1:25" x14ac:dyDescent="0.25">
      <c r="A333" s="18">
        <f>MAX(A308:A322)</f>
        <v>0</v>
      </c>
      <c r="B333" s="13">
        <f>IF(SUM(A308:A322)&gt;0,VLOOKUP(A333,A308:U322,20,FALSE),0)</f>
        <v>0</v>
      </c>
      <c r="C333" s="20">
        <f>IF(SUM(A308:A322)&gt;0,VLOOKUP(A333,A308:U322,21,FALSE),0)</f>
        <v>0</v>
      </c>
      <c r="D333" s="13">
        <f>IF(SUM(A308:A322)&gt;0,VLOOKUP(A331,A308:G322,7,FALSE),0)</f>
        <v>0</v>
      </c>
    </row>
    <row r="335" spans="1:25" s="320" customFormat="1" x14ac:dyDescent="0.25">
      <c r="B335" s="441"/>
      <c r="Y335" s="343"/>
    </row>
    <row r="337" spans="2:25" x14ac:dyDescent="0.25">
      <c r="B337" s="215" t="s">
        <v>553</v>
      </c>
    </row>
    <row r="338" spans="2:25" ht="15.75" thickBot="1" x14ac:dyDescent="0.3"/>
    <row r="339" spans="2:25" x14ac:dyDescent="0.25">
      <c r="B339" s="505"/>
      <c r="C339" s="476"/>
      <c r="D339" s="433"/>
      <c r="E339" s="1312" t="s">
        <v>558</v>
      </c>
      <c r="F339" s="1303"/>
      <c r="G339" s="1312" t="s">
        <v>9</v>
      </c>
      <c r="H339" s="1303"/>
      <c r="I339" s="442" t="s">
        <v>565</v>
      </c>
      <c r="J339" s="442" t="s">
        <v>81</v>
      </c>
      <c r="K339" s="431" t="s">
        <v>563</v>
      </c>
      <c r="L339" s="444" t="s">
        <v>535</v>
      </c>
    </row>
    <row r="340" spans="2:25" x14ac:dyDescent="0.25">
      <c r="B340" s="506"/>
      <c r="C340" s="26" t="s">
        <v>18</v>
      </c>
      <c r="D340" s="25" t="s">
        <v>9</v>
      </c>
      <c r="E340" s="442" t="s">
        <v>559</v>
      </c>
      <c r="F340" s="442" t="s">
        <v>560</v>
      </c>
      <c r="G340" s="442" t="s">
        <v>559</v>
      </c>
      <c r="H340" s="442" t="s">
        <v>151</v>
      </c>
      <c r="I340" s="280" t="s">
        <v>12</v>
      </c>
      <c r="J340" s="41"/>
      <c r="K340" s="26" t="s">
        <v>564</v>
      </c>
      <c r="L340" s="224"/>
    </row>
    <row r="341" spans="2:25" x14ac:dyDescent="0.25">
      <c r="B341" s="483"/>
      <c r="C341" s="213"/>
      <c r="D341" s="44"/>
      <c r="E341" s="473">
        <f>H388</f>
        <v>250</v>
      </c>
      <c r="F341" s="473">
        <f>I388</f>
        <v>2450</v>
      </c>
      <c r="G341" s="473">
        <f>J388</f>
        <v>500</v>
      </c>
      <c r="H341" s="473">
        <f>K388</f>
        <v>6000</v>
      </c>
      <c r="I341" s="52"/>
      <c r="J341" s="52"/>
      <c r="K341" s="8"/>
      <c r="L341" s="223">
        <v>7</v>
      </c>
    </row>
    <row r="342" spans="2:25" ht="15.75" thickBot="1" x14ac:dyDescent="0.3">
      <c r="B342" s="220" t="s">
        <v>67</v>
      </c>
      <c r="C342" s="208">
        <f>C6</f>
        <v>300</v>
      </c>
      <c r="D342" s="38">
        <f>C7</f>
        <v>250</v>
      </c>
      <c r="E342" s="473">
        <f>IF(C342&gt;=E341,1,0)</f>
        <v>1</v>
      </c>
      <c r="F342" s="473">
        <f>IF(C342&lt;=F341,1,0)</f>
        <v>1</v>
      </c>
      <c r="G342" s="473">
        <f>IF(D342&gt;=G341,1,0)</f>
        <v>0</v>
      </c>
      <c r="H342" s="473">
        <f>IF(D342&lt;=H341,1,0)</f>
        <v>1</v>
      </c>
      <c r="I342" s="473">
        <f>IF(I340=C2,1,0)</f>
        <v>0</v>
      </c>
      <c r="J342" s="473">
        <f>IF(C111=0,1,0)</f>
        <v>1</v>
      </c>
      <c r="K342" s="208">
        <f>IF(C131=0,1,0)</f>
        <v>1</v>
      </c>
      <c r="L342" s="500">
        <f>IF(SUM(E342:K342)=L341,1,0)</f>
        <v>0</v>
      </c>
    </row>
    <row r="344" spans="2:25" s="320" customFormat="1" x14ac:dyDescent="0.25">
      <c r="B344" s="441"/>
      <c r="Y344" s="343"/>
    </row>
    <row r="346" spans="2:25" ht="15.75" thickBot="1" x14ac:dyDescent="0.3">
      <c r="B346" s="215" t="s">
        <v>552</v>
      </c>
      <c r="P346" t="s">
        <v>1323</v>
      </c>
      <c r="T346" t="s">
        <v>1300</v>
      </c>
    </row>
    <row r="347" spans="2:25" ht="15.75" thickBot="1" x14ac:dyDescent="0.3">
      <c r="B347" s="518" t="s">
        <v>596</v>
      </c>
      <c r="C347" s="519">
        <f>IF(AND(SUM(C348:I348)=0,J358&gt;0,C358=J358),1,IF(SUM(C348:I348)&gt;0,C348,0))</f>
        <v>0</v>
      </c>
      <c r="D347" s="519">
        <f>IF(AND(SUM(C348:I348)=0,J358&gt;0,D358=J358),1,IF(SUM(C348:I348)&gt;0,D348,0))</f>
        <v>0</v>
      </c>
      <c r="E347" s="519">
        <f>IF(AND(SUM(C348:I348)=0,J358&gt;0,E358=J358),1,IF(SUM(C348:I348)&gt;0,E348,0))</f>
        <v>1</v>
      </c>
      <c r="F347" s="519">
        <f>IF(AND(SUM(C348:I348)=0,J358&gt;0,F358=J358),1,IF(SUM(C348:I348)&gt;0,F348,0))</f>
        <v>0</v>
      </c>
      <c r="G347" s="519">
        <f>IF(AND(SUM(C348:I348)=0,J358&gt;0,G358=J358),1,IF(SUM(C348:I348)&gt;0,G348,0))</f>
        <v>0</v>
      </c>
      <c r="H347" s="519">
        <f>IF(AND(SUM(C348:I348)=0,J358&gt;0,H358=J358),1,IF(SUM(C348:I348)&gt;0,H348,0))</f>
        <v>0</v>
      </c>
      <c r="I347" s="467">
        <f>IF(AND(SUM(C348:I348)=0,J358&gt;0,I358=J358),1,IF(SUM(C348:I348)&gt;0,I348,0))</f>
        <v>0</v>
      </c>
      <c r="L347" s="950"/>
      <c r="M347" s="951" t="s">
        <v>63</v>
      </c>
      <c r="N347" s="951" t="s">
        <v>64</v>
      </c>
      <c r="P347" s="952">
        <v>800</v>
      </c>
      <c r="Q347" s="951" t="s">
        <v>63</v>
      </c>
      <c r="R347" s="951" t="s">
        <v>64</v>
      </c>
      <c r="T347" t="s">
        <v>1301</v>
      </c>
      <c r="U347" s="442">
        <f>IF(C111&gt;0,1,0)</f>
        <v>0</v>
      </c>
    </row>
    <row r="348" spans="2:25" ht="15.75" thickBot="1" x14ac:dyDescent="0.3">
      <c r="B348" s="543" t="s">
        <v>595</v>
      </c>
      <c r="C348" s="544">
        <f>IF(AND(SUM(C358:I358)=J358,C358=J358),1,IF(AND(SUM(C358:I358)&gt;J358,C358=J358,C349=1),1,0))</f>
        <v>0</v>
      </c>
      <c r="D348" s="519">
        <f>IF(SUM(E348:F348)&gt;0,0,IF(AND(SUM(C358:I358)=J358,D358=J358),1,IF(AND(SUM(C358:I358)&gt;J358,D358=J358,D349=1),1,0)))</f>
        <v>0</v>
      </c>
      <c r="E348" s="530">
        <f>IF(AND(SUM(C358:I358)=J358,E358=J358),1,IF(AND(SUM(C358:I358)&gt;J358,E358=J358,E349=1),1,0))</f>
        <v>1</v>
      </c>
      <c r="F348" s="519">
        <f>IF(AND(SUM(C358:I358)=J358,F358=J358),1,IF(AND(SUM(C358:I358)&gt;J358,F358=J358,F349=1),1,0))</f>
        <v>0</v>
      </c>
      <c r="G348" s="530">
        <f>IF(AND(SUM(C358:I358)=J358,G358=J358),1,IF(AND(SUM(C358:I358)&gt;J358,G358=J358,G349=1),1,0))</f>
        <v>0</v>
      </c>
      <c r="H348" s="519">
        <f>IF(AND(SUM(C358:I358)=J358,H358=J358),1,IF(AND(SUM(C358:I358)&gt;J358,H358=J358,H349=1),1,0))</f>
        <v>0</v>
      </c>
      <c r="I348" s="531">
        <f>IF(AND(SUM(C358:I358)=J358,I358=J358),1,IF(AND(SUM(C358:I358)&gt;J358,I358=J358,I349=1),1,0))</f>
        <v>0</v>
      </c>
      <c r="L348" s="415" t="s">
        <v>979</v>
      </c>
      <c r="M348" s="13">
        <f>IF(C359+D359+G359+I359=0,1,0)</f>
        <v>0</v>
      </c>
      <c r="N348" s="13">
        <f>IF(C359+D359+G359+H359+I359=0,1,0)</f>
        <v>0</v>
      </c>
      <c r="P348" s="415" t="s">
        <v>987</v>
      </c>
      <c r="Q348" s="951">
        <f>V228</f>
        <v>1</v>
      </c>
      <c r="R348" s="951">
        <f>V239</f>
        <v>1</v>
      </c>
      <c r="T348" t="s">
        <v>1299</v>
      </c>
      <c r="U348" s="951">
        <f>IF(AND(SUM(C358:D358)&gt;0,SUM(E358:I358)=0),1,0)</f>
        <v>0</v>
      </c>
    </row>
    <row r="349" spans="2:25" ht="15.75" thickBot="1" x14ac:dyDescent="0.3">
      <c r="B349" s="518" t="s">
        <v>593</v>
      </c>
      <c r="C349" s="540">
        <f>IF(AND(C351=1,D351=1,C358&lt;=D358),1,IF(AND(C351=1,H351=1),0,0))</f>
        <v>1</v>
      </c>
      <c r="D349" s="531">
        <f>IF(AND(C351=1,D351=1,D358&lt;C358),1,0)</f>
        <v>0</v>
      </c>
      <c r="E349" s="540">
        <f>IF(AND(E351=1,F351=1,E358&lt;F358),1,IF(AND(E351=1,F351=0,E358&lt;F358),1,0))</f>
        <v>1</v>
      </c>
      <c r="F349" s="531">
        <f>IF(AND(E351=1,F351=1),1,IF(AND(E351=0,F351=1),1,0))</f>
        <v>0</v>
      </c>
      <c r="G349" s="541">
        <v>0</v>
      </c>
      <c r="H349" s="540">
        <f>IF(AND(H351=1,C351=1),1,0)</f>
        <v>0</v>
      </c>
      <c r="I349" s="542">
        <v>0</v>
      </c>
      <c r="L349" s="950" t="s">
        <v>163</v>
      </c>
      <c r="M349" s="952">
        <v>1</v>
      </c>
      <c r="N349" s="953">
        <v>1</v>
      </c>
      <c r="P349" s="950" t="s">
        <v>1320</v>
      </c>
      <c r="Q349" s="951">
        <f>IF(AND(Q348=1,C111&lt;=1),1,IF(AND(Q348=1,R348=0,C111=2),1,0))</f>
        <v>1</v>
      </c>
      <c r="R349" s="953">
        <v>1</v>
      </c>
      <c r="T349" t="s">
        <v>1305</v>
      </c>
      <c r="U349" s="951">
        <f>IF(AND(SUM(C351:C357)&gt;0,SUM(D351:D357)&gt;0),1,0)</f>
        <v>1</v>
      </c>
    </row>
    <row r="350" spans="2:25" x14ac:dyDescent="0.25">
      <c r="B350" s="483"/>
      <c r="C350" s="521" t="s">
        <v>66</v>
      </c>
      <c r="D350" s="522" t="s">
        <v>65</v>
      </c>
      <c r="E350" s="521" t="s">
        <v>63</v>
      </c>
      <c r="F350" s="522" t="s">
        <v>64</v>
      </c>
      <c r="G350" s="446" t="s">
        <v>554</v>
      </c>
      <c r="H350" s="532" t="s">
        <v>54</v>
      </c>
      <c r="I350" s="533" t="s">
        <v>67</v>
      </c>
      <c r="P350" s="959" t="s">
        <v>1321</v>
      </c>
      <c r="Q350" s="951">
        <f>IF(AND(SUM(Q348:R348)=1,Q348=1),1,IF(AND(SUM(Q348:R348)=2,Q348=1,$C$3&lt;P347),1,0))</f>
        <v>1</v>
      </c>
      <c r="R350" s="951">
        <f>IF(AND(SUM(Q348:R348)=1,R348=1),1,IF(AND(SUM(Q348:R348)=2,Q348=1,$C$3&gt;=P347),1,0))</f>
        <v>0</v>
      </c>
      <c r="T350" t="s">
        <v>1304</v>
      </c>
      <c r="U350" s="951">
        <f>IF(X356=1,1,IF(AND(W355&gt;0,W356&gt;0,W355*W356&gt;=2,W356&gt;=2),1,0))</f>
        <v>1</v>
      </c>
      <c r="V350" s="2"/>
      <c r="W350" s="2">
        <f>IF(X356=1,1,IF(AND(W355&gt;0,W356&gt;0,W355*W356&gt;2),1,0))</f>
        <v>1</v>
      </c>
    </row>
    <row r="351" spans="2:25" ht="15.75" thickBot="1" x14ac:dyDescent="0.3">
      <c r="B351" s="483" t="s">
        <v>557</v>
      </c>
      <c r="C351" s="521">
        <f>IF(I351=1,0,R180*Q78)</f>
        <v>1</v>
      </c>
      <c r="D351" s="522">
        <f>IF(I351=1,0,P204*Q78)</f>
        <v>1</v>
      </c>
      <c r="E351" s="521">
        <f>IF(I351=1,0,Q351*Q78)</f>
        <v>1</v>
      </c>
      <c r="F351" s="522">
        <f>IF(I351=1,0,R351*Q78)</f>
        <v>0</v>
      </c>
      <c r="G351" s="446">
        <f>IF(I351=1,0,F293*Q78)</f>
        <v>0</v>
      </c>
      <c r="H351" s="532">
        <f>IF(I351=1,0,D327*Q78)</f>
        <v>0</v>
      </c>
      <c r="I351" s="533">
        <f>L342*Q78</f>
        <v>0</v>
      </c>
      <c r="P351" s="950" t="s">
        <v>988</v>
      </c>
      <c r="Q351" s="951">
        <f>IF(AND(SUM(Q348:R348)&lt;2,Q348=1),1,IF(AND(SUM(Q348:R348)=2,SUM(R349:R350)&lt;SUM(Q349:Q350)),1,0))</f>
        <v>1</v>
      </c>
      <c r="R351" s="951">
        <f>IF(AND(SUM(Q348:R348)&lt;2,R348=1),1,IF(AND(SUM(Q348:R348)=2,SUM(R349:R350)&gt;=SUM(Q349:Q350)),1,0))</f>
        <v>0</v>
      </c>
      <c r="T351" t="s">
        <v>1306</v>
      </c>
      <c r="U351" s="442">
        <f>IF(C3&gt;=(V361),1,0)</f>
        <v>0</v>
      </c>
    </row>
    <row r="352" spans="2:25" ht="15.75" thickBot="1" x14ac:dyDescent="0.3">
      <c r="B352" s="220" t="s">
        <v>574</v>
      </c>
      <c r="C352" s="520">
        <f>IF(C351=1,O180,0)</f>
        <v>0</v>
      </c>
      <c r="D352" s="523">
        <v>0</v>
      </c>
      <c r="E352" s="520">
        <f>IF(AND(E351=1,C111&gt;=2),1,0)</f>
        <v>0</v>
      </c>
      <c r="F352" s="523">
        <v>0</v>
      </c>
      <c r="G352" s="499">
        <f>IF(AND(G351=1,C111&gt;0),1,0)</f>
        <v>0</v>
      </c>
      <c r="H352" s="534">
        <v>0</v>
      </c>
      <c r="I352" s="535">
        <v>0</v>
      </c>
      <c r="T352" t="s">
        <v>1312</v>
      </c>
      <c r="U352" s="281">
        <f>IF(SUM(U347:U351)=V352,1,0)</f>
        <v>0</v>
      </c>
      <c r="V352" s="953">
        <v>5</v>
      </c>
    </row>
    <row r="353" spans="1:24" x14ac:dyDescent="0.25">
      <c r="B353" s="220" t="s">
        <v>581</v>
      </c>
      <c r="C353" s="524">
        <v>0</v>
      </c>
      <c r="D353" s="523">
        <v>0</v>
      </c>
      <c r="E353" s="520">
        <f>IF(AND(E351=1,E218=0),1,IF(AND(E351=1,T222=1),1,0))</f>
        <v>0</v>
      </c>
      <c r="F353" s="523">
        <v>0</v>
      </c>
      <c r="G353" s="223">
        <v>0</v>
      </c>
      <c r="H353" s="534">
        <v>0</v>
      </c>
      <c r="I353" s="535">
        <v>0</v>
      </c>
      <c r="Q353" s="2"/>
    </row>
    <row r="354" spans="1:24" x14ac:dyDescent="0.25">
      <c r="B354" s="220" t="s">
        <v>572</v>
      </c>
      <c r="C354" s="520">
        <f>IF(C351=1,AA46,0)</f>
        <v>1</v>
      </c>
      <c r="D354" s="448">
        <f>IF(D351=1,AA46,0)</f>
        <v>1</v>
      </c>
      <c r="E354" s="524">
        <v>0</v>
      </c>
      <c r="F354" s="523">
        <v>0</v>
      </c>
      <c r="G354" s="223">
        <v>0</v>
      </c>
      <c r="H354" s="534">
        <v>0</v>
      </c>
      <c r="I354" s="535">
        <v>0</v>
      </c>
      <c r="T354" t="s">
        <v>1331</v>
      </c>
    </row>
    <row r="355" spans="1:24" x14ac:dyDescent="0.25">
      <c r="B355" s="506" t="s">
        <v>569</v>
      </c>
      <c r="C355" s="525">
        <f>IF(AND(C351=1,C356=1),0,IF(C351=1,C145,0))</f>
        <v>0</v>
      </c>
      <c r="D355" s="526">
        <f>IF(AND(D351=1,D356=1),0,IF(D351=1,C145,0))</f>
        <v>0</v>
      </c>
      <c r="E355" s="527">
        <v>0</v>
      </c>
      <c r="F355" s="528">
        <v>0</v>
      </c>
      <c r="G355" s="538">
        <v>0</v>
      </c>
      <c r="H355" s="536">
        <v>0</v>
      </c>
      <c r="I355" s="537">
        <v>0</v>
      </c>
      <c r="T355" t="s">
        <v>1302</v>
      </c>
      <c r="U355" s="951">
        <f>C108</f>
        <v>361</v>
      </c>
      <c r="V355" s="951">
        <f>H183</f>
        <v>1400</v>
      </c>
      <c r="W355" s="951">
        <f>FLOOR(V355/U355,1)</f>
        <v>3</v>
      </c>
      <c r="X355" s="442" t="s">
        <v>64</v>
      </c>
    </row>
    <row r="356" spans="1:24" x14ac:dyDescent="0.25">
      <c r="B356" s="220" t="s">
        <v>570</v>
      </c>
      <c r="C356" s="520">
        <f>IF(C351=1,D145,0)</f>
        <v>0</v>
      </c>
      <c r="D356" s="448">
        <f>IF(D351=1,D145,0)</f>
        <v>0</v>
      </c>
      <c r="E356" s="524">
        <v>0</v>
      </c>
      <c r="F356" s="523">
        <v>0</v>
      </c>
      <c r="G356" s="223">
        <v>0</v>
      </c>
      <c r="H356" s="534">
        <v>0</v>
      </c>
      <c r="I356" s="535">
        <v>0</v>
      </c>
      <c r="T356" t="s">
        <v>1303</v>
      </c>
      <c r="U356" s="951">
        <f>D108</f>
        <v>1114</v>
      </c>
      <c r="V356" s="13">
        <f>F183</f>
        <v>4000</v>
      </c>
      <c r="W356" s="13">
        <f>FLOOR(V356/U356,1)</f>
        <v>3</v>
      </c>
      <c r="X356" s="951">
        <f>J169</f>
        <v>1</v>
      </c>
    </row>
    <row r="357" spans="1:24" ht="15.75" thickBot="1" x14ac:dyDescent="0.3">
      <c r="B357" s="506" t="s">
        <v>573</v>
      </c>
      <c r="C357" s="527">
        <v>0</v>
      </c>
      <c r="D357" s="528">
        <v>0</v>
      </c>
      <c r="E357" s="527">
        <v>0</v>
      </c>
      <c r="F357" s="528">
        <v>0</v>
      </c>
      <c r="G357" s="539">
        <f>IF(G351=1,1,0)</f>
        <v>0</v>
      </c>
      <c r="H357" s="536">
        <v>0</v>
      </c>
      <c r="I357" s="537">
        <v>0</v>
      </c>
      <c r="J357" s="2" t="s">
        <v>594</v>
      </c>
    </row>
    <row r="358" spans="1:24" ht="15.75" thickBot="1" x14ac:dyDescent="0.3">
      <c r="B358" s="518" t="s">
        <v>591</v>
      </c>
      <c r="C358" s="529">
        <f>IF(SUM(C351:C357)=0," ",SUM(C351:C357))</f>
        <v>2</v>
      </c>
      <c r="D358" s="467">
        <f t="shared" ref="D358:I358" si="64">IF(SUM(D351:D357)=0," ",SUM(D351:D357))</f>
        <v>2</v>
      </c>
      <c r="E358" s="529">
        <f t="shared" si="64"/>
        <v>1</v>
      </c>
      <c r="F358" s="467" t="str">
        <f t="shared" si="64"/>
        <v xml:space="preserve"> </v>
      </c>
      <c r="G358" s="281" t="str">
        <f t="shared" si="64"/>
        <v xml:space="preserve"> </v>
      </c>
      <c r="H358" s="529" t="str">
        <f t="shared" si="64"/>
        <v xml:space="preserve"> </v>
      </c>
      <c r="I358" s="467" t="str">
        <f t="shared" si="64"/>
        <v xml:space="preserve"> </v>
      </c>
      <c r="J358" s="531">
        <f>MIN(C358:I358)+U352</f>
        <v>1</v>
      </c>
      <c r="T358" s="950" t="s">
        <v>1307</v>
      </c>
      <c r="U358" s="1205">
        <f>(U356/1000)*(U355/1000)</f>
        <v>0.40215400000000001</v>
      </c>
      <c r="V358" s="442" t="s">
        <v>1310</v>
      </c>
    </row>
    <row r="359" spans="1:24" x14ac:dyDescent="0.25">
      <c r="B359" s="948" t="s">
        <v>980</v>
      </c>
      <c r="C359" s="949">
        <f>SUM(C351:C357)</f>
        <v>2</v>
      </c>
      <c r="D359" s="949">
        <f t="shared" ref="D359:I359" si="65">SUM(D351:D357)</f>
        <v>2</v>
      </c>
      <c r="E359" s="949">
        <f t="shared" si="65"/>
        <v>1</v>
      </c>
      <c r="F359" s="949">
        <f t="shared" si="65"/>
        <v>0</v>
      </c>
      <c r="G359" s="949">
        <f t="shared" si="65"/>
        <v>0</v>
      </c>
      <c r="H359" s="949">
        <f t="shared" si="65"/>
        <v>0</v>
      </c>
      <c r="I359" s="949">
        <f t="shared" si="65"/>
        <v>0</v>
      </c>
      <c r="T359" s="14" t="s">
        <v>1308</v>
      </c>
      <c r="U359" s="449">
        <f>N388</f>
        <v>200</v>
      </c>
      <c r="V359" s="442">
        <f>CEILING(U359/U358,1)</f>
        <v>498</v>
      </c>
    </row>
    <row r="360" spans="1:24" x14ac:dyDescent="0.25">
      <c r="B360"/>
      <c r="T360" s="6" t="s">
        <v>1309</v>
      </c>
      <c r="U360" s="2">
        <f>M388</f>
        <v>240</v>
      </c>
      <c r="V360" s="12">
        <f>IF(U355&gt;=L387,U360,U360*2)</f>
        <v>480</v>
      </c>
    </row>
    <row r="361" spans="1:24" x14ac:dyDescent="0.25">
      <c r="B361" t="s">
        <v>568</v>
      </c>
      <c r="T361" s="950" t="s">
        <v>1311</v>
      </c>
      <c r="U361" s="1204"/>
      <c r="V361" s="951">
        <f>MAX(V359:V360)</f>
        <v>498</v>
      </c>
    </row>
    <row r="362" spans="1:24" x14ac:dyDescent="0.25">
      <c r="A362" s="404"/>
      <c r="B362" s="213" t="s">
        <v>592</v>
      </c>
      <c r="C362" s="473">
        <f t="shared" ref="C362:I362" si="66">C347</f>
        <v>0</v>
      </c>
      <c r="D362" s="473">
        <f t="shared" si="66"/>
        <v>0</v>
      </c>
      <c r="E362" s="473">
        <f t="shared" si="66"/>
        <v>1</v>
      </c>
      <c r="F362" s="23">
        <f t="shared" si="66"/>
        <v>0</v>
      </c>
      <c r="G362" s="473">
        <f t="shared" si="66"/>
        <v>0</v>
      </c>
      <c r="H362" s="23">
        <f t="shared" si="66"/>
        <v>0</v>
      </c>
      <c r="I362" s="473">
        <f t="shared" si="66"/>
        <v>0</v>
      </c>
      <c r="J362" s="473" t="s">
        <v>597</v>
      </c>
      <c r="K362" s="473">
        <f>IF(J363&gt;0,VLOOKUP(J363,A364:K374,11,FALSE),K375)</f>
        <v>1950</v>
      </c>
    </row>
    <row r="363" spans="1:24" x14ac:dyDescent="0.25">
      <c r="A363" s="52"/>
      <c r="B363" s="213"/>
      <c r="C363" s="473" t="s">
        <v>66</v>
      </c>
      <c r="D363" s="473" t="s">
        <v>65</v>
      </c>
      <c r="E363" s="473" t="s">
        <v>63</v>
      </c>
      <c r="F363" s="23" t="s">
        <v>64</v>
      </c>
      <c r="G363" s="473" t="s">
        <v>554</v>
      </c>
      <c r="H363" s="23" t="s">
        <v>54</v>
      </c>
      <c r="I363" s="473" t="s">
        <v>67</v>
      </c>
      <c r="J363" s="13">
        <f>SUM(J364:J374)</f>
        <v>1</v>
      </c>
      <c r="K363" s="13" t="s">
        <v>79</v>
      </c>
      <c r="M363" s="2"/>
    </row>
    <row r="364" spans="1:24" x14ac:dyDescent="0.25">
      <c r="A364" s="442" t="str">
        <f>IF(J364&gt;0,1," ")</f>
        <v xml:space="preserve"> </v>
      </c>
      <c r="B364" s="6" t="s">
        <v>65</v>
      </c>
      <c r="C364" s="12">
        <f>IF(AND(C352=1,J169=0),1,0)</f>
        <v>0</v>
      </c>
      <c r="D364" s="12">
        <f>D351</f>
        <v>1</v>
      </c>
      <c r="E364" s="28">
        <v>0</v>
      </c>
      <c r="F364" s="22">
        <v>0</v>
      </c>
      <c r="G364" s="28">
        <v>0</v>
      </c>
      <c r="H364" s="22">
        <v>0</v>
      </c>
      <c r="I364" s="28">
        <v>0</v>
      </c>
      <c r="J364" s="442">
        <f>IF(SUM(C362:I362)&gt;0,HLOOKUP(1,$C$362:$I$374,3,FALSE),0)</f>
        <v>0</v>
      </c>
      <c r="K364" s="486">
        <v>1600</v>
      </c>
      <c r="M364" s="2"/>
    </row>
    <row r="365" spans="1:24" x14ac:dyDescent="0.25">
      <c r="A365" s="12" t="str">
        <f>IF(J365&gt;0,SUM(J364:J365)," ")</f>
        <v xml:space="preserve"> </v>
      </c>
      <c r="B365" s="6" t="s">
        <v>66</v>
      </c>
      <c r="C365" s="12">
        <f>C351</f>
        <v>1</v>
      </c>
      <c r="D365" s="28">
        <v>0</v>
      </c>
      <c r="E365" s="12">
        <f>IF(E353=1,1,IF(E352=1,1,0))</f>
        <v>0</v>
      </c>
      <c r="F365" s="22">
        <v>0</v>
      </c>
      <c r="G365" s="28">
        <v>0</v>
      </c>
      <c r="H365" s="22">
        <v>0</v>
      </c>
      <c r="I365" s="28">
        <v>0</v>
      </c>
      <c r="J365" s="12">
        <f>IF(SUM(C362:I362)&gt;0,HLOOKUP(1,$C$362:$I$374,4,FALSE),0)</f>
        <v>0</v>
      </c>
      <c r="K365" s="28">
        <v>2000</v>
      </c>
      <c r="M365" s="2"/>
    </row>
    <row r="366" spans="1:24" x14ac:dyDescent="0.25">
      <c r="A366" s="12" t="str">
        <f>IF(J366&gt;0,SUM(J364:J366)," ")</f>
        <v xml:space="preserve"> </v>
      </c>
      <c r="B366" s="6" t="s">
        <v>64</v>
      </c>
      <c r="C366" s="12">
        <f>IF(AND(C352=1,J169=1),1,0)</f>
        <v>0</v>
      </c>
      <c r="D366" s="28">
        <v>0</v>
      </c>
      <c r="E366" s="12">
        <f>E352</f>
        <v>0</v>
      </c>
      <c r="F366" s="2">
        <f>F351</f>
        <v>0</v>
      </c>
      <c r="G366" s="12">
        <f>G352</f>
        <v>0</v>
      </c>
      <c r="H366" s="22">
        <v>0</v>
      </c>
      <c r="I366" s="28">
        <v>0</v>
      </c>
      <c r="J366" s="12">
        <f>IF(SUM(C362:I362)&gt;0,HLOOKUP(1,$C$362:$I$374,5,FALSE),0)</f>
        <v>0</v>
      </c>
      <c r="K366" s="28">
        <v>1950</v>
      </c>
      <c r="M366" s="2"/>
    </row>
    <row r="367" spans="1:24" x14ac:dyDescent="0.25">
      <c r="A367" s="12">
        <f>IF(J367&gt;0,SUM(J364:J367)," ")</f>
        <v>1</v>
      </c>
      <c r="B367" s="6" t="s">
        <v>63</v>
      </c>
      <c r="C367" s="28">
        <v>0</v>
      </c>
      <c r="D367" s="28">
        <v>0</v>
      </c>
      <c r="E367" s="12">
        <f>E351</f>
        <v>1</v>
      </c>
      <c r="F367" s="22">
        <v>0</v>
      </c>
      <c r="G367" s="28">
        <v>0</v>
      </c>
      <c r="H367" s="22">
        <v>0</v>
      </c>
      <c r="I367" s="28">
        <v>0</v>
      </c>
      <c r="J367" s="12">
        <f>IF(SUM(C362:I362)&gt;0,HLOOKUP(1,$C$362:$I$374,6,FALSE),0)</f>
        <v>1</v>
      </c>
      <c r="K367" s="28">
        <v>1950</v>
      </c>
      <c r="M367" s="2"/>
    </row>
    <row r="368" spans="1:24" x14ac:dyDescent="0.25">
      <c r="A368" s="12" t="str">
        <f>IF(J368&gt;0,SUM(J364:J368)," ")</f>
        <v xml:space="preserve"> </v>
      </c>
      <c r="B368" s="6" t="str">
        <f>G350</f>
        <v>Vlakstans</v>
      </c>
      <c r="C368" s="28">
        <v>0</v>
      </c>
      <c r="D368" s="28">
        <v>0</v>
      </c>
      <c r="E368" s="28">
        <v>0</v>
      </c>
      <c r="F368" s="22">
        <v>0</v>
      </c>
      <c r="G368" s="12">
        <f>G351</f>
        <v>0</v>
      </c>
      <c r="H368" s="22">
        <v>0</v>
      </c>
      <c r="I368" s="28">
        <v>0</v>
      </c>
      <c r="J368" s="12">
        <f>IF(SUM(C362:I362)&gt;0,HLOOKUP(1,$C$362:$I$374,7,FALSE),0)</f>
        <v>0</v>
      </c>
      <c r="K368" s="28">
        <v>2100</v>
      </c>
      <c r="M368" s="2"/>
    </row>
    <row r="369" spans="1:25" x14ac:dyDescent="0.25">
      <c r="A369" s="12" t="str">
        <f>IF(J369&gt;0,SUM(J364:J369)," ")</f>
        <v xml:space="preserve"> </v>
      </c>
      <c r="B369" s="6" t="str">
        <f>H350</f>
        <v>Roda</v>
      </c>
      <c r="C369" s="28">
        <v>0</v>
      </c>
      <c r="D369" s="28">
        <v>0</v>
      </c>
      <c r="E369" s="28">
        <v>0</v>
      </c>
      <c r="F369" s="22">
        <v>0</v>
      </c>
      <c r="G369" s="28">
        <v>0</v>
      </c>
      <c r="H369" s="2">
        <f>H351</f>
        <v>0</v>
      </c>
      <c r="I369" s="28">
        <v>0</v>
      </c>
      <c r="J369" s="12">
        <f>IF(SUM(C362:I362)&gt;0,HLOOKUP(1,$C$362:$I$374,8,FALSE),0)</f>
        <v>0</v>
      </c>
      <c r="K369" s="28">
        <v>1800</v>
      </c>
      <c r="M369" s="2"/>
    </row>
    <row r="370" spans="1:25" x14ac:dyDescent="0.25">
      <c r="A370" s="12" t="str">
        <f>IF(J370&gt;0,SUM(J364:J370)," ")</f>
        <v xml:space="preserve"> </v>
      </c>
      <c r="B370" s="6" t="str">
        <f>I350</f>
        <v>Plaat op maat</v>
      </c>
      <c r="C370" s="28">
        <v>0</v>
      </c>
      <c r="D370" s="28">
        <v>0</v>
      </c>
      <c r="E370" s="28">
        <v>0</v>
      </c>
      <c r="F370" s="22">
        <v>0</v>
      </c>
      <c r="G370" s="28">
        <v>0</v>
      </c>
      <c r="H370" s="22">
        <v>0</v>
      </c>
      <c r="I370" s="12">
        <f>I351</f>
        <v>0</v>
      </c>
      <c r="J370" s="12">
        <f>IF(SUM(C362:I362)&gt;0,HLOOKUP(1,$C$362:$I$374,9,FALSE),0)</f>
        <v>0</v>
      </c>
      <c r="K370" s="28">
        <v>1800</v>
      </c>
      <c r="M370" s="2"/>
    </row>
    <row r="371" spans="1:25" x14ac:dyDescent="0.25">
      <c r="A371" s="12" t="str">
        <f>IF(J371&gt;0,SUM(J364:J371)," ")</f>
        <v xml:space="preserve"> </v>
      </c>
      <c r="B371" s="6" t="s">
        <v>493</v>
      </c>
      <c r="C371" s="12">
        <f t="shared" ref="C371:D373" si="67">C354</f>
        <v>1</v>
      </c>
      <c r="D371" s="12">
        <f t="shared" si="67"/>
        <v>1</v>
      </c>
      <c r="E371" s="28">
        <v>0</v>
      </c>
      <c r="F371" s="22">
        <v>0</v>
      </c>
      <c r="G371" s="28">
        <v>0</v>
      </c>
      <c r="H371" s="22">
        <v>0</v>
      </c>
      <c r="I371" s="28">
        <v>0</v>
      </c>
      <c r="J371" s="12">
        <f>IF(SUM(C362:I362)&gt;0,HLOOKUP(1,$C$362:$I$374,10,FALSE),0)</f>
        <v>0</v>
      </c>
      <c r="K371" s="28">
        <v>1900</v>
      </c>
      <c r="M371" s="2"/>
    </row>
    <row r="372" spans="1:25" x14ac:dyDescent="0.25">
      <c r="A372" s="12" t="str">
        <f>IF(J372&gt;0,SUM(J364:J372)," ")</f>
        <v xml:space="preserve"> </v>
      </c>
      <c r="B372" s="6" t="s">
        <v>569</v>
      </c>
      <c r="C372" s="12">
        <f t="shared" si="67"/>
        <v>0</v>
      </c>
      <c r="D372" s="12">
        <f t="shared" si="67"/>
        <v>0</v>
      </c>
      <c r="E372" s="28">
        <v>0</v>
      </c>
      <c r="F372" s="22">
        <v>0</v>
      </c>
      <c r="G372" s="28">
        <v>0</v>
      </c>
      <c r="H372" s="22">
        <v>0</v>
      </c>
      <c r="I372" s="28">
        <v>0</v>
      </c>
      <c r="J372" s="12">
        <f>IF(SUM(C362:I362)&gt;0,HLOOKUP(1,$C$362:$I$374,11,FALSE),0)</f>
        <v>0</v>
      </c>
      <c r="K372" s="28">
        <v>2000</v>
      </c>
      <c r="M372" s="2"/>
    </row>
    <row r="373" spans="1:25" x14ac:dyDescent="0.25">
      <c r="A373" s="12" t="str">
        <f>IF(J373&gt;0,SUM(J364:J373)," ")</f>
        <v xml:space="preserve"> </v>
      </c>
      <c r="B373" s="6" t="s">
        <v>570</v>
      </c>
      <c r="C373" s="12">
        <f t="shared" si="67"/>
        <v>0</v>
      </c>
      <c r="D373" s="12">
        <f t="shared" si="67"/>
        <v>0</v>
      </c>
      <c r="E373" s="28">
        <v>0</v>
      </c>
      <c r="F373" s="22">
        <v>0</v>
      </c>
      <c r="G373" s="28">
        <v>0</v>
      </c>
      <c r="H373" s="22">
        <v>0</v>
      </c>
      <c r="I373" s="28">
        <v>0</v>
      </c>
      <c r="J373" s="12">
        <f>IF(SUM(C362:I362)&gt;0,HLOOKUP(1,$C$362:$I$374,12,FALSE),0)</f>
        <v>0</v>
      </c>
      <c r="K373" s="28">
        <v>2000</v>
      </c>
      <c r="M373" s="2"/>
    </row>
    <row r="374" spans="1:25" x14ac:dyDescent="0.25">
      <c r="A374" s="13" t="str">
        <f>IF(J374&gt;0,SUM(J364:J374)," ")</f>
        <v xml:space="preserve"> </v>
      </c>
      <c r="B374" s="8" t="s">
        <v>571</v>
      </c>
      <c r="C374" s="34">
        <v>0</v>
      </c>
      <c r="D374" s="34">
        <v>0</v>
      </c>
      <c r="E374" s="34">
        <v>0</v>
      </c>
      <c r="F374" s="344">
        <v>0</v>
      </c>
      <c r="G374" s="13">
        <f>G357</f>
        <v>0</v>
      </c>
      <c r="H374" s="344">
        <v>0</v>
      </c>
      <c r="I374" s="34">
        <v>0</v>
      </c>
      <c r="J374" s="13">
        <f>IF(SUM(C362:I362)&gt;0,HLOOKUP(1,$C$362:$I$374,13,FALSE),0)</f>
        <v>0</v>
      </c>
      <c r="K374" s="34">
        <v>2000</v>
      </c>
      <c r="M374" s="2"/>
    </row>
    <row r="375" spans="1:25" x14ac:dyDescent="0.25">
      <c r="A375" s="472"/>
      <c r="B375" s="472" t="s">
        <v>598</v>
      </c>
      <c r="C375" s="473" t="str">
        <f>IF(AND(C362=1,C366=1),F363,C363)</f>
        <v>Mini</v>
      </c>
      <c r="D375" s="473" t="str">
        <f>D363</f>
        <v>Maxi</v>
      </c>
      <c r="E375" s="473" t="str">
        <f>IF(SUM(E365:E366)=0,E363,IF(AND(E367=1,E365=1,E366=0),C363,IF(AND(SUM(E365:E367)=3,E353=0),F363,IF(AND(SUM(E365:E367)=3,E353=1),F363))))</f>
        <v>Emba 170</v>
      </c>
      <c r="F375" s="473" t="str">
        <f>F363</f>
        <v>Emba 295</v>
      </c>
      <c r="G375" s="473" t="str">
        <f>G363</f>
        <v>Vlakstans</v>
      </c>
      <c r="H375" s="473" t="str">
        <f>H363</f>
        <v>Roda</v>
      </c>
      <c r="I375" s="473" t="str">
        <f>I363</f>
        <v>Plaat op maat</v>
      </c>
      <c r="J375" s="472"/>
      <c r="K375" s="952">
        <v>1900</v>
      </c>
      <c r="M375" s="2"/>
    </row>
    <row r="376" spans="1:25" x14ac:dyDescent="0.25">
      <c r="A376" s="476"/>
      <c r="B376" s="404" t="s">
        <v>655</v>
      </c>
      <c r="C376" s="590">
        <v>0.04</v>
      </c>
      <c r="D376" s="590">
        <v>0.04</v>
      </c>
      <c r="E376" s="590">
        <v>0.04</v>
      </c>
      <c r="F376" s="590">
        <v>0.04</v>
      </c>
      <c r="G376" s="590">
        <v>0.04</v>
      </c>
      <c r="H376" s="590">
        <v>0.04</v>
      </c>
      <c r="I376" s="590">
        <v>0.04</v>
      </c>
      <c r="J376" s="592">
        <f>IF(SUM(C362:I362)&gt;0,HLOOKUP(1,C362:I377,15,FALSE),MAX(C376:I376))</f>
        <v>0.04</v>
      </c>
      <c r="M376" s="2"/>
    </row>
    <row r="377" spans="1:25" x14ac:dyDescent="0.25">
      <c r="A377" s="415"/>
      <c r="B377" s="52" t="s">
        <v>654</v>
      </c>
      <c r="C377" s="591">
        <v>0.04</v>
      </c>
      <c r="D377" s="591">
        <v>0.04</v>
      </c>
      <c r="E377" s="591">
        <v>0.04</v>
      </c>
      <c r="F377" s="591">
        <v>0.04</v>
      </c>
      <c r="G377" s="591">
        <v>0.04</v>
      </c>
      <c r="H377" s="591">
        <v>0.04</v>
      </c>
      <c r="I377" s="591">
        <v>0.04</v>
      </c>
      <c r="J377" s="593">
        <f>IF(SUM(C362:I362)&gt;0,HLOOKUP(1,C362:I377,16,FALSE),MAX(C377:I377))</f>
        <v>0.04</v>
      </c>
    </row>
    <row r="378" spans="1:25" x14ac:dyDescent="0.25">
      <c r="A378" s="950"/>
      <c r="B378" s="959" t="s">
        <v>984</v>
      </c>
      <c r="C378" s="960">
        <v>0.03</v>
      </c>
      <c r="D378" s="962">
        <v>0.03</v>
      </c>
      <c r="E378" s="960">
        <v>0.03</v>
      </c>
      <c r="F378" s="962">
        <v>0.03</v>
      </c>
      <c r="G378" s="960">
        <v>0.03</v>
      </c>
      <c r="H378" s="962">
        <v>0.03</v>
      </c>
      <c r="I378" s="960">
        <v>0.01</v>
      </c>
      <c r="J378" s="961">
        <f>IF(SUM(C362:I362)&gt;0,HLOOKUP(1,C362:I378,17,FALSE),MAX(C378:I378))</f>
        <v>0.03</v>
      </c>
    </row>
    <row r="379" spans="1:25" x14ac:dyDescent="0.25">
      <c r="B379"/>
    </row>
    <row r="380" spans="1:25" s="320" customFormat="1" x14ac:dyDescent="0.25">
      <c r="Y380" s="343"/>
    </row>
    <row r="381" spans="1:25" x14ac:dyDescent="0.25">
      <c r="B381"/>
    </row>
    <row r="382" spans="1:25" x14ac:dyDescent="0.25">
      <c r="B382"/>
    </row>
    <row r="383" spans="1:25" x14ac:dyDescent="0.25">
      <c r="B383" s="215" t="s">
        <v>487</v>
      </c>
    </row>
    <row r="384" spans="1:25" x14ac:dyDescent="0.25">
      <c r="A384" s="289" t="s">
        <v>477</v>
      </c>
      <c r="B384" s="396"/>
      <c r="C384" s="397">
        <f>IF(AND(J445&gt;=C386,J445&lt;C387),1,0)</f>
        <v>1</v>
      </c>
      <c r="D384" s="397">
        <f>IF(AND(J445&gt;=D386,J445&lt;D387),1,0)</f>
        <v>0</v>
      </c>
      <c r="E384" s="397">
        <f>IF(AND(J445&gt;=E386,J445&lt;E387),1,0)</f>
        <v>0</v>
      </c>
      <c r="F384" s="397">
        <f>IF(AND(J445&gt;=F386,J445&lt;F387),1,0)</f>
        <v>0</v>
      </c>
      <c r="G384" s="397">
        <f>IF(AND(J445&gt;=G386,J445&lt;G387),1,0)</f>
        <v>0</v>
      </c>
      <c r="H384" s="398"/>
      <c r="I384" s="398"/>
      <c r="J384" s="398"/>
      <c r="K384" s="398"/>
      <c r="L384" s="398"/>
      <c r="M384" s="398"/>
      <c r="N384" s="44"/>
    </row>
    <row r="385" spans="1:15" x14ac:dyDescent="0.25">
      <c r="A385" s="396" t="str">
        <f>VLOOKUP("x",'Prijs karton (4)'!19:248,20,FALSE)</f>
        <v>Pro</v>
      </c>
      <c r="B385" s="41"/>
      <c r="C385" s="120" t="s">
        <v>478</v>
      </c>
      <c r="D385" s="120" t="s">
        <v>478</v>
      </c>
      <c r="E385" s="120" t="s">
        <v>478</v>
      </c>
      <c r="F385" s="120" t="s">
        <v>478</v>
      </c>
      <c r="G385" s="399" t="s">
        <v>478</v>
      </c>
      <c r="H385" s="120" t="s">
        <v>479</v>
      </c>
      <c r="I385" s="227" t="s">
        <v>480</v>
      </c>
      <c r="J385" s="120" t="s">
        <v>481</v>
      </c>
      <c r="K385" s="78" t="s">
        <v>480</v>
      </c>
      <c r="L385" s="120" t="s">
        <v>111</v>
      </c>
      <c r="M385" s="78" t="s">
        <v>149</v>
      </c>
      <c r="N385" s="120" t="s">
        <v>149</v>
      </c>
      <c r="O385" s="2"/>
    </row>
    <row r="386" spans="1:15" x14ac:dyDescent="0.25">
      <c r="A386" s="41"/>
      <c r="B386" s="41"/>
      <c r="C386" s="12">
        <v>200</v>
      </c>
      <c r="D386" s="12">
        <v>500</v>
      </c>
      <c r="E386" s="12">
        <v>1000</v>
      </c>
      <c r="F386" s="12">
        <v>2000</v>
      </c>
      <c r="G386" s="120">
        <v>5000</v>
      </c>
      <c r="H386" s="120" t="s">
        <v>482</v>
      </c>
      <c r="I386" s="227" t="s">
        <v>482</v>
      </c>
      <c r="J386" s="120" t="s">
        <v>483</v>
      </c>
      <c r="K386" s="78" t="s">
        <v>482</v>
      </c>
      <c r="L386" s="120" t="s">
        <v>484</v>
      </c>
      <c r="M386" s="78" t="s">
        <v>485</v>
      </c>
      <c r="N386" s="120" t="s">
        <v>486</v>
      </c>
    </row>
    <row r="387" spans="1:15" x14ac:dyDescent="0.25">
      <c r="A387" s="341" t="s">
        <v>1</v>
      </c>
      <c r="B387" s="341" t="s">
        <v>0</v>
      </c>
      <c r="C387" s="443">
        <v>500</v>
      </c>
      <c r="D387" s="443">
        <v>1000</v>
      </c>
      <c r="E387" s="443">
        <v>2000</v>
      </c>
      <c r="F387" s="443">
        <v>5000</v>
      </c>
      <c r="G387" s="12">
        <v>999999999</v>
      </c>
      <c r="H387" s="202" t="s">
        <v>18</v>
      </c>
      <c r="I387" s="400" t="s">
        <v>18</v>
      </c>
      <c r="J387" s="202" t="s">
        <v>9</v>
      </c>
      <c r="K387" s="401" t="s">
        <v>9</v>
      </c>
      <c r="L387" s="964">
        <v>550</v>
      </c>
      <c r="M387" s="343"/>
      <c r="N387" s="13"/>
    </row>
    <row r="388" spans="1:15" x14ac:dyDescent="0.25">
      <c r="A388" s="52" t="str">
        <f>VLOOKUP("X",'Prijs karton (4)'!19:248,3,FALSE)</f>
        <v>BKT14WS</v>
      </c>
      <c r="B388" s="41" t="str">
        <f>VLOOKUP("X",'Prijs karton (4)'!19:248,2,FALSE)</f>
        <v>B</v>
      </c>
      <c r="C388" s="342">
        <f>VLOOKUP("X",'Prijs karton (4)'!19:248,7,FALSE)</f>
        <v>47.2</v>
      </c>
      <c r="D388" s="340">
        <f>VLOOKUP("X",'Prijs karton (4)'!19:248,8,FALSE)</f>
        <v>44.2</v>
      </c>
      <c r="E388" s="342">
        <f>VLOOKUP("X",'Prijs karton (4)'!19:248,9,FALSE)</f>
        <v>43.7</v>
      </c>
      <c r="F388" s="340">
        <f>VLOOKUP("X",'Prijs karton (4)'!19:248,10,FALSE)</f>
        <v>43.7</v>
      </c>
      <c r="G388" s="402">
        <f>VLOOKUP("X",'Prijs karton (4)'!19:248,11,FALSE)</f>
        <v>43.2</v>
      </c>
      <c r="H388" s="403">
        <f>VLOOKUP("X",'Prijs karton (4)'!19:248,21,FALSE)</f>
        <v>250</v>
      </c>
      <c r="I388" s="403">
        <f>VLOOKUP("X",'Prijs karton (4)'!19:248,22,FALSE)</f>
        <v>2450</v>
      </c>
      <c r="J388" s="403">
        <f>VLOOKUP("X",'Prijs karton (4)'!19:248,23,FALSE)</f>
        <v>500</v>
      </c>
      <c r="K388" s="403">
        <f>VLOOKUP("X",'Prijs karton (4)'!19:248,24,FALSE)</f>
        <v>6000</v>
      </c>
      <c r="L388" s="403">
        <f>VLOOKUP("X",'Prijs karton (4)'!19:248,25,FALSE)</f>
        <v>480</v>
      </c>
      <c r="M388" s="403">
        <f>VLOOKUP("X",'Prijs karton (4)'!19:248,26,FALSE)</f>
        <v>240</v>
      </c>
      <c r="N388" s="473">
        <f>VLOOKUP("X",'Prijs karton (4)'!19:248,27,FALSE)</f>
        <v>200</v>
      </c>
      <c r="O388" s="2"/>
    </row>
    <row r="389" spans="1:15" x14ac:dyDescent="0.25">
      <c r="A389" s="442">
        <f>IF(F445&lt;C389,1,0)</f>
        <v>0</v>
      </c>
      <c r="B389" s="405" t="str">
        <f>IF($A$385="pro",'Prijs karton (4)'!N4,IF($A$385="kappa",'Prijs karton (4)'!T4," "))</f>
        <v xml:space="preserve">Plaatlengte korter dan </v>
      </c>
      <c r="C389" s="405">
        <f>IF($A$385="pro",'Prijs karton (4)'!O4,IF($A$385="kappa",'Prijs karton (4)'!U4," "))</f>
        <v>600</v>
      </c>
      <c r="D389" s="399">
        <f>IF($A$385="pro",'Prijs karton (4)'!P4,IF($A$385="kappa",'Prijs karton (4)'!V4," "))</f>
        <v>4</v>
      </c>
      <c r="E389" s="411" t="str">
        <f>IF($A$385="pro",'Prijs karton (4)'!Q4,IF($A$385="kappa",'Prijs karton (4)'!W4," "))</f>
        <v>extra per HQM</v>
      </c>
      <c r="F389" s="442">
        <f>D389*A389</f>
        <v>0</v>
      </c>
    </row>
    <row r="390" spans="1:15" x14ac:dyDescent="0.25">
      <c r="A390" s="12">
        <f>IF(AND(F445&lt;C390,F445&gt;=C389),1,0)</f>
        <v>0</v>
      </c>
      <c r="B390" s="339" t="str">
        <f>IF($A$385="pro",'Prijs karton (4)'!N5,IF($A$385="kappa",'Prijs karton (4)'!T5," "))</f>
        <v xml:space="preserve">Plaatlengte korter dan </v>
      </c>
      <c r="C390" s="339">
        <f>IF($A$385="pro",'Prijs karton (4)'!O5,IF($A$385="kappa",'Prijs karton (4)'!U5," "))</f>
        <v>700</v>
      </c>
      <c r="D390" s="120">
        <f>IF($A$385="pro",'Prijs karton (4)'!P5,IF($A$385="kappa",'Prijs karton (4)'!V5," "))</f>
        <v>2</v>
      </c>
      <c r="E390" s="337" t="str">
        <f>IF($A$385="pro",'Prijs karton (4)'!Q5,IF($A$385="kappa",'Prijs karton (4)'!W5," "))</f>
        <v>extra per HQM</v>
      </c>
      <c r="F390" s="12">
        <f>D390*A390</f>
        <v>0</v>
      </c>
    </row>
    <row r="391" spans="1:15" x14ac:dyDescent="0.25">
      <c r="A391" s="12">
        <f>IF(F445&gt;C391,1,0)</f>
        <v>0</v>
      </c>
      <c r="B391" s="339" t="str">
        <f>IF($A$385="pro",'Prijs karton (4)'!N6,IF($A$385="kappa",'Prijs karton (4)'!T6," "))</f>
        <v>Plaatlengte lager dan</v>
      </c>
      <c r="C391" s="339">
        <f>IF($A$385="pro",'Prijs karton (4)'!O6,IF($A$385="kappa",'Prijs karton (4)'!U6," "))</f>
        <v>5000</v>
      </c>
      <c r="D391" s="120">
        <f>IF($A$385="pro",'Prijs karton (4)'!P6,IF($A$385="kappa",'Prijs karton (4)'!V6," "))</f>
        <v>0</v>
      </c>
      <c r="E391" s="337" t="str">
        <f>IF($A$385="pro",'Prijs karton (4)'!Q6,IF($A$385="kappa",'Prijs karton (4)'!W6," "))</f>
        <v>extra per HQM</v>
      </c>
      <c r="F391" s="12">
        <f>D391*A391</f>
        <v>0</v>
      </c>
    </row>
    <row r="392" spans="1:15" x14ac:dyDescent="0.25">
      <c r="A392" s="41"/>
      <c r="B392" s="339" t="str">
        <f>IF($A$385="pro",'Prijs karton (4)'!N7,IF($A$385="kappa",'Prijs karton (4)'!T7," "))</f>
        <v xml:space="preserve"> </v>
      </c>
      <c r="C392" s="339" t="str">
        <f>IF($A$385="pro",'Prijs karton (4)'!O7,IF($A$385="kappa",'Prijs karton (4)'!U7," "))</f>
        <v xml:space="preserve"> </v>
      </c>
      <c r="D392" s="120" t="str">
        <f>IF($A$385="pro",'Prijs karton (4)'!P7,IF($A$385="kappa",'Prijs karton (4)'!V7," "))</f>
        <v xml:space="preserve"> </v>
      </c>
      <c r="E392" s="337" t="str">
        <f>IF($A$385="pro",'Prijs karton (4)'!Q7,IF($A$385="kappa",'Prijs karton (4)'!W7," "))</f>
        <v xml:space="preserve"> </v>
      </c>
      <c r="F392" s="41"/>
      <c r="G392" s="77"/>
    </row>
    <row r="393" spans="1:15" x14ac:dyDescent="0.25">
      <c r="A393" s="41"/>
      <c r="B393" s="339" t="str">
        <f>IF($A$385="pro",'Prijs karton (4)'!N8,IF($A$385="kappa",'Prijs karton (4)'!T8," "))</f>
        <v xml:space="preserve"> </v>
      </c>
      <c r="C393" s="339" t="str">
        <f>IF($A$385="pro",'Prijs karton (4)'!O8,IF($A$385="kappa",'Prijs karton (4)'!U8," "))</f>
        <v xml:space="preserve"> </v>
      </c>
      <c r="D393" s="120" t="str">
        <f>IF($A$385="pro",'Prijs karton (4)'!P8,IF($A$385="kappa",'Prijs karton (4)'!V8," "))</f>
        <v xml:space="preserve"> </v>
      </c>
      <c r="E393" s="337" t="str">
        <f>IF($A$385="pro",'Prijs karton (4)'!Q8,IF($A$385="kappa",'Prijs karton (4)'!W8," "))</f>
        <v xml:space="preserve"> </v>
      </c>
      <c r="F393" s="556"/>
      <c r="G393" s="407"/>
    </row>
    <row r="394" spans="1:15" x14ac:dyDescent="0.25">
      <c r="A394" s="41"/>
      <c r="B394" s="339" t="str">
        <f>IF($A$385="pro",'Prijs karton (4)'!N9,IF($A$385="kappa",'Prijs karton (4)'!T9," "))</f>
        <v xml:space="preserve"> </v>
      </c>
      <c r="C394" s="339" t="str">
        <f>IF($A$385="pro",'Prijs karton (4)'!O9,IF($A$385="kappa",'Prijs karton (4)'!U9," "))</f>
        <v xml:space="preserve"> </v>
      </c>
      <c r="D394" s="120" t="str">
        <f>IF($A$385="pro",'Prijs karton (4)'!P9,IF($A$385="kappa",'Prijs karton (4)'!V9," "))</f>
        <v xml:space="preserve"> </v>
      </c>
      <c r="E394" s="337" t="str">
        <f>IF($A$385="pro",'Prijs karton (4)'!Q9,IF($A$385="kappa",'Prijs karton (4)'!W9," "))</f>
        <v xml:space="preserve"> </v>
      </c>
      <c r="F394" s="41"/>
      <c r="G394" s="77"/>
    </row>
    <row r="395" spans="1:15" x14ac:dyDescent="0.25">
      <c r="A395" s="41"/>
      <c r="B395" s="339" t="str">
        <f>IF($A$385="pro",'Prijs karton (4)'!N10,IF($A$385="kappa",'Prijs karton (4)'!T10," "))</f>
        <v xml:space="preserve"> </v>
      </c>
      <c r="C395" s="339" t="str">
        <f>IF($A$385="pro",'Prijs karton (4)'!O10,IF($A$385="kappa",'Prijs karton (4)'!U10," "))</f>
        <v xml:space="preserve"> </v>
      </c>
      <c r="D395" s="120" t="str">
        <f>IF($A$385="pro",'Prijs karton (4)'!P10,IF($A$385="kappa",'Prijs karton (4)'!V10," "))</f>
        <v xml:space="preserve"> </v>
      </c>
      <c r="E395" s="337" t="str">
        <f>IF($A$385="pro",'Prijs karton (4)'!Q10,IF($A$385="kappa",'Prijs karton (4)'!W10," "))</f>
        <v xml:space="preserve"> </v>
      </c>
      <c r="F395" s="41"/>
      <c r="G395" s="77"/>
    </row>
    <row r="396" spans="1:15" x14ac:dyDescent="0.25">
      <c r="A396" s="41"/>
      <c r="B396" s="339" t="str">
        <f>IF($A$385="pro",'Prijs karton (4)'!N11,IF($A$385="kappa",'Prijs karton (4)'!T11," "))</f>
        <v xml:space="preserve"> </v>
      </c>
      <c r="C396" s="339" t="str">
        <f>IF($A$385="pro",'Prijs karton (4)'!O11,IF($A$385="kappa",'Prijs karton (4)'!U11," "))</f>
        <v xml:space="preserve"> </v>
      </c>
      <c r="D396" s="120" t="str">
        <f>IF($A$385="pro",'Prijs karton (4)'!P11,IF($A$385="kappa",'Prijs karton (4)'!V11," "))</f>
        <v xml:space="preserve"> </v>
      </c>
      <c r="E396" s="337" t="str">
        <f>IF($A$385="pro",'Prijs karton (4)'!Q11,IF($A$385="kappa",'Prijs karton (4)'!W11," "))</f>
        <v xml:space="preserve"> </v>
      </c>
      <c r="F396" s="41"/>
    </row>
    <row r="397" spans="1:15" x14ac:dyDescent="0.25">
      <c r="A397" s="41"/>
      <c r="B397" s="339" t="str">
        <f>IF($A$385="pro",'Prijs karton (4)'!N12,IF($A$385="kappa",'Prijs karton (4)'!T12," "))</f>
        <v xml:space="preserve"> </v>
      </c>
      <c r="C397" s="339" t="str">
        <f>IF($A$385="pro",'Prijs karton (4)'!O12,IF($A$385="kappa",'Prijs karton (4)'!U12," "))</f>
        <v xml:space="preserve"> </v>
      </c>
      <c r="D397" s="120" t="str">
        <f>IF($A$385="pro",'Prijs karton (4)'!P12,IF($A$385="kappa",'Prijs karton (4)'!V12," "))</f>
        <v xml:space="preserve"> </v>
      </c>
      <c r="E397" s="337" t="str">
        <f>IF($A$385="pro",'Prijs karton (4)'!Q12,IF($A$385="kappa",'Prijs karton (4)'!W12," "))</f>
        <v xml:space="preserve"> </v>
      </c>
      <c r="F397" s="41"/>
    </row>
    <row r="398" spans="1:15" x14ac:dyDescent="0.25">
      <c r="A398" s="52"/>
      <c r="B398" s="341" t="str">
        <f>IF($A$385="pro",'Prijs karton (4)'!N13,IF($A$385="kappa",'Prijs karton (4)'!T13," "))</f>
        <v xml:space="preserve"> </v>
      </c>
      <c r="C398" s="341" t="str">
        <f>IF($A$385="pro",'Prijs karton (4)'!O13,IF($A$385="kappa",'Prijs karton (4)'!U13," "))</f>
        <v xml:space="preserve"> </v>
      </c>
      <c r="D398" s="202" t="str">
        <f>IF($A$385="pro",'Prijs karton (4)'!P13,IF($A$385="kappa",'Prijs karton (4)'!V13," "))</f>
        <v xml:space="preserve"> </v>
      </c>
      <c r="E398" s="581" t="str">
        <f>IF($A$385="pro",'Prijs karton (4)'!Q13,IF($A$385="kappa",'Prijs karton (4)'!W13," "))</f>
        <v xml:space="preserve"> </v>
      </c>
      <c r="F398" s="52"/>
    </row>
    <row r="399" spans="1:15" x14ac:dyDescent="0.25">
      <c r="B399" s="77"/>
      <c r="C399" s="77"/>
      <c r="D399" s="77"/>
      <c r="E399" s="77"/>
    </row>
    <row r="400" spans="1:15" x14ac:dyDescent="0.25">
      <c r="B400" s="1" t="s">
        <v>1049</v>
      </c>
      <c r="C400" s="77"/>
    </row>
    <row r="401" spans="1:13" x14ac:dyDescent="0.25">
      <c r="B401" s="489" t="s">
        <v>599</v>
      </c>
      <c r="C401" s="103" t="s">
        <v>600</v>
      </c>
      <c r="D401" s="103" t="s">
        <v>1026</v>
      </c>
      <c r="E401" s="103" t="s">
        <v>547</v>
      </c>
      <c r="F401" s="1077" t="s">
        <v>1047</v>
      </c>
      <c r="G401" s="1021" t="s">
        <v>1048</v>
      </c>
    </row>
    <row r="402" spans="1:13" x14ac:dyDescent="0.25">
      <c r="B402" s="202" t="str">
        <f>IF(SUM(C362:I362)&gt;0,HLOOKUP(1,C362:I375,2,FALSE),0)</f>
        <v>Emba 170</v>
      </c>
      <c r="C402" s="424" t="str">
        <f>IF(SUM(C362:I362)&gt;0,HLOOKUP(1,C362:I375,14,FALSE),0)</f>
        <v>Emba 170</v>
      </c>
      <c r="D402" s="951">
        <f>IF(AND(C402="Emba 295",B402&lt;&gt;"Emba 295"),1,0)</f>
        <v>0</v>
      </c>
      <c r="E402" s="951">
        <f>IF(D402=1,C445*D445,1)</f>
        <v>1</v>
      </c>
      <c r="F402" s="432">
        <f>IF(AND(B402="Maxi",C402="Maxi",C111&gt;0),1,0)</f>
        <v>0</v>
      </c>
      <c r="G402" s="34">
        <v>1</v>
      </c>
    </row>
    <row r="405" spans="1:13" x14ac:dyDescent="0.25">
      <c r="A405" s="404"/>
      <c r="B405" s="437" t="s">
        <v>78</v>
      </c>
      <c r="C405" s="287">
        <v>3</v>
      </c>
      <c r="D405" s="489">
        <v>4</v>
      </c>
      <c r="E405" s="473">
        <v>5</v>
      </c>
      <c r="F405" s="473">
        <v>6</v>
      </c>
      <c r="G405" s="473">
        <v>7</v>
      </c>
      <c r="H405" s="473">
        <v>8</v>
      </c>
      <c r="I405" s="38">
        <v>9</v>
      </c>
      <c r="J405" s="473">
        <v>10</v>
      </c>
      <c r="K405" s="38">
        <v>11</v>
      </c>
      <c r="L405" s="442">
        <v>12</v>
      </c>
      <c r="M405" s="435">
        <v>13</v>
      </c>
    </row>
    <row r="406" spans="1:13" x14ac:dyDescent="0.25">
      <c r="A406" s="41"/>
      <c r="B406" s="36"/>
      <c r="C406" s="208" t="s">
        <v>606</v>
      </c>
      <c r="D406" s="473" t="s">
        <v>607</v>
      </c>
      <c r="E406" s="473" t="s">
        <v>608</v>
      </c>
      <c r="F406" s="38" t="s">
        <v>197</v>
      </c>
      <c r="G406" s="287" t="s">
        <v>611</v>
      </c>
      <c r="H406" s="489" t="s">
        <v>610</v>
      </c>
      <c r="I406" s="103" t="s">
        <v>609</v>
      </c>
      <c r="J406" s="120" t="s">
        <v>612</v>
      </c>
      <c r="K406" s="103" t="s">
        <v>613</v>
      </c>
      <c r="L406" s="489" t="s">
        <v>627</v>
      </c>
      <c r="M406" s="103" t="s">
        <v>628</v>
      </c>
    </row>
    <row r="407" spans="1:13" x14ac:dyDescent="0.25">
      <c r="A407" s="52"/>
      <c r="B407" s="37"/>
      <c r="C407" s="289"/>
      <c r="D407" s="517"/>
      <c r="E407" s="472"/>
      <c r="F407" s="43"/>
      <c r="G407" s="472"/>
      <c r="H407" s="472"/>
      <c r="I407" s="44"/>
      <c r="J407" s="472"/>
      <c r="K407" s="44"/>
      <c r="L407" s="52"/>
      <c r="M407" s="434"/>
    </row>
    <row r="408" spans="1:13" x14ac:dyDescent="0.25">
      <c r="A408" s="442">
        <f>IF($C$402=B408,1,0)</f>
        <v>0</v>
      </c>
      <c r="B408" s="404" t="s">
        <v>66</v>
      </c>
      <c r="C408" s="442">
        <f>IF(F189=0,A191,E191)</f>
        <v>2</v>
      </c>
      <c r="D408" s="442">
        <f>IF(F189=0,A193,E193)</f>
        <v>3</v>
      </c>
      <c r="E408" s="449">
        <f>IF(F189=0,B191,F191)</f>
        <v>1</v>
      </c>
      <c r="F408" s="442">
        <f>IF(F189=0,C191,G191)</f>
        <v>3</v>
      </c>
      <c r="G408" s="449">
        <f>C179</f>
        <v>0</v>
      </c>
      <c r="H408" s="442">
        <f>C180</f>
        <v>0</v>
      </c>
      <c r="I408" s="449">
        <f>IF(F408&gt;2,D180,0)</f>
        <v>40</v>
      </c>
      <c r="J408" s="486">
        <v>0</v>
      </c>
      <c r="K408" s="567">
        <v>0</v>
      </c>
      <c r="L408" s="442">
        <f>IF(B402=B408,C108,IF(AND(C402=B408,B402=B410),B228,0))</f>
        <v>0</v>
      </c>
      <c r="M408" s="442">
        <f>IF(B402=B408,D108,IF(AND(C402=B408,B402=B410),C228,0))</f>
        <v>0</v>
      </c>
    </row>
    <row r="409" spans="1:13" x14ac:dyDescent="0.25">
      <c r="A409" s="12">
        <f t="shared" ref="A409:A414" si="68">IF($C$402=B409,1,0)</f>
        <v>0</v>
      </c>
      <c r="B409" s="41" t="s">
        <v>65</v>
      </c>
      <c r="C409" s="12">
        <f>B208</f>
        <v>2</v>
      </c>
      <c r="D409" s="12">
        <f>B209</f>
        <v>2</v>
      </c>
      <c r="E409" s="22">
        <v>1</v>
      </c>
      <c r="F409" s="28">
        <v>1</v>
      </c>
      <c r="G409" s="22">
        <v>0</v>
      </c>
      <c r="H409" s="28">
        <v>0</v>
      </c>
      <c r="I409" s="22">
        <v>0</v>
      </c>
      <c r="J409" s="28">
        <v>0</v>
      </c>
      <c r="K409" s="30">
        <v>0</v>
      </c>
      <c r="L409" s="12">
        <f>IF(B409=B402,C108,0)</f>
        <v>0</v>
      </c>
      <c r="M409" s="12">
        <f>IF(B409=B402,D108,0)</f>
        <v>0</v>
      </c>
    </row>
    <row r="410" spans="1:13" x14ac:dyDescent="0.25">
      <c r="A410" s="12">
        <f t="shared" si="68"/>
        <v>1</v>
      </c>
      <c r="B410" s="41" t="s">
        <v>63</v>
      </c>
      <c r="C410" s="28">
        <v>1</v>
      </c>
      <c r="D410" s="28">
        <v>1</v>
      </c>
      <c r="E410" s="22">
        <v>1</v>
      </c>
      <c r="F410" s="28">
        <v>1</v>
      </c>
      <c r="G410" s="22">
        <v>0</v>
      </c>
      <c r="H410" s="28">
        <v>0</v>
      </c>
      <c r="I410" s="22">
        <v>0</v>
      </c>
      <c r="J410" s="28">
        <v>0</v>
      </c>
      <c r="K410" s="30">
        <v>0</v>
      </c>
      <c r="L410" s="12">
        <f>IF(C402=B410,B228,0)</f>
        <v>361</v>
      </c>
      <c r="M410" s="12">
        <f>IF(C402=B410,C228,0)</f>
        <v>1150</v>
      </c>
    </row>
    <row r="411" spans="1:13" x14ac:dyDescent="0.25">
      <c r="A411" s="12">
        <f t="shared" si="68"/>
        <v>0</v>
      </c>
      <c r="B411" s="41" t="s">
        <v>64</v>
      </c>
      <c r="C411" s="556">
        <f>E241</f>
        <v>0</v>
      </c>
      <c r="D411" s="12">
        <f>D241</f>
        <v>0</v>
      </c>
      <c r="E411" s="407">
        <f>G241</f>
        <v>0</v>
      </c>
      <c r="F411" s="12">
        <f>F241</f>
        <v>0</v>
      </c>
      <c r="G411" s="22">
        <v>0</v>
      </c>
      <c r="H411" s="28">
        <v>0</v>
      </c>
      <c r="I411" s="22">
        <v>0</v>
      </c>
      <c r="J411" s="28">
        <v>0</v>
      </c>
      <c r="K411" s="30">
        <v>0</v>
      </c>
      <c r="L411" s="12">
        <f>IF(B411=B402,B239,B241)</f>
        <v>0</v>
      </c>
      <c r="M411" s="12">
        <f>IF(B411=B402,C239,C241)</f>
        <v>0</v>
      </c>
    </row>
    <row r="412" spans="1:13" x14ac:dyDescent="0.25">
      <c r="A412" s="12">
        <f t="shared" si="68"/>
        <v>0</v>
      </c>
      <c r="B412" s="41" t="s">
        <v>554</v>
      </c>
      <c r="C412" s="12">
        <f>IF(SUM(A274:A275)&gt;0,VLOOKUP(1,A274:C275,2,FALSE),0)</f>
        <v>1</v>
      </c>
      <c r="D412" s="12">
        <f>IF(SUM(A274:A275)&gt;0,VLOOKUP(1,A274:C275,2,FALSE),0)</f>
        <v>1</v>
      </c>
      <c r="E412" s="2">
        <f>IF(SUM(A274:A275)&gt;0,VLOOKUP(1,A274:C275,3,FALSE),0)</f>
        <v>1</v>
      </c>
      <c r="F412" s="12">
        <f>IF(SUM(A274:A275)&gt;0,VLOOKUP(1,A274:C275,3,FALSE),0)</f>
        <v>1</v>
      </c>
      <c r="G412" s="22">
        <v>0</v>
      </c>
      <c r="H412" s="28">
        <v>0</v>
      </c>
      <c r="I412" s="22">
        <v>0</v>
      </c>
      <c r="J412" s="28">
        <v>20</v>
      </c>
      <c r="K412" s="30">
        <v>0</v>
      </c>
      <c r="L412" s="556">
        <f>IF(B412=B402,D278,0)</f>
        <v>0</v>
      </c>
      <c r="M412" s="556">
        <f>IF(B412=B402,E278,0)</f>
        <v>0</v>
      </c>
    </row>
    <row r="413" spans="1:13" x14ac:dyDescent="0.25">
      <c r="A413" s="12">
        <f t="shared" si="68"/>
        <v>0</v>
      </c>
      <c r="B413" s="41" t="s">
        <v>54</v>
      </c>
      <c r="C413" s="12">
        <f>A331</f>
        <v>0</v>
      </c>
      <c r="D413" s="12">
        <f>A333</f>
        <v>0</v>
      </c>
      <c r="E413" s="2">
        <f>D331</f>
        <v>0</v>
      </c>
      <c r="F413" s="12">
        <f>D333</f>
        <v>0</v>
      </c>
      <c r="G413" s="22">
        <v>0</v>
      </c>
      <c r="H413" s="28">
        <v>0</v>
      </c>
      <c r="I413" s="22">
        <v>0</v>
      </c>
      <c r="J413" s="28">
        <v>0</v>
      </c>
      <c r="K413" s="30">
        <v>80</v>
      </c>
      <c r="L413" s="12">
        <f>IF(B413=B402,C108,0)</f>
        <v>0</v>
      </c>
      <c r="M413" s="12">
        <f>IF(B413=B402,D108,0)</f>
        <v>0</v>
      </c>
    </row>
    <row r="414" spans="1:13" x14ac:dyDescent="0.25">
      <c r="A414" s="13">
        <f t="shared" si="68"/>
        <v>0</v>
      </c>
      <c r="B414" s="52" t="s">
        <v>67</v>
      </c>
      <c r="C414" s="34">
        <v>1</v>
      </c>
      <c r="D414" s="34">
        <v>1</v>
      </c>
      <c r="E414" s="344">
        <v>1</v>
      </c>
      <c r="F414" s="34">
        <v>1</v>
      </c>
      <c r="G414" s="344">
        <v>0</v>
      </c>
      <c r="H414" s="34">
        <v>0</v>
      </c>
      <c r="I414" s="344">
        <v>0</v>
      </c>
      <c r="J414" s="34">
        <v>0</v>
      </c>
      <c r="K414" s="490">
        <v>0</v>
      </c>
      <c r="L414" s="13">
        <f>IF(B414=B402,C108,0)</f>
        <v>0</v>
      </c>
      <c r="M414" s="13">
        <f>IF(B414=B402,D108,0)</f>
        <v>0</v>
      </c>
    </row>
    <row r="415" spans="1:13" x14ac:dyDescent="0.25">
      <c r="B415"/>
    </row>
    <row r="416" spans="1:13" x14ac:dyDescent="0.25">
      <c r="B416"/>
    </row>
    <row r="417" spans="2:37" x14ac:dyDescent="0.25">
      <c r="B417" s="569" t="s">
        <v>18</v>
      </c>
      <c r="C417" s="442">
        <f>IF(SUM($A$408:$A$414)&gt;0,VLOOKUP(1,$A$408:$M$414,L405,FALSE),0)</f>
        <v>361</v>
      </c>
    </row>
    <row r="418" spans="2:37" x14ac:dyDescent="0.25">
      <c r="B418" s="570" t="s">
        <v>9</v>
      </c>
      <c r="C418" s="12">
        <f>IF(SUM($A$408:$A$414)&gt;0,VLOOKUP(1,$A$408:$M$414,M405,FALSE),0)</f>
        <v>1150</v>
      </c>
    </row>
    <row r="419" spans="2:37" x14ac:dyDescent="0.25">
      <c r="B419" s="569" t="s">
        <v>606</v>
      </c>
      <c r="C419" s="442">
        <f>IF(SUM($A$408:$A$414)&gt;0,VLOOKUP(1,$A$408:$M$414,C405,FALSE),0)</f>
        <v>1</v>
      </c>
    </row>
    <row r="420" spans="2:37" x14ac:dyDescent="0.25">
      <c r="B420" s="571" t="s">
        <v>607</v>
      </c>
      <c r="C420" s="12">
        <f>IF(F402=1,G402,IF(SUM($A$408:$A$414)&gt;0,VLOOKUP(1,$A$408:$M$414,D405,FALSE),0))</f>
        <v>1</v>
      </c>
    </row>
    <row r="421" spans="2:37" x14ac:dyDescent="0.25">
      <c r="B421" s="569" t="s">
        <v>608</v>
      </c>
      <c r="C421" s="442">
        <f>IF(SUM($A$408:$A$414)&gt;0,VLOOKUP(1,$A$408:$M$414,E405,FALSE),0)</f>
        <v>1</v>
      </c>
    </row>
    <row r="422" spans="2:37" x14ac:dyDescent="0.25">
      <c r="B422" s="570" t="s">
        <v>629</v>
      </c>
      <c r="C422" s="13">
        <f>IF(SUM($A$408:$A$414)&gt;0,VLOOKUP(1,$A$408:$M$414,F405,FALSE),0)</f>
        <v>1</v>
      </c>
    </row>
    <row r="423" spans="2:37" x14ac:dyDescent="0.25">
      <c r="B423" s="410" t="s">
        <v>611</v>
      </c>
      <c r="C423" s="442">
        <f>IF(SUM($A$408:$A$414)&gt;0,VLOOKUP(1,$A$408:$M$414,G405,FALSE),0)</f>
        <v>0</v>
      </c>
    </row>
    <row r="424" spans="2:37" x14ac:dyDescent="0.25">
      <c r="B424" s="572" t="s">
        <v>610</v>
      </c>
      <c r="C424" s="12">
        <f>IF(SUM($A$408:$A$414)&gt;0,VLOOKUP(1,$A$408:$M$414,H405,FALSE),0)</f>
        <v>0</v>
      </c>
    </row>
    <row r="425" spans="2:37" x14ac:dyDescent="0.25">
      <c r="B425" s="418" t="s">
        <v>609</v>
      </c>
      <c r="C425" s="13">
        <f>IF(SUM($A$408:$A$414)&gt;0,VLOOKUP(1,$A$408:$M$414,I405,FALSE),0)</f>
        <v>0</v>
      </c>
    </row>
    <row r="426" spans="2:37" x14ac:dyDescent="0.25">
      <c r="B426" s="568" t="s">
        <v>612</v>
      </c>
      <c r="C426" s="13">
        <f>IF(SUM($A$408:$A$414)&gt;0,VLOOKUP(1,$A$408:$M$414,J405,FALSE),0)</f>
        <v>0</v>
      </c>
    </row>
    <row r="427" spans="2:37" x14ac:dyDescent="0.25">
      <c r="B427" s="153" t="str">
        <f>K406</f>
        <v>Eindafval roda</v>
      </c>
      <c r="C427" s="13">
        <f>IF(SUM($A$408:$A$414)&gt;0,VLOOKUP(1,$A$408:$M$414,K405,FALSE),0)</f>
        <v>0</v>
      </c>
    </row>
    <row r="428" spans="2:37" x14ac:dyDescent="0.25">
      <c r="B428" s="143"/>
      <c r="C428" s="2"/>
    </row>
    <row r="429" spans="2:37" x14ac:dyDescent="0.25">
      <c r="B429" s="143"/>
      <c r="C429" s="2"/>
    </row>
    <row r="430" spans="2:37" x14ac:dyDescent="0.25">
      <c r="B430" s="625" t="s">
        <v>640</v>
      </c>
      <c r="C430" s="2"/>
    </row>
    <row r="431" spans="2:37" x14ac:dyDescent="0.25">
      <c r="B431" s="616" t="s">
        <v>110</v>
      </c>
      <c r="C431" s="617">
        <f>J376</f>
        <v>0.04</v>
      </c>
    </row>
    <row r="432" spans="2:37" ht="15.75" thickBot="1" x14ac:dyDescent="0.3">
      <c r="B432" s="153" t="s">
        <v>149</v>
      </c>
      <c r="C432" s="593">
        <f>J377</f>
        <v>0.04</v>
      </c>
      <c r="AI432" s="619">
        <f>C437-J437</f>
        <v>0</v>
      </c>
      <c r="AJ432" s="619">
        <f>J437-X437</f>
        <v>0</v>
      </c>
      <c r="AK432" s="619">
        <f>X437-AH437</f>
        <v>0</v>
      </c>
    </row>
    <row r="433" spans="2:37" x14ac:dyDescent="0.25">
      <c r="B433" s="616" t="s">
        <v>656</v>
      </c>
      <c r="C433" s="617">
        <f>C431-C432</f>
        <v>0</v>
      </c>
      <c r="J433" s="614">
        <v>0.15</v>
      </c>
      <c r="X433" s="614">
        <v>0.35</v>
      </c>
      <c r="AH433" s="618">
        <f>1-J433-X433</f>
        <v>0.5</v>
      </c>
      <c r="AI433" s="514">
        <v>7</v>
      </c>
      <c r="AJ433" s="484">
        <v>14</v>
      </c>
      <c r="AK433" s="70">
        <v>11</v>
      </c>
    </row>
    <row r="434" spans="2:37" x14ac:dyDescent="0.25">
      <c r="B434" s="472"/>
      <c r="C434" s="473">
        <f t="shared" ref="C434:AH434" si="69">IF(AND($J$445&gt;=C435,$J$445&lt;C436),1," ")</f>
        <v>1</v>
      </c>
      <c r="D434" s="473" t="str">
        <f t="shared" si="69"/>
        <v xml:space="preserve"> </v>
      </c>
      <c r="E434" s="473" t="str">
        <f t="shared" si="69"/>
        <v xml:space="preserve"> </v>
      </c>
      <c r="F434" s="473" t="str">
        <f t="shared" si="69"/>
        <v xml:space="preserve"> </v>
      </c>
      <c r="G434" s="473" t="str">
        <f t="shared" si="69"/>
        <v xml:space="preserve"> </v>
      </c>
      <c r="H434" s="473" t="str">
        <f t="shared" si="69"/>
        <v xml:space="preserve"> </v>
      </c>
      <c r="I434" s="208" t="str">
        <f t="shared" si="69"/>
        <v xml:space="preserve"> </v>
      </c>
      <c r="J434" s="499" t="str">
        <f t="shared" si="69"/>
        <v xml:space="preserve"> </v>
      </c>
      <c r="K434" s="38" t="str">
        <f t="shared" si="69"/>
        <v xml:space="preserve"> </v>
      </c>
      <c r="L434" s="473" t="str">
        <f t="shared" si="69"/>
        <v xml:space="preserve"> </v>
      </c>
      <c r="M434" s="473" t="str">
        <f t="shared" si="69"/>
        <v xml:space="preserve"> </v>
      </c>
      <c r="N434" s="473" t="str">
        <f t="shared" si="69"/>
        <v xml:space="preserve"> </v>
      </c>
      <c r="O434" s="473" t="str">
        <f t="shared" si="69"/>
        <v xml:space="preserve"> </v>
      </c>
      <c r="P434" s="473" t="str">
        <f t="shared" si="69"/>
        <v xml:space="preserve"> </v>
      </c>
      <c r="Q434" s="473" t="str">
        <f t="shared" si="69"/>
        <v xml:space="preserve"> </v>
      </c>
      <c r="R434" s="473" t="str">
        <f t="shared" si="69"/>
        <v xml:space="preserve"> </v>
      </c>
      <c r="S434" s="473" t="str">
        <f t="shared" si="69"/>
        <v xml:space="preserve"> </v>
      </c>
      <c r="T434" s="473" t="str">
        <f t="shared" si="69"/>
        <v xml:space="preserve"> </v>
      </c>
      <c r="U434" s="473" t="str">
        <f t="shared" si="69"/>
        <v xml:space="preserve"> </v>
      </c>
      <c r="V434" s="473" t="str">
        <f t="shared" si="69"/>
        <v xml:space="preserve"> </v>
      </c>
      <c r="W434" s="208" t="str">
        <f t="shared" si="69"/>
        <v xml:space="preserve"> </v>
      </c>
      <c r="X434" s="499" t="str">
        <f t="shared" si="69"/>
        <v xml:space="preserve"> </v>
      </c>
      <c r="Y434" s="38" t="str">
        <f t="shared" si="69"/>
        <v xml:space="preserve"> </v>
      </c>
      <c r="Z434" s="473" t="str">
        <f t="shared" si="69"/>
        <v xml:space="preserve"> </v>
      </c>
      <c r="AA434" s="473" t="str">
        <f t="shared" si="69"/>
        <v xml:space="preserve"> </v>
      </c>
      <c r="AB434" s="473" t="str">
        <f t="shared" si="69"/>
        <v xml:space="preserve"> </v>
      </c>
      <c r="AC434" s="473" t="str">
        <f t="shared" si="69"/>
        <v xml:space="preserve"> </v>
      </c>
      <c r="AD434" s="473" t="str">
        <f t="shared" si="69"/>
        <v xml:space="preserve"> </v>
      </c>
      <c r="AE434" s="473" t="str">
        <f t="shared" si="69"/>
        <v xml:space="preserve"> </v>
      </c>
      <c r="AF434" s="473" t="str">
        <f t="shared" si="69"/>
        <v xml:space="preserve"> </v>
      </c>
      <c r="AG434" s="208" t="str">
        <f t="shared" si="69"/>
        <v xml:space="preserve"> </v>
      </c>
      <c r="AH434" s="499" t="str">
        <f t="shared" si="69"/>
        <v xml:space="preserve"> </v>
      </c>
      <c r="AI434" s="412" t="s">
        <v>657</v>
      </c>
      <c r="AJ434" s="404" t="s">
        <v>657</v>
      </c>
      <c r="AK434" s="433" t="s">
        <v>657</v>
      </c>
    </row>
    <row r="435" spans="2:37" x14ac:dyDescent="0.25">
      <c r="B435" s="411" t="s">
        <v>652</v>
      </c>
      <c r="C435" s="598">
        <v>0</v>
      </c>
      <c r="D435" s="596">
        <v>800</v>
      </c>
      <c r="E435" s="601">
        <v>1000</v>
      </c>
      <c r="F435" s="597">
        <v>1200</v>
      </c>
      <c r="G435" s="597">
        <v>1400</v>
      </c>
      <c r="H435" s="598">
        <v>1600</v>
      </c>
      <c r="I435" s="599">
        <v>1800</v>
      </c>
      <c r="J435" s="600">
        <v>2000</v>
      </c>
      <c r="K435" s="596">
        <v>2200</v>
      </c>
      <c r="L435" s="598">
        <v>2400</v>
      </c>
      <c r="M435" s="598">
        <v>2600</v>
      </c>
      <c r="N435" s="598">
        <v>2800</v>
      </c>
      <c r="O435" s="598">
        <v>3000</v>
      </c>
      <c r="P435" s="598">
        <v>3200</v>
      </c>
      <c r="Q435" s="598">
        <v>3400</v>
      </c>
      <c r="R435" s="598">
        <v>3600</v>
      </c>
      <c r="S435" s="598">
        <v>3800</v>
      </c>
      <c r="T435" s="597">
        <v>4000</v>
      </c>
      <c r="U435" s="601">
        <v>4200</v>
      </c>
      <c r="V435" s="597">
        <v>4400</v>
      </c>
      <c r="W435" s="601">
        <v>4600</v>
      </c>
      <c r="X435" s="602">
        <v>4800</v>
      </c>
      <c r="Y435" s="603">
        <v>5000</v>
      </c>
      <c r="Z435" s="597">
        <v>6000</v>
      </c>
      <c r="AA435" s="597">
        <v>7000</v>
      </c>
      <c r="AB435" s="597">
        <v>8000</v>
      </c>
      <c r="AC435" s="597">
        <v>9000</v>
      </c>
      <c r="AD435" s="597">
        <v>10000</v>
      </c>
      <c r="AE435" s="597">
        <v>11000</v>
      </c>
      <c r="AF435" s="597">
        <v>12000</v>
      </c>
      <c r="AG435" s="604">
        <v>13000</v>
      </c>
      <c r="AH435" s="602">
        <v>14000</v>
      </c>
      <c r="AI435" t="s">
        <v>658</v>
      </c>
      <c r="AJ435" s="41" t="s">
        <v>658</v>
      </c>
      <c r="AK435" s="7" t="s">
        <v>658</v>
      </c>
    </row>
    <row r="436" spans="2:37" x14ac:dyDescent="0.25">
      <c r="B436" s="581" t="s">
        <v>653</v>
      </c>
      <c r="C436" s="608">
        <v>800</v>
      </c>
      <c r="D436" s="605">
        <v>1000</v>
      </c>
      <c r="E436" s="606">
        <v>1200</v>
      </c>
      <c r="F436" s="607">
        <v>1400</v>
      </c>
      <c r="G436" s="607">
        <v>1600</v>
      </c>
      <c r="H436" s="608">
        <v>1800</v>
      </c>
      <c r="I436" s="609">
        <v>2000</v>
      </c>
      <c r="J436" s="610">
        <v>2200</v>
      </c>
      <c r="K436" s="605">
        <v>2400</v>
      </c>
      <c r="L436" s="608">
        <v>2600</v>
      </c>
      <c r="M436" s="608">
        <v>2800</v>
      </c>
      <c r="N436" s="608">
        <v>3000</v>
      </c>
      <c r="O436" s="608">
        <v>3200</v>
      </c>
      <c r="P436" s="608">
        <v>3400</v>
      </c>
      <c r="Q436" s="608">
        <v>3600</v>
      </c>
      <c r="R436" s="608">
        <v>3800</v>
      </c>
      <c r="S436" s="608">
        <v>4000</v>
      </c>
      <c r="T436" s="607">
        <v>4200</v>
      </c>
      <c r="U436" s="606">
        <v>4400</v>
      </c>
      <c r="V436" s="607">
        <v>4600</v>
      </c>
      <c r="W436" s="606">
        <v>4800</v>
      </c>
      <c r="X436" s="611">
        <v>5000</v>
      </c>
      <c r="Y436" s="612">
        <v>6000</v>
      </c>
      <c r="Z436" s="607">
        <v>7000</v>
      </c>
      <c r="AA436" s="607">
        <v>8000</v>
      </c>
      <c r="AB436" s="607">
        <v>9000</v>
      </c>
      <c r="AC436" s="607">
        <v>10000</v>
      </c>
      <c r="AD436" s="607">
        <v>11000</v>
      </c>
      <c r="AE436" s="607">
        <v>12000</v>
      </c>
      <c r="AF436" s="607">
        <v>13000</v>
      </c>
      <c r="AG436" s="613">
        <v>14000</v>
      </c>
      <c r="AH436" s="611">
        <v>1000000</v>
      </c>
      <c r="AI436" s="320"/>
      <c r="AJ436" s="52"/>
      <c r="AK436" s="434"/>
    </row>
    <row r="437" spans="2:37" ht="15.75" thickBot="1" x14ac:dyDescent="0.3">
      <c r="B437" s="472"/>
      <c r="C437" s="621">
        <f>C431</f>
        <v>0.04</v>
      </c>
      <c r="D437" s="621">
        <f t="shared" ref="D437:I437" si="70">C437-$AI$437</f>
        <v>0.04</v>
      </c>
      <c r="E437" s="621">
        <f t="shared" si="70"/>
        <v>0.04</v>
      </c>
      <c r="F437" s="621">
        <f t="shared" si="70"/>
        <v>0.04</v>
      </c>
      <c r="G437" s="621">
        <f t="shared" si="70"/>
        <v>0.04</v>
      </c>
      <c r="H437" s="621">
        <f t="shared" si="70"/>
        <v>0.04</v>
      </c>
      <c r="I437" s="621">
        <f t="shared" si="70"/>
        <v>0.04</v>
      </c>
      <c r="J437" s="622">
        <f>C437-(J433*C433)</f>
        <v>0.04</v>
      </c>
      <c r="K437" s="621">
        <f t="shared" ref="K437:W437" si="71">J437-$AJ$437</f>
        <v>0.04</v>
      </c>
      <c r="L437" s="621">
        <f t="shared" si="71"/>
        <v>0.04</v>
      </c>
      <c r="M437" s="621">
        <f t="shared" si="71"/>
        <v>0.04</v>
      </c>
      <c r="N437" s="621">
        <f t="shared" si="71"/>
        <v>0.04</v>
      </c>
      <c r="O437" s="621">
        <f t="shared" si="71"/>
        <v>0.04</v>
      </c>
      <c r="P437" s="621">
        <f t="shared" si="71"/>
        <v>0.04</v>
      </c>
      <c r="Q437" s="621">
        <f t="shared" si="71"/>
        <v>0.04</v>
      </c>
      <c r="R437" s="621">
        <f t="shared" si="71"/>
        <v>0.04</v>
      </c>
      <c r="S437" s="621">
        <f t="shared" si="71"/>
        <v>0.04</v>
      </c>
      <c r="T437" s="621">
        <f t="shared" si="71"/>
        <v>0.04</v>
      </c>
      <c r="U437" s="621">
        <f t="shared" si="71"/>
        <v>0.04</v>
      </c>
      <c r="V437" s="621">
        <f t="shared" si="71"/>
        <v>0.04</v>
      </c>
      <c r="W437" s="621">
        <f t="shared" si="71"/>
        <v>0.04</v>
      </c>
      <c r="X437" s="622">
        <f>C437-((J433+X433)*C433)</f>
        <v>0.04</v>
      </c>
      <c r="Y437" s="621">
        <f t="shared" ref="Y437:AG437" si="72">X437-$AK$437</f>
        <v>0.04</v>
      </c>
      <c r="Z437" s="621">
        <f t="shared" si="72"/>
        <v>0.04</v>
      </c>
      <c r="AA437" s="621">
        <f t="shared" si="72"/>
        <v>0.04</v>
      </c>
      <c r="AB437" s="621">
        <f t="shared" si="72"/>
        <v>0.04</v>
      </c>
      <c r="AC437" s="621">
        <f t="shared" si="72"/>
        <v>0.04</v>
      </c>
      <c r="AD437" s="621">
        <f t="shared" si="72"/>
        <v>0.04</v>
      </c>
      <c r="AE437" s="621">
        <f t="shared" si="72"/>
        <v>0.04</v>
      </c>
      <c r="AF437" s="621">
        <f t="shared" si="72"/>
        <v>0.04</v>
      </c>
      <c r="AG437" s="621">
        <f t="shared" si="72"/>
        <v>0.04</v>
      </c>
      <c r="AH437" s="622">
        <f>C437-((J433+X433+AH433)*C433)</f>
        <v>0.04</v>
      </c>
      <c r="AI437" s="43">
        <f>AI432/AI433</f>
        <v>0</v>
      </c>
      <c r="AJ437" s="472">
        <f>AJ432/AJ433</f>
        <v>0</v>
      </c>
      <c r="AK437" s="44">
        <f>AK432/AK433</f>
        <v>0</v>
      </c>
    </row>
    <row r="438" spans="2:37" x14ac:dyDescent="0.25">
      <c r="B438"/>
    </row>
    <row r="439" spans="2:37" x14ac:dyDescent="0.25">
      <c r="B439"/>
    </row>
    <row r="440" spans="2:37" ht="15.75" thickBot="1" x14ac:dyDescent="0.3">
      <c r="B440" s="143" t="s">
        <v>630</v>
      </c>
      <c r="C440" s="473">
        <f>C3</f>
        <v>490</v>
      </c>
    </row>
    <row r="441" spans="2:37" x14ac:dyDescent="0.25">
      <c r="H441" s="501" t="s">
        <v>751</v>
      </c>
      <c r="J441" s="501" t="s">
        <v>694</v>
      </c>
      <c r="K441" s="450"/>
    </row>
    <row r="442" spans="2:37" ht="15.75" thickBot="1" x14ac:dyDescent="0.3">
      <c r="B442"/>
      <c r="H442" s="445">
        <f>IF(G445&gt;0,CEILING(N388/G445,1),0)</f>
        <v>482</v>
      </c>
      <c r="J442" s="963">
        <f>J378+1</f>
        <v>1.03</v>
      </c>
    </row>
    <row r="443" spans="2:37" x14ac:dyDescent="0.25">
      <c r="B443" s="580"/>
      <c r="C443" s="574">
        <f>AR495</f>
        <v>41</v>
      </c>
      <c r="D443" s="575"/>
      <c r="E443" s="576"/>
      <c r="F443" s="582"/>
      <c r="G443" s="584"/>
      <c r="H443" s="688">
        <f>IF(E445&gt;=L387,M388,L388)</f>
        <v>480</v>
      </c>
      <c r="I443" s="587"/>
      <c r="J443" s="680"/>
      <c r="K443" s="594">
        <f>J445/100</f>
        <v>2.0952620500000001</v>
      </c>
      <c r="L443" s="623">
        <f>IF(SUM(C434:AH434)&gt;0,HLOOKUP(1,C434:AH437,4,FALSE),0)</f>
        <v>0.04</v>
      </c>
    </row>
    <row r="444" spans="2:37" x14ac:dyDescent="0.25">
      <c r="B444" s="499" t="s">
        <v>633</v>
      </c>
      <c r="C444" s="520" t="s">
        <v>631</v>
      </c>
      <c r="D444" s="23" t="s">
        <v>632</v>
      </c>
      <c r="E444" s="473" t="s">
        <v>99</v>
      </c>
      <c r="F444" s="23" t="s">
        <v>100</v>
      </c>
      <c r="G444" s="585" t="s">
        <v>636</v>
      </c>
      <c r="H444" s="38" t="s">
        <v>634</v>
      </c>
      <c r="I444" s="213" t="s">
        <v>635</v>
      </c>
      <c r="J444" s="588" t="s">
        <v>637</v>
      </c>
      <c r="K444" s="588" t="s">
        <v>638</v>
      </c>
      <c r="L444" s="499" t="s">
        <v>640</v>
      </c>
    </row>
    <row r="445" spans="2:37" ht="15.75" thickBot="1" x14ac:dyDescent="0.3">
      <c r="B445" s="445">
        <f>MIN(D453:AQ492)</f>
        <v>490</v>
      </c>
      <c r="C445" s="577">
        <f>IF(C443=0,B453,HLOOKUP(C443,D449:AR493,45,FALSE))</f>
        <v>1</v>
      </c>
      <c r="D445" s="578">
        <f>IF(C443=0,D451,HLOOKUP(C443,D449:AR493,3,FALSE))</f>
        <v>1</v>
      </c>
      <c r="E445" s="579">
        <f>IF(C443=0,C453,VLOOKUP(C445,B453:C492,2,FALSE))</f>
        <v>361</v>
      </c>
      <c r="F445" s="578">
        <f>IF(C443=0,D452,HLOOKUP(C443,D449:AR493,4,FALSE))</f>
        <v>1150</v>
      </c>
      <c r="G445" s="586">
        <f>(E445/1000)*(F445/1000)</f>
        <v>0.41514999999999996</v>
      </c>
      <c r="H445" s="583">
        <f>IF(H442&gt;=H443,H442,H443)</f>
        <v>482</v>
      </c>
      <c r="I445" s="578">
        <f>IF(C443=0,H445*C445*D445,0)</f>
        <v>0</v>
      </c>
      <c r="J445" s="589">
        <f>IF(AND(B445&gt;0,B445&gt;=H442),B445*G445*J442, IF(AND(B445&gt;0,B445&lt;H442),H442*G445*J442,H445*G445*J442))</f>
        <v>209.526205</v>
      </c>
      <c r="K445" s="595">
        <f>IF(SUM(C384:G384)&gt;0,K443*(HLOOKUP(1,C384:G388,5,FALSE)+SUM(F389:F398)),0)</f>
        <v>98.896368760000016</v>
      </c>
      <c r="L445" s="624">
        <f>K445*L443</f>
        <v>3.9558547504000008</v>
      </c>
    </row>
    <row r="446" spans="2:37" x14ac:dyDescent="0.25">
      <c r="B446"/>
      <c r="C446" s="2"/>
    </row>
    <row r="447" spans="2:37" x14ac:dyDescent="0.25">
      <c r="B447"/>
      <c r="C447" s="2"/>
    </row>
    <row r="448" spans="2:37" x14ac:dyDescent="0.25">
      <c r="B448" t="s">
        <v>487</v>
      </c>
    </row>
    <row r="449" spans="1:44" x14ac:dyDescent="0.25">
      <c r="A449" s="476"/>
      <c r="B449" s="573"/>
      <c r="C449" s="433"/>
      <c r="D449" s="23">
        <f>IF(D493&gt;0,D450," ")</f>
        <v>41</v>
      </c>
      <c r="E449" s="23" t="str">
        <f t="shared" ref="E449:AR449" si="73">IF(E493&gt;0,E450," ")</f>
        <v xml:space="preserve"> </v>
      </c>
      <c r="F449" s="23" t="str">
        <f t="shared" si="73"/>
        <v xml:space="preserve"> </v>
      </c>
      <c r="G449" s="23" t="str">
        <f t="shared" si="73"/>
        <v xml:space="preserve"> </v>
      </c>
      <c r="H449" s="23" t="str">
        <f t="shared" si="73"/>
        <v xml:space="preserve"> </v>
      </c>
      <c r="I449" s="23" t="str">
        <f t="shared" si="73"/>
        <v xml:space="preserve"> </v>
      </c>
      <c r="J449" s="23" t="str">
        <f t="shared" si="73"/>
        <v xml:space="preserve"> </v>
      </c>
      <c r="K449" s="23" t="str">
        <f t="shared" si="73"/>
        <v xml:space="preserve"> </v>
      </c>
      <c r="L449" s="23" t="str">
        <f t="shared" si="73"/>
        <v xml:space="preserve"> </v>
      </c>
      <c r="M449" s="23" t="str">
        <f t="shared" si="73"/>
        <v xml:space="preserve"> </v>
      </c>
      <c r="N449" s="23" t="str">
        <f t="shared" si="73"/>
        <v xml:space="preserve"> </v>
      </c>
      <c r="O449" s="23" t="str">
        <f t="shared" si="73"/>
        <v xml:space="preserve"> </v>
      </c>
      <c r="P449" s="23" t="str">
        <f t="shared" si="73"/>
        <v xml:space="preserve"> </v>
      </c>
      <c r="Q449" s="23" t="str">
        <f t="shared" si="73"/>
        <v xml:space="preserve"> </v>
      </c>
      <c r="R449" s="23" t="str">
        <f t="shared" si="73"/>
        <v xml:space="preserve"> </v>
      </c>
      <c r="S449" s="23" t="str">
        <f t="shared" si="73"/>
        <v xml:space="preserve"> </v>
      </c>
      <c r="T449" s="23" t="str">
        <f t="shared" si="73"/>
        <v xml:space="preserve"> </v>
      </c>
      <c r="U449" s="23" t="str">
        <f t="shared" si="73"/>
        <v xml:space="preserve"> </v>
      </c>
      <c r="V449" s="23" t="str">
        <f t="shared" si="73"/>
        <v xml:space="preserve"> </v>
      </c>
      <c r="W449" s="23" t="str">
        <f t="shared" si="73"/>
        <v xml:space="preserve"> </v>
      </c>
      <c r="X449" s="23" t="str">
        <f t="shared" si="73"/>
        <v xml:space="preserve"> </v>
      </c>
      <c r="Y449" s="23" t="str">
        <f t="shared" si="73"/>
        <v xml:space="preserve"> </v>
      </c>
      <c r="Z449" s="23" t="str">
        <f t="shared" si="73"/>
        <v xml:space="preserve"> </v>
      </c>
      <c r="AA449" s="23" t="str">
        <f t="shared" si="73"/>
        <v xml:space="preserve"> </v>
      </c>
      <c r="AB449" s="23" t="str">
        <f t="shared" si="73"/>
        <v xml:space="preserve"> </v>
      </c>
      <c r="AC449" s="23" t="str">
        <f t="shared" si="73"/>
        <v xml:space="preserve"> </v>
      </c>
      <c r="AD449" s="23" t="str">
        <f t="shared" si="73"/>
        <v xml:space="preserve"> </v>
      </c>
      <c r="AE449" s="23" t="str">
        <f t="shared" si="73"/>
        <v xml:space="preserve"> </v>
      </c>
      <c r="AF449" s="23" t="str">
        <f t="shared" si="73"/>
        <v xml:space="preserve"> </v>
      </c>
      <c r="AG449" s="23" t="str">
        <f t="shared" si="73"/>
        <v xml:space="preserve"> </v>
      </c>
      <c r="AH449" s="23" t="str">
        <f t="shared" si="73"/>
        <v xml:space="preserve"> </v>
      </c>
      <c r="AI449" s="23" t="str">
        <f t="shared" si="73"/>
        <v xml:space="preserve"> </v>
      </c>
      <c r="AJ449" s="23" t="str">
        <f t="shared" si="73"/>
        <v xml:space="preserve"> </v>
      </c>
      <c r="AK449" s="23" t="str">
        <f t="shared" si="73"/>
        <v xml:space="preserve"> </v>
      </c>
      <c r="AL449" s="23" t="str">
        <f t="shared" si="73"/>
        <v xml:space="preserve"> </v>
      </c>
      <c r="AM449" s="23" t="str">
        <f t="shared" si="73"/>
        <v xml:space="preserve"> </v>
      </c>
      <c r="AN449" s="23" t="str">
        <f t="shared" si="73"/>
        <v xml:space="preserve"> </v>
      </c>
      <c r="AO449" s="23" t="str">
        <f t="shared" si="73"/>
        <v xml:space="preserve"> </v>
      </c>
      <c r="AP449" s="23" t="str">
        <f t="shared" si="73"/>
        <v xml:space="preserve"> </v>
      </c>
      <c r="AQ449" s="23" t="str">
        <f t="shared" si="73"/>
        <v xml:space="preserve"> </v>
      </c>
      <c r="AR449" s="23" t="str">
        <f t="shared" si="73"/>
        <v xml:space="preserve"> </v>
      </c>
    </row>
    <row r="450" spans="1:44" x14ac:dyDescent="0.25">
      <c r="A450" s="6"/>
      <c r="B450"/>
      <c r="C450" s="7"/>
      <c r="D450" s="23">
        <v>41</v>
      </c>
      <c r="E450" s="23">
        <v>40</v>
      </c>
      <c r="F450" s="23">
        <v>39</v>
      </c>
      <c r="G450" s="23">
        <v>38</v>
      </c>
      <c r="H450" s="23">
        <v>37</v>
      </c>
      <c r="I450" s="23">
        <v>36</v>
      </c>
      <c r="J450" s="23">
        <v>35</v>
      </c>
      <c r="K450" s="23">
        <v>34</v>
      </c>
      <c r="L450" s="23">
        <v>33</v>
      </c>
      <c r="M450" s="23">
        <v>32</v>
      </c>
      <c r="N450" s="23">
        <v>31</v>
      </c>
      <c r="O450" s="23">
        <v>30</v>
      </c>
      <c r="P450" s="23">
        <v>29</v>
      </c>
      <c r="Q450" s="23">
        <v>28</v>
      </c>
      <c r="R450" s="23">
        <v>27</v>
      </c>
      <c r="S450" s="23">
        <v>26</v>
      </c>
      <c r="T450" s="23">
        <v>25</v>
      </c>
      <c r="U450" s="23">
        <v>24</v>
      </c>
      <c r="V450" s="23">
        <v>23</v>
      </c>
      <c r="W450" s="23">
        <v>22</v>
      </c>
      <c r="X450" s="23">
        <v>21</v>
      </c>
      <c r="Y450" s="23">
        <v>20</v>
      </c>
      <c r="Z450" s="23">
        <v>19</v>
      </c>
      <c r="AA450" s="23">
        <v>18</v>
      </c>
      <c r="AB450" s="23">
        <v>17</v>
      </c>
      <c r="AC450" s="23">
        <v>16</v>
      </c>
      <c r="AD450" s="23">
        <v>15</v>
      </c>
      <c r="AE450" s="23">
        <v>14</v>
      </c>
      <c r="AF450" s="23">
        <v>13</v>
      </c>
      <c r="AG450" s="23">
        <v>12</v>
      </c>
      <c r="AH450" s="23">
        <v>11</v>
      </c>
      <c r="AI450" s="23">
        <v>10</v>
      </c>
      <c r="AJ450" s="23">
        <v>9</v>
      </c>
      <c r="AK450" s="23">
        <v>8</v>
      </c>
      <c r="AL450" s="23">
        <v>7</v>
      </c>
      <c r="AM450" s="23">
        <v>6</v>
      </c>
      <c r="AN450" s="23">
        <v>5</v>
      </c>
      <c r="AO450" s="23">
        <v>4</v>
      </c>
      <c r="AP450" s="23">
        <v>3</v>
      </c>
      <c r="AQ450" s="23">
        <v>2</v>
      </c>
      <c r="AR450" s="38"/>
    </row>
    <row r="451" spans="1:44" x14ac:dyDescent="0.25">
      <c r="A451" s="6"/>
      <c r="B451"/>
      <c r="C451" s="7"/>
      <c r="D451" s="23">
        <f>C421</f>
        <v>1</v>
      </c>
      <c r="E451" s="23">
        <f>IF(C422&gt;C421,C421+1,0)</f>
        <v>0</v>
      </c>
      <c r="F451" s="23">
        <f>IF(AND($C$422&gt;$C$421,($E$451+1)&lt;=$C$422),$C$421+2,0)</f>
        <v>0</v>
      </c>
      <c r="G451" s="23">
        <f>IF(AND($C$422&gt;$C$421,($E$451+2)&lt;=$C$422),$C$421+3,0)</f>
        <v>0</v>
      </c>
      <c r="H451" s="23">
        <f>IF(AND($C$422&gt;$C$421,($E$451+3)&lt;=$C$422),$C$421+4,0)</f>
        <v>0</v>
      </c>
      <c r="I451" s="23">
        <f>IF(AND($C$422&gt;$C$421,($E$451+4)&lt;=$C$422),$C$421+5,0)</f>
        <v>0</v>
      </c>
      <c r="J451" s="23">
        <f>IF(AND($C$422&gt;$C$421,($E$451+5)&lt;=$C$422),$C$421+6,0)</f>
        <v>0</v>
      </c>
      <c r="K451" s="23">
        <f>IF(AND($C$422&gt;$C$421,($E$451+6)&lt;=$C$422),$C$421+7,0)</f>
        <v>0</v>
      </c>
      <c r="L451" s="23">
        <f>IF(AND($C$422&gt;$C$421,($E$451+8)&lt;=$C$422),$C$421+9,0)</f>
        <v>0</v>
      </c>
      <c r="M451" s="23">
        <f>IF(AND($C$422&gt;$C$421,($E$451+9)&lt;=$C$422),$C$421+10,0)</f>
        <v>0</v>
      </c>
      <c r="N451" s="23">
        <f>IF(AND($C$422&gt;$C$421,($E$451+10)&lt;=$C$422),$C$421+11,0)</f>
        <v>0</v>
      </c>
      <c r="O451" s="23">
        <f>IF(AND($C$422&gt;$C$421,($E$451+11)&lt;=$C$422),$C$421+12,0)</f>
        <v>0</v>
      </c>
      <c r="P451" s="23">
        <f>IF(AND($C$422&gt;$C$421,($E$451+12)&lt;=$C$422),$C$421+13,0)</f>
        <v>0</v>
      </c>
      <c r="Q451" s="23">
        <f>IF(AND($C$422&gt;$C$421,($E$451+13)&lt;=$C$422),$C$421+14,0)</f>
        <v>0</v>
      </c>
      <c r="R451" s="23">
        <f>IF(AND($C$422&gt;$C$421,($E$451+14)&lt;=$C$422),$C$421+15,0)</f>
        <v>0</v>
      </c>
      <c r="S451" s="23">
        <f>IF(AND($C$422&gt;$C$421,($E$451+15)&lt;=$C$422),$C$421+16,0)</f>
        <v>0</v>
      </c>
      <c r="T451" s="23">
        <f>IF(AND($C$422&gt;$C$421,($E$451+16)&lt;=$C$422),$C$421+17,0)</f>
        <v>0</v>
      </c>
      <c r="U451" s="23">
        <f>IF(AND($C$422&gt;$C$421,($E$451+17)&lt;=$C$422),$C$421+18,0)</f>
        <v>0</v>
      </c>
      <c r="V451" s="23">
        <f>IF(AND($C$422&gt;$C$421,($E$451+18)&lt;=$C$422),$C$421+19,0)</f>
        <v>0</v>
      </c>
      <c r="W451" s="23">
        <f>IF(AND($C$422&gt;$C$421,($E$451+19)&lt;=$C$422),$C$421+20,0)</f>
        <v>0</v>
      </c>
      <c r="X451" s="23">
        <f>IF(AND($C$422&gt;$C$421,($E$451+20)&lt;=$C$422),$C$421+21,0)</f>
        <v>0</v>
      </c>
      <c r="Y451" s="23">
        <f>IF(AND($C$422&gt;$C$421,($E$451+21)&lt;=$C$422),$C$421+22,0)</f>
        <v>0</v>
      </c>
      <c r="Z451" s="23">
        <f>IF(AND($C$422&gt;$C$421,($E$451+22)&lt;=$C$422),$C$421+23,0)</f>
        <v>0</v>
      </c>
      <c r="AA451" s="23">
        <f>IF(AND($C$422&gt;$C$421,($E$451+23)&lt;=$C$422),$C$421+24,0)</f>
        <v>0</v>
      </c>
      <c r="AB451" s="23">
        <f>IF(AND($C$422&gt;$C$421,($E$451+24)&lt;=$C$422),$C$421+25,0)</f>
        <v>0</v>
      </c>
      <c r="AC451" s="23">
        <f>IF(AND($C$422&gt;$C$421,($E$451+25)&lt;=$C$422),$C$421+26,0)</f>
        <v>0</v>
      </c>
      <c r="AD451" s="23">
        <f>IF(AND($C$422&gt;$C$421,($E$451+26)&lt;=$C$422),$C$421+27,0)</f>
        <v>0</v>
      </c>
      <c r="AE451" s="23">
        <f>IF(AND($C$422&gt;$C$421,($E$451+27)&lt;=$C$422),$C$421+28,0)</f>
        <v>0</v>
      </c>
      <c r="AF451" s="23">
        <f>IF(AND($C$422&gt;$C$421,($E$451+28)&lt;=$C$422),$C$421+29,0)</f>
        <v>0</v>
      </c>
      <c r="AG451" s="23">
        <f>IF(AND($C$422&gt;$C$421,($E$451+29)&lt;=$C$422),$C$421+30,0)</f>
        <v>0</v>
      </c>
      <c r="AH451" s="23">
        <f>IF(AND($C$422&gt;$C$421,($E$451+30)&lt;=$C$422),$C$421+31,0)</f>
        <v>0</v>
      </c>
      <c r="AI451" s="23">
        <f>IF(AND($C$422&gt;$C$421,($E$451+31)&lt;=$C$422),$C$421+32,0)</f>
        <v>0</v>
      </c>
      <c r="AJ451" s="23">
        <f>IF(AND($C$422&gt;$C$421,($E$451+32)&lt;=$C$422),$C$421+33,0)</f>
        <v>0</v>
      </c>
      <c r="AK451" s="23">
        <f>IF(AND($C$422&gt;$C$421,($E$451+33)&lt;=$C$422),$C$421+34,0)</f>
        <v>0</v>
      </c>
      <c r="AL451" s="23">
        <f>IF(AND($C$422&gt;$C$421,($E$451+34)&lt;=$C$422),$C$421+35,0)</f>
        <v>0</v>
      </c>
      <c r="AM451" s="23">
        <f>IF(AND($C$422&gt;$C$421,($E$451+35)&lt;=$C$422),$C$421+36,0)</f>
        <v>0</v>
      </c>
      <c r="AN451" s="23">
        <f>IF(AND($C$422&gt;$C$421,($E$451+36)&lt;=$C$422),$C$421+37,0)</f>
        <v>0</v>
      </c>
      <c r="AO451" s="23">
        <f>IF(AND($C$422&gt;$C$421,($E$451+37)&lt;=$C$422),$C$421+38,0)</f>
        <v>0</v>
      </c>
      <c r="AP451" s="23">
        <f>IF(AND($C$422&gt;$C$421,($E$451+38)&lt;=$C$422),$C$421+39,0)</f>
        <v>0</v>
      </c>
      <c r="AQ451" s="38">
        <f>IF(AND($C$422&gt;$C$421,($E$451+39)&lt;=$C$422),$C$421+40,0)</f>
        <v>0</v>
      </c>
      <c r="AR451" s="472"/>
    </row>
    <row r="452" spans="1:44" x14ac:dyDescent="0.25">
      <c r="A452" s="415"/>
      <c r="B452" s="320"/>
      <c r="C452" s="951">
        <f>MIN(D453:AQ492)</f>
        <v>490</v>
      </c>
      <c r="D452" s="23">
        <f>IF(D451&gt;0,(D451*$C$418)+(1*$C$425)+(1*$C$427)+(2*$C$426),0)</f>
        <v>1150</v>
      </c>
      <c r="E452" s="23">
        <f>IF(E451&gt;0,(E451*$C$418)+(1*$C$425)+(1*$C$427)+(2*$C$426),0)</f>
        <v>0</v>
      </c>
      <c r="F452" s="23">
        <f t="shared" ref="F452:AQ452" si="74">IF(F451&gt;0,(F451*$C$418)+(1*$C$425)+(1*$C$427)+(2*$C$426),0)</f>
        <v>0</v>
      </c>
      <c r="G452" s="23">
        <f t="shared" si="74"/>
        <v>0</v>
      </c>
      <c r="H452" s="23">
        <f t="shared" si="74"/>
        <v>0</v>
      </c>
      <c r="I452" s="23">
        <f t="shared" si="74"/>
        <v>0</v>
      </c>
      <c r="J452" s="23">
        <f t="shared" si="74"/>
        <v>0</v>
      </c>
      <c r="K452" s="23">
        <f t="shared" si="74"/>
        <v>0</v>
      </c>
      <c r="L452" s="23">
        <f t="shared" si="74"/>
        <v>0</v>
      </c>
      <c r="M452" s="23">
        <f t="shared" si="74"/>
        <v>0</v>
      </c>
      <c r="N452" s="23">
        <f t="shared" si="74"/>
        <v>0</v>
      </c>
      <c r="O452" s="23">
        <f t="shared" si="74"/>
        <v>0</v>
      </c>
      <c r="P452" s="23">
        <f t="shared" si="74"/>
        <v>0</v>
      </c>
      <c r="Q452" s="23">
        <f t="shared" si="74"/>
        <v>0</v>
      </c>
      <c r="R452" s="23">
        <f t="shared" si="74"/>
        <v>0</v>
      </c>
      <c r="S452" s="23">
        <f t="shared" si="74"/>
        <v>0</v>
      </c>
      <c r="T452" s="23">
        <f t="shared" si="74"/>
        <v>0</v>
      </c>
      <c r="U452" s="23">
        <f t="shared" si="74"/>
        <v>0</v>
      </c>
      <c r="V452" s="23">
        <f t="shared" si="74"/>
        <v>0</v>
      </c>
      <c r="W452" s="23">
        <f t="shared" si="74"/>
        <v>0</v>
      </c>
      <c r="X452" s="23">
        <f t="shared" si="74"/>
        <v>0</v>
      </c>
      <c r="Y452" s="23">
        <f t="shared" si="74"/>
        <v>0</v>
      </c>
      <c r="Z452" s="23">
        <f t="shared" si="74"/>
        <v>0</v>
      </c>
      <c r="AA452" s="23">
        <f t="shared" si="74"/>
        <v>0</v>
      </c>
      <c r="AB452" s="23">
        <f t="shared" si="74"/>
        <v>0</v>
      </c>
      <c r="AC452" s="23">
        <f t="shared" si="74"/>
        <v>0</v>
      </c>
      <c r="AD452" s="23">
        <f t="shared" si="74"/>
        <v>0</v>
      </c>
      <c r="AE452" s="23">
        <f t="shared" si="74"/>
        <v>0</v>
      </c>
      <c r="AF452" s="23">
        <f t="shared" si="74"/>
        <v>0</v>
      </c>
      <c r="AG452" s="23">
        <f t="shared" si="74"/>
        <v>0</v>
      </c>
      <c r="AH452" s="23">
        <f t="shared" si="74"/>
        <v>0</v>
      </c>
      <c r="AI452" s="23">
        <f t="shared" si="74"/>
        <v>0</v>
      </c>
      <c r="AJ452" s="23">
        <f t="shared" si="74"/>
        <v>0</v>
      </c>
      <c r="AK452" s="23">
        <f t="shared" si="74"/>
        <v>0</v>
      </c>
      <c r="AL452" s="23">
        <f t="shared" si="74"/>
        <v>0</v>
      </c>
      <c r="AM452" s="23">
        <f t="shared" si="74"/>
        <v>0</v>
      </c>
      <c r="AN452" s="23">
        <f t="shared" si="74"/>
        <v>0</v>
      </c>
      <c r="AO452" s="23">
        <f t="shared" si="74"/>
        <v>0</v>
      </c>
      <c r="AP452" s="23">
        <f t="shared" si="74"/>
        <v>0</v>
      </c>
      <c r="AQ452" s="23">
        <f t="shared" si="74"/>
        <v>0</v>
      </c>
      <c r="AR452" s="52"/>
    </row>
    <row r="453" spans="1:44" x14ac:dyDescent="0.25">
      <c r="A453" s="12">
        <f>IF(C453=0,0,IF(C453&lt;$L$387,$L$388,$M$388))</f>
        <v>480</v>
      </c>
      <c r="B453" s="12">
        <f>C419</f>
        <v>1</v>
      </c>
      <c r="C453" s="26">
        <f>IF(B453&gt;0,(B453*$C$417)+((B453-1)*$C$423)+(2*$C$424)+(2*$C$426),0)</f>
        <v>361</v>
      </c>
      <c r="D453" s="431">
        <f t="shared" ref="D453:S468" si="75">IF(OR($A453=0,D$451=0)," ",IF(AND($B453&gt;0,D$451&gt;0,FLOOR($C$440/(D$451*$B453),1)&gt;=$A453),FLOOR($C$440/(D$451*$B453),1)," "))</f>
        <v>490</v>
      </c>
      <c r="E453" s="449" t="str">
        <f t="shared" si="75"/>
        <v xml:space="preserve"> </v>
      </c>
      <c r="F453" s="449" t="str">
        <f t="shared" si="75"/>
        <v xml:space="preserve"> </v>
      </c>
      <c r="G453" s="449" t="str">
        <f t="shared" si="75"/>
        <v xml:space="preserve"> </v>
      </c>
      <c r="H453" s="449" t="str">
        <f t="shared" si="75"/>
        <v xml:space="preserve"> </v>
      </c>
      <c r="I453" s="449" t="str">
        <f t="shared" si="75"/>
        <v xml:space="preserve"> </v>
      </c>
      <c r="J453" s="449" t="str">
        <f t="shared" si="75"/>
        <v xml:space="preserve"> </v>
      </c>
      <c r="K453" s="449" t="str">
        <f t="shared" si="75"/>
        <v xml:space="preserve"> </v>
      </c>
      <c r="L453" s="449" t="str">
        <f t="shared" si="75"/>
        <v xml:space="preserve"> </v>
      </c>
      <c r="M453" s="449" t="str">
        <f t="shared" si="75"/>
        <v xml:space="preserve"> </v>
      </c>
      <c r="N453" s="449" t="str">
        <f t="shared" si="75"/>
        <v xml:space="preserve"> </v>
      </c>
      <c r="O453" s="449" t="str">
        <f t="shared" si="75"/>
        <v xml:space="preserve"> </v>
      </c>
      <c r="P453" s="449" t="str">
        <f t="shared" si="75"/>
        <v xml:space="preserve"> </v>
      </c>
      <c r="Q453" s="449" t="str">
        <f t="shared" si="75"/>
        <v xml:space="preserve"> </v>
      </c>
      <c r="R453" s="449" t="str">
        <f t="shared" si="75"/>
        <v xml:space="preserve"> </v>
      </c>
      <c r="S453" s="449" t="str">
        <f t="shared" si="75"/>
        <v xml:space="preserve"> </v>
      </c>
      <c r="T453" s="449" t="str">
        <f t="shared" ref="T453:AI468" si="76">IF(OR($A453=0,T$451=0)," ",IF(AND($B453&gt;0,T$451&gt;0,FLOOR($C$440/(T$451*$B453),1)&gt;=$A453),FLOOR($C$440/(T$451*$B453),1)," "))</f>
        <v xml:space="preserve"> </v>
      </c>
      <c r="U453" s="449" t="str">
        <f t="shared" si="76"/>
        <v xml:space="preserve"> </v>
      </c>
      <c r="V453" s="449" t="str">
        <f t="shared" si="76"/>
        <v xml:space="preserve"> </v>
      </c>
      <c r="W453" s="449" t="str">
        <f t="shared" si="76"/>
        <v xml:space="preserve"> </v>
      </c>
      <c r="X453" s="449" t="str">
        <f t="shared" si="76"/>
        <v xml:space="preserve"> </v>
      </c>
      <c r="Y453" s="449" t="str">
        <f t="shared" si="76"/>
        <v xml:space="preserve"> </v>
      </c>
      <c r="Z453" s="449" t="str">
        <f t="shared" si="76"/>
        <v xml:space="preserve"> </v>
      </c>
      <c r="AA453" s="449" t="str">
        <f t="shared" si="76"/>
        <v xml:space="preserve"> </v>
      </c>
      <c r="AB453" s="449" t="str">
        <f t="shared" si="76"/>
        <v xml:space="preserve"> </v>
      </c>
      <c r="AC453" s="449" t="str">
        <f t="shared" si="76"/>
        <v xml:space="preserve"> </v>
      </c>
      <c r="AD453" s="449" t="str">
        <f t="shared" si="76"/>
        <v xml:space="preserve"> </v>
      </c>
      <c r="AE453" s="449" t="str">
        <f t="shared" si="76"/>
        <v xml:space="preserve"> </v>
      </c>
      <c r="AF453" s="449" t="str">
        <f t="shared" si="76"/>
        <v xml:space="preserve"> </v>
      </c>
      <c r="AG453" s="449" t="str">
        <f t="shared" si="76"/>
        <v xml:space="preserve"> </v>
      </c>
      <c r="AH453" s="449" t="str">
        <f t="shared" si="76"/>
        <v xml:space="preserve"> </v>
      </c>
      <c r="AI453" s="449" t="str">
        <f t="shared" si="76"/>
        <v xml:space="preserve"> </v>
      </c>
      <c r="AJ453" s="449" t="str">
        <f t="shared" ref="AH453:AQ468" si="77">IF(OR($A453=0,AJ$451=0)," ",IF(AND($B453&gt;0,AJ$451&gt;0,FLOOR($C$440/(AJ$451*$B453),1)&gt;=$A453),FLOOR($C$440/(AJ$451*$B453),1)," "))</f>
        <v xml:space="preserve"> </v>
      </c>
      <c r="AK453" s="449" t="str">
        <f t="shared" si="77"/>
        <v xml:space="preserve"> </v>
      </c>
      <c r="AL453" s="449" t="str">
        <f t="shared" si="77"/>
        <v xml:space="preserve"> </v>
      </c>
      <c r="AM453" s="449" t="str">
        <f t="shared" si="77"/>
        <v xml:space="preserve"> </v>
      </c>
      <c r="AN453" s="449" t="str">
        <f t="shared" si="77"/>
        <v xml:space="preserve"> </v>
      </c>
      <c r="AO453" s="449" t="str">
        <f t="shared" si="77"/>
        <v xml:space="preserve"> </v>
      </c>
      <c r="AP453" s="449" t="str">
        <f t="shared" si="77"/>
        <v xml:space="preserve"> </v>
      </c>
      <c r="AQ453" s="435" t="str">
        <f t="shared" si="77"/>
        <v xml:space="preserve"> </v>
      </c>
      <c r="AR453" s="442">
        <f>B453</f>
        <v>1</v>
      </c>
    </row>
    <row r="454" spans="1:44" x14ac:dyDescent="0.25">
      <c r="A454" s="12">
        <f t="shared" ref="A454:A492" si="78">IF(C454=0,0,IF(C454&lt;$L$387,$L$388,$M$388))</f>
        <v>0</v>
      </c>
      <c r="B454" s="12">
        <f>IF(C420&gt;C419,C419+1,0)</f>
        <v>0</v>
      </c>
      <c r="C454" s="26">
        <f>IF(B454&gt;0,(B454*$C$417)+((B454-1)*$C$423)+(2*$C$424)+(2*$C$426),0)</f>
        <v>0</v>
      </c>
      <c r="D454" s="26" t="str">
        <f t="shared" si="75"/>
        <v xml:space="preserve"> </v>
      </c>
      <c r="E454" s="2" t="str">
        <f t="shared" si="75"/>
        <v xml:space="preserve"> </v>
      </c>
      <c r="F454" s="2" t="str">
        <f t="shared" si="75"/>
        <v xml:space="preserve"> </v>
      </c>
      <c r="G454" s="2" t="str">
        <f t="shared" si="75"/>
        <v xml:space="preserve"> </v>
      </c>
      <c r="H454" s="2" t="str">
        <f t="shared" si="75"/>
        <v xml:space="preserve"> </v>
      </c>
      <c r="I454" s="2" t="str">
        <f t="shared" si="75"/>
        <v xml:space="preserve"> </v>
      </c>
      <c r="J454" s="2" t="str">
        <f t="shared" si="75"/>
        <v xml:space="preserve"> </v>
      </c>
      <c r="K454" s="2" t="str">
        <f t="shared" si="75"/>
        <v xml:space="preserve"> </v>
      </c>
      <c r="L454" s="2" t="str">
        <f t="shared" si="75"/>
        <v xml:space="preserve"> </v>
      </c>
      <c r="M454" s="2" t="str">
        <f t="shared" si="75"/>
        <v xml:space="preserve"> </v>
      </c>
      <c r="N454" s="2" t="str">
        <f t="shared" si="75"/>
        <v xml:space="preserve"> </v>
      </c>
      <c r="O454" s="2" t="str">
        <f t="shared" si="75"/>
        <v xml:space="preserve"> </v>
      </c>
      <c r="P454" s="2" t="str">
        <f t="shared" si="75"/>
        <v xml:space="preserve"> </v>
      </c>
      <c r="Q454" s="2" t="str">
        <f t="shared" si="75"/>
        <v xml:space="preserve"> </v>
      </c>
      <c r="R454" s="2" t="str">
        <f t="shared" si="75"/>
        <v xml:space="preserve"> </v>
      </c>
      <c r="S454" s="2" t="str">
        <f t="shared" si="75"/>
        <v xml:space="preserve"> </v>
      </c>
      <c r="T454" s="2" t="str">
        <f t="shared" si="76"/>
        <v xml:space="preserve"> </v>
      </c>
      <c r="U454" s="2" t="str">
        <f t="shared" si="76"/>
        <v xml:space="preserve"> </v>
      </c>
      <c r="V454" s="2" t="str">
        <f t="shared" si="76"/>
        <v xml:space="preserve"> </v>
      </c>
      <c r="W454" s="2" t="str">
        <f t="shared" si="76"/>
        <v xml:space="preserve"> </v>
      </c>
      <c r="X454" s="2" t="str">
        <f t="shared" si="76"/>
        <v xml:space="preserve"> </v>
      </c>
      <c r="Y454" s="2" t="str">
        <f t="shared" si="76"/>
        <v xml:space="preserve"> </v>
      </c>
      <c r="Z454" s="2" t="str">
        <f t="shared" si="76"/>
        <v xml:space="preserve"> </v>
      </c>
      <c r="AA454" s="2" t="str">
        <f t="shared" si="76"/>
        <v xml:space="preserve"> </v>
      </c>
      <c r="AB454" s="2" t="str">
        <f t="shared" si="76"/>
        <v xml:space="preserve"> </v>
      </c>
      <c r="AC454" s="2" t="str">
        <f t="shared" si="76"/>
        <v xml:space="preserve"> </v>
      </c>
      <c r="AD454" s="2" t="str">
        <f t="shared" si="76"/>
        <v xml:space="preserve"> </v>
      </c>
      <c r="AE454" s="2" t="str">
        <f t="shared" si="76"/>
        <v xml:space="preserve"> </v>
      </c>
      <c r="AF454" s="2" t="str">
        <f t="shared" si="76"/>
        <v xml:space="preserve"> </v>
      </c>
      <c r="AG454" s="2" t="str">
        <f t="shared" si="76"/>
        <v xml:space="preserve"> </v>
      </c>
      <c r="AH454" s="2" t="str">
        <f t="shared" si="77"/>
        <v xml:space="preserve"> </v>
      </c>
      <c r="AI454" s="2" t="str">
        <f t="shared" si="77"/>
        <v xml:space="preserve"> </v>
      </c>
      <c r="AJ454" s="2" t="str">
        <f t="shared" si="77"/>
        <v xml:space="preserve"> </v>
      </c>
      <c r="AK454" s="2" t="str">
        <f t="shared" si="77"/>
        <v xml:space="preserve"> </v>
      </c>
      <c r="AL454" s="2" t="str">
        <f t="shared" si="77"/>
        <v xml:space="preserve"> </v>
      </c>
      <c r="AM454" s="2" t="str">
        <f t="shared" si="77"/>
        <v xml:space="preserve"> </v>
      </c>
      <c r="AN454" s="2" t="str">
        <f t="shared" si="77"/>
        <v xml:space="preserve"> </v>
      </c>
      <c r="AO454" s="2" t="str">
        <f t="shared" si="77"/>
        <v xml:space="preserve"> </v>
      </c>
      <c r="AP454" s="2" t="str">
        <f t="shared" si="77"/>
        <v xml:space="preserve"> </v>
      </c>
      <c r="AQ454" s="25" t="str">
        <f t="shared" si="77"/>
        <v xml:space="preserve"> </v>
      </c>
      <c r="AR454" s="12">
        <f t="shared" ref="AR454:AR492" si="79">B454</f>
        <v>0</v>
      </c>
    </row>
    <row r="455" spans="1:44" x14ac:dyDescent="0.25">
      <c r="A455" s="12">
        <f t="shared" si="78"/>
        <v>0</v>
      </c>
      <c r="B455" s="12">
        <f>IF(AND($C$420&gt;$C$419,($B$454+1)&lt;=$C$420),$C$419+2,0)</f>
        <v>0</v>
      </c>
      <c r="C455" s="26">
        <f>IF(B455&gt;0,(B455*$C$417)+((B455-1)*$C$423)+(2*$C$424)+(2*$C$426),0)</f>
        <v>0</v>
      </c>
      <c r="D455" s="26" t="str">
        <f t="shared" si="75"/>
        <v xml:space="preserve"> </v>
      </c>
      <c r="E455" s="2" t="str">
        <f t="shared" si="75"/>
        <v xml:space="preserve"> </v>
      </c>
      <c r="F455" s="2" t="str">
        <f t="shared" si="75"/>
        <v xml:space="preserve"> </v>
      </c>
      <c r="G455" s="2" t="str">
        <f t="shared" si="75"/>
        <v xml:space="preserve"> </v>
      </c>
      <c r="H455" s="2" t="str">
        <f t="shared" si="75"/>
        <v xml:space="preserve"> </v>
      </c>
      <c r="I455" s="2" t="str">
        <f t="shared" si="75"/>
        <v xml:space="preserve"> </v>
      </c>
      <c r="J455" s="2" t="str">
        <f t="shared" si="75"/>
        <v xml:space="preserve"> </v>
      </c>
      <c r="K455" s="2" t="str">
        <f t="shared" si="75"/>
        <v xml:space="preserve"> </v>
      </c>
      <c r="L455" s="2" t="str">
        <f t="shared" si="75"/>
        <v xml:space="preserve"> </v>
      </c>
      <c r="M455" s="2" t="str">
        <f t="shared" si="75"/>
        <v xml:space="preserve"> </v>
      </c>
      <c r="N455" s="2" t="str">
        <f t="shared" si="75"/>
        <v xml:space="preserve"> </v>
      </c>
      <c r="O455" s="2" t="str">
        <f t="shared" si="75"/>
        <v xml:space="preserve"> </v>
      </c>
      <c r="P455" s="2" t="str">
        <f t="shared" si="75"/>
        <v xml:space="preserve"> </v>
      </c>
      <c r="Q455" s="2" t="str">
        <f t="shared" si="75"/>
        <v xml:space="preserve"> </v>
      </c>
      <c r="R455" s="2" t="str">
        <f t="shared" si="75"/>
        <v xml:space="preserve"> </v>
      </c>
      <c r="S455" s="2" t="str">
        <f t="shared" si="75"/>
        <v xml:space="preserve"> </v>
      </c>
      <c r="T455" s="2" t="str">
        <f t="shared" si="76"/>
        <v xml:space="preserve"> </v>
      </c>
      <c r="U455" s="2" t="str">
        <f t="shared" si="76"/>
        <v xml:space="preserve"> </v>
      </c>
      <c r="V455" s="2" t="str">
        <f t="shared" si="76"/>
        <v xml:space="preserve"> </v>
      </c>
      <c r="W455" s="2" t="str">
        <f t="shared" si="76"/>
        <v xml:space="preserve"> </v>
      </c>
      <c r="X455" s="2" t="str">
        <f t="shared" si="76"/>
        <v xml:space="preserve"> </v>
      </c>
      <c r="Y455" s="2" t="str">
        <f t="shared" si="76"/>
        <v xml:space="preserve"> </v>
      </c>
      <c r="Z455" s="2" t="str">
        <f t="shared" si="76"/>
        <v xml:space="preserve"> </v>
      </c>
      <c r="AA455" s="2" t="str">
        <f t="shared" si="76"/>
        <v xml:space="preserve"> </v>
      </c>
      <c r="AB455" s="2" t="str">
        <f t="shared" si="76"/>
        <v xml:space="preserve"> </v>
      </c>
      <c r="AC455" s="2" t="str">
        <f t="shared" si="76"/>
        <v xml:space="preserve"> </v>
      </c>
      <c r="AD455" s="2" t="str">
        <f t="shared" si="76"/>
        <v xml:space="preserve"> </v>
      </c>
      <c r="AE455" s="2" t="str">
        <f t="shared" si="76"/>
        <v xml:space="preserve"> </v>
      </c>
      <c r="AF455" s="2" t="str">
        <f t="shared" si="76"/>
        <v xml:space="preserve"> </v>
      </c>
      <c r="AG455" s="2" t="str">
        <f t="shared" si="76"/>
        <v xml:space="preserve"> </v>
      </c>
      <c r="AH455" s="2" t="str">
        <f t="shared" si="77"/>
        <v xml:space="preserve"> </v>
      </c>
      <c r="AI455" s="2" t="str">
        <f t="shared" si="77"/>
        <v xml:space="preserve"> </v>
      </c>
      <c r="AJ455" s="2" t="str">
        <f t="shared" si="77"/>
        <v xml:space="preserve"> </v>
      </c>
      <c r="AK455" s="2" t="str">
        <f t="shared" si="77"/>
        <v xml:space="preserve"> </v>
      </c>
      <c r="AL455" s="2" t="str">
        <f t="shared" si="77"/>
        <v xml:space="preserve"> </v>
      </c>
      <c r="AM455" s="2" t="str">
        <f t="shared" si="77"/>
        <v xml:space="preserve"> </v>
      </c>
      <c r="AN455" s="2" t="str">
        <f t="shared" si="77"/>
        <v xml:space="preserve"> </v>
      </c>
      <c r="AO455" s="2" t="str">
        <f t="shared" si="77"/>
        <v xml:space="preserve"> </v>
      </c>
      <c r="AP455" s="2" t="str">
        <f t="shared" si="77"/>
        <v xml:space="preserve"> </v>
      </c>
      <c r="AQ455" s="25" t="str">
        <f t="shared" si="77"/>
        <v xml:space="preserve"> </v>
      </c>
      <c r="AR455" s="12">
        <f t="shared" si="79"/>
        <v>0</v>
      </c>
    </row>
    <row r="456" spans="1:44" x14ac:dyDescent="0.25">
      <c r="A456" s="12">
        <f t="shared" si="78"/>
        <v>0</v>
      </c>
      <c r="B456" s="12">
        <f>IF(AND($C$420&gt;$C$419,($B$454+2)&lt;=$C$420),$C$419+3,0)</f>
        <v>0</v>
      </c>
      <c r="C456" s="26">
        <f>IF(B456&gt;0,(B456*$C$417)+((B456-1)*$C$423)+(2*$C$424)+(2*$C$426),0)</f>
        <v>0</v>
      </c>
      <c r="D456" s="26" t="str">
        <f t="shared" si="75"/>
        <v xml:space="preserve"> </v>
      </c>
      <c r="E456" s="2" t="str">
        <f t="shared" si="75"/>
        <v xml:space="preserve"> </v>
      </c>
      <c r="F456" s="2" t="str">
        <f t="shared" si="75"/>
        <v xml:space="preserve"> </v>
      </c>
      <c r="G456" s="2" t="str">
        <f t="shared" si="75"/>
        <v xml:space="preserve"> </v>
      </c>
      <c r="H456" s="2" t="str">
        <f t="shared" si="75"/>
        <v xml:space="preserve"> </v>
      </c>
      <c r="I456" s="2" t="str">
        <f t="shared" si="75"/>
        <v xml:space="preserve"> </v>
      </c>
      <c r="J456" s="2" t="str">
        <f t="shared" si="75"/>
        <v xml:space="preserve"> </v>
      </c>
      <c r="K456" s="2" t="str">
        <f t="shared" si="75"/>
        <v xml:space="preserve"> </v>
      </c>
      <c r="L456" s="2" t="str">
        <f t="shared" si="75"/>
        <v xml:space="preserve"> </v>
      </c>
      <c r="M456" s="2" t="str">
        <f t="shared" si="75"/>
        <v xml:space="preserve"> </v>
      </c>
      <c r="N456" s="2" t="str">
        <f t="shared" si="75"/>
        <v xml:space="preserve"> </v>
      </c>
      <c r="O456" s="2" t="str">
        <f t="shared" si="75"/>
        <v xml:space="preserve"> </v>
      </c>
      <c r="P456" s="2" t="str">
        <f t="shared" si="75"/>
        <v xml:space="preserve"> </v>
      </c>
      <c r="Q456" s="2" t="str">
        <f t="shared" si="75"/>
        <v xml:space="preserve"> </v>
      </c>
      <c r="R456" s="2" t="str">
        <f t="shared" si="75"/>
        <v xml:space="preserve"> </v>
      </c>
      <c r="S456" s="2" t="str">
        <f t="shared" si="75"/>
        <v xml:space="preserve"> </v>
      </c>
      <c r="T456" s="2" t="str">
        <f t="shared" si="76"/>
        <v xml:space="preserve"> </v>
      </c>
      <c r="U456" s="2" t="str">
        <f t="shared" si="76"/>
        <v xml:space="preserve"> </v>
      </c>
      <c r="V456" s="2" t="str">
        <f t="shared" si="76"/>
        <v xml:space="preserve"> </v>
      </c>
      <c r="W456" s="2" t="str">
        <f t="shared" si="76"/>
        <v xml:space="preserve"> </v>
      </c>
      <c r="X456" s="2" t="str">
        <f t="shared" si="76"/>
        <v xml:space="preserve"> </v>
      </c>
      <c r="Y456" s="2" t="str">
        <f t="shared" si="76"/>
        <v xml:space="preserve"> </v>
      </c>
      <c r="Z456" s="2" t="str">
        <f t="shared" si="76"/>
        <v xml:space="preserve"> </v>
      </c>
      <c r="AA456" s="2" t="str">
        <f t="shared" si="76"/>
        <v xml:space="preserve"> </v>
      </c>
      <c r="AB456" s="2" t="str">
        <f t="shared" si="76"/>
        <v xml:space="preserve"> </v>
      </c>
      <c r="AC456" s="2" t="str">
        <f t="shared" si="76"/>
        <v xml:space="preserve"> </v>
      </c>
      <c r="AD456" s="2" t="str">
        <f t="shared" si="76"/>
        <v xml:space="preserve"> </v>
      </c>
      <c r="AE456" s="2" t="str">
        <f t="shared" si="76"/>
        <v xml:space="preserve"> </v>
      </c>
      <c r="AF456" s="2" t="str">
        <f t="shared" si="76"/>
        <v xml:space="preserve"> </v>
      </c>
      <c r="AG456" s="2" t="str">
        <f t="shared" si="76"/>
        <v xml:space="preserve"> </v>
      </c>
      <c r="AH456" s="2" t="str">
        <f t="shared" si="77"/>
        <v xml:space="preserve"> </v>
      </c>
      <c r="AI456" s="2" t="str">
        <f t="shared" si="77"/>
        <v xml:space="preserve"> </v>
      </c>
      <c r="AJ456" s="2" t="str">
        <f t="shared" si="77"/>
        <v xml:space="preserve"> </v>
      </c>
      <c r="AK456" s="2" t="str">
        <f t="shared" si="77"/>
        <v xml:space="preserve"> </v>
      </c>
      <c r="AL456" s="2" t="str">
        <f t="shared" si="77"/>
        <v xml:space="preserve"> </v>
      </c>
      <c r="AM456" s="2" t="str">
        <f t="shared" si="77"/>
        <v xml:space="preserve"> </v>
      </c>
      <c r="AN456" s="2" t="str">
        <f t="shared" si="77"/>
        <v xml:space="preserve"> </v>
      </c>
      <c r="AO456" s="2" t="str">
        <f t="shared" si="77"/>
        <v xml:space="preserve"> </v>
      </c>
      <c r="AP456" s="2" t="str">
        <f t="shared" si="77"/>
        <v xml:space="preserve"> </v>
      </c>
      <c r="AQ456" s="25" t="str">
        <f t="shared" si="77"/>
        <v xml:space="preserve"> </v>
      </c>
      <c r="AR456" s="12">
        <f t="shared" si="79"/>
        <v>0</v>
      </c>
    </row>
    <row r="457" spans="1:44" x14ac:dyDescent="0.25">
      <c r="A457" s="12">
        <f t="shared" si="78"/>
        <v>0</v>
      </c>
      <c r="B457" s="12">
        <f>IF(AND($C$420&gt;$C$419,($B$454+3)&lt;=$C$420),$C$419+4,0)</f>
        <v>0</v>
      </c>
      <c r="C457" s="26">
        <f t="shared" ref="C457:C492" si="80">IF(B457&gt;0,(B457*$C$417)+((B457-1)*$C$423)+(2*$C$424)+(2*$C$426),0)</f>
        <v>0</v>
      </c>
      <c r="D457" s="26" t="str">
        <f t="shared" si="75"/>
        <v xml:space="preserve"> </v>
      </c>
      <c r="E457" s="2" t="str">
        <f t="shared" si="75"/>
        <v xml:space="preserve"> </v>
      </c>
      <c r="F457" s="2" t="str">
        <f t="shared" si="75"/>
        <v xml:space="preserve"> </v>
      </c>
      <c r="G457" s="2" t="str">
        <f t="shared" si="75"/>
        <v xml:space="preserve"> </v>
      </c>
      <c r="H457" s="2" t="str">
        <f t="shared" si="75"/>
        <v xml:space="preserve"> </v>
      </c>
      <c r="I457" s="2" t="str">
        <f t="shared" si="75"/>
        <v xml:space="preserve"> </v>
      </c>
      <c r="J457" s="2" t="str">
        <f t="shared" si="75"/>
        <v xml:space="preserve"> </v>
      </c>
      <c r="K457" s="2" t="str">
        <f t="shared" si="75"/>
        <v xml:space="preserve"> </v>
      </c>
      <c r="L457" s="2" t="str">
        <f t="shared" si="75"/>
        <v xml:space="preserve"> </v>
      </c>
      <c r="M457" s="2" t="str">
        <f t="shared" si="75"/>
        <v xml:space="preserve"> </v>
      </c>
      <c r="N457" s="2" t="str">
        <f t="shared" si="75"/>
        <v xml:space="preserve"> </v>
      </c>
      <c r="O457" s="2" t="str">
        <f t="shared" si="75"/>
        <v xml:space="preserve"> </v>
      </c>
      <c r="P457" s="2" t="str">
        <f t="shared" si="75"/>
        <v xml:space="preserve"> </v>
      </c>
      <c r="Q457" s="2" t="str">
        <f t="shared" si="75"/>
        <v xml:space="preserve"> </v>
      </c>
      <c r="R457" s="2" t="str">
        <f t="shared" si="75"/>
        <v xml:space="preserve"> </v>
      </c>
      <c r="S457" s="2" t="str">
        <f t="shared" si="75"/>
        <v xml:space="preserve"> </v>
      </c>
      <c r="T457" s="2" t="str">
        <f t="shared" si="76"/>
        <v xml:space="preserve"> </v>
      </c>
      <c r="U457" s="2" t="str">
        <f t="shared" si="76"/>
        <v xml:space="preserve"> </v>
      </c>
      <c r="V457" s="2" t="str">
        <f t="shared" si="76"/>
        <v xml:space="preserve"> </v>
      </c>
      <c r="W457" s="2" t="str">
        <f t="shared" si="76"/>
        <v xml:space="preserve"> </v>
      </c>
      <c r="X457" s="2" t="str">
        <f t="shared" si="76"/>
        <v xml:space="preserve"> </v>
      </c>
      <c r="Y457" s="2" t="str">
        <f t="shared" si="76"/>
        <v xml:space="preserve"> </v>
      </c>
      <c r="Z457" s="2" t="str">
        <f t="shared" si="76"/>
        <v xml:space="preserve"> </v>
      </c>
      <c r="AA457" s="2" t="str">
        <f t="shared" si="76"/>
        <v xml:space="preserve"> </v>
      </c>
      <c r="AB457" s="2" t="str">
        <f t="shared" si="76"/>
        <v xml:space="preserve"> </v>
      </c>
      <c r="AC457" s="2" t="str">
        <f t="shared" si="76"/>
        <v xml:space="preserve"> </v>
      </c>
      <c r="AD457" s="2" t="str">
        <f t="shared" si="76"/>
        <v xml:space="preserve"> </v>
      </c>
      <c r="AE457" s="2" t="str">
        <f t="shared" si="76"/>
        <v xml:space="preserve"> </v>
      </c>
      <c r="AF457" s="2" t="str">
        <f t="shared" si="76"/>
        <v xml:space="preserve"> </v>
      </c>
      <c r="AG457" s="2" t="str">
        <f t="shared" si="76"/>
        <v xml:space="preserve"> </v>
      </c>
      <c r="AH457" s="2" t="str">
        <f t="shared" si="77"/>
        <v xml:space="preserve"> </v>
      </c>
      <c r="AI457" s="2" t="str">
        <f t="shared" si="77"/>
        <v xml:space="preserve"> </v>
      </c>
      <c r="AJ457" s="2" t="str">
        <f t="shared" si="77"/>
        <v xml:space="preserve"> </v>
      </c>
      <c r="AK457" s="2" t="str">
        <f t="shared" si="77"/>
        <v xml:space="preserve"> </v>
      </c>
      <c r="AL457" s="2" t="str">
        <f t="shared" si="77"/>
        <v xml:space="preserve"> </v>
      </c>
      <c r="AM457" s="2" t="str">
        <f t="shared" si="77"/>
        <v xml:space="preserve"> </v>
      </c>
      <c r="AN457" s="2" t="str">
        <f t="shared" si="77"/>
        <v xml:space="preserve"> </v>
      </c>
      <c r="AO457" s="2" t="str">
        <f t="shared" si="77"/>
        <v xml:space="preserve"> </v>
      </c>
      <c r="AP457" s="2" t="str">
        <f t="shared" si="77"/>
        <v xml:space="preserve"> </v>
      </c>
      <c r="AQ457" s="25" t="str">
        <f t="shared" si="77"/>
        <v xml:space="preserve"> </v>
      </c>
      <c r="AR457" s="12">
        <f t="shared" si="79"/>
        <v>0</v>
      </c>
    </row>
    <row r="458" spans="1:44" x14ac:dyDescent="0.25">
      <c r="A458" s="12">
        <f t="shared" si="78"/>
        <v>0</v>
      </c>
      <c r="B458" s="12">
        <f>IF(AND($C$420&gt;$C$419,($B$454+4)&lt;=$C$420),$C$419+5,0)</f>
        <v>0</v>
      </c>
      <c r="C458" s="26">
        <f t="shared" si="80"/>
        <v>0</v>
      </c>
      <c r="D458" s="26" t="str">
        <f t="shared" si="75"/>
        <v xml:space="preserve"> </v>
      </c>
      <c r="E458" s="2" t="str">
        <f t="shared" si="75"/>
        <v xml:space="preserve"> </v>
      </c>
      <c r="F458" s="2" t="str">
        <f t="shared" si="75"/>
        <v xml:space="preserve"> </v>
      </c>
      <c r="G458" s="2" t="str">
        <f t="shared" si="75"/>
        <v xml:space="preserve"> </v>
      </c>
      <c r="H458" s="2" t="str">
        <f t="shared" si="75"/>
        <v xml:space="preserve"> </v>
      </c>
      <c r="I458" s="2" t="str">
        <f t="shared" si="75"/>
        <v xml:space="preserve"> </v>
      </c>
      <c r="J458" s="2" t="str">
        <f t="shared" si="75"/>
        <v xml:space="preserve"> </v>
      </c>
      <c r="K458" s="2" t="str">
        <f t="shared" si="75"/>
        <v xml:space="preserve"> </v>
      </c>
      <c r="L458" s="2" t="str">
        <f t="shared" si="75"/>
        <v xml:space="preserve"> </v>
      </c>
      <c r="M458" s="2" t="str">
        <f t="shared" si="75"/>
        <v xml:space="preserve"> </v>
      </c>
      <c r="N458" s="2" t="str">
        <f t="shared" si="75"/>
        <v xml:space="preserve"> </v>
      </c>
      <c r="O458" s="2" t="str">
        <f t="shared" si="75"/>
        <v xml:space="preserve"> </v>
      </c>
      <c r="P458" s="2" t="str">
        <f t="shared" si="75"/>
        <v xml:space="preserve"> </v>
      </c>
      <c r="Q458" s="2" t="str">
        <f t="shared" si="75"/>
        <v xml:space="preserve"> </v>
      </c>
      <c r="R458" s="2" t="str">
        <f t="shared" si="75"/>
        <v xml:space="preserve"> </v>
      </c>
      <c r="S458" s="2" t="str">
        <f t="shared" si="75"/>
        <v xml:space="preserve"> </v>
      </c>
      <c r="T458" s="2" t="str">
        <f t="shared" si="76"/>
        <v xml:space="preserve"> </v>
      </c>
      <c r="U458" s="2" t="str">
        <f t="shared" si="76"/>
        <v xml:space="preserve"> </v>
      </c>
      <c r="V458" s="2" t="str">
        <f t="shared" si="76"/>
        <v xml:space="preserve"> </v>
      </c>
      <c r="W458" s="2" t="str">
        <f t="shared" si="76"/>
        <v xml:space="preserve"> </v>
      </c>
      <c r="X458" s="2" t="str">
        <f t="shared" si="76"/>
        <v xml:space="preserve"> </v>
      </c>
      <c r="Y458" s="2" t="str">
        <f t="shared" si="76"/>
        <v xml:space="preserve"> </v>
      </c>
      <c r="Z458" s="2" t="str">
        <f t="shared" si="76"/>
        <v xml:space="preserve"> </v>
      </c>
      <c r="AA458" s="2" t="str">
        <f t="shared" si="76"/>
        <v xml:space="preserve"> </v>
      </c>
      <c r="AB458" s="2" t="str">
        <f t="shared" si="76"/>
        <v xml:space="preserve"> </v>
      </c>
      <c r="AC458" s="2" t="str">
        <f t="shared" si="76"/>
        <v xml:space="preserve"> </v>
      </c>
      <c r="AD458" s="2" t="str">
        <f t="shared" si="76"/>
        <v xml:space="preserve"> </v>
      </c>
      <c r="AE458" s="2" t="str">
        <f t="shared" si="76"/>
        <v xml:space="preserve"> </v>
      </c>
      <c r="AF458" s="2" t="str">
        <f t="shared" si="76"/>
        <v xml:space="preserve"> </v>
      </c>
      <c r="AG458" s="2" t="str">
        <f t="shared" si="76"/>
        <v xml:space="preserve"> </v>
      </c>
      <c r="AH458" s="2" t="str">
        <f t="shared" si="77"/>
        <v xml:space="preserve"> </v>
      </c>
      <c r="AI458" s="2" t="str">
        <f t="shared" si="77"/>
        <v xml:space="preserve"> </v>
      </c>
      <c r="AJ458" s="2" t="str">
        <f t="shared" si="77"/>
        <v xml:space="preserve"> </v>
      </c>
      <c r="AK458" s="2" t="str">
        <f t="shared" si="77"/>
        <v xml:space="preserve"> </v>
      </c>
      <c r="AL458" s="2" t="str">
        <f t="shared" si="77"/>
        <v xml:space="preserve"> </v>
      </c>
      <c r="AM458" s="2" t="str">
        <f t="shared" si="77"/>
        <v xml:space="preserve"> </v>
      </c>
      <c r="AN458" s="2" t="str">
        <f t="shared" si="77"/>
        <v xml:space="preserve"> </v>
      </c>
      <c r="AO458" s="2" t="str">
        <f t="shared" si="77"/>
        <v xml:space="preserve"> </v>
      </c>
      <c r="AP458" s="2" t="str">
        <f t="shared" si="77"/>
        <v xml:space="preserve"> </v>
      </c>
      <c r="AQ458" s="25" t="str">
        <f t="shared" si="77"/>
        <v xml:space="preserve"> </v>
      </c>
      <c r="AR458" s="12">
        <f t="shared" si="79"/>
        <v>0</v>
      </c>
    </row>
    <row r="459" spans="1:44" x14ac:dyDescent="0.25">
      <c r="A459" s="12">
        <f t="shared" si="78"/>
        <v>0</v>
      </c>
      <c r="B459" s="12">
        <f>IF(AND($C$420&gt;$C$419,($B$454+5)&lt;=$C$420),$C$419+6,0)</f>
        <v>0</v>
      </c>
      <c r="C459" s="26">
        <f t="shared" si="80"/>
        <v>0</v>
      </c>
      <c r="D459" s="26" t="str">
        <f t="shared" si="75"/>
        <v xml:space="preserve"> </v>
      </c>
      <c r="E459" s="2" t="str">
        <f t="shared" si="75"/>
        <v xml:space="preserve"> </v>
      </c>
      <c r="F459" s="2" t="str">
        <f t="shared" si="75"/>
        <v xml:space="preserve"> </v>
      </c>
      <c r="G459" s="2" t="str">
        <f t="shared" si="75"/>
        <v xml:space="preserve"> </v>
      </c>
      <c r="H459" s="2" t="str">
        <f t="shared" si="75"/>
        <v xml:space="preserve"> </v>
      </c>
      <c r="I459" s="2" t="str">
        <f t="shared" si="75"/>
        <v xml:space="preserve"> </v>
      </c>
      <c r="J459" s="2" t="str">
        <f t="shared" si="75"/>
        <v xml:space="preserve"> </v>
      </c>
      <c r="K459" s="2" t="str">
        <f t="shared" si="75"/>
        <v xml:space="preserve"> </v>
      </c>
      <c r="L459" s="2" t="str">
        <f t="shared" si="75"/>
        <v xml:space="preserve"> </v>
      </c>
      <c r="M459" s="2" t="str">
        <f t="shared" si="75"/>
        <v xml:space="preserve"> </v>
      </c>
      <c r="N459" s="2" t="str">
        <f t="shared" si="75"/>
        <v xml:space="preserve"> </v>
      </c>
      <c r="O459" s="2" t="str">
        <f t="shared" si="75"/>
        <v xml:space="preserve"> </v>
      </c>
      <c r="P459" s="2" t="str">
        <f t="shared" si="75"/>
        <v xml:space="preserve"> </v>
      </c>
      <c r="Q459" s="2" t="str">
        <f t="shared" si="75"/>
        <v xml:space="preserve"> </v>
      </c>
      <c r="R459" s="2" t="str">
        <f t="shared" si="75"/>
        <v xml:space="preserve"> </v>
      </c>
      <c r="S459" s="2" t="str">
        <f t="shared" si="75"/>
        <v xml:space="preserve"> </v>
      </c>
      <c r="T459" s="2" t="str">
        <f t="shared" si="76"/>
        <v xml:space="preserve"> </v>
      </c>
      <c r="U459" s="2" t="str">
        <f t="shared" si="76"/>
        <v xml:space="preserve"> </v>
      </c>
      <c r="V459" s="2" t="str">
        <f t="shared" si="76"/>
        <v xml:space="preserve"> </v>
      </c>
      <c r="W459" s="2" t="str">
        <f t="shared" si="76"/>
        <v xml:space="preserve"> </v>
      </c>
      <c r="X459" s="2" t="str">
        <f t="shared" si="76"/>
        <v xml:space="preserve"> </v>
      </c>
      <c r="Y459" s="2" t="str">
        <f t="shared" si="76"/>
        <v xml:space="preserve"> </v>
      </c>
      <c r="Z459" s="2" t="str">
        <f t="shared" si="76"/>
        <v xml:space="preserve"> </v>
      </c>
      <c r="AA459" s="2" t="str">
        <f t="shared" si="76"/>
        <v xml:space="preserve"> </v>
      </c>
      <c r="AB459" s="2" t="str">
        <f t="shared" si="76"/>
        <v xml:space="preserve"> </v>
      </c>
      <c r="AC459" s="2" t="str">
        <f t="shared" si="76"/>
        <v xml:space="preserve"> </v>
      </c>
      <c r="AD459" s="2" t="str">
        <f t="shared" si="76"/>
        <v xml:space="preserve"> </v>
      </c>
      <c r="AE459" s="2" t="str">
        <f t="shared" si="76"/>
        <v xml:space="preserve"> </v>
      </c>
      <c r="AF459" s="2" t="str">
        <f t="shared" si="76"/>
        <v xml:space="preserve"> </v>
      </c>
      <c r="AG459" s="2" t="str">
        <f t="shared" si="76"/>
        <v xml:space="preserve"> </v>
      </c>
      <c r="AH459" s="2" t="str">
        <f t="shared" si="77"/>
        <v xml:space="preserve"> </v>
      </c>
      <c r="AI459" s="2" t="str">
        <f t="shared" si="77"/>
        <v xml:space="preserve"> </v>
      </c>
      <c r="AJ459" s="2" t="str">
        <f t="shared" si="77"/>
        <v xml:space="preserve"> </v>
      </c>
      <c r="AK459" s="2" t="str">
        <f t="shared" si="77"/>
        <v xml:space="preserve"> </v>
      </c>
      <c r="AL459" s="2" t="str">
        <f t="shared" si="77"/>
        <v xml:space="preserve"> </v>
      </c>
      <c r="AM459" s="2" t="str">
        <f t="shared" si="77"/>
        <v xml:space="preserve"> </v>
      </c>
      <c r="AN459" s="2" t="str">
        <f t="shared" si="77"/>
        <v xml:space="preserve"> </v>
      </c>
      <c r="AO459" s="2" t="str">
        <f t="shared" si="77"/>
        <v xml:space="preserve"> </v>
      </c>
      <c r="AP459" s="2" t="str">
        <f t="shared" si="77"/>
        <v xml:space="preserve"> </v>
      </c>
      <c r="AQ459" s="25" t="str">
        <f t="shared" si="77"/>
        <v xml:space="preserve"> </v>
      </c>
      <c r="AR459" s="12">
        <f t="shared" si="79"/>
        <v>0</v>
      </c>
    </row>
    <row r="460" spans="1:44" x14ac:dyDescent="0.25">
      <c r="A460" s="12">
        <f t="shared" si="78"/>
        <v>0</v>
      </c>
      <c r="B460" s="12">
        <f>IF(AND($C$420&gt;$C$419,($B$454+6)&lt;=$C$420),$C$419+7,0)</f>
        <v>0</v>
      </c>
      <c r="C460" s="26">
        <f t="shared" si="80"/>
        <v>0</v>
      </c>
      <c r="D460" s="26" t="str">
        <f t="shared" si="75"/>
        <v xml:space="preserve"> </v>
      </c>
      <c r="E460" s="2" t="str">
        <f t="shared" si="75"/>
        <v xml:space="preserve"> </v>
      </c>
      <c r="F460" s="2" t="str">
        <f t="shared" si="75"/>
        <v xml:space="preserve"> </v>
      </c>
      <c r="G460" s="2" t="str">
        <f t="shared" si="75"/>
        <v xml:space="preserve"> </v>
      </c>
      <c r="H460" s="2" t="str">
        <f t="shared" si="75"/>
        <v xml:space="preserve"> </v>
      </c>
      <c r="I460" s="2" t="str">
        <f t="shared" si="75"/>
        <v xml:space="preserve"> </v>
      </c>
      <c r="J460" s="2" t="str">
        <f t="shared" si="75"/>
        <v xml:space="preserve"> </v>
      </c>
      <c r="K460" s="2" t="str">
        <f t="shared" si="75"/>
        <v xml:space="preserve"> </v>
      </c>
      <c r="L460" s="2" t="str">
        <f t="shared" si="75"/>
        <v xml:space="preserve"> </v>
      </c>
      <c r="M460" s="2" t="str">
        <f t="shared" si="75"/>
        <v xml:space="preserve"> </v>
      </c>
      <c r="N460" s="2" t="str">
        <f t="shared" si="75"/>
        <v xml:space="preserve"> </v>
      </c>
      <c r="O460" s="2" t="str">
        <f t="shared" si="75"/>
        <v xml:space="preserve"> </v>
      </c>
      <c r="P460" s="2" t="str">
        <f t="shared" si="75"/>
        <v xml:space="preserve"> </v>
      </c>
      <c r="Q460" s="2" t="str">
        <f t="shared" si="75"/>
        <v xml:space="preserve"> </v>
      </c>
      <c r="R460" s="2" t="str">
        <f t="shared" si="75"/>
        <v xml:space="preserve"> </v>
      </c>
      <c r="S460" s="2" t="str">
        <f t="shared" si="75"/>
        <v xml:space="preserve"> </v>
      </c>
      <c r="T460" s="2" t="str">
        <f t="shared" si="76"/>
        <v xml:space="preserve"> </v>
      </c>
      <c r="U460" s="2" t="str">
        <f t="shared" si="76"/>
        <v xml:space="preserve"> </v>
      </c>
      <c r="V460" s="2" t="str">
        <f t="shared" si="76"/>
        <v xml:space="preserve"> </v>
      </c>
      <c r="W460" s="2" t="str">
        <f t="shared" si="76"/>
        <v xml:space="preserve"> </v>
      </c>
      <c r="X460" s="2" t="str">
        <f t="shared" si="76"/>
        <v xml:space="preserve"> </v>
      </c>
      <c r="Y460" s="2" t="str">
        <f t="shared" si="76"/>
        <v xml:space="preserve"> </v>
      </c>
      <c r="Z460" s="2" t="str">
        <f t="shared" si="76"/>
        <v xml:space="preserve"> </v>
      </c>
      <c r="AA460" s="2" t="str">
        <f t="shared" si="76"/>
        <v xml:space="preserve"> </v>
      </c>
      <c r="AB460" s="2" t="str">
        <f t="shared" si="76"/>
        <v xml:space="preserve"> </v>
      </c>
      <c r="AC460" s="2" t="str">
        <f t="shared" si="76"/>
        <v xml:space="preserve"> </v>
      </c>
      <c r="AD460" s="2" t="str">
        <f t="shared" si="76"/>
        <v xml:space="preserve"> </v>
      </c>
      <c r="AE460" s="2" t="str">
        <f t="shared" si="76"/>
        <v xml:space="preserve"> </v>
      </c>
      <c r="AF460" s="2" t="str">
        <f t="shared" si="76"/>
        <v xml:space="preserve"> </v>
      </c>
      <c r="AG460" s="2" t="str">
        <f t="shared" si="76"/>
        <v xml:space="preserve"> </v>
      </c>
      <c r="AH460" s="2" t="str">
        <f t="shared" si="77"/>
        <v xml:space="preserve"> </v>
      </c>
      <c r="AI460" s="2" t="str">
        <f t="shared" si="77"/>
        <v xml:space="preserve"> </v>
      </c>
      <c r="AJ460" s="2" t="str">
        <f t="shared" si="77"/>
        <v xml:space="preserve"> </v>
      </c>
      <c r="AK460" s="2" t="str">
        <f t="shared" si="77"/>
        <v xml:space="preserve"> </v>
      </c>
      <c r="AL460" s="2" t="str">
        <f t="shared" si="77"/>
        <v xml:space="preserve"> </v>
      </c>
      <c r="AM460" s="2" t="str">
        <f t="shared" si="77"/>
        <v xml:space="preserve"> </v>
      </c>
      <c r="AN460" s="2" t="str">
        <f t="shared" si="77"/>
        <v xml:space="preserve"> </v>
      </c>
      <c r="AO460" s="2" t="str">
        <f t="shared" si="77"/>
        <v xml:space="preserve"> </v>
      </c>
      <c r="AP460" s="2" t="str">
        <f t="shared" si="77"/>
        <v xml:space="preserve"> </v>
      </c>
      <c r="AQ460" s="25" t="str">
        <f t="shared" si="77"/>
        <v xml:space="preserve"> </v>
      </c>
      <c r="AR460" s="12">
        <f t="shared" si="79"/>
        <v>0</v>
      </c>
    </row>
    <row r="461" spans="1:44" x14ac:dyDescent="0.25">
      <c r="A461" s="12">
        <f t="shared" si="78"/>
        <v>0</v>
      </c>
      <c r="B461" s="12">
        <f>IF(AND($C$420&gt;$C$419,($B$454+7)&lt;=$C$420),$C$419+8,0)</f>
        <v>0</v>
      </c>
      <c r="C461" s="26">
        <f t="shared" si="80"/>
        <v>0</v>
      </c>
      <c r="D461" s="26" t="str">
        <f t="shared" si="75"/>
        <v xml:space="preserve"> </v>
      </c>
      <c r="E461" s="2" t="str">
        <f t="shared" si="75"/>
        <v xml:space="preserve"> </v>
      </c>
      <c r="F461" s="2" t="str">
        <f t="shared" si="75"/>
        <v xml:space="preserve"> </v>
      </c>
      <c r="G461" s="2" t="str">
        <f t="shared" si="75"/>
        <v xml:space="preserve"> </v>
      </c>
      <c r="H461" s="2" t="str">
        <f t="shared" si="75"/>
        <v xml:space="preserve"> </v>
      </c>
      <c r="I461" s="2" t="str">
        <f t="shared" si="75"/>
        <v xml:space="preserve"> </v>
      </c>
      <c r="J461" s="2" t="str">
        <f t="shared" si="75"/>
        <v xml:space="preserve"> </v>
      </c>
      <c r="K461" s="2" t="str">
        <f t="shared" si="75"/>
        <v xml:space="preserve"> </v>
      </c>
      <c r="L461" s="2" t="str">
        <f t="shared" si="75"/>
        <v xml:space="preserve"> </v>
      </c>
      <c r="M461" s="2" t="str">
        <f t="shared" si="75"/>
        <v xml:space="preserve"> </v>
      </c>
      <c r="N461" s="2" t="str">
        <f t="shared" si="75"/>
        <v xml:space="preserve"> </v>
      </c>
      <c r="O461" s="2" t="str">
        <f t="shared" si="75"/>
        <v xml:space="preserve"> </v>
      </c>
      <c r="P461" s="2" t="str">
        <f t="shared" si="75"/>
        <v xml:space="preserve"> </v>
      </c>
      <c r="Q461" s="2" t="str">
        <f t="shared" si="75"/>
        <v xml:space="preserve"> </v>
      </c>
      <c r="R461" s="2" t="str">
        <f t="shared" si="75"/>
        <v xml:space="preserve"> </v>
      </c>
      <c r="S461" s="2" t="str">
        <f t="shared" si="75"/>
        <v xml:space="preserve"> </v>
      </c>
      <c r="T461" s="2" t="str">
        <f t="shared" si="76"/>
        <v xml:space="preserve"> </v>
      </c>
      <c r="U461" s="2" t="str">
        <f t="shared" si="76"/>
        <v xml:space="preserve"> </v>
      </c>
      <c r="V461" s="2" t="str">
        <f t="shared" si="76"/>
        <v xml:space="preserve"> </v>
      </c>
      <c r="W461" s="2" t="str">
        <f t="shared" si="76"/>
        <v xml:space="preserve"> </v>
      </c>
      <c r="X461" s="2" t="str">
        <f t="shared" si="76"/>
        <v xml:space="preserve"> </v>
      </c>
      <c r="Y461" s="2" t="str">
        <f t="shared" si="76"/>
        <v xml:space="preserve"> </v>
      </c>
      <c r="Z461" s="2" t="str">
        <f t="shared" si="76"/>
        <v xml:space="preserve"> </v>
      </c>
      <c r="AA461" s="2" t="str">
        <f t="shared" si="76"/>
        <v xml:space="preserve"> </v>
      </c>
      <c r="AB461" s="2" t="str">
        <f t="shared" si="76"/>
        <v xml:space="preserve"> </v>
      </c>
      <c r="AC461" s="2" t="str">
        <f t="shared" si="76"/>
        <v xml:space="preserve"> </v>
      </c>
      <c r="AD461" s="2" t="str">
        <f t="shared" si="76"/>
        <v xml:space="preserve"> </v>
      </c>
      <c r="AE461" s="2" t="str">
        <f t="shared" si="76"/>
        <v xml:space="preserve"> </v>
      </c>
      <c r="AF461" s="2" t="str">
        <f t="shared" si="76"/>
        <v xml:space="preserve"> </v>
      </c>
      <c r="AG461" s="2" t="str">
        <f t="shared" si="76"/>
        <v xml:space="preserve"> </v>
      </c>
      <c r="AH461" s="2" t="str">
        <f t="shared" si="77"/>
        <v xml:space="preserve"> </v>
      </c>
      <c r="AI461" s="2" t="str">
        <f t="shared" si="77"/>
        <v xml:space="preserve"> </v>
      </c>
      <c r="AJ461" s="2" t="str">
        <f t="shared" si="77"/>
        <v xml:space="preserve"> </v>
      </c>
      <c r="AK461" s="2" t="str">
        <f t="shared" si="77"/>
        <v xml:space="preserve"> </v>
      </c>
      <c r="AL461" s="2" t="str">
        <f t="shared" si="77"/>
        <v xml:space="preserve"> </v>
      </c>
      <c r="AM461" s="2" t="str">
        <f t="shared" si="77"/>
        <v xml:space="preserve"> </v>
      </c>
      <c r="AN461" s="2" t="str">
        <f t="shared" si="77"/>
        <v xml:space="preserve"> </v>
      </c>
      <c r="AO461" s="2" t="str">
        <f t="shared" si="77"/>
        <v xml:space="preserve"> </v>
      </c>
      <c r="AP461" s="2" t="str">
        <f t="shared" si="77"/>
        <v xml:space="preserve"> </v>
      </c>
      <c r="AQ461" s="25" t="str">
        <f t="shared" si="77"/>
        <v xml:space="preserve"> </v>
      </c>
      <c r="AR461" s="12">
        <f t="shared" si="79"/>
        <v>0</v>
      </c>
    </row>
    <row r="462" spans="1:44" x14ac:dyDescent="0.25">
      <c r="A462" s="12">
        <f t="shared" si="78"/>
        <v>0</v>
      </c>
      <c r="B462" s="12">
        <f>IF(AND($C$420&gt;$C$419,($B$454+8)&lt;=$C$420),$C$419+9,0)</f>
        <v>0</v>
      </c>
      <c r="C462" s="26">
        <f t="shared" si="80"/>
        <v>0</v>
      </c>
      <c r="D462" s="26" t="str">
        <f t="shared" si="75"/>
        <v xml:space="preserve"> </v>
      </c>
      <c r="E462" s="2" t="str">
        <f t="shared" si="75"/>
        <v xml:space="preserve"> </v>
      </c>
      <c r="F462" s="2" t="str">
        <f t="shared" si="75"/>
        <v xml:space="preserve"> </v>
      </c>
      <c r="G462" s="2" t="str">
        <f t="shared" si="75"/>
        <v xml:space="preserve"> </v>
      </c>
      <c r="H462" s="2" t="str">
        <f t="shared" si="75"/>
        <v xml:space="preserve"> </v>
      </c>
      <c r="I462" s="2" t="str">
        <f t="shared" si="75"/>
        <v xml:space="preserve"> </v>
      </c>
      <c r="J462" s="2" t="str">
        <f t="shared" si="75"/>
        <v xml:space="preserve"> </v>
      </c>
      <c r="K462" s="2" t="str">
        <f t="shared" si="75"/>
        <v xml:space="preserve"> </v>
      </c>
      <c r="L462" s="2" t="str">
        <f t="shared" si="75"/>
        <v xml:space="preserve"> </v>
      </c>
      <c r="M462" s="2" t="str">
        <f t="shared" si="75"/>
        <v xml:space="preserve"> </v>
      </c>
      <c r="N462" s="2" t="str">
        <f t="shared" si="75"/>
        <v xml:space="preserve"> </v>
      </c>
      <c r="O462" s="2" t="str">
        <f t="shared" si="75"/>
        <v xml:space="preserve"> </v>
      </c>
      <c r="P462" s="2" t="str">
        <f t="shared" si="75"/>
        <v xml:space="preserve"> </v>
      </c>
      <c r="Q462" s="2" t="str">
        <f t="shared" si="75"/>
        <v xml:space="preserve"> </v>
      </c>
      <c r="R462" s="2" t="str">
        <f t="shared" si="75"/>
        <v xml:space="preserve"> </v>
      </c>
      <c r="S462" s="2" t="str">
        <f t="shared" si="75"/>
        <v xml:space="preserve"> </v>
      </c>
      <c r="T462" s="2" t="str">
        <f t="shared" si="76"/>
        <v xml:space="preserve"> </v>
      </c>
      <c r="U462" s="2" t="str">
        <f t="shared" si="76"/>
        <v xml:space="preserve"> </v>
      </c>
      <c r="V462" s="2" t="str">
        <f t="shared" si="76"/>
        <v xml:space="preserve"> </v>
      </c>
      <c r="W462" s="2" t="str">
        <f t="shared" si="76"/>
        <v xml:space="preserve"> </v>
      </c>
      <c r="X462" s="2" t="str">
        <f t="shared" si="76"/>
        <v xml:space="preserve"> </v>
      </c>
      <c r="Y462" s="2" t="str">
        <f t="shared" si="76"/>
        <v xml:space="preserve"> </v>
      </c>
      <c r="Z462" s="2" t="str">
        <f t="shared" si="76"/>
        <v xml:space="preserve"> </v>
      </c>
      <c r="AA462" s="2" t="str">
        <f t="shared" si="76"/>
        <v xml:space="preserve"> </v>
      </c>
      <c r="AB462" s="2" t="str">
        <f t="shared" si="76"/>
        <v xml:space="preserve"> </v>
      </c>
      <c r="AC462" s="2" t="str">
        <f t="shared" si="76"/>
        <v xml:space="preserve"> </v>
      </c>
      <c r="AD462" s="2" t="str">
        <f t="shared" si="76"/>
        <v xml:space="preserve"> </v>
      </c>
      <c r="AE462" s="2" t="str">
        <f t="shared" si="76"/>
        <v xml:space="preserve"> </v>
      </c>
      <c r="AF462" s="2" t="str">
        <f t="shared" si="76"/>
        <v xml:space="preserve"> </v>
      </c>
      <c r="AG462" s="2" t="str">
        <f t="shared" si="76"/>
        <v xml:space="preserve"> </v>
      </c>
      <c r="AH462" s="2" t="str">
        <f t="shared" si="77"/>
        <v xml:space="preserve"> </v>
      </c>
      <c r="AI462" s="2" t="str">
        <f t="shared" si="77"/>
        <v xml:space="preserve"> </v>
      </c>
      <c r="AJ462" s="2" t="str">
        <f t="shared" si="77"/>
        <v xml:space="preserve"> </v>
      </c>
      <c r="AK462" s="2" t="str">
        <f t="shared" si="77"/>
        <v xml:space="preserve"> </v>
      </c>
      <c r="AL462" s="2" t="str">
        <f t="shared" si="77"/>
        <v xml:space="preserve"> </v>
      </c>
      <c r="AM462" s="2" t="str">
        <f t="shared" si="77"/>
        <v xml:space="preserve"> </v>
      </c>
      <c r="AN462" s="2" t="str">
        <f t="shared" si="77"/>
        <v xml:space="preserve"> </v>
      </c>
      <c r="AO462" s="2" t="str">
        <f t="shared" si="77"/>
        <v xml:space="preserve"> </v>
      </c>
      <c r="AP462" s="2" t="str">
        <f t="shared" si="77"/>
        <v xml:space="preserve"> </v>
      </c>
      <c r="AQ462" s="25" t="str">
        <f t="shared" si="77"/>
        <v xml:space="preserve"> </v>
      </c>
      <c r="AR462" s="12">
        <f t="shared" si="79"/>
        <v>0</v>
      </c>
    </row>
    <row r="463" spans="1:44" x14ac:dyDescent="0.25">
      <c r="A463" s="12">
        <f t="shared" si="78"/>
        <v>0</v>
      </c>
      <c r="B463" s="12">
        <f>IF(AND($C$420&gt;$C$419,($B$454+9)&lt;=$C$420),$C$419+10,0)</f>
        <v>0</v>
      </c>
      <c r="C463" s="26">
        <f t="shared" si="80"/>
        <v>0</v>
      </c>
      <c r="D463" s="26" t="str">
        <f t="shared" si="75"/>
        <v xml:space="preserve"> </v>
      </c>
      <c r="E463" s="2" t="str">
        <f t="shared" si="75"/>
        <v xml:space="preserve"> </v>
      </c>
      <c r="F463" s="2" t="str">
        <f t="shared" si="75"/>
        <v xml:space="preserve"> </v>
      </c>
      <c r="G463" s="2" t="str">
        <f t="shared" si="75"/>
        <v xml:space="preserve"> </v>
      </c>
      <c r="H463" s="2" t="str">
        <f t="shared" si="75"/>
        <v xml:space="preserve"> </v>
      </c>
      <c r="I463" s="2" t="str">
        <f t="shared" si="75"/>
        <v xml:space="preserve"> </v>
      </c>
      <c r="J463" s="2" t="str">
        <f t="shared" si="75"/>
        <v xml:space="preserve"> </v>
      </c>
      <c r="K463" s="2" t="str">
        <f t="shared" si="75"/>
        <v xml:space="preserve"> </v>
      </c>
      <c r="L463" s="2" t="str">
        <f t="shared" si="75"/>
        <v xml:space="preserve"> </v>
      </c>
      <c r="M463" s="2" t="str">
        <f t="shared" si="75"/>
        <v xml:space="preserve"> </v>
      </c>
      <c r="N463" s="2" t="str">
        <f t="shared" si="75"/>
        <v xml:space="preserve"> </v>
      </c>
      <c r="O463" s="2" t="str">
        <f t="shared" si="75"/>
        <v xml:space="preserve"> </v>
      </c>
      <c r="P463" s="2" t="str">
        <f t="shared" si="75"/>
        <v xml:space="preserve"> </v>
      </c>
      <c r="Q463" s="2" t="str">
        <f t="shared" si="75"/>
        <v xml:space="preserve"> </v>
      </c>
      <c r="R463" s="2" t="str">
        <f t="shared" si="75"/>
        <v xml:space="preserve"> </v>
      </c>
      <c r="S463" s="2" t="str">
        <f t="shared" si="75"/>
        <v xml:space="preserve"> </v>
      </c>
      <c r="T463" s="2" t="str">
        <f t="shared" si="76"/>
        <v xml:space="preserve"> </v>
      </c>
      <c r="U463" s="2" t="str">
        <f t="shared" si="76"/>
        <v xml:space="preserve"> </v>
      </c>
      <c r="V463" s="2" t="str">
        <f t="shared" si="76"/>
        <v xml:space="preserve"> </v>
      </c>
      <c r="W463" s="2" t="str">
        <f t="shared" si="76"/>
        <v xml:space="preserve"> </v>
      </c>
      <c r="X463" s="2" t="str">
        <f t="shared" si="76"/>
        <v xml:space="preserve"> </v>
      </c>
      <c r="Y463" s="2" t="str">
        <f t="shared" si="76"/>
        <v xml:space="preserve"> </v>
      </c>
      <c r="Z463" s="2" t="str">
        <f t="shared" si="76"/>
        <v xml:space="preserve"> </v>
      </c>
      <c r="AA463" s="2" t="str">
        <f t="shared" si="76"/>
        <v xml:space="preserve"> </v>
      </c>
      <c r="AB463" s="2" t="str">
        <f t="shared" si="76"/>
        <v xml:space="preserve"> </v>
      </c>
      <c r="AC463" s="2" t="str">
        <f t="shared" si="76"/>
        <v xml:space="preserve"> </v>
      </c>
      <c r="AD463" s="2" t="str">
        <f t="shared" si="76"/>
        <v xml:space="preserve"> </v>
      </c>
      <c r="AE463" s="2" t="str">
        <f t="shared" si="76"/>
        <v xml:space="preserve"> </v>
      </c>
      <c r="AF463" s="2" t="str">
        <f t="shared" si="76"/>
        <v xml:space="preserve"> </v>
      </c>
      <c r="AG463" s="2" t="str">
        <f t="shared" si="76"/>
        <v xml:space="preserve"> </v>
      </c>
      <c r="AH463" s="2" t="str">
        <f t="shared" si="77"/>
        <v xml:space="preserve"> </v>
      </c>
      <c r="AI463" s="2" t="str">
        <f t="shared" si="77"/>
        <v xml:space="preserve"> </v>
      </c>
      <c r="AJ463" s="2" t="str">
        <f t="shared" si="77"/>
        <v xml:space="preserve"> </v>
      </c>
      <c r="AK463" s="2" t="str">
        <f t="shared" si="77"/>
        <v xml:space="preserve"> </v>
      </c>
      <c r="AL463" s="2" t="str">
        <f t="shared" si="77"/>
        <v xml:space="preserve"> </v>
      </c>
      <c r="AM463" s="2" t="str">
        <f t="shared" si="77"/>
        <v xml:space="preserve"> </v>
      </c>
      <c r="AN463" s="2" t="str">
        <f t="shared" si="77"/>
        <v xml:space="preserve"> </v>
      </c>
      <c r="AO463" s="2" t="str">
        <f t="shared" si="77"/>
        <v xml:space="preserve"> </v>
      </c>
      <c r="AP463" s="2" t="str">
        <f t="shared" si="77"/>
        <v xml:space="preserve"> </v>
      </c>
      <c r="AQ463" s="25" t="str">
        <f t="shared" si="77"/>
        <v xml:space="preserve"> </v>
      </c>
      <c r="AR463" s="12">
        <f t="shared" si="79"/>
        <v>0</v>
      </c>
    </row>
    <row r="464" spans="1:44" x14ac:dyDescent="0.25">
      <c r="A464" s="12">
        <f t="shared" si="78"/>
        <v>0</v>
      </c>
      <c r="B464" s="12">
        <f>IF(AND($C$420&gt;$C$419,($B$454+10)&lt;=$C$420),$C$419+11,0)</f>
        <v>0</v>
      </c>
      <c r="C464" s="26">
        <f t="shared" si="80"/>
        <v>0</v>
      </c>
      <c r="D464" s="26" t="str">
        <f t="shared" si="75"/>
        <v xml:space="preserve"> </v>
      </c>
      <c r="E464" s="2" t="str">
        <f t="shared" si="75"/>
        <v xml:space="preserve"> </v>
      </c>
      <c r="F464" s="2" t="str">
        <f t="shared" si="75"/>
        <v xml:space="preserve"> </v>
      </c>
      <c r="G464" s="2" t="str">
        <f t="shared" si="75"/>
        <v xml:space="preserve"> </v>
      </c>
      <c r="H464" s="2" t="str">
        <f t="shared" si="75"/>
        <v xml:space="preserve"> </v>
      </c>
      <c r="I464" s="2" t="str">
        <f t="shared" si="75"/>
        <v xml:space="preserve"> </v>
      </c>
      <c r="J464" s="2" t="str">
        <f t="shared" si="75"/>
        <v xml:space="preserve"> </v>
      </c>
      <c r="K464" s="2" t="str">
        <f t="shared" si="75"/>
        <v xml:space="preserve"> </v>
      </c>
      <c r="L464" s="2" t="str">
        <f t="shared" si="75"/>
        <v xml:space="preserve"> </v>
      </c>
      <c r="M464" s="2" t="str">
        <f t="shared" si="75"/>
        <v xml:space="preserve"> </v>
      </c>
      <c r="N464" s="2" t="str">
        <f t="shared" si="75"/>
        <v xml:space="preserve"> </v>
      </c>
      <c r="O464" s="2" t="str">
        <f t="shared" si="75"/>
        <v xml:space="preserve"> </v>
      </c>
      <c r="P464" s="2" t="str">
        <f t="shared" si="75"/>
        <v xml:space="preserve"> </v>
      </c>
      <c r="Q464" s="2" t="str">
        <f t="shared" si="75"/>
        <v xml:space="preserve"> </v>
      </c>
      <c r="R464" s="2" t="str">
        <f t="shared" si="75"/>
        <v xml:space="preserve"> </v>
      </c>
      <c r="S464" s="2" t="str">
        <f t="shared" si="75"/>
        <v xml:space="preserve"> </v>
      </c>
      <c r="T464" s="2" t="str">
        <f t="shared" si="76"/>
        <v xml:space="preserve"> </v>
      </c>
      <c r="U464" s="2" t="str">
        <f t="shared" si="76"/>
        <v xml:space="preserve"> </v>
      </c>
      <c r="V464" s="2" t="str">
        <f t="shared" si="76"/>
        <v xml:space="preserve"> </v>
      </c>
      <c r="W464" s="2" t="str">
        <f t="shared" si="76"/>
        <v xml:space="preserve"> </v>
      </c>
      <c r="X464" s="2" t="str">
        <f t="shared" si="76"/>
        <v xml:space="preserve"> </v>
      </c>
      <c r="Y464" s="2" t="str">
        <f t="shared" si="76"/>
        <v xml:space="preserve"> </v>
      </c>
      <c r="Z464" s="2" t="str">
        <f t="shared" si="76"/>
        <v xml:space="preserve"> </v>
      </c>
      <c r="AA464" s="2" t="str">
        <f t="shared" si="76"/>
        <v xml:space="preserve"> </v>
      </c>
      <c r="AB464" s="2" t="str">
        <f t="shared" si="76"/>
        <v xml:space="preserve"> </v>
      </c>
      <c r="AC464" s="2" t="str">
        <f t="shared" si="76"/>
        <v xml:space="preserve"> </v>
      </c>
      <c r="AD464" s="2" t="str">
        <f t="shared" si="76"/>
        <v xml:space="preserve"> </v>
      </c>
      <c r="AE464" s="2" t="str">
        <f t="shared" si="76"/>
        <v xml:space="preserve"> </v>
      </c>
      <c r="AF464" s="2" t="str">
        <f t="shared" si="76"/>
        <v xml:space="preserve"> </v>
      </c>
      <c r="AG464" s="2" t="str">
        <f t="shared" si="76"/>
        <v xml:space="preserve"> </v>
      </c>
      <c r="AH464" s="2" t="str">
        <f t="shared" si="77"/>
        <v xml:space="preserve"> </v>
      </c>
      <c r="AI464" s="2" t="str">
        <f t="shared" si="77"/>
        <v xml:space="preserve"> </v>
      </c>
      <c r="AJ464" s="2" t="str">
        <f t="shared" si="77"/>
        <v xml:space="preserve"> </v>
      </c>
      <c r="AK464" s="2" t="str">
        <f t="shared" si="77"/>
        <v xml:space="preserve"> </v>
      </c>
      <c r="AL464" s="2" t="str">
        <f t="shared" si="77"/>
        <v xml:space="preserve"> </v>
      </c>
      <c r="AM464" s="2" t="str">
        <f t="shared" si="77"/>
        <v xml:space="preserve"> </v>
      </c>
      <c r="AN464" s="2" t="str">
        <f t="shared" si="77"/>
        <v xml:space="preserve"> </v>
      </c>
      <c r="AO464" s="2" t="str">
        <f t="shared" si="77"/>
        <v xml:space="preserve"> </v>
      </c>
      <c r="AP464" s="2" t="str">
        <f t="shared" si="77"/>
        <v xml:space="preserve"> </v>
      </c>
      <c r="AQ464" s="25" t="str">
        <f t="shared" si="77"/>
        <v xml:space="preserve"> </v>
      </c>
      <c r="AR464" s="12">
        <f t="shared" si="79"/>
        <v>0</v>
      </c>
    </row>
    <row r="465" spans="1:44" x14ac:dyDescent="0.25">
      <c r="A465" s="12">
        <f t="shared" si="78"/>
        <v>0</v>
      </c>
      <c r="B465" s="12">
        <f>IF(AND($C$420&gt;$C$419,($B$454+11)&lt;=$C$420),$C$419+12,0)</f>
        <v>0</v>
      </c>
      <c r="C465" s="26">
        <f t="shared" si="80"/>
        <v>0</v>
      </c>
      <c r="D465" s="26" t="str">
        <f t="shared" si="75"/>
        <v xml:space="preserve"> </v>
      </c>
      <c r="E465" s="2" t="str">
        <f t="shared" si="75"/>
        <v xml:space="preserve"> </v>
      </c>
      <c r="F465" s="2" t="str">
        <f t="shared" si="75"/>
        <v xml:space="preserve"> </v>
      </c>
      <c r="G465" s="2" t="str">
        <f t="shared" si="75"/>
        <v xml:space="preserve"> </v>
      </c>
      <c r="H465" s="2" t="str">
        <f t="shared" si="75"/>
        <v xml:space="preserve"> </v>
      </c>
      <c r="I465" s="2" t="str">
        <f t="shared" si="75"/>
        <v xml:space="preserve"> </v>
      </c>
      <c r="J465" s="2" t="str">
        <f t="shared" si="75"/>
        <v xml:space="preserve"> </v>
      </c>
      <c r="K465" s="2" t="str">
        <f t="shared" si="75"/>
        <v xml:space="preserve"> </v>
      </c>
      <c r="L465" s="2" t="str">
        <f t="shared" si="75"/>
        <v xml:space="preserve"> </v>
      </c>
      <c r="M465" s="2" t="str">
        <f t="shared" si="75"/>
        <v xml:space="preserve"> </v>
      </c>
      <c r="N465" s="2" t="str">
        <f t="shared" si="75"/>
        <v xml:space="preserve"> </v>
      </c>
      <c r="O465" s="2" t="str">
        <f t="shared" si="75"/>
        <v xml:space="preserve"> </v>
      </c>
      <c r="P465" s="2" t="str">
        <f t="shared" si="75"/>
        <v xml:space="preserve"> </v>
      </c>
      <c r="Q465" s="2" t="str">
        <f t="shared" si="75"/>
        <v xml:space="preserve"> </v>
      </c>
      <c r="R465" s="2" t="str">
        <f t="shared" si="75"/>
        <v xml:space="preserve"> </v>
      </c>
      <c r="S465" s="2" t="str">
        <f t="shared" si="75"/>
        <v xml:space="preserve"> </v>
      </c>
      <c r="T465" s="2" t="str">
        <f t="shared" si="76"/>
        <v xml:space="preserve"> </v>
      </c>
      <c r="U465" s="2" t="str">
        <f t="shared" si="76"/>
        <v xml:space="preserve"> </v>
      </c>
      <c r="V465" s="2" t="str">
        <f t="shared" si="76"/>
        <v xml:space="preserve"> </v>
      </c>
      <c r="W465" s="2" t="str">
        <f t="shared" si="76"/>
        <v xml:space="preserve"> </v>
      </c>
      <c r="X465" s="2" t="str">
        <f t="shared" si="76"/>
        <v xml:space="preserve"> </v>
      </c>
      <c r="Y465" s="2" t="str">
        <f t="shared" si="76"/>
        <v xml:space="preserve"> </v>
      </c>
      <c r="Z465" s="2" t="str">
        <f t="shared" si="76"/>
        <v xml:space="preserve"> </v>
      </c>
      <c r="AA465" s="2" t="str">
        <f t="shared" si="76"/>
        <v xml:space="preserve"> </v>
      </c>
      <c r="AB465" s="2" t="str">
        <f t="shared" si="76"/>
        <v xml:space="preserve"> </v>
      </c>
      <c r="AC465" s="2" t="str">
        <f t="shared" si="76"/>
        <v xml:space="preserve"> </v>
      </c>
      <c r="AD465" s="2" t="str">
        <f t="shared" si="76"/>
        <v xml:space="preserve"> </v>
      </c>
      <c r="AE465" s="2" t="str">
        <f t="shared" si="76"/>
        <v xml:space="preserve"> </v>
      </c>
      <c r="AF465" s="2" t="str">
        <f t="shared" si="76"/>
        <v xml:space="preserve"> </v>
      </c>
      <c r="AG465" s="2" t="str">
        <f t="shared" si="76"/>
        <v xml:space="preserve"> </v>
      </c>
      <c r="AH465" s="2" t="str">
        <f t="shared" si="77"/>
        <v xml:space="preserve"> </v>
      </c>
      <c r="AI465" s="2" t="str">
        <f t="shared" si="77"/>
        <v xml:space="preserve"> </v>
      </c>
      <c r="AJ465" s="2" t="str">
        <f t="shared" si="77"/>
        <v xml:space="preserve"> </v>
      </c>
      <c r="AK465" s="2" t="str">
        <f t="shared" si="77"/>
        <v xml:space="preserve"> </v>
      </c>
      <c r="AL465" s="2" t="str">
        <f t="shared" si="77"/>
        <v xml:space="preserve"> </v>
      </c>
      <c r="AM465" s="2" t="str">
        <f t="shared" si="77"/>
        <v xml:space="preserve"> </v>
      </c>
      <c r="AN465" s="2" t="str">
        <f t="shared" si="77"/>
        <v xml:space="preserve"> </v>
      </c>
      <c r="AO465" s="2" t="str">
        <f t="shared" si="77"/>
        <v xml:space="preserve"> </v>
      </c>
      <c r="AP465" s="2" t="str">
        <f t="shared" si="77"/>
        <v xml:space="preserve"> </v>
      </c>
      <c r="AQ465" s="25" t="str">
        <f t="shared" si="77"/>
        <v xml:space="preserve"> </v>
      </c>
      <c r="AR465" s="12">
        <f t="shared" si="79"/>
        <v>0</v>
      </c>
    </row>
    <row r="466" spans="1:44" x14ac:dyDescent="0.25">
      <c r="A466" s="12">
        <f t="shared" si="78"/>
        <v>0</v>
      </c>
      <c r="B466" s="12">
        <f>IF(AND($C$420&gt;$C$419,($B$454+12)&lt;=$C$420),$C$419+13,0)</f>
        <v>0</v>
      </c>
      <c r="C466" s="26">
        <f t="shared" si="80"/>
        <v>0</v>
      </c>
      <c r="D466" s="26" t="str">
        <f t="shared" si="75"/>
        <v xml:space="preserve"> </v>
      </c>
      <c r="E466" s="2" t="str">
        <f t="shared" si="75"/>
        <v xml:space="preserve"> </v>
      </c>
      <c r="F466" s="2" t="str">
        <f t="shared" si="75"/>
        <v xml:space="preserve"> </v>
      </c>
      <c r="G466" s="2" t="str">
        <f t="shared" si="75"/>
        <v xml:space="preserve"> </v>
      </c>
      <c r="H466" s="2" t="str">
        <f t="shared" si="75"/>
        <v xml:space="preserve"> </v>
      </c>
      <c r="I466" s="2" t="str">
        <f t="shared" si="75"/>
        <v xml:space="preserve"> </v>
      </c>
      <c r="J466" s="2" t="str">
        <f t="shared" si="75"/>
        <v xml:space="preserve"> </v>
      </c>
      <c r="K466" s="2" t="str">
        <f t="shared" si="75"/>
        <v xml:space="preserve"> </v>
      </c>
      <c r="L466" s="2" t="str">
        <f t="shared" si="75"/>
        <v xml:space="preserve"> </v>
      </c>
      <c r="M466" s="2" t="str">
        <f t="shared" si="75"/>
        <v xml:space="preserve"> </v>
      </c>
      <c r="N466" s="2" t="str">
        <f t="shared" si="75"/>
        <v xml:space="preserve"> </v>
      </c>
      <c r="O466" s="2" t="str">
        <f t="shared" si="75"/>
        <v xml:space="preserve"> </v>
      </c>
      <c r="P466" s="2" t="str">
        <f t="shared" si="75"/>
        <v xml:space="preserve"> </v>
      </c>
      <c r="Q466" s="2" t="str">
        <f t="shared" si="75"/>
        <v xml:space="preserve"> </v>
      </c>
      <c r="R466" s="2" t="str">
        <f t="shared" si="75"/>
        <v xml:space="preserve"> </v>
      </c>
      <c r="S466" s="2" t="str">
        <f t="shared" si="75"/>
        <v xml:space="preserve"> </v>
      </c>
      <c r="T466" s="2" t="str">
        <f t="shared" si="76"/>
        <v xml:space="preserve"> </v>
      </c>
      <c r="U466" s="2" t="str">
        <f t="shared" si="76"/>
        <v xml:space="preserve"> </v>
      </c>
      <c r="V466" s="2" t="str">
        <f t="shared" si="76"/>
        <v xml:space="preserve"> </v>
      </c>
      <c r="W466" s="2" t="str">
        <f t="shared" si="76"/>
        <v xml:space="preserve"> </v>
      </c>
      <c r="X466" s="2" t="str">
        <f t="shared" si="76"/>
        <v xml:space="preserve"> </v>
      </c>
      <c r="Y466" s="2" t="str">
        <f t="shared" si="76"/>
        <v xml:space="preserve"> </v>
      </c>
      <c r="Z466" s="2" t="str">
        <f t="shared" si="76"/>
        <v xml:space="preserve"> </v>
      </c>
      <c r="AA466" s="2" t="str">
        <f t="shared" si="76"/>
        <v xml:space="preserve"> </v>
      </c>
      <c r="AB466" s="2" t="str">
        <f t="shared" si="76"/>
        <v xml:space="preserve"> </v>
      </c>
      <c r="AC466" s="2" t="str">
        <f t="shared" si="76"/>
        <v xml:space="preserve"> </v>
      </c>
      <c r="AD466" s="2" t="str">
        <f t="shared" si="76"/>
        <v xml:space="preserve"> </v>
      </c>
      <c r="AE466" s="2" t="str">
        <f t="shared" si="76"/>
        <v xml:space="preserve"> </v>
      </c>
      <c r="AF466" s="2" t="str">
        <f t="shared" si="76"/>
        <v xml:space="preserve"> </v>
      </c>
      <c r="AG466" s="2" t="str">
        <f t="shared" si="76"/>
        <v xml:space="preserve"> </v>
      </c>
      <c r="AH466" s="2" t="str">
        <f t="shared" si="77"/>
        <v xml:space="preserve"> </v>
      </c>
      <c r="AI466" s="2" t="str">
        <f t="shared" si="77"/>
        <v xml:space="preserve"> </v>
      </c>
      <c r="AJ466" s="2" t="str">
        <f t="shared" si="77"/>
        <v xml:space="preserve"> </v>
      </c>
      <c r="AK466" s="2" t="str">
        <f t="shared" si="77"/>
        <v xml:space="preserve"> </v>
      </c>
      <c r="AL466" s="2" t="str">
        <f t="shared" si="77"/>
        <v xml:space="preserve"> </v>
      </c>
      <c r="AM466" s="2" t="str">
        <f t="shared" si="77"/>
        <v xml:space="preserve"> </v>
      </c>
      <c r="AN466" s="2" t="str">
        <f t="shared" si="77"/>
        <v xml:space="preserve"> </v>
      </c>
      <c r="AO466" s="2" t="str">
        <f t="shared" si="77"/>
        <v xml:space="preserve"> </v>
      </c>
      <c r="AP466" s="2" t="str">
        <f t="shared" si="77"/>
        <v xml:space="preserve"> </v>
      </c>
      <c r="AQ466" s="25" t="str">
        <f t="shared" si="77"/>
        <v xml:space="preserve"> </v>
      </c>
      <c r="AR466" s="12">
        <f t="shared" si="79"/>
        <v>0</v>
      </c>
    </row>
    <row r="467" spans="1:44" x14ac:dyDescent="0.25">
      <c r="A467" s="12">
        <f t="shared" si="78"/>
        <v>0</v>
      </c>
      <c r="B467" s="12">
        <f>IF(AND($C$420&gt;$C$419,($B$454+13)&lt;=$C$420),$C$419+14,0)</f>
        <v>0</v>
      </c>
      <c r="C467" s="26">
        <f t="shared" si="80"/>
        <v>0</v>
      </c>
      <c r="D467" s="26" t="str">
        <f t="shared" si="75"/>
        <v xml:space="preserve"> </v>
      </c>
      <c r="E467" s="2" t="str">
        <f t="shared" si="75"/>
        <v xml:space="preserve"> </v>
      </c>
      <c r="F467" s="2" t="str">
        <f t="shared" si="75"/>
        <v xml:space="preserve"> </v>
      </c>
      <c r="G467" s="2" t="str">
        <f t="shared" si="75"/>
        <v xml:space="preserve"> </v>
      </c>
      <c r="H467" s="2" t="str">
        <f t="shared" si="75"/>
        <v xml:space="preserve"> </v>
      </c>
      <c r="I467" s="2" t="str">
        <f t="shared" si="75"/>
        <v xml:space="preserve"> </v>
      </c>
      <c r="J467" s="2" t="str">
        <f t="shared" si="75"/>
        <v xml:space="preserve"> </v>
      </c>
      <c r="K467" s="2" t="str">
        <f t="shared" si="75"/>
        <v xml:space="preserve"> </v>
      </c>
      <c r="L467" s="2" t="str">
        <f t="shared" si="75"/>
        <v xml:space="preserve"> </v>
      </c>
      <c r="M467" s="2" t="str">
        <f t="shared" si="75"/>
        <v xml:space="preserve"> </v>
      </c>
      <c r="N467" s="2" t="str">
        <f t="shared" si="75"/>
        <v xml:space="preserve"> </v>
      </c>
      <c r="O467" s="2" t="str">
        <f t="shared" si="75"/>
        <v xml:space="preserve"> </v>
      </c>
      <c r="P467" s="2" t="str">
        <f t="shared" si="75"/>
        <v xml:space="preserve"> </v>
      </c>
      <c r="Q467" s="2" t="str">
        <f t="shared" si="75"/>
        <v xml:space="preserve"> </v>
      </c>
      <c r="R467" s="2" t="str">
        <f t="shared" si="75"/>
        <v xml:space="preserve"> </v>
      </c>
      <c r="S467" s="2" t="str">
        <f t="shared" si="75"/>
        <v xml:space="preserve"> </v>
      </c>
      <c r="T467" s="2" t="str">
        <f t="shared" si="76"/>
        <v xml:space="preserve"> </v>
      </c>
      <c r="U467" s="2" t="str">
        <f t="shared" si="76"/>
        <v xml:space="preserve"> </v>
      </c>
      <c r="V467" s="2" t="str">
        <f t="shared" si="76"/>
        <v xml:space="preserve"> </v>
      </c>
      <c r="W467" s="2" t="str">
        <f t="shared" si="76"/>
        <v xml:space="preserve"> </v>
      </c>
      <c r="X467" s="2" t="str">
        <f t="shared" si="76"/>
        <v xml:space="preserve"> </v>
      </c>
      <c r="Y467" s="2" t="str">
        <f t="shared" si="76"/>
        <v xml:space="preserve"> </v>
      </c>
      <c r="Z467" s="2" t="str">
        <f t="shared" si="76"/>
        <v xml:space="preserve"> </v>
      </c>
      <c r="AA467" s="2" t="str">
        <f t="shared" si="76"/>
        <v xml:space="preserve"> </v>
      </c>
      <c r="AB467" s="2" t="str">
        <f t="shared" si="76"/>
        <v xml:space="preserve"> </v>
      </c>
      <c r="AC467" s="2" t="str">
        <f t="shared" si="76"/>
        <v xml:space="preserve"> </v>
      </c>
      <c r="AD467" s="2" t="str">
        <f t="shared" si="76"/>
        <v xml:space="preserve"> </v>
      </c>
      <c r="AE467" s="2" t="str">
        <f t="shared" si="76"/>
        <v xml:space="preserve"> </v>
      </c>
      <c r="AF467" s="2" t="str">
        <f t="shared" si="76"/>
        <v xml:space="preserve"> </v>
      </c>
      <c r="AG467" s="2" t="str">
        <f t="shared" si="76"/>
        <v xml:space="preserve"> </v>
      </c>
      <c r="AH467" s="2" t="str">
        <f t="shared" si="77"/>
        <v xml:space="preserve"> </v>
      </c>
      <c r="AI467" s="2" t="str">
        <f t="shared" si="77"/>
        <v xml:space="preserve"> </v>
      </c>
      <c r="AJ467" s="2" t="str">
        <f t="shared" si="77"/>
        <v xml:space="preserve"> </v>
      </c>
      <c r="AK467" s="2" t="str">
        <f t="shared" si="77"/>
        <v xml:space="preserve"> </v>
      </c>
      <c r="AL467" s="2" t="str">
        <f t="shared" si="77"/>
        <v xml:space="preserve"> </v>
      </c>
      <c r="AM467" s="2" t="str">
        <f t="shared" si="77"/>
        <v xml:space="preserve"> </v>
      </c>
      <c r="AN467" s="2" t="str">
        <f t="shared" si="77"/>
        <v xml:space="preserve"> </v>
      </c>
      <c r="AO467" s="2" t="str">
        <f t="shared" si="77"/>
        <v xml:space="preserve"> </v>
      </c>
      <c r="AP467" s="2" t="str">
        <f t="shared" si="77"/>
        <v xml:space="preserve"> </v>
      </c>
      <c r="AQ467" s="25" t="str">
        <f t="shared" si="77"/>
        <v xml:space="preserve"> </v>
      </c>
      <c r="AR467" s="12">
        <f t="shared" si="79"/>
        <v>0</v>
      </c>
    </row>
    <row r="468" spans="1:44" x14ac:dyDescent="0.25">
      <c r="A468" s="12">
        <f t="shared" si="78"/>
        <v>0</v>
      </c>
      <c r="B468" s="12">
        <f>IF(AND($C$420&gt;$C$419,($B$454+14)&lt;=$C$420),$C$419+15,0)</f>
        <v>0</v>
      </c>
      <c r="C468" s="26">
        <f t="shared" si="80"/>
        <v>0</v>
      </c>
      <c r="D468" s="26" t="str">
        <f t="shared" si="75"/>
        <v xml:space="preserve"> </v>
      </c>
      <c r="E468" s="2" t="str">
        <f t="shared" si="75"/>
        <v xml:space="preserve"> </v>
      </c>
      <c r="F468" s="2" t="str">
        <f t="shared" si="75"/>
        <v xml:space="preserve"> </v>
      </c>
      <c r="G468" s="2" t="str">
        <f t="shared" si="75"/>
        <v xml:space="preserve"> </v>
      </c>
      <c r="H468" s="2" t="str">
        <f t="shared" si="75"/>
        <v xml:space="preserve"> </v>
      </c>
      <c r="I468" s="2" t="str">
        <f t="shared" si="75"/>
        <v xml:space="preserve"> </v>
      </c>
      <c r="J468" s="2" t="str">
        <f t="shared" si="75"/>
        <v xml:space="preserve"> </v>
      </c>
      <c r="K468" s="2" t="str">
        <f t="shared" si="75"/>
        <v xml:space="preserve"> </v>
      </c>
      <c r="L468" s="2" t="str">
        <f t="shared" si="75"/>
        <v xml:space="preserve"> </v>
      </c>
      <c r="M468" s="2" t="str">
        <f t="shared" si="75"/>
        <v xml:space="preserve"> </v>
      </c>
      <c r="N468" s="2" t="str">
        <f t="shared" si="75"/>
        <v xml:space="preserve"> </v>
      </c>
      <c r="O468" s="2" t="str">
        <f t="shared" si="75"/>
        <v xml:space="preserve"> </v>
      </c>
      <c r="P468" s="2" t="str">
        <f t="shared" si="75"/>
        <v xml:space="preserve"> </v>
      </c>
      <c r="Q468" s="2" t="str">
        <f t="shared" si="75"/>
        <v xml:space="preserve"> </v>
      </c>
      <c r="R468" s="2" t="str">
        <f t="shared" si="75"/>
        <v xml:space="preserve"> </v>
      </c>
      <c r="S468" s="2" t="str">
        <f t="shared" ref="S468:AH483" si="81">IF(OR($A468=0,S$451=0)," ",IF(AND($B468&gt;0,S$451&gt;0,FLOOR($C$440/(S$451*$B468),1)&gt;=$A468),FLOOR($C$440/(S$451*$B468),1)," "))</f>
        <v xml:space="preserve"> </v>
      </c>
      <c r="T468" s="2" t="str">
        <f t="shared" si="81"/>
        <v xml:space="preserve"> </v>
      </c>
      <c r="U468" s="2" t="str">
        <f t="shared" si="81"/>
        <v xml:space="preserve"> </v>
      </c>
      <c r="V468" s="2" t="str">
        <f t="shared" si="81"/>
        <v xml:space="preserve"> </v>
      </c>
      <c r="W468" s="2" t="str">
        <f t="shared" si="81"/>
        <v xml:space="preserve"> </v>
      </c>
      <c r="X468" s="2" t="str">
        <f t="shared" si="76"/>
        <v xml:space="preserve"> </v>
      </c>
      <c r="Y468" s="2" t="str">
        <f t="shared" si="76"/>
        <v xml:space="preserve"> </v>
      </c>
      <c r="Z468" s="2" t="str">
        <f t="shared" si="76"/>
        <v xml:space="preserve"> </v>
      </c>
      <c r="AA468" s="2" t="str">
        <f t="shared" si="76"/>
        <v xml:space="preserve"> </v>
      </c>
      <c r="AB468" s="2" t="str">
        <f t="shared" si="76"/>
        <v xml:space="preserve"> </v>
      </c>
      <c r="AC468" s="2" t="str">
        <f t="shared" si="76"/>
        <v xml:space="preserve"> </v>
      </c>
      <c r="AD468" s="2" t="str">
        <f t="shared" si="76"/>
        <v xml:space="preserve"> </v>
      </c>
      <c r="AE468" s="2" t="str">
        <f t="shared" si="76"/>
        <v xml:space="preserve"> </v>
      </c>
      <c r="AF468" s="2" t="str">
        <f t="shared" si="76"/>
        <v xml:space="preserve"> </v>
      </c>
      <c r="AG468" s="2" t="str">
        <f t="shared" si="76"/>
        <v xml:space="preserve"> </v>
      </c>
      <c r="AH468" s="2" t="str">
        <f t="shared" si="77"/>
        <v xml:space="preserve"> </v>
      </c>
      <c r="AI468" s="2" t="str">
        <f t="shared" si="77"/>
        <v xml:space="preserve"> </v>
      </c>
      <c r="AJ468" s="2" t="str">
        <f t="shared" si="77"/>
        <v xml:space="preserve"> </v>
      </c>
      <c r="AK468" s="2" t="str">
        <f t="shared" si="77"/>
        <v xml:space="preserve"> </v>
      </c>
      <c r="AL468" s="2" t="str">
        <f t="shared" si="77"/>
        <v xml:space="preserve"> </v>
      </c>
      <c r="AM468" s="2" t="str">
        <f t="shared" si="77"/>
        <v xml:space="preserve"> </v>
      </c>
      <c r="AN468" s="2" t="str">
        <f t="shared" si="77"/>
        <v xml:space="preserve"> </v>
      </c>
      <c r="AO468" s="2" t="str">
        <f t="shared" si="77"/>
        <v xml:space="preserve"> </v>
      </c>
      <c r="AP468" s="2" t="str">
        <f t="shared" si="77"/>
        <v xml:space="preserve"> </v>
      </c>
      <c r="AQ468" s="25" t="str">
        <f t="shared" si="77"/>
        <v xml:space="preserve"> </v>
      </c>
      <c r="AR468" s="12">
        <f t="shared" si="79"/>
        <v>0</v>
      </c>
    </row>
    <row r="469" spans="1:44" x14ac:dyDescent="0.25">
      <c r="A469" s="12">
        <f t="shared" si="78"/>
        <v>0</v>
      </c>
      <c r="B469" s="12">
        <f>IF(AND($C$420&gt;$C$419,($B$454+15)&lt;=$C$420),$C$419+16,0)</f>
        <v>0</v>
      </c>
      <c r="C469" s="26">
        <f t="shared" si="80"/>
        <v>0</v>
      </c>
      <c r="D469" s="26" t="str">
        <f t="shared" ref="D469:S484" si="82">IF(OR($A469=0,D$451=0)," ",IF(AND($B469&gt;0,D$451&gt;0,FLOOR($C$440/(D$451*$B469),1)&gt;=$A469),FLOOR($C$440/(D$451*$B469),1)," "))</f>
        <v xml:space="preserve"> </v>
      </c>
      <c r="E469" s="2" t="str">
        <f t="shared" si="82"/>
        <v xml:space="preserve"> </v>
      </c>
      <c r="F469" s="2" t="str">
        <f t="shared" si="82"/>
        <v xml:space="preserve"> </v>
      </c>
      <c r="G469" s="2" t="str">
        <f t="shared" si="82"/>
        <v xml:space="preserve"> </v>
      </c>
      <c r="H469" s="2" t="str">
        <f t="shared" si="82"/>
        <v xml:space="preserve"> </v>
      </c>
      <c r="I469" s="2" t="str">
        <f t="shared" si="82"/>
        <v xml:space="preserve"> </v>
      </c>
      <c r="J469" s="2" t="str">
        <f t="shared" si="82"/>
        <v xml:space="preserve"> </v>
      </c>
      <c r="K469" s="2" t="str">
        <f t="shared" si="82"/>
        <v xml:space="preserve"> </v>
      </c>
      <c r="L469" s="2" t="str">
        <f t="shared" si="82"/>
        <v xml:space="preserve"> </v>
      </c>
      <c r="M469" s="2" t="str">
        <f t="shared" si="82"/>
        <v xml:space="preserve"> </v>
      </c>
      <c r="N469" s="2" t="str">
        <f t="shared" si="82"/>
        <v xml:space="preserve"> </v>
      </c>
      <c r="O469" s="2" t="str">
        <f t="shared" si="82"/>
        <v xml:space="preserve"> </v>
      </c>
      <c r="P469" s="2" t="str">
        <f t="shared" si="82"/>
        <v xml:space="preserve"> </v>
      </c>
      <c r="Q469" s="2" t="str">
        <f t="shared" si="82"/>
        <v xml:space="preserve"> </v>
      </c>
      <c r="R469" s="2" t="str">
        <f t="shared" si="82"/>
        <v xml:space="preserve"> </v>
      </c>
      <c r="S469" s="2" t="str">
        <f t="shared" si="82"/>
        <v xml:space="preserve"> </v>
      </c>
      <c r="T469" s="2" t="str">
        <f t="shared" si="81"/>
        <v xml:space="preserve"> </v>
      </c>
      <c r="U469" s="2" t="str">
        <f t="shared" si="81"/>
        <v xml:space="preserve"> </v>
      </c>
      <c r="V469" s="2" t="str">
        <f t="shared" si="81"/>
        <v xml:space="preserve"> </v>
      </c>
      <c r="W469" s="2" t="str">
        <f t="shared" si="81"/>
        <v xml:space="preserve"> </v>
      </c>
      <c r="X469" s="2" t="str">
        <f t="shared" si="81"/>
        <v xml:space="preserve"> </v>
      </c>
      <c r="Y469" s="2" t="str">
        <f t="shared" si="81"/>
        <v xml:space="preserve"> </v>
      </c>
      <c r="Z469" s="2" t="str">
        <f t="shared" si="81"/>
        <v xml:space="preserve"> </v>
      </c>
      <c r="AA469" s="2" t="str">
        <f t="shared" si="81"/>
        <v xml:space="preserve"> </v>
      </c>
      <c r="AB469" s="2" t="str">
        <f t="shared" si="81"/>
        <v xml:space="preserve"> </v>
      </c>
      <c r="AC469" s="2" t="str">
        <f t="shared" si="81"/>
        <v xml:space="preserve"> </v>
      </c>
      <c r="AD469" s="2" t="str">
        <f t="shared" si="81"/>
        <v xml:space="preserve"> </v>
      </c>
      <c r="AE469" s="2" t="str">
        <f t="shared" si="81"/>
        <v xml:space="preserve"> </v>
      </c>
      <c r="AF469" s="2" t="str">
        <f t="shared" si="81"/>
        <v xml:space="preserve"> </v>
      </c>
      <c r="AG469" s="2" t="str">
        <f t="shared" si="81"/>
        <v xml:space="preserve"> </v>
      </c>
      <c r="AH469" s="2" t="str">
        <f t="shared" si="81"/>
        <v xml:space="preserve"> </v>
      </c>
      <c r="AI469" s="2" t="str">
        <f t="shared" ref="AH469:AQ484" si="83">IF(OR($A469=0,AI$451=0)," ",IF(AND($B469&gt;0,AI$451&gt;0,FLOOR($C$440/(AI$451*$B469),1)&gt;=$A469),FLOOR($C$440/(AI$451*$B469),1)," "))</f>
        <v xml:space="preserve"> </v>
      </c>
      <c r="AJ469" s="2" t="str">
        <f t="shared" si="83"/>
        <v xml:space="preserve"> </v>
      </c>
      <c r="AK469" s="2" t="str">
        <f t="shared" si="83"/>
        <v xml:space="preserve"> </v>
      </c>
      <c r="AL469" s="2" t="str">
        <f t="shared" si="83"/>
        <v xml:space="preserve"> </v>
      </c>
      <c r="AM469" s="2" t="str">
        <f t="shared" si="83"/>
        <v xml:space="preserve"> </v>
      </c>
      <c r="AN469" s="2" t="str">
        <f t="shared" si="83"/>
        <v xml:space="preserve"> </v>
      </c>
      <c r="AO469" s="2" t="str">
        <f t="shared" si="83"/>
        <v xml:space="preserve"> </v>
      </c>
      <c r="AP469" s="2" t="str">
        <f t="shared" si="83"/>
        <v xml:space="preserve"> </v>
      </c>
      <c r="AQ469" s="25" t="str">
        <f t="shared" si="83"/>
        <v xml:space="preserve"> </v>
      </c>
      <c r="AR469" s="12">
        <f t="shared" si="79"/>
        <v>0</v>
      </c>
    </row>
    <row r="470" spans="1:44" x14ac:dyDescent="0.25">
      <c r="A470" s="12">
        <f t="shared" si="78"/>
        <v>0</v>
      </c>
      <c r="B470" s="12">
        <f>IF(AND($C$420&gt;$C$419,($B$454+16)&lt;=$C$420),$C$419+17,0)</f>
        <v>0</v>
      </c>
      <c r="C470" s="26">
        <f t="shared" si="80"/>
        <v>0</v>
      </c>
      <c r="D470" s="26" t="str">
        <f t="shared" si="82"/>
        <v xml:space="preserve"> </v>
      </c>
      <c r="E470" s="2" t="str">
        <f t="shared" si="82"/>
        <v xml:space="preserve"> </v>
      </c>
      <c r="F470" s="2" t="str">
        <f t="shared" si="82"/>
        <v xml:space="preserve"> </v>
      </c>
      <c r="G470" s="2" t="str">
        <f t="shared" si="82"/>
        <v xml:space="preserve"> </v>
      </c>
      <c r="H470" s="2" t="str">
        <f t="shared" si="82"/>
        <v xml:space="preserve"> </v>
      </c>
      <c r="I470" s="2" t="str">
        <f t="shared" si="82"/>
        <v xml:space="preserve"> </v>
      </c>
      <c r="J470" s="2" t="str">
        <f t="shared" si="82"/>
        <v xml:space="preserve"> </v>
      </c>
      <c r="K470" s="2" t="str">
        <f t="shared" si="82"/>
        <v xml:space="preserve"> </v>
      </c>
      <c r="L470" s="2" t="str">
        <f t="shared" si="82"/>
        <v xml:space="preserve"> </v>
      </c>
      <c r="M470" s="2" t="str">
        <f t="shared" si="82"/>
        <v xml:space="preserve"> </v>
      </c>
      <c r="N470" s="2" t="str">
        <f t="shared" si="82"/>
        <v xml:space="preserve"> </v>
      </c>
      <c r="O470" s="2" t="str">
        <f t="shared" si="82"/>
        <v xml:space="preserve"> </v>
      </c>
      <c r="P470" s="2" t="str">
        <f t="shared" si="82"/>
        <v xml:space="preserve"> </v>
      </c>
      <c r="Q470" s="2" t="str">
        <f t="shared" si="82"/>
        <v xml:space="preserve"> </v>
      </c>
      <c r="R470" s="2" t="str">
        <f t="shared" si="82"/>
        <v xml:space="preserve"> </v>
      </c>
      <c r="S470" s="2" t="str">
        <f t="shared" si="82"/>
        <v xml:space="preserve"> </v>
      </c>
      <c r="T470" s="2" t="str">
        <f t="shared" si="81"/>
        <v xml:space="preserve"> </v>
      </c>
      <c r="U470" s="2" t="str">
        <f t="shared" si="81"/>
        <v xml:space="preserve"> </v>
      </c>
      <c r="V470" s="2" t="str">
        <f t="shared" si="81"/>
        <v xml:space="preserve"> </v>
      </c>
      <c r="W470" s="2" t="str">
        <f t="shared" si="81"/>
        <v xml:space="preserve"> </v>
      </c>
      <c r="X470" s="2" t="str">
        <f t="shared" si="81"/>
        <v xml:space="preserve"> </v>
      </c>
      <c r="Y470" s="2" t="str">
        <f t="shared" si="81"/>
        <v xml:space="preserve"> </v>
      </c>
      <c r="Z470" s="2" t="str">
        <f t="shared" si="81"/>
        <v xml:space="preserve"> </v>
      </c>
      <c r="AA470" s="2" t="str">
        <f t="shared" si="81"/>
        <v xml:space="preserve"> </v>
      </c>
      <c r="AB470" s="2" t="str">
        <f t="shared" si="81"/>
        <v xml:space="preserve"> </v>
      </c>
      <c r="AC470" s="2" t="str">
        <f t="shared" si="81"/>
        <v xml:space="preserve"> </v>
      </c>
      <c r="AD470" s="2" t="str">
        <f t="shared" si="81"/>
        <v xml:space="preserve"> </v>
      </c>
      <c r="AE470" s="2" t="str">
        <f t="shared" si="81"/>
        <v xml:space="preserve"> </v>
      </c>
      <c r="AF470" s="2" t="str">
        <f t="shared" si="81"/>
        <v xml:space="preserve"> </v>
      </c>
      <c r="AG470" s="2" t="str">
        <f t="shared" si="81"/>
        <v xml:space="preserve"> </v>
      </c>
      <c r="AH470" s="2" t="str">
        <f t="shared" si="81"/>
        <v xml:space="preserve"> </v>
      </c>
      <c r="AI470" s="2" t="str">
        <f t="shared" si="83"/>
        <v xml:space="preserve"> </v>
      </c>
      <c r="AJ470" s="2" t="str">
        <f t="shared" si="83"/>
        <v xml:space="preserve"> </v>
      </c>
      <c r="AK470" s="2" t="str">
        <f t="shared" si="83"/>
        <v xml:space="preserve"> </v>
      </c>
      <c r="AL470" s="2" t="str">
        <f t="shared" si="83"/>
        <v xml:space="preserve"> </v>
      </c>
      <c r="AM470" s="2" t="str">
        <f t="shared" si="83"/>
        <v xml:space="preserve"> </v>
      </c>
      <c r="AN470" s="2" t="str">
        <f t="shared" si="83"/>
        <v xml:space="preserve"> </v>
      </c>
      <c r="AO470" s="2" t="str">
        <f t="shared" si="83"/>
        <v xml:space="preserve"> </v>
      </c>
      <c r="AP470" s="2" t="str">
        <f t="shared" si="83"/>
        <v xml:space="preserve"> </v>
      </c>
      <c r="AQ470" s="25" t="str">
        <f t="shared" si="83"/>
        <v xml:space="preserve"> </v>
      </c>
      <c r="AR470" s="12">
        <f t="shared" si="79"/>
        <v>0</v>
      </c>
    </row>
    <row r="471" spans="1:44" x14ac:dyDescent="0.25">
      <c r="A471" s="12">
        <f t="shared" si="78"/>
        <v>0</v>
      </c>
      <c r="B471" s="12">
        <f>IF(AND($C$420&gt;$C$419,($B$454+17)&lt;=$C$420),$C$419+18,0)</f>
        <v>0</v>
      </c>
      <c r="C471" s="26">
        <f t="shared" si="80"/>
        <v>0</v>
      </c>
      <c r="D471" s="26" t="str">
        <f t="shared" si="82"/>
        <v xml:space="preserve"> </v>
      </c>
      <c r="E471" s="2" t="str">
        <f t="shared" si="82"/>
        <v xml:space="preserve"> </v>
      </c>
      <c r="F471" s="2" t="str">
        <f t="shared" si="82"/>
        <v xml:space="preserve"> </v>
      </c>
      <c r="G471" s="2" t="str">
        <f t="shared" si="82"/>
        <v xml:space="preserve"> </v>
      </c>
      <c r="H471" s="2" t="str">
        <f t="shared" si="82"/>
        <v xml:space="preserve"> </v>
      </c>
      <c r="I471" s="2" t="str">
        <f t="shared" si="82"/>
        <v xml:space="preserve"> </v>
      </c>
      <c r="J471" s="2" t="str">
        <f t="shared" si="82"/>
        <v xml:space="preserve"> </v>
      </c>
      <c r="K471" s="2" t="str">
        <f t="shared" si="82"/>
        <v xml:space="preserve"> </v>
      </c>
      <c r="L471" s="2" t="str">
        <f t="shared" si="82"/>
        <v xml:space="preserve"> </v>
      </c>
      <c r="M471" s="2" t="str">
        <f t="shared" si="82"/>
        <v xml:space="preserve"> </v>
      </c>
      <c r="N471" s="2" t="str">
        <f t="shared" si="82"/>
        <v xml:space="preserve"> </v>
      </c>
      <c r="O471" s="2" t="str">
        <f t="shared" si="82"/>
        <v xml:space="preserve"> </v>
      </c>
      <c r="P471" s="2" t="str">
        <f t="shared" si="82"/>
        <v xml:space="preserve"> </v>
      </c>
      <c r="Q471" s="2" t="str">
        <f t="shared" si="82"/>
        <v xml:space="preserve"> </v>
      </c>
      <c r="R471" s="2" t="str">
        <f t="shared" si="82"/>
        <v xml:space="preserve"> </v>
      </c>
      <c r="S471" s="2" t="str">
        <f t="shared" si="82"/>
        <v xml:space="preserve"> </v>
      </c>
      <c r="T471" s="2" t="str">
        <f t="shared" si="81"/>
        <v xml:space="preserve"> </v>
      </c>
      <c r="U471" s="2" t="str">
        <f t="shared" si="81"/>
        <v xml:space="preserve"> </v>
      </c>
      <c r="V471" s="2" t="str">
        <f t="shared" si="81"/>
        <v xml:space="preserve"> </v>
      </c>
      <c r="W471" s="2" t="str">
        <f t="shared" si="81"/>
        <v xml:space="preserve"> </v>
      </c>
      <c r="X471" s="2" t="str">
        <f t="shared" si="81"/>
        <v xml:space="preserve"> </v>
      </c>
      <c r="Y471" s="2" t="str">
        <f t="shared" si="81"/>
        <v xml:space="preserve"> </v>
      </c>
      <c r="Z471" s="2" t="str">
        <f t="shared" si="81"/>
        <v xml:space="preserve"> </v>
      </c>
      <c r="AA471" s="2" t="str">
        <f t="shared" si="81"/>
        <v xml:space="preserve"> </v>
      </c>
      <c r="AB471" s="2" t="str">
        <f t="shared" si="81"/>
        <v xml:space="preserve"> </v>
      </c>
      <c r="AC471" s="2" t="str">
        <f t="shared" si="81"/>
        <v xml:space="preserve"> </v>
      </c>
      <c r="AD471" s="2" t="str">
        <f t="shared" si="81"/>
        <v xml:space="preserve"> </v>
      </c>
      <c r="AE471" s="2" t="str">
        <f t="shared" si="81"/>
        <v xml:space="preserve"> </v>
      </c>
      <c r="AF471" s="2" t="str">
        <f t="shared" si="81"/>
        <v xml:space="preserve"> </v>
      </c>
      <c r="AG471" s="2" t="str">
        <f t="shared" si="81"/>
        <v xml:space="preserve"> </v>
      </c>
      <c r="AH471" s="2" t="str">
        <f t="shared" si="81"/>
        <v xml:space="preserve"> </v>
      </c>
      <c r="AI471" s="2" t="str">
        <f t="shared" si="83"/>
        <v xml:space="preserve"> </v>
      </c>
      <c r="AJ471" s="2" t="str">
        <f t="shared" si="83"/>
        <v xml:space="preserve"> </v>
      </c>
      <c r="AK471" s="2" t="str">
        <f t="shared" si="83"/>
        <v xml:space="preserve"> </v>
      </c>
      <c r="AL471" s="2" t="str">
        <f t="shared" si="83"/>
        <v xml:space="preserve"> </v>
      </c>
      <c r="AM471" s="2" t="str">
        <f t="shared" si="83"/>
        <v xml:space="preserve"> </v>
      </c>
      <c r="AN471" s="2" t="str">
        <f t="shared" si="83"/>
        <v xml:space="preserve"> </v>
      </c>
      <c r="AO471" s="2" t="str">
        <f t="shared" si="83"/>
        <v xml:space="preserve"> </v>
      </c>
      <c r="AP471" s="2" t="str">
        <f t="shared" si="83"/>
        <v xml:space="preserve"> </v>
      </c>
      <c r="AQ471" s="25" t="str">
        <f t="shared" si="83"/>
        <v xml:space="preserve"> </v>
      </c>
      <c r="AR471" s="12">
        <f t="shared" si="79"/>
        <v>0</v>
      </c>
    </row>
    <row r="472" spans="1:44" x14ac:dyDescent="0.25">
      <c r="A472" s="12">
        <f t="shared" si="78"/>
        <v>0</v>
      </c>
      <c r="B472" s="12">
        <f>IF(AND($C$420&gt;$C$419,($B$454+18)&lt;=$C$420),$C$419+19,0)</f>
        <v>0</v>
      </c>
      <c r="C472" s="26">
        <f t="shared" si="80"/>
        <v>0</v>
      </c>
      <c r="D472" s="26" t="str">
        <f t="shared" si="82"/>
        <v xml:space="preserve"> </v>
      </c>
      <c r="E472" s="2" t="str">
        <f t="shared" si="82"/>
        <v xml:space="preserve"> </v>
      </c>
      <c r="F472" s="2" t="str">
        <f t="shared" si="82"/>
        <v xml:space="preserve"> </v>
      </c>
      <c r="G472" s="2" t="str">
        <f t="shared" si="82"/>
        <v xml:space="preserve"> </v>
      </c>
      <c r="H472" s="2" t="str">
        <f t="shared" si="82"/>
        <v xml:space="preserve"> </v>
      </c>
      <c r="I472" s="2" t="str">
        <f t="shared" si="82"/>
        <v xml:space="preserve"> </v>
      </c>
      <c r="J472" s="2" t="str">
        <f t="shared" si="82"/>
        <v xml:space="preserve"> </v>
      </c>
      <c r="K472" s="2" t="str">
        <f t="shared" si="82"/>
        <v xml:space="preserve"> </v>
      </c>
      <c r="L472" s="2" t="str">
        <f t="shared" si="82"/>
        <v xml:space="preserve"> </v>
      </c>
      <c r="M472" s="2" t="str">
        <f t="shared" si="82"/>
        <v xml:space="preserve"> </v>
      </c>
      <c r="N472" s="2" t="str">
        <f t="shared" si="82"/>
        <v xml:space="preserve"> </v>
      </c>
      <c r="O472" s="2" t="str">
        <f t="shared" si="82"/>
        <v xml:space="preserve"> </v>
      </c>
      <c r="P472" s="2" t="str">
        <f t="shared" si="82"/>
        <v xml:space="preserve"> </v>
      </c>
      <c r="Q472" s="2" t="str">
        <f t="shared" si="82"/>
        <v xml:space="preserve"> </v>
      </c>
      <c r="R472" s="2" t="str">
        <f t="shared" si="82"/>
        <v xml:space="preserve"> </v>
      </c>
      <c r="S472" s="2" t="str">
        <f t="shared" si="82"/>
        <v xml:space="preserve"> </v>
      </c>
      <c r="T472" s="2" t="str">
        <f t="shared" si="81"/>
        <v xml:space="preserve"> </v>
      </c>
      <c r="U472" s="2" t="str">
        <f t="shared" si="81"/>
        <v xml:space="preserve"> </v>
      </c>
      <c r="V472" s="2" t="str">
        <f t="shared" si="81"/>
        <v xml:space="preserve"> </v>
      </c>
      <c r="W472" s="2" t="str">
        <f t="shared" si="81"/>
        <v xml:space="preserve"> </v>
      </c>
      <c r="X472" s="2" t="str">
        <f t="shared" si="81"/>
        <v xml:space="preserve"> </v>
      </c>
      <c r="Y472" s="2" t="str">
        <f t="shared" si="81"/>
        <v xml:space="preserve"> </v>
      </c>
      <c r="Z472" s="2" t="str">
        <f t="shared" si="81"/>
        <v xml:space="preserve"> </v>
      </c>
      <c r="AA472" s="2" t="str">
        <f t="shared" si="81"/>
        <v xml:space="preserve"> </v>
      </c>
      <c r="AB472" s="2" t="str">
        <f t="shared" si="81"/>
        <v xml:space="preserve"> </v>
      </c>
      <c r="AC472" s="2" t="str">
        <f t="shared" si="81"/>
        <v xml:space="preserve"> </v>
      </c>
      <c r="AD472" s="2" t="str">
        <f t="shared" si="81"/>
        <v xml:space="preserve"> </v>
      </c>
      <c r="AE472" s="2" t="str">
        <f t="shared" si="81"/>
        <v xml:space="preserve"> </v>
      </c>
      <c r="AF472" s="2" t="str">
        <f t="shared" si="81"/>
        <v xml:space="preserve"> </v>
      </c>
      <c r="AG472" s="2" t="str">
        <f t="shared" si="81"/>
        <v xml:space="preserve"> </v>
      </c>
      <c r="AH472" s="2" t="str">
        <f t="shared" si="81"/>
        <v xml:space="preserve"> </v>
      </c>
      <c r="AI472" s="2" t="str">
        <f t="shared" si="83"/>
        <v xml:space="preserve"> </v>
      </c>
      <c r="AJ472" s="2" t="str">
        <f t="shared" si="83"/>
        <v xml:space="preserve"> </v>
      </c>
      <c r="AK472" s="2" t="str">
        <f t="shared" si="83"/>
        <v xml:space="preserve"> </v>
      </c>
      <c r="AL472" s="2" t="str">
        <f t="shared" si="83"/>
        <v xml:space="preserve"> </v>
      </c>
      <c r="AM472" s="2" t="str">
        <f t="shared" si="83"/>
        <v xml:space="preserve"> </v>
      </c>
      <c r="AN472" s="2" t="str">
        <f t="shared" si="83"/>
        <v xml:space="preserve"> </v>
      </c>
      <c r="AO472" s="2" t="str">
        <f t="shared" si="83"/>
        <v xml:space="preserve"> </v>
      </c>
      <c r="AP472" s="2" t="str">
        <f t="shared" si="83"/>
        <v xml:space="preserve"> </v>
      </c>
      <c r="AQ472" s="25" t="str">
        <f t="shared" si="83"/>
        <v xml:space="preserve"> </v>
      </c>
      <c r="AR472" s="12">
        <f t="shared" si="79"/>
        <v>0</v>
      </c>
    </row>
    <row r="473" spans="1:44" x14ac:dyDescent="0.25">
      <c r="A473" s="12">
        <f t="shared" si="78"/>
        <v>0</v>
      </c>
      <c r="B473" s="12">
        <f>IF(AND($C$420&gt;$C$419,($B$454+19)&lt;=$C$420),$C$419+20,0)</f>
        <v>0</v>
      </c>
      <c r="C473" s="26">
        <f t="shared" si="80"/>
        <v>0</v>
      </c>
      <c r="D473" s="26" t="str">
        <f t="shared" si="82"/>
        <v xml:space="preserve"> </v>
      </c>
      <c r="E473" s="2" t="str">
        <f t="shared" si="82"/>
        <v xml:space="preserve"> </v>
      </c>
      <c r="F473" s="2" t="str">
        <f t="shared" si="82"/>
        <v xml:space="preserve"> </v>
      </c>
      <c r="G473" s="2" t="str">
        <f t="shared" si="82"/>
        <v xml:space="preserve"> </v>
      </c>
      <c r="H473" s="2" t="str">
        <f t="shared" si="82"/>
        <v xml:space="preserve"> </v>
      </c>
      <c r="I473" s="2" t="str">
        <f t="shared" si="82"/>
        <v xml:space="preserve"> </v>
      </c>
      <c r="J473" s="2" t="str">
        <f t="shared" si="82"/>
        <v xml:space="preserve"> </v>
      </c>
      <c r="K473" s="2" t="str">
        <f t="shared" si="82"/>
        <v xml:space="preserve"> </v>
      </c>
      <c r="L473" s="2" t="str">
        <f t="shared" si="82"/>
        <v xml:space="preserve"> </v>
      </c>
      <c r="M473" s="2" t="str">
        <f t="shared" si="82"/>
        <v xml:space="preserve"> </v>
      </c>
      <c r="N473" s="2" t="str">
        <f t="shared" si="82"/>
        <v xml:space="preserve"> </v>
      </c>
      <c r="O473" s="2" t="str">
        <f t="shared" si="82"/>
        <v xml:space="preserve"> </v>
      </c>
      <c r="P473" s="2" t="str">
        <f t="shared" si="82"/>
        <v xml:space="preserve"> </v>
      </c>
      <c r="Q473" s="2" t="str">
        <f t="shared" si="82"/>
        <v xml:space="preserve"> </v>
      </c>
      <c r="R473" s="2" t="str">
        <f t="shared" si="82"/>
        <v xml:space="preserve"> </v>
      </c>
      <c r="S473" s="2" t="str">
        <f t="shared" si="82"/>
        <v xml:space="preserve"> </v>
      </c>
      <c r="T473" s="2" t="str">
        <f t="shared" si="81"/>
        <v xml:space="preserve"> </v>
      </c>
      <c r="U473" s="2" t="str">
        <f t="shared" si="81"/>
        <v xml:space="preserve"> </v>
      </c>
      <c r="V473" s="2" t="str">
        <f t="shared" si="81"/>
        <v xml:space="preserve"> </v>
      </c>
      <c r="W473" s="2" t="str">
        <f t="shared" si="81"/>
        <v xml:space="preserve"> </v>
      </c>
      <c r="X473" s="2" t="str">
        <f t="shared" si="81"/>
        <v xml:space="preserve"> </v>
      </c>
      <c r="Y473" s="2" t="str">
        <f t="shared" si="81"/>
        <v xml:space="preserve"> </v>
      </c>
      <c r="Z473" s="2" t="str">
        <f t="shared" si="81"/>
        <v xml:space="preserve"> </v>
      </c>
      <c r="AA473" s="2" t="str">
        <f t="shared" si="81"/>
        <v xml:space="preserve"> </v>
      </c>
      <c r="AB473" s="2" t="str">
        <f t="shared" si="81"/>
        <v xml:space="preserve"> </v>
      </c>
      <c r="AC473" s="2" t="str">
        <f t="shared" si="81"/>
        <v xml:space="preserve"> </v>
      </c>
      <c r="AD473" s="2" t="str">
        <f t="shared" si="81"/>
        <v xml:space="preserve"> </v>
      </c>
      <c r="AE473" s="2" t="str">
        <f t="shared" si="81"/>
        <v xml:space="preserve"> </v>
      </c>
      <c r="AF473" s="2" t="str">
        <f t="shared" si="81"/>
        <v xml:space="preserve"> </v>
      </c>
      <c r="AG473" s="2" t="str">
        <f t="shared" si="81"/>
        <v xml:space="preserve"> </v>
      </c>
      <c r="AH473" s="2" t="str">
        <f t="shared" si="81"/>
        <v xml:space="preserve"> </v>
      </c>
      <c r="AI473" s="2" t="str">
        <f t="shared" si="83"/>
        <v xml:space="preserve"> </v>
      </c>
      <c r="AJ473" s="2" t="str">
        <f t="shared" si="83"/>
        <v xml:space="preserve"> </v>
      </c>
      <c r="AK473" s="2" t="str">
        <f t="shared" si="83"/>
        <v xml:space="preserve"> </v>
      </c>
      <c r="AL473" s="2" t="str">
        <f t="shared" si="83"/>
        <v xml:space="preserve"> </v>
      </c>
      <c r="AM473" s="2" t="str">
        <f t="shared" si="83"/>
        <v xml:space="preserve"> </v>
      </c>
      <c r="AN473" s="2" t="str">
        <f t="shared" si="83"/>
        <v xml:space="preserve"> </v>
      </c>
      <c r="AO473" s="2" t="str">
        <f t="shared" si="83"/>
        <v xml:space="preserve"> </v>
      </c>
      <c r="AP473" s="2" t="str">
        <f t="shared" si="83"/>
        <v xml:space="preserve"> </v>
      </c>
      <c r="AQ473" s="25" t="str">
        <f t="shared" si="83"/>
        <v xml:space="preserve"> </v>
      </c>
      <c r="AR473" s="12">
        <f t="shared" si="79"/>
        <v>0</v>
      </c>
    </row>
    <row r="474" spans="1:44" x14ac:dyDescent="0.25">
      <c r="A474" s="12">
        <f t="shared" si="78"/>
        <v>0</v>
      </c>
      <c r="B474" s="12">
        <f>IF(AND($C$420&gt;$C$419,($B$454+20)&lt;=$C$420),$C$419+21,0)</f>
        <v>0</v>
      </c>
      <c r="C474" s="26">
        <f t="shared" si="80"/>
        <v>0</v>
      </c>
      <c r="D474" s="26" t="str">
        <f t="shared" si="82"/>
        <v xml:space="preserve"> </v>
      </c>
      <c r="E474" s="2" t="str">
        <f t="shared" si="82"/>
        <v xml:space="preserve"> </v>
      </c>
      <c r="F474" s="2" t="str">
        <f t="shared" si="82"/>
        <v xml:space="preserve"> </v>
      </c>
      <c r="G474" s="2" t="str">
        <f t="shared" si="82"/>
        <v xml:space="preserve"> </v>
      </c>
      <c r="H474" s="2" t="str">
        <f t="shared" si="82"/>
        <v xml:space="preserve"> </v>
      </c>
      <c r="I474" s="2" t="str">
        <f t="shared" si="82"/>
        <v xml:space="preserve"> </v>
      </c>
      <c r="J474" s="2" t="str">
        <f t="shared" si="82"/>
        <v xml:space="preserve"> </v>
      </c>
      <c r="K474" s="2" t="str">
        <f t="shared" si="82"/>
        <v xml:space="preserve"> </v>
      </c>
      <c r="L474" s="2" t="str">
        <f t="shared" si="82"/>
        <v xml:space="preserve"> </v>
      </c>
      <c r="M474" s="2" t="str">
        <f t="shared" si="82"/>
        <v xml:space="preserve"> </v>
      </c>
      <c r="N474" s="2" t="str">
        <f t="shared" si="82"/>
        <v xml:space="preserve"> </v>
      </c>
      <c r="O474" s="2" t="str">
        <f t="shared" si="82"/>
        <v xml:space="preserve"> </v>
      </c>
      <c r="P474" s="2" t="str">
        <f t="shared" si="82"/>
        <v xml:space="preserve"> </v>
      </c>
      <c r="Q474" s="2" t="str">
        <f t="shared" si="82"/>
        <v xml:space="preserve"> </v>
      </c>
      <c r="R474" s="2" t="str">
        <f t="shared" si="82"/>
        <v xml:space="preserve"> </v>
      </c>
      <c r="S474" s="2" t="str">
        <f t="shared" si="82"/>
        <v xml:space="preserve"> </v>
      </c>
      <c r="T474" s="2" t="str">
        <f t="shared" si="81"/>
        <v xml:space="preserve"> </v>
      </c>
      <c r="U474" s="2" t="str">
        <f t="shared" si="81"/>
        <v xml:space="preserve"> </v>
      </c>
      <c r="V474" s="2" t="str">
        <f t="shared" si="81"/>
        <v xml:space="preserve"> </v>
      </c>
      <c r="W474" s="2" t="str">
        <f t="shared" si="81"/>
        <v xml:space="preserve"> </v>
      </c>
      <c r="X474" s="2" t="str">
        <f t="shared" si="81"/>
        <v xml:space="preserve"> </v>
      </c>
      <c r="Y474" s="2" t="str">
        <f t="shared" si="81"/>
        <v xml:space="preserve"> </v>
      </c>
      <c r="Z474" s="2" t="str">
        <f t="shared" si="81"/>
        <v xml:space="preserve"> </v>
      </c>
      <c r="AA474" s="2" t="str">
        <f t="shared" si="81"/>
        <v xml:space="preserve"> </v>
      </c>
      <c r="AB474" s="2" t="str">
        <f t="shared" si="81"/>
        <v xml:space="preserve"> </v>
      </c>
      <c r="AC474" s="2" t="str">
        <f t="shared" si="81"/>
        <v xml:space="preserve"> </v>
      </c>
      <c r="AD474" s="2" t="str">
        <f t="shared" si="81"/>
        <v xml:space="preserve"> </v>
      </c>
      <c r="AE474" s="2" t="str">
        <f t="shared" si="81"/>
        <v xml:space="preserve"> </v>
      </c>
      <c r="AF474" s="2" t="str">
        <f t="shared" si="81"/>
        <v xml:space="preserve"> </v>
      </c>
      <c r="AG474" s="2" t="str">
        <f t="shared" si="81"/>
        <v xml:space="preserve"> </v>
      </c>
      <c r="AH474" s="2" t="str">
        <f t="shared" si="81"/>
        <v xml:space="preserve"> </v>
      </c>
      <c r="AI474" s="2" t="str">
        <f t="shared" si="83"/>
        <v xml:space="preserve"> </v>
      </c>
      <c r="AJ474" s="2" t="str">
        <f t="shared" si="83"/>
        <v xml:space="preserve"> </v>
      </c>
      <c r="AK474" s="2" t="str">
        <f t="shared" si="83"/>
        <v xml:space="preserve"> </v>
      </c>
      <c r="AL474" s="2" t="str">
        <f t="shared" si="83"/>
        <v xml:space="preserve"> </v>
      </c>
      <c r="AM474" s="2" t="str">
        <f t="shared" si="83"/>
        <v xml:space="preserve"> </v>
      </c>
      <c r="AN474" s="2" t="str">
        <f t="shared" si="83"/>
        <v xml:space="preserve"> </v>
      </c>
      <c r="AO474" s="2" t="str">
        <f t="shared" si="83"/>
        <v xml:space="preserve"> </v>
      </c>
      <c r="AP474" s="2" t="str">
        <f t="shared" si="83"/>
        <v xml:space="preserve"> </v>
      </c>
      <c r="AQ474" s="25" t="str">
        <f t="shared" si="83"/>
        <v xml:space="preserve"> </v>
      </c>
      <c r="AR474" s="12">
        <f t="shared" si="79"/>
        <v>0</v>
      </c>
    </row>
    <row r="475" spans="1:44" x14ac:dyDescent="0.25">
      <c r="A475" s="12">
        <f t="shared" si="78"/>
        <v>0</v>
      </c>
      <c r="B475" s="12">
        <f>IF(AND($C$420&gt;$C$419,($B$454+21)&lt;=$C$420),$C$419+22,0)</f>
        <v>0</v>
      </c>
      <c r="C475" s="26">
        <f t="shared" si="80"/>
        <v>0</v>
      </c>
      <c r="D475" s="26" t="str">
        <f t="shared" si="82"/>
        <v xml:space="preserve"> </v>
      </c>
      <c r="E475" s="2" t="str">
        <f t="shared" si="82"/>
        <v xml:space="preserve"> </v>
      </c>
      <c r="F475" s="2" t="str">
        <f t="shared" si="82"/>
        <v xml:space="preserve"> </v>
      </c>
      <c r="G475" s="2" t="str">
        <f t="shared" si="82"/>
        <v xml:space="preserve"> </v>
      </c>
      <c r="H475" s="2" t="str">
        <f t="shared" si="82"/>
        <v xml:space="preserve"> </v>
      </c>
      <c r="I475" s="2" t="str">
        <f t="shared" si="82"/>
        <v xml:space="preserve"> </v>
      </c>
      <c r="J475" s="2" t="str">
        <f t="shared" si="82"/>
        <v xml:space="preserve"> </v>
      </c>
      <c r="K475" s="2" t="str">
        <f t="shared" si="82"/>
        <v xml:space="preserve"> </v>
      </c>
      <c r="L475" s="2" t="str">
        <f t="shared" si="82"/>
        <v xml:space="preserve"> </v>
      </c>
      <c r="M475" s="2" t="str">
        <f t="shared" si="82"/>
        <v xml:space="preserve"> </v>
      </c>
      <c r="N475" s="2" t="str">
        <f t="shared" si="82"/>
        <v xml:space="preserve"> </v>
      </c>
      <c r="O475" s="2" t="str">
        <f t="shared" si="82"/>
        <v xml:space="preserve"> </v>
      </c>
      <c r="P475" s="2" t="str">
        <f t="shared" si="82"/>
        <v xml:space="preserve"> </v>
      </c>
      <c r="Q475" s="2" t="str">
        <f t="shared" si="82"/>
        <v xml:space="preserve"> </v>
      </c>
      <c r="R475" s="2" t="str">
        <f t="shared" si="82"/>
        <v xml:space="preserve"> </v>
      </c>
      <c r="S475" s="2" t="str">
        <f t="shared" si="82"/>
        <v xml:space="preserve"> </v>
      </c>
      <c r="T475" s="2" t="str">
        <f t="shared" si="81"/>
        <v xml:space="preserve"> </v>
      </c>
      <c r="U475" s="2" t="str">
        <f t="shared" si="81"/>
        <v xml:space="preserve"> </v>
      </c>
      <c r="V475" s="2" t="str">
        <f t="shared" si="81"/>
        <v xml:space="preserve"> </v>
      </c>
      <c r="W475" s="2" t="str">
        <f t="shared" si="81"/>
        <v xml:space="preserve"> </v>
      </c>
      <c r="X475" s="2" t="str">
        <f t="shared" si="81"/>
        <v xml:space="preserve"> </v>
      </c>
      <c r="Y475" s="2" t="str">
        <f t="shared" si="81"/>
        <v xml:space="preserve"> </v>
      </c>
      <c r="Z475" s="2" t="str">
        <f t="shared" si="81"/>
        <v xml:space="preserve"> </v>
      </c>
      <c r="AA475" s="2" t="str">
        <f t="shared" si="81"/>
        <v xml:space="preserve"> </v>
      </c>
      <c r="AB475" s="2" t="str">
        <f t="shared" si="81"/>
        <v xml:space="preserve"> </v>
      </c>
      <c r="AC475" s="2" t="str">
        <f t="shared" si="81"/>
        <v xml:space="preserve"> </v>
      </c>
      <c r="AD475" s="2" t="str">
        <f t="shared" si="81"/>
        <v xml:space="preserve"> </v>
      </c>
      <c r="AE475" s="2" t="str">
        <f t="shared" si="81"/>
        <v xml:space="preserve"> </v>
      </c>
      <c r="AF475" s="2" t="str">
        <f t="shared" si="81"/>
        <v xml:space="preserve"> </v>
      </c>
      <c r="AG475" s="2" t="str">
        <f t="shared" si="81"/>
        <v xml:space="preserve"> </v>
      </c>
      <c r="AH475" s="2" t="str">
        <f t="shared" si="81"/>
        <v xml:space="preserve"> </v>
      </c>
      <c r="AI475" s="2" t="str">
        <f t="shared" si="83"/>
        <v xml:space="preserve"> </v>
      </c>
      <c r="AJ475" s="2" t="str">
        <f t="shared" si="83"/>
        <v xml:space="preserve"> </v>
      </c>
      <c r="AK475" s="2" t="str">
        <f t="shared" si="83"/>
        <v xml:space="preserve"> </v>
      </c>
      <c r="AL475" s="2" t="str">
        <f t="shared" si="83"/>
        <v xml:space="preserve"> </v>
      </c>
      <c r="AM475" s="2" t="str">
        <f t="shared" si="83"/>
        <v xml:space="preserve"> </v>
      </c>
      <c r="AN475" s="2" t="str">
        <f t="shared" si="83"/>
        <v xml:space="preserve"> </v>
      </c>
      <c r="AO475" s="2" t="str">
        <f t="shared" si="83"/>
        <v xml:space="preserve"> </v>
      </c>
      <c r="AP475" s="2" t="str">
        <f t="shared" si="83"/>
        <v xml:space="preserve"> </v>
      </c>
      <c r="AQ475" s="25" t="str">
        <f t="shared" si="83"/>
        <v xml:space="preserve"> </v>
      </c>
      <c r="AR475" s="12">
        <f t="shared" si="79"/>
        <v>0</v>
      </c>
    </row>
    <row r="476" spans="1:44" x14ac:dyDescent="0.25">
      <c r="A476" s="12">
        <f t="shared" si="78"/>
        <v>0</v>
      </c>
      <c r="B476" s="12">
        <f>IF(AND($C$420&gt;$C$419,($B$454+22)&lt;=$C$420),$C$419+23,0)</f>
        <v>0</v>
      </c>
      <c r="C476" s="26">
        <f t="shared" si="80"/>
        <v>0</v>
      </c>
      <c r="D476" s="26" t="str">
        <f t="shared" si="82"/>
        <v xml:space="preserve"> </v>
      </c>
      <c r="E476" s="2" t="str">
        <f t="shared" si="82"/>
        <v xml:space="preserve"> </v>
      </c>
      <c r="F476" s="2" t="str">
        <f t="shared" si="82"/>
        <v xml:space="preserve"> </v>
      </c>
      <c r="G476" s="2" t="str">
        <f t="shared" si="82"/>
        <v xml:space="preserve"> </v>
      </c>
      <c r="H476" s="2" t="str">
        <f t="shared" si="82"/>
        <v xml:space="preserve"> </v>
      </c>
      <c r="I476" s="2" t="str">
        <f t="shared" si="82"/>
        <v xml:space="preserve"> </v>
      </c>
      <c r="J476" s="2" t="str">
        <f t="shared" si="82"/>
        <v xml:space="preserve"> </v>
      </c>
      <c r="K476" s="2" t="str">
        <f t="shared" si="82"/>
        <v xml:space="preserve"> </v>
      </c>
      <c r="L476" s="2" t="str">
        <f t="shared" si="82"/>
        <v xml:space="preserve"> </v>
      </c>
      <c r="M476" s="2" t="str">
        <f t="shared" si="82"/>
        <v xml:space="preserve"> </v>
      </c>
      <c r="N476" s="2" t="str">
        <f t="shared" si="82"/>
        <v xml:space="preserve"> </v>
      </c>
      <c r="O476" s="2" t="str">
        <f t="shared" si="82"/>
        <v xml:space="preserve"> </v>
      </c>
      <c r="P476" s="2" t="str">
        <f t="shared" si="82"/>
        <v xml:space="preserve"> </v>
      </c>
      <c r="Q476" s="2" t="str">
        <f t="shared" si="82"/>
        <v xml:space="preserve"> </v>
      </c>
      <c r="R476" s="2" t="str">
        <f t="shared" si="82"/>
        <v xml:space="preserve"> </v>
      </c>
      <c r="S476" s="2" t="str">
        <f t="shared" si="82"/>
        <v xml:space="preserve"> </v>
      </c>
      <c r="T476" s="2" t="str">
        <f t="shared" si="81"/>
        <v xml:space="preserve"> </v>
      </c>
      <c r="U476" s="2" t="str">
        <f t="shared" si="81"/>
        <v xml:space="preserve"> </v>
      </c>
      <c r="V476" s="2" t="str">
        <f t="shared" si="81"/>
        <v xml:space="preserve"> </v>
      </c>
      <c r="W476" s="2" t="str">
        <f t="shared" si="81"/>
        <v xml:space="preserve"> </v>
      </c>
      <c r="X476" s="2" t="str">
        <f t="shared" si="81"/>
        <v xml:space="preserve"> </v>
      </c>
      <c r="Y476" s="2" t="str">
        <f t="shared" si="81"/>
        <v xml:space="preserve"> </v>
      </c>
      <c r="Z476" s="2" t="str">
        <f t="shared" si="81"/>
        <v xml:space="preserve"> </v>
      </c>
      <c r="AA476" s="2" t="str">
        <f t="shared" si="81"/>
        <v xml:space="preserve"> </v>
      </c>
      <c r="AB476" s="2" t="str">
        <f t="shared" si="81"/>
        <v xml:space="preserve"> </v>
      </c>
      <c r="AC476" s="2" t="str">
        <f t="shared" si="81"/>
        <v xml:space="preserve"> </v>
      </c>
      <c r="AD476" s="2" t="str">
        <f t="shared" si="81"/>
        <v xml:space="preserve"> </v>
      </c>
      <c r="AE476" s="2" t="str">
        <f t="shared" si="81"/>
        <v xml:space="preserve"> </v>
      </c>
      <c r="AF476" s="2" t="str">
        <f t="shared" si="81"/>
        <v xml:space="preserve"> </v>
      </c>
      <c r="AG476" s="2" t="str">
        <f t="shared" si="81"/>
        <v xml:space="preserve"> </v>
      </c>
      <c r="AH476" s="2" t="str">
        <f t="shared" si="81"/>
        <v xml:space="preserve"> </v>
      </c>
      <c r="AI476" s="2" t="str">
        <f t="shared" si="83"/>
        <v xml:space="preserve"> </v>
      </c>
      <c r="AJ476" s="2" t="str">
        <f t="shared" si="83"/>
        <v xml:space="preserve"> </v>
      </c>
      <c r="AK476" s="2" t="str">
        <f t="shared" si="83"/>
        <v xml:space="preserve"> </v>
      </c>
      <c r="AL476" s="2" t="str">
        <f t="shared" si="83"/>
        <v xml:space="preserve"> </v>
      </c>
      <c r="AM476" s="2" t="str">
        <f t="shared" si="83"/>
        <v xml:space="preserve"> </v>
      </c>
      <c r="AN476" s="2" t="str">
        <f t="shared" si="83"/>
        <v xml:space="preserve"> </v>
      </c>
      <c r="AO476" s="2" t="str">
        <f t="shared" si="83"/>
        <v xml:space="preserve"> </v>
      </c>
      <c r="AP476" s="2" t="str">
        <f t="shared" si="83"/>
        <v xml:space="preserve"> </v>
      </c>
      <c r="AQ476" s="25" t="str">
        <f t="shared" si="83"/>
        <v xml:space="preserve"> </v>
      </c>
      <c r="AR476" s="12">
        <f t="shared" si="79"/>
        <v>0</v>
      </c>
    </row>
    <row r="477" spans="1:44" x14ac:dyDescent="0.25">
      <c r="A477" s="12">
        <f t="shared" si="78"/>
        <v>0</v>
      </c>
      <c r="B477" s="12">
        <f>IF(AND($C$420&gt;$C$419,($B$454+23)&lt;=$C$420),$C$419+24,0)</f>
        <v>0</v>
      </c>
      <c r="C477" s="26">
        <f t="shared" si="80"/>
        <v>0</v>
      </c>
      <c r="D477" s="26" t="str">
        <f t="shared" si="82"/>
        <v xml:space="preserve"> </v>
      </c>
      <c r="E477" s="2" t="str">
        <f t="shared" si="82"/>
        <v xml:space="preserve"> </v>
      </c>
      <c r="F477" s="2" t="str">
        <f t="shared" si="82"/>
        <v xml:space="preserve"> </v>
      </c>
      <c r="G477" s="2" t="str">
        <f t="shared" si="82"/>
        <v xml:space="preserve"> </v>
      </c>
      <c r="H477" s="2" t="str">
        <f t="shared" si="82"/>
        <v xml:space="preserve"> </v>
      </c>
      <c r="I477" s="2" t="str">
        <f t="shared" si="82"/>
        <v xml:space="preserve"> </v>
      </c>
      <c r="J477" s="2" t="str">
        <f t="shared" si="82"/>
        <v xml:space="preserve"> </v>
      </c>
      <c r="K477" s="2" t="str">
        <f t="shared" si="82"/>
        <v xml:space="preserve"> </v>
      </c>
      <c r="L477" s="2" t="str">
        <f t="shared" si="82"/>
        <v xml:space="preserve"> </v>
      </c>
      <c r="M477" s="2" t="str">
        <f t="shared" si="82"/>
        <v xml:space="preserve"> </v>
      </c>
      <c r="N477" s="2" t="str">
        <f t="shared" si="82"/>
        <v xml:space="preserve"> </v>
      </c>
      <c r="O477" s="2" t="str">
        <f t="shared" si="82"/>
        <v xml:space="preserve"> </v>
      </c>
      <c r="P477" s="2" t="str">
        <f t="shared" si="82"/>
        <v xml:space="preserve"> </v>
      </c>
      <c r="Q477" s="2" t="str">
        <f t="shared" si="82"/>
        <v xml:space="preserve"> </v>
      </c>
      <c r="R477" s="2" t="str">
        <f t="shared" si="82"/>
        <v xml:space="preserve"> </v>
      </c>
      <c r="S477" s="2" t="str">
        <f t="shared" si="82"/>
        <v xml:space="preserve"> </v>
      </c>
      <c r="T477" s="2" t="str">
        <f t="shared" si="81"/>
        <v xml:space="preserve"> </v>
      </c>
      <c r="U477" s="2" t="str">
        <f t="shared" si="81"/>
        <v xml:space="preserve"> </v>
      </c>
      <c r="V477" s="2" t="str">
        <f t="shared" si="81"/>
        <v xml:space="preserve"> </v>
      </c>
      <c r="W477" s="2" t="str">
        <f t="shared" si="81"/>
        <v xml:space="preserve"> </v>
      </c>
      <c r="X477" s="2" t="str">
        <f t="shared" si="81"/>
        <v xml:space="preserve"> </v>
      </c>
      <c r="Y477" s="2" t="str">
        <f t="shared" si="81"/>
        <v xml:space="preserve"> </v>
      </c>
      <c r="Z477" s="2" t="str">
        <f t="shared" si="81"/>
        <v xml:space="preserve"> </v>
      </c>
      <c r="AA477" s="2" t="str">
        <f t="shared" si="81"/>
        <v xml:space="preserve"> </v>
      </c>
      <c r="AB477" s="2" t="str">
        <f t="shared" si="81"/>
        <v xml:space="preserve"> </v>
      </c>
      <c r="AC477" s="2" t="str">
        <f t="shared" si="81"/>
        <v xml:space="preserve"> </v>
      </c>
      <c r="AD477" s="2" t="str">
        <f t="shared" si="81"/>
        <v xml:space="preserve"> </v>
      </c>
      <c r="AE477" s="2" t="str">
        <f t="shared" si="81"/>
        <v xml:space="preserve"> </v>
      </c>
      <c r="AF477" s="2" t="str">
        <f t="shared" si="81"/>
        <v xml:space="preserve"> </v>
      </c>
      <c r="AG477" s="2" t="str">
        <f t="shared" si="81"/>
        <v xml:space="preserve"> </v>
      </c>
      <c r="AH477" s="2" t="str">
        <f t="shared" si="81"/>
        <v xml:space="preserve"> </v>
      </c>
      <c r="AI477" s="2" t="str">
        <f t="shared" si="83"/>
        <v xml:space="preserve"> </v>
      </c>
      <c r="AJ477" s="2" t="str">
        <f t="shared" si="83"/>
        <v xml:space="preserve"> </v>
      </c>
      <c r="AK477" s="2" t="str">
        <f t="shared" si="83"/>
        <v xml:space="preserve"> </v>
      </c>
      <c r="AL477" s="2" t="str">
        <f t="shared" si="83"/>
        <v xml:space="preserve"> </v>
      </c>
      <c r="AM477" s="2" t="str">
        <f t="shared" si="83"/>
        <v xml:space="preserve"> </v>
      </c>
      <c r="AN477" s="2" t="str">
        <f t="shared" si="83"/>
        <v xml:space="preserve"> </v>
      </c>
      <c r="AO477" s="2" t="str">
        <f t="shared" si="83"/>
        <v xml:space="preserve"> </v>
      </c>
      <c r="AP477" s="2" t="str">
        <f t="shared" si="83"/>
        <v xml:space="preserve"> </v>
      </c>
      <c r="AQ477" s="25" t="str">
        <f t="shared" si="83"/>
        <v xml:space="preserve"> </v>
      </c>
      <c r="AR477" s="12">
        <f t="shared" si="79"/>
        <v>0</v>
      </c>
    </row>
    <row r="478" spans="1:44" x14ac:dyDescent="0.25">
      <c r="A478" s="12">
        <f t="shared" si="78"/>
        <v>0</v>
      </c>
      <c r="B478" s="12">
        <f>IF(AND($C$420&gt;$C$419,($B$454+24)&lt;=$C$420),$C$419+25,0)</f>
        <v>0</v>
      </c>
      <c r="C478" s="26">
        <f t="shared" si="80"/>
        <v>0</v>
      </c>
      <c r="D478" s="26" t="str">
        <f t="shared" si="82"/>
        <v xml:space="preserve"> </v>
      </c>
      <c r="E478" s="2" t="str">
        <f t="shared" si="82"/>
        <v xml:space="preserve"> </v>
      </c>
      <c r="F478" s="2" t="str">
        <f t="shared" si="82"/>
        <v xml:space="preserve"> </v>
      </c>
      <c r="G478" s="2" t="str">
        <f t="shared" si="82"/>
        <v xml:space="preserve"> </v>
      </c>
      <c r="H478" s="2" t="str">
        <f t="shared" si="82"/>
        <v xml:space="preserve"> </v>
      </c>
      <c r="I478" s="2" t="str">
        <f t="shared" si="82"/>
        <v xml:space="preserve"> </v>
      </c>
      <c r="J478" s="2" t="str">
        <f t="shared" si="82"/>
        <v xml:space="preserve"> </v>
      </c>
      <c r="K478" s="2" t="str">
        <f t="shared" si="82"/>
        <v xml:space="preserve"> </v>
      </c>
      <c r="L478" s="2" t="str">
        <f t="shared" si="82"/>
        <v xml:space="preserve"> </v>
      </c>
      <c r="M478" s="2" t="str">
        <f t="shared" si="82"/>
        <v xml:space="preserve"> </v>
      </c>
      <c r="N478" s="2" t="str">
        <f t="shared" si="82"/>
        <v xml:space="preserve"> </v>
      </c>
      <c r="O478" s="2" t="str">
        <f t="shared" si="82"/>
        <v xml:space="preserve"> </v>
      </c>
      <c r="P478" s="2" t="str">
        <f t="shared" si="82"/>
        <v xml:space="preserve"> </v>
      </c>
      <c r="Q478" s="2" t="str">
        <f t="shared" si="82"/>
        <v xml:space="preserve"> </v>
      </c>
      <c r="R478" s="2" t="str">
        <f t="shared" si="82"/>
        <v xml:space="preserve"> </v>
      </c>
      <c r="S478" s="2" t="str">
        <f t="shared" si="82"/>
        <v xml:space="preserve"> </v>
      </c>
      <c r="T478" s="2" t="str">
        <f t="shared" si="81"/>
        <v xml:space="preserve"> </v>
      </c>
      <c r="U478" s="2" t="str">
        <f t="shared" si="81"/>
        <v xml:space="preserve"> </v>
      </c>
      <c r="V478" s="2" t="str">
        <f t="shared" si="81"/>
        <v xml:space="preserve"> </v>
      </c>
      <c r="W478" s="2" t="str">
        <f t="shared" si="81"/>
        <v xml:space="preserve"> </v>
      </c>
      <c r="X478" s="2" t="str">
        <f t="shared" si="81"/>
        <v xml:space="preserve"> </v>
      </c>
      <c r="Y478" s="2" t="str">
        <f t="shared" si="81"/>
        <v xml:space="preserve"> </v>
      </c>
      <c r="Z478" s="2" t="str">
        <f t="shared" si="81"/>
        <v xml:space="preserve"> </v>
      </c>
      <c r="AA478" s="2" t="str">
        <f t="shared" si="81"/>
        <v xml:space="preserve"> </v>
      </c>
      <c r="AB478" s="2" t="str">
        <f t="shared" si="81"/>
        <v xml:space="preserve"> </v>
      </c>
      <c r="AC478" s="2" t="str">
        <f t="shared" si="81"/>
        <v xml:space="preserve"> </v>
      </c>
      <c r="AD478" s="2" t="str">
        <f t="shared" si="81"/>
        <v xml:space="preserve"> </v>
      </c>
      <c r="AE478" s="2" t="str">
        <f t="shared" si="81"/>
        <v xml:space="preserve"> </v>
      </c>
      <c r="AF478" s="2" t="str">
        <f t="shared" si="81"/>
        <v xml:space="preserve"> </v>
      </c>
      <c r="AG478" s="2" t="str">
        <f t="shared" si="81"/>
        <v xml:space="preserve"> </v>
      </c>
      <c r="AH478" s="2" t="str">
        <f t="shared" si="81"/>
        <v xml:space="preserve"> </v>
      </c>
      <c r="AI478" s="2" t="str">
        <f t="shared" si="83"/>
        <v xml:space="preserve"> </v>
      </c>
      <c r="AJ478" s="2" t="str">
        <f t="shared" si="83"/>
        <v xml:space="preserve"> </v>
      </c>
      <c r="AK478" s="2" t="str">
        <f t="shared" si="83"/>
        <v xml:space="preserve"> </v>
      </c>
      <c r="AL478" s="2" t="str">
        <f t="shared" si="83"/>
        <v xml:space="preserve"> </v>
      </c>
      <c r="AM478" s="2" t="str">
        <f t="shared" si="83"/>
        <v xml:space="preserve"> </v>
      </c>
      <c r="AN478" s="2" t="str">
        <f t="shared" si="83"/>
        <v xml:space="preserve"> </v>
      </c>
      <c r="AO478" s="2" t="str">
        <f t="shared" si="83"/>
        <v xml:space="preserve"> </v>
      </c>
      <c r="AP478" s="2" t="str">
        <f t="shared" si="83"/>
        <v xml:space="preserve"> </v>
      </c>
      <c r="AQ478" s="25" t="str">
        <f t="shared" si="83"/>
        <v xml:space="preserve"> </v>
      </c>
      <c r="AR478" s="12">
        <f t="shared" si="79"/>
        <v>0</v>
      </c>
    </row>
    <row r="479" spans="1:44" x14ac:dyDescent="0.25">
      <c r="A479" s="12">
        <f t="shared" si="78"/>
        <v>0</v>
      </c>
      <c r="B479" s="12">
        <f>IF(AND($C$420&gt;$C$419,($B$454+25)&lt;=$C$420),$C$419+26,0)</f>
        <v>0</v>
      </c>
      <c r="C479" s="26">
        <f t="shared" si="80"/>
        <v>0</v>
      </c>
      <c r="D479" s="26" t="str">
        <f t="shared" si="82"/>
        <v xml:space="preserve"> </v>
      </c>
      <c r="E479" s="2" t="str">
        <f t="shared" si="82"/>
        <v xml:space="preserve"> </v>
      </c>
      <c r="F479" s="2" t="str">
        <f t="shared" si="82"/>
        <v xml:space="preserve"> </v>
      </c>
      <c r="G479" s="2" t="str">
        <f t="shared" si="82"/>
        <v xml:space="preserve"> </v>
      </c>
      <c r="H479" s="2" t="str">
        <f t="shared" si="82"/>
        <v xml:space="preserve"> </v>
      </c>
      <c r="I479" s="2" t="str">
        <f t="shared" si="82"/>
        <v xml:space="preserve"> </v>
      </c>
      <c r="J479" s="2" t="str">
        <f t="shared" si="82"/>
        <v xml:space="preserve"> </v>
      </c>
      <c r="K479" s="2" t="str">
        <f t="shared" si="82"/>
        <v xml:space="preserve"> </v>
      </c>
      <c r="L479" s="2" t="str">
        <f t="shared" si="82"/>
        <v xml:space="preserve"> </v>
      </c>
      <c r="M479" s="2" t="str">
        <f t="shared" si="82"/>
        <v xml:space="preserve"> </v>
      </c>
      <c r="N479" s="2" t="str">
        <f t="shared" si="82"/>
        <v xml:space="preserve"> </v>
      </c>
      <c r="O479" s="2" t="str">
        <f t="shared" si="82"/>
        <v xml:space="preserve"> </v>
      </c>
      <c r="P479" s="2" t="str">
        <f t="shared" si="82"/>
        <v xml:space="preserve"> </v>
      </c>
      <c r="Q479" s="2" t="str">
        <f t="shared" si="82"/>
        <v xml:space="preserve"> </v>
      </c>
      <c r="R479" s="2" t="str">
        <f t="shared" si="82"/>
        <v xml:space="preserve"> </v>
      </c>
      <c r="S479" s="2" t="str">
        <f t="shared" si="82"/>
        <v xml:space="preserve"> </v>
      </c>
      <c r="T479" s="2" t="str">
        <f t="shared" si="81"/>
        <v xml:space="preserve"> </v>
      </c>
      <c r="U479" s="2" t="str">
        <f t="shared" si="81"/>
        <v xml:space="preserve"> </v>
      </c>
      <c r="V479" s="2" t="str">
        <f t="shared" si="81"/>
        <v xml:space="preserve"> </v>
      </c>
      <c r="W479" s="2" t="str">
        <f t="shared" si="81"/>
        <v xml:space="preserve"> </v>
      </c>
      <c r="X479" s="2" t="str">
        <f t="shared" si="81"/>
        <v xml:space="preserve"> </v>
      </c>
      <c r="Y479" s="2" t="str">
        <f t="shared" si="81"/>
        <v xml:space="preserve"> </v>
      </c>
      <c r="Z479" s="2" t="str">
        <f t="shared" si="81"/>
        <v xml:space="preserve"> </v>
      </c>
      <c r="AA479" s="2" t="str">
        <f t="shared" si="81"/>
        <v xml:space="preserve"> </v>
      </c>
      <c r="AB479" s="2" t="str">
        <f t="shared" si="81"/>
        <v xml:space="preserve"> </v>
      </c>
      <c r="AC479" s="2" t="str">
        <f t="shared" si="81"/>
        <v xml:space="preserve"> </v>
      </c>
      <c r="AD479" s="2" t="str">
        <f t="shared" si="81"/>
        <v xml:space="preserve"> </v>
      </c>
      <c r="AE479" s="2" t="str">
        <f t="shared" si="81"/>
        <v xml:space="preserve"> </v>
      </c>
      <c r="AF479" s="2" t="str">
        <f t="shared" si="81"/>
        <v xml:space="preserve"> </v>
      </c>
      <c r="AG479" s="2" t="str">
        <f t="shared" si="81"/>
        <v xml:space="preserve"> </v>
      </c>
      <c r="AH479" s="2" t="str">
        <f t="shared" si="81"/>
        <v xml:space="preserve"> </v>
      </c>
      <c r="AI479" s="2" t="str">
        <f t="shared" si="83"/>
        <v xml:space="preserve"> </v>
      </c>
      <c r="AJ479" s="2" t="str">
        <f t="shared" si="83"/>
        <v xml:space="preserve"> </v>
      </c>
      <c r="AK479" s="2" t="str">
        <f t="shared" si="83"/>
        <v xml:space="preserve"> </v>
      </c>
      <c r="AL479" s="2" t="str">
        <f t="shared" si="83"/>
        <v xml:space="preserve"> </v>
      </c>
      <c r="AM479" s="2" t="str">
        <f t="shared" si="83"/>
        <v xml:space="preserve"> </v>
      </c>
      <c r="AN479" s="2" t="str">
        <f t="shared" si="83"/>
        <v xml:space="preserve"> </v>
      </c>
      <c r="AO479" s="2" t="str">
        <f t="shared" si="83"/>
        <v xml:space="preserve"> </v>
      </c>
      <c r="AP479" s="2" t="str">
        <f t="shared" si="83"/>
        <v xml:space="preserve"> </v>
      </c>
      <c r="AQ479" s="25" t="str">
        <f t="shared" si="83"/>
        <v xml:space="preserve"> </v>
      </c>
      <c r="AR479" s="12">
        <f t="shared" si="79"/>
        <v>0</v>
      </c>
    </row>
    <row r="480" spans="1:44" x14ac:dyDescent="0.25">
      <c r="A480" s="12">
        <f t="shared" si="78"/>
        <v>0</v>
      </c>
      <c r="B480" s="12">
        <f>IF(AND($C$420&gt;$C$419,($B$454+26)&lt;=$C$420),$C$419+27,0)</f>
        <v>0</v>
      </c>
      <c r="C480" s="26">
        <f t="shared" si="80"/>
        <v>0</v>
      </c>
      <c r="D480" s="26" t="str">
        <f t="shared" si="82"/>
        <v xml:space="preserve"> </v>
      </c>
      <c r="E480" s="2" t="str">
        <f t="shared" si="82"/>
        <v xml:space="preserve"> </v>
      </c>
      <c r="F480" s="2" t="str">
        <f t="shared" si="82"/>
        <v xml:space="preserve"> </v>
      </c>
      <c r="G480" s="2" t="str">
        <f t="shared" si="82"/>
        <v xml:space="preserve"> </v>
      </c>
      <c r="H480" s="2" t="str">
        <f t="shared" si="82"/>
        <v xml:space="preserve"> </v>
      </c>
      <c r="I480" s="2" t="str">
        <f t="shared" si="82"/>
        <v xml:space="preserve"> </v>
      </c>
      <c r="J480" s="2" t="str">
        <f t="shared" si="82"/>
        <v xml:space="preserve"> </v>
      </c>
      <c r="K480" s="2" t="str">
        <f t="shared" si="82"/>
        <v xml:space="preserve"> </v>
      </c>
      <c r="L480" s="2" t="str">
        <f t="shared" si="82"/>
        <v xml:space="preserve"> </v>
      </c>
      <c r="M480" s="2" t="str">
        <f t="shared" si="82"/>
        <v xml:space="preserve"> </v>
      </c>
      <c r="N480" s="2" t="str">
        <f t="shared" si="82"/>
        <v xml:space="preserve"> </v>
      </c>
      <c r="O480" s="2" t="str">
        <f t="shared" si="82"/>
        <v xml:space="preserve"> </v>
      </c>
      <c r="P480" s="2" t="str">
        <f t="shared" si="82"/>
        <v xml:space="preserve"> </v>
      </c>
      <c r="Q480" s="2" t="str">
        <f t="shared" si="82"/>
        <v xml:space="preserve"> </v>
      </c>
      <c r="R480" s="2" t="str">
        <f t="shared" si="82"/>
        <v xml:space="preserve"> </v>
      </c>
      <c r="S480" s="2" t="str">
        <f t="shared" si="82"/>
        <v xml:space="preserve"> </v>
      </c>
      <c r="T480" s="2" t="str">
        <f t="shared" si="81"/>
        <v xml:space="preserve"> </v>
      </c>
      <c r="U480" s="2" t="str">
        <f t="shared" si="81"/>
        <v xml:space="preserve"> </v>
      </c>
      <c r="V480" s="2" t="str">
        <f t="shared" si="81"/>
        <v xml:space="preserve"> </v>
      </c>
      <c r="W480" s="2" t="str">
        <f t="shared" si="81"/>
        <v xml:space="preserve"> </v>
      </c>
      <c r="X480" s="2" t="str">
        <f t="shared" si="81"/>
        <v xml:space="preserve"> </v>
      </c>
      <c r="Y480" s="2" t="str">
        <f t="shared" si="81"/>
        <v xml:space="preserve"> </v>
      </c>
      <c r="Z480" s="2" t="str">
        <f t="shared" si="81"/>
        <v xml:space="preserve"> </v>
      </c>
      <c r="AA480" s="2" t="str">
        <f t="shared" si="81"/>
        <v xml:space="preserve"> </v>
      </c>
      <c r="AB480" s="2" t="str">
        <f t="shared" si="81"/>
        <v xml:space="preserve"> </v>
      </c>
      <c r="AC480" s="2" t="str">
        <f t="shared" si="81"/>
        <v xml:space="preserve"> </v>
      </c>
      <c r="AD480" s="2" t="str">
        <f t="shared" si="81"/>
        <v xml:space="preserve"> </v>
      </c>
      <c r="AE480" s="2" t="str">
        <f t="shared" si="81"/>
        <v xml:space="preserve"> </v>
      </c>
      <c r="AF480" s="2" t="str">
        <f t="shared" si="81"/>
        <v xml:space="preserve"> </v>
      </c>
      <c r="AG480" s="2" t="str">
        <f t="shared" si="81"/>
        <v xml:space="preserve"> </v>
      </c>
      <c r="AH480" s="2" t="str">
        <f t="shared" si="81"/>
        <v xml:space="preserve"> </v>
      </c>
      <c r="AI480" s="2" t="str">
        <f t="shared" si="83"/>
        <v xml:space="preserve"> </v>
      </c>
      <c r="AJ480" s="2" t="str">
        <f t="shared" si="83"/>
        <v xml:space="preserve"> </v>
      </c>
      <c r="AK480" s="2" t="str">
        <f t="shared" si="83"/>
        <v xml:space="preserve"> </v>
      </c>
      <c r="AL480" s="2" t="str">
        <f t="shared" si="83"/>
        <v xml:space="preserve"> </v>
      </c>
      <c r="AM480" s="2" t="str">
        <f t="shared" si="83"/>
        <v xml:space="preserve"> </v>
      </c>
      <c r="AN480" s="2" t="str">
        <f t="shared" si="83"/>
        <v xml:space="preserve"> </v>
      </c>
      <c r="AO480" s="2" t="str">
        <f t="shared" si="83"/>
        <v xml:space="preserve"> </v>
      </c>
      <c r="AP480" s="2" t="str">
        <f t="shared" si="83"/>
        <v xml:space="preserve"> </v>
      </c>
      <c r="AQ480" s="25" t="str">
        <f t="shared" si="83"/>
        <v xml:space="preserve"> </v>
      </c>
      <c r="AR480" s="12">
        <f t="shared" si="79"/>
        <v>0</v>
      </c>
    </row>
    <row r="481" spans="1:44" x14ac:dyDescent="0.25">
      <c r="A481" s="12">
        <f t="shared" si="78"/>
        <v>0</v>
      </c>
      <c r="B481" s="12">
        <f>IF(AND($C$420&gt;$C$419,($B$454+27)&lt;=$C$420),$C$419+28,0)</f>
        <v>0</v>
      </c>
      <c r="C481" s="26">
        <f t="shared" si="80"/>
        <v>0</v>
      </c>
      <c r="D481" s="26" t="str">
        <f t="shared" si="82"/>
        <v xml:space="preserve"> </v>
      </c>
      <c r="E481" s="2" t="str">
        <f t="shared" si="82"/>
        <v xml:space="preserve"> </v>
      </c>
      <c r="F481" s="2" t="str">
        <f t="shared" si="82"/>
        <v xml:space="preserve"> </v>
      </c>
      <c r="G481" s="2" t="str">
        <f t="shared" si="82"/>
        <v xml:space="preserve"> </v>
      </c>
      <c r="H481" s="2" t="str">
        <f t="shared" si="82"/>
        <v xml:space="preserve"> </v>
      </c>
      <c r="I481" s="2" t="str">
        <f t="shared" si="82"/>
        <v xml:space="preserve"> </v>
      </c>
      <c r="J481" s="2" t="str">
        <f t="shared" si="82"/>
        <v xml:space="preserve"> </v>
      </c>
      <c r="K481" s="2" t="str">
        <f t="shared" si="82"/>
        <v xml:space="preserve"> </v>
      </c>
      <c r="L481" s="2" t="str">
        <f t="shared" si="82"/>
        <v xml:space="preserve"> </v>
      </c>
      <c r="M481" s="2" t="str">
        <f t="shared" si="82"/>
        <v xml:space="preserve"> </v>
      </c>
      <c r="N481" s="2" t="str">
        <f t="shared" si="82"/>
        <v xml:space="preserve"> </v>
      </c>
      <c r="O481" s="2" t="str">
        <f t="shared" si="82"/>
        <v xml:space="preserve"> </v>
      </c>
      <c r="P481" s="2" t="str">
        <f t="shared" si="82"/>
        <v xml:space="preserve"> </v>
      </c>
      <c r="Q481" s="2" t="str">
        <f t="shared" si="82"/>
        <v xml:space="preserve"> </v>
      </c>
      <c r="R481" s="2" t="str">
        <f t="shared" si="82"/>
        <v xml:space="preserve"> </v>
      </c>
      <c r="S481" s="2" t="str">
        <f t="shared" si="82"/>
        <v xml:space="preserve"> </v>
      </c>
      <c r="T481" s="2" t="str">
        <f t="shared" si="81"/>
        <v xml:space="preserve"> </v>
      </c>
      <c r="U481" s="2" t="str">
        <f t="shared" si="81"/>
        <v xml:space="preserve"> </v>
      </c>
      <c r="V481" s="2" t="str">
        <f t="shared" si="81"/>
        <v xml:space="preserve"> </v>
      </c>
      <c r="W481" s="2" t="str">
        <f t="shared" si="81"/>
        <v xml:space="preserve"> </v>
      </c>
      <c r="X481" s="2" t="str">
        <f t="shared" si="81"/>
        <v xml:space="preserve"> </v>
      </c>
      <c r="Y481" s="2" t="str">
        <f t="shared" si="81"/>
        <v xml:space="preserve"> </v>
      </c>
      <c r="Z481" s="2" t="str">
        <f t="shared" si="81"/>
        <v xml:space="preserve"> </v>
      </c>
      <c r="AA481" s="2" t="str">
        <f t="shared" si="81"/>
        <v xml:space="preserve"> </v>
      </c>
      <c r="AB481" s="2" t="str">
        <f t="shared" si="81"/>
        <v xml:space="preserve"> </v>
      </c>
      <c r="AC481" s="2" t="str">
        <f t="shared" si="81"/>
        <v xml:space="preserve"> </v>
      </c>
      <c r="AD481" s="2" t="str">
        <f t="shared" si="81"/>
        <v xml:space="preserve"> </v>
      </c>
      <c r="AE481" s="2" t="str">
        <f t="shared" si="81"/>
        <v xml:space="preserve"> </v>
      </c>
      <c r="AF481" s="2" t="str">
        <f t="shared" si="81"/>
        <v xml:space="preserve"> </v>
      </c>
      <c r="AG481" s="2" t="str">
        <f t="shared" si="81"/>
        <v xml:space="preserve"> </v>
      </c>
      <c r="AH481" s="2" t="str">
        <f t="shared" si="81"/>
        <v xml:space="preserve"> </v>
      </c>
      <c r="AI481" s="2" t="str">
        <f t="shared" si="83"/>
        <v xml:space="preserve"> </v>
      </c>
      <c r="AJ481" s="2" t="str">
        <f t="shared" si="83"/>
        <v xml:space="preserve"> </v>
      </c>
      <c r="AK481" s="2" t="str">
        <f t="shared" si="83"/>
        <v xml:space="preserve"> </v>
      </c>
      <c r="AL481" s="2" t="str">
        <f t="shared" si="83"/>
        <v xml:space="preserve"> </v>
      </c>
      <c r="AM481" s="2" t="str">
        <f t="shared" si="83"/>
        <v xml:space="preserve"> </v>
      </c>
      <c r="AN481" s="2" t="str">
        <f t="shared" si="83"/>
        <v xml:space="preserve"> </v>
      </c>
      <c r="AO481" s="2" t="str">
        <f t="shared" si="83"/>
        <v xml:space="preserve"> </v>
      </c>
      <c r="AP481" s="2" t="str">
        <f t="shared" si="83"/>
        <v xml:space="preserve"> </v>
      </c>
      <c r="AQ481" s="25" t="str">
        <f t="shared" si="83"/>
        <v xml:space="preserve"> </v>
      </c>
      <c r="AR481" s="12">
        <f t="shared" si="79"/>
        <v>0</v>
      </c>
    </row>
    <row r="482" spans="1:44" x14ac:dyDescent="0.25">
      <c r="A482" s="12">
        <f t="shared" si="78"/>
        <v>0</v>
      </c>
      <c r="B482" s="12">
        <f>IF(AND($C$420&gt;$C$419,($B$454+28)&lt;=$C$420),$C$419+29,0)</f>
        <v>0</v>
      </c>
      <c r="C482" s="26">
        <f t="shared" si="80"/>
        <v>0</v>
      </c>
      <c r="D482" s="26" t="str">
        <f t="shared" si="82"/>
        <v xml:space="preserve"> </v>
      </c>
      <c r="E482" s="2" t="str">
        <f t="shared" si="82"/>
        <v xml:space="preserve"> </v>
      </c>
      <c r="F482" s="2" t="str">
        <f t="shared" si="82"/>
        <v xml:space="preserve"> </v>
      </c>
      <c r="G482" s="2" t="str">
        <f t="shared" si="82"/>
        <v xml:space="preserve"> </v>
      </c>
      <c r="H482" s="2" t="str">
        <f t="shared" si="82"/>
        <v xml:space="preserve"> </v>
      </c>
      <c r="I482" s="2" t="str">
        <f t="shared" si="82"/>
        <v xml:space="preserve"> </v>
      </c>
      <c r="J482" s="2" t="str">
        <f t="shared" si="82"/>
        <v xml:space="preserve"> </v>
      </c>
      <c r="K482" s="2" t="str">
        <f t="shared" si="82"/>
        <v xml:space="preserve"> </v>
      </c>
      <c r="L482" s="2" t="str">
        <f t="shared" si="82"/>
        <v xml:space="preserve"> </v>
      </c>
      <c r="M482" s="2" t="str">
        <f t="shared" si="82"/>
        <v xml:space="preserve"> </v>
      </c>
      <c r="N482" s="2" t="str">
        <f t="shared" si="82"/>
        <v xml:space="preserve"> </v>
      </c>
      <c r="O482" s="2" t="str">
        <f t="shared" si="82"/>
        <v xml:space="preserve"> </v>
      </c>
      <c r="P482" s="2" t="str">
        <f t="shared" si="82"/>
        <v xml:space="preserve"> </v>
      </c>
      <c r="Q482" s="2" t="str">
        <f t="shared" si="82"/>
        <v xml:space="preserve"> </v>
      </c>
      <c r="R482" s="2" t="str">
        <f t="shared" si="82"/>
        <v xml:space="preserve"> </v>
      </c>
      <c r="S482" s="2" t="str">
        <f t="shared" si="82"/>
        <v xml:space="preserve"> </v>
      </c>
      <c r="T482" s="2" t="str">
        <f t="shared" si="81"/>
        <v xml:space="preserve"> </v>
      </c>
      <c r="U482" s="2" t="str">
        <f t="shared" si="81"/>
        <v xml:space="preserve"> </v>
      </c>
      <c r="V482" s="2" t="str">
        <f t="shared" si="81"/>
        <v xml:space="preserve"> </v>
      </c>
      <c r="W482" s="2" t="str">
        <f t="shared" si="81"/>
        <v xml:space="preserve"> </v>
      </c>
      <c r="X482" s="2" t="str">
        <f t="shared" si="81"/>
        <v xml:space="preserve"> </v>
      </c>
      <c r="Y482" s="2" t="str">
        <f t="shared" si="81"/>
        <v xml:space="preserve"> </v>
      </c>
      <c r="Z482" s="2" t="str">
        <f t="shared" si="81"/>
        <v xml:space="preserve"> </v>
      </c>
      <c r="AA482" s="2" t="str">
        <f t="shared" si="81"/>
        <v xml:space="preserve"> </v>
      </c>
      <c r="AB482" s="2" t="str">
        <f t="shared" si="81"/>
        <v xml:space="preserve"> </v>
      </c>
      <c r="AC482" s="2" t="str">
        <f t="shared" si="81"/>
        <v xml:space="preserve"> </v>
      </c>
      <c r="AD482" s="2" t="str">
        <f t="shared" si="81"/>
        <v xml:space="preserve"> </v>
      </c>
      <c r="AE482" s="2" t="str">
        <f t="shared" si="81"/>
        <v xml:space="preserve"> </v>
      </c>
      <c r="AF482" s="2" t="str">
        <f t="shared" si="81"/>
        <v xml:space="preserve"> </v>
      </c>
      <c r="AG482" s="2" t="str">
        <f t="shared" si="81"/>
        <v xml:space="preserve"> </v>
      </c>
      <c r="AH482" s="2" t="str">
        <f t="shared" si="81"/>
        <v xml:space="preserve"> </v>
      </c>
      <c r="AI482" s="2" t="str">
        <f t="shared" si="83"/>
        <v xml:space="preserve"> </v>
      </c>
      <c r="AJ482" s="2" t="str">
        <f t="shared" si="83"/>
        <v xml:space="preserve"> </v>
      </c>
      <c r="AK482" s="2" t="str">
        <f t="shared" si="83"/>
        <v xml:space="preserve"> </v>
      </c>
      <c r="AL482" s="2" t="str">
        <f t="shared" si="83"/>
        <v xml:space="preserve"> </v>
      </c>
      <c r="AM482" s="2" t="str">
        <f t="shared" si="83"/>
        <v xml:space="preserve"> </v>
      </c>
      <c r="AN482" s="2" t="str">
        <f t="shared" si="83"/>
        <v xml:space="preserve"> </v>
      </c>
      <c r="AO482" s="2" t="str">
        <f t="shared" si="83"/>
        <v xml:space="preserve"> </v>
      </c>
      <c r="AP482" s="2" t="str">
        <f t="shared" si="83"/>
        <v xml:space="preserve"> </v>
      </c>
      <c r="AQ482" s="25" t="str">
        <f t="shared" si="83"/>
        <v xml:space="preserve"> </v>
      </c>
      <c r="AR482" s="12">
        <f t="shared" si="79"/>
        <v>0</v>
      </c>
    </row>
    <row r="483" spans="1:44" x14ac:dyDescent="0.25">
      <c r="A483" s="12">
        <f t="shared" si="78"/>
        <v>0</v>
      </c>
      <c r="B483" s="12">
        <f>IF(AND($C$420&gt;$C$419,($B$454+29)&lt;=$C$420),$C$419+30,0)</f>
        <v>0</v>
      </c>
      <c r="C483" s="26">
        <f t="shared" si="80"/>
        <v>0</v>
      </c>
      <c r="D483" s="26" t="str">
        <f t="shared" si="82"/>
        <v xml:space="preserve"> </v>
      </c>
      <c r="E483" s="2" t="str">
        <f t="shared" si="82"/>
        <v xml:space="preserve"> </v>
      </c>
      <c r="F483" s="2" t="str">
        <f t="shared" si="82"/>
        <v xml:space="preserve"> </v>
      </c>
      <c r="G483" s="2" t="str">
        <f t="shared" si="82"/>
        <v xml:space="preserve"> </v>
      </c>
      <c r="H483" s="2" t="str">
        <f t="shared" si="82"/>
        <v xml:space="preserve"> </v>
      </c>
      <c r="I483" s="2" t="str">
        <f t="shared" si="82"/>
        <v xml:space="preserve"> </v>
      </c>
      <c r="J483" s="2" t="str">
        <f t="shared" si="82"/>
        <v xml:space="preserve"> </v>
      </c>
      <c r="K483" s="2" t="str">
        <f t="shared" si="82"/>
        <v xml:space="preserve"> </v>
      </c>
      <c r="L483" s="2" t="str">
        <f t="shared" si="82"/>
        <v xml:space="preserve"> </v>
      </c>
      <c r="M483" s="2" t="str">
        <f t="shared" si="82"/>
        <v xml:space="preserve"> </v>
      </c>
      <c r="N483" s="2" t="str">
        <f t="shared" si="82"/>
        <v xml:space="preserve"> </v>
      </c>
      <c r="O483" s="2" t="str">
        <f t="shared" si="82"/>
        <v xml:space="preserve"> </v>
      </c>
      <c r="P483" s="2" t="str">
        <f t="shared" si="82"/>
        <v xml:space="preserve"> </v>
      </c>
      <c r="Q483" s="2" t="str">
        <f t="shared" si="82"/>
        <v xml:space="preserve"> </v>
      </c>
      <c r="R483" s="2" t="str">
        <f t="shared" si="82"/>
        <v xml:space="preserve"> </v>
      </c>
      <c r="S483" s="2" t="str">
        <f t="shared" si="82"/>
        <v xml:space="preserve"> </v>
      </c>
      <c r="T483" s="2" t="str">
        <f t="shared" si="81"/>
        <v xml:space="preserve"> </v>
      </c>
      <c r="U483" s="2" t="str">
        <f t="shared" si="81"/>
        <v xml:space="preserve"> </v>
      </c>
      <c r="V483" s="2" t="str">
        <f t="shared" si="81"/>
        <v xml:space="preserve"> </v>
      </c>
      <c r="W483" s="2" t="str">
        <f t="shared" si="81"/>
        <v xml:space="preserve"> </v>
      </c>
      <c r="X483" s="2" t="str">
        <f t="shared" si="81"/>
        <v xml:space="preserve"> </v>
      </c>
      <c r="Y483" s="2" t="str">
        <f t="shared" si="81"/>
        <v xml:space="preserve"> </v>
      </c>
      <c r="Z483" s="2" t="str">
        <f t="shared" si="81"/>
        <v xml:space="preserve"> </v>
      </c>
      <c r="AA483" s="2" t="str">
        <f t="shared" si="81"/>
        <v xml:space="preserve"> </v>
      </c>
      <c r="AB483" s="2" t="str">
        <f t="shared" si="81"/>
        <v xml:space="preserve"> </v>
      </c>
      <c r="AC483" s="2" t="str">
        <f t="shared" si="81"/>
        <v xml:space="preserve"> </v>
      </c>
      <c r="AD483" s="2" t="str">
        <f t="shared" si="81"/>
        <v xml:space="preserve"> </v>
      </c>
      <c r="AE483" s="2" t="str">
        <f t="shared" si="81"/>
        <v xml:space="preserve"> </v>
      </c>
      <c r="AF483" s="2" t="str">
        <f t="shared" si="81"/>
        <v xml:space="preserve"> </v>
      </c>
      <c r="AG483" s="2" t="str">
        <f t="shared" si="81"/>
        <v xml:space="preserve"> </v>
      </c>
      <c r="AH483" s="2" t="str">
        <f t="shared" si="81"/>
        <v xml:space="preserve"> </v>
      </c>
      <c r="AI483" s="2" t="str">
        <f t="shared" si="83"/>
        <v xml:space="preserve"> </v>
      </c>
      <c r="AJ483" s="2" t="str">
        <f t="shared" si="83"/>
        <v xml:space="preserve"> </v>
      </c>
      <c r="AK483" s="2" t="str">
        <f t="shared" si="83"/>
        <v xml:space="preserve"> </v>
      </c>
      <c r="AL483" s="2" t="str">
        <f t="shared" si="83"/>
        <v xml:space="preserve"> </v>
      </c>
      <c r="AM483" s="2" t="str">
        <f t="shared" si="83"/>
        <v xml:space="preserve"> </v>
      </c>
      <c r="AN483" s="2" t="str">
        <f t="shared" si="83"/>
        <v xml:space="preserve"> </v>
      </c>
      <c r="AO483" s="2" t="str">
        <f t="shared" si="83"/>
        <v xml:space="preserve"> </v>
      </c>
      <c r="AP483" s="2" t="str">
        <f t="shared" si="83"/>
        <v xml:space="preserve"> </v>
      </c>
      <c r="AQ483" s="25" t="str">
        <f t="shared" si="83"/>
        <v xml:space="preserve"> </v>
      </c>
      <c r="AR483" s="12">
        <f t="shared" si="79"/>
        <v>0</v>
      </c>
    </row>
    <row r="484" spans="1:44" x14ac:dyDescent="0.25">
      <c r="A484" s="12">
        <f t="shared" si="78"/>
        <v>0</v>
      </c>
      <c r="B484" s="12">
        <f>IF(AND($C$420&gt;$C$419,($B$454+30)&lt;=$C$420),$C$419+31,0)</f>
        <v>0</v>
      </c>
      <c r="C484" s="26">
        <f t="shared" si="80"/>
        <v>0</v>
      </c>
      <c r="D484" s="26" t="str">
        <f t="shared" si="82"/>
        <v xml:space="preserve"> </v>
      </c>
      <c r="E484" s="2" t="str">
        <f t="shared" si="82"/>
        <v xml:space="preserve"> </v>
      </c>
      <c r="F484" s="2" t="str">
        <f t="shared" si="82"/>
        <v xml:space="preserve"> </v>
      </c>
      <c r="G484" s="2" t="str">
        <f t="shared" si="82"/>
        <v xml:space="preserve"> </v>
      </c>
      <c r="H484" s="2" t="str">
        <f t="shared" si="82"/>
        <v xml:space="preserve"> </v>
      </c>
      <c r="I484" s="2" t="str">
        <f t="shared" si="82"/>
        <v xml:space="preserve"> </v>
      </c>
      <c r="J484" s="2" t="str">
        <f t="shared" si="82"/>
        <v xml:space="preserve"> </v>
      </c>
      <c r="K484" s="2" t="str">
        <f t="shared" si="82"/>
        <v xml:space="preserve"> </v>
      </c>
      <c r="L484" s="2" t="str">
        <f t="shared" si="82"/>
        <v xml:space="preserve"> </v>
      </c>
      <c r="M484" s="2" t="str">
        <f t="shared" si="82"/>
        <v xml:space="preserve"> </v>
      </c>
      <c r="N484" s="2" t="str">
        <f t="shared" si="82"/>
        <v xml:space="preserve"> </v>
      </c>
      <c r="O484" s="2" t="str">
        <f t="shared" si="82"/>
        <v xml:space="preserve"> </v>
      </c>
      <c r="P484" s="2" t="str">
        <f t="shared" si="82"/>
        <v xml:space="preserve"> </v>
      </c>
      <c r="Q484" s="2" t="str">
        <f t="shared" si="82"/>
        <v xml:space="preserve"> </v>
      </c>
      <c r="R484" s="2" t="str">
        <f t="shared" si="82"/>
        <v xml:space="preserve"> </v>
      </c>
      <c r="S484" s="2" t="str">
        <f t="shared" ref="S484:AH492" si="84">IF(OR($A484=0,S$451=0)," ",IF(AND($B484&gt;0,S$451&gt;0,FLOOR($C$440/(S$451*$B484),1)&gt;=$A484),FLOOR($C$440/(S$451*$B484),1)," "))</f>
        <v xml:space="preserve"> </v>
      </c>
      <c r="T484" s="2" t="str">
        <f t="shared" si="84"/>
        <v xml:space="preserve"> </v>
      </c>
      <c r="U484" s="2" t="str">
        <f t="shared" si="84"/>
        <v xml:space="preserve"> </v>
      </c>
      <c r="V484" s="2" t="str">
        <f t="shared" si="84"/>
        <v xml:space="preserve"> </v>
      </c>
      <c r="W484" s="2" t="str">
        <f t="shared" si="84"/>
        <v xml:space="preserve"> </v>
      </c>
      <c r="X484" s="2" t="str">
        <f t="shared" si="84"/>
        <v xml:space="preserve"> </v>
      </c>
      <c r="Y484" s="2" t="str">
        <f t="shared" si="84"/>
        <v xml:space="preserve"> </v>
      </c>
      <c r="Z484" s="2" t="str">
        <f t="shared" si="84"/>
        <v xml:space="preserve"> </v>
      </c>
      <c r="AA484" s="2" t="str">
        <f t="shared" si="84"/>
        <v xml:space="preserve"> </v>
      </c>
      <c r="AB484" s="2" t="str">
        <f t="shared" si="84"/>
        <v xml:space="preserve"> </v>
      </c>
      <c r="AC484" s="2" t="str">
        <f t="shared" si="84"/>
        <v xml:space="preserve"> </v>
      </c>
      <c r="AD484" s="2" t="str">
        <f t="shared" si="84"/>
        <v xml:space="preserve"> </v>
      </c>
      <c r="AE484" s="2" t="str">
        <f t="shared" si="84"/>
        <v xml:space="preserve"> </v>
      </c>
      <c r="AF484" s="2" t="str">
        <f t="shared" si="84"/>
        <v xml:space="preserve"> </v>
      </c>
      <c r="AG484" s="2" t="str">
        <f t="shared" si="84"/>
        <v xml:space="preserve"> </v>
      </c>
      <c r="AH484" s="2" t="str">
        <f t="shared" si="83"/>
        <v xml:space="preserve"> </v>
      </c>
      <c r="AI484" s="2" t="str">
        <f t="shared" si="83"/>
        <v xml:space="preserve"> </v>
      </c>
      <c r="AJ484" s="2" t="str">
        <f t="shared" si="83"/>
        <v xml:space="preserve"> </v>
      </c>
      <c r="AK484" s="2" t="str">
        <f t="shared" si="83"/>
        <v xml:space="preserve"> </v>
      </c>
      <c r="AL484" s="2" t="str">
        <f t="shared" si="83"/>
        <v xml:space="preserve"> </v>
      </c>
      <c r="AM484" s="2" t="str">
        <f t="shared" si="83"/>
        <v xml:space="preserve"> </v>
      </c>
      <c r="AN484" s="2" t="str">
        <f t="shared" si="83"/>
        <v xml:space="preserve"> </v>
      </c>
      <c r="AO484" s="2" t="str">
        <f t="shared" si="83"/>
        <v xml:space="preserve"> </v>
      </c>
      <c r="AP484" s="2" t="str">
        <f t="shared" si="83"/>
        <v xml:space="preserve"> </v>
      </c>
      <c r="AQ484" s="25" t="str">
        <f t="shared" si="83"/>
        <v xml:space="preserve"> </v>
      </c>
      <c r="AR484" s="12">
        <f t="shared" si="79"/>
        <v>0</v>
      </c>
    </row>
    <row r="485" spans="1:44" x14ac:dyDescent="0.25">
      <c r="A485" s="12">
        <f t="shared" si="78"/>
        <v>0</v>
      </c>
      <c r="B485" s="12">
        <f>IF(AND($C$420&gt;$C$419,($B$454+31)&lt;=$C$420),$C$419+32,0)</f>
        <v>0</v>
      </c>
      <c r="C485" s="26">
        <f t="shared" si="80"/>
        <v>0</v>
      </c>
      <c r="D485" s="26" t="str">
        <f t="shared" ref="D485:S492" si="85">IF(OR($A485=0,D$451=0)," ",IF(AND($B485&gt;0,D$451&gt;0,FLOOR($C$440/(D$451*$B485),1)&gt;=$A485),FLOOR($C$440/(D$451*$B485),1)," "))</f>
        <v xml:space="preserve"> </v>
      </c>
      <c r="E485" s="2" t="str">
        <f t="shared" si="85"/>
        <v xml:space="preserve"> </v>
      </c>
      <c r="F485" s="2" t="str">
        <f t="shared" si="85"/>
        <v xml:space="preserve"> </v>
      </c>
      <c r="G485" s="2" t="str">
        <f t="shared" si="85"/>
        <v xml:space="preserve"> </v>
      </c>
      <c r="H485" s="2" t="str">
        <f t="shared" si="85"/>
        <v xml:space="preserve"> </v>
      </c>
      <c r="I485" s="2" t="str">
        <f t="shared" si="85"/>
        <v xml:space="preserve"> </v>
      </c>
      <c r="J485" s="2" t="str">
        <f t="shared" si="85"/>
        <v xml:space="preserve"> </v>
      </c>
      <c r="K485" s="2" t="str">
        <f t="shared" si="85"/>
        <v xml:space="preserve"> </v>
      </c>
      <c r="L485" s="2" t="str">
        <f t="shared" si="85"/>
        <v xml:space="preserve"> </v>
      </c>
      <c r="M485" s="2" t="str">
        <f t="shared" si="85"/>
        <v xml:space="preserve"> </v>
      </c>
      <c r="N485" s="2" t="str">
        <f t="shared" si="85"/>
        <v xml:space="preserve"> </v>
      </c>
      <c r="O485" s="2" t="str">
        <f t="shared" si="85"/>
        <v xml:space="preserve"> </v>
      </c>
      <c r="P485" s="2" t="str">
        <f t="shared" si="85"/>
        <v xml:space="preserve"> </v>
      </c>
      <c r="Q485" s="2" t="str">
        <f t="shared" si="85"/>
        <v xml:space="preserve"> </v>
      </c>
      <c r="R485" s="2" t="str">
        <f t="shared" si="85"/>
        <v xml:space="preserve"> </v>
      </c>
      <c r="S485" s="2" t="str">
        <f t="shared" si="85"/>
        <v xml:space="preserve"> </v>
      </c>
      <c r="T485" s="2" t="str">
        <f t="shared" si="84"/>
        <v xml:space="preserve"> </v>
      </c>
      <c r="U485" s="2" t="str">
        <f t="shared" si="84"/>
        <v xml:space="preserve"> </v>
      </c>
      <c r="V485" s="2" t="str">
        <f t="shared" si="84"/>
        <v xml:space="preserve"> </v>
      </c>
      <c r="W485" s="2" t="str">
        <f t="shared" si="84"/>
        <v xml:space="preserve"> </v>
      </c>
      <c r="X485" s="2" t="str">
        <f t="shared" si="84"/>
        <v xml:space="preserve"> </v>
      </c>
      <c r="Y485" s="2" t="str">
        <f t="shared" si="84"/>
        <v xml:space="preserve"> </v>
      </c>
      <c r="Z485" s="2" t="str">
        <f t="shared" si="84"/>
        <v xml:space="preserve"> </v>
      </c>
      <c r="AA485" s="2" t="str">
        <f t="shared" si="84"/>
        <v xml:space="preserve"> </v>
      </c>
      <c r="AB485" s="2" t="str">
        <f t="shared" si="84"/>
        <v xml:space="preserve"> </v>
      </c>
      <c r="AC485" s="2" t="str">
        <f t="shared" si="84"/>
        <v xml:space="preserve"> </v>
      </c>
      <c r="AD485" s="2" t="str">
        <f t="shared" si="84"/>
        <v xml:space="preserve"> </v>
      </c>
      <c r="AE485" s="2" t="str">
        <f t="shared" si="84"/>
        <v xml:space="preserve"> </v>
      </c>
      <c r="AF485" s="2" t="str">
        <f t="shared" si="84"/>
        <v xml:space="preserve"> </v>
      </c>
      <c r="AG485" s="2" t="str">
        <f t="shared" si="84"/>
        <v xml:space="preserve"> </v>
      </c>
      <c r="AH485" s="2" t="str">
        <f t="shared" si="84"/>
        <v xml:space="preserve"> </v>
      </c>
      <c r="AI485" s="2" t="str">
        <f t="shared" ref="AI485:AQ492" si="86">IF(OR($A485=0,AI$451=0)," ",IF(AND($B485&gt;0,AI$451&gt;0,FLOOR($C$440/(AI$451*$B485),1)&gt;=$A485),FLOOR($C$440/(AI$451*$B485),1)," "))</f>
        <v xml:space="preserve"> </v>
      </c>
      <c r="AJ485" s="2" t="str">
        <f t="shared" si="86"/>
        <v xml:space="preserve"> </v>
      </c>
      <c r="AK485" s="2" t="str">
        <f t="shared" si="86"/>
        <v xml:space="preserve"> </v>
      </c>
      <c r="AL485" s="2" t="str">
        <f t="shared" si="86"/>
        <v xml:space="preserve"> </v>
      </c>
      <c r="AM485" s="2" t="str">
        <f t="shared" si="86"/>
        <v xml:space="preserve"> </v>
      </c>
      <c r="AN485" s="2" t="str">
        <f t="shared" si="86"/>
        <v xml:space="preserve"> </v>
      </c>
      <c r="AO485" s="2" t="str">
        <f t="shared" si="86"/>
        <v xml:space="preserve"> </v>
      </c>
      <c r="AP485" s="2" t="str">
        <f t="shared" si="86"/>
        <v xml:space="preserve"> </v>
      </c>
      <c r="AQ485" s="25" t="str">
        <f t="shared" si="86"/>
        <v xml:space="preserve"> </v>
      </c>
      <c r="AR485" s="12">
        <f t="shared" si="79"/>
        <v>0</v>
      </c>
    </row>
    <row r="486" spans="1:44" x14ac:dyDescent="0.25">
      <c r="A486" s="12">
        <f t="shared" si="78"/>
        <v>0</v>
      </c>
      <c r="B486" s="12">
        <f>IF(AND($C$420&gt;$C$419,($B$454+32)&lt;=$C$420),$C$419+33,0)</f>
        <v>0</v>
      </c>
      <c r="C486" s="26">
        <f t="shared" si="80"/>
        <v>0</v>
      </c>
      <c r="D486" s="26" t="str">
        <f t="shared" si="85"/>
        <v xml:space="preserve"> </v>
      </c>
      <c r="E486" s="2" t="str">
        <f t="shared" si="85"/>
        <v xml:space="preserve"> </v>
      </c>
      <c r="F486" s="2" t="str">
        <f t="shared" si="85"/>
        <v xml:space="preserve"> </v>
      </c>
      <c r="G486" s="2" t="str">
        <f t="shared" si="85"/>
        <v xml:space="preserve"> </v>
      </c>
      <c r="H486" s="2" t="str">
        <f t="shared" si="85"/>
        <v xml:space="preserve"> </v>
      </c>
      <c r="I486" s="2" t="str">
        <f t="shared" si="85"/>
        <v xml:space="preserve"> </v>
      </c>
      <c r="J486" s="2" t="str">
        <f t="shared" si="85"/>
        <v xml:space="preserve"> </v>
      </c>
      <c r="K486" s="2" t="str">
        <f t="shared" si="85"/>
        <v xml:space="preserve"> </v>
      </c>
      <c r="L486" s="2" t="str">
        <f t="shared" si="85"/>
        <v xml:space="preserve"> </v>
      </c>
      <c r="M486" s="2" t="str">
        <f t="shared" si="85"/>
        <v xml:space="preserve"> </v>
      </c>
      <c r="N486" s="2" t="str">
        <f t="shared" si="85"/>
        <v xml:space="preserve"> </v>
      </c>
      <c r="O486" s="2" t="str">
        <f t="shared" si="85"/>
        <v xml:space="preserve"> </v>
      </c>
      <c r="P486" s="2" t="str">
        <f t="shared" si="85"/>
        <v xml:space="preserve"> </v>
      </c>
      <c r="Q486" s="2" t="str">
        <f t="shared" si="85"/>
        <v xml:space="preserve"> </v>
      </c>
      <c r="R486" s="2" t="str">
        <f t="shared" si="85"/>
        <v xml:space="preserve"> </v>
      </c>
      <c r="S486" s="2" t="str">
        <f t="shared" si="85"/>
        <v xml:space="preserve"> </v>
      </c>
      <c r="T486" s="2" t="str">
        <f t="shared" si="84"/>
        <v xml:space="preserve"> </v>
      </c>
      <c r="U486" s="2" t="str">
        <f t="shared" si="84"/>
        <v xml:space="preserve"> </v>
      </c>
      <c r="V486" s="2" t="str">
        <f t="shared" si="84"/>
        <v xml:space="preserve"> </v>
      </c>
      <c r="W486" s="2" t="str">
        <f t="shared" si="84"/>
        <v xml:space="preserve"> </v>
      </c>
      <c r="X486" s="2" t="str">
        <f t="shared" si="84"/>
        <v xml:space="preserve"> </v>
      </c>
      <c r="Y486" s="2" t="str">
        <f t="shared" si="84"/>
        <v xml:space="preserve"> </v>
      </c>
      <c r="Z486" s="2" t="str">
        <f t="shared" si="84"/>
        <v xml:space="preserve"> </v>
      </c>
      <c r="AA486" s="2" t="str">
        <f t="shared" si="84"/>
        <v xml:space="preserve"> </v>
      </c>
      <c r="AB486" s="2" t="str">
        <f t="shared" si="84"/>
        <v xml:space="preserve"> </v>
      </c>
      <c r="AC486" s="2" t="str">
        <f t="shared" si="84"/>
        <v xml:space="preserve"> </v>
      </c>
      <c r="AD486" s="2" t="str">
        <f t="shared" si="84"/>
        <v xml:space="preserve"> </v>
      </c>
      <c r="AE486" s="2" t="str">
        <f t="shared" si="84"/>
        <v xml:space="preserve"> </v>
      </c>
      <c r="AF486" s="2" t="str">
        <f t="shared" si="84"/>
        <v xml:space="preserve"> </v>
      </c>
      <c r="AG486" s="2" t="str">
        <f t="shared" si="84"/>
        <v xml:space="preserve"> </v>
      </c>
      <c r="AH486" s="2" t="str">
        <f t="shared" si="84"/>
        <v xml:space="preserve"> </v>
      </c>
      <c r="AI486" s="2" t="str">
        <f t="shared" si="86"/>
        <v xml:space="preserve"> </v>
      </c>
      <c r="AJ486" s="2" t="str">
        <f t="shared" si="86"/>
        <v xml:space="preserve"> </v>
      </c>
      <c r="AK486" s="2" t="str">
        <f t="shared" si="86"/>
        <v xml:space="preserve"> </v>
      </c>
      <c r="AL486" s="2" t="str">
        <f t="shared" si="86"/>
        <v xml:space="preserve"> </v>
      </c>
      <c r="AM486" s="2" t="str">
        <f t="shared" si="86"/>
        <v xml:space="preserve"> </v>
      </c>
      <c r="AN486" s="2" t="str">
        <f t="shared" si="86"/>
        <v xml:space="preserve"> </v>
      </c>
      <c r="AO486" s="2" t="str">
        <f t="shared" si="86"/>
        <v xml:space="preserve"> </v>
      </c>
      <c r="AP486" s="2" t="str">
        <f t="shared" si="86"/>
        <v xml:space="preserve"> </v>
      </c>
      <c r="AQ486" s="25" t="str">
        <f t="shared" si="86"/>
        <v xml:space="preserve"> </v>
      </c>
      <c r="AR486" s="12">
        <f t="shared" si="79"/>
        <v>0</v>
      </c>
    </row>
    <row r="487" spans="1:44" x14ac:dyDescent="0.25">
      <c r="A487" s="12">
        <f t="shared" si="78"/>
        <v>0</v>
      </c>
      <c r="B487" s="12">
        <f>IF(AND($C$420&gt;$C$419,($B$454+33)&lt;=$C$420),$C$419+34,0)</f>
        <v>0</v>
      </c>
      <c r="C487" s="26">
        <f t="shared" si="80"/>
        <v>0</v>
      </c>
      <c r="D487" s="26" t="str">
        <f t="shared" si="85"/>
        <v xml:space="preserve"> </v>
      </c>
      <c r="E487" s="2" t="str">
        <f t="shared" si="85"/>
        <v xml:space="preserve"> </v>
      </c>
      <c r="F487" s="2" t="str">
        <f t="shared" si="85"/>
        <v xml:space="preserve"> </v>
      </c>
      <c r="G487" s="2" t="str">
        <f t="shared" si="85"/>
        <v xml:space="preserve"> </v>
      </c>
      <c r="H487" s="2" t="str">
        <f t="shared" si="85"/>
        <v xml:space="preserve"> </v>
      </c>
      <c r="I487" s="2" t="str">
        <f t="shared" si="85"/>
        <v xml:space="preserve"> </v>
      </c>
      <c r="J487" s="2" t="str">
        <f t="shared" si="85"/>
        <v xml:space="preserve"> </v>
      </c>
      <c r="K487" s="2" t="str">
        <f t="shared" si="85"/>
        <v xml:space="preserve"> </v>
      </c>
      <c r="L487" s="2" t="str">
        <f t="shared" si="85"/>
        <v xml:space="preserve"> </v>
      </c>
      <c r="M487" s="2" t="str">
        <f t="shared" si="85"/>
        <v xml:space="preserve"> </v>
      </c>
      <c r="N487" s="2" t="str">
        <f t="shared" si="85"/>
        <v xml:space="preserve"> </v>
      </c>
      <c r="O487" s="2" t="str">
        <f t="shared" si="85"/>
        <v xml:space="preserve"> </v>
      </c>
      <c r="P487" s="2" t="str">
        <f t="shared" si="85"/>
        <v xml:space="preserve"> </v>
      </c>
      <c r="Q487" s="2" t="str">
        <f t="shared" si="85"/>
        <v xml:space="preserve"> </v>
      </c>
      <c r="R487" s="2" t="str">
        <f t="shared" si="85"/>
        <v xml:space="preserve"> </v>
      </c>
      <c r="S487" s="2" t="str">
        <f t="shared" si="85"/>
        <v xml:space="preserve"> </v>
      </c>
      <c r="T487" s="2" t="str">
        <f t="shared" si="84"/>
        <v xml:space="preserve"> </v>
      </c>
      <c r="U487" s="2" t="str">
        <f t="shared" si="84"/>
        <v xml:space="preserve"> </v>
      </c>
      <c r="V487" s="2" t="str">
        <f t="shared" si="84"/>
        <v xml:space="preserve"> </v>
      </c>
      <c r="W487" s="2" t="str">
        <f t="shared" si="84"/>
        <v xml:space="preserve"> </v>
      </c>
      <c r="X487" s="2" t="str">
        <f t="shared" si="84"/>
        <v xml:space="preserve"> </v>
      </c>
      <c r="Y487" s="2" t="str">
        <f t="shared" si="84"/>
        <v xml:space="preserve"> </v>
      </c>
      <c r="Z487" s="2" t="str">
        <f t="shared" si="84"/>
        <v xml:space="preserve"> </v>
      </c>
      <c r="AA487" s="2" t="str">
        <f t="shared" si="84"/>
        <v xml:space="preserve"> </v>
      </c>
      <c r="AB487" s="2" t="str">
        <f t="shared" si="84"/>
        <v xml:space="preserve"> </v>
      </c>
      <c r="AC487" s="2" t="str">
        <f t="shared" si="84"/>
        <v xml:space="preserve"> </v>
      </c>
      <c r="AD487" s="2" t="str">
        <f t="shared" si="84"/>
        <v xml:space="preserve"> </v>
      </c>
      <c r="AE487" s="2" t="str">
        <f t="shared" si="84"/>
        <v xml:space="preserve"> </v>
      </c>
      <c r="AF487" s="2" t="str">
        <f t="shared" si="84"/>
        <v xml:space="preserve"> </v>
      </c>
      <c r="AG487" s="2" t="str">
        <f t="shared" si="84"/>
        <v xml:space="preserve"> </v>
      </c>
      <c r="AH487" s="2" t="str">
        <f t="shared" si="84"/>
        <v xml:space="preserve"> </v>
      </c>
      <c r="AI487" s="2" t="str">
        <f t="shared" si="86"/>
        <v xml:space="preserve"> </v>
      </c>
      <c r="AJ487" s="2" t="str">
        <f t="shared" si="86"/>
        <v xml:space="preserve"> </v>
      </c>
      <c r="AK487" s="2" t="str">
        <f t="shared" si="86"/>
        <v xml:space="preserve"> </v>
      </c>
      <c r="AL487" s="2" t="str">
        <f t="shared" si="86"/>
        <v xml:space="preserve"> </v>
      </c>
      <c r="AM487" s="2" t="str">
        <f t="shared" si="86"/>
        <v xml:space="preserve"> </v>
      </c>
      <c r="AN487" s="2" t="str">
        <f t="shared" si="86"/>
        <v xml:space="preserve"> </v>
      </c>
      <c r="AO487" s="2" t="str">
        <f t="shared" si="86"/>
        <v xml:space="preserve"> </v>
      </c>
      <c r="AP487" s="2" t="str">
        <f t="shared" si="86"/>
        <v xml:space="preserve"> </v>
      </c>
      <c r="AQ487" s="25" t="str">
        <f t="shared" si="86"/>
        <v xml:space="preserve"> </v>
      </c>
      <c r="AR487" s="12">
        <f t="shared" si="79"/>
        <v>0</v>
      </c>
    </row>
    <row r="488" spans="1:44" x14ac:dyDescent="0.25">
      <c r="A488" s="12">
        <f t="shared" si="78"/>
        <v>0</v>
      </c>
      <c r="B488" s="12">
        <f>IF(AND($C$420&gt;$C$419,($B$454+34)&lt;=$C$420),$C$419+35,0)</f>
        <v>0</v>
      </c>
      <c r="C488" s="26">
        <f t="shared" si="80"/>
        <v>0</v>
      </c>
      <c r="D488" s="26" t="str">
        <f t="shared" si="85"/>
        <v xml:space="preserve"> </v>
      </c>
      <c r="E488" s="2" t="str">
        <f t="shared" si="85"/>
        <v xml:space="preserve"> </v>
      </c>
      <c r="F488" s="2" t="str">
        <f t="shared" si="85"/>
        <v xml:space="preserve"> </v>
      </c>
      <c r="G488" s="2" t="str">
        <f t="shared" si="85"/>
        <v xml:space="preserve"> </v>
      </c>
      <c r="H488" s="2" t="str">
        <f t="shared" si="85"/>
        <v xml:space="preserve"> </v>
      </c>
      <c r="I488" s="2" t="str">
        <f t="shared" si="85"/>
        <v xml:space="preserve"> </v>
      </c>
      <c r="J488" s="2" t="str">
        <f t="shared" si="85"/>
        <v xml:space="preserve"> </v>
      </c>
      <c r="K488" s="2" t="str">
        <f t="shared" si="85"/>
        <v xml:space="preserve"> </v>
      </c>
      <c r="L488" s="2" t="str">
        <f t="shared" si="85"/>
        <v xml:space="preserve"> </v>
      </c>
      <c r="M488" s="2" t="str">
        <f t="shared" si="85"/>
        <v xml:space="preserve"> </v>
      </c>
      <c r="N488" s="2" t="str">
        <f t="shared" si="85"/>
        <v xml:space="preserve"> </v>
      </c>
      <c r="O488" s="2" t="str">
        <f t="shared" si="85"/>
        <v xml:space="preserve"> </v>
      </c>
      <c r="P488" s="2" t="str">
        <f t="shared" si="85"/>
        <v xml:space="preserve"> </v>
      </c>
      <c r="Q488" s="2" t="str">
        <f t="shared" si="85"/>
        <v xml:space="preserve"> </v>
      </c>
      <c r="R488" s="2" t="str">
        <f t="shared" si="85"/>
        <v xml:space="preserve"> </v>
      </c>
      <c r="S488" s="2" t="str">
        <f t="shared" si="85"/>
        <v xml:space="preserve"> </v>
      </c>
      <c r="T488" s="2" t="str">
        <f t="shared" si="84"/>
        <v xml:space="preserve"> </v>
      </c>
      <c r="U488" s="2" t="str">
        <f t="shared" si="84"/>
        <v xml:space="preserve"> </v>
      </c>
      <c r="V488" s="2" t="str">
        <f t="shared" si="84"/>
        <v xml:space="preserve"> </v>
      </c>
      <c r="W488" s="2" t="str">
        <f t="shared" si="84"/>
        <v xml:space="preserve"> </v>
      </c>
      <c r="X488" s="2" t="str">
        <f t="shared" si="84"/>
        <v xml:space="preserve"> </v>
      </c>
      <c r="Y488" s="2" t="str">
        <f t="shared" si="84"/>
        <v xml:space="preserve"> </v>
      </c>
      <c r="Z488" s="2" t="str">
        <f t="shared" si="84"/>
        <v xml:space="preserve"> </v>
      </c>
      <c r="AA488" s="2" t="str">
        <f t="shared" si="84"/>
        <v xml:space="preserve"> </v>
      </c>
      <c r="AB488" s="2" t="str">
        <f t="shared" si="84"/>
        <v xml:space="preserve"> </v>
      </c>
      <c r="AC488" s="2" t="str">
        <f t="shared" si="84"/>
        <v xml:space="preserve"> </v>
      </c>
      <c r="AD488" s="2" t="str">
        <f t="shared" si="84"/>
        <v xml:space="preserve"> </v>
      </c>
      <c r="AE488" s="2" t="str">
        <f t="shared" si="84"/>
        <v xml:space="preserve"> </v>
      </c>
      <c r="AF488" s="2" t="str">
        <f t="shared" si="84"/>
        <v xml:space="preserve"> </v>
      </c>
      <c r="AG488" s="2" t="str">
        <f t="shared" si="84"/>
        <v xml:space="preserve"> </v>
      </c>
      <c r="AH488" s="2" t="str">
        <f t="shared" si="84"/>
        <v xml:space="preserve"> </v>
      </c>
      <c r="AI488" s="2" t="str">
        <f t="shared" si="86"/>
        <v xml:space="preserve"> </v>
      </c>
      <c r="AJ488" s="2" t="str">
        <f t="shared" si="86"/>
        <v xml:space="preserve"> </v>
      </c>
      <c r="AK488" s="2" t="str">
        <f t="shared" si="86"/>
        <v xml:space="preserve"> </v>
      </c>
      <c r="AL488" s="2" t="str">
        <f t="shared" si="86"/>
        <v xml:space="preserve"> </v>
      </c>
      <c r="AM488" s="2" t="str">
        <f t="shared" si="86"/>
        <v xml:space="preserve"> </v>
      </c>
      <c r="AN488" s="2" t="str">
        <f t="shared" si="86"/>
        <v xml:space="preserve"> </v>
      </c>
      <c r="AO488" s="2" t="str">
        <f t="shared" si="86"/>
        <v xml:space="preserve"> </v>
      </c>
      <c r="AP488" s="2" t="str">
        <f t="shared" si="86"/>
        <v xml:space="preserve"> </v>
      </c>
      <c r="AQ488" s="25" t="str">
        <f t="shared" si="86"/>
        <v xml:space="preserve"> </v>
      </c>
      <c r="AR488" s="12">
        <f t="shared" si="79"/>
        <v>0</v>
      </c>
    </row>
    <row r="489" spans="1:44" x14ac:dyDescent="0.25">
      <c r="A489" s="12">
        <f t="shared" si="78"/>
        <v>0</v>
      </c>
      <c r="B489" s="12">
        <f>IF(AND($C$420&gt;$C$419,($B$454+35)&lt;=$C$420),$C$419+36,0)</f>
        <v>0</v>
      </c>
      <c r="C489" s="26">
        <f t="shared" si="80"/>
        <v>0</v>
      </c>
      <c r="D489" s="26" t="str">
        <f t="shared" si="85"/>
        <v xml:space="preserve"> </v>
      </c>
      <c r="E489" s="2" t="str">
        <f t="shared" si="85"/>
        <v xml:space="preserve"> </v>
      </c>
      <c r="F489" s="2" t="str">
        <f t="shared" si="85"/>
        <v xml:space="preserve"> </v>
      </c>
      <c r="G489" s="2" t="str">
        <f t="shared" si="85"/>
        <v xml:space="preserve"> </v>
      </c>
      <c r="H489" s="2" t="str">
        <f t="shared" si="85"/>
        <v xml:space="preserve"> </v>
      </c>
      <c r="I489" s="2" t="str">
        <f t="shared" si="85"/>
        <v xml:space="preserve"> </v>
      </c>
      <c r="J489" s="2" t="str">
        <f t="shared" si="85"/>
        <v xml:space="preserve"> </v>
      </c>
      <c r="K489" s="2" t="str">
        <f t="shared" si="85"/>
        <v xml:space="preserve"> </v>
      </c>
      <c r="L489" s="2" t="str">
        <f t="shared" si="85"/>
        <v xml:space="preserve"> </v>
      </c>
      <c r="M489" s="2" t="str">
        <f t="shared" si="85"/>
        <v xml:space="preserve"> </v>
      </c>
      <c r="N489" s="2" t="str">
        <f t="shared" si="85"/>
        <v xml:space="preserve"> </v>
      </c>
      <c r="O489" s="2" t="str">
        <f t="shared" si="85"/>
        <v xml:space="preserve"> </v>
      </c>
      <c r="P489" s="2" t="str">
        <f t="shared" si="85"/>
        <v xml:space="preserve"> </v>
      </c>
      <c r="Q489" s="2" t="str">
        <f t="shared" si="85"/>
        <v xml:space="preserve"> </v>
      </c>
      <c r="R489" s="2" t="str">
        <f t="shared" si="85"/>
        <v xml:space="preserve"> </v>
      </c>
      <c r="S489" s="2" t="str">
        <f t="shared" si="85"/>
        <v xml:space="preserve"> </v>
      </c>
      <c r="T489" s="2" t="str">
        <f t="shared" si="84"/>
        <v xml:space="preserve"> </v>
      </c>
      <c r="U489" s="2" t="str">
        <f t="shared" si="84"/>
        <v xml:space="preserve"> </v>
      </c>
      <c r="V489" s="2" t="str">
        <f t="shared" si="84"/>
        <v xml:space="preserve"> </v>
      </c>
      <c r="W489" s="2" t="str">
        <f t="shared" si="84"/>
        <v xml:space="preserve"> </v>
      </c>
      <c r="X489" s="2" t="str">
        <f t="shared" si="84"/>
        <v xml:space="preserve"> </v>
      </c>
      <c r="Y489" s="2" t="str">
        <f t="shared" si="84"/>
        <v xml:space="preserve"> </v>
      </c>
      <c r="Z489" s="2" t="str">
        <f t="shared" si="84"/>
        <v xml:space="preserve"> </v>
      </c>
      <c r="AA489" s="2" t="str">
        <f t="shared" si="84"/>
        <v xml:space="preserve"> </v>
      </c>
      <c r="AB489" s="2" t="str">
        <f t="shared" si="84"/>
        <v xml:space="preserve"> </v>
      </c>
      <c r="AC489" s="2" t="str">
        <f t="shared" si="84"/>
        <v xml:space="preserve"> </v>
      </c>
      <c r="AD489" s="2" t="str">
        <f t="shared" si="84"/>
        <v xml:space="preserve"> </v>
      </c>
      <c r="AE489" s="2" t="str">
        <f t="shared" si="84"/>
        <v xml:space="preserve"> </v>
      </c>
      <c r="AF489" s="2" t="str">
        <f t="shared" si="84"/>
        <v xml:space="preserve"> </v>
      </c>
      <c r="AG489" s="2" t="str">
        <f t="shared" si="84"/>
        <v xml:space="preserve"> </v>
      </c>
      <c r="AH489" s="2" t="str">
        <f t="shared" si="84"/>
        <v xml:space="preserve"> </v>
      </c>
      <c r="AI489" s="2" t="str">
        <f t="shared" si="86"/>
        <v xml:space="preserve"> </v>
      </c>
      <c r="AJ489" s="2" t="str">
        <f t="shared" si="86"/>
        <v xml:space="preserve"> </v>
      </c>
      <c r="AK489" s="2" t="str">
        <f t="shared" si="86"/>
        <v xml:space="preserve"> </v>
      </c>
      <c r="AL489" s="2" t="str">
        <f t="shared" si="86"/>
        <v xml:space="preserve"> </v>
      </c>
      <c r="AM489" s="2" t="str">
        <f t="shared" si="86"/>
        <v xml:space="preserve"> </v>
      </c>
      <c r="AN489" s="2" t="str">
        <f t="shared" si="86"/>
        <v xml:space="preserve"> </v>
      </c>
      <c r="AO489" s="2" t="str">
        <f t="shared" si="86"/>
        <v xml:space="preserve"> </v>
      </c>
      <c r="AP489" s="2" t="str">
        <f t="shared" si="86"/>
        <v xml:space="preserve"> </v>
      </c>
      <c r="AQ489" s="25" t="str">
        <f t="shared" si="86"/>
        <v xml:space="preserve"> </v>
      </c>
      <c r="AR489" s="12">
        <f t="shared" si="79"/>
        <v>0</v>
      </c>
    </row>
    <row r="490" spans="1:44" x14ac:dyDescent="0.25">
      <c r="A490" s="12">
        <f t="shared" si="78"/>
        <v>0</v>
      </c>
      <c r="B490" s="12">
        <f>IF(AND($C$420&gt;$C$419,($B$454+36)&lt;=$C$420),$C$419+37,0)</f>
        <v>0</v>
      </c>
      <c r="C490" s="26">
        <f t="shared" si="80"/>
        <v>0</v>
      </c>
      <c r="D490" s="26" t="str">
        <f t="shared" si="85"/>
        <v xml:space="preserve"> </v>
      </c>
      <c r="E490" s="2" t="str">
        <f t="shared" si="85"/>
        <v xml:space="preserve"> </v>
      </c>
      <c r="F490" s="2" t="str">
        <f t="shared" si="85"/>
        <v xml:space="preserve"> </v>
      </c>
      <c r="G490" s="2" t="str">
        <f t="shared" si="85"/>
        <v xml:space="preserve"> </v>
      </c>
      <c r="H490" s="2" t="str">
        <f t="shared" si="85"/>
        <v xml:space="preserve"> </v>
      </c>
      <c r="I490" s="2" t="str">
        <f t="shared" si="85"/>
        <v xml:space="preserve"> </v>
      </c>
      <c r="J490" s="2" t="str">
        <f t="shared" si="85"/>
        <v xml:space="preserve"> </v>
      </c>
      <c r="K490" s="2" t="str">
        <f t="shared" si="85"/>
        <v xml:space="preserve"> </v>
      </c>
      <c r="L490" s="2" t="str">
        <f t="shared" si="85"/>
        <v xml:space="preserve"> </v>
      </c>
      <c r="M490" s="2" t="str">
        <f t="shared" si="85"/>
        <v xml:space="preserve"> </v>
      </c>
      <c r="N490" s="2" t="str">
        <f t="shared" si="85"/>
        <v xml:space="preserve"> </v>
      </c>
      <c r="O490" s="2" t="str">
        <f t="shared" si="85"/>
        <v xml:space="preserve"> </v>
      </c>
      <c r="P490" s="2" t="str">
        <f t="shared" si="85"/>
        <v xml:space="preserve"> </v>
      </c>
      <c r="Q490" s="2" t="str">
        <f t="shared" si="85"/>
        <v xml:space="preserve"> </v>
      </c>
      <c r="R490" s="2" t="str">
        <f t="shared" si="85"/>
        <v xml:space="preserve"> </v>
      </c>
      <c r="S490" s="2" t="str">
        <f t="shared" si="85"/>
        <v xml:space="preserve"> </v>
      </c>
      <c r="T490" s="2" t="str">
        <f t="shared" si="84"/>
        <v xml:space="preserve"> </v>
      </c>
      <c r="U490" s="2" t="str">
        <f t="shared" si="84"/>
        <v xml:space="preserve"> </v>
      </c>
      <c r="V490" s="2" t="str">
        <f t="shared" si="84"/>
        <v xml:space="preserve"> </v>
      </c>
      <c r="W490" s="2" t="str">
        <f t="shared" si="84"/>
        <v xml:space="preserve"> </v>
      </c>
      <c r="X490" s="2" t="str">
        <f t="shared" si="84"/>
        <v xml:space="preserve"> </v>
      </c>
      <c r="Y490" s="2" t="str">
        <f t="shared" si="84"/>
        <v xml:space="preserve"> </v>
      </c>
      <c r="Z490" s="2" t="str">
        <f t="shared" si="84"/>
        <v xml:space="preserve"> </v>
      </c>
      <c r="AA490" s="2" t="str">
        <f t="shared" si="84"/>
        <v xml:space="preserve"> </v>
      </c>
      <c r="AB490" s="2" t="str">
        <f t="shared" si="84"/>
        <v xml:space="preserve"> </v>
      </c>
      <c r="AC490" s="2" t="str">
        <f t="shared" si="84"/>
        <v xml:space="preserve"> </v>
      </c>
      <c r="AD490" s="2" t="str">
        <f t="shared" si="84"/>
        <v xml:space="preserve"> </v>
      </c>
      <c r="AE490" s="2" t="str">
        <f t="shared" si="84"/>
        <v xml:space="preserve"> </v>
      </c>
      <c r="AF490" s="2" t="str">
        <f t="shared" si="84"/>
        <v xml:space="preserve"> </v>
      </c>
      <c r="AG490" s="2" t="str">
        <f t="shared" si="84"/>
        <v xml:space="preserve"> </v>
      </c>
      <c r="AH490" s="2" t="str">
        <f t="shared" si="84"/>
        <v xml:space="preserve"> </v>
      </c>
      <c r="AI490" s="2" t="str">
        <f t="shared" si="86"/>
        <v xml:space="preserve"> </v>
      </c>
      <c r="AJ490" s="2" t="str">
        <f t="shared" si="86"/>
        <v xml:space="preserve"> </v>
      </c>
      <c r="AK490" s="2" t="str">
        <f t="shared" si="86"/>
        <v xml:space="preserve"> </v>
      </c>
      <c r="AL490" s="2" t="str">
        <f t="shared" si="86"/>
        <v xml:space="preserve"> </v>
      </c>
      <c r="AM490" s="2" t="str">
        <f t="shared" si="86"/>
        <v xml:space="preserve"> </v>
      </c>
      <c r="AN490" s="2" t="str">
        <f t="shared" si="86"/>
        <v xml:space="preserve"> </v>
      </c>
      <c r="AO490" s="2" t="str">
        <f t="shared" si="86"/>
        <v xml:space="preserve"> </v>
      </c>
      <c r="AP490" s="2" t="str">
        <f t="shared" si="86"/>
        <v xml:space="preserve"> </v>
      </c>
      <c r="AQ490" s="25" t="str">
        <f t="shared" si="86"/>
        <v xml:space="preserve"> </v>
      </c>
      <c r="AR490" s="12">
        <f t="shared" si="79"/>
        <v>0</v>
      </c>
    </row>
    <row r="491" spans="1:44" x14ac:dyDescent="0.25">
      <c r="A491" s="12">
        <f t="shared" si="78"/>
        <v>0</v>
      </c>
      <c r="B491" s="12">
        <f>IF(AND($C$420&gt;$C$419,($B$454+37)&lt;=$C$420),$C$419+38,0)</f>
        <v>0</v>
      </c>
      <c r="C491" s="26">
        <f t="shared" si="80"/>
        <v>0</v>
      </c>
      <c r="D491" s="26" t="str">
        <f t="shared" si="85"/>
        <v xml:space="preserve"> </v>
      </c>
      <c r="E491" s="2" t="str">
        <f t="shared" si="85"/>
        <v xml:space="preserve"> </v>
      </c>
      <c r="F491" s="2" t="str">
        <f t="shared" si="85"/>
        <v xml:space="preserve"> </v>
      </c>
      <c r="G491" s="2" t="str">
        <f t="shared" si="85"/>
        <v xml:space="preserve"> </v>
      </c>
      <c r="H491" s="2" t="str">
        <f t="shared" si="85"/>
        <v xml:space="preserve"> </v>
      </c>
      <c r="I491" s="2" t="str">
        <f t="shared" si="85"/>
        <v xml:space="preserve"> </v>
      </c>
      <c r="J491" s="2" t="str">
        <f t="shared" si="85"/>
        <v xml:space="preserve"> </v>
      </c>
      <c r="K491" s="2" t="str">
        <f t="shared" si="85"/>
        <v xml:space="preserve"> </v>
      </c>
      <c r="L491" s="2" t="str">
        <f t="shared" si="85"/>
        <v xml:space="preserve"> </v>
      </c>
      <c r="M491" s="2" t="str">
        <f t="shared" si="85"/>
        <v xml:space="preserve"> </v>
      </c>
      <c r="N491" s="2" t="str">
        <f t="shared" si="85"/>
        <v xml:space="preserve"> </v>
      </c>
      <c r="O491" s="2" t="str">
        <f t="shared" si="85"/>
        <v xml:space="preserve"> </v>
      </c>
      <c r="P491" s="2" t="str">
        <f t="shared" si="85"/>
        <v xml:space="preserve"> </v>
      </c>
      <c r="Q491" s="2" t="str">
        <f t="shared" si="85"/>
        <v xml:space="preserve"> </v>
      </c>
      <c r="R491" s="2" t="str">
        <f t="shared" si="85"/>
        <v xml:space="preserve"> </v>
      </c>
      <c r="S491" s="2" t="str">
        <f t="shared" si="85"/>
        <v xml:space="preserve"> </v>
      </c>
      <c r="T491" s="2" t="str">
        <f t="shared" si="84"/>
        <v xml:space="preserve"> </v>
      </c>
      <c r="U491" s="2" t="str">
        <f t="shared" si="84"/>
        <v xml:space="preserve"> </v>
      </c>
      <c r="V491" s="2" t="str">
        <f t="shared" si="84"/>
        <v xml:space="preserve"> </v>
      </c>
      <c r="W491" s="2" t="str">
        <f t="shared" si="84"/>
        <v xml:space="preserve"> </v>
      </c>
      <c r="X491" s="2" t="str">
        <f t="shared" si="84"/>
        <v xml:space="preserve"> </v>
      </c>
      <c r="Y491" s="2" t="str">
        <f t="shared" si="84"/>
        <v xml:space="preserve"> </v>
      </c>
      <c r="Z491" s="2" t="str">
        <f t="shared" si="84"/>
        <v xml:space="preserve"> </v>
      </c>
      <c r="AA491" s="2" t="str">
        <f t="shared" si="84"/>
        <v xml:space="preserve"> </v>
      </c>
      <c r="AB491" s="2" t="str">
        <f t="shared" si="84"/>
        <v xml:space="preserve"> </v>
      </c>
      <c r="AC491" s="2" t="str">
        <f t="shared" si="84"/>
        <v xml:space="preserve"> </v>
      </c>
      <c r="AD491" s="2" t="str">
        <f t="shared" si="84"/>
        <v xml:space="preserve"> </v>
      </c>
      <c r="AE491" s="2" t="str">
        <f t="shared" si="84"/>
        <v xml:space="preserve"> </v>
      </c>
      <c r="AF491" s="2" t="str">
        <f t="shared" si="84"/>
        <v xml:space="preserve"> </v>
      </c>
      <c r="AG491" s="2" t="str">
        <f t="shared" si="84"/>
        <v xml:space="preserve"> </v>
      </c>
      <c r="AH491" s="2" t="str">
        <f t="shared" si="84"/>
        <v xml:space="preserve"> </v>
      </c>
      <c r="AI491" s="2" t="str">
        <f t="shared" si="86"/>
        <v xml:space="preserve"> </v>
      </c>
      <c r="AJ491" s="2" t="str">
        <f t="shared" si="86"/>
        <v xml:space="preserve"> </v>
      </c>
      <c r="AK491" s="2" t="str">
        <f t="shared" si="86"/>
        <v xml:space="preserve"> </v>
      </c>
      <c r="AL491" s="2" t="str">
        <f t="shared" si="86"/>
        <v xml:space="preserve"> </v>
      </c>
      <c r="AM491" s="2" t="str">
        <f t="shared" si="86"/>
        <v xml:space="preserve"> </v>
      </c>
      <c r="AN491" s="2" t="str">
        <f t="shared" si="86"/>
        <v xml:space="preserve"> </v>
      </c>
      <c r="AO491" s="2" t="str">
        <f t="shared" si="86"/>
        <v xml:space="preserve"> </v>
      </c>
      <c r="AP491" s="2" t="str">
        <f t="shared" si="86"/>
        <v xml:space="preserve"> </v>
      </c>
      <c r="AQ491" s="25" t="str">
        <f t="shared" si="86"/>
        <v xml:space="preserve"> </v>
      </c>
      <c r="AR491" s="12">
        <f t="shared" si="79"/>
        <v>0</v>
      </c>
    </row>
    <row r="492" spans="1:44" x14ac:dyDescent="0.25">
      <c r="A492" s="13">
        <f t="shared" si="78"/>
        <v>0</v>
      </c>
      <c r="B492" s="13">
        <f>IF(AND($C$420&gt;$C$419,($B$454+38)&lt;=$C$420),$C$419+39,0)</f>
        <v>0</v>
      </c>
      <c r="C492" s="432">
        <f t="shared" si="80"/>
        <v>0</v>
      </c>
      <c r="D492" s="432" t="str">
        <f t="shared" si="85"/>
        <v xml:space="preserve"> </v>
      </c>
      <c r="E492" s="343" t="str">
        <f t="shared" si="85"/>
        <v xml:space="preserve"> </v>
      </c>
      <c r="F492" s="343" t="str">
        <f t="shared" si="85"/>
        <v xml:space="preserve"> </v>
      </c>
      <c r="G492" s="343" t="str">
        <f t="shared" si="85"/>
        <v xml:space="preserve"> </v>
      </c>
      <c r="H492" s="343" t="str">
        <f t="shared" si="85"/>
        <v xml:space="preserve"> </v>
      </c>
      <c r="I492" s="343" t="str">
        <f t="shared" si="85"/>
        <v xml:space="preserve"> </v>
      </c>
      <c r="J492" s="343" t="str">
        <f t="shared" si="85"/>
        <v xml:space="preserve"> </v>
      </c>
      <c r="K492" s="343" t="str">
        <f t="shared" si="85"/>
        <v xml:space="preserve"> </v>
      </c>
      <c r="L492" s="343" t="str">
        <f t="shared" si="85"/>
        <v xml:space="preserve"> </v>
      </c>
      <c r="M492" s="343" t="str">
        <f t="shared" si="85"/>
        <v xml:space="preserve"> </v>
      </c>
      <c r="N492" s="343" t="str">
        <f t="shared" si="85"/>
        <v xml:space="preserve"> </v>
      </c>
      <c r="O492" s="343" t="str">
        <f t="shared" si="85"/>
        <v xml:space="preserve"> </v>
      </c>
      <c r="P492" s="343" t="str">
        <f t="shared" si="85"/>
        <v xml:space="preserve"> </v>
      </c>
      <c r="Q492" s="343" t="str">
        <f t="shared" si="85"/>
        <v xml:space="preserve"> </v>
      </c>
      <c r="R492" s="343" t="str">
        <f t="shared" si="85"/>
        <v xml:space="preserve"> </v>
      </c>
      <c r="S492" s="343" t="str">
        <f t="shared" si="85"/>
        <v xml:space="preserve"> </v>
      </c>
      <c r="T492" s="343" t="str">
        <f t="shared" si="84"/>
        <v xml:space="preserve"> </v>
      </c>
      <c r="U492" s="343" t="str">
        <f t="shared" si="84"/>
        <v xml:space="preserve"> </v>
      </c>
      <c r="V492" s="343" t="str">
        <f t="shared" si="84"/>
        <v xml:space="preserve"> </v>
      </c>
      <c r="W492" s="343" t="str">
        <f t="shared" si="84"/>
        <v xml:space="preserve"> </v>
      </c>
      <c r="X492" s="343" t="str">
        <f t="shared" si="84"/>
        <v xml:space="preserve"> </v>
      </c>
      <c r="Y492" s="343" t="str">
        <f t="shared" si="84"/>
        <v xml:space="preserve"> </v>
      </c>
      <c r="Z492" s="343" t="str">
        <f t="shared" si="84"/>
        <v xml:space="preserve"> </v>
      </c>
      <c r="AA492" s="343" t="str">
        <f t="shared" si="84"/>
        <v xml:space="preserve"> </v>
      </c>
      <c r="AB492" s="343" t="str">
        <f t="shared" si="84"/>
        <v xml:space="preserve"> </v>
      </c>
      <c r="AC492" s="343" t="str">
        <f t="shared" si="84"/>
        <v xml:space="preserve"> </v>
      </c>
      <c r="AD492" s="343" t="str">
        <f t="shared" si="84"/>
        <v xml:space="preserve"> </v>
      </c>
      <c r="AE492" s="343" t="str">
        <f t="shared" si="84"/>
        <v xml:space="preserve"> </v>
      </c>
      <c r="AF492" s="343" t="str">
        <f t="shared" si="84"/>
        <v xml:space="preserve"> </v>
      </c>
      <c r="AG492" s="343" t="str">
        <f t="shared" si="84"/>
        <v xml:space="preserve"> </v>
      </c>
      <c r="AH492" s="343" t="str">
        <f t="shared" si="84"/>
        <v xml:space="preserve"> </v>
      </c>
      <c r="AI492" s="343" t="str">
        <f t="shared" si="86"/>
        <v xml:space="preserve"> </v>
      </c>
      <c r="AJ492" s="343" t="str">
        <f t="shared" si="86"/>
        <v xml:space="preserve"> </v>
      </c>
      <c r="AK492" s="343" t="str">
        <f t="shared" si="86"/>
        <v xml:space="preserve"> </v>
      </c>
      <c r="AL492" s="343" t="str">
        <f t="shared" si="86"/>
        <v xml:space="preserve"> </v>
      </c>
      <c r="AM492" s="343" t="str">
        <f t="shared" si="86"/>
        <v xml:space="preserve"> </v>
      </c>
      <c r="AN492" s="343" t="str">
        <f t="shared" si="86"/>
        <v xml:space="preserve"> </v>
      </c>
      <c r="AO492" s="343" t="str">
        <f t="shared" si="86"/>
        <v xml:space="preserve"> </v>
      </c>
      <c r="AP492" s="343" t="str">
        <f t="shared" si="86"/>
        <v xml:space="preserve"> </v>
      </c>
      <c r="AQ492" s="436" t="str">
        <f t="shared" si="86"/>
        <v xml:space="preserve"> </v>
      </c>
      <c r="AR492" s="13">
        <f t="shared" si="79"/>
        <v>0</v>
      </c>
    </row>
    <row r="493" spans="1:44" x14ac:dyDescent="0.25">
      <c r="D493" s="208">
        <f t="shared" ref="D493:AQ493" si="87">IFERROR(VLOOKUP($B$445,D$453:AR$492,D450,FALSE),0)</f>
        <v>1</v>
      </c>
      <c r="E493" s="208">
        <f t="shared" si="87"/>
        <v>0</v>
      </c>
      <c r="F493" s="208">
        <f t="shared" si="87"/>
        <v>0</v>
      </c>
      <c r="G493" s="208">
        <f t="shared" si="87"/>
        <v>0</v>
      </c>
      <c r="H493" s="208">
        <f t="shared" si="87"/>
        <v>0</v>
      </c>
      <c r="I493" s="208">
        <f t="shared" si="87"/>
        <v>0</v>
      </c>
      <c r="J493" s="208">
        <f t="shared" si="87"/>
        <v>0</v>
      </c>
      <c r="K493" s="208">
        <f t="shared" si="87"/>
        <v>0</v>
      </c>
      <c r="L493" s="208">
        <f t="shared" si="87"/>
        <v>0</v>
      </c>
      <c r="M493" s="208">
        <f t="shared" si="87"/>
        <v>0</v>
      </c>
      <c r="N493" s="208">
        <f t="shared" si="87"/>
        <v>0</v>
      </c>
      <c r="O493" s="208">
        <f t="shared" si="87"/>
        <v>0</v>
      </c>
      <c r="P493" s="208">
        <f t="shared" si="87"/>
        <v>0</v>
      </c>
      <c r="Q493" s="208">
        <f t="shared" si="87"/>
        <v>0</v>
      </c>
      <c r="R493" s="208">
        <f t="shared" si="87"/>
        <v>0</v>
      </c>
      <c r="S493" s="208">
        <f t="shared" si="87"/>
        <v>0</v>
      </c>
      <c r="T493" s="208">
        <f t="shared" si="87"/>
        <v>0</v>
      </c>
      <c r="U493" s="208">
        <f t="shared" si="87"/>
        <v>0</v>
      </c>
      <c r="V493" s="208">
        <f t="shared" si="87"/>
        <v>0</v>
      </c>
      <c r="W493" s="208">
        <f t="shared" si="87"/>
        <v>0</v>
      </c>
      <c r="X493" s="208">
        <f t="shared" si="87"/>
        <v>0</v>
      </c>
      <c r="Y493" s="208">
        <f t="shared" si="87"/>
        <v>0</v>
      </c>
      <c r="Z493" s="208">
        <f t="shared" si="87"/>
        <v>0</v>
      </c>
      <c r="AA493" s="208">
        <f t="shared" si="87"/>
        <v>0</v>
      </c>
      <c r="AB493" s="208">
        <f t="shared" si="87"/>
        <v>0</v>
      </c>
      <c r="AC493" s="208">
        <f t="shared" si="87"/>
        <v>0</v>
      </c>
      <c r="AD493" s="208">
        <f t="shared" si="87"/>
        <v>0</v>
      </c>
      <c r="AE493" s="208">
        <f t="shared" si="87"/>
        <v>0</v>
      </c>
      <c r="AF493" s="208">
        <f t="shared" si="87"/>
        <v>0</v>
      </c>
      <c r="AG493" s="208">
        <f t="shared" si="87"/>
        <v>0</v>
      </c>
      <c r="AH493" s="208">
        <f t="shared" si="87"/>
        <v>0</v>
      </c>
      <c r="AI493" s="208">
        <f t="shared" si="87"/>
        <v>0</v>
      </c>
      <c r="AJ493" s="208">
        <f t="shared" si="87"/>
        <v>0</v>
      </c>
      <c r="AK493" s="208">
        <f t="shared" si="87"/>
        <v>0</v>
      </c>
      <c r="AL493" s="208">
        <f t="shared" si="87"/>
        <v>0</v>
      </c>
      <c r="AM493" s="208">
        <f t="shared" si="87"/>
        <v>0</v>
      </c>
      <c r="AN493" s="208">
        <f t="shared" si="87"/>
        <v>0</v>
      </c>
      <c r="AO493" s="208">
        <f t="shared" si="87"/>
        <v>0</v>
      </c>
      <c r="AP493" s="208">
        <f t="shared" si="87"/>
        <v>0</v>
      </c>
      <c r="AQ493" s="208">
        <f t="shared" si="87"/>
        <v>0</v>
      </c>
      <c r="AR493" s="472"/>
    </row>
    <row r="494" spans="1:44" x14ac:dyDescent="0.25">
      <c r="C494" t="s">
        <v>1315</v>
      </c>
      <c r="D494" s="951">
        <f>IF(D449&lt;&gt;" ",VLOOKUP($C$452,D$453:$AR$492,D449,FALSE)," ")</f>
        <v>1</v>
      </c>
      <c r="E494" s="951" t="str">
        <f>IF(E449&lt;&gt;" ",VLOOKUP($C$452,E$453:$AR$492,E449,FALSE)," ")</f>
        <v xml:space="preserve"> </v>
      </c>
      <c r="F494" s="951" t="str">
        <f>IF(F449&lt;&gt;" ",VLOOKUP($C$452,F$453:$AR$492,F449,FALSE)," ")</f>
        <v xml:space="preserve"> </v>
      </c>
      <c r="G494" s="951" t="str">
        <f>IF(G449&lt;&gt;" ",VLOOKUP($C$452,G$453:$AR$492,G449,FALSE)," ")</f>
        <v xml:space="preserve"> </v>
      </c>
      <c r="H494" s="951" t="str">
        <f>IF(H449&lt;&gt;" ",VLOOKUP($C$452,H$453:$AR$492,H449,FALSE)," ")</f>
        <v xml:space="preserve"> </v>
      </c>
      <c r="I494" s="951" t="str">
        <f>IF(I449&lt;&gt;" ",VLOOKUP($C$452,I$453:$AR$492,I449,FALSE)," ")</f>
        <v xml:space="preserve"> </v>
      </c>
      <c r="J494" s="951" t="str">
        <f>IF(J449&lt;&gt;" ",VLOOKUP($C$452,J$453:$AR$492,J449,FALSE)," ")</f>
        <v xml:space="preserve"> </v>
      </c>
      <c r="K494" s="951" t="str">
        <f>IF(K449&lt;&gt;" ",VLOOKUP($C$452,K$453:$AR$492,K449,FALSE)," ")</f>
        <v xml:space="preserve"> </v>
      </c>
      <c r="L494" s="951" t="str">
        <f>IF(L449&lt;&gt;" ",VLOOKUP($C$452,L$453:$AR$492,L449,FALSE)," ")</f>
        <v xml:space="preserve"> </v>
      </c>
      <c r="M494" s="951" t="str">
        <f>IF(M449&lt;&gt;" ",VLOOKUP($C$452,M$453:$AR$492,M449,FALSE)," ")</f>
        <v xml:space="preserve"> </v>
      </c>
      <c r="N494" s="951" t="str">
        <f>IF(N449&lt;&gt;" ",VLOOKUP($C$452,N$453:$AR$492,N449,FALSE)," ")</f>
        <v xml:space="preserve"> </v>
      </c>
      <c r="O494" s="951" t="str">
        <f>IF(O449&lt;&gt;" ",VLOOKUP($C$452,O$453:$AR$492,O449,FALSE)," ")</f>
        <v xml:space="preserve"> </v>
      </c>
      <c r="P494" s="951" t="str">
        <f>IF(P449&lt;&gt;" ",VLOOKUP($C$452,P$453:$AR$492,P449,FALSE)," ")</f>
        <v xml:space="preserve"> </v>
      </c>
      <c r="Q494" s="951" t="str">
        <f>IF(Q449&lt;&gt;" ",VLOOKUP($C$452,Q$453:$AR$492,Q449,FALSE)," ")</f>
        <v xml:space="preserve"> </v>
      </c>
      <c r="R494" s="951" t="str">
        <f>IF(R449&lt;&gt;" ",VLOOKUP($C$452,R$453:$AR$492,R449,FALSE)," ")</f>
        <v xml:space="preserve"> </v>
      </c>
      <c r="S494" s="951" t="str">
        <f>IF(S449&lt;&gt;" ",VLOOKUP($C$452,S$453:$AR$492,S449,FALSE)," ")</f>
        <v xml:space="preserve"> </v>
      </c>
      <c r="T494" s="951" t="str">
        <f>IF(T449&lt;&gt;" ",VLOOKUP($C$452,T$453:$AR$492,T449,FALSE)," ")</f>
        <v xml:space="preserve"> </v>
      </c>
      <c r="U494" s="951" t="str">
        <f>IF(U449&lt;&gt;" ",VLOOKUP($C$452,U$453:$AR$492,U449,FALSE)," ")</f>
        <v xml:space="preserve"> </v>
      </c>
      <c r="V494" s="951" t="str">
        <f>IF(V449&lt;&gt;" ",VLOOKUP($C$452,V$453:$AR$492,V449,FALSE)," ")</f>
        <v xml:space="preserve"> </v>
      </c>
      <c r="W494" s="951" t="str">
        <f>IF(W449&lt;&gt;" ",VLOOKUP($C$452,W$453:$AR$492,W449,FALSE)," ")</f>
        <v xml:space="preserve"> </v>
      </c>
      <c r="X494" s="951" t="str">
        <f>IF(X449&lt;&gt;" ",VLOOKUP($C$452,X$453:$AR$492,X449,FALSE)," ")</f>
        <v xml:space="preserve"> </v>
      </c>
      <c r="Y494" s="951" t="str">
        <f>IF(Y449&lt;&gt;" ",VLOOKUP($C$452,Y$453:$AR$492,Y449,FALSE)," ")</f>
        <v xml:space="preserve"> </v>
      </c>
      <c r="Z494" s="951" t="str">
        <f>IF(Z449&lt;&gt;" ",VLOOKUP($C$452,Z$453:$AR$492,Z449,FALSE)," ")</f>
        <v xml:space="preserve"> </v>
      </c>
      <c r="AA494" s="951" t="str">
        <f>IF(AA449&lt;&gt;" ",VLOOKUP($C$452,AA$453:$AR$492,AA449,FALSE)," ")</f>
        <v xml:space="preserve"> </v>
      </c>
      <c r="AB494" s="951" t="str">
        <f>IF(AB449&lt;&gt;" ",VLOOKUP($C$452,AB$453:$AR$492,AB449,FALSE)," ")</f>
        <v xml:space="preserve"> </v>
      </c>
      <c r="AC494" s="951" t="str">
        <f>IF(AC449&lt;&gt;" ",VLOOKUP($C$452,AC$453:$AR$492,AC449,FALSE)," ")</f>
        <v xml:space="preserve"> </v>
      </c>
      <c r="AD494" s="951" t="str">
        <f>IF(AD449&lt;&gt;" ",VLOOKUP($C$452,AD$453:$AR$492,AD449,FALSE)," ")</f>
        <v xml:space="preserve"> </v>
      </c>
      <c r="AE494" s="951" t="str">
        <f>IF(AE449&lt;&gt;" ",VLOOKUP($C$452,AE$453:$AR$492,AE449,FALSE)," ")</f>
        <v xml:space="preserve"> </v>
      </c>
      <c r="AF494" s="951" t="str">
        <f>IF(AF449&lt;&gt;" ",VLOOKUP($C$452,AF$453:$AR$492,AF449,FALSE)," ")</f>
        <v xml:space="preserve"> </v>
      </c>
      <c r="AG494" s="951" t="str">
        <f>IF(AG449&lt;&gt;" ",VLOOKUP($C$452,AG$453:$AR$492,AG449,FALSE)," ")</f>
        <v xml:space="preserve"> </v>
      </c>
      <c r="AH494" s="951" t="str">
        <f>IF(AH449&lt;&gt;" ",VLOOKUP($C$452,AH$453:$AR$492,AH449,FALSE)," ")</f>
        <v xml:space="preserve"> </v>
      </c>
      <c r="AI494" s="951" t="str">
        <f>IF(AI449&lt;&gt;" ",VLOOKUP($C$452,AI$453:$AR$492,AI449,FALSE)," ")</f>
        <v xml:space="preserve"> </v>
      </c>
      <c r="AJ494" s="951" t="str">
        <f>IF(AJ449&lt;&gt;" ",VLOOKUP($C$452,AJ$453:$AR$492,AJ449,FALSE)," ")</f>
        <v xml:space="preserve"> </v>
      </c>
      <c r="AK494" s="951" t="str">
        <f>IF(AK449&lt;&gt;" ",VLOOKUP($C$452,AK$453:$AR$492,AK449,FALSE)," ")</f>
        <v xml:space="preserve"> </v>
      </c>
      <c r="AL494" s="951" t="str">
        <f>IF(AL449&lt;&gt;" ",VLOOKUP($C$452,AL$453:$AR$492,AL449,FALSE)," ")</f>
        <v xml:space="preserve"> </v>
      </c>
      <c r="AM494" s="951" t="str">
        <f>IF(AM449&lt;&gt;" ",VLOOKUP($C$452,AM$453:$AR$492,AM449,FALSE)," ")</f>
        <v xml:space="preserve"> </v>
      </c>
      <c r="AN494" s="951" t="str">
        <f>IF(AN449&lt;&gt;" ",VLOOKUP($C$452,AN$453:$AR$492,AN449,FALSE)," ")</f>
        <v xml:space="preserve"> </v>
      </c>
      <c r="AO494" s="951" t="str">
        <f>IF(AO449&lt;&gt;" ",VLOOKUP($C$452,AO$453:$AR$492,AO449,FALSE)," ")</f>
        <v xml:space="preserve"> </v>
      </c>
      <c r="AP494" s="951" t="str">
        <f>IF(AP449&lt;&gt;" ",VLOOKUP($C$452,AP$453:$AR$492,AP449,FALSE)," ")</f>
        <v xml:space="preserve"> </v>
      </c>
      <c r="AQ494" s="951" t="str">
        <f>IF(AQ449&lt;&gt;" ",VLOOKUP($C$452,AQ$453:$AR$492,AQ449,FALSE)," ")</f>
        <v xml:space="preserve"> </v>
      </c>
      <c r="AR494" s="951">
        <f>MAX(D494:AQ494)</f>
        <v>1</v>
      </c>
    </row>
    <row r="495" spans="1:44" x14ac:dyDescent="0.25">
      <c r="C495" t="s">
        <v>1316</v>
      </c>
      <c r="D495" s="951">
        <f>IF(D494=$AR$494,D449," ")</f>
        <v>41</v>
      </c>
      <c r="E495" s="951" t="str">
        <f t="shared" ref="E495:AQ495" si="88">IF(E494=$AR$494,E449," ")</f>
        <v xml:space="preserve"> </v>
      </c>
      <c r="F495" s="951" t="str">
        <f t="shared" si="88"/>
        <v xml:space="preserve"> </v>
      </c>
      <c r="G495" s="951" t="str">
        <f t="shared" si="88"/>
        <v xml:space="preserve"> </v>
      </c>
      <c r="H495" s="951" t="str">
        <f t="shared" si="88"/>
        <v xml:space="preserve"> </v>
      </c>
      <c r="I495" s="951" t="str">
        <f t="shared" si="88"/>
        <v xml:space="preserve"> </v>
      </c>
      <c r="J495" s="951" t="str">
        <f t="shared" si="88"/>
        <v xml:space="preserve"> </v>
      </c>
      <c r="K495" s="951" t="str">
        <f t="shared" si="88"/>
        <v xml:space="preserve"> </v>
      </c>
      <c r="L495" s="951" t="str">
        <f t="shared" si="88"/>
        <v xml:space="preserve"> </v>
      </c>
      <c r="M495" s="951" t="str">
        <f t="shared" si="88"/>
        <v xml:space="preserve"> </v>
      </c>
      <c r="N495" s="951" t="str">
        <f t="shared" si="88"/>
        <v xml:space="preserve"> </v>
      </c>
      <c r="O495" s="951" t="str">
        <f t="shared" si="88"/>
        <v xml:space="preserve"> </v>
      </c>
      <c r="P495" s="951" t="str">
        <f t="shared" si="88"/>
        <v xml:space="preserve"> </v>
      </c>
      <c r="Q495" s="951" t="str">
        <f t="shared" si="88"/>
        <v xml:space="preserve"> </v>
      </c>
      <c r="R495" s="951" t="str">
        <f t="shared" si="88"/>
        <v xml:space="preserve"> </v>
      </c>
      <c r="S495" s="951" t="str">
        <f t="shared" si="88"/>
        <v xml:space="preserve"> </v>
      </c>
      <c r="T495" s="951" t="str">
        <f t="shared" si="88"/>
        <v xml:space="preserve"> </v>
      </c>
      <c r="U495" s="951" t="str">
        <f t="shared" si="88"/>
        <v xml:space="preserve"> </v>
      </c>
      <c r="V495" s="951" t="str">
        <f t="shared" si="88"/>
        <v xml:space="preserve"> </v>
      </c>
      <c r="W495" s="951" t="str">
        <f t="shared" si="88"/>
        <v xml:space="preserve"> </v>
      </c>
      <c r="X495" s="951" t="str">
        <f t="shared" si="88"/>
        <v xml:space="preserve"> </v>
      </c>
      <c r="Y495" s="951" t="str">
        <f t="shared" si="88"/>
        <v xml:space="preserve"> </v>
      </c>
      <c r="Z495" s="951" t="str">
        <f t="shared" si="88"/>
        <v xml:space="preserve"> </v>
      </c>
      <c r="AA495" s="951" t="str">
        <f t="shared" si="88"/>
        <v xml:space="preserve"> </v>
      </c>
      <c r="AB495" s="951" t="str">
        <f t="shared" si="88"/>
        <v xml:space="preserve"> </v>
      </c>
      <c r="AC495" s="951" t="str">
        <f t="shared" si="88"/>
        <v xml:space="preserve"> </v>
      </c>
      <c r="AD495" s="951" t="str">
        <f t="shared" si="88"/>
        <v xml:space="preserve"> </v>
      </c>
      <c r="AE495" s="951" t="str">
        <f t="shared" si="88"/>
        <v xml:space="preserve"> </v>
      </c>
      <c r="AF495" s="951" t="str">
        <f t="shared" si="88"/>
        <v xml:space="preserve"> </v>
      </c>
      <c r="AG495" s="951" t="str">
        <f t="shared" si="88"/>
        <v xml:space="preserve"> </v>
      </c>
      <c r="AH495" s="951" t="str">
        <f t="shared" si="88"/>
        <v xml:space="preserve"> </v>
      </c>
      <c r="AI495" s="951" t="str">
        <f t="shared" si="88"/>
        <v xml:space="preserve"> </v>
      </c>
      <c r="AJ495" s="951" t="str">
        <f t="shared" si="88"/>
        <v xml:space="preserve"> </v>
      </c>
      <c r="AK495" s="951" t="str">
        <f t="shared" si="88"/>
        <v xml:space="preserve"> </v>
      </c>
      <c r="AL495" s="951" t="str">
        <f t="shared" si="88"/>
        <v xml:space="preserve"> </v>
      </c>
      <c r="AM495" s="951" t="str">
        <f t="shared" si="88"/>
        <v xml:space="preserve"> </v>
      </c>
      <c r="AN495" s="951" t="str">
        <f t="shared" si="88"/>
        <v xml:space="preserve"> </v>
      </c>
      <c r="AO495" s="951" t="str">
        <f t="shared" si="88"/>
        <v xml:space="preserve"> </v>
      </c>
      <c r="AP495" s="951" t="str">
        <f t="shared" si="88"/>
        <v xml:space="preserve"> </v>
      </c>
      <c r="AQ495" s="951" t="str">
        <f t="shared" si="88"/>
        <v xml:space="preserve"> </v>
      </c>
      <c r="AR495" s="951">
        <f>MIN(D495:AQ495)</f>
        <v>41</v>
      </c>
    </row>
    <row r="497" spans="1:29" s="320" customFormat="1" x14ac:dyDescent="0.25">
      <c r="B497" s="441"/>
      <c r="Y497" s="343"/>
    </row>
    <row r="499" spans="1:29" s="426" customFormat="1" ht="13.5" thickBot="1" x14ac:dyDescent="0.25">
      <c r="B499" s="615"/>
      <c r="D499" s="626" t="s">
        <v>674</v>
      </c>
      <c r="Y499" s="626"/>
    </row>
    <row r="500" spans="1:29" s="426" customFormat="1" ht="15.75" thickBot="1" x14ac:dyDescent="0.3">
      <c r="B500" s="641" t="s">
        <v>663</v>
      </c>
      <c r="C500" s="643">
        <f>J364</f>
        <v>0</v>
      </c>
      <c r="D500" s="642">
        <f>IF(C500=1,C559+C563,0)</f>
        <v>0</v>
      </c>
      <c r="Q500" s="77" t="s">
        <v>1050</v>
      </c>
      <c r="R500"/>
      <c r="S500"/>
      <c r="T500"/>
      <c r="U500"/>
      <c r="V500"/>
      <c r="W500"/>
      <c r="Y500" s="626"/>
      <c r="AA500" s="77" t="s">
        <v>1069</v>
      </c>
      <c r="AB500" s="1101">
        <v>1200</v>
      </c>
      <c r="AC500" s="77" t="s">
        <v>1070</v>
      </c>
    </row>
    <row r="501" spans="1:29" s="426" customFormat="1" x14ac:dyDescent="0.25">
      <c r="B501" s="615"/>
      <c r="Q501" s="944"/>
      <c r="R501" s="944"/>
      <c r="S501" s="1087">
        <f>C516</f>
        <v>361</v>
      </c>
      <c r="T501" s="1088">
        <f>C517</f>
        <v>1150</v>
      </c>
      <c r="U501" s="14"/>
      <c r="V501" s="433"/>
      <c r="W501" s="433"/>
      <c r="Y501" s="626"/>
      <c r="AA501" t="s">
        <v>1071</v>
      </c>
      <c r="AB501" s="1035">
        <v>20</v>
      </c>
      <c r="AC501" t="s">
        <v>1072</v>
      </c>
    </row>
    <row r="502" spans="1:29" s="426" customFormat="1" x14ac:dyDescent="0.25">
      <c r="B502" s="426" t="s">
        <v>775</v>
      </c>
      <c r="C502" s="699">
        <f>'Tarieven (4)'!C7</f>
        <v>190</v>
      </c>
      <c r="D502" s="697">
        <f>C502/60</f>
        <v>3.1666666666666665</v>
      </c>
      <c r="Q502" s="41"/>
      <c r="R502" s="339" t="s">
        <v>0</v>
      </c>
      <c r="S502" s="400" t="s">
        <v>1051</v>
      </c>
      <c r="T502" s="1075" t="s">
        <v>1052</v>
      </c>
      <c r="U502" s="1089" t="s">
        <v>903</v>
      </c>
      <c r="V502" s="1076" t="s">
        <v>902</v>
      </c>
      <c r="W502" s="912"/>
      <c r="Y502" s="626"/>
      <c r="AA502" t="s">
        <v>1073</v>
      </c>
      <c r="AB502" s="1035">
        <v>180</v>
      </c>
      <c r="AC502" t="s">
        <v>1074</v>
      </c>
    </row>
    <row r="503" spans="1:29" s="426" customFormat="1" x14ac:dyDescent="0.25">
      <c r="B503" s="615"/>
      <c r="Q503" s="1062" t="str">
        <f>IF($C$4=R503,1," ")</f>
        <v xml:space="preserve"> </v>
      </c>
      <c r="R503" s="777" t="s">
        <v>30</v>
      </c>
      <c r="S503" s="22">
        <v>1000</v>
      </c>
      <c r="T503" s="22">
        <v>2000</v>
      </c>
      <c r="U503" s="26">
        <f>IF($S$501&gt;=S503,1,0)</f>
        <v>0</v>
      </c>
      <c r="V503" s="25">
        <f>IF($T$501&gt;=T503,1,0)</f>
        <v>0</v>
      </c>
      <c r="W503" s="25">
        <f>IF(AND(Q503=1,SUM(U503:V503)&lt;2),1,0)</f>
        <v>0</v>
      </c>
      <c r="Y503" s="626"/>
    </row>
    <row r="504" spans="1:29" s="426" customFormat="1" x14ac:dyDescent="0.25">
      <c r="A504" s="426" t="s">
        <v>61</v>
      </c>
      <c r="B504" s="426" t="s">
        <v>679</v>
      </c>
      <c r="C504" s="636" t="s">
        <v>680</v>
      </c>
      <c r="D504" s="635"/>
      <c r="G504" s="638">
        <v>0.15</v>
      </c>
      <c r="L504" s="426" t="s">
        <v>1017</v>
      </c>
      <c r="N504" s="652" t="s">
        <v>866</v>
      </c>
      <c r="O504" s="971">
        <f>AY46</f>
        <v>0.9</v>
      </c>
      <c r="Q504" s="12">
        <f t="shared" ref="Q504:Q511" si="89">IF($C$4=R504,1," ")</f>
        <v>1</v>
      </c>
      <c r="R504" s="778" t="s">
        <v>31</v>
      </c>
      <c r="S504" s="22">
        <v>720</v>
      </c>
      <c r="T504" s="22">
        <v>1800</v>
      </c>
      <c r="U504" s="26">
        <f t="shared" ref="U504:U511" si="90">IF($S$501&gt;=S504,1,0)</f>
        <v>0</v>
      </c>
      <c r="V504" s="25">
        <f t="shared" ref="V504:V511" si="91">IF($T$501&gt;=T504,1,0)</f>
        <v>0</v>
      </c>
      <c r="W504" s="25">
        <f t="shared" ref="W504:W511" si="92">IF(AND(Q504=1,SUM(U504:V504)&lt;2),1,0)</f>
        <v>1</v>
      </c>
      <c r="Y504" s="626"/>
      <c r="AA504" s="944"/>
      <c r="AB504" s="944" t="s">
        <v>1061</v>
      </c>
    </row>
    <row r="505" spans="1:29" s="426" customFormat="1" x14ac:dyDescent="0.25">
      <c r="A505" s="626">
        <f>IF(AND(C500=1,C512=0),1,IF(AND(C500=1,C512=1),0.5,0))</f>
        <v>0</v>
      </c>
      <c r="B505" s="426" t="s">
        <v>767</v>
      </c>
      <c r="C505" s="637">
        <v>10</v>
      </c>
      <c r="D505" s="426" t="s">
        <v>683</v>
      </c>
      <c r="G505" s="708" t="s">
        <v>777</v>
      </c>
      <c r="H505" s="719" t="s">
        <v>778</v>
      </c>
      <c r="I505" s="719" t="s">
        <v>779</v>
      </c>
      <c r="Q505" s="12" t="str">
        <f t="shared" si="89"/>
        <v xml:space="preserve"> </v>
      </c>
      <c r="R505" s="778" t="s">
        <v>32</v>
      </c>
      <c r="S505" s="22">
        <v>720</v>
      </c>
      <c r="T505" s="22">
        <v>1800</v>
      </c>
      <c r="U505" s="26">
        <f t="shared" si="90"/>
        <v>0</v>
      </c>
      <c r="V505" s="25">
        <f t="shared" si="91"/>
        <v>0</v>
      </c>
      <c r="W505" s="25">
        <f t="shared" si="92"/>
        <v>0</v>
      </c>
      <c r="Y505" s="626"/>
      <c r="AA505" s="52"/>
      <c r="AB505" s="52"/>
    </row>
    <row r="506" spans="1:29" s="426" customFormat="1" ht="15.75" thickBot="1" x14ac:dyDescent="0.3">
      <c r="A506" s="626">
        <f>C111</f>
        <v>0</v>
      </c>
      <c r="B506" s="426" t="s">
        <v>770</v>
      </c>
      <c r="C506" s="637">
        <v>15</v>
      </c>
      <c r="D506" s="426" t="s">
        <v>683</v>
      </c>
      <c r="G506" s="725">
        <f>MAX(B445,H445)</f>
        <v>490</v>
      </c>
      <c r="H506" s="145">
        <f>C514*C515</f>
        <v>1</v>
      </c>
      <c r="I506" s="145">
        <f>H506*G506</f>
        <v>490</v>
      </c>
      <c r="L506" s="768">
        <f>IF(AND($C$517&gt;L507,$C$517&lt;=L508),1,0)</f>
        <v>1</v>
      </c>
      <c r="M506" s="768">
        <f t="shared" ref="M506:O506" si="93">IF(AND($C$517&gt;M507,$C$517&lt;=M508),1,0)</f>
        <v>0</v>
      </c>
      <c r="N506" s="768">
        <f t="shared" si="93"/>
        <v>0</v>
      </c>
      <c r="O506" s="1047">
        <f t="shared" si="93"/>
        <v>0</v>
      </c>
      <c r="Q506" s="12" t="str">
        <f t="shared" si="89"/>
        <v xml:space="preserve"> </v>
      </c>
      <c r="R506" s="778" t="s">
        <v>36</v>
      </c>
      <c r="S506" s="22">
        <v>560</v>
      </c>
      <c r="T506" s="22">
        <v>1500</v>
      </c>
      <c r="U506" s="26">
        <f t="shared" si="90"/>
        <v>0</v>
      </c>
      <c r="V506" s="25">
        <f t="shared" si="91"/>
        <v>0</v>
      </c>
      <c r="W506" s="25">
        <f t="shared" si="92"/>
        <v>0</v>
      </c>
      <c r="Y506" s="626"/>
      <c r="AA506" s="944" t="s">
        <v>1062</v>
      </c>
      <c r="AB506" s="25">
        <f>C3</f>
        <v>490</v>
      </c>
    </row>
    <row r="507" spans="1:29" s="426" customFormat="1" x14ac:dyDescent="0.25">
      <c r="A507" s="626">
        <f>C111</f>
        <v>0</v>
      </c>
      <c r="B507" s="426" t="s">
        <v>771</v>
      </c>
      <c r="C507" s="637">
        <v>10</v>
      </c>
      <c r="D507" s="426" t="s">
        <v>683</v>
      </c>
      <c r="G507" s="735" t="s">
        <v>782</v>
      </c>
      <c r="H507" s="710" t="s">
        <v>781</v>
      </c>
      <c r="I507" s="713" t="s">
        <v>780</v>
      </c>
      <c r="L507" s="725">
        <v>0</v>
      </c>
      <c r="M507" s="150">
        <v>3000</v>
      </c>
      <c r="N507" s="626">
        <v>4000</v>
      </c>
      <c r="O507" s="150">
        <v>5000</v>
      </c>
      <c r="Q507" s="12" t="str">
        <f t="shared" si="89"/>
        <v xml:space="preserve"> </v>
      </c>
      <c r="R507" s="778" t="s">
        <v>34</v>
      </c>
      <c r="S507" s="22">
        <v>660</v>
      </c>
      <c r="T507" s="22">
        <v>1600</v>
      </c>
      <c r="U507" s="26">
        <f t="shared" si="90"/>
        <v>0</v>
      </c>
      <c r="V507" s="25">
        <f t="shared" si="91"/>
        <v>0</v>
      </c>
      <c r="W507" s="25">
        <f t="shared" si="92"/>
        <v>0</v>
      </c>
      <c r="Y507" s="626"/>
      <c r="AA507" s="41" t="s">
        <v>1063</v>
      </c>
      <c r="AB507" s="252">
        <f>C518</f>
        <v>490</v>
      </c>
    </row>
    <row r="508" spans="1:29" s="426" customFormat="1" ht="15.75" thickBot="1" x14ac:dyDescent="0.3">
      <c r="A508" s="626">
        <f>IF(AND(C500=1,SUM(D525:E525)&gt;0,C512=0),1,0)</f>
        <v>0</v>
      </c>
      <c r="B508" s="426" t="s">
        <v>768</v>
      </c>
      <c r="C508" s="705">
        <v>7</v>
      </c>
      <c r="D508" s="426" t="s">
        <v>683</v>
      </c>
      <c r="G508" s="736">
        <f>IF(CEILING((H508*G504)+H508,1)&lt;=G506,CEILING((H508*G504)+H508,1),G506)</f>
        <v>490</v>
      </c>
      <c r="H508" s="702">
        <f>CEILING(I508/H506,1)</f>
        <v>490</v>
      </c>
      <c r="I508" s="145">
        <f>C3</f>
        <v>490</v>
      </c>
      <c r="L508" s="658">
        <v>3000</v>
      </c>
      <c r="M508" s="145">
        <v>4000</v>
      </c>
      <c r="N508" s="1045">
        <v>5000</v>
      </c>
      <c r="O508" s="145">
        <v>9999</v>
      </c>
      <c r="Q508" s="12" t="str">
        <f t="shared" si="89"/>
        <v xml:space="preserve"> </v>
      </c>
      <c r="R508" s="778" t="s">
        <v>33</v>
      </c>
      <c r="S508" s="22">
        <v>660</v>
      </c>
      <c r="T508" s="22">
        <v>1500</v>
      </c>
      <c r="U508" s="26">
        <f t="shared" si="90"/>
        <v>0</v>
      </c>
      <c r="V508" s="25">
        <f t="shared" si="91"/>
        <v>0</v>
      </c>
      <c r="W508" s="25">
        <f t="shared" si="92"/>
        <v>0</v>
      </c>
      <c r="Y508" s="626"/>
      <c r="AA508" s="41" t="s">
        <v>895</v>
      </c>
      <c r="AB508" s="25">
        <f>F145</f>
        <v>3</v>
      </c>
    </row>
    <row r="509" spans="1:29" s="426" customFormat="1" x14ac:dyDescent="0.25">
      <c r="A509" s="626">
        <f>IF(AND(C500=1,SUM(D525:E525)&gt;0,C512=0),1,0)</f>
        <v>0</v>
      </c>
      <c r="B509" s="426" t="s">
        <v>769</v>
      </c>
      <c r="C509" s="705">
        <v>5</v>
      </c>
      <c r="D509" s="426" t="s">
        <v>683</v>
      </c>
      <c r="L509" s="1046">
        <v>1</v>
      </c>
      <c r="M509" s="1046">
        <v>0.98</v>
      </c>
      <c r="N509" s="1046">
        <v>0.97</v>
      </c>
      <c r="O509" s="1046">
        <v>0.96</v>
      </c>
      <c r="Q509" s="12" t="str">
        <f t="shared" si="89"/>
        <v xml:space="preserve"> </v>
      </c>
      <c r="R509" s="778" t="s">
        <v>35</v>
      </c>
      <c r="S509" s="22">
        <v>660</v>
      </c>
      <c r="T509" s="22">
        <v>1500</v>
      </c>
      <c r="U509" s="26">
        <f t="shared" si="90"/>
        <v>0</v>
      </c>
      <c r="V509" s="25">
        <f t="shared" si="91"/>
        <v>0</v>
      </c>
      <c r="W509" s="25">
        <f t="shared" si="92"/>
        <v>0</v>
      </c>
      <c r="Y509" s="626"/>
      <c r="AA509" s="41" t="s">
        <v>1064</v>
      </c>
      <c r="AB509" s="25">
        <f>CEILING((AB507*AB508)/AB500,1)</f>
        <v>2</v>
      </c>
    </row>
    <row r="510" spans="1:29" s="426" customFormat="1" ht="15.75" thickBot="1" x14ac:dyDescent="0.3">
      <c r="B510" s="426" t="s">
        <v>1001</v>
      </c>
      <c r="C510" s="1034" t="str">
        <f>AW46</f>
        <v>0,2</v>
      </c>
      <c r="D510" s="704" t="s">
        <v>1002</v>
      </c>
      <c r="G510" s="426" t="s">
        <v>1337</v>
      </c>
      <c r="Q510" s="12" t="str">
        <f t="shared" si="89"/>
        <v xml:space="preserve"> </v>
      </c>
      <c r="R510" s="778" t="s">
        <v>37</v>
      </c>
      <c r="S510" s="22">
        <v>500</v>
      </c>
      <c r="T510" s="22">
        <v>1200</v>
      </c>
      <c r="U510" s="26">
        <f t="shared" si="90"/>
        <v>0</v>
      </c>
      <c r="V510" s="25">
        <f t="shared" si="91"/>
        <v>0</v>
      </c>
      <c r="W510" s="25">
        <f t="shared" si="92"/>
        <v>0</v>
      </c>
      <c r="Y510" s="626"/>
      <c r="AA510" s="41" t="s">
        <v>1065</v>
      </c>
      <c r="AB510" s="30">
        <v>2</v>
      </c>
    </row>
    <row r="511" spans="1:29" s="426" customFormat="1" ht="15.75" thickBot="1" x14ac:dyDescent="0.3">
      <c r="B511" s="615"/>
      <c r="G511" s="1108" t="s">
        <v>1338</v>
      </c>
      <c r="H511" s="1108" t="s">
        <v>547</v>
      </c>
      <c r="I511" s="735" t="s">
        <v>782</v>
      </c>
      <c r="N511" s="652" t="s">
        <v>1018</v>
      </c>
      <c r="O511" s="1048">
        <f>O504*HLOOKUP(1,L506:O509,4,FALSE)</f>
        <v>0.9</v>
      </c>
      <c r="Q511" s="12" t="str">
        <f t="shared" si="89"/>
        <v xml:space="preserve"> </v>
      </c>
      <c r="R511" s="778" t="s">
        <v>38</v>
      </c>
      <c r="S511" s="22">
        <v>500</v>
      </c>
      <c r="T511" s="22">
        <v>1200</v>
      </c>
      <c r="U511" s="26">
        <f t="shared" si="90"/>
        <v>0</v>
      </c>
      <c r="V511" s="25">
        <f t="shared" si="91"/>
        <v>0</v>
      </c>
      <c r="W511" s="25">
        <f t="shared" si="92"/>
        <v>0</v>
      </c>
      <c r="Y511" s="626"/>
      <c r="AA511" s="41" t="s">
        <v>1066</v>
      </c>
      <c r="AB511" s="25">
        <f>AB510*AB509*AB501</f>
        <v>80</v>
      </c>
    </row>
    <row r="512" spans="1:29" s="426" customFormat="1" ht="15.75" thickBot="1" x14ac:dyDescent="0.3">
      <c r="B512" s="615" t="s">
        <v>764</v>
      </c>
      <c r="C512" s="626">
        <f>IF(AND(J364=1,J365=1),1,0)</f>
        <v>0</v>
      </c>
      <c r="G512" s="658">
        <f>C3</f>
        <v>490</v>
      </c>
      <c r="H512" s="658">
        <f>C445*D445</f>
        <v>1</v>
      </c>
      <c r="I512" s="736">
        <f>CEILING((G512/H512)+(G512/H512*G504),1)</f>
        <v>564</v>
      </c>
      <c r="Q512" s="1090" t="s">
        <v>1053</v>
      </c>
      <c r="R512" s="1091"/>
      <c r="S512" s="1092" t="s">
        <v>1057</v>
      </c>
      <c r="T512" s="1093">
        <f>'Tarieven (4)'!C12/60</f>
        <v>0.6166666666666667</v>
      </c>
      <c r="U512" s="1091"/>
      <c r="V512" s="1091"/>
      <c r="W512" s="281">
        <f>VLOOKUP(1,Q503:W511,7,FALSE)</f>
        <v>1</v>
      </c>
      <c r="Y512" s="626"/>
      <c r="AA512" s="41" t="s">
        <v>1067</v>
      </c>
      <c r="AB512" s="25">
        <f>AB509*AB502</f>
        <v>360</v>
      </c>
    </row>
    <row r="513" spans="1:28" s="426" customFormat="1" x14ac:dyDescent="0.25">
      <c r="B513" s="615" t="s">
        <v>750</v>
      </c>
      <c r="C513" s="626" t="str">
        <f>IF(C512=1,"0110",C2)</f>
        <v>0201</v>
      </c>
      <c r="Y513" s="626"/>
      <c r="AA513" s="950" t="s">
        <v>1068</v>
      </c>
      <c r="AB513" s="1102">
        <f>IF(AB507&gt;0,ROUND(((AB511+AB512)/AB507)*1.5,1),0)</f>
        <v>1.3</v>
      </c>
    </row>
    <row r="514" spans="1:28" s="426" customFormat="1" ht="12.75" x14ac:dyDescent="0.2">
      <c r="B514" s="615" t="s">
        <v>752</v>
      </c>
      <c r="C514" s="626">
        <f>IF(C512=1,1,C445)</f>
        <v>1</v>
      </c>
      <c r="D514" s="426" t="s">
        <v>754</v>
      </c>
      <c r="Y514" s="626"/>
    </row>
    <row r="515" spans="1:28" s="426" customFormat="1" ht="12.75" x14ac:dyDescent="0.2">
      <c r="B515" s="615" t="s">
        <v>753</v>
      </c>
      <c r="C515" s="626">
        <f>D445</f>
        <v>1</v>
      </c>
      <c r="D515" s="426" t="s">
        <v>754</v>
      </c>
      <c r="Y515" s="626"/>
    </row>
    <row r="516" spans="1:28" s="426" customFormat="1" ht="12.75" x14ac:dyDescent="0.2">
      <c r="B516" s="615" t="s">
        <v>99</v>
      </c>
      <c r="C516" s="626">
        <f>E445</f>
        <v>361</v>
      </c>
      <c r="D516" s="426" t="s">
        <v>25</v>
      </c>
      <c r="Y516" s="626"/>
    </row>
    <row r="517" spans="1:28" s="426" customFormat="1" ht="12.75" x14ac:dyDescent="0.2">
      <c r="B517" s="615" t="s">
        <v>100</v>
      </c>
      <c r="C517" s="626">
        <f>F445</f>
        <v>1150</v>
      </c>
      <c r="D517" s="426" t="s">
        <v>25</v>
      </c>
      <c r="Y517" s="626"/>
    </row>
    <row r="518" spans="1:28" s="426" customFormat="1" ht="12.75" x14ac:dyDescent="0.2">
      <c r="B518" s="615" t="s">
        <v>776</v>
      </c>
      <c r="C518" s="134">
        <f>IF(AND(C512=1,I512&gt;0,I512&lt;=G508),I512,G508)</f>
        <v>490</v>
      </c>
      <c r="D518" s="426" t="s">
        <v>754</v>
      </c>
      <c r="Y518" s="626"/>
    </row>
    <row r="519" spans="1:28" s="426" customFormat="1" ht="12.75" x14ac:dyDescent="0.2">
      <c r="B519" s="615"/>
      <c r="C519" s="626"/>
      <c r="Y519" s="626"/>
    </row>
    <row r="520" spans="1:28" s="426" customFormat="1" ht="12.75" x14ac:dyDescent="0.2">
      <c r="B520" s="615"/>
      <c r="Y520" s="626"/>
    </row>
    <row r="521" spans="1:28" s="426" customFormat="1" ht="12.75" x14ac:dyDescent="0.2">
      <c r="L521" s="1100">
        <v>9</v>
      </c>
      <c r="O521" s="652" t="s">
        <v>773</v>
      </c>
      <c r="P521" s="653"/>
      <c r="Q521" s="634">
        <f>IF(AND(C500=1,A506=2),1,0)</f>
        <v>0</v>
      </c>
      <c r="Y521" s="626"/>
    </row>
    <row r="522" spans="1:28" s="426" customFormat="1" ht="12.75" x14ac:dyDescent="0.2">
      <c r="L522" s="644">
        <v>5.5</v>
      </c>
      <c r="O522" s="428"/>
      <c r="Y522" s="626"/>
    </row>
    <row r="523" spans="1:28" s="426" customFormat="1" x14ac:dyDescent="0.25">
      <c r="A523" s="286"/>
      <c r="B523" s="77"/>
      <c r="C523"/>
      <c r="D523"/>
      <c r="E523" s="484">
        <v>100</v>
      </c>
      <c r="F523"/>
      <c r="G523"/>
      <c r="H523"/>
      <c r="I523" s="78" t="s">
        <v>731</v>
      </c>
      <c r="J523" s="2" t="s">
        <v>765</v>
      </c>
      <c r="K523" s="78" t="s">
        <v>731</v>
      </c>
      <c r="L523" s="78" t="s">
        <v>732</v>
      </c>
      <c r="N523" s="78" t="s">
        <v>733</v>
      </c>
      <c r="O523" s="725" t="s">
        <v>765</v>
      </c>
      <c r="P523" s="78" t="s">
        <v>731</v>
      </c>
      <c r="Q523" s="78" t="s">
        <v>732</v>
      </c>
      <c r="S523" s="78" t="s">
        <v>733</v>
      </c>
      <c r="Y523" s="626"/>
    </row>
    <row r="524" spans="1:28" s="426" customFormat="1" ht="15.75" thickBot="1" x14ac:dyDescent="0.3">
      <c r="A524" s="286"/>
      <c r="E524" s="473">
        <f>AT46</f>
        <v>0</v>
      </c>
      <c r="F524"/>
      <c r="G524" s="2"/>
      <c r="H524"/>
      <c r="I524" s="78" t="s">
        <v>734</v>
      </c>
      <c r="J524" s="2" t="s">
        <v>766</v>
      </c>
      <c r="K524" s="78" t="s">
        <v>735</v>
      </c>
      <c r="L524" s="78" t="s">
        <v>736</v>
      </c>
      <c r="N524" s="78" t="s">
        <v>737</v>
      </c>
      <c r="O524" s="658" t="s">
        <v>766</v>
      </c>
      <c r="P524" s="401" t="s">
        <v>735</v>
      </c>
      <c r="Q524" s="401" t="s">
        <v>736</v>
      </c>
      <c r="S524" s="78" t="s">
        <v>737</v>
      </c>
      <c r="Y524" s="626"/>
    </row>
    <row r="525" spans="1:28" s="426" customFormat="1" x14ac:dyDescent="0.25">
      <c r="A525" s="683"/>
      <c r="B525" s="426" t="s">
        <v>772</v>
      </c>
      <c r="C525" s="77"/>
      <c r="D525" s="473">
        <f>C131</f>
        <v>0</v>
      </c>
      <c r="E525" s="13">
        <f>CEILING(E524/E523,1)</f>
        <v>0</v>
      </c>
      <c r="F525"/>
      <c r="G525"/>
      <c r="H525"/>
      <c r="I525" s="484">
        <v>1.1000000000000001</v>
      </c>
      <c r="J525" s="484">
        <v>1</v>
      </c>
      <c r="K525" s="484">
        <v>1.25</v>
      </c>
      <c r="L525" s="208">
        <f>IF(W512=1,L522,L521)</f>
        <v>5.5</v>
      </c>
      <c r="M525" s="1202">
        <v>5</v>
      </c>
      <c r="N525" s="1049">
        <f>O511</f>
        <v>0.9</v>
      </c>
      <c r="O525" s="703">
        <v>1</v>
      </c>
      <c r="P525" s="34">
        <v>1.25</v>
      </c>
      <c r="Q525" s="432">
        <f>L525</f>
        <v>5.5</v>
      </c>
      <c r="R525" s="1202">
        <v>5</v>
      </c>
      <c r="S525" s="1049">
        <f>O511</f>
        <v>0.9</v>
      </c>
      <c r="Y525" s="626"/>
    </row>
    <row r="526" spans="1:28" s="426" customFormat="1" x14ac:dyDescent="0.25">
      <c r="A526" s="404"/>
      <c r="B526" s="404"/>
      <c r="C526" s="399" t="s">
        <v>562</v>
      </c>
      <c r="D526" s="417" t="s">
        <v>562</v>
      </c>
      <c r="E526" s="399" t="s">
        <v>562</v>
      </c>
      <c r="F526" s="423" t="s">
        <v>738</v>
      </c>
      <c r="G526" s="399" t="s">
        <v>739</v>
      </c>
      <c r="H526" s="406" t="s">
        <v>740</v>
      </c>
      <c r="I526" s="399" t="s">
        <v>741</v>
      </c>
      <c r="J526" s="399" t="s">
        <v>742</v>
      </c>
      <c r="K526" s="399" t="s">
        <v>741</v>
      </c>
      <c r="L526" s="417" t="s">
        <v>743</v>
      </c>
      <c r="M526" s="1201"/>
      <c r="N526" s="715"/>
      <c r="O526" s="701" t="s">
        <v>742</v>
      </c>
      <c r="P526" s="399" t="s">
        <v>741</v>
      </c>
      <c r="Q526" s="417" t="s">
        <v>743</v>
      </c>
      <c r="R526" s="1201"/>
      <c r="S526" s="715"/>
      <c r="Y526" s="626"/>
    </row>
    <row r="527" spans="1:28" s="426" customFormat="1" x14ac:dyDescent="0.25">
      <c r="A527" s="339" t="s">
        <v>28</v>
      </c>
      <c r="B527" s="341" t="s">
        <v>2</v>
      </c>
      <c r="C527" s="120" t="s">
        <v>577</v>
      </c>
      <c r="D527" s="400" t="s">
        <v>575</v>
      </c>
      <c r="E527" s="202" t="s">
        <v>744</v>
      </c>
      <c r="F527" s="424" t="s">
        <v>604</v>
      </c>
      <c r="G527" s="120" t="s">
        <v>745</v>
      </c>
      <c r="H527" s="78" t="s">
        <v>746</v>
      </c>
      <c r="I527" s="120" t="s">
        <v>562</v>
      </c>
      <c r="J527" s="120" t="s">
        <v>747</v>
      </c>
      <c r="K527" s="120" t="s">
        <v>748</v>
      </c>
      <c r="L527" s="227" t="s">
        <v>749</v>
      </c>
      <c r="M527" s="1199"/>
      <c r="N527" s="539"/>
      <c r="O527" s="651" t="s">
        <v>747</v>
      </c>
      <c r="P527" s="120" t="s">
        <v>748</v>
      </c>
      <c r="Q527" s="227" t="s">
        <v>749</v>
      </c>
      <c r="R527" s="1199"/>
      <c r="S527" s="539"/>
      <c r="Y527" s="626"/>
    </row>
    <row r="528" spans="1:28" s="426" customFormat="1" x14ac:dyDescent="0.25">
      <c r="A528" s="473">
        <f>IF($C$513=B528,1,0)</f>
        <v>0</v>
      </c>
      <c r="B528" s="220" t="str">
        <f t="shared" ref="B528:B548" si="94">B50</f>
        <v>0110</v>
      </c>
      <c r="C528" s="473">
        <f>IF(C512=1,0,S50)</f>
        <v>1</v>
      </c>
      <c r="D528" s="514">
        <v>0</v>
      </c>
      <c r="E528" s="484">
        <v>0</v>
      </c>
      <c r="F528" s="23" t="str">
        <f t="shared" ref="F528:F548" si="95">IF(A528=1,SUM(C528:E528)," ")</f>
        <v xml:space="preserve"> </v>
      </c>
      <c r="G528" s="489" t="str">
        <f>IF(A528=1,$C$515," ")</f>
        <v xml:space="preserve"> </v>
      </c>
      <c r="H528" s="115" t="str">
        <f>IF(A528=1,F528*G528," ")</f>
        <v xml:space="preserve"> </v>
      </c>
      <c r="I528" s="287" t="str">
        <f>IF(A528=1,$I$525*H528," ")</f>
        <v xml:space="preserve"> </v>
      </c>
      <c r="J528" s="726" t="str">
        <f>IF(AND(A528=1,C512=1),($C$517/1000)*J525,IF(AND(A528=1,C512=0),($C$517/1000)," "))</f>
        <v xml:space="preserve"> </v>
      </c>
      <c r="K528" s="726" t="str">
        <f>IF(A528=1,J528*$K$525," ")</f>
        <v xml:space="preserve"> </v>
      </c>
      <c r="L528" s="287" t="str">
        <f>IF(A528=1,$L$525," ")</f>
        <v xml:space="preserve"> </v>
      </c>
      <c r="M528" s="1203">
        <f>IF(AND(C512=1,A528=1),M525*(C515-1),0)</f>
        <v>0</v>
      </c>
      <c r="N528" s="716" t="str">
        <f>IF(A528=1,CEILING((I528+K528+L528+M528)/$N$525,1)," ")</f>
        <v xml:space="preserve"> </v>
      </c>
      <c r="O528" s="727" t="str">
        <f>IF(AND(A528=1,C512=1,Q521=1),($C$517/1000)*O525,IF(AND(A528=1,C512=0,Q521=1),($C$517/1000)," "))</f>
        <v xml:space="preserve"> </v>
      </c>
      <c r="P528" s="730" t="str">
        <f t="shared" ref="P528:P548" si="96">IF(AND(A528=1,$Q$521=1),O528*$P$525," ")</f>
        <v xml:space="preserve"> </v>
      </c>
      <c r="Q528" s="712" t="str">
        <f t="shared" ref="Q528:Q548" si="97">IF(AND(A528=1,$Q$521=1),$Q$525," ")</f>
        <v xml:space="preserve"> </v>
      </c>
      <c r="R528" s="1203">
        <f>IF(AND(C512=1,A528=1,Q521=1),R525*(C515-1),0)</f>
        <v>0</v>
      </c>
      <c r="S528" s="720" t="str">
        <f>IF(AND(A528=1,$Q$521=1),CEILING((P528+Q528+R528)/$S$525,1)," ")</f>
        <v xml:space="preserve"> </v>
      </c>
      <c r="Y528" s="626"/>
    </row>
    <row r="529" spans="1:25" s="426" customFormat="1" x14ac:dyDescent="0.25">
      <c r="A529" s="12">
        <f t="shared" ref="A529:A548" si="98">IF($C$513=B529,1,0)</f>
        <v>0</v>
      </c>
      <c r="B529" s="506" t="str">
        <f t="shared" si="94"/>
        <v>0200</v>
      </c>
      <c r="C529" s="12">
        <f t="shared" ref="C529:C548" si="99">S51</f>
        <v>3</v>
      </c>
      <c r="D529" s="2">
        <f>D525</f>
        <v>0</v>
      </c>
      <c r="E529" s="28">
        <v>0</v>
      </c>
      <c r="F529" s="2" t="str">
        <f t="shared" si="95"/>
        <v xml:space="preserve"> </v>
      </c>
      <c r="G529" s="120" t="str">
        <f t="shared" ref="G529:G548" si="100">IF(A529=1,$C$515," ")</f>
        <v xml:space="preserve"> </v>
      </c>
      <c r="H529" s="78" t="str">
        <f t="shared" ref="H529:H548" si="101">IF(A529=1,F529*G529," ")</f>
        <v xml:space="preserve"> </v>
      </c>
      <c r="I529" s="227" t="str">
        <f t="shared" ref="I529:I548" si="102">IF(A529=1,$I$525*H529," ")</f>
        <v xml:space="preserve"> </v>
      </c>
      <c r="J529" s="695" t="str">
        <f t="shared" ref="J529:J548" si="103">IF(A529=1,($C$517/1000)," ")</f>
        <v xml:space="preserve"> </v>
      </c>
      <c r="K529" s="695" t="str">
        <f t="shared" ref="K529:K548" si="104">IF(A529=1,J529*$K$525," ")</f>
        <v xml:space="preserve"> </v>
      </c>
      <c r="L529" s="227" t="str">
        <f t="shared" ref="L529:L548" si="105">IF(A529=1,$L$525," ")</f>
        <v xml:space="preserve"> </v>
      </c>
      <c r="M529" s="1201"/>
      <c r="N529" s="717" t="str">
        <f t="shared" ref="N529:N548" si="106">IF(A529=1,CEILING((I529+K529+L529)/$N$525,1)," ")</f>
        <v xml:space="preserve"> </v>
      </c>
      <c r="O529" s="728" t="str">
        <f t="shared" ref="O529:O548" si="107">IF(AND(A529=1,$Q$521=1),($C$517/1000)," ")</f>
        <v xml:space="preserve"> </v>
      </c>
      <c r="P529" s="731" t="str">
        <f t="shared" si="96"/>
        <v xml:space="preserve"> </v>
      </c>
      <c r="Q529" s="701" t="str">
        <f t="shared" si="97"/>
        <v xml:space="preserve"> </v>
      </c>
      <c r="R529" s="1201"/>
      <c r="S529" s="721" t="str">
        <f t="shared" ref="S529:S548" si="108">IF(AND(A529=1,$Q$521=1),CEILING((P529+Q529)/$S$525,1)," ")</f>
        <v xml:space="preserve"> </v>
      </c>
      <c r="Y529" s="626"/>
    </row>
    <row r="530" spans="1:25" s="426" customFormat="1" x14ac:dyDescent="0.25">
      <c r="A530" s="12">
        <f t="shared" si="98"/>
        <v>1</v>
      </c>
      <c r="B530" s="506" t="str">
        <f t="shared" si="94"/>
        <v>0201</v>
      </c>
      <c r="C530" s="12">
        <f t="shared" si="99"/>
        <v>3</v>
      </c>
      <c r="D530" s="2">
        <f>D525</f>
        <v>0</v>
      </c>
      <c r="E530" s="28">
        <v>0</v>
      </c>
      <c r="F530" s="2">
        <f t="shared" si="95"/>
        <v>3</v>
      </c>
      <c r="G530" s="120">
        <f t="shared" si="100"/>
        <v>1</v>
      </c>
      <c r="H530" s="78">
        <f t="shared" si="101"/>
        <v>3</v>
      </c>
      <c r="I530" s="227">
        <f t="shared" si="102"/>
        <v>3.3000000000000003</v>
      </c>
      <c r="J530" s="695">
        <f t="shared" si="103"/>
        <v>1.1499999999999999</v>
      </c>
      <c r="K530" s="695">
        <f t="shared" si="104"/>
        <v>1.4375</v>
      </c>
      <c r="L530" s="227">
        <f t="shared" si="105"/>
        <v>5.5</v>
      </c>
      <c r="M530" s="1199"/>
      <c r="N530" s="717">
        <f t="shared" si="106"/>
        <v>12</v>
      </c>
      <c r="O530" s="728" t="str">
        <f t="shared" si="107"/>
        <v xml:space="preserve"> </v>
      </c>
      <c r="P530" s="732" t="str">
        <f t="shared" si="96"/>
        <v xml:space="preserve"> </v>
      </c>
      <c r="Q530" s="626" t="str">
        <f t="shared" si="97"/>
        <v xml:space="preserve"> </v>
      </c>
      <c r="R530" s="1199"/>
      <c r="S530" s="723" t="str">
        <f t="shared" si="108"/>
        <v xml:space="preserve"> </v>
      </c>
      <c r="Y530" s="626"/>
    </row>
    <row r="531" spans="1:25" s="426" customFormat="1" x14ac:dyDescent="0.25">
      <c r="A531" s="12">
        <f t="shared" si="98"/>
        <v>0</v>
      </c>
      <c r="B531" s="506" t="str">
        <f t="shared" si="94"/>
        <v>0203</v>
      </c>
      <c r="C531" s="12">
        <f t="shared" si="99"/>
        <v>3</v>
      </c>
      <c r="D531" s="2">
        <f>D525</f>
        <v>0</v>
      </c>
      <c r="E531" s="28">
        <v>0</v>
      </c>
      <c r="F531" s="2" t="str">
        <f t="shared" si="95"/>
        <v xml:space="preserve"> </v>
      </c>
      <c r="G531" s="120" t="str">
        <f t="shared" si="100"/>
        <v xml:space="preserve"> </v>
      </c>
      <c r="H531" s="78" t="str">
        <f t="shared" si="101"/>
        <v xml:space="preserve"> </v>
      </c>
      <c r="I531" s="227" t="str">
        <f t="shared" si="102"/>
        <v xml:space="preserve"> </v>
      </c>
      <c r="J531" s="695" t="str">
        <f t="shared" si="103"/>
        <v xml:space="preserve"> </v>
      </c>
      <c r="K531" s="695" t="str">
        <f t="shared" si="104"/>
        <v xml:space="preserve"> </v>
      </c>
      <c r="L531" s="227" t="str">
        <f t="shared" si="105"/>
        <v xml:space="preserve"> </v>
      </c>
      <c r="M531" s="1199"/>
      <c r="N531" s="717" t="str">
        <f t="shared" si="106"/>
        <v xml:space="preserve"> </v>
      </c>
      <c r="O531" s="728" t="str">
        <f t="shared" si="107"/>
        <v xml:space="preserve"> </v>
      </c>
      <c r="P531" s="732" t="str">
        <f t="shared" si="96"/>
        <v xml:space="preserve"> </v>
      </c>
      <c r="Q531" s="626" t="str">
        <f t="shared" si="97"/>
        <v xml:space="preserve"> </v>
      </c>
      <c r="R531" s="1199"/>
      <c r="S531" s="723" t="str">
        <f t="shared" si="108"/>
        <v xml:space="preserve"> </v>
      </c>
      <c r="Y531" s="626"/>
    </row>
    <row r="532" spans="1:25" s="426" customFormat="1" x14ac:dyDescent="0.25">
      <c r="A532" s="12">
        <f t="shared" si="98"/>
        <v>0</v>
      </c>
      <c r="B532" s="506" t="str">
        <f t="shared" si="94"/>
        <v>0409</v>
      </c>
      <c r="C532" s="12">
        <f t="shared" si="99"/>
        <v>4</v>
      </c>
      <c r="D532" s="22">
        <v>0</v>
      </c>
      <c r="E532" s="28">
        <v>0</v>
      </c>
      <c r="F532" s="2" t="str">
        <f t="shared" si="95"/>
        <v xml:space="preserve"> </v>
      </c>
      <c r="G532" s="120" t="str">
        <f t="shared" si="100"/>
        <v xml:space="preserve"> </v>
      </c>
      <c r="H532" s="78" t="str">
        <f t="shared" si="101"/>
        <v xml:space="preserve"> </v>
      </c>
      <c r="I532" s="227" t="str">
        <f t="shared" si="102"/>
        <v xml:space="preserve"> </v>
      </c>
      <c r="J532" s="695" t="str">
        <f t="shared" si="103"/>
        <v xml:space="preserve"> </v>
      </c>
      <c r="K532" s="695" t="str">
        <f t="shared" si="104"/>
        <v xml:space="preserve"> </v>
      </c>
      <c r="L532" s="227" t="str">
        <f t="shared" si="105"/>
        <v xml:space="preserve"> </v>
      </c>
      <c r="M532" s="1199"/>
      <c r="N532" s="717" t="str">
        <f t="shared" si="106"/>
        <v xml:space="preserve"> </v>
      </c>
      <c r="O532" s="728" t="str">
        <f t="shared" si="107"/>
        <v xml:space="preserve"> </v>
      </c>
      <c r="P532" s="732" t="str">
        <f t="shared" si="96"/>
        <v xml:space="preserve"> </v>
      </c>
      <c r="Q532" s="626" t="str">
        <f t="shared" si="97"/>
        <v xml:space="preserve"> </v>
      </c>
      <c r="R532" s="1199"/>
      <c r="S532" s="723" t="str">
        <f t="shared" si="108"/>
        <v xml:space="preserve"> </v>
      </c>
      <c r="Y532" s="626"/>
    </row>
    <row r="533" spans="1:25" s="426" customFormat="1" x14ac:dyDescent="0.25">
      <c r="A533" s="12">
        <f t="shared" si="98"/>
        <v>0</v>
      </c>
      <c r="B533" s="506" t="str">
        <f t="shared" si="94"/>
        <v>0410</v>
      </c>
      <c r="C533" s="12">
        <f t="shared" si="99"/>
        <v>4</v>
      </c>
      <c r="D533" s="22">
        <v>0</v>
      </c>
      <c r="E533" s="12">
        <f>E525</f>
        <v>0</v>
      </c>
      <c r="F533" s="2" t="str">
        <f t="shared" si="95"/>
        <v xml:space="preserve"> </v>
      </c>
      <c r="G533" s="120" t="str">
        <f t="shared" si="100"/>
        <v xml:space="preserve"> </v>
      </c>
      <c r="H533" s="78" t="str">
        <f t="shared" si="101"/>
        <v xml:space="preserve"> </v>
      </c>
      <c r="I533" s="227" t="str">
        <f t="shared" si="102"/>
        <v xml:space="preserve"> </v>
      </c>
      <c r="J533" s="695" t="str">
        <f t="shared" si="103"/>
        <v xml:space="preserve"> </v>
      </c>
      <c r="K533" s="695" t="str">
        <f t="shared" si="104"/>
        <v xml:space="preserve"> </v>
      </c>
      <c r="L533" s="227" t="str">
        <f t="shared" si="105"/>
        <v xml:space="preserve"> </v>
      </c>
      <c r="M533" s="1199"/>
      <c r="N533" s="717" t="str">
        <f t="shared" si="106"/>
        <v xml:space="preserve"> </v>
      </c>
      <c r="O533" s="728" t="str">
        <f t="shared" si="107"/>
        <v xml:space="preserve"> </v>
      </c>
      <c r="P533" s="732" t="str">
        <f t="shared" si="96"/>
        <v xml:space="preserve"> </v>
      </c>
      <c r="Q533" s="626" t="str">
        <f t="shared" si="97"/>
        <v xml:space="preserve"> </v>
      </c>
      <c r="R533" s="1199"/>
      <c r="S533" s="723" t="str">
        <f t="shared" si="108"/>
        <v xml:space="preserve"> </v>
      </c>
      <c r="Y533" s="626"/>
    </row>
    <row r="534" spans="1:25" s="426" customFormat="1" x14ac:dyDescent="0.25">
      <c r="A534" s="12">
        <f t="shared" si="98"/>
        <v>0</v>
      </c>
      <c r="B534" s="506" t="str">
        <f t="shared" si="94"/>
        <v>0412</v>
      </c>
      <c r="C534" s="12">
        <f t="shared" si="99"/>
        <v>4</v>
      </c>
      <c r="D534" s="22">
        <v>0</v>
      </c>
      <c r="E534" s="12">
        <f>E525*2</f>
        <v>0</v>
      </c>
      <c r="F534" s="2" t="str">
        <f t="shared" si="95"/>
        <v xml:space="preserve"> </v>
      </c>
      <c r="G534" s="120" t="str">
        <f t="shared" si="100"/>
        <v xml:space="preserve"> </v>
      </c>
      <c r="H534" s="78" t="str">
        <f t="shared" si="101"/>
        <v xml:space="preserve"> </v>
      </c>
      <c r="I534" s="227" t="str">
        <f t="shared" si="102"/>
        <v xml:space="preserve"> </v>
      </c>
      <c r="J534" s="695" t="str">
        <f t="shared" si="103"/>
        <v xml:space="preserve"> </v>
      </c>
      <c r="K534" s="695" t="str">
        <f t="shared" si="104"/>
        <v xml:space="preserve"> </v>
      </c>
      <c r="L534" s="227" t="str">
        <f t="shared" si="105"/>
        <v xml:space="preserve"> </v>
      </c>
      <c r="M534" s="1199"/>
      <c r="N534" s="717" t="str">
        <f t="shared" si="106"/>
        <v xml:space="preserve"> </v>
      </c>
      <c r="O534" s="728" t="str">
        <f t="shared" si="107"/>
        <v xml:space="preserve"> </v>
      </c>
      <c r="P534" s="732" t="str">
        <f t="shared" si="96"/>
        <v xml:space="preserve"> </v>
      </c>
      <c r="Q534" s="626" t="str">
        <f t="shared" si="97"/>
        <v xml:space="preserve"> </v>
      </c>
      <c r="R534" s="1199"/>
      <c r="S534" s="723" t="str">
        <f t="shared" si="108"/>
        <v xml:space="preserve"> </v>
      </c>
      <c r="Y534" s="626"/>
    </row>
    <row r="535" spans="1:25" s="426" customFormat="1" x14ac:dyDescent="0.25">
      <c r="A535" s="28">
        <v>0</v>
      </c>
      <c r="B535" s="506" t="str">
        <f t="shared" si="94"/>
        <v>0427</v>
      </c>
      <c r="C535" s="12">
        <f t="shared" si="99"/>
        <v>0</v>
      </c>
      <c r="D535" s="22">
        <v>0</v>
      </c>
      <c r="E535" s="28">
        <v>0</v>
      </c>
      <c r="F535" s="2" t="str">
        <f t="shared" si="95"/>
        <v xml:space="preserve"> </v>
      </c>
      <c r="G535" s="120" t="str">
        <f t="shared" si="100"/>
        <v xml:space="preserve"> </v>
      </c>
      <c r="H535" s="78" t="str">
        <f t="shared" si="101"/>
        <v xml:space="preserve"> </v>
      </c>
      <c r="I535" s="227" t="str">
        <f t="shared" si="102"/>
        <v xml:space="preserve"> </v>
      </c>
      <c r="J535" s="695" t="str">
        <f t="shared" si="103"/>
        <v xml:space="preserve"> </v>
      </c>
      <c r="K535" s="695" t="str">
        <f t="shared" si="104"/>
        <v xml:space="preserve"> </v>
      </c>
      <c r="L535" s="227" t="str">
        <f t="shared" si="105"/>
        <v xml:space="preserve"> </v>
      </c>
      <c r="M535" s="1199"/>
      <c r="N535" s="717" t="str">
        <f t="shared" si="106"/>
        <v xml:space="preserve"> </v>
      </c>
      <c r="O535" s="728" t="str">
        <f t="shared" si="107"/>
        <v xml:space="preserve"> </v>
      </c>
      <c r="P535" s="732" t="str">
        <f t="shared" si="96"/>
        <v xml:space="preserve"> </v>
      </c>
      <c r="Q535" s="626" t="str">
        <f t="shared" si="97"/>
        <v xml:space="preserve"> </v>
      </c>
      <c r="R535" s="1199"/>
      <c r="S535" s="723" t="str">
        <f t="shared" si="108"/>
        <v xml:space="preserve"> </v>
      </c>
      <c r="Y535" s="626"/>
    </row>
    <row r="536" spans="1:25" s="426" customFormat="1" x14ac:dyDescent="0.25">
      <c r="A536" s="28">
        <v>0</v>
      </c>
      <c r="B536" s="506" t="str">
        <f t="shared" si="94"/>
        <v>0421</v>
      </c>
      <c r="C536" s="12">
        <f t="shared" si="99"/>
        <v>0</v>
      </c>
      <c r="D536" s="22">
        <v>0</v>
      </c>
      <c r="E536" s="28">
        <v>0</v>
      </c>
      <c r="F536" s="2" t="str">
        <f t="shared" si="95"/>
        <v xml:space="preserve"> </v>
      </c>
      <c r="G536" s="120" t="str">
        <f t="shared" si="100"/>
        <v xml:space="preserve"> </v>
      </c>
      <c r="H536" s="78" t="str">
        <f t="shared" si="101"/>
        <v xml:space="preserve"> </v>
      </c>
      <c r="I536" s="227" t="str">
        <f t="shared" si="102"/>
        <v xml:space="preserve"> </v>
      </c>
      <c r="J536" s="695" t="str">
        <f t="shared" si="103"/>
        <v xml:space="preserve"> </v>
      </c>
      <c r="K536" s="695" t="str">
        <f t="shared" si="104"/>
        <v xml:space="preserve"> </v>
      </c>
      <c r="L536" s="227" t="str">
        <f t="shared" si="105"/>
        <v xml:space="preserve"> </v>
      </c>
      <c r="M536" s="1199"/>
      <c r="N536" s="717" t="str">
        <f t="shared" si="106"/>
        <v xml:space="preserve"> </v>
      </c>
      <c r="O536" s="728" t="str">
        <f t="shared" si="107"/>
        <v xml:space="preserve"> </v>
      </c>
      <c r="P536" s="732" t="str">
        <f t="shared" si="96"/>
        <v xml:space="preserve"> </v>
      </c>
      <c r="Q536" s="626" t="str">
        <f t="shared" si="97"/>
        <v xml:space="preserve"> </v>
      </c>
      <c r="R536" s="1199"/>
      <c r="S536" s="723" t="str">
        <f t="shared" si="108"/>
        <v xml:space="preserve"> </v>
      </c>
      <c r="Y536" s="626"/>
    </row>
    <row r="537" spans="1:25" s="426" customFormat="1" x14ac:dyDescent="0.25">
      <c r="A537" s="28">
        <v>0</v>
      </c>
      <c r="B537" s="506" t="str">
        <f t="shared" si="94"/>
        <v>0422</v>
      </c>
      <c r="C537" s="12">
        <f t="shared" si="99"/>
        <v>0</v>
      </c>
      <c r="D537" s="22">
        <v>0</v>
      </c>
      <c r="E537" s="28">
        <v>0</v>
      </c>
      <c r="F537" s="2" t="str">
        <f t="shared" si="95"/>
        <v xml:space="preserve"> </v>
      </c>
      <c r="G537" s="120" t="str">
        <f t="shared" si="100"/>
        <v xml:space="preserve"> </v>
      </c>
      <c r="H537" s="78" t="str">
        <f t="shared" si="101"/>
        <v xml:space="preserve"> </v>
      </c>
      <c r="I537" s="227" t="str">
        <f t="shared" si="102"/>
        <v xml:space="preserve"> </v>
      </c>
      <c r="J537" s="695" t="str">
        <f t="shared" si="103"/>
        <v xml:space="preserve"> </v>
      </c>
      <c r="K537" s="695" t="str">
        <f t="shared" si="104"/>
        <v xml:space="preserve"> </v>
      </c>
      <c r="L537" s="227" t="str">
        <f t="shared" si="105"/>
        <v xml:space="preserve"> </v>
      </c>
      <c r="M537" s="1199"/>
      <c r="N537" s="717" t="str">
        <f t="shared" si="106"/>
        <v xml:space="preserve"> </v>
      </c>
      <c r="O537" s="728" t="str">
        <f t="shared" si="107"/>
        <v xml:space="preserve"> </v>
      </c>
      <c r="P537" s="732" t="str">
        <f t="shared" si="96"/>
        <v xml:space="preserve"> </v>
      </c>
      <c r="Q537" s="626" t="str">
        <f t="shared" si="97"/>
        <v xml:space="preserve"> </v>
      </c>
      <c r="R537" s="1199"/>
      <c r="S537" s="723" t="str">
        <f t="shared" si="108"/>
        <v xml:space="preserve"> </v>
      </c>
      <c r="Y537" s="626"/>
    </row>
    <row r="538" spans="1:25" s="426" customFormat="1" x14ac:dyDescent="0.25">
      <c r="A538" s="12">
        <f t="shared" si="98"/>
        <v>0</v>
      </c>
      <c r="B538" s="506" t="str">
        <f t="shared" si="94"/>
        <v>0452</v>
      </c>
      <c r="C538" s="12">
        <f t="shared" si="99"/>
        <v>2</v>
      </c>
      <c r="D538" s="22">
        <v>0</v>
      </c>
      <c r="E538" s="28">
        <v>0</v>
      </c>
      <c r="F538" s="2" t="str">
        <f t="shared" si="95"/>
        <v xml:space="preserve"> </v>
      </c>
      <c r="G538" s="120" t="str">
        <f t="shared" si="100"/>
        <v xml:space="preserve"> </v>
      </c>
      <c r="H538" s="78" t="str">
        <f t="shared" si="101"/>
        <v xml:space="preserve"> </v>
      </c>
      <c r="I538" s="227" t="str">
        <f t="shared" si="102"/>
        <v xml:space="preserve"> </v>
      </c>
      <c r="J538" s="695" t="str">
        <f t="shared" si="103"/>
        <v xml:space="preserve"> </v>
      </c>
      <c r="K538" s="695" t="str">
        <f t="shared" si="104"/>
        <v xml:space="preserve"> </v>
      </c>
      <c r="L538" s="227" t="str">
        <f t="shared" si="105"/>
        <v xml:space="preserve"> </v>
      </c>
      <c r="M538" s="1199"/>
      <c r="N538" s="717" t="str">
        <f t="shared" si="106"/>
        <v xml:space="preserve"> </v>
      </c>
      <c r="O538" s="728" t="str">
        <f t="shared" si="107"/>
        <v xml:space="preserve"> </v>
      </c>
      <c r="P538" s="732" t="str">
        <f t="shared" si="96"/>
        <v xml:space="preserve"> </v>
      </c>
      <c r="Q538" s="626" t="str">
        <f t="shared" si="97"/>
        <v xml:space="preserve"> </v>
      </c>
      <c r="R538" s="1199"/>
      <c r="S538" s="723" t="str">
        <f t="shared" si="108"/>
        <v xml:space="preserve"> </v>
      </c>
      <c r="Y538" s="626"/>
    </row>
    <row r="539" spans="1:25" s="426" customFormat="1" x14ac:dyDescent="0.25">
      <c r="A539" s="12">
        <f t="shared" si="98"/>
        <v>0</v>
      </c>
      <c r="B539" s="506" t="str">
        <f t="shared" si="94"/>
        <v>0501</v>
      </c>
      <c r="C539" s="12">
        <f t="shared" si="99"/>
        <v>4</v>
      </c>
      <c r="D539" s="2">
        <f>D525</f>
        <v>0</v>
      </c>
      <c r="E539" s="28">
        <v>0</v>
      </c>
      <c r="F539" s="2" t="str">
        <f t="shared" si="95"/>
        <v xml:space="preserve"> </v>
      </c>
      <c r="G539" s="120" t="str">
        <f t="shared" si="100"/>
        <v xml:space="preserve"> </v>
      </c>
      <c r="H539" s="78" t="str">
        <f t="shared" si="101"/>
        <v xml:space="preserve"> </v>
      </c>
      <c r="I539" s="227" t="str">
        <f t="shared" si="102"/>
        <v xml:space="preserve"> </v>
      </c>
      <c r="J539" s="695" t="str">
        <f t="shared" si="103"/>
        <v xml:space="preserve"> </v>
      </c>
      <c r="K539" s="695" t="str">
        <f t="shared" si="104"/>
        <v xml:space="preserve"> </v>
      </c>
      <c r="L539" s="227" t="str">
        <f t="shared" si="105"/>
        <v xml:space="preserve"> </v>
      </c>
      <c r="M539" s="1199"/>
      <c r="N539" s="717" t="str">
        <f t="shared" si="106"/>
        <v xml:space="preserve"> </v>
      </c>
      <c r="O539" s="728" t="str">
        <f t="shared" si="107"/>
        <v xml:space="preserve"> </v>
      </c>
      <c r="P539" s="732" t="str">
        <f t="shared" si="96"/>
        <v xml:space="preserve"> </v>
      </c>
      <c r="Q539" s="626" t="str">
        <f t="shared" si="97"/>
        <v xml:space="preserve"> </v>
      </c>
      <c r="R539" s="1199"/>
      <c r="S539" s="723" t="str">
        <f t="shared" si="108"/>
        <v xml:space="preserve"> </v>
      </c>
      <c r="Y539" s="626"/>
    </row>
    <row r="540" spans="1:25" s="426" customFormat="1" x14ac:dyDescent="0.25">
      <c r="A540" s="12">
        <f t="shared" si="98"/>
        <v>0</v>
      </c>
      <c r="B540" s="506" t="str">
        <f t="shared" si="94"/>
        <v>0401</v>
      </c>
      <c r="C540" s="12">
        <f t="shared" si="99"/>
        <v>4</v>
      </c>
      <c r="D540" s="22">
        <v>0</v>
      </c>
      <c r="E540" s="12">
        <f>E525*2</f>
        <v>0</v>
      </c>
      <c r="F540" s="2" t="str">
        <f t="shared" si="95"/>
        <v xml:space="preserve"> </v>
      </c>
      <c r="G540" s="120" t="str">
        <f t="shared" si="100"/>
        <v xml:space="preserve"> </v>
      </c>
      <c r="H540" s="78" t="str">
        <f t="shared" si="101"/>
        <v xml:space="preserve"> </v>
      </c>
      <c r="I540" s="227" t="str">
        <f t="shared" si="102"/>
        <v xml:space="preserve"> </v>
      </c>
      <c r="J540" s="695" t="str">
        <f t="shared" si="103"/>
        <v xml:space="preserve"> </v>
      </c>
      <c r="K540" s="695" t="str">
        <f t="shared" si="104"/>
        <v xml:space="preserve"> </v>
      </c>
      <c r="L540" s="227" t="str">
        <f t="shared" si="105"/>
        <v xml:space="preserve"> </v>
      </c>
      <c r="M540" s="1199"/>
      <c r="N540" s="717" t="str">
        <f t="shared" si="106"/>
        <v xml:space="preserve"> </v>
      </c>
      <c r="O540" s="728" t="str">
        <f t="shared" si="107"/>
        <v xml:space="preserve"> </v>
      </c>
      <c r="P540" s="732" t="str">
        <f t="shared" si="96"/>
        <v xml:space="preserve"> </v>
      </c>
      <c r="Q540" s="626" t="str">
        <f t="shared" si="97"/>
        <v xml:space="preserve"> </v>
      </c>
      <c r="R540" s="1199"/>
      <c r="S540" s="723" t="str">
        <f t="shared" si="108"/>
        <v xml:space="preserve"> </v>
      </c>
      <c r="Y540" s="626"/>
    </row>
    <row r="541" spans="1:25" s="426" customFormat="1" x14ac:dyDescent="0.25">
      <c r="A541" s="12">
        <f t="shared" si="98"/>
        <v>0</v>
      </c>
      <c r="B541" s="506" t="str">
        <f t="shared" si="94"/>
        <v>0471</v>
      </c>
      <c r="C541" s="12">
        <f t="shared" si="99"/>
        <v>0</v>
      </c>
      <c r="D541" s="22">
        <v>0</v>
      </c>
      <c r="E541" s="28">
        <v>0</v>
      </c>
      <c r="F541" s="2" t="str">
        <f t="shared" si="95"/>
        <v xml:space="preserve"> </v>
      </c>
      <c r="G541" s="120" t="str">
        <f t="shared" si="100"/>
        <v xml:space="preserve"> </v>
      </c>
      <c r="H541" s="78" t="str">
        <f t="shared" si="101"/>
        <v xml:space="preserve"> </v>
      </c>
      <c r="I541" s="227" t="str">
        <f t="shared" si="102"/>
        <v xml:space="preserve"> </v>
      </c>
      <c r="J541" s="695" t="str">
        <f t="shared" si="103"/>
        <v xml:space="preserve"> </v>
      </c>
      <c r="K541" s="695" t="str">
        <f t="shared" si="104"/>
        <v xml:space="preserve"> </v>
      </c>
      <c r="L541" s="227" t="str">
        <f t="shared" si="105"/>
        <v xml:space="preserve"> </v>
      </c>
      <c r="M541" s="1199"/>
      <c r="N541" s="717" t="str">
        <f t="shared" si="106"/>
        <v xml:space="preserve"> </v>
      </c>
      <c r="O541" s="728" t="str">
        <f t="shared" si="107"/>
        <v xml:space="preserve"> </v>
      </c>
      <c r="P541" s="732" t="str">
        <f t="shared" si="96"/>
        <v xml:space="preserve"> </v>
      </c>
      <c r="Q541" s="626" t="str">
        <f t="shared" si="97"/>
        <v xml:space="preserve"> </v>
      </c>
      <c r="R541" s="1199"/>
      <c r="S541" s="723" t="str">
        <f t="shared" si="108"/>
        <v xml:space="preserve"> </v>
      </c>
      <c r="Y541" s="626"/>
    </row>
    <row r="542" spans="1:25" s="426" customFormat="1" x14ac:dyDescent="0.25">
      <c r="A542" s="12">
        <f t="shared" si="98"/>
        <v>0</v>
      </c>
      <c r="B542" s="506" t="str">
        <f t="shared" si="94"/>
        <v>0933</v>
      </c>
      <c r="C542" s="12">
        <f t="shared" si="99"/>
        <v>0</v>
      </c>
      <c r="D542" s="707">
        <v>0</v>
      </c>
      <c r="E542" s="690">
        <v>0</v>
      </c>
      <c r="F542" s="426" t="str">
        <f t="shared" si="95"/>
        <v xml:space="preserve"> </v>
      </c>
      <c r="G542" s="120" t="str">
        <f t="shared" si="100"/>
        <v xml:space="preserve"> </v>
      </c>
      <c r="H542" s="78" t="str">
        <f t="shared" si="101"/>
        <v xml:space="preserve"> </v>
      </c>
      <c r="I542" s="227" t="str">
        <f t="shared" si="102"/>
        <v xml:space="preserve"> </v>
      </c>
      <c r="J542" s="695" t="str">
        <f t="shared" si="103"/>
        <v xml:space="preserve"> </v>
      </c>
      <c r="K542" s="695" t="str">
        <f t="shared" si="104"/>
        <v xml:space="preserve"> </v>
      </c>
      <c r="L542" s="227" t="str">
        <f t="shared" si="105"/>
        <v xml:space="preserve"> </v>
      </c>
      <c r="M542" s="1199"/>
      <c r="N542" s="717" t="str">
        <f t="shared" si="106"/>
        <v xml:space="preserve"> </v>
      </c>
      <c r="O542" s="728" t="str">
        <f t="shared" si="107"/>
        <v xml:space="preserve"> </v>
      </c>
      <c r="P542" s="732" t="str">
        <f t="shared" si="96"/>
        <v xml:space="preserve"> </v>
      </c>
      <c r="Q542" s="626" t="str">
        <f t="shared" si="97"/>
        <v xml:space="preserve"> </v>
      </c>
      <c r="R542" s="1199"/>
      <c r="S542" s="723" t="str">
        <f t="shared" si="108"/>
        <v xml:space="preserve"> </v>
      </c>
      <c r="Y542" s="626"/>
    </row>
    <row r="543" spans="1:25" s="426" customFormat="1" x14ac:dyDescent="0.25">
      <c r="A543" s="12">
        <f t="shared" si="98"/>
        <v>0</v>
      </c>
      <c r="B543" s="506" t="str">
        <f t="shared" si="94"/>
        <v>0701</v>
      </c>
      <c r="C543" s="12">
        <f t="shared" si="99"/>
        <v>0</v>
      </c>
      <c r="D543" s="707">
        <v>0</v>
      </c>
      <c r="E543" s="690">
        <v>0</v>
      </c>
      <c r="F543" s="426" t="str">
        <f t="shared" si="95"/>
        <v xml:space="preserve"> </v>
      </c>
      <c r="G543" s="120" t="str">
        <f t="shared" si="100"/>
        <v xml:space="preserve"> </v>
      </c>
      <c r="H543" s="78" t="str">
        <f t="shared" si="101"/>
        <v xml:space="preserve"> </v>
      </c>
      <c r="I543" s="227" t="str">
        <f t="shared" si="102"/>
        <v xml:space="preserve"> </v>
      </c>
      <c r="J543" s="695" t="str">
        <f t="shared" si="103"/>
        <v xml:space="preserve"> </v>
      </c>
      <c r="K543" s="695" t="str">
        <f t="shared" si="104"/>
        <v xml:space="preserve"> </v>
      </c>
      <c r="L543" s="227" t="str">
        <f t="shared" si="105"/>
        <v xml:space="preserve"> </v>
      </c>
      <c r="M543" s="1199"/>
      <c r="N543" s="717" t="str">
        <f t="shared" si="106"/>
        <v xml:space="preserve"> </v>
      </c>
      <c r="O543" s="728" t="str">
        <f t="shared" si="107"/>
        <v xml:space="preserve"> </v>
      </c>
      <c r="P543" s="732" t="str">
        <f t="shared" si="96"/>
        <v xml:space="preserve"> </v>
      </c>
      <c r="Q543" s="626" t="str">
        <f t="shared" si="97"/>
        <v xml:space="preserve"> </v>
      </c>
      <c r="R543" s="1199"/>
      <c r="S543" s="723" t="str">
        <f t="shared" si="108"/>
        <v xml:space="preserve"> </v>
      </c>
      <c r="Y543" s="626"/>
    </row>
    <row r="544" spans="1:25" s="426" customFormat="1" x14ac:dyDescent="0.25">
      <c r="A544" s="12">
        <f t="shared" si="98"/>
        <v>0</v>
      </c>
      <c r="B544" s="506">
        <f t="shared" si="94"/>
        <v>0</v>
      </c>
      <c r="C544" s="12">
        <f t="shared" si="99"/>
        <v>0</v>
      </c>
      <c r="D544" s="707">
        <v>0</v>
      </c>
      <c r="E544" s="690">
        <v>0</v>
      </c>
      <c r="F544" s="426" t="str">
        <f t="shared" si="95"/>
        <v xml:space="preserve"> </v>
      </c>
      <c r="G544" s="120" t="str">
        <f t="shared" si="100"/>
        <v xml:space="preserve"> </v>
      </c>
      <c r="H544" s="78" t="str">
        <f t="shared" si="101"/>
        <v xml:space="preserve"> </v>
      </c>
      <c r="I544" s="227" t="str">
        <f t="shared" si="102"/>
        <v xml:space="preserve"> </v>
      </c>
      <c r="J544" s="695" t="str">
        <f t="shared" si="103"/>
        <v xml:space="preserve"> </v>
      </c>
      <c r="K544" s="695" t="str">
        <f t="shared" si="104"/>
        <v xml:space="preserve"> </v>
      </c>
      <c r="L544" s="227" t="str">
        <f t="shared" si="105"/>
        <v xml:space="preserve"> </v>
      </c>
      <c r="M544" s="1199"/>
      <c r="N544" s="717" t="str">
        <f t="shared" si="106"/>
        <v xml:space="preserve"> </v>
      </c>
      <c r="O544" s="728" t="str">
        <f t="shared" si="107"/>
        <v xml:space="preserve"> </v>
      </c>
      <c r="P544" s="732" t="str">
        <f t="shared" si="96"/>
        <v xml:space="preserve"> </v>
      </c>
      <c r="Q544" s="626" t="str">
        <f t="shared" si="97"/>
        <v xml:space="preserve"> </v>
      </c>
      <c r="R544" s="1199"/>
      <c r="S544" s="723" t="str">
        <f t="shared" si="108"/>
        <v xml:space="preserve"> </v>
      </c>
      <c r="Y544" s="626"/>
    </row>
    <row r="545" spans="1:25" s="426" customFormat="1" x14ac:dyDescent="0.25">
      <c r="A545" s="12">
        <f t="shared" si="98"/>
        <v>0</v>
      </c>
      <c r="B545" s="506">
        <f t="shared" si="94"/>
        <v>0</v>
      </c>
      <c r="C545" s="12">
        <f t="shared" si="99"/>
        <v>0</v>
      </c>
      <c r="D545" s="707">
        <v>0</v>
      </c>
      <c r="E545" s="690">
        <v>0</v>
      </c>
      <c r="F545" s="426" t="str">
        <f t="shared" si="95"/>
        <v xml:space="preserve"> </v>
      </c>
      <c r="G545" s="120" t="str">
        <f t="shared" si="100"/>
        <v xml:space="preserve"> </v>
      </c>
      <c r="H545" s="78" t="str">
        <f t="shared" si="101"/>
        <v xml:space="preserve"> </v>
      </c>
      <c r="I545" s="227" t="str">
        <f t="shared" si="102"/>
        <v xml:space="preserve"> </v>
      </c>
      <c r="J545" s="695" t="str">
        <f t="shared" si="103"/>
        <v xml:space="preserve"> </v>
      </c>
      <c r="K545" s="695" t="str">
        <f t="shared" si="104"/>
        <v xml:space="preserve"> </v>
      </c>
      <c r="L545" s="227" t="str">
        <f t="shared" si="105"/>
        <v xml:space="preserve"> </v>
      </c>
      <c r="M545" s="1199"/>
      <c r="N545" s="717" t="str">
        <f t="shared" si="106"/>
        <v xml:space="preserve"> </v>
      </c>
      <c r="O545" s="728" t="str">
        <f t="shared" si="107"/>
        <v xml:space="preserve"> </v>
      </c>
      <c r="P545" s="732" t="str">
        <f t="shared" si="96"/>
        <v xml:space="preserve"> </v>
      </c>
      <c r="Q545" s="626" t="str">
        <f t="shared" si="97"/>
        <v xml:space="preserve"> </v>
      </c>
      <c r="R545" s="1199"/>
      <c r="S545" s="723" t="str">
        <f t="shared" si="108"/>
        <v xml:space="preserve"> </v>
      </c>
      <c r="Y545" s="626"/>
    </row>
    <row r="546" spans="1:25" s="426" customFormat="1" x14ac:dyDescent="0.25">
      <c r="A546" s="12">
        <f t="shared" si="98"/>
        <v>0</v>
      </c>
      <c r="B546" s="506">
        <f t="shared" si="94"/>
        <v>0</v>
      </c>
      <c r="C546" s="12">
        <f t="shared" si="99"/>
        <v>0</v>
      </c>
      <c r="D546" s="707">
        <v>0</v>
      </c>
      <c r="E546" s="690">
        <v>0</v>
      </c>
      <c r="F546" s="426" t="str">
        <f t="shared" si="95"/>
        <v xml:space="preserve"> </v>
      </c>
      <c r="G546" s="120" t="str">
        <f t="shared" si="100"/>
        <v xml:space="preserve"> </v>
      </c>
      <c r="H546" s="78" t="str">
        <f t="shared" si="101"/>
        <v xml:space="preserve"> </v>
      </c>
      <c r="I546" s="227" t="str">
        <f t="shared" si="102"/>
        <v xml:space="preserve"> </v>
      </c>
      <c r="J546" s="695" t="str">
        <f t="shared" si="103"/>
        <v xml:space="preserve"> </v>
      </c>
      <c r="K546" s="695" t="str">
        <f t="shared" si="104"/>
        <v xml:space="preserve"> </v>
      </c>
      <c r="L546" s="227" t="str">
        <f t="shared" si="105"/>
        <v xml:space="preserve"> </v>
      </c>
      <c r="M546" s="1199"/>
      <c r="N546" s="717" t="str">
        <f t="shared" si="106"/>
        <v xml:space="preserve"> </v>
      </c>
      <c r="O546" s="728" t="str">
        <f t="shared" si="107"/>
        <v xml:space="preserve"> </v>
      </c>
      <c r="P546" s="732" t="str">
        <f t="shared" si="96"/>
        <v xml:space="preserve"> </v>
      </c>
      <c r="Q546" s="626" t="str">
        <f t="shared" si="97"/>
        <v xml:space="preserve"> </v>
      </c>
      <c r="R546" s="1199"/>
      <c r="S546" s="723" t="str">
        <f t="shared" si="108"/>
        <v xml:space="preserve"> </v>
      </c>
      <c r="Y546" s="626"/>
    </row>
    <row r="547" spans="1:25" s="426" customFormat="1" x14ac:dyDescent="0.25">
      <c r="A547" s="12">
        <f t="shared" si="98"/>
        <v>0</v>
      </c>
      <c r="B547" s="506">
        <f t="shared" si="94"/>
        <v>0</v>
      </c>
      <c r="C547" s="12">
        <f t="shared" si="99"/>
        <v>0</v>
      </c>
      <c r="D547" s="707">
        <v>0</v>
      </c>
      <c r="E547" s="690">
        <v>0</v>
      </c>
      <c r="F547" s="426" t="str">
        <f t="shared" si="95"/>
        <v xml:space="preserve"> </v>
      </c>
      <c r="G547" s="120" t="str">
        <f t="shared" si="100"/>
        <v xml:space="preserve"> </v>
      </c>
      <c r="H547" s="78" t="str">
        <f t="shared" si="101"/>
        <v xml:space="preserve"> </v>
      </c>
      <c r="I547" s="227" t="str">
        <f t="shared" si="102"/>
        <v xml:space="preserve"> </v>
      </c>
      <c r="J547" s="695" t="str">
        <f t="shared" si="103"/>
        <v xml:space="preserve"> </v>
      </c>
      <c r="K547" s="695" t="str">
        <f t="shared" si="104"/>
        <v xml:space="preserve"> </v>
      </c>
      <c r="L547" s="227" t="str">
        <f t="shared" si="105"/>
        <v xml:space="preserve"> </v>
      </c>
      <c r="M547" s="1199"/>
      <c r="N547" s="717" t="str">
        <f t="shared" si="106"/>
        <v xml:space="preserve"> </v>
      </c>
      <c r="O547" s="728" t="str">
        <f t="shared" si="107"/>
        <v xml:space="preserve"> </v>
      </c>
      <c r="P547" s="732" t="str">
        <f t="shared" si="96"/>
        <v xml:space="preserve"> </v>
      </c>
      <c r="Q547" s="626" t="str">
        <f t="shared" si="97"/>
        <v xml:space="preserve"> </v>
      </c>
      <c r="R547" s="1199"/>
      <c r="S547" s="723" t="str">
        <f t="shared" si="108"/>
        <v xml:space="preserve"> </v>
      </c>
      <c r="Y547" s="626"/>
    </row>
    <row r="548" spans="1:25" s="426" customFormat="1" x14ac:dyDescent="0.25">
      <c r="A548" s="13">
        <f t="shared" si="98"/>
        <v>0</v>
      </c>
      <c r="B548" s="706">
        <f t="shared" si="94"/>
        <v>0</v>
      </c>
      <c r="C548" s="13">
        <f t="shared" si="99"/>
        <v>0</v>
      </c>
      <c r="D548" s="703">
        <v>0</v>
      </c>
      <c r="E548" s="644">
        <v>0</v>
      </c>
      <c r="F548" s="430" t="str">
        <f t="shared" si="95"/>
        <v xml:space="preserve"> </v>
      </c>
      <c r="G548" s="202" t="str">
        <f t="shared" si="100"/>
        <v xml:space="preserve"> </v>
      </c>
      <c r="H548" s="401" t="str">
        <f t="shared" si="101"/>
        <v xml:space="preserve"> </v>
      </c>
      <c r="I548" s="400" t="str">
        <f t="shared" si="102"/>
        <v xml:space="preserve"> </v>
      </c>
      <c r="J548" s="696" t="str">
        <f t="shared" si="103"/>
        <v xml:space="preserve"> </v>
      </c>
      <c r="K548" s="696" t="str">
        <f t="shared" si="104"/>
        <v xml:space="preserve"> </v>
      </c>
      <c r="L548" s="400" t="str">
        <f t="shared" si="105"/>
        <v xml:space="preserve"> </v>
      </c>
      <c r="M548" s="1200"/>
      <c r="N548" s="717" t="str">
        <f t="shared" si="106"/>
        <v xml:space="preserve"> </v>
      </c>
      <c r="O548" s="729" t="str">
        <f t="shared" si="107"/>
        <v xml:space="preserve"> </v>
      </c>
      <c r="P548" s="733" t="str">
        <f t="shared" si="96"/>
        <v xml:space="preserve"> </v>
      </c>
      <c r="Q548" s="651" t="str">
        <f t="shared" si="97"/>
        <v xml:space="preserve"> </v>
      </c>
      <c r="R548" s="1200"/>
      <c r="S548" s="722" t="str">
        <f t="shared" si="108"/>
        <v xml:space="preserve"> </v>
      </c>
      <c r="Y548" s="626"/>
    </row>
    <row r="549" spans="1:25" s="426" customFormat="1" ht="15.75" thickBot="1" x14ac:dyDescent="0.3">
      <c r="B549" s="2"/>
      <c r="L549" s="426" t="s">
        <v>763</v>
      </c>
      <c r="N549" s="718">
        <f>IF(SUM(A528:A548)&gt;0,VLOOKUP(1,A528:S548,14,FALSE)+AB513,0)</f>
        <v>13.3</v>
      </c>
      <c r="Q549" s="426" t="s">
        <v>763</v>
      </c>
      <c r="S549" s="724">
        <f>IF(AND(SUM(A528:A548)&gt;0,Q521=1),VLOOKUP(1,A528:S548,19,FALSE)+AB513,0)</f>
        <v>0</v>
      </c>
      <c r="Y549" s="626"/>
    </row>
    <row r="550" spans="1:25" s="426" customFormat="1" ht="12.75" x14ac:dyDescent="0.2">
      <c r="Y550" s="626"/>
    </row>
    <row r="551" spans="1:25" s="426" customFormat="1" ht="12.75" x14ac:dyDescent="0.2">
      <c r="Y551" s="626"/>
    </row>
    <row r="552" spans="1:25" s="426" customFormat="1" ht="12.75" x14ac:dyDescent="0.2">
      <c r="A552" s="626"/>
      <c r="B552" s="626"/>
      <c r="Y552" s="626"/>
    </row>
    <row r="553" spans="1:25" s="426" customFormat="1" ht="12.75" x14ac:dyDescent="0.2">
      <c r="A553" s="626">
        <f>A505</f>
        <v>0</v>
      </c>
      <c r="B553" s="426" t="s">
        <v>767</v>
      </c>
      <c r="C553" s="1179">
        <f>IF(A553&gt;0,A553*C505*D502,0)</f>
        <v>0</v>
      </c>
      <c r="Y553" s="626"/>
    </row>
    <row r="554" spans="1:25" s="426" customFormat="1" ht="12.75" x14ac:dyDescent="0.2">
      <c r="A554" s="626">
        <f>A506</f>
        <v>0</v>
      </c>
      <c r="B554" s="426" t="s">
        <v>770</v>
      </c>
      <c r="C554" s="635">
        <f>IF(A554&gt;0,A554*C506*D502,0)</f>
        <v>0</v>
      </c>
      <c r="Y554" s="626"/>
    </row>
    <row r="555" spans="1:25" s="426" customFormat="1" ht="12.75" x14ac:dyDescent="0.2">
      <c r="A555" s="626">
        <f>A507</f>
        <v>0</v>
      </c>
      <c r="B555" s="426" t="s">
        <v>771</v>
      </c>
      <c r="C555" s="635">
        <f>IF(A555&gt;0,A555*C507*D502,0)</f>
        <v>0</v>
      </c>
      <c r="Y555" s="626"/>
    </row>
    <row r="556" spans="1:25" s="426" customFormat="1" ht="12.75" x14ac:dyDescent="0.2">
      <c r="A556" s="626">
        <f>A508</f>
        <v>0</v>
      </c>
      <c r="B556" s="426" t="s">
        <v>768</v>
      </c>
      <c r="C556" s="635">
        <f>IF(A556&gt;0,A556*C508*D502,0)</f>
        <v>0</v>
      </c>
      <c r="Y556" s="626"/>
    </row>
    <row r="557" spans="1:25" s="426" customFormat="1" ht="12.75" x14ac:dyDescent="0.2">
      <c r="A557" s="626">
        <f>A509</f>
        <v>0</v>
      </c>
      <c r="B557" s="426" t="s">
        <v>769</v>
      </c>
      <c r="C557" s="635">
        <f>IF(A557&gt;0,A557*C509*D502,0)</f>
        <v>0</v>
      </c>
      <c r="Y557" s="626"/>
    </row>
    <row r="558" spans="1:25" s="426" customFormat="1" ht="12.75" x14ac:dyDescent="0.2">
      <c r="A558" s="626">
        <f>A553</f>
        <v>0</v>
      </c>
      <c r="B558" s="426" t="s">
        <v>1077</v>
      </c>
      <c r="C558" s="1178">
        <v>0</v>
      </c>
      <c r="D558" s="1182">
        <f>IF(A558=1,((C3*C510)/60)*D502,0)</f>
        <v>0</v>
      </c>
      <c r="Y558" s="626"/>
    </row>
    <row r="559" spans="1:25" s="426" customFormat="1" ht="12.75" x14ac:dyDescent="0.2">
      <c r="B559" s="615" t="s">
        <v>762</v>
      </c>
      <c r="C559" s="629">
        <f>SUM(C553:C558)</f>
        <v>0</v>
      </c>
      <c r="Y559" s="626"/>
    </row>
    <row r="560" spans="1:25" s="426" customFormat="1" ht="12.75" x14ac:dyDescent="0.2">
      <c r="Y560" s="626"/>
    </row>
    <row r="561" spans="1:25" s="426" customFormat="1" ht="12.75" x14ac:dyDescent="0.2">
      <c r="A561" s="626">
        <f>IF(C500=1,1,0)</f>
        <v>0</v>
      </c>
      <c r="B561" s="426" t="s">
        <v>1055</v>
      </c>
      <c r="C561" s="635">
        <f>IF(A561=1,(((N549+S549)*C518)/60)*D502,0)</f>
        <v>0</v>
      </c>
      <c r="Y561" s="626"/>
    </row>
    <row r="562" spans="1:25" s="426" customFormat="1" ht="12.75" x14ac:dyDescent="0.2">
      <c r="A562" s="626">
        <f>IF(AND(C500=1,W512=1),1,0)</f>
        <v>0</v>
      </c>
      <c r="B562" s="426" t="s">
        <v>1056</v>
      </c>
      <c r="C562" s="635">
        <f>IF(A562=1,(((N549+S549)*C518)/60)*T512,0)</f>
        <v>0</v>
      </c>
      <c r="Y562" s="626"/>
    </row>
    <row r="563" spans="1:25" s="426" customFormat="1" ht="12.75" x14ac:dyDescent="0.2">
      <c r="A563" s="626">
        <f>IF(SUM(A561:A562)&gt;0,1,0)</f>
        <v>0</v>
      </c>
      <c r="B563" s="615" t="s">
        <v>1054</v>
      </c>
      <c r="C563" s="1177">
        <f>IF(A563=1,SUM(C561:C562),0)</f>
        <v>0</v>
      </c>
      <c r="Y563" s="626"/>
    </row>
    <row r="564" spans="1:25" s="426" customFormat="1" ht="12.75" x14ac:dyDescent="0.2">
      <c r="Y564" s="626"/>
    </row>
    <row r="565" spans="1:25" s="430" customFormat="1" ht="12.75" x14ac:dyDescent="0.2">
      <c r="B565" s="678"/>
      <c r="Y565" s="651"/>
    </row>
    <row r="566" spans="1:25" s="426" customFormat="1" ht="12.75" x14ac:dyDescent="0.2">
      <c r="B566" s="615"/>
      <c r="Y566" s="626"/>
    </row>
    <row r="567" spans="1:25" s="426" customFormat="1" ht="13.5" thickBot="1" x14ac:dyDescent="0.25">
      <c r="B567" s="615"/>
      <c r="D567" s="626" t="s">
        <v>674</v>
      </c>
      <c r="Y567" s="626"/>
    </row>
    <row r="568" spans="1:25" s="426" customFormat="1" ht="13.5" thickBot="1" x14ac:dyDescent="0.25">
      <c r="B568" s="641" t="s">
        <v>662</v>
      </c>
      <c r="C568" s="643">
        <f>J365</f>
        <v>0</v>
      </c>
      <c r="D568" s="1176">
        <f>IF(C568=1,C621+C624,0)</f>
        <v>0</v>
      </c>
      <c r="Y568" s="626"/>
    </row>
    <row r="569" spans="1:25" s="426" customFormat="1" ht="12.75" x14ac:dyDescent="0.2">
      <c r="B569" s="615"/>
      <c r="M569" s="996"/>
      <c r="Y569" s="626"/>
    </row>
    <row r="570" spans="1:25" s="426" customFormat="1" ht="12.75" x14ac:dyDescent="0.2">
      <c r="B570" s="426" t="s">
        <v>756</v>
      </c>
      <c r="C570" s="699">
        <f>'Tarieven (4)'!C8</f>
        <v>125</v>
      </c>
      <c r="D570" s="697">
        <f>C570/60</f>
        <v>2.0833333333333335</v>
      </c>
      <c r="Y570" s="626"/>
    </row>
    <row r="571" spans="1:25" s="426" customFormat="1" x14ac:dyDescent="0.25">
      <c r="B571" s="426" t="s">
        <v>757</v>
      </c>
      <c r="C571" s="700">
        <f>'Tarieven (4)'!C12</f>
        <v>37</v>
      </c>
      <c r="D571" s="698">
        <f>C571/60</f>
        <v>0.6166666666666667</v>
      </c>
      <c r="L571" s="77" t="s">
        <v>1034</v>
      </c>
      <c r="M571"/>
      <c r="N571"/>
      <c r="O571"/>
      <c r="P571"/>
      <c r="Q571"/>
      <c r="R571"/>
      <c r="S571"/>
      <c r="U571" s="426" t="s">
        <v>1075</v>
      </c>
      <c r="Y571" s="626"/>
    </row>
    <row r="572" spans="1:25" s="426" customFormat="1" x14ac:dyDescent="0.25">
      <c r="C572" s="704"/>
      <c r="D572" s="704"/>
      <c r="L572"/>
      <c r="M572"/>
      <c r="N572"/>
      <c r="O572"/>
      <c r="P572"/>
      <c r="Q572"/>
      <c r="R572"/>
      <c r="S572"/>
      <c r="U572" s="1103"/>
      <c r="V572" s="1047" t="s">
        <v>1076</v>
      </c>
      <c r="W572" s="1047" t="s">
        <v>801</v>
      </c>
      <c r="Y572" s="626"/>
    </row>
    <row r="573" spans="1:25" s="426" customFormat="1" x14ac:dyDescent="0.25">
      <c r="C573" s="704"/>
      <c r="D573" s="704"/>
      <c r="L573" s="77" t="s">
        <v>1035</v>
      </c>
      <c r="M573" s="1035">
        <v>1000</v>
      </c>
      <c r="N573" s="77" t="s">
        <v>25</v>
      </c>
      <c r="O573"/>
      <c r="P573"/>
      <c r="Q573"/>
      <c r="R573"/>
      <c r="S573"/>
      <c r="U573" s="1108">
        <f>IF($C$582=V573,1," ")</f>
        <v>1</v>
      </c>
      <c r="V573" s="150">
        <v>1</v>
      </c>
      <c r="W573" s="1106">
        <v>1</v>
      </c>
      <c r="Y573" s="626"/>
    </row>
    <row r="574" spans="1:25" s="426" customFormat="1" x14ac:dyDescent="0.25">
      <c r="A574" s="426" t="s">
        <v>61</v>
      </c>
      <c r="B574" s="426" t="s">
        <v>679</v>
      </c>
      <c r="C574" s="636" t="s">
        <v>680</v>
      </c>
      <c r="D574" s="635"/>
      <c r="G574" s="638">
        <v>0.15</v>
      </c>
      <c r="L574" s="77" t="s">
        <v>941</v>
      </c>
      <c r="M574" s="1081">
        <f>CEILING(M573/M575,1)</f>
        <v>334</v>
      </c>
      <c r="N574" s="77" t="s">
        <v>26</v>
      </c>
      <c r="O574"/>
      <c r="P574"/>
      <c r="Q574"/>
      <c r="R574"/>
      <c r="S574"/>
      <c r="U574" s="725" t="str">
        <f t="shared" ref="U574:U576" si="109">IF($C$582=V574,1," ")</f>
        <v xml:space="preserve"> </v>
      </c>
      <c r="V574" s="150">
        <v>2</v>
      </c>
      <c r="W574" s="1106">
        <v>1.4</v>
      </c>
      <c r="Y574" s="626"/>
    </row>
    <row r="575" spans="1:25" s="426" customFormat="1" x14ac:dyDescent="0.25">
      <c r="A575" s="626">
        <f>IF(C568=1,1,0)</f>
        <v>0</v>
      </c>
      <c r="B575" s="426" t="s">
        <v>759</v>
      </c>
      <c r="C575" s="637">
        <v>7</v>
      </c>
      <c r="D575" s="426" t="s">
        <v>683</v>
      </c>
      <c r="G575" s="708" t="s">
        <v>777</v>
      </c>
      <c r="H575" s="719" t="s">
        <v>778</v>
      </c>
      <c r="I575" s="719" t="s">
        <v>779</v>
      </c>
      <c r="L575" s="77" t="s">
        <v>895</v>
      </c>
      <c r="M575">
        <f>F145</f>
        <v>3</v>
      </c>
      <c r="N575"/>
      <c r="O575"/>
      <c r="P575"/>
      <c r="Q575"/>
      <c r="R575"/>
      <c r="S575"/>
      <c r="U575" s="725" t="str">
        <f t="shared" si="109"/>
        <v xml:space="preserve"> </v>
      </c>
      <c r="V575" s="150">
        <v>3</v>
      </c>
      <c r="W575" s="1106">
        <v>1.75</v>
      </c>
      <c r="Y575" s="626"/>
    </row>
    <row r="576" spans="1:25" s="426" customFormat="1" ht="15.75" thickBot="1" x14ac:dyDescent="0.3">
      <c r="A576" s="626">
        <f>IF(AND(C568=1,SUM(D591:E591)&gt;0),1,0)</f>
        <v>0</v>
      </c>
      <c r="B576" s="426" t="s">
        <v>760</v>
      </c>
      <c r="C576" s="705">
        <v>10</v>
      </c>
      <c r="D576" s="426" t="s">
        <v>683</v>
      </c>
      <c r="G576" s="725">
        <f>MAX(B445,H445)</f>
        <v>490</v>
      </c>
      <c r="H576" s="145">
        <f>C582*C583</f>
        <v>1</v>
      </c>
      <c r="I576" s="145">
        <f>H576*G576</f>
        <v>490</v>
      </c>
      <c r="L576"/>
      <c r="M576"/>
      <c r="N576"/>
      <c r="O576"/>
      <c r="P576"/>
      <c r="Q576"/>
      <c r="R576"/>
      <c r="S576"/>
      <c r="U576" s="658" t="str">
        <f t="shared" si="109"/>
        <v xml:space="preserve"> </v>
      </c>
      <c r="V576" s="145">
        <v>4</v>
      </c>
      <c r="W576" s="1107">
        <v>2.25</v>
      </c>
      <c r="Y576" s="626"/>
    </row>
    <row r="577" spans="1:25" s="426" customFormat="1" x14ac:dyDescent="0.25">
      <c r="A577" s="626">
        <f>IF(AND(C568=1,SUM(D591:E591)&gt;0),1,0)</f>
        <v>0</v>
      </c>
      <c r="B577" s="426" t="s">
        <v>761</v>
      </c>
      <c r="C577" s="705">
        <v>5</v>
      </c>
      <c r="D577" s="426" t="s">
        <v>683</v>
      </c>
      <c r="G577" s="735" t="s">
        <v>782</v>
      </c>
      <c r="H577" s="710" t="s">
        <v>781</v>
      </c>
      <c r="I577" s="713" t="s">
        <v>780</v>
      </c>
      <c r="L577" s="1020"/>
      <c r="M577" s="1082" t="s">
        <v>26</v>
      </c>
      <c r="N577" s="1021" t="s">
        <v>1036</v>
      </c>
      <c r="O577" s="1082" t="s">
        <v>1037</v>
      </c>
      <c r="P577" s="1021" t="s">
        <v>1038</v>
      </c>
      <c r="Q577" s="1082" t="s">
        <v>1039</v>
      </c>
      <c r="R577" s="1021" t="s">
        <v>1040</v>
      </c>
      <c r="S577"/>
      <c r="U577" s="1105"/>
      <c r="V577" s="1104"/>
      <c r="W577" s="1048">
        <f>VLOOKUP(1,U573:W576,3,FALSE)</f>
        <v>1</v>
      </c>
      <c r="Y577" s="626"/>
    </row>
    <row r="578" spans="1:25" s="426" customFormat="1" ht="15.75" thickBot="1" x14ac:dyDescent="0.3">
      <c r="B578" s="426" t="s">
        <v>1001</v>
      </c>
      <c r="C578" s="1034" t="str">
        <f>AW46</f>
        <v>0,2</v>
      </c>
      <c r="D578" s="704" t="s">
        <v>1002</v>
      </c>
      <c r="G578" s="736">
        <f>IF(CEILING((H578*G574)+H578,1)&lt;=G576,CEILING((H578*G574)+H578,1),G576)</f>
        <v>490</v>
      </c>
      <c r="H578" s="702">
        <f>CEILING(I578/H576,1)</f>
        <v>490</v>
      </c>
      <c r="I578" s="145">
        <f>C3</f>
        <v>490</v>
      </c>
      <c r="L578" s="339" t="s">
        <v>1043</v>
      </c>
      <c r="M578" s="407">
        <f>C586</f>
        <v>490</v>
      </c>
      <c r="N578" s="12">
        <f>FLOOR(M578/M574,1)</f>
        <v>1</v>
      </c>
      <c r="O578" s="2">
        <f>IF(N578=0,M578*M575,(M578-(N578*M574))*M575)</f>
        <v>468</v>
      </c>
      <c r="P578" s="12">
        <f>N578*Q583</f>
        <v>0.14000000000000001</v>
      </c>
      <c r="Q578" s="2">
        <f>IF(O578=0,0,HLOOKUP(1,M582:Q583,2,FALSE))</f>
        <v>0.1</v>
      </c>
      <c r="R578" s="12">
        <f>SUM(P578:Q578)</f>
        <v>0.24000000000000002</v>
      </c>
      <c r="S578" s="77" t="s">
        <v>1041</v>
      </c>
      <c r="Y578" s="626"/>
    </row>
    <row r="579" spans="1:25" s="426" customFormat="1" x14ac:dyDescent="0.25">
      <c r="C579" s="737"/>
      <c r="L579" s="341"/>
      <c r="M579" s="965"/>
      <c r="N579" s="13"/>
      <c r="O579" s="965"/>
      <c r="P579" s="52"/>
      <c r="Q579" s="965"/>
      <c r="R579" s="13"/>
      <c r="S579" s="77"/>
      <c r="Y579" s="626"/>
    </row>
    <row r="580" spans="1:25" s="426" customFormat="1" ht="12.75" x14ac:dyDescent="0.2">
      <c r="B580" s="615"/>
      <c r="Y580" s="626"/>
    </row>
    <row r="581" spans="1:25" s="426" customFormat="1" x14ac:dyDescent="0.25">
      <c r="B581" s="615" t="s">
        <v>750</v>
      </c>
      <c r="C581" s="626" t="str">
        <f>IF(F189=0,C2,"0110")</f>
        <v>0201</v>
      </c>
      <c r="L581" s="1083" t="s">
        <v>1044</v>
      </c>
      <c r="M581" s="1062">
        <v>200</v>
      </c>
      <c r="N581" s="449">
        <v>400</v>
      </c>
      <c r="O581" s="1062">
        <v>600</v>
      </c>
      <c r="P581" s="449">
        <v>800</v>
      </c>
      <c r="Q581" s="1062">
        <v>1000</v>
      </c>
      <c r="Y581" s="626"/>
    </row>
    <row r="582" spans="1:25" s="426" customFormat="1" x14ac:dyDescent="0.25">
      <c r="B582" s="615" t="s">
        <v>752</v>
      </c>
      <c r="C582" s="626">
        <f>C445</f>
        <v>1</v>
      </c>
      <c r="D582" s="426" t="s">
        <v>754</v>
      </c>
      <c r="L582" s="339" t="s">
        <v>1042</v>
      </c>
      <c r="M582" s="12">
        <f>IF(O578&lt;=M581,1,0)</f>
        <v>0</v>
      </c>
      <c r="N582" s="2">
        <f>IF(AND(O578&gt;M581,O578&lt;=N581),1,0)</f>
        <v>0</v>
      </c>
      <c r="O582" s="12">
        <f>IF(AND(O578&gt;N581,O578&lt;=O581),1,0)</f>
        <v>1</v>
      </c>
      <c r="P582" s="2">
        <f>IF(AND(O578&gt;O581,O578&lt;=P581),1,0)</f>
        <v>0</v>
      </c>
      <c r="Q582" s="12">
        <f>IF(AND(O578&gt;P581,O578&lt;=Q581),1,0)</f>
        <v>0</v>
      </c>
      <c r="Y582" s="626"/>
    </row>
    <row r="583" spans="1:25" s="426" customFormat="1" x14ac:dyDescent="0.25">
      <c r="B583" s="615" t="s">
        <v>753</v>
      </c>
      <c r="C583" s="626">
        <f>D445</f>
        <v>1</v>
      </c>
      <c r="D583" s="426" t="s">
        <v>754</v>
      </c>
      <c r="L583" s="1020" t="s">
        <v>1045</v>
      </c>
      <c r="M583" s="952">
        <f>0.02*2</f>
        <v>0.04</v>
      </c>
      <c r="N583" s="1084">
        <f>0.04*2</f>
        <v>0.08</v>
      </c>
      <c r="O583" s="952">
        <f>0.05*2</f>
        <v>0.1</v>
      </c>
      <c r="P583" s="1084">
        <f>0.06*2</f>
        <v>0.12</v>
      </c>
      <c r="Q583" s="952">
        <v>0.14000000000000001</v>
      </c>
      <c r="Y583" s="626"/>
    </row>
    <row r="584" spans="1:25" s="426" customFormat="1" x14ac:dyDescent="0.25">
      <c r="B584" s="615" t="s">
        <v>99</v>
      </c>
      <c r="C584" s="626">
        <f>E445</f>
        <v>361</v>
      </c>
      <c r="D584" s="426" t="s">
        <v>25</v>
      </c>
      <c r="L584"/>
      <c r="M584"/>
      <c r="N584"/>
      <c r="O584"/>
      <c r="P584"/>
      <c r="Q584"/>
      <c r="Y584" s="626"/>
    </row>
    <row r="585" spans="1:25" s="426" customFormat="1" ht="12.75" x14ac:dyDescent="0.2">
      <c r="B585" s="615" t="s">
        <v>100</v>
      </c>
      <c r="C585" s="626">
        <f>F445</f>
        <v>1150</v>
      </c>
      <c r="D585" s="426" t="s">
        <v>25</v>
      </c>
      <c r="Y585" s="626"/>
    </row>
    <row r="586" spans="1:25" s="426" customFormat="1" ht="12.75" x14ac:dyDescent="0.2">
      <c r="B586" s="615" t="s">
        <v>776</v>
      </c>
      <c r="C586" s="134">
        <f>G578</f>
        <v>490</v>
      </c>
      <c r="D586" s="426" t="s">
        <v>754</v>
      </c>
      <c r="Y586" s="626"/>
    </row>
    <row r="587" spans="1:25" s="426" customFormat="1" ht="12.75" x14ac:dyDescent="0.2">
      <c r="B587" s="615"/>
      <c r="Y587" s="626"/>
    </row>
    <row r="588" spans="1:25" s="426" customFormat="1" x14ac:dyDescent="0.25">
      <c r="A588" s="286"/>
      <c r="F588"/>
      <c r="G588"/>
      <c r="H588"/>
      <c r="Y588" s="626"/>
    </row>
    <row r="589" spans="1:25" s="426" customFormat="1" x14ac:dyDescent="0.25">
      <c r="A589" s="286"/>
      <c r="B589" s="77"/>
      <c r="C589"/>
      <c r="D589"/>
      <c r="E589" s="484">
        <v>100</v>
      </c>
      <c r="F589"/>
      <c r="G589"/>
      <c r="H589"/>
      <c r="I589" s="78" t="s">
        <v>731</v>
      </c>
      <c r="J589"/>
      <c r="K589" s="78" t="s">
        <v>731</v>
      </c>
      <c r="L589" s="78" t="s">
        <v>732</v>
      </c>
      <c r="M589" s="78" t="s">
        <v>733</v>
      </c>
      <c r="Y589" s="626"/>
    </row>
    <row r="590" spans="1:25" s="426" customFormat="1" x14ac:dyDescent="0.25">
      <c r="A590" s="286"/>
      <c r="E590" s="473">
        <f>AT46</f>
        <v>0</v>
      </c>
      <c r="F590"/>
      <c r="G590" s="2"/>
      <c r="H590"/>
      <c r="I590" s="78" t="s">
        <v>734</v>
      </c>
      <c r="J590"/>
      <c r="K590" s="78" t="s">
        <v>735</v>
      </c>
      <c r="L590" s="78" t="s">
        <v>736</v>
      </c>
      <c r="M590" s="78" t="s">
        <v>737</v>
      </c>
      <c r="Y590" s="626"/>
    </row>
    <row r="591" spans="1:25" s="426" customFormat="1" x14ac:dyDescent="0.25">
      <c r="A591" s="683"/>
      <c r="C591" s="77"/>
      <c r="D591" s="473">
        <f>C131</f>
        <v>0</v>
      </c>
      <c r="E591" s="13">
        <f>CEILING(E590/E589,1)</f>
        <v>0</v>
      </c>
      <c r="F591"/>
      <c r="G591"/>
      <c r="H591"/>
      <c r="I591" s="484">
        <v>0.8</v>
      </c>
      <c r="J591" s="2"/>
      <c r="K591" s="484">
        <v>1.25</v>
      </c>
      <c r="L591" s="484">
        <v>5</v>
      </c>
      <c r="M591" s="1085">
        <f>AY46</f>
        <v>0.9</v>
      </c>
      <c r="Y591" s="626"/>
    </row>
    <row r="592" spans="1:25" s="426" customFormat="1" x14ac:dyDescent="0.25">
      <c r="A592" s="404"/>
      <c r="B592" s="404"/>
      <c r="C592" s="399" t="s">
        <v>562</v>
      </c>
      <c r="D592" s="417" t="s">
        <v>562</v>
      </c>
      <c r="E592" s="399" t="s">
        <v>562</v>
      </c>
      <c r="F592" s="423" t="s">
        <v>738</v>
      </c>
      <c r="G592" s="399" t="s">
        <v>739</v>
      </c>
      <c r="H592" s="406" t="s">
        <v>740</v>
      </c>
      <c r="I592" s="399" t="s">
        <v>741</v>
      </c>
      <c r="J592" s="399" t="s">
        <v>742</v>
      </c>
      <c r="K592" s="399" t="s">
        <v>741</v>
      </c>
      <c r="L592" s="399" t="s">
        <v>743</v>
      </c>
      <c r="M592" s="399"/>
      <c r="Y592" s="626"/>
    </row>
    <row r="593" spans="1:25" s="426" customFormat="1" x14ac:dyDescent="0.25">
      <c r="A593" s="339" t="s">
        <v>28</v>
      </c>
      <c r="B593" s="341" t="s">
        <v>2</v>
      </c>
      <c r="C593" s="202" t="s">
        <v>577</v>
      </c>
      <c r="D593" s="400" t="s">
        <v>575</v>
      </c>
      <c r="E593" s="202" t="s">
        <v>744</v>
      </c>
      <c r="F593" s="424" t="s">
        <v>604</v>
      </c>
      <c r="G593" s="120" t="s">
        <v>745</v>
      </c>
      <c r="H593" s="78" t="s">
        <v>746</v>
      </c>
      <c r="I593" s="120" t="s">
        <v>562</v>
      </c>
      <c r="J593" s="120" t="s">
        <v>747</v>
      </c>
      <c r="K593" s="120" t="s">
        <v>748</v>
      </c>
      <c r="L593" s="120" t="s">
        <v>749</v>
      </c>
      <c r="M593" s="12"/>
      <c r="Y593" s="626"/>
    </row>
    <row r="594" spans="1:25" s="426" customFormat="1" x14ac:dyDescent="0.25">
      <c r="A594" s="442">
        <f>IF($C$581=B594,1,0)</f>
        <v>0</v>
      </c>
      <c r="B594" s="61" t="str">
        <f t="shared" ref="B594:B614" si="110">B50</f>
        <v>0110</v>
      </c>
      <c r="C594" s="442">
        <f>S50</f>
        <v>1</v>
      </c>
      <c r="D594" s="645">
        <v>0</v>
      </c>
      <c r="E594" s="486">
        <v>0</v>
      </c>
      <c r="F594" s="449" t="str">
        <f t="shared" ref="F594:F614" si="111">IF(A594=1,SUM(C594:E594)," ")</f>
        <v xml:space="preserve"> </v>
      </c>
      <c r="G594" s="684" t="str">
        <f>IF(A594=1,$C$583," ")</f>
        <v xml:space="preserve"> </v>
      </c>
      <c r="H594" s="684" t="str">
        <f>IF(A594=1,(F594*G594)-1," ")</f>
        <v xml:space="preserve"> </v>
      </c>
      <c r="I594" s="692" t="str">
        <f>IF(A594=1,$I$591*H594," ")</f>
        <v xml:space="preserve"> </v>
      </c>
      <c r="J594" s="694" t="str">
        <f>IF(A594=1,($C$585/1000)," ")</f>
        <v xml:space="preserve"> </v>
      </c>
      <c r="K594" s="694" t="str">
        <f>IF(A594=1,J594*$K$591," ")</f>
        <v xml:space="preserve"> </v>
      </c>
      <c r="L594" s="694" t="str">
        <f>IF(A594=1,$L$591," ")</f>
        <v xml:space="preserve"> </v>
      </c>
      <c r="M594" s="686" t="str">
        <f>IF(A594=1,CEILING((I594+K594+L594)/$M$591,1)," ")</f>
        <v xml:space="preserve"> </v>
      </c>
      <c r="Y594" s="626"/>
    </row>
    <row r="595" spans="1:25" s="426" customFormat="1" x14ac:dyDescent="0.25">
      <c r="A595" s="12">
        <f>IF($C$581=B595,1,0)</f>
        <v>0</v>
      </c>
      <c r="B595" s="61" t="str">
        <f t="shared" si="110"/>
        <v>0200</v>
      </c>
      <c r="C595" s="12">
        <f>S51</f>
        <v>3</v>
      </c>
      <c r="D595" s="26">
        <f>D591</f>
        <v>0</v>
      </c>
      <c r="E595" s="28">
        <v>0</v>
      </c>
      <c r="F595" s="2" t="str">
        <f t="shared" si="111"/>
        <v xml:space="preserve"> </v>
      </c>
      <c r="G595" s="685" t="str">
        <f t="shared" ref="G595:G614" si="112">IF(A595=1,$C$583," ")</f>
        <v xml:space="preserve"> </v>
      </c>
      <c r="H595" s="685" t="str">
        <f t="shared" ref="H595:H600" si="113">IF(A595=1,(F595*G595)+G595," ")</f>
        <v xml:space="preserve"> </v>
      </c>
      <c r="I595" s="157" t="str">
        <f t="shared" ref="I595:I614" si="114">IF(A595=1,$I$591*H595," ")</f>
        <v xml:space="preserve"> </v>
      </c>
      <c r="J595" s="695" t="str">
        <f t="shared" ref="J595:J613" si="115">IF(A595=1,($C$585/1000)," ")</f>
        <v xml:space="preserve"> </v>
      </c>
      <c r="K595" s="695" t="str">
        <f t="shared" ref="K595:K614" si="116">IF(A595=1,J595*$K$591," ")</f>
        <v xml:space="preserve"> </v>
      </c>
      <c r="L595" s="695" t="str">
        <f t="shared" ref="L595:L614" si="117">IF(A595=1,$L$591," ")</f>
        <v xml:space="preserve"> </v>
      </c>
      <c r="M595" s="687" t="str">
        <f t="shared" ref="M595:M614" si="118">IF(A595=1,CEILING((I595+K595+L595)/$M$591,1)," ")</f>
        <v xml:space="preserve"> </v>
      </c>
      <c r="Y595" s="626"/>
    </row>
    <row r="596" spans="1:25" s="426" customFormat="1" x14ac:dyDescent="0.25">
      <c r="A596" s="12">
        <f>IF($C$581=B596,1,0)</f>
        <v>1</v>
      </c>
      <c r="B596" s="61" t="str">
        <f t="shared" si="110"/>
        <v>0201</v>
      </c>
      <c r="C596" s="12">
        <f>S52</f>
        <v>3</v>
      </c>
      <c r="D596" s="26">
        <f>D591</f>
        <v>0</v>
      </c>
      <c r="E596" s="28">
        <v>0</v>
      </c>
      <c r="F596" s="2">
        <f t="shared" si="111"/>
        <v>3</v>
      </c>
      <c r="G596" s="685">
        <f t="shared" si="112"/>
        <v>1</v>
      </c>
      <c r="H596" s="685">
        <f t="shared" si="113"/>
        <v>4</v>
      </c>
      <c r="I596" s="157">
        <f t="shared" si="114"/>
        <v>3.2</v>
      </c>
      <c r="J596" s="695">
        <f t="shared" si="115"/>
        <v>1.1499999999999999</v>
      </c>
      <c r="K596" s="695">
        <f t="shared" si="116"/>
        <v>1.4375</v>
      </c>
      <c r="L596" s="695">
        <f t="shared" si="117"/>
        <v>5</v>
      </c>
      <c r="M596" s="687">
        <f>IF(A596=1,CEILING((I596+K596+L596)/$M$591,1)," ")</f>
        <v>11</v>
      </c>
      <c r="Y596" s="626"/>
    </row>
    <row r="597" spans="1:25" s="426" customFormat="1" x14ac:dyDescent="0.25">
      <c r="A597" s="12">
        <f t="shared" ref="A597:A600" si="119">IF($C$581=B597,1,0)</f>
        <v>0</v>
      </c>
      <c r="B597" s="61" t="str">
        <f t="shared" si="110"/>
        <v>0203</v>
      </c>
      <c r="C597" s="12">
        <f>S53</f>
        <v>3</v>
      </c>
      <c r="D597" s="26">
        <f>D591</f>
        <v>0</v>
      </c>
      <c r="E597" s="28">
        <v>0</v>
      </c>
      <c r="F597" s="2" t="str">
        <f t="shared" si="111"/>
        <v xml:space="preserve"> </v>
      </c>
      <c r="G597" s="685" t="str">
        <f t="shared" si="112"/>
        <v xml:space="preserve"> </v>
      </c>
      <c r="H597" s="685" t="str">
        <f t="shared" si="113"/>
        <v xml:space="preserve"> </v>
      </c>
      <c r="I597" s="157" t="str">
        <f t="shared" si="114"/>
        <v xml:space="preserve"> </v>
      </c>
      <c r="J597" s="695" t="str">
        <f t="shared" si="115"/>
        <v xml:space="preserve"> </v>
      </c>
      <c r="K597" s="695" t="str">
        <f t="shared" si="116"/>
        <v xml:space="preserve"> </v>
      </c>
      <c r="L597" s="695" t="str">
        <f t="shared" si="117"/>
        <v xml:space="preserve"> </v>
      </c>
      <c r="M597" s="687" t="str">
        <f t="shared" si="118"/>
        <v xml:space="preserve"> </v>
      </c>
      <c r="Y597" s="626"/>
    </row>
    <row r="598" spans="1:25" s="426" customFormat="1" x14ac:dyDescent="0.25">
      <c r="A598" s="12">
        <f t="shared" si="119"/>
        <v>0</v>
      </c>
      <c r="B598" s="61" t="str">
        <f t="shared" si="110"/>
        <v>0409</v>
      </c>
      <c r="C598" s="12">
        <f>S54</f>
        <v>4</v>
      </c>
      <c r="D598" s="29">
        <v>0</v>
      </c>
      <c r="E598" s="28">
        <v>0</v>
      </c>
      <c r="F598" s="2" t="str">
        <f t="shared" si="111"/>
        <v xml:space="preserve"> </v>
      </c>
      <c r="G598" s="685" t="str">
        <f t="shared" si="112"/>
        <v xml:space="preserve"> </v>
      </c>
      <c r="H598" s="685" t="str">
        <f t="shared" si="113"/>
        <v xml:space="preserve"> </v>
      </c>
      <c r="I598" s="157" t="str">
        <f t="shared" si="114"/>
        <v xml:space="preserve"> </v>
      </c>
      <c r="J598" s="695" t="str">
        <f t="shared" si="115"/>
        <v xml:space="preserve"> </v>
      </c>
      <c r="K598" s="695" t="str">
        <f t="shared" si="116"/>
        <v xml:space="preserve"> </v>
      </c>
      <c r="L598" s="695" t="str">
        <f t="shared" si="117"/>
        <v xml:space="preserve"> </v>
      </c>
      <c r="M598" s="687" t="str">
        <f t="shared" si="118"/>
        <v xml:space="preserve"> </v>
      </c>
      <c r="Y598" s="626"/>
    </row>
    <row r="599" spans="1:25" s="426" customFormat="1" x14ac:dyDescent="0.25">
      <c r="A599" s="12">
        <f t="shared" si="119"/>
        <v>0</v>
      </c>
      <c r="B599" s="61" t="str">
        <f t="shared" si="110"/>
        <v>0410</v>
      </c>
      <c r="C599" s="12">
        <v>4</v>
      </c>
      <c r="D599" s="29">
        <v>0</v>
      </c>
      <c r="E599" s="12">
        <f>E591</f>
        <v>0</v>
      </c>
      <c r="F599" s="2" t="str">
        <f t="shared" si="111"/>
        <v xml:space="preserve"> </v>
      </c>
      <c r="G599" s="685" t="str">
        <f t="shared" si="112"/>
        <v xml:space="preserve"> </v>
      </c>
      <c r="H599" s="685" t="str">
        <f t="shared" si="113"/>
        <v xml:space="preserve"> </v>
      </c>
      <c r="I599" s="157" t="str">
        <f t="shared" si="114"/>
        <v xml:space="preserve"> </v>
      </c>
      <c r="J599" s="695" t="str">
        <f t="shared" si="115"/>
        <v xml:space="preserve"> </v>
      </c>
      <c r="K599" s="695" t="str">
        <f t="shared" si="116"/>
        <v xml:space="preserve"> </v>
      </c>
      <c r="L599" s="695" t="str">
        <f t="shared" si="117"/>
        <v xml:space="preserve"> </v>
      </c>
      <c r="M599" s="687" t="str">
        <f t="shared" si="118"/>
        <v xml:space="preserve"> </v>
      </c>
      <c r="Y599" s="626"/>
    </row>
    <row r="600" spans="1:25" s="426" customFormat="1" x14ac:dyDescent="0.25">
      <c r="A600" s="12">
        <f t="shared" si="119"/>
        <v>0</v>
      </c>
      <c r="B600" s="61" t="str">
        <f t="shared" si="110"/>
        <v>0412</v>
      </c>
      <c r="C600" s="12">
        <f t="shared" ref="C600:C614" si="120">S56</f>
        <v>4</v>
      </c>
      <c r="D600" s="29">
        <v>0</v>
      </c>
      <c r="E600" s="12">
        <f>E591*2</f>
        <v>0</v>
      </c>
      <c r="F600" s="2" t="str">
        <f t="shared" si="111"/>
        <v xml:space="preserve"> </v>
      </c>
      <c r="G600" s="685" t="str">
        <f t="shared" si="112"/>
        <v xml:space="preserve"> </v>
      </c>
      <c r="H600" s="685" t="str">
        <f t="shared" si="113"/>
        <v xml:space="preserve"> </v>
      </c>
      <c r="I600" s="157" t="str">
        <f t="shared" si="114"/>
        <v xml:space="preserve"> </v>
      </c>
      <c r="J600" s="695" t="str">
        <f t="shared" si="115"/>
        <v xml:space="preserve"> </v>
      </c>
      <c r="K600" s="695" t="str">
        <f t="shared" si="116"/>
        <v xml:space="preserve"> </v>
      </c>
      <c r="L600" s="695" t="str">
        <f t="shared" si="117"/>
        <v xml:space="preserve"> </v>
      </c>
      <c r="M600" s="687" t="str">
        <f t="shared" si="118"/>
        <v xml:space="preserve"> </v>
      </c>
      <c r="Y600" s="626"/>
    </row>
    <row r="601" spans="1:25" s="426" customFormat="1" x14ac:dyDescent="0.25">
      <c r="A601" s="28">
        <v>0</v>
      </c>
      <c r="B601" s="61" t="str">
        <f t="shared" si="110"/>
        <v>0427</v>
      </c>
      <c r="C601" s="12">
        <f t="shared" si="120"/>
        <v>0</v>
      </c>
      <c r="D601" s="29">
        <v>0</v>
      </c>
      <c r="E601" s="28">
        <v>0</v>
      </c>
      <c r="F601" s="2" t="str">
        <f t="shared" si="111"/>
        <v xml:space="preserve"> </v>
      </c>
      <c r="G601" s="685" t="str">
        <f t="shared" si="112"/>
        <v xml:space="preserve"> </v>
      </c>
      <c r="H601" s="685" t="str">
        <f t="shared" ref="H601:H614" si="121">IF(A601=1,F601*G601," ")</f>
        <v xml:space="preserve"> </v>
      </c>
      <c r="I601" s="157" t="str">
        <f t="shared" si="114"/>
        <v xml:space="preserve"> </v>
      </c>
      <c r="J601" s="695" t="str">
        <f t="shared" si="115"/>
        <v xml:space="preserve"> </v>
      </c>
      <c r="K601" s="695" t="str">
        <f t="shared" si="116"/>
        <v xml:space="preserve"> </v>
      </c>
      <c r="L601" s="695" t="str">
        <f t="shared" si="117"/>
        <v xml:space="preserve"> </v>
      </c>
      <c r="M601" s="687" t="str">
        <f t="shared" si="118"/>
        <v xml:space="preserve"> </v>
      </c>
      <c r="Y601" s="626"/>
    </row>
    <row r="602" spans="1:25" s="426" customFormat="1" x14ac:dyDescent="0.25">
      <c r="A602" s="28">
        <v>0</v>
      </c>
      <c r="B602" s="61" t="str">
        <f t="shared" si="110"/>
        <v>0421</v>
      </c>
      <c r="C602" s="12">
        <f t="shared" si="120"/>
        <v>0</v>
      </c>
      <c r="D602" s="29">
        <v>0</v>
      </c>
      <c r="E602" s="28">
        <v>0</v>
      </c>
      <c r="F602" s="2" t="str">
        <f t="shared" si="111"/>
        <v xml:space="preserve"> </v>
      </c>
      <c r="G602" s="685" t="str">
        <f t="shared" si="112"/>
        <v xml:space="preserve"> </v>
      </c>
      <c r="H602" s="685" t="str">
        <f t="shared" si="121"/>
        <v xml:space="preserve"> </v>
      </c>
      <c r="I602" s="157" t="str">
        <f t="shared" si="114"/>
        <v xml:space="preserve"> </v>
      </c>
      <c r="J602" s="695" t="str">
        <f t="shared" si="115"/>
        <v xml:space="preserve"> </v>
      </c>
      <c r="K602" s="695" t="str">
        <f t="shared" si="116"/>
        <v xml:space="preserve"> </v>
      </c>
      <c r="L602" s="695" t="str">
        <f t="shared" si="117"/>
        <v xml:space="preserve"> </v>
      </c>
      <c r="M602" s="687" t="str">
        <f t="shared" si="118"/>
        <v xml:space="preserve"> </v>
      </c>
      <c r="Y602" s="626"/>
    </row>
    <row r="603" spans="1:25" s="426" customFormat="1" x14ac:dyDescent="0.25">
      <c r="A603" s="28">
        <v>0</v>
      </c>
      <c r="B603" s="61" t="str">
        <f t="shared" si="110"/>
        <v>0422</v>
      </c>
      <c r="C603" s="12">
        <f t="shared" si="120"/>
        <v>0</v>
      </c>
      <c r="D603" s="29">
        <v>0</v>
      </c>
      <c r="E603" s="28">
        <v>0</v>
      </c>
      <c r="F603" s="2" t="str">
        <f t="shared" si="111"/>
        <v xml:space="preserve"> </v>
      </c>
      <c r="G603" s="685" t="str">
        <f t="shared" si="112"/>
        <v xml:space="preserve"> </v>
      </c>
      <c r="H603" s="685" t="str">
        <f t="shared" si="121"/>
        <v xml:space="preserve"> </v>
      </c>
      <c r="I603" s="157" t="str">
        <f t="shared" si="114"/>
        <v xml:space="preserve"> </v>
      </c>
      <c r="J603" s="695" t="str">
        <f t="shared" si="115"/>
        <v xml:space="preserve"> </v>
      </c>
      <c r="K603" s="695" t="str">
        <f t="shared" si="116"/>
        <v xml:space="preserve"> </v>
      </c>
      <c r="L603" s="695" t="str">
        <f t="shared" si="117"/>
        <v xml:space="preserve"> </v>
      </c>
      <c r="M603" s="687" t="str">
        <f t="shared" si="118"/>
        <v xml:space="preserve"> </v>
      </c>
      <c r="Y603" s="626"/>
    </row>
    <row r="604" spans="1:25" s="426" customFormat="1" x14ac:dyDescent="0.25">
      <c r="A604" s="12">
        <f>IF($C$581=B604,1,0)</f>
        <v>0</v>
      </c>
      <c r="B604" s="61" t="str">
        <f t="shared" si="110"/>
        <v>0452</v>
      </c>
      <c r="C604" s="12">
        <f t="shared" si="120"/>
        <v>2</v>
      </c>
      <c r="D604" s="29">
        <v>0</v>
      </c>
      <c r="E604" s="28">
        <v>0</v>
      </c>
      <c r="F604" s="2" t="str">
        <f t="shared" si="111"/>
        <v xml:space="preserve"> </v>
      </c>
      <c r="G604" s="685" t="str">
        <f t="shared" si="112"/>
        <v xml:space="preserve"> </v>
      </c>
      <c r="H604" s="685" t="str">
        <f>IF(A604=1,(F604*G604)+G604," ")</f>
        <v xml:space="preserve"> </v>
      </c>
      <c r="I604" s="157" t="str">
        <f t="shared" si="114"/>
        <v xml:space="preserve"> </v>
      </c>
      <c r="J604" s="695" t="str">
        <f t="shared" si="115"/>
        <v xml:space="preserve"> </v>
      </c>
      <c r="K604" s="695" t="str">
        <f t="shared" si="116"/>
        <v xml:space="preserve"> </v>
      </c>
      <c r="L604" s="695" t="str">
        <f t="shared" si="117"/>
        <v xml:space="preserve"> </v>
      </c>
      <c r="M604" s="687" t="str">
        <f t="shared" si="118"/>
        <v xml:space="preserve"> </v>
      </c>
      <c r="Y604" s="626"/>
    </row>
    <row r="605" spans="1:25" s="426" customFormat="1" x14ac:dyDescent="0.25">
      <c r="A605" s="12">
        <f t="shared" ref="A605:A614" si="122">IF($C$581=B605,1,0)</f>
        <v>0</v>
      </c>
      <c r="B605" s="61" t="str">
        <f t="shared" si="110"/>
        <v>0501</v>
      </c>
      <c r="C605" s="12">
        <f t="shared" si="120"/>
        <v>4</v>
      </c>
      <c r="D605" s="26">
        <f>D591</f>
        <v>0</v>
      </c>
      <c r="E605" s="28">
        <v>0</v>
      </c>
      <c r="F605" s="2" t="str">
        <f t="shared" si="111"/>
        <v xml:space="preserve"> </v>
      </c>
      <c r="G605" s="685" t="str">
        <f t="shared" si="112"/>
        <v xml:space="preserve"> </v>
      </c>
      <c r="H605" s="685" t="str">
        <f>IF(A605=1,(F605*G605)+G605," ")</f>
        <v xml:space="preserve"> </v>
      </c>
      <c r="I605" s="157" t="str">
        <f t="shared" si="114"/>
        <v xml:space="preserve"> </v>
      </c>
      <c r="J605" s="695" t="str">
        <f t="shared" si="115"/>
        <v xml:space="preserve"> </v>
      </c>
      <c r="K605" s="695" t="str">
        <f t="shared" si="116"/>
        <v xml:space="preserve"> </v>
      </c>
      <c r="L605" s="695" t="str">
        <f t="shared" si="117"/>
        <v xml:space="preserve"> </v>
      </c>
      <c r="M605" s="687" t="str">
        <f t="shared" si="118"/>
        <v xml:space="preserve"> </v>
      </c>
      <c r="Y605" s="626"/>
    </row>
    <row r="606" spans="1:25" s="426" customFormat="1" x14ac:dyDescent="0.25">
      <c r="A606" s="12">
        <f t="shared" si="122"/>
        <v>0</v>
      </c>
      <c r="B606" s="61" t="str">
        <f t="shared" si="110"/>
        <v>0401</v>
      </c>
      <c r="C606" s="12">
        <f t="shared" si="120"/>
        <v>4</v>
      </c>
      <c r="D606" s="29">
        <v>0</v>
      </c>
      <c r="E606" s="12">
        <f>E591*2</f>
        <v>0</v>
      </c>
      <c r="F606" s="2" t="str">
        <f t="shared" si="111"/>
        <v xml:space="preserve"> </v>
      </c>
      <c r="G606" s="685" t="str">
        <f t="shared" si="112"/>
        <v xml:space="preserve"> </v>
      </c>
      <c r="H606" s="685" t="str">
        <f>IF(A606=1,(F606*G606)+G606," ")</f>
        <v xml:space="preserve"> </v>
      </c>
      <c r="I606" s="157" t="str">
        <f t="shared" si="114"/>
        <v xml:space="preserve"> </v>
      </c>
      <c r="J606" s="695" t="str">
        <f t="shared" si="115"/>
        <v xml:space="preserve"> </v>
      </c>
      <c r="K606" s="695" t="str">
        <f t="shared" si="116"/>
        <v xml:space="preserve"> </v>
      </c>
      <c r="L606" s="695" t="str">
        <f t="shared" si="117"/>
        <v xml:space="preserve"> </v>
      </c>
      <c r="M606" s="687" t="str">
        <f t="shared" si="118"/>
        <v xml:space="preserve"> </v>
      </c>
      <c r="Y606" s="626"/>
    </row>
    <row r="607" spans="1:25" s="426" customFormat="1" x14ac:dyDescent="0.25">
      <c r="A607" s="28">
        <v>0</v>
      </c>
      <c r="B607" s="61" t="str">
        <f t="shared" si="110"/>
        <v>0471</v>
      </c>
      <c r="C607" s="12">
        <f t="shared" si="120"/>
        <v>0</v>
      </c>
      <c r="D607" s="29">
        <v>0</v>
      </c>
      <c r="E607" s="28">
        <v>0</v>
      </c>
      <c r="F607" s="2" t="str">
        <f t="shared" si="111"/>
        <v xml:space="preserve"> </v>
      </c>
      <c r="G607" s="685" t="str">
        <f t="shared" si="112"/>
        <v xml:space="preserve"> </v>
      </c>
      <c r="H607" s="685" t="str">
        <f t="shared" si="121"/>
        <v xml:space="preserve"> </v>
      </c>
      <c r="I607" s="157" t="str">
        <f t="shared" si="114"/>
        <v xml:space="preserve"> </v>
      </c>
      <c r="J607" s="695" t="str">
        <f t="shared" si="115"/>
        <v xml:space="preserve"> </v>
      </c>
      <c r="K607" s="695" t="str">
        <f t="shared" si="116"/>
        <v xml:space="preserve"> </v>
      </c>
      <c r="L607" s="695" t="str">
        <f t="shared" si="117"/>
        <v xml:space="preserve"> </v>
      </c>
      <c r="M607" s="687" t="str">
        <f t="shared" si="118"/>
        <v xml:space="preserve"> </v>
      </c>
      <c r="Y607" s="626"/>
    </row>
    <row r="608" spans="1:25" s="426" customFormat="1" x14ac:dyDescent="0.25">
      <c r="A608" s="28">
        <v>0</v>
      </c>
      <c r="B608" s="61" t="str">
        <f t="shared" si="110"/>
        <v>0933</v>
      </c>
      <c r="C608" s="12">
        <f t="shared" si="120"/>
        <v>0</v>
      </c>
      <c r="D608" s="992">
        <v>0</v>
      </c>
      <c r="E608" s="993">
        <v>0</v>
      </c>
      <c r="F608" s="426" t="str">
        <f t="shared" si="111"/>
        <v xml:space="preserve"> </v>
      </c>
      <c r="G608" s="685" t="str">
        <f t="shared" si="112"/>
        <v xml:space="preserve"> </v>
      </c>
      <c r="H608" s="685" t="str">
        <f t="shared" si="121"/>
        <v xml:space="preserve"> </v>
      </c>
      <c r="I608" s="157" t="str">
        <f t="shared" si="114"/>
        <v xml:space="preserve"> </v>
      </c>
      <c r="J608" s="695" t="str">
        <f t="shared" si="115"/>
        <v xml:space="preserve"> </v>
      </c>
      <c r="K608" s="695" t="str">
        <f t="shared" si="116"/>
        <v xml:space="preserve"> </v>
      </c>
      <c r="L608" s="695" t="str">
        <f t="shared" si="117"/>
        <v xml:space="preserve"> </v>
      </c>
      <c r="M608" s="687" t="str">
        <f t="shared" si="118"/>
        <v xml:space="preserve"> </v>
      </c>
      <c r="Y608" s="626"/>
    </row>
    <row r="609" spans="1:25" s="426" customFormat="1" x14ac:dyDescent="0.25">
      <c r="A609" s="28">
        <v>0</v>
      </c>
      <c r="B609" s="61" t="str">
        <f t="shared" si="110"/>
        <v>0701</v>
      </c>
      <c r="C609" s="12">
        <f t="shared" si="120"/>
        <v>0</v>
      </c>
      <c r="D609" s="992">
        <v>0</v>
      </c>
      <c r="E609" s="993">
        <v>0</v>
      </c>
      <c r="F609" s="426" t="str">
        <f t="shared" si="111"/>
        <v xml:space="preserve"> </v>
      </c>
      <c r="G609" s="685" t="str">
        <f t="shared" si="112"/>
        <v xml:space="preserve"> </v>
      </c>
      <c r="H609" s="685" t="str">
        <f t="shared" si="121"/>
        <v xml:space="preserve"> </v>
      </c>
      <c r="I609" s="157" t="str">
        <f t="shared" si="114"/>
        <v xml:space="preserve"> </v>
      </c>
      <c r="J609" s="695" t="str">
        <f t="shared" si="115"/>
        <v xml:space="preserve"> </v>
      </c>
      <c r="K609" s="695" t="str">
        <f t="shared" si="116"/>
        <v xml:space="preserve"> </v>
      </c>
      <c r="L609" s="695" t="str">
        <f t="shared" si="117"/>
        <v xml:space="preserve"> </v>
      </c>
      <c r="M609" s="687" t="str">
        <f t="shared" si="118"/>
        <v xml:space="preserve"> </v>
      </c>
      <c r="Y609" s="626"/>
    </row>
    <row r="610" spans="1:25" s="426" customFormat="1" x14ac:dyDescent="0.25">
      <c r="A610" s="12">
        <f t="shared" si="122"/>
        <v>0</v>
      </c>
      <c r="B610" s="61">
        <f t="shared" si="110"/>
        <v>0</v>
      </c>
      <c r="C610" s="12">
        <f t="shared" si="120"/>
        <v>0</v>
      </c>
      <c r="D610" s="992">
        <v>0</v>
      </c>
      <c r="E610" s="993">
        <v>0</v>
      </c>
      <c r="F610" s="426" t="str">
        <f t="shared" si="111"/>
        <v xml:space="preserve"> </v>
      </c>
      <c r="G610" s="685" t="str">
        <f t="shared" si="112"/>
        <v xml:space="preserve"> </v>
      </c>
      <c r="H610" s="685" t="str">
        <f t="shared" si="121"/>
        <v xml:space="preserve"> </v>
      </c>
      <c r="I610" s="157" t="str">
        <f t="shared" si="114"/>
        <v xml:space="preserve"> </v>
      </c>
      <c r="J610" s="695" t="str">
        <f t="shared" si="115"/>
        <v xml:space="preserve"> </v>
      </c>
      <c r="K610" s="695" t="str">
        <f t="shared" si="116"/>
        <v xml:space="preserve"> </v>
      </c>
      <c r="L610" s="695" t="str">
        <f t="shared" si="117"/>
        <v xml:space="preserve"> </v>
      </c>
      <c r="M610" s="687" t="str">
        <f t="shared" si="118"/>
        <v xml:space="preserve"> </v>
      </c>
      <c r="Y610" s="626"/>
    </row>
    <row r="611" spans="1:25" s="426" customFormat="1" x14ac:dyDescent="0.25">
      <c r="A611" s="12">
        <f t="shared" si="122"/>
        <v>0</v>
      </c>
      <c r="B611" s="61">
        <f t="shared" si="110"/>
        <v>0</v>
      </c>
      <c r="C611" s="12">
        <f t="shared" si="120"/>
        <v>0</v>
      </c>
      <c r="D611" s="992">
        <v>0</v>
      </c>
      <c r="E611" s="993">
        <v>0</v>
      </c>
      <c r="F611" s="426" t="str">
        <f t="shared" si="111"/>
        <v xml:space="preserve"> </v>
      </c>
      <c r="G611" s="685" t="str">
        <f t="shared" si="112"/>
        <v xml:space="preserve"> </v>
      </c>
      <c r="H611" s="685" t="str">
        <f t="shared" si="121"/>
        <v xml:space="preserve"> </v>
      </c>
      <c r="I611" s="157" t="str">
        <f t="shared" si="114"/>
        <v xml:space="preserve"> </v>
      </c>
      <c r="J611" s="695" t="str">
        <f t="shared" si="115"/>
        <v xml:space="preserve"> </v>
      </c>
      <c r="K611" s="695" t="str">
        <f t="shared" si="116"/>
        <v xml:space="preserve"> </v>
      </c>
      <c r="L611" s="695" t="str">
        <f t="shared" si="117"/>
        <v xml:space="preserve"> </v>
      </c>
      <c r="M611" s="687" t="str">
        <f t="shared" si="118"/>
        <v xml:space="preserve"> </v>
      </c>
      <c r="Y611" s="626"/>
    </row>
    <row r="612" spans="1:25" s="426" customFormat="1" x14ac:dyDescent="0.25">
      <c r="A612" s="12">
        <f t="shared" si="122"/>
        <v>0</v>
      </c>
      <c r="B612" s="61">
        <f t="shared" si="110"/>
        <v>0</v>
      </c>
      <c r="C612" s="12">
        <f t="shared" si="120"/>
        <v>0</v>
      </c>
      <c r="D612" s="992">
        <v>0</v>
      </c>
      <c r="E612" s="993">
        <v>0</v>
      </c>
      <c r="F612" s="426" t="str">
        <f t="shared" si="111"/>
        <v xml:space="preserve"> </v>
      </c>
      <c r="G612" s="685" t="str">
        <f t="shared" si="112"/>
        <v xml:space="preserve"> </v>
      </c>
      <c r="H612" s="685" t="str">
        <f t="shared" si="121"/>
        <v xml:space="preserve"> </v>
      </c>
      <c r="I612" s="157" t="str">
        <f t="shared" si="114"/>
        <v xml:space="preserve"> </v>
      </c>
      <c r="J612" s="695" t="str">
        <f t="shared" si="115"/>
        <v xml:space="preserve"> </v>
      </c>
      <c r="K612" s="695" t="str">
        <f t="shared" si="116"/>
        <v xml:space="preserve"> </v>
      </c>
      <c r="L612" s="695" t="str">
        <f t="shared" si="117"/>
        <v xml:space="preserve"> </v>
      </c>
      <c r="M612" s="687" t="str">
        <f t="shared" si="118"/>
        <v xml:space="preserve"> </v>
      </c>
      <c r="Y612" s="626"/>
    </row>
    <row r="613" spans="1:25" s="426" customFormat="1" x14ac:dyDescent="0.25">
      <c r="A613" s="12">
        <f t="shared" si="122"/>
        <v>0</v>
      </c>
      <c r="B613" s="61">
        <f t="shared" si="110"/>
        <v>0</v>
      </c>
      <c r="C613" s="12">
        <f t="shared" si="120"/>
        <v>0</v>
      </c>
      <c r="D613" s="992">
        <v>0</v>
      </c>
      <c r="E613" s="993">
        <v>0</v>
      </c>
      <c r="F613" s="426" t="str">
        <f t="shared" si="111"/>
        <v xml:space="preserve"> </v>
      </c>
      <c r="G613" s="685" t="str">
        <f t="shared" si="112"/>
        <v xml:space="preserve"> </v>
      </c>
      <c r="H613" s="685" t="str">
        <f t="shared" si="121"/>
        <v xml:space="preserve"> </v>
      </c>
      <c r="I613" s="157" t="str">
        <f t="shared" si="114"/>
        <v xml:space="preserve"> </v>
      </c>
      <c r="J613" s="695" t="str">
        <f t="shared" si="115"/>
        <v xml:space="preserve"> </v>
      </c>
      <c r="K613" s="695" t="str">
        <f t="shared" si="116"/>
        <v xml:space="preserve"> </v>
      </c>
      <c r="L613" s="695" t="str">
        <f t="shared" si="117"/>
        <v xml:space="preserve"> </v>
      </c>
      <c r="M613" s="687" t="str">
        <f t="shared" si="118"/>
        <v xml:space="preserve"> </v>
      </c>
      <c r="Y613" s="626"/>
    </row>
    <row r="614" spans="1:25" s="426" customFormat="1" x14ac:dyDescent="0.25">
      <c r="A614" s="13">
        <f t="shared" si="122"/>
        <v>0</v>
      </c>
      <c r="B614" s="689">
        <f t="shared" si="110"/>
        <v>0</v>
      </c>
      <c r="C614" s="13">
        <f t="shared" si="120"/>
        <v>0</v>
      </c>
      <c r="D614" s="994">
        <v>0</v>
      </c>
      <c r="E614" s="995">
        <v>0</v>
      </c>
      <c r="F614" s="430" t="str">
        <f t="shared" si="111"/>
        <v xml:space="preserve"> </v>
      </c>
      <c r="G614" s="691" t="str">
        <f t="shared" si="112"/>
        <v xml:space="preserve"> </v>
      </c>
      <c r="H614" s="691" t="str">
        <f t="shared" si="121"/>
        <v xml:space="preserve"> </v>
      </c>
      <c r="I614" s="693" t="str">
        <f t="shared" si="114"/>
        <v xml:space="preserve"> </v>
      </c>
      <c r="J614" s="696" t="str">
        <f>IF(A614=1,($C$585/1000)," ")</f>
        <v xml:space="preserve"> </v>
      </c>
      <c r="K614" s="696" t="str">
        <f t="shared" si="116"/>
        <v xml:space="preserve"> </v>
      </c>
      <c r="L614" s="696" t="str">
        <f t="shared" si="117"/>
        <v xml:space="preserve"> </v>
      </c>
      <c r="M614" s="197" t="str">
        <f t="shared" si="118"/>
        <v xml:space="preserve"> </v>
      </c>
      <c r="Y614" s="626"/>
    </row>
    <row r="615" spans="1:25" s="426" customFormat="1" x14ac:dyDescent="0.25">
      <c r="B615" s="407"/>
      <c r="L615" s="426" t="s">
        <v>763</v>
      </c>
      <c r="M615" s="634">
        <f>IF(SUM(A594:A614)&gt;0,VLOOKUP(1,A594:M614,13,FALSE),0)</f>
        <v>11</v>
      </c>
      <c r="Y615" s="626"/>
    </row>
    <row r="616" spans="1:25" s="426" customFormat="1" x14ac:dyDescent="0.25">
      <c r="B616" s="407"/>
      <c r="Y616" s="626"/>
    </row>
    <row r="617" spans="1:25" s="426" customFormat="1" ht="12.75" x14ac:dyDescent="0.2">
      <c r="A617" s="426">
        <f>A575</f>
        <v>0</v>
      </c>
      <c r="B617" s="426" t="s">
        <v>759</v>
      </c>
      <c r="C617" s="1179">
        <f>IF(A617=1,C575*D570*W577,0)</f>
        <v>0</v>
      </c>
      <c r="Y617" s="626"/>
    </row>
    <row r="618" spans="1:25" s="426" customFormat="1" ht="12.75" x14ac:dyDescent="0.2">
      <c r="A618" s="426">
        <f>A576</f>
        <v>0</v>
      </c>
      <c r="B618" s="426" t="s">
        <v>760</v>
      </c>
      <c r="C618" s="635">
        <f>IF(A618=1,C576*D570*W577,0)</f>
        <v>0</v>
      </c>
      <c r="Y618" s="626"/>
    </row>
    <row r="619" spans="1:25" s="426" customFormat="1" ht="12.75" x14ac:dyDescent="0.2">
      <c r="A619" s="426">
        <f>A577</f>
        <v>0</v>
      </c>
      <c r="B619" s="426" t="s">
        <v>1028</v>
      </c>
      <c r="C619" s="1178">
        <v>0</v>
      </c>
      <c r="D619" s="426">
        <f>IF(A619=1,(C577*D570)+((C3*C578)/60)*D570,IF(A619=0,((C3*C578)/60)*D570))</f>
        <v>3.4027777777777781</v>
      </c>
      <c r="Y619" s="626"/>
    </row>
    <row r="620" spans="1:25" s="426" customFormat="1" ht="12.75" x14ac:dyDescent="0.2">
      <c r="A620" s="426">
        <f>A617</f>
        <v>0</v>
      </c>
      <c r="B620" s="426" t="s">
        <v>1043</v>
      </c>
      <c r="C620" s="635">
        <f>R578*C571</f>
        <v>8.8800000000000008</v>
      </c>
      <c r="Y620" s="626"/>
    </row>
    <row r="621" spans="1:25" s="426" customFormat="1" ht="12.75" x14ac:dyDescent="0.2">
      <c r="B621" s="615" t="s">
        <v>762</v>
      </c>
      <c r="C621" s="629">
        <f>SUM(C617:C620)</f>
        <v>8.8800000000000008</v>
      </c>
      <c r="D621" s="669"/>
      <c r="Y621" s="626"/>
    </row>
    <row r="622" spans="1:25" s="426" customFormat="1" ht="12.75" x14ac:dyDescent="0.2">
      <c r="B622" s="615"/>
      <c r="Y622" s="626"/>
    </row>
    <row r="623" spans="1:25" s="426" customFormat="1" ht="12.75" x14ac:dyDescent="0.2">
      <c r="B623" s="615"/>
      <c r="Y623" s="626"/>
    </row>
    <row r="624" spans="1:25" s="426" customFormat="1" ht="12.75" x14ac:dyDescent="0.2">
      <c r="A624" s="426">
        <f>IF(C568=1,1,0)</f>
        <v>0</v>
      </c>
      <c r="B624" s="615" t="s">
        <v>711</v>
      </c>
      <c r="C624" s="1177">
        <f>IF(A624=1,((M615*C586)/60)*D570,0)</f>
        <v>0</v>
      </c>
      <c r="Y624" s="626"/>
    </row>
    <row r="625" spans="1:25" s="426" customFormat="1" ht="12.75" x14ac:dyDescent="0.2">
      <c r="B625" s="615"/>
      <c r="Y625" s="626"/>
    </row>
    <row r="626" spans="1:25" s="430" customFormat="1" ht="12.75" x14ac:dyDescent="0.2">
      <c r="B626" s="678"/>
      <c r="Y626" s="651"/>
    </row>
    <row r="627" spans="1:25" s="426" customFormat="1" ht="12.75" x14ac:dyDescent="0.2">
      <c r="B627" s="615"/>
      <c r="Y627" s="626"/>
    </row>
    <row r="628" spans="1:25" s="426" customFormat="1" ht="13.5" thickBot="1" x14ac:dyDescent="0.25">
      <c r="B628" s="615"/>
      <c r="D628" s="626" t="s">
        <v>674</v>
      </c>
      <c r="Y628" s="626"/>
    </row>
    <row r="629" spans="1:25" s="426" customFormat="1" ht="13.5" thickBot="1" x14ac:dyDescent="0.25">
      <c r="B629" s="641" t="s">
        <v>664</v>
      </c>
      <c r="C629" s="643">
        <f>J366</f>
        <v>0</v>
      </c>
      <c r="D629" s="642">
        <f>IF(C629=1,D698+D710,0)</f>
        <v>0</v>
      </c>
      <c r="Y629" s="626"/>
    </row>
    <row r="630" spans="1:25" s="426" customFormat="1" x14ac:dyDescent="0.25">
      <c r="K630" s="77" t="s">
        <v>4</v>
      </c>
      <c r="L630"/>
      <c r="M630"/>
      <c r="Y630" s="626"/>
    </row>
    <row r="631" spans="1:25" s="426" customFormat="1" x14ac:dyDescent="0.25">
      <c r="K631" s="1062" t="str">
        <f>IF(AND(VLOOKUP(1,$A$113:$C$116,3,FALSE)&gt;0,$C$15=L631),1," ")</f>
        <v xml:space="preserve"> </v>
      </c>
      <c r="L631" s="1071" t="str">
        <f t="shared" ref="L631:L638" si="123">B121</f>
        <v>Onbedrukt / minder dan 10%</v>
      </c>
      <c r="M631" s="567">
        <v>200</v>
      </c>
      <c r="Y631" s="626"/>
    </row>
    <row r="632" spans="1:25" s="426" customFormat="1" x14ac:dyDescent="0.25">
      <c r="B632" s="426" t="s">
        <v>678</v>
      </c>
      <c r="C632" s="633">
        <f>'Tarieven (4)'!C5</f>
        <v>550</v>
      </c>
      <c r="D632" s="633">
        <f>C632/60</f>
        <v>9.1666666666666661</v>
      </c>
      <c r="K632" s="12" t="str">
        <f t="shared" ref="K632:K638" si="124">IF(AND(VLOOKUP(1,$A$113:$C$116,3,FALSE)&gt;0,$C$15=L632),1," ")</f>
        <v xml:space="preserve"> </v>
      </c>
      <c r="L632" s="1072" t="str">
        <f t="shared" si="123"/>
        <v>10%</v>
      </c>
      <c r="M632" s="30">
        <v>180</v>
      </c>
      <c r="Y632" s="626"/>
    </row>
    <row r="633" spans="1:25" s="426" customFormat="1" x14ac:dyDescent="0.25">
      <c r="C633" s="635"/>
      <c r="D633" s="635"/>
      <c r="K633" s="12" t="str">
        <f t="shared" si="124"/>
        <v xml:space="preserve"> </v>
      </c>
      <c r="L633" s="1072" t="str">
        <f t="shared" si="123"/>
        <v>20%</v>
      </c>
      <c r="M633" s="30">
        <v>170</v>
      </c>
      <c r="Y633" s="626"/>
    </row>
    <row r="634" spans="1:25" s="426" customFormat="1" x14ac:dyDescent="0.25">
      <c r="A634" s="426" t="s">
        <v>61</v>
      </c>
      <c r="B634" s="426" t="s">
        <v>679</v>
      </c>
      <c r="C634" s="636" t="s">
        <v>680</v>
      </c>
      <c r="D634" s="635"/>
      <c r="K634" s="12" t="str">
        <f t="shared" si="124"/>
        <v xml:space="preserve"> </v>
      </c>
      <c r="L634" s="1072" t="str">
        <f t="shared" si="123"/>
        <v>30%</v>
      </c>
      <c r="M634" s="30">
        <v>160</v>
      </c>
      <c r="Y634" s="626"/>
    </row>
    <row r="635" spans="1:25" s="426" customFormat="1" x14ac:dyDescent="0.25">
      <c r="A635" s="626">
        <f>IF(C629=1,1,0)</f>
        <v>0</v>
      </c>
      <c r="B635" s="426" t="s">
        <v>675</v>
      </c>
      <c r="C635" s="637">
        <v>8</v>
      </c>
      <c r="D635" s="426" t="s">
        <v>683</v>
      </c>
      <c r="F635" s="426" t="s">
        <v>686</v>
      </c>
      <c r="H635" s="626"/>
      <c r="K635" s="12" t="str">
        <f t="shared" si="124"/>
        <v xml:space="preserve"> </v>
      </c>
      <c r="L635" s="1072" t="str">
        <f t="shared" si="123"/>
        <v>40%</v>
      </c>
      <c r="M635" s="30">
        <v>140</v>
      </c>
      <c r="Y635" s="626"/>
    </row>
    <row r="636" spans="1:25" s="426" customFormat="1" x14ac:dyDescent="0.25">
      <c r="A636" s="626">
        <f>IF(AND(C629=1,C131&gt;0),1,0)</f>
        <v>0</v>
      </c>
      <c r="B636" s="426" t="s">
        <v>676</v>
      </c>
      <c r="C636" s="637">
        <v>5</v>
      </c>
      <c r="D636" s="426" t="s">
        <v>683</v>
      </c>
      <c r="F636" s="634">
        <v>1</v>
      </c>
      <c r="G636" s="634">
        <v>2</v>
      </c>
      <c r="H636" s="626"/>
      <c r="K636" s="12" t="str">
        <f t="shared" si="124"/>
        <v xml:space="preserve"> </v>
      </c>
      <c r="L636" s="1072" t="str">
        <f t="shared" si="123"/>
        <v>60%</v>
      </c>
      <c r="M636" s="30">
        <v>100</v>
      </c>
      <c r="Y636" s="626"/>
    </row>
    <row r="637" spans="1:25" s="426" customFormat="1" x14ac:dyDescent="0.25">
      <c r="A637" s="626">
        <f>IF(AND(C629=1,C111&gt;0),C111,0)</f>
        <v>0</v>
      </c>
      <c r="B637" s="426" t="s">
        <v>677</v>
      </c>
      <c r="C637" s="634">
        <f>IF(A637&gt;0,HLOOKUP(A637,F636:G637,2,FALSE),0)</f>
        <v>0</v>
      </c>
      <c r="D637" s="426" t="s">
        <v>683</v>
      </c>
      <c r="F637" s="644">
        <v>2</v>
      </c>
      <c r="G637" s="644">
        <v>3</v>
      </c>
      <c r="K637" s="12" t="str">
        <f t="shared" si="124"/>
        <v xml:space="preserve"> </v>
      </c>
      <c r="L637" s="1072" t="str">
        <f t="shared" si="123"/>
        <v>80%</v>
      </c>
      <c r="M637" s="30">
        <v>80</v>
      </c>
      <c r="Y637" s="626"/>
    </row>
    <row r="638" spans="1:25" s="426" customFormat="1" x14ac:dyDescent="0.25">
      <c r="A638" s="626">
        <f>IF(AND(C629=1,C111&gt;0),C111,0)</f>
        <v>0</v>
      </c>
      <c r="B638" s="426" t="s">
        <v>681</v>
      </c>
      <c r="C638" s="637">
        <v>3</v>
      </c>
      <c r="D638" s="426" t="s">
        <v>683</v>
      </c>
      <c r="K638" s="13" t="str">
        <f t="shared" si="124"/>
        <v xml:space="preserve"> </v>
      </c>
      <c r="L638" s="1073" t="str">
        <f t="shared" si="123"/>
        <v>100%</v>
      </c>
      <c r="M638" s="30">
        <v>80</v>
      </c>
      <c r="Y638" s="626"/>
    </row>
    <row r="639" spans="1:25" s="426" customFormat="1" x14ac:dyDescent="0.25">
      <c r="A639" s="626">
        <f>IF(AND(C629=1,C131&gt;0),1,0)</f>
        <v>0</v>
      </c>
      <c r="B639" s="426" t="s">
        <v>690</v>
      </c>
      <c r="C639" s="637">
        <v>3</v>
      </c>
      <c r="D639" s="426" t="s">
        <v>691</v>
      </c>
      <c r="K639" s="415"/>
      <c r="L639" s="1069" t="s">
        <v>1019</v>
      </c>
      <c r="M639" s="1008">
        <f>IF(SUM(K631:K638)&gt;0,VLOOKUP(1,K631:M638,3,FALSE),9999)</f>
        <v>9999</v>
      </c>
      <c r="Y639" s="626"/>
    </row>
    <row r="640" spans="1:25" s="426" customFormat="1" x14ac:dyDescent="0.25">
      <c r="K640" s="2"/>
      <c r="L640" s="1067"/>
      <c r="M640" s="2"/>
      <c r="Y640" s="626"/>
    </row>
    <row r="641" spans="1:25" s="426" customFormat="1" x14ac:dyDescent="0.25">
      <c r="B641" s="426" t="s">
        <v>682</v>
      </c>
      <c r="C641" s="637">
        <v>6</v>
      </c>
      <c r="D641" s="426" t="s">
        <v>684</v>
      </c>
      <c r="I641" s="972"/>
      <c r="K641" s="2"/>
      <c r="L641" s="1067"/>
      <c r="M641" s="2"/>
      <c r="Y641" s="626"/>
    </row>
    <row r="642" spans="1:25" s="426" customFormat="1" x14ac:dyDescent="0.25">
      <c r="K642" s="2"/>
      <c r="L642" s="1067"/>
      <c r="M642" s="2"/>
      <c r="Y642" s="626"/>
    </row>
    <row r="643" spans="1:25" s="426" customFormat="1" x14ac:dyDescent="0.25">
      <c r="B643" s="426" t="s">
        <v>1292</v>
      </c>
      <c r="C643" s="1047">
        <f>D402</f>
        <v>0</v>
      </c>
      <c r="K643" s="2"/>
      <c r="L643" s="1067"/>
      <c r="M643" s="2"/>
      <c r="Y643" s="626"/>
    </row>
    <row r="644" spans="1:25" s="426" customFormat="1" x14ac:dyDescent="0.25">
      <c r="K644" s="2"/>
      <c r="L644" s="1067"/>
      <c r="M644" s="2"/>
      <c r="Y644" s="626"/>
    </row>
    <row r="645" spans="1:25" s="426" customFormat="1" ht="12.75" x14ac:dyDescent="0.2">
      <c r="B645" s="426" t="s">
        <v>99</v>
      </c>
      <c r="C645" s="628">
        <f>E445</f>
        <v>361</v>
      </c>
      <c r="D645" s="426" t="s">
        <v>25</v>
      </c>
      <c r="Y645" s="626"/>
    </row>
    <row r="646" spans="1:25" s="426" customFormat="1" ht="12.75" x14ac:dyDescent="0.2">
      <c r="B646" s="426" t="s">
        <v>100</v>
      </c>
      <c r="C646" s="628">
        <f>F445</f>
        <v>1150</v>
      </c>
      <c r="D646" s="426" t="s">
        <v>25</v>
      </c>
      <c r="Y646" s="626"/>
    </row>
    <row r="647" spans="1:25" s="426" customFormat="1" ht="12.75" x14ac:dyDescent="0.2">
      <c r="Y647" s="626"/>
    </row>
    <row r="648" spans="1:25" s="426" customFormat="1" ht="12.75" x14ac:dyDescent="0.2">
      <c r="Y648" s="626"/>
    </row>
    <row r="649" spans="1:25" s="426" customFormat="1" ht="12.75" x14ac:dyDescent="0.2">
      <c r="A649" s="652"/>
      <c r="B649" s="653"/>
      <c r="C649" s="628"/>
      <c r="D649" s="628" t="s">
        <v>697</v>
      </c>
      <c r="E649" s="652" t="s">
        <v>698</v>
      </c>
      <c r="F649" s="659" t="s">
        <v>701</v>
      </c>
      <c r="G649" s="634" t="s">
        <v>702</v>
      </c>
      <c r="H649" s="661" t="s">
        <v>989</v>
      </c>
      <c r="I649" s="661" t="s">
        <v>703</v>
      </c>
      <c r="Y649" s="626"/>
    </row>
    <row r="650" spans="1:25" s="426" customFormat="1" ht="12.75" x14ac:dyDescent="0.2">
      <c r="A650" s="429"/>
      <c r="B650" s="430" t="s">
        <v>696</v>
      </c>
      <c r="C650" s="145">
        <f>AS46</f>
        <v>1</v>
      </c>
      <c r="D650" s="145">
        <f>IF(C643=1,1,(C6/C7)*C650)</f>
        <v>1.2</v>
      </c>
      <c r="E650" s="658">
        <f>IF(C643=1,1,C650*(C8/C6))</f>
        <v>0.33333333333333331</v>
      </c>
      <c r="F650" s="660">
        <f>VLOOKUP(1,A655:D660,4,FALSE)*VLOOKUP(1,E655:H660,4,FALSE)</f>
        <v>1</v>
      </c>
      <c r="G650" s="1086">
        <f>AY46</f>
        <v>0.9</v>
      </c>
      <c r="H650" s="971">
        <f>VLOOKUP(1,A148:N156,N145,FALSE)</f>
        <v>1</v>
      </c>
      <c r="I650" s="662">
        <f>F650*G650*H650</f>
        <v>0.9</v>
      </c>
      <c r="Y650" s="626"/>
    </row>
    <row r="651" spans="1:25" s="426" customFormat="1" ht="12.75" x14ac:dyDescent="0.2">
      <c r="C651" s="626"/>
      <c r="Y651" s="626"/>
    </row>
    <row r="652" spans="1:25" s="426" customFormat="1" ht="12.75" x14ac:dyDescent="0.2">
      <c r="C652" s="626"/>
      <c r="Y652" s="626"/>
    </row>
    <row r="653" spans="1:25" s="426" customFormat="1" x14ac:dyDescent="0.25">
      <c r="A653" s="405"/>
      <c r="B653" s="1302" t="s">
        <v>699</v>
      </c>
      <c r="C653" s="1303"/>
      <c r="D653" s="243"/>
      <c r="E653" s="433"/>
      <c r="F653" s="1302" t="s">
        <v>700</v>
      </c>
      <c r="G653" s="1303"/>
      <c r="H653" s="442"/>
      <c r="Y653" s="626"/>
    </row>
    <row r="654" spans="1:25" s="426" customFormat="1" x14ac:dyDescent="0.25">
      <c r="A654" s="339"/>
      <c r="B654" s="1292"/>
      <c r="C654" s="1293"/>
      <c r="D654" s="244"/>
      <c r="E654" s="7"/>
      <c r="F654" s="432"/>
      <c r="G654" s="436"/>
      <c r="H654" s="13"/>
      <c r="Y654" s="626"/>
    </row>
    <row r="655" spans="1:25" s="426" customFormat="1" x14ac:dyDescent="0.25">
      <c r="A655" s="399">
        <f t="shared" ref="A655:A660" si="125">IF(AND($D$650&gt;=B655,$D$650&lt;C655),1,0)</f>
        <v>1</v>
      </c>
      <c r="B655" s="567">
        <v>0</v>
      </c>
      <c r="C655" s="567">
        <v>2.5</v>
      </c>
      <c r="D655" s="655">
        <v>1</v>
      </c>
      <c r="E655" s="423">
        <f>IF(AND($E$650&gt;=F655,$E$650&lt;G655),1,0)</f>
        <v>1</v>
      </c>
      <c r="F655" s="567">
        <v>0</v>
      </c>
      <c r="G655" s="486">
        <v>2</v>
      </c>
      <c r="H655" s="655">
        <v>1</v>
      </c>
      <c r="Y655" s="626"/>
    </row>
    <row r="656" spans="1:25" s="426" customFormat="1" x14ac:dyDescent="0.25">
      <c r="A656" s="120">
        <f t="shared" si="125"/>
        <v>0</v>
      </c>
      <c r="B656" s="30">
        <v>2.5</v>
      </c>
      <c r="C656" s="30">
        <v>3</v>
      </c>
      <c r="D656" s="656">
        <v>0.95</v>
      </c>
      <c r="E656" s="228">
        <f t="shared" ref="E656:E660" si="126">IF(AND($E$650&gt;=F656,$E$650&lt;G656),1,0)</f>
        <v>0</v>
      </c>
      <c r="F656" s="30">
        <v>2</v>
      </c>
      <c r="G656" s="28">
        <v>2.5</v>
      </c>
      <c r="H656" s="656">
        <v>0.95</v>
      </c>
      <c r="Y656" s="626"/>
    </row>
    <row r="657" spans="1:55" s="426" customFormat="1" x14ac:dyDescent="0.25">
      <c r="A657" s="120">
        <f t="shared" si="125"/>
        <v>0</v>
      </c>
      <c r="B657" s="30">
        <v>3</v>
      </c>
      <c r="C657" s="30">
        <v>3.5</v>
      </c>
      <c r="D657" s="656">
        <v>0.9</v>
      </c>
      <c r="E657" s="228">
        <f t="shared" si="126"/>
        <v>0</v>
      </c>
      <c r="F657" s="30">
        <v>2.5</v>
      </c>
      <c r="G657" s="28">
        <v>3.5</v>
      </c>
      <c r="H657" s="656">
        <v>0.9</v>
      </c>
      <c r="Y657" s="626"/>
    </row>
    <row r="658" spans="1:55" s="426" customFormat="1" x14ac:dyDescent="0.25">
      <c r="A658" s="120">
        <f t="shared" si="125"/>
        <v>0</v>
      </c>
      <c r="B658" s="30">
        <v>3.5</v>
      </c>
      <c r="C658" s="30">
        <v>4</v>
      </c>
      <c r="D658" s="656">
        <v>0.8</v>
      </c>
      <c r="E658" s="228">
        <f t="shared" si="126"/>
        <v>0</v>
      </c>
      <c r="F658" s="30">
        <v>3.5</v>
      </c>
      <c r="G658" s="28">
        <v>4</v>
      </c>
      <c r="H658" s="656">
        <v>0.85</v>
      </c>
      <c r="Y658" s="626"/>
    </row>
    <row r="659" spans="1:55" s="426" customFormat="1" x14ac:dyDescent="0.25">
      <c r="A659" s="120">
        <f t="shared" si="125"/>
        <v>0</v>
      </c>
      <c r="B659" s="30">
        <v>4</v>
      </c>
      <c r="C659" s="30">
        <v>5</v>
      </c>
      <c r="D659" s="656">
        <v>0.75</v>
      </c>
      <c r="E659" s="228">
        <f t="shared" si="126"/>
        <v>0</v>
      </c>
      <c r="F659" s="30">
        <v>4</v>
      </c>
      <c r="G659" s="28">
        <v>5.5</v>
      </c>
      <c r="H659" s="656">
        <v>0.8</v>
      </c>
      <c r="Y659" s="626"/>
    </row>
    <row r="660" spans="1:55" s="426" customFormat="1" x14ac:dyDescent="0.25">
      <c r="A660" s="202">
        <f t="shared" si="125"/>
        <v>0</v>
      </c>
      <c r="B660" s="490">
        <v>5</v>
      </c>
      <c r="C660" s="490">
        <v>99</v>
      </c>
      <c r="D660" s="657">
        <v>0.7</v>
      </c>
      <c r="E660" s="424">
        <f t="shared" si="126"/>
        <v>0</v>
      </c>
      <c r="F660" s="490">
        <v>5.5</v>
      </c>
      <c r="G660" s="34">
        <v>99</v>
      </c>
      <c r="H660" s="657">
        <v>0.75</v>
      </c>
      <c r="Y660" s="626"/>
    </row>
    <row r="661" spans="1:55" s="426" customFormat="1" ht="12.75" x14ac:dyDescent="0.2">
      <c r="C661" s="626"/>
      <c r="Y661" s="626"/>
    </row>
    <row r="662" spans="1:55" s="426" customFormat="1" ht="12.75" x14ac:dyDescent="0.2">
      <c r="Y662" s="626"/>
    </row>
    <row r="663" spans="1:55" s="426" customFormat="1" x14ac:dyDescent="0.25">
      <c r="A663"/>
      <c r="B663" s="2"/>
      <c r="C663" s="2"/>
      <c r="D663" s="431">
        <v>4</v>
      </c>
      <c r="E663" s="449">
        <v>5</v>
      </c>
      <c r="F663" s="449">
        <v>6</v>
      </c>
      <c r="G663" s="449">
        <v>7</v>
      </c>
      <c r="H663" s="449">
        <v>8</v>
      </c>
      <c r="I663" s="449">
        <v>9</v>
      </c>
      <c r="J663" s="449">
        <v>10</v>
      </c>
      <c r="K663" s="449">
        <v>11</v>
      </c>
      <c r="L663" s="449">
        <v>12</v>
      </c>
      <c r="M663" s="449">
        <v>13</v>
      </c>
      <c r="N663" s="449">
        <v>14</v>
      </c>
      <c r="O663" s="449">
        <v>15</v>
      </c>
      <c r="P663" s="449">
        <v>16</v>
      </c>
      <c r="Q663" s="449">
        <v>17</v>
      </c>
      <c r="R663" s="449">
        <v>18</v>
      </c>
      <c r="S663" s="449">
        <v>19</v>
      </c>
      <c r="T663" s="449">
        <v>20</v>
      </c>
      <c r="U663" s="449">
        <v>21</v>
      </c>
      <c r="V663" s="449">
        <v>22</v>
      </c>
      <c r="W663" s="449">
        <v>23</v>
      </c>
      <c r="X663" s="449">
        <v>24</v>
      </c>
      <c r="Y663" s="449">
        <v>25</v>
      </c>
      <c r="Z663" s="435">
        <v>26</v>
      </c>
      <c r="AA663"/>
    </row>
    <row r="664" spans="1:55" s="426" customFormat="1" x14ac:dyDescent="0.25">
      <c r="A664" s="405"/>
      <c r="B664" s="449"/>
      <c r="C664" s="449"/>
      <c r="D664" s="208">
        <f>IF(AND($C$646&gt;=D665,$C$646&lt;D666),1,0)</f>
        <v>0</v>
      </c>
      <c r="E664" s="23">
        <f t="shared" ref="E664:Z664" si="127">IF(AND($C$646&gt;=E665,$C$646&lt;E666),1,0)</f>
        <v>0</v>
      </c>
      <c r="F664" s="23">
        <f t="shared" si="127"/>
        <v>0</v>
      </c>
      <c r="G664" s="23">
        <f t="shared" si="127"/>
        <v>0</v>
      </c>
      <c r="H664" s="23">
        <f t="shared" si="127"/>
        <v>0</v>
      </c>
      <c r="I664" s="23">
        <f t="shared" si="127"/>
        <v>1</v>
      </c>
      <c r="J664" s="23">
        <f t="shared" si="127"/>
        <v>0</v>
      </c>
      <c r="K664" s="23">
        <f t="shared" si="127"/>
        <v>0</v>
      </c>
      <c r="L664" s="23">
        <f t="shared" si="127"/>
        <v>0</v>
      </c>
      <c r="M664" s="23">
        <f t="shared" si="127"/>
        <v>0</v>
      </c>
      <c r="N664" s="23">
        <f t="shared" si="127"/>
        <v>0</v>
      </c>
      <c r="O664" s="23">
        <f t="shared" si="127"/>
        <v>0</v>
      </c>
      <c r="P664" s="23">
        <f t="shared" si="127"/>
        <v>0</v>
      </c>
      <c r="Q664" s="23">
        <f t="shared" si="127"/>
        <v>0</v>
      </c>
      <c r="R664" s="23">
        <f t="shared" si="127"/>
        <v>0</v>
      </c>
      <c r="S664" s="23">
        <f t="shared" si="127"/>
        <v>0</v>
      </c>
      <c r="T664" s="23">
        <f t="shared" si="127"/>
        <v>0</v>
      </c>
      <c r="U664" s="23">
        <f t="shared" si="127"/>
        <v>0</v>
      </c>
      <c r="V664" s="23">
        <f t="shared" si="127"/>
        <v>0</v>
      </c>
      <c r="W664" s="23">
        <f t="shared" si="127"/>
        <v>0</v>
      </c>
      <c r="X664" s="23">
        <f t="shared" si="127"/>
        <v>0</v>
      </c>
      <c r="Y664" s="23">
        <f t="shared" si="127"/>
        <v>0</v>
      </c>
      <c r="Z664" s="38">
        <f t="shared" si="127"/>
        <v>0</v>
      </c>
      <c r="AA664"/>
      <c r="AD664" s="719"/>
      <c r="AE664" s="3"/>
      <c r="AF664" s="435"/>
      <c r="AG664" s="208">
        <f>IF(AND($C$646&gt;=AG665,$C$646&lt;AG666),1,0)</f>
        <v>0</v>
      </c>
      <c r="AH664" s="23">
        <f t="shared" ref="AH664:BC664" si="128">IF(AND($C$646&gt;=AH665,$C$646&lt;AH666),1,0)</f>
        <v>0</v>
      </c>
      <c r="AI664" s="23">
        <f t="shared" si="128"/>
        <v>0</v>
      </c>
      <c r="AJ664" s="23">
        <f t="shared" si="128"/>
        <v>0</v>
      </c>
      <c r="AK664" s="23">
        <f t="shared" si="128"/>
        <v>0</v>
      </c>
      <c r="AL664" s="23">
        <f t="shared" si="128"/>
        <v>1</v>
      </c>
      <c r="AM664" s="23">
        <f t="shared" si="128"/>
        <v>0</v>
      </c>
      <c r="AN664" s="23">
        <f t="shared" si="128"/>
        <v>0</v>
      </c>
      <c r="AO664" s="23">
        <f t="shared" si="128"/>
        <v>0</v>
      </c>
      <c r="AP664" s="23">
        <f t="shared" si="128"/>
        <v>0</v>
      </c>
      <c r="AQ664" s="23">
        <f t="shared" si="128"/>
        <v>0</v>
      </c>
      <c r="AR664" s="23">
        <f t="shared" si="128"/>
        <v>0</v>
      </c>
      <c r="AS664" s="23">
        <f t="shared" si="128"/>
        <v>0</v>
      </c>
      <c r="AT664" s="23">
        <f t="shared" si="128"/>
        <v>0</v>
      </c>
      <c r="AU664" s="23">
        <f t="shared" si="128"/>
        <v>0</v>
      </c>
      <c r="AV664" s="23">
        <f t="shared" si="128"/>
        <v>0</v>
      </c>
      <c r="AW664" s="23">
        <f t="shared" si="128"/>
        <v>0</v>
      </c>
      <c r="AX664" s="23">
        <f t="shared" si="128"/>
        <v>0</v>
      </c>
      <c r="AY664" s="23">
        <f t="shared" si="128"/>
        <v>0</v>
      </c>
      <c r="AZ664" s="23">
        <f t="shared" si="128"/>
        <v>0</v>
      </c>
      <c r="BA664" s="23">
        <f t="shared" si="128"/>
        <v>0</v>
      </c>
      <c r="BB664" s="23">
        <f t="shared" si="128"/>
        <v>0</v>
      </c>
      <c r="BC664" s="38">
        <f t="shared" si="128"/>
        <v>0</v>
      </c>
    </row>
    <row r="665" spans="1:55" s="426" customFormat="1" x14ac:dyDescent="0.25">
      <c r="A665" s="339"/>
      <c r="B665" s="2"/>
      <c r="C665" s="25"/>
      <c r="D665" s="2">
        <v>600</v>
      </c>
      <c r="E665" s="2">
        <v>700</v>
      </c>
      <c r="F665" s="2">
        <v>800</v>
      </c>
      <c r="G665" s="2">
        <v>900</v>
      </c>
      <c r="H665" s="2">
        <v>1000</v>
      </c>
      <c r="I665" s="2">
        <v>1100</v>
      </c>
      <c r="J665" s="2">
        <v>1200</v>
      </c>
      <c r="K665" s="2">
        <v>1300</v>
      </c>
      <c r="L665" s="2">
        <v>1400</v>
      </c>
      <c r="M665" s="2">
        <v>1500</v>
      </c>
      <c r="N665" s="2">
        <v>1600</v>
      </c>
      <c r="O665" s="2">
        <v>1700</v>
      </c>
      <c r="P665" s="2">
        <v>1800</v>
      </c>
      <c r="Q665" s="2">
        <v>1900</v>
      </c>
      <c r="R665" s="2">
        <v>2000</v>
      </c>
      <c r="S665" s="2">
        <v>2100</v>
      </c>
      <c r="T665" s="2">
        <v>2200</v>
      </c>
      <c r="U665" s="2">
        <v>2300</v>
      </c>
      <c r="V665" s="2">
        <v>2400</v>
      </c>
      <c r="W665" s="2">
        <v>2500</v>
      </c>
      <c r="X665" s="2">
        <v>2600</v>
      </c>
      <c r="Y665" s="2">
        <v>2700</v>
      </c>
      <c r="Z665" s="25">
        <v>2800</v>
      </c>
      <c r="AA665"/>
      <c r="AD665" s="713"/>
      <c r="AE665" s="26"/>
      <c r="AF665" s="25"/>
      <c r="AG665" s="2">
        <v>600</v>
      </c>
      <c r="AH665" s="2">
        <v>700</v>
      </c>
      <c r="AI665" s="2">
        <v>800</v>
      </c>
      <c r="AJ665" s="2">
        <v>900</v>
      </c>
      <c r="AK665" s="2">
        <v>1000</v>
      </c>
      <c r="AL665" s="2">
        <v>1100</v>
      </c>
      <c r="AM665" s="2">
        <v>1200</v>
      </c>
      <c r="AN665" s="2">
        <v>1300</v>
      </c>
      <c r="AO665" s="2">
        <v>1400</v>
      </c>
      <c r="AP665" s="2">
        <v>1500</v>
      </c>
      <c r="AQ665" s="2">
        <v>1600</v>
      </c>
      <c r="AR665" s="2">
        <v>1700</v>
      </c>
      <c r="AS665" s="2">
        <v>1800</v>
      </c>
      <c r="AT665" s="2">
        <v>1900</v>
      </c>
      <c r="AU665" s="2">
        <v>2000</v>
      </c>
      <c r="AV665" s="2">
        <v>2100</v>
      </c>
      <c r="AW665" s="2">
        <v>2200</v>
      </c>
      <c r="AX665" s="2">
        <v>2300</v>
      </c>
      <c r="AY665" s="2">
        <v>2400</v>
      </c>
      <c r="AZ665" s="2">
        <v>2500</v>
      </c>
      <c r="BA665" s="2">
        <v>2600</v>
      </c>
      <c r="BB665" s="2">
        <v>2700</v>
      </c>
      <c r="BC665" s="25">
        <v>2800</v>
      </c>
    </row>
    <row r="666" spans="1:55" s="426" customFormat="1" ht="15.75" thickBot="1" x14ac:dyDescent="0.3">
      <c r="A666" s="650"/>
      <c r="B666" s="343"/>
      <c r="C666" s="436"/>
      <c r="D666" s="2">
        <v>700</v>
      </c>
      <c r="E666" s="2">
        <v>800</v>
      </c>
      <c r="F666" s="2">
        <v>900</v>
      </c>
      <c r="G666" s="2">
        <v>1000</v>
      </c>
      <c r="H666" s="2">
        <v>1100</v>
      </c>
      <c r="I666" s="2">
        <v>1200</v>
      </c>
      <c r="J666" s="2">
        <v>1300</v>
      </c>
      <c r="K666" s="2">
        <v>1400</v>
      </c>
      <c r="L666" s="2">
        <v>1500</v>
      </c>
      <c r="M666" s="2">
        <v>1600</v>
      </c>
      <c r="N666" s="2">
        <v>1700</v>
      </c>
      <c r="O666" s="2">
        <v>1800</v>
      </c>
      <c r="P666" s="2">
        <v>1900</v>
      </c>
      <c r="Q666" s="2">
        <v>2000</v>
      </c>
      <c r="R666" s="2">
        <v>2100</v>
      </c>
      <c r="S666" s="2">
        <v>2200</v>
      </c>
      <c r="T666" s="2">
        <v>2300</v>
      </c>
      <c r="U666" s="2">
        <v>2400</v>
      </c>
      <c r="V666" s="2">
        <v>2500</v>
      </c>
      <c r="W666" s="2">
        <v>2600</v>
      </c>
      <c r="X666" s="2">
        <v>2700</v>
      </c>
      <c r="Y666" s="2">
        <v>2800</v>
      </c>
      <c r="Z666" s="25">
        <v>3000</v>
      </c>
      <c r="AA666"/>
      <c r="AD666" s="713"/>
      <c r="AE666" s="432"/>
      <c r="AF666" s="966"/>
      <c r="AG666" s="343">
        <v>700</v>
      </c>
      <c r="AH666" s="343">
        <v>800</v>
      </c>
      <c r="AI666" s="343">
        <v>900</v>
      </c>
      <c r="AJ666" s="343">
        <v>1000</v>
      </c>
      <c r="AK666" s="343">
        <v>1100</v>
      </c>
      <c r="AL666" s="343">
        <v>1200</v>
      </c>
      <c r="AM666" s="343">
        <v>1300</v>
      </c>
      <c r="AN666" s="343">
        <v>1400</v>
      </c>
      <c r="AO666" s="343">
        <v>1500</v>
      </c>
      <c r="AP666" s="343">
        <v>1600</v>
      </c>
      <c r="AQ666" s="343">
        <v>1700</v>
      </c>
      <c r="AR666" s="343">
        <v>1800</v>
      </c>
      <c r="AS666" s="343">
        <v>1900</v>
      </c>
      <c r="AT666" s="343">
        <v>2000</v>
      </c>
      <c r="AU666" s="343">
        <v>2100</v>
      </c>
      <c r="AV666" s="343">
        <v>2200</v>
      </c>
      <c r="AW666" s="343">
        <v>2300</v>
      </c>
      <c r="AX666" s="343">
        <v>2400</v>
      </c>
      <c r="AY666" s="343">
        <v>2500</v>
      </c>
      <c r="AZ666" s="343">
        <v>2600</v>
      </c>
      <c r="BA666" s="343">
        <v>2700</v>
      </c>
      <c r="BB666" s="343">
        <v>2800</v>
      </c>
      <c r="BC666" s="436">
        <v>3000</v>
      </c>
    </row>
    <row r="667" spans="1:55" s="426" customFormat="1" ht="15.75" thickBot="1" x14ac:dyDescent="0.3">
      <c r="A667" s="404">
        <f>IF(AND($C$645&gt;=B667,$C$645&lt;C667),1,0)</f>
        <v>0</v>
      </c>
      <c r="B667" s="2">
        <v>300</v>
      </c>
      <c r="C667" s="2">
        <v>350</v>
      </c>
      <c r="D667" s="3">
        <f>FLOOR($AD$667*AG667,1)</f>
        <v>281</v>
      </c>
      <c r="E667" s="449">
        <f t="shared" ref="E667:T671" si="129">FLOOR($AD$667*AH667,1)</f>
        <v>280</v>
      </c>
      <c r="F667" s="449">
        <f t="shared" si="129"/>
        <v>277</v>
      </c>
      <c r="G667" s="449">
        <f t="shared" si="129"/>
        <v>276</v>
      </c>
      <c r="H667" s="449">
        <f t="shared" si="129"/>
        <v>274</v>
      </c>
      <c r="I667" s="449">
        <f t="shared" si="129"/>
        <v>273</v>
      </c>
      <c r="J667" s="449">
        <f t="shared" si="129"/>
        <v>272</v>
      </c>
      <c r="K667" s="449">
        <f t="shared" si="129"/>
        <v>270</v>
      </c>
      <c r="L667" s="449">
        <f t="shared" si="129"/>
        <v>268</v>
      </c>
      <c r="M667" s="449">
        <f t="shared" si="129"/>
        <v>267</v>
      </c>
      <c r="N667" s="449">
        <f t="shared" si="129"/>
        <v>265</v>
      </c>
      <c r="O667" s="449">
        <f t="shared" si="129"/>
        <v>264</v>
      </c>
      <c r="P667" s="449">
        <f t="shared" si="129"/>
        <v>262</v>
      </c>
      <c r="Q667" s="449">
        <f t="shared" si="129"/>
        <v>260</v>
      </c>
      <c r="R667" s="449">
        <f t="shared" si="129"/>
        <v>259</v>
      </c>
      <c r="S667" s="449">
        <f t="shared" si="129"/>
        <v>258</v>
      </c>
      <c r="T667" s="449">
        <f t="shared" si="129"/>
        <v>256</v>
      </c>
      <c r="U667" s="449">
        <f t="shared" ref="U667:Z671" si="130">FLOOR($AD$667*AX667,1)</f>
        <v>255</v>
      </c>
      <c r="V667" s="449">
        <f t="shared" si="130"/>
        <v>253</v>
      </c>
      <c r="W667" s="449">
        <f t="shared" si="130"/>
        <v>252</v>
      </c>
      <c r="X667" s="449">
        <f t="shared" si="130"/>
        <v>250</v>
      </c>
      <c r="Y667" s="449">
        <f t="shared" si="130"/>
        <v>248</v>
      </c>
      <c r="Z667" s="435">
        <f t="shared" si="130"/>
        <v>248</v>
      </c>
      <c r="AA667" s="1304" t="s">
        <v>687</v>
      </c>
      <c r="AD667" s="1058">
        <v>0.8</v>
      </c>
      <c r="AE667" s="2">
        <v>300</v>
      </c>
      <c r="AF667" s="25">
        <v>350</v>
      </c>
      <c r="AG667" s="645">
        <v>352</v>
      </c>
      <c r="AH667" s="646">
        <v>350</v>
      </c>
      <c r="AI667" s="646">
        <v>347</v>
      </c>
      <c r="AJ667" s="646">
        <v>345</v>
      </c>
      <c r="AK667" s="646">
        <v>343</v>
      </c>
      <c r="AL667" s="646">
        <v>342</v>
      </c>
      <c r="AM667" s="646">
        <v>340</v>
      </c>
      <c r="AN667" s="646">
        <v>338</v>
      </c>
      <c r="AO667" s="646">
        <v>336</v>
      </c>
      <c r="AP667" s="646">
        <v>334</v>
      </c>
      <c r="AQ667" s="646">
        <v>332</v>
      </c>
      <c r="AR667" s="646">
        <v>330</v>
      </c>
      <c r="AS667" s="646">
        <v>328</v>
      </c>
      <c r="AT667" s="646">
        <v>326</v>
      </c>
      <c r="AU667" s="646">
        <v>324</v>
      </c>
      <c r="AV667" s="646">
        <v>323</v>
      </c>
      <c r="AW667" s="646">
        <v>321</v>
      </c>
      <c r="AX667" s="22">
        <v>319</v>
      </c>
      <c r="AY667" s="22">
        <v>317</v>
      </c>
      <c r="AZ667" s="22">
        <v>315</v>
      </c>
      <c r="BA667" s="647">
        <v>313</v>
      </c>
      <c r="BB667" s="647">
        <v>311</v>
      </c>
      <c r="BC667" s="567">
        <v>311</v>
      </c>
    </row>
    <row r="668" spans="1:55" s="426" customFormat="1" x14ac:dyDescent="0.25">
      <c r="A668" s="41">
        <f t="shared" ref="A668:A688" si="131">IF(AND($C$645&gt;=B668,$C$645&lt;C668),1,0)</f>
        <v>1</v>
      </c>
      <c r="B668" s="2">
        <v>350</v>
      </c>
      <c r="C668" s="2">
        <v>400</v>
      </c>
      <c r="D668" s="26">
        <f t="shared" ref="D668:D671" si="132">FLOOR($AD$667*AG668,1)</f>
        <v>279</v>
      </c>
      <c r="E668" s="2">
        <f t="shared" si="129"/>
        <v>277</v>
      </c>
      <c r="F668" s="2">
        <f t="shared" si="129"/>
        <v>276</v>
      </c>
      <c r="G668" s="2">
        <f t="shared" si="129"/>
        <v>274</v>
      </c>
      <c r="H668" s="2">
        <f t="shared" si="129"/>
        <v>273</v>
      </c>
      <c r="I668" s="2">
        <f t="shared" si="129"/>
        <v>272</v>
      </c>
      <c r="J668" s="2">
        <f t="shared" si="129"/>
        <v>270</v>
      </c>
      <c r="K668" s="2">
        <f t="shared" si="129"/>
        <v>268</v>
      </c>
      <c r="L668" s="2">
        <f t="shared" si="129"/>
        <v>267</v>
      </c>
      <c r="M668" s="2">
        <f t="shared" si="129"/>
        <v>265</v>
      </c>
      <c r="N668" s="2">
        <f t="shared" si="129"/>
        <v>264</v>
      </c>
      <c r="O668" s="2">
        <f t="shared" si="129"/>
        <v>262</v>
      </c>
      <c r="P668" s="2">
        <f t="shared" si="129"/>
        <v>260</v>
      </c>
      <c r="Q668" s="2">
        <f t="shared" si="129"/>
        <v>259</v>
      </c>
      <c r="R668" s="2">
        <f t="shared" si="129"/>
        <v>258</v>
      </c>
      <c r="S668" s="2">
        <f t="shared" si="129"/>
        <v>256</v>
      </c>
      <c r="T668" s="2">
        <f t="shared" si="129"/>
        <v>255</v>
      </c>
      <c r="U668" s="2">
        <f t="shared" si="130"/>
        <v>253</v>
      </c>
      <c r="V668" s="2">
        <f t="shared" si="130"/>
        <v>252</v>
      </c>
      <c r="W668" s="2">
        <f t="shared" si="130"/>
        <v>250</v>
      </c>
      <c r="X668" s="2">
        <f t="shared" si="130"/>
        <v>180</v>
      </c>
      <c r="Y668" s="2">
        <f t="shared" si="130"/>
        <v>247</v>
      </c>
      <c r="Z668" s="25">
        <f t="shared" si="130"/>
        <v>247</v>
      </c>
      <c r="AA668" s="1305"/>
      <c r="AD668" s="713"/>
      <c r="AE668" s="26">
        <v>350</v>
      </c>
      <c r="AF668" s="25">
        <v>400</v>
      </c>
      <c r="AG668" s="29">
        <v>349</v>
      </c>
      <c r="AH668" s="22">
        <v>347</v>
      </c>
      <c r="AI668" s="22">
        <v>345</v>
      </c>
      <c r="AJ668" s="22">
        <v>343</v>
      </c>
      <c r="AK668" s="22">
        <v>342</v>
      </c>
      <c r="AL668" s="22">
        <v>340</v>
      </c>
      <c r="AM668" s="22">
        <v>338</v>
      </c>
      <c r="AN668" s="22">
        <v>336</v>
      </c>
      <c r="AO668" s="22">
        <v>334</v>
      </c>
      <c r="AP668" s="22">
        <v>332</v>
      </c>
      <c r="AQ668" s="22">
        <v>330</v>
      </c>
      <c r="AR668" s="22">
        <v>328</v>
      </c>
      <c r="AS668" s="22">
        <v>326</v>
      </c>
      <c r="AT668" s="22">
        <v>324</v>
      </c>
      <c r="AU668" s="22">
        <v>323</v>
      </c>
      <c r="AV668" s="22">
        <v>321</v>
      </c>
      <c r="AW668" s="22">
        <v>319</v>
      </c>
      <c r="AX668" s="22">
        <v>317</v>
      </c>
      <c r="AY668" s="22">
        <v>315</v>
      </c>
      <c r="AZ668" s="22">
        <v>313</v>
      </c>
      <c r="BA668" s="647">
        <v>226</v>
      </c>
      <c r="BB668" s="647">
        <v>309</v>
      </c>
      <c r="BC668" s="30">
        <v>309</v>
      </c>
    </row>
    <row r="669" spans="1:55" s="426" customFormat="1" x14ac:dyDescent="0.25">
      <c r="A669" s="41">
        <f t="shared" si="131"/>
        <v>0</v>
      </c>
      <c r="B669" s="2">
        <v>400</v>
      </c>
      <c r="C669" s="2">
        <v>450</v>
      </c>
      <c r="D669" s="26">
        <f t="shared" si="132"/>
        <v>276</v>
      </c>
      <c r="E669" s="2">
        <f t="shared" si="129"/>
        <v>275</v>
      </c>
      <c r="F669" s="2">
        <f t="shared" si="129"/>
        <v>273</v>
      </c>
      <c r="G669" s="2">
        <f t="shared" si="129"/>
        <v>272</v>
      </c>
      <c r="H669" s="2">
        <f t="shared" si="129"/>
        <v>271</v>
      </c>
      <c r="I669" s="2">
        <f t="shared" si="129"/>
        <v>269</v>
      </c>
      <c r="J669" s="2">
        <f t="shared" si="129"/>
        <v>268</v>
      </c>
      <c r="K669" s="2">
        <f t="shared" si="129"/>
        <v>266</v>
      </c>
      <c r="L669" s="2">
        <f t="shared" si="129"/>
        <v>264</v>
      </c>
      <c r="M669" s="2">
        <f t="shared" si="129"/>
        <v>263</v>
      </c>
      <c r="N669" s="2">
        <f t="shared" si="129"/>
        <v>261</v>
      </c>
      <c r="O669" s="2">
        <f t="shared" si="129"/>
        <v>260</v>
      </c>
      <c r="P669" s="2">
        <f t="shared" si="129"/>
        <v>258</v>
      </c>
      <c r="Q669" s="2">
        <f t="shared" si="129"/>
        <v>257</v>
      </c>
      <c r="R669" s="2">
        <f t="shared" si="129"/>
        <v>256</v>
      </c>
      <c r="S669" s="2">
        <f t="shared" si="129"/>
        <v>254</v>
      </c>
      <c r="T669" s="2">
        <f t="shared" si="129"/>
        <v>252</v>
      </c>
      <c r="U669" s="2">
        <f t="shared" si="130"/>
        <v>251</v>
      </c>
      <c r="V669" s="2">
        <f t="shared" si="130"/>
        <v>249</v>
      </c>
      <c r="W669" s="2">
        <f t="shared" si="130"/>
        <v>248</v>
      </c>
      <c r="X669" s="2">
        <f t="shared" si="130"/>
        <v>246</v>
      </c>
      <c r="Y669" s="2">
        <f t="shared" si="130"/>
        <v>244</v>
      </c>
      <c r="Z669" s="25">
        <f t="shared" si="130"/>
        <v>243</v>
      </c>
      <c r="AA669" s="1305"/>
      <c r="AD669" s="713"/>
      <c r="AE669" s="26">
        <v>400</v>
      </c>
      <c r="AF669" s="25">
        <v>450</v>
      </c>
      <c r="AG669" s="29">
        <v>346</v>
      </c>
      <c r="AH669" s="22">
        <v>344</v>
      </c>
      <c r="AI669" s="22">
        <v>342</v>
      </c>
      <c r="AJ669" s="22">
        <v>341</v>
      </c>
      <c r="AK669" s="22">
        <v>339</v>
      </c>
      <c r="AL669" s="22">
        <v>337</v>
      </c>
      <c r="AM669" s="22">
        <v>335</v>
      </c>
      <c r="AN669" s="22">
        <v>333</v>
      </c>
      <c r="AO669" s="22">
        <v>331</v>
      </c>
      <c r="AP669" s="22">
        <v>329</v>
      </c>
      <c r="AQ669" s="22">
        <v>327</v>
      </c>
      <c r="AR669" s="22">
        <v>325</v>
      </c>
      <c r="AS669" s="22">
        <v>323</v>
      </c>
      <c r="AT669" s="22">
        <v>322</v>
      </c>
      <c r="AU669" s="22">
        <v>320</v>
      </c>
      <c r="AV669" s="22">
        <v>318</v>
      </c>
      <c r="AW669" s="22">
        <v>316</v>
      </c>
      <c r="AX669" s="22">
        <v>314</v>
      </c>
      <c r="AY669" s="22">
        <v>312</v>
      </c>
      <c r="AZ669" s="22">
        <v>310</v>
      </c>
      <c r="BA669" s="647">
        <v>308</v>
      </c>
      <c r="BB669" s="647">
        <v>306</v>
      </c>
      <c r="BC669" s="30">
        <v>304</v>
      </c>
    </row>
    <row r="670" spans="1:55" s="426" customFormat="1" x14ac:dyDescent="0.25">
      <c r="A670" s="41">
        <f t="shared" si="131"/>
        <v>0</v>
      </c>
      <c r="B670" s="2">
        <v>450</v>
      </c>
      <c r="C670" s="2">
        <v>500</v>
      </c>
      <c r="D670" s="26">
        <f t="shared" si="132"/>
        <v>274</v>
      </c>
      <c r="E670" s="2">
        <f t="shared" si="129"/>
        <v>273</v>
      </c>
      <c r="F670" s="2">
        <f t="shared" si="129"/>
        <v>273</v>
      </c>
      <c r="G670" s="2">
        <f t="shared" si="129"/>
        <v>272</v>
      </c>
      <c r="H670" s="2">
        <f t="shared" si="129"/>
        <v>270</v>
      </c>
      <c r="I670" s="2">
        <f t="shared" si="129"/>
        <v>268</v>
      </c>
      <c r="J670" s="2">
        <f t="shared" si="129"/>
        <v>267</v>
      </c>
      <c r="K670" s="2">
        <f t="shared" si="129"/>
        <v>265</v>
      </c>
      <c r="L670" s="2">
        <f t="shared" si="129"/>
        <v>264</v>
      </c>
      <c r="M670" s="2">
        <f t="shared" si="129"/>
        <v>262</v>
      </c>
      <c r="N670" s="2">
        <f t="shared" si="129"/>
        <v>260</v>
      </c>
      <c r="O670" s="2">
        <f t="shared" si="129"/>
        <v>259</v>
      </c>
      <c r="P670" s="2">
        <f t="shared" si="129"/>
        <v>258</v>
      </c>
      <c r="Q670" s="2">
        <f t="shared" si="129"/>
        <v>256</v>
      </c>
      <c r="R670" s="2">
        <f t="shared" si="129"/>
        <v>255</v>
      </c>
      <c r="S670" s="2">
        <f t="shared" si="129"/>
        <v>253</v>
      </c>
      <c r="T670" s="2">
        <f t="shared" si="129"/>
        <v>252</v>
      </c>
      <c r="U670" s="2">
        <f t="shared" si="130"/>
        <v>250</v>
      </c>
      <c r="V670" s="2">
        <f t="shared" si="130"/>
        <v>248</v>
      </c>
      <c r="W670" s="2">
        <f t="shared" si="130"/>
        <v>247</v>
      </c>
      <c r="X670" s="2">
        <f t="shared" si="130"/>
        <v>245</v>
      </c>
      <c r="Y670" s="2">
        <f t="shared" si="130"/>
        <v>244</v>
      </c>
      <c r="Z670" s="25">
        <f t="shared" si="130"/>
        <v>241</v>
      </c>
      <c r="AA670" s="1305"/>
      <c r="AD670" s="713"/>
      <c r="AE670" s="26">
        <v>450</v>
      </c>
      <c r="AF670" s="25">
        <v>500</v>
      </c>
      <c r="AG670" s="29">
        <v>343</v>
      </c>
      <c r="AH670" s="22">
        <v>342</v>
      </c>
      <c r="AI670" s="22">
        <v>342</v>
      </c>
      <c r="AJ670" s="22">
        <v>340</v>
      </c>
      <c r="AK670" s="22">
        <v>338</v>
      </c>
      <c r="AL670" s="22">
        <v>336</v>
      </c>
      <c r="AM670" s="22">
        <v>334</v>
      </c>
      <c r="AN670" s="22">
        <v>332</v>
      </c>
      <c r="AO670" s="22">
        <v>330</v>
      </c>
      <c r="AP670" s="22">
        <v>328</v>
      </c>
      <c r="AQ670" s="22">
        <v>326</v>
      </c>
      <c r="AR670" s="22">
        <v>324</v>
      </c>
      <c r="AS670" s="22">
        <v>323</v>
      </c>
      <c r="AT670" s="22">
        <v>321</v>
      </c>
      <c r="AU670" s="22">
        <v>319</v>
      </c>
      <c r="AV670" s="22">
        <v>317</v>
      </c>
      <c r="AW670" s="22">
        <v>315</v>
      </c>
      <c r="AX670" s="22">
        <v>313</v>
      </c>
      <c r="AY670" s="22">
        <v>311</v>
      </c>
      <c r="AZ670" s="22">
        <v>309</v>
      </c>
      <c r="BA670" s="647">
        <v>307</v>
      </c>
      <c r="BB670" s="647">
        <v>305</v>
      </c>
      <c r="BC670" s="30">
        <v>302</v>
      </c>
    </row>
    <row r="671" spans="1:55" s="426" customFormat="1" ht="15.75" thickBot="1" x14ac:dyDescent="0.3">
      <c r="A671" s="52">
        <f t="shared" si="131"/>
        <v>0</v>
      </c>
      <c r="B671" s="2">
        <v>500</v>
      </c>
      <c r="C671" s="2">
        <v>575</v>
      </c>
      <c r="D671" s="26">
        <f t="shared" si="132"/>
        <v>272</v>
      </c>
      <c r="E671" s="2">
        <f t="shared" si="129"/>
        <v>272</v>
      </c>
      <c r="F671" s="2">
        <f t="shared" si="129"/>
        <v>271</v>
      </c>
      <c r="G671" s="2">
        <f t="shared" si="129"/>
        <v>270</v>
      </c>
      <c r="H671" s="2">
        <f t="shared" si="129"/>
        <v>269</v>
      </c>
      <c r="I671" s="2">
        <f t="shared" si="129"/>
        <v>267</v>
      </c>
      <c r="J671" s="2">
        <f t="shared" si="129"/>
        <v>264</v>
      </c>
      <c r="K671" s="2">
        <f t="shared" si="129"/>
        <v>262</v>
      </c>
      <c r="L671" s="2">
        <f t="shared" si="129"/>
        <v>260</v>
      </c>
      <c r="M671" s="2">
        <f t="shared" si="129"/>
        <v>258</v>
      </c>
      <c r="N671" s="2">
        <f t="shared" si="129"/>
        <v>257</v>
      </c>
      <c r="O671" s="2">
        <f t="shared" si="129"/>
        <v>256</v>
      </c>
      <c r="P671" s="2">
        <f t="shared" si="129"/>
        <v>256</v>
      </c>
      <c r="Q671" s="2">
        <f t="shared" si="129"/>
        <v>255</v>
      </c>
      <c r="R671" s="2">
        <f t="shared" si="129"/>
        <v>253</v>
      </c>
      <c r="S671" s="2">
        <f t="shared" si="129"/>
        <v>252</v>
      </c>
      <c r="T671" s="2">
        <f t="shared" si="129"/>
        <v>250</v>
      </c>
      <c r="U671" s="2">
        <f t="shared" si="130"/>
        <v>248</v>
      </c>
      <c r="V671" s="2">
        <f t="shared" si="130"/>
        <v>247</v>
      </c>
      <c r="W671" s="2">
        <f t="shared" si="130"/>
        <v>245</v>
      </c>
      <c r="X671" s="2">
        <f t="shared" si="130"/>
        <v>243</v>
      </c>
      <c r="Y671" s="2">
        <f t="shared" si="130"/>
        <v>242</v>
      </c>
      <c r="Z671" s="25">
        <f t="shared" si="130"/>
        <v>238</v>
      </c>
      <c r="AA671" s="1306"/>
      <c r="AD671" s="713"/>
      <c r="AE671" s="26">
        <v>500</v>
      </c>
      <c r="AF671" s="25">
        <v>575</v>
      </c>
      <c r="AG671" s="29">
        <v>341</v>
      </c>
      <c r="AH671" s="22">
        <v>340</v>
      </c>
      <c r="AI671" s="22">
        <v>339</v>
      </c>
      <c r="AJ671" s="22">
        <v>338</v>
      </c>
      <c r="AK671" s="22">
        <v>337</v>
      </c>
      <c r="AL671" s="22">
        <v>334</v>
      </c>
      <c r="AM671" s="22">
        <v>331</v>
      </c>
      <c r="AN671" s="22">
        <v>328</v>
      </c>
      <c r="AO671" s="22">
        <v>325</v>
      </c>
      <c r="AP671" s="22">
        <v>323</v>
      </c>
      <c r="AQ671" s="22">
        <v>322</v>
      </c>
      <c r="AR671" s="22">
        <v>321</v>
      </c>
      <c r="AS671" s="22">
        <v>320</v>
      </c>
      <c r="AT671" s="22">
        <v>319</v>
      </c>
      <c r="AU671" s="22">
        <v>317</v>
      </c>
      <c r="AV671" s="22">
        <v>315</v>
      </c>
      <c r="AW671" s="22">
        <v>313</v>
      </c>
      <c r="AX671" s="22">
        <v>311</v>
      </c>
      <c r="AY671" s="22">
        <v>309</v>
      </c>
      <c r="AZ671" s="22">
        <v>307</v>
      </c>
      <c r="BA671" s="647">
        <v>304</v>
      </c>
      <c r="BB671" s="647">
        <v>303</v>
      </c>
      <c r="BC671" s="30">
        <v>298</v>
      </c>
    </row>
    <row r="672" spans="1:55" s="426" customFormat="1" ht="15.75" thickBot="1" x14ac:dyDescent="0.3">
      <c r="A672" s="404">
        <f t="shared" si="131"/>
        <v>0</v>
      </c>
      <c r="B672" s="449">
        <v>575</v>
      </c>
      <c r="C672" s="449">
        <v>600</v>
      </c>
      <c r="D672" s="3">
        <f>FLOOR($AD$672*AG672,1)</f>
        <v>191</v>
      </c>
      <c r="E672" s="449">
        <f t="shared" ref="E672:T684" si="133">FLOOR($AD$672*AH672,1)</f>
        <v>188</v>
      </c>
      <c r="F672" s="449">
        <f t="shared" si="133"/>
        <v>186</v>
      </c>
      <c r="G672" s="449">
        <f t="shared" si="133"/>
        <v>184</v>
      </c>
      <c r="H672" s="449">
        <f t="shared" si="133"/>
        <v>181</v>
      </c>
      <c r="I672" s="449">
        <f t="shared" si="133"/>
        <v>179</v>
      </c>
      <c r="J672" s="449">
        <f t="shared" si="133"/>
        <v>177</v>
      </c>
      <c r="K672" s="449">
        <f t="shared" si="133"/>
        <v>174</v>
      </c>
      <c r="L672" s="449">
        <f t="shared" si="133"/>
        <v>172</v>
      </c>
      <c r="M672" s="449">
        <f t="shared" si="133"/>
        <v>170</v>
      </c>
      <c r="N672" s="449">
        <f t="shared" si="133"/>
        <v>167</v>
      </c>
      <c r="O672" s="449">
        <f t="shared" si="133"/>
        <v>166</v>
      </c>
      <c r="P672" s="449">
        <f t="shared" si="133"/>
        <v>163</v>
      </c>
      <c r="Q672" s="449">
        <f t="shared" si="133"/>
        <v>161</v>
      </c>
      <c r="R672" s="449">
        <f t="shared" si="133"/>
        <v>158</v>
      </c>
      <c r="S672" s="449">
        <f t="shared" si="133"/>
        <v>156</v>
      </c>
      <c r="T672" s="449">
        <f t="shared" si="133"/>
        <v>153</v>
      </c>
      <c r="U672" s="449">
        <f t="shared" ref="U672:Z684" si="134">FLOOR($AD$672*AX672,1)</f>
        <v>151</v>
      </c>
      <c r="V672" s="449">
        <f t="shared" si="134"/>
        <v>148</v>
      </c>
      <c r="W672" s="449">
        <f t="shared" si="134"/>
        <v>146</v>
      </c>
      <c r="X672" s="449">
        <f t="shared" si="134"/>
        <v>144</v>
      </c>
      <c r="Y672" s="449">
        <f t="shared" si="134"/>
        <v>141</v>
      </c>
      <c r="Z672" s="435">
        <f t="shared" si="134"/>
        <v>140</v>
      </c>
      <c r="AA672" s="1307" t="s">
        <v>688</v>
      </c>
      <c r="AD672" s="1058">
        <v>0.78</v>
      </c>
      <c r="AE672" s="449">
        <v>575</v>
      </c>
      <c r="AF672" s="435">
        <v>600</v>
      </c>
      <c r="AG672" s="645">
        <v>245</v>
      </c>
      <c r="AH672" s="646">
        <v>242</v>
      </c>
      <c r="AI672" s="646">
        <v>239</v>
      </c>
      <c r="AJ672" s="646">
        <v>236</v>
      </c>
      <c r="AK672" s="646">
        <v>233</v>
      </c>
      <c r="AL672" s="646">
        <v>230</v>
      </c>
      <c r="AM672" s="646">
        <v>227</v>
      </c>
      <c r="AN672" s="646">
        <v>224</v>
      </c>
      <c r="AO672" s="646">
        <v>221</v>
      </c>
      <c r="AP672" s="646">
        <v>218</v>
      </c>
      <c r="AQ672" s="646">
        <v>215</v>
      </c>
      <c r="AR672" s="646">
        <v>213</v>
      </c>
      <c r="AS672" s="646">
        <v>210</v>
      </c>
      <c r="AT672" s="646">
        <v>207</v>
      </c>
      <c r="AU672" s="646">
        <v>203</v>
      </c>
      <c r="AV672" s="646">
        <v>200</v>
      </c>
      <c r="AW672" s="646">
        <v>197</v>
      </c>
      <c r="AX672" s="646">
        <v>194</v>
      </c>
      <c r="AY672" s="646">
        <v>191</v>
      </c>
      <c r="AZ672" s="646">
        <v>188</v>
      </c>
      <c r="BA672" s="648">
        <v>185</v>
      </c>
      <c r="BB672" s="648">
        <v>182</v>
      </c>
      <c r="BC672" s="567">
        <v>180</v>
      </c>
    </row>
    <row r="673" spans="1:55" s="426" customFormat="1" x14ac:dyDescent="0.25">
      <c r="A673" s="41">
        <f t="shared" si="131"/>
        <v>0</v>
      </c>
      <c r="B673" s="2">
        <v>600</v>
      </c>
      <c r="C673" s="2">
        <v>650</v>
      </c>
      <c r="D673" s="26">
        <f t="shared" ref="D673:D684" si="135">FLOOR($AD$672*AG673,1)</f>
        <v>187</v>
      </c>
      <c r="E673" s="2">
        <f t="shared" si="133"/>
        <v>185</v>
      </c>
      <c r="F673" s="2">
        <f t="shared" si="133"/>
        <v>183</v>
      </c>
      <c r="G673" s="2">
        <f t="shared" si="133"/>
        <v>180</v>
      </c>
      <c r="H673" s="2">
        <f t="shared" si="133"/>
        <v>178</v>
      </c>
      <c r="I673" s="2">
        <f t="shared" si="133"/>
        <v>176</v>
      </c>
      <c r="J673" s="2">
        <f t="shared" si="133"/>
        <v>173</v>
      </c>
      <c r="K673" s="2">
        <f t="shared" si="133"/>
        <v>171</v>
      </c>
      <c r="L673" s="2">
        <f t="shared" si="133"/>
        <v>169</v>
      </c>
      <c r="M673" s="2">
        <f t="shared" si="133"/>
        <v>166</v>
      </c>
      <c r="N673" s="2">
        <f t="shared" si="133"/>
        <v>164</v>
      </c>
      <c r="O673" s="2">
        <f t="shared" si="133"/>
        <v>163</v>
      </c>
      <c r="P673" s="2">
        <f t="shared" si="133"/>
        <v>160</v>
      </c>
      <c r="Q673" s="2">
        <f t="shared" si="133"/>
        <v>158</v>
      </c>
      <c r="R673" s="2">
        <f t="shared" si="133"/>
        <v>155</v>
      </c>
      <c r="S673" s="2">
        <f t="shared" si="133"/>
        <v>152</v>
      </c>
      <c r="T673" s="2">
        <f t="shared" si="133"/>
        <v>151</v>
      </c>
      <c r="U673" s="2">
        <f t="shared" si="134"/>
        <v>148</v>
      </c>
      <c r="V673" s="2">
        <f t="shared" si="134"/>
        <v>145</v>
      </c>
      <c r="W673" s="2">
        <f t="shared" si="134"/>
        <v>143</v>
      </c>
      <c r="X673" s="2">
        <f t="shared" si="134"/>
        <v>141</v>
      </c>
      <c r="Y673" s="2">
        <f t="shared" si="134"/>
        <v>138</v>
      </c>
      <c r="Z673" s="25">
        <f t="shared" si="134"/>
        <v>137</v>
      </c>
      <c r="AA673" s="1308"/>
      <c r="AD673" s="713"/>
      <c r="AE673" s="2">
        <v>600</v>
      </c>
      <c r="AF673" s="25">
        <v>650</v>
      </c>
      <c r="AG673" s="29">
        <v>241</v>
      </c>
      <c r="AH673" s="22">
        <v>238</v>
      </c>
      <c r="AI673" s="22">
        <v>235</v>
      </c>
      <c r="AJ673" s="22">
        <v>232</v>
      </c>
      <c r="AK673" s="22">
        <v>229</v>
      </c>
      <c r="AL673" s="22">
        <v>226</v>
      </c>
      <c r="AM673" s="22">
        <v>223</v>
      </c>
      <c r="AN673" s="22">
        <v>220</v>
      </c>
      <c r="AO673" s="22">
        <v>217</v>
      </c>
      <c r="AP673" s="22">
        <v>214</v>
      </c>
      <c r="AQ673" s="22">
        <v>211</v>
      </c>
      <c r="AR673" s="22">
        <v>209</v>
      </c>
      <c r="AS673" s="22">
        <v>206</v>
      </c>
      <c r="AT673" s="22">
        <v>203</v>
      </c>
      <c r="AU673" s="22">
        <v>199</v>
      </c>
      <c r="AV673" s="22">
        <v>196</v>
      </c>
      <c r="AW673" s="22">
        <v>194</v>
      </c>
      <c r="AX673" s="22">
        <v>190</v>
      </c>
      <c r="AY673" s="22">
        <v>187</v>
      </c>
      <c r="AZ673" s="22">
        <v>184</v>
      </c>
      <c r="BA673" s="647">
        <v>181</v>
      </c>
      <c r="BB673" s="647">
        <v>178</v>
      </c>
      <c r="BC673" s="30">
        <v>176</v>
      </c>
    </row>
    <row r="674" spans="1:55" s="426" customFormat="1" x14ac:dyDescent="0.25">
      <c r="A674" s="41">
        <f t="shared" si="131"/>
        <v>0</v>
      </c>
      <c r="B674" s="2">
        <v>650</v>
      </c>
      <c r="C674" s="2">
        <v>700</v>
      </c>
      <c r="D674" s="26">
        <f t="shared" si="135"/>
        <v>184</v>
      </c>
      <c r="E674" s="2">
        <f t="shared" si="133"/>
        <v>182</v>
      </c>
      <c r="F674" s="2">
        <f t="shared" si="133"/>
        <v>180</v>
      </c>
      <c r="G674" s="2">
        <f t="shared" si="133"/>
        <v>177</v>
      </c>
      <c r="H674" s="2">
        <f t="shared" si="133"/>
        <v>175</v>
      </c>
      <c r="I674" s="2">
        <f t="shared" si="133"/>
        <v>173</v>
      </c>
      <c r="J674" s="2">
        <f t="shared" si="133"/>
        <v>170</v>
      </c>
      <c r="K674" s="2">
        <f t="shared" si="133"/>
        <v>168</v>
      </c>
      <c r="L674" s="2">
        <f t="shared" si="133"/>
        <v>166</v>
      </c>
      <c r="M674" s="2">
        <f t="shared" si="133"/>
        <v>163</v>
      </c>
      <c r="N674" s="2">
        <f t="shared" si="133"/>
        <v>161</v>
      </c>
      <c r="O674" s="2">
        <f t="shared" si="133"/>
        <v>159</v>
      </c>
      <c r="P674" s="2">
        <f t="shared" si="133"/>
        <v>157</v>
      </c>
      <c r="Q674" s="2">
        <f t="shared" si="133"/>
        <v>155</v>
      </c>
      <c r="R674" s="2">
        <f t="shared" si="133"/>
        <v>152</v>
      </c>
      <c r="S674" s="2">
        <f t="shared" si="133"/>
        <v>149</v>
      </c>
      <c r="T674" s="2">
        <f t="shared" si="133"/>
        <v>148</v>
      </c>
      <c r="U674" s="2">
        <f t="shared" si="134"/>
        <v>145</v>
      </c>
      <c r="V674" s="2">
        <f t="shared" si="134"/>
        <v>143</v>
      </c>
      <c r="W674" s="2">
        <f t="shared" si="134"/>
        <v>140</v>
      </c>
      <c r="X674" s="2">
        <f t="shared" si="134"/>
        <v>138</v>
      </c>
      <c r="Y674" s="2">
        <f t="shared" si="134"/>
        <v>135</v>
      </c>
      <c r="Z674" s="25">
        <f t="shared" si="134"/>
        <v>134</v>
      </c>
      <c r="AA674" s="1308"/>
      <c r="AD674" s="713"/>
      <c r="AE674" s="2">
        <v>650</v>
      </c>
      <c r="AF674" s="25">
        <v>700</v>
      </c>
      <c r="AG674" s="29">
        <v>237</v>
      </c>
      <c r="AH674" s="22">
        <v>234</v>
      </c>
      <c r="AI674" s="22">
        <v>231</v>
      </c>
      <c r="AJ674" s="22">
        <v>228</v>
      </c>
      <c r="AK674" s="22">
        <v>225</v>
      </c>
      <c r="AL674" s="22">
        <v>222</v>
      </c>
      <c r="AM674" s="22">
        <v>219</v>
      </c>
      <c r="AN674" s="22">
        <v>216</v>
      </c>
      <c r="AO674" s="22">
        <v>214</v>
      </c>
      <c r="AP674" s="22">
        <v>210</v>
      </c>
      <c r="AQ674" s="22">
        <v>207</v>
      </c>
      <c r="AR674" s="22">
        <v>205</v>
      </c>
      <c r="AS674" s="22">
        <v>202</v>
      </c>
      <c r="AT674" s="22">
        <v>199</v>
      </c>
      <c r="AU674" s="22">
        <v>195</v>
      </c>
      <c r="AV674" s="22">
        <v>192</v>
      </c>
      <c r="AW674" s="22">
        <v>190</v>
      </c>
      <c r="AX674" s="22">
        <v>186</v>
      </c>
      <c r="AY674" s="22">
        <v>184</v>
      </c>
      <c r="AZ674" s="22">
        <v>180</v>
      </c>
      <c r="BA674" s="647">
        <v>177</v>
      </c>
      <c r="BB674" s="647">
        <v>174</v>
      </c>
      <c r="BC674" s="30">
        <v>172</v>
      </c>
    </row>
    <row r="675" spans="1:55" s="426" customFormat="1" x14ac:dyDescent="0.25">
      <c r="A675" s="41">
        <f t="shared" si="131"/>
        <v>0</v>
      </c>
      <c r="B675" s="2">
        <v>700</v>
      </c>
      <c r="C675" s="2">
        <v>750</v>
      </c>
      <c r="D675" s="26">
        <f t="shared" si="135"/>
        <v>181</v>
      </c>
      <c r="E675" s="2">
        <f t="shared" si="133"/>
        <v>179</v>
      </c>
      <c r="F675" s="2">
        <f t="shared" si="133"/>
        <v>177</v>
      </c>
      <c r="G675" s="2">
        <f t="shared" si="133"/>
        <v>174</v>
      </c>
      <c r="H675" s="2">
        <f t="shared" si="133"/>
        <v>172</v>
      </c>
      <c r="I675" s="2">
        <f t="shared" si="133"/>
        <v>170</v>
      </c>
      <c r="J675" s="2">
        <f t="shared" si="133"/>
        <v>167</v>
      </c>
      <c r="K675" s="2">
        <f t="shared" si="133"/>
        <v>165</v>
      </c>
      <c r="L675" s="2">
        <f t="shared" si="133"/>
        <v>163</v>
      </c>
      <c r="M675" s="2">
        <f t="shared" si="133"/>
        <v>160</v>
      </c>
      <c r="N675" s="2">
        <f t="shared" si="133"/>
        <v>159</v>
      </c>
      <c r="O675" s="2">
        <f t="shared" si="133"/>
        <v>156</v>
      </c>
      <c r="P675" s="2">
        <f t="shared" si="133"/>
        <v>154</v>
      </c>
      <c r="Q675" s="2">
        <f t="shared" si="133"/>
        <v>152</v>
      </c>
      <c r="R675" s="2">
        <f t="shared" si="133"/>
        <v>148</v>
      </c>
      <c r="S675" s="2">
        <f t="shared" si="133"/>
        <v>146</v>
      </c>
      <c r="T675" s="2">
        <f t="shared" si="133"/>
        <v>145</v>
      </c>
      <c r="U675" s="2">
        <f t="shared" si="134"/>
        <v>141</v>
      </c>
      <c r="V675" s="2">
        <f t="shared" si="134"/>
        <v>140</v>
      </c>
      <c r="W675" s="2">
        <f t="shared" si="134"/>
        <v>137</v>
      </c>
      <c r="X675" s="2">
        <f t="shared" si="134"/>
        <v>134</v>
      </c>
      <c r="Y675" s="2">
        <f t="shared" si="134"/>
        <v>132</v>
      </c>
      <c r="Z675" s="25">
        <f t="shared" si="134"/>
        <v>131</v>
      </c>
      <c r="AA675" s="1308"/>
      <c r="AD675" s="713"/>
      <c r="AE675" s="2">
        <v>700</v>
      </c>
      <c r="AF675" s="25">
        <v>750</v>
      </c>
      <c r="AG675" s="29">
        <v>233</v>
      </c>
      <c r="AH675" s="22">
        <v>230</v>
      </c>
      <c r="AI675" s="22">
        <v>227</v>
      </c>
      <c r="AJ675" s="22">
        <v>224</v>
      </c>
      <c r="AK675" s="22">
        <v>221</v>
      </c>
      <c r="AL675" s="22">
        <v>218</v>
      </c>
      <c r="AM675" s="22">
        <v>215</v>
      </c>
      <c r="AN675" s="22">
        <v>212</v>
      </c>
      <c r="AO675" s="22">
        <v>210</v>
      </c>
      <c r="AP675" s="22">
        <v>206</v>
      </c>
      <c r="AQ675" s="22">
        <v>204</v>
      </c>
      <c r="AR675" s="22">
        <v>201</v>
      </c>
      <c r="AS675" s="22">
        <v>198</v>
      </c>
      <c r="AT675" s="22">
        <v>195</v>
      </c>
      <c r="AU675" s="22">
        <v>191</v>
      </c>
      <c r="AV675" s="22">
        <v>188</v>
      </c>
      <c r="AW675" s="22">
        <v>186</v>
      </c>
      <c r="AX675" s="22">
        <v>182</v>
      </c>
      <c r="AY675" s="22">
        <v>180</v>
      </c>
      <c r="AZ675" s="22">
        <v>176</v>
      </c>
      <c r="BA675" s="647">
        <v>173</v>
      </c>
      <c r="BB675" s="647">
        <v>170</v>
      </c>
      <c r="BC675" s="30">
        <v>168</v>
      </c>
    </row>
    <row r="676" spans="1:55" s="426" customFormat="1" x14ac:dyDescent="0.25">
      <c r="A676" s="41">
        <f t="shared" si="131"/>
        <v>0</v>
      </c>
      <c r="B676" s="2">
        <v>750</v>
      </c>
      <c r="C676" s="2">
        <v>800</v>
      </c>
      <c r="D676" s="26">
        <f t="shared" si="135"/>
        <v>178</v>
      </c>
      <c r="E676" s="2">
        <f t="shared" si="133"/>
        <v>176</v>
      </c>
      <c r="F676" s="2">
        <f t="shared" si="133"/>
        <v>174</v>
      </c>
      <c r="G676" s="2">
        <f t="shared" si="133"/>
        <v>171</v>
      </c>
      <c r="H676" s="2">
        <f t="shared" si="133"/>
        <v>169</v>
      </c>
      <c r="I676" s="2">
        <f t="shared" si="133"/>
        <v>166</v>
      </c>
      <c r="J676" s="2">
        <f t="shared" si="133"/>
        <v>164</v>
      </c>
      <c r="K676" s="2">
        <f t="shared" si="133"/>
        <v>162</v>
      </c>
      <c r="L676" s="2">
        <f t="shared" si="133"/>
        <v>160</v>
      </c>
      <c r="M676" s="2">
        <f t="shared" si="133"/>
        <v>157</v>
      </c>
      <c r="N676" s="2">
        <f t="shared" si="133"/>
        <v>156</v>
      </c>
      <c r="O676" s="2">
        <f t="shared" si="133"/>
        <v>153</v>
      </c>
      <c r="P676" s="2">
        <f t="shared" si="133"/>
        <v>151</v>
      </c>
      <c r="Q676" s="2">
        <f t="shared" si="133"/>
        <v>148</v>
      </c>
      <c r="R676" s="2">
        <f t="shared" si="133"/>
        <v>145</v>
      </c>
      <c r="S676" s="2">
        <f t="shared" si="133"/>
        <v>143</v>
      </c>
      <c r="T676" s="2">
        <f t="shared" si="133"/>
        <v>143</v>
      </c>
      <c r="U676" s="2">
        <f t="shared" si="134"/>
        <v>138</v>
      </c>
      <c r="V676" s="2">
        <f t="shared" si="134"/>
        <v>137</v>
      </c>
      <c r="W676" s="2">
        <f t="shared" si="134"/>
        <v>134</v>
      </c>
      <c r="X676" s="2">
        <f t="shared" si="134"/>
        <v>131</v>
      </c>
      <c r="Y676" s="2">
        <f t="shared" si="134"/>
        <v>129</v>
      </c>
      <c r="Z676" s="25">
        <f t="shared" si="134"/>
        <v>127</v>
      </c>
      <c r="AA676" s="1308"/>
      <c r="AD676" s="713"/>
      <c r="AE676" s="2">
        <v>750</v>
      </c>
      <c r="AF676" s="25">
        <v>800</v>
      </c>
      <c r="AG676" s="29">
        <v>229</v>
      </c>
      <c r="AH676" s="22">
        <v>226</v>
      </c>
      <c r="AI676" s="22">
        <v>224</v>
      </c>
      <c r="AJ676" s="22">
        <v>220</v>
      </c>
      <c r="AK676" s="22">
        <v>217</v>
      </c>
      <c r="AL676" s="22">
        <v>214</v>
      </c>
      <c r="AM676" s="22">
        <v>211</v>
      </c>
      <c r="AN676" s="22">
        <v>208</v>
      </c>
      <c r="AO676" s="22">
        <v>206</v>
      </c>
      <c r="AP676" s="22">
        <v>202</v>
      </c>
      <c r="AQ676" s="22">
        <v>200</v>
      </c>
      <c r="AR676" s="22">
        <v>197</v>
      </c>
      <c r="AS676" s="22">
        <v>194</v>
      </c>
      <c r="AT676" s="22">
        <v>191</v>
      </c>
      <c r="AU676" s="22">
        <v>187</v>
      </c>
      <c r="AV676" s="22">
        <v>184</v>
      </c>
      <c r="AW676" s="22">
        <v>184</v>
      </c>
      <c r="AX676" s="22">
        <v>178</v>
      </c>
      <c r="AY676" s="22">
        <v>176</v>
      </c>
      <c r="AZ676" s="22">
        <v>172</v>
      </c>
      <c r="BA676" s="647">
        <v>169</v>
      </c>
      <c r="BB676" s="647">
        <v>166</v>
      </c>
      <c r="BC676" s="30">
        <v>164</v>
      </c>
    </row>
    <row r="677" spans="1:55" s="426" customFormat="1" x14ac:dyDescent="0.25">
      <c r="A677" s="41">
        <f t="shared" si="131"/>
        <v>0</v>
      </c>
      <c r="B677" s="2">
        <v>800</v>
      </c>
      <c r="C677" s="2">
        <v>850</v>
      </c>
      <c r="D677" s="26">
        <f t="shared" si="135"/>
        <v>175</v>
      </c>
      <c r="E677" s="2">
        <f t="shared" si="133"/>
        <v>173</v>
      </c>
      <c r="F677" s="2">
        <f t="shared" si="133"/>
        <v>171</v>
      </c>
      <c r="G677" s="2">
        <f t="shared" si="133"/>
        <v>168</v>
      </c>
      <c r="H677" s="2">
        <f t="shared" si="133"/>
        <v>166</v>
      </c>
      <c r="I677" s="2">
        <f t="shared" si="133"/>
        <v>163</v>
      </c>
      <c r="J677" s="2">
        <f t="shared" si="133"/>
        <v>160</v>
      </c>
      <c r="K677" s="2">
        <f t="shared" si="133"/>
        <v>159</v>
      </c>
      <c r="L677" s="2">
        <f t="shared" si="133"/>
        <v>157</v>
      </c>
      <c r="M677" s="2">
        <f t="shared" si="133"/>
        <v>154</v>
      </c>
      <c r="N677" s="2">
        <f t="shared" si="133"/>
        <v>152</v>
      </c>
      <c r="O677" s="2">
        <f t="shared" si="133"/>
        <v>151</v>
      </c>
      <c r="P677" s="2">
        <f t="shared" si="133"/>
        <v>148</v>
      </c>
      <c r="Q677" s="2">
        <f t="shared" si="133"/>
        <v>145</v>
      </c>
      <c r="R677" s="2">
        <f t="shared" si="133"/>
        <v>142</v>
      </c>
      <c r="S677" s="2">
        <f t="shared" si="133"/>
        <v>140</v>
      </c>
      <c r="T677" s="2">
        <f t="shared" si="133"/>
        <v>140</v>
      </c>
      <c r="U677" s="2">
        <f t="shared" si="134"/>
        <v>135</v>
      </c>
      <c r="V677" s="2">
        <f t="shared" si="134"/>
        <v>134</v>
      </c>
      <c r="W677" s="2">
        <f t="shared" si="134"/>
        <v>131</v>
      </c>
      <c r="X677" s="2">
        <f t="shared" si="134"/>
        <v>128</v>
      </c>
      <c r="Y677" s="2">
        <f t="shared" si="134"/>
        <v>126</v>
      </c>
      <c r="Z677" s="25">
        <f t="shared" si="134"/>
        <v>124</v>
      </c>
      <c r="AA677" s="1308"/>
      <c r="AD677" s="713"/>
      <c r="AE677" s="2">
        <v>800</v>
      </c>
      <c r="AF677" s="25">
        <v>850</v>
      </c>
      <c r="AG677" s="29">
        <v>225</v>
      </c>
      <c r="AH677" s="22">
        <v>222</v>
      </c>
      <c r="AI677" s="22">
        <v>220</v>
      </c>
      <c r="AJ677" s="22">
        <v>216</v>
      </c>
      <c r="AK677" s="22">
        <v>213</v>
      </c>
      <c r="AL677" s="22">
        <v>210</v>
      </c>
      <c r="AM677" s="22">
        <v>206</v>
      </c>
      <c r="AN677" s="22">
        <v>204</v>
      </c>
      <c r="AO677" s="22">
        <v>202</v>
      </c>
      <c r="AP677" s="22">
        <v>198</v>
      </c>
      <c r="AQ677" s="22">
        <v>196</v>
      </c>
      <c r="AR677" s="22">
        <v>194</v>
      </c>
      <c r="AS677" s="22">
        <v>190</v>
      </c>
      <c r="AT677" s="22">
        <v>187</v>
      </c>
      <c r="AU677" s="22">
        <v>183</v>
      </c>
      <c r="AV677" s="22">
        <v>180</v>
      </c>
      <c r="AW677" s="22">
        <v>180</v>
      </c>
      <c r="AX677" s="22">
        <v>174</v>
      </c>
      <c r="AY677" s="22">
        <v>172</v>
      </c>
      <c r="AZ677" s="22">
        <v>168</v>
      </c>
      <c r="BA677" s="647">
        <v>165</v>
      </c>
      <c r="BB677" s="647">
        <v>162</v>
      </c>
      <c r="BC677" s="30">
        <v>160</v>
      </c>
    </row>
    <row r="678" spans="1:55" s="426" customFormat="1" ht="15.75" thickBot="1" x14ac:dyDescent="0.3">
      <c r="A678" s="41">
        <f t="shared" si="131"/>
        <v>0</v>
      </c>
      <c r="B678" s="1050">
        <v>850</v>
      </c>
      <c r="C678" s="1051">
        <v>900</v>
      </c>
      <c r="D678" s="1050">
        <f t="shared" si="135"/>
        <v>171</v>
      </c>
      <c r="E678" s="1051">
        <f t="shared" si="133"/>
        <v>170</v>
      </c>
      <c r="F678" s="1051">
        <f t="shared" si="133"/>
        <v>168</v>
      </c>
      <c r="G678" s="1051">
        <f t="shared" si="133"/>
        <v>166</v>
      </c>
      <c r="H678" s="1051">
        <f t="shared" si="133"/>
        <v>163</v>
      </c>
      <c r="I678" s="1051">
        <f t="shared" si="133"/>
        <v>160</v>
      </c>
      <c r="J678" s="1051">
        <f t="shared" si="133"/>
        <v>157</v>
      </c>
      <c r="K678" s="1051">
        <f t="shared" si="133"/>
        <v>156</v>
      </c>
      <c r="L678" s="1051">
        <f t="shared" si="133"/>
        <v>154</v>
      </c>
      <c r="M678" s="1051">
        <f t="shared" si="133"/>
        <v>151</v>
      </c>
      <c r="N678" s="1051">
        <f t="shared" si="133"/>
        <v>149</v>
      </c>
      <c r="O678" s="1051">
        <f t="shared" si="133"/>
        <v>148</v>
      </c>
      <c r="P678" s="1051">
        <f t="shared" si="133"/>
        <v>145</v>
      </c>
      <c r="Q678" s="1051">
        <f t="shared" si="133"/>
        <v>142</v>
      </c>
      <c r="R678" s="1051">
        <f t="shared" si="133"/>
        <v>139</v>
      </c>
      <c r="S678" s="1051">
        <f t="shared" si="133"/>
        <v>137</v>
      </c>
      <c r="T678" s="1051">
        <f t="shared" si="133"/>
        <v>137</v>
      </c>
      <c r="U678" s="1051">
        <f t="shared" si="134"/>
        <v>132</v>
      </c>
      <c r="V678" s="1051">
        <f t="shared" si="134"/>
        <v>131</v>
      </c>
      <c r="W678" s="1051">
        <f t="shared" si="134"/>
        <v>127</v>
      </c>
      <c r="X678" s="1051">
        <f t="shared" si="134"/>
        <v>126</v>
      </c>
      <c r="Y678" s="1051">
        <f t="shared" si="134"/>
        <v>123</v>
      </c>
      <c r="Z678" s="1052">
        <f t="shared" si="134"/>
        <v>121</v>
      </c>
      <c r="AA678" s="1308"/>
      <c r="AD678" s="713"/>
      <c r="AE678" s="1050">
        <v>850</v>
      </c>
      <c r="AF678" s="1052">
        <v>900</v>
      </c>
      <c r="AG678" s="1053">
        <v>220</v>
      </c>
      <c r="AH678" s="1054">
        <v>218</v>
      </c>
      <c r="AI678" s="1054">
        <v>216</v>
      </c>
      <c r="AJ678" s="1054">
        <v>214</v>
      </c>
      <c r="AK678" s="1054">
        <v>209</v>
      </c>
      <c r="AL678" s="1054">
        <v>206</v>
      </c>
      <c r="AM678" s="1054">
        <v>202</v>
      </c>
      <c r="AN678" s="1054">
        <v>200</v>
      </c>
      <c r="AO678" s="1054">
        <v>198</v>
      </c>
      <c r="AP678" s="1054">
        <v>194</v>
      </c>
      <c r="AQ678" s="1054">
        <v>192</v>
      </c>
      <c r="AR678" s="1054">
        <v>190</v>
      </c>
      <c r="AS678" s="1054">
        <v>186</v>
      </c>
      <c r="AT678" s="1054">
        <v>183</v>
      </c>
      <c r="AU678" s="1054">
        <v>179</v>
      </c>
      <c r="AV678" s="1054">
        <v>176</v>
      </c>
      <c r="AW678" s="1054">
        <v>176</v>
      </c>
      <c r="AX678" s="1054">
        <v>170</v>
      </c>
      <c r="AY678" s="1054">
        <v>168</v>
      </c>
      <c r="AZ678" s="1054">
        <v>164</v>
      </c>
      <c r="BA678" s="1055">
        <v>162</v>
      </c>
      <c r="BB678" s="1055">
        <v>158</v>
      </c>
      <c r="BC678" s="1056">
        <v>156</v>
      </c>
    </row>
    <row r="679" spans="1:55" s="426" customFormat="1" ht="15.75" thickBot="1" x14ac:dyDescent="0.3">
      <c r="A679" s="41">
        <f t="shared" si="131"/>
        <v>0</v>
      </c>
      <c r="B679" s="2">
        <v>900</v>
      </c>
      <c r="C679" s="2">
        <v>950</v>
      </c>
      <c r="D679" s="26">
        <f>FLOOR($AD$679*AG679,1)</f>
        <v>150</v>
      </c>
      <c r="E679" s="2">
        <f t="shared" si="133"/>
        <v>165</v>
      </c>
      <c r="F679" s="2">
        <f t="shared" si="133"/>
        <v>163</v>
      </c>
      <c r="G679" s="2">
        <f t="shared" si="133"/>
        <v>162</v>
      </c>
      <c r="H679" s="2">
        <f t="shared" si="133"/>
        <v>159</v>
      </c>
      <c r="I679" s="2">
        <f t="shared" si="133"/>
        <v>156</v>
      </c>
      <c r="J679" s="2">
        <f t="shared" si="133"/>
        <v>154</v>
      </c>
      <c r="K679" s="2">
        <f t="shared" si="133"/>
        <v>152</v>
      </c>
      <c r="L679" s="2">
        <f t="shared" si="133"/>
        <v>151</v>
      </c>
      <c r="M679" s="2">
        <f t="shared" si="133"/>
        <v>148</v>
      </c>
      <c r="N679" s="2">
        <f t="shared" si="133"/>
        <v>146</v>
      </c>
      <c r="O679" s="2">
        <f t="shared" si="133"/>
        <v>145</v>
      </c>
      <c r="P679" s="2">
        <f t="shared" si="133"/>
        <v>141</v>
      </c>
      <c r="Q679" s="2">
        <f t="shared" si="133"/>
        <v>139</v>
      </c>
      <c r="R679" s="2">
        <f t="shared" si="133"/>
        <v>136</v>
      </c>
      <c r="S679" s="2">
        <f t="shared" si="133"/>
        <v>134</v>
      </c>
      <c r="T679" s="2">
        <f t="shared" si="133"/>
        <v>134</v>
      </c>
      <c r="U679" s="2">
        <f t="shared" si="134"/>
        <v>129</v>
      </c>
      <c r="V679" s="2">
        <f t="shared" si="134"/>
        <v>127</v>
      </c>
      <c r="W679" s="2">
        <f t="shared" si="134"/>
        <v>124</v>
      </c>
      <c r="X679" s="2">
        <f t="shared" si="134"/>
        <v>123</v>
      </c>
      <c r="Y679" s="2">
        <f t="shared" si="134"/>
        <v>120</v>
      </c>
      <c r="Z679" s="25">
        <f t="shared" si="134"/>
        <v>118</v>
      </c>
      <c r="AA679" s="1308"/>
      <c r="AD679" s="1058">
        <v>0.7</v>
      </c>
      <c r="AE679" s="2">
        <v>900</v>
      </c>
      <c r="AF679" s="25">
        <v>950</v>
      </c>
      <c r="AG679" s="29">
        <v>215</v>
      </c>
      <c r="AH679" s="22">
        <v>212</v>
      </c>
      <c r="AI679" s="22">
        <v>210</v>
      </c>
      <c r="AJ679" s="22">
        <v>208</v>
      </c>
      <c r="AK679" s="22">
        <v>204</v>
      </c>
      <c r="AL679" s="22">
        <v>201</v>
      </c>
      <c r="AM679" s="22">
        <v>198</v>
      </c>
      <c r="AN679" s="22">
        <v>196</v>
      </c>
      <c r="AO679" s="22">
        <v>194</v>
      </c>
      <c r="AP679" s="22">
        <v>190</v>
      </c>
      <c r="AQ679" s="22">
        <v>188</v>
      </c>
      <c r="AR679" s="22">
        <v>186</v>
      </c>
      <c r="AS679" s="22">
        <v>182</v>
      </c>
      <c r="AT679" s="22">
        <v>179</v>
      </c>
      <c r="AU679" s="22">
        <v>175</v>
      </c>
      <c r="AV679" s="22">
        <v>172</v>
      </c>
      <c r="AW679" s="22">
        <v>172</v>
      </c>
      <c r="AX679" s="22">
        <v>166</v>
      </c>
      <c r="AY679" s="22">
        <v>164</v>
      </c>
      <c r="AZ679" s="22">
        <v>160</v>
      </c>
      <c r="BA679" s="647">
        <v>158</v>
      </c>
      <c r="BB679" s="647">
        <v>154</v>
      </c>
      <c r="BC679" s="30">
        <v>152</v>
      </c>
    </row>
    <row r="680" spans="1:55" s="426" customFormat="1" x14ac:dyDescent="0.25">
      <c r="A680" s="41">
        <f t="shared" si="131"/>
        <v>0</v>
      </c>
      <c r="B680" s="2">
        <v>950</v>
      </c>
      <c r="C680" s="2">
        <v>1000</v>
      </c>
      <c r="D680" s="26">
        <f t="shared" si="135"/>
        <v>163</v>
      </c>
      <c r="E680" s="2">
        <f t="shared" si="133"/>
        <v>160</v>
      </c>
      <c r="F680" s="2">
        <f t="shared" si="133"/>
        <v>159</v>
      </c>
      <c r="G680" s="2">
        <f t="shared" si="133"/>
        <v>157</v>
      </c>
      <c r="H680" s="2">
        <f t="shared" si="133"/>
        <v>155</v>
      </c>
      <c r="I680" s="2">
        <f t="shared" si="133"/>
        <v>152</v>
      </c>
      <c r="J680" s="2">
        <f t="shared" si="133"/>
        <v>150</v>
      </c>
      <c r="K680" s="2">
        <f t="shared" si="133"/>
        <v>149</v>
      </c>
      <c r="L680" s="2">
        <f t="shared" si="133"/>
        <v>146</v>
      </c>
      <c r="M680" s="2">
        <f t="shared" si="133"/>
        <v>145</v>
      </c>
      <c r="N680" s="2">
        <f t="shared" si="133"/>
        <v>143</v>
      </c>
      <c r="O680" s="2">
        <f t="shared" si="133"/>
        <v>141</v>
      </c>
      <c r="P680" s="2">
        <f t="shared" si="133"/>
        <v>138</v>
      </c>
      <c r="Q680" s="2">
        <f t="shared" si="133"/>
        <v>136</v>
      </c>
      <c r="R680" s="2">
        <f t="shared" si="133"/>
        <v>133</v>
      </c>
      <c r="S680" s="2">
        <f t="shared" si="133"/>
        <v>131</v>
      </c>
      <c r="T680" s="2">
        <f t="shared" si="133"/>
        <v>131</v>
      </c>
      <c r="U680" s="2">
        <f t="shared" si="134"/>
        <v>127</v>
      </c>
      <c r="V680" s="2">
        <f t="shared" si="134"/>
        <v>124</v>
      </c>
      <c r="W680" s="2">
        <f t="shared" si="134"/>
        <v>122</v>
      </c>
      <c r="X680" s="2">
        <f t="shared" si="134"/>
        <v>120</v>
      </c>
      <c r="Y680" s="2">
        <f t="shared" si="134"/>
        <v>117</v>
      </c>
      <c r="Z680" s="25">
        <f t="shared" si="134"/>
        <v>115</v>
      </c>
      <c r="AA680" s="1308"/>
      <c r="AD680" s="713"/>
      <c r="AE680" s="2">
        <v>950</v>
      </c>
      <c r="AF680" s="25">
        <v>1000</v>
      </c>
      <c r="AG680" s="29">
        <v>210</v>
      </c>
      <c r="AH680" s="22">
        <v>206</v>
      </c>
      <c r="AI680" s="22">
        <v>204</v>
      </c>
      <c r="AJ680" s="22">
        <v>202</v>
      </c>
      <c r="AK680" s="22">
        <v>199</v>
      </c>
      <c r="AL680" s="22">
        <v>195</v>
      </c>
      <c r="AM680" s="22">
        <v>193</v>
      </c>
      <c r="AN680" s="22">
        <v>192</v>
      </c>
      <c r="AO680" s="22">
        <v>188</v>
      </c>
      <c r="AP680" s="22">
        <v>186</v>
      </c>
      <c r="AQ680" s="22">
        <v>184</v>
      </c>
      <c r="AR680" s="22">
        <v>182</v>
      </c>
      <c r="AS680" s="22">
        <v>178</v>
      </c>
      <c r="AT680" s="22">
        <v>175</v>
      </c>
      <c r="AU680" s="22">
        <v>171</v>
      </c>
      <c r="AV680" s="22">
        <v>168</v>
      </c>
      <c r="AW680" s="22">
        <v>168</v>
      </c>
      <c r="AX680" s="22">
        <v>163</v>
      </c>
      <c r="AY680" s="22">
        <v>160</v>
      </c>
      <c r="AZ680" s="22">
        <v>157</v>
      </c>
      <c r="BA680" s="647">
        <v>154</v>
      </c>
      <c r="BB680" s="647">
        <v>150</v>
      </c>
      <c r="BC680" s="30">
        <v>148</v>
      </c>
    </row>
    <row r="681" spans="1:55" s="426" customFormat="1" x14ac:dyDescent="0.25">
      <c r="A681" s="41">
        <f t="shared" si="131"/>
        <v>0</v>
      </c>
      <c r="B681" s="2">
        <v>1000</v>
      </c>
      <c r="C681" s="2">
        <v>1050</v>
      </c>
      <c r="D681" s="26">
        <f t="shared" si="135"/>
        <v>159</v>
      </c>
      <c r="E681" s="2">
        <f t="shared" si="133"/>
        <v>156</v>
      </c>
      <c r="F681" s="2">
        <f t="shared" si="133"/>
        <v>154</v>
      </c>
      <c r="G681" s="2">
        <f t="shared" si="133"/>
        <v>152</v>
      </c>
      <c r="H681" s="2">
        <f t="shared" si="133"/>
        <v>151</v>
      </c>
      <c r="I681" s="2">
        <f t="shared" si="133"/>
        <v>148</v>
      </c>
      <c r="J681" s="2">
        <f t="shared" si="133"/>
        <v>146</v>
      </c>
      <c r="K681" s="2">
        <f t="shared" si="133"/>
        <v>145</v>
      </c>
      <c r="L681" s="2">
        <f t="shared" si="133"/>
        <v>143</v>
      </c>
      <c r="M681" s="2">
        <f t="shared" si="133"/>
        <v>141</v>
      </c>
      <c r="N681" s="2">
        <f t="shared" si="133"/>
        <v>140</v>
      </c>
      <c r="O681" s="2">
        <f t="shared" si="133"/>
        <v>138</v>
      </c>
      <c r="P681" s="2">
        <f t="shared" si="133"/>
        <v>135</v>
      </c>
      <c r="Q681" s="2">
        <f t="shared" si="133"/>
        <v>133</v>
      </c>
      <c r="R681" s="2">
        <f t="shared" si="133"/>
        <v>131</v>
      </c>
      <c r="S681" s="2">
        <f t="shared" si="133"/>
        <v>128</v>
      </c>
      <c r="T681" s="2">
        <f t="shared" si="133"/>
        <v>127</v>
      </c>
      <c r="U681" s="2">
        <f t="shared" si="134"/>
        <v>124</v>
      </c>
      <c r="V681" s="2">
        <f t="shared" si="134"/>
        <v>123</v>
      </c>
      <c r="W681" s="2">
        <f t="shared" si="134"/>
        <v>120</v>
      </c>
      <c r="X681" s="2">
        <f t="shared" si="134"/>
        <v>118</v>
      </c>
      <c r="Y681" s="2">
        <f t="shared" si="134"/>
        <v>115</v>
      </c>
      <c r="Z681" s="25">
        <f t="shared" si="134"/>
        <v>113</v>
      </c>
      <c r="AA681" s="1308"/>
      <c r="AD681" s="713"/>
      <c r="AE681" s="2">
        <v>1000</v>
      </c>
      <c r="AF681" s="25">
        <v>1050</v>
      </c>
      <c r="AG681" s="29">
        <v>205</v>
      </c>
      <c r="AH681" s="22">
        <v>200</v>
      </c>
      <c r="AI681" s="22">
        <v>198</v>
      </c>
      <c r="AJ681" s="22">
        <v>196</v>
      </c>
      <c r="AK681" s="22">
        <v>194</v>
      </c>
      <c r="AL681" s="22">
        <v>190</v>
      </c>
      <c r="AM681" s="22">
        <v>188</v>
      </c>
      <c r="AN681" s="22">
        <v>186</v>
      </c>
      <c r="AO681" s="22">
        <v>184</v>
      </c>
      <c r="AP681" s="22">
        <v>182</v>
      </c>
      <c r="AQ681" s="22">
        <v>180</v>
      </c>
      <c r="AR681" s="22">
        <v>178</v>
      </c>
      <c r="AS681" s="22">
        <v>174</v>
      </c>
      <c r="AT681" s="22">
        <v>171</v>
      </c>
      <c r="AU681" s="22">
        <v>168</v>
      </c>
      <c r="AV681" s="22">
        <v>165</v>
      </c>
      <c r="AW681" s="22">
        <v>164</v>
      </c>
      <c r="AX681" s="22">
        <v>160</v>
      </c>
      <c r="AY681" s="22">
        <v>158</v>
      </c>
      <c r="AZ681" s="22">
        <v>154</v>
      </c>
      <c r="BA681" s="647">
        <v>152</v>
      </c>
      <c r="BB681" s="647">
        <v>148</v>
      </c>
      <c r="BC681" s="30">
        <v>146</v>
      </c>
    </row>
    <row r="682" spans="1:55" s="426" customFormat="1" x14ac:dyDescent="0.25">
      <c r="A682" s="41">
        <f t="shared" si="131"/>
        <v>0</v>
      </c>
      <c r="B682" s="2">
        <v>1050</v>
      </c>
      <c r="C682" s="2">
        <v>1100</v>
      </c>
      <c r="D682" s="26">
        <f t="shared" si="135"/>
        <v>156</v>
      </c>
      <c r="E682" s="2">
        <f t="shared" si="133"/>
        <v>151</v>
      </c>
      <c r="F682" s="2">
        <f t="shared" si="133"/>
        <v>149</v>
      </c>
      <c r="G682" s="2">
        <f t="shared" si="133"/>
        <v>148</v>
      </c>
      <c r="H682" s="2">
        <f t="shared" si="133"/>
        <v>146</v>
      </c>
      <c r="I682" s="2">
        <f t="shared" si="133"/>
        <v>145</v>
      </c>
      <c r="J682" s="2">
        <f t="shared" si="133"/>
        <v>143</v>
      </c>
      <c r="K682" s="2">
        <f t="shared" si="133"/>
        <v>141</v>
      </c>
      <c r="L682" s="2">
        <f t="shared" si="133"/>
        <v>139</v>
      </c>
      <c r="M682" s="2">
        <f t="shared" si="133"/>
        <v>138</v>
      </c>
      <c r="N682" s="2">
        <f t="shared" si="133"/>
        <v>137</v>
      </c>
      <c r="O682" s="2">
        <f t="shared" si="133"/>
        <v>135</v>
      </c>
      <c r="P682" s="2">
        <f t="shared" si="133"/>
        <v>132</v>
      </c>
      <c r="Q682" s="2">
        <f t="shared" si="133"/>
        <v>130</v>
      </c>
      <c r="R682" s="2">
        <f t="shared" si="133"/>
        <v>127</v>
      </c>
      <c r="S682" s="2">
        <f t="shared" si="133"/>
        <v>126</v>
      </c>
      <c r="T682" s="2">
        <f t="shared" si="133"/>
        <v>124</v>
      </c>
      <c r="U682" s="2">
        <f t="shared" si="134"/>
        <v>123</v>
      </c>
      <c r="V682" s="2">
        <f t="shared" si="134"/>
        <v>121</v>
      </c>
      <c r="W682" s="2">
        <f t="shared" si="134"/>
        <v>118</v>
      </c>
      <c r="X682" s="2">
        <f t="shared" si="134"/>
        <v>117</v>
      </c>
      <c r="Y682" s="2">
        <f t="shared" si="134"/>
        <v>113</v>
      </c>
      <c r="Z682" s="25">
        <f t="shared" si="134"/>
        <v>112</v>
      </c>
      <c r="AA682" s="1308"/>
      <c r="AD682" s="713"/>
      <c r="AE682" s="2">
        <v>1050</v>
      </c>
      <c r="AF682" s="25">
        <v>1100</v>
      </c>
      <c r="AG682" s="29">
        <v>200</v>
      </c>
      <c r="AH682" s="22">
        <v>194</v>
      </c>
      <c r="AI682" s="22">
        <v>192</v>
      </c>
      <c r="AJ682" s="22">
        <v>190</v>
      </c>
      <c r="AK682" s="22">
        <v>188</v>
      </c>
      <c r="AL682" s="22">
        <v>186</v>
      </c>
      <c r="AM682" s="22">
        <v>184</v>
      </c>
      <c r="AN682" s="22">
        <v>181</v>
      </c>
      <c r="AO682" s="22">
        <v>179</v>
      </c>
      <c r="AP682" s="22">
        <v>178</v>
      </c>
      <c r="AQ682" s="22">
        <v>176</v>
      </c>
      <c r="AR682" s="22">
        <v>174</v>
      </c>
      <c r="AS682" s="22">
        <v>170</v>
      </c>
      <c r="AT682" s="22">
        <v>167</v>
      </c>
      <c r="AU682" s="22">
        <v>164</v>
      </c>
      <c r="AV682" s="22">
        <v>162</v>
      </c>
      <c r="AW682" s="22">
        <v>160</v>
      </c>
      <c r="AX682" s="22">
        <v>158</v>
      </c>
      <c r="AY682" s="22">
        <v>156</v>
      </c>
      <c r="AZ682" s="22">
        <v>152</v>
      </c>
      <c r="BA682" s="22">
        <v>150</v>
      </c>
      <c r="BB682" s="22">
        <v>146</v>
      </c>
      <c r="BC682" s="30">
        <v>144</v>
      </c>
    </row>
    <row r="683" spans="1:55" s="426" customFormat="1" x14ac:dyDescent="0.25">
      <c r="A683" s="41">
        <f t="shared" si="131"/>
        <v>0</v>
      </c>
      <c r="B683" s="2">
        <v>1100</v>
      </c>
      <c r="C683" s="2">
        <v>1150</v>
      </c>
      <c r="D683" s="26">
        <f t="shared" si="135"/>
        <v>151</v>
      </c>
      <c r="E683" s="2">
        <f t="shared" si="133"/>
        <v>147</v>
      </c>
      <c r="F683" s="2">
        <f t="shared" si="133"/>
        <v>145</v>
      </c>
      <c r="G683" s="2">
        <f t="shared" si="133"/>
        <v>144</v>
      </c>
      <c r="H683" s="2">
        <f t="shared" si="133"/>
        <v>143</v>
      </c>
      <c r="I683" s="2">
        <f t="shared" si="133"/>
        <v>141</v>
      </c>
      <c r="J683" s="2">
        <f t="shared" si="133"/>
        <v>140</v>
      </c>
      <c r="K683" s="2">
        <f t="shared" si="133"/>
        <v>138</v>
      </c>
      <c r="L683" s="2">
        <f t="shared" si="133"/>
        <v>136</v>
      </c>
      <c r="M683" s="2">
        <f t="shared" si="133"/>
        <v>135</v>
      </c>
      <c r="N683" s="2">
        <f t="shared" si="133"/>
        <v>134</v>
      </c>
      <c r="O683" s="2">
        <f t="shared" si="133"/>
        <v>132</v>
      </c>
      <c r="P683" s="2">
        <f t="shared" si="133"/>
        <v>131</v>
      </c>
      <c r="Q683" s="2">
        <f t="shared" si="133"/>
        <v>127</v>
      </c>
      <c r="R683" s="2">
        <f t="shared" si="133"/>
        <v>126</v>
      </c>
      <c r="S683" s="2">
        <f t="shared" si="133"/>
        <v>124</v>
      </c>
      <c r="T683" s="2">
        <f t="shared" si="133"/>
        <v>123</v>
      </c>
      <c r="U683" s="2">
        <f t="shared" si="134"/>
        <v>121</v>
      </c>
      <c r="V683" s="2">
        <f t="shared" si="134"/>
        <v>120</v>
      </c>
      <c r="W683" s="2">
        <f t="shared" si="134"/>
        <v>117</v>
      </c>
      <c r="X683" s="2">
        <f t="shared" si="134"/>
        <v>115</v>
      </c>
      <c r="Y683" s="2">
        <f t="shared" si="134"/>
        <v>112</v>
      </c>
      <c r="Z683" s="25">
        <f t="shared" si="134"/>
        <v>110</v>
      </c>
      <c r="AA683" s="1308"/>
      <c r="AD683" s="713"/>
      <c r="AE683" s="2">
        <v>1100</v>
      </c>
      <c r="AF683" s="25">
        <v>1150</v>
      </c>
      <c r="AG683" s="29">
        <v>194</v>
      </c>
      <c r="AH683" s="22">
        <v>189</v>
      </c>
      <c r="AI683" s="22">
        <v>187</v>
      </c>
      <c r="AJ683" s="22">
        <v>185</v>
      </c>
      <c r="AK683" s="22">
        <v>184</v>
      </c>
      <c r="AL683" s="22">
        <v>182</v>
      </c>
      <c r="AM683" s="22">
        <v>180</v>
      </c>
      <c r="AN683" s="22">
        <v>177</v>
      </c>
      <c r="AO683" s="22">
        <v>175</v>
      </c>
      <c r="AP683" s="22">
        <v>174</v>
      </c>
      <c r="AQ683" s="22">
        <v>172</v>
      </c>
      <c r="AR683" s="22">
        <v>170</v>
      </c>
      <c r="AS683" s="22">
        <v>168</v>
      </c>
      <c r="AT683" s="22">
        <v>164</v>
      </c>
      <c r="AU683" s="22">
        <v>162</v>
      </c>
      <c r="AV683" s="22">
        <v>160</v>
      </c>
      <c r="AW683" s="22">
        <v>158</v>
      </c>
      <c r="AX683" s="22">
        <v>156</v>
      </c>
      <c r="AY683" s="22">
        <v>154</v>
      </c>
      <c r="AZ683" s="22">
        <v>150</v>
      </c>
      <c r="BA683" s="22">
        <v>148</v>
      </c>
      <c r="BB683" s="22">
        <v>144</v>
      </c>
      <c r="BC683" s="30">
        <v>142</v>
      </c>
    </row>
    <row r="684" spans="1:55" s="426" customFormat="1" ht="15.75" thickBot="1" x14ac:dyDescent="0.3">
      <c r="A684" s="52">
        <f t="shared" si="131"/>
        <v>0</v>
      </c>
      <c r="B684" s="343">
        <v>1150</v>
      </c>
      <c r="C684" s="965">
        <v>1200</v>
      </c>
      <c r="D684" s="26">
        <f t="shared" si="135"/>
        <v>146</v>
      </c>
      <c r="E684" s="2">
        <f t="shared" si="133"/>
        <v>145</v>
      </c>
      <c r="F684" s="2">
        <f t="shared" si="133"/>
        <v>143</v>
      </c>
      <c r="G684" s="2">
        <f t="shared" si="133"/>
        <v>141</v>
      </c>
      <c r="H684" s="2">
        <f t="shared" si="133"/>
        <v>140</v>
      </c>
      <c r="I684" s="2">
        <f t="shared" si="133"/>
        <v>138</v>
      </c>
      <c r="J684" s="2">
        <f t="shared" si="133"/>
        <v>137</v>
      </c>
      <c r="K684" s="2">
        <f t="shared" si="133"/>
        <v>135</v>
      </c>
      <c r="L684" s="2">
        <f t="shared" si="133"/>
        <v>134</v>
      </c>
      <c r="M684" s="2">
        <f t="shared" si="133"/>
        <v>132</v>
      </c>
      <c r="N684" s="2">
        <f t="shared" si="133"/>
        <v>131</v>
      </c>
      <c r="O684" s="2">
        <f t="shared" si="133"/>
        <v>129</v>
      </c>
      <c r="P684" s="2">
        <f t="shared" si="133"/>
        <v>127</v>
      </c>
      <c r="Q684" s="2">
        <f t="shared" si="133"/>
        <v>126</v>
      </c>
      <c r="R684" s="2">
        <f t="shared" si="133"/>
        <v>124</v>
      </c>
      <c r="S684" s="2">
        <f t="shared" si="133"/>
        <v>123</v>
      </c>
      <c r="T684" s="2">
        <f t="shared" si="133"/>
        <v>121</v>
      </c>
      <c r="U684" s="2">
        <f t="shared" si="134"/>
        <v>120</v>
      </c>
      <c r="V684" s="2">
        <f t="shared" si="134"/>
        <v>117</v>
      </c>
      <c r="W684" s="2">
        <f t="shared" si="134"/>
        <v>115</v>
      </c>
      <c r="X684" s="2">
        <f t="shared" si="134"/>
        <v>113</v>
      </c>
      <c r="Y684" s="2">
        <f t="shared" si="134"/>
        <v>110</v>
      </c>
      <c r="Z684" s="25">
        <f t="shared" si="134"/>
        <v>108</v>
      </c>
      <c r="AA684" s="1309"/>
      <c r="AD684" s="713"/>
      <c r="AE684" s="965">
        <v>1150</v>
      </c>
      <c r="AF684" s="966">
        <v>1200</v>
      </c>
      <c r="AG684" s="649">
        <v>188</v>
      </c>
      <c r="AH684" s="344">
        <v>186</v>
      </c>
      <c r="AI684" s="344">
        <v>184</v>
      </c>
      <c r="AJ684" s="344">
        <v>182</v>
      </c>
      <c r="AK684" s="344">
        <v>180</v>
      </c>
      <c r="AL684" s="344">
        <v>178</v>
      </c>
      <c r="AM684" s="344">
        <v>176</v>
      </c>
      <c r="AN684" s="344">
        <v>174</v>
      </c>
      <c r="AO684" s="344">
        <v>172</v>
      </c>
      <c r="AP684" s="344">
        <v>170</v>
      </c>
      <c r="AQ684" s="344">
        <v>168</v>
      </c>
      <c r="AR684" s="344">
        <v>166</v>
      </c>
      <c r="AS684" s="344">
        <v>164</v>
      </c>
      <c r="AT684" s="344">
        <v>162</v>
      </c>
      <c r="AU684" s="344">
        <v>160</v>
      </c>
      <c r="AV684" s="344">
        <v>158</v>
      </c>
      <c r="AW684" s="344">
        <v>156</v>
      </c>
      <c r="AX684" s="344">
        <v>154</v>
      </c>
      <c r="AY684" s="344">
        <v>151</v>
      </c>
      <c r="AZ684" s="344">
        <v>148</v>
      </c>
      <c r="BA684" s="344">
        <v>145</v>
      </c>
      <c r="BB684" s="344">
        <v>142</v>
      </c>
      <c r="BC684" s="490">
        <v>139</v>
      </c>
    </row>
    <row r="685" spans="1:55" s="426" customFormat="1" ht="15.75" thickBot="1" x14ac:dyDescent="0.3">
      <c r="A685" s="404">
        <f t="shared" si="131"/>
        <v>0</v>
      </c>
      <c r="B685" s="449">
        <v>1200</v>
      </c>
      <c r="C685" s="449">
        <v>1250</v>
      </c>
      <c r="D685" s="3">
        <f>FLOOR($AD$685*AG685,1)</f>
        <v>92</v>
      </c>
      <c r="E685" s="449">
        <f t="shared" ref="E685:T688" si="136">FLOOR($AD$685*AH685,1)</f>
        <v>91</v>
      </c>
      <c r="F685" s="449">
        <f t="shared" si="136"/>
        <v>90</v>
      </c>
      <c r="G685" s="449">
        <f t="shared" si="136"/>
        <v>89</v>
      </c>
      <c r="H685" s="449">
        <f t="shared" si="136"/>
        <v>88</v>
      </c>
      <c r="I685" s="449">
        <f t="shared" si="136"/>
        <v>88</v>
      </c>
      <c r="J685" s="449">
        <f t="shared" si="136"/>
        <v>87</v>
      </c>
      <c r="K685" s="449">
        <f t="shared" si="136"/>
        <v>86</v>
      </c>
      <c r="L685" s="449">
        <f t="shared" si="136"/>
        <v>85</v>
      </c>
      <c r="M685" s="449">
        <f t="shared" si="136"/>
        <v>84</v>
      </c>
      <c r="N685" s="449">
        <f t="shared" si="136"/>
        <v>84</v>
      </c>
      <c r="O685" s="449">
        <f t="shared" si="136"/>
        <v>83</v>
      </c>
      <c r="P685" s="449">
        <f t="shared" si="136"/>
        <v>82</v>
      </c>
      <c r="Q685" s="449">
        <f t="shared" si="136"/>
        <v>81</v>
      </c>
      <c r="R685" s="449">
        <f t="shared" si="136"/>
        <v>80</v>
      </c>
      <c r="S685" s="449">
        <f t="shared" si="136"/>
        <v>80</v>
      </c>
      <c r="T685" s="449">
        <f t="shared" si="136"/>
        <v>79</v>
      </c>
      <c r="U685" s="449">
        <f t="shared" ref="U685:Z688" si="137">FLOOR($AD$685*AX685,1)</f>
        <v>77</v>
      </c>
      <c r="V685" s="449">
        <f t="shared" si="137"/>
        <v>76</v>
      </c>
      <c r="W685" s="449">
        <f t="shared" si="137"/>
        <v>74</v>
      </c>
      <c r="X685" s="449">
        <f t="shared" si="137"/>
        <v>72</v>
      </c>
      <c r="Y685" s="449">
        <f t="shared" si="137"/>
        <v>72</v>
      </c>
      <c r="Z685" s="435">
        <f t="shared" si="137"/>
        <v>72</v>
      </c>
      <c r="AA685" s="1307" t="s">
        <v>689</v>
      </c>
      <c r="AD685" s="1058">
        <v>0.8</v>
      </c>
      <c r="AE685" s="449">
        <v>1200</v>
      </c>
      <c r="AF685" s="435">
        <v>1250</v>
      </c>
      <c r="AG685" s="645">
        <v>115</v>
      </c>
      <c r="AH685" s="22">
        <v>114</v>
      </c>
      <c r="AI685" s="22">
        <v>113</v>
      </c>
      <c r="AJ685" s="22">
        <v>112</v>
      </c>
      <c r="AK685" s="22">
        <v>111</v>
      </c>
      <c r="AL685" s="22">
        <v>110</v>
      </c>
      <c r="AM685" s="22">
        <v>109</v>
      </c>
      <c r="AN685" s="22">
        <v>108</v>
      </c>
      <c r="AO685" s="22">
        <v>107</v>
      </c>
      <c r="AP685" s="22">
        <v>106</v>
      </c>
      <c r="AQ685" s="22">
        <v>105</v>
      </c>
      <c r="AR685" s="22">
        <v>104</v>
      </c>
      <c r="AS685" s="22">
        <v>103</v>
      </c>
      <c r="AT685" s="22">
        <v>102</v>
      </c>
      <c r="AU685" s="22">
        <v>101</v>
      </c>
      <c r="AV685" s="22">
        <v>100</v>
      </c>
      <c r="AW685" s="22">
        <v>99</v>
      </c>
      <c r="AX685" s="22">
        <v>97</v>
      </c>
      <c r="AY685" s="22">
        <v>95</v>
      </c>
      <c r="AZ685" s="22">
        <v>93</v>
      </c>
      <c r="BA685" s="22">
        <v>91</v>
      </c>
      <c r="BB685" s="22">
        <v>91</v>
      </c>
      <c r="BC685" s="30">
        <v>91</v>
      </c>
    </row>
    <row r="686" spans="1:55" s="426" customFormat="1" x14ac:dyDescent="0.25">
      <c r="A686" s="41">
        <f t="shared" si="131"/>
        <v>0</v>
      </c>
      <c r="B686" s="2">
        <v>1250</v>
      </c>
      <c r="C686" s="2">
        <v>1300</v>
      </c>
      <c r="D686" s="26">
        <f t="shared" ref="D686:D688" si="138">FLOOR($AD$685*AG686,1)</f>
        <v>88</v>
      </c>
      <c r="E686" s="2">
        <f t="shared" si="136"/>
        <v>87</v>
      </c>
      <c r="F686" s="2">
        <f t="shared" si="136"/>
        <v>86</v>
      </c>
      <c r="G686" s="2">
        <f t="shared" si="136"/>
        <v>85</v>
      </c>
      <c r="H686" s="2">
        <f t="shared" si="136"/>
        <v>84</v>
      </c>
      <c r="I686" s="2">
        <f t="shared" si="136"/>
        <v>84</v>
      </c>
      <c r="J686" s="2">
        <f t="shared" si="136"/>
        <v>83</v>
      </c>
      <c r="K686" s="2">
        <f t="shared" si="136"/>
        <v>82</v>
      </c>
      <c r="L686" s="2">
        <f t="shared" si="136"/>
        <v>81</v>
      </c>
      <c r="M686" s="2">
        <f t="shared" si="136"/>
        <v>80</v>
      </c>
      <c r="N686" s="2">
        <f t="shared" si="136"/>
        <v>80</v>
      </c>
      <c r="O686" s="2">
        <f t="shared" si="136"/>
        <v>80</v>
      </c>
      <c r="P686" s="2">
        <f t="shared" si="136"/>
        <v>79</v>
      </c>
      <c r="Q686" s="2">
        <f t="shared" si="136"/>
        <v>78</v>
      </c>
      <c r="R686" s="2">
        <f t="shared" si="136"/>
        <v>77</v>
      </c>
      <c r="S686" s="2">
        <f t="shared" si="136"/>
        <v>76</v>
      </c>
      <c r="T686" s="2">
        <f t="shared" si="136"/>
        <v>75</v>
      </c>
      <c r="U686" s="2">
        <f t="shared" si="137"/>
        <v>73</v>
      </c>
      <c r="V686" s="2">
        <f t="shared" si="137"/>
        <v>72</v>
      </c>
      <c r="W686" s="2">
        <f t="shared" si="137"/>
        <v>70</v>
      </c>
      <c r="X686" s="2">
        <f t="shared" si="137"/>
        <v>68</v>
      </c>
      <c r="Y686" s="2">
        <f t="shared" si="137"/>
        <v>68</v>
      </c>
      <c r="Z686" s="25">
        <f t="shared" si="137"/>
        <v>68</v>
      </c>
      <c r="AA686" s="1310"/>
      <c r="AD686" s="713"/>
      <c r="AE686" s="26">
        <v>1250</v>
      </c>
      <c r="AF686" s="25">
        <v>1300</v>
      </c>
      <c r="AG686" s="29">
        <v>110</v>
      </c>
      <c r="AH686" s="22">
        <v>109</v>
      </c>
      <c r="AI686" s="22">
        <v>108</v>
      </c>
      <c r="AJ686" s="22">
        <v>107</v>
      </c>
      <c r="AK686" s="22">
        <v>106</v>
      </c>
      <c r="AL686" s="22">
        <v>105</v>
      </c>
      <c r="AM686" s="22">
        <v>104</v>
      </c>
      <c r="AN686" s="22">
        <v>103</v>
      </c>
      <c r="AO686" s="22">
        <v>102</v>
      </c>
      <c r="AP686" s="22">
        <v>101</v>
      </c>
      <c r="AQ686" s="22">
        <v>100</v>
      </c>
      <c r="AR686" s="22">
        <v>100</v>
      </c>
      <c r="AS686" s="22">
        <v>99</v>
      </c>
      <c r="AT686" s="22">
        <v>98</v>
      </c>
      <c r="AU686" s="22">
        <v>97</v>
      </c>
      <c r="AV686" s="22">
        <v>96</v>
      </c>
      <c r="AW686" s="22">
        <v>94</v>
      </c>
      <c r="AX686" s="22">
        <v>92</v>
      </c>
      <c r="AY686" s="22">
        <v>90</v>
      </c>
      <c r="AZ686" s="22">
        <v>88</v>
      </c>
      <c r="BA686" s="22">
        <v>86</v>
      </c>
      <c r="BB686" s="22">
        <v>86</v>
      </c>
      <c r="BC686" s="30">
        <v>86</v>
      </c>
    </row>
    <row r="687" spans="1:55" s="426" customFormat="1" x14ac:dyDescent="0.25">
      <c r="A687" s="41">
        <f t="shared" si="131"/>
        <v>0</v>
      </c>
      <c r="B687" s="2">
        <v>1300</v>
      </c>
      <c r="C687" s="2">
        <v>1350</v>
      </c>
      <c r="D687" s="26">
        <f t="shared" si="138"/>
        <v>84</v>
      </c>
      <c r="E687" s="2">
        <f t="shared" si="136"/>
        <v>83</v>
      </c>
      <c r="F687" s="2">
        <f t="shared" si="136"/>
        <v>82</v>
      </c>
      <c r="G687" s="2">
        <f t="shared" si="136"/>
        <v>81</v>
      </c>
      <c r="H687" s="2">
        <f t="shared" si="136"/>
        <v>80</v>
      </c>
      <c r="I687" s="2">
        <f t="shared" si="136"/>
        <v>80</v>
      </c>
      <c r="J687" s="2">
        <f t="shared" si="136"/>
        <v>80</v>
      </c>
      <c r="K687" s="2">
        <f t="shared" si="136"/>
        <v>79</v>
      </c>
      <c r="L687" s="2">
        <f t="shared" si="136"/>
        <v>78</v>
      </c>
      <c r="M687" s="2">
        <f t="shared" si="136"/>
        <v>77</v>
      </c>
      <c r="N687" s="2">
        <f t="shared" si="136"/>
        <v>76</v>
      </c>
      <c r="O687" s="2">
        <f t="shared" si="136"/>
        <v>76</v>
      </c>
      <c r="P687" s="2">
        <f t="shared" si="136"/>
        <v>75</v>
      </c>
      <c r="Q687" s="2">
        <f t="shared" si="136"/>
        <v>74</v>
      </c>
      <c r="R687" s="2">
        <f t="shared" si="136"/>
        <v>73</v>
      </c>
      <c r="S687" s="2">
        <f t="shared" si="136"/>
        <v>72</v>
      </c>
      <c r="T687" s="2">
        <f t="shared" si="136"/>
        <v>71</v>
      </c>
      <c r="U687" s="2">
        <f t="shared" si="137"/>
        <v>69</v>
      </c>
      <c r="V687" s="2">
        <f t="shared" si="137"/>
        <v>68</v>
      </c>
      <c r="W687" s="2">
        <f t="shared" si="137"/>
        <v>66</v>
      </c>
      <c r="X687" s="2">
        <f t="shared" si="137"/>
        <v>64</v>
      </c>
      <c r="Y687" s="2">
        <f t="shared" si="137"/>
        <v>64</v>
      </c>
      <c r="Z687" s="25">
        <f t="shared" si="137"/>
        <v>64</v>
      </c>
      <c r="AA687" s="1310"/>
      <c r="AD687" s="713"/>
      <c r="AE687" s="26">
        <v>1300</v>
      </c>
      <c r="AF687" s="25">
        <v>1350</v>
      </c>
      <c r="AG687" s="29">
        <v>105</v>
      </c>
      <c r="AH687" s="22">
        <v>104</v>
      </c>
      <c r="AI687" s="22">
        <v>103</v>
      </c>
      <c r="AJ687" s="22">
        <v>102</v>
      </c>
      <c r="AK687" s="22">
        <v>101</v>
      </c>
      <c r="AL687" s="22">
        <v>100</v>
      </c>
      <c r="AM687" s="22">
        <v>100</v>
      </c>
      <c r="AN687" s="22">
        <v>99</v>
      </c>
      <c r="AO687" s="22">
        <v>98</v>
      </c>
      <c r="AP687" s="22">
        <v>97</v>
      </c>
      <c r="AQ687" s="22">
        <v>96</v>
      </c>
      <c r="AR687" s="22">
        <v>95</v>
      </c>
      <c r="AS687" s="22">
        <v>94</v>
      </c>
      <c r="AT687" s="22">
        <v>93</v>
      </c>
      <c r="AU687" s="22">
        <v>92</v>
      </c>
      <c r="AV687" s="22">
        <v>91</v>
      </c>
      <c r="AW687" s="22">
        <v>89</v>
      </c>
      <c r="AX687" s="22">
        <v>87</v>
      </c>
      <c r="AY687" s="22">
        <v>85</v>
      </c>
      <c r="AZ687" s="22">
        <v>83</v>
      </c>
      <c r="BA687" s="22">
        <v>81</v>
      </c>
      <c r="BB687" s="22">
        <v>81</v>
      </c>
      <c r="BC687" s="30">
        <v>81</v>
      </c>
    </row>
    <row r="688" spans="1:55" s="426" customFormat="1" x14ac:dyDescent="0.25">
      <c r="A688" s="52">
        <f t="shared" si="131"/>
        <v>0</v>
      </c>
      <c r="B688" s="343">
        <v>1350</v>
      </c>
      <c r="C688" s="965">
        <v>1400</v>
      </c>
      <c r="D688" s="432">
        <f t="shared" si="138"/>
        <v>80</v>
      </c>
      <c r="E688" s="965">
        <f t="shared" si="136"/>
        <v>80</v>
      </c>
      <c r="F688" s="965">
        <f t="shared" si="136"/>
        <v>79</v>
      </c>
      <c r="G688" s="965">
        <f t="shared" si="136"/>
        <v>78</v>
      </c>
      <c r="H688" s="965">
        <f t="shared" si="136"/>
        <v>77</v>
      </c>
      <c r="I688" s="965">
        <f t="shared" si="136"/>
        <v>76</v>
      </c>
      <c r="J688" s="965">
        <f t="shared" si="136"/>
        <v>76</v>
      </c>
      <c r="K688" s="965">
        <f t="shared" si="136"/>
        <v>75</v>
      </c>
      <c r="L688" s="965">
        <f t="shared" si="136"/>
        <v>74</v>
      </c>
      <c r="M688" s="965">
        <f t="shared" si="136"/>
        <v>73</v>
      </c>
      <c r="N688" s="965">
        <f t="shared" si="136"/>
        <v>72</v>
      </c>
      <c r="O688" s="965">
        <f t="shared" si="136"/>
        <v>72</v>
      </c>
      <c r="P688" s="965">
        <f t="shared" si="136"/>
        <v>71</v>
      </c>
      <c r="Q688" s="965">
        <f t="shared" si="136"/>
        <v>70</v>
      </c>
      <c r="R688" s="965">
        <f t="shared" si="136"/>
        <v>69</v>
      </c>
      <c r="S688" s="965">
        <f t="shared" si="136"/>
        <v>68</v>
      </c>
      <c r="T688" s="965">
        <f t="shared" si="136"/>
        <v>67</v>
      </c>
      <c r="U688" s="965">
        <f t="shared" si="137"/>
        <v>65</v>
      </c>
      <c r="V688" s="965">
        <f t="shared" si="137"/>
        <v>64</v>
      </c>
      <c r="W688" s="965">
        <f t="shared" si="137"/>
        <v>62</v>
      </c>
      <c r="X688" s="965">
        <f t="shared" si="137"/>
        <v>60</v>
      </c>
      <c r="Y688" s="965">
        <f t="shared" si="137"/>
        <v>60</v>
      </c>
      <c r="Z688" s="966">
        <f t="shared" si="137"/>
        <v>60</v>
      </c>
      <c r="AA688" s="1311"/>
      <c r="AD688" s="714"/>
      <c r="AE688" s="432">
        <v>1350</v>
      </c>
      <c r="AF688" s="966">
        <v>1400</v>
      </c>
      <c r="AG688" s="649">
        <v>100</v>
      </c>
      <c r="AH688" s="1039">
        <v>100</v>
      </c>
      <c r="AI688" s="1039">
        <v>99</v>
      </c>
      <c r="AJ688" s="1039">
        <v>98</v>
      </c>
      <c r="AK688" s="1039">
        <v>97</v>
      </c>
      <c r="AL688" s="1039">
        <v>96</v>
      </c>
      <c r="AM688" s="1039">
        <v>95</v>
      </c>
      <c r="AN688" s="1039">
        <v>94</v>
      </c>
      <c r="AO688" s="1039">
        <v>93</v>
      </c>
      <c r="AP688" s="1039">
        <v>92</v>
      </c>
      <c r="AQ688" s="1039">
        <v>91</v>
      </c>
      <c r="AR688" s="1039">
        <v>90</v>
      </c>
      <c r="AS688" s="1039">
        <v>89</v>
      </c>
      <c r="AT688" s="1039">
        <v>88</v>
      </c>
      <c r="AU688" s="1039">
        <v>87</v>
      </c>
      <c r="AV688" s="1039">
        <v>86</v>
      </c>
      <c r="AW688" s="1039">
        <v>84</v>
      </c>
      <c r="AX688" s="1039">
        <v>82</v>
      </c>
      <c r="AY688" s="1039">
        <v>80</v>
      </c>
      <c r="AZ688" s="1039">
        <v>78</v>
      </c>
      <c r="BA688" s="1039">
        <v>76</v>
      </c>
      <c r="BB688" s="1039">
        <v>76</v>
      </c>
      <c r="BC688" s="1057">
        <v>75</v>
      </c>
    </row>
    <row r="689" spans="1:27" s="426" customFormat="1" x14ac:dyDescent="0.25">
      <c r="A689"/>
      <c r="B689" s="2"/>
      <c r="C689" s="2"/>
      <c r="D689" s="432">
        <f>IF(SUM($A$667:$A$688)&gt;0,VLOOKUP(1,$A$667:$Z$688,D663,FALSE),0)</f>
        <v>279</v>
      </c>
      <c r="E689" s="965">
        <f>IF(SUM($A$667:$A$688)&gt;0,VLOOKUP(1,$A$667:$Z$688,E663,FALSE),0)</f>
        <v>277</v>
      </c>
      <c r="F689" s="965">
        <f t="shared" ref="F689:Z689" si="139">IF(SUM($A$667:$A$688)&gt;0,VLOOKUP(1,$A$667:$Z$688,F663,FALSE),0)</f>
        <v>276</v>
      </c>
      <c r="G689" s="965">
        <f t="shared" si="139"/>
        <v>274</v>
      </c>
      <c r="H689" s="965">
        <f t="shared" si="139"/>
        <v>273</v>
      </c>
      <c r="I689" s="965">
        <f t="shared" si="139"/>
        <v>272</v>
      </c>
      <c r="J689" s="965">
        <f t="shared" si="139"/>
        <v>270</v>
      </c>
      <c r="K689" s="965">
        <f t="shared" si="139"/>
        <v>268</v>
      </c>
      <c r="L689" s="965">
        <f t="shared" si="139"/>
        <v>267</v>
      </c>
      <c r="M689" s="965">
        <f t="shared" si="139"/>
        <v>265</v>
      </c>
      <c r="N689" s="965">
        <f t="shared" si="139"/>
        <v>264</v>
      </c>
      <c r="O689" s="965">
        <f t="shared" si="139"/>
        <v>262</v>
      </c>
      <c r="P689" s="965">
        <f t="shared" si="139"/>
        <v>260</v>
      </c>
      <c r="Q689" s="965">
        <f t="shared" si="139"/>
        <v>259</v>
      </c>
      <c r="R689" s="965">
        <f t="shared" si="139"/>
        <v>258</v>
      </c>
      <c r="S689" s="965">
        <f t="shared" si="139"/>
        <v>256</v>
      </c>
      <c r="T689" s="965">
        <f t="shared" si="139"/>
        <v>255</v>
      </c>
      <c r="U689" s="965">
        <f t="shared" si="139"/>
        <v>253</v>
      </c>
      <c r="V689" s="965">
        <f t="shared" si="139"/>
        <v>252</v>
      </c>
      <c r="W689" s="965">
        <f t="shared" si="139"/>
        <v>250</v>
      </c>
      <c r="X689" s="965">
        <f t="shared" si="139"/>
        <v>180</v>
      </c>
      <c r="Y689" s="965">
        <f t="shared" si="139"/>
        <v>247</v>
      </c>
      <c r="Z689" s="966">
        <f t="shared" si="139"/>
        <v>247</v>
      </c>
      <c r="AA689"/>
    </row>
    <row r="690" spans="1:27" s="426" customFormat="1" ht="12.75" x14ac:dyDescent="0.2">
      <c r="Y690" s="626"/>
    </row>
    <row r="691" spans="1:27" s="426" customFormat="1" ht="12.75" x14ac:dyDescent="0.2">
      <c r="B691" s="426" t="s">
        <v>692</v>
      </c>
      <c r="Y691" s="626"/>
    </row>
    <row r="692" spans="1:27" s="426" customFormat="1" ht="12.75" x14ac:dyDescent="0.2">
      <c r="Y692" s="626"/>
    </row>
    <row r="693" spans="1:27" s="426" customFormat="1" ht="12.75" x14ac:dyDescent="0.2">
      <c r="A693" s="426">
        <f>A635</f>
        <v>0</v>
      </c>
      <c r="B693" s="426" t="s">
        <v>675</v>
      </c>
      <c r="C693" s="626">
        <f>A693*C635</f>
        <v>0</v>
      </c>
      <c r="D693" s="635">
        <f>C693*$D$632</f>
        <v>0</v>
      </c>
      <c r="Y693" s="626"/>
    </row>
    <row r="694" spans="1:27" s="426" customFormat="1" ht="12.75" x14ac:dyDescent="0.2">
      <c r="A694" s="426">
        <f>A636</f>
        <v>0</v>
      </c>
      <c r="B694" s="426" t="s">
        <v>676</v>
      </c>
      <c r="C694" s="626">
        <f>A694*C636</f>
        <v>0</v>
      </c>
      <c r="D694" s="635">
        <f t="shared" ref="D694:D697" si="140">C694*$D$632</f>
        <v>0</v>
      </c>
      <c r="Y694" s="626"/>
    </row>
    <row r="695" spans="1:27" s="426" customFormat="1" ht="12.75" x14ac:dyDescent="0.2">
      <c r="A695" s="426">
        <f>A637</f>
        <v>0</v>
      </c>
      <c r="B695" s="426" t="s">
        <v>677</v>
      </c>
      <c r="C695" s="626">
        <f>A695*C637</f>
        <v>0</v>
      </c>
      <c r="D695" s="635">
        <f t="shared" si="140"/>
        <v>0</v>
      </c>
      <c r="Y695" s="626"/>
    </row>
    <row r="696" spans="1:27" s="426" customFormat="1" ht="12.75" x14ac:dyDescent="0.2">
      <c r="A696" s="426">
        <f>A638</f>
        <v>0</v>
      </c>
      <c r="B696" s="426" t="s">
        <v>681</v>
      </c>
      <c r="C696" s="626">
        <f>A696*C638</f>
        <v>0</v>
      </c>
      <c r="D696" s="635">
        <f t="shared" si="140"/>
        <v>0</v>
      </c>
      <c r="Y696" s="626"/>
    </row>
    <row r="697" spans="1:27" s="426" customFormat="1" ht="12" customHeight="1" x14ac:dyDescent="0.2">
      <c r="A697" s="426">
        <f>A639</f>
        <v>0</v>
      </c>
      <c r="B697" s="426" t="s">
        <v>690</v>
      </c>
      <c r="C697" s="626">
        <f>C639*A697</f>
        <v>0</v>
      </c>
      <c r="D697" s="635">
        <f t="shared" si="140"/>
        <v>0</v>
      </c>
      <c r="Y697" s="626"/>
    </row>
    <row r="698" spans="1:27" s="426" customFormat="1" ht="12.75" x14ac:dyDescent="0.2">
      <c r="B698" s="615" t="s">
        <v>693</v>
      </c>
      <c r="D698" s="633">
        <f>SUM(D693:D697)</f>
        <v>0</v>
      </c>
      <c r="Y698" s="626"/>
    </row>
    <row r="699" spans="1:27" s="426" customFormat="1" ht="12.75" x14ac:dyDescent="0.2">
      <c r="B699" s="615"/>
      <c r="Y699" s="626"/>
    </row>
    <row r="700" spans="1:27" s="426" customFormat="1" ht="12.75" x14ac:dyDescent="0.2">
      <c r="B700" s="615"/>
      <c r="Y700" s="626"/>
    </row>
    <row r="701" spans="1:27" s="426" customFormat="1" ht="12.75" x14ac:dyDescent="0.2">
      <c r="B701" s="615"/>
      <c r="C701" s="626" t="s">
        <v>1020</v>
      </c>
      <c r="D701" s="626" t="s">
        <v>1021</v>
      </c>
      <c r="E701" s="426" t="s">
        <v>1022</v>
      </c>
      <c r="Y701" s="626"/>
    </row>
    <row r="702" spans="1:27" s="426" customFormat="1" ht="12.75" x14ac:dyDescent="0.2">
      <c r="B702" s="652" t="s">
        <v>704</v>
      </c>
      <c r="C702" s="634">
        <f>IF(C629=1,HLOOKUP(1,D664:Z689,26,FALSE),9999)</f>
        <v>9999</v>
      </c>
      <c r="D702" s="1047">
        <f>M639</f>
        <v>9999</v>
      </c>
      <c r="E702" s="1047">
        <f>FLOOR(MIN(C702:D702)*I650,5)</f>
        <v>8995</v>
      </c>
      <c r="Y702" s="626"/>
    </row>
    <row r="703" spans="1:27" s="426" customFormat="1" ht="12.75" x14ac:dyDescent="0.2">
      <c r="C703" s="626"/>
      <c r="D703" s="626"/>
      <c r="E703" s="626"/>
      <c r="Y703" s="626"/>
    </row>
    <row r="704" spans="1:27" s="426" customFormat="1" ht="12.75" x14ac:dyDescent="0.2">
      <c r="Y704" s="626"/>
    </row>
    <row r="705" spans="1:25" s="426" customFormat="1" ht="12.75" x14ac:dyDescent="0.2">
      <c r="B705" s="634" t="s">
        <v>706</v>
      </c>
      <c r="C705" s="653" t="s">
        <v>707</v>
      </c>
      <c r="D705" s="628" t="s">
        <v>708</v>
      </c>
      <c r="E705" s="664" t="s">
        <v>709</v>
      </c>
      <c r="Y705" s="626"/>
    </row>
    <row r="706" spans="1:25" s="426" customFormat="1" ht="12.75" x14ac:dyDescent="0.2">
      <c r="B706" s="634">
        <f>(IF(C3&gt;=I445,C3,I445)/E402)</f>
        <v>490</v>
      </c>
      <c r="C706" s="665">
        <v>200</v>
      </c>
      <c r="D706" s="634">
        <f>B706-C706</f>
        <v>290</v>
      </c>
      <c r="E706" s="654"/>
      <c r="Y706" s="626"/>
    </row>
    <row r="707" spans="1:25" s="426" customFormat="1" ht="12.75" x14ac:dyDescent="0.2">
      <c r="B707" s="634" t="s">
        <v>710</v>
      </c>
      <c r="C707" s="666">
        <f>IF(E702&gt;0,C706/(E702/2),0)</f>
        <v>4.4469149527515288E-2</v>
      </c>
      <c r="D707" s="668">
        <f>IF(E702&gt;0,D706/E702,0)</f>
        <v>3.2240133407448586E-2</v>
      </c>
      <c r="E707" s="667">
        <f>CEILING(D707+C707,1)</f>
        <v>1</v>
      </c>
      <c r="Y707" s="626"/>
    </row>
    <row r="708" spans="1:25" s="426" customFormat="1" ht="12.75" x14ac:dyDescent="0.2">
      <c r="B708" s="615"/>
      <c r="Y708" s="626"/>
    </row>
    <row r="709" spans="1:25" s="426" customFormat="1" ht="12.75" x14ac:dyDescent="0.2">
      <c r="B709" s="615"/>
      <c r="Y709" s="626"/>
    </row>
    <row r="710" spans="1:25" s="426" customFormat="1" ht="12.75" x14ac:dyDescent="0.2">
      <c r="A710" s="426">
        <f>IF(C629=1,1,0)</f>
        <v>0</v>
      </c>
      <c r="B710" s="615" t="s">
        <v>712</v>
      </c>
      <c r="C710" s="134">
        <f>IF(E707&gt;=C641,E707,C641)</f>
        <v>6</v>
      </c>
      <c r="D710" s="629">
        <f>IF(A710=1,C710*D632,0)</f>
        <v>0</v>
      </c>
      <c r="F710" s="669"/>
      <c r="Y710" s="626"/>
    </row>
    <row r="711" spans="1:25" s="426" customFormat="1" ht="12.75" x14ac:dyDescent="0.2">
      <c r="B711" s="615"/>
      <c r="Y711" s="626"/>
    </row>
    <row r="712" spans="1:25" s="430" customFormat="1" ht="12.75" x14ac:dyDescent="0.2">
      <c r="B712" s="678"/>
      <c r="Y712" s="651"/>
    </row>
    <row r="713" spans="1:25" s="426" customFormat="1" ht="12.75" x14ac:dyDescent="0.2">
      <c r="B713" s="615"/>
      <c r="Y713" s="626"/>
    </row>
    <row r="714" spans="1:25" s="426" customFormat="1" ht="13.5" thickBot="1" x14ac:dyDescent="0.25">
      <c r="B714" s="615"/>
      <c r="D714" s="626" t="s">
        <v>674</v>
      </c>
      <c r="Y714" s="626"/>
    </row>
    <row r="715" spans="1:25" s="426" customFormat="1" ht="13.5" thickBot="1" x14ac:dyDescent="0.25">
      <c r="B715" s="641" t="s">
        <v>665</v>
      </c>
      <c r="C715" s="643">
        <f>J367</f>
        <v>1</v>
      </c>
      <c r="D715" s="642">
        <f>IF(C715=1,D778+D790,0)</f>
        <v>70</v>
      </c>
      <c r="Y715" s="626"/>
    </row>
    <row r="716" spans="1:25" s="426" customFormat="1" ht="12.75" x14ac:dyDescent="0.2">
      <c r="Y716" s="626"/>
    </row>
    <row r="717" spans="1:25" s="426" customFormat="1" ht="12.75" x14ac:dyDescent="0.2">
      <c r="Y717" s="626"/>
    </row>
    <row r="718" spans="1:25" s="426" customFormat="1" ht="12.75" x14ac:dyDescent="0.2">
      <c r="Y718" s="626"/>
    </row>
    <row r="719" spans="1:25" s="426" customFormat="1" x14ac:dyDescent="0.25">
      <c r="B719" s="426" t="s">
        <v>716</v>
      </c>
      <c r="C719" s="633">
        <f>'Tarieven (4)'!C6</f>
        <v>300</v>
      </c>
      <c r="D719" s="633">
        <f>C719/60</f>
        <v>5</v>
      </c>
      <c r="H719" s="77" t="s">
        <v>4</v>
      </c>
      <c r="I719"/>
      <c r="J719"/>
      <c r="Y719" s="626"/>
    </row>
    <row r="720" spans="1:25" s="426" customFormat="1" x14ac:dyDescent="0.25">
      <c r="C720" s="635"/>
      <c r="D720" s="635"/>
      <c r="H720" s="3" t="str">
        <f>IF(AND(VLOOKUP(1,$A$113:$C$116,3,FALSE)&gt;0,$C$15=I720),1," ")</f>
        <v xml:space="preserve"> </v>
      </c>
      <c r="I720" s="1068" t="str">
        <f t="shared" ref="I720:I727" si="141">B121</f>
        <v>Onbedrukt / minder dan 10%</v>
      </c>
      <c r="J720" s="567">
        <v>200</v>
      </c>
      <c r="L720" s="155" t="s">
        <v>1025</v>
      </c>
      <c r="M720" s="1315" t="s">
        <v>61</v>
      </c>
      <c r="N720" s="1316"/>
      <c r="O720" s="959"/>
      <c r="Y720" s="626"/>
    </row>
    <row r="721" spans="1:25" s="426" customFormat="1" x14ac:dyDescent="0.25">
      <c r="A721" s="426" t="s">
        <v>61</v>
      </c>
      <c r="B721" s="426" t="s">
        <v>679</v>
      </c>
      <c r="C721" s="636" t="s">
        <v>680</v>
      </c>
      <c r="D721" s="635"/>
      <c r="H721" s="26" t="str">
        <f t="shared" ref="H721:H727" si="142">IF(AND(VLOOKUP(1,$A$113:$C$116,3,FALSE)&gt;0,$C$15=I721),1," ")</f>
        <v xml:space="preserve"> </v>
      </c>
      <c r="I721" s="280" t="str">
        <f t="shared" si="141"/>
        <v>10%</v>
      </c>
      <c r="J721" s="30">
        <v>190</v>
      </c>
      <c r="L721" s="1061">
        <f>IF(AND($C$3&gt;M721,$C$3&lt;=N721),1,0)</f>
        <v>1</v>
      </c>
      <c r="M721" s="406">
        <v>0</v>
      </c>
      <c r="N721" s="423">
        <v>1000</v>
      </c>
      <c r="O721" s="1074">
        <v>0.8</v>
      </c>
      <c r="Y721" s="626"/>
    </row>
    <row r="722" spans="1:25" s="426" customFormat="1" x14ac:dyDescent="0.25">
      <c r="A722" s="626">
        <f>IF(C715=1,1,0)</f>
        <v>1</v>
      </c>
      <c r="B722" s="426" t="s">
        <v>717</v>
      </c>
      <c r="C722" s="637">
        <v>8</v>
      </c>
      <c r="D722" s="426" t="s">
        <v>683</v>
      </c>
      <c r="H722" s="26" t="str">
        <f t="shared" si="142"/>
        <v xml:space="preserve"> </v>
      </c>
      <c r="I722" s="280" t="str">
        <f t="shared" si="141"/>
        <v>20%</v>
      </c>
      <c r="J722" s="30">
        <v>180</v>
      </c>
      <c r="L722" s="120">
        <f t="shared" ref="L722:L730" si="143">IF(AND($C$3&gt;M722,$C$3&lt;=N722),1,0)</f>
        <v>0</v>
      </c>
      <c r="M722" s="78">
        <v>1000</v>
      </c>
      <c r="N722" s="228">
        <v>2000</v>
      </c>
      <c r="O722" s="969">
        <v>0.81</v>
      </c>
      <c r="Y722" s="626"/>
    </row>
    <row r="723" spans="1:25" s="426" customFormat="1" x14ac:dyDescent="0.25">
      <c r="A723" s="626">
        <f>IF(AND(C715=1,C629=0,C111&gt;0),C111,IF(AND(C715=1,C629=1,C111&gt;0),0,0))</f>
        <v>0</v>
      </c>
      <c r="B723" s="426" t="s">
        <v>677</v>
      </c>
      <c r="C723" s="637">
        <v>8</v>
      </c>
      <c r="D723" s="426" t="s">
        <v>683</v>
      </c>
      <c r="F723" s="626"/>
      <c r="G723" s="626"/>
      <c r="H723" s="26" t="str">
        <f t="shared" si="142"/>
        <v xml:space="preserve"> </v>
      </c>
      <c r="I723" s="280" t="str">
        <f t="shared" si="141"/>
        <v>30%</v>
      </c>
      <c r="J723" s="30">
        <v>170</v>
      </c>
      <c r="L723" s="120">
        <f t="shared" si="143"/>
        <v>0</v>
      </c>
      <c r="M723" s="78">
        <v>2000</v>
      </c>
      <c r="N723" s="228">
        <v>3000</v>
      </c>
      <c r="O723" s="969">
        <v>0.82</v>
      </c>
      <c r="Y723" s="626"/>
    </row>
    <row r="724" spans="1:25" s="426" customFormat="1" x14ac:dyDescent="0.25">
      <c r="A724" s="626">
        <f>IF(AND(C715=1,C629=0,C111&gt;0),C111,IF(AND(C715=1,C629=1,C111&gt;0),0,0))</f>
        <v>0</v>
      </c>
      <c r="B724" s="426" t="s">
        <v>681</v>
      </c>
      <c r="C724" s="637">
        <v>6</v>
      </c>
      <c r="D724" s="426" t="s">
        <v>683</v>
      </c>
      <c r="H724" s="26" t="str">
        <f t="shared" si="142"/>
        <v xml:space="preserve"> </v>
      </c>
      <c r="I724" s="280" t="str">
        <f t="shared" si="141"/>
        <v>40%</v>
      </c>
      <c r="J724" s="30">
        <v>160</v>
      </c>
      <c r="L724" s="120">
        <f t="shared" si="143"/>
        <v>0</v>
      </c>
      <c r="M724" s="78">
        <v>3000</v>
      </c>
      <c r="N724" s="228">
        <v>4000</v>
      </c>
      <c r="O724" s="969">
        <v>0.83</v>
      </c>
      <c r="Y724" s="626"/>
    </row>
    <row r="725" spans="1:25" s="426" customFormat="1" x14ac:dyDescent="0.25">
      <c r="A725" s="626"/>
      <c r="C725" s="626"/>
      <c r="H725" s="26" t="str">
        <f t="shared" si="142"/>
        <v xml:space="preserve"> </v>
      </c>
      <c r="I725" s="280" t="str">
        <f t="shared" si="141"/>
        <v>60%</v>
      </c>
      <c r="J725" s="30">
        <v>140</v>
      </c>
      <c r="L725" s="120">
        <f t="shared" si="143"/>
        <v>0</v>
      </c>
      <c r="M725" s="78">
        <v>4000</v>
      </c>
      <c r="N725" s="228">
        <v>5000</v>
      </c>
      <c r="O725" s="969">
        <v>0.84</v>
      </c>
      <c r="Y725" s="626"/>
    </row>
    <row r="726" spans="1:25" s="426" customFormat="1" x14ac:dyDescent="0.25">
      <c r="B726" s="426" t="s">
        <v>682</v>
      </c>
      <c r="C726" s="637">
        <v>6</v>
      </c>
      <c r="D726" s="426" t="s">
        <v>684</v>
      </c>
      <c r="H726" s="26" t="str">
        <f t="shared" si="142"/>
        <v xml:space="preserve"> </v>
      </c>
      <c r="I726" s="280" t="str">
        <f t="shared" si="141"/>
        <v>80%</v>
      </c>
      <c r="J726" s="30">
        <v>120</v>
      </c>
      <c r="L726" s="120">
        <f t="shared" si="143"/>
        <v>0</v>
      </c>
      <c r="M726" s="78">
        <v>5000</v>
      </c>
      <c r="N726" s="228">
        <v>7500</v>
      </c>
      <c r="O726" s="969">
        <v>0.85</v>
      </c>
      <c r="Y726" s="626"/>
    </row>
    <row r="727" spans="1:25" s="426" customFormat="1" x14ac:dyDescent="0.25">
      <c r="H727" s="432" t="str">
        <f t="shared" si="142"/>
        <v xml:space="preserve"> </v>
      </c>
      <c r="I727" s="1070" t="str">
        <f t="shared" si="141"/>
        <v>100%</v>
      </c>
      <c r="J727" s="30">
        <v>120</v>
      </c>
      <c r="L727" s="120">
        <f t="shared" si="143"/>
        <v>0</v>
      </c>
      <c r="M727" s="78">
        <v>7500</v>
      </c>
      <c r="N727" s="228">
        <v>10000</v>
      </c>
      <c r="O727" s="969">
        <v>0.87</v>
      </c>
      <c r="Y727" s="626"/>
    </row>
    <row r="728" spans="1:25" s="426" customFormat="1" x14ac:dyDescent="0.25">
      <c r="H728" s="415"/>
      <c r="I728" s="1069" t="s">
        <v>1019</v>
      </c>
      <c r="J728" s="1008">
        <f>IF(SUM(H720:H727)&gt;0,VLOOKUP(1,H720:J727,3,FALSE),9999)</f>
        <v>9999</v>
      </c>
      <c r="L728" s="120">
        <f t="shared" si="143"/>
        <v>0</v>
      </c>
      <c r="M728" s="78">
        <v>10000</v>
      </c>
      <c r="N728" s="228">
        <v>15000</v>
      </c>
      <c r="O728" s="969">
        <v>0.88</v>
      </c>
      <c r="Y728" s="626"/>
    </row>
    <row r="729" spans="1:25" s="426" customFormat="1" x14ac:dyDescent="0.25">
      <c r="B729" s="426" t="s">
        <v>99</v>
      </c>
      <c r="C729" s="679">
        <f>B228</f>
        <v>361</v>
      </c>
      <c r="D729" s="426" t="s">
        <v>25</v>
      </c>
      <c r="L729" s="120">
        <f t="shared" si="143"/>
        <v>0</v>
      </c>
      <c r="M729" s="78">
        <v>15000</v>
      </c>
      <c r="N729" s="228">
        <v>20000</v>
      </c>
      <c r="O729" s="969">
        <v>0.89</v>
      </c>
      <c r="Y729" s="626"/>
    </row>
    <row r="730" spans="1:25" s="426" customFormat="1" x14ac:dyDescent="0.25">
      <c r="B730" s="426" t="s">
        <v>100</v>
      </c>
      <c r="C730" s="679">
        <f>C228</f>
        <v>1150</v>
      </c>
      <c r="D730" s="426" t="s">
        <v>25</v>
      </c>
      <c r="L730" s="202">
        <f t="shared" si="143"/>
        <v>0</v>
      </c>
      <c r="M730" s="1075">
        <v>20000</v>
      </c>
      <c r="N730" s="1076">
        <v>999999999</v>
      </c>
      <c r="O730" s="970">
        <v>0.9</v>
      </c>
      <c r="Y730" s="626"/>
    </row>
    <row r="731" spans="1:25" s="426" customFormat="1" ht="12.75" x14ac:dyDescent="0.2">
      <c r="Y731" s="626"/>
    </row>
    <row r="732" spans="1:25" s="426" customFormat="1" ht="12.75" x14ac:dyDescent="0.2">
      <c r="Y732" s="626"/>
    </row>
    <row r="733" spans="1:25" s="426" customFormat="1" ht="12.75" x14ac:dyDescent="0.2">
      <c r="A733" s="652"/>
      <c r="B733" s="653"/>
      <c r="C733" s="628"/>
      <c r="D733" s="628" t="s">
        <v>697</v>
      </c>
      <c r="E733" s="652" t="s">
        <v>698</v>
      </c>
      <c r="F733" s="659" t="s">
        <v>701</v>
      </c>
      <c r="G733" s="634" t="s">
        <v>702</v>
      </c>
      <c r="H733" s="661" t="s">
        <v>703</v>
      </c>
      <c r="Y733" s="626"/>
    </row>
    <row r="734" spans="1:25" s="426" customFormat="1" ht="12.75" x14ac:dyDescent="0.2">
      <c r="A734" s="429"/>
      <c r="B734" s="430" t="s">
        <v>696</v>
      </c>
      <c r="C734" s="145">
        <f>AS46</f>
        <v>1</v>
      </c>
      <c r="D734" s="145">
        <f>(C6/C7)*C734</f>
        <v>1.2</v>
      </c>
      <c r="E734" s="658">
        <f>C734*(C8/C6)</f>
        <v>0.33333333333333331</v>
      </c>
      <c r="F734" s="660">
        <f>VLOOKUP(1,A739:D744,4,FALSE)*VLOOKUP(1,E739:H744,4,FALSE)</f>
        <v>1</v>
      </c>
      <c r="G734" s="1086">
        <f>AY46</f>
        <v>0.9</v>
      </c>
      <c r="H734" s="662">
        <f>F734*G734</f>
        <v>0.9</v>
      </c>
      <c r="Y734" s="626"/>
    </row>
    <row r="735" spans="1:25" s="426" customFormat="1" ht="12.75" x14ac:dyDescent="0.2">
      <c r="C735" s="626"/>
      <c r="Y735" s="626"/>
    </row>
    <row r="736" spans="1:25" s="426" customFormat="1" ht="12.75" x14ac:dyDescent="0.2">
      <c r="C736" s="626"/>
      <c r="Y736" s="626"/>
    </row>
    <row r="737" spans="1:25" s="426" customFormat="1" x14ac:dyDescent="0.25">
      <c r="A737" s="405"/>
      <c r="B737" s="1302" t="s">
        <v>699</v>
      </c>
      <c r="C737" s="1303"/>
      <c r="D737" s="243"/>
      <c r="E737" s="433"/>
      <c r="F737" s="1302" t="s">
        <v>700</v>
      </c>
      <c r="G737" s="1303"/>
      <c r="H737" s="442"/>
      <c r="Y737" s="626"/>
    </row>
    <row r="738" spans="1:25" s="426" customFormat="1" x14ac:dyDescent="0.25">
      <c r="A738" s="339"/>
      <c r="B738" s="1292"/>
      <c r="C738" s="1293"/>
      <c r="D738" s="244"/>
      <c r="E738" s="7"/>
      <c r="F738" s="432"/>
      <c r="G738" s="436"/>
      <c r="H738" s="13"/>
      <c r="Y738" s="626"/>
    </row>
    <row r="739" spans="1:25" s="426" customFormat="1" x14ac:dyDescent="0.25">
      <c r="A739" s="399">
        <f>IF(AND($D$734&gt;=B739,$D$734&lt;C739),1,0)</f>
        <v>1</v>
      </c>
      <c r="B739" s="567">
        <v>0</v>
      </c>
      <c r="C739" s="567">
        <v>2.5</v>
      </c>
      <c r="D739" s="655">
        <v>1</v>
      </c>
      <c r="E739" s="423">
        <f>IF(AND($E$650&gt;=F739,$E$650&lt;G739),1,0)</f>
        <v>1</v>
      </c>
      <c r="F739" s="567">
        <v>0</v>
      </c>
      <c r="G739" s="486">
        <v>2</v>
      </c>
      <c r="H739" s="655">
        <v>1</v>
      </c>
      <c r="Y739" s="626"/>
    </row>
    <row r="740" spans="1:25" s="426" customFormat="1" x14ac:dyDescent="0.25">
      <c r="A740" s="120">
        <f t="shared" ref="A740:A744" si="144">IF(AND($D$734&gt;=B740,$D$734&lt;C740),1,0)</f>
        <v>0</v>
      </c>
      <c r="B740" s="30">
        <v>2.5</v>
      </c>
      <c r="C740" s="30">
        <v>3</v>
      </c>
      <c r="D740" s="656">
        <v>0.93</v>
      </c>
      <c r="E740" s="228">
        <f t="shared" ref="E740:E744" si="145">IF(AND($E$650&gt;=F740,$E$650&lt;G740),1,0)</f>
        <v>0</v>
      </c>
      <c r="F740" s="30">
        <v>2</v>
      </c>
      <c r="G740" s="28">
        <v>2.5</v>
      </c>
      <c r="H740" s="656">
        <v>0.95</v>
      </c>
      <c r="Y740" s="626"/>
    </row>
    <row r="741" spans="1:25" s="426" customFormat="1" x14ac:dyDescent="0.25">
      <c r="A741" s="120">
        <f t="shared" si="144"/>
        <v>0</v>
      </c>
      <c r="B741" s="30">
        <v>3</v>
      </c>
      <c r="C741" s="30">
        <v>3.5</v>
      </c>
      <c r="D741" s="656">
        <v>0.9</v>
      </c>
      <c r="E741" s="228">
        <f t="shared" si="145"/>
        <v>0</v>
      </c>
      <c r="F741" s="30">
        <v>2.5</v>
      </c>
      <c r="G741" s="28">
        <v>3.5</v>
      </c>
      <c r="H741" s="656">
        <v>0.9</v>
      </c>
      <c r="Y741" s="626"/>
    </row>
    <row r="742" spans="1:25" s="426" customFormat="1" x14ac:dyDescent="0.25">
      <c r="A742" s="120">
        <f t="shared" si="144"/>
        <v>0</v>
      </c>
      <c r="B742" s="30">
        <v>3.5</v>
      </c>
      <c r="C742" s="30">
        <v>4</v>
      </c>
      <c r="D742" s="656">
        <v>0.85</v>
      </c>
      <c r="E742" s="228">
        <f t="shared" si="145"/>
        <v>0</v>
      </c>
      <c r="F742" s="30">
        <v>3.5</v>
      </c>
      <c r="G742" s="28">
        <v>4</v>
      </c>
      <c r="H742" s="656">
        <v>0.85</v>
      </c>
      <c r="Y742" s="626"/>
    </row>
    <row r="743" spans="1:25" s="426" customFormat="1" x14ac:dyDescent="0.25">
      <c r="A743" s="120">
        <f t="shared" si="144"/>
        <v>0</v>
      </c>
      <c r="B743" s="30">
        <v>4</v>
      </c>
      <c r="C743" s="30">
        <v>5</v>
      </c>
      <c r="D743" s="656">
        <v>0.8</v>
      </c>
      <c r="E743" s="228">
        <f t="shared" si="145"/>
        <v>0</v>
      </c>
      <c r="F743" s="30">
        <v>4</v>
      </c>
      <c r="G743" s="28">
        <v>5.5</v>
      </c>
      <c r="H743" s="656">
        <v>0.8</v>
      </c>
      <c r="Y743" s="626"/>
    </row>
    <row r="744" spans="1:25" s="426" customFormat="1" x14ac:dyDescent="0.25">
      <c r="A744" s="202">
        <f t="shared" si="144"/>
        <v>0</v>
      </c>
      <c r="B744" s="490">
        <v>5</v>
      </c>
      <c r="C744" s="490">
        <v>99</v>
      </c>
      <c r="D744" s="657">
        <v>0.75</v>
      </c>
      <c r="E744" s="424">
        <f t="shared" si="145"/>
        <v>0</v>
      </c>
      <c r="F744" s="490">
        <v>5.5</v>
      </c>
      <c r="G744" s="34">
        <v>99</v>
      </c>
      <c r="H744" s="657">
        <v>0.75</v>
      </c>
      <c r="Y744" s="626"/>
    </row>
    <row r="745" spans="1:25" s="426" customFormat="1" ht="12.75" x14ac:dyDescent="0.2">
      <c r="C745" s="626"/>
      <c r="Y745" s="626"/>
    </row>
    <row r="746" spans="1:25" s="426" customFormat="1" ht="12.75" x14ac:dyDescent="0.2">
      <c r="C746" s="626"/>
      <c r="Y746" s="626"/>
    </row>
    <row r="747" spans="1:25" s="426" customFormat="1" x14ac:dyDescent="0.25">
      <c r="A747" s="77" t="s">
        <v>718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 s="2"/>
      <c r="Y747" s="626"/>
    </row>
    <row r="748" spans="1:25" s="426" customFormat="1" x14ac:dyDescent="0.25">
      <c r="A748"/>
      <c r="B748" s="2"/>
      <c r="C748"/>
      <c r="D748"/>
      <c r="E748"/>
      <c r="F748"/>
      <c r="G748"/>
      <c r="H748"/>
      <c r="I748"/>
      <c r="J748"/>
      <c r="K748"/>
      <c r="L748"/>
      <c r="M748"/>
      <c r="N748"/>
      <c r="O748" s="2"/>
      <c r="Y748" s="626"/>
    </row>
    <row r="749" spans="1:25" s="426" customFormat="1" x14ac:dyDescent="0.25">
      <c r="A749"/>
      <c r="B749" s="489" t="s">
        <v>99</v>
      </c>
      <c r="C749"/>
      <c r="D749"/>
      <c r="E749"/>
      <c r="F749"/>
      <c r="G749"/>
      <c r="H749"/>
      <c r="I749"/>
      <c r="J749"/>
      <c r="K749"/>
      <c r="L749"/>
      <c r="M749"/>
      <c r="N749"/>
      <c r="O749" s="2"/>
      <c r="Y749" s="626"/>
    </row>
    <row r="750" spans="1:25" s="426" customFormat="1" x14ac:dyDescent="0.25">
      <c r="A750"/>
      <c r="B750" s="472">
        <v>800</v>
      </c>
      <c r="C750" s="208">
        <f>IF(AND($C$730&gt;C757,$C$730&lt;=D757),1,0)</f>
        <v>0</v>
      </c>
      <c r="D750" s="208">
        <f t="shared" ref="D750:H750" si="146">IF(AND($C$730&gt;D757,$C$730&lt;=E757),1,0)</f>
        <v>0</v>
      </c>
      <c r="E750" s="208">
        <f t="shared" si="146"/>
        <v>0</v>
      </c>
      <c r="F750" s="208">
        <f t="shared" si="146"/>
        <v>1</v>
      </c>
      <c r="G750" s="208">
        <f t="shared" si="146"/>
        <v>0</v>
      </c>
      <c r="H750" s="473">
        <f t="shared" si="146"/>
        <v>0</v>
      </c>
      <c r="I750"/>
      <c r="J750"/>
      <c r="K750"/>
      <c r="L750"/>
      <c r="M750"/>
      <c r="N750"/>
      <c r="O750" s="2"/>
      <c r="Y750" s="626"/>
    </row>
    <row r="751" spans="1:25" s="426" customFormat="1" x14ac:dyDescent="0.25">
      <c r="A751" s="473">
        <f>IF(AND($C$729&gt;B751,$C$729&lt;=B750),1,0)</f>
        <v>0</v>
      </c>
      <c r="B751" s="434">
        <v>600</v>
      </c>
      <c r="C751" s="484">
        <v>5.5</v>
      </c>
      <c r="D751" s="484">
        <v>5.5</v>
      </c>
      <c r="E751" s="484">
        <v>5.5</v>
      </c>
      <c r="F751" s="484">
        <v>5</v>
      </c>
      <c r="G751" s="484">
        <v>4.5</v>
      </c>
      <c r="H751" s="484">
        <v>4</v>
      </c>
      <c r="I751"/>
      <c r="J751"/>
      <c r="K751"/>
      <c r="L751"/>
      <c r="M751"/>
      <c r="N751"/>
      <c r="O751" s="2"/>
      <c r="Y751" s="626"/>
    </row>
    <row r="752" spans="1:25" s="426" customFormat="1" x14ac:dyDescent="0.25">
      <c r="A752" s="473">
        <f t="shared" ref="A752:A756" si="147">IF(AND($C$729&gt;B752,$C$729&lt;=B751),1,0)</f>
        <v>0</v>
      </c>
      <c r="B752" s="434">
        <v>500</v>
      </c>
      <c r="C752" s="484">
        <v>6</v>
      </c>
      <c r="D752" s="484">
        <v>6</v>
      </c>
      <c r="E752" s="484">
        <v>5.5</v>
      </c>
      <c r="F752" s="484">
        <v>5</v>
      </c>
      <c r="G752" s="484">
        <v>4.5</v>
      </c>
      <c r="H752" s="484">
        <v>4</v>
      </c>
      <c r="I752"/>
      <c r="J752"/>
      <c r="K752"/>
      <c r="L752"/>
      <c r="M752"/>
      <c r="N752"/>
      <c r="O752" s="2"/>
      <c r="Y752" s="626"/>
    </row>
    <row r="753" spans="1:25" s="426" customFormat="1" x14ac:dyDescent="0.25">
      <c r="A753" s="473">
        <f t="shared" si="147"/>
        <v>1</v>
      </c>
      <c r="B753" s="434">
        <v>350</v>
      </c>
      <c r="C753" s="484">
        <v>6.5</v>
      </c>
      <c r="D753" s="484">
        <v>6</v>
      </c>
      <c r="E753" s="484">
        <v>5.5</v>
      </c>
      <c r="F753" s="484">
        <v>5.5</v>
      </c>
      <c r="G753" s="484">
        <v>5</v>
      </c>
      <c r="H753" s="484">
        <v>4.5</v>
      </c>
      <c r="I753"/>
      <c r="J753"/>
      <c r="K753"/>
      <c r="L753"/>
      <c r="M753"/>
      <c r="N753"/>
      <c r="O753" s="2"/>
      <c r="Y753" s="626"/>
    </row>
    <row r="754" spans="1:25" s="426" customFormat="1" x14ac:dyDescent="0.25">
      <c r="A754" s="473">
        <f t="shared" si="147"/>
        <v>0</v>
      </c>
      <c r="B754" s="434">
        <v>250</v>
      </c>
      <c r="C754" s="484">
        <v>7</v>
      </c>
      <c r="D754" s="484">
        <v>6.5</v>
      </c>
      <c r="E754" s="484">
        <v>6</v>
      </c>
      <c r="F754" s="484">
        <v>5.5</v>
      </c>
      <c r="G754" s="484">
        <v>5</v>
      </c>
      <c r="H754" s="484">
        <v>5</v>
      </c>
      <c r="I754"/>
      <c r="J754"/>
      <c r="K754"/>
      <c r="L754"/>
      <c r="M754"/>
      <c r="N754"/>
      <c r="O754" s="2"/>
      <c r="Y754" s="626"/>
    </row>
    <row r="755" spans="1:25" s="426" customFormat="1" x14ac:dyDescent="0.25">
      <c r="A755" s="473">
        <f t="shared" si="147"/>
        <v>0</v>
      </c>
      <c r="B755" s="434">
        <v>180</v>
      </c>
      <c r="C755" s="484">
        <v>6.5</v>
      </c>
      <c r="D755" s="484">
        <v>6.5</v>
      </c>
      <c r="E755" s="484">
        <v>6.5</v>
      </c>
      <c r="F755" s="484">
        <v>6</v>
      </c>
      <c r="G755" s="484">
        <v>5.5</v>
      </c>
      <c r="H755" s="484">
        <v>4.5</v>
      </c>
      <c r="I755"/>
      <c r="J755"/>
      <c r="K755"/>
      <c r="L755"/>
      <c r="M755"/>
      <c r="N755"/>
      <c r="O755" s="2"/>
      <c r="Y755" s="626"/>
    </row>
    <row r="756" spans="1:25" s="426" customFormat="1" x14ac:dyDescent="0.25">
      <c r="A756" s="473">
        <f t="shared" si="147"/>
        <v>0</v>
      </c>
      <c r="B756" s="44">
        <v>0</v>
      </c>
      <c r="C756" s="484">
        <v>6</v>
      </c>
      <c r="D756" s="484">
        <v>6</v>
      </c>
      <c r="E756" s="484">
        <v>5.5</v>
      </c>
      <c r="F756" s="484">
        <v>5</v>
      </c>
      <c r="G756" s="484">
        <v>4.5</v>
      </c>
      <c r="H756" s="484">
        <v>4</v>
      </c>
      <c r="I756"/>
      <c r="J756"/>
      <c r="K756"/>
      <c r="L756"/>
      <c r="M756"/>
      <c r="N756"/>
      <c r="O756" s="2"/>
      <c r="Y756" s="626"/>
    </row>
    <row r="757" spans="1:25" s="426" customFormat="1" ht="15.75" thickBot="1" x14ac:dyDescent="0.3">
      <c r="A757"/>
      <c r="B757"/>
      <c r="C757" s="431">
        <v>0</v>
      </c>
      <c r="D757" s="431">
        <v>500</v>
      </c>
      <c r="E757" s="431">
        <v>750</v>
      </c>
      <c r="F757" s="431">
        <v>1000</v>
      </c>
      <c r="G757" s="431">
        <v>1250</v>
      </c>
      <c r="H757" s="431">
        <v>1500</v>
      </c>
      <c r="I757" s="473">
        <v>1750</v>
      </c>
      <c r="J757" s="517" t="s">
        <v>100</v>
      </c>
      <c r="K757"/>
      <c r="L757"/>
      <c r="M757"/>
      <c r="N757"/>
      <c r="O757" s="2"/>
      <c r="Y757" s="626"/>
    </row>
    <row r="758" spans="1:25" s="426" customFormat="1" ht="15.75" thickBot="1" x14ac:dyDescent="0.3">
      <c r="A758" s="414" t="s">
        <v>719</v>
      </c>
      <c r="B758" s="531">
        <f>HLOOKUP(1,C750:H758,9,FALSE)</f>
        <v>5.5</v>
      </c>
      <c r="C758" s="23">
        <f>VLOOKUP(1,A751:H756,3,FALSE)</f>
        <v>6.5</v>
      </c>
      <c r="D758" s="23">
        <f>VLOOKUP(1,A751:H756,4,FALSE)</f>
        <v>6</v>
      </c>
      <c r="E758" s="23">
        <f>VLOOKUP(1,A751:H756,5,FALSE)</f>
        <v>5.5</v>
      </c>
      <c r="F758" s="23">
        <f>VLOOKUP(1,A751:H756,6,FALSE)</f>
        <v>5.5</v>
      </c>
      <c r="G758" s="23">
        <f>VLOOKUP(1,A751:H756,7,FALSE)</f>
        <v>5</v>
      </c>
      <c r="H758" s="38">
        <f>VLOOKUP(1,A751:H756,8,FALSE)</f>
        <v>4.5</v>
      </c>
      <c r="I758"/>
      <c r="J758"/>
      <c r="K758"/>
      <c r="L758"/>
      <c r="M758"/>
      <c r="N758"/>
      <c r="O758" s="2"/>
      <c r="Y758" s="626"/>
    </row>
    <row r="759" spans="1:25" s="426" customFormat="1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 s="2"/>
      <c r="Y759" s="626"/>
    </row>
    <row r="760" spans="1:25" s="426" customFormat="1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 s="2"/>
      <c r="Y760" s="626"/>
    </row>
    <row r="761" spans="1:25" s="426" customFormat="1" x14ac:dyDescent="0.25">
      <c r="A761" s="404"/>
      <c r="B761" s="399" t="s">
        <v>0</v>
      </c>
      <c r="C761" s="399" t="s">
        <v>720</v>
      </c>
      <c r="D761" s="442" t="s">
        <v>721</v>
      </c>
      <c r="E761" s="431" t="s">
        <v>722</v>
      </c>
      <c r="F761" s="208" t="str">
        <f>IF(F762=$B$758,1," ")</f>
        <v xml:space="preserve"> </v>
      </c>
      <c r="G761" s="23" t="str">
        <f t="shared" ref="G761:N761" si="148">IF(G762=$B$758,1," ")</f>
        <v xml:space="preserve"> </v>
      </c>
      <c r="H761" s="23" t="str">
        <f t="shared" si="148"/>
        <v xml:space="preserve"> </v>
      </c>
      <c r="I761" s="23">
        <f t="shared" si="148"/>
        <v>1</v>
      </c>
      <c r="J761" s="23" t="str">
        <f t="shared" si="148"/>
        <v xml:space="preserve"> </v>
      </c>
      <c r="K761" s="23" t="str">
        <f t="shared" si="148"/>
        <v xml:space="preserve"> </v>
      </c>
      <c r="L761" s="23" t="str">
        <f t="shared" si="148"/>
        <v xml:space="preserve"> </v>
      </c>
      <c r="M761" s="23" t="str">
        <f t="shared" si="148"/>
        <v xml:space="preserve"> </v>
      </c>
      <c r="N761" s="38" t="str">
        <f t="shared" si="148"/>
        <v xml:space="preserve"> </v>
      </c>
      <c r="O761" s="2"/>
      <c r="Y761" s="626"/>
    </row>
    <row r="762" spans="1:25" s="426" customFormat="1" x14ac:dyDescent="0.25">
      <c r="A762" s="41"/>
      <c r="B762" s="13"/>
      <c r="C762" s="52"/>
      <c r="D762" s="681">
        <f>VLOOKUP(1,L721:O730,4,FALSE)</f>
        <v>0.8</v>
      </c>
      <c r="E762" s="26" t="s">
        <v>723</v>
      </c>
      <c r="F762" s="26">
        <v>7</v>
      </c>
      <c r="G762" s="2">
        <v>6.5</v>
      </c>
      <c r="H762" s="2">
        <v>6</v>
      </c>
      <c r="I762" s="2">
        <v>5.5</v>
      </c>
      <c r="J762" s="2">
        <v>5</v>
      </c>
      <c r="K762" s="2">
        <v>4.5</v>
      </c>
      <c r="L762" s="2">
        <v>4</v>
      </c>
      <c r="M762" s="2">
        <v>3.5</v>
      </c>
      <c r="N762" s="25">
        <v>3</v>
      </c>
      <c r="O762" s="2"/>
      <c r="Y762" s="626"/>
    </row>
    <row r="763" spans="1:25" s="426" customFormat="1" x14ac:dyDescent="0.25">
      <c r="A763" s="442" t="str">
        <f>IF($C$4=B763,1," ")</f>
        <v xml:space="preserve"> </v>
      </c>
      <c r="B763" s="435" t="s">
        <v>30</v>
      </c>
      <c r="C763" s="486">
        <v>90</v>
      </c>
      <c r="D763" s="645">
        <v>1.5</v>
      </c>
      <c r="E763" s="431">
        <f>FLOOR(C763/D763,1)</f>
        <v>60</v>
      </c>
      <c r="F763" s="431">
        <f>FLOOR((E763*$F$762)*$D$762,1)</f>
        <v>336</v>
      </c>
      <c r="G763" s="449">
        <f>FLOOR((E763*$G$762)*$D$762,1)</f>
        <v>312</v>
      </c>
      <c r="H763" s="449">
        <f>FLOOR((E763*$H$762)*$D$762,1)</f>
        <v>288</v>
      </c>
      <c r="I763" s="449">
        <f>FLOOR((E763*$I$762)*$D$762,1)</f>
        <v>264</v>
      </c>
      <c r="J763" s="449">
        <f>FLOOR((E763*$J$762)*$D$762,1)</f>
        <v>240</v>
      </c>
      <c r="K763" s="449">
        <f>FLOOR((E763*$K$762)*$D$762,1)</f>
        <v>216</v>
      </c>
      <c r="L763" s="449">
        <f>FLOOR((E763*$L$762)*$D$762,1)</f>
        <v>192</v>
      </c>
      <c r="M763" s="449">
        <f>FLOOR((E763*$M$762)*$D$762,1)</f>
        <v>168</v>
      </c>
      <c r="N763" s="435">
        <f>FLOOR((E763*$N$762)*$D$762,1)</f>
        <v>144</v>
      </c>
      <c r="O763" s="2"/>
      <c r="Y763" s="626"/>
    </row>
    <row r="764" spans="1:25" s="426" customFormat="1" x14ac:dyDescent="0.25">
      <c r="A764" s="12">
        <f t="shared" ref="A764:A769" si="149">IF($C$4=B764,1," ")</f>
        <v>1</v>
      </c>
      <c r="B764" s="25" t="s">
        <v>31</v>
      </c>
      <c r="C764" s="28">
        <v>90</v>
      </c>
      <c r="D764" s="29">
        <v>2.8</v>
      </c>
      <c r="E764" s="26">
        <f t="shared" ref="E764:E769" si="150">FLOOR(C764/D764,1)</f>
        <v>32</v>
      </c>
      <c r="F764" s="26">
        <f t="shared" ref="F764:F769" si="151">FLOOR((E764*$F$762)*$D$762,1)</f>
        <v>179</v>
      </c>
      <c r="G764" s="2">
        <f t="shared" ref="G764:G769" si="152">FLOOR((E764*$G$762)*$D$762,1)</f>
        <v>166</v>
      </c>
      <c r="H764" s="2">
        <f t="shared" ref="H764:H769" si="153">FLOOR((E764*$H$762)*$D$762,1)</f>
        <v>153</v>
      </c>
      <c r="I764" s="2">
        <f t="shared" ref="I764:I769" si="154">FLOOR((E764*$I$762)*$D$762,1)</f>
        <v>140</v>
      </c>
      <c r="J764" s="2">
        <f t="shared" ref="J764:J769" si="155">FLOOR((E764*$J$762)*$D$762,1)</f>
        <v>128</v>
      </c>
      <c r="K764" s="2">
        <f t="shared" ref="K764:K769" si="156">FLOOR((E764*$K$762)*$D$762,1)</f>
        <v>115</v>
      </c>
      <c r="L764" s="2">
        <f t="shared" ref="L764:L769" si="157">FLOOR((E764*$L$762)*$D$762,1)</f>
        <v>102</v>
      </c>
      <c r="M764" s="2">
        <f t="shared" ref="M764:M769" si="158">FLOOR((E764*$M$762)*$D$762,1)</f>
        <v>89</v>
      </c>
      <c r="N764" s="25">
        <f t="shared" ref="N764:N769" si="159">FLOOR((E764*$N$762)*$D$762,1)</f>
        <v>76</v>
      </c>
      <c r="O764" s="2"/>
      <c r="Y764" s="626"/>
    </row>
    <row r="765" spans="1:25" s="426" customFormat="1" x14ac:dyDescent="0.25">
      <c r="A765" s="12" t="str">
        <f t="shared" si="149"/>
        <v xml:space="preserve"> </v>
      </c>
      <c r="B765" s="25" t="s">
        <v>32</v>
      </c>
      <c r="C765" s="28">
        <v>90</v>
      </c>
      <c r="D765" s="29">
        <v>3.8</v>
      </c>
      <c r="E765" s="26">
        <f t="shared" si="150"/>
        <v>23</v>
      </c>
      <c r="F765" s="26">
        <f t="shared" si="151"/>
        <v>128</v>
      </c>
      <c r="G765" s="2">
        <f t="shared" si="152"/>
        <v>119</v>
      </c>
      <c r="H765" s="2">
        <f t="shared" si="153"/>
        <v>110</v>
      </c>
      <c r="I765" s="2">
        <f t="shared" si="154"/>
        <v>101</v>
      </c>
      <c r="J765" s="2">
        <f t="shared" si="155"/>
        <v>92</v>
      </c>
      <c r="K765" s="2">
        <f t="shared" si="156"/>
        <v>82</v>
      </c>
      <c r="L765" s="2">
        <f t="shared" si="157"/>
        <v>73</v>
      </c>
      <c r="M765" s="2">
        <f t="shared" si="158"/>
        <v>64</v>
      </c>
      <c r="N765" s="25">
        <f t="shared" si="159"/>
        <v>55</v>
      </c>
      <c r="O765" s="2"/>
      <c r="Y765" s="626"/>
    </row>
    <row r="766" spans="1:25" s="426" customFormat="1" x14ac:dyDescent="0.25">
      <c r="A766" s="12" t="str">
        <f t="shared" si="149"/>
        <v xml:space="preserve"> </v>
      </c>
      <c r="B766" s="25" t="s">
        <v>34</v>
      </c>
      <c r="C766" s="28">
        <v>90</v>
      </c>
      <c r="D766" s="29">
        <v>3</v>
      </c>
      <c r="E766" s="26">
        <f t="shared" si="150"/>
        <v>30</v>
      </c>
      <c r="F766" s="26">
        <f t="shared" si="151"/>
        <v>168</v>
      </c>
      <c r="G766" s="2">
        <f t="shared" si="152"/>
        <v>156</v>
      </c>
      <c r="H766" s="2">
        <f t="shared" si="153"/>
        <v>144</v>
      </c>
      <c r="I766" s="2">
        <f t="shared" si="154"/>
        <v>132</v>
      </c>
      <c r="J766" s="2">
        <f t="shared" si="155"/>
        <v>120</v>
      </c>
      <c r="K766" s="2">
        <f t="shared" si="156"/>
        <v>108</v>
      </c>
      <c r="L766" s="2">
        <f t="shared" si="157"/>
        <v>96</v>
      </c>
      <c r="M766" s="2">
        <f t="shared" si="158"/>
        <v>84</v>
      </c>
      <c r="N766" s="25">
        <f t="shared" si="159"/>
        <v>72</v>
      </c>
      <c r="O766" s="2"/>
      <c r="Y766" s="626"/>
    </row>
    <row r="767" spans="1:25" s="426" customFormat="1" x14ac:dyDescent="0.25">
      <c r="A767" s="12" t="str">
        <f t="shared" si="149"/>
        <v xml:space="preserve"> </v>
      </c>
      <c r="B767" s="25" t="s">
        <v>33</v>
      </c>
      <c r="C767" s="28">
        <v>90</v>
      </c>
      <c r="D767" s="29">
        <v>3.8</v>
      </c>
      <c r="E767" s="26">
        <f t="shared" si="150"/>
        <v>23</v>
      </c>
      <c r="F767" s="26">
        <f t="shared" si="151"/>
        <v>128</v>
      </c>
      <c r="G767" s="2">
        <f t="shared" si="152"/>
        <v>119</v>
      </c>
      <c r="H767" s="2">
        <f t="shared" si="153"/>
        <v>110</v>
      </c>
      <c r="I767" s="2">
        <f t="shared" si="154"/>
        <v>101</v>
      </c>
      <c r="J767" s="2">
        <f t="shared" si="155"/>
        <v>92</v>
      </c>
      <c r="K767" s="2">
        <f t="shared" si="156"/>
        <v>82</v>
      </c>
      <c r="L767" s="2">
        <f t="shared" si="157"/>
        <v>73</v>
      </c>
      <c r="M767" s="2">
        <f t="shared" si="158"/>
        <v>64</v>
      </c>
      <c r="N767" s="25">
        <f t="shared" si="159"/>
        <v>55</v>
      </c>
      <c r="O767" s="2"/>
      <c r="Y767" s="626"/>
    </row>
    <row r="768" spans="1:25" s="426" customFormat="1" x14ac:dyDescent="0.25">
      <c r="A768" s="12" t="str">
        <f t="shared" si="149"/>
        <v xml:space="preserve"> </v>
      </c>
      <c r="B768" s="25" t="s">
        <v>35</v>
      </c>
      <c r="C768" s="28">
        <v>90</v>
      </c>
      <c r="D768" s="29">
        <v>3.6</v>
      </c>
      <c r="E768" s="26">
        <f t="shared" si="150"/>
        <v>25</v>
      </c>
      <c r="F768" s="26">
        <f t="shared" si="151"/>
        <v>140</v>
      </c>
      <c r="G768" s="2">
        <f t="shared" si="152"/>
        <v>130</v>
      </c>
      <c r="H768" s="2">
        <f t="shared" si="153"/>
        <v>120</v>
      </c>
      <c r="I768" s="2">
        <f t="shared" si="154"/>
        <v>110</v>
      </c>
      <c r="J768" s="2">
        <f t="shared" si="155"/>
        <v>100</v>
      </c>
      <c r="K768" s="2">
        <f t="shared" si="156"/>
        <v>90</v>
      </c>
      <c r="L768" s="2">
        <f t="shared" si="157"/>
        <v>80</v>
      </c>
      <c r="M768" s="2">
        <f t="shared" si="158"/>
        <v>70</v>
      </c>
      <c r="N768" s="25">
        <f t="shared" si="159"/>
        <v>60</v>
      </c>
      <c r="O768" s="2"/>
      <c r="Y768" s="626"/>
    </row>
    <row r="769" spans="1:25" s="426" customFormat="1" ht="15.75" thickBot="1" x14ac:dyDescent="0.3">
      <c r="A769" s="12" t="str">
        <f t="shared" si="149"/>
        <v xml:space="preserve"> </v>
      </c>
      <c r="B769" s="25" t="s">
        <v>36</v>
      </c>
      <c r="C769" s="34">
        <v>90</v>
      </c>
      <c r="D769" s="649">
        <v>5.6</v>
      </c>
      <c r="E769" s="432">
        <f t="shared" si="150"/>
        <v>16</v>
      </c>
      <c r="F769" s="432">
        <f t="shared" si="151"/>
        <v>89</v>
      </c>
      <c r="G769" s="343">
        <f t="shared" si="152"/>
        <v>83</v>
      </c>
      <c r="H769" s="343">
        <f t="shared" si="153"/>
        <v>76</v>
      </c>
      <c r="I769" s="343">
        <f t="shared" si="154"/>
        <v>70</v>
      </c>
      <c r="J769" s="343">
        <f t="shared" si="155"/>
        <v>64</v>
      </c>
      <c r="K769" s="343">
        <f t="shared" si="156"/>
        <v>57</v>
      </c>
      <c r="L769" s="343">
        <f t="shared" si="157"/>
        <v>51</v>
      </c>
      <c r="M769" s="343">
        <f t="shared" si="158"/>
        <v>44</v>
      </c>
      <c r="N769" s="436">
        <f t="shared" si="159"/>
        <v>38</v>
      </c>
      <c r="O769" s="2"/>
      <c r="Y769" s="626"/>
    </row>
    <row r="770" spans="1:25" s="426" customFormat="1" ht="15.75" thickBot="1" x14ac:dyDescent="0.3">
      <c r="A770" s="414" t="s">
        <v>724</v>
      </c>
      <c r="B770" s="682">
        <f>HLOOKUP(1,F761:N770,10,FALSE)</f>
        <v>140</v>
      </c>
      <c r="C770" s="43"/>
      <c r="D770" s="43"/>
      <c r="E770" s="43"/>
      <c r="F770" s="208">
        <f>VLOOKUP(1,A763:N769,6,FALSE)</f>
        <v>179</v>
      </c>
      <c r="G770" s="23">
        <f>VLOOKUP(1,A763:N769,7,FALSE)</f>
        <v>166</v>
      </c>
      <c r="H770" s="23">
        <f>VLOOKUP(1,A763:N769,8,FALSE)</f>
        <v>153</v>
      </c>
      <c r="I770" s="23">
        <f>VLOOKUP(1,A763:N769,9,FALSE)</f>
        <v>140</v>
      </c>
      <c r="J770" s="23">
        <f>VLOOKUP(1,A763:N769,10,FALSE)</f>
        <v>128</v>
      </c>
      <c r="K770" s="23">
        <f>VLOOKUP(1,A763:N769,11,FALSE)</f>
        <v>115</v>
      </c>
      <c r="L770" s="23">
        <f>VLOOKUP(1,A763:N769,12,FALSE)</f>
        <v>102</v>
      </c>
      <c r="M770" s="23">
        <f>VLOOKUP(1,A763:N769,13,FALSE)</f>
        <v>89</v>
      </c>
      <c r="N770" s="38">
        <f>VLOOKUP(1,A763:N769,14,FALSE)</f>
        <v>76</v>
      </c>
      <c r="O770" s="2"/>
      <c r="Y770" s="626"/>
    </row>
    <row r="771" spans="1:25" s="426" customFormat="1" x14ac:dyDescent="0.25">
      <c r="A771"/>
      <c r="B771"/>
      <c r="C771"/>
      <c r="D771"/>
      <c r="E771"/>
      <c r="F771" s="2"/>
      <c r="G771" s="2"/>
      <c r="H771" s="2"/>
      <c r="I771" s="2"/>
      <c r="J771" s="2"/>
      <c r="K771" s="2"/>
      <c r="L771" s="2"/>
      <c r="M771" s="2"/>
      <c r="N771" s="2"/>
      <c r="O771" s="2"/>
      <c r="Y771" s="626"/>
    </row>
    <row r="772" spans="1:25" s="426" customFormat="1" ht="12.75" x14ac:dyDescent="0.2">
      <c r="Y772" s="626"/>
    </row>
    <row r="773" spans="1:25" s="426" customFormat="1" ht="12.75" x14ac:dyDescent="0.2">
      <c r="B773" s="426" t="s">
        <v>692</v>
      </c>
      <c r="Y773" s="626"/>
    </row>
    <row r="774" spans="1:25" s="426" customFormat="1" ht="12.75" x14ac:dyDescent="0.2">
      <c r="Y774" s="626"/>
    </row>
    <row r="775" spans="1:25" s="426" customFormat="1" ht="12.75" x14ac:dyDescent="0.2">
      <c r="A775" s="426">
        <f>A722</f>
        <v>1</v>
      </c>
      <c r="B775" s="426" t="s">
        <v>717</v>
      </c>
      <c r="C775" s="626">
        <f>A775*C722</f>
        <v>8</v>
      </c>
      <c r="D775" s="635">
        <f>C775*$D$719</f>
        <v>40</v>
      </c>
      <c r="Y775" s="626"/>
    </row>
    <row r="776" spans="1:25" s="426" customFormat="1" ht="12.75" x14ac:dyDescent="0.2">
      <c r="A776" s="426">
        <f>A723</f>
        <v>0</v>
      </c>
      <c r="B776" s="426" t="s">
        <v>677</v>
      </c>
      <c r="C776" s="626">
        <f>A776*C723</f>
        <v>0</v>
      </c>
      <c r="D776" s="635">
        <f>C776*$D$719</f>
        <v>0</v>
      </c>
      <c r="Y776" s="626"/>
    </row>
    <row r="777" spans="1:25" s="426" customFormat="1" ht="12.75" x14ac:dyDescent="0.2">
      <c r="A777" s="426">
        <f>A724</f>
        <v>0</v>
      </c>
      <c r="B777" s="426" t="s">
        <v>681</v>
      </c>
      <c r="C777" s="626">
        <f>A777*C724</f>
        <v>0</v>
      </c>
      <c r="D777" s="635">
        <f>C777*$D$719</f>
        <v>0</v>
      </c>
      <c r="Y777" s="626"/>
    </row>
    <row r="778" spans="1:25" s="426" customFormat="1" ht="12.75" x14ac:dyDescent="0.2">
      <c r="B778" s="615" t="s">
        <v>693</v>
      </c>
      <c r="D778" s="633">
        <f>SUM(D775:D777)</f>
        <v>40</v>
      </c>
      <c r="Y778" s="626"/>
    </row>
    <row r="779" spans="1:25" s="426" customFormat="1" ht="12.75" x14ac:dyDescent="0.2">
      <c r="B779" s="615"/>
      <c r="Y779" s="626"/>
    </row>
    <row r="780" spans="1:25" s="426" customFormat="1" ht="12.75" x14ac:dyDescent="0.2">
      <c r="B780" s="615"/>
      <c r="Y780" s="626"/>
    </row>
    <row r="781" spans="1:25" s="426" customFormat="1" ht="12.75" x14ac:dyDescent="0.2">
      <c r="B781" s="615"/>
      <c r="C781" s="626" t="s">
        <v>1020</v>
      </c>
      <c r="D781" s="426" t="s">
        <v>1023</v>
      </c>
      <c r="E781" s="626" t="s">
        <v>1024</v>
      </c>
      <c r="Y781" s="626"/>
    </row>
    <row r="782" spans="1:25" s="426" customFormat="1" ht="12.75" x14ac:dyDescent="0.2">
      <c r="B782" s="652" t="s">
        <v>704</v>
      </c>
      <c r="C782" s="634">
        <f>B770</f>
        <v>140</v>
      </c>
      <c r="D782" s="1047">
        <f>J728</f>
        <v>9999</v>
      </c>
      <c r="E782" s="1047">
        <f>MIN(C782:D782)*H734</f>
        <v>126</v>
      </c>
      <c r="Y782" s="626"/>
    </row>
    <row r="783" spans="1:25" s="426" customFormat="1" ht="12.75" x14ac:dyDescent="0.2">
      <c r="C783" s="626"/>
      <c r="Y783" s="626"/>
    </row>
    <row r="784" spans="1:25" s="426" customFormat="1" ht="12.75" x14ac:dyDescent="0.2">
      <c r="Y784" s="626"/>
    </row>
    <row r="785" spans="1:25" s="426" customFormat="1" ht="12.75" x14ac:dyDescent="0.2">
      <c r="B785" s="634" t="s">
        <v>706</v>
      </c>
      <c r="C785" s="653" t="s">
        <v>707</v>
      </c>
      <c r="D785" s="628" t="s">
        <v>708</v>
      </c>
      <c r="E785" s="664" t="s">
        <v>709</v>
      </c>
      <c r="Y785" s="626"/>
    </row>
    <row r="786" spans="1:25" s="426" customFormat="1" ht="12.75" x14ac:dyDescent="0.2">
      <c r="B786" s="634">
        <f>IF(C3&gt;=I445,C3,I445)</f>
        <v>490</v>
      </c>
      <c r="C786" s="665">
        <v>150</v>
      </c>
      <c r="D786" s="634">
        <f>B786-C786</f>
        <v>340</v>
      </c>
      <c r="E786" s="654"/>
      <c r="Y786" s="626"/>
    </row>
    <row r="787" spans="1:25" s="426" customFormat="1" ht="12.75" x14ac:dyDescent="0.2">
      <c r="B787" s="634" t="s">
        <v>710</v>
      </c>
      <c r="C787" s="666">
        <f>C786/(E782/2)</f>
        <v>2.3809523809523809</v>
      </c>
      <c r="D787" s="668">
        <f>D786/E782</f>
        <v>2.6984126984126986</v>
      </c>
      <c r="E787" s="667">
        <f>CEILING(D787+C787,1)</f>
        <v>6</v>
      </c>
      <c r="Y787" s="626"/>
    </row>
    <row r="788" spans="1:25" s="426" customFormat="1" ht="12.75" x14ac:dyDescent="0.2">
      <c r="B788" s="615"/>
      <c r="Y788" s="626"/>
    </row>
    <row r="789" spans="1:25" s="426" customFormat="1" ht="12.75" x14ac:dyDescent="0.2">
      <c r="B789" s="615"/>
      <c r="Y789" s="626"/>
    </row>
    <row r="790" spans="1:25" s="426" customFormat="1" ht="12.75" x14ac:dyDescent="0.2">
      <c r="A790" s="426">
        <f>IF(C715=1,1,0)</f>
        <v>1</v>
      </c>
      <c r="B790" s="615" t="s">
        <v>712</v>
      </c>
      <c r="C790" s="134">
        <f>IF(E787&gt;=C726,E787,C726)</f>
        <v>6</v>
      </c>
      <c r="D790" s="629">
        <f>IF(A790=1,C790*D719,0)</f>
        <v>30</v>
      </c>
      <c r="F790" s="669"/>
      <c r="Y790" s="626"/>
    </row>
    <row r="791" spans="1:25" s="426" customFormat="1" ht="12.75" x14ac:dyDescent="0.2">
      <c r="B791" s="615"/>
      <c r="Y791" s="626"/>
    </row>
    <row r="792" spans="1:25" s="430" customFormat="1" ht="12.75" x14ac:dyDescent="0.2">
      <c r="B792" s="678"/>
      <c r="Y792" s="651"/>
    </row>
    <row r="793" spans="1:25" s="426" customFormat="1" ht="12.75" x14ac:dyDescent="0.2">
      <c r="Y793" s="626"/>
    </row>
    <row r="794" spans="1:25" s="426" customFormat="1" ht="13.5" thickBot="1" x14ac:dyDescent="0.25">
      <c r="B794" s="615"/>
      <c r="D794" s="626" t="s">
        <v>674</v>
      </c>
      <c r="Y794" s="626"/>
    </row>
    <row r="795" spans="1:25" s="426" customFormat="1" ht="13.5" thickBot="1" x14ac:dyDescent="0.25">
      <c r="B795" s="641" t="s">
        <v>666</v>
      </c>
      <c r="C795" s="643">
        <f>J368</f>
        <v>0</v>
      </c>
      <c r="D795" s="642">
        <f>IF(C795=1,C847+C850,0)</f>
        <v>0</v>
      </c>
      <c r="Y795" s="626"/>
    </row>
    <row r="796" spans="1:25" s="426" customFormat="1" ht="12.75" x14ac:dyDescent="0.2">
      <c r="B796" s="627"/>
      <c r="C796" s="626"/>
      <c r="D796" s="704"/>
      <c r="Y796" s="626"/>
    </row>
    <row r="797" spans="1:25" s="426" customFormat="1" ht="12.75" x14ac:dyDescent="0.2">
      <c r="Y797" s="626"/>
    </row>
    <row r="798" spans="1:25" s="426" customFormat="1" ht="12.75" x14ac:dyDescent="0.2">
      <c r="Y798" s="626"/>
    </row>
    <row r="799" spans="1:25" s="426" customFormat="1" ht="12.75" x14ac:dyDescent="0.2">
      <c r="B799" s="426" t="s">
        <v>783</v>
      </c>
      <c r="C799" s="633">
        <f>'Tarieven (4)'!C10</f>
        <v>150</v>
      </c>
      <c r="D799" s="633">
        <f>C799/60</f>
        <v>2.5</v>
      </c>
      <c r="Y799" s="626"/>
    </row>
    <row r="800" spans="1:25" s="426" customFormat="1" ht="12.75" x14ac:dyDescent="0.2">
      <c r="C800" s="635"/>
      <c r="D800" s="635"/>
      <c r="Y800" s="626"/>
    </row>
    <row r="801" spans="1:25" s="426" customFormat="1" ht="12.75" x14ac:dyDescent="0.2">
      <c r="A801" s="426" t="s">
        <v>61</v>
      </c>
      <c r="B801" s="426" t="s">
        <v>679</v>
      </c>
      <c r="C801" s="636" t="s">
        <v>680</v>
      </c>
      <c r="D801" s="635"/>
      <c r="G801" s="638">
        <v>0.01</v>
      </c>
      <c r="Y801" s="626"/>
    </row>
    <row r="802" spans="1:25" s="426" customFormat="1" ht="12.75" x14ac:dyDescent="0.2">
      <c r="A802" s="626">
        <f>IF(C795=1,1,0)</f>
        <v>0</v>
      </c>
      <c r="B802" s="426" t="s">
        <v>784</v>
      </c>
      <c r="C802" s="637">
        <v>25</v>
      </c>
      <c r="D802" s="426" t="s">
        <v>683</v>
      </c>
      <c r="G802" s="708" t="s">
        <v>777</v>
      </c>
      <c r="H802" s="719" t="s">
        <v>778</v>
      </c>
      <c r="I802" s="719" t="s">
        <v>779</v>
      </c>
      <c r="Y802" s="626"/>
    </row>
    <row r="803" spans="1:25" s="426" customFormat="1" ht="13.5" thickBot="1" x14ac:dyDescent="0.25">
      <c r="A803" s="626">
        <f>IF(C795=1,1,0)</f>
        <v>0</v>
      </c>
      <c r="B803" s="426" t="s">
        <v>786</v>
      </c>
      <c r="C803" s="637">
        <v>10</v>
      </c>
      <c r="D803" s="426" t="s">
        <v>683</v>
      </c>
      <c r="G803" s="725">
        <f>MAX(B445,H445)</f>
        <v>490</v>
      </c>
      <c r="H803" s="145">
        <f>C807*C808</f>
        <v>1</v>
      </c>
      <c r="I803" s="145">
        <f>H803*G803</f>
        <v>490</v>
      </c>
      <c r="Y803" s="626"/>
    </row>
    <row r="804" spans="1:25" s="426" customFormat="1" ht="12.75" x14ac:dyDescent="0.2">
      <c r="A804" s="626"/>
      <c r="C804" s="626"/>
      <c r="G804" s="735" t="s">
        <v>782</v>
      </c>
      <c r="H804" s="710" t="s">
        <v>781</v>
      </c>
      <c r="I804" s="713" t="s">
        <v>780</v>
      </c>
      <c r="Y804" s="626"/>
    </row>
    <row r="805" spans="1:25" s="426" customFormat="1" ht="13.5" thickBot="1" x14ac:dyDescent="0.25">
      <c r="B805" s="426" t="s">
        <v>796</v>
      </c>
      <c r="C805" s="637">
        <v>12</v>
      </c>
      <c r="D805" s="426" t="s">
        <v>683</v>
      </c>
      <c r="G805" s="736">
        <f>IF(CEILING((H805*G801)+H805,1)&lt;=G803,CEILING((H805*G801)+H805,1),G803)</f>
        <v>490</v>
      </c>
      <c r="H805" s="702">
        <f>CEILING(I805/H803,1)</f>
        <v>490</v>
      </c>
      <c r="I805" s="145">
        <f>C3</f>
        <v>490</v>
      </c>
      <c r="Y805" s="626"/>
    </row>
    <row r="806" spans="1:25" s="426" customFormat="1" ht="12.75" x14ac:dyDescent="0.2">
      <c r="Y806" s="626"/>
    </row>
    <row r="807" spans="1:25" s="426" customFormat="1" ht="12.75" x14ac:dyDescent="0.2">
      <c r="B807" s="615" t="s">
        <v>752</v>
      </c>
      <c r="C807" s="626">
        <f>C445</f>
        <v>1</v>
      </c>
      <c r="D807" s="426" t="s">
        <v>754</v>
      </c>
      <c r="Y807" s="626"/>
    </row>
    <row r="808" spans="1:25" s="426" customFormat="1" ht="12.75" x14ac:dyDescent="0.2">
      <c r="B808" s="615" t="s">
        <v>753</v>
      </c>
      <c r="C808" s="626">
        <f>D445</f>
        <v>1</v>
      </c>
      <c r="D808" s="426" t="s">
        <v>754</v>
      </c>
      <c r="Y808" s="626"/>
    </row>
    <row r="809" spans="1:25" s="426" customFormat="1" ht="12.75" x14ac:dyDescent="0.2">
      <c r="B809" s="615" t="s">
        <v>99</v>
      </c>
      <c r="C809" s="626">
        <f>E445</f>
        <v>361</v>
      </c>
      <c r="D809" s="426" t="s">
        <v>25</v>
      </c>
      <c r="Y809" s="626"/>
    </row>
    <row r="810" spans="1:25" s="426" customFormat="1" ht="12.75" x14ac:dyDescent="0.2">
      <c r="B810" s="615" t="s">
        <v>100</v>
      </c>
      <c r="C810" s="626">
        <f>F445</f>
        <v>1150</v>
      </c>
      <c r="D810" s="426" t="s">
        <v>25</v>
      </c>
      <c r="Y810" s="626"/>
    </row>
    <row r="811" spans="1:25" s="426" customFormat="1" ht="12.75" x14ac:dyDescent="0.2">
      <c r="B811" s="615" t="s">
        <v>776</v>
      </c>
      <c r="C811" s="134">
        <f>G805</f>
        <v>490</v>
      </c>
      <c r="D811" s="426" t="s">
        <v>754</v>
      </c>
      <c r="Y811" s="626"/>
    </row>
    <row r="812" spans="1:25" s="426" customFormat="1" ht="12.75" x14ac:dyDescent="0.2">
      <c r="Y812" s="626"/>
    </row>
    <row r="813" spans="1:25" s="426" customFormat="1" x14ac:dyDescent="0.25">
      <c r="D813" s="77"/>
      <c r="F813"/>
      <c r="G813"/>
      <c r="H813"/>
      <c r="I813"/>
      <c r="J813"/>
      <c r="K813"/>
      <c r="L813"/>
      <c r="M813"/>
      <c r="N813"/>
      <c r="O813"/>
      <c r="P813"/>
      <c r="Q813"/>
      <c r="Y813" s="626"/>
    </row>
    <row r="814" spans="1:25" s="426" customFormat="1" x14ac:dyDescent="0.25">
      <c r="A814" s="708"/>
      <c r="B814" s="405" t="s">
        <v>787</v>
      </c>
      <c r="C814" s="442">
        <f>MAX(C809:C810)</f>
        <v>1150</v>
      </c>
      <c r="D814" s="516"/>
      <c r="E814" s="427"/>
      <c r="F814" s="412"/>
      <c r="G814" s="412"/>
      <c r="H814" s="412"/>
      <c r="I814" s="412"/>
      <c r="J814" s="412"/>
      <c r="K814" s="412"/>
      <c r="L814" s="412"/>
      <c r="M814" s="412"/>
      <c r="N814" s="412"/>
      <c r="O814" s="433"/>
      <c r="P814"/>
      <c r="Q814"/>
      <c r="Y814" s="626"/>
    </row>
    <row r="815" spans="1:25" s="426" customFormat="1" x14ac:dyDescent="0.25">
      <c r="A815" s="429"/>
      <c r="B815" s="341" t="s">
        <v>788</v>
      </c>
      <c r="C815" s="13">
        <f>MIN(C809:C810)</f>
        <v>361</v>
      </c>
      <c r="D815" s="416"/>
      <c r="E815" s="430"/>
      <c r="F815" s="320"/>
      <c r="G815" s="320"/>
      <c r="H815" s="320"/>
      <c r="I815" s="320"/>
      <c r="J815" s="320"/>
      <c r="K815" s="320"/>
      <c r="L815" s="320"/>
      <c r="M815" s="320"/>
      <c r="N815" s="320"/>
      <c r="O815" s="434"/>
      <c r="P815"/>
      <c r="Q815"/>
      <c r="Y815" s="626"/>
    </row>
    <row r="816" spans="1:25" s="426" customFormat="1" x14ac:dyDescent="0.25">
      <c r="A816" s="476"/>
      <c r="B816" s="412"/>
      <c r="C816" s="412"/>
      <c r="D816" s="23">
        <v>4</v>
      </c>
      <c r="E816" s="23">
        <v>5</v>
      </c>
      <c r="F816" s="23">
        <v>6</v>
      </c>
      <c r="G816" s="23">
        <v>7</v>
      </c>
      <c r="H816" s="23">
        <v>8</v>
      </c>
      <c r="I816" s="23">
        <v>9</v>
      </c>
      <c r="J816" s="23">
        <v>10</v>
      </c>
      <c r="K816" s="23">
        <v>11</v>
      </c>
      <c r="L816" s="23">
        <v>12</v>
      </c>
      <c r="M816" s="23">
        <v>13</v>
      </c>
      <c r="N816" s="23">
        <v>14</v>
      </c>
      <c r="O816" s="38">
        <v>15</v>
      </c>
      <c r="P816"/>
      <c r="Q816"/>
      <c r="Y816" s="626"/>
    </row>
    <row r="817" spans="1:29" s="426" customFormat="1" x14ac:dyDescent="0.25">
      <c r="A817" s="431"/>
      <c r="B817" s="412"/>
      <c r="C817" s="433"/>
      <c r="D817" s="208">
        <f t="shared" ref="D817:O817" si="160">IF(AND($C$814&gt;D818,$C$814&lt;=D819),1,0)</f>
        <v>0</v>
      </c>
      <c r="E817" s="23">
        <f t="shared" si="160"/>
        <v>0</v>
      </c>
      <c r="F817" s="23">
        <f t="shared" si="160"/>
        <v>0</v>
      </c>
      <c r="G817" s="23">
        <f t="shared" si="160"/>
        <v>0</v>
      </c>
      <c r="H817" s="23">
        <f t="shared" si="160"/>
        <v>0</v>
      </c>
      <c r="I817" s="23">
        <f t="shared" si="160"/>
        <v>0</v>
      </c>
      <c r="J817" s="23">
        <f t="shared" si="160"/>
        <v>1</v>
      </c>
      <c r="K817" s="23">
        <f t="shared" si="160"/>
        <v>0</v>
      </c>
      <c r="L817" s="23">
        <f t="shared" si="160"/>
        <v>0</v>
      </c>
      <c r="M817" s="23">
        <f t="shared" si="160"/>
        <v>0</v>
      </c>
      <c r="N817" s="23">
        <f t="shared" si="160"/>
        <v>0</v>
      </c>
      <c r="O817" s="38">
        <f t="shared" si="160"/>
        <v>0</v>
      </c>
      <c r="P817"/>
      <c r="Q817"/>
      <c r="Y817" s="626"/>
    </row>
    <row r="818" spans="1:29" s="426" customFormat="1" x14ac:dyDescent="0.25">
      <c r="A818" s="6"/>
      <c r="B818"/>
      <c r="C818" s="7"/>
      <c r="D818" s="26">
        <v>0</v>
      </c>
      <c r="E818" s="2">
        <v>600</v>
      </c>
      <c r="F818" s="2">
        <v>700</v>
      </c>
      <c r="G818" s="2">
        <v>800</v>
      </c>
      <c r="H818" s="2">
        <v>900</v>
      </c>
      <c r="I818" s="2">
        <v>1000</v>
      </c>
      <c r="J818" s="2">
        <v>1100</v>
      </c>
      <c r="K818" s="2">
        <v>1200</v>
      </c>
      <c r="L818" s="2">
        <v>1300</v>
      </c>
      <c r="M818" s="2">
        <v>1400</v>
      </c>
      <c r="N818" s="2">
        <v>1500</v>
      </c>
      <c r="O818" s="25">
        <v>1600</v>
      </c>
      <c r="P818"/>
      <c r="Q818"/>
      <c r="Y818" s="626"/>
    </row>
    <row r="819" spans="1:29" s="426" customFormat="1" ht="15.75" thickBot="1" x14ac:dyDescent="0.3">
      <c r="A819" s="415"/>
      <c r="B819" s="320"/>
      <c r="C819" s="434"/>
      <c r="D819" s="26">
        <v>600</v>
      </c>
      <c r="E819" s="2">
        <v>700</v>
      </c>
      <c r="F819" s="2">
        <v>800</v>
      </c>
      <c r="G819" s="2">
        <v>900</v>
      </c>
      <c r="H819" s="2">
        <v>1000</v>
      </c>
      <c r="I819" s="2">
        <v>1100</v>
      </c>
      <c r="J819" s="2">
        <v>1200</v>
      </c>
      <c r="K819" s="2">
        <v>1300</v>
      </c>
      <c r="L819" s="343">
        <v>1400</v>
      </c>
      <c r="M819" s="343">
        <v>1500</v>
      </c>
      <c r="N819" s="343">
        <v>1600</v>
      </c>
      <c r="O819" s="436">
        <v>1700</v>
      </c>
      <c r="P819"/>
      <c r="Q819" s="2" t="s">
        <v>801</v>
      </c>
      <c r="Y819" s="626"/>
    </row>
    <row r="820" spans="1:29" s="426" customFormat="1" ht="15.75" thickBot="1" x14ac:dyDescent="0.3">
      <c r="A820" s="442">
        <f t="shared" ref="A820:A832" si="161">IF(AND($C$815&gt;B820,$C$815&lt;=C820),1,0)</f>
        <v>1</v>
      </c>
      <c r="B820" s="449">
        <v>0</v>
      </c>
      <c r="C820" s="449">
        <v>600</v>
      </c>
      <c r="D820" s="984">
        <f>FLOOR($Q$820*R820,5)</f>
        <v>3040</v>
      </c>
      <c r="E820" s="977">
        <f t="shared" ref="E820:H825" si="162">FLOOR($Q$820*S820,5)</f>
        <v>3040</v>
      </c>
      <c r="F820" s="977">
        <f t="shared" si="162"/>
        <v>3040</v>
      </c>
      <c r="G820" s="977">
        <f t="shared" si="162"/>
        <v>3040</v>
      </c>
      <c r="H820" s="978">
        <f t="shared" si="162"/>
        <v>3040</v>
      </c>
      <c r="I820" s="977">
        <f t="shared" ref="I820:K825" si="163">FLOOR($Q$826*W820,5)</f>
        <v>2945</v>
      </c>
      <c r="J820" s="977">
        <f t="shared" si="163"/>
        <v>2850</v>
      </c>
      <c r="K820" s="978">
        <f t="shared" si="163"/>
        <v>2755</v>
      </c>
      <c r="L820" s="977">
        <f t="shared" ref="L820:O828" si="164">FLOOR($Q$829*Z820,5)</f>
        <v>2660</v>
      </c>
      <c r="M820" s="977">
        <f t="shared" si="164"/>
        <v>2565</v>
      </c>
      <c r="N820" s="977">
        <f t="shared" si="164"/>
        <v>2470</v>
      </c>
      <c r="O820" s="978">
        <f t="shared" si="164"/>
        <v>2375</v>
      </c>
      <c r="P820" s="741"/>
      <c r="Q820" s="982">
        <v>0.95</v>
      </c>
      <c r="R820" s="739">
        <v>3200</v>
      </c>
      <c r="S820" s="739">
        <v>3200</v>
      </c>
      <c r="T820" s="739">
        <v>3200</v>
      </c>
      <c r="U820" s="739">
        <v>3200</v>
      </c>
      <c r="V820" s="740">
        <v>3200</v>
      </c>
      <c r="W820" s="739">
        <v>3100</v>
      </c>
      <c r="X820" s="739">
        <v>3000</v>
      </c>
      <c r="Y820" s="740">
        <v>2900</v>
      </c>
      <c r="Z820" s="739">
        <v>2800</v>
      </c>
      <c r="AA820" s="648">
        <v>2700</v>
      </c>
      <c r="AB820" s="648">
        <v>2600</v>
      </c>
      <c r="AC820" s="740">
        <v>2500</v>
      </c>
    </row>
    <row r="821" spans="1:29" s="426" customFormat="1" x14ac:dyDescent="0.25">
      <c r="A821" s="12">
        <f t="shared" si="161"/>
        <v>0</v>
      </c>
      <c r="B821" s="2">
        <v>600</v>
      </c>
      <c r="C821" s="2">
        <v>650</v>
      </c>
      <c r="D821" s="979">
        <f t="shared" ref="D821:D825" si="165">FLOOR($Q$820*R821,5)</f>
        <v>3040</v>
      </c>
      <c r="E821" s="741">
        <f t="shared" si="162"/>
        <v>3040</v>
      </c>
      <c r="F821" s="741">
        <f t="shared" si="162"/>
        <v>3040</v>
      </c>
      <c r="G821" s="741">
        <f t="shared" si="162"/>
        <v>3040</v>
      </c>
      <c r="H821" s="980">
        <f t="shared" si="162"/>
        <v>3040</v>
      </c>
      <c r="I821" s="741">
        <f t="shared" si="163"/>
        <v>2925</v>
      </c>
      <c r="J821" s="741">
        <f t="shared" si="163"/>
        <v>2815</v>
      </c>
      <c r="K821" s="980">
        <f t="shared" si="163"/>
        <v>2705</v>
      </c>
      <c r="L821" s="741">
        <f t="shared" si="164"/>
        <v>2595</v>
      </c>
      <c r="M821" s="741">
        <f t="shared" si="164"/>
        <v>2495</v>
      </c>
      <c r="N821" s="741">
        <f t="shared" si="164"/>
        <v>2395</v>
      </c>
      <c r="O821" s="980">
        <f t="shared" si="164"/>
        <v>2295</v>
      </c>
      <c r="P821" s="741"/>
      <c r="Q821" s="976"/>
      <c r="R821" s="742">
        <v>3200</v>
      </c>
      <c r="S821" s="743">
        <v>3200</v>
      </c>
      <c r="T821" s="743">
        <v>3200</v>
      </c>
      <c r="U821" s="743">
        <v>3200</v>
      </c>
      <c r="V821" s="744">
        <v>3200</v>
      </c>
      <c r="W821" s="743">
        <v>3080</v>
      </c>
      <c r="X821" s="743">
        <v>2965</v>
      </c>
      <c r="Y821" s="744">
        <v>2850</v>
      </c>
      <c r="Z821" s="743">
        <v>2735</v>
      </c>
      <c r="AA821" s="647">
        <v>2630</v>
      </c>
      <c r="AB821" s="647">
        <v>2525</v>
      </c>
      <c r="AC821" s="744">
        <v>2420</v>
      </c>
    </row>
    <row r="822" spans="1:29" s="426" customFormat="1" x14ac:dyDescent="0.25">
      <c r="A822" s="12">
        <f t="shared" si="161"/>
        <v>0</v>
      </c>
      <c r="B822" s="2">
        <v>650</v>
      </c>
      <c r="C822" s="2">
        <v>700</v>
      </c>
      <c r="D822" s="979">
        <f t="shared" si="165"/>
        <v>3040</v>
      </c>
      <c r="E822" s="741">
        <f t="shared" si="162"/>
        <v>3040</v>
      </c>
      <c r="F822" s="741">
        <f t="shared" si="162"/>
        <v>3040</v>
      </c>
      <c r="G822" s="741">
        <f t="shared" si="162"/>
        <v>3040</v>
      </c>
      <c r="H822" s="980">
        <f t="shared" si="162"/>
        <v>3040</v>
      </c>
      <c r="I822" s="741">
        <f t="shared" si="163"/>
        <v>2905</v>
      </c>
      <c r="J822" s="741">
        <f t="shared" si="163"/>
        <v>2780</v>
      </c>
      <c r="K822" s="980">
        <f t="shared" si="163"/>
        <v>2660</v>
      </c>
      <c r="L822" s="741">
        <f t="shared" si="164"/>
        <v>2535</v>
      </c>
      <c r="M822" s="741">
        <f t="shared" si="164"/>
        <v>2430</v>
      </c>
      <c r="N822" s="741">
        <f t="shared" si="164"/>
        <v>2325</v>
      </c>
      <c r="O822" s="980">
        <f t="shared" si="164"/>
        <v>2220</v>
      </c>
      <c r="P822" s="741"/>
      <c r="Q822" s="976"/>
      <c r="R822" s="742">
        <v>3200</v>
      </c>
      <c r="S822" s="743">
        <v>3200</v>
      </c>
      <c r="T822" s="743">
        <v>3200</v>
      </c>
      <c r="U822" s="743">
        <v>3200</v>
      </c>
      <c r="V822" s="744">
        <v>3200</v>
      </c>
      <c r="W822" s="743">
        <v>3060</v>
      </c>
      <c r="X822" s="743">
        <v>2930</v>
      </c>
      <c r="Y822" s="744">
        <v>2800</v>
      </c>
      <c r="Z822" s="743">
        <v>2670</v>
      </c>
      <c r="AA822" s="647">
        <v>2560</v>
      </c>
      <c r="AB822" s="647">
        <v>2450</v>
      </c>
      <c r="AC822" s="744">
        <v>2340</v>
      </c>
    </row>
    <row r="823" spans="1:29" s="426" customFormat="1" x14ac:dyDescent="0.25">
      <c r="A823" s="12">
        <f t="shared" si="161"/>
        <v>0</v>
      </c>
      <c r="B823" s="2">
        <v>700</v>
      </c>
      <c r="C823" s="2">
        <v>750</v>
      </c>
      <c r="D823" s="979">
        <f t="shared" si="165"/>
        <v>3040</v>
      </c>
      <c r="E823" s="741">
        <f t="shared" si="162"/>
        <v>3040</v>
      </c>
      <c r="F823" s="741">
        <f t="shared" si="162"/>
        <v>3040</v>
      </c>
      <c r="G823" s="741">
        <f t="shared" si="162"/>
        <v>3040</v>
      </c>
      <c r="H823" s="980">
        <f t="shared" si="162"/>
        <v>3040</v>
      </c>
      <c r="I823" s="741">
        <f t="shared" si="163"/>
        <v>2885</v>
      </c>
      <c r="J823" s="741">
        <f t="shared" si="163"/>
        <v>2750</v>
      </c>
      <c r="K823" s="980">
        <f t="shared" si="163"/>
        <v>2610</v>
      </c>
      <c r="L823" s="741">
        <f t="shared" si="164"/>
        <v>2470</v>
      </c>
      <c r="M823" s="741">
        <f t="shared" si="164"/>
        <v>2365</v>
      </c>
      <c r="N823" s="741">
        <f t="shared" si="164"/>
        <v>2255</v>
      </c>
      <c r="O823" s="980">
        <f t="shared" si="164"/>
        <v>2145</v>
      </c>
      <c r="P823" s="741"/>
      <c r="Q823" s="976"/>
      <c r="R823" s="742">
        <v>3200</v>
      </c>
      <c r="S823" s="743">
        <v>3200</v>
      </c>
      <c r="T823" s="743">
        <v>3200</v>
      </c>
      <c r="U823" s="743">
        <v>3200</v>
      </c>
      <c r="V823" s="744">
        <v>3200</v>
      </c>
      <c r="W823" s="743">
        <v>3040</v>
      </c>
      <c r="X823" s="743">
        <v>2895</v>
      </c>
      <c r="Y823" s="744">
        <v>2750</v>
      </c>
      <c r="Z823" s="743">
        <v>2605</v>
      </c>
      <c r="AA823" s="647">
        <v>2490</v>
      </c>
      <c r="AB823" s="647">
        <v>2375</v>
      </c>
      <c r="AC823" s="744">
        <v>2260</v>
      </c>
    </row>
    <row r="824" spans="1:29" s="426" customFormat="1" x14ac:dyDescent="0.25">
      <c r="A824" s="12">
        <f t="shared" si="161"/>
        <v>0</v>
      </c>
      <c r="B824" s="2">
        <v>750</v>
      </c>
      <c r="C824" s="2">
        <v>800</v>
      </c>
      <c r="D824" s="979">
        <f t="shared" si="165"/>
        <v>3040</v>
      </c>
      <c r="E824" s="741">
        <f t="shared" si="162"/>
        <v>3040</v>
      </c>
      <c r="F824" s="741">
        <f t="shared" si="162"/>
        <v>3040</v>
      </c>
      <c r="G824" s="741">
        <f t="shared" si="162"/>
        <v>3040</v>
      </c>
      <c r="H824" s="980">
        <f t="shared" si="162"/>
        <v>3040</v>
      </c>
      <c r="I824" s="741">
        <f t="shared" si="163"/>
        <v>2885</v>
      </c>
      <c r="J824" s="741">
        <f t="shared" si="163"/>
        <v>2715</v>
      </c>
      <c r="K824" s="980">
        <f t="shared" si="163"/>
        <v>2565</v>
      </c>
      <c r="L824" s="741">
        <f t="shared" si="164"/>
        <v>2410</v>
      </c>
      <c r="M824" s="741">
        <f t="shared" si="164"/>
        <v>2295</v>
      </c>
      <c r="N824" s="741">
        <f t="shared" si="164"/>
        <v>2185</v>
      </c>
      <c r="O824" s="980">
        <f t="shared" si="164"/>
        <v>2070</v>
      </c>
      <c r="P824" s="741"/>
      <c r="Q824" s="976"/>
      <c r="R824" s="742">
        <v>3200</v>
      </c>
      <c r="S824" s="743">
        <v>3200</v>
      </c>
      <c r="T824" s="743">
        <v>3200</v>
      </c>
      <c r="U824" s="743">
        <v>3200</v>
      </c>
      <c r="V824" s="744">
        <v>3200</v>
      </c>
      <c r="W824" s="743">
        <v>3040</v>
      </c>
      <c r="X824" s="743">
        <v>2860</v>
      </c>
      <c r="Y824" s="744">
        <v>2700</v>
      </c>
      <c r="Z824" s="743">
        <v>2540</v>
      </c>
      <c r="AA824" s="647">
        <v>2420</v>
      </c>
      <c r="AB824" s="647">
        <v>2300</v>
      </c>
      <c r="AC824" s="744">
        <v>2180</v>
      </c>
    </row>
    <row r="825" spans="1:29" s="426" customFormat="1" ht="15.75" thickBot="1" x14ac:dyDescent="0.3">
      <c r="A825" s="12">
        <f t="shared" si="161"/>
        <v>0</v>
      </c>
      <c r="B825" s="2">
        <v>800</v>
      </c>
      <c r="C825" s="2">
        <v>850</v>
      </c>
      <c r="D825" s="979">
        <f t="shared" si="165"/>
        <v>3040</v>
      </c>
      <c r="E825" s="741">
        <f t="shared" si="162"/>
        <v>3040</v>
      </c>
      <c r="F825" s="741">
        <f t="shared" si="162"/>
        <v>3040</v>
      </c>
      <c r="G825" s="741">
        <f t="shared" si="162"/>
        <v>3040</v>
      </c>
      <c r="H825" s="986">
        <f t="shared" si="162"/>
        <v>3040</v>
      </c>
      <c r="I825" s="741">
        <f t="shared" si="163"/>
        <v>2850</v>
      </c>
      <c r="J825" s="741">
        <f t="shared" si="163"/>
        <v>2680</v>
      </c>
      <c r="K825" s="980">
        <f t="shared" si="163"/>
        <v>2515</v>
      </c>
      <c r="L825" s="741">
        <f t="shared" si="164"/>
        <v>2350</v>
      </c>
      <c r="M825" s="741">
        <f t="shared" si="164"/>
        <v>2230</v>
      </c>
      <c r="N825" s="741">
        <f t="shared" si="164"/>
        <v>2110</v>
      </c>
      <c r="O825" s="980">
        <f t="shared" si="164"/>
        <v>1995</v>
      </c>
      <c r="P825" s="741"/>
      <c r="Q825" s="976"/>
      <c r="R825" s="745">
        <v>3200</v>
      </c>
      <c r="S825" s="746">
        <v>3200</v>
      </c>
      <c r="T825" s="746">
        <v>3200</v>
      </c>
      <c r="U825" s="746">
        <v>3200</v>
      </c>
      <c r="V825" s="747">
        <v>3200</v>
      </c>
      <c r="W825" s="743">
        <v>3000</v>
      </c>
      <c r="X825" s="743">
        <v>2825</v>
      </c>
      <c r="Y825" s="744">
        <v>2650</v>
      </c>
      <c r="Z825" s="743">
        <v>2475</v>
      </c>
      <c r="AA825" s="647">
        <v>2350</v>
      </c>
      <c r="AB825" s="647">
        <v>2225</v>
      </c>
      <c r="AC825" s="744">
        <v>2100</v>
      </c>
    </row>
    <row r="826" spans="1:29" s="426" customFormat="1" ht="15.75" thickBot="1" x14ac:dyDescent="0.3">
      <c r="A826" s="12">
        <f t="shared" si="161"/>
        <v>0</v>
      </c>
      <c r="B826" s="2">
        <v>850</v>
      </c>
      <c r="C826" s="2">
        <v>900</v>
      </c>
      <c r="D826" s="984">
        <f>FLOOR($Q$826*R826,5)</f>
        <v>2905</v>
      </c>
      <c r="E826" s="977">
        <f t="shared" ref="E826:K828" si="166">FLOOR($Q$826*S826,5)</f>
        <v>2905</v>
      </c>
      <c r="F826" s="977">
        <f t="shared" si="166"/>
        <v>2905</v>
      </c>
      <c r="G826" s="977">
        <f t="shared" si="166"/>
        <v>2905</v>
      </c>
      <c r="H826" s="977">
        <f t="shared" si="166"/>
        <v>2905</v>
      </c>
      <c r="I826" s="741">
        <f t="shared" si="166"/>
        <v>2820</v>
      </c>
      <c r="J826" s="741">
        <f t="shared" si="166"/>
        <v>3600</v>
      </c>
      <c r="K826" s="980">
        <f t="shared" si="166"/>
        <v>2470</v>
      </c>
      <c r="L826" s="741">
        <f t="shared" si="164"/>
        <v>2285</v>
      </c>
      <c r="M826" s="741">
        <f t="shared" si="164"/>
        <v>2165</v>
      </c>
      <c r="N826" s="741">
        <f t="shared" si="164"/>
        <v>2040</v>
      </c>
      <c r="O826" s="980">
        <f t="shared" si="164"/>
        <v>1915</v>
      </c>
      <c r="P826" s="741"/>
      <c r="Q826" s="982">
        <v>0.95</v>
      </c>
      <c r="R826" s="743">
        <v>3060</v>
      </c>
      <c r="S826" s="743">
        <v>3060</v>
      </c>
      <c r="T826" s="743">
        <v>3060</v>
      </c>
      <c r="U826" s="743">
        <v>3060</v>
      </c>
      <c r="V826" s="743">
        <v>3060</v>
      </c>
      <c r="W826" s="743">
        <v>2970</v>
      </c>
      <c r="X826" s="743">
        <v>3790</v>
      </c>
      <c r="Y826" s="744">
        <v>2600</v>
      </c>
      <c r="Z826" s="743">
        <v>2410</v>
      </c>
      <c r="AA826" s="647">
        <v>2280</v>
      </c>
      <c r="AB826" s="647">
        <v>2150</v>
      </c>
      <c r="AC826" s="744">
        <v>2020</v>
      </c>
    </row>
    <row r="827" spans="1:29" s="426" customFormat="1" x14ac:dyDescent="0.25">
      <c r="A827" s="12">
        <f t="shared" si="161"/>
        <v>0</v>
      </c>
      <c r="B827" s="2">
        <v>900</v>
      </c>
      <c r="C827" s="2">
        <v>950</v>
      </c>
      <c r="D827" s="979">
        <f t="shared" ref="D827:D828" si="167">FLOOR($Q$826*R827,5)</f>
        <v>2770</v>
      </c>
      <c r="E827" s="741">
        <f t="shared" si="166"/>
        <v>2770</v>
      </c>
      <c r="F827" s="741">
        <f t="shared" si="166"/>
        <v>2770</v>
      </c>
      <c r="G827" s="741">
        <f t="shared" si="166"/>
        <v>2770</v>
      </c>
      <c r="H827" s="741">
        <f t="shared" si="166"/>
        <v>2770</v>
      </c>
      <c r="I827" s="741">
        <f t="shared" si="166"/>
        <v>2680</v>
      </c>
      <c r="J827" s="741">
        <f t="shared" si="166"/>
        <v>2600</v>
      </c>
      <c r="K827" s="980">
        <f t="shared" si="166"/>
        <v>2420</v>
      </c>
      <c r="L827" s="741">
        <f t="shared" si="164"/>
        <v>2225</v>
      </c>
      <c r="M827" s="741">
        <f t="shared" si="164"/>
        <v>2095</v>
      </c>
      <c r="N827" s="741">
        <f t="shared" si="164"/>
        <v>1970</v>
      </c>
      <c r="O827" s="980">
        <f t="shared" si="164"/>
        <v>1840</v>
      </c>
      <c r="P827" s="741"/>
      <c r="Q827" s="976"/>
      <c r="R827" s="742">
        <v>2920</v>
      </c>
      <c r="S827" s="743">
        <v>2920</v>
      </c>
      <c r="T827" s="743">
        <v>2920</v>
      </c>
      <c r="U827" s="743">
        <v>2920</v>
      </c>
      <c r="V827" s="743">
        <v>2920</v>
      </c>
      <c r="W827" s="743">
        <v>2825</v>
      </c>
      <c r="X827" s="743">
        <v>2740</v>
      </c>
      <c r="Y827" s="744">
        <v>2550</v>
      </c>
      <c r="Z827" s="743">
        <v>2345</v>
      </c>
      <c r="AA827" s="647">
        <v>2210</v>
      </c>
      <c r="AB827" s="647">
        <v>2075</v>
      </c>
      <c r="AC827" s="744">
        <v>1940</v>
      </c>
    </row>
    <row r="828" spans="1:29" s="426" customFormat="1" ht="15.75" thickBot="1" x14ac:dyDescent="0.3">
      <c r="A828" s="12">
        <f t="shared" si="161"/>
        <v>0</v>
      </c>
      <c r="B828" s="2">
        <v>950</v>
      </c>
      <c r="C828" s="2">
        <v>1000</v>
      </c>
      <c r="D828" s="981">
        <f t="shared" si="167"/>
        <v>2640</v>
      </c>
      <c r="E828" s="985">
        <f t="shared" si="166"/>
        <v>2640</v>
      </c>
      <c r="F828" s="985">
        <f t="shared" si="166"/>
        <v>2640</v>
      </c>
      <c r="G828" s="985">
        <f t="shared" si="166"/>
        <v>2640</v>
      </c>
      <c r="H828" s="985">
        <f t="shared" si="166"/>
        <v>2640</v>
      </c>
      <c r="I828" s="985">
        <f t="shared" si="166"/>
        <v>2545</v>
      </c>
      <c r="J828" s="985">
        <f t="shared" si="166"/>
        <v>2460</v>
      </c>
      <c r="K828" s="986">
        <f t="shared" si="166"/>
        <v>2375</v>
      </c>
      <c r="L828" s="741">
        <f t="shared" si="164"/>
        <v>2165</v>
      </c>
      <c r="M828" s="741">
        <f t="shared" si="164"/>
        <v>2030</v>
      </c>
      <c r="N828" s="741">
        <f t="shared" si="164"/>
        <v>1900</v>
      </c>
      <c r="O828" s="980">
        <f t="shared" si="164"/>
        <v>1765</v>
      </c>
      <c r="P828" s="741"/>
      <c r="Q828" s="976"/>
      <c r="R828" s="745">
        <v>2780</v>
      </c>
      <c r="S828" s="746">
        <v>2780</v>
      </c>
      <c r="T828" s="746">
        <v>2780</v>
      </c>
      <c r="U828" s="746">
        <v>2780</v>
      </c>
      <c r="V828" s="746">
        <v>2780</v>
      </c>
      <c r="W828" s="746">
        <v>2680</v>
      </c>
      <c r="X828" s="746">
        <v>2590</v>
      </c>
      <c r="Y828" s="747">
        <v>2500</v>
      </c>
      <c r="Z828" s="743">
        <v>2280</v>
      </c>
      <c r="AA828" s="647">
        <v>2140</v>
      </c>
      <c r="AB828" s="647">
        <v>2000</v>
      </c>
      <c r="AC828" s="744">
        <v>1860</v>
      </c>
    </row>
    <row r="829" spans="1:29" s="426" customFormat="1" ht="15.75" thickBot="1" x14ac:dyDescent="0.3">
      <c r="A829" s="12">
        <f t="shared" si="161"/>
        <v>0</v>
      </c>
      <c r="B829" s="2">
        <v>1000</v>
      </c>
      <c r="C829" s="2">
        <v>1050</v>
      </c>
      <c r="D829" s="979">
        <f>FLOOR($Q$829*R829,5)</f>
        <v>2505</v>
      </c>
      <c r="E829" s="741">
        <f t="shared" ref="E829:O832" si="168">FLOOR($Q$829*S829,5)</f>
        <v>2505</v>
      </c>
      <c r="F829" s="741">
        <f t="shared" si="168"/>
        <v>2505</v>
      </c>
      <c r="G829" s="741">
        <f t="shared" si="168"/>
        <v>2505</v>
      </c>
      <c r="H829" s="741">
        <f t="shared" si="168"/>
        <v>2505</v>
      </c>
      <c r="I829" s="741">
        <f t="shared" si="168"/>
        <v>2405</v>
      </c>
      <c r="J829" s="741">
        <f t="shared" si="168"/>
        <v>2325</v>
      </c>
      <c r="K829" s="741">
        <f t="shared" si="168"/>
        <v>2230</v>
      </c>
      <c r="L829" s="741">
        <f t="shared" si="168"/>
        <v>2145</v>
      </c>
      <c r="M829" s="741">
        <f t="shared" si="168"/>
        <v>1965</v>
      </c>
      <c r="N829" s="741">
        <f t="shared" si="168"/>
        <v>1825</v>
      </c>
      <c r="O829" s="980">
        <f t="shared" si="168"/>
        <v>1690</v>
      </c>
      <c r="P829"/>
      <c r="Q829" s="983">
        <v>0.95</v>
      </c>
      <c r="R829" s="647">
        <v>2640</v>
      </c>
      <c r="S829" s="647">
        <v>2640</v>
      </c>
      <c r="T829" s="647">
        <v>2640</v>
      </c>
      <c r="U829" s="647">
        <v>2640</v>
      </c>
      <c r="V829" s="647">
        <v>2640</v>
      </c>
      <c r="W829" s="647">
        <v>2535</v>
      </c>
      <c r="X829" s="647">
        <v>2450</v>
      </c>
      <c r="Y829" s="647">
        <v>2350</v>
      </c>
      <c r="Z829" s="647">
        <v>2260</v>
      </c>
      <c r="AA829" s="647">
        <v>2070</v>
      </c>
      <c r="AB829" s="647">
        <v>1925</v>
      </c>
      <c r="AC829" s="749">
        <v>1780</v>
      </c>
    </row>
    <row r="830" spans="1:29" s="426" customFormat="1" x14ac:dyDescent="0.25">
      <c r="A830" s="12">
        <f t="shared" si="161"/>
        <v>0</v>
      </c>
      <c r="B830" s="2">
        <v>1050</v>
      </c>
      <c r="C830" s="2">
        <v>1100</v>
      </c>
      <c r="D830" s="979">
        <f t="shared" ref="D830:D832" si="169">FLOOR($Q$829*R830,5)</f>
        <v>2375</v>
      </c>
      <c r="E830" s="741">
        <f t="shared" si="168"/>
        <v>2375</v>
      </c>
      <c r="F830" s="741">
        <f t="shared" si="168"/>
        <v>2375</v>
      </c>
      <c r="G830" s="741">
        <f t="shared" si="168"/>
        <v>2375</v>
      </c>
      <c r="H830" s="741">
        <f t="shared" si="168"/>
        <v>2375</v>
      </c>
      <c r="I830" s="741">
        <f t="shared" si="168"/>
        <v>2270</v>
      </c>
      <c r="J830" s="741">
        <f t="shared" si="168"/>
        <v>2190</v>
      </c>
      <c r="K830" s="741">
        <f t="shared" si="168"/>
        <v>2090</v>
      </c>
      <c r="L830" s="741">
        <f t="shared" si="168"/>
        <v>2000</v>
      </c>
      <c r="M830" s="741">
        <f t="shared" si="168"/>
        <v>1905</v>
      </c>
      <c r="N830" s="741">
        <f t="shared" si="168"/>
        <v>1755</v>
      </c>
      <c r="O830" s="980">
        <f t="shared" si="168"/>
        <v>1615</v>
      </c>
      <c r="P830"/>
      <c r="Q830" s="41"/>
      <c r="R830" s="748">
        <v>2500</v>
      </c>
      <c r="S830" s="647">
        <v>2500</v>
      </c>
      <c r="T830" s="647">
        <v>2500</v>
      </c>
      <c r="U830" s="647">
        <v>2500</v>
      </c>
      <c r="V830" s="647">
        <v>2500</v>
      </c>
      <c r="W830" s="647">
        <v>2390</v>
      </c>
      <c r="X830" s="647">
        <v>2310</v>
      </c>
      <c r="Y830" s="647">
        <v>2200</v>
      </c>
      <c r="Z830" s="647">
        <v>2110</v>
      </c>
      <c r="AA830" s="647">
        <v>2010</v>
      </c>
      <c r="AB830" s="647">
        <v>1850</v>
      </c>
      <c r="AC830" s="749">
        <v>1700</v>
      </c>
    </row>
    <row r="831" spans="1:29" s="426" customFormat="1" x14ac:dyDescent="0.25">
      <c r="A831" s="12">
        <f t="shared" si="161"/>
        <v>0</v>
      </c>
      <c r="B831" s="2">
        <v>1100</v>
      </c>
      <c r="C831" s="2">
        <v>1150</v>
      </c>
      <c r="D831" s="979">
        <f t="shared" si="169"/>
        <v>2240</v>
      </c>
      <c r="E831" s="741">
        <f t="shared" si="168"/>
        <v>2240</v>
      </c>
      <c r="F831" s="741">
        <f t="shared" si="168"/>
        <v>2240</v>
      </c>
      <c r="G831" s="741">
        <f t="shared" si="168"/>
        <v>2240</v>
      </c>
      <c r="H831" s="741">
        <f t="shared" si="168"/>
        <v>2240</v>
      </c>
      <c r="I831" s="741">
        <f t="shared" si="168"/>
        <v>2130</v>
      </c>
      <c r="J831" s="741">
        <f t="shared" si="168"/>
        <v>2060</v>
      </c>
      <c r="K831" s="741">
        <f t="shared" si="168"/>
        <v>1945</v>
      </c>
      <c r="L831" s="741">
        <f t="shared" si="168"/>
        <v>1860</v>
      </c>
      <c r="M831" s="741">
        <f t="shared" si="168"/>
        <v>1745</v>
      </c>
      <c r="N831" s="741">
        <f t="shared" si="168"/>
        <v>1670</v>
      </c>
      <c r="O831" s="980">
        <f t="shared" si="168"/>
        <v>1535</v>
      </c>
      <c r="P831"/>
      <c r="Q831" s="41"/>
      <c r="R831" s="748">
        <v>2360</v>
      </c>
      <c r="S831" s="647">
        <v>2360</v>
      </c>
      <c r="T831" s="647">
        <v>2360</v>
      </c>
      <c r="U831" s="647">
        <v>2360</v>
      </c>
      <c r="V831" s="647">
        <v>2360</v>
      </c>
      <c r="W831" s="647">
        <v>2245</v>
      </c>
      <c r="X831" s="647">
        <v>2170</v>
      </c>
      <c r="Y831" s="647">
        <v>2050</v>
      </c>
      <c r="Z831" s="647">
        <v>1960</v>
      </c>
      <c r="AA831" s="647">
        <v>1840</v>
      </c>
      <c r="AB831" s="647">
        <v>1760</v>
      </c>
      <c r="AC831" s="749">
        <v>1620</v>
      </c>
    </row>
    <row r="832" spans="1:29" s="426" customFormat="1" x14ac:dyDescent="0.25">
      <c r="A832" s="13">
        <f t="shared" si="161"/>
        <v>0</v>
      </c>
      <c r="B832" s="343">
        <v>1150</v>
      </c>
      <c r="C832" s="965">
        <v>1250</v>
      </c>
      <c r="D832" s="981">
        <f t="shared" si="169"/>
        <v>2090</v>
      </c>
      <c r="E832" s="985">
        <f t="shared" si="168"/>
        <v>2090</v>
      </c>
      <c r="F832" s="985">
        <f t="shared" si="168"/>
        <v>2090</v>
      </c>
      <c r="G832" s="985">
        <f t="shared" si="168"/>
        <v>2090</v>
      </c>
      <c r="H832" s="985">
        <f t="shared" si="168"/>
        <v>2090</v>
      </c>
      <c r="I832" s="985">
        <f t="shared" si="168"/>
        <v>1995</v>
      </c>
      <c r="J832" s="985">
        <f t="shared" si="168"/>
        <v>1900</v>
      </c>
      <c r="K832" s="985">
        <f t="shared" si="168"/>
        <v>1805</v>
      </c>
      <c r="L832" s="985">
        <f t="shared" si="168"/>
        <v>1710</v>
      </c>
      <c r="M832" s="985">
        <f t="shared" si="168"/>
        <v>1615</v>
      </c>
      <c r="N832" s="985">
        <f t="shared" si="168"/>
        <v>1520</v>
      </c>
      <c r="O832" s="986">
        <f t="shared" si="168"/>
        <v>1450</v>
      </c>
      <c r="P832"/>
      <c r="Q832" s="52"/>
      <c r="R832" s="750">
        <v>2200</v>
      </c>
      <c r="S832" s="565">
        <v>2200</v>
      </c>
      <c r="T832" s="565">
        <v>2200</v>
      </c>
      <c r="U832" s="565">
        <v>2200</v>
      </c>
      <c r="V832" s="565">
        <v>2200</v>
      </c>
      <c r="W832" s="565">
        <v>2100</v>
      </c>
      <c r="X832" s="565">
        <v>2000</v>
      </c>
      <c r="Y832" s="565">
        <v>1900</v>
      </c>
      <c r="Z832" s="565">
        <v>1800</v>
      </c>
      <c r="AA832" s="565">
        <v>1700</v>
      </c>
      <c r="AB832" s="565">
        <v>1600</v>
      </c>
      <c r="AC832" s="566">
        <v>1530</v>
      </c>
    </row>
    <row r="833" spans="1:25" s="426" customFormat="1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Y833" s="626"/>
    </row>
    <row r="834" spans="1:25" s="426" customFormat="1" x14ac:dyDescent="0.25">
      <c r="A834" s="741"/>
      <c r="B834" s="741"/>
      <c r="C834" s="741"/>
      <c r="D834" s="987">
        <f>IF(SUM($A$820:$A$832)&gt;0,VLOOKUP(1,$A$820:$O$832,D816,FALSE),0)</f>
        <v>3040</v>
      </c>
      <c r="E834" s="988">
        <f>IF(SUM($A$820:$A$832)&gt;0,VLOOKUP(1,$A$820:$O$832,E816,FALSE),0)</f>
        <v>3040</v>
      </c>
      <c r="F834" s="988">
        <f t="shared" ref="F834:O834" si="170">IF(SUM($A$820:$A$832)&gt;0,VLOOKUP(1,$A$820:$O$832,F816,FALSE),0)</f>
        <v>3040</v>
      </c>
      <c r="G834" s="988">
        <f t="shared" si="170"/>
        <v>3040</v>
      </c>
      <c r="H834" s="988">
        <f t="shared" si="170"/>
        <v>3040</v>
      </c>
      <c r="I834" s="988">
        <f t="shared" si="170"/>
        <v>2945</v>
      </c>
      <c r="J834" s="988">
        <f t="shared" si="170"/>
        <v>2850</v>
      </c>
      <c r="K834" s="988">
        <f t="shared" si="170"/>
        <v>2755</v>
      </c>
      <c r="L834" s="988">
        <f t="shared" si="170"/>
        <v>2660</v>
      </c>
      <c r="M834" s="988">
        <f t="shared" si="170"/>
        <v>2565</v>
      </c>
      <c r="N834" s="988">
        <f t="shared" si="170"/>
        <v>2470</v>
      </c>
      <c r="O834" s="989">
        <f t="shared" si="170"/>
        <v>2375</v>
      </c>
      <c r="P834"/>
      <c r="Q834"/>
      <c r="Y834" s="626"/>
    </row>
    <row r="835" spans="1:25" s="426" customFormat="1" x14ac:dyDescent="0.25">
      <c r="A835" s="741"/>
      <c r="B835" s="741"/>
      <c r="C835" s="741"/>
      <c r="D835" s="741"/>
      <c r="E835" s="741"/>
      <c r="F835" s="741"/>
      <c r="G835" s="741"/>
      <c r="H835" s="741"/>
      <c r="I835" s="741"/>
      <c r="J835"/>
      <c r="K835"/>
      <c r="L835"/>
      <c r="M835"/>
      <c r="N835"/>
      <c r="O835"/>
      <c r="P835"/>
      <c r="Q835"/>
      <c r="Y835" s="626"/>
    </row>
    <row r="836" spans="1:25" s="426" customFormat="1" x14ac:dyDescent="0.25">
      <c r="A836" s="741"/>
      <c r="B836" s="741"/>
      <c r="C836" s="741"/>
      <c r="D836" s="741"/>
      <c r="E836" s="741"/>
      <c r="F836" s="741"/>
      <c r="G836" s="741"/>
      <c r="H836" s="741"/>
      <c r="I836" s="741"/>
      <c r="J836"/>
      <c r="K836"/>
      <c r="L836"/>
      <c r="M836"/>
      <c r="N836"/>
      <c r="O836"/>
      <c r="P836"/>
      <c r="Q836"/>
      <c r="Y836" s="626"/>
    </row>
    <row r="837" spans="1:25" s="426" customFormat="1" x14ac:dyDescent="0.25">
      <c r="B837" s="754" t="s">
        <v>789</v>
      </c>
      <c r="C837" s="755">
        <f>IF(SUM(D817:O817)&gt;0,HLOOKUP(1,D817:O834,18,FALSE),0)</f>
        <v>2850</v>
      </c>
      <c r="D837" s="756" t="s">
        <v>790</v>
      </c>
      <c r="F837" s="741"/>
      <c r="G837" s="741"/>
      <c r="H837" s="741"/>
      <c r="I837" s="741"/>
      <c r="J837"/>
      <c r="K837"/>
      <c r="L837"/>
      <c r="M837"/>
      <c r="N837"/>
      <c r="O837"/>
      <c r="P837"/>
      <c r="Q837"/>
      <c r="Y837" s="626"/>
    </row>
    <row r="838" spans="1:25" s="426" customFormat="1" x14ac:dyDescent="0.25">
      <c r="B838" s="754" t="s">
        <v>791</v>
      </c>
      <c r="C838" s="757">
        <f>G145</f>
        <v>0.95</v>
      </c>
      <c r="D838" s="741"/>
      <c r="F838" s="741"/>
      <c r="G838" s="741"/>
      <c r="H838" s="741"/>
      <c r="I838" s="741"/>
      <c r="J838"/>
      <c r="K838"/>
      <c r="L838"/>
      <c r="M838"/>
      <c r="N838"/>
      <c r="O838"/>
      <c r="P838"/>
      <c r="Q838"/>
      <c r="Y838" s="626"/>
    </row>
    <row r="839" spans="1:25" s="426" customFormat="1" x14ac:dyDescent="0.25">
      <c r="B839" s="754" t="s">
        <v>792</v>
      </c>
      <c r="C839" s="755">
        <f>C837*C838</f>
        <v>2707.5</v>
      </c>
      <c r="D839" s="756" t="s">
        <v>790</v>
      </c>
      <c r="F839" s="741"/>
      <c r="G839" s="741"/>
      <c r="H839" s="741"/>
      <c r="I839" s="741"/>
      <c r="J839"/>
      <c r="K839"/>
      <c r="L839"/>
      <c r="M839"/>
      <c r="N839"/>
      <c r="O839"/>
      <c r="P839"/>
      <c r="Q839"/>
      <c r="Y839" s="626"/>
    </row>
    <row r="840" spans="1:25" s="426" customFormat="1" ht="14.25" x14ac:dyDescent="0.2">
      <c r="B840" s="426" t="s">
        <v>794</v>
      </c>
      <c r="C840" s="973">
        <v>0.6</v>
      </c>
      <c r="D840" s="134"/>
      <c r="Y840" s="626"/>
    </row>
    <row r="841" spans="1:25" s="426" customFormat="1" ht="14.25" x14ac:dyDescent="0.2">
      <c r="B841" s="426" t="s">
        <v>795</v>
      </c>
      <c r="C841" s="974">
        <f>C840*C839</f>
        <v>1624.5</v>
      </c>
      <c r="D841" s="134" t="s">
        <v>790</v>
      </c>
      <c r="Y841" s="626"/>
    </row>
    <row r="842" spans="1:25" s="426" customFormat="1" ht="14.25" x14ac:dyDescent="0.2">
      <c r="B842" s="426" t="s">
        <v>797</v>
      </c>
      <c r="C842" s="975">
        <f>IF(C811/(C841/60)&gt;=C805,C811/(C841/60),C805)</f>
        <v>18.097876269621423</v>
      </c>
      <c r="D842" s="134" t="s">
        <v>798</v>
      </c>
      <c r="Y842" s="626"/>
    </row>
    <row r="843" spans="1:25" s="426" customFormat="1" ht="12.75" x14ac:dyDescent="0.2">
      <c r="D843" s="134"/>
      <c r="Y843" s="626"/>
    </row>
    <row r="844" spans="1:25" s="426" customFormat="1" ht="12.75" x14ac:dyDescent="0.2">
      <c r="D844" s="134"/>
      <c r="Y844" s="626"/>
    </row>
    <row r="845" spans="1:25" s="426" customFormat="1" ht="12.75" x14ac:dyDescent="0.2">
      <c r="A845" s="626">
        <f>A802</f>
        <v>0</v>
      </c>
      <c r="B845" s="426" t="s">
        <v>784</v>
      </c>
      <c r="C845" s="635" t="b">
        <f>IF(A845=1,C802*D799)</f>
        <v>0</v>
      </c>
      <c r="D845" s="134"/>
      <c r="Y845" s="626"/>
    </row>
    <row r="846" spans="1:25" s="426" customFormat="1" ht="12.75" x14ac:dyDescent="0.2">
      <c r="A846" s="626">
        <f>A803</f>
        <v>0</v>
      </c>
      <c r="B846" s="426" t="s">
        <v>786</v>
      </c>
      <c r="C846" s="758" t="b">
        <f>IF(A846=1,C803*D799)</f>
        <v>0</v>
      </c>
      <c r="D846" s="134"/>
      <c r="Y846" s="626"/>
    </row>
    <row r="847" spans="1:25" s="426" customFormat="1" ht="12.75" x14ac:dyDescent="0.2">
      <c r="B847" s="426" t="s">
        <v>762</v>
      </c>
      <c r="C847" s="635">
        <f>SUM(C845:C846)</f>
        <v>0</v>
      </c>
      <c r="D847" s="134"/>
      <c r="Y847" s="626"/>
    </row>
    <row r="848" spans="1:25" s="426" customFormat="1" ht="12.75" x14ac:dyDescent="0.2">
      <c r="D848" s="134"/>
      <c r="Y848" s="626"/>
    </row>
    <row r="849" spans="1:25" s="426" customFormat="1" ht="12.75" x14ac:dyDescent="0.2">
      <c r="D849" s="134"/>
      <c r="Y849" s="626"/>
    </row>
    <row r="850" spans="1:25" s="426" customFormat="1" ht="12.75" x14ac:dyDescent="0.2">
      <c r="A850" s="626">
        <f>IF(C795=1,1,0)</f>
        <v>0</v>
      </c>
      <c r="B850" s="615" t="s">
        <v>712</v>
      </c>
      <c r="C850" s="669">
        <f>IF(A850=1,C842*D799,0)</f>
        <v>0</v>
      </c>
      <c r="Y850" s="626"/>
    </row>
    <row r="851" spans="1:25" s="426" customFormat="1" ht="12.75" x14ac:dyDescent="0.2">
      <c r="D851" s="134"/>
      <c r="Y851" s="626"/>
    </row>
    <row r="852" spans="1:25" s="430" customFormat="1" ht="12.75" x14ac:dyDescent="0.2">
      <c r="D852" s="790"/>
      <c r="Y852" s="651"/>
    </row>
    <row r="853" spans="1:25" s="426" customFormat="1" ht="12.75" x14ac:dyDescent="0.2">
      <c r="Y853" s="626"/>
    </row>
    <row r="854" spans="1:25" s="426" customFormat="1" ht="13.5" thickBot="1" x14ac:dyDescent="0.25">
      <c r="B854" s="615"/>
      <c r="D854" s="626" t="s">
        <v>674</v>
      </c>
      <c r="Y854" s="626"/>
    </row>
    <row r="855" spans="1:25" s="426" customFormat="1" ht="13.5" thickBot="1" x14ac:dyDescent="0.25">
      <c r="B855" s="641" t="s">
        <v>667</v>
      </c>
      <c r="C855" s="643">
        <f>J369</f>
        <v>0</v>
      </c>
      <c r="D855" s="642">
        <f>IF(C855=1,C891,0)</f>
        <v>0</v>
      </c>
      <c r="Y855" s="626"/>
    </row>
    <row r="856" spans="1:25" s="426" customFormat="1" ht="12.75" x14ac:dyDescent="0.2">
      <c r="Y856" s="626"/>
    </row>
    <row r="857" spans="1:25" s="426" customFormat="1" ht="12.75" x14ac:dyDescent="0.2">
      <c r="Y857" s="626"/>
    </row>
    <row r="858" spans="1:25" s="426" customFormat="1" ht="12.75" x14ac:dyDescent="0.2">
      <c r="B858" s="426" t="s">
        <v>840</v>
      </c>
      <c r="C858" s="633">
        <f>'Tarieven (4)'!C11</f>
        <v>96</v>
      </c>
      <c r="D858" s="633">
        <f>C858/60</f>
        <v>1.6</v>
      </c>
      <c r="G858" s="638">
        <v>0.15</v>
      </c>
      <c r="Y858" s="626"/>
    </row>
    <row r="859" spans="1:25" s="426" customFormat="1" ht="12.75" x14ac:dyDescent="0.2">
      <c r="G859" s="708" t="s">
        <v>777</v>
      </c>
      <c r="H859" s="719" t="s">
        <v>778</v>
      </c>
      <c r="I859" s="719" t="s">
        <v>779</v>
      </c>
      <c r="Y859" s="626"/>
    </row>
    <row r="860" spans="1:25" s="426" customFormat="1" ht="13.5" thickBot="1" x14ac:dyDescent="0.25">
      <c r="A860" s="767">
        <f>IF(D860&gt;=D861,1,0)</f>
        <v>0</v>
      </c>
      <c r="B860" s="802" t="s">
        <v>752</v>
      </c>
      <c r="C860" s="661">
        <f>C445</f>
        <v>1</v>
      </c>
      <c r="D860" s="709">
        <f>E445</f>
        <v>361</v>
      </c>
      <c r="G860" s="725">
        <f>MAX(B445,H445)</f>
        <v>490</v>
      </c>
      <c r="H860" s="145">
        <f>C860*C861</f>
        <v>1</v>
      </c>
      <c r="I860" s="145">
        <f>H860*G860</f>
        <v>490</v>
      </c>
      <c r="Y860" s="626"/>
    </row>
    <row r="861" spans="1:25" s="426" customFormat="1" ht="12.75" x14ac:dyDescent="0.2">
      <c r="A861" s="658">
        <f>IF(D861&gt;D860,1,0)</f>
        <v>1</v>
      </c>
      <c r="B861" s="803" t="s">
        <v>753</v>
      </c>
      <c r="C861" s="145">
        <f>D445</f>
        <v>1</v>
      </c>
      <c r="D861" s="711">
        <f>F445</f>
        <v>1150</v>
      </c>
      <c r="G861" s="735" t="s">
        <v>782</v>
      </c>
      <c r="H861" s="710" t="s">
        <v>781</v>
      </c>
      <c r="I861" s="713" t="s">
        <v>780</v>
      </c>
      <c r="Y861" s="626"/>
    </row>
    <row r="862" spans="1:25" s="426" customFormat="1" ht="13.5" thickBot="1" x14ac:dyDescent="0.25">
      <c r="G862" s="736">
        <f>IF(CEILING((H862*G858)+H862,1)&lt;=G860,CEILING((H862*G858)+H862,1),G860)</f>
        <v>490</v>
      </c>
      <c r="H862" s="702">
        <f>CEILING(I862/H860,1)</f>
        <v>490</v>
      </c>
      <c r="I862" s="145">
        <f>C3</f>
        <v>490</v>
      </c>
      <c r="Y862" s="626"/>
    </row>
    <row r="863" spans="1:25" s="426" customFormat="1" ht="12.75" x14ac:dyDescent="0.2">
      <c r="A863" s="626">
        <f>IF(C855=1,1,0)</f>
        <v>0</v>
      </c>
      <c r="B863" s="426" t="s">
        <v>859</v>
      </c>
      <c r="C863" s="637">
        <v>15</v>
      </c>
      <c r="D863" s="426" t="s">
        <v>683</v>
      </c>
      <c r="G863" s="134"/>
      <c r="H863" s="626"/>
      <c r="I863" s="626"/>
      <c r="Y863" s="626"/>
    </row>
    <row r="864" spans="1:25" s="426" customFormat="1" ht="12.75" x14ac:dyDescent="0.2">
      <c r="G864" s="134"/>
      <c r="H864" s="626"/>
      <c r="I864" s="626"/>
      <c r="Y864" s="626"/>
    </row>
    <row r="865" spans="1:31" s="426" customFormat="1" ht="12.75" x14ac:dyDescent="0.2">
      <c r="B865" s="426" t="s">
        <v>845</v>
      </c>
      <c r="C865" s="626">
        <f>I145</f>
        <v>3</v>
      </c>
      <c r="D865" s="426" t="s">
        <v>754</v>
      </c>
      <c r="G865" s="134"/>
      <c r="H865" s="626"/>
      <c r="I865" s="626"/>
      <c r="Y865" s="626"/>
    </row>
    <row r="866" spans="1:31" s="426" customFormat="1" ht="12.75" x14ac:dyDescent="0.2">
      <c r="B866" s="426" t="s">
        <v>846</v>
      </c>
      <c r="C866" s="626">
        <f>CEILING(G862/C865,1)</f>
        <v>164</v>
      </c>
      <c r="D866" s="426" t="s">
        <v>754</v>
      </c>
      <c r="Y866" s="626"/>
    </row>
    <row r="867" spans="1:31" s="426" customFormat="1" ht="12.75" x14ac:dyDescent="0.2">
      <c r="B867" s="426" t="s">
        <v>847</v>
      </c>
      <c r="C867" s="626">
        <f>VLOOKUP(1,A860:D861,3,FALSE)+2</f>
        <v>3</v>
      </c>
      <c r="Y867" s="626"/>
    </row>
    <row r="868" spans="1:31" s="426" customFormat="1" ht="12.75" x14ac:dyDescent="0.2">
      <c r="B868" s="426" t="s">
        <v>848</v>
      </c>
      <c r="C868" s="1096">
        <f>AY46</f>
        <v>0.9</v>
      </c>
      <c r="Y868" s="626"/>
    </row>
    <row r="869" spans="1:31" s="426" customFormat="1" ht="12.75" x14ac:dyDescent="0.2">
      <c r="B869" s="426" t="s">
        <v>851</v>
      </c>
      <c r="C869" s="1097">
        <v>0.7</v>
      </c>
      <c r="Y869" s="626"/>
    </row>
    <row r="870" spans="1:31" s="426" customFormat="1" ht="12.75" x14ac:dyDescent="0.2">
      <c r="B870" s="426" t="s">
        <v>682</v>
      </c>
      <c r="C870" s="637">
        <v>15</v>
      </c>
      <c r="Y870" s="626"/>
    </row>
    <row r="871" spans="1:31" s="426" customFormat="1" ht="12.75" x14ac:dyDescent="0.2">
      <c r="Y871" s="626"/>
    </row>
    <row r="872" spans="1:31" s="426" customFormat="1" x14ac:dyDescent="0.25">
      <c r="A872" s="634">
        <f>IF(SUM(A308:A322)=0,0,IF(SUM(A308:A314)&gt;0,E307,E315))</f>
        <v>0</v>
      </c>
      <c r="B872" s="517" t="s">
        <v>841</v>
      </c>
      <c r="C872" s="473" t="str">
        <f>IF(AND($A$872&gt;C873,$A$872&lt;=C874),1," ")</f>
        <v xml:space="preserve"> </v>
      </c>
      <c r="D872" s="473" t="str">
        <f t="shared" ref="D872:AE872" si="171">IF(AND($A$872&gt;D873,$A$872&lt;=D874),1," ")</f>
        <v xml:space="preserve"> </v>
      </c>
      <c r="E872" s="473" t="str">
        <f t="shared" si="171"/>
        <v xml:space="preserve"> </v>
      </c>
      <c r="F872" s="473" t="str">
        <f t="shared" si="171"/>
        <v xml:space="preserve"> </v>
      </c>
      <c r="G872" s="473" t="str">
        <f t="shared" si="171"/>
        <v xml:space="preserve"> </v>
      </c>
      <c r="H872" s="473" t="str">
        <f t="shared" si="171"/>
        <v xml:space="preserve"> </v>
      </c>
      <c r="I872" s="473" t="str">
        <f t="shared" si="171"/>
        <v xml:space="preserve"> </v>
      </c>
      <c r="J872" s="473" t="str">
        <f t="shared" si="171"/>
        <v xml:space="preserve"> </v>
      </c>
      <c r="K872" s="473" t="str">
        <f t="shared" si="171"/>
        <v xml:space="preserve"> </v>
      </c>
      <c r="L872" s="473" t="str">
        <f t="shared" si="171"/>
        <v xml:space="preserve"> </v>
      </c>
      <c r="M872" s="473" t="str">
        <f t="shared" si="171"/>
        <v xml:space="preserve"> </v>
      </c>
      <c r="N872" s="473" t="str">
        <f t="shared" si="171"/>
        <v xml:space="preserve"> </v>
      </c>
      <c r="O872" s="473" t="str">
        <f t="shared" si="171"/>
        <v xml:space="preserve"> </v>
      </c>
      <c r="P872" s="473" t="str">
        <f t="shared" si="171"/>
        <v xml:space="preserve"> </v>
      </c>
      <c r="Q872" s="473" t="str">
        <f t="shared" si="171"/>
        <v xml:space="preserve"> </v>
      </c>
      <c r="R872" s="473" t="str">
        <f t="shared" si="171"/>
        <v xml:space="preserve"> </v>
      </c>
      <c r="S872" s="473" t="str">
        <f t="shared" si="171"/>
        <v xml:space="preserve"> </v>
      </c>
      <c r="T872" s="473" t="str">
        <f t="shared" si="171"/>
        <v xml:space="preserve"> </v>
      </c>
      <c r="U872" s="473" t="str">
        <f t="shared" si="171"/>
        <v xml:space="preserve"> </v>
      </c>
      <c r="V872" s="473" t="str">
        <f t="shared" si="171"/>
        <v xml:space="preserve"> </v>
      </c>
      <c r="W872" s="473" t="str">
        <f t="shared" si="171"/>
        <v xml:space="preserve"> </v>
      </c>
      <c r="X872" s="473" t="str">
        <f t="shared" si="171"/>
        <v xml:space="preserve"> </v>
      </c>
      <c r="Y872" s="473" t="str">
        <f t="shared" si="171"/>
        <v xml:space="preserve"> </v>
      </c>
      <c r="Z872" s="473" t="str">
        <f t="shared" si="171"/>
        <v xml:space="preserve"> </v>
      </c>
      <c r="AA872" s="473" t="str">
        <f t="shared" si="171"/>
        <v xml:space="preserve"> </v>
      </c>
      <c r="AB872" s="473" t="str">
        <f t="shared" si="171"/>
        <v xml:space="preserve"> </v>
      </c>
      <c r="AC872" s="473" t="str">
        <f t="shared" si="171"/>
        <v xml:space="preserve"> </v>
      </c>
      <c r="AD872" s="473" t="str">
        <f t="shared" si="171"/>
        <v xml:space="preserve"> </v>
      </c>
      <c r="AE872" s="473" t="str">
        <f t="shared" si="171"/>
        <v xml:space="preserve"> </v>
      </c>
    </row>
    <row r="873" spans="1:31" s="426" customFormat="1" x14ac:dyDescent="0.25">
      <c r="A873" s="41"/>
      <c r="B873" s="405" t="s">
        <v>842</v>
      </c>
      <c r="C873" s="442">
        <v>0</v>
      </c>
      <c r="D873" s="442">
        <v>25</v>
      </c>
      <c r="E873" s="442">
        <v>35</v>
      </c>
      <c r="F873" s="442">
        <v>45</v>
      </c>
      <c r="G873" s="442">
        <v>55</v>
      </c>
      <c r="H873" s="442">
        <v>65</v>
      </c>
      <c r="I873" s="442">
        <v>75</v>
      </c>
      <c r="J873" s="442">
        <v>85</v>
      </c>
      <c r="K873" s="442">
        <v>95</v>
      </c>
      <c r="L873" s="442">
        <v>100</v>
      </c>
      <c r="M873" s="442">
        <v>125</v>
      </c>
      <c r="N873" s="442">
        <v>150</v>
      </c>
      <c r="O873" s="442">
        <v>175</v>
      </c>
      <c r="P873" s="442">
        <v>200</v>
      </c>
      <c r="Q873" s="442">
        <v>225</v>
      </c>
      <c r="R873" s="442">
        <v>250</v>
      </c>
      <c r="S873" s="442">
        <v>275</v>
      </c>
      <c r="T873" s="442">
        <v>300</v>
      </c>
      <c r="U873" s="442">
        <v>325</v>
      </c>
      <c r="V873" s="442">
        <v>350</v>
      </c>
      <c r="W873" s="442">
        <v>375</v>
      </c>
      <c r="X873" s="442">
        <v>400</v>
      </c>
      <c r="Y873" s="442">
        <v>425</v>
      </c>
      <c r="Z873" s="442">
        <v>450</v>
      </c>
      <c r="AA873" s="442">
        <v>475</v>
      </c>
      <c r="AB873" s="442">
        <v>500</v>
      </c>
      <c r="AC873" s="442">
        <v>525</v>
      </c>
      <c r="AD873" s="442">
        <v>550</v>
      </c>
      <c r="AE873" s="442">
        <v>575</v>
      </c>
    </row>
    <row r="874" spans="1:31" s="426" customFormat="1" x14ac:dyDescent="0.25">
      <c r="A874" s="52"/>
      <c r="B874" s="341" t="s">
        <v>843</v>
      </c>
      <c r="C874" s="13">
        <v>25</v>
      </c>
      <c r="D874" s="13">
        <v>35</v>
      </c>
      <c r="E874" s="13">
        <v>45</v>
      </c>
      <c r="F874" s="13">
        <v>55</v>
      </c>
      <c r="G874" s="13">
        <v>65</v>
      </c>
      <c r="H874" s="13">
        <v>75</v>
      </c>
      <c r="I874" s="13">
        <v>85</v>
      </c>
      <c r="J874" s="13">
        <v>95</v>
      </c>
      <c r="K874" s="13">
        <v>100</v>
      </c>
      <c r="L874" s="13">
        <v>125</v>
      </c>
      <c r="M874" s="13">
        <v>150</v>
      </c>
      <c r="N874" s="13">
        <v>175</v>
      </c>
      <c r="O874" s="13">
        <v>200</v>
      </c>
      <c r="P874" s="13">
        <v>225</v>
      </c>
      <c r="Q874" s="13">
        <v>250</v>
      </c>
      <c r="R874" s="13">
        <v>275</v>
      </c>
      <c r="S874" s="13">
        <v>300</v>
      </c>
      <c r="T874" s="13">
        <v>325</v>
      </c>
      <c r="U874" s="13">
        <v>350</v>
      </c>
      <c r="V874" s="13">
        <v>375</v>
      </c>
      <c r="W874" s="13">
        <v>400</v>
      </c>
      <c r="X874" s="13">
        <v>425</v>
      </c>
      <c r="Y874" s="13">
        <v>450</v>
      </c>
      <c r="Z874" s="13">
        <v>475</v>
      </c>
      <c r="AA874" s="13">
        <v>500</v>
      </c>
      <c r="AB874" s="13">
        <v>525</v>
      </c>
      <c r="AC874" s="13">
        <v>550</v>
      </c>
      <c r="AD874" s="13">
        <v>575</v>
      </c>
      <c r="AE874" s="13">
        <v>999</v>
      </c>
    </row>
    <row r="875" spans="1:31" s="426" customFormat="1" x14ac:dyDescent="0.25">
      <c r="A875" s="472"/>
      <c r="B875" s="517" t="s">
        <v>844</v>
      </c>
      <c r="C875" s="484">
        <v>180</v>
      </c>
      <c r="D875" s="484">
        <v>160</v>
      </c>
      <c r="E875" s="484">
        <v>140</v>
      </c>
      <c r="F875" s="484">
        <v>120</v>
      </c>
      <c r="G875" s="484">
        <v>110</v>
      </c>
      <c r="H875" s="484">
        <v>100</v>
      </c>
      <c r="I875" s="484">
        <v>93</v>
      </c>
      <c r="J875" s="484">
        <v>87</v>
      </c>
      <c r="K875" s="484">
        <v>80</v>
      </c>
      <c r="L875" s="484">
        <v>78</v>
      </c>
      <c r="M875" s="484">
        <v>76</v>
      </c>
      <c r="N875" s="484">
        <v>74</v>
      </c>
      <c r="O875" s="484">
        <v>72</v>
      </c>
      <c r="P875" s="484">
        <v>70</v>
      </c>
      <c r="Q875" s="484">
        <v>68</v>
      </c>
      <c r="R875" s="484">
        <v>66</v>
      </c>
      <c r="S875" s="484">
        <v>63</v>
      </c>
      <c r="T875" s="484">
        <v>60</v>
      </c>
      <c r="U875" s="484">
        <v>57</v>
      </c>
      <c r="V875" s="484">
        <v>54</v>
      </c>
      <c r="W875" s="484">
        <v>52</v>
      </c>
      <c r="X875" s="484">
        <v>50</v>
      </c>
      <c r="Y875" s="484">
        <v>47</v>
      </c>
      <c r="Z875" s="484">
        <v>44</v>
      </c>
      <c r="AA875" s="484">
        <v>42</v>
      </c>
      <c r="AB875" s="484">
        <v>40</v>
      </c>
      <c r="AC875" s="484">
        <v>36</v>
      </c>
      <c r="AD875" s="484">
        <v>33</v>
      </c>
      <c r="AE875" s="484">
        <v>30</v>
      </c>
    </row>
    <row r="876" spans="1:31" s="426" customFormat="1" ht="12.75" x14ac:dyDescent="0.2">
      <c r="B876" s="652" t="s">
        <v>850</v>
      </c>
      <c r="C876" s="679">
        <f>IF(SUM(C872:AE872)&gt;0,HLOOKUP(1,C872:AE875,4,FALSE)*C868,0)</f>
        <v>0</v>
      </c>
      <c r="D876" s="634">
        <f>C876*C869</f>
        <v>0</v>
      </c>
      <c r="Y876" s="626"/>
    </row>
    <row r="877" spans="1:31" s="426" customFormat="1" ht="12.75" x14ac:dyDescent="0.2">
      <c r="Y877" s="626"/>
    </row>
    <row r="878" spans="1:31" s="426" customFormat="1" ht="12.75" x14ac:dyDescent="0.2">
      <c r="Y878" s="626"/>
    </row>
    <row r="879" spans="1:31" s="426" customFormat="1" ht="12.75" x14ac:dyDescent="0.2">
      <c r="B879" s="426" t="s">
        <v>849</v>
      </c>
      <c r="C879" s="626">
        <f>C866*C867</f>
        <v>492</v>
      </c>
      <c r="Y879" s="626"/>
    </row>
    <row r="880" spans="1:31" s="426" customFormat="1" ht="12.75" x14ac:dyDescent="0.2">
      <c r="B880" s="426" t="s">
        <v>852</v>
      </c>
      <c r="C880" s="762" t="e">
        <f>IF(C879/D876&lt;=C870,C870,C879/D876)</f>
        <v>#DIV/0!</v>
      </c>
      <c r="D880" s="426" t="s">
        <v>684</v>
      </c>
      <c r="Y880" s="626"/>
    </row>
    <row r="881" spans="1:25" s="426" customFormat="1" ht="12.75" x14ac:dyDescent="0.2">
      <c r="Y881" s="626"/>
    </row>
    <row r="882" spans="1:25" s="426" customFormat="1" ht="12.75" x14ac:dyDescent="0.2">
      <c r="C882" s="134"/>
      <c r="Y882" s="626"/>
    </row>
    <row r="883" spans="1:25" s="426" customFormat="1" ht="12.75" x14ac:dyDescent="0.2">
      <c r="B883" s="426" t="s">
        <v>853</v>
      </c>
      <c r="C883" s="707">
        <v>180</v>
      </c>
      <c r="D883" s="426" t="s">
        <v>754</v>
      </c>
      <c r="Y883" s="626"/>
    </row>
    <row r="884" spans="1:25" s="426" customFormat="1" ht="12.75" x14ac:dyDescent="0.2">
      <c r="B884" s="426" t="s">
        <v>854</v>
      </c>
      <c r="C884" s="626">
        <f>J145</f>
        <v>0.8</v>
      </c>
      <c r="Y884" s="626"/>
    </row>
    <row r="885" spans="1:25" s="426" customFormat="1" ht="12.75" x14ac:dyDescent="0.2">
      <c r="B885" s="426" t="s">
        <v>857</v>
      </c>
      <c r="C885" s="626">
        <f>C884*C883</f>
        <v>144</v>
      </c>
      <c r="D885" s="426" t="s">
        <v>754</v>
      </c>
      <c r="Y885" s="626"/>
    </row>
    <row r="886" spans="1:25" s="426" customFormat="1" ht="12.75" x14ac:dyDescent="0.2">
      <c r="B886" s="426" t="s">
        <v>858</v>
      </c>
      <c r="C886" s="134">
        <f>C3/C885</f>
        <v>3.4027777777777777</v>
      </c>
      <c r="D886" s="426" t="s">
        <v>684</v>
      </c>
      <c r="Y886" s="626"/>
    </row>
    <row r="887" spans="1:25" s="426" customFormat="1" ht="12.75" x14ac:dyDescent="0.2">
      <c r="Y887" s="626"/>
    </row>
    <row r="888" spans="1:25" s="426" customFormat="1" ht="12.75" x14ac:dyDescent="0.2">
      <c r="Y888" s="626"/>
    </row>
    <row r="889" spans="1:25" s="426" customFormat="1" ht="12.75" x14ac:dyDescent="0.2">
      <c r="A889" s="626">
        <f>IF(C855=1,1,0)</f>
        <v>0</v>
      </c>
      <c r="B889" s="426" t="s">
        <v>860</v>
      </c>
      <c r="C889" s="635" t="b">
        <f>IF(A889=1,C863*D858)</f>
        <v>0</v>
      </c>
      <c r="Y889" s="626"/>
    </row>
    <row r="890" spans="1:25" s="426" customFormat="1" ht="12.75" x14ac:dyDescent="0.2">
      <c r="A890" s="626">
        <f>IF(C855=1,1,0)</f>
        <v>0</v>
      </c>
      <c r="B890" s="426" t="s">
        <v>861</v>
      </c>
      <c r="C890" s="758">
        <f>IF(A890=1,MAX(C886,C880)*D858,0)</f>
        <v>0</v>
      </c>
      <c r="Y890" s="626"/>
    </row>
    <row r="891" spans="1:25" s="426" customFormat="1" ht="12.75" x14ac:dyDescent="0.2">
      <c r="B891" s="426" t="s">
        <v>862</v>
      </c>
      <c r="C891" s="635">
        <f>SUM(C889:C890)</f>
        <v>0</v>
      </c>
      <c r="Y891" s="626"/>
    </row>
    <row r="892" spans="1:25" s="426" customFormat="1" ht="12.75" x14ac:dyDescent="0.2">
      <c r="Y892" s="626"/>
    </row>
    <row r="893" spans="1:25" s="430" customFormat="1" ht="12.75" x14ac:dyDescent="0.2">
      <c r="B893" s="678"/>
      <c r="Y893" s="651"/>
    </row>
    <row r="894" spans="1:25" s="426" customFormat="1" ht="12.75" x14ac:dyDescent="0.2">
      <c r="B894" s="615"/>
      <c r="Y894" s="626"/>
    </row>
    <row r="895" spans="1:25" s="426" customFormat="1" ht="13.5" thickBot="1" x14ac:dyDescent="0.25">
      <c r="B895" s="615"/>
      <c r="D895" s="626" t="s">
        <v>674</v>
      </c>
      <c r="Y895" s="626"/>
    </row>
    <row r="896" spans="1:25" s="426" customFormat="1" ht="13.5" thickBot="1" x14ac:dyDescent="0.25">
      <c r="B896" s="641" t="s">
        <v>668</v>
      </c>
      <c r="C896" s="643">
        <f>J370</f>
        <v>0</v>
      </c>
      <c r="D896" s="642">
        <f>IF(C896=1,C925,0)</f>
        <v>0</v>
      </c>
      <c r="Y896" s="626"/>
    </row>
    <row r="897" spans="1:25" s="426" customFormat="1" ht="12.75" x14ac:dyDescent="0.2">
      <c r="Y897" s="626"/>
    </row>
    <row r="898" spans="1:25" s="426" customFormat="1" ht="12.75" x14ac:dyDescent="0.2">
      <c r="Y898" s="626"/>
    </row>
    <row r="899" spans="1:25" s="426" customFormat="1" ht="12.75" x14ac:dyDescent="0.2">
      <c r="B899" s="426" t="s">
        <v>758</v>
      </c>
      <c r="C899" s="633">
        <f>'Tarieven (4)'!C12</f>
        <v>37</v>
      </c>
      <c r="D899" s="633">
        <f>C899/60</f>
        <v>0.6166666666666667</v>
      </c>
      <c r="Y899" s="626"/>
    </row>
    <row r="900" spans="1:25" s="426" customFormat="1" ht="12.75" x14ac:dyDescent="0.2">
      <c r="Y900" s="626"/>
    </row>
    <row r="901" spans="1:25" s="426" customFormat="1" ht="12.75" x14ac:dyDescent="0.2">
      <c r="Y901" s="626"/>
    </row>
    <row r="902" spans="1:25" s="426" customFormat="1" ht="12.75" x14ac:dyDescent="0.2">
      <c r="B902" s="426" t="s">
        <v>807</v>
      </c>
      <c r="C902" s="637">
        <v>1200</v>
      </c>
      <c r="D902" s="426" t="s">
        <v>25</v>
      </c>
      <c r="Y902" s="626"/>
    </row>
    <row r="903" spans="1:25" s="426" customFormat="1" ht="12.75" x14ac:dyDescent="0.2">
      <c r="B903" s="615" t="s">
        <v>99</v>
      </c>
      <c r="C903" s="626">
        <f>E445</f>
        <v>361</v>
      </c>
      <c r="D903" s="426" t="s">
        <v>25</v>
      </c>
      <c r="Y903" s="626"/>
    </row>
    <row r="904" spans="1:25" s="426" customFormat="1" ht="12.75" x14ac:dyDescent="0.2">
      <c r="B904" s="615" t="s">
        <v>100</v>
      </c>
      <c r="C904" s="626">
        <f>F445</f>
        <v>1150</v>
      </c>
      <c r="D904" s="426" t="s">
        <v>25</v>
      </c>
      <c r="Y904" s="626"/>
    </row>
    <row r="905" spans="1:25" s="426" customFormat="1" ht="12.75" x14ac:dyDescent="0.2">
      <c r="B905" s="615" t="s">
        <v>776</v>
      </c>
      <c r="C905" s="134">
        <f>C3</f>
        <v>490</v>
      </c>
      <c r="D905" s="426" t="s">
        <v>754</v>
      </c>
      <c r="Y905" s="626"/>
    </row>
    <row r="906" spans="1:25" s="426" customFormat="1" ht="12.75" x14ac:dyDescent="0.2">
      <c r="B906" s="615" t="s">
        <v>808</v>
      </c>
      <c r="C906" s="134">
        <f>C902/C13</f>
        <v>400</v>
      </c>
      <c r="Y906" s="626"/>
    </row>
    <row r="907" spans="1:25" s="426" customFormat="1" ht="12.75" x14ac:dyDescent="0.2">
      <c r="B907" s="615" t="s">
        <v>809</v>
      </c>
      <c r="C907" s="134">
        <f>CEILING(C905/C906,1)</f>
        <v>2</v>
      </c>
      <c r="D907" s="426" t="s">
        <v>810</v>
      </c>
      <c r="Y907" s="626"/>
    </row>
    <row r="908" spans="1:25" s="426" customFormat="1" ht="12.75" x14ac:dyDescent="0.2">
      <c r="B908" s="615"/>
      <c r="C908" s="134"/>
      <c r="Y908" s="626"/>
    </row>
    <row r="909" spans="1:25" s="426" customFormat="1" ht="12.75" x14ac:dyDescent="0.2">
      <c r="B909" s="615"/>
      <c r="C909" s="134"/>
      <c r="Y909" s="626"/>
    </row>
    <row r="910" spans="1:25" s="426" customFormat="1" ht="12.75" x14ac:dyDescent="0.2">
      <c r="A910" s="708"/>
      <c r="B910" s="769"/>
      <c r="C910" s="770"/>
      <c r="D910" s="712">
        <v>4</v>
      </c>
      <c r="E910" s="712">
        <v>5</v>
      </c>
      <c r="F910" s="712">
        <v>6</v>
      </c>
      <c r="G910" s="712">
        <v>7</v>
      </c>
      <c r="H910" s="712">
        <v>8</v>
      </c>
      <c r="I910" s="712">
        <v>9</v>
      </c>
      <c r="J910" s="712">
        <v>10</v>
      </c>
      <c r="K910" s="712">
        <v>11</v>
      </c>
      <c r="L910" s="712">
        <v>12</v>
      </c>
      <c r="M910" s="712">
        <v>13</v>
      </c>
      <c r="N910" s="712">
        <v>14</v>
      </c>
      <c r="O910" s="664">
        <v>15</v>
      </c>
      <c r="Y910" s="626"/>
    </row>
    <row r="911" spans="1:25" s="426" customFormat="1" ht="12.75" x14ac:dyDescent="0.2">
      <c r="A911" s="428"/>
      <c r="C911" s="710"/>
      <c r="D911" s="712">
        <f>IF(AND(MAX($C$903:$C$904)&gt;D912,MAX($C$903:$C$904)&lt;=D913),1,0)</f>
        <v>1</v>
      </c>
      <c r="E911" s="712">
        <f t="shared" ref="E911:O911" si="172">IF(AND(MAX($C$903:$C$904)&gt;E912,MAX($C$903:$C$904)&lt;=E913),1,0)</f>
        <v>0</v>
      </c>
      <c r="F911" s="712">
        <f t="shared" si="172"/>
        <v>0</v>
      </c>
      <c r="G911" s="712">
        <f t="shared" si="172"/>
        <v>0</v>
      </c>
      <c r="H911" s="712">
        <f t="shared" si="172"/>
        <v>0</v>
      </c>
      <c r="I911" s="712">
        <f t="shared" si="172"/>
        <v>0</v>
      </c>
      <c r="J911" s="712">
        <f t="shared" si="172"/>
        <v>0</v>
      </c>
      <c r="K911" s="712">
        <f t="shared" si="172"/>
        <v>0</v>
      </c>
      <c r="L911" s="712">
        <f t="shared" si="172"/>
        <v>0</v>
      </c>
      <c r="M911" s="712">
        <f t="shared" si="172"/>
        <v>0</v>
      </c>
      <c r="N911" s="712">
        <f t="shared" si="172"/>
        <v>0</v>
      </c>
      <c r="O911" s="664">
        <f t="shared" si="172"/>
        <v>0</v>
      </c>
      <c r="Y911" s="626"/>
    </row>
    <row r="912" spans="1:25" s="426" customFormat="1" ht="12.75" x14ac:dyDescent="0.2">
      <c r="A912" s="428"/>
      <c r="C912" s="710"/>
      <c r="D912" s="701">
        <v>0</v>
      </c>
      <c r="E912" s="701">
        <v>1200</v>
      </c>
      <c r="F912" s="701">
        <v>1600</v>
      </c>
      <c r="G912" s="701">
        <v>2000</v>
      </c>
      <c r="H912" s="701">
        <v>2400</v>
      </c>
      <c r="I912" s="701">
        <v>2800</v>
      </c>
      <c r="J912" s="701">
        <v>3200</v>
      </c>
      <c r="K912" s="701">
        <v>3600</v>
      </c>
      <c r="L912" s="701">
        <v>4000</v>
      </c>
      <c r="M912" s="701">
        <v>4400</v>
      </c>
      <c r="N912" s="701">
        <v>4800</v>
      </c>
      <c r="O912" s="663">
        <v>5200</v>
      </c>
      <c r="Y912" s="626"/>
    </row>
    <row r="913" spans="1:25" s="426" customFormat="1" ht="12.75" x14ac:dyDescent="0.2">
      <c r="A913" s="429"/>
      <c r="B913" s="430"/>
      <c r="C913" s="711"/>
      <c r="D913" s="651">
        <v>1200</v>
      </c>
      <c r="E913" s="651">
        <v>1600</v>
      </c>
      <c r="F913" s="651">
        <v>2000</v>
      </c>
      <c r="G913" s="651">
        <v>2400</v>
      </c>
      <c r="H913" s="651">
        <v>2800</v>
      </c>
      <c r="I913" s="651">
        <v>3200</v>
      </c>
      <c r="J913" s="651">
        <v>3600</v>
      </c>
      <c r="K913" s="651">
        <v>4000</v>
      </c>
      <c r="L913" s="651">
        <v>4400</v>
      </c>
      <c r="M913" s="651">
        <v>4800</v>
      </c>
      <c r="N913" s="651">
        <v>5200</v>
      </c>
      <c r="O913" s="702">
        <v>6500</v>
      </c>
      <c r="Y913" s="626"/>
    </row>
    <row r="914" spans="1:25" s="426" customFormat="1" ht="12.75" x14ac:dyDescent="0.2">
      <c r="A914" s="150">
        <f>IF(AND(MIN($C$903:$C$904)&gt;B914,MIN($C$903:$C$904)&lt;=C914),1,0)</f>
        <v>1</v>
      </c>
      <c r="B914" s="725">
        <v>0</v>
      </c>
      <c r="C914" s="734">
        <v>800</v>
      </c>
      <c r="D914" s="771">
        <v>1</v>
      </c>
      <c r="E914" s="772">
        <v>1.5</v>
      </c>
      <c r="F914" s="772">
        <v>1.7</v>
      </c>
      <c r="G914" s="772">
        <v>1.8</v>
      </c>
      <c r="H914" s="772">
        <v>1.9</v>
      </c>
      <c r="I914" s="772">
        <v>2</v>
      </c>
      <c r="J914" s="772">
        <v>2.2000000000000002</v>
      </c>
      <c r="K914" s="772">
        <v>2.2999999999999998</v>
      </c>
      <c r="L914" s="772">
        <v>2.4</v>
      </c>
      <c r="M914" s="772">
        <v>2.5</v>
      </c>
      <c r="N914" s="772">
        <v>2.8</v>
      </c>
      <c r="O914" s="773">
        <v>3</v>
      </c>
      <c r="Y914" s="626"/>
    </row>
    <row r="915" spans="1:25" s="426" customFormat="1" ht="12.75" x14ac:dyDescent="0.2">
      <c r="A915" s="150">
        <f t="shared" ref="A915:A918" si="173">IF(AND(MIN($C$903:$C$904)&gt;B915,MIN($C$903:$C$904)&lt;=C915),1,0)</f>
        <v>0</v>
      </c>
      <c r="B915" s="725">
        <v>800</v>
      </c>
      <c r="C915" s="734">
        <v>1200</v>
      </c>
      <c r="D915" s="774">
        <v>1.5</v>
      </c>
      <c r="E915" s="775">
        <v>1.7</v>
      </c>
      <c r="F915" s="775">
        <v>1.8</v>
      </c>
      <c r="G915" s="775">
        <v>1.9</v>
      </c>
      <c r="H915" s="775">
        <v>2</v>
      </c>
      <c r="I915" s="775">
        <v>2.1</v>
      </c>
      <c r="J915" s="775">
        <v>2.2999999999999998</v>
      </c>
      <c r="K915" s="775">
        <v>2.5</v>
      </c>
      <c r="L915" s="775">
        <v>2.7</v>
      </c>
      <c r="M915" s="775">
        <v>2.8</v>
      </c>
      <c r="N915" s="775">
        <v>3.2</v>
      </c>
      <c r="O915" s="776">
        <v>3.3</v>
      </c>
      <c r="Y915" s="626"/>
    </row>
    <row r="916" spans="1:25" s="426" customFormat="1" ht="12.75" x14ac:dyDescent="0.2">
      <c r="A916" s="150">
        <f t="shared" si="173"/>
        <v>0</v>
      </c>
      <c r="B916" s="725">
        <v>1200</v>
      </c>
      <c r="C916" s="734">
        <v>1600</v>
      </c>
      <c r="D916" s="774">
        <v>1.7</v>
      </c>
      <c r="E916" s="775">
        <v>1.8</v>
      </c>
      <c r="F916" s="775">
        <v>1.9</v>
      </c>
      <c r="G916" s="775">
        <v>2</v>
      </c>
      <c r="H916" s="775">
        <v>2.2000000000000002</v>
      </c>
      <c r="I916" s="775">
        <v>2.2999999999999998</v>
      </c>
      <c r="J916" s="775">
        <v>2.5</v>
      </c>
      <c r="K916" s="775">
        <v>2.7</v>
      </c>
      <c r="L916" s="775">
        <v>3</v>
      </c>
      <c r="M916" s="775">
        <v>3.7</v>
      </c>
      <c r="N916" s="775">
        <v>3.8</v>
      </c>
      <c r="O916" s="776">
        <v>4</v>
      </c>
      <c r="Y916" s="626"/>
    </row>
    <row r="917" spans="1:25" s="426" customFormat="1" ht="12.75" x14ac:dyDescent="0.2">
      <c r="A917" s="150">
        <f t="shared" si="173"/>
        <v>0</v>
      </c>
      <c r="B917" s="725">
        <v>1600</v>
      </c>
      <c r="C917" s="734">
        <v>2000</v>
      </c>
      <c r="D917" s="774">
        <v>1.8</v>
      </c>
      <c r="E917" s="775">
        <v>1.9</v>
      </c>
      <c r="F917" s="775">
        <v>2.1</v>
      </c>
      <c r="G917" s="775">
        <v>2.2000000000000002</v>
      </c>
      <c r="H917" s="775">
        <v>2.4</v>
      </c>
      <c r="I917" s="775">
        <v>2.5</v>
      </c>
      <c r="J917" s="775">
        <v>2.7</v>
      </c>
      <c r="K917" s="775">
        <v>2.9</v>
      </c>
      <c r="L917" s="775">
        <v>3.2</v>
      </c>
      <c r="M917" s="775">
        <v>3.8</v>
      </c>
      <c r="N917" s="775">
        <v>4.2</v>
      </c>
      <c r="O917" s="776">
        <v>4.2</v>
      </c>
      <c r="Y917" s="626"/>
    </row>
    <row r="918" spans="1:25" s="426" customFormat="1" ht="12.75" x14ac:dyDescent="0.2">
      <c r="A918" s="145">
        <f t="shared" si="173"/>
        <v>0</v>
      </c>
      <c r="B918" s="658">
        <v>2000</v>
      </c>
      <c r="C918" s="702">
        <v>2500</v>
      </c>
      <c r="D918" s="774">
        <v>2</v>
      </c>
      <c r="E918" s="775">
        <v>2.1</v>
      </c>
      <c r="F918" s="775">
        <v>2.2000000000000002</v>
      </c>
      <c r="G918" s="775">
        <v>2.5</v>
      </c>
      <c r="H918" s="775">
        <v>2.6</v>
      </c>
      <c r="I918" s="775">
        <v>2.7</v>
      </c>
      <c r="J918" s="775">
        <v>2.9</v>
      </c>
      <c r="K918" s="775">
        <v>3.2</v>
      </c>
      <c r="L918" s="775">
        <v>3.5</v>
      </c>
      <c r="M918" s="775">
        <v>4</v>
      </c>
      <c r="N918" s="775">
        <v>4.4000000000000004</v>
      </c>
      <c r="O918" s="776">
        <v>4.8</v>
      </c>
      <c r="Y918" s="626"/>
    </row>
    <row r="919" spans="1:25" s="426" customFormat="1" ht="12.75" x14ac:dyDescent="0.2">
      <c r="A919" s="652"/>
      <c r="B919" s="653"/>
      <c r="C919" s="653"/>
      <c r="D919" s="768">
        <f>IF(SUM($A$914:$A$918)&gt;0,VLOOKUP(1,$A$914:$O$918,D910,FALSE),0)</f>
        <v>1</v>
      </c>
      <c r="E919" s="712">
        <f t="shared" ref="E919:O919" si="174">IF(SUM($A$914:$A$918)&gt;0,VLOOKUP(1,$A$914:$O$918,E910,FALSE),0)</f>
        <v>1.5</v>
      </c>
      <c r="F919" s="712">
        <f t="shared" si="174"/>
        <v>1.7</v>
      </c>
      <c r="G919" s="712">
        <f t="shared" si="174"/>
        <v>1.8</v>
      </c>
      <c r="H919" s="712">
        <f t="shared" si="174"/>
        <v>1.9</v>
      </c>
      <c r="I919" s="712">
        <f t="shared" si="174"/>
        <v>2</v>
      </c>
      <c r="J919" s="712">
        <f t="shared" si="174"/>
        <v>2.2000000000000002</v>
      </c>
      <c r="K919" s="712">
        <f t="shared" si="174"/>
        <v>2.2999999999999998</v>
      </c>
      <c r="L919" s="712">
        <f t="shared" si="174"/>
        <v>2.4</v>
      </c>
      <c r="M919" s="712">
        <f t="shared" si="174"/>
        <v>2.5</v>
      </c>
      <c r="N919" s="712">
        <f t="shared" si="174"/>
        <v>2.8</v>
      </c>
      <c r="O919" s="664">
        <f t="shared" si="174"/>
        <v>3</v>
      </c>
      <c r="Y919" s="626"/>
    </row>
    <row r="920" spans="1:25" s="426" customFormat="1" ht="12.75" x14ac:dyDescent="0.2">
      <c r="B920" s="615"/>
      <c r="Y920" s="626"/>
    </row>
    <row r="921" spans="1:25" s="426" customFormat="1" ht="12.75" x14ac:dyDescent="0.2">
      <c r="B921" s="615"/>
      <c r="Y921" s="626"/>
    </row>
    <row r="922" spans="1:25" s="426" customFormat="1" ht="12.75" x14ac:dyDescent="0.2">
      <c r="A922" s="626">
        <f>IF(C896=1,1,0)</f>
        <v>0</v>
      </c>
      <c r="B922" s="615" t="s">
        <v>811</v>
      </c>
      <c r="C922" s="626">
        <f>IF(A922=1,HLOOKUP(1,D911:O919,9,FALSE),0)</f>
        <v>0</v>
      </c>
      <c r="D922" s="426" t="s">
        <v>812</v>
      </c>
      <c r="Y922" s="626"/>
    </row>
    <row r="923" spans="1:25" s="426" customFormat="1" ht="12.75" x14ac:dyDescent="0.2">
      <c r="A923" s="626"/>
      <c r="B923" s="615" t="s">
        <v>813</v>
      </c>
      <c r="C923" s="626">
        <f>C922*C907</f>
        <v>0</v>
      </c>
      <c r="D923" s="426" t="s">
        <v>691</v>
      </c>
      <c r="Y923" s="626"/>
    </row>
    <row r="924" spans="1:25" s="426" customFormat="1" ht="12.75" x14ac:dyDescent="0.2">
      <c r="B924" s="615"/>
      <c r="Y924" s="626"/>
    </row>
    <row r="925" spans="1:25" s="426" customFormat="1" ht="12.75" x14ac:dyDescent="0.2">
      <c r="A925" s="626">
        <f>IF(C896=1,1,0)</f>
        <v>0</v>
      </c>
      <c r="B925" s="615" t="s">
        <v>814</v>
      </c>
      <c r="C925" s="669">
        <f>IF(A925=1,C923*D899,0)</f>
        <v>0</v>
      </c>
      <c r="Y925" s="626"/>
    </row>
    <row r="926" spans="1:25" s="426" customFormat="1" ht="12.75" x14ac:dyDescent="0.2">
      <c r="B926" s="615"/>
      <c r="Y926" s="626"/>
    </row>
    <row r="927" spans="1:25" s="430" customFormat="1" ht="12.75" x14ac:dyDescent="0.2">
      <c r="B927" s="678"/>
      <c r="Y927" s="651"/>
    </row>
    <row r="928" spans="1:25" s="426" customFormat="1" ht="12.75" x14ac:dyDescent="0.2">
      <c r="B928" s="615"/>
      <c r="Y928" s="626"/>
    </row>
    <row r="929" spans="1:25" s="426" customFormat="1" ht="12.75" x14ac:dyDescent="0.2">
      <c r="B929" s="615"/>
      <c r="Y929" s="626"/>
    </row>
    <row r="930" spans="1:25" s="426" customFormat="1" ht="13.5" thickBot="1" x14ac:dyDescent="0.25">
      <c r="B930" s="615"/>
      <c r="D930" s="626" t="s">
        <v>674</v>
      </c>
      <c r="Y930" s="626"/>
    </row>
    <row r="931" spans="1:25" s="426" customFormat="1" ht="13.5" thickBot="1" x14ac:dyDescent="0.25">
      <c r="B931" s="641" t="s">
        <v>669</v>
      </c>
      <c r="C931" s="643">
        <f>J371</f>
        <v>0</v>
      </c>
      <c r="D931" s="642">
        <f>IF(C931=1,C967,0)</f>
        <v>0</v>
      </c>
      <c r="Y931" s="626"/>
    </row>
    <row r="932" spans="1:25" s="426" customFormat="1" ht="12.75" x14ac:dyDescent="0.2">
      <c r="Y932" s="626"/>
    </row>
    <row r="933" spans="1:25" s="426" customFormat="1" ht="12.75" x14ac:dyDescent="0.2">
      <c r="Y933" s="626"/>
    </row>
    <row r="934" spans="1:25" s="426" customFormat="1" ht="12.75" x14ac:dyDescent="0.2">
      <c r="B934" s="426" t="s">
        <v>758</v>
      </c>
      <c r="C934" s="633">
        <f>'Tarieven (4)'!C9</f>
        <v>94</v>
      </c>
      <c r="D934" s="633">
        <f>C934/60</f>
        <v>1.5666666666666667</v>
      </c>
      <c r="E934" s="669"/>
      <c r="F934" s="669"/>
      <c r="Y934" s="626"/>
    </row>
    <row r="935" spans="1:25" s="426" customFormat="1" ht="12.75" x14ac:dyDescent="0.2">
      <c r="C935" s="704"/>
      <c r="D935" s="704"/>
      <c r="Y935" s="626"/>
    </row>
    <row r="936" spans="1:25" s="426" customFormat="1" ht="12.75" x14ac:dyDescent="0.2">
      <c r="B936" s="426" t="s">
        <v>826</v>
      </c>
      <c r="C936" s="705">
        <v>10</v>
      </c>
      <c r="D936" s="704" t="s">
        <v>683</v>
      </c>
      <c r="Y936" s="626"/>
    </row>
    <row r="937" spans="1:25" s="426" customFormat="1" ht="12.75" x14ac:dyDescent="0.2">
      <c r="C937" s="626"/>
      <c r="Y937" s="626"/>
    </row>
    <row r="938" spans="1:25" s="426" customFormat="1" ht="12.75" x14ac:dyDescent="0.2">
      <c r="B938" s="426" t="s">
        <v>821</v>
      </c>
      <c r="C938" s="626">
        <f>C6+C7</f>
        <v>550</v>
      </c>
      <c r="D938" s="426" t="s">
        <v>25</v>
      </c>
      <c r="Y938" s="626"/>
    </row>
    <row r="939" spans="1:25" s="426" customFormat="1" ht="12.75" x14ac:dyDescent="0.2">
      <c r="B939" s="426" t="s">
        <v>817</v>
      </c>
      <c r="C939" s="626">
        <f>C108</f>
        <v>361</v>
      </c>
      <c r="D939" s="426" t="s">
        <v>25</v>
      </c>
      <c r="Y939" s="626"/>
    </row>
    <row r="940" spans="1:25" s="426" customFormat="1" ht="12.75" x14ac:dyDescent="0.2">
      <c r="Y940" s="626"/>
    </row>
    <row r="941" spans="1:25" s="426" customFormat="1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Y941" s="626"/>
    </row>
    <row r="942" spans="1:25" s="426" customFormat="1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Y942" s="626"/>
    </row>
    <row r="943" spans="1:25" s="426" customFormat="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 s="426" t="s">
        <v>820</v>
      </c>
      <c r="Y943" s="626"/>
    </row>
    <row r="944" spans="1:25" s="426" customFormat="1" x14ac:dyDescent="0.25">
      <c r="A944" s="77" t="s">
        <v>816</v>
      </c>
      <c r="B944"/>
      <c r="C944" s="208">
        <v>3</v>
      </c>
      <c r="D944" s="23">
        <v>4</v>
      </c>
      <c r="E944" s="23">
        <v>5</v>
      </c>
      <c r="F944" s="23">
        <v>6</v>
      </c>
      <c r="G944" s="23">
        <v>7</v>
      </c>
      <c r="H944" s="23">
        <v>8</v>
      </c>
      <c r="I944" s="23">
        <v>9</v>
      </c>
      <c r="J944" s="23">
        <v>10</v>
      </c>
      <c r="K944" s="23">
        <v>11</v>
      </c>
      <c r="L944" s="23">
        <v>12</v>
      </c>
      <c r="M944" s="38">
        <v>13</v>
      </c>
      <c r="N944"/>
      <c r="O944" s="708"/>
      <c r="P944" s="427"/>
      <c r="Q944" s="427"/>
      <c r="R944" s="767">
        <v>4</v>
      </c>
      <c r="S944" s="701">
        <v>5</v>
      </c>
      <c r="T944" s="701">
        <v>6</v>
      </c>
      <c r="U944" s="701">
        <v>7</v>
      </c>
      <c r="V944" s="701">
        <v>8</v>
      </c>
      <c r="W944" s="663">
        <v>9</v>
      </c>
      <c r="Y944" s="626"/>
    </row>
    <row r="945" spans="1:25" s="426" customFormat="1" x14ac:dyDescent="0.25">
      <c r="A945" s="289"/>
      <c r="B945" s="44"/>
      <c r="C945" s="473">
        <f>IF(AND($C$939&gt;C946,$C$939&lt;=C947),1,0)</f>
        <v>0</v>
      </c>
      <c r="D945" s="473">
        <f t="shared" ref="D945:M945" si="175">IF(AND($C$939&gt;D946,$C$939&lt;=D947),1,0)</f>
        <v>1</v>
      </c>
      <c r="E945" s="473">
        <f t="shared" si="175"/>
        <v>0</v>
      </c>
      <c r="F945" s="473">
        <f t="shared" si="175"/>
        <v>0</v>
      </c>
      <c r="G945" s="473">
        <f t="shared" si="175"/>
        <v>0</v>
      </c>
      <c r="H945" s="473">
        <f t="shared" si="175"/>
        <v>0</v>
      </c>
      <c r="I945" s="473">
        <f t="shared" si="175"/>
        <v>0</v>
      </c>
      <c r="J945" s="473">
        <f t="shared" si="175"/>
        <v>0</v>
      </c>
      <c r="K945" s="473">
        <f t="shared" si="175"/>
        <v>0</v>
      </c>
      <c r="L945" s="473">
        <f t="shared" si="175"/>
        <v>0</v>
      </c>
      <c r="M945" s="473">
        <f t="shared" si="175"/>
        <v>0</v>
      </c>
      <c r="N945"/>
      <c r="O945" s="428"/>
      <c r="R945" s="768">
        <f>IF(AND($C$938&gt;R946,$C$938&lt;=R947),1,0)</f>
        <v>0</v>
      </c>
      <c r="S945" s="768">
        <f t="shared" ref="S945:W945" si="176">IF(AND($C$938&gt;S946,$C$938&lt;=S947),1,0)</f>
        <v>1</v>
      </c>
      <c r="T945" s="768">
        <f t="shared" si="176"/>
        <v>0</v>
      </c>
      <c r="U945" s="768">
        <f t="shared" si="176"/>
        <v>0</v>
      </c>
      <c r="V945" s="768">
        <f t="shared" si="176"/>
        <v>0</v>
      </c>
      <c r="W945" s="634">
        <f t="shared" si="176"/>
        <v>0</v>
      </c>
      <c r="Y945" s="626"/>
    </row>
    <row r="946" spans="1:25" s="426" customFormat="1" x14ac:dyDescent="0.25">
      <c r="A946" s="476"/>
      <c r="B946" s="433"/>
      <c r="C946" s="442">
        <v>0</v>
      </c>
      <c r="D946" s="442">
        <v>250</v>
      </c>
      <c r="E946" s="442">
        <v>500</v>
      </c>
      <c r="F946" s="442">
        <v>750</v>
      </c>
      <c r="G946" s="442">
        <v>1000</v>
      </c>
      <c r="H946" s="442">
        <v>1250</v>
      </c>
      <c r="I946" s="442">
        <v>1500</v>
      </c>
      <c r="J946" s="442">
        <v>1750</v>
      </c>
      <c r="K946" s="442">
        <v>2000</v>
      </c>
      <c r="L946" s="442">
        <v>2250</v>
      </c>
      <c r="M946" s="442">
        <v>2500</v>
      </c>
      <c r="N946"/>
      <c r="O946" s="428"/>
      <c r="R946" s="661">
        <v>0</v>
      </c>
      <c r="S946" s="701">
        <v>500</v>
      </c>
      <c r="T946" s="661">
        <v>1000</v>
      </c>
      <c r="U946" s="701">
        <v>1500</v>
      </c>
      <c r="V946" s="661">
        <v>2000</v>
      </c>
      <c r="W946" s="663">
        <v>2500</v>
      </c>
      <c r="Y946" s="626"/>
    </row>
    <row r="947" spans="1:25" s="426" customFormat="1" x14ac:dyDescent="0.25">
      <c r="A947" s="6"/>
      <c r="B947" s="434"/>
      <c r="C947" s="13">
        <v>250</v>
      </c>
      <c r="D947" s="13">
        <v>500</v>
      </c>
      <c r="E947" s="13">
        <v>750</v>
      </c>
      <c r="F947" s="13">
        <v>1000</v>
      </c>
      <c r="G947" s="13">
        <v>1250</v>
      </c>
      <c r="H947" s="13">
        <v>1500</v>
      </c>
      <c r="I947" s="13">
        <v>1750</v>
      </c>
      <c r="J947" s="13">
        <v>2000</v>
      </c>
      <c r="K947" s="13">
        <v>2250</v>
      </c>
      <c r="L947" s="13">
        <v>2500</v>
      </c>
      <c r="M947" s="13">
        <v>99999</v>
      </c>
      <c r="N947"/>
      <c r="O947" s="428"/>
      <c r="R947" s="145">
        <v>500</v>
      </c>
      <c r="S947" s="651">
        <v>1000</v>
      </c>
      <c r="T947" s="145">
        <v>1500</v>
      </c>
      <c r="U947" s="651">
        <v>2000</v>
      </c>
      <c r="V947" s="145">
        <v>2500</v>
      </c>
      <c r="W947" s="702">
        <v>999999</v>
      </c>
      <c r="Y947" s="626"/>
    </row>
    <row r="948" spans="1:25" s="426" customFormat="1" x14ac:dyDescent="0.25">
      <c r="A948" s="442">
        <f>IF($C$4=B948,1,0)</f>
        <v>0</v>
      </c>
      <c r="B948" s="777" t="s">
        <v>30</v>
      </c>
      <c r="C948" s="486">
        <v>800</v>
      </c>
      <c r="D948" s="486">
        <v>775</v>
      </c>
      <c r="E948" s="486">
        <v>750</v>
      </c>
      <c r="F948" s="486">
        <v>700</v>
      </c>
      <c r="G948" s="486">
        <v>650</v>
      </c>
      <c r="H948" s="486">
        <v>600</v>
      </c>
      <c r="I948" s="486">
        <v>575</v>
      </c>
      <c r="J948" s="486">
        <v>550</v>
      </c>
      <c r="K948" s="486">
        <v>525</v>
      </c>
      <c r="L948" s="486">
        <v>500</v>
      </c>
      <c r="M948" s="486">
        <v>450</v>
      </c>
      <c r="N948"/>
      <c r="O948" s="661">
        <f>IF(AND($C$939&gt;P948,$C$939&lt;=Q948),1,0)</f>
        <v>1</v>
      </c>
      <c r="P948" s="701">
        <v>0</v>
      </c>
      <c r="Q948" s="701">
        <v>500</v>
      </c>
      <c r="R948" s="786">
        <v>0.85</v>
      </c>
      <c r="S948" s="780">
        <v>0.83</v>
      </c>
      <c r="T948" s="786">
        <v>0.81</v>
      </c>
      <c r="U948" s="780">
        <v>0.79</v>
      </c>
      <c r="V948" s="786">
        <v>0.77</v>
      </c>
      <c r="W948" s="781">
        <v>0.75</v>
      </c>
      <c r="Y948" s="626"/>
    </row>
    <row r="949" spans="1:25" s="426" customFormat="1" x14ac:dyDescent="0.25">
      <c r="A949" s="12">
        <f t="shared" ref="A949:A956" si="177">IF($C$4=B949,1,0)</f>
        <v>1</v>
      </c>
      <c r="B949" s="778" t="s">
        <v>31</v>
      </c>
      <c r="C949" s="28">
        <v>800</v>
      </c>
      <c r="D949" s="28">
        <v>775</v>
      </c>
      <c r="E949" s="28">
        <v>750</v>
      </c>
      <c r="F949" s="28">
        <v>700</v>
      </c>
      <c r="G949" s="28">
        <v>650</v>
      </c>
      <c r="H949" s="28">
        <v>600</v>
      </c>
      <c r="I949" s="28">
        <v>575</v>
      </c>
      <c r="J949" s="28">
        <v>550</v>
      </c>
      <c r="K949" s="28">
        <v>525</v>
      </c>
      <c r="L949" s="28">
        <v>500</v>
      </c>
      <c r="M949" s="28">
        <v>450</v>
      </c>
      <c r="N949"/>
      <c r="O949" s="150">
        <f t="shared" ref="O949:O957" si="178">IF(AND($C$939&gt;P949,$C$939&lt;=Q949),1,0)</f>
        <v>0</v>
      </c>
      <c r="P949" s="626">
        <v>500</v>
      </c>
      <c r="Q949" s="626">
        <v>750</v>
      </c>
      <c r="R949" s="787">
        <v>0.85</v>
      </c>
      <c r="S949" s="782">
        <v>0.83</v>
      </c>
      <c r="T949" s="787">
        <v>0.81</v>
      </c>
      <c r="U949" s="782">
        <v>0.79</v>
      </c>
      <c r="V949" s="787">
        <v>0.77</v>
      </c>
      <c r="W949" s="783">
        <v>0.75</v>
      </c>
      <c r="Y949" s="626"/>
    </row>
    <row r="950" spans="1:25" s="426" customFormat="1" x14ac:dyDescent="0.25">
      <c r="A950" s="13">
        <f t="shared" si="177"/>
        <v>0</v>
      </c>
      <c r="B950" s="778" t="s">
        <v>32</v>
      </c>
      <c r="C950" s="34">
        <v>800</v>
      </c>
      <c r="D950" s="34">
        <v>775</v>
      </c>
      <c r="E950" s="34">
        <v>750</v>
      </c>
      <c r="F950" s="34">
        <v>700</v>
      </c>
      <c r="G950" s="34">
        <v>650</v>
      </c>
      <c r="H950" s="34">
        <v>600</v>
      </c>
      <c r="I950" s="34">
        <v>575</v>
      </c>
      <c r="J950" s="34">
        <v>550</v>
      </c>
      <c r="K950" s="34">
        <v>525</v>
      </c>
      <c r="L950" s="34">
        <v>500</v>
      </c>
      <c r="M950" s="34">
        <v>450</v>
      </c>
      <c r="N950"/>
      <c r="O950" s="150">
        <f t="shared" si="178"/>
        <v>0</v>
      </c>
      <c r="P950" s="626">
        <v>750</v>
      </c>
      <c r="Q950" s="626">
        <v>1000</v>
      </c>
      <c r="R950" s="787">
        <v>0.84</v>
      </c>
      <c r="S950" s="782">
        <v>0.82</v>
      </c>
      <c r="T950" s="787">
        <v>0.81</v>
      </c>
      <c r="U950" s="782">
        <v>0.78</v>
      </c>
      <c r="V950" s="787">
        <v>0.76</v>
      </c>
      <c r="W950" s="783">
        <v>0.74</v>
      </c>
      <c r="Y950" s="626"/>
    </row>
    <row r="951" spans="1:25" s="426" customFormat="1" x14ac:dyDescent="0.25">
      <c r="A951" s="12">
        <f t="shared" si="177"/>
        <v>0</v>
      </c>
      <c r="B951" s="777" t="s">
        <v>36</v>
      </c>
      <c r="C951" s="28">
        <v>700</v>
      </c>
      <c r="D951" s="28">
        <v>675</v>
      </c>
      <c r="E951" s="28">
        <v>650</v>
      </c>
      <c r="F951" s="28">
        <v>600</v>
      </c>
      <c r="G951" s="28">
        <v>550</v>
      </c>
      <c r="H951" s="28">
        <v>500</v>
      </c>
      <c r="I951" s="28">
        <v>475</v>
      </c>
      <c r="J951" s="28">
        <v>450</v>
      </c>
      <c r="K951" s="28">
        <v>425</v>
      </c>
      <c r="L951" s="28">
        <v>400</v>
      </c>
      <c r="M951" s="28">
        <v>350</v>
      </c>
      <c r="N951"/>
      <c r="O951" s="150">
        <f t="shared" si="178"/>
        <v>0</v>
      </c>
      <c r="P951" s="626">
        <v>1000</v>
      </c>
      <c r="Q951" s="626">
        <v>1250</v>
      </c>
      <c r="R951" s="787">
        <v>0.84</v>
      </c>
      <c r="S951" s="782">
        <v>0.82</v>
      </c>
      <c r="T951" s="787">
        <v>0.8</v>
      </c>
      <c r="U951" s="782">
        <v>0.78</v>
      </c>
      <c r="V951" s="787">
        <v>0.76</v>
      </c>
      <c r="W951" s="783">
        <v>0.74</v>
      </c>
      <c r="Y951" s="626"/>
    </row>
    <row r="952" spans="1:25" s="426" customFormat="1" x14ac:dyDescent="0.25">
      <c r="A952" s="12">
        <f t="shared" si="177"/>
        <v>0</v>
      </c>
      <c r="B952" s="778" t="s">
        <v>34</v>
      </c>
      <c r="C952" s="28">
        <v>700</v>
      </c>
      <c r="D952" s="28">
        <v>675</v>
      </c>
      <c r="E952" s="28">
        <v>650</v>
      </c>
      <c r="F952" s="28">
        <v>600</v>
      </c>
      <c r="G952" s="28">
        <v>550</v>
      </c>
      <c r="H952" s="28">
        <v>500</v>
      </c>
      <c r="I952" s="28">
        <v>475</v>
      </c>
      <c r="J952" s="28">
        <v>450</v>
      </c>
      <c r="K952" s="28">
        <v>425</v>
      </c>
      <c r="L952" s="28">
        <v>400</v>
      </c>
      <c r="M952" s="28">
        <v>350</v>
      </c>
      <c r="N952"/>
      <c r="O952" s="150">
        <f t="shared" si="178"/>
        <v>0</v>
      </c>
      <c r="P952" s="626">
        <v>1250</v>
      </c>
      <c r="Q952" s="626">
        <v>1500</v>
      </c>
      <c r="R952" s="787">
        <v>0.83</v>
      </c>
      <c r="S952" s="782">
        <v>0.82</v>
      </c>
      <c r="T952" s="787">
        <v>0.79</v>
      </c>
      <c r="U952" s="782">
        <v>0.77</v>
      </c>
      <c r="V952" s="787">
        <v>0.75</v>
      </c>
      <c r="W952" s="783">
        <v>0.73</v>
      </c>
      <c r="Y952" s="626"/>
    </row>
    <row r="953" spans="1:25" s="426" customFormat="1" x14ac:dyDescent="0.25">
      <c r="A953" s="12">
        <f t="shared" si="177"/>
        <v>0</v>
      </c>
      <c r="B953" s="778" t="s">
        <v>33</v>
      </c>
      <c r="C953" s="28">
        <v>700</v>
      </c>
      <c r="D953" s="28">
        <v>675</v>
      </c>
      <c r="E953" s="28">
        <v>650</v>
      </c>
      <c r="F953" s="28">
        <v>600</v>
      </c>
      <c r="G953" s="28">
        <v>550</v>
      </c>
      <c r="H953" s="28">
        <v>500</v>
      </c>
      <c r="I953" s="28">
        <v>475</v>
      </c>
      <c r="J953" s="28">
        <v>450</v>
      </c>
      <c r="K953" s="28">
        <v>425</v>
      </c>
      <c r="L953" s="28">
        <v>400</v>
      </c>
      <c r="M953" s="28">
        <v>350</v>
      </c>
      <c r="N953"/>
      <c r="O953" s="150">
        <f t="shared" si="178"/>
        <v>0</v>
      </c>
      <c r="P953" s="626">
        <v>1500</v>
      </c>
      <c r="Q953" s="626">
        <v>1750</v>
      </c>
      <c r="R953" s="787">
        <v>0.83</v>
      </c>
      <c r="S953" s="782">
        <v>0.81</v>
      </c>
      <c r="T953" s="787">
        <v>0.79</v>
      </c>
      <c r="U953" s="782">
        <v>0.76</v>
      </c>
      <c r="V953" s="787">
        <v>0.75</v>
      </c>
      <c r="W953" s="783">
        <v>0.73</v>
      </c>
      <c r="Y953" s="626"/>
    </row>
    <row r="954" spans="1:25" s="426" customFormat="1" x14ac:dyDescent="0.25">
      <c r="A954" s="12">
        <f t="shared" si="177"/>
        <v>0</v>
      </c>
      <c r="B954" s="778" t="s">
        <v>35</v>
      </c>
      <c r="C954" s="28">
        <v>700</v>
      </c>
      <c r="D954" s="28">
        <v>675</v>
      </c>
      <c r="E954" s="28">
        <v>650</v>
      </c>
      <c r="F954" s="28">
        <v>600</v>
      </c>
      <c r="G954" s="28">
        <v>550</v>
      </c>
      <c r="H954" s="28">
        <v>500</v>
      </c>
      <c r="I954" s="28">
        <v>475</v>
      </c>
      <c r="J954" s="28">
        <v>450</v>
      </c>
      <c r="K954" s="28">
        <v>425</v>
      </c>
      <c r="L954" s="28">
        <v>400</v>
      </c>
      <c r="M954" s="28">
        <v>350</v>
      </c>
      <c r="N954"/>
      <c r="O954" s="150">
        <f t="shared" si="178"/>
        <v>0</v>
      </c>
      <c r="P954" s="626">
        <v>1750</v>
      </c>
      <c r="Q954" s="626">
        <v>2000</v>
      </c>
      <c r="R954" s="787">
        <v>0.82</v>
      </c>
      <c r="S954" s="782">
        <v>0.81</v>
      </c>
      <c r="T954" s="787">
        <v>0.78</v>
      </c>
      <c r="U954" s="782">
        <v>0.76</v>
      </c>
      <c r="V954" s="787">
        <v>0.75</v>
      </c>
      <c r="W954" s="783">
        <v>0.72</v>
      </c>
      <c r="Y954" s="626"/>
    </row>
    <row r="955" spans="1:25" s="426" customFormat="1" x14ac:dyDescent="0.25">
      <c r="A955" s="12">
        <f t="shared" si="177"/>
        <v>0</v>
      </c>
      <c r="B955" s="778" t="s">
        <v>37</v>
      </c>
      <c r="C955" s="28">
        <v>700</v>
      </c>
      <c r="D955" s="28">
        <v>675</v>
      </c>
      <c r="E955" s="28">
        <v>650</v>
      </c>
      <c r="F955" s="28">
        <v>600</v>
      </c>
      <c r="G955" s="28">
        <v>550</v>
      </c>
      <c r="H955" s="28">
        <v>500</v>
      </c>
      <c r="I955" s="28">
        <v>475</v>
      </c>
      <c r="J955" s="28">
        <v>450</v>
      </c>
      <c r="K955" s="28">
        <v>425</v>
      </c>
      <c r="L955" s="28">
        <v>400</v>
      </c>
      <c r="M955" s="28">
        <v>350</v>
      </c>
      <c r="N955"/>
      <c r="O955" s="150">
        <f t="shared" si="178"/>
        <v>0</v>
      </c>
      <c r="P955" s="626">
        <v>2000</v>
      </c>
      <c r="Q955" s="626">
        <v>2250</v>
      </c>
      <c r="R955" s="787">
        <v>0.81</v>
      </c>
      <c r="S955" s="782">
        <v>0.8</v>
      </c>
      <c r="T955" s="787">
        <v>0.77</v>
      </c>
      <c r="U955" s="782">
        <v>0.75</v>
      </c>
      <c r="V955" s="787">
        <v>0.74</v>
      </c>
      <c r="W955" s="783">
        <v>0.72</v>
      </c>
      <c r="Y955" s="626"/>
    </row>
    <row r="956" spans="1:25" s="426" customFormat="1" x14ac:dyDescent="0.25">
      <c r="A956" s="13">
        <f t="shared" si="177"/>
        <v>0</v>
      </c>
      <c r="B956" s="779" t="s">
        <v>38</v>
      </c>
      <c r="C956" s="34">
        <v>700</v>
      </c>
      <c r="D956" s="34">
        <v>675</v>
      </c>
      <c r="E956" s="34">
        <v>650</v>
      </c>
      <c r="F956" s="34">
        <v>600</v>
      </c>
      <c r="G956" s="34">
        <v>550</v>
      </c>
      <c r="H956" s="34">
        <v>500</v>
      </c>
      <c r="I956" s="34">
        <v>475</v>
      </c>
      <c r="J956" s="34">
        <v>450</v>
      </c>
      <c r="K956" s="34">
        <v>425</v>
      </c>
      <c r="L956" s="34">
        <v>400</v>
      </c>
      <c r="M956" s="34">
        <v>350</v>
      </c>
      <c r="N956"/>
      <c r="O956" s="150">
        <f t="shared" si="178"/>
        <v>0</v>
      </c>
      <c r="P956" s="626">
        <v>2250</v>
      </c>
      <c r="Q956" s="626">
        <v>2500</v>
      </c>
      <c r="R956" s="787">
        <v>0.8</v>
      </c>
      <c r="S956" s="782">
        <v>0.78</v>
      </c>
      <c r="T956" s="787">
        <v>0.76</v>
      </c>
      <c r="U956" s="782">
        <v>0.74</v>
      </c>
      <c r="V956" s="787">
        <v>0.73</v>
      </c>
      <c r="W956" s="783">
        <v>0.72</v>
      </c>
      <c r="Y956" s="626"/>
    </row>
    <row r="957" spans="1:25" s="426" customFormat="1" x14ac:dyDescent="0.25">
      <c r="A957" s="415"/>
      <c r="B957" s="44"/>
      <c r="C957" s="473">
        <f>IF(SUM($A$948:$A$956)&gt;0,VLOOKUP(1,$A$948:$M$957,C944,FALSE),0)</f>
        <v>800</v>
      </c>
      <c r="D957" s="473">
        <f t="shared" ref="D957:M957" si="179">IF(SUM($A$948:$A$956)&gt;0,VLOOKUP(1,$A$948:$M$957,D944,FALSE),0)</f>
        <v>775</v>
      </c>
      <c r="E957" s="473">
        <f t="shared" si="179"/>
        <v>750</v>
      </c>
      <c r="F957" s="473">
        <f t="shared" si="179"/>
        <v>700</v>
      </c>
      <c r="G957" s="473">
        <f t="shared" si="179"/>
        <v>650</v>
      </c>
      <c r="H957" s="473">
        <f t="shared" si="179"/>
        <v>600</v>
      </c>
      <c r="I957" s="473">
        <f t="shared" si="179"/>
        <v>575</v>
      </c>
      <c r="J957" s="473">
        <f t="shared" si="179"/>
        <v>550</v>
      </c>
      <c r="K957" s="473">
        <f t="shared" si="179"/>
        <v>525</v>
      </c>
      <c r="L957" s="473">
        <f t="shared" si="179"/>
        <v>500</v>
      </c>
      <c r="M957" s="473">
        <f t="shared" si="179"/>
        <v>450</v>
      </c>
      <c r="N957"/>
      <c r="O957" s="145">
        <f t="shared" si="178"/>
        <v>0</v>
      </c>
      <c r="P957" s="651">
        <v>2500</v>
      </c>
      <c r="Q957" s="651">
        <v>3500</v>
      </c>
      <c r="R957" s="788">
        <v>0.8</v>
      </c>
      <c r="S957" s="784">
        <v>0.78</v>
      </c>
      <c r="T957" s="788">
        <v>0.76</v>
      </c>
      <c r="U957" s="784">
        <v>0.74</v>
      </c>
      <c r="V957" s="788">
        <v>0.72</v>
      </c>
      <c r="W957" s="785">
        <v>0.7</v>
      </c>
      <c r="Y957" s="626"/>
    </row>
    <row r="958" spans="1:25" s="426" customFormat="1" x14ac:dyDescent="0.25">
      <c r="A958"/>
      <c r="B95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/>
      <c r="O958" s="429"/>
      <c r="P958" s="653"/>
      <c r="Q958" s="653"/>
      <c r="R958" s="634">
        <f>IF(SUM($O$948:$O$957)&gt;0,VLOOKUP(1,$O$948:$W$957,R944,FALSE),0)</f>
        <v>0.85</v>
      </c>
      <c r="S958" s="634">
        <f t="shared" ref="S958:W958" si="180">IF(SUM($O$948:$O$957)&gt;0,VLOOKUP(1,$O$948:$W$957,S944,FALSE),0)</f>
        <v>0.83</v>
      </c>
      <c r="T958" s="634">
        <f t="shared" si="180"/>
        <v>0.81</v>
      </c>
      <c r="U958" s="634">
        <f t="shared" si="180"/>
        <v>0.79</v>
      </c>
      <c r="V958" s="634">
        <f t="shared" si="180"/>
        <v>0.77</v>
      </c>
      <c r="W958" s="634">
        <f t="shared" si="180"/>
        <v>0.75</v>
      </c>
      <c r="Y958" s="626"/>
    </row>
    <row r="959" spans="1:25" s="426" customFormat="1" ht="12.75" x14ac:dyDescent="0.2">
      <c r="B959" s="615"/>
      <c r="Y959" s="626"/>
    </row>
    <row r="960" spans="1:25" s="426" customFormat="1" ht="12.75" x14ac:dyDescent="0.2">
      <c r="B960" s="615" t="s">
        <v>823</v>
      </c>
      <c r="C960" s="762">
        <f>IF(SUM(C945:M945)&gt;0,HLOOKUP(1,C945:M957,13,FALSE)/60,0)</f>
        <v>12.916666666666666</v>
      </c>
      <c r="D960" s="426" t="s">
        <v>705</v>
      </c>
      <c r="Y960" s="626"/>
    </row>
    <row r="961" spans="1:25" s="426" customFormat="1" ht="12.75" x14ac:dyDescent="0.2">
      <c r="B961" s="615" t="s">
        <v>822</v>
      </c>
      <c r="C961" s="1210">
        <f>IF(SUM(R945:W945)&gt;0,HLOOKUP(1,R945:W958,14,FALSE),0)</f>
        <v>0.83</v>
      </c>
      <c r="Y961" s="626"/>
    </row>
    <row r="962" spans="1:25" s="426" customFormat="1" ht="12.75" x14ac:dyDescent="0.2">
      <c r="B962" s="615" t="s">
        <v>795</v>
      </c>
      <c r="C962" s="651">
        <f>C961*C960</f>
        <v>10.720833333333331</v>
      </c>
      <c r="D962" s="426" t="s">
        <v>705</v>
      </c>
      <c r="Y962" s="626"/>
    </row>
    <row r="963" spans="1:25" s="426" customFormat="1" ht="12.75" x14ac:dyDescent="0.2">
      <c r="B963" s="615" t="s">
        <v>813</v>
      </c>
      <c r="C963" s="134">
        <f>C3/C962</f>
        <v>45.705402254178011</v>
      </c>
      <c r="D963" s="426" t="s">
        <v>683</v>
      </c>
      <c r="Y963" s="626"/>
    </row>
    <row r="964" spans="1:25" s="426" customFormat="1" ht="12.75" x14ac:dyDescent="0.2">
      <c r="B964" s="615"/>
      <c r="C964" s="134"/>
      <c r="Y964" s="626"/>
    </row>
    <row r="965" spans="1:25" s="426" customFormat="1" ht="12.75" x14ac:dyDescent="0.2">
      <c r="A965" s="626">
        <f>IF(C931=1,1,0)</f>
        <v>0</v>
      </c>
      <c r="B965" s="615" t="s">
        <v>824</v>
      </c>
      <c r="C965" s="1184">
        <f>IF(C931=1,C936*D934,0)</f>
        <v>0</v>
      </c>
      <c r="Y965" s="626"/>
    </row>
    <row r="966" spans="1:25" s="426" customFormat="1" ht="12.75" x14ac:dyDescent="0.2">
      <c r="A966" s="626">
        <f>IF(C931=1,1,0)</f>
        <v>0</v>
      </c>
      <c r="B966" s="615" t="s">
        <v>825</v>
      </c>
      <c r="C966" s="758">
        <f>IF(A966=1,C963*D934,0)</f>
        <v>0</v>
      </c>
      <c r="Y966" s="626"/>
    </row>
    <row r="967" spans="1:25" s="426" customFormat="1" ht="12.75" x14ac:dyDescent="0.2">
      <c r="B967" s="615" t="s">
        <v>177</v>
      </c>
      <c r="C967" s="635">
        <f>SUM(C965:C966)</f>
        <v>0</v>
      </c>
      <c r="Y967" s="626"/>
    </row>
    <row r="968" spans="1:25" s="426" customFormat="1" ht="12.75" x14ac:dyDescent="0.2">
      <c r="B968" s="615"/>
      <c r="Y968" s="626"/>
    </row>
    <row r="969" spans="1:25" s="430" customFormat="1" ht="12.75" x14ac:dyDescent="0.2">
      <c r="B969" s="678"/>
      <c r="Y969" s="651"/>
    </row>
    <row r="970" spans="1:25" s="426" customFormat="1" ht="12.75" x14ac:dyDescent="0.2">
      <c r="B970" s="615"/>
      <c r="Y970" s="626"/>
    </row>
    <row r="971" spans="1:25" s="426" customFormat="1" ht="13.5" thickBot="1" x14ac:dyDescent="0.25">
      <c r="B971" s="615"/>
      <c r="D971" s="626" t="s">
        <v>674</v>
      </c>
      <c r="Y971" s="626"/>
    </row>
    <row r="972" spans="1:25" s="426" customFormat="1" ht="13.5" thickBot="1" x14ac:dyDescent="0.25">
      <c r="B972" s="641" t="s">
        <v>670</v>
      </c>
      <c r="C972" s="643">
        <f>J372</f>
        <v>0</v>
      </c>
      <c r="D972" s="642">
        <f>IF(C972=1,C982,0)</f>
        <v>0</v>
      </c>
      <c r="Y972" s="626"/>
    </row>
    <row r="973" spans="1:25" s="426" customFormat="1" ht="12.75" x14ac:dyDescent="0.2">
      <c r="Y973" s="626"/>
    </row>
    <row r="974" spans="1:25" s="426" customFormat="1" ht="12.75" x14ac:dyDescent="0.2">
      <c r="Y974" s="626"/>
    </row>
    <row r="975" spans="1:25" s="426" customFormat="1" ht="12.75" x14ac:dyDescent="0.2">
      <c r="B975" s="426" t="s">
        <v>827</v>
      </c>
      <c r="C975" s="633">
        <f>'Tarieven (4)'!C12</f>
        <v>37</v>
      </c>
      <c r="D975" s="633">
        <f>C975/60</f>
        <v>0.6166666666666667</v>
      </c>
      <c r="Y975" s="626"/>
    </row>
    <row r="976" spans="1:25" s="426" customFormat="1" ht="12.75" x14ac:dyDescent="0.2">
      <c r="B976" s="615"/>
      <c r="Y976" s="626"/>
    </row>
    <row r="977" spans="1:25" s="426" customFormat="1" ht="12.75" x14ac:dyDescent="0.2">
      <c r="B977" s="615"/>
      <c r="Y977" s="626"/>
    </row>
    <row r="978" spans="1:25" s="426" customFormat="1" ht="12.75" x14ac:dyDescent="0.2">
      <c r="B978" s="615" t="s">
        <v>829</v>
      </c>
      <c r="C978" s="637">
        <v>1500</v>
      </c>
      <c r="D978" s="426" t="s">
        <v>790</v>
      </c>
      <c r="Y978" s="626"/>
    </row>
    <row r="979" spans="1:25" s="426" customFormat="1" ht="12.75" x14ac:dyDescent="0.2">
      <c r="B979" s="615"/>
      <c r="Y979" s="626"/>
    </row>
    <row r="980" spans="1:25" s="426" customFormat="1" ht="12.75" x14ac:dyDescent="0.2">
      <c r="B980" s="615" t="s">
        <v>61</v>
      </c>
      <c r="C980" s="626">
        <f>C3</f>
        <v>490</v>
      </c>
      <c r="D980" s="426" t="s">
        <v>754</v>
      </c>
      <c r="Y980" s="626"/>
    </row>
    <row r="981" spans="1:25" s="426" customFormat="1" ht="12.75" x14ac:dyDescent="0.2">
      <c r="B981" s="615"/>
      <c r="Y981" s="626"/>
    </row>
    <row r="982" spans="1:25" s="426" customFormat="1" ht="12.75" x14ac:dyDescent="0.2">
      <c r="A982" s="626">
        <f>IF(C972=1,1,0)</f>
        <v>0</v>
      </c>
      <c r="B982" s="615" t="s">
        <v>825</v>
      </c>
      <c r="C982" s="669">
        <f>IF(A982=1,(C980/C978)*C975,0)</f>
        <v>0</v>
      </c>
      <c r="Y982" s="626"/>
    </row>
    <row r="983" spans="1:25" s="426" customFormat="1" ht="12.75" x14ac:dyDescent="0.2">
      <c r="B983" s="615"/>
      <c r="Y983" s="626"/>
    </row>
    <row r="984" spans="1:25" s="430" customFormat="1" ht="12.75" x14ac:dyDescent="0.2">
      <c r="B984" s="678"/>
      <c r="Y984" s="651"/>
    </row>
    <row r="985" spans="1:25" s="426" customFormat="1" ht="12.75" x14ac:dyDescent="0.2">
      <c r="B985" s="615"/>
      <c r="Y985" s="626"/>
    </row>
    <row r="986" spans="1:25" s="426" customFormat="1" ht="12.75" x14ac:dyDescent="0.2">
      <c r="B986" s="615"/>
      <c r="Y986" s="626"/>
    </row>
    <row r="987" spans="1:25" s="426" customFormat="1" ht="13.5" thickBot="1" x14ac:dyDescent="0.25">
      <c r="B987" s="615"/>
      <c r="D987" s="626" t="s">
        <v>674</v>
      </c>
      <c r="Y987" s="626"/>
    </row>
    <row r="988" spans="1:25" s="426" customFormat="1" ht="13.5" thickBot="1" x14ac:dyDescent="0.25">
      <c r="B988" s="641" t="s">
        <v>671</v>
      </c>
      <c r="C988" s="643">
        <f>J373</f>
        <v>0</v>
      </c>
      <c r="D988" s="642">
        <f>IF(C988=1,C1002,0)</f>
        <v>0</v>
      </c>
      <c r="Y988" s="626"/>
    </row>
    <row r="989" spans="1:25" s="426" customFormat="1" ht="12.75" x14ac:dyDescent="0.2">
      <c r="Y989" s="626"/>
    </row>
    <row r="990" spans="1:25" s="426" customFormat="1" ht="12.75" x14ac:dyDescent="0.2">
      <c r="B990" s="615"/>
      <c r="Y990" s="626"/>
    </row>
    <row r="991" spans="1:25" s="426" customFormat="1" ht="12.75" x14ac:dyDescent="0.2">
      <c r="B991" s="426" t="s">
        <v>827</v>
      </c>
      <c r="C991" s="633">
        <f>'Tarieven (4)'!C12</f>
        <v>37</v>
      </c>
      <c r="D991" s="633">
        <f>C991/60</f>
        <v>0.6166666666666667</v>
      </c>
      <c r="Y991" s="626"/>
    </row>
    <row r="992" spans="1:25" s="426" customFormat="1" ht="12.75" x14ac:dyDescent="0.2">
      <c r="B992" s="615"/>
      <c r="Y992" s="626"/>
    </row>
    <row r="993" spans="1:25" s="426" customFormat="1" ht="12.75" x14ac:dyDescent="0.2">
      <c r="B993" s="615" t="s">
        <v>828</v>
      </c>
      <c r="C993" s="637">
        <v>8</v>
      </c>
      <c r="D993" s="426" t="s">
        <v>683</v>
      </c>
      <c r="Y993" s="626"/>
    </row>
    <row r="994" spans="1:25" s="426" customFormat="1" ht="12.75" x14ac:dyDescent="0.2">
      <c r="B994" s="615"/>
      <c r="Y994" s="626"/>
    </row>
    <row r="995" spans="1:25" s="426" customFormat="1" ht="12.75" x14ac:dyDescent="0.2">
      <c r="B995" s="615" t="s">
        <v>829</v>
      </c>
      <c r="C995" s="637">
        <v>900</v>
      </c>
      <c r="D995" s="426" t="s">
        <v>790</v>
      </c>
      <c r="Y995" s="626"/>
    </row>
    <row r="996" spans="1:25" s="426" customFormat="1" ht="12.75" x14ac:dyDescent="0.2">
      <c r="B996" s="615"/>
      <c r="Y996" s="626"/>
    </row>
    <row r="997" spans="1:25" s="426" customFormat="1" ht="12.75" x14ac:dyDescent="0.2">
      <c r="B997" s="615" t="s">
        <v>61</v>
      </c>
      <c r="C997" s="626">
        <f>C3</f>
        <v>490</v>
      </c>
      <c r="D997" s="426" t="s">
        <v>754</v>
      </c>
      <c r="Y997" s="626"/>
    </row>
    <row r="998" spans="1:25" s="426" customFormat="1" ht="12.75" x14ac:dyDescent="0.2">
      <c r="B998" s="615"/>
      <c r="Y998" s="626"/>
    </row>
    <row r="999" spans="1:25" s="426" customFormat="1" ht="12.75" x14ac:dyDescent="0.2">
      <c r="B999" s="615"/>
      <c r="Y999" s="626"/>
    </row>
    <row r="1000" spans="1:25" s="426" customFormat="1" ht="12.75" x14ac:dyDescent="0.2">
      <c r="A1000" s="626">
        <f>IF(C988=1,1,0)</f>
        <v>0</v>
      </c>
      <c r="B1000" s="615" t="s">
        <v>824</v>
      </c>
      <c r="C1000" s="635">
        <f>IF(A1000=1,C993*D991,0)</f>
        <v>0</v>
      </c>
      <c r="Y1000" s="626"/>
    </row>
    <row r="1001" spans="1:25" s="426" customFormat="1" ht="12.75" x14ac:dyDescent="0.2">
      <c r="A1001" s="626">
        <f>IF(C988=1,1,0)</f>
        <v>0</v>
      </c>
      <c r="B1001" s="615" t="s">
        <v>830</v>
      </c>
      <c r="C1001" s="758">
        <f>IF(A1001=1,(C997/C995)*C991,0)</f>
        <v>0</v>
      </c>
      <c r="Y1001" s="626"/>
    </row>
    <row r="1002" spans="1:25" s="426" customFormat="1" ht="12.75" x14ac:dyDescent="0.2">
      <c r="B1002" s="615" t="s">
        <v>177</v>
      </c>
      <c r="C1002" s="635">
        <f>SUM(C1000:C1001)</f>
        <v>0</v>
      </c>
      <c r="Y1002" s="626"/>
    </row>
    <row r="1003" spans="1:25" s="426" customFormat="1" ht="12.75" x14ac:dyDescent="0.2">
      <c r="B1003" s="615"/>
      <c r="Y1003" s="626"/>
    </row>
    <row r="1004" spans="1:25" s="430" customFormat="1" ht="12.75" x14ac:dyDescent="0.2">
      <c r="B1004" s="678"/>
      <c r="Y1004" s="651"/>
    </row>
    <row r="1005" spans="1:25" s="426" customFormat="1" ht="12.75" x14ac:dyDescent="0.2">
      <c r="B1005" s="615"/>
      <c r="Y1005" s="626"/>
    </row>
    <row r="1006" spans="1:25" s="426" customFormat="1" ht="13.5" thickBot="1" x14ac:dyDescent="0.25">
      <c r="B1006" s="615"/>
      <c r="D1006" s="626" t="s">
        <v>674</v>
      </c>
      <c r="Y1006" s="626"/>
    </row>
    <row r="1007" spans="1:25" s="426" customFormat="1" ht="13.5" thickBot="1" x14ac:dyDescent="0.25">
      <c r="B1007" s="641" t="s">
        <v>672</v>
      </c>
      <c r="C1007" s="643">
        <f>J374</f>
        <v>0</v>
      </c>
      <c r="D1007" s="642">
        <f>IF(C1007=1,C1043,0)</f>
        <v>0</v>
      </c>
      <c r="Y1007" s="626"/>
    </row>
    <row r="1008" spans="1:25" s="426" customFormat="1" ht="12.75" x14ac:dyDescent="0.2">
      <c r="B1008" s="615"/>
      <c r="Y1008" s="626"/>
    </row>
    <row r="1009" spans="1:25" s="426" customFormat="1" ht="12.75" x14ac:dyDescent="0.2">
      <c r="B1009" s="615"/>
      <c r="Y1009" s="626"/>
    </row>
    <row r="1010" spans="1:25" s="426" customFormat="1" ht="12.75" x14ac:dyDescent="0.2">
      <c r="B1010" s="426" t="s">
        <v>827</v>
      </c>
      <c r="C1010" s="633">
        <f>'Tarieven (4)'!C12</f>
        <v>37</v>
      </c>
      <c r="D1010" s="633">
        <f>C1010/60</f>
        <v>0.6166666666666667</v>
      </c>
      <c r="Y1010" s="626"/>
    </row>
    <row r="1011" spans="1:25" s="426" customFormat="1" ht="12.75" x14ac:dyDescent="0.2">
      <c r="B1011" s="615"/>
      <c r="Y1011" s="626"/>
    </row>
    <row r="1012" spans="1:25" s="426" customFormat="1" ht="12.75" x14ac:dyDescent="0.2">
      <c r="B1012" s="615"/>
      <c r="O1012" s="626" t="s">
        <v>800</v>
      </c>
      <c r="P1012" s="626" t="s">
        <v>801</v>
      </c>
      <c r="Y1012" s="626"/>
    </row>
    <row r="1013" spans="1:25" s="426" customFormat="1" x14ac:dyDescent="0.25">
      <c r="A1013" s="719"/>
      <c r="B1013" s="411" t="s">
        <v>799</v>
      </c>
      <c r="C1013" s="435">
        <f>C814</f>
        <v>1150</v>
      </c>
      <c r="D1013" s="411"/>
      <c r="E1013" s="412"/>
      <c r="F1013" s="412"/>
      <c r="G1013" s="412"/>
      <c r="H1013" s="412"/>
      <c r="I1013" s="412"/>
      <c r="J1013" s="412"/>
      <c r="K1013" s="412"/>
      <c r="L1013" s="433"/>
      <c r="N1013" s="661">
        <f>IF($H$803=O1013,1,0)</f>
        <v>1</v>
      </c>
      <c r="O1013" s="449">
        <v>1</v>
      </c>
      <c r="P1013" s="486">
        <v>1</v>
      </c>
      <c r="Y1013" s="626"/>
    </row>
    <row r="1014" spans="1:25" s="426" customFormat="1" x14ac:dyDescent="0.25">
      <c r="A1014" s="714"/>
      <c r="B1014" s="581" t="s">
        <v>99</v>
      </c>
      <c r="C1014" s="436">
        <f>C815</f>
        <v>361</v>
      </c>
      <c r="D1014" s="581"/>
      <c r="E1014" s="320"/>
      <c r="F1014" s="320"/>
      <c r="G1014" s="320"/>
      <c r="H1014" s="320"/>
      <c r="I1014" s="320"/>
      <c r="J1014" s="320"/>
      <c r="K1014" s="320"/>
      <c r="L1014" s="434"/>
      <c r="N1014" s="150">
        <f t="shared" ref="N1014:N1021" si="181">IF($H$803=O1014,1,0)</f>
        <v>0</v>
      </c>
      <c r="O1014" s="2">
        <v>2</v>
      </c>
      <c r="P1014" s="28">
        <v>1.1299999999999999</v>
      </c>
      <c r="Y1014" s="626"/>
    </row>
    <row r="1015" spans="1:25" s="426" customFormat="1" x14ac:dyDescent="0.25">
      <c r="A1015" s="208"/>
      <c r="B1015" s="23"/>
      <c r="C1015" s="23"/>
      <c r="D1015" s="449">
        <v>4</v>
      </c>
      <c r="E1015" s="449">
        <v>5</v>
      </c>
      <c r="F1015" s="449">
        <v>6</v>
      </c>
      <c r="G1015" s="449">
        <v>7</v>
      </c>
      <c r="H1015" s="449">
        <v>8</v>
      </c>
      <c r="I1015" s="449">
        <v>9</v>
      </c>
      <c r="J1015" s="449">
        <v>10</v>
      </c>
      <c r="K1015" s="449">
        <v>11</v>
      </c>
      <c r="L1015" s="435">
        <v>12</v>
      </c>
      <c r="N1015" s="150">
        <f t="shared" si="181"/>
        <v>0</v>
      </c>
      <c r="O1015" s="2">
        <v>3</v>
      </c>
      <c r="P1015" s="28">
        <v>1.26</v>
      </c>
      <c r="Y1015" s="626"/>
    </row>
    <row r="1016" spans="1:25" s="426" customFormat="1" x14ac:dyDescent="0.25">
      <c r="A1016" s="473">
        <f>IF(SUM(D1016:L1016)&gt;0,HLOOKUP(1,D1016:L1028,13,FALSE),0)</f>
        <v>922.25</v>
      </c>
      <c r="B1016" s="412"/>
      <c r="C1016" s="412"/>
      <c r="D1016" s="208">
        <f>IF(AND($C$1013&gt;D1017,$C$1013&lt;=D1018),1,0)</f>
        <v>0</v>
      </c>
      <c r="E1016" s="23">
        <f t="shared" ref="E1016:L1016" si="182">IF(AND($C$1013&gt;E1017,$C$1013&lt;=E1018),1,0)</f>
        <v>0</v>
      </c>
      <c r="F1016" s="23">
        <f t="shared" si="182"/>
        <v>0</v>
      </c>
      <c r="G1016" s="23">
        <f t="shared" si="182"/>
        <v>0</v>
      </c>
      <c r="H1016" s="23">
        <f t="shared" si="182"/>
        <v>0</v>
      </c>
      <c r="I1016" s="23">
        <f t="shared" si="182"/>
        <v>1</v>
      </c>
      <c r="J1016" s="23">
        <f t="shared" si="182"/>
        <v>0</v>
      </c>
      <c r="K1016" s="23">
        <f t="shared" si="182"/>
        <v>0</v>
      </c>
      <c r="L1016" s="38">
        <f t="shared" si="182"/>
        <v>0</v>
      </c>
      <c r="N1016" s="150">
        <f t="shared" si="181"/>
        <v>0</v>
      </c>
      <c r="O1016" s="2">
        <v>4</v>
      </c>
      <c r="P1016" s="28">
        <v>1.39</v>
      </c>
      <c r="Y1016" s="626"/>
    </row>
    <row r="1017" spans="1:25" s="426" customFormat="1" x14ac:dyDescent="0.25">
      <c r="A1017" s="6"/>
      <c r="B1017"/>
      <c r="C1017"/>
      <c r="D1017" s="26">
        <v>0</v>
      </c>
      <c r="E1017" s="2">
        <v>200</v>
      </c>
      <c r="F1017" s="2">
        <v>400</v>
      </c>
      <c r="G1017" s="2">
        <v>600</v>
      </c>
      <c r="H1017" s="2">
        <v>800</v>
      </c>
      <c r="I1017" s="2">
        <v>1000</v>
      </c>
      <c r="J1017" s="2">
        <v>1200</v>
      </c>
      <c r="K1017" s="2">
        <v>1400</v>
      </c>
      <c r="L1017" s="25">
        <v>1600</v>
      </c>
      <c r="N1017" s="150">
        <f t="shared" si="181"/>
        <v>0</v>
      </c>
      <c r="O1017" s="2">
        <v>5</v>
      </c>
      <c r="P1017" s="28">
        <v>1.52</v>
      </c>
      <c r="Y1017" s="626"/>
    </row>
    <row r="1018" spans="1:25" s="426" customFormat="1" x14ac:dyDescent="0.25">
      <c r="A1018" s="6"/>
      <c r="B1018" s="320"/>
      <c r="C1018" s="320"/>
      <c r="D1018" s="432">
        <v>200</v>
      </c>
      <c r="E1018" s="343">
        <v>400</v>
      </c>
      <c r="F1018" s="343">
        <v>600</v>
      </c>
      <c r="G1018" s="343">
        <v>800</v>
      </c>
      <c r="H1018" s="343">
        <v>1000</v>
      </c>
      <c r="I1018" s="343">
        <v>1200</v>
      </c>
      <c r="J1018" s="343">
        <v>1400</v>
      </c>
      <c r="K1018" s="343">
        <v>1600</v>
      </c>
      <c r="L1018" s="436">
        <v>1800</v>
      </c>
      <c r="N1018" s="150">
        <f t="shared" si="181"/>
        <v>0</v>
      </c>
      <c r="O1018" s="2">
        <v>6</v>
      </c>
      <c r="P1018" s="28">
        <v>1.65</v>
      </c>
      <c r="Y1018" s="626"/>
    </row>
    <row r="1019" spans="1:25" s="426" customFormat="1" x14ac:dyDescent="0.25">
      <c r="A1019" s="442">
        <f>IF(AND($C$1014&gt;B1019,$C$1014&lt;=C1019),1,0)</f>
        <v>0</v>
      </c>
      <c r="B1019" s="449">
        <v>0</v>
      </c>
      <c r="C1019" s="435">
        <v>200</v>
      </c>
      <c r="D1019" s="759">
        <v>1100</v>
      </c>
      <c r="E1019" s="739">
        <v>1068.5</v>
      </c>
      <c r="F1019" s="739">
        <v>1037</v>
      </c>
      <c r="G1019" s="739">
        <v>1005.5</v>
      </c>
      <c r="H1019" s="739">
        <v>974</v>
      </c>
      <c r="I1019" s="739">
        <v>942.5</v>
      </c>
      <c r="J1019" s="739">
        <v>911</v>
      </c>
      <c r="K1019" s="739">
        <v>879.5</v>
      </c>
      <c r="L1019" s="740">
        <v>875</v>
      </c>
      <c r="N1019" s="150">
        <f t="shared" si="181"/>
        <v>0</v>
      </c>
      <c r="O1019" s="2">
        <v>7</v>
      </c>
      <c r="P1019" s="28">
        <v>1.78</v>
      </c>
      <c r="Y1019" s="626"/>
    </row>
    <row r="1020" spans="1:25" s="426" customFormat="1" x14ac:dyDescent="0.25">
      <c r="A1020" s="12">
        <f t="shared" ref="A1020:A1027" si="183">IF(AND($C$1014&gt;B1020,$C$1014&lt;=C1020),1,0)</f>
        <v>1</v>
      </c>
      <c r="B1020" s="2">
        <v>200</v>
      </c>
      <c r="C1020" s="25">
        <v>400</v>
      </c>
      <c r="D1020" s="742">
        <v>1068.5</v>
      </c>
      <c r="E1020" s="759">
        <v>1048.25</v>
      </c>
      <c r="F1020" s="743">
        <v>1016.75</v>
      </c>
      <c r="G1020" s="743">
        <v>985.25</v>
      </c>
      <c r="H1020" s="743">
        <v>953.75</v>
      </c>
      <c r="I1020" s="743">
        <v>922.25</v>
      </c>
      <c r="J1020" s="743">
        <v>890.75</v>
      </c>
      <c r="K1020" s="743">
        <v>859.25</v>
      </c>
      <c r="L1020" s="744">
        <v>857</v>
      </c>
      <c r="N1020" s="150">
        <f t="shared" si="181"/>
        <v>0</v>
      </c>
      <c r="O1020" s="2">
        <v>8</v>
      </c>
      <c r="P1020" s="28">
        <v>1.91</v>
      </c>
      <c r="Y1020" s="626"/>
    </row>
    <row r="1021" spans="1:25" s="426" customFormat="1" x14ac:dyDescent="0.25">
      <c r="A1021" s="12">
        <f t="shared" si="183"/>
        <v>0</v>
      </c>
      <c r="B1021" s="2">
        <v>400</v>
      </c>
      <c r="C1021" s="25">
        <v>600</v>
      </c>
      <c r="D1021" s="742">
        <v>1037</v>
      </c>
      <c r="E1021" s="743">
        <v>1016.75</v>
      </c>
      <c r="F1021" s="759">
        <v>996.5</v>
      </c>
      <c r="G1021" s="743">
        <v>965</v>
      </c>
      <c r="H1021" s="743">
        <v>933.5</v>
      </c>
      <c r="I1021" s="743">
        <v>902</v>
      </c>
      <c r="J1021" s="743">
        <v>870.5</v>
      </c>
      <c r="K1021" s="743">
        <v>839</v>
      </c>
      <c r="L1021" s="744">
        <v>830</v>
      </c>
      <c r="N1021" s="145">
        <f t="shared" si="181"/>
        <v>0</v>
      </c>
      <c r="O1021" s="343">
        <v>9</v>
      </c>
      <c r="P1021" s="34">
        <v>1.99</v>
      </c>
      <c r="Y1021" s="626"/>
    </row>
    <row r="1022" spans="1:25" s="426" customFormat="1" x14ac:dyDescent="0.25">
      <c r="A1022" s="12">
        <f t="shared" si="183"/>
        <v>0</v>
      </c>
      <c r="B1022" s="2">
        <v>600</v>
      </c>
      <c r="C1022" s="25">
        <v>800</v>
      </c>
      <c r="D1022" s="742">
        <v>1005.5</v>
      </c>
      <c r="E1022" s="743">
        <v>985.25</v>
      </c>
      <c r="F1022" s="743">
        <v>965</v>
      </c>
      <c r="G1022" s="759">
        <v>926.75</v>
      </c>
      <c r="H1022" s="743">
        <v>895.25</v>
      </c>
      <c r="I1022" s="743">
        <v>863.75</v>
      </c>
      <c r="J1022" s="743">
        <v>832.25</v>
      </c>
      <c r="K1022" s="743">
        <v>800.75</v>
      </c>
      <c r="L1022" s="744">
        <v>803</v>
      </c>
      <c r="P1022" s="634">
        <f>VLOOKUP(1,N1013:P1021,3,FALSE)</f>
        <v>1</v>
      </c>
      <c r="Y1022" s="626"/>
    </row>
    <row r="1023" spans="1:25" s="426" customFormat="1" x14ac:dyDescent="0.25">
      <c r="A1023" s="12">
        <f t="shared" si="183"/>
        <v>0</v>
      </c>
      <c r="B1023" s="2">
        <v>800</v>
      </c>
      <c r="C1023" s="25">
        <v>1000</v>
      </c>
      <c r="D1023" s="742">
        <v>974</v>
      </c>
      <c r="E1023" s="743">
        <v>953.75</v>
      </c>
      <c r="F1023" s="743">
        <v>933.5</v>
      </c>
      <c r="G1023" s="743">
        <v>895.25</v>
      </c>
      <c r="H1023" s="759">
        <v>893</v>
      </c>
      <c r="I1023" s="743">
        <v>857</v>
      </c>
      <c r="J1023" s="743">
        <v>821</v>
      </c>
      <c r="K1023" s="743">
        <v>785</v>
      </c>
      <c r="L1023" s="744">
        <v>776</v>
      </c>
      <c r="Y1023" s="626"/>
    </row>
    <row r="1024" spans="1:25" s="426" customFormat="1" x14ac:dyDescent="0.25">
      <c r="A1024" s="12">
        <f t="shared" si="183"/>
        <v>0</v>
      </c>
      <c r="B1024" s="2">
        <v>1000</v>
      </c>
      <c r="C1024" s="25">
        <v>1200</v>
      </c>
      <c r="D1024" s="742">
        <v>942.5</v>
      </c>
      <c r="E1024" s="743">
        <v>922.25</v>
      </c>
      <c r="F1024" s="743">
        <v>902</v>
      </c>
      <c r="G1024" s="743">
        <v>863.75</v>
      </c>
      <c r="H1024" s="743">
        <v>857</v>
      </c>
      <c r="I1024" s="759">
        <v>841.25</v>
      </c>
      <c r="J1024" s="743">
        <v>800.75</v>
      </c>
      <c r="K1024" s="743">
        <v>760.25</v>
      </c>
      <c r="L1024" s="744">
        <v>749</v>
      </c>
      <c r="Y1024" s="626"/>
    </row>
    <row r="1025" spans="1:25" s="426" customFormat="1" x14ac:dyDescent="0.25">
      <c r="A1025" s="12">
        <f t="shared" si="183"/>
        <v>0</v>
      </c>
      <c r="B1025" s="2">
        <v>1200</v>
      </c>
      <c r="C1025" s="25">
        <v>1400</v>
      </c>
      <c r="D1025" s="742">
        <v>911</v>
      </c>
      <c r="E1025" s="743">
        <v>890.75</v>
      </c>
      <c r="F1025" s="743">
        <v>870.5</v>
      </c>
      <c r="G1025" s="743">
        <v>832.25</v>
      </c>
      <c r="H1025" s="743">
        <v>821</v>
      </c>
      <c r="I1025" s="743">
        <v>800.75</v>
      </c>
      <c r="J1025" s="759">
        <v>789.5</v>
      </c>
      <c r="K1025" s="743">
        <v>753.5</v>
      </c>
      <c r="L1025" s="744">
        <v>722</v>
      </c>
      <c r="Y1025" s="626"/>
    </row>
    <row r="1026" spans="1:25" s="426" customFormat="1" x14ac:dyDescent="0.25">
      <c r="A1026" s="12">
        <f t="shared" si="183"/>
        <v>0</v>
      </c>
      <c r="B1026" s="2">
        <v>1400</v>
      </c>
      <c r="C1026" s="25">
        <v>1600</v>
      </c>
      <c r="D1026" s="742">
        <v>879.5</v>
      </c>
      <c r="E1026" s="743">
        <v>859.25</v>
      </c>
      <c r="F1026" s="743">
        <v>839</v>
      </c>
      <c r="G1026" s="743">
        <v>800.75</v>
      </c>
      <c r="H1026" s="743">
        <v>785</v>
      </c>
      <c r="I1026" s="743">
        <v>760.25</v>
      </c>
      <c r="J1026" s="743">
        <v>753.5</v>
      </c>
      <c r="K1026" s="759">
        <v>737.75</v>
      </c>
      <c r="L1026" s="744">
        <v>695</v>
      </c>
      <c r="Y1026" s="626"/>
    </row>
    <row r="1027" spans="1:25" s="426" customFormat="1" x14ac:dyDescent="0.25">
      <c r="A1027" s="13">
        <f t="shared" si="183"/>
        <v>0</v>
      </c>
      <c r="B1027" s="343">
        <v>1600</v>
      </c>
      <c r="C1027" s="436">
        <v>1800</v>
      </c>
      <c r="D1027" s="742">
        <v>875</v>
      </c>
      <c r="E1027" s="743">
        <v>857</v>
      </c>
      <c r="F1027" s="743">
        <v>830</v>
      </c>
      <c r="G1027" s="743">
        <v>803</v>
      </c>
      <c r="H1027" s="743">
        <v>776</v>
      </c>
      <c r="I1027" s="743">
        <v>749</v>
      </c>
      <c r="J1027" s="743">
        <v>722</v>
      </c>
      <c r="K1027" s="743">
        <v>695</v>
      </c>
      <c r="L1027" s="760">
        <v>686</v>
      </c>
      <c r="Y1027" s="626"/>
    </row>
    <row r="1028" spans="1:25" s="426" customFormat="1" x14ac:dyDescent="0.25">
      <c r="A1028"/>
      <c r="B1028"/>
      <c r="C1028"/>
      <c r="D1028" s="751">
        <f>IF(SUM($A$1019:$A$1027)&gt;0,VLOOKUP(1,$A$1019:$L$1027,D1015,FALSE),0)</f>
        <v>1068.5</v>
      </c>
      <c r="E1028" s="752">
        <f t="shared" ref="E1028:L1028" si="184">IF(SUM($A$1019:$A$1027)&gt;0,VLOOKUP(1,$A$1019:$L$1027,E1015,FALSE),0)</f>
        <v>1048.25</v>
      </c>
      <c r="F1028" s="752">
        <f t="shared" si="184"/>
        <v>1016.75</v>
      </c>
      <c r="G1028" s="752">
        <f t="shared" si="184"/>
        <v>985.25</v>
      </c>
      <c r="H1028" s="752">
        <f t="shared" si="184"/>
        <v>953.75</v>
      </c>
      <c r="I1028" s="752">
        <f t="shared" si="184"/>
        <v>922.25</v>
      </c>
      <c r="J1028" s="752">
        <f t="shared" si="184"/>
        <v>890.75</v>
      </c>
      <c r="K1028" s="752">
        <f t="shared" si="184"/>
        <v>859.25</v>
      </c>
      <c r="L1028" s="753">
        <f t="shared" si="184"/>
        <v>857</v>
      </c>
      <c r="Y1028" s="626"/>
    </row>
    <row r="1029" spans="1:25" s="426" customFormat="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Y1029" s="626"/>
    </row>
    <row r="1030" spans="1:25" s="426" customFormat="1" ht="12.75" x14ac:dyDescent="0.2">
      <c r="B1030" s="615"/>
      <c r="Y1030" s="626"/>
    </row>
    <row r="1031" spans="1:25" s="426" customFormat="1" x14ac:dyDescent="0.2">
      <c r="A1031" s="754" t="s">
        <v>789</v>
      </c>
      <c r="B1031" s="755">
        <f>IF(SUM(D1016:L1016)&gt;0,HLOOKUP(1,D1016:L1028,13,FALSE),0)</f>
        <v>922.25</v>
      </c>
      <c r="C1031" s="754" t="s">
        <v>806</v>
      </c>
      <c r="Y1031" s="626"/>
    </row>
    <row r="1032" spans="1:25" s="426" customFormat="1" x14ac:dyDescent="0.2">
      <c r="A1032" s="754" t="s">
        <v>803</v>
      </c>
      <c r="B1032" s="761">
        <f>H145</f>
        <v>0.8</v>
      </c>
      <c r="C1032" s="763"/>
      <c r="Y1032" s="626"/>
    </row>
    <row r="1033" spans="1:25" s="426" customFormat="1" x14ac:dyDescent="0.2">
      <c r="A1033" s="426" t="s">
        <v>804</v>
      </c>
      <c r="B1033" s="634">
        <f>B1031*B1032</f>
        <v>737.80000000000007</v>
      </c>
      <c r="C1033" s="754" t="s">
        <v>806</v>
      </c>
      <c r="E1033" s="754"/>
      <c r="F1033" s="741"/>
      <c r="Y1033" s="626"/>
    </row>
    <row r="1034" spans="1:25" s="426" customFormat="1" x14ac:dyDescent="0.2">
      <c r="A1034" s="754" t="s">
        <v>802</v>
      </c>
      <c r="B1034" s="757">
        <f>P1022</f>
        <v>1</v>
      </c>
      <c r="C1034" s="754"/>
      <c r="Y1034" s="626"/>
    </row>
    <row r="1035" spans="1:25" s="426" customFormat="1" ht="12.75" x14ac:dyDescent="0.2">
      <c r="A1035" s="426" t="s">
        <v>805</v>
      </c>
      <c r="B1035" s="679">
        <f>B1033/B1034</f>
        <v>737.80000000000007</v>
      </c>
      <c r="C1035" s="764" t="s">
        <v>806</v>
      </c>
      <c r="Y1035" s="626"/>
    </row>
    <row r="1036" spans="1:25" s="426" customFormat="1" ht="12.75" x14ac:dyDescent="0.2">
      <c r="A1036" s="426" t="s">
        <v>794</v>
      </c>
      <c r="B1036" s="638">
        <v>0.95</v>
      </c>
      <c r="Y1036" s="626"/>
    </row>
    <row r="1037" spans="1:25" s="426" customFormat="1" ht="12.75" x14ac:dyDescent="0.2">
      <c r="A1037" s="426" t="s">
        <v>795</v>
      </c>
      <c r="B1037" s="679">
        <f>B1036*B1035</f>
        <v>700.91000000000008</v>
      </c>
      <c r="C1037" s="765" t="s">
        <v>806</v>
      </c>
      <c r="Y1037" s="626"/>
    </row>
    <row r="1038" spans="1:25" s="426" customFormat="1" ht="12.75" x14ac:dyDescent="0.2">
      <c r="C1038" s="134"/>
      <c r="Y1038" s="626"/>
    </row>
    <row r="1039" spans="1:25" s="426" customFormat="1" ht="12.75" x14ac:dyDescent="0.2">
      <c r="Y1039" s="626"/>
    </row>
    <row r="1040" spans="1:25" s="426" customFormat="1" ht="12.75" x14ac:dyDescent="0.2">
      <c r="A1040" s="426" t="s">
        <v>797</v>
      </c>
      <c r="B1040" s="679">
        <f>C811/(B1037/60)</f>
        <v>41.945470887845794</v>
      </c>
      <c r="C1040" s="134" t="s">
        <v>798</v>
      </c>
      <c r="Y1040" s="626"/>
    </row>
    <row r="1041" spans="1:25" s="426" customFormat="1" ht="12.75" x14ac:dyDescent="0.2">
      <c r="B1041" s="615"/>
      <c r="Y1041" s="626"/>
    </row>
    <row r="1042" spans="1:25" s="426" customFormat="1" ht="12.75" x14ac:dyDescent="0.2">
      <c r="B1042" s="615"/>
      <c r="Y1042" s="626"/>
    </row>
    <row r="1043" spans="1:25" s="426" customFormat="1" ht="12.75" x14ac:dyDescent="0.2">
      <c r="A1043" s="626">
        <f>IF(C1007=1,1,0)</f>
        <v>0</v>
      </c>
      <c r="B1043" s="615" t="s">
        <v>712</v>
      </c>
      <c r="C1043" s="669">
        <f>IF(A1043=1,B1040*D1010,0)</f>
        <v>0</v>
      </c>
      <c r="Y1043" s="626"/>
    </row>
    <row r="1044" spans="1:25" s="426" customFormat="1" ht="12.75" x14ac:dyDescent="0.2">
      <c r="A1044" s="626"/>
      <c r="B1044" s="615"/>
      <c r="C1044" s="669"/>
      <c r="Y1044" s="626"/>
    </row>
    <row r="1045" spans="1:25" s="430" customFormat="1" ht="12.75" x14ac:dyDescent="0.2">
      <c r="A1045" s="651"/>
      <c r="B1045" s="678"/>
      <c r="C1045" s="766"/>
      <c r="Y1045" s="651"/>
    </row>
    <row r="1046" spans="1:25" s="426" customFormat="1" ht="12.75" x14ac:dyDescent="0.2">
      <c r="B1046" s="615"/>
      <c r="Y1046" s="626"/>
    </row>
    <row r="1047" spans="1:25" s="426" customFormat="1" ht="13.5" thickBot="1" x14ac:dyDescent="0.25">
      <c r="B1047" s="615"/>
      <c r="D1047" s="626" t="s">
        <v>674</v>
      </c>
      <c r="Y1047" s="626"/>
    </row>
    <row r="1048" spans="1:25" s="426" customFormat="1" ht="13.5" thickBot="1" x14ac:dyDescent="0.25">
      <c r="B1048" s="641" t="s">
        <v>673</v>
      </c>
      <c r="C1048" s="800"/>
      <c r="D1048" s="642">
        <f>C1052+C1058+C1064</f>
        <v>4</v>
      </c>
      <c r="Y1048" s="626"/>
    </row>
    <row r="1049" spans="1:25" s="426" customFormat="1" ht="12.75" x14ac:dyDescent="0.2">
      <c r="B1049" s="615"/>
      <c r="Y1049" s="626"/>
    </row>
    <row r="1050" spans="1:25" s="426" customFormat="1" ht="12.75" x14ac:dyDescent="0.2">
      <c r="B1050" s="615"/>
      <c r="Y1050" s="626"/>
    </row>
    <row r="1051" spans="1:25" s="426" customFormat="1" ht="13.5" thickBot="1" x14ac:dyDescent="0.25">
      <c r="B1051" s="615" t="s">
        <v>685</v>
      </c>
      <c r="C1051" s="634">
        <f>IF(C111&gt;0,C111,0)</f>
        <v>0</v>
      </c>
      <c r="Y1051" s="626"/>
    </row>
    <row r="1052" spans="1:25" s="426" customFormat="1" ht="13.5" thickBot="1" x14ac:dyDescent="0.25">
      <c r="B1052" s="791" t="s">
        <v>834</v>
      </c>
      <c r="C1052" s="792">
        <f>IF(C1051&gt;0,E119,0)</f>
        <v>0</v>
      </c>
      <c r="Y1052" s="626"/>
    </row>
    <row r="1053" spans="1:25" s="426" customFormat="1" ht="12.75" x14ac:dyDescent="0.2">
      <c r="B1053" s="615"/>
      <c r="C1053" s="793"/>
      <c r="Y1053" s="626"/>
    </row>
    <row r="1054" spans="1:25" s="426" customFormat="1" ht="12.75" x14ac:dyDescent="0.2">
      <c r="B1054" s="615"/>
      <c r="C1054" s="793"/>
      <c r="Y1054" s="626"/>
    </row>
    <row r="1055" spans="1:25" s="426" customFormat="1" ht="12.75" x14ac:dyDescent="0.2">
      <c r="B1055" s="615"/>
      <c r="Y1055" s="626"/>
    </row>
    <row r="1056" spans="1:25" s="426" customFormat="1" ht="12.75" x14ac:dyDescent="0.2">
      <c r="B1056" s="615" t="s">
        <v>835</v>
      </c>
      <c r="C1056" s="637">
        <v>1</v>
      </c>
      <c r="Y1056" s="626"/>
    </row>
    <row r="1057" spans="1:25" s="426" customFormat="1" ht="13.5" thickBot="1" x14ac:dyDescent="0.25">
      <c r="B1057" s="615"/>
      <c r="Y1057" s="626"/>
    </row>
    <row r="1058" spans="1:25" s="426" customFormat="1" ht="13.5" thickBot="1" x14ac:dyDescent="0.25">
      <c r="B1058" s="791" t="s">
        <v>836</v>
      </c>
      <c r="C1058" s="801">
        <f>'Pallet en transport (4)'!D155</f>
        <v>4</v>
      </c>
      <c r="Y1058" s="626"/>
    </row>
    <row r="1059" spans="1:25" s="426" customFormat="1" ht="12.75" x14ac:dyDescent="0.2">
      <c r="B1059" s="615"/>
      <c r="Y1059" s="626"/>
    </row>
    <row r="1060" spans="1:25" s="426" customFormat="1" ht="12.75" x14ac:dyDescent="0.2">
      <c r="B1060" s="615"/>
      <c r="Y1060" s="626"/>
    </row>
    <row r="1061" spans="1:25" s="426" customFormat="1" ht="12.75" x14ac:dyDescent="0.2">
      <c r="B1061" s="615" t="s">
        <v>669</v>
      </c>
      <c r="C1061" s="634">
        <f>C931</f>
        <v>0</v>
      </c>
      <c r="Y1061" s="626"/>
    </row>
    <row r="1062" spans="1:25" s="426" customFormat="1" ht="12.75" x14ac:dyDescent="0.2">
      <c r="B1062" s="426" t="s">
        <v>818</v>
      </c>
      <c r="C1062" s="626">
        <f>C8/1000</f>
        <v>0.1</v>
      </c>
      <c r="D1062" s="426" t="s">
        <v>819</v>
      </c>
      <c r="Y1062" s="626"/>
    </row>
    <row r="1063" spans="1:25" s="426" customFormat="1" ht="13.5" thickBot="1" x14ac:dyDescent="0.25">
      <c r="B1063" s="615" t="s">
        <v>832</v>
      </c>
      <c r="C1063" s="921">
        <f>'Tarieven (4)'!C16</f>
        <v>9.1200000000000003E-2</v>
      </c>
      <c r="Y1063" s="626"/>
    </row>
    <row r="1064" spans="1:25" s="426" customFormat="1" ht="13.5" thickBot="1" x14ac:dyDescent="0.25">
      <c r="B1064" s="791" t="s">
        <v>833</v>
      </c>
      <c r="C1064" s="792">
        <f>IF(C1061=1,C3*C1062*C1063,0)</f>
        <v>0</v>
      </c>
      <c r="Y1064" s="626"/>
    </row>
    <row r="1065" spans="1:25" s="426" customFormat="1" ht="12.75" x14ac:dyDescent="0.2">
      <c r="B1065" s="615"/>
      <c r="Y1065" s="626"/>
    </row>
    <row r="1066" spans="1:25" s="426" customFormat="1" ht="12.75" x14ac:dyDescent="0.2">
      <c r="B1066" s="615"/>
      <c r="Y1066" s="626"/>
    </row>
    <row r="1067" spans="1:25" s="430" customFormat="1" ht="12.75" x14ac:dyDescent="0.2">
      <c r="B1067" s="678"/>
      <c r="Y1067" s="651"/>
    </row>
    <row r="1068" spans="1:25" s="426" customFormat="1" ht="12.75" x14ac:dyDescent="0.2">
      <c r="B1068" s="615"/>
      <c r="Y1068" s="626"/>
    </row>
    <row r="1069" spans="1:25" s="426" customFormat="1" ht="15.75" thickBot="1" x14ac:dyDescent="0.3">
      <c r="A1069"/>
      <c r="B1069" t="s">
        <v>179</v>
      </c>
      <c r="C1069"/>
      <c r="D1069"/>
      <c r="E1069"/>
      <c r="F1069"/>
      <c r="G1069"/>
      <c r="H1069"/>
      <c r="I1069"/>
      <c r="J1069"/>
      <c r="Y1069" s="626"/>
    </row>
    <row r="1070" spans="1:25" s="426" customFormat="1" x14ac:dyDescent="0.25">
      <c r="A1070" s="217"/>
      <c r="B1070" s="1285" t="s">
        <v>152</v>
      </c>
      <c r="C1070" s="1286"/>
      <c r="D1070" s="1289"/>
      <c r="E1070" s="284" t="s">
        <v>157</v>
      </c>
      <c r="F1070" s="23" t="s">
        <v>531</v>
      </c>
      <c r="G1070" s="254" t="s">
        <v>532</v>
      </c>
      <c r="H1070" s="254" t="s">
        <v>601</v>
      </c>
      <c r="I1070" s="448" t="s">
        <v>730</v>
      </c>
      <c r="J1070" s="222" t="s">
        <v>178</v>
      </c>
      <c r="Y1070" s="626"/>
    </row>
    <row r="1071" spans="1:25" s="426" customFormat="1" x14ac:dyDescent="0.25">
      <c r="A1071" s="41"/>
      <c r="B1071" s="3" t="s">
        <v>150</v>
      </c>
      <c r="C1071" s="11" t="s">
        <v>151</v>
      </c>
      <c r="D1071" s="245" t="s">
        <v>153</v>
      </c>
      <c r="E1071" s="254">
        <f>VLOOKUP(1,50:70,39,FALSE)</f>
        <v>1</v>
      </c>
      <c r="F1071" s="23">
        <f>VLOOKUP(1,50:70,41,FALSE)</f>
        <v>0</v>
      </c>
      <c r="G1071" s="254">
        <f>VLOOKUP(1,50:70,42,FALSE)</f>
        <v>0</v>
      </c>
      <c r="H1071" s="254">
        <f>IF(SUM(C362:I362)=0,0,1)</f>
        <v>1</v>
      </c>
      <c r="I1071" s="522">
        <f>IF(AND(C1081&gt;0,C1083&gt;0,C1082&gt;0),1,0)</f>
        <v>1</v>
      </c>
      <c r="J1071" s="223">
        <v>6</v>
      </c>
      <c r="Y1071" s="626"/>
    </row>
    <row r="1072" spans="1:25" s="426" customFormat="1" x14ac:dyDescent="0.25">
      <c r="A1072" s="41" t="s">
        <v>9</v>
      </c>
      <c r="B1072" s="26">
        <f>VLOOKUP(1,50:70,33,FALSE)</f>
        <v>100</v>
      </c>
      <c r="C1072" s="12">
        <f>VLOOKUP(1,50:70,34,FALSE)</f>
        <v>2000</v>
      </c>
      <c r="D1072" s="246">
        <f>IF(AND(C6&gt;=B1072,C6&lt;=C1072),1,0)</f>
        <v>1</v>
      </c>
      <c r="E1072" s="285"/>
      <c r="F1072"/>
      <c r="G1072" s="285"/>
      <c r="H1072" s="285"/>
      <c r="I1072" s="475"/>
      <c r="J1072" s="224"/>
      <c r="Y1072" s="626"/>
    </row>
    <row r="1073" spans="1:25" s="426" customFormat="1" x14ac:dyDescent="0.25">
      <c r="A1073" s="41" t="s">
        <v>18</v>
      </c>
      <c r="B1073" s="26">
        <f>VLOOKUP(1,50:70,35,FALSE)</f>
        <v>70</v>
      </c>
      <c r="C1073" s="12">
        <f>VLOOKUP(1,50:70,36,FALSE)</f>
        <v>1000</v>
      </c>
      <c r="D1073" s="246">
        <f>IF(AND(C7&gt;=B1073,C7&lt;=C1073),1,0)</f>
        <v>1</v>
      </c>
      <c r="E1073" s="285"/>
      <c r="F1073"/>
      <c r="G1073" s="285"/>
      <c r="H1073" s="285"/>
      <c r="I1073" s="475"/>
      <c r="J1073" s="224"/>
      <c r="Y1073" s="626"/>
    </row>
    <row r="1074" spans="1:25" s="426" customFormat="1" ht="15.75" thickBot="1" x14ac:dyDescent="0.3">
      <c r="A1074" s="41" t="s">
        <v>11</v>
      </c>
      <c r="B1074" s="18">
        <f>VLOOKUP(1,50:70,37,FALSE)</f>
        <v>37</v>
      </c>
      <c r="C1074" s="13">
        <f>VLOOKUP(1,50:70,38,FALSE)</f>
        <v>1200</v>
      </c>
      <c r="D1074" s="247">
        <f>IF(AND(C8&gt;=B1074,C8&lt;=C1074),1,IF(C2=B50,1,0))</f>
        <v>1</v>
      </c>
      <c r="E1074" s="257"/>
      <c r="F1074"/>
      <c r="G1074" s="285"/>
      <c r="H1074" s="285"/>
      <c r="I1074" s="482"/>
      <c r="J1074" s="224"/>
      <c r="Y1074" s="626"/>
    </row>
    <row r="1075" spans="1:25" s="426" customFormat="1" ht="15.75" thickBot="1" x14ac:dyDescent="0.3">
      <c r="A1075" s="217"/>
      <c r="B1075" s="208" t="s">
        <v>177</v>
      </c>
      <c r="C1075" s="23"/>
      <c r="D1075" s="241">
        <f>IF(SUM(D1072:D1074)=3,1,0)</f>
        <v>1</v>
      </c>
      <c r="E1075" s="254">
        <f>IF(E1071=0,1,IF(AND(E1071=1,C6&gt;=C7),1,IF(AND(E1071=1,C6&lt;C7),0)))</f>
        <v>1</v>
      </c>
      <c r="F1075" s="23">
        <f>IF(F1071=0,1,IF(AND(F1071=1,C8&gt;C6),0,1))</f>
        <v>1</v>
      </c>
      <c r="G1075" s="254">
        <f>IF(G1071=0,1,IF(AND(G1071=1,C6&lt;(2*C7)),0,1))</f>
        <v>1</v>
      </c>
      <c r="H1075" s="254">
        <f>H1071</f>
        <v>1</v>
      </c>
      <c r="I1075" s="522">
        <f>I1071</f>
        <v>1</v>
      </c>
      <c r="J1075" s="281">
        <f>IF(SUM(D1075:I1075)=J1071,1,0)</f>
        <v>1</v>
      </c>
      <c r="Y1075" s="626"/>
    </row>
    <row r="1076" spans="1:25" s="426" customFormat="1" ht="12.75" x14ac:dyDescent="0.2">
      <c r="B1076" s="615"/>
      <c r="Y1076" s="626"/>
    </row>
    <row r="1077" spans="1:25" s="430" customFormat="1" ht="12.75" x14ac:dyDescent="0.2">
      <c r="B1077" s="678"/>
      <c r="Y1077" s="651"/>
    </row>
    <row r="1078" spans="1:25" s="426" customFormat="1" ht="12.75" x14ac:dyDescent="0.2">
      <c r="B1078" s="615"/>
      <c r="Y1078" s="626"/>
    </row>
    <row r="1079" spans="1:25" s="426" customFormat="1" ht="12.75" x14ac:dyDescent="0.2">
      <c r="B1079" s="615"/>
      <c r="Y1079" s="626"/>
    </row>
    <row r="1080" spans="1:25" s="426" customFormat="1" ht="12.75" x14ac:dyDescent="0.2">
      <c r="B1080" s="627" t="s">
        <v>646</v>
      </c>
      <c r="G1080" s="426" t="s">
        <v>1268</v>
      </c>
      <c r="H1080" s="1183"/>
      <c r="Y1080" s="626"/>
    </row>
    <row r="1081" spans="1:25" s="426" customFormat="1" ht="12.75" x14ac:dyDescent="0.2">
      <c r="B1081" s="615" t="s">
        <v>639</v>
      </c>
      <c r="C1081" s="1174">
        <f>K445</f>
        <v>98.896368760000016</v>
      </c>
      <c r="E1081" s="629">
        <f>C1081/$C$3</f>
        <v>0.20182932400000003</v>
      </c>
      <c r="F1081" s="426" t="s">
        <v>573</v>
      </c>
      <c r="G1081" s="669">
        <f>D1007</f>
        <v>0</v>
      </c>
      <c r="Y1081" s="626"/>
    </row>
    <row r="1082" spans="1:25" s="426" customFormat="1" ht="12.75" x14ac:dyDescent="0.2">
      <c r="B1082" s="615" t="s">
        <v>644</v>
      </c>
      <c r="C1082" s="1175">
        <f>D1048</f>
        <v>4</v>
      </c>
      <c r="E1082" s="629">
        <f t="shared" ref="E1082:E1085" si="185">C1082/$C$3</f>
        <v>8.1632653061224497E-3</v>
      </c>
      <c r="F1082" s="426" t="s">
        <v>570</v>
      </c>
      <c r="G1082" s="669">
        <f>D988</f>
        <v>0</v>
      </c>
      <c r="Y1082" s="626"/>
    </row>
    <row r="1083" spans="1:25" s="426" customFormat="1" ht="12.75" x14ac:dyDescent="0.2">
      <c r="B1083" s="615" t="s">
        <v>645</v>
      </c>
      <c r="C1083" s="1181">
        <f>D1007+D988+D972+D931+D896+D855+D795+D715+D629+D568+D500</f>
        <v>70</v>
      </c>
      <c r="D1083" s="669"/>
      <c r="E1083" s="629">
        <f t="shared" si="185"/>
        <v>0.14285714285714285</v>
      </c>
      <c r="F1083" s="426" t="s">
        <v>1269</v>
      </c>
      <c r="G1083" s="669">
        <f>D972</f>
        <v>0</v>
      </c>
      <c r="Y1083" s="626"/>
    </row>
    <row r="1084" spans="1:25" s="426" customFormat="1" ht="13.5" thickBot="1" x14ac:dyDescent="0.25">
      <c r="B1084" s="615" t="s">
        <v>641</v>
      </c>
      <c r="C1084" s="630">
        <f>'Tarieven (4)'!C13</f>
        <v>20</v>
      </c>
      <c r="E1084" s="632">
        <f t="shared" si="185"/>
        <v>4.0816326530612242E-2</v>
      </c>
      <c r="F1084" s="426" t="s">
        <v>190</v>
      </c>
      <c r="G1084" s="669">
        <f>D931</f>
        <v>0</v>
      </c>
      <c r="Y1084" s="626"/>
    </row>
    <row r="1085" spans="1:25" s="426" customFormat="1" ht="13.5" thickBot="1" x14ac:dyDescent="0.25">
      <c r="B1085" s="615" t="s">
        <v>649</v>
      </c>
      <c r="C1085" s="631">
        <f>SUM(C1081:C1084)</f>
        <v>192.89636876000003</v>
      </c>
      <c r="E1085" s="631">
        <f t="shared" si="185"/>
        <v>0.39366605869387761</v>
      </c>
      <c r="F1085" s="426" t="s">
        <v>1270</v>
      </c>
      <c r="G1085" s="669">
        <f>D896</f>
        <v>0</v>
      </c>
      <c r="Y1085" s="626"/>
    </row>
    <row r="1086" spans="1:25" s="426" customFormat="1" ht="12.75" x14ac:dyDescent="0.2">
      <c r="B1086" s="615"/>
      <c r="F1086" s="426" t="s">
        <v>1271</v>
      </c>
      <c r="G1086" s="669">
        <f>D855</f>
        <v>0</v>
      </c>
      <c r="Y1086" s="626"/>
    </row>
    <row r="1087" spans="1:25" s="426" customFormat="1" ht="12.75" x14ac:dyDescent="0.2">
      <c r="B1087" s="615" t="s">
        <v>648</v>
      </c>
      <c r="C1087" s="629">
        <f>L445</f>
        <v>3.9558547504000008</v>
      </c>
      <c r="E1087" s="629">
        <f>C1087/$C$3</f>
        <v>8.0731729600000014E-3</v>
      </c>
      <c r="F1087" s="426" t="s">
        <v>1272</v>
      </c>
      <c r="G1087" s="669">
        <f>D795</f>
        <v>0</v>
      </c>
      <c r="Y1087" s="626"/>
    </row>
    <row r="1088" spans="1:25" s="426" customFormat="1" ht="13.5" thickBot="1" x14ac:dyDescent="0.25">
      <c r="B1088" s="615" t="s">
        <v>643</v>
      </c>
      <c r="C1088" s="632">
        <f>'Marge tabel (4)'!O73</f>
        <v>18.325155032200001</v>
      </c>
      <c r="E1088" s="632">
        <f t="shared" ref="E1088:E1093" si="186">C1088/$C$3</f>
        <v>3.739827557591837E-2</v>
      </c>
      <c r="F1088" s="426" t="s">
        <v>1273</v>
      </c>
      <c r="G1088" s="669">
        <f>D629</f>
        <v>0</v>
      </c>
      <c r="Y1088" s="626"/>
    </row>
    <row r="1089" spans="2:25" s="426" customFormat="1" ht="13.5" thickBot="1" x14ac:dyDescent="0.25">
      <c r="B1089" s="615" t="s">
        <v>647</v>
      </c>
      <c r="C1089" s="631">
        <f>SUM(C1087:C1088)</f>
        <v>22.281009782600002</v>
      </c>
      <c r="E1089" s="631">
        <f t="shared" si="186"/>
        <v>4.547144853591837E-2</v>
      </c>
      <c r="F1089" s="426" t="s">
        <v>1274</v>
      </c>
      <c r="G1089" s="669">
        <f>D568</f>
        <v>0</v>
      </c>
      <c r="Y1089" s="626"/>
    </row>
    <row r="1090" spans="2:25" s="426" customFormat="1" ht="13.5" thickBot="1" x14ac:dyDescent="0.25">
      <c r="B1090" s="615"/>
      <c r="F1090" s="426" t="s">
        <v>1275</v>
      </c>
      <c r="G1090" s="669">
        <f>D500</f>
        <v>0</v>
      </c>
      <c r="Y1090" s="626"/>
    </row>
    <row r="1091" spans="2:25" s="426" customFormat="1" ht="13.5" thickBot="1" x14ac:dyDescent="0.25">
      <c r="B1091" s="615" t="s">
        <v>642</v>
      </c>
      <c r="C1091" s="906">
        <f>'Pallet en transport (4)'!E194</f>
        <v>75.320850000000007</v>
      </c>
      <c r="E1091" s="631">
        <f t="shared" si="186"/>
        <v>0.15371602040816329</v>
      </c>
      <c r="F1091" s="426" t="s">
        <v>1276</v>
      </c>
      <c r="G1091" s="669">
        <f>D715</f>
        <v>70</v>
      </c>
      <c r="Y1091" s="626"/>
    </row>
    <row r="1092" spans="2:25" s="426" customFormat="1" ht="13.5" thickBot="1" x14ac:dyDescent="0.25">
      <c r="B1092" s="615"/>
      <c r="G1092" s="669"/>
      <c r="Y1092" s="626"/>
    </row>
    <row r="1093" spans="2:25" s="426" customFormat="1" ht="13.5" thickBot="1" x14ac:dyDescent="0.25">
      <c r="B1093" s="615" t="s">
        <v>650</v>
      </c>
      <c r="C1093" s="631">
        <f>SUM(C1091+C1089+C1085)</f>
        <v>290.49822854260003</v>
      </c>
      <c r="E1093" s="631">
        <f t="shared" si="186"/>
        <v>0.59285352763795929</v>
      </c>
      <c r="Y1093" s="626"/>
    </row>
    <row r="1094" spans="2:25" s="426" customFormat="1" ht="13.5" thickBot="1" x14ac:dyDescent="0.25">
      <c r="B1094" s="615" t="s">
        <v>651</v>
      </c>
      <c r="C1094" s="820">
        <f>((C1093/C3)*J1075)+C1096</f>
        <v>0.59285352763795929</v>
      </c>
      <c r="E1094" s="957"/>
      <c r="Y1094" s="626"/>
    </row>
    <row r="1095" spans="2:25" s="426" customFormat="1" ht="12.75" x14ac:dyDescent="0.2">
      <c r="B1095" s="615"/>
      <c r="Y1095" s="626"/>
    </row>
    <row r="1096" spans="2:25" s="426" customFormat="1" ht="12.75" x14ac:dyDescent="0.2">
      <c r="B1096" s="615" t="s">
        <v>1527</v>
      </c>
      <c r="C1096" s="669">
        <f>Digitaaldruk!J40</f>
        <v>0</v>
      </c>
      <c r="Y1096" s="626"/>
    </row>
    <row r="1097" spans="2:25" s="426" customFormat="1" ht="12.75" x14ac:dyDescent="0.2">
      <c r="B1097" s="615"/>
      <c r="Y1097" s="626"/>
    </row>
    <row r="1098" spans="2:25" s="426" customFormat="1" ht="12.75" x14ac:dyDescent="0.2">
      <c r="B1098" s="615"/>
      <c r="Y1098" s="626"/>
    </row>
    <row r="1099" spans="2:25" s="426" customFormat="1" ht="12.75" x14ac:dyDescent="0.2">
      <c r="B1099" s="615"/>
      <c r="Y1099" s="626"/>
    </row>
    <row r="1100" spans="2:25" s="426" customFormat="1" ht="12.75" x14ac:dyDescent="0.2">
      <c r="B1100" s="615"/>
      <c r="Y1100" s="626"/>
    </row>
    <row r="1101" spans="2:25" s="426" customFormat="1" ht="12.75" x14ac:dyDescent="0.2">
      <c r="B1101" s="615"/>
      <c r="Y1101" s="626"/>
    </row>
    <row r="1102" spans="2:25" s="426" customFormat="1" ht="12.75" x14ac:dyDescent="0.2">
      <c r="B1102" s="615"/>
      <c r="Y1102" s="626"/>
    </row>
    <row r="1103" spans="2:25" s="426" customFormat="1" ht="12.75" x14ac:dyDescent="0.2">
      <c r="B1103" s="615"/>
      <c r="Y1103" s="626"/>
    </row>
    <row r="1104" spans="2:25" s="426" customFormat="1" ht="12.75" x14ac:dyDescent="0.2">
      <c r="B1104" s="615"/>
      <c r="Y1104" s="626"/>
    </row>
    <row r="1105" spans="2:25" s="426" customFormat="1" ht="12.75" x14ac:dyDescent="0.2">
      <c r="B1105" s="615"/>
      <c r="Y1105" s="626"/>
    </row>
    <row r="1106" spans="2:25" s="426" customFormat="1" ht="12.75" x14ac:dyDescent="0.2">
      <c r="B1106" s="615"/>
      <c r="Y1106" s="626"/>
    </row>
    <row r="1107" spans="2:25" s="426" customFormat="1" ht="12.75" x14ac:dyDescent="0.2">
      <c r="B1107" s="615"/>
      <c r="Y1107" s="626"/>
    </row>
    <row r="1108" spans="2:25" s="426" customFormat="1" ht="12.75" x14ac:dyDescent="0.2">
      <c r="B1108" s="615"/>
      <c r="Y1108" s="626"/>
    </row>
    <row r="1109" spans="2:25" s="426" customFormat="1" ht="12.75" x14ac:dyDescent="0.2">
      <c r="B1109" s="615"/>
      <c r="Y1109" s="626"/>
    </row>
    <row r="1110" spans="2:25" s="426" customFormat="1" ht="12.75" x14ac:dyDescent="0.2">
      <c r="B1110" s="615"/>
      <c r="Y1110" s="626"/>
    </row>
    <row r="1111" spans="2:25" s="426" customFormat="1" ht="12.75" x14ac:dyDescent="0.2">
      <c r="B1111" s="615"/>
      <c r="Y1111" s="626"/>
    </row>
    <row r="1112" spans="2:25" s="426" customFormat="1" ht="12.75" x14ac:dyDescent="0.2">
      <c r="B1112" s="615"/>
      <c r="Y1112" s="626"/>
    </row>
    <row r="1113" spans="2:25" s="426" customFormat="1" ht="12.75" x14ac:dyDescent="0.2">
      <c r="B1113" s="615"/>
      <c r="Y1113" s="626"/>
    </row>
    <row r="1114" spans="2:25" s="426" customFormat="1" ht="12.75" x14ac:dyDescent="0.2">
      <c r="B1114" s="615"/>
      <c r="Y1114" s="626"/>
    </row>
    <row r="1115" spans="2:25" s="426" customFormat="1" ht="12.75" x14ac:dyDescent="0.2">
      <c r="B1115" s="615"/>
      <c r="Y1115" s="626"/>
    </row>
    <row r="1116" spans="2:25" s="426" customFormat="1" ht="12.75" x14ac:dyDescent="0.2">
      <c r="B1116" s="615"/>
      <c r="Y1116" s="626"/>
    </row>
    <row r="1117" spans="2:25" s="426" customFormat="1" ht="12.75" x14ac:dyDescent="0.2">
      <c r="B1117" s="615"/>
      <c r="Y1117" s="626"/>
    </row>
    <row r="1118" spans="2:25" s="426" customFormat="1" ht="12.75" x14ac:dyDescent="0.2">
      <c r="B1118" s="615"/>
      <c r="Y1118" s="626"/>
    </row>
    <row r="1119" spans="2:25" s="426" customFormat="1" ht="12.75" x14ac:dyDescent="0.2">
      <c r="B1119" s="615"/>
      <c r="Y1119" s="626"/>
    </row>
    <row r="1120" spans="2:25" s="426" customFormat="1" ht="12.75" x14ac:dyDescent="0.2">
      <c r="B1120" s="615"/>
      <c r="Y1120" s="626"/>
    </row>
    <row r="1121" spans="2:25" s="426" customFormat="1" ht="12.75" x14ac:dyDescent="0.2">
      <c r="B1121" s="615"/>
      <c r="Y1121" s="626"/>
    </row>
    <row r="1122" spans="2:25" s="426" customFormat="1" ht="12.75" x14ac:dyDescent="0.2">
      <c r="B1122" s="615"/>
      <c r="Y1122" s="626"/>
    </row>
    <row r="1123" spans="2:25" s="426" customFormat="1" ht="12.75" x14ac:dyDescent="0.2">
      <c r="B1123" s="615"/>
      <c r="Y1123" s="626"/>
    </row>
    <row r="1124" spans="2:25" s="426" customFormat="1" ht="12.75" x14ac:dyDescent="0.2">
      <c r="B1124" s="615"/>
      <c r="Y1124" s="626"/>
    </row>
    <row r="1125" spans="2:25" s="426" customFormat="1" ht="12.75" x14ac:dyDescent="0.2">
      <c r="B1125" s="615"/>
      <c r="Y1125" s="626"/>
    </row>
    <row r="1126" spans="2:25" s="426" customFormat="1" ht="12.75" x14ac:dyDescent="0.2">
      <c r="B1126" s="615"/>
      <c r="Y1126" s="626"/>
    </row>
    <row r="1127" spans="2:25" s="426" customFormat="1" ht="12.75" x14ac:dyDescent="0.2">
      <c r="B1127" s="615"/>
      <c r="Y1127" s="626"/>
    </row>
    <row r="1128" spans="2:25" s="426" customFormat="1" ht="12.75" x14ac:dyDescent="0.2">
      <c r="B1128" s="615"/>
      <c r="Y1128" s="626"/>
    </row>
    <row r="1129" spans="2:25" s="426" customFormat="1" ht="12.75" x14ac:dyDescent="0.2">
      <c r="B1129" s="615"/>
      <c r="Y1129" s="626"/>
    </row>
    <row r="1130" spans="2:25" s="426" customFormat="1" ht="12.75" x14ac:dyDescent="0.2">
      <c r="B1130" s="615"/>
      <c r="Y1130" s="626"/>
    </row>
    <row r="1131" spans="2:25" s="426" customFormat="1" ht="12.75" x14ac:dyDescent="0.2">
      <c r="B1131" s="615"/>
      <c r="Y1131" s="626"/>
    </row>
    <row r="1132" spans="2:25" s="426" customFormat="1" ht="12.75" x14ac:dyDescent="0.2">
      <c r="B1132" s="615"/>
      <c r="Y1132" s="626"/>
    </row>
    <row r="1133" spans="2:25" s="426" customFormat="1" ht="12.75" x14ac:dyDescent="0.2">
      <c r="B1133" s="615"/>
      <c r="Y1133" s="626"/>
    </row>
    <row r="1134" spans="2:25" s="426" customFormat="1" ht="12.75" x14ac:dyDescent="0.2">
      <c r="B1134" s="615"/>
      <c r="Y1134" s="626"/>
    </row>
    <row r="1135" spans="2:25" s="426" customFormat="1" ht="12.75" x14ac:dyDescent="0.2">
      <c r="B1135" s="615"/>
      <c r="Y1135" s="626"/>
    </row>
    <row r="1136" spans="2:25" s="426" customFormat="1" ht="12.75" x14ac:dyDescent="0.2">
      <c r="B1136" s="615"/>
      <c r="Y1136" s="626"/>
    </row>
    <row r="1137" spans="2:25" s="426" customFormat="1" ht="12.75" x14ac:dyDescent="0.2">
      <c r="B1137" s="615"/>
      <c r="Y1137" s="626"/>
    </row>
    <row r="1138" spans="2:25" s="426" customFormat="1" ht="12.75" x14ac:dyDescent="0.2">
      <c r="B1138" s="615"/>
      <c r="Y1138" s="626"/>
    </row>
    <row r="1139" spans="2:25" s="426" customFormat="1" ht="12.75" x14ac:dyDescent="0.2">
      <c r="B1139" s="615"/>
      <c r="Y1139" s="626"/>
    </row>
    <row r="1140" spans="2:25" s="426" customFormat="1" ht="12.75" x14ac:dyDescent="0.2">
      <c r="B1140" s="615"/>
      <c r="Y1140" s="626"/>
    </row>
    <row r="1141" spans="2:25" s="426" customFormat="1" ht="12.75" x14ac:dyDescent="0.2">
      <c r="B1141" s="615"/>
      <c r="Y1141" s="626"/>
    </row>
    <row r="1142" spans="2:25" s="426" customFormat="1" ht="12.75" x14ac:dyDescent="0.2">
      <c r="B1142" s="615"/>
      <c r="Y1142" s="626"/>
    </row>
    <row r="1143" spans="2:25" s="426" customFormat="1" ht="12.75" x14ac:dyDescent="0.2">
      <c r="B1143" s="615"/>
      <c r="Y1143" s="626"/>
    </row>
    <row r="1144" spans="2:25" s="426" customFormat="1" ht="12.75" x14ac:dyDescent="0.2">
      <c r="B1144" s="615"/>
      <c r="Y1144" s="626"/>
    </row>
    <row r="1145" spans="2:25" s="426" customFormat="1" ht="12.75" x14ac:dyDescent="0.2">
      <c r="B1145" s="615"/>
      <c r="Y1145" s="626"/>
    </row>
    <row r="1146" spans="2:25" s="426" customFormat="1" ht="12.75" x14ac:dyDescent="0.2">
      <c r="B1146" s="615"/>
      <c r="Y1146" s="626"/>
    </row>
    <row r="1147" spans="2:25" s="426" customFormat="1" ht="12.75" x14ac:dyDescent="0.2">
      <c r="B1147" s="615"/>
      <c r="Y1147" s="626"/>
    </row>
    <row r="1148" spans="2:25" s="426" customFormat="1" ht="12.75" x14ac:dyDescent="0.2">
      <c r="B1148" s="615"/>
      <c r="Y1148" s="626"/>
    </row>
    <row r="1149" spans="2:25" s="426" customFormat="1" ht="12.75" x14ac:dyDescent="0.2">
      <c r="B1149" s="615"/>
      <c r="Y1149" s="626"/>
    </row>
    <row r="1150" spans="2:25" s="426" customFormat="1" ht="12.75" x14ac:dyDescent="0.2">
      <c r="B1150" s="615"/>
      <c r="Y1150" s="626"/>
    </row>
    <row r="1151" spans="2:25" s="426" customFormat="1" ht="12.75" x14ac:dyDescent="0.2">
      <c r="B1151" s="615"/>
      <c r="Y1151" s="626"/>
    </row>
    <row r="1152" spans="2:25" s="426" customFormat="1" ht="12.75" x14ac:dyDescent="0.2">
      <c r="B1152" s="615"/>
      <c r="Y1152" s="626"/>
    </row>
    <row r="1153" spans="2:25" s="426" customFormat="1" ht="12.75" x14ac:dyDescent="0.2">
      <c r="B1153" s="615"/>
      <c r="Y1153" s="626"/>
    </row>
    <row r="1154" spans="2:25" s="426" customFormat="1" ht="12.75" x14ac:dyDescent="0.2">
      <c r="B1154" s="615"/>
      <c r="Y1154" s="626"/>
    </row>
    <row r="1155" spans="2:25" s="426" customFormat="1" ht="12.75" x14ac:dyDescent="0.2">
      <c r="B1155" s="615"/>
      <c r="Y1155" s="626"/>
    </row>
    <row r="1156" spans="2:25" s="426" customFormat="1" ht="12.75" x14ac:dyDescent="0.2">
      <c r="B1156" s="615"/>
      <c r="Y1156" s="626"/>
    </row>
    <row r="1157" spans="2:25" s="426" customFormat="1" ht="12.75" x14ac:dyDescent="0.2">
      <c r="B1157" s="615"/>
      <c r="Y1157" s="626"/>
    </row>
    <row r="1158" spans="2:25" s="426" customFormat="1" ht="12.75" x14ac:dyDescent="0.2">
      <c r="B1158" s="615"/>
      <c r="Y1158" s="626"/>
    </row>
    <row r="1159" spans="2:25" s="426" customFormat="1" ht="12.75" x14ac:dyDescent="0.2">
      <c r="B1159" s="615"/>
      <c r="Y1159" s="626"/>
    </row>
    <row r="1160" spans="2:25" s="426" customFormat="1" ht="12.75" x14ac:dyDescent="0.2">
      <c r="B1160" s="615"/>
      <c r="Y1160" s="626"/>
    </row>
    <row r="1161" spans="2:25" s="426" customFormat="1" ht="12.75" x14ac:dyDescent="0.2">
      <c r="B1161" s="615"/>
      <c r="Y1161" s="626"/>
    </row>
    <row r="1162" spans="2:25" s="426" customFormat="1" ht="12.75" x14ac:dyDescent="0.2">
      <c r="B1162" s="615"/>
      <c r="Y1162" s="626"/>
    </row>
    <row r="1163" spans="2:25" s="426" customFormat="1" ht="12.75" x14ac:dyDescent="0.2">
      <c r="B1163" s="615"/>
      <c r="Y1163" s="626"/>
    </row>
    <row r="1164" spans="2:25" s="426" customFormat="1" ht="12.75" x14ac:dyDescent="0.2">
      <c r="B1164" s="615"/>
      <c r="Y1164" s="626"/>
    </row>
    <row r="1165" spans="2:25" s="426" customFormat="1" ht="12.75" x14ac:dyDescent="0.2">
      <c r="B1165" s="615"/>
      <c r="Y1165" s="626"/>
    </row>
    <row r="1166" spans="2:25" s="426" customFormat="1" ht="12.75" x14ac:dyDescent="0.2">
      <c r="B1166" s="615"/>
      <c r="Y1166" s="626"/>
    </row>
    <row r="1167" spans="2:25" s="426" customFormat="1" ht="12.75" x14ac:dyDescent="0.2">
      <c r="B1167" s="615"/>
      <c r="Y1167" s="626"/>
    </row>
    <row r="1168" spans="2:25" s="426" customFormat="1" ht="12.75" x14ac:dyDescent="0.2">
      <c r="B1168" s="615"/>
      <c r="Y1168" s="626"/>
    </row>
    <row r="1169" spans="2:25" s="426" customFormat="1" ht="12.75" x14ac:dyDescent="0.2">
      <c r="B1169" s="615"/>
      <c r="Y1169" s="626"/>
    </row>
    <row r="1170" spans="2:25" s="426" customFormat="1" ht="12.75" x14ac:dyDescent="0.2">
      <c r="B1170" s="615"/>
      <c r="Y1170" s="626"/>
    </row>
    <row r="1171" spans="2:25" s="426" customFormat="1" ht="12.75" x14ac:dyDescent="0.2">
      <c r="B1171" s="615"/>
      <c r="Y1171" s="626"/>
    </row>
    <row r="1172" spans="2:25" s="426" customFormat="1" ht="12.75" x14ac:dyDescent="0.2">
      <c r="B1172" s="615"/>
      <c r="Y1172" s="626"/>
    </row>
    <row r="1173" spans="2:25" s="426" customFormat="1" ht="12.75" x14ac:dyDescent="0.2">
      <c r="B1173" s="615"/>
      <c r="Y1173" s="626"/>
    </row>
    <row r="1174" spans="2:25" s="426" customFormat="1" ht="12.75" x14ac:dyDescent="0.2">
      <c r="B1174" s="615"/>
      <c r="Y1174" s="626"/>
    </row>
    <row r="1175" spans="2:25" s="426" customFormat="1" ht="12.75" x14ac:dyDescent="0.2">
      <c r="B1175" s="615"/>
      <c r="Y1175" s="626"/>
    </row>
    <row r="1176" spans="2:25" s="426" customFormat="1" ht="12.75" x14ac:dyDescent="0.2">
      <c r="B1176" s="615"/>
      <c r="Y1176" s="626"/>
    </row>
    <row r="1177" spans="2:25" s="426" customFormat="1" ht="12.75" x14ac:dyDescent="0.2">
      <c r="B1177" s="615"/>
      <c r="Y1177" s="626"/>
    </row>
    <row r="1178" spans="2:25" s="426" customFormat="1" ht="12.75" x14ac:dyDescent="0.2">
      <c r="B1178" s="615"/>
      <c r="Y1178" s="626"/>
    </row>
    <row r="1179" spans="2:25" s="426" customFormat="1" ht="12.75" x14ac:dyDescent="0.2">
      <c r="B1179" s="615"/>
      <c r="Y1179" s="626"/>
    </row>
    <row r="1180" spans="2:25" s="426" customFormat="1" ht="12.75" x14ac:dyDescent="0.2">
      <c r="B1180" s="615"/>
      <c r="Y1180" s="626"/>
    </row>
    <row r="1181" spans="2:25" s="426" customFormat="1" ht="12.75" x14ac:dyDescent="0.2">
      <c r="B1181" s="615"/>
      <c r="Y1181" s="626"/>
    </row>
    <row r="1182" spans="2:25" s="426" customFormat="1" ht="12.75" x14ac:dyDescent="0.2">
      <c r="B1182" s="615"/>
      <c r="Y1182" s="626"/>
    </row>
    <row r="1183" spans="2:25" s="426" customFormat="1" ht="12.75" x14ac:dyDescent="0.2">
      <c r="B1183" s="615"/>
      <c r="Y1183" s="626"/>
    </row>
    <row r="1184" spans="2:25" s="426" customFormat="1" ht="12.75" x14ac:dyDescent="0.2">
      <c r="B1184" s="615"/>
      <c r="Y1184" s="626"/>
    </row>
    <row r="1185" spans="2:25" s="426" customFormat="1" ht="12.75" x14ac:dyDescent="0.2">
      <c r="B1185" s="615"/>
      <c r="Y1185" s="626"/>
    </row>
    <row r="1186" spans="2:25" s="426" customFormat="1" ht="12.75" x14ac:dyDescent="0.2">
      <c r="B1186" s="615"/>
      <c r="Y1186" s="626"/>
    </row>
    <row r="1187" spans="2:25" s="426" customFormat="1" ht="12.75" x14ac:dyDescent="0.2">
      <c r="B1187" s="615"/>
      <c r="Y1187" s="626"/>
    </row>
    <row r="1188" spans="2:25" s="426" customFormat="1" ht="12.75" x14ac:dyDescent="0.2">
      <c r="B1188" s="615"/>
      <c r="Y1188" s="626"/>
    </row>
    <row r="1189" spans="2:25" s="426" customFormat="1" ht="12.75" x14ac:dyDescent="0.2">
      <c r="B1189" s="615"/>
      <c r="Y1189" s="626"/>
    </row>
    <row r="1190" spans="2:25" s="426" customFormat="1" ht="12.75" x14ac:dyDescent="0.2">
      <c r="B1190" s="615"/>
      <c r="Y1190" s="626"/>
    </row>
    <row r="1191" spans="2:25" s="426" customFormat="1" ht="12.75" x14ac:dyDescent="0.2">
      <c r="B1191" s="615"/>
      <c r="Y1191" s="626"/>
    </row>
    <row r="1192" spans="2:25" s="426" customFormat="1" ht="12.75" x14ac:dyDescent="0.2">
      <c r="B1192" s="615"/>
      <c r="Y1192" s="626"/>
    </row>
    <row r="1193" spans="2:25" s="426" customFormat="1" ht="12.75" x14ac:dyDescent="0.2">
      <c r="B1193" s="615"/>
      <c r="Y1193" s="626"/>
    </row>
    <row r="1194" spans="2:25" s="426" customFormat="1" ht="12.75" x14ac:dyDescent="0.2">
      <c r="B1194" s="615"/>
      <c r="Y1194" s="626"/>
    </row>
    <row r="1195" spans="2:25" s="426" customFormat="1" ht="12.75" x14ac:dyDescent="0.2">
      <c r="B1195" s="615"/>
      <c r="Y1195" s="626"/>
    </row>
    <row r="1196" spans="2:25" s="426" customFormat="1" ht="12.75" x14ac:dyDescent="0.2">
      <c r="B1196" s="615"/>
      <c r="Y1196" s="626"/>
    </row>
    <row r="1197" spans="2:25" s="426" customFormat="1" ht="12.75" x14ac:dyDescent="0.2">
      <c r="B1197" s="615"/>
      <c r="Y1197" s="626"/>
    </row>
    <row r="1198" spans="2:25" s="426" customFormat="1" ht="12.75" x14ac:dyDescent="0.2">
      <c r="B1198" s="615"/>
      <c r="Y1198" s="626"/>
    </row>
    <row r="1199" spans="2:25" s="426" customFormat="1" ht="12.75" x14ac:dyDescent="0.2">
      <c r="B1199" s="615"/>
      <c r="Y1199" s="626"/>
    </row>
    <row r="1200" spans="2:25" s="426" customFormat="1" ht="12.75" x14ac:dyDescent="0.2">
      <c r="B1200" s="615"/>
      <c r="Y1200" s="626"/>
    </row>
    <row r="1201" spans="2:25" s="426" customFormat="1" ht="12.75" x14ac:dyDescent="0.2">
      <c r="B1201" s="615"/>
      <c r="Y1201" s="626"/>
    </row>
    <row r="1202" spans="2:25" s="426" customFormat="1" ht="12.75" x14ac:dyDescent="0.2">
      <c r="B1202" s="615"/>
      <c r="Y1202" s="626"/>
    </row>
    <row r="1203" spans="2:25" s="426" customFormat="1" ht="12.75" x14ac:dyDescent="0.2">
      <c r="B1203" s="615"/>
      <c r="Y1203" s="626"/>
    </row>
    <row r="1204" spans="2:25" s="426" customFormat="1" ht="12.75" x14ac:dyDescent="0.2">
      <c r="B1204" s="615"/>
      <c r="Y1204" s="626"/>
    </row>
    <row r="1205" spans="2:25" s="426" customFormat="1" ht="12.75" x14ac:dyDescent="0.2">
      <c r="B1205" s="615"/>
      <c r="Y1205" s="626"/>
    </row>
    <row r="1206" spans="2:25" s="426" customFormat="1" ht="12.75" x14ac:dyDescent="0.2">
      <c r="B1206" s="615"/>
      <c r="Y1206" s="626"/>
    </row>
    <row r="1207" spans="2:25" s="426" customFormat="1" ht="12.75" x14ac:dyDescent="0.2">
      <c r="B1207" s="615"/>
      <c r="Y1207" s="626"/>
    </row>
    <row r="1208" spans="2:25" s="426" customFormat="1" ht="12.75" x14ac:dyDescent="0.2">
      <c r="B1208" s="615"/>
      <c r="Y1208" s="626"/>
    </row>
    <row r="1209" spans="2:25" s="426" customFormat="1" ht="12.75" x14ac:dyDescent="0.2">
      <c r="B1209" s="615"/>
      <c r="Y1209" s="626"/>
    </row>
    <row r="1210" spans="2:25" s="426" customFormat="1" ht="12.75" x14ac:dyDescent="0.2">
      <c r="B1210" s="615"/>
      <c r="Y1210" s="626"/>
    </row>
    <row r="1211" spans="2:25" s="426" customFormat="1" ht="12.75" x14ac:dyDescent="0.2">
      <c r="B1211" s="615"/>
      <c r="Y1211" s="626"/>
    </row>
    <row r="1212" spans="2:25" s="426" customFormat="1" ht="12.75" x14ac:dyDescent="0.2">
      <c r="B1212" s="615"/>
      <c r="Y1212" s="626"/>
    </row>
    <row r="1213" spans="2:25" s="426" customFormat="1" ht="12.75" x14ac:dyDescent="0.2">
      <c r="B1213" s="615"/>
      <c r="Y1213" s="626"/>
    </row>
    <row r="1214" spans="2:25" s="426" customFormat="1" ht="12.75" x14ac:dyDescent="0.2">
      <c r="B1214" s="615"/>
      <c r="Y1214" s="626"/>
    </row>
    <row r="1215" spans="2:25" s="426" customFormat="1" ht="12.75" x14ac:dyDescent="0.2">
      <c r="B1215" s="615"/>
      <c r="Y1215" s="626"/>
    </row>
    <row r="1216" spans="2:25" s="426" customFormat="1" ht="12.75" x14ac:dyDescent="0.2">
      <c r="B1216" s="615"/>
      <c r="Y1216" s="626"/>
    </row>
    <row r="1217" spans="2:25" s="426" customFormat="1" ht="12.75" x14ac:dyDescent="0.2">
      <c r="B1217" s="615"/>
      <c r="Y1217" s="626"/>
    </row>
    <row r="1218" spans="2:25" s="426" customFormat="1" ht="12.75" x14ac:dyDescent="0.2">
      <c r="B1218" s="615"/>
      <c r="Y1218" s="626"/>
    </row>
    <row r="1219" spans="2:25" s="426" customFormat="1" ht="12.75" x14ac:dyDescent="0.2">
      <c r="B1219" s="615"/>
      <c r="Y1219" s="626"/>
    </row>
    <row r="1220" spans="2:25" s="426" customFormat="1" ht="12.75" x14ac:dyDescent="0.2">
      <c r="B1220" s="615"/>
      <c r="Y1220" s="626"/>
    </row>
    <row r="1221" spans="2:25" s="426" customFormat="1" ht="12.75" x14ac:dyDescent="0.2">
      <c r="B1221" s="615"/>
      <c r="Y1221" s="626"/>
    </row>
    <row r="1222" spans="2:25" s="426" customFormat="1" ht="12.75" x14ac:dyDescent="0.2">
      <c r="B1222" s="615"/>
      <c r="Y1222" s="626"/>
    </row>
    <row r="1223" spans="2:25" s="426" customFormat="1" ht="12.75" x14ac:dyDescent="0.2">
      <c r="B1223" s="615"/>
      <c r="Y1223" s="626"/>
    </row>
    <row r="1224" spans="2:25" s="426" customFormat="1" ht="12.75" x14ac:dyDescent="0.2">
      <c r="B1224" s="615"/>
      <c r="Y1224" s="626"/>
    </row>
    <row r="1225" spans="2:25" s="426" customFormat="1" ht="12.75" x14ac:dyDescent="0.2">
      <c r="B1225" s="615"/>
      <c r="Y1225" s="626"/>
    </row>
    <row r="1226" spans="2:25" s="426" customFormat="1" ht="12.75" x14ac:dyDescent="0.2">
      <c r="B1226" s="615"/>
      <c r="Y1226" s="626"/>
    </row>
    <row r="1227" spans="2:25" s="426" customFormat="1" ht="12.75" x14ac:dyDescent="0.2">
      <c r="B1227" s="615"/>
      <c r="Y1227" s="626"/>
    </row>
    <row r="1228" spans="2:25" s="426" customFormat="1" ht="12.75" x14ac:dyDescent="0.2">
      <c r="B1228" s="615"/>
      <c r="Y1228" s="626"/>
    </row>
    <row r="1229" spans="2:25" s="426" customFormat="1" ht="12.75" x14ac:dyDescent="0.2">
      <c r="B1229" s="615"/>
      <c r="Y1229" s="626"/>
    </row>
    <row r="1230" spans="2:25" s="426" customFormat="1" ht="12.75" x14ac:dyDescent="0.2">
      <c r="B1230" s="615"/>
      <c r="Y1230" s="626"/>
    </row>
    <row r="1231" spans="2:25" s="426" customFormat="1" ht="12.75" x14ac:dyDescent="0.2">
      <c r="B1231" s="615"/>
      <c r="Y1231" s="626"/>
    </row>
    <row r="1232" spans="2:25" s="426" customFormat="1" ht="12.75" x14ac:dyDescent="0.2">
      <c r="B1232" s="615"/>
      <c r="Y1232" s="626"/>
    </row>
    <row r="1233" spans="2:25" s="426" customFormat="1" ht="12.75" x14ac:dyDescent="0.2">
      <c r="B1233" s="615"/>
      <c r="Y1233" s="626"/>
    </row>
    <row r="1234" spans="2:25" s="426" customFormat="1" ht="12.75" x14ac:dyDescent="0.2">
      <c r="B1234" s="615"/>
      <c r="Y1234" s="626"/>
    </row>
    <row r="1235" spans="2:25" s="426" customFormat="1" ht="12.75" x14ac:dyDescent="0.2">
      <c r="B1235" s="615"/>
      <c r="Y1235" s="626"/>
    </row>
    <row r="1236" spans="2:25" s="426" customFormat="1" ht="12.75" x14ac:dyDescent="0.2">
      <c r="B1236" s="615"/>
      <c r="Y1236" s="626"/>
    </row>
    <row r="1237" spans="2:25" s="426" customFormat="1" ht="12.75" x14ac:dyDescent="0.2">
      <c r="B1237" s="615"/>
      <c r="Y1237" s="626"/>
    </row>
    <row r="1238" spans="2:25" s="426" customFormat="1" ht="12.75" x14ac:dyDescent="0.2">
      <c r="B1238" s="615"/>
      <c r="Y1238" s="626"/>
    </row>
    <row r="1239" spans="2:25" s="426" customFormat="1" ht="12.75" x14ac:dyDescent="0.2">
      <c r="B1239" s="615"/>
      <c r="Y1239" s="626"/>
    </row>
    <row r="1240" spans="2:25" s="426" customFormat="1" ht="12.75" x14ac:dyDescent="0.2">
      <c r="B1240" s="615"/>
      <c r="Y1240" s="626"/>
    </row>
    <row r="1241" spans="2:25" s="426" customFormat="1" ht="12.75" x14ac:dyDescent="0.2">
      <c r="B1241" s="615"/>
      <c r="Y1241" s="626"/>
    </row>
    <row r="1242" spans="2:25" s="426" customFormat="1" ht="12.75" x14ac:dyDescent="0.2">
      <c r="B1242" s="615"/>
      <c r="Y1242" s="626"/>
    </row>
    <row r="1243" spans="2:25" s="426" customFormat="1" ht="12.75" x14ac:dyDescent="0.2">
      <c r="B1243" s="615"/>
      <c r="Y1243" s="626"/>
    </row>
    <row r="1244" spans="2:25" s="426" customFormat="1" ht="12.75" x14ac:dyDescent="0.2">
      <c r="B1244" s="615"/>
      <c r="Y1244" s="626"/>
    </row>
    <row r="1245" spans="2:25" s="426" customFormat="1" ht="12.75" x14ac:dyDescent="0.2">
      <c r="B1245" s="615"/>
      <c r="Y1245" s="626"/>
    </row>
    <row r="1246" spans="2:25" s="426" customFormat="1" ht="12.75" x14ac:dyDescent="0.2">
      <c r="B1246" s="615"/>
      <c r="Y1246" s="626"/>
    </row>
    <row r="1247" spans="2:25" s="426" customFormat="1" ht="12.75" x14ac:dyDescent="0.2">
      <c r="B1247" s="615"/>
      <c r="Y1247" s="626"/>
    </row>
    <row r="1248" spans="2:25" s="426" customFormat="1" ht="12.75" x14ac:dyDescent="0.2">
      <c r="B1248" s="615"/>
      <c r="Y1248" s="626"/>
    </row>
    <row r="1249" spans="2:25" s="426" customFormat="1" ht="12.75" x14ac:dyDescent="0.2">
      <c r="B1249" s="615"/>
      <c r="Y1249" s="626"/>
    </row>
    <row r="1250" spans="2:25" s="426" customFormat="1" ht="12.75" x14ac:dyDescent="0.2">
      <c r="B1250" s="615"/>
      <c r="Y1250" s="626"/>
    </row>
    <row r="1251" spans="2:25" s="426" customFormat="1" ht="12.75" x14ac:dyDescent="0.2">
      <c r="B1251" s="615"/>
      <c r="Y1251" s="626"/>
    </row>
    <row r="1252" spans="2:25" s="426" customFormat="1" ht="12.75" x14ac:dyDescent="0.2">
      <c r="B1252" s="615"/>
      <c r="Y1252" s="626"/>
    </row>
    <row r="1253" spans="2:25" s="426" customFormat="1" ht="12.75" x14ac:dyDescent="0.2">
      <c r="B1253" s="615"/>
      <c r="Y1253" s="626"/>
    </row>
    <row r="1254" spans="2:25" s="426" customFormat="1" ht="12.75" x14ac:dyDescent="0.2">
      <c r="B1254" s="615"/>
      <c r="Y1254" s="626"/>
    </row>
    <row r="1255" spans="2:25" s="426" customFormat="1" ht="12.75" x14ac:dyDescent="0.2">
      <c r="B1255" s="615"/>
      <c r="Y1255" s="626"/>
    </row>
    <row r="1256" spans="2:25" s="426" customFormat="1" ht="12.75" x14ac:dyDescent="0.2">
      <c r="B1256" s="615"/>
      <c r="Y1256" s="626"/>
    </row>
    <row r="1257" spans="2:25" s="426" customFormat="1" ht="12.75" x14ac:dyDescent="0.2">
      <c r="B1257" s="615"/>
      <c r="Y1257" s="626"/>
    </row>
    <row r="1258" spans="2:25" s="426" customFormat="1" ht="12.75" x14ac:dyDescent="0.2">
      <c r="B1258" s="615"/>
      <c r="Y1258" s="626"/>
    </row>
    <row r="1259" spans="2:25" s="426" customFormat="1" ht="12.75" x14ac:dyDescent="0.2">
      <c r="B1259" s="615"/>
      <c r="Y1259" s="626"/>
    </row>
    <row r="1260" spans="2:25" s="426" customFormat="1" ht="12.75" x14ac:dyDescent="0.2">
      <c r="B1260" s="615"/>
      <c r="Y1260" s="626"/>
    </row>
    <row r="1261" spans="2:25" s="426" customFormat="1" ht="12.75" x14ac:dyDescent="0.2">
      <c r="B1261" s="615"/>
      <c r="Y1261" s="626"/>
    </row>
    <row r="1262" spans="2:25" s="426" customFormat="1" ht="12.75" x14ac:dyDescent="0.2">
      <c r="B1262" s="615"/>
      <c r="Y1262" s="626"/>
    </row>
    <row r="1263" spans="2:25" s="426" customFormat="1" ht="12.75" x14ac:dyDescent="0.2">
      <c r="B1263" s="615"/>
      <c r="Y1263" s="626"/>
    </row>
    <row r="1264" spans="2:25" s="426" customFormat="1" ht="12.75" x14ac:dyDescent="0.2">
      <c r="B1264" s="615"/>
      <c r="Y1264" s="626"/>
    </row>
    <row r="1265" spans="2:25" s="426" customFormat="1" ht="12.75" x14ac:dyDescent="0.2">
      <c r="B1265" s="615"/>
      <c r="Y1265" s="626"/>
    </row>
    <row r="1266" spans="2:25" s="426" customFormat="1" ht="12.75" x14ac:dyDescent="0.2">
      <c r="B1266" s="615"/>
      <c r="Y1266" s="626"/>
    </row>
    <row r="1267" spans="2:25" s="426" customFormat="1" ht="12.75" x14ac:dyDescent="0.2">
      <c r="B1267" s="615"/>
      <c r="Y1267" s="626"/>
    </row>
    <row r="1268" spans="2:25" s="426" customFormat="1" ht="12.75" x14ac:dyDescent="0.2">
      <c r="B1268" s="615"/>
      <c r="Y1268" s="626"/>
    </row>
    <row r="1269" spans="2:25" s="426" customFormat="1" ht="12.75" x14ac:dyDescent="0.2">
      <c r="B1269" s="615"/>
      <c r="Y1269" s="626"/>
    </row>
    <row r="1270" spans="2:25" s="426" customFormat="1" ht="12.75" x14ac:dyDescent="0.2">
      <c r="B1270" s="615"/>
      <c r="Y1270" s="626"/>
    </row>
    <row r="1271" spans="2:25" s="426" customFormat="1" ht="12.75" x14ac:dyDescent="0.2">
      <c r="B1271" s="615"/>
      <c r="Y1271" s="626"/>
    </row>
    <row r="1272" spans="2:25" s="426" customFormat="1" ht="12.75" x14ac:dyDescent="0.2">
      <c r="B1272" s="615"/>
      <c r="Y1272" s="626"/>
    </row>
    <row r="1273" spans="2:25" s="426" customFormat="1" ht="12.75" x14ac:dyDescent="0.2">
      <c r="B1273" s="615"/>
      <c r="Y1273" s="626"/>
    </row>
    <row r="1274" spans="2:25" s="426" customFormat="1" ht="12.75" x14ac:dyDescent="0.2">
      <c r="B1274" s="615"/>
      <c r="Y1274" s="626"/>
    </row>
    <row r="1275" spans="2:25" s="426" customFormat="1" ht="12.75" x14ac:dyDescent="0.2">
      <c r="B1275" s="615"/>
      <c r="Y1275" s="626"/>
    </row>
    <row r="1276" spans="2:25" s="426" customFormat="1" ht="12.75" x14ac:dyDescent="0.2">
      <c r="B1276" s="615"/>
      <c r="Y1276" s="626"/>
    </row>
    <row r="1277" spans="2:25" s="426" customFormat="1" ht="12.75" x14ac:dyDescent="0.2">
      <c r="B1277" s="615"/>
      <c r="Y1277" s="626"/>
    </row>
    <row r="1278" spans="2:25" s="426" customFormat="1" ht="12.75" x14ac:dyDescent="0.2">
      <c r="B1278" s="615"/>
      <c r="Y1278" s="626"/>
    </row>
    <row r="1279" spans="2:25" s="426" customFormat="1" ht="12.75" x14ac:dyDescent="0.2">
      <c r="B1279" s="615"/>
      <c r="Y1279" s="626"/>
    </row>
    <row r="1280" spans="2:25" s="426" customFormat="1" ht="12.75" x14ac:dyDescent="0.2">
      <c r="B1280" s="615"/>
      <c r="Y1280" s="626"/>
    </row>
    <row r="1281" spans="2:25" s="426" customFormat="1" ht="12.75" x14ac:dyDescent="0.2">
      <c r="B1281" s="615"/>
      <c r="Y1281" s="626"/>
    </row>
    <row r="1282" spans="2:25" s="426" customFormat="1" ht="12.75" x14ac:dyDescent="0.2">
      <c r="B1282" s="615"/>
      <c r="Y1282" s="626"/>
    </row>
    <row r="1283" spans="2:25" s="426" customFormat="1" ht="12.75" x14ac:dyDescent="0.2">
      <c r="B1283" s="615"/>
      <c r="Y1283" s="626"/>
    </row>
    <row r="1284" spans="2:25" s="426" customFormat="1" ht="12.75" x14ac:dyDescent="0.2">
      <c r="B1284" s="615"/>
      <c r="Y1284" s="626"/>
    </row>
    <row r="1285" spans="2:25" s="426" customFormat="1" ht="12.75" x14ac:dyDescent="0.2">
      <c r="B1285" s="615"/>
      <c r="Y1285" s="626"/>
    </row>
    <row r="1286" spans="2:25" s="426" customFormat="1" ht="12.75" x14ac:dyDescent="0.2">
      <c r="B1286" s="615"/>
      <c r="Y1286" s="626"/>
    </row>
    <row r="1287" spans="2:25" s="426" customFormat="1" ht="12.75" x14ac:dyDescent="0.2">
      <c r="B1287" s="615"/>
      <c r="Y1287" s="626"/>
    </row>
    <row r="1288" spans="2:25" s="426" customFormat="1" ht="12.75" x14ac:dyDescent="0.2">
      <c r="B1288" s="615"/>
      <c r="Y1288" s="626"/>
    </row>
    <row r="1289" spans="2:25" s="426" customFormat="1" ht="12.75" x14ac:dyDescent="0.2">
      <c r="B1289" s="615"/>
      <c r="Y1289" s="626"/>
    </row>
    <row r="1290" spans="2:25" s="426" customFormat="1" ht="12.75" x14ac:dyDescent="0.2">
      <c r="B1290" s="615"/>
      <c r="Y1290" s="626"/>
    </row>
    <row r="1291" spans="2:25" s="426" customFormat="1" ht="12.75" x14ac:dyDescent="0.2">
      <c r="B1291" s="615"/>
      <c r="Y1291" s="626"/>
    </row>
    <row r="1292" spans="2:25" s="426" customFormat="1" ht="12.75" x14ac:dyDescent="0.2">
      <c r="B1292" s="615"/>
      <c r="Y1292" s="626"/>
    </row>
    <row r="1293" spans="2:25" s="426" customFormat="1" ht="12.75" x14ac:dyDescent="0.2">
      <c r="B1293" s="615"/>
      <c r="Y1293" s="626"/>
    </row>
    <row r="1294" spans="2:25" s="426" customFormat="1" ht="12.75" x14ac:dyDescent="0.2">
      <c r="B1294" s="615"/>
      <c r="Y1294" s="626"/>
    </row>
    <row r="1295" spans="2:25" s="426" customFormat="1" ht="12.75" x14ac:dyDescent="0.2">
      <c r="B1295" s="615"/>
      <c r="Y1295" s="626"/>
    </row>
    <row r="1296" spans="2:25" s="426" customFormat="1" ht="12.75" x14ac:dyDescent="0.2">
      <c r="B1296" s="615"/>
      <c r="Y1296" s="626"/>
    </row>
    <row r="1297" spans="2:25" s="426" customFormat="1" ht="12.75" x14ac:dyDescent="0.2">
      <c r="B1297" s="615"/>
      <c r="Y1297" s="626"/>
    </row>
    <row r="1298" spans="2:25" s="426" customFormat="1" ht="12.75" x14ac:dyDescent="0.2">
      <c r="B1298" s="615"/>
      <c r="Y1298" s="626"/>
    </row>
    <row r="1299" spans="2:25" s="426" customFormat="1" ht="12.75" x14ac:dyDescent="0.2">
      <c r="B1299" s="615"/>
      <c r="Y1299" s="626"/>
    </row>
    <row r="1300" spans="2:25" s="426" customFormat="1" ht="12.75" x14ac:dyDescent="0.2">
      <c r="B1300" s="615"/>
      <c r="Y1300" s="626"/>
    </row>
    <row r="1301" spans="2:25" s="426" customFormat="1" ht="12.75" x14ac:dyDescent="0.2">
      <c r="B1301" s="615"/>
      <c r="Y1301" s="626"/>
    </row>
    <row r="1302" spans="2:25" s="426" customFormat="1" ht="12.75" x14ac:dyDescent="0.2">
      <c r="B1302" s="615"/>
      <c r="Y1302" s="626"/>
    </row>
    <row r="1303" spans="2:25" s="426" customFormat="1" ht="12.75" x14ac:dyDescent="0.2">
      <c r="B1303" s="615"/>
      <c r="Y1303" s="626"/>
    </row>
    <row r="1304" spans="2:25" s="426" customFormat="1" ht="12.75" x14ac:dyDescent="0.2">
      <c r="B1304" s="615"/>
      <c r="Y1304" s="626"/>
    </row>
    <row r="1305" spans="2:25" s="426" customFormat="1" ht="12.75" x14ac:dyDescent="0.2">
      <c r="B1305" s="615"/>
      <c r="Y1305" s="626"/>
    </row>
    <row r="1306" spans="2:25" s="426" customFormat="1" ht="12.75" x14ac:dyDescent="0.2">
      <c r="B1306" s="615"/>
      <c r="Y1306" s="626"/>
    </row>
    <row r="1307" spans="2:25" s="426" customFormat="1" ht="12.75" x14ac:dyDescent="0.2">
      <c r="B1307" s="615"/>
      <c r="Y1307" s="626"/>
    </row>
    <row r="1308" spans="2:25" s="426" customFormat="1" ht="12.75" x14ac:dyDescent="0.2">
      <c r="B1308" s="615"/>
      <c r="Y1308" s="626"/>
    </row>
    <row r="1309" spans="2:25" s="426" customFormat="1" ht="12.75" x14ac:dyDescent="0.2">
      <c r="B1309" s="615"/>
      <c r="Y1309" s="626"/>
    </row>
    <row r="1310" spans="2:25" s="426" customFormat="1" ht="12.75" x14ac:dyDescent="0.2">
      <c r="B1310" s="615"/>
      <c r="Y1310" s="626"/>
    </row>
    <row r="1311" spans="2:25" s="426" customFormat="1" ht="12.75" x14ac:dyDescent="0.2">
      <c r="B1311" s="615"/>
      <c r="Y1311" s="626"/>
    </row>
    <row r="1312" spans="2:25" s="426" customFormat="1" ht="12.75" x14ac:dyDescent="0.2">
      <c r="B1312" s="615"/>
      <c r="Y1312" s="626"/>
    </row>
    <row r="1313" spans="2:25" s="426" customFormat="1" ht="12.75" x14ac:dyDescent="0.2">
      <c r="B1313" s="615"/>
      <c r="Y1313" s="626"/>
    </row>
    <row r="1314" spans="2:25" s="426" customFormat="1" ht="12.75" x14ac:dyDescent="0.2">
      <c r="B1314" s="615"/>
      <c r="Y1314" s="626"/>
    </row>
    <row r="1315" spans="2:25" s="426" customFormat="1" ht="12.75" x14ac:dyDescent="0.2">
      <c r="B1315" s="615"/>
      <c r="Y1315" s="626"/>
    </row>
    <row r="1316" spans="2:25" s="426" customFormat="1" ht="12.75" x14ac:dyDescent="0.2">
      <c r="B1316" s="615"/>
      <c r="Y1316" s="626"/>
    </row>
    <row r="1317" spans="2:25" s="426" customFormat="1" ht="12.75" x14ac:dyDescent="0.2">
      <c r="B1317" s="615"/>
      <c r="Y1317" s="626"/>
    </row>
    <row r="1318" spans="2:25" s="426" customFormat="1" ht="12.75" x14ac:dyDescent="0.2">
      <c r="B1318" s="615"/>
      <c r="Y1318" s="626"/>
    </row>
    <row r="1319" spans="2:25" s="426" customFormat="1" ht="12.75" x14ac:dyDescent="0.2">
      <c r="B1319" s="615"/>
      <c r="Y1319" s="626"/>
    </row>
    <row r="1320" spans="2:25" s="426" customFormat="1" ht="12.75" x14ac:dyDescent="0.2">
      <c r="B1320" s="615"/>
      <c r="Y1320" s="626"/>
    </row>
    <row r="1321" spans="2:25" s="426" customFormat="1" ht="12.75" x14ac:dyDescent="0.2">
      <c r="B1321" s="615"/>
      <c r="Y1321" s="626"/>
    </row>
    <row r="1322" spans="2:25" s="426" customFormat="1" ht="12.75" x14ac:dyDescent="0.2">
      <c r="B1322" s="615"/>
      <c r="Y1322" s="626"/>
    </row>
    <row r="1323" spans="2:25" s="426" customFormat="1" ht="12.75" x14ac:dyDescent="0.2">
      <c r="B1323" s="615"/>
      <c r="Y1323" s="626"/>
    </row>
    <row r="1324" spans="2:25" s="426" customFormat="1" ht="12.75" x14ac:dyDescent="0.2">
      <c r="B1324" s="615"/>
      <c r="Y1324" s="626"/>
    </row>
    <row r="1325" spans="2:25" s="426" customFormat="1" ht="12.75" x14ac:dyDescent="0.2">
      <c r="B1325" s="615"/>
      <c r="Y1325" s="626"/>
    </row>
    <row r="1326" spans="2:25" s="426" customFormat="1" ht="12.75" x14ac:dyDescent="0.2">
      <c r="B1326" s="615"/>
      <c r="Y1326" s="626"/>
    </row>
    <row r="1327" spans="2:25" s="426" customFormat="1" ht="12.75" x14ac:dyDescent="0.2">
      <c r="B1327" s="615"/>
      <c r="Y1327" s="626"/>
    </row>
    <row r="1328" spans="2:25" s="426" customFormat="1" ht="12.75" x14ac:dyDescent="0.2">
      <c r="B1328" s="615"/>
      <c r="Y1328" s="626"/>
    </row>
    <row r="1329" spans="2:25" s="426" customFormat="1" ht="12.75" x14ac:dyDescent="0.2">
      <c r="B1329" s="615"/>
      <c r="Y1329" s="626"/>
    </row>
    <row r="1330" spans="2:25" s="426" customFormat="1" ht="12.75" x14ac:dyDescent="0.2">
      <c r="B1330" s="615"/>
      <c r="Y1330" s="626"/>
    </row>
    <row r="1331" spans="2:25" s="426" customFormat="1" ht="12.75" x14ac:dyDescent="0.2">
      <c r="B1331" s="615"/>
      <c r="Y1331" s="626"/>
    </row>
    <row r="1332" spans="2:25" s="426" customFormat="1" ht="12.75" x14ac:dyDescent="0.2">
      <c r="B1332" s="615"/>
      <c r="Y1332" s="626"/>
    </row>
    <row r="1333" spans="2:25" s="426" customFormat="1" ht="12.75" x14ac:dyDescent="0.2">
      <c r="B1333" s="615"/>
      <c r="Y1333" s="626"/>
    </row>
    <row r="1334" spans="2:25" s="426" customFormat="1" ht="12.75" x14ac:dyDescent="0.2">
      <c r="B1334" s="615"/>
      <c r="Y1334" s="626"/>
    </row>
    <row r="1335" spans="2:25" s="426" customFormat="1" ht="12.75" x14ac:dyDescent="0.2">
      <c r="B1335" s="615"/>
      <c r="Y1335" s="626"/>
    </row>
    <row r="1336" spans="2:25" s="426" customFormat="1" ht="12.75" x14ac:dyDescent="0.2">
      <c r="B1336" s="615"/>
      <c r="Y1336" s="626"/>
    </row>
    <row r="1337" spans="2:25" s="426" customFormat="1" ht="12.75" x14ac:dyDescent="0.2">
      <c r="B1337" s="615"/>
      <c r="Y1337" s="626"/>
    </row>
    <row r="1338" spans="2:25" s="426" customFormat="1" ht="12.75" x14ac:dyDescent="0.2">
      <c r="B1338" s="615"/>
      <c r="Y1338" s="626"/>
    </row>
    <row r="1339" spans="2:25" s="426" customFormat="1" ht="12.75" x14ac:dyDescent="0.2">
      <c r="B1339" s="615"/>
      <c r="Y1339" s="626"/>
    </row>
    <row r="1340" spans="2:25" s="426" customFormat="1" ht="12.75" x14ac:dyDescent="0.2">
      <c r="B1340" s="615"/>
      <c r="Y1340" s="626"/>
    </row>
    <row r="1341" spans="2:25" s="426" customFormat="1" ht="12.75" x14ac:dyDescent="0.2">
      <c r="B1341" s="615"/>
      <c r="Y1341" s="626"/>
    </row>
    <row r="1342" spans="2:25" s="426" customFormat="1" ht="12.75" x14ac:dyDescent="0.2">
      <c r="B1342" s="615"/>
      <c r="Y1342" s="626"/>
    </row>
    <row r="1343" spans="2:25" s="426" customFormat="1" ht="12.75" x14ac:dyDescent="0.2">
      <c r="B1343" s="615"/>
      <c r="Y1343" s="626"/>
    </row>
    <row r="1344" spans="2:25" s="426" customFormat="1" ht="12.75" x14ac:dyDescent="0.2">
      <c r="B1344" s="615"/>
      <c r="Y1344" s="626"/>
    </row>
    <row r="1345" spans="2:25" s="426" customFormat="1" ht="12.75" x14ac:dyDescent="0.2">
      <c r="B1345" s="615"/>
      <c r="Y1345" s="626"/>
    </row>
    <row r="1346" spans="2:25" s="426" customFormat="1" ht="12.75" x14ac:dyDescent="0.2">
      <c r="B1346" s="615"/>
      <c r="Y1346" s="626"/>
    </row>
    <row r="1347" spans="2:25" s="426" customFormat="1" ht="12.75" x14ac:dyDescent="0.2">
      <c r="B1347" s="615"/>
      <c r="Y1347" s="626"/>
    </row>
    <row r="1348" spans="2:25" s="426" customFormat="1" ht="12.75" x14ac:dyDescent="0.2">
      <c r="B1348" s="615"/>
      <c r="Y1348" s="626"/>
    </row>
    <row r="1349" spans="2:25" s="426" customFormat="1" ht="12.75" x14ac:dyDescent="0.2">
      <c r="B1349" s="615"/>
      <c r="Y1349" s="626"/>
    </row>
    <row r="1350" spans="2:25" s="426" customFormat="1" ht="12.75" x14ac:dyDescent="0.2">
      <c r="B1350" s="615"/>
      <c r="Y1350" s="626"/>
    </row>
    <row r="1351" spans="2:25" s="426" customFormat="1" ht="12.75" x14ac:dyDescent="0.2">
      <c r="B1351" s="615"/>
      <c r="Y1351" s="626"/>
    </row>
    <row r="1352" spans="2:25" s="426" customFormat="1" ht="12.75" x14ac:dyDescent="0.2">
      <c r="B1352" s="615"/>
      <c r="Y1352" s="626"/>
    </row>
    <row r="1353" spans="2:25" s="426" customFormat="1" ht="12.75" x14ac:dyDescent="0.2">
      <c r="B1353" s="615"/>
      <c r="Y1353" s="626"/>
    </row>
    <row r="1354" spans="2:25" s="426" customFormat="1" ht="12.75" x14ac:dyDescent="0.2">
      <c r="B1354" s="615"/>
      <c r="Y1354" s="626"/>
    </row>
    <row r="1355" spans="2:25" s="426" customFormat="1" ht="12.75" x14ac:dyDescent="0.2">
      <c r="B1355" s="615"/>
      <c r="Y1355" s="626"/>
    </row>
    <row r="1356" spans="2:25" s="426" customFormat="1" ht="12.75" x14ac:dyDescent="0.2">
      <c r="B1356" s="615"/>
      <c r="Y1356" s="626"/>
    </row>
    <row r="1357" spans="2:25" s="426" customFormat="1" ht="12.75" x14ac:dyDescent="0.2">
      <c r="B1357" s="615"/>
      <c r="Y1357" s="626"/>
    </row>
    <row r="1358" spans="2:25" s="426" customFormat="1" ht="12.75" x14ac:dyDescent="0.2">
      <c r="B1358" s="615"/>
      <c r="Y1358" s="626"/>
    </row>
    <row r="1359" spans="2:25" s="426" customFormat="1" ht="12.75" x14ac:dyDescent="0.2">
      <c r="B1359" s="615"/>
      <c r="Y1359" s="626"/>
    </row>
    <row r="1360" spans="2:25" s="426" customFormat="1" ht="12.75" x14ac:dyDescent="0.2">
      <c r="B1360" s="615"/>
      <c r="Y1360" s="626"/>
    </row>
    <row r="1361" spans="2:25" s="426" customFormat="1" ht="12.75" x14ac:dyDescent="0.2">
      <c r="B1361" s="615"/>
      <c r="Y1361" s="626"/>
    </row>
    <row r="1362" spans="2:25" s="426" customFormat="1" ht="12.75" x14ac:dyDescent="0.2">
      <c r="B1362" s="615"/>
      <c r="Y1362" s="626"/>
    </row>
    <row r="1363" spans="2:25" s="426" customFormat="1" ht="12.75" x14ac:dyDescent="0.2">
      <c r="B1363" s="615"/>
      <c r="Y1363" s="626"/>
    </row>
    <row r="1364" spans="2:25" s="426" customFormat="1" ht="12.75" x14ac:dyDescent="0.2">
      <c r="B1364" s="615"/>
      <c r="Y1364" s="626"/>
    </row>
    <row r="1365" spans="2:25" s="426" customFormat="1" ht="12.75" x14ac:dyDescent="0.2">
      <c r="B1365" s="615"/>
      <c r="Y1365" s="626"/>
    </row>
    <row r="1366" spans="2:25" s="426" customFormat="1" ht="12.75" x14ac:dyDescent="0.2">
      <c r="B1366" s="615"/>
      <c r="Y1366" s="626"/>
    </row>
    <row r="1367" spans="2:25" s="426" customFormat="1" ht="12.75" x14ac:dyDescent="0.2">
      <c r="B1367" s="615"/>
      <c r="Y1367" s="626"/>
    </row>
    <row r="1368" spans="2:25" s="426" customFormat="1" ht="12.75" x14ac:dyDescent="0.2">
      <c r="B1368" s="615"/>
      <c r="Y1368" s="626"/>
    </row>
    <row r="1369" spans="2:25" s="426" customFormat="1" ht="12.75" x14ac:dyDescent="0.2">
      <c r="B1369" s="615"/>
      <c r="Y1369" s="626"/>
    </row>
    <row r="1370" spans="2:25" s="426" customFormat="1" ht="12.75" x14ac:dyDescent="0.2">
      <c r="B1370" s="615"/>
      <c r="Y1370" s="626"/>
    </row>
    <row r="1371" spans="2:25" s="426" customFormat="1" ht="12.75" x14ac:dyDescent="0.2">
      <c r="B1371" s="615"/>
      <c r="Y1371" s="626"/>
    </row>
    <row r="1372" spans="2:25" s="426" customFormat="1" ht="12.75" x14ac:dyDescent="0.2">
      <c r="B1372" s="615"/>
      <c r="Y1372" s="626"/>
    </row>
    <row r="1373" spans="2:25" s="426" customFormat="1" ht="12.75" x14ac:dyDescent="0.2">
      <c r="B1373" s="615"/>
      <c r="Y1373" s="626"/>
    </row>
    <row r="1374" spans="2:25" s="426" customFormat="1" ht="12.75" x14ac:dyDescent="0.2">
      <c r="B1374" s="615"/>
      <c r="Y1374" s="626"/>
    </row>
    <row r="1375" spans="2:25" s="426" customFormat="1" ht="12.75" x14ac:dyDescent="0.2">
      <c r="B1375" s="615"/>
      <c r="Y1375" s="626"/>
    </row>
    <row r="1376" spans="2:25" s="426" customFormat="1" ht="12.75" x14ac:dyDescent="0.2">
      <c r="B1376" s="615"/>
      <c r="Y1376" s="626"/>
    </row>
    <row r="1377" spans="2:25" s="426" customFormat="1" ht="12.75" x14ac:dyDescent="0.2">
      <c r="B1377" s="615"/>
      <c r="Y1377" s="626"/>
    </row>
    <row r="1378" spans="2:25" s="426" customFormat="1" ht="12.75" x14ac:dyDescent="0.2">
      <c r="B1378" s="615"/>
      <c r="Y1378" s="626"/>
    </row>
    <row r="1379" spans="2:25" s="426" customFormat="1" ht="12.75" x14ac:dyDescent="0.2">
      <c r="B1379" s="615"/>
      <c r="Y1379" s="626"/>
    </row>
    <row r="1380" spans="2:25" s="426" customFormat="1" ht="12.75" x14ac:dyDescent="0.2">
      <c r="B1380" s="615"/>
      <c r="Y1380" s="626"/>
    </row>
    <row r="1381" spans="2:25" s="426" customFormat="1" ht="12.75" x14ac:dyDescent="0.2">
      <c r="B1381" s="615"/>
      <c r="Y1381" s="626"/>
    </row>
    <row r="1382" spans="2:25" s="426" customFormat="1" ht="12.75" x14ac:dyDescent="0.2">
      <c r="B1382" s="615"/>
      <c r="Y1382" s="626"/>
    </row>
    <row r="1383" spans="2:25" s="426" customFormat="1" ht="12.75" x14ac:dyDescent="0.2">
      <c r="B1383" s="615"/>
      <c r="Y1383" s="626"/>
    </row>
    <row r="1384" spans="2:25" s="426" customFormat="1" ht="12.75" x14ac:dyDescent="0.2">
      <c r="B1384" s="615"/>
      <c r="Y1384" s="626"/>
    </row>
    <row r="1385" spans="2:25" s="426" customFormat="1" ht="12.75" x14ac:dyDescent="0.2">
      <c r="B1385" s="615"/>
      <c r="Y1385" s="626"/>
    </row>
    <row r="1386" spans="2:25" s="426" customFormat="1" ht="12.75" x14ac:dyDescent="0.2">
      <c r="B1386" s="615"/>
      <c r="Y1386" s="626"/>
    </row>
    <row r="1387" spans="2:25" s="426" customFormat="1" ht="12.75" x14ac:dyDescent="0.2">
      <c r="B1387" s="615"/>
      <c r="Y1387" s="626"/>
    </row>
    <row r="1388" spans="2:25" s="426" customFormat="1" ht="12.75" x14ac:dyDescent="0.2">
      <c r="B1388" s="615"/>
      <c r="Y1388" s="626"/>
    </row>
    <row r="1389" spans="2:25" s="426" customFormat="1" ht="12.75" x14ac:dyDescent="0.2">
      <c r="B1389" s="615"/>
      <c r="Y1389" s="626"/>
    </row>
    <row r="1390" spans="2:25" s="426" customFormat="1" ht="12.75" x14ac:dyDescent="0.2">
      <c r="B1390" s="615"/>
      <c r="Y1390" s="626"/>
    </row>
    <row r="1391" spans="2:25" s="426" customFormat="1" ht="12.75" x14ac:dyDescent="0.2">
      <c r="B1391" s="615"/>
      <c r="Y1391" s="626"/>
    </row>
    <row r="1392" spans="2:25" s="426" customFormat="1" ht="12.75" x14ac:dyDescent="0.2">
      <c r="B1392" s="615"/>
      <c r="Y1392" s="626"/>
    </row>
    <row r="1393" spans="2:25" s="426" customFormat="1" ht="12.75" x14ac:dyDescent="0.2">
      <c r="B1393" s="615"/>
      <c r="Y1393" s="626"/>
    </row>
    <row r="1394" spans="2:25" s="426" customFormat="1" ht="12.75" x14ac:dyDescent="0.2">
      <c r="B1394" s="615"/>
      <c r="Y1394" s="626"/>
    </row>
    <row r="1395" spans="2:25" s="426" customFormat="1" ht="12.75" x14ac:dyDescent="0.2">
      <c r="B1395" s="615"/>
      <c r="Y1395" s="626"/>
    </row>
    <row r="1396" spans="2:25" s="426" customFormat="1" ht="12.75" x14ac:dyDescent="0.2">
      <c r="B1396" s="615"/>
      <c r="Y1396" s="626"/>
    </row>
    <row r="1397" spans="2:25" s="426" customFormat="1" ht="12.75" x14ac:dyDescent="0.2">
      <c r="B1397" s="615"/>
      <c r="Y1397" s="626"/>
    </row>
    <row r="1398" spans="2:25" s="426" customFormat="1" ht="12.75" x14ac:dyDescent="0.2">
      <c r="B1398" s="615"/>
      <c r="Y1398" s="626"/>
    </row>
    <row r="1399" spans="2:25" s="426" customFormat="1" ht="12.75" x14ac:dyDescent="0.2">
      <c r="B1399" s="615"/>
      <c r="Y1399" s="626"/>
    </row>
    <row r="1400" spans="2:25" s="426" customFormat="1" ht="12.75" x14ac:dyDescent="0.2">
      <c r="B1400" s="615"/>
      <c r="Y1400" s="626"/>
    </row>
    <row r="1401" spans="2:25" s="426" customFormat="1" ht="12.75" x14ac:dyDescent="0.2">
      <c r="B1401" s="615"/>
      <c r="Y1401" s="626"/>
    </row>
    <row r="1402" spans="2:25" s="426" customFormat="1" ht="12.75" x14ac:dyDescent="0.2">
      <c r="B1402" s="615"/>
      <c r="Y1402" s="626"/>
    </row>
    <row r="1403" spans="2:25" s="426" customFormat="1" ht="12.75" x14ac:dyDescent="0.2">
      <c r="B1403" s="615"/>
      <c r="Y1403" s="626"/>
    </row>
    <row r="1404" spans="2:25" s="426" customFormat="1" ht="12.75" x14ac:dyDescent="0.2">
      <c r="B1404" s="615"/>
      <c r="Y1404" s="626"/>
    </row>
    <row r="1405" spans="2:25" s="426" customFormat="1" ht="12.75" x14ac:dyDescent="0.2">
      <c r="B1405" s="615"/>
      <c r="Y1405" s="626"/>
    </row>
    <row r="1406" spans="2:25" s="426" customFormat="1" ht="12.75" x14ac:dyDescent="0.2">
      <c r="B1406" s="615"/>
      <c r="Y1406" s="626"/>
    </row>
    <row r="1407" spans="2:25" s="426" customFormat="1" ht="12.75" x14ac:dyDescent="0.2">
      <c r="B1407" s="615"/>
      <c r="Y1407" s="626"/>
    </row>
    <row r="1408" spans="2:25" s="426" customFormat="1" ht="12.75" x14ac:dyDescent="0.2">
      <c r="B1408" s="615"/>
      <c r="Y1408" s="626"/>
    </row>
    <row r="1409" spans="2:25" s="426" customFormat="1" ht="12.75" x14ac:dyDescent="0.2">
      <c r="B1409" s="615"/>
      <c r="Y1409" s="626"/>
    </row>
    <row r="1410" spans="2:25" s="426" customFormat="1" ht="12.75" x14ac:dyDescent="0.2">
      <c r="B1410" s="615"/>
      <c r="Y1410" s="626"/>
    </row>
    <row r="1411" spans="2:25" s="426" customFormat="1" ht="12.75" x14ac:dyDescent="0.2">
      <c r="B1411" s="615"/>
      <c r="Y1411" s="626"/>
    </row>
    <row r="1412" spans="2:25" s="426" customFormat="1" ht="12.75" x14ac:dyDescent="0.2">
      <c r="B1412" s="615"/>
      <c r="Y1412" s="626"/>
    </row>
    <row r="1413" spans="2:25" s="426" customFormat="1" ht="12.75" x14ac:dyDescent="0.2">
      <c r="B1413" s="615"/>
      <c r="Y1413" s="626"/>
    </row>
    <row r="1414" spans="2:25" s="426" customFormat="1" ht="12.75" x14ac:dyDescent="0.2">
      <c r="B1414" s="615"/>
      <c r="Y1414" s="626"/>
    </row>
    <row r="1415" spans="2:25" s="426" customFormat="1" ht="12.75" x14ac:dyDescent="0.2">
      <c r="B1415" s="615"/>
      <c r="Y1415" s="626"/>
    </row>
    <row r="1416" spans="2:25" s="426" customFormat="1" ht="12.75" x14ac:dyDescent="0.2">
      <c r="B1416" s="615"/>
      <c r="Y1416" s="626"/>
    </row>
    <row r="1417" spans="2:25" s="426" customFormat="1" ht="12.75" x14ac:dyDescent="0.2">
      <c r="B1417" s="615"/>
      <c r="Y1417" s="626"/>
    </row>
    <row r="1418" spans="2:25" s="426" customFormat="1" ht="12.75" x14ac:dyDescent="0.2">
      <c r="B1418" s="615"/>
      <c r="Y1418" s="626"/>
    </row>
    <row r="1419" spans="2:25" s="426" customFormat="1" ht="12.75" x14ac:dyDescent="0.2">
      <c r="B1419" s="615"/>
      <c r="Y1419" s="626"/>
    </row>
    <row r="1420" spans="2:25" s="426" customFormat="1" ht="12.75" x14ac:dyDescent="0.2">
      <c r="B1420" s="615"/>
      <c r="Y1420" s="626"/>
    </row>
    <row r="1421" spans="2:25" s="426" customFormat="1" ht="12.75" x14ac:dyDescent="0.2">
      <c r="B1421" s="615"/>
      <c r="Y1421" s="626"/>
    </row>
    <row r="1422" spans="2:25" s="426" customFormat="1" ht="12.75" x14ac:dyDescent="0.2">
      <c r="B1422" s="615"/>
      <c r="Y1422" s="626"/>
    </row>
    <row r="1423" spans="2:25" s="426" customFormat="1" ht="12.75" x14ac:dyDescent="0.2">
      <c r="B1423" s="615"/>
      <c r="Y1423" s="626"/>
    </row>
    <row r="1424" spans="2:25" s="426" customFormat="1" ht="12.75" x14ac:dyDescent="0.2">
      <c r="B1424" s="615"/>
      <c r="Y1424" s="626"/>
    </row>
    <row r="1425" spans="2:25" s="426" customFormat="1" ht="12.75" x14ac:dyDescent="0.2">
      <c r="B1425" s="615"/>
      <c r="Y1425" s="626"/>
    </row>
    <row r="1426" spans="2:25" s="426" customFormat="1" ht="12.75" x14ac:dyDescent="0.2">
      <c r="B1426" s="615"/>
      <c r="Y1426" s="626"/>
    </row>
    <row r="1427" spans="2:25" s="426" customFormat="1" ht="12.75" x14ac:dyDescent="0.2">
      <c r="B1427" s="615"/>
      <c r="Y1427" s="626"/>
    </row>
    <row r="1428" spans="2:25" s="426" customFormat="1" ht="12.75" x14ac:dyDescent="0.2">
      <c r="B1428" s="615"/>
      <c r="Y1428" s="626"/>
    </row>
    <row r="1429" spans="2:25" s="426" customFormat="1" ht="12.75" x14ac:dyDescent="0.2">
      <c r="B1429" s="615"/>
      <c r="Y1429" s="626"/>
    </row>
    <row r="1430" spans="2:25" s="426" customFormat="1" ht="12.75" x14ac:dyDescent="0.2">
      <c r="B1430" s="615"/>
      <c r="Y1430" s="626"/>
    </row>
    <row r="1431" spans="2:25" s="426" customFormat="1" ht="12.75" x14ac:dyDescent="0.2">
      <c r="B1431" s="615"/>
      <c r="Y1431" s="626"/>
    </row>
    <row r="1432" spans="2:25" s="426" customFormat="1" ht="12.75" x14ac:dyDescent="0.2">
      <c r="B1432" s="615"/>
      <c r="Y1432" s="626"/>
    </row>
    <row r="1433" spans="2:25" s="426" customFormat="1" ht="12.75" x14ac:dyDescent="0.2">
      <c r="B1433" s="615"/>
      <c r="Y1433" s="626"/>
    </row>
    <row r="1434" spans="2:25" s="426" customFormat="1" ht="12.75" x14ac:dyDescent="0.2">
      <c r="B1434" s="615"/>
      <c r="Y1434" s="626"/>
    </row>
    <row r="1435" spans="2:25" s="426" customFormat="1" ht="12.75" x14ac:dyDescent="0.2">
      <c r="B1435" s="615"/>
      <c r="Y1435" s="626"/>
    </row>
    <row r="1436" spans="2:25" s="426" customFormat="1" ht="12.75" x14ac:dyDescent="0.2">
      <c r="B1436" s="615"/>
      <c r="Y1436" s="626"/>
    </row>
    <row r="1437" spans="2:25" s="426" customFormat="1" ht="12.75" x14ac:dyDescent="0.2">
      <c r="B1437" s="615"/>
      <c r="Y1437" s="626"/>
    </row>
    <row r="1438" spans="2:25" s="426" customFormat="1" ht="12.75" x14ac:dyDescent="0.2">
      <c r="B1438" s="615"/>
      <c r="Y1438" s="626"/>
    </row>
    <row r="1439" spans="2:25" s="426" customFormat="1" ht="12.75" x14ac:dyDescent="0.2">
      <c r="B1439" s="615"/>
      <c r="Y1439" s="626"/>
    </row>
    <row r="1440" spans="2:25" s="426" customFormat="1" ht="12.75" x14ac:dyDescent="0.2">
      <c r="B1440" s="615"/>
      <c r="Y1440" s="626"/>
    </row>
    <row r="1441" spans="2:25" s="426" customFormat="1" ht="12.75" x14ac:dyDescent="0.2">
      <c r="B1441" s="615"/>
      <c r="Y1441" s="626"/>
    </row>
    <row r="1442" spans="2:25" s="426" customFormat="1" ht="12.75" x14ac:dyDescent="0.2">
      <c r="B1442" s="615"/>
      <c r="Y1442" s="626"/>
    </row>
    <row r="1443" spans="2:25" s="426" customFormat="1" ht="12.75" x14ac:dyDescent="0.2">
      <c r="B1443" s="615"/>
      <c r="Y1443" s="626"/>
    </row>
    <row r="1444" spans="2:25" s="426" customFormat="1" ht="12.75" x14ac:dyDescent="0.2">
      <c r="B1444" s="615"/>
      <c r="Y1444" s="626"/>
    </row>
    <row r="1445" spans="2:25" s="426" customFormat="1" ht="12.75" x14ac:dyDescent="0.2">
      <c r="B1445" s="615"/>
      <c r="Y1445" s="626"/>
    </row>
    <row r="1446" spans="2:25" s="426" customFormat="1" ht="12.75" x14ac:dyDescent="0.2">
      <c r="B1446" s="615"/>
      <c r="Y1446" s="626"/>
    </row>
    <row r="1447" spans="2:25" s="426" customFormat="1" ht="12.75" x14ac:dyDescent="0.2">
      <c r="B1447" s="615"/>
      <c r="Y1447" s="626"/>
    </row>
    <row r="1448" spans="2:25" s="426" customFormat="1" ht="12.75" x14ac:dyDescent="0.2">
      <c r="B1448" s="615"/>
      <c r="Y1448" s="626"/>
    </row>
    <row r="1449" spans="2:25" s="426" customFormat="1" ht="12.75" x14ac:dyDescent="0.2">
      <c r="B1449" s="615"/>
      <c r="Y1449" s="626"/>
    </row>
    <row r="1450" spans="2:25" s="426" customFormat="1" ht="12.75" x14ac:dyDescent="0.2">
      <c r="B1450" s="615"/>
      <c r="Y1450" s="626"/>
    </row>
    <row r="1451" spans="2:25" s="426" customFormat="1" ht="12.75" x14ac:dyDescent="0.2">
      <c r="B1451" s="615"/>
      <c r="Y1451" s="626"/>
    </row>
    <row r="1452" spans="2:25" s="426" customFormat="1" ht="12.75" x14ac:dyDescent="0.2">
      <c r="B1452" s="615"/>
      <c r="Y1452" s="626"/>
    </row>
    <row r="1453" spans="2:25" s="426" customFormat="1" ht="12.75" x14ac:dyDescent="0.2">
      <c r="B1453" s="615"/>
      <c r="Y1453" s="626"/>
    </row>
    <row r="1454" spans="2:25" s="426" customFormat="1" ht="12.75" x14ac:dyDescent="0.2">
      <c r="B1454" s="615"/>
      <c r="Y1454" s="626"/>
    </row>
    <row r="1455" spans="2:25" s="426" customFormat="1" ht="12.75" x14ac:dyDescent="0.2">
      <c r="B1455" s="615"/>
      <c r="Y1455" s="626"/>
    </row>
    <row r="1456" spans="2:25" s="426" customFormat="1" ht="12.75" x14ac:dyDescent="0.2">
      <c r="B1456" s="615"/>
      <c r="Y1456" s="626"/>
    </row>
    <row r="1457" spans="2:25" s="426" customFormat="1" ht="12.75" x14ac:dyDescent="0.2">
      <c r="B1457" s="615"/>
      <c r="Y1457" s="626"/>
    </row>
    <row r="1458" spans="2:25" s="426" customFormat="1" ht="12.75" x14ac:dyDescent="0.2">
      <c r="B1458" s="615"/>
      <c r="Y1458" s="626"/>
    </row>
    <row r="1459" spans="2:25" s="426" customFormat="1" ht="12.75" x14ac:dyDescent="0.2">
      <c r="B1459" s="615"/>
      <c r="Y1459" s="626"/>
    </row>
    <row r="1460" spans="2:25" s="426" customFormat="1" ht="12.75" x14ac:dyDescent="0.2">
      <c r="B1460" s="615"/>
      <c r="Y1460" s="626"/>
    </row>
    <row r="1461" spans="2:25" s="426" customFormat="1" ht="12.75" x14ac:dyDescent="0.2">
      <c r="B1461" s="615"/>
      <c r="Y1461" s="626"/>
    </row>
    <row r="1462" spans="2:25" s="426" customFormat="1" ht="12.75" x14ac:dyDescent="0.2">
      <c r="B1462" s="615"/>
      <c r="Y1462" s="626"/>
    </row>
    <row r="1463" spans="2:25" s="426" customFormat="1" ht="12.75" x14ac:dyDescent="0.2">
      <c r="B1463" s="615"/>
      <c r="Y1463" s="626"/>
    </row>
    <row r="1464" spans="2:25" s="426" customFormat="1" ht="12.75" x14ac:dyDescent="0.2">
      <c r="B1464" s="615"/>
      <c r="Y1464" s="626"/>
    </row>
    <row r="1465" spans="2:25" s="426" customFormat="1" ht="12.75" x14ac:dyDescent="0.2">
      <c r="B1465" s="615"/>
      <c r="Y1465" s="626"/>
    </row>
    <row r="1466" spans="2:25" s="426" customFormat="1" ht="12.75" x14ac:dyDescent="0.2">
      <c r="B1466" s="615"/>
      <c r="Y1466" s="626"/>
    </row>
    <row r="1467" spans="2:25" s="426" customFormat="1" ht="12.75" x14ac:dyDescent="0.2">
      <c r="B1467" s="615"/>
      <c r="Y1467" s="626"/>
    </row>
    <row r="1468" spans="2:25" s="426" customFormat="1" ht="12.75" x14ac:dyDescent="0.2">
      <c r="B1468" s="615"/>
      <c r="Y1468" s="626"/>
    </row>
    <row r="1469" spans="2:25" s="426" customFormat="1" ht="12.75" x14ac:dyDescent="0.2">
      <c r="B1469" s="615"/>
      <c r="Y1469" s="626"/>
    </row>
    <row r="1470" spans="2:25" s="426" customFormat="1" ht="12.75" x14ac:dyDescent="0.2">
      <c r="B1470" s="615"/>
      <c r="Y1470" s="626"/>
    </row>
    <row r="1471" spans="2:25" s="426" customFormat="1" ht="12.75" x14ac:dyDescent="0.2">
      <c r="B1471" s="615"/>
      <c r="Y1471" s="626"/>
    </row>
    <row r="1472" spans="2:25" s="426" customFormat="1" ht="12.75" x14ac:dyDescent="0.2">
      <c r="B1472" s="615"/>
      <c r="Y1472" s="626"/>
    </row>
    <row r="1473" spans="2:25" s="426" customFormat="1" ht="12.75" x14ac:dyDescent="0.2">
      <c r="B1473" s="615"/>
      <c r="Y1473" s="626"/>
    </row>
    <row r="1474" spans="2:25" s="426" customFormat="1" ht="12.75" x14ac:dyDescent="0.2">
      <c r="B1474" s="615"/>
      <c r="Y1474" s="626"/>
    </row>
    <row r="1475" spans="2:25" s="426" customFormat="1" ht="12.75" x14ac:dyDescent="0.2">
      <c r="B1475" s="615"/>
      <c r="Y1475" s="626"/>
    </row>
    <row r="1476" spans="2:25" s="426" customFormat="1" ht="12.75" x14ac:dyDescent="0.2">
      <c r="B1476" s="615"/>
      <c r="Y1476" s="626"/>
    </row>
    <row r="1477" spans="2:25" s="426" customFormat="1" ht="12.75" x14ac:dyDescent="0.2">
      <c r="B1477" s="615"/>
      <c r="Y1477" s="626"/>
    </row>
    <row r="1478" spans="2:25" s="426" customFormat="1" ht="12.75" x14ac:dyDescent="0.2">
      <c r="B1478" s="615"/>
      <c r="Y1478" s="626"/>
    </row>
    <row r="1479" spans="2:25" s="426" customFormat="1" ht="12.75" x14ac:dyDescent="0.2">
      <c r="B1479" s="615"/>
      <c r="Y1479" s="626"/>
    </row>
    <row r="1480" spans="2:25" s="426" customFormat="1" ht="12.75" x14ac:dyDescent="0.2">
      <c r="B1480" s="615"/>
      <c r="Y1480" s="626"/>
    </row>
    <row r="1481" spans="2:25" s="426" customFormat="1" ht="12.75" x14ac:dyDescent="0.2">
      <c r="B1481" s="615"/>
      <c r="Y1481" s="626"/>
    </row>
    <row r="1482" spans="2:25" s="426" customFormat="1" ht="12.75" x14ac:dyDescent="0.2">
      <c r="B1482" s="615"/>
      <c r="Y1482" s="626"/>
    </row>
    <row r="1483" spans="2:25" s="426" customFormat="1" ht="12.75" x14ac:dyDescent="0.2">
      <c r="B1483" s="615"/>
      <c r="Y1483" s="626"/>
    </row>
    <row r="1484" spans="2:25" s="426" customFormat="1" ht="12.75" x14ac:dyDescent="0.2">
      <c r="B1484" s="615"/>
      <c r="Y1484" s="626"/>
    </row>
    <row r="1485" spans="2:25" s="426" customFormat="1" ht="12.75" x14ac:dyDescent="0.2">
      <c r="B1485" s="615"/>
      <c r="Y1485" s="626"/>
    </row>
    <row r="1486" spans="2:25" s="426" customFormat="1" ht="12.75" x14ac:dyDescent="0.2">
      <c r="B1486" s="615"/>
      <c r="Y1486" s="626"/>
    </row>
    <row r="1487" spans="2:25" s="426" customFormat="1" ht="12.75" x14ac:dyDescent="0.2">
      <c r="B1487" s="615"/>
      <c r="Y1487" s="626"/>
    </row>
    <row r="1488" spans="2:25" s="426" customFormat="1" ht="12.75" x14ac:dyDescent="0.2">
      <c r="B1488" s="615"/>
      <c r="Y1488" s="626"/>
    </row>
    <row r="1489" spans="2:25" s="426" customFormat="1" ht="12.75" x14ac:dyDescent="0.2">
      <c r="B1489" s="615"/>
      <c r="Y1489" s="626"/>
    </row>
    <row r="1490" spans="2:25" s="426" customFormat="1" ht="12.75" x14ac:dyDescent="0.2">
      <c r="B1490" s="615"/>
      <c r="Y1490" s="626"/>
    </row>
    <row r="1491" spans="2:25" s="426" customFormat="1" ht="12.75" x14ac:dyDescent="0.2">
      <c r="B1491" s="615"/>
      <c r="Y1491" s="626"/>
    </row>
    <row r="1492" spans="2:25" s="426" customFormat="1" ht="12.75" x14ac:dyDescent="0.2">
      <c r="B1492" s="615"/>
      <c r="Y1492" s="626"/>
    </row>
    <row r="1493" spans="2:25" s="426" customFormat="1" ht="12.75" x14ac:dyDescent="0.2">
      <c r="B1493" s="615"/>
      <c r="Y1493" s="626"/>
    </row>
    <row r="1494" spans="2:25" s="426" customFormat="1" ht="12.75" x14ac:dyDescent="0.2">
      <c r="B1494" s="615"/>
      <c r="Y1494" s="626"/>
    </row>
    <row r="1495" spans="2:25" s="426" customFormat="1" ht="12.75" x14ac:dyDescent="0.2">
      <c r="B1495" s="615"/>
      <c r="Y1495" s="626"/>
    </row>
    <row r="1496" spans="2:25" s="426" customFormat="1" ht="12.75" x14ac:dyDescent="0.2">
      <c r="B1496" s="615"/>
      <c r="Y1496" s="626"/>
    </row>
    <row r="1497" spans="2:25" s="426" customFormat="1" ht="12.75" x14ac:dyDescent="0.2">
      <c r="B1497" s="615"/>
      <c r="Y1497" s="626"/>
    </row>
    <row r="1498" spans="2:25" s="426" customFormat="1" ht="12.75" x14ac:dyDescent="0.2">
      <c r="B1498" s="615"/>
      <c r="Y1498" s="626"/>
    </row>
    <row r="1499" spans="2:25" s="426" customFormat="1" ht="12.75" x14ac:dyDescent="0.2">
      <c r="B1499" s="615"/>
      <c r="Y1499" s="626"/>
    </row>
    <row r="1500" spans="2:25" s="426" customFormat="1" ht="12.75" x14ac:dyDescent="0.2">
      <c r="B1500" s="615"/>
      <c r="Y1500" s="626"/>
    </row>
    <row r="1501" spans="2:25" s="426" customFormat="1" ht="12.75" x14ac:dyDescent="0.2">
      <c r="B1501" s="615"/>
      <c r="Y1501" s="626"/>
    </row>
    <row r="1502" spans="2:25" s="426" customFormat="1" ht="12.75" x14ac:dyDescent="0.2">
      <c r="B1502" s="615"/>
      <c r="Y1502" s="626"/>
    </row>
    <row r="1503" spans="2:25" s="426" customFormat="1" ht="12.75" x14ac:dyDescent="0.2">
      <c r="B1503" s="615"/>
      <c r="Y1503" s="626"/>
    </row>
    <row r="1504" spans="2:25" s="426" customFormat="1" ht="12.75" x14ac:dyDescent="0.2">
      <c r="B1504" s="615"/>
      <c r="Y1504" s="626"/>
    </row>
    <row r="1505" spans="2:25" s="426" customFormat="1" ht="12.75" x14ac:dyDescent="0.2">
      <c r="B1505" s="615"/>
      <c r="Y1505" s="626"/>
    </row>
    <row r="1506" spans="2:25" s="426" customFormat="1" ht="12.75" x14ac:dyDescent="0.2">
      <c r="B1506" s="615"/>
      <c r="Y1506" s="626"/>
    </row>
    <row r="1507" spans="2:25" s="426" customFormat="1" ht="12.75" x14ac:dyDescent="0.2">
      <c r="B1507" s="615"/>
      <c r="Y1507" s="626"/>
    </row>
    <row r="1508" spans="2:25" s="426" customFormat="1" ht="12.75" x14ac:dyDescent="0.2">
      <c r="B1508" s="615"/>
      <c r="Y1508" s="626"/>
    </row>
    <row r="1509" spans="2:25" s="426" customFormat="1" ht="12.75" x14ac:dyDescent="0.2">
      <c r="B1509" s="615"/>
      <c r="Y1509" s="626"/>
    </row>
    <row r="1510" spans="2:25" s="426" customFormat="1" ht="12.75" x14ac:dyDescent="0.2">
      <c r="B1510" s="615"/>
      <c r="Y1510" s="626"/>
    </row>
    <row r="1511" spans="2:25" s="426" customFormat="1" ht="12.75" x14ac:dyDescent="0.2">
      <c r="B1511" s="615"/>
      <c r="Y1511" s="626"/>
    </row>
    <row r="1512" spans="2:25" s="426" customFormat="1" ht="12.75" x14ac:dyDescent="0.2">
      <c r="B1512" s="615"/>
      <c r="Y1512" s="626"/>
    </row>
    <row r="1513" spans="2:25" s="426" customFormat="1" ht="12.75" x14ac:dyDescent="0.2">
      <c r="B1513" s="615"/>
      <c r="Y1513" s="626"/>
    </row>
    <row r="1514" spans="2:25" s="426" customFormat="1" ht="12.75" x14ac:dyDescent="0.2">
      <c r="B1514" s="615"/>
      <c r="Y1514" s="626"/>
    </row>
    <row r="1515" spans="2:25" s="426" customFormat="1" ht="12.75" x14ac:dyDescent="0.2">
      <c r="B1515" s="615"/>
      <c r="Y1515" s="626"/>
    </row>
    <row r="1516" spans="2:25" s="426" customFormat="1" ht="12.75" x14ac:dyDescent="0.2">
      <c r="B1516" s="615"/>
      <c r="Y1516" s="626"/>
    </row>
    <row r="1517" spans="2:25" s="426" customFormat="1" ht="12.75" x14ac:dyDescent="0.2">
      <c r="B1517" s="615"/>
      <c r="Y1517" s="626"/>
    </row>
    <row r="1518" spans="2:25" s="426" customFormat="1" ht="12.75" x14ac:dyDescent="0.2">
      <c r="B1518" s="615"/>
      <c r="Y1518" s="626"/>
    </row>
    <row r="1519" spans="2:25" s="426" customFormat="1" ht="12.75" x14ac:dyDescent="0.2">
      <c r="B1519" s="615"/>
      <c r="Y1519" s="626"/>
    </row>
    <row r="1520" spans="2:25" s="426" customFormat="1" ht="12.75" x14ac:dyDescent="0.2">
      <c r="B1520" s="615"/>
      <c r="Y1520" s="626"/>
    </row>
    <row r="1521" spans="2:25" s="426" customFormat="1" ht="12.75" x14ac:dyDescent="0.2">
      <c r="B1521" s="615"/>
      <c r="Y1521" s="626"/>
    </row>
    <row r="1522" spans="2:25" s="426" customFormat="1" ht="12.75" x14ac:dyDescent="0.2">
      <c r="B1522" s="615"/>
      <c r="Y1522" s="626"/>
    </row>
    <row r="1523" spans="2:25" s="426" customFormat="1" ht="12.75" x14ac:dyDescent="0.2">
      <c r="B1523" s="615"/>
      <c r="Y1523" s="626"/>
    </row>
    <row r="1524" spans="2:25" s="426" customFormat="1" ht="12.75" x14ac:dyDescent="0.2">
      <c r="B1524" s="615"/>
      <c r="Y1524" s="626"/>
    </row>
    <row r="1525" spans="2:25" s="426" customFormat="1" ht="12.75" x14ac:dyDescent="0.2">
      <c r="B1525" s="615"/>
      <c r="Y1525" s="626"/>
    </row>
    <row r="1526" spans="2:25" s="426" customFormat="1" ht="12.75" x14ac:dyDescent="0.2">
      <c r="B1526" s="615"/>
      <c r="Y1526" s="626"/>
    </row>
    <row r="1527" spans="2:25" s="426" customFormat="1" ht="12.75" x14ac:dyDescent="0.2">
      <c r="B1527" s="615"/>
      <c r="Y1527" s="626"/>
    </row>
    <row r="1528" spans="2:25" s="426" customFormat="1" ht="12.75" x14ac:dyDescent="0.2">
      <c r="B1528" s="615"/>
      <c r="Y1528" s="626"/>
    </row>
    <row r="1529" spans="2:25" s="426" customFormat="1" ht="12.75" x14ac:dyDescent="0.2">
      <c r="B1529" s="615"/>
      <c r="Y1529" s="626"/>
    </row>
    <row r="1530" spans="2:25" s="426" customFormat="1" ht="12.75" x14ac:dyDescent="0.2">
      <c r="B1530" s="615"/>
      <c r="Y1530" s="626"/>
    </row>
    <row r="1531" spans="2:25" s="426" customFormat="1" ht="12.75" x14ac:dyDescent="0.2">
      <c r="B1531" s="615"/>
      <c r="Y1531" s="626"/>
    </row>
    <row r="1532" spans="2:25" s="426" customFormat="1" ht="12.75" x14ac:dyDescent="0.2">
      <c r="B1532" s="615"/>
      <c r="Y1532" s="626"/>
    </row>
    <row r="1533" spans="2:25" s="426" customFormat="1" ht="12.75" x14ac:dyDescent="0.2">
      <c r="B1533" s="615"/>
      <c r="Y1533" s="626"/>
    </row>
    <row r="1534" spans="2:25" s="426" customFormat="1" ht="12.75" x14ac:dyDescent="0.2">
      <c r="B1534" s="615"/>
      <c r="Y1534" s="626"/>
    </row>
    <row r="1535" spans="2:25" s="426" customFormat="1" ht="12.75" x14ac:dyDescent="0.2">
      <c r="B1535" s="615"/>
      <c r="Y1535" s="626"/>
    </row>
    <row r="1536" spans="2:25" s="426" customFormat="1" ht="12.75" x14ac:dyDescent="0.2">
      <c r="B1536" s="615"/>
      <c r="Y1536" s="626"/>
    </row>
    <row r="1537" spans="2:25" s="426" customFormat="1" ht="12.75" x14ac:dyDescent="0.2">
      <c r="B1537" s="615"/>
      <c r="Y1537" s="626"/>
    </row>
    <row r="1538" spans="2:25" s="426" customFormat="1" ht="12.75" x14ac:dyDescent="0.2">
      <c r="B1538" s="615"/>
      <c r="Y1538" s="626"/>
    </row>
    <row r="1539" spans="2:25" s="426" customFormat="1" ht="12.75" x14ac:dyDescent="0.2">
      <c r="B1539" s="615"/>
      <c r="Y1539" s="626"/>
    </row>
    <row r="1540" spans="2:25" s="426" customFormat="1" ht="12.75" x14ac:dyDescent="0.2">
      <c r="B1540" s="615"/>
      <c r="Y1540" s="626"/>
    </row>
    <row r="1541" spans="2:25" s="426" customFormat="1" ht="12.75" x14ac:dyDescent="0.2">
      <c r="B1541" s="615"/>
      <c r="Y1541" s="626"/>
    </row>
    <row r="1542" spans="2:25" s="426" customFormat="1" ht="12.75" x14ac:dyDescent="0.2">
      <c r="B1542" s="615"/>
      <c r="Y1542" s="626"/>
    </row>
    <row r="1543" spans="2:25" s="426" customFormat="1" ht="12.75" x14ac:dyDescent="0.2">
      <c r="B1543" s="615"/>
      <c r="Y1543" s="626"/>
    </row>
    <row r="1544" spans="2:25" s="426" customFormat="1" ht="12.75" x14ac:dyDescent="0.2">
      <c r="B1544" s="615"/>
      <c r="Y1544" s="626"/>
    </row>
    <row r="1545" spans="2:25" s="426" customFormat="1" ht="12.75" x14ac:dyDescent="0.2">
      <c r="B1545" s="615"/>
      <c r="Y1545" s="626"/>
    </row>
    <row r="1546" spans="2:25" s="426" customFormat="1" ht="12.75" x14ac:dyDescent="0.2">
      <c r="B1546" s="615"/>
      <c r="Y1546" s="626"/>
    </row>
    <row r="1547" spans="2:25" s="426" customFormat="1" ht="12.75" x14ac:dyDescent="0.2">
      <c r="B1547" s="615"/>
      <c r="Y1547" s="626"/>
    </row>
    <row r="1548" spans="2:25" s="426" customFormat="1" ht="12.75" x14ac:dyDescent="0.2">
      <c r="B1548" s="615"/>
      <c r="Y1548" s="626"/>
    </row>
    <row r="1549" spans="2:25" s="426" customFormat="1" ht="12.75" x14ac:dyDescent="0.2">
      <c r="B1549" s="615"/>
      <c r="Y1549" s="626"/>
    </row>
    <row r="1550" spans="2:25" s="426" customFormat="1" ht="12.75" x14ac:dyDescent="0.2">
      <c r="B1550" s="615"/>
      <c r="Y1550" s="626"/>
    </row>
    <row r="1551" spans="2:25" s="426" customFormat="1" ht="12.75" x14ac:dyDescent="0.2">
      <c r="B1551" s="615"/>
      <c r="Y1551" s="626"/>
    </row>
    <row r="1552" spans="2:25" s="426" customFormat="1" ht="12.75" x14ac:dyDescent="0.2">
      <c r="B1552" s="615"/>
      <c r="Y1552" s="626"/>
    </row>
    <row r="1553" spans="2:25" s="426" customFormat="1" ht="12.75" x14ac:dyDescent="0.2">
      <c r="B1553" s="615"/>
      <c r="Y1553" s="626"/>
    </row>
    <row r="1554" spans="2:25" s="426" customFormat="1" ht="12.75" x14ac:dyDescent="0.2">
      <c r="B1554" s="615"/>
      <c r="Y1554" s="626"/>
    </row>
    <row r="1555" spans="2:25" s="426" customFormat="1" ht="12.75" x14ac:dyDescent="0.2">
      <c r="B1555" s="615"/>
      <c r="Y1555" s="626"/>
    </row>
    <row r="1556" spans="2:25" s="426" customFormat="1" ht="12.75" x14ac:dyDescent="0.2">
      <c r="B1556" s="615"/>
      <c r="Y1556" s="626"/>
    </row>
    <row r="1557" spans="2:25" s="426" customFormat="1" ht="12.75" x14ac:dyDescent="0.2">
      <c r="B1557" s="615"/>
      <c r="Y1557" s="626"/>
    </row>
    <row r="1558" spans="2:25" s="426" customFormat="1" ht="12.75" x14ac:dyDescent="0.2">
      <c r="B1558" s="615"/>
      <c r="Y1558" s="626"/>
    </row>
    <row r="1559" spans="2:25" s="426" customFormat="1" ht="12.75" x14ac:dyDescent="0.2">
      <c r="B1559" s="615"/>
      <c r="Y1559" s="626"/>
    </row>
    <row r="1560" spans="2:25" s="426" customFormat="1" ht="12.75" x14ac:dyDescent="0.2">
      <c r="B1560" s="615"/>
      <c r="Y1560" s="626"/>
    </row>
    <row r="1561" spans="2:25" s="426" customFormat="1" ht="12.75" x14ac:dyDescent="0.2">
      <c r="B1561" s="615"/>
      <c r="Y1561" s="626"/>
    </row>
    <row r="1562" spans="2:25" s="426" customFormat="1" ht="12.75" x14ac:dyDescent="0.2">
      <c r="B1562" s="615"/>
      <c r="Y1562" s="626"/>
    </row>
    <row r="1563" spans="2:25" s="426" customFormat="1" ht="12.75" x14ac:dyDescent="0.2">
      <c r="B1563" s="615"/>
      <c r="Y1563" s="626"/>
    </row>
    <row r="1564" spans="2:25" s="426" customFormat="1" ht="12.75" x14ac:dyDescent="0.2">
      <c r="B1564" s="615"/>
      <c r="Y1564" s="626"/>
    </row>
    <row r="1565" spans="2:25" s="426" customFormat="1" ht="12.75" x14ac:dyDescent="0.2">
      <c r="B1565" s="615"/>
      <c r="Y1565" s="626"/>
    </row>
    <row r="1566" spans="2:25" s="426" customFormat="1" ht="12.75" x14ac:dyDescent="0.2">
      <c r="B1566" s="615"/>
      <c r="Y1566" s="626"/>
    </row>
    <row r="1567" spans="2:25" s="426" customFormat="1" ht="12.75" x14ac:dyDescent="0.2">
      <c r="B1567" s="615"/>
      <c r="Y1567" s="626"/>
    </row>
    <row r="1568" spans="2:25" s="426" customFormat="1" ht="12.75" x14ac:dyDescent="0.2">
      <c r="B1568" s="615"/>
      <c r="Y1568" s="626"/>
    </row>
    <row r="1569" spans="2:25" s="426" customFormat="1" ht="12.75" x14ac:dyDescent="0.2">
      <c r="B1569" s="615"/>
      <c r="Y1569" s="626"/>
    </row>
    <row r="1570" spans="2:25" s="426" customFormat="1" ht="12.75" x14ac:dyDescent="0.2">
      <c r="B1570" s="615"/>
      <c r="Y1570" s="626"/>
    </row>
    <row r="1571" spans="2:25" s="426" customFormat="1" ht="12.75" x14ac:dyDescent="0.2">
      <c r="B1571" s="615"/>
      <c r="Y1571" s="626"/>
    </row>
    <row r="1572" spans="2:25" s="426" customFormat="1" ht="12.75" x14ac:dyDescent="0.2">
      <c r="B1572" s="615"/>
      <c r="Y1572" s="626"/>
    </row>
  </sheetData>
  <mergeCells count="30">
    <mergeCell ref="B738:C738"/>
    <mergeCell ref="B1070:D1070"/>
    <mergeCell ref="B654:C654"/>
    <mergeCell ref="AA667:AA671"/>
    <mergeCell ref="AA672:AA684"/>
    <mergeCell ref="AA685:AA688"/>
    <mergeCell ref="M720:N720"/>
    <mergeCell ref="B737:C737"/>
    <mergeCell ref="F737:G737"/>
    <mergeCell ref="B653:C653"/>
    <mergeCell ref="F653:G653"/>
    <mergeCell ref="S178:V178"/>
    <mergeCell ref="H181:I181"/>
    <mergeCell ref="D225:E225"/>
    <mergeCell ref="F225:G225"/>
    <mergeCell ref="D236:E236"/>
    <mergeCell ref="F236:G236"/>
    <mergeCell ref="B240:G240"/>
    <mergeCell ref="B273:C273"/>
    <mergeCell ref="D273:E273"/>
    <mergeCell ref="E339:F339"/>
    <mergeCell ref="G339:H339"/>
    <mergeCell ref="C27:D27"/>
    <mergeCell ref="AG44:AM44"/>
    <mergeCell ref="AO44:AP44"/>
    <mergeCell ref="AD47:AE47"/>
    <mergeCell ref="E75:F75"/>
    <mergeCell ref="G75:H75"/>
    <mergeCell ref="I75:J75"/>
    <mergeCell ref="K75:P75"/>
  </mergeCells>
  <printOptions gridLines="1"/>
  <pageMargins left="0.7" right="0.7" top="0.75" bottom="0.75" header="0.3" footer="0.3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A612-6CE6-448B-85E3-EF95DB46C625}">
  <dimension ref="A4:P132"/>
  <sheetViews>
    <sheetView workbookViewId="0"/>
  </sheetViews>
  <sheetFormatPr defaultRowHeight="15" x14ac:dyDescent="0.25"/>
  <cols>
    <col min="2" max="2" style="2" width="8.7109375"/>
    <col min="3" max="3" customWidth="true" width="18.7109375"/>
    <col min="4" max="4" customWidth="true" width="14.85546875"/>
    <col min="7" max="7" customWidth="true" width="16.85546875"/>
    <col min="8" max="8" customWidth="true" width="16.5703125"/>
    <col min="9" max="9" customWidth="true" width="16.140625"/>
    <col min="10" max="10" customWidth="true" width="15.42578125"/>
    <col min="11" max="11" customWidth="true" width="14.28515625"/>
    <col min="12" max="12" customWidth="true" width="14.42578125"/>
    <col min="13" max="13" customWidth="true" width="14.140625"/>
    <col min="14" max="14" customWidth="true" width="16.0"/>
    <col min="15" max="15" customWidth="true" width="15.7109375"/>
    <col min="16" max="16" customWidth="true" width="15.140625"/>
  </cols>
  <sheetData>
    <row r="4" spans="1:16" x14ac:dyDescent="0.25">
      <c r="A4" s="21"/>
      <c r="B4" s="473" t="str">
        <f>VLOOKUP(BLO!B6,$A$5:$D$70,2,0)</f>
        <v>B</v>
      </c>
      <c r="C4" s="23" t="str">
        <f>VLOOKUP(BLO!B6,$A$5:$D$70,3,0)</f>
        <v>Wit extra sterk</v>
      </c>
      <c r="D4" s="472" t="str">
        <f>VLOOKUP(BLO!B6,$A$5:$D$70,4,0)</f>
        <v>BKT14WS</v>
      </c>
      <c r="G4" t="s">
        <v>39</v>
      </c>
      <c r="H4" s="2">
        <f>IF(H5='Input (4)'!$B$3,1,0)</f>
        <v>0</v>
      </c>
      <c r="I4" s="2">
        <f>IF(I5='Input (4)'!$B$3,1,0)</f>
        <v>1</v>
      </c>
      <c r="J4" s="2">
        <f>IF(J5='Input (4)'!$B$3,1,0)</f>
        <v>0</v>
      </c>
      <c r="K4" s="2">
        <f>IF(K5='Input (4)'!$B$3,1,0)</f>
        <v>0</v>
      </c>
      <c r="L4" s="2">
        <f>IF(L5='Input (4)'!$B$3,1,0)</f>
        <v>0</v>
      </c>
      <c r="M4" s="2">
        <f>IF(M5='Input (4)'!$B$3,1,0)</f>
        <v>0</v>
      </c>
      <c r="N4" s="2">
        <f>IF(N5='Input (4)'!$B$3,1,0)</f>
        <v>0</v>
      </c>
      <c r="O4" s="2">
        <f>IF(O5='Input (4)'!$B$3,1,0)</f>
        <v>0</v>
      </c>
      <c r="P4" s="2">
        <f>IF(P5='Input (4)'!$B$3,1,0)</f>
        <v>0</v>
      </c>
    </row>
    <row r="5" spans="1:16" x14ac:dyDescent="0.25">
      <c r="A5" s="13" t="s">
        <v>28</v>
      </c>
      <c r="B5" s="432" t="s">
        <v>0</v>
      </c>
      <c r="C5" s="343" t="s">
        <v>27</v>
      </c>
      <c r="D5" s="436" t="s">
        <v>29</v>
      </c>
      <c r="G5" s="11"/>
      <c r="H5" s="3" t="s">
        <v>30</v>
      </c>
      <c r="I5" s="4" t="s">
        <v>31</v>
      </c>
      <c r="J5" s="4" t="s">
        <v>32</v>
      </c>
      <c r="K5" s="4" t="s">
        <v>34</v>
      </c>
      <c r="L5" s="4" t="s">
        <v>33</v>
      </c>
      <c r="M5" s="4" t="s">
        <v>35</v>
      </c>
      <c r="N5" s="4" t="s">
        <v>36</v>
      </c>
      <c r="O5" s="4" t="s">
        <v>37</v>
      </c>
      <c r="P5" s="5" t="s">
        <v>38</v>
      </c>
    </row>
    <row r="6" spans="1:16" x14ac:dyDescent="0.25">
      <c r="A6" s="1125">
        <v>10095</v>
      </c>
      <c r="B6" s="1126" t="s">
        <v>30</v>
      </c>
      <c r="C6" s="822" t="s">
        <v>97</v>
      </c>
      <c r="D6" s="823" t="s">
        <v>410</v>
      </c>
      <c r="F6">
        <v>3</v>
      </c>
      <c r="G6" s="12" t="str">
        <f t="shared" ref="G6:G23" si="0">HLOOKUP(1,$H$4:$Q$24,F6,FALSE)</f>
        <v>Bruin budget</v>
      </c>
      <c r="H6" s="6" t="s">
        <v>97</v>
      </c>
      <c r="I6" t="s">
        <v>97</v>
      </c>
      <c r="J6" t="s">
        <v>97</v>
      </c>
      <c r="K6" t="s">
        <v>40</v>
      </c>
      <c r="L6" t="s">
        <v>97</v>
      </c>
      <c r="M6" t="s">
        <v>97</v>
      </c>
      <c r="N6" t="s">
        <v>97</v>
      </c>
      <c r="O6" t="s">
        <v>40</v>
      </c>
      <c r="P6" s="7" t="s">
        <v>97</v>
      </c>
    </row>
    <row r="7" spans="1:16" x14ac:dyDescent="0.25">
      <c r="A7" s="1125">
        <v>10097</v>
      </c>
      <c r="B7" s="29" t="s">
        <v>30</v>
      </c>
      <c r="C7" s="789" t="s">
        <v>40</v>
      </c>
      <c r="D7" s="55" t="s">
        <v>413</v>
      </c>
      <c r="F7">
        <v>4</v>
      </c>
      <c r="G7" s="12" t="str">
        <f t="shared" si="0"/>
        <v>Bruin standaard</v>
      </c>
      <c r="H7" s="6" t="s">
        <v>40</v>
      </c>
      <c r="I7" t="s">
        <v>40</v>
      </c>
      <c r="J7" t="s">
        <v>40</v>
      </c>
      <c r="K7" t="str">
        <f t="shared" ref="K7:K10" si="1">" "</f>
        <v xml:space="preserve"> </v>
      </c>
      <c r="L7" t="s">
        <v>40</v>
      </c>
      <c r="M7" t="s">
        <v>40</v>
      </c>
      <c r="N7" t="s">
        <v>40</v>
      </c>
      <c r="O7" t="s">
        <v>889</v>
      </c>
      <c r="P7" s="7" t="s">
        <v>40</v>
      </c>
    </row>
    <row r="8" spans="1:16" x14ac:dyDescent="0.25">
      <c r="A8" s="1125">
        <v>10134</v>
      </c>
      <c r="B8" s="29" t="s">
        <v>30</v>
      </c>
      <c r="C8" s="789" t="s">
        <v>889</v>
      </c>
      <c r="D8" s="55" t="s">
        <v>424</v>
      </c>
      <c r="F8">
        <v>5</v>
      </c>
      <c r="G8" s="12" t="str">
        <f t="shared" si="0"/>
        <v>bruin extra sterk</v>
      </c>
      <c r="H8" s="6" t="s">
        <v>887</v>
      </c>
      <c r="I8" t="s">
        <v>887</v>
      </c>
      <c r="J8" t="s">
        <v>887</v>
      </c>
      <c r="K8" t="str">
        <f t="shared" si="1"/>
        <v xml:space="preserve"> </v>
      </c>
      <c r="L8" t="s">
        <v>98</v>
      </c>
      <c r="M8" t="s">
        <v>41</v>
      </c>
      <c r="N8" t="s">
        <v>887</v>
      </c>
      <c r="O8" t="str">
        <f t="shared" ref="O8" si="2">" "</f>
        <v xml:space="preserve"> </v>
      </c>
      <c r="P8" s="7" t="s">
        <v>887</v>
      </c>
    </row>
    <row r="9" spans="1:16" x14ac:dyDescent="0.25">
      <c r="A9" s="1125">
        <v>10099</v>
      </c>
      <c r="B9" s="29" t="s">
        <v>30</v>
      </c>
      <c r="C9" s="789" t="s">
        <v>41</v>
      </c>
      <c r="D9" s="55" t="s">
        <v>417</v>
      </c>
      <c r="F9">
        <v>6</v>
      </c>
      <c r="G9" s="12" t="str">
        <f t="shared" si="0"/>
        <v>Wit standaard</v>
      </c>
      <c r="H9" s="6" t="s">
        <v>41</v>
      </c>
      <c r="I9" t="s">
        <v>41</v>
      </c>
      <c r="J9" t="s">
        <v>41</v>
      </c>
      <c r="K9" t="str">
        <f t="shared" si="1"/>
        <v xml:space="preserve"> </v>
      </c>
      <c r="L9" t="s">
        <v>41</v>
      </c>
      <c r="M9" t="str">
        <f t="shared" ref="M9:P9" si="3">" "</f>
        <v xml:space="preserve"> </v>
      </c>
      <c r="N9" t="s">
        <v>41</v>
      </c>
      <c r="O9" t="str">
        <f t="shared" si="3"/>
        <v xml:space="preserve"> </v>
      </c>
      <c r="P9" s="7" t="str">
        <f t="shared" si="3"/>
        <v xml:space="preserve"> </v>
      </c>
    </row>
    <row r="10" spans="1:16" x14ac:dyDescent="0.25">
      <c r="A10" s="1125">
        <v>10131</v>
      </c>
      <c r="B10" s="29" t="s">
        <v>30</v>
      </c>
      <c r="C10" s="789" t="s">
        <v>888</v>
      </c>
      <c r="D10" s="55" t="s">
        <v>426</v>
      </c>
      <c r="F10">
        <v>7</v>
      </c>
      <c r="G10" s="12" t="str">
        <f t="shared" si="0"/>
        <v>Wit extra sterk</v>
      </c>
      <c r="H10" s="6" t="s">
        <v>888</v>
      </c>
      <c r="I10" t="s">
        <v>888</v>
      </c>
      <c r="J10" t="str">
        <f t="shared" ref="J10:P10" si="4">" "</f>
        <v xml:space="preserve"> </v>
      </c>
      <c r="K10" t="str">
        <f t="shared" si="1"/>
        <v xml:space="preserve"> </v>
      </c>
      <c r="L10" t="str">
        <f t="shared" si="4"/>
        <v xml:space="preserve"> </v>
      </c>
      <c r="M10" t="str">
        <f t="shared" si="4"/>
        <v xml:space="preserve"> </v>
      </c>
      <c r="N10" t="str">
        <f t="shared" si="4"/>
        <v xml:space="preserve"> </v>
      </c>
      <c r="O10" t="str">
        <f t="shared" si="4"/>
        <v xml:space="preserve"> </v>
      </c>
      <c r="P10" s="7" t="str">
        <f t="shared" si="4"/>
        <v xml:space="preserve"> </v>
      </c>
    </row>
    <row r="11" spans="1:16" x14ac:dyDescent="0.25">
      <c r="A11" s="1125">
        <v>10326</v>
      </c>
      <c r="B11" s="29" t="s">
        <v>31</v>
      </c>
      <c r="C11" s="789" t="s">
        <v>97</v>
      </c>
      <c r="D11" s="55" t="s">
        <v>278</v>
      </c>
      <c r="F11">
        <v>8</v>
      </c>
      <c r="G11" s="12" t="str">
        <f t="shared" si="0"/>
        <v xml:space="preserve"> </v>
      </c>
      <c r="H11" s="6" t="str">
        <f t="shared" ref="H11:P23" si="5">" "</f>
        <v xml:space="preserve"> </v>
      </c>
      <c r="I11" t="str">
        <f>" "</f>
        <v xml:space="preserve"> </v>
      </c>
      <c r="J11" t="str">
        <f t="shared" si="5"/>
        <v xml:space="preserve"> </v>
      </c>
      <c r="K11" t="str">
        <f t="shared" si="5"/>
        <v xml:space="preserve"> </v>
      </c>
      <c r="L11" t="str">
        <f t="shared" si="5"/>
        <v xml:space="preserve"> </v>
      </c>
      <c r="M11" t="str">
        <f t="shared" si="5"/>
        <v xml:space="preserve"> </v>
      </c>
      <c r="N11" t="str">
        <f t="shared" si="5"/>
        <v xml:space="preserve"> </v>
      </c>
      <c r="O11" t="str">
        <f t="shared" si="5"/>
        <v xml:space="preserve"> </v>
      </c>
      <c r="P11" s="7" t="str">
        <f t="shared" si="5"/>
        <v xml:space="preserve"> </v>
      </c>
    </row>
    <row r="12" spans="1:16" x14ac:dyDescent="0.25">
      <c r="A12" s="1125">
        <v>10005</v>
      </c>
      <c r="B12" s="29" t="s">
        <v>31</v>
      </c>
      <c r="C12" s="789" t="s">
        <v>40</v>
      </c>
      <c r="D12" s="55" t="s">
        <v>43</v>
      </c>
      <c r="F12">
        <v>9</v>
      </c>
      <c r="G12" s="12" t="str">
        <f t="shared" si="0"/>
        <v xml:space="preserve"> </v>
      </c>
      <c r="H12" s="6" t="str">
        <f t="shared" si="5"/>
        <v xml:space="preserve"> </v>
      </c>
      <c r="I12" t="str">
        <f t="shared" si="5"/>
        <v xml:space="preserve"> </v>
      </c>
      <c r="J12" t="str">
        <f t="shared" si="5"/>
        <v xml:space="preserve"> </v>
      </c>
      <c r="K12" t="str">
        <f t="shared" si="5"/>
        <v xml:space="preserve"> </v>
      </c>
      <c r="L12" t="str">
        <f t="shared" si="5"/>
        <v xml:space="preserve"> </v>
      </c>
      <c r="M12" t="str">
        <f t="shared" si="5"/>
        <v xml:space="preserve"> </v>
      </c>
      <c r="N12" t="str">
        <f t="shared" si="5"/>
        <v xml:space="preserve"> </v>
      </c>
      <c r="O12" t="str">
        <f t="shared" si="5"/>
        <v xml:space="preserve"> </v>
      </c>
      <c r="P12" s="7" t="str">
        <f t="shared" si="5"/>
        <v xml:space="preserve"> </v>
      </c>
    </row>
    <row r="13" spans="1:16" x14ac:dyDescent="0.25">
      <c r="A13" s="1125">
        <v>10017</v>
      </c>
      <c r="B13" s="29" t="s">
        <v>31</v>
      </c>
      <c r="C13" s="789" t="s">
        <v>887</v>
      </c>
      <c r="D13" s="55" t="s">
        <v>44</v>
      </c>
      <c r="F13">
        <v>10</v>
      </c>
      <c r="G13" s="12" t="str">
        <f t="shared" si="0"/>
        <v xml:space="preserve"> </v>
      </c>
      <c r="H13" s="6" t="str">
        <f t="shared" si="5"/>
        <v xml:space="preserve"> </v>
      </c>
      <c r="I13" t="str">
        <f t="shared" si="5"/>
        <v xml:space="preserve"> </v>
      </c>
      <c r="J13" t="str">
        <f t="shared" si="5"/>
        <v xml:space="preserve"> </v>
      </c>
      <c r="K13" t="str">
        <f t="shared" si="5"/>
        <v xml:space="preserve"> </v>
      </c>
      <c r="L13" t="str">
        <f t="shared" si="5"/>
        <v xml:space="preserve"> </v>
      </c>
      <c r="M13" t="str">
        <f t="shared" si="5"/>
        <v xml:space="preserve"> </v>
      </c>
      <c r="N13" t="str">
        <f t="shared" si="5"/>
        <v xml:space="preserve"> </v>
      </c>
      <c r="O13" t="str">
        <f t="shared" si="5"/>
        <v xml:space="preserve"> </v>
      </c>
      <c r="P13" s="7" t="str">
        <f t="shared" si="5"/>
        <v xml:space="preserve"> </v>
      </c>
    </row>
    <row r="14" spans="1:16" x14ac:dyDescent="0.25">
      <c r="A14" s="1125">
        <v>10002</v>
      </c>
      <c r="B14" s="29" t="s">
        <v>31</v>
      </c>
      <c r="C14" s="789" t="s">
        <v>41</v>
      </c>
      <c r="D14" s="55" t="s">
        <v>45</v>
      </c>
      <c r="F14">
        <v>11</v>
      </c>
      <c r="G14" s="12" t="str">
        <f t="shared" si="0"/>
        <v xml:space="preserve"> </v>
      </c>
      <c r="H14" s="6" t="str">
        <f t="shared" si="5"/>
        <v xml:space="preserve"> </v>
      </c>
      <c r="I14" t="str">
        <f t="shared" si="5"/>
        <v xml:space="preserve"> </v>
      </c>
      <c r="J14" t="str">
        <f t="shared" si="5"/>
        <v xml:space="preserve"> </v>
      </c>
      <c r="K14" t="str">
        <f t="shared" si="5"/>
        <v xml:space="preserve"> </v>
      </c>
      <c r="L14" t="str">
        <f t="shared" si="5"/>
        <v xml:space="preserve"> </v>
      </c>
      <c r="M14" t="str">
        <f t="shared" si="5"/>
        <v xml:space="preserve"> </v>
      </c>
      <c r="N14" t="str">
        <f t="shared" si="5"/>
        <v xml:space="preserve"> </v>
      </c>
      <c r="O14" t="str">
        <f t="shared" si="5"/>
        <v xml:space="preserve"> </v>
      </c>
      <c r="P14" s="7" t="str">
        <f t="shared" si="5"/>
        <v xml:space="preserve"> </v>
      </c>
    </row>
    <row r="15" spans="1:16" x14ac:dyDescent="0.25">
      <c r="A15" s="1125">
        <v>10010</v>
      </c>
      <c r="B15" s="29" t="s">
        <v>31</v>
      </c>
      <c r="C15" s="789" t="s">
        <v>888</v>
      </c>
      <c r="D15" s="55" t="s">
        <v>46</v>
      </c>
      <c r="F15">
        <v>12</v>
      </c>
      <c r="G15" s="12" t="str">
        <f t="shared" si="0"/>
        <v xml:space="preserve"> </v>
      </c>
      <c r="H15" s="6" t="str">
        <f t="shared" si="5"/>
        <v xml:space="preserve"> </v>
      </c>
      <c r="I15" t="str">
        <f t="shared" si="5"/>
        <v xml:space="preserve"> </v>
      </c>
      <c r="J15" t="str">
        <f t="shared" si="5"/>
        <v xml:space="preserve"> </v>
      </c>
      <c r="K15" t="str">
        <f t="shared" si="5"/>
        <v xml:space="preserve"> </v>
      </c>
      <c r="L15" t="str">
        <f t="shared" si="5"/>
        <v xml:space="preserve"> </v>
      </c>
      <c r="M15" t="str">
        <f t="shared" si="5"/>
        <v xml:space="preserve"> </v>
      </c>
      <c r="N15" t="str">
        <f t="shared" si="5"/>
        <v xml:space="preserve"> </v>
      </c>
      <c r="O15" t="str">
        <f t="shared" si="5"/>
        <v xml:space="preserve"> </v>
      </c>
      <c r="P15" s="7" t="str">
        <f t="shared" si="5"/>
        <v xml:space="preserve"> </v>
      </c>
    </row>
    <row r="16" spans="1:16" x14ac:dyDescent="0.25">
      <c r="A16" s="1125">
        <v>10053</v>
      </c>
      <c r="B16" s="29" t="s">
        <v>32</v>
      </c>
      <c r="C16" s="789" t="s">
        <v>97</v>
      </c>
      <c r="D16" s="55" t="s">
        <v>371</v>
      </c>
      <c r="F16">
        <v>13</v>
      </c>
      <c r="G16" s="12" t="str">
        <f t="shared" si="0"/>
        <v xml:space="preserve"> </v>
      </c>
      <c r="H16" s="6" t="str">
        <f t="shared" si="5"/>
        <v xml:space="preserve"> </v>
      </c>
      <c r="I16" t="str">
        <f t="shared" si="5"/>
        <v xml:space="preserve"> </v>
      </c>
      <c r="J16" t="str">
        <f t="shared" si="5"/>
        <v xml:space="preserve"> </v>
      </c>
      <c r="K16" t="str">
        <f t="shared" si="5"/>
        <v xml:space="preserve"> </v>
      </c>
      <c r="L16" t="str">
        <f t="shared" si="5"/>
        <v xml:space="preserve"> </v>
      </c>
      <c r="M16" t="str">
        <f t="shared" si="5"/>
        <v xml:space="preserve"> </v>
      </c>
      <c r="N16" t="str">
        <f t="shared" si="5"/>
        <v xml:space="preserve"> </v>
      </c>
      <c r="O16" t="str">
        <f t="shared" si="5"/>
        <v xml:space="preserve"> </v>
      </c>
      <c r="P16" s="7" t="str">
        <f t="shared" si="5"/>
        <v xml:space="preserve"> </v>
      </c>
    </row>
    <row r="17" spans="1:16" x14ac:dyDescent="0.25">
      <c r="A17" s="1125">
        <v>10193</v>
      </c>
      <c r="B17" s="29" t="s">
        <v>32</v>
      </c>
      <c r="C17" s="789" t="s">
        <v>40</v>
      </c>
      <c r="D17" s="55" t="s">
        <v>379</v>
      </c>
      <c r="F17">
        <v>14</v>
      </c>
      <c r="G17" s="12" t="str">
        <f t="shared" si="0"/>
        <v xml:space="preserve"> </v>
      </c>
      <c r="H17" s="6" t="str">
        <f t="shared" si="5"/>
        <v xml:space="preserve"> </v>
      </c>
      <c r="I17" t="str">
        <f t="shared" si="5"/>
        <v xml:space="preserve"> </v>
      </c>
      <c r="J17" t="str">
        <f t="shared" si="5"/>
        <v xml:space="preserve"> </v>
      </c>
      <c r="K17" t="str">
        <f t="shared" si="5"/>
        <v xml:space="preserve"> </v>
      </c>
      <c r="L17" t="str">
        <f t="shared" si="5"/>
        <v xml:space="preserve"> </v>
      </c>
      <c r="M17" t="str">
        <f t="shared" si="5"/>
        <v xml:space="preserve"> </v>
      </c>
      <c r="N17" t="str">
        <f t="shared" si="5"/>
        <v xml:space="preserve"> </v>
      </c>
      <c r="O17" t="str">
        <f t="shared" si="5"/>
        <v xml:space="preserve"> </v>
      </c>
      <c r="P17" s="7" t="str">
        <f t="shared" si="5"/>
        <v xml:space="preserve"> </v>
      </c>
    </row>
    <row r="18" spans="1:16" x14ac:dyDescent="0.25">
      <c r="A18" s="1125">
        <v>10050</v>
      </c>
      <c r="B18" s="29" t="s">
        <v>32</v>
      </c>
      <c r="C18" s="789" t="s">
        <v>889</v>
      </c>
      <c r="D18" s="55" t="s">
        <v>385</v>
      </c>
      <c r="F18">
        <v>15</v>
      </c>
      <c r="G18" s="12" t="str">
        <f t="shared" si="0"/>
        <v xml:space="preserve"> </v>
      </c>
      <c r="H18" s="6" t="str">
        <f t="shared" si="5"/>
        <v xml:space="preserve"> </v>
      </c>
      <c r="I18" t="str">
        <f t="shared" si="5"/>
        <v xml:space="preserve"> </v>
      </c>
      <c r="J18" t="str">
        <f t="shared" si="5"/>
        <v xml:space="preserve"> </v>
      </c>
      <c r="K18" t="str">
        <f t="shared" si="5"/>
        <v xml:space="preserve"> </v>
      </c>
      <c r="L18" t="str">
        <f t="shared" si="5"/>
        <v xml:space="preserve"> </v>
      </c>
      <c r="M18" t="str">
        <f t="shared" si="5"/>
        <v xml:space="preserve"> </v>
      </c>
      <c r="N18" t="str">
        <f t="shared" si="5"/>
        <v xml:space="preserve"> </v>
      </c>
      <c r="O18" t="str">
        <f t="shared" si="5"/>
        <v xml:space="preserve"> </v>
      </c>
      <c r="P18" s="7" t="str">
        <f t="shared" si="5"/>
        <v xml:space="preserve"> </v>
      </c>
    </row>
    <row r="19" spans="1:16" x14ac:dyDescent="0.25">
      <c r="A19" s="1125">
        <v>10221</v>
      </c>
      <c r="B19" s="29" t="s">
        <v>32</v>
      </c>
      <c r="C19" s="789" t="s">
        <v>41</v>
      </c>
      <c r="D19" s="55" t="s">
        <v>390</v>
      </c>
      <c r="F19">
        <v>16</v>
      </c>
      <c r="G19" s="12" t="str">
        <f t="shared" si="0"/>
        <v xml:space="preserve"> </v>
      </c>
      <c r="H19" s="6" t="str">
        <f t="shared" si="5"/>
        <v xml:space="preserve"> </v>
      </c>
      <c r="I19" t="str">
        <f t="shared" si="5"/>
        <v xml:space="preserve"> </v>
      </c>
      <c r="J19" t="str">
        <f t="shared" si="5"/>
        <v xml:space="preserve"> </v>
      </c>
      <c r="K19" t="str">
        <f t="shared" si="5"/>
        <v xml:space="preserve"> </v>
      </c>
      <c r="L19" t="str">
        <f t="shared" si="5"/>
        <v xml:space="preserve"> </v>
      </c>
      <c r="M19" t="str">
        <f t="shared" si="5"/>
        <v xml:space="preserve"> </v>
      </c>
      <c r="N19" t="str">
        <f t="shared" si="5"/>
        <v xml:space="preserve"> </v>
      </c>
      <c r="O19" t="str">
        <f t="shared" si="5"/>
        <v xml:space="preserve"> </v>
      </c>
      <c r="P19" s="7" t="str">
        <f t="shared" si="5"/>
        <v xml:space="preserve"> </v>
      </c>
    </row>
    <row r="20" spans="1:16" x14ac:dyDescent="0.25">
      <c r="A20" s="1125">
        <v>10339</v>
      </c>
      <c r="B20" s="29" t="s">
        <v>34</v>
      </c>
      <c r="C20" s="789" t="s">
        <v>40</v>
      </c>
      <c r="D20" s="55" t="s">
        <v>1087</v>
      </c>
      <c r="F20">
        <v>17</v>
      </c>
      <c r="G20" s="12" t="str">
        <f t="shared" si="0"/>
        <v xml:space="preserve"> </v>
      </c>
      <c r="H20" s="6" t="str">
        <f t="shared" si="5"/>
        <v xml:space="preserve"> </v>
      </c>
      <c r="I20" t="str">
        <f t="shared" si="5"/>
        <v xml:space="preserve"> </v>
      </c>
      <c r="J20" t="str">
        <f t="shared" si="5"/>
        <v xml:space="preserve"> </v>
      </c>
      <c r="K20" t="str">
        <f t="shared" si="5"/>
        <v xml:space="preserve"> </v>
      </c>
      <c r="L20" t="str">
        <f t="shared" si="5"/>
        <v xml:space="preserve"> </v>
      </c>
      <c r="M20" t="str">
        <f t="shared" si="5"/>
        <v xml:space="preserve"> </v>
      </c>
      <c r="N20" t="str">
        <f t="shared" si="5"/>
        <v xml:space="preserve"> </v>
      </c>
      <c r="O20" t="str">
        <f t="shared" si="5"/>
        <v xml:space="preserve"> </v>
      </c>
      <c r="P20" s="7" t="str">
        <f t="shared" si="5"/>
        <v xml:space="preserve"> </v>
      </c>
    </row>
    <row r="21" spans="1:16" x14ac:dyDescent="0.25">
      <c r="A21" s="1125">
        <v>10335</v>
      </c>
      <c r="B21" s="29" t="s">
        <v>33</v>
      </c>
      <c r="C21" s="789" t="s">
        <v>97</v>
      </c>
      <c r="D21" s="55" t="s">
        <v>441</v>
      </c>
      <c r="F21">
        <v>18</v>
      </c>
      <c r="G21" s="12" t="str">
        <f t="shared" si="0"/>
        <v xml:space="preserve"> </v>
      </c>
      <c r="H21" s="6" t="str">
        <f t="shared" si="5"/>
        <v xml:space="preserve"> </v>
      </c>
      <c r="I21" t="str">
        <f t="shared" si="5"/>
        <v xml:space="preserve"> </v>
      </c>
      <c r="J21" t="str">
        <f t="shared" si="5"/>
        <v xml:space="preserve"> </v>
      </c>
      <c r="K21" t="str">
        <f t="shared" si="5"/>
        <v xml:space="preserve"> </v>
      </c>
      <c r="L21" t="str">
        <f t="shared" si="5"/>
        <v xml:space="preserve"> </v>
      </c>
      <c r="M21" t="str">
        <f t="shared" si="5"/>
        <v xml:space="preserve"> </v>
      </c>
      <c r="N21" t="str">
        <f t="shared" si="5"/>
        <v xml:space="preserve"> </v>
      </c>
      <c r="O21" t="str">
        <f t="shared" si="5"/>
        <v xml:space="preserve"> </v>
      </c>
      <c r="P21" s="7" t="str">
        <f t="shared" si="5"/>
        <v xml:space="preserve"> </v>
      </c>
    </row>
    <row r="22" spans="1:16" x14ac:dyDescent="0.25">
      <c r="A22" s="1125">
        <v>10368</v>
      </c>
      <c r="B22" s="29" t="s">
        <v>33</v>
      </c>
      <c r="C22" s="789" t="s">
        <v>40</v>
      </c>
      <c r="D22" s="55" t="s">
        <v>449</v>
      </c>
      <c r="F22">
        <v>19</v>
      </c>
      <c r="G22" s="12" t="str">
        <f t="shared" si="0"/>
        <v xml:space="preserve"> </v>
      </c>
      <c r="H22" s="6" t="str">
        <f t="shared" si="5"/>
        <v xml:space="preserve"> </v>
      </c>
      <c r="I22" t="str">
        <f t="shared" si="5"/>
        <v xml:space="preserve"> </v>
      </c>
      <c r="J22" t="str">
        <f t="shared" si="5"/>
        <v xml:space="preserve"> </v>
      </c>
      <c r="K22" t="str">
        <f t="shared" si="5"/>
        <v xml:space="preserve"> </v>
      </c>
      <c r="L22" t="str">
        <f t="shared" si="5"/>
        <v xml:space="preserve"> </v>
      </c>
      <c r="M22" t="str">
        <f t="shared" si="5"/>
        <v xml:space="preserve"> </v>
      </c>
      <c r="N22" t="str">
        <f t="shared" si="5"/>
        <v xml:space="preserve"> </v>
      </c>
      <c r="O22" t="str">
        <f t="shared" si="5"/>
        <v xml:space="preserve"> </v>
      </c>
      <c r="P22" s="7" t="str">
        <f t="shared" si="5"/>
        <v xml:space="preserve"> </v>
      </c>
    </row>
    <row r="23" spans="1:16" x14ac:dyDescent="0.25">
      <c r="A23" s="1125">
        <v>10136</v>
      </c>
      <c r="B23" s="29" t="s">
        <v>33</v>
      </c>
      <c r="C23" s="789" t="s">
        <v>98</v>
      </c>
      <c r="D23" s="55" t="s">
        <v>443</v>
      </c>
      <c r="F23">
        <v>20</v>
      </c>
      <c r="G23" s="13" t="str">
        <f t="shared" si="0"/>
        <v xml:space="preserve"> </v>
      </c>
      <c r="H23" s="8" t="str">
        <f t="shared" si="5"/>
        <v xml:space="preserve"> </v>
      </c>
      <c r="I23" s="9" t="str">
        <f t="shared" si="5"/>
        <v xml:space="preserve"> </v>
      </c>
      <c r="J23" s="9" t="str">
        <f t="shared" si="5"/>
        <v xml:space="preserve"> </v>
      </c>
      <c r="K23" s="9" t="str">
        <f t="shared" si="5"/>
        <v xml:space="preserve"> </v>
      </c>
      <c r="L23" s="9" t="str">
        <f t="shared" si="5"/>
        <v xml:space="preserve"> </v>
      </c>
      <c r="M23" s="9" t="str">
        <f t="shared" si="5"/>
        <v xml:space="preserve"> </v>
      </c>
      <c r="N23" s="9" t="str">
        <f t="shared" si="5"/>
        <v xml:space="preserve"> </v>
      </c>
      <c r="O23" s="9" t="str">
        <f t="shared" si="5"/>
        <v xml:space="preserve"> </v>
      </c>
      <c r="P23" s="10" t="str">
        <f t="shared" si="5"/>
        <v xml:space="preserve"> </v>
      </c>
    </row>
    <row r="24" spans="1:16" x14ac:dyDescent="0.25">
      <c r="A24" s="1125">
        <v>10140</v>
      </c>
      <c r="B24" s="29" t="s">
        <v>33</v>
      </c>
      <c r="C24" s="789" t="s">
        <v>41</v>
      </c>
      <c r="D24" s="55" t="s">
        <v>445</v>
      </c>
    </row>
    <row r="25" spans="1:16" x14ac:dyDescent="0.25">
      <c r="A25" s="1125">
        <v>10197</v>
      </c>
      <c r="B25" s="29" t="s">
        <v>35</v>
      </c>
      <c r="C25" s="789" t="s">
        <v>97</v>
      </c>
      <c r="D25" s="55" t="s">
        <v>452</v>
      </c>
    </row>
    <row r="26" spans="1:16" x14ac:dyDescent="0.25">
      <c r="A26" s="1125">
        <v>10199</v>
      </c>
      <c r="B26" s="29" t="s">
        <v>35</v>
      </c>
      <c r="C26" s="789" t="s">
        <v>40</v>
      </c>
      <c r="D26" s="55" t="s">
        <v>454</v>
      </c>
    </row>
    <row r="27" spans="1:16" x14ac:dyDescent="0.25">
      <c r="A27" s="1125">
        <v>10200</v>
      </c>
      <c r="B27" s="29" t="s">
        <v>35</v>
      </c>
      <c r="C27" s="789" t="s">
        <v>41</v>
      </c>
      <c r="D27" s="55" t="s">
        <v>456</v>
      </c>
    </row>
    <row r="28" spans="1:16" x14ac:dyDescent="0.25">
      <c r="A28" s="1125">
        <v>10178</v>
      </c>
      <c r="B28" s="29" t="s">
        <v>36</v>
      </c>
      <c r="C28" s="789" t="s">
        <v>97</v>
      </c>
      <c r="D28" s="55" t="s">
        <v>327</v>
      </c>
    </row>
    <row r="29" spans="1:16" x14ac:dyDescent="0.25">
      <c r="A29" s="1125">
        <v>10158</v>
      </c>
      <c r="B29" s="29" t="s">
        <v>36</v>
      </c>
      <c r="C29" s="789" t="s">
        <v>40</v>
      </c>
      <c r="D29" s="55" t="s">
        <v>336</v>
      </c>
    </row>
    <row r="30" spans="1:16" x14ac:dyDescent="0.25">
      <c r="A30" s="1125">
        <v>10183</v>
      </c>
      <c r="B30" s="29" t="s">
        <v>36</v>
      </c>
      <c r="C30" s="789" t="s">
        <v>887</v>
      </c>
      <c r="D30" s="55" t="s">
        <v>347</v>
      </c>
    </row>
    <row r="31" spans="1:16" x14ac:dyDescent="0.25">
      <c r="A31" s="1125">
        <v>10181</v>
      </c>
      <c r="B31" s="29" t="s">
        <v>36</v>
      </c>
      <c r="C31" s="789" t="s">
        <v>41</v>
      </c>
      <c r="D31" s="55" t="s">
        <v>332</v>
      </c>
    </row>
    <row r="32" spans="1:16" x14ac:dyDescent="0.25">
      <c r="A32" s="1125">
        <v>10214</v>
      </c>
      <c r="B32" s="29" t="s">
        <v>37</v>
      </c>
      <c r="C32" s="789" t="s">
        <v>40</v>
      </c>
      <c r="D32" s="55" t="s">
        <v>393</v>
      </c>
      <c r="G32" s="2"/>
      <c r="H32" s="2"/>
      <c r="I32" s="2"/>
      <c r="J32" s="2"/>
      <c r="K32" s="2"/>
    </row>
    <row r="33" spans="1:4" x14ac:dyDescent="0.25">
      <c r="A33" s="1125">
        <v>10215</v>
      </c>
      <c r="B33" s="29" t="s">
        <v>37</v>
      </c>
      <c r="C33" s="789" t="s">
        <v>889</v>
      </c>
      <c r="D33" s="55" t="s">
        <v>395</v>
      </c>
    </row>
    <row r="34" spans="1:4" x14ac:dyDescent="0.25">
      <c r="A34" s="1125">
        <v>10216</v>
      </c>
      <c r="B34" s="29" t="s">
        <v>38</v>
      </c>
      <c r="C34" s="789" t="s">
        <v>97</v>
      </c>
      <c r="D34" s="55" t="s">
        <v>400</v>
      </c>
    </row>
    <row r="35" spans="1:4" x14ac:dyDescent="0.25">
      <c r="A35" s="1125">
        <v>10218</v>
      </c>
      <c r="B35" s="29" t="s">
        <v>38</v>
      </c>
      <c r="C35" s="789" t="s">
        <v>40</v>
      </c>
      <c r="D35" s="55" t="s">
        <v>404</v>
      </c>
    </row>
    <row r="36" spans="1:4" x14ac:dyDescent="0.25">
      <c r="A36" s="1125">
        <v>10220</v>
      </c>
      <c r="B36" s="29" t="s">
        <v>38</v>
      </c>
      <c r="C36" s="789" t="s">
        <v>887</v>
      </c>
      <c r="D36" s="55" t="s">
        <v>408</v>
      </c>
    </row>
    <row r="37" spans="1:4" x14ac:dyDescent="0.25">
      <c r="A37" s="12"/>
      <c r="B37" s="29"/>
      <c r="C37" s="789"/>
      <c r="D37" s="55"/>
    </row>
    <row r="38" spans="1:4" x14ac:dyDescent="0.25">
      <c r="A38" s="12"/>
      <c r="B38" s="29"/>
      <c r="C38" s="789"/>
      <c r="D38" s="55"/>
    </row>
    <row r="39" spans="1:4" x14ac:dyDescent="0.25">
      <c r="A39" s="12"/>
      <c r="B39" s="29"/>
      <c r="C39" s="789"/>
      <c r="D39" s="55"/>
    </row>
    <row r="40" spans="1:4" x14ac:dyDescent="0.25">
      <c r="A40" s="12"/>
      <c r="B40" s="29"/>
      <c r="C40" s="789"/>
      <c r="D40" s="55"/>
    </row>
    <row r="41" spans="1:4" x14ac:dyDescent="0.25">
      <c r="A41" s="12"/>
      <c r="B41" s="29"/>
      <c r="C41" s="789"/>
      <c r="D41" s="55"/>
    </row>
    <row r="42" spans="1:4" x14ac:dyDescent="0.25">
      <c r="A42" s="12"/>
      <c r="B42" s="29"/>
      <c r="C42" s="789"/>
      <c r="D42" s="55"/>
    </row>
    <row r="43" spans="1:4" x14ac:dyDescent="0.25">
      <c r="A43" s="12"/>
      <c r="B43" s="29"/>
      <c r="C43" s="789"/>
      <c r="D43" s="55"/>
    </row>
    <row r="44" spans="1:4" x14ac:dyDescent="0.25">
      <c r="A44" s="12"/>
      <c r="B44" s="29"/>
      <c r="C44" s="789"/>
      <c r="D44" s="55"/>
    </row>
    <row r="45" spans="1:4" x14ac:dyDescent="0.25">
      <c r="A45" s="12"/>
      <c r="B45" s="29"/>
      <c r="C45" s="789"/>
      <c r="D45" s="55"/>
    </row>
    <row r="46" spans="1:4" x14ac:dyDescent="0.25">
      <c r="A46" s="12"/>
      <c r="B46" s="29"/>
      <c r="C46" s="789"/>
      <c r="D46" s="55"/>
    </row>
    <row r="47" spans="1:4" x14ac:dyDescent="0.25">
      <c r="A47" s="12"/>
      <c r="B47" s="29"/>
      <c r="C47" s="789"/>
      <c r="D47" s="55"/>
    </row>
    <row r="48" spans="1:4" x14ac:dyDescent="0.25">
      <c r="A48" s="12"/>
      <c r="B48" s="29"/>
      <c r="C48" s="789"/>
      <c r="D48" s="55"/>
    </row>
    <row r="49" spans="1:4" x14ac:dyDescent="0.25">
      <c r="A49" s="12"/>
      <c r="B49" s="29"/>
      <c r="C49" s="789"/>
      <c r="D49" s="55"/>
    </row>
    <row r="50" spans="1:4" x14ac:dyDescent="0.25">
      <c r="A50" s="12"/>
      <c r="B50" s="29"/>
      <c r="C50" s="789"/>
      <c r="D50" s="55"/>
    </row>
    <row r="51" spans="1:4" x14ac:dyDescent="0.25">
      <c r="A51" s="12"/>
      <c r="B51" s="29"/>
      <c r="C51" s="789"/>
      <c r="D51" s="55"/>
    </row>
    <row r="52" spans="1:4" x14ac:dyDescent="0.25">
      <c r="A52" s="12"/>
      <c r="B52" s="29"/>
      <c r="C52" s="789"/>
      <c r="D52" s="55"/>
    </row>
    <row r="53" spans="1:4" x14ac:dyDescent="0.25">
      <c r="A53" s="12"/>
      <c r="B53" s="29"/>
      <c r="C53" s="789"/>
      <c r="D53" s="55"/>
    </row>
    <row r="54" spans="1:4" x14ac:dyDescent="0.25">
      <c r="A54" s="12"/>
      <c r="B54" s="29"/>
      <c r="C54" s="789"/>
      <c r="D54" s="55"/>
    </row>
    <row r="55" spans="1:4" x14ac:dyDescent="0.25">
      <c r="A55" s="12"/>
      <c r="B55" s="29"/>
      <c r="C55" s="789"/>
      <c r="D55" s="55"/>
    </row>
    <row r="56" spans="1:4" x14ac:dyDescent="0.25">
      <c r="A56" s="12"/>
      <c r="B56" s="29"/>
      <c r="C56" s="789"/>
      <c r="D56" s="55"/>
    </row>
    <row r="57" spans="1:4" x14ac:dyDescent="0.25">
      <c r="A57" s="12"/>
      <c r="B57" s="29"/>
      <c r="C57" s="789"/>
      <c r="D57" s="55"/>
    </row>
    <row r="58" spans="1:4" x14ac:dyDescent="0.25">
      <c r="A58" s="12"/>
      <c r="B58" s="29"/>
      <c r="C58" s="789"/>
      <c r="D58" s="55"/>
    </row>
    <row r="59" spans="1:4" x14ac:dyDescent="0.25">
      <c r="A59" s="12"/>
      <c r="B59" s="29"/>
      <c r="C59" s="789"/>
      <c r="D59" s="55"/>
    </row>
    <row r="60" spans="1:4" x14ac:dyDescent="0.25">
      <c r="A60" s="12"/>
      <c r="B60" s="29"/>
      <c r="C60" s="789"/>
      <c r="D60" s="55"/>
    </row>
    <row r="61" spans="1:4" x14ac:dyDescent="0.25">
      <c r="A61" s="12"/>
      <c r="B61" s="29"/>
      <c r="C61" s="789"/>
      <c r="D61" s="55"/>
    </row>
    <row r="62" spans="1:4" x14ac:dyDescent="0.25">
      <c r="A62" s="12"/>
      <c r="B62" s="29"/>
      <c r="C62" s="789"/>
      <c r="D62" s="55"/>
    </row>
    <row r="63" spans="1:4" x14ac:dyDescent="0.25">
      <c r="A63" s="12"/>
      <c r="B63" s="29"/>
      <c r="C63" s="789"/>
      <c r="D63" s="55"/>
    </row>
    <row r="64" spans="1:4" x14ac:dyDescent="0.25">
      <c r="A64" s="12"/>
      <c r="B64" s="29"/>
      <c r="C64" s="789"/>
      <c r="D64" s="55"/>
    </row>
    <row r="65" spans="1:4" x14ac:dyDescent="0.25">
      <c r="A65" s="12"/>
      <c r="B65" s="29"/>
      <c r="C65" s="789"/>
      <c r="D65" s="55"/>
    </row>
    <row r="66" spans="1:4" x14ac:dyDescent="0.25">
      <c r="A66" s="12"/>
      <c r="B66" s="29"/>
      <c r="C66" s="789"/>
      <c r="D66" s="55"/>
    </row>
    <row r="67" spans="1:4" x14ac:dyDescent="0.25">
      <c r="A67" s="12"/>
      <c r="B67" s="29"/>
      <c r="C67" s="789"/>
      <c r="D67" s="55"/>
    </row>
    <row r="68" spans="1:4" x14ac:dyDescent="0.25">
      <c r="A68" s="12"/>
      <c r="B68" s="29"/>
      <c r="C68" s="789"/>
      <c r="D68" s="55"/>
    </row>
    <row r="69" spans="1:4" x14ac:dyDescent="0.25">
      <c r="A69" s="12"/>
      <c r="B69" s="29"/>
      <c r="C69" s="789"/>
      <c r="D69" s="55"/>
    </row>
    <row r="70" spans="1:4" x14ac:dyDescent="0.25">
      <c r="A70" s="12"/>
      <c r="B70" s="29"/>
      <c r="C70" s="789"/>
      <c r="D70" s="55"/>
    </row>
    <row r="71" spans="1:4" x14ac:dyDescent="0.25">
      <c r="A71" s="12"/>
      <c r="B71" s="29"/>
      <c r="C71" s="789"/>
      <c r="D71" s="55"/>
    </row>
    <row r="72" spans="1:4" x14ac:dyDescent="0.25">
      <c r="A72" s="12"/>
      <c r="B72" s="29"/>
      <c r="C72" s="789"/>
      <c r="D72" s="55"/>
    </row>
    <row r="73" spans="1:4" x14ac:dyDescent="0.25">
      <c r="A73" s="12"/>
      <c r="B73" s="29"/>
      <c r="C73" s="789"/>
      <c r="D73" s="55"/>
    </row>
    <row r="74" spans="1:4" x14ac:dyDescent="0.25">
      <c r="A74" s="12"/>
      <c r="B74" s="29"/>
      <c r="C74" s="789"/>
      <c r="D74" s="55"/>
    </row>
    <row r="75" spans="1:4" x14ac:dyDescent="0.25">
      <c r="A75" s="12"/>
      <c r="B75" s="29"/>
      <c r="C75" s="789"/>
      <c r="D75" s="55"/>
    </row>
    <row r="76" spans="1:4" x14ac:dyDescent="0.25">
      <c r="A76" s="12"/>
      <c r="B76" s="29"/>
      <c r="C76" s="789"/>
      <c r="D76" s="55"/>
    </row>
    <row r="77" spans="1:4" x14ac:dyDescent="0.25">
      <c r="A77" s="12"/>
      <c r="B77" s="29"/>
      <c r="C77" s="789"/>
      <c r="D77" s="55"/>
    </row>
    <row r="78" spans="1:4" x14ac:dyDescent="0.25">
      <c r="A78" s="12"/>
      <c r="B78" s="29"/>
      <c r="C78" s="789"/>
      <c r="D78" s="55"/>
    </row>
    <row r="79" spans="1:4" x14ac:dyDescent="0.25">
      <c r="A79" s="12"/>
      <c r="B79" s="29"/>
      <c r="C79" s="789"/>
      <c r="D79" s="55"/>
    </row>
    <row r="80" spans="1:4" x14ac:dyDescent="0.25">
      <c r="A80" s="12"/>
      <c r="B80" s="29"/>
      <c r="C80" s="789"/>
      <c r="D80" s="55"/>
    </row>
    <row r="81" spans="1:4" x14ac:dyDescent="0.25">
      <c r="A81" s="12"/>
      <c r="B81" s="29"/>
      <c r="C81" s="789"/>
      <c r="D81" s="55"/>
    </row>
    <row r="82" spans="1:4" x14ac:dyDescent="0.25">
      <c r="A82" s="12"/>
      <c r="B82" s="29"/>
      <c r="C82" s="789"/>
      <c r="D82" s="55"/>
    </row>
    <row r="83" spans="1:4" x14ac:dyDescent="0.25">
      <c r="A83" s="12"/>
      <c r="B83" s="29"/>
      <c r="C83" s="789"/>
      <c r="D83" s="55"/>
    </row>
    <row r="84" spans="1:4" x14ac:dyDescent="0.25">
      <c r="A84" s="12"/>
      <c r="B84" s="29"/>
      <c r="C84" s="789"/>
      <c r="D84" s="55"/>
    </row>
    <row r="85" spans="1:4" x14ac:dyDescent="0.25">
      <c r="A85" s="12"/>
      <c r="B85" s="29"/>
      <c r="C85" s="789"/>
      <c r="D85" s="55"/>
    </row>
    <row r="86" spans="1:4" x14ac:dyDescent="0.25">
      <c r="A86" s="12"/>
      <c r="B86" s="29"/>
      <c r="C86" s="789"/>
      <c r="D86" s="55"/>
    </row>
    <row r="87" spans="1:4" x14ac:dyDescent="0.25">
      <c r="A87" s="12"/>
      <c r="B87" s="29"/>
      <c r="C87" s="789"/>
      <c r="D87" s="55"/>
    </row>
    <row r="88" spans="1:4" x14ac:dyDescent="0.25">
      <c r="A88" s="12"/>
      <c r="B88" s="29"/>
      <c r="C88" s="789"/>
      <c r="D88" s="55"/>
    </row>
    <row r="89" spans="1:4" x14ac:dyDescent="0.25">
      <c r="A89" s="12"/>
      <c r="B89" s="29"/>
      <c r="C89" s="789"/>
      <c r="D89" s="55"/>
    </row>
    <row r="90" spans="1:4" x14ac:dyDescent="0.25">
      <c r="A90" s="12"/>
      <c r="B90" s="29"/>
      <c r="C90" s="789"/>
      <c r="D90" s="55"/>
    </row>
    <row r="91" spans="1:4" x14ac:dyDescent="0.25">
      <c r="A91" s="12"/>
      <c r="B91" s="29"/>
      <c r="C91" s="789"/>
      <c r="D91" s="55"/>
    </row>
    <row r="92" spans="1:4" x14ac:dyDescent="0.25">
      <c r="A92" s="12"/>
      <c r="B92" s="29"/>
      <c r="C92" s="789"/>
      <c r="D92" s="55"/>
    </row>
    <row r="93" spans="1:4" x14ac:dyDescent="0.25">
      <c r="A93" s="12"/>
      <c r="B93" s="29"/>
      <c r="C93" s="789"/>
      <c r="D93" s="55"/>
    </row>
    <row r="94" spans="1:4" x14ac:dyDescent="0.25">
      <c r="A94" s="12"/>
      <c r="B94" s="29"/>
      <c r="C94" s="789"/>
      <c r="D94" s="55"/>
    </row>
    <row r="95" spans="1:4" x14ac:dyDescent="0.25">
      <c r="A95" s="12"/>
      <c r="B95" s="29"/>
      <c r="C95" s="789"/>
      <c r="D95" s="55"/>
    </row>
    <row r="96" spans="1:4" x14ac:dyDescent="0.25">
      <c r="A96" s="12"/>
      <c r="B96" s="29"/>
      <c r="C96" s="789"/>
      <c r="D96" s="55"/>
    </row>
    <row r="97" spans="1:4" x14ac:dyDescent="0.25">
      <c r="A97" s="12"/>
      <c r="B97" s="29"/>
      <c r="C97" s="789"/>
      <c r="D97" s="55"/>
    </row>
    <row r="98" spans="1:4" x14ac:dyDescent="0.25">
      <c r="A98" s="12"/>
      <c r="B98" s="29"/>
      <c r="C98" s="789"/>
      <c r="D98" s="55"/>
    </row>
    <row r="99" spans="1:4" x14ac:dyDescent="0.25">
      <c r="A99" s="12"/>
      <c r="B99" s="29"/>
      <c r="C99" s="789"/>
      <c r="D99" s="55"/>
    </row>
    <row r="100" spans="1:4" x14ac:dyDescent="0.25">
      <c r="A100" s="12"/>
      <c r="B100" s="29"/>
      <c r="C100" s="789"/>
      <c r="D100" s="55"/>
    </row>
    <row r="101" spans="1:4" x14ac:dyDescent="0.25">
      <c r="A101" s="12"/>
      <c r="B101" s="29"/>
      <c r="C101" s="789"/>
      <c r="D101" s="55"/>
    </row>
    <row r="102" spans="1:4" x14ac:dyDescent="0.25">
      <c r="A102" s="12"/>
      <c r="B102" s="29"/>
      <c r="C102" s="789"/>
      <c r="D102" s="55"/>
    </row>
    <row r="103" spans="1:4" x14ac:dyDescent="0.25">
      <c r="A103" s="12"/>
      <c r="B103" s="29"/>
      <c r="C103" s="789"/>
      <c r="D103" s="55"/>
    </row>
    <row r="104" spans="1:4" x14ac:dyDescent="0.25">
      <c r="A104" s="12"/>
      <c r="B104" s="29"/>
      <c r="C104" s="789"/>
      <c r="D104" s="55"/>
    </row>
    <row r="105" spans="1:4" x14ac:dyDescent="0.25">
      <c r="A105" s="12"/>
      <c r="B105" s="29"/>
      <c r="C105" s="789"/>
      <c r="D105" s="55"/>
    </row>
    <row r="106" spans="1:4" x14ac:dyDescent="0.25">
      <c r="A106" s="12"/>
      <c r="B106" s="29"/>
      <c r="C106" s="789"/>
      <c r="D106" s="55"/>
    </row>
    <row r="107" spans="1:4" x14ac:dyDescent="0.25">
      <c r="A107" s="12"/>
      <c r="B107" s="29"/>
      <c r="C107" s="789"/>
      <c r="D107" s="55"/>
    </row>
    <row r="108" spans="1:4" x14ac:dyDescent="0.25">
      <c r="A108" s="12"/>
      <c r="B108" s="29"/>
      <c r="C108" s="789"/>
      <c r="D108" s="55"/>
    </row>
    <row r="109" spans="1:4" x14ac:dyDescent="0.25">
      <c r="A109" s="12"/>
      <c r="B109" s="29"/>
      <c r="C109" s="789"/>
      <c r="D109" s="55"/>
    </row>
    <row r="110" spans="1:4" x14ac:dyDescent="0.25">
      <c r="A110" s="12"/>
      <c r="B110" s="29"/>
      <c r="C110" s="789"/>
      <c r="D110" s="55"/>
    </row>
    <row r="111" spans="1:4" x14ac:dyDescent="0.25">
      <c r="A111" s="12"/>
      <c r="B111" s="29"/>
      <c r="C111" s="789"/>
      <c r="D111" s="55"/>
    </row>
    <row r="112" spans="1:4" x14ac:dyDescent="0.25">
      <c r="A112" s="12"/>
      <c r="B112" s="29"/>
      <c r="C112" s="789"/>
      <c r="D112" s="55"/>
    </row>
    <row r="113" spans="1:4" x14ac:dyDescent="0.25">
      <c r="A113" s="12"/>
      <c r="B113" s="29"/>
      <c r="C113" s="789"/>
      <c r="D113" s="55"/>
    </row>
    <row r="114" spans="1:4" x14ac:dyDescent="0.25">
      <c r="A114" s="12"/>
      <c r="B114" s="29"/>
      <c r="C114" s="789"/>
      <c r="D114" s="55"/>
    </row>
    <row r="115" spans="1:4" x14ac:dyDescent="0.25">
      <c r="A115" s="12"/>
      <c r="B115" s="29"/>
      <c r="C115" s="789"/>
      <c r="D115" s="55"/>
    </row>
    <row r="116" spans="1:4" x14ac:dyDescent="0.25">
      <c r="A116" s="12"/>
      <c r="B116" s="29"/>
      <c r="C116" s="789"/>
      <c r="D116" s="55"/>
    </row>
    <row r="117" spans="1:4" x14ac:dyDescent="0.25">
      <c r="A117" s="12"/>
      <c r="B117" s="29"/>
      <c r="C117" s="789"/>
      <c r="D117" s="55"/>
    </row>
    <row r="118" spans="1:4" x14ac:dyDescent="0.25">
      <c r="A118" s="12"/>
      <c r="B118" s="29"/>
      <c r="C118" s="789"/>
      <c r="D118" s="55"/>
    </row>
    <row r="119" spans="1:4" x14ac:dyDescent="0.25">
      <c r="A119" s="12"/>
      <c r="B119" s="29"/>
      <c r="C119" s="789"/>
      <c r="D119" s="55"/>
    </row>
    <row r="120" spans="1:4" x14ac:dyDescent="0.25">
      <c r="A120" s="12"/>
      <c r="B120" s="29"/>
      <c r="C120" s="789"/>
      <c r="D120" s="55"/>
    </row>
    <row r="121" spans="1:4" x14ac:dyDescent="0.25">
      <c r="A121" s="12"/>
      <c r="B121" s="29"/>
      <c r="C121" s="789"/>
      <c r="D121" s="55"/>
    </row>
    <row r="122" spans="1:4" x14ac:dyDescent="0.25">
      <c r="A122" s="12"/>
      <c r="B122" s="29"/>
      <c r="C122" s="789"/>
      <c r="D122" s="55"/>
    </row>
    <row r="123" spans="1:4" x14ac:dyDescent="0.25">
      <c r="A123" s="12"/>
      <c r="B123" s="29"/>
      <c r="C123" s="789"/>
      <c r="D123" s="55"/>
    </row>
    <row r="124" spans="1:4" x14ac:dyDescent="0.25">
      <c r="A124" s="12"/>
      <c r="B124" s="29"/>
      <c r="C124" s="789"/>
      <c r="D124" s="55"/>
    </row>
    <row r="125" spans="1:4" x14ac:dyDescent="0.25">
      <c r="A125" s="12"/>
      <c r="B125" s="29"/>
      <c r="C125" s="789"/>
      <c r="D125" s="55"/>
    </row>
    <row r="126" spans="1:4" x14ac:dyDescent="0.25">
      <c r="A126" s="12"/>
      <c r="B126" s="29"/>
      <c r="C126" s="789"/>
      <c r="D126" s="55"/>
    </row>
    <row r="127" spans="1:4" x14ac:dyDescent="0.25">
      <c r="A127" s="12"/>
      <c r="B127" s="29"/>
      <c r="C127" s="789"/>
      <c r="D127" s="55"/>
    </row>
    <row r="128" spans="1:4" x14ac:dyDescent="0.25">
      <c r="A128" s="12"/>
      <c r="B128" s="29"/>
      <c r="C128" s="789"/>
      <c r="D128" s="55"/>
    </row>
    <row r="129" spans="1:4" x14ac:dyDescent="0.25">
      <c r="A129" s="12"/>
      <c r="B129" s="29"/>
      <c r="C129" s="789"/>
      <c r="D129" s="55"/>
    </row>
    <row r="130" spans="1:4" x14ac:dyDescent="0.25">
      <c r="A130" s="12"/>
      <c r="B130" s="29"/>
      <c r="C130" s="789"/>
      <c r="D130" s="55"/>
    </row>
    <row r="131" spans="1:4" x14ac:dyDescent="0.25">
      <c r="A131" s="12"/>
      <c r="B131" s="29"/>
      <c r="C131" s="789"/>
      <c r="D131" s="55"/>
    </row>
    <row r="132" spans="1:4" x14ac:dyDescent="0.25">
      <c r="A132" s="13"/>
      <c r="B132" s="649"/>
      <c r="C132" s="824"/>
      <c r="D132" s="825"/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E734-23EB-493F-8199-C8B8EA4B70CC}">
  <dimension ref="B1:J37"/>
  <sheetViews>
    <sheetView topLeftCell="A4" workbookViewId="0">
      <selection activeCell="C8" sqref="C8"/>
    </sheetView>
  </sheetViews>
  <sheetFormatPr defaultRowHeight="15" x14ac:dyDescent="0.25"/>
  <cols>
    <col min="2" max="2" customWidth="true" style="420" width="21.7109375"/>
    <col min="3" max="3" customWidth="true" style="420" width="18.28515625"/>
    <col min="4" max="4" customWidth="true" style="420" width="22.28515625"/>
    <col min="5" max="5" customWidth="true" style="420" width="19.85546875"/>
    <col min="6" max="6" customWidth="true" style="420" width="15.140625"/>
    <col min="7" max="7" customWidth="true" style="420" width="18.0"/>
    <col min="8" max="8" customWidth="true" style="420" width="17.85546875"/>
    <col min="9" max="14" style="420" width="8.7109375"/>
  </cols>
  <sheetData>
    <row r="1" spans="2:10" x14ac:dyDescent="0.25">
      <c r="B1" s="286"/>
      <c r="C1" s="77"/>
      <c r="D1" s="419"/>
      <c r="E1" s="419"/>
      <c r="F1" s="419"/>
      <c r="G1" s="419"/>
      <c r="H1" s="419"/>
      <c r="I1" s="419"/>
      <c r="J1" s="419"/>
    </row>
    <row r="2" spans="2:10" x14ac:dyDescent="0.25">
      <c r="D2" s="419"/>
      <c r="E2" s="419"/>
      <c r="F2" s="419"/>
      <c r="G2" s="419"/>
      <c r="H2" s="419"/>
      <c r="I2" s="419"/>
      <c r="J2" s="419"/>
    </row>
    <row r="3" spans="2:10" x14ac:dyDescent="0.25">
      <c r="B3" s="830"/>
      <c r="C3" s="422"/>
      <c r="D3" s="421"/>
      <c r="E3" s="408"/>
      <c r="F3" s="408"/>
      <c r="G3" s="408"/>
      <c r="H3" s="408"/>
      <c r="I3" s="408"/>
      <c r="J3" s="408"/>
    </row>
    <row r="4" spans="2:10" x14ac:dyDescent="0.25">
      <c r="B4" s="581" t="s">
        <v>488</v>
      </c>
      <c r="C4" s="339" t="s">
        <v>490</v>
      </c>
      <c r="D4" s="286"/>
      <c r="E4" s="78"/>
      <c r="F4" s="1095"/>
      <c r="G4" s="78"/>
      <c r="H4" s="286"/>
      <c r="I4" s="286"/>
      <c r="J4" s="286"/>
    </row>
    <row r="5" spans="2:10" x14ac:dyDescent="0.25">
      <c r="B5" s="831" t="s">
        <v>64</v>
      </c>
      <c r="C5" s="836">
        <v>550</v>
      </c>
      <c r="E5" s="78"/>
      <c r="F5" s="78"/>
      <c r="I5" s="421"/>
      <c r="J5" s="408"/>
    </row>
    <row r="6" spans="2:10" x14ac:dyDescent="0.25">
      <c r="B6" s="832" t="s">
        <v>63</v>
      </c>
      <c r="C6" s="837">
        <v>300</v>
      </c>
      <c r="I6" s="77"/>
      <c r="J6" s="78"/>
    </row>
    <row r="7" spans="2:10" x14ac:dyDescent="0.25">
      <c r="B7" s="832" t="s">
        <v>491</v>
      </c>
      <c r="C7" s="837">
        <v>190</v>
      </c>
      <c r="F7" s="833"/>
      <c r="G7" s="833"/>
      <c r="I7" s="111"/>
      <c r="J7" s="409"/>
    </row>
    <row r="8" spans="2:10" x14ac:dyDescent="0.25">
      <c r="B8" s="832" t="s">
        <v>492</v>
      </c>
      <c r="C8" s="837">
        <v>125</v>
      </c>
      <c r="F8" s="833"/>
      <c r="G8" s="833"/>
      <c r="I8" s="111"/>
      <c r="J8" s="111"/>
    </row>
    <row r="9" spans="2:10" x14ac:dyDescent="0.25">
      <c r="B9" s="832" t="s">
        <v>1059</v>
      </c>
      <c r="C9" s="837">
        <v>94</v>
      </c>
      <c r="F9" s="833"/>
      <c r="G9" s="833"/>
      <c r="I9" s="111"/>
      <c r="J9" s="111"/>
    </row>
    <row r="10" spans="2:10" x14ac:dyDescent="0.25">
      <c r="B10" s="832" t="s">
        <v>494</v>
      </c>
      <c r="C10" s="837">
        <v>150</v>
      </c>
      <c r="F10" s="833"/>
      <c r="G10" s="833"/>
      <c r="I10" s="111"/>
      <c r="J10" s="111"/>
    </row>
    <row r="11" spans="2:10" x14ac:dyDescent="0.25">
      <c r="B11" s="832" t="s">
        <v>54</v>
      </c>
      <c r="C11" s="826">
        <v>96</v>
      </c>
      <c r="F11" s="833"/>
      <c r="G11" s="833"/>
      <c r="I11" s="111"/>
      <c r="J11" s="111"/>
    </row>
    <row r="12" spans="2:10" x14ac:dyDescent="0.25">
      <c r="B12" s="572" t="s">
        <v>758</v>
      </c>
      <c r="C12" s="838">
        <v>37</v>
      </c>
      <c r="F12" s="833"/>
      <c r="G12" s="833"/>
      <c r="I12" s="111"/>
      <c r="J12" s="111"/>
    </row>
    <row r="13" spans="2:10" x14ac:dyDescent="0.25">
      <c r="B13" s="289" t="s">
        <v>659</v>
      </c>
      <c r="C13" s="839">
        <v>20</v>
      </c>
      <c r="F13" s="833"/>
      <c r="G13" s="833"/>
      <c r="I13" s="111"/>
      <c r="J13" s="111"/>
    </row>
    <row r="14" spans="2:10" x14ac:dyDescent="0.25">
      <c r="B14" s="907" t="s">
        <v>961</v>
      </c>
      <c r="C14" s="908">
        <v>4</v>
      </c>
      <c r="F14" s="833"/>
      <c r="G14" s="833"/>
      <c r="I14" s="111"/>
      <c r="J14" s="111"/>
    </row>
    <row r="15" spans="2:10" x14ac:dyDescent="0.25">
      <c r="B15" s="472" t="s">
        <v>956</v>
      </c>
      <c r="C15" s="919">
        <v>0.19500000000000001</v>
      </c>
      <c r="F15" s="833"/>
      <c r="G15" s="833"/>
      <c r="I15" s="111"/>
      <c r="J15" s="111"/>
    </row>
    <row r="16" spans="2:10" x14ac:dyDescent="0.25">
      <c r="B16" s="616" t="s">
        <v>972</v>
      </c>
      <c r="C16" s="920">
        <v>9.1200000000000003E-2</v>
      </c>
      <c r="F16" s="833"/>
      <c r="G16" s="77"/>
      <c r="I16" s="111"/>
      <c r="J16" s="111"/>
    </row>
    <row r="17" spans="2:10" x14ac:dyDescent="0.25">
      <c r="B17" s="77"/>
      <c r="C17" s="286"/>
      <c r="F17" s="833"/>
      <c r="G17" s="77"/>
      <c r="I17" s="78"/>
      <c r="J17" s="78"/>
    </row>
    <row r="18" spans="2:10" x14ac:dyDescent="0.25">
      <c r="B18" s="77"/>
      <c r="C18" s="77"/>
      <c r="F18" s="835"/>
      <c r="G18" s="77"/>
      <c r="I18" s="78"/>
      <c r="J18" s="78"/>
    </row>
    <row r="19" spans="2:10" x14ac:dyDescent="0.25">
      <c r="B19" s="77"/>
      <c r="C19" s="286"/>
      <c r="F19" s="834"/>
      <c r="G19" s="77"/>
      <c r="I19" s="78"/>
      <c r="J19" s="78"/>
    </row>
    <row r="20" spans="2:10" x14ac:dyDescent="0.25">
      <c r="B20" s="77"/>
      <c r="C20" s="286"/>
      <c r="F20" s="78"/>
      <c r="G20" s="78"/>
      <c r="I20" s="78"/>
      <c r="J20" s="78"/>
    </row>
    <row r="21" spans="2:10" x14ac:dyDescent="0.25">
      <c r="B21" s="77"/>
      <c r="C21" s="77"/>
      <c r="F21" s="78"/>
      <c r="G21" s="78"/>
      <c r="H21" s="78"/>
      <c r="I21" s="78"/>
      <c r="J21" s="78"/>
    </row>
    <row r="22" spans="2:10" x14ac:dyDescent="0.25">
      <c r="B22" s="77"/>
      <c r="C22" s="77"/>
      <c r="D22" s="77"/>
      <c r="E22" s="426"/>
      <c r="F22" s="426"/>
      <c r="G22" s="426"/>
      <c r="H22" s="426"/>
      <c r="I22" s="78"/>
      <c r="J22" s="78"/>
    </row>
    <row r="23" spans="2:10" x14ac:dyDescent="0.25">
      <c r="B23" s="77"/>
      <c r="C23" s="77"/>
      <c r="D23" s="77"/>
      <c r="E23" s="426"/>
      <c r="F23" s="426"/>
      <c r="G23" s="827"/>
      <c r="H23" s="426"/>
      <c r="I23" s="78"/>
      <c r="J23" s="78"/>
    </row>
    <row r="24" spans="2:10" x14ac:dyDescent="0.25">
      <c r="B24" s="77"/>
      <c r="C24" s="77"/>
      <c r="D24" s="426"/>
      <c r="E24" s="426"/>
      <c r="F24" s="426"/>
      <c r="G24" s="827"/>
      <c r="H24" s="77"/>
      <c r="I24" s="78"/>
      <c r="J24" s="78"/>
    </row>
    <row r="25" spans="2:10" x14ac:dyDescent="0.25">
      <c r="B25" s="77"/>
      <c r="C25" s="77"/>
      <c r="D25" s="77"/>
      <c r="E25" s="426"/>
      <c r="F25" s="426"/>
      <c r="G25" s="827"/>
      <c r="H25" s="134"/>
      <c r="I25" s="143"/>
      <c r="J25" s="78"/>
    </row>
    <row r="26" spans="2:10" x14ac:dyDescent="0.25">
      <c r="B26" s="77"/>
      <c r="C26" s="77"/>
      <c r="D26" s="426"/>
      <c r="E26" s="426"/>
      <c r="F26" s="426"/>
      <c r="G26" s="828"/>
      <c r="H26" s="426"/>
      <c r="I26" s="78"/>
      <c r="J26" s="78"/>
    </row>
    <row r="27" spans="2:10" x14ac:dyDescent="0.25">
      <c r="B27" s="77"/>
      <c r="C27" s="77"/>
      <c r="D27" s="426"/>
      <c r="E27" s="426"/>
      <c r="F27" s="426"/>
      <c r="G27" s="828"/>
      <c r="H27" s="426"/>
      <c r="I27" s="78"/>
      <c r="J27" s="78"/>
    </row>
    <row r="28" spans="2:10" x14ac:dyDescent="0.25">
      <c r="B28" s="77"/>
      <c r="C28" s="77"/>
      <c r="D28" s="426"/>
      <c r="E28" s="426"/>
      <c r="F28" s="426"/>
      <c r="G28" s="828"/>
      <c r="H28" s="626"/>
      <c r="I28" s="143"/>
      <c r="J28" s="78"/>
    </row>
    <row r="29" spans="2:10" x14ac:dyDescent="0.25">
      <c r="B29" s="77"/>
      <c r="C29" s="77"/>
      <c r="D29" s="426"/>
      <c r="E29" s="426"/>
      <c r="F29" s="426"/>
      <c r="G29" s="828"/>
      <c r="H29" s="77"/>
      <c r="I29" s="78"/>
      <c r="J29" s="78"/>
    </row>
    <row r="30" spans="2:10" x14ac:dyDescent="0.25">
      <c r="B30" s="77"/>
      <c r="C30" s="77"/>
      <c r="D30" s="286"/>
      <c r="E30" s="286"/>
      <c r="F30" s="286"/>
      <c r="G30" s="286"/>
      <c r="H30" s="286"/>
      <c r="I30" s="286"/>
      <c r="J30" s="286"/>
    </row>
    <row r="31" spans="2:10" x14ac:dyDescent="0.25">
      <c r="B31" s="77"/>
      <c r="C31" s="77"/>
      <c r="D31" s="286"/>
      <c r="E31" s="286"/>
      <c r="F31" s="286"/>
      <c r="G31" s="286"/>
      <c r="H31" s="286"/>
      <c r="I31" s="286"/>
      <c r="J31" s="286"/>
    </row>
    <row r="32" spans="2:10" x14ac:dyDescent="0.25">
      <c r="B32" s="77"/>
      <c r="C32" s="77"/>
      <c r="D32" s="78"/>
      <c r="E32" s="78"/>
      <c r="F32" s="78"/>
      <c r="G32" s="78"/>
      <c r="H32" s="78"/>
      <c r="I32" s="78"/>
      <c r="J32" s="78"/>
    </row>
    <row r="33" spans="2:10" x14ac:dyDescent="0.25">
      <c r="B33" s="77"/>
      <c r="C33" s="77"/>
      <c r="D33" s="78"/>
      <c r="E33" s="78"/>
      <c r="F33" s="78"/>
      <c r="G33" s="78"/>
      <c r="H33" s="78"/>
      <c r="I33" s="78"/>
      <c r="J33" s="78"/>
    </row>
    <row r="34" spans="2:10" x14ac:dyDescent="0.25">
      <c r="B34" s="77"/>
      <c r="C34" s="77"/>
      <c r="D34" s="143"/>
      <c r="E34" s="78"/>
      <c r="F34" s="78"/>
      <c r="G34" s="78"/>
      <c r="H34" s="78"/>
      <c r="I34" s="78"/>
      <c r="J34" s="78"/>
    </row>
    <row r="35" spans="2:10" x14ac:dyDescent="0.25">
      <c r="B35" s="77"/>
      <c r="C35" s="77"/>
      <c r="D35" s="143"/>
      <c r="E35" s="78"/>
      <c r="F35" s="78"/>
      <c r="G35" s="78"/>
      <c r="H35" s="78"/>
      <c r="I35" s="78"/>
      <c r="J35" s="78"/>
    </row>
    <row r="36" spans="2:10" x14ac:dyDescent="0.25">
      <c r="B36" s="77"/>
      <c r="C36" s="77"/>
      <c r="D36" s="143"/>
      <c r="E36" s="419"/>
      <c r="F36" s="829"/>
      <c r="G36" s="78"/>
      <c r="H36" s="78"/>
      <c r="I36" s="78"/>
      <c r="J36" s="78"/>
    </row>
    <row r="37" spans="2:10" x14ac:dyDescent="0.25">
      <c r="B37" s="77"/>
      <c r="C37" s="77"/>
      <c r="D37" s="78"/>
      <c r="E37" s="78"/>
      <c r="F37" s="78"/>
      <c r="G37" s="78"/>
      <c r="H37" s="425"/>
      <c r="I37" s="78"/>
      <c r="J37" s="7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B2FF-470C-4191-B509-8A5756039B50}">
  <dimension ref="A1:AJ258"/>
  <sheetViews>
    <sheetView workbookViewId="0">
      <selection activeCell="F23" sqref="F23"/>
    </sheetView>
  </sheetViews>
  <sheetFormatPr defaultRowHeight="15" x14ac:dyDescent="0.25"/>
  <cols>
    <col min="1" max="1" customWidth="true" style="298" width="10.7109375"/>
    <col min="2" max="2" bestFit="true" customWidth="true" style="299" width="10.0"/>
    <col min="3" max="3" bestFit="true" customWidth="true" style="299" width="24.28515625"/>
    <col min="4" max="4" bestFit="true" customWidth="true" style="299" width="10.85546875"/>
    <col min="5" max="5" bestFit="true" customWidth="true" style="300" width="11.42578125"/>
    <col min="6" max="6" customWidth="true" style="300" width="14.5703125"/>
    <col min="7" max="11" customWidth="true" style="303" width="12.28515625"/>
    <col min="12" max="12" customWidth="true" style="301" width="12.28515625"/>
    <col min="13" max="13" customWidth="true" style="299" width="12.28515625"/>
    <col min="14" max="14" customWidth="true" style="299" width="20.0"/>
    <col min="15" max="16" customWidth="true" style="302" width="12.28515625"/>
    <col min="17" max="17" customWidth="true" style="302" width="13.0"/>
    <col min="18" max="19" customWidth="true" style="299" width="12.28515625"/>
    <col min="20" max="20" customWidth="true" style="299" width="19.7109375"/>
    <col min="21" max="21" customWidth="true" style="299" width="17.7109375"/>
    <col min="22" max="23" customWidth="true" style="303" width="17.7109375"/>
    <col min="24" max="28" customWidth="true" style="299" width="17.7109375"/>
    <col min="29" max="29" customWidth="true" style="2" width="23.140625"/>
    <col min="36" max="36" bestFit="true" customWidth="true" width="13.140625"/>
  </cols>
  <sheetData>
    <row r="1" spans="1:36" ht="15.75" thickBot="1" x14ac:dyDescent="0.3">
      <c r="A1" s="296" t="s">
        <v>213</v>
      </c>
      <c r="B1" s="297">
        <v>2</v>
      </c>
      <c r="C1" s="297">
        <v>3</v>
      </c>
      <c r="D1" s="297">
        <v>4</v>
      </c>
      <c r="E1" s="297">
        <v>5</v>
      </c>
      <c r="F1" s="297">
        <v>6</v>
      </c>
      <c r="G1" s="297">
        <v>7</v>
      </c>
      <c r="H1" s="297">
        <v>8</v>
      </c>
      <c r="I1" s="297">
        <v>9</v>
      </c>
      <c r="J1" s="297">
        <v>10</v>
      </c>
      <c r="K1" s="297">
        <v>11</v>
      </c>
      <c r="L1" s="297">
        <v>12</v>
      </c>
      <c r="M1" s="297">
        <v>13</v>
      </c>
      <c r="N1" s="297">
        <v>14</v>
      </c>
      <c r="O1" s="297">
        <v>15</v>
      </c>
      <c r="P1" s="297">
        <v>16</v>
      </c>
      <c r="Q1" s="297">
        <v>17</v>
      </c>
      <c r="R1" s="297">
        <v>18</v>
      </c>
      <c r="S1" s="297">
        <v>19</v>
      </c>
      <c r="T1" s="297">
        <v>20</v>
      </c>
      <c r="U1" s="297">
        <v>21</v>
      </c>
      <c r="V1" s="297">
        <v>22</v>
      </c>
      <c r="W1" s="297">
        <v>23</v>
      </c>
      <c r="X1" s="297">
        <v>24</v>
      </c>
      <c r="Y1" s="297">
        <v>25</v>
      </c>
      <c r="Z1" s="297">
        <v>26</v>
      </c>
      <c r="AA1" s="297">
        <v>27</v>
      </c>
      <c r="AB1" s="297">
        <v>28</v>
      </c>
      <c r="AC1" s="297">
        <v>29</v>
      </c>
    </row>
    <row r="2" spans="1:36" x14ac:dyDescent="0.25">
      <c r="A2" s="309"/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</row>
    <row r="3" spans="1:36" x14ac:dyDescent="0.25">
      <c r="A3" s="309"/>
      <c r="B3" s="310"/>
      <c r="D3" s="298"/>
      <c r="E3" s="298"/>
      <c r="F3" s="298"/>
      <c r="G3" s="299"/>
      <c r="H3" s="299"/>
      <c r="I3" s="299"/>
      <c r="J3" s="299"/>
      <c r="K3" s="299"/>
      <c r="L3" s="310"/>
      <c r="M3"/>
      <c r="N3" s="77" t="s">
        <v>470</v>
      </c>
      <c r="O3"/>
      <c r="P3"/>
      <c r="Q3"/>
      <c r="R3" s="310"/>
      <c r="S3"/>
      <c r="T3" s="77" t="s">
        <v>474</v>
      </c>
      <c r="U3"/>
      <c r="V3"/>
      <c r="W3"/>
      <c r="X3"/>
      <c r="Y3" s="310"/>
      <c r="Z3" s="310"/>
      <c r="AA3" s="310"/>
      <c r="AB3" s="310"/>
    </row>
    <row r="4" spans="1:36" x14ac:dyDescent="0.25">
      <c r="A4" s="309"/>
      <c r="B4" s="310"/>
      <c r="C4" s="943" t="s">
        <v>973</v>
      </c>
      <c r="D4" s="933"/>
      <c r="E4" s="934"/>
      <c r="F4" s="934"/>
      <c r="G4" s="934"/>
      <c r="H4" s="934"/>
      <c r="I4" s="934"/>
      <c r="J4" s="934"/>
      <c r="K4" s="935"/>
      <c r="L4" s="310"/>
      <c r="M4">
        <v>1</v>
      </c>
      <c r="N4" s="333" t="s">
        <v>471</v>
      </c>
      <c r="O4" s="334">
        <v>600</v>
      </c>
      <c r="P4" s="335">
        <v>4</v>
      </c>
      <c r="Q4" s="336" t="s">
        <v>472</v>
      </c>
      <c r="R4" s="310"/>
      <c r="S4">
        <v>1</v>
      </c>
      <c r="T4" s="333" t="s">
        <v>471</v>
      </c>
      <c r="U4" s="334">
        <v>600</v>
      </c>
      <c r="V4" s="335">
        <v>4</v>
      </c>
      <c r="W4" s="336" t="s">
        <v>472</v>
      </c>
      <c r="X4"/>
      <c r="Y4" s="310"/>
      <c r="Z4" s="310"/>
      <c r="AA4" s="310"/>
      <c r="AB4" s="310"/>
    </row>
    <row r="5" spans="1:36" x14ac:dyDescent="0.25">
      <c r="A5" s="309"/>
      <c r="B5" s="310"/>
      <c r="C5" s="936" t="s">
        <v>974</v>
      </c>
      <c r="D5" s="298"/>
      <c r="E5" s="298"/>
      <c r="F5" s="298"/>
      <c r="G5" s="298"/>
      <c r="H5" s="298"/>
      <c r="I5" s="298"/>
      <c r="J5" s="298"/>
      <c r="K5" s="937"/>
      <c r="L5" s="310"/>
      <c r="M5">
        <v>2</v>
      </c>
      <c r="N5" s="337" t="s">
        <v>471</v>
      </c>
      <c r="O5" s="12">
        <v>700</v>
      </c>
      <c r="P5" s="338">
        <v>2</v>
      </c>
      <c r="Q5" s="339" t="s">
        <v>472</v>
      </c>
      <c r="R5" s="310"/>
      <c r="S5">
        <v>2</v>
      </c>
      <c r="T5" s="337" t="s">
        <v>471</v>
      </c>
      <c r="U5" s="12">
        <v>750</v>
      </c>
      <c r="V5" s="338">
        <v>2</v>
      </c>
      <c r="W5" s="339" t="s">
        <v>472</v>
      </c>
      <c r="X5"/>
      <c r="Y5" s="310"/>
      <c r="Z5" s="310"/>
      <c r="AA5" s="310"/>
      <c r="AB5" s="310"/>
    </row>
    <row r="6" spans="1:36" x14ac:dyDescent="0.25">
      <c r="A6" s="309"/>
      <c r="B6" s="310"/>
      <c r="C6" s="936" t="s">
        <v>975</v>
      </c>
      <c r="D6" s="298"/>
      <c r="E6" s="298"/>
      <c r="F6" s="298"/>
      <c r="G6" s="298"/>
      <c r="H6" s="298"/>
      <c r="I6" s="298"/>
      <c r="J6" s="298"/>
      <c r="K6" s="937"/>
      <c r="L6" s="310"/>
      <c r="M6">
        <v>3</v>
      </c>
      <c r="N6" s="337" t="s">
        <v>473</v>
      </c>
      <c r="O6" s="12">
        <v>5000</v>
      </c>
      <c r="P6" s="340">
        <f>VLOOKUP("X",19:254,29,FALSE)</f>
        <v>0</v>
      </c>
      <c r="Q6" s="339" t="s">
        <v>472</v>
      </c>
      <c r="R6" s="310"/>
      <c r="S6">
        <v>3</v>
      </c>
      <c r="T6" s="337" t="s">
        <v>475</v>
      </c>
      <c r="U6" s="12">
        <v>5000</v>
      </c>
      <c r="V6" s="338">
        <v>5</v>
      </c>
      <c r="W6" s="339" t="s">
        <v>472</v>
      </c>
      <c r="X6"/>
      <c r="Y6" s="310"/>
      <c r="Z6" s="310"/>
      <c r="AA6" s="310"/>
      <c r="AB6" s="310"/>
    </row>
    <row r="7" spans="1:36" x14ac:dyDescent="0.25">
      <c r="A7" s="309"/>
      <c r="B7" s="310"/>
      <c r="C7" s="936"/>
      <c r="D7" s="298"/>
      <c r="E7" s="298"/>
      <c r="F7" s="298"/>
      <c r="G7" s="299"/>
      <c r="H7" s="299"/>
      <c r="I7" s="299"/>
      <c r="J7" s="299"/>
      <c r="K7" s="938"/>
      <c r="L7" s="310"/>
      <c r="M7">
        <v>4</v>
      </c>
      <c r="N7" s="337" t="str">
        <f>" "</f>
        <v xml:space="preserve"> </v>
      </c>
      <c r="O7" s="339" t="str">
        <f>" "</f>
        <v xml:space="preserve"> </v>
      </c>
      <c r="P7" s="340" t="str">
        <f>" "</f>
        <v xml:space="preserve"> </v>
      </c>
      <c r="Q7" s="339" t="str">
        <f>" "</f>
        <v xml:space="preserve"> </v>
      </c>
      <c r="R7" s="310"/>
      <c r="S7">
        <v>4</v>
      </c>
      <c r="T7" s="339" t="str">
        <f>" "</f>
        <v xml:space="preserve"> </v>
      </c>
      <c r="U7" s="12" t="str">
        <f>" "</f>
        <v xml:space="preserve"> </v>
      </c>
      <c r="V7" s="340" t="str">
        <f>" "</f>
        <v xml:space="preserve"> </v>
      </c>
      <c r="W7" s="339" t="str">
        <f>" "</f>
        <v xml:space="preserve"> </v>
      </c>
      <c r="X7" s="286"/>
      <c r="Y7" s="310"/>
      <c r="Z7" s="310"/>
      <c r="AA7" s="310"/>
      <c r="AB7" s="310"/>
    </row>
    <row r="8" spans="1:36" x14ac:dyDescent="0.25">
      <c r="A8" s="309"/>
      <c r="B8" s="310"/>
      <c r="C8" s="936"/>
      <c r="D8" s="298"/>
      <c r="E8" s="298"/>
      <c r="F8" s="298"/>
      <c r="G8" s="299"/>
      <c r="H8" s="299"/>
      <c r="I8" s="299"/>
      <c r="J8" s="299"/>
      <c r="K8" s="938"/>
      <c r="L8" s="310"/>
      <c r="M8">
        <v>5</v>
      </c>
      <c r="N8" s="337" t="str">
        <f t="shared" ref="N8:Q13" si="0">" "</f>
        <v xml:space="preserve"> </v>
      </c>
      <c r="O8" s="339" t="str">
        <f t="shared" si="0"/>
        <v xml:space="preserve"> </v>
      </c>
      <c r="P8" s="337" t="str">
        <f t="shared" si="0"/>
        <v xml:space="preserve"> </v>
      </c>
      <c r="Q8" s="339" t="str">
        <f t="shared" si="0"/>
        <v xml:space="preserve"> </v>
      </c>
      <c r="R8" s="310"/>
      <c r="S8">
        <v>5</v>
      </c>
      <c r="T8" s="337" t="str">
        <f>" "</f>
        <v xml:space="preserve"> </v>
      </c>
      <c r="U8" s="12"/>
      <c r="V8" s="340"/>
      <c r="W8" s="339"/>
      <c r="X8" s="286"/>
      <c r="Y8" s="310"/>
      <c r="Z8" s="310"/>
      <c r="AA8" s="310"/>
      <c r="AB8" s="310"/>
    </row>
    <row r="9" spans="1:36" x14ac:dyDescent="0.25">
      <c r="A9" s="309"/>
      <c r="B9" s="310"/>
      <c r="C9" s="939"/>
      <c r="D9" s="940"/>
      <c r="E9" s="940"/>
      <c r="F9" s="940"/>
      <c r="G9" s="941"/>
      <c r="H9" s="941"/>
      <c r="I9" s="941"/>
      <c r="J9" s="941"/>
      <c r="K9" s="942"/>
      <c r="L9" s="310"/>
      <c r="M9">
        <v>6</v>
      </c>
      <c r="N9" s="337" t="str">
        <f t="shared" si="0"/>
        <v xml:space="preserve"> </v>
      </c>
      <c r="O9" s="339" t="str">
        <f t="shared" si="0"/>
        <v xml:space="preserve"> </v>
      </c>
      <c r="P9" s="337" t="str">
        <f t="shared" si="0"/>
        <v xml:space="preserve"> </v>
      </c>
      <c r="Q9" s="339" t="str">
        <f t="shared" si="0"/>
        <v xml:space="preserve"> </v>
      </c>
      <c r="R9" s="310"/>
      <c r="S9">
        <v>6</v>
      </c>
      <c r="T9" s="337"/>
      <c r="U9" s="12"/>
      <c r="V9" s="340"/>
      <c r="W9" s="339"/>
      <c r="X9"/>
      <c r="Y9" s="310"/>
      <c r="Z9" s="310"/>
      <c r="AA9" s="310"/>
      <c r="AB9" s="310"/>
    </row>
    <row r="10" spans="1:36" x14ac:dyDescent="0.25">
      <c r="A10" s="309"/>
      <c r="B10" s="310"/>
      <c r="D10" s="298"/>
      <c r="E10" s="298"/>
      <c r="F10" s="298"/>
      <c r="G10" s="299"/>
      <c r="H10" s="299"/>
      <c r="I10" s="299"/>
      <c r="J10" s="299"/>
      <c r="K10" s="299"/>
      <c r="L10" s="310"/>
      <c r="M10">
        <v>7</v>
      </c>
      <c r="N10" s="337" t="str">
        <f t="shared" si="0"/>
        <v xml:space="preserve"> </v>
      </c>
      <c r="O10" s="339" t="str">
        <f t="shared" si="0"/>
        <v xml:space="preserve"> </v>
      </c>
      <c r="P10" s="337" t="str">
        <f t="shared" si="0"/>
        <v xml:space="preserve"> </v>
      </c>
      <c r="Q10" s="339" t="str">
        <f t="shared" si="0"/>
        <v xml:space="preserve"> </v>
      </c>
      <c r="R10" s="310"/>
      <c r="S10">
        <v>7</v>
      </c>
      <c r="T10" s="337"/>
      <c r="U10" s="12"/>
      <c r="V10" s="340"/>
      <c r="W10" s="339"/>
      <c r="X10"/>
      <c r="Y10" s="310"/>
      <c r="Z10" s="310"/>
      <c r="AA10" s="310"/>
      <c r="AB10" s="310"/>
    </row>
    <row r="11" spans="1:36" x14ac:dyDescent="0.25">
      <c r="A11" s="309"/>
      <c r="B11" s="310"/>
      <c r="D11" s="298"/>
      <c r="E11" s="298"/>
      <c r="F11" s="298"/>
      <c r="G11" s="299"/>
      <c r="H11" s="299"/>
      <c r="I11" s="299"/>
      <c r="J11" s="299"/>
      <c r="K11" s="299"/>
      <c r="L11" s="310"/>
      <c r="M11">
        <v>8</v>
      </c>
      <c r="N11" s="337" t="str">
        <f t="shared" si="0"/>
        <v xml:space="preserve"> </v>
      </c>
      <c r="O11" s="339" t="str">
        <f t="shared" si="0"/>
        <v xml:space="preserve"> </v>
      </c>
      <c r="P11" s="337" t="str">
        <f t="shared" si="0"/>
        <v xml:space="preserve"> </v>
      </c>
      <c r="Q11" s="339" t="str">
        <f t="shared" si="0"/>
        <v xml:space="preserve"> </v>
      </c>
      <c r="R11" s="310"/>
      <c r="S11">
        <v>8</v>
      </c>
      <c r="T11" s="337"/>
      <c r="U11" s="12"/>
      <c r="V11" s="340"/>
      <c r="W11" s="339"/>
      <c r="X11"/>
      <c r="Y11" s="310"/>
      <c r="Z11" s="310"/>
      <c r="AA11" s="310"/>
      <c r="AB11" s="310"/>
    </row>
    <row r="12" spans="1:36" x14ac:dyDescent="0.25">
      <c r="A12" s="309"/>
      <c r="B12" s="310"/>
      <c r="C12" s="346"/>
      <c r="D12" s="347"/>
      <c r="E12" s="347"/>
      <c r="F12" s="347"/>
      <c r="G12" s="299"/>
      <c r="H12" s="299"/>
      <c r="I12" s="299"/>
      <c r="J12" s="299"/>
      <c r="K12" s="299"/>
      <c r="L12" s="310"/>
      <c r="M12">
        <v>9</v>
      </c>
      <c r="N12" s="337" t="str">
        <f t="shared" si="0"/>
        <v xml:space="preserve"> </v>
      </c>
      <c r="O12" s="339" t="str">
        <f t="shared" si="0"/>
        <v xml:space="preserve"> </v>
      </c>
      <c r="P12" s="337" t="str">
        <f t="shared" si="0"/>
        <v xml:space="preserve"> </v>
      </c>
      <c r="Q12" s="339" t="str">
        <f t="shared" si="0"/>
        <v xml:space="preserve"> </v>
      </c>
      <c r="R12" s="310"/>
      <c r="S12">
        <v>9</v>
      </c>
      <c r="T12" s="337"/>
      <c r="U12" s="12"/>
      <c r="V12" s="340"/>
      <c r="W12" s="339"/>
      <c r="X12"/>
      <c r="Y12" s="310"/>
      <c r="Z12" s="310"/>
      <c r="AA12" s="310"/>
      <c r="AB12" s="310"/>
    </row>
    <row r="13" spans="1:36" x14ac:dyDescent="0.25">
      <c r="A13" s="309"/>
      <c r="B13" s="310"/>
      <c r="C13" s="346"/>
      <c r="D13" s="347"/>
      <c r="E13" s="347"/>
      <c r="F13" s="347"/>
      <c r="G13" s="299"/>
      <c r="H13" s="299"/>
      <c r="I13" s="299"/>
      <c r="J13" s="299"/>
      <c r="K13" s="299"/>
      <c r="L13" s="310"/>
      <c r="M13">
        <v>10</v>
      </c>
      <c r="N13" s="225" t="str">
        <f t="shared" si="0"/>
        <v xml:space="preserve"> </v>
      </c>
      <c r="O13" s="341" t="str">
        <f t="shared" si="0"/>
        <v xml:space="preserve"> </v>
      </c>
      <c r="P13" s="225" t="str">
        <f t="shared" si="0"/>
        <v xml:space="preserve"> </v>
      </c>
      <c r="Q13" s="341" t="str">
        <f t="shared" si="0"/>
        <v xml:space="preserve"> </v>
      </c>
      <c r="R13" s="310"/>
      <c r="S13">
        <v>10</v>
      </c>
      <c r="T13" s="225"/>
      <c r="U13" s="13"/>
      <c r="V13" s="342"/>
      <c r="W13" s="341"/>
      <c r="X13"/>
      <c r="Y13" s="310"/>
      <c r="Z13" s="310"/>
      <c r="AA13" s="310"/>
      <c r="AB13" s="310"/>
    </row>
    <row r="14" spans="1:36" x14ac:dyDescent="0.25">
      <c r="A14" s="309"/>
      <c r="B14" s="310"/>
      <c r="C14"/>
      <c r="D14"/>
      <c r="E14"/>
      <c r="F14"/>
      <c r="G14"/>
      <c r="H14"/>
      <c r="I14"/>
      <c r="J14"/>
      <c r="K14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</row>
    <row r="15" spans="1:36" ht="15.75" thickBot="1" x14ac:dyDescent="0.3">
      <c r="B15" s="298">
        <v>2</v>
      </c>
      <c r="C15" s="298">
        <v>3</v>
      </c>
      <c r="D15" s="298">
        <v>4</v>
      </c>
      <c r="E15" s="298">
        <v>5</v>
      </c>
      <c r="F15" s="298">
        <v>6</v>
      </c>
      <c r="G15" s="298">
        <v>7</v>
      </c>
      <c r="H15" s="298">
        <v>8</v>
      </c>
      <c r="I15" s="298">
        <v>9</v>
      </c>
      <c r="J15" s="298">
        <v>10</v>
      </c>
      <c r="K15" s="298">
        <v>11</v>
      </c>
      <c r="L15" s="298">
        <v>12</v>
      </c>
      <c r="M15" s="298">
        <v>13</v>
      </c>
      <c r="N15" s="298">
        <v>14</v>
      </c>
      <c r="O15" s="298">
        <v>15</v>
      </c>
      <c r="P15" s="298">
        <v>16</v>
      </c>
      <c r="Q15" s="298">
        <v>17</v>
      </c>
      <c r="R15" s="298">
        <v>18</v>
      </c>
      <c r="S15" s="298">
        <v>19</v>
      </c>
      <c r="T15" s="298">
        <v>20</v>
      </c>
      <c r="U15" s="298">
        <v>21</v>
      </c>
      <c r="V15" s="298">
        <v>22</v>
      </c>
      <c r="W15" s="298">
        <v>23</v>
      </c>
      <c r="X15" s="298">
        <v>24</v>
      </c>
      <c r="Y15" s="298">
        <v>25</v>
      </c>
      <c r="Z15" s="298">
        <v>26</v>
      </c>
      <c r="AA15" s="298">
        <v>27</v>
      </c>
      <c r="AB15" s="298">
        <v>28</v>
      </c>
      <c r="AC15" s="298">
        <v>29</v>
      </c>
      <c r="AD15" s="298">
        <v>30</v>
      </c>
      <c r="AE15" s="298">
        <v>31</v>
      </c>
      <c r="AF15" s="298">
        <v>32</v>
      </c>
      <c r="AG15" s="298">
        <v>33</v>
      </c>
      <c r="AH15" s="298">
        <v>34</v>
      </c>
      <c r="AI15" s="298">
        <v>35</v>
      </c>
      <c r="AJ15" s="298">
        <v>36</v>
      </c>
    </row>
    <row r="16" spans="1:36" ht="15.75" thickBot="1" x14ac:dyDescent="0.3">
      <c r="A16" s="327" t="s">
        <v>39</v>
      </c>
      <c r="B16" s="304" t="s">
        <v>214</v>
      </c>
      <c r="C16" s="304" t="s">
        <v>215</v>
      </c>
      <c r="D16" s="363" t="s">
        <v>216</v>
      </c>
      <c r="E16" s="361" t="s">
        <v>217</v>
      </c>
      <c r="F16" s="348">
        <v>0</v>
      </c>
      <c r="G16" s="349">
        <v>200</v>
      </c>
      <c r="H16" s="350">
        <v>500</v>
      </c>
      <c r="I16" s="349">
        <v>1000</v>
      </c>
      <c r="J16" s="350">
        <v>2000</v>
      </c>
      <c r="K16" s="351">
        <v>5000</v>
      </c>
      <c r="L16" s="370"/>
      <c r="M16" s="381"/>
      <c r="N16" s="375"/>
      <c r="O16" s="383"/>
      <c r="P16" s="375"/>
      <c r="Q16" s="383"/>
      <c r="R16" s="375"/>
      <c r="S16" s="372"/>
      <c r="T16" s="383"/>
      <c r="U16" s="375"/>
      <c r="V16" s="375"/>
      <c r="W16" s="375"/>
      <c r="X16" s="375"/>
      <c r="Y16" s="375"/>
      <c r="Z16" s="375"/>
      <c r="AA16" s="375"/>
      <c r="AB16" s="375"/>
      <c r="AC16" s="672" t="s">
        <v>476</v>
      </c>
      <c r="AD16" s="529">
        <f>VLOOKUP("X",19:254,AD15,FALSE)</f>
        <v>1</v>
      </c>
      <c r="AE16" s="529">
        <f>VLOOKUP("X",19:254,AE15,FALSE)</f>
        <v>1</v>
      </c>
      <c r="AF16" s="529">
        <f t="shared" ref="AF16:AJ16" si="1">VLOOKUP("X",19:254,AF15,FALSE)</f>
        <v>1</v>
      </c>
      <c r="AG16" s="529">
        <f t="shared" si="1"/>
        <v>1</v>
      </c>
      <c r="AH16" s="529">
        <f t="shared" si="1"/>
        <v>1</v>
      </c>
      <c r="AI16" s="529">
        <f t="shared" si="1"/>
        <v>1</v>
      </c>
      <c r="AJ16" s="281">
        <f t="shared" si="1"/>
        <v>1</v>
      </c>
    </row>
    <row r="17" spans="1:36" x14ac:dyDescent="0.25">
      <c r="A17" s="328"/>
      <c r="B17" s="305"/>
      <c r="C17" s="305"/>
      <c r="D17" s="364"/>
      <c r="E17" s="362"/>
      <c r="F17" s="316">
        <v>200</v>
      </c>
      <c r="G17" s="306">
        <v>500</v>
      </c>
      <c r="H17" s="317">
        <v>1000</v>
      </c>
      <c r="I17" s="306">
        <v>2000</v>
      </c>
      <c r="J17" s="317">
        <v>5000</v>
      </c>
      <c r="K17" s="318">
        <v>999999</v>
      </c>
      <c r="L17" s="371"/>
      <c r="M17" s="382"/>
      <c r="N17" s="376"/>
      <c r="O17" s="384"/>
      <c r="P17" s="376"/>
      <c r="Q17" s="384"/>
      <c r="R17" s="376"/>
      <c r="S17" s="373"/>
      <c r="T17" s="384" t="s">
        <v>218</v>
      </c>
      <c r="U17" s="388"/>
      <c r="V17" s="388"/>
      <c r="W17" s="388"/>
      <c r="X17" s="345"/>
      <c r="Y17" s="345"/>
      <c r="Z17" s="345"/>
      <c r="AA17" s="345"/>
      <c r="AB17" s="345"/>
      <c r="AC17" s="673">
        <v>5000</v>
      </c>
      <c r="AD17" s="12" t="s">
        <v>66</v>
      </c>
      <c r="AE17" s="2" t="s">
        <v>65</v>
      </c>
      <c r="AF17" s="12" t="s">
        <v>63</v>
      </c>
      <c r="AG17" s="2" t="s">
        <v>64</v>
      </c>
      <c r="AH17" s="12" t="s">
        <v>52</v>
      </c>
      <c r="AI17" s="2" t="s">
        <v>54</v>
      </c>
      <c r="AJ17" s="12" t="s">
        <v>67</v>
      </c>
    </row>
    <row r="18" spans="1:36" ht="15.75" thickBot="1" x14ac:dyDescent="0.3">
      <c r="A18" s="328"/>
      <c r="B18" s="307"/>
      <c r="C18" s="307"/>
      <c r="D18" s="364"/>
      <c r="E18" s="362"/>
      <c r="F18" s="352" t="s">
        <v>219</v>
      </c>
      <c r="G18" s="353" t="s">
        <v>220</v>
      </c>
      <c r="H18" s="354" t="s">
        <v>221</v>
      </c>
      <c r="I18" s="353" t="s">
        <v>222</v>
      </c>
      <c r="J18" s="355" t="s">
        <v>223</v>
      </c>
      <c r="K18" s="356" t="s">
        <v>224</v>
      </c>
      <c r="L18" s="308" t="s">
        <v>29</v>
      </c>
      <c r="M18" s="382" t="s">
        <v>225</v>
      </c>
      <c r="N18" s="376" t="s">
        <v>0</v>
      </c>
      <c r="O18" s="385" t="s">
        <v>174</v>
      </c>
      <c r="P18" s="377" t="s">
        <v>0</v>
      </c>
      <c r="Q18" s="385" t="s">
        <v>174</v>
      </c>
      <c r="R18" s="377" t="s">
        <v>0</v>
      </c>
      <c r="S18" s="374" t="s">
        <v>226</v>
      </c>
      <c r="T18" s="385"/>
      <c r="U18" s="389" t="s">
        <v>227</v>
      </c>
      <c r="V18" s="390" t="s">
        <v>228</v>
      </c>
      <c r="W18" s="390" t="s">
        <v>229</v>
      </c>
      <c r="X18" s="390" t="s">
        <v>230</v>
      </c>
      <c r="Y18" s="389" t="s">
        <v>231</v>
      </c>
      <c r="Z18" s="389" t="s">
        <v>232</v>
      </c>
      <c r="AA18" s="389" t="s">
        <v>233</v>
      </c>
      <c r="AB18" s="389" t="s">
        <v>234</v>
      </c>
      <c r="AC18" s="674">
        <v>6200</v>
      </c>
      <c r="AD18" s="13" t="s">
        <v>96</v>
      </c>
      <c r="AE18" s="343" t="s">
        <v>96</v>
      </c>
      <c r="AF18" s="13" t="s">
        <v>96</v>
      </c>
      <c r="AG18" s="343" t="s">
        <v>96</v>
      </c>
      <c r="AH18" s="13" t="s">
        <v>96</v>
      </c>
      <c r="AI18" s="343" t="s">
        <v>96</v>
      </c>
      <c r="AJ18" s="13" t="s">
        <v>96</v>
      </c>
    </row>
    <row r="19" spans="1:36" x14ac:dyDescent="0.25">
      <c r="A19" s="298" t="str">
        <f>IF('Kwaliteit conversie'!$D$4='Prijs karton'!C19,"X"," ")</f>
        <v xml:space="preserve"> </v>
      </c>
      <c r="B19" s="330" t="s">
        <v>31</v>
      </c>
      <c r="C19" s="358" t="s">
        <v>235</v>
      </c>
      <c r="D19" s="365">
        <v>0.35099999999999998</v>
      </c>
      <c r="E19" s="357">
        <v>2.84</v>
      </c>
      <c r="F19" s="922">
        <v>0</v>
      </c>
      <c r="G19" s="368">
        <v>40.5</v>
      </c>
      <c r="H19" s="368">
        <v>37.5</v>
      </c>
      <c r="I19" s="368">
        <v>37.5</v>
      </c>
      <c r="J19" s="368">
        <v>35.5</v>
      </c>
      <c r="K19" s="923">
        <v>35.5</v>
      </c>
      <c r="L19" s="924" t="s">
        <v>236</v>
      </c>
      <c r="M19" s="331" t="s">
        <v>237</v>
      </c>
      <c r="N19" s="366" t="s">
        <v>238</v>
      </c>
      <c r="O19" s="313" t="s">
        <v>239</v>
      </c>
      <c r="P19" s="366" t="s">
        <v>239</v>
      </c>
      <c r="Q19" s="313" t="s">
        <v>239</v>
      </c>
      <c r="R19" s="366" t="s">
        <v>239</v>
      </c>
      <c r="S19" s="378" t="s">
        <v>237</v>
      </c>
      <c r="T19" s="314" t="s">
        <v>240</v>
      </c>
      <c r="U19" s="391">
        <v>240</v>
      </c>
      <c r="V19" s="391">
        <v>2450</v>
      </c>
      <c r="W19" s="391">
        <v>500</v>
      </c>
      <c r="X19" s="391">
        <v>6000</v>
      </c>
      <c r="Y19" s="391">
        <v>125</v>
      </c>
      <c r="Z19" s="391">
        <v>125</v>
      </c>
      <c r="AA19" s="391">
        <v>200</v>
      </c>
      <c r="AB19" s="184">
        <v>4.0199999999999996</v>
      </c>
      <c r="AC19" s="28">
        <v>0</v>
      </c>
      <c r="AD19" s="486">
        <v>1</v>
      </c>
      <c r="AE19" s="486">
        <v>1</v>
      </c>
      <c r="AF19" s="486">
        <v>1</v>
      </c>
      <c r="AG19" s="486">
        <v>1</v>
      </c>
      <c r="AH19" s="486">
        <v>1</v>
      </c>
      <c r="AI19" s="486">
        <v>1</v>
      </c>
      <c r="AJ19" s="486">
        <v>1</v>
      </c>
    </row>
    <row r="20" spans="1:36" x14ac:dyDescent="0.25">
      <c r="A20" s="298" t="str">
        <f>IF('Kwaliteit conversie'!$D$4='Prijs karton'!C20,"X"," ")</f>
        <v xml:space="preserve"> </v>
      </c>
      <c r="B20" s="331" t="s">
        <v>31</v>
      </c>
      <c r="C20" s="359" t="s">
        <v>241</v>
      </c>
      <c r="D20" s="366">
        <v>0.30499999999999999</v>
      </c>
      <c r="E20" s="321">
        <v>2.7</v>
      </c>
      <c r="F20" s="925">
        <v>0</v>
      </c>
      <c r="G20" s="315">
        <v>27.7</v>
      </c>
      <c r="H20" s="315">
        <v>24.7</v>
      </c>
      <c r="I20" s="315">
        <v>24.2</v>
      </c>
      <c r="J20" s="315">
        <v>24.2</v>
      </c>
      <c r="K20" s="513">
        <v>23.7</v>
      </c>
      <c r="L20" s="926" t="s">
        <v>242</v>
      </c>
      <c r="M20" s="331" t="s">
        <v>243</v>
      </c>
      <c r="N20" s="366" t="s">
        <v>244</v>
      </c>
      <c r="O20" s="323" t="s">
        <v>239</v>
      </c>
      <c r="P20" s="386" t="s">
        <v>239</v>
      </c>
      <c r="Q20" s="323" t="s">
        <v>239</v>
      </c>
      <c r="R20" s="366" t="s">
        <v>239</v>
      </c>
      <c r="S20" s="378" t="s">
        <v>244</v>
      </c>
      <c r="T20" s="324" t="s">
        <v>245</v>
      </c>
      <c r="U20" s="386">
        <v>250</v>
      </c>
      <c r="V20" s="386">
        <v>2450</v>
      </c>
      <c r="W20" s="386">
        <v>500</v>
      </c>
      <c r="X20" s="386">
        <v>6200</v>
      </c>
      <c r="Y20" s="386">
        <v>480</v>
      </c>
      <c r="Z20" s="386">
        <v>240</v>
      </c>
      <c r="AA20" s="386">
        <v>200</v>
      </c>
      <c r="AB20" s="392">
        <v>3</v>
      </c>
      <c r="AC20" s="28">
        <v>0</v>
      </c>
      <c r="AD20" s="28">
        <v>1</v>
      </c>
      <c r="AE20" s="28">
        <v>1</v>
      </c>
      <c r="AF20" s="28">
        <v>1</v>
      </c>
      <c r="AG20" s="28">
        <v>1</v>
      </c>
      <c r="AH20" s="28">
        <v>1</v>
      </c>
      <c r="AI20" s="28">
        <v>1</v>
      </c>
      <c r="AJ20" s="28">
        <v>1</v>
      </c>
    </row>
    <row r="21" spans="1:36" x14ac:dyDescent="0.25">
      <c r="A21" s="298" t="str">
        <f>IF('Kwaliteit conversie'!$D$4='Prijs karton'!C21,"X"," ")</f>
        <v xml:space="preserve"> </v>
      </c>
      <c r="B21" s="331" t="s">
        <v>31</v>
      </c>
      <c r="C21" s="359" t="s">
        <v>246</v>
      </c>
      <c r="D21" s="366">
        <v>0.36499999999999999</v>
      </c>
      <c r="E21" s="321">
        <v>2.8</v>
      </c>
      <c r="F21" s="925">
        <v>0</v>
      </c>
      <c r="G21" s="315">
        <v>31</v>
      </c>
      <c r="H21" s="315">
        <v>28</v>
      </c>
      <c r="I21" s="315">
        <v>27.5</v>
      </c>
      <c r="J21" s="315">
        <v>27.5</v>
      </c>
      <c r="K21" s="513">
        <v>27</v>
      </c>
      <c r="L21" s="926" t="s">
        <v>247</v>
      </c>
      <c r="M21" s="331" t="s">
        <v>248</v>
      </c>
      <c r="N21" s="366" t="s">
        <v>238</v>
      </c>
      <c r="O21" s="323" t="s">
        <v>239</v>
      </c>
      <c r="P21" s="386" t="s">
        <v>239</v>
      </c>
      <c r="Q21" s="323" t="s">
        <v>239</v>
      </c>
      <c r="R21" s="366" t="s">
        <v>239</v>
      </c>
      <c r="S21" s="378" t="s">
        <v>249</v>
      </c>
      <c r="T21" s="324" t="s">
        <v>245</v>
      </c>
      <c r="U21" s="386">
        <v>250</v>
      </c>
      <c r="V21" s="386">
        <v>2450</v>
      </c>
      <c r="W21" s="386">
        <v>500</v>
      </c>
      <c r="X21" s="386">
        <v>6200</v>
      </c>
      <c r="Y21" s="386">
        <v>480</v>
      </c>
      <c r="Z21" s="386">
        <v>240</v>
      </c>
      <c r="AA21" s="386">
        <v>200</v>
      </c>
      <c r="AB21" s="392">
        <v>4</v>
      </c>
      <c r="AC21" s="28">
        <v>0</v>
      </c>
      <c r="AD21" s="28">
        <v>1</v>
      </c>
      <c r="AE21" s="28">
        <v>1</v>
      </c>
      <c r="AF21" s="28">
        <v>1</v>
      </c>
      <c r="AG21" s="28">
        <v>1</v>
      </c>
      <c r="AH21" s="28">
        <v>1</v>
      </c>
      <c r="AI21" s="28">
        <v>1</v>
      </c>
      <c r="AJ21" s="28">
        <v>1</v>
      </c>
    </row>
    <row r="22" spans="1:36" x14ac:dyDescent="0.25">
      <c r="A22" s="298" t="str">
        <f>IF('Kwaliteit conversie'!$D$4='Prijs karton'!C22,"X"," ")</f>
        <v xml:space="preserve"> </v>
      </c>
      <c r="B22" s="331" t="s">
        <v>31</v>
      </c>
      <c r="C22" s="359" t="s">
        <v>250</v>
      </c>
      <c r="D22" s="366">
        <v>0.35499999999999998</v>
      </c>
      <c r="E22" s="321">
        <v>2.8</v>
      </c>
      <c r="F22" s="925">
        <v>0</v>
      </c>
      <c r="G22" s="315">
        <v>28.8</v>
      </c>
      <c r="H22" s="315">
        <v>25.8</v>
      </c>
      <c r="I22" s="315">
        <v>25.3</v>
      </c>
      <c r="J22" s="315">
        <v>25.3</v>
      </c>
      <c r="K22" s="513">
        <v>24.8</v>
      </c>
      <c r="L22" s="926" t="s">
        <v>251</v>
      </c>
      <c r="M22" s="331" t="s">
        <v>249</v>
      </c>
      <c r="N22" s="366" t="s">
        <v>244</v>
      </c>
      <c r="O22" s="323" t="s">
        <v>239</v>
      </c>
      <c r="P22" s="386" t="s">
        <v>239</v>
      </c>
      <c r="Q22" s="323" t="s">
        <v>239</v>
      </c>
      <c r="R22" s="366" t="s">
        <v>239</v>
      </c>
      <c r="S22" s="378" t="s">
        <v>249</v>
      </c>
      <c r="T22" s="324" t="s">
        <v>245</v>
      </c>
      <c r="U22" s="386">
        <v>250</v>
      </c>
      <c r="V22" s="386">
        <v>2450</v>
      </c>
      <c r="W22" s="386">
        <v>500</v>
      </c>
      <c r="X22" s="386">
        <v>6200</v>
      </c>
      <c r="Y22" s="386">
        <v>480</v>
      </c>
      <c r="Z22" s="386">
        <v>240</v>
      </c>
      <c r="AA22" s="386">
        <v>200</v>
      </c>
      <c r="AB22" s="392">
        <v>3.6</v>
      </c>
      <c r="AC22" s="28">
        <v>10</v>
      </c>
      <c r="AD22" s="28">
        <v>1</v>
      </c>
      <c r="AE22" s="28">
        <v>1</v>
      </c>
      <c r="AF22" s="28">
        <v>1</v>
      </c>
      <c r="AG22" s="28">
        <v>1</v>
      </c>
      <c r="AH22" s="28">
        <v>1</v>
      </c>
      <c r="AI22" s="28">
        <v>1</v>
      </c>
      <c r="AJ22" s="28">
        <v>1</v>
      </c>
    </row>
    <row r="23" spans="1:36" x14ac:dyDescent="0.25">
      <c r="A23" s="298" t="str">
        <f>IF('Kwaliteit conversie'!$D$4='Prijs karton'!C23,"X"," ")</f>
        <v xml:space="preserve"> </v>
      </c>
      <c r="B23" s="331" t="s">
        <v>31</v>
      </c>
      <c r="C23" s="359" t="s">
        <v>252</v>
      </c>
      <c r="D23" s="366">
        <v>0.36499999999999999</v>
      </c>
      <c r="E23" s="321">
        <v>2.84</v>
      </c>
      <c r="F23" s="925">
        <v>0</v>
      </c>
      <c r="G23" s="315">
        <v>41.1</v>
      </c>
      <c r="H23" s="315">
        <v>38.1</v>
      </c>
      <c r="I23" s="315">
        <v>38.1</v>
      </c>
      <c r="J23" s="315">
        <v>36.1</v>
      </c>
      <c r="K23" s="513">
        <v>36.1</v>
      </c>
      <c r="L23" s="926" t="s">
        <v>253</v>
      </c>
      <c r="M23" s="331" t="s">
        <v>254</v>
      </c>
      <c r="N23" s="366" t="s">
        <v>238</v>
      </c>
      <c r="O23" s="323" t="s">
        <v>239</v>
      </c>
      <c r="P23" s="386" t="s">
        <v>239</v>
      </c>
      <c r="Q23" s="323" t="s">
        <v>239</v>
      </c>
      <c r="R23" s="366" t="s">
        <v>239</v>
      </c>
      <c r="S23" s="378" t="s">
        <v>254</v>
      </c>
      <c r="T23" s="324" t="s">
        <v>240</v>
      </c>
      <c r="U23" s="386">
        <v>240</v>
      </c>
      <c r="V23" s="386">
        <v>2450</v>
      </c>
      <c r="W23" s="386">
        <v>500</v>
      </c>
      <c r="X23" s="386">
        <v>6000</v>
      </c>
      <c r="Y23" s="386">
        <v>125</v>
      </c>
      <c r="Z23" s="386">
        <v>125</v>
      </c>
      <c r="AA23" s="386">
        <v>200</v>
      </c>
      <c r="AB23" s="392">
        <v>4</v>
      </c>
      <c r="AC23" s="28">
        <v>0</v>
      </c>
      <c r="AD23" s="28">
        <v>1</v>
      </c>
      <c r="AE23" s="28">
        <v>1</v>
      </c>
      <c r="AF23" s="28">
        <v>1</v>
      </c>
      <c r="AG23" s="28">
        <v>1</v>
      </c>
      <c r="AH23" s="28">
        <v>1</v>
      </c>
      <c r="AI23" s="28">
        <v>1</v>
      </c>
      <c r="AJ23" s="28">
        <v>1</v>
      </c>
    </row>
    <row r="24" spans="1:36" x14ac:dyDescent="0.25">
      <c r="A24" s="298" t="str">
        <f>IF('Kwaliteit conversie'!$D$4='Prijs karton'!C24,"X"," ")</f>
        <v xml:space="preserve"> </v>
      </c>
      <c r="B24" s="331" t="s">
        <v>31</v>
      </c>
      <c r="C24" s="359"/>
      <c r="D24" s="366"/>
      <c r="E24" s="321"/>
      <c r="F24" s="925"/>
      <c r="G24" s="315"/>
      <c r="H24" s="315"/>
      <c r="I24" s="315"/>
      <c r="J24" s="315"/>
      <c r="K24" s="513"/>
      <c r="L24" s="926"/>
      <c r="M24" s="331"/>
      <c r="N24" s="366"/>
      <c r="O24" s="323"/>
      <c r="P24" s="386"/>
      <c r="Q24" s="323"/>
      <c r="R24" s="366"/>
      <c r="S24" s="378"/>
      <c r="T24" s="324"/>
      <c r="U24" s="386"/>
      <c r="V24" s="386"/>
      <c r="W24" s="386"/>
      <c r="X24" s="386"/>
      <c r="Y24" s="386"/>
      <c r="Z24" s="386"/>
      <c r="AA24" s="386"/>
      <c r="AB24" s="392"/>
      <c r="AC24" s="28"/>
      <c r="AD24" s="28"/>
      <c r="AE24" s="28"/>
      <c r="AF24" s="28"/>
      <c r="AG24" s="28"/>
      <c r="AH24" s="28"/>
      <c r="AI24" s="28"/>
      <c r="AJ24" s="28"/>
    </row>
    <row r="25" spans="1:36" x14ac:dyDescent="0.25">
      <c r="A25" s="298" t="str">
        <f>IF('Kwaliteit conversie'!$D$4='Prijs karton'!C25,"X"," ")</f>
        <v xml:space="preserve"> </v>
      </c>
      <c r="B25" s="331" t="s">
        <v>31</v>
      </c>
      <c r="C25" s="359" t="s">
        <v>42</v>
      </c>
      <c r="D25" s="366">
        <v>0.375</v>
      </c>
      <c r="E25" s="321">
        <v>2.8</v>
      </c>
      <c r="F25" s="925">
        <v>0</v>
      </c>
      <c r="G25" s="315">
        <v>29.8</v>
      </c>
      <c r="H25" s="315">
        <v>26.8</v>
      </c>
      <c r="I25" s="315">
        <v>26.3</v>
      </c>
      <c r="J25" s="315">
        <v>26.3</v>
      </c>
      <c r="K25" s="513">
        <v>25.8</v>
      </c>
      <c r="L25" s="926" t="s">
        <v>256</v>
      </c>
      <c r="M25" s="331" t="s">
        <v>257</v>
      </c>
      <c r="N25" s="366" t="s">
        <v>244</v>
      </c>
      <c r="O25" s="323" t="s">
        <v>239</v>
      </c>
      <c r="P25" s="386" t="s">
        <v>239</v>
      </c>
      <c r="Q25" s="323" t="s">
        <v>239</v>
      </c>
      <c r="R25" s="366" t="s">
        <v>239</v>
      </c>
      <c r="S25" s="378" t="s">
        <v>249</v>
      </c>
      <c r="T25" s="324" t="s">
        <v>245</v>
      </c>
      <c r="U25" s="386">
        <v>250</v>
      </c>
      <c r="V25" s="386">
        <v>2450</v>
      </c>
      <c r="W25" s="386">
        <v>500</v>
      </c>
      <c r="X25" s="386">
        <v>6200</v>
      </c>
      <c r="Y25" s="386">
        <v>480</v>
      </c>
      <c r="Z25" s="386">
        <v>240</v>
      </c>
      <c r="AA25" s="386">
        <v>200</v>
      </c>
      <c r="AB25" s="392">
        <v>3.9</v>
      </c>
      <c r="AC25" s="28">
        <v>10</v>
      </c>
      <c r="AD25" s="28">
        <v>1</v>
      </c>
      <c r="AE25" s="28">
        <v>1</v>
      </c>
      <c r="AF25" s="28">
        <v>1</v>
      </c>
      <c r="AG25" s="28">
        <v>1</v>
      </c>
      <c r="AH25" s="28">
        <v>1</v>
      </c>
      <c r="AI25" s="28">
        <v>1</v>
      </c>
      <c r="AJ25" s="28">
        <v>1</v>
      </c>
    </row>
    <row r="26" spans="1:36" x14ac:dyDescent="0.25">
      <c r="A26" s="298" t="str">
        <f>IF('Kwaliteit conversie'!$D$4='Prijs karton'!C26,"X"," ")</f>
        <v xml:space="preserve"> </v>
      </c>
      <c r="B26" s="331" t="s">
        <v>31</v>
      </c>
      <c r="C26" s="359"/>
      <c r="D26" s="366"/>
      <c r="E26" s="321"/>
      <c r="F26" s="925"/>
      <c r="G26" s="315"/>
      <c r="H26" s="315"/>
      <c r="I26" s="315"/>
      <c r="J26" s="315"/>
      <c r="K26" s="513"/>
      <c r="L26" s="926"/>
      <c r="M26" s="331"/>
      <c r="N26" s="366"/>
      <c r="O26" s="323"/>
      <c r="P26" s="386"/>
      <c r="Q26" s="323"/>
      <c r="R26" s="366"/>
      <c r="S26" s="378"/>
      <c r="T26" s="324"/>
      <c r="U26" s="386"/>
      <c r="V26" s="386"/>
      <c r="W26" s="386"/>
      <c r="X26" s="386"/>
      <c r="Y26" s="386"/>
      <c r="Z26" s="386"/>
      <c r="AA26" s="386"/>
      <c r="AB26" s="392"/>
      <c r="AC26" s="28"/>
      <c r="AD26" s="28"/>
      <c r="AE26" s="28"/>
      <c r="AF26" s="28"/>
      <c r="AG26" s="28"/>
      <c r="AH26" s="28"/>
      <c r="AI26" s="28"/>
      <c r="AJ26" s="28"/>
    </row>
    <row r="27" spans="1:36" x14ac:dyDescent="0.25">
      <c r="A27" s="298" t="str">
        <f>IF('Kwaliteit conversie'!$D$4='Prijs karton'!C27,"X"," ")</f>
        <v xml:space="preserve"> </v>
      </c>
      <c r="B27" s="331" t="s">
        <v>31</v>
      </c>
      <c r="C27" s="359" t="s">
        <v>258</v>
      </c>
      <c r="D27" s="366">
        <v>0.38100000000000001</v>
      </c>
      <c r="E27" s="321">
        <v>2.88</v>
      </c>
      <c r="F27" s="925">
        <v>0</v>
      </c>
      <c r="G27" s="315">
        <v>44.9</v>
      </c>
      <c r="H27" s="315">
        <v>41.9</v>
      </c>
      <c r="I27" s="315">
        <v>41.9</v>
      </c>
      <c r="J27" s="315">
        <v>39.9</v>
      </c>
      <c r="K27" s="513">
        <v>39.9</v>
      </c>
      <c r="L27" s="926" t="s">
        <v>259</v>
      </c>
      <c r="M27" s="331" t="s">
        <v>260</v>
      </c>
      <c r="N27" s="366" t="s">
        <v>238</v>
      </c>
      <c r="O27" s="323" t="s">
        <v>239</v>
      </c>
      <c r="P27" s="386" t="s">
        <v>239</v>
      </c>
      <c r="Q27" s="323" t="s">
        <v>239</v>
      </c>
      <c r="R27" s="366" t="s">
        <v>239</v>
      </c>
      <c r="S27" s="378" t="s">
        <v>260</v>
      </c>
      <c r="T27" s="324" t="s">
        <v>240</v>
      </c>
      <c r="U27" s="386">
        <v>240</v>
      </c>
      <c r="V27" s="386">
        <v>2450</v>
      </c>
      <c r="W27" s="386">
        <v>500</v>
      </c>
      <c r="X27" s="386">
        <v>6000</v>
      </c>
      <c r="Y27" s="386">
        <v>125</v>
      </c>
      <c r="Z27" s="386">
        <v>125</v>
      </c>
      <c r="AA27" s="386">
        <v>200</v>
      </c>
      <c r="AB27" s="392">
        <v>4.87</v>
      </c>
      <c r="AC27" s="28">
        <v>0</v>
      </c>
      <c r="AD27" s="28">
        <v>1</v>
      </c>
      <c r="AE27" s="28">
        <v>1</v>
      </c>
      <c r="AF27" s="28">
        <v>1</v>
      </c>
      <c r="AG27" s="28">
        <v>1</v>
      </c>
      <c r="AH27" s="28">
        <v>1</v>
      </c>
      <c r="AI27" s="28">
        <v>1</v>
      </c>
      <c r="AJ27" s="28">
        <v>1</v>
      </c>
    </row>
    <row r="28" spans="1:36" x14ac:dyDescent="0.25">
      <c r="A28" s="298" t="str">
        <f>IF('Kwaliteit conversie'!$D$4='Prijs karton'!C28,"X"," ")</f>
        <v xml:space="preserve"> </v>
      </c>
      <c r="B28" s="331" t="s">
        <v>31</v>
      </c>
      <c r="C28" s="359" t="s">
        <v>261</v>
      </c>
      <c r="D28" s="366">
        <v>0.36</v>
      </c>
      <c r="E28" s="321">
        <v>2.2999999999999998</v>
      </c>
      <c r="F28" s="925">
        <v>0</v>
      </c>
      <c r="G28" s="315">
        <v>29.6</v>
      </c>
      <c r="H28" s="315">
        <v>26.6</v>
      </c>
      <c r="I28" s="315">
        <v>26.1</v>
      </c>
      <c r="J28" s="315">
        <v>26.1</v>
      </c>
      <c r="K28" s="513">
        <v>25.6</v>
      </c>
      <c r="L28" s="926" t="s">
        <v>262</v>
      </c>
      <c r="M28" s="331" t="s">
        <v>257</v>
      </c>
      <c r="N28" s="366" t="s">
        <v>255</v>
      </c>
      <c r="O28" s="323" t="s">
        <v>239</v>
      </c>
      <c r="P28" s="386" t="s">
        <v>239</v>
      </c>
      <c r="Q28" s="323" t="s">
        <v>239</v>
      </c>
      <c r="R28" s="366" t="s">
        <v>239</v>
      </c>
      <c r="S28" s="378" t="s">
        <v>249</v>
      </c>
      <c r="T28" s="324" t="s">
        <v>245</v>
      </c>
      <c r="U28" s="386">
        <v>250</v>
      </c>
      <c r="V28" s="386">
        <v>2450</v>
      </c>
      <c r="W28" s="386">
        <v>500</v>
      </c>
      <c r="X28" s="386">
        <v>6200</v>
      </c>
      <c r="Y28" s="386">
        <v>480</v>
      </c>
      <c r="Z28" s="386">
        <v>240</v>
      </c>
      <c r="AA28" s="386">
        <v>200</v>
      </c>
      <c r="AB28" s="392">
        <v>4.0999999999999996</v>
      </c>
      <c r="AC28" s="28">
        <v>0</v>
      </c>
      <c r="AD28" s="28">
        <v>1</v>
      </c>
      <c r="AE28" s="28">
        <v>1</v>
      </c>
      <c r="AF28" s="28">
        <v>1</v>
      </c>
      <c r="AG28" s="28">
        <v>1</v>
      </c>
      <c r="AH28" s="28">
        <v>1</v>
      </c>
      <c r="AI28" s="28">
        <v>1</v>
      </c>
      <c r="AJ28" s="28">
        <v>1</v>
      </c>
    </row>
    <row r="29" spans="1:36" x14ac:dyDescent="0.25">
      <c r="A29" s="298" t="str">
        <f>IF('Kwaliteit conversie'!$D$4='Prijs karton'!C29,"X"," ")</f>
        <v xml:space="preserve"> </v>
      </c>
      <c r="B29" s="331" t="s">
        <v>31</v>
      </c>
      <c r="C29" s="359" t="s">
        <v>263</v>
      </c>
      <c r="D29" s="366">
        <v>0.43</v>
      </c>
      <c r="E29" s="321">
        <v>2.8</v>
      </c>
      <c r="F29" s="925">
        <v>0</v>
      </c>
      <c r="G29" s="315">
        <v>37.5</v>
      </c>
      <c r="H29" s="315">
        <v>34.5</v>
      </c>
      <c r="I29" s="315">
        <v>34</v>
      </c>
      <c r="J29" s="315">
        <v>34</v>
      </c>
      <c r="K29" s="513">
        <v>33.5</v>
      </c>
      <c r="L29" s="926" t="s">
        <v>264</v>
      </c>
      <c r="M29" s="331" t="s">
        <v>257</v>
      </c>
      <c r="N29" s="366" t="s">
        <v>265</v>
      </c>
      <c r="O29" s="323" t="s">
        <v>239</v>
      </c>
      <c r="P29" s="386" t="s">
        <v>239</v>
      </c>
      <c r="Q29" s="323" t="s">
        <v>239</v>
      </c>
      <c r="R29" s="366" t="s">
        <v>239</v>
      </c>
      <c r="S29" s="378" t="s">
        <v>249</v>
      </c>
      <c r="T29" s="324" t="s">
        <v>245</v>
      </c>
      <c r="U29" s="386">
        <v>250</v>
      </c>
      <c r="V29" s="386">
        <v>2450</v>
      </c>
      <c r="W29" s="386">
        <v>500</v>
      </c>
      <c r="X29" s="386">
        <v>6200</v>
      </c>
      <c r="Y29" s="386">
        <v>480</v>
      </c>
      <c r="Z29" s="386">
        <v>240</v>
      </c>
      <c r="AA29" s="386">
        <v>200</v>
      </c>
      <c r="AB29" s="392">
        <v>5</v>
      </c>
      <c r="AC29" s="28">
        <v>0</v>
      </c>
      <c r="AD29" s="28">
        <v>1</v>
      </c>
      <c r="AE29" s="28">
        <v>1</v>
      </c>
      <c r="AF29" s="28">
        <v>1</v>
      </c>
      <c r="AG29" s="28">
        <v>1</v>
      </c>
      <c r="AH29" s="28">
        <v>1</v>
      </c>
      <c r="AI29" s="28">
        <v>1</v>
      </c>
      <c r="AJ29" s="28">
        <v>1</v>
      </c>
    </row>
    <row r="30" spans="1:36" x14ac:dyDescent="0.25">
      <c r="A30" s="298" t="str">
        <f>IF('Kwaliteit conversie'!$D$4='Prijs karton'!C30,"X"," ")</f>
        <v xml:space="preserve"> </v>
      </c>
      <c r="B30" s="331" t="s">
        <v>31</v>
      </c>
      <c r="C30" s="359" t="s">
        <v>266</v>
      </c>
      <c r="D30" s="366">
        <v>0.45</v>
      </c>
      <c r="E30" s="321">
        <v>2.8</v>
      </c>
      <c r="F30" s="925">
        <v>0</v>
      </c>
      <c r="G30" s="315">
        <v>38.5</v>
      </c>
      <c r="H30" s="315">
        <v>35.5</v>
      </c>
      <c r="I30" s="315">
        <v>35</v>
      </c>
      <c r="J30" s="315">
        <v>35</v>
      </c>
      <c r="K30" s="513">
        <v>34.5</v>
      </c>
      <c r="L30" s="926" t="s">
        <v>267</v>
      </c>
      <c r="M30" s="331" t="s">
        <v>257</v>
      </c>
      <c r="N30" s="366" t="s">
        <v>265</v>
      </c>
      <c r="O30" s="323" t="s">
        <v>239</v>
      </c>
      <c r="P30" s="386" t="s">
        <v>239</v>
      </c>
      <c r="Q30" s="323" t="s">
        <v>239</v>
      </c>
      <c r="R30" s="366" t="s">
        <v>239</v>
      </c>
      <c r="S30" s="378" t="s">
        <v>257</v>
      </c>
      <c r="T30" s="324" t="s">
        <v>245</v>
      </c>
      <c r="U30" s="386">
        <v>250</v>
      </c>
      <c r="V30" s="386">
        <v>2450</v>
      </c>
      <c r="W30" s="386">
        <v>500</v>
      </c>
      <c r="X30" s="386">
        <v>6200</v>
      </c>
      <c r="Y30" s="386">
        <v>480</v>
      </c>
      <c r="Z30" s="386">
        <v>240</v>
      </c>
      <c r="AA30" s="386">
        <v>200</v>
      </c>
      <c r="AB30" s="392">
        <v>5.2</v>
      </c>
      <c r="AC30" s="28">
        <v>0</v>
      </c>
      <c r="AD30" s="28">
        <v>1</v>
      </c>
      <c r="AE30" s="28">
        <v>1</v>
      </c>
      <c r="AF30" s="28">
        <v>1</v>
      </c>
      <c r="AG30" s="28">
        <v>1</v>
      </c>
      <c r="AH30" s="28">
        <v>1</v>
      </c>
      <c r="AI30" s="28">
        <v>1</v>
      </c>
      <c r="AJ30" s="28">
        <v>1</v>
      </c>
    </row>
    <row r="31" spans="1:36" x14ac:dyDescent="0.25">
      <c r="A31" s="298" t="str">
        <f>IF('Kwaliteit conversie'!$D$4='Prijs karton'!C31,"X"," ")</f>
        <v xml:space="preserve"> </v>
      </c>
      <c r="B31" s="331" t="s">
        <v>31</v>
      </c>
      <c r="C31" s="359" t="s">
        <v>45</v>
      </c>
      <c r="D31" s="366">
        <v>0.39500000000000002</v>
      </c>
      <c r="E31" s="321">
        <v>2.8</v>
      </c>
      <c r="F31" s="925">
        <v>0</v>
      </c>
      <c r="G31" s="315">
        <v>39.299999999999997</v>
      </c>
      <c r="H31" s="315">
        <v>36.299999999999997</v>
      </c>
      <c r="I31" s="315">
        <v>35.799999999999997</v>
      </c>
      <c r="J31" s="315">
        <v>35.799999999999997</v>
      </c>
      <c r="K31" s="513">
        <v>35.299999999999997</v>
      </c>
      <c r="L31" s="926" t="s">
        <v>268</v>
      </c>
      <c r="M31" s="331" t="s">
        <v>269</v>
      </c>
      <c r="N31" s="366" t="s">
        <v>244</v>
      </c>
      <c r="O31" s="323" t="s">
        <v>239</v>
      </c>
      <c r="P31" s="386" t="s">
        <v>239</v>
      </c>
      <c r="Q31" s="323" t="s">
        <v>239</v>
      </c>
      <c r="R31" s="366" t="s">
        <v>239</v>
      </c>
      <c r="S31" s="378" t="s">
        <v>257</v>
      </c>
      <c r="T31" s="324" t="s">
        <v>245</v>
      </c>
      <c r="U31" s="386">
        <v>250</v>
      </c>
      <c r="V31" s="386">
        <v>2450</v>
      </c>
      <c r="W31" s="386">
        <v>500</v>
      </c>
      <c r="X31" s="386">
        <v>6200</v>
      </c>
      <c r="Y31" s="386">
        <v>480</v>
      </c>
      <c r="Z31" s="386">
        <v>240</v>
      </c>
      <c r="AA31" s="386">
        <v>200</v>
      </c>
      <c r="AB31" s="392">
        <v>3.9</v>
      </c>
      <c r="AC31" s="28">
        <v>0</v>
      </c>
      <c r="AD31" s="28">
        <v>1</v>
      </c>
      <c r="AE31" s="28">
        <v>1</v>
      </c>
      <c r="AF31" s="28">
        <v>1</v>
      </c>
      <c r="AG31" s="28">
        <v>1</v>
      </c>
      <c r="AH31" s="28">
        <v>1</v>
      </c>
      <c r="AI31" s="28">
        <v>1</v>
      </c>
      <c r="AJ31" s="28">
        <v>1</v>
      </c>
    </row>
    <row r="32" spans="1:36" x14ac:dyDescent="0.25">
      <c r="A32" s="298" t="str">
        <f>IF('Kwaliteit conversie'!$D$4='Prijs karton'!C32,"X"," ")</f>
        <v xml:space="preserve"> </v>
      </c>
      <c r="B32" s="331" t="s">
        <v>31</v>
      </c>
      <c r="C32" s="359" t="s">
        <v>270</v>
      </c>
      <c r="D32" s="366">
        <v>0.39100000000000001</v>
      </c>
      <c r="E32" s="321">
        <v>2.85</v>
      </c>
      <c r="F32" s="925">
        <v>0</v>
      </c>
      <c r="G32" s="315" t="s">
        <v>239</v>
      </c>
      <c r="H32" s="315">
        <v>47.3</v>
      </c>
      <c r="I32" s="315">
        <v>47.3</v>
      </c>
      <c r="J32" s="315">
        <v>45.3</v>
      </c>
      <c r="K32" s="513">
        <v>45.3</v>
      </c>
      <c r="L32" s="926" t="s">
        <v>271</v>
      </c>
      <c r="M32" s="331" t="s">
        <v>269</v>
      </c>
      <c r="N32" s="366" t="s">
        <v>238</v>
      </c>
      <c r="O32" s="323" t="s">
        <v>239</v>
      </c>
      <c r="P32" s="386" t="s">
        <v>239</v>
      </c>
      <c r="Q32" s="323" t="s">
        <v>239</v>
      </c>
      <c r="R32" s="366" t="s">
        <v>239</v>
      </c>
      <c r="S32" s="378" t="s">
        <v>260</v>
      </c>
      <c r="T32" s="324" t="s">
        <v>240</v>
      </c>
      <c r="U32" s="386">
        <v>240</v>
      </c>
      <c r="V32" s="386">
        <v>2450</v>
      </c>
      <c r="W32" s="386">
        <v>500</v>
      </c>
      <c r="X32" s="386">
        <v>6000</v>
      </c>
      <c r="Y32" s="386">
        <v>125</v>
      </c>
      <c r="Z32" s="386">
        <v>125</v>
      </c>
      <c r="AA32" s="386">
        <v>500</v>
      </c>
      <c r="AB32" s="392">
        <v>4.55</v>
      </c>
      <c r="AC32" s="28">
        <v>0</v>
      </c>
      <c r="AD32" s="28">
        <v>1</v>
      </c>
      <c r="AE32" s="28">
        <v>1</v>
      </c>
      <c r="AF32" s="28">
        <v>1</v>
      </c>
      <c r="AG32" s="28">
        <v>1</v>
      </c>
      <c r="AH32" s="28">
        <v>1</v>
      </c>
      <c r="AI32" s="28">
        <v>1</v>
      </c>
      <c r="AJ32" s="28">
        <v>1</v>
      </c>
    </row>
    <row r="33" spans="1:36" x14ac:dyDescent="0.25">
      <c r="A33" s="298" t="str">
        <f>IF('Kwaliteit conversie'!$D$4='Prijs karton'!C33,"X"," ")</f>
        <v xml:space="preserve"> </v>
      </c>
      <c r="B33" s="331" t="s">
        <v>31</v>
      </c>
      <c r="C33" s="359"/>
      <c r="D33" s="366"/>
      <c r="E33" s="321"/>
      <c r="F33" s="925"/>
      <c r="G33" s="315"/>
      <c r="H33" s="315"/>
      <c r="I33" s="315"/>
      <c r="J33" s="315"/>
      <c r="K33" s="513"/>
      <c r="L33" s="926"/>
      <c r="M33" s="331"/>
      <c r="N33" s="366"/>
      <c r="O33" s="323"/>
      <c r="P33" s="386"/>
      <c r="Q33" s="323"/>
      <c r="R33" s="366"/>
      <c r="S33" s="378"/>
      <c r="T33" s="324"/>
      <c r="U33" s="386"/>
      <c r="V33" s="386"/>
      <c r="W33" s="386"/>
      <c r="X33" s="386"/>
      <c r="Y33" s="386"/>
      <c r="Z33" s="386"/>
      <c r="AA33" s="386"/>
      <c r="AB33" s="392"/>
      <c r="AC33" s="28"/>
      <c r="AD33" s="28"/>
      <c r="AE33" s="28"/>
      <c r="AF33" s="28"/>
      <c r="AG33" s="28"/>
      <c r="AH33" s="28"/>
      <c r="AI33" s="28"/>
      <c r="AJ33" s="28"/>
    </row>
    <row r="34" spans="1:36" x14ac:dyDescent="0.25">
      <c r="A34" s="298" t="str">
        <f>IF('Kwaliteit conversie'!$D$4='Prijs karton'!C34,"X"," ")</f>
        <v xml:space="preserve"> </v>
      </c>
      <c r="B34" s="331" t="s">
        <v>31</v>
      </c>
      <c r="C34" s="359"/>
      <c r="D34" s="366"/>
      <c r="E34" s="321"/>
      <c r="F34" s="925"/>
      <c r="G34" s="315"/>
      <c r="H34" s="315"/>
      <c r="I34" s="315"/>
      <c r="J34" s="315"/>
      <c r="K34" s="513"/>
      <c r="L34" s="926"/>
      <c r="M34" s="331"/>
      <c r="N34" s="366"/>
      <c r="O34" s="323"/>
      <c r="P34" s="386"/>
      <c r="Q34" s="323"/>
      <c r="R34" s="366"/>
      <c r="S34" s="378"/>
      <c r="T34" s="324"/>
      <c r="U34" s="386"/>
      <c r="V34" s="386"/>
      <c r="W34" s="386"/>
      <c r="X34" s="386"/>
      <c r="Y34" s="386"/>
      <c r="Z34" s="386"/>
      <c r="AA34" s="386"/>
      <c r="AB34" s="392"/>
      <c r="AC34" s="28"/>
      <c r="AD34" s="28"/>
      <c r="AE34" s="28"/>
      <c r="AF34" s="28"/>
      <c r="AG34" s="28"/>
      <c r="AH34" s="28"/>
      <c r="AI34" s="28"/>
      <c r="AJ34" s="28"/>
    </row>
    <row r="35" spans="1:36" x14ac:dyDescent="0.25">
      <c r="A35" s="298" t="str">
        <f>IF('Kwaliteit conversie'!$D$4='Prijs karton'!C35,"X"," ")</f>
        <v xml:space="preserve"> </v>
      </c>
      <c r="B35" s="331" t="s">
        <v>31</v>
      </c>
      <c r="C35" s="359" t="s">
        <v>272</v>
      </c>
      <c r="D35" s="366">
        <v>0.4</v>
      </c>
      <c r="E35" s="321">
        <v>2.8</v>
      </c>
      <c r="F35" s="925">
        <v>0</v>
      </c>
      <c r="G35" s="315">
        <v>38.700000000000003</v>
      </c>
      <c r="H35" s="315">
        <v>35.700000000000003</v>
      </c>
      <c r="I35" s="315">
        <v>35.200000000000003</v>
      </c>
      <c r="J35" s="315">
        <v>35.200000000000003</v>
      </c>
      <c r="K35" s="513">
        <v>34.700000000000003</v>
      </c>
      <c r="L35" s="926" t="s">
        <v>273</v>
      </c>
      <c r="M35" s="331" t="s">
        <v>274</v>
      </c>
      <c r="N35" s="366" t="s">
        <v>244</v>
      </c>
      <c r="O35" s="323" t="s">
        <v>239</v>
      </c>
      <c r="P35" s="386" t="s">
        <v>239</v>
      </c>
      <c r="Q35" s="323" t="s">
        <v>239</v>
      </c>
      <c r="R35" s="366" t="s">
        <v>239</v>
      </c>
      <c r="S35" s="378" t="s">
        <v>257</v>
      </c>
      <c r="T35" s="324" t="s">
        <v>245</v>
      </c>
      <c r="U35" s="386">
        <v>250</v>
      </c>
      <c r="V35" s="386">
        <v>2450</v>
      </c>
      <c r="W35" s="386">
        <v>500</v>
      </c>
      <c r="X35" s="386">
        <v>6200</v>
      </c>
      <c r="Y35" s="386">
        <v>480</v>
      </c>
      <c r="Z35" s="386">
        <v>240</v>
      </c>
      <c r="AA35" s="386">
        <v>200</v>
      </c>
      <c r="AB35" s="392">
        <v>4.5999999999999996</v>
      </c>
      <c r="AC35" s="28">
        <v>0</v>
      </c>
      <c r="AD35" s="28">
        <v>1</v>
      </c>
      <c r="AE35" s="28">
        <v>1</v>
      </c>
      <c r="AF35" s="28">
        <v>1</v>
      </c>
      <c r="AG35" s="28">
        <v>1</v>
      </c>
      <c r="AH35" s="28">
        <v>1</v>
      </c>
      <c r="AI35" s="28">
        <v>1</v>
      </c>
      <c r="AJ35" s="28">
        <v>1</v>
      </c>
    </row>
    <row r="36" spans="1:36" x14ac:dyDescent="0.25">
      <c r="A36" s="298" t="str">
        <f>IF('Kwaliteit conversie'!$D$4='Prijs karton'!C36,"X"," ")</f>
        <v xml:space="preserve"> </v>
      </c>
      <c r="B36" s="331" t="s">
        <v>31</v>
      </c>
      <c r="C36" s="359" t="s">
        <v>275</v>
      </c>
      <c r="D36" s="366">
        <v>0.39100000000000001</v>
      </c>
      <c r="E36" s="321">
        <v>2.87</v>
      </c>
      <c r="F36" s="925">
        <v>0</v>
      </c>
      <c r="G36" s="315">
        <v>50.6</v>
      </c>
      <c r="H36" s="315">
        <v>47.6</v>
      </c>
      <c r="I36" s="315">
        <v>47.6</v>
      </c>
      <c r="J36" s="315">
        <v>45.6</v>
      </c>
      <c r="K36" s="513">
        <v>45.6</v>
      </c>
      <c r="L36" s="926" t="s">
        <v>276</v>
      </c>
      <c r="M36" s="331" t="s">
        <v>277</v>
      </c>
      <c r="N36" s="366" t="s">
        <v>238</v>
      </c>
      <c r="O36" s="323" t="s">
        <v>239</v>
      </c>
      <c r="P36" s="386" t="s">
        <v>239</v>
      </c>
      <c r="Q36" s="323" t="s">
        <v>239</v>
      </c>
      <c r="R36" s="366" t="s">
        <v>239</v>
      </c>
      <c r="S36" s="378" t="s">
        <v>260</v>
      </c>
      <c r="T36" s="324" t="s">
        <v>240</v>
      </c>
      <c r="U36" s="386">
        <v>240</v>
      </c>
      <c r="V36" s="386">
        <v>2450</v>
      </c>
      <c r="W36" s="386">
        <v>500</v>
      </c>
      <c r="X36" s="386">
        <v>6000</v>
      </c>
      <c r="Y36" s="386">
        <v>125</v>
      </c>
      <c r="Z36" s="386">
        <v>125</v>
      </c>
      <c r="AA36" s="386">
        <v>200</v>
      </c>
      <c r="AB36" s="392">
        <v>5.07</v>
      </c>
      <c r="AC36" s="28">
        <v>0</v>
      </c>
      <c r="AD36" s="28">
        <v>1</v>
      </c>
      <c r="AE36" s="28">
        <v>1</v>
      </c>
      <c r="AF36" s="28">
        <v>1</v>
      </c>
      <c r="AG36" s="28">
        <v>1</v>
      </c>
      <c r="AH36" s="28">
        <v>1</v>
      </c>
      <c r="AI36" s="28">
        <v>1</v>
      </c>
      <c r="AJ36" s="28">
        <v>1</v>
      </c>
    </row>
    <row r="37" spans="1:36" x14ac:dyDescent="0.25">
      <c r="A37" s="298" t="str">
        <f>IF('Kwaliteit conversie'!$D$4='Prijs karton'!C37,"X"," ")</f>
        <v xml:space="preserve"> </v>
      </c>
      <c r="B37" s="331" t="s">
        <v>31</v>
      </c>
      <c r="C37" s="359"/>
      <c r="D37" s="366"/>
      <c r="E37" s="321"/>
      <c r="F37" s="925"/>
      <c r="G37" s="315"/>
      <c r="H37" s="315"/>
      <c r="I37" s="315"/>
      <c r="J37" s="315"/>
      <c r="K37" s="513"/>
      <c r="L37" s="926"/>
      <c r="M37" s="331"/>
      <c r="N37" s="366"/>
      <c r="O37" s="323"/>
      <c r="P37" s="386"/>
      <c r="Q37" s="323"/>
      <c r="R37" s="366"/>
      <c r="S37" s="378"/>
      <c r="T37" s="324"/>
      <c r="U37" s="386"/>
      <c r="V37" s="386"/>
      <c r="W37" s="386"/>
      <c r="X37" s="386"/>
      <c r="Y37" s="386"/>
      <c r="Z37" s="386"/>
      <c r="AA37" s="386"/>
      <c r="AB37" s="392"/>
      <c r="AC37" s="28"/>
      <c r="AD37" s="28"/>
      <c r="AE37" s="28"/>
      <c r="AF37" s="28"/>
      <c r="AG37" s="28"/>
      <c r="AH37" s="28"/>
      <c r="AI37" s="28"/>
      <c r="AJ37" s="28"/>
    </row>
    <row r="38" spans="1:36" x14ac:dyDescent="0.25">
      <c r="A38" s="298" t="str">
        <f>IF('Kwaliteit conversie'!$D$4='Prijs karton'!C38,"X"," ")</f>
        <v xml:space="preserve"> </v>
      </c>
      <c r="B38" s="331" t="s">
        <v>31</v>
      </c>
      <c r="C38" s="359"/>
      <c r="D38" s="366"/>
      <c r="E38" s="321"/>
      <c r="F38" s="925"/>
      <c r="G38" s="315"/>
      <c r="H38" s="315"/>
      <c r="I38" s="315"/>
      <c r="J38" s="315"/>
      <c r="K38" s="513"/>
      <c r="L38" s="926"/>
      <c r="M38" s="331"/>
      <c r="N38" s="366"/>
      <c r="O38" s="323"/>
      <c r="P38" s="386"/>
      <c r="Q38" s="323"/>
      <c r="R38" s="366"/>
      <c r="S38" s="378"/>
      <c r="T38" s="324"/>
      <c r="U38" s="386"/>
      <c r="V38" s="386"/>
      <c r="W38" s="386"/>
      <c r="X38" s="386"/>
      <c r="Y38" s="386"/>
      <c r="Z38" s="386"/>
      <c r="AA38" s="386"/>
      <c r="AB38" s="392"/>
      <c r="AC38" s="28"/>
      <c r="AD38" s="28"/>
      <c r="AE38" s="28"/>
      <c r="AF38" s="28"/>
      <c r="AG38" s="28"/>
      <c r="AH38" s="28"/>
      <c r="AI38" s="28"/>
      <c r="AJ38" s="28"/>
    </row>
    <row r="39" spans="1:36" x14ac:dyDescent="0.25">
      <c r="A39" s="298" t="str">
        <f>IF('Kwaliteit conversie'!$D$4='Prijs karton'!C39,"X"," ")</f>
        <v xml:space="preserve"> </v>
      </c>
      <c r="B39" s="331" t="s">
        <v>31</v>
      </c>
      <c r="C39" s="359" t="s">
        <v>278</v>
      </c>
      <c r="D39" s="366">
        <v>0.38500000000000001</v>
      </c>
      <c r="E39" s="321">
        <v>2.8</v>
      </c>
      <c r="F39" s="925">
        <v>0</v>
      </c>
      <c r="G39" s="315">
        <v>33.9</v>
      </c>
      <c r="H39" s="315">
        <v>30.9</v>
      </c>
      <c r="I39" s="315">
        <v>30.4</v>
      </c>
      <c r="J39" s="315">
        <v>30.4</v>
      </c>
      <c r="K39" s="513">
        <v>29.9</v>
      </c>
      <c r="L39" s="926" t="s">
        <v>279</v>
      </c>
      <c r="M39" s="331" t="s">
        <v>257</v>
      </c>
      <c r="N39" s="366" t="s">
        <v>238</v>
      </c>
      <c r="O39" s="323" t="s">
        <v>239</v>
      </c>
      <c r="P39" s="386" t="s">
        <v>239</v>
      </c>
      <c r="Q39" s="323" t="s">
        <v>239</v>
      </c>
      <c r="R39" s="366" t="s">
        <v>239</v>
      </c>
      <c r="S39" s="378" t="s">
        <v>249</v>
      </c>
      <c r="T39" s="324" t="s">
        <v>245</v>
      </c>
      <c r="U39" s="386">
        <v>250</v>
      </c>
      <c r="V39" s="386">
        <v>2450</v>
      </c>
      <c r="W39" s="386">
        <v>500</v>
      </c>
      <c r="X39" s="386">
        <v>6200</v>
      </c>
      <c r="Y39" s="386">
        <v>480</v>
      </c>
      <c r="Z39" s="386">
        <v>240</v>
      </c>
      <c r="AA39" s="386">
        <v>200</v>
      </c>
      <c r="AB39" s="392">
        <v>4.4000000000000004</v>
      </c>
      <c r="AC39" s="28">
        <v>0</v>
      </c>
      <c r="AD39" s="28">
        <v>1</v>
      </c>
      <c r="AE39" s="28">
        <v>1</v>
      </c>
      <c r="AF39" s="28">
        <v>1</v>
      </c>
      <c r="AG39" s="28">
        <v>1</v>
      </c>
      <c r="AH39" s="28">
        <v>1</v>
      </c>
      <c r="AI39" s="28">
        <v>1</v>
      </c>
      <c r="AJ39" s="28">
        <v>1</v>
      </c>
    </row>
    <row r="40" spans="1:36" x14ac:dyDescent="0.25">
      <c r="A40" s="298" t="str">
        <f>IF('Kwaliteit conversie'!$D$4='Prijs karton'!C40,"X"," ")</f>
        <v xml:space="preserve"> </v>
      </c>
      <c r="B40" s="331" t="s">
        <v>31</v>
      </c>
      <c r="C40" s="359" t="s">
        <v>43</v>
      </c>
      <c r="D40" s="366">
        <v>0.45500000000000002</v>
      </c>
      <c r="E40" s="321">
        <v>2.8</v>
      </c>
      <c r="F40" s="925">
        <v>0</v>
      </c>
      <c r="G40" s="315">
        <v>39.4</v>
      </c>
      <c r="H40" s="315">
        <v>36.4</v>
      </c>
      <c r="I40" s="315">
        <v>35.9</v>
      </c>
      <c r="J40" s="315">
        <v>35.9</v>
      </c>
      <c r="K40" s="513">
        <v>35.4</v>
      </c>
      <c r="L40" s="926" t="s">
        <v>280</v>
      </c>
      <c r="M40" s="331" t="s">
        <v>274</v>
      </c>
      <c r="N40" s="366" t="s">
        <v>265</v>
      </c>
      <c r="O40" s="323" t="s">
        <v>239</v>
      </c>
      <c r="P40" s="386" t="s">
        <v>239</v>
      </c>
      <c r="Q40" s="323" t="s">
        <v>239</v>
      </c>
      <c r="R40" s="366" t="s">
        <v>239</v>
      </c>
      <c r="S40" s="378" t="s">
        <v>257</v>
      </c>
      <c r="T40" s="324" t="s">
        <v>245</v>
      </c>
      <c r="U40" s="386">
        <v>250</v>
      </c>
      <c r="V40" s="386">
        <v>2450</v>
      </c>
      <c r="W40" s="386">
        <v>500</v>
      </c>
      <c r="X40" s="386">
        <v>6200</v>
      </c>
      <c r="Y40" s="386">
        <v>480</v>
      </c>
      <c r="Z40" s="386">
        <v>240</v>
      </c>
      <c r="AA40" s="386">
        <v>200</v>
      </c>
      <c r="AB40" s="392">
        <v>5.6</v>
      </c>
      <c r="AC40" s="28">
        <v>10</v>
      </c>
      <c r="AD40" s="28">
        <v>1</v>
      </c>
      <c r="AE40" s="28">
        <v>1</v>
      </c>
      <c r="AF40" s="28">
        <v>1</v>
      </c>
      <c r="AG40" s="28">
        <v>1</v>
      </c>
      <c r="AH40" s="28">
        <v>1</v>
      </c>
      <c r="AI40" s="28">
        <v>1</v>
      </c>
      <c r="AJ40" s="28">
        <v>1</v>
      </c>
    </row>
    <row r="41" spans="1:36" x14ac:dyDescent="0.25">
      <c r="A41" s="298" t="str">
        <f>IF('Kwaliteit conversie'!$D$4='Prijs karton'!C41,"X"," ")</f>
        <v xml:space="preserve"> </v>
      </c>
      <c r="B41" s="331" t="s">
        <v>31</v>
      </c>
      <c r="C41" s="359" t="s">
        <v>281</v>
      </c>
      <c r="D41" s="366">
        <v>0.45</v>
      </c>
      <c r="E41" s="321">
        <v>2.8</v>
      </c>
      <c r="F41" s="925">
        <v>0</v>
      </c>
      <c r="G41" s="315">
        <v>44</v>
      </c>
      <c r="H41" s="315">
        <v>41</v>
      </c>
      <c r="I41" s="315">
        <v>40.5</v>
      </c>
      <c r="J41" s="315">
        <v>40.5</v>
      </c>
      <c r="K41" s="513">
        <v>40</v>
      </c>
      <c r="L41" s="926" t="s">
        <v>282</v>
      </c>
      <c r="M41" s="331" t="s">
        <v>277</v>
      </c>
      <c r="N41" s="366" t="s">
        <v>265</v>
      </c>
      <c r="O41" s="323" t="s">
        <v>239</v>
      </c>
      <c r="P41" s="386" t="s">
        <v>239</v>
      </c>
      <c r="Q41" s="323" t="s">
        <v>239</v>
      </c>
      <c r="R41" s="366" t="s">
        <v>239</v>
      </c>
      <c r="S41" s="378" t="s">
        <v>257</v>
      </c>
      <c r="T41" s="324" t="s">
        <v>245</v>
      </c>
      <c r="U41" s="386">
        <v>250</v>
      </c>
      <c r="V41" s="386">
        <v>2450</v>
      </c>
      <c r="W41" s="386">
        <v>500</v>
      </c>
      <c r="X41" s="386">
        <v>6200</v>
      </c>
      <c r="Y41" s="386">
        <v>480</v>
      </c>
      <c r="Z41" s="386">
        <v>240</v>
      </c>
      <c r="AA41" s="386">
        <v>200</v>
      </c>
      <c r="AB41" s="392">
        <v>5.4</v>
      </c>
      <c r="AC41" s="28">
        <v>0</v>
      </c>
      <c r="AD41" s="28">
        <v>1</v>
      </c>
      <c r="AE41" s="28">
        <v>1</v>
      </c>
      <c r="AF41" s="28">
        <v>1</v>
      </c>
      <c r="AG41" s="28">
        <v>1</v>
      </c>
      <c r="AH41" s="28">
        <v>1</v>
      </c>
      <c r="AI41" s="28">
        <v>1</v>
      </c>
      <c r="AJ41" s="28">
        <v>1</v>
      </c>
    </row>
    <row r="42" spans="1:36" x14ac:dyDescent="0.25">
      <c r="A42" s="298" t="str">
        <f>IF('Kwaliteit conversie'!$D$4='Prijs karton'!C42,"X"," ")</f>
        <v xml:space="preserve"> </v>
      </c>
      <c r="B42" s="331" t="s">
        <v>31</v>
      </c>
      <c r="C42" s="359" t="s">
        <v>283</v>
      </c>
      <c r="D42" s="366">
        <v>0.42499999999999999</v>
      </c>
      <c r="E42" s="321">
        <v>2.2999999999999998</v>
      </c>
      <c r="F42" s="925">
        <v>0</v>
      </c>
      <c r="G42" s="315">
        <v>36.200000000000003</v>
      </c>
      <c r="H42" s="315">
        <v>33.200000000000003</v>
      </c>
      <c r="I42" s="315">
        <v>32.700000000000003</v>
      </c>
      <c r="J42" s="315">
        <v>32.700000000000003</v>
      </c>
      <c r="K42" s="513">
        <v>32.200000000000003</v>
      </c>
      <c r="L42" s="926" t="s">
        <v>284</v>
      </c>
      <c r="M42" s="331" t="s">
        <v>257</v>
      </c>
      <c r="N42" s="366" t="s">
        <v>285</v>
      </c>
      <c r="O42" s="323" t="s">
        <v>239</v>
      </c>
      <c r="P42" s="386" t="s">
        <v>239</v>
      </c>
      <c r="Q42" s="323" t="s">
        <v>239</v>
      </c>
      <c r="R42" s="366" t="s">
        <v>239</v>
      </c>
      <c r="S42" s="378" t="s">
        <v>257</v>
      </c>
      <c r="T42" s="324" t="s">
        <v>245</v>
      </c>
      <c r="U42" s="386">
        <v>250</v>
      </c>
      <c r="V42" s="386">
        <v>2450</v>
      </c>
      <c r="W42" s="386">
        <v>500</v>
      </c>
      <c r="X42" s="386">
        <v>6200</v>
      </c>
      <c r="Y42" s="386">
        <v>480</v>
      </c>
      <c r="Z42" s="386">
        <v>240</v>
      </c>
      <c r="AA42" s="386">
        <v>200</v>
      </c>
      <c r="AB42" s="392">
        <v>5</v>
      </c>
      <c r="AC42" s="28">
        <v>0</v>
      </c>
      <c r="AD42" s="28">
        <v>1</v>
      </c>
      <c r="AE42" s="28">
        <v>1</v>
      </c>
      <c r="AF42" s="28">
        <v>1</v>
      </c>
      <c r="AG42" s="28">
        <v>1</v>
      </c>
      <c r="AH42" s="28">
        <v>1</v>
      </c>
      <c r="AI42" s="28">
        <v>1</v>
      </c>
      <c r="AJ42" s="28">
        <v>1</v>
      </c>
    </row>
    <row r="43" spans="1:36" x14ac:dyDescent="0.25">
      <c r="A43" s="298" t="str">
        <f>IF('Kwaliteit conversie'!$D$4='Prijs karton'!C43,"X"," ")</f>
        <v xml:space="preserve"> </v>
      </c>
      <c r="B43" s="331" t="s">
        <v>31</v>
      </c>
      <c r="C43" s="359" t="s">
        <v>286</v>
      </c>
      <c r="D43" s="366">
        <v>0.43</v>
      </c>
      <c r="E43" s="321">
        <v>2.8</v>
      </c>
      <c r="F43" s="925">
        <v>0</v>
      </c>
      <c r="G43" s="315">
        <v>38.700000000000003</v>
      </c>
      <c r="H43" s="315">
        <v>35.700000000000003</v>
      </c>
      <c r="I43" s="315">
        <v>35.200000000000003</v>
      </c>
      <c r="J43" s="315">
        <v>35.200000000000003</v>
      </c>
      <c r="K43" s="513">
        <v>34.700000000000003</v>
      </c>
      <c r="L43" s="926" t="s">
        <v>287</v>
      </c>
      <c r="M43" s="331" t="s">
        <v>274</v>
      </c>
      <c r="N43" s="366" t="s">
        <v>285</v>
      </c>
      <c r="O43" s="323" t="s">
        <v>239</v>
      </c>
      <c r="P43" s="386" t="s">
        <v>239</v>
      </c>
      <c r="Q43" s="323" t="s">
        <v>239</v>
      </c>
      <c r="R43" s="366" t="s">
        <v>239</v>
      </c>
      <c r="S43" s="378" t="s">
        <v>257</v>
      </c>
      <c r="T43" s="324" t="s">
        <v>245</v>
      </c>
      <c r="U43" s="386">
        <v>250</v>
      </c>
      <c r="V43" s="386">
        <v>2450</v>
      </c>
      <c r="W43" s="386">
        <v>500</v>
      </c>
      <c r="X43" s="386">
        <v>6200</v>
      </c>
      <c r="Y43" s="386">
        <v>480</v>
      </c>
      <c r="Z43" s="386">
        <v>240</v>
      </c>
      <c r="AA43" s="386">
        <v>200</v>
      </c>
      <c r="AB43" s="392">
        <v>5.3</v>
      </c>
      <c r="AC43" s="28">
        <v>0</v>
      </c>
      <c r="AD43" s="28">
        <v>1</v>
      </c>
      <c r="AE43" s="28">
        <v>1</v>
      </c>
      <c r="AF43" s="28">
        <v>1</v>
      </c>
      <c r="AG43" s="28">
        <v>1</v>
      </c>
      <c r="AH43" s="28">
        <v>1</v>
      </c>
      <c r="AI43" s="28">
        <v>1</v>
      </c>
      <c r="AJ43" s="28">
        <v>1</v>
      </c>
    </row>
    <row r="44" spans="1:36" x14ac:dyDescent="0.25">
      <c r="A44" s="298" t="str">
        <f>IF('Kwaliteit conversie'!$D$4='Prijs karton'!C44,"X"," ")</f>
        <v>X</v>
      </c>
      <c r="B44" s="331" t="s">
        <v>31</v>
      </c>
      <c r="C44" s="359" t="s">
        <v>46</v>
      </c>
      <c r="D44" s="366">
        <v>0.45</v>
      </c>
      <c r="E44" s="321">
        <v>2.8</v>
      </c>
      <c r="F44" s="925">
        <v>0</v>
      </c>
      <c r="G44" s="315">
        <v>47.2</v>
      </c>
      <c r="H44" s="315">
        <v>44.2</v>
      </c>
      <c r="I44" s="315">
        <v>43.7</v>
      </c>
      <c r="J44" s="315">
        <v>43.7</v>
      </c>
      <c r="K44" s="513">
        <v>43.2</v>
      </c>
      <c r="L44" s="926" t="s">
        <v>288</v>
      </c>
      <c r="M44" s="331" t="s">
        <v>289</v>
      </c>
      <c r="N44" s="366" t="s">
        <v>265</v>
      </c>
      <c r="O44" s="323" t="s">
        <v>239</v>
      </c>
      <c r="P44" s="386" t="s">
        <v>239</v>
      </c>
      <c r="Q44" s="323" t="s">
        <v>239</v>
      </c>
      <c r="R44" s="366" t="s">
        <v>239</v>
      </c>
      <c r="S44" s="378" t="s">
        <v>257</v>
      </c>
      <c r="T44" s="324" t="s">
        <v>245</v>
      </c>
      <c r="U44" s="386">
        <v>250</v>
      </c>
      <c r="V44" s="386">
        <v>2450</v>
      </c>
      <c r="W44" s="386">
        <v>500</v>
      </c>
      <c r="X44" s="386">
        <v>6000</v>
      </c>
      <c r="Y44" s="386">
        <v>480</v>
      </c>
      <c r="Z44" s="386">
        <v>240</v>
      </c>
      <c r="AA44" s="386">
        <v>200</v>
      </c>
      <c r="AB44" s="392">
        <v>5.3</v>
      </c>
      <c r="AC44" s="28">
        <v>0</v>
      </c>
      <c r="AD44" s="28">
        <v>1</v>
      </c>
      <c r="AE44" s="28">
        <v>1</v>
      </c>
      <c r="AF44" s="28">
        <v>1</v>
      </c>
      <c r="AG44" s="28">
        <v>1</v>
      </c>
      <c r="AH44" s="28">
        <v>1</v>
      </c>
      <c r="AI44" s="28">
        <v>1</v>
      </c>
      <c r="AJ44" s="28">
        <v>1</v>
      </c>
    </row>
    <row r="45" spans="1:36" x14ac:dyDescent="0.25">
      <c r="A45" s="298" t="str">
        <f>IF('Kwaliteit conversie'!$D$4='Prijs karton'!C45,"X"," ")</f>
        <v xml:space="preserve"> </v>
      </c>
      <c r="B45" s="331" t="s">
        <v>31</v>
      </c>
      <c r="C45" s="359"/>
      <c r="D45" s="366"/>
      <c r="E45" s="321"/>
      <c r="F45" s="925"/>
      <c r="G45" s="315"/>
      <c r="H45" s="315"/>
      <c r="I45" s="315"/>
      <c r="J45" s="315"/>
      <c r="K45" s="513"/>
      <c r="L45" s="926"/>
      <c r="M45" s="331"/>
      <c r="N45" s="366"/>
      <c r="O45" s="323"/>
      <c r="P45" s="386"/>
      <c r="Q45" s="323"/>
      <c r="R45" s="366"/>
      <c r="S45" s="378"/>
      <c r="T45" s="324"/>
      <c r="U45" s="386"/>
      <c r="V45" s="386"/>
      <c r="W45" s="386"/>
      <c r="X45" s="386"/>
      <c r="Y45" s="386"/>
      <c r="Z45" s="386"/>
      <c r="AA45" s="386"/>
      <c r="AB45" s="392"/>
      <c r="AC45" s="28"/>
      <c r="AD45" s="28"/>
      <c r="AE45" s="28"/>
      <c r="AF45" s="28"/>
      <c r="AG45" s="28"/>
      <c r="AH45" s="28"/>
      <c r="AI45" s="28"/>
      <c r="AJ45" s="28"/>
    </row>
    <row r="46" spans="1:36" x14ac:dyDescent="0.25">
      <c r="A46" s="298" t="str">
        <f>IF('Kwaliteit conversie'!$D$4='Prijs karton'!C46,"X"," ")</f>
        <v xml:space="preserve"> </v>
      </c>
      <c r="B46" s="331" t="s">
        <v>31</v>
      </c>
      <c r="C46" s="359" t="s">
        <v>290</v>
      </c>
      <c r="D46" s="366">
        <v>0.52</v>
      </c>
      <c r="E46" s="321">
        <v>2.9</v>
      </c>
      <c r="F46" s="925">
        <v>0</v>
      </c>
      <c r="G46" s="315">
        <v>43.4</v>
      </c>
      <c r="H46" s="315">
        <v>40.4</v>
      </c>
      <c r="I46" s="315">
        <v>39.9</v>
      </c>
      <c r="J46" s="315">
        <v>39.9</v>
      </c>
      <c r="K46" s="513">
        <v>39.4</v>
      </c>
      <c r="L46" s="926" t="s">
        <v>291</v>
      </c>
      <c r="M46" s="331" t="s">
        <v>292</v>
      </c>
      <c r="N46" s="366" t="s">
        <v>265</v>
      </c>
      <c r="O46" s="323" t="s">
        <v>239</v>
      </c>
      <c r="P46" s="386" t="s">
        <v>239</v>
      </c>
      <c r="Q46" s="323" t="s">
        <v>239</v>
      </c>
      <c r="R46" s="366" t="s">
        <v>239</v>
      </c>
      <c r="S46" s="378" t="s">
        <v>292</v>
      </c>
      <c r="T46" s="324" t="s">
        <v>245</v>
      </c>
      <c r="U46" s="386">
        <v>250</v>
      </c>
      <c r="V46" s="386">
        <v>2450</v>
      </c>
      <c r="W46" s="386">
        <v>500</v>
      </c>
      <c r="X46" s="386">
        <v>6000</v>
      </c>
      <c r="Y46" s="386">
        <v>480</v>
      </c>
      <c r="Z46" s="386">
        <v>240</v>
      </c>
      <c r="AA46" s="386">
        <v>200</v>
      </c>
      <c r="AB46" s="392">
        <v>6.3</v>
      </c>
      <c r="AC46" s="28">
        <v>0</v>
      </c>
      <c r="AD46" s="28">
        <v>1</v>
      </c>
      <c r="AE46" s="28">
        <v>1</v>
      </c>
      <c r="AF46" s="28">
        <v>1</v>
      </c>
      <c r="AG46" s="28">
        <v>1</v>
      </c>
      <c r="AH46" s="28">
        <v>1</v>
      </c>
      <c r="AI46" s="28">
        <v>1</v>
      </c>
      <c r="AJ46" s="28">
        <v>1</v>
      </c>
    </row>
    <row r="47" spans="1:36" x14ac:dyDescent="0.25">
      <c r="A47" s="298" t="str">
        <f>IF('Kwaliteit conversie'!$D$4='Prijs karton'!C47,"X"," ")</f>
        <v xml:space="preserve"> </v>
      </c>
      <c r="B47" s="331" t="s">
        <v>31</v>
      </c>
      <c r="C47" s="359" t="s">
        <v>44</v>
      </c>
      <c r="D47" s="366">
        <v>0.495</v>
      </c>
      <c r="E47" s="321">
        <v>2.9</v>
      </c>
      <c r="F47" s="925">
        <v>0</v>
      </c>
      <c r="G47" s="315">
        <v>52.5</v>
      </c>
      <c r="H47" s="315">
        <v>49.5</v>
      </c>
      <c r="I47" s="315">
        <v>49</v>
      </c>
      <c r="J47" s="315">
        <v>49</v>
      </c>
      <c r="K47" s="513">
        <v>48.5</v>
      </c>
      <c r="L47" s="926" t="s">
        <v>293</v>
      </c>
      <c r="M47" s="331" t="s">
        <v>294</v>
      </c>
      <c r="N47" s="366" t="s">
        <v>265</v>
      </c>
      <c r="O47" s="323" t="s">
        <v>239</v>
      </c>
      <c r="P47" s="386" t="s">
        <v>239</v>
      </c>
      <c r="Q47" s="323" t="s">
        <v>239</v>
      </c>
      <c r="R47" s="366" t="s">
        <v>239</v>
      </c>
      <c r="S47" s="378" t="s">
        <v>274</v>
      </c>
      <c r="T47" s="324" t="s">
        <v>245</v>
      </c>
      <c r="U47" s="386">
        <v>250</v>
      </c>
      <c r="V47" s="386">
        <v>2450</v>
      </c>
      <c r="W47" s="386">
        <v>500</v>
      </c>
      <c r="X47" s="386">
        <v>6200</v>
      </c>
      <c r="Y47" s="386">
        <v>480</v>
      </c>
      <c r="Z47" s="386">
        <v>240</v>
      </c>
      <c r="AA47" s="386">
        <v>200</v>
      </c>
      <c r="AB47" s="392">
        <v>6.2</v>
      </c>
      <c r="AC47" s="28">
        <v>0</v>
      </c>
      <c r="AD47" s="28">
        <v>1</v>
      </c>
      <c r="AE47" s="28">
        <v>1</v>
      </c>
      <c r="AF47" s="28">
        <v>1</v>
      </c>
      <c r="AG47" s="28">
        <v>1</v>
      </c>
      <c r="AH47" s="28">
        <v>1</v>
      </c>
      <c r="AI47" s="28">
        <v>1</v>
      </c>
      <c r="AJ47" s="28">
        <v>1</v>
      </c>
    </row>
    <row r="48" spans="1:36" x14ac:dyDescent="0.25">
      <c r="A48" s="298" t="str">
        <f>IF('Kwaliteit conversie'!$D$4='Prijs karton'!C48,"X"," ")</f>
        <v xml:space="preserve"> </v>
      </c>
      <c r="B48" s="331" t="s">
        <v>31</v>
      </c>
      <c r="C48" s="359" t="s">
        <v>295</v>
      </c>
      <c r="D48" s="366">
        <v>0.495</v>
      </c>
      <c r="E48" s="321">
        <v>2.9</v>
      </c>
      <c r="F48" s="925">
        <v>0</v>
      </c>
      <c r="G48" s="315">
        <v>50</v>
      </c>
      <c r="H48" s="315">
        <v>47</v>
      </c>
      <c r="I48" s="315">
        <v>46.5</v>
      </c>
      <c r="J48" s="315">
        <v>46.5</v>
      </c>
      <c r="K48" s="513">
        <v>46</v>
      </c>
      <c r="L48" s="926" t="s">
        <v>296</v>
      </c>
      <c r="M48" s="331" t="s">
        <v>297</v>
      </c>
      <c r="N48" s="366" t="s">
        <v>265</v>
      </c>
      <c r="O48" s="323" t="s">
        <v>239</v>
      </c>
      <c r="P48" s="386" t="s">
        <v>239</v>
      </c>
      <c r="Q48" s="323" t="s">
        <v>239</v>
      </c>
      <c r="R48" s="366" t="s">
        <v>239</v>
      </c>
      <c r="S48" s="378" t="s">
        <v>274</v>
      </c>
      <c r="T48" s="324" t="s">
        <v>245</v>
      </c>
      <c r="U48" s="386">
        <v>250</v>
      </c>
      <c r="V48" s="386">
        <v>2450</v>
      </c>
      <c r="W48" s="386">
        <v>500</v>
      </c>
      <c r="X48" s="386">
        <v>6200</v>
      </c>
      <c r="Y48" s="386">
        <v>480</v>
      </c>
      <c r="Z48" s="386">
        <v>240</v>
      </c>
      <c r="AA48" s="386">
        <v>200</v>
      </c>
      <c r="AB48" s="392">
        <v>6.5</v>
      </c>
      <c r="AC48" s="28">
        <v>0</v>
      </c>
      <c r="AD48" s="28">
        <v>1</v>
      </c>
      <c r="AE48" s="28">
        <v>1</v>
      </c>
      <c r="AF48" s="28">
        <v>1</v>
      </c>
      <c r="AG48" s="28">
        <v>1</v>
      </c>
      <c r="AH48" s="28">
        <v>1</v>
      </c>
      <c r="AI48" s="28">
        <v>1</v>
      </c>
      <c r="AJ48" s="28">
        <v>1</v>
      </c>
    </row>
    <row r="49" spans="1:36" x14ac:dyDescent="0.25">
      <c r="A49" s="298" t="str">
        <f>IF('Kwaliteit conversie'!$D$4='Prijs karton'!C49,"X"," ")</f>
        <v xml:space="preserve"> </v>
      </c>
      <c r="B49" s="331" t="s">
        <v>31</v>
      </c>
      <c r="C49" s="359" t="s">
        <v>298</v>
      </c>
      <c r="D49" s="366">
        <v>0.47099999999999997</v>
      </c>
      <c r="E49" s="321">
        <v>3</v>
      </c>
      <c r="F49" s="925">
        <v>0</v>
      </c>
      <c r="G49" s="315">
        <v>56.5</v>
      </c>
      <c r="H49" s="315">
        <v>53.5</v>
      </c>
      <c r="I49" s="315">
        <v>53.5</v>
      </c>
      <c r="J49" s="315">
        <v>51.5</v>
      </c>
      <c r="K49" s="513">
        <v>51.5</v>
      </c>
      <c r="L49" s="926" t="s">
        <v>299</v>
      </c>
      <c r="M49" s="331" t="s">
        <v>300</v>
      </c>
      <c r="N49" s="366" t="s">
        <v>238</v>
      </c>
      <c r="O49" s="323" t="s">
        <v>239</v>
      </c>
      <c r="P49" s="386" t="s">
        <v>239</v>
      </c>
      <c r="Q49" s="323" t="s">
        <v>239</v>
      </c>
      <c r="R49" s="366" t="s">
        <v>239</v>
      </c>
      <c r="S49" s="378" t="s">
        <v>301</v>
      </c>
      <c r="T49" s="324" t="s">
        <v>240</v>
      </c>
      <c r="U49" s="386">
        <v>240</v>
      </c>
      <c r="V49" s="386">
        <v>2450</v>
      </c>
      <c r="W49" s="386">
        <v>500</v>
      </c>
      <c r="X49" s="386">
        <v>6000</v>
      </c>
      <c r="Y49" s="386">
        <v>125</v>
      </c>
      <c r="Z49" s="386">
        <v>125</v>
      </c>
      <c r="AA49" s="386">
        <v>200</v>
      </c>
      <c r="AB49" s="392">
        <v>5.74</v>
      </c>
      <c r="AC49" s="28">
        <v>0</v>
      </c>
      <c r="AD49" s="28">
        <v>1</v>
      </c>
      <c r="AE49" s="28">
        <v>1</v>
      </c>
      <c r="AF49" s="28">
        <v>1</v>
      </c>
      <c r="AG49" s="28">
        <v>1</v>
      </c>
      <c r="AH49" s="28">
        <v>1</v>
      </c>
      <c r="AI49" s="28">
        <v>1</v>
      </c>
      <c r="AJ49" s="28">
        <v>1</v>
      </c>
    </row>
    <row r="50" spans="1:36" x14ac:dyDescent="0.25">
      <c r="A50" s="298" t="str">
        <f>IF('Kwaliteit conversie'!$D$4='Prijs karton'!C50,"X"," ")</f>
        <v xml:space="preserve"> </v>
      </c>
      <c r="B50" s="331" t="s">
        <v>31</v>
      </c>
      <c r="C50" s="359"/>
      <c r="D50" s="366"/>
      <c r="E50" s="321"/>
      <c r="F50" s="925"/>
      <c r="G50" s="315"/>
      <c r="H50" s="315"/>
      <c r="I50" s="315"/>
      <c r="J50" s="315"/>
      <c r="K50" s="513"/>
      <c r="L50" s="926"/>
      <c r="M50" s="331"/>
      <c r="N50" s="366"/>
      <c r="O50" s="323" t="s">
        <v>239</v>
      </c>
      <c r="P50" s="386" t="s">
        <v>239</v>
      </c>
      <c r="Q50" s="323" t="s">
        <v>239</v>
      </c>
      <c r="R50" s="366" t="s">
        <v>239</v>
      </c>
      <c r="S50" s="378"/>
      <c r="T50" s="324"/>
      <c r="U50" s="386"/>
      <c r="V50" s="386"/>
      <c r="W50" s="386"/>
      <c r="X50" s="386"/>
      <c r="Y50" s="386"/>
      <c r="Z50" s="386"/>
      <c r="AA50" s="386"/>
      <c r="AB50" s="392"/>
      <c r="AC50" s="28"/>
      <c r="AD50" s="28"/>
      <c r="AE50" s="28"/>
      <c r="AF50" s="28"/>
      <c r="AG50" s="28"/>
      <c r="AH50" s="28"/>
      <c r="AI50" s="28"/>
      <c r="AJ50" s="28"/>
    </row>
    <row r="51" spans="1:36" x14ac:dyDescent="0.25">
      <c r="A51" s="298" t="str">
        <f>IF('Kwaliteit conversie'!$D$4='Prijs karton'!C51,"X"," ")</f>
        <v xml:space="preserve"> </v>
      </c>
      <c r="B51" s="331" t="s">
        <v>31</v>
      </c>
      <c r="C51" s="359"/>
      <c r="D51" s="366"/>
      <c r="E51" s="321"/>
      <c r="F51" s="925"/>
      <c r="G51" s="315"/>
      <c r="H51" s="315"/>
      <c r="I51" s="315"/>
      <c r="J51" s="315"/>
      <c r="K51" s="513"/>
      <c r="L51" s="926"/>
      <c r="M51" s="331"/>
      <c r="N51" s="366"/>
      <c r="O51" s="323" t="s">
        <v>239</v>
      </c>
      <c r="P51" s="386" t="s">
        <v>239</v>
      </c>
      <c r="Q51" s="323" t="s">
        <v>239</v>
      </c>
      <c r="R51" s="366" t="s">
        <v>239</v>
      </c>
      <c r="S51" s="378"/>
      <c r="T51" s="324"/>
      <c r="U51" s="386"/>
      <c r="V51" s="386"/>
      <c r="W51" s="386"/>
      <c r="X51" s="386"/>
      <c r="Y51" s="386"/>
      <c r="Z51" s="386"/>
      <c r="AA51" s="386"/>
      <c r="AB51" s="392"/>
      <c r="AC51" s="28"/>
      <c r="AD51" s="28"/>
      <c r="AE51" s="28"/>
      <c r="AF51" s="28"/>
      <c r="AG51" s="28"/>
      <c r="AH51" s="28"/>
      <c r="AI51" s="28"/>
      <c r="AJ51" s="28"/>
    </row>
    <row r="52" spans="1:36" x14ac:dyDescent="0.25">
      <c r="A52" s="298" t="str">
        <f>IF('Kwaliteit conversie'!$D$4='Prijs karton'!C52,"X"," ")</f>
        <v xml:space="preserve"> </v>
      </c>
      <c r="B52" s="331" t="s">
        <v>31</v>
      </c>
      <c r="C52" s="359" t="s">
        <v>302</v>
      </c>
      <c r="D52" s="366">
        <v>0.39500000000000002</v>
      </c>
      <c r="E52" s="321">
        <v>2.8</v>
      </c>
      <c r="F52" s="925">
        <v>0</v>
      </c>
      <c r="G52" s="315">
        <v>43.2</v>
      </c>
      <c r="H52" s="315">
        <v>40.200000000000003</v>
      </c>
      <c r="I52" s="315">
        <v>39.700000000000003</v>
      </c>
      <c r="J52" s="315">
        <v>39.700000000000003</v>
      </c>
      <c r="K52" s="513">
        <v>39.200000000000003</v>
      </c>
      <c r="L52" s="926" t="s">
        <v>303</v>
      </c>
      <c r="M52" s="331" t="s">
        <v>289</v>
      </c>
      <c r="N52" s="366" t="s">
        <v>244</v>
      </c>
      <c r="O52" s="323" t="s">
        <v>239</v>
      </c>
      <c r="P52" s="386" t="s">
        <v>239</v>
      </c>
      <c r="Q52" s="323" t="s">
        <v>239</v>
      </c>
      <c r="R52" s="366" t="s">
        <v>239</v>
      </c>
      <c r="S52" s="378" t="s">
        <v>257</v>
      </c>
      <c r="T52" s="324" t="s">
        <v>245</v>
      </c>
      <c r="U52" s="386">
        <v>250</v>
      </c>
      <c r="V52" s="386">
        <v>2450</v>
      </c>
      <c r="W52" s="386">
        <v>500</v>
      </c>
      <c r="X52" s="386">
        <v>6200</v>
      </c>
      <c r="Y52" s="386">
        <v>480</v>
      </c>
      <c r="Z52" s="386">
        <v>240</v>
      </c>
      <c r="AA52" s="386">
        <v>200</v>
      </c>
      <c r="AB52" s="392">
        <v>4.4000000000000004</v>
      </c>
      <c r="AC52" s="28">
        <v>0</v>
      </c>
      <c r="AD52" s="28">
        <v>1</v>
      </c>
      <c r="AE52" s="28">
        <v>1</v>
      </c>
      <c r="AF52" s="28">
        <v>1</v>
      </c>
      <c r="AG52" s="28">
        <v>1</v>
      </c>
      <c r="AH52" s="28">
        <v>1</v>
      </c>
      <c r="AI52" s="28">
        <v>1</v>
      </c>
      <c r="AJ52" s="28">
        <v>1</v>
      </c>
    </row>
    <row r="53" spans="1:36" x14ac:dyDescent="0.25">
      <c r="A53" s="298" t="str">
        <f>IF('Kwaliteit conversie'!$D$4='Prijs karton'!C53,"X"," ")</f>
        <v xml:space="preserve"> </v>
      </c>
      <c r="B53" s="331" t="s">
        <v>31</v>
      </c>
      <c r="C53" s="359" t="s">
        <v>304</v>
      </c>
      <c r="D53" s="366">
        <v>0.45</v>
      </c>
      <c r="E53" s="321">
        <v>2.8</v>
      </c>
      <c r="F53" s="925">
        <v>0</v>
      </c>
      <c r="G53" s="315">
        <v>43.5</v>
      </c>
      <c r="H53" s="315">
        <v>40.5</v>
      </c>
      <c r="I53" s="315">
        <v>40</v>
      </c>
      <c r="J53" s="315">
        <v>40</v>
      </c>
      <c r="K53" s="513">
        <v>39.5</v>
      </c>
      <c r="L53" s="926" t="s">
        <v>305</v>
      </c>
      <c r="M53" s="331" t="s">
        <v>269</v>
      </c>
      <c r="N53" s="366" t="s">
        <v>265</v>
      </c>
      <c r="O53" s="323" t="s">
        <v>239</v>
      </c>
      <c r="P53" s="386" t="s">
        <v>239</v>
      </c>
      <c r="Q53" s="323" t="s">
        <v>239</v>
      </c>
      <c r="R53" s="366" t="s">
        <v>239</v>
      </c>
      <c r="S53" s="378" t="s">
        <v>306</v>
      </c>
      <c r="T53" s="324" t="s">
        <v>245</v>
      </c>
      <c r="U53" s="386">
        <v>250</v>
      </c>
      <c r="V53" s="386">
        <v>2450</v>
      </c>
      <c r="W53" s="386">
        <v>500</v>
      </c>
      <c r="X53" s="386">
        <v>6200</v>
      </c>
      <c r="Y53" s="386">
        <v>480</v>
      </c>
      <c r="Z53" s="386">
        <v>240</v>
      </c>
      <c r="AA53" s="386">
        <v>200</v>
      </c>
      <c r="AB53" s="392">
        <v>4.8</v>
      </c>
      <c r="AC53" s="28">
        <v>0</v>
      </c>
      <c r="AD53" s="28">
        <v>1</v>
      </c>
      <c r="AE53" s="28">
        <v>1</v>
      </c>
      <c r="AF53" s="28">
        <v>1</v>
      </c>
      <c r="AG53" s="28">
        <v>1</v>
      </c>
      <c r="AH53" s="28">
        <v>1</v>
      </c>
      <c r="AI53" s="28">
        <v>1</v>
      </c>
      <c r="AJ53" s="28">
        <v>1</v>
      </c>
    </row>
    <row r="54" spans="1:36" x14ac:dyDescent="0.25">
      <c r="A54" s="298" t="str">
        <f>IF('Kwaliteit conversie'!$D$4='Prijs karton'!C54,"X"," ")</f>
        <v xml:space="preserve"> </v>
      </c>
      <c r="B54" s="331" t="s">
        <v>31</v>
      </c>
      <c r="C54" s="359" t="s">
        <v>307</v>
      </c>
      <c r="D54" s="366">
        <v>0.40500000000000003</v>
      </c>
      <c r="E54" s="321">
        <v>2.8</v>
      </c>
      <c r="F54" s="925">
        <v>0</v>
      </c>
      <c r="G54" s="315">
        <v>40.5</v>
      </c>
      <c r="H54" s="315">
        <v>37.5</v>
      </c>
      <c r="I54" s="315">
        <v>37</v>
      </c>
      <c r="J54" s="315">
        <v>37</v>
      </c>
      <c r="K54" s="513">
        <v>36.5</v>
      </c>
      <c r="L54" s="926" t="s">
        <v>308</v>
      </c>
      <c r="M54" s="331" t="s">
        <v>269</v>
      </c>
      <c r="N54" s="366" t="s">
        <v>238</v>
      </c>
      <c r="O54" s="323" t="s">
        <v>239</v>
      </c>
      <c r="P54" s="386" t="s">
        <v>239</v>
      </c>
      <c r="Q54" s="323" t="s">
        <v>239</v>
      </c>
      <c r="R54" s="366" t="s">
        <v>239</v>
      </c>
      <c r="S54" s="378" t="s">
        <v>306</v>
      </c>
      <c r="T54" s="324" t="s">
        <v>245</v>
      </c>
      <c r="U54" s="386">
        <v>250</v>
      </c>
      <c r="V54" s="386">
        <v>2450</v>
      </c>
      <c r="W54" s="386">
        <v>500</v>
      </c>
      <c r="X54" s="386">
        <v>6200</v>
      </c>
      <c r="Y54" s="386">
        <v>480</v>
      </c>
      <c r="Z54" s="386">
        <v>240</v>
      </c>
      <c r="AA54" s="386">
        <v>200</v>
      </c>
      <c r="AB54" s="392">
        <v>4.3</v>
      </c>
      <c r="AC54" s="28">
        <v>0</v>
      </c>
      <c r="AD54" s="28">
        <v>1</v>
      </c>
      <c r="AE54" s="28">
        <v>1</v>
      </c>
      <c r="AF54" s="28">
        <v>1</v>
      </c>
      <c r="AG54" s="28">
        <v>1</v>
      </c>
      <c r="AH54" s="28">
        <v>1</v>
      </c>
      <c r="AI54" s="28">
        <v>1</v>
      </c>
      <c r="AJ54" s="28">
        <v>1</v>
      </c>
    </row>
    <row r="55" spans="1:36" x14ac:dyDescent="0.25">
      <c r="A55" s="298" t="str">
        <f>IF('Kwaliteit conversie'!$D$4='Prijs karton'!C55,"X"," ")</f>
        <v xml:space="preserve"> </v>
      </c>
      <c r="B55" s="331" t="s">
        <v>31</v>
      </c>
      <c r="C55" s="359" t="s">
        <v>309</v>
      </c>
      <c r="D55" s="366">
        <v>0.376</v>
      </c>
      <c r="E55" s="321">
        <v>2.83</v>
      </c>
      <c r="F55" s="925">
        <v>0</v>
      </c>
      <c r="G55" s="315">
        <v>53.6</v>
      </c>
      <c r="H55" s="315">
        <v>50.6</v>
      </c>
      <c r="I55" s="315">
        <v>50.6</v>
      </c>
      <c r="J55" s="315">
        <v>48.6</v>
      </c>
      <c r="K55" s="513">
        <v>48.6</v>
      </c>
      <c r="L55" s="926" t="s">
        <v>310</v>
      </c>
      <c r="M55" s="331" t="s">
        <v>289</v>
      </c>
      <c r="N55" s="366" t="s">
        <v>238</v>
      </c>
      <c r="O55" s="323" t="s">
        <v>239</v>
      </c>
      <c r="P55" s="386" t="s">
        <v>239</v>
      </c>
      <c r="Q55" s="323" t="s">
        <v>239</v>
      </c>
      <c r="R55" s="366" t="s">
        <v>239</v>
      </c>
      <c r="S55" s="378" t="s">
        <v>311</v>
      </c>
      <c r="T55" s="324" t="s">
        <v>240</v>
      </c>
      <c r="U55" s="386">
        <v>240</v>
      </c>
      <c r="V55" s="386">
        <v>2450</v>
      </c>
      <c r="W55" s="386">
        <v>500</v>
      </c>
      <c r="X55" s="386">
        <v>6000</v>
      </c>
      <c r="Y55" s="386">
        <v>125</v>
      </c>
      <c r="Z55" s="386">
        <v>125</v>
      </c>
      <c r="AA55" s="386">
        <v>200</v>
      </c>
      <c r="AB55" s="392">
        <v>4.7699999999999996</v>
      </c>
      <c r="AC55" s="28">
        <v>0</v>
      </c>
      <c r="AD55" s="28">
        <v>1</v>
      </c>
      <c r="AE55" s="28">
        <v>1</v>
      </c>
      <c r="AF55" s="28">
        <v>1</v>
      </c>
      <c r="AG55" s="28">
        <v>1</v>
      </c>
      <c r="AH55" s="28">
        <v>1</v>
      </c>
      <c r="AI55" s="28">
        <v>1</v>
      </c>
      <c r="AJ55" s="28">
        <v>1</v>
      </c>
    </row>
    <row r="56" spans="1:36" x14ac:dyDescent="0.25">
      <c r="A56" s="298" t="str">
        <f>IF('Kwaliteit conversie'!$D$4='Prijs karton'!C56,"X"," ")</f>
        <v xml:space="preserve"> </v>
      </c>
      <c r="B56" s="331" t="s">
        <v>31</v>
      </c>
      <c r="C56" s="359" t="s">
        <v>312</v>
      </c>
      <c r="D56" s="366">
        <v>0.40100000000000002</v>
      </c>
      <c r="E56" s="321">
        <v>2.82</v>
      </c>
      <c r="F56" s="925">
        <v>0</v>
      </c>
      <c r="G56" s="315" t="s">
        <v>239</v>
      </c>
      <c r="H56" s="315">
        <v>57.4</v>
      </c>
      <c r="I56" s="315">
        <v>57.4</v>
      </c>
      <c r="J56" s="315">
        <v>55.4</v>
      </c>
      <c r="K56" s="513">
        <v>55.4</v>
      </c>
      <c r="L56" s="926" t="s">
        <v>313</v>
      </c>
      <c r="M56" s="331" t="s">
        <v>289</v>
      </c>
      <c r="N56" s="366" t="s">
        <v>238</v>
      </c>
      <c r="O56" s="323" t="s">
        <v>239</v>
      </c>
      <c r="P56" s="386" t="s">
        <v>239</v>
      </c>
      <c r="Q56" s="323" t="s">
        <v>239</v>
      </c>
      <c r="R56" s="366" t="s">
        <v>239</v>
      </c>
      <c r="S56" s="378" t="s">
        <v>289</v>
      </c>
      <c r="T56" s="324" t="s">
        <v>240</v>
      </c>
      <c r="U56" s="386">
        <v>240</v>
      </c>
      <c r="V56" s="386">
        <v>2450</v>
      </c>
      <c r="W56" s="386">
        <v>500</v>
      </c>
      <c r="X56" s="386">
        <v>6000</v>
      </c>
      <c r="Y56" s="386">
        <v>125</v>
      </c>
      <c r="Z56" s="386">
        <v>125</v>
      </c>
      <c r="AA56" s="386">
        <v>500</v>
      </c>
      <c r="AB56" s="392">
        <v>5.51</v>
      </c>
      <c r="AC56" s="28">
        <v>0</v>
      </c>
      <c r="AD56" s="28">
        <v>1</v>
      </c>
      <c r="AE56" s="28">
        <v>1</v>
      </c>
      <c r="AF56" s="28">
        <v>1</v>
      </c>
      <c r="AG56" s="28">
        <v>1</v>
      </c>
      <c r="AH56" s="28">
        <v>1</v>
      </c>
      <c r="AI56" s="28">
        <v>1</v>
      </c>
      <c r="AJ56" s="28">
        <v>1</v>
      </c>
    </row>
    <row r="57" spans="1:36" x14ac:dyDescent="0.25">
      <c r="A57" s="298" t="str">
        <f>IF('Kwaliteit conversie'!$D$4='Prijs karton'!C57,"X"," ")</f>
        <v xml:space="preserve"> </v>
      </c>
      <c r="B57" s="331" t="s">
        <v>31</v>
      </c>
      <c r="C57" s="359"/>
      <c r="D57" s="366"/>
      <c r="E57" s="321"/>
      <c r="F57" s="925"/>
      <c r="G57" s="315"/>
      <c r="H57" s="315"/>
      <c r="I57" s="315"/>
      <c r="J57" s="315"/>
      <c r="K57" s="513"/>
      <c r="L57" s="926"/>
      <c r="M57" s="331"/>
      <c r="N57" s="366"/>
      <c r="O57" s="323"/>
      <c r="P57" s="386"/>
      <c r="Q57" s="323"/>
      <c r="R57" s="366"/>
      <c r="S57" s="378"/>
      <c r="T57" s="324"/>
      <c r="U57" s="386"/>
      <c r="V57" s="386"/>
      <c r="W57" s="386"/>
      <c r="X57" s="386"/>
      <c r="Y57" s="386"/>
      <c r="Z57" s="386"/>
      <c r="AA57" s="386"/>
      <c r="AB57" s="392"/>
      <c r="AC57" s="28"/>
      <c r="AD57" s="28"/>
      <c r="AE57" s="28"/>
      <c r="AF57" s="28"/>
      <c r="AG57" s="28"/>
      <c r="AH57" s="28"/>
      <c r="AI57" s="28"/>
      <c r="AJ57" s="28"/>
    </row>
    <row r="58" spans="1:36" x14ac:dyDescent="0.25">
      <c r="A58" s="298" t="str">
        <f>IF('Kwaliteit conversie'!$D$4='Prijs karton'!C58,"X"," ")</f>
        <v xml:space="preserve"> </v>
      </c>
      <c r="B58" s="331" t="s">
        <v>31</v>
      </c>
      <c r="C58" s="359" t="s">
        <v>1360</v>
      </c>
      <c r="D58" s="366">
        <v>0.38500000000000001</v>
      </c>
      <c r="E58" s="321">
        <v>2.75</v>
      </c>
      <c r="F58" s="925">
        <v>0</v>
      </c>
      <c r="G58" s="315">
        <v>35.9</v>
      </c>
      <c r="H58" s="315">
        <v>34.5</v>
      </c>
      <c r="I58" s="315">
        <v>34.299999999999997</v>
      </c>
      <c r="J58" s="315">
        <v>34.1</v>
      </c>
      <c r="K58" s="513">
        <v>34.1</v>
      </c>
      <c r="L58" s="926" t="s">
        <v>1361</v>
      </c>
      <c r="M58" s="331" t="s">
        <v>1362</v>
      </c>
      <c r="N58" s="366" t="s">
        <v>238</v>
      </c>
      <c r="O58" s="323" t="s">
        <v>239</v>
      </c>
      <c r="P58" s="386" t="s">
        <v>239</v>
      </c>
      <c r="Q58" s="323" t="s">
        <v>239</v>
      </c>
      <c r="R58" s="366" t="s">
        <v>239</v>
      </c>
      <c r="S58" s="378" t="s">
        <v>1363</v>
      </c>
      <c r="T58" s="324" t="s">
        <v>1364</v>
      </c>
      <c r="U58" s="386">
        <v>250</v>
      </c>
      <c r="V58" s="386">
        <v>2450</v>
      </c>
      <c r="W58" s="386">
        <v>600</v>
      </c>
      <c r="X58" s="386">
        <v>6000</v>
      </c>
      <c r="Y58" s="386">
        <v>290</v>
      </c>
      <c r="Z58" s="386">
        <v>145</v>
      </c>
      <c r="AA58" s="386">
        <v>200</v>
      </c>
      <c r="AB58" s="392">
        <v>5</v>
      </c>
      <c r="AC58" s="28">
        <v>0</v>
      </c>
      <c r="AD58" s="28">
        <v>1</v>
      </c>
      <c r="AE58" s="28">
        <v>1</v>
      </c>
      <c r="AF58" s="28">
        <v>1</v>
      </c>
      <c r="AG58" s="28">
        <v>1</v>
      </c>
      <c r="AH58" s="28">
        <v>1</v>
      </c>
      <c r="AI58" s="28">
        <v>1</v>
      </c>
      <c r="AJ58" s="28">
        <v>1</v>
      </c>
    </row>
    <row r="59" spans="1:36" x14ac:dyDescent="0.25">
      <c r="A59" s="298" t="str">
        <f>IF('Kwaliteit conversie'!$D$4='Prijs karton'!C59,"X"," ")</f>
        <v xml:space="preserve"> </v>
      </c>
      <c r="B59" s="331" t="s">
        <v>31</v>
      </c>
      <c r="C59" s="359" t="s">
        <v>1365</v>
      </c>
      <c r="D59" s="366">
        <v>0.44</v>
      </c>
      <c r="E59" s="321">
        <v>2.8</v>
      </c>
      <c r="F59" s="925">
        <v>0</v>
      </c>
      <c r="G59" s="315">
        <v>39.299999999999997</v>
      </c>
      <c r="H59" s="315">
        <v>38</v>
      </c>
      <c r="I59" s="315">
        <v>37.799999999999997</v>
      </c>
      <c r="J59" s="315">
        <v>37.5</v>
      </c>
      <c r="K59" s="513">
        <v>37.5</v>
      </c>
      <c r="L59" s="926" t="s">
        <v>1366</v>
      </c>
      <c r="M59" s="331" t="s">
        <v>277</v>
      </c>
      <c r="N59" s="366" t="s">
        <v>238</v>
      </c>
      <c r="O59" s="323" t="s">
        <v>239</v>
      </c>
      <c r="P59" s="386" t="s">
        <v>239</v>
      </c>
      <c r="Q59" s="323" t="s">
        <v>239</v>
      </c>
      <c r="R59" s="366" t="s">
        <v>239</v>
      </c>
      <c r="S59" s="378" t="s">
        <v>1367</v>
      </c>
      <c r="T59" s="324" t="s">
        <v>1364</v>
      </c>
      <c r="U59" s="386">
        <v>250</v>
      </c>
      <c r="V59" s="386">
        <v>2450</v>
      </c>
      <c r="W59" s="386">
        <v>600</v>
      </c>
      <c r="X59" s="386">
        <v>6000</v>
      </c>
      <c r="Y59" s="386">
        <v>290</v>
      </c>
      <c r="Z59" s="386">
        <v>145</v>
      </c>
      <c r="AA59" s="386">
        <v>200</v>
      </c>
      <c r="AB59" s="392">
        <v>5.3</v>
      </c>
      <c r="AC59" s="28">
        <v>0</v>
      </c>
      <c r="AD59" s="28">
        <v>1</v>
      </c>
      <c r="AE59" s="28">
        <v>1</v>
      </c>
      <c r="AF59" s="28">
        <v>1</v>
      </c>
      <c r="AG59" s="28">
        <v>1</v>
      </c>
      <c r="AH59" s="28">
        <v>1</v>
      </c>
      <c r="AI59" s="28">
        <v>1</v>
      </c>
      <c r="AJ59" s="28">
        <v>1</v>
      </c>
    </row>
    <row r="60" spans="1:36" x14ac:dyDescent="0.25">
      <c r="A60" s="298" t="str">
        <f>IF('Kwaliteit conversie'!$D$4='Prijs karton'!C60,"X"," ")</f>
        <v xml:space="preserve"> </v>
      </c>
      <c r="B60" s="331" t="s">
        <v>31</v>
      </c>
      <c r="C60" s="359" t="s">
        <v>1368</v>
      </c>
      <c r="D60" s="366">
        <v>0.42499999999999999</v>
      </c>
      <c r="E60" s="321">
        <v>2.74</v>
      </c>
      <c r="F60" s="925">
        <v>0</v>
      </c>
      <c r="G60" s="315">
        <v>46.5</v>
      </c>
      <c r="H60" s="315">
        <v>45</v>
      </c>
      <c r="I60" s="315">
        <v>44.8</v>
      </c>
      <c r="J60" s="315">
        <v>44.5</v>
      </c>
      <c r="K60" s="513">
        <v>44.5</v>
      </c>
      <c r="L60" s="926" t="s">
        <v>1369</v>
      </c>
      <c r="M60" s="331" t="s">
        <v>289</v>
      </c>
      <c r="N60" s="366" t="s">
        <v>238</v>
      </c>
      <c r="O60" s="323" t="s">
        <v>239</v>
      </c>
      <c r="P60" s="386" t="s">
        <v>239</v>
      </c>
      <c r="Q60" s="323" t="s">
        <v>239</v>
      </c>
      <c r="R60" s="366" t="s">
        <v>239</v>
      </c>
      <c r="S60" s="378" t="s">
        <v>1367</v>
      </c>
      <c r="T60" s="324" t="s">
        <v>1364</v>
      </c>
      <c r="U60" s="386">
        <v>250</v>
      </c>
      <c r="V60" s="386">
        <v>2450</v>
      </c>
      <c r="W60" s="386">
        <v>600</v>
      </c>
      <c r="X60" s="386">
        <v>6000</v>
      </c>
      <c r="Y60" s="386">
        <v>290</v>
      </c>
      <c r="Z60" s="386">
        <v>145</v>
      </c>
      <c r="AA60" s="386">
        <v>200</v>
      </c>
      <c r="AB60" s="392">
        <v>5.21</v>
      </c>
      <c r="AC60" s="28">
        <v>0</v>
      </c>
      <c r="AD60" s="28">
        <v>1</v>
      </c>
      <c r="AE60" s="28">
        <v>1</v>
      </c>
      <c r="AF60" s="28">
        <v>1</v>
      </c>
      <c r="AG60" s="28">
        <v>1</v>
      </c>
      <c r="AH60" s="28">
        <v>1</v>
      </c>
      <c r="AI60" s="28">
        <v>1</v>
      </c>
      <c r="AJ60" s="28">
        <v>1</v>
      </c>
    </row>
    <row r="61" spans="1:36" x14ac:dyDescent="0.25">
      <c r="A61" s="298" t="str">
        <f>IF('Kwaliteit conversie'!$D$4='Prijs karton'!C61,"X"," ")</f>
        <v xml:space="preserve"> </v>
      </c>
      <c r="B61" s="331" t="s">
        <v>31</v>
      </c>
      <c r="C61" s="359" t="s">
        <v>1370</v>
      </c>
      <c r="D61" s="366">
        <v>0.48199999999999998</v>
      </c>
      <c r="E61" s="321">
        <v>2.82</v>
      </c>
      <c r="F61" s="925">
        <v>0</v>
      </c>
      <c r="G61" s="315">
        <v>49.9</v>
      </c>
      <c r="H61" s="315">
        <v>48.4</v>
      </c>
      <c r="I61" s="315">
        <v>48.1</v>
      </c>
      <c r="J61" s="315">
        <v>47.8</v>
      </c>
      <c r="K61" s="513">
        <v>47.8</v>
      </c>
      <c r="L61" s="926" t="s">
        <v>1371</v>
      </c>
      <c r="M61" s="331" t="s">
        <v>1372</v>
      </c>
      <c r="N61" s="366" t="s">
        <v>265</v>
      </c>
      <c r="O61" s="323" t="s">
        <v>239</v>
      </c>
      <c r="P61" s="386" t="s">
        <v>239</v>
      </c>
      <c r="Q61" s="323" t="s">
        <v>239</v>
      </c>
      <c r="R61" s="366" t="s">
        <v>239</v>
      </c>
      <c r="S61" s="378" t="s">
        <v>1363</v>
      </c>
      <c r="T61" s="324" t="s">
        <v>1364</v>
      </c>
      <c r="U61" s="386">
        <v>250</v>
      </c>
      <c r="V61" s="386">
        <v>2450</v>
      </c>
      <c r="W61" s="386">
        <v>600</v>
      </c>
      <c r="X61" s="386">
        <v>6000</v>
      </c>
      <c r="Y61" s="386">
        <v>290</v>
      </c>
      <c r="Z61" s="386">
        <v>145</v>
      </c>
      <c r="AA61" s="386">
        <v>200</v>
      </c>
      <c r="AB61" s="392">
        <v>5.78</v>
      </c>
      <c r="AC61" s="28">
        <v>0</v>
      </c>
      <c r="AD61" s="28">
        <v>1</v>
      </c>
      <c r="AE61" s="28">
        <v>1</v>
      </c>
      <c r="AF61" s="28">
        <v>1</v>
      </c>
      <c r="AG61" s="28">
        <v>1</v>
      </c>
      <c r="AH61" s="28">
        <v>1</v>
      </c>
      <c r="AI61" s="28">
        <v>1</v>
      </c>
      <c r="AJ61" s="28">
        <v>1</v>
      </c>
    </row>
    <row r="62" spans="1:36" x14ac:dyDescent="0.25">
      <c r="A62" s="298" t="str">
        <f>IF('Kwaliteit conversie'!$D$4='Prijs karton'!C62,"X"," ")</f>
        <v xml:space="preserve"> </v>
      </c>
      <c r="B62" s="331" t="s">
        <v>31</v>
      </c>
      <c r="C62" s="359" t="s">
        <v>1373</v>
      </c>
      <c r="D62" s="366">
        <v>0.37</v>
      </c>
      <c r="E62" s="321">
        <v>2.72</v>
      </c>
      <c r="F62" s="925">
        <v>0</v>
      </c>
      <c r="G62" s="315">
        <v>31.6</v>
      </c>
      <c r="H62" s="315">
        <v>30.4</v>
      </c>
      <c r="I62" s="315">
        <v>30.2</v>
      </c>
      <c r="J62" s="315">
        <v>29.9</v>
      </c>
      <c r="K62" s="513">
        <v>29.9</v>
      </c>
      <c r="L62" s="926" t="s">
        <v>1374</v>
      </c>
      <c r="M62" s="331" t="s">
        <v>1363</v>
      </c>
      <c r="N62" s="366" t="s">
        <v>238</v>
      </c>
      <c r="O62" s="323" t="s">
        <v>239</v>
      </c>
      <c r="P62" s="386" t="s">
        <v>239</v>
      </c>
      <c r="Q62" s="323" t="s">
        <v>239</v>
      </c>
      <c r="R62" s="366" t="s">
        <v>239</v>
      </c>
      <c r="S62" s="378" t="s">
        <v>1363</v>
      </c>
      <c r="T62" s="324" t="s">
        <v>1364</v>
      </c>
      <c r="U62" s="386">
        <v>250</v>
      </c>
      <c r="V62" s="386">
        <v>2450</v>
      </c>
      <c r="W62" s="386">
        <v>600</v>
      </c>
      <c r="X62" s="386">
        <v>6000</v>
      </c>
      <c r="Y62" s="386">
        <v>290</v>
      </c>
      <c r="Z62" s="386">
        <v>145</v>
      </c>
      <c r="AA62" s="386">
        <v>200</v>
      </c>
      <c r="AB62" s="392">
        <v>4.3099999999999996</v>
      </c>
      <c r="AC62" s="28">
        <v>0</v>
      </c>
      <c r="AD62" s="28">
        <v>1</v>
      </c>
      <c r="AE62" s="28">
        <v>1</v>
      </c>
      <c r="AF62" s="28">
        <v>1</v>
      </c>
      <c r="AG62" s="28">
        <v>1</v>
      </c>
      <c r="AH62" s="28">
        <v>1</v>
      </c>
      <c r="AI62" s="28">
        <v>1</v>
      </c>
      <c r="AJ62" s="28">
        <v>1</v>
      </c>
    </row>
    <row r="63" spans="1:36" x14ac:dyDescent="0.25">
      <c r="A63" s="298" t="str">
        <f>IF('Kwaliteit conversie'!$D$4='Prijs karton'!C63,"X"," ")</f>
        <v xml:space="preserve"> </v>
      </c>
      <c r="B63" s="331" t="s">
        <v>31</v>
      </c>
      <c r="C63" s="359" t="s">
        <v>1405</v>
      </c>
      <c r="D63" s="366">
        <v>0.375</v>
      </c>
      <c r="E63" s="321">
        <v>2.72</v>
      </c>
      <c r="F63" s="925">
        <v>0</v>
      </c>
      <c r="G63" s="315">
        <v>40</v>
      </c>
      <c r="H63" s="315">
        <v>38.700000000000003</v>
      </c>
      <c r="I63" s="315">
        <v>38.4</v>
      </c>
      <c r="J63" s="315">
        <v>38.1</v>
      </c>
      <c r="K63" s="513">
        <v>38.1</v>
      </c>
      <c r="L63" s="926" t="s">
        <v>1406</v>
      </c>
      <c r="M63" s="331" t="s">
        <v>1400</v>
      </c>
      <c r="N63" s="366" t="s">
        <v>238</v>
      </c>
      <c r="O63" s="323" t="s">
        <v>239</v>
      </c>
      <c r="P63" s="386" t="s">
        <v>239</v>
      </c>
      <c r="Q63" s="323" t="s">
        <v>239</v>
      </c>
      <c r="R63" s="366" t="s">
        <v>239</v>
      </c>
      <c r="S63" s="378" t="s">
        <v>1363</v>
      </c>
      <c r="T63" s="324" t="s">
        <v>1364</v>
      </c>
      <c r="U63" s="386">
        <v>250</v>
      </c>
      <c r="V63" s="386">
        <v>2450</v>
      </c>
      <c r="W63" s="386">
        <v>600</v>
      </c>
      <c r="X63" s="386">
        <v>6000</v>
      </c>
      <c r="Y63" s="386">
        <v>290</v>
      </c>
      <c r="Z63" s="386">
        <v>145</v>
      </c>
      <c r="AA63" s="386">
        <v>200</v>
      </c>
      <c r="AB63" s="392">
        <v>4.22</v>
      </c>
      <c r="AC63" s="28">
        <v>0</v>
      </c>
      <c r="AD63" s="28">
        <v>1</v>
      </c>
      <c r="AE63" s="28">
        <v>1</v>
      </c>
      <c r="AF63" s="28">
        <v>1</v>
      </c>
      <c r="AG63" s="28">
        <v>1</v>
      </c>
      <c r="AH63" s="28">
        <v>1</v>
      </c>
      <c r="AI63" s="28">
        <v>1</v>
      </c>
      <c r="AJ63" s="28">
        <v>1</v>
      </c>
    </row>
    <row r="64" spans="1:36" x14ac:dyDescent="0.25">
      <c r="A64" s="298" t="str">
        <f>IF('Kwaliteit conversie'!$D$4='Prijs karton'!C64,"X"," ")</f>
        <v xml:space="preserve"> </v>
      </c>
      <c r="B64" s="331" t="s">
        <v>31</v>
      </c>
      <c r="C64" s="359" t="s">
        <v>1407</v>
      </c>
      <c r="D64" s="366">
        <v>0.4</v>
      </c>
      <c r="E64" s="321">
        <v>2.72</v>
      </c>
      <c r="F64" s="925">
        <v>0</v>
      </c>
      <c r="G64" s="315">
        <v>49.5</v>
      </c>
      <c r="H64" s="315">
        <v>48.1</v>
      </c>
      <c r="I64" s="315">
        <v>48</v>
      </c>
      <c r="J64" s="315">
        <v>47.7</v>
      </c>
      <c r="K64" s="513">
        <v>47.7</v>
      </c>
      <c r="L64" s="926" t="s">
        <v>1408</v>
      </c>
      <c r="M64" s="331" t="s">
        <v>289</v>
      </c>
      <c r="N64" s="366" t="s">
        <v>238</v>
      </c>
      <c r="O64" s="323" t="s">
        <v>239</v>
      </c>
      <c r="P64" s="386" t="s">
        <v>239</v>
      </c>
      <c r="Q64" s="323" t="s">
        <v>239</v>
      </c>
      <c r="R64" s="366" t="s">
        <v>239</v>
      </c>
      <c r="S64" s="378" t="s">
        <v>289</v>
      </c>
      <c r="T64" s="324" t="s">
        <v>1364</v>
      </c>
      <c r="U64" s="386">
        <v>250</v>
      </c>
      <c r="V64" s="386">
        <v>2450</v>
      </c>
      <c r="W64" s="386">
        <v>600</v>
      </c>
      <c r="X64" s="386">
        <v>6000</v>
      </c>
      <c r="Y64" s="386">
        <v>290</v>
      </c>
      <c r="Z64" s="386">
        <v>145</v>
      </c>
      <c r="AA64" s="386">
        <v>200</v>
      </c>
      <c r="AB64" s="392">
        <v>5.22</v>
      </c>
      <c r="AC64" s="28">
        <v>0</v>
      </c>
      <c r="AD64" s="28">
        <v>1</v>
      </c>
      <c r="AE64" s="28">
        <v>1</v>
      </c>
      <c r="AF64" s="28">
        <v>1</v>
      </c>
      <c r="AG64" s="28">
        <v>1</v>
      </c>
      <c r="AH64" s="28">
        <v>1</v>
      </c>
      <c r="AI64" s="28">
        <v>1</v>
      </c>
      <c r="AJ64" s="28">
        <v>1</v>
      </c>
    </row>
    <row r="65" spans="1:36" x14ac:dyDescent="0.25">
      <c r="A65" s="298" t="str">
        <f>IF('Kwaliteit conversie'!$D$4='Prijs karton'!C65,"X"," ")</f>
        <v xml:space="preserve"> </v>
      </c>
      <c r="B65" s="331" t="s">
        <v>31</v>
      </c>
      <c r="C65" s="359" t="s">
        <v>1409</v>
      </c>
      <c r="D65" s="366">
        <v>0.29699999999999999</v>
      </c>
      <c r="E65" s="321">
        <v>2.61</v>
      </c>
      <c r="F65" s="925">
        <v>0</v>
      </c>
      <c r="G65" s="315">
        <v>28.1</v>
      </c>
      <c r="H65" s="315">
        <v>26.8</v>
      </c>
      <c r="I65" s="315">
        <v>26.5</v>
      </c>
      <c r="J65" s="315">
        <v>26.2</v>
      </c>
      <c r="K65" s="513">
        <v>26.2</v>
      </c>
      <c r="L65" s="926" t="s">
        <v>1410</v>
      </c>
      <c r="M65" s="331" t="s">
        <v>244</v>
      </c>
      <c r="N65" s="366" t="s">
        <v>244</v>
      </c>
      <c r="O65" s="323" t="s">
        <v>239</v>
      </c>
      <c r="P65" s="386" t="s">
        <v>239</v>
      </c>
      <c r="Q65" s="323" t="s">
        <v>239</v>
      </c>
      <c r="R65" s="366" t="s">
        <v>239</v>
      </c>
      <c r="S65" s="378" t="s">
        <v>244</v>
      </c>
      <c r="T65" s="324" t="s">
        <v>1364</v>
      </c>
      <c r="U65" s="386">
        <v>250</v>
      </c>
      <c r="V65" s="386">
        <v>2450</v>
      </c>
      <c r="W65" s="386">
        <v>600</v>
      </c>
      <c r="X65" s="386">
        <v>6000</v>
      </c>
      <c r="Y65" s="386">
        <v>290</v>
      </c>
      <c r="Z65" s="386">
        <v>145</v>
      </c>
      <c r="AA65" s="386">
        <v>200</v>
      </c>
      <c r="AB65" s="392">
        <v>3.06</v>
      </c>
      <c r="AC65" s="28">
        <v>0</v>
      </c>
      <c r="AD65" s="28">
        <v>1</v>
      </c>
      <c r="AE65" s="28">
        <v>1</v>
      </c>
      <c r="AF65" s="28">
        <v>1</v>
      </c>
      <c r="AG65" s="28">
        <v>1</v>
      </c>
      <c r="AH65" s="28">
        <v>1</v>
      </c>
      <c r="AI65" s="28">
        <v>1</v>
      </c>
      <c r="AJ65" s="28">
        <v>1</v>
      </c>
    </row>
    <row r="66" spans="1:36" x14ac:dyDescent="0.25">
      <c r="A66" s="298" t="str">
        <f>IF('Kwaliteit conversie'!$D$4='Prijs karton'!C66,"X"," ")</f>
        <v xml:space="preserve"> </v>
      </c>
      <c r="B66" s="331" t="s">
        <v>31</v>
      </c>
      <c r="C66" s="359"/>
      <c r="D66" s="366"/>
      <c r="E66" s="321"/>
      <c r="F66" s="925"/>
      <c r="G66" s="315"/>
      <c r="H66" s="315"/>
      <c r="I66" s="315"/>
      <c r="J66" s="315"/>
      <c r="K66" s="513"/>
      <c r="L66" s="926"/>
      <c r="M66" s="331"/>
      <c r="N66" s="366"/>
      <c r="O66" s="323"/>
      <c r="P66" s="386"/>
      <c r="Q66" s="323"/>
      <c r="R66" s="366"/>
      <c r="S66" s="378"/>
      <c r="T66" s="324"/>
      <c r="U66" s="386"/>
      <c r="V66" s="386"/>
      <c r="W66" s="386"/>
      <c r="X66" s="386"/>
      <c r="Y66" s="386"/>
      <c r="Z66" s="386"/>
      <c r="AA66" s="386"/>
      <c r="AB66" s="392"/>
      <c r="AC66" s="28"/>
      <c r="AD66" s="28"/>
      <c r="AE66" s="28"/>
      <c r="AF66" s="28"/>
      <c r="AG66" s="28"/>
      <c r="AH66" s="28"/>
      <c r="AI66" s="28"/>
      <c r="AJ66" s="28"/>
    </row>
    <row r="67" spans="1:36" x14ac:dyDescent="0.25">
      <c r="A67" s="298" t="str">
        <f>IF('Kwaliteit conversie'!$D$4='Prijs karton'!C67,"X"," ")</f>
        <v xml:space="preserve"> </v>
      </c>
      <c r="B67" s="331" t="s">
        <v>31</v>
      </c>
      <c r="C67" s="359"/>
      <c r="D67" s="366"/>
      <c r="E67" s="321"/>
      <c r="F67" s="925"/>
      <c r="G67" s="315"/>
      <c r="H67" s="315"/>
      <c r="I67" s="315"/>
      <c r="J67" s="315"/>
      <c r="K67" s="513"/>
      <c r="L67" s="926"/>
      <c r="M67" s="331"/>
      <c r="N67" s="366"/>
      <c r="O67" s="323"/>
      <c r="P67" s="386"/>
      <c r="Q67" s="323"/>
      <c r="R67" s="366"/>
      <c r="S67" s="378"/>
      <c r="T67" s="324"/>
      <c r="U67" s="386"/>
      <c r="V67" s="386"/>
      <c r="W67" s="386"/>
      <c r="X67" s="386"/>
      <c r="Y67" s="386"/>
      <c r="Z67" s="386"/>
      <c r="AA67" s="386"/>
      <c r="AB67" s="392"/>
      <c r="AC67" s="28"/>
      <c r="AD67" s="28"/>
      <c r="AE67" s="28"/>
      <c r="AF67" s="28"/>
      <c r="AG67" s="28"/>
      <c r="AH67" s="28"/>
      <c r="AI67" s="28"/>
      <c r="AJ67" s="28"/>
    </row>
    <row r="68" spans="1:36" x14ac:dyDescent="0.25">
      <c r="A68" s="298" t="str">
        <f>IF('Kwaliteit conversie'!$D$4='Prijs karton'!C68,"X"," ")</f>
        <v xml:space="preserve"> </v>
      </c>
      <c r="B68" s="331" t="s">
        <v>31</v>
      </c>
      <c r="C68" s="359"/>
      <c r="D68" s="366"/>
      <c r="E68" s="321"/>
      <c r="F68" s="925"/>
      <c r="G68" s="315"/>
      <c r="H68" s="315"/>
      <c r="I68" s="315"/>
      <c r="J68" s="315"/>
      <c r="K68" s="513"/>
      <c r="L68" s="926"/>
      <c r="M68" s="331"/>
      <c r="N68" s="366"/>
      <c r="O68" s="323"/>
      <c r="P68" s="386"/>
      <c r="Q68" s="323"/>
      <c r="R68" s="366"/>
      <c r="S68" s="378"/>
      <c r="T68" s="324"/>
      <c r="U68" s="386"/>
      <c r="V68" s="386"/>
      <c r="W68" s="386"/>
      <c r="X68" s="386"/>
      <c r="Y68" s="386"/>
      <c r="Z68" s="386"/>
      <c r="AA68" s="386"/>
      <c r="AB68" s="392"/>
      <c r="AC68" s="28"/>
      <c r="AD68" s="28"/>
      <c r="AE68" s="28"/>
      <c r="AF68" s="28"/>
      <c r="AG68" s="28"/>
      <c r="AH68" s="28"/>
      <c r="AI68" s="28"/>
      <c r="AJ68" s="28"/>
    </row>
    <row r="69" spans="1:36" x14ac:dyDescent="0.25">
      <c r="A69" s="298" t="str">
        <f>IF('Kwaliteit conversie'!$D$4='Prijs karton'!C69,"X"," ")</f>
        <v xml:space="preserve"> </v>
      </c>
      <c r="B69" s="331" t="s">
        <v>31</v>
      </c>
      <c r="C69" s="359"/>
      <c r="D69" s="366"/>
      <c r="E69" s="321"/>
      <c r="F69" s="925"/>
      <c r="G69" s="315"/>
      <c r="H69" s="315"/>
      <c r="I69" s="315"/>
      <c r="J69" s="315"/>
      <c r="K69" s="513"/>
      <c r="L69" s="926"/>
      <c r="M69" s="331"/>
      <c r="N69" s="366"/>
      <c r="O69" s="323"/>
      <c r="P69" s="386"/>
      <c r="Q69" s="323"/>
      <c r="R69" s="366"/>
      <c r="S69" s="378"/>
      <c r="T69" s="324"/>
      <c r="U69" s="386"/>
      <c r="V69" s="386"/>
      <c r="W69" s="386"/>
      <c r="X69" s="386"/>
      <c r="Y69" s="386"/>
      <c r="Z69" s="386"/>
      <c r="AA69" s="386"/>
      <c r="AB69" s="392"/>
      <c r="AC69" s="28"/>
      <c r="AD69" s="28"/>
      <c r="AE69" s="28"/>
      <c r="AF69" s="28"/>
      <c r="AG69" s="28"/>
      <c r="AH69" s="28"/>
      <c r="AI69" s="28"/>
      <c r="AJ69" s="28"/>
    </row>
    <row r="70" spans="1:36" x14ac:dyDescent="0.25">
      <c r="A70" s="298" t="str">
        <f>IF('Kwaliteit conversie'!$D$4='Prijs karton'!C70,"X"," ")</f>
        <v xml:space="preserve"> </v>
      </c>
      <c r="B70" s="331" t="s">
        <v>31</v>
      </c>
      <c r="C70" s="359"/>
      <c r="D70" s="366"/>
      <c r="E70" s="321"/>
      <c r="F70" s="925"/>
      <c r="G70" s="315"/>
      <c r="H70" s="315"/>
      <c r="I70" s="315"/>
      <c r="J70" s="315"/>
      <c r="K70" s="513"/>
      <c r="L70" s="926"/>
      <c r="M70" s="331"/>
      <c r="N70" s="366"/>
      <c r="O70" s="323"/>
      <c r="P70" s="386"/>
      <c r="Q70" s="323"/>
      <c r="R70" s="366"/>
      <c r="S70" s="378"/>
      <c r="T70" s="324"/>
      <c r="U70" s="386"/>
      <c r="V70" s="386"/>
      <c r="W70" s="386"/>
      <c r="X70" s="386"/>
      <c r="Y70" s="386"/>
      <c r="Z70" s="386"/>
      <c r="AA70" s="386"/>
      <c r="AB70" s="392"/>
      <c r="AC70" s="28"/>
      <c r="AD70" s="28"/>
      <c r="AE70" s="28"/>
      <c r="AF70" s="28"/>
      <c r="AG70" s="28"/>
      <c r="AH70" s="28"/>
      <c r="AI70" s="28"/>
      <c r="AJ70" s="28"/>
    </row>
    <row r="71" spans="1:36" x14ac:dyDescent="0.25">
      <c r="A71" s="298" t="str">
        <f>IF('Kwaliteit conversie'!$D$4='Prijs karton'!C71,"X"," ")</f>
        <v xml:space="preserve"> </v>
      </c>
      <c r="B71" s="331" t="s">
        <v>31</v>
      </c>
      <c r="C71" s="359"/>
      <c r="D71" s="366"/>
      <c r="E71" s="321"/>
      <c r="F71" s="925"/>
      <c r="G71" s="315"/>
      <c r="H71" s="315"/>
      <c r="I71" s="315"/>
      <c r="J71" s="315"/>
      <c r="K71" s="513"/>
      <c r="L71" s="926"/>
      <c r="M71" s="331"/>
      <c r="N71" s="366"/>
      <c r="O71" s="323"/>
      <c r="P71" s="386"/>
      <c r="Q71" s="323"/>
      <c r="R71" s="366"/>
      <c r="S71" s="378"/>
      <c r="T71" s="324"/>
      <c r="U71" s="386"/>
      <c r="V71" s="386"/>
      <c r="W71" s="386"/>
      <c r="X71" s="386"/>
      <c r="Y71" s="386"/>
      <c r="Z71" s="386"/>
      <c r="AA71" s="386"/>
      <c r="AB71" s="392"/>
      <c r="AC71" s="28"/>
      <c r="AD71" s="28"/>
      <c r="AE71" s="28"/>
      <c r="AF71" s="28"/>
      <c r="AG71" s="28"/>
      <c r="AH71" s="28"/>
      <c r="AI71" s="28"/>
      <c r="AJ71" s="28"/>
    </row>
    <row r="72" spans="1:36" x14ac:dyDescent="0.25">
      <c r="A72" s="298" t="str">
        <f>IF('Kwaliteit conversie'!$D$4='Prijs karton'!C72,"X"," ")</f>
        <v xml:space="preserve"> </v>
      </c>
      <c r="B72" s="331" t="s">
        <v>31</v>
      </c>
      <c r="C72" s="359"/>
      <c r="D72" s="366"/>
      <c r="E72" s="321"/>
      <c r="F72" s="925"/>
      <c r="G72" s="315"/>
      <c r="H72" s="315"/>
      <c r="I72" s="315"/>
      <c r="J72" s="315"/>
      <c r="K72" s="513"/>
      <c r="L72" s="926"/>
      <c r="M72" s="331"/>
      <c r="N72" s="366"/>
      <c r="O72" s="323"/>
      <c r="P72" s="386"/>
      <c r="Q72" s="323"/>
      <c r="R72" s="366"/>
      <c r="S72" s="378"/>
      <c r="T72" s="324"/>
      <c r="U72" s="386"/>
      <c r="V72" s="386"/>
      <c r="W72" s="386"/>
      <c r="X72" s="386"/>
      <c r="Y72" s="386"/>
      <c r="Z72" s="386"/>
      <c r="AA72" s="386"/>
      <c r="AB72" s="392"/>
      <c r="AC72" s="28"/>
      <c r="AD72" s="28"/>
      <c r="AE72" s="28"/>
      <c r="AF72" s="28"/>
      <c r="AG72" s="28"/>
      <c r="AH72" s="28"/>
      <c r="AI72" s="28"/>
      <c r="AJ72" s="28"/>
    </row>
    <row r="73" spans="1:36" x14ac:dyDescent="0.25">
      <c r="A73" s="298" t="str">
        <f>IF('Kwaliteit conversie'!$D$4='Prijs karton'!C73,"X"," ")</f>
        <v xml:space="preserve"> </v>
      </c>
      <c r="B73" s="331" t="s">
        <v>31</v>
      </c>
      <c r="C73" s="359"/>
      <c r="D73" s="366"/>
      <c r="E73" s="321"/>
      <c r="F73" s="925"/>
      <c r="G73" s="315"/>
      <c r="H73" s="315"/>
      <c r="I73" s="315"/>
      <c r="J73" s="315"/>
      <c r="K73" s="513"/>
      <c r="L73" s="926"/>
      <c r="M73" s="331"/>
      <c r="N73" s="366"/>
      <c r="O73" s="323"/>
      <c r="P73" s="386"/>
      <c r="Q73" s="323"/>
      <c r="R73" s="366"/>
      <c r="S73" s="378"/>
      <c r="T73" s="324"/>
      <c r="U73" s="386"/>
      <c r="V73" s="386"/>
      <c r="W73" s="386"/>
      <c r="X73" s="386"/>
      <c r="Y73" s="386"/>
      <c r="Z73" s="386"/>
      <c r="AA73" s="386"/>
      <c r="AB73" s="392"/>
      <c r="AC73" s="28"/>
      <c r="AD73" s="28"/>
      <c r="AE73" s="28"/>
      <c r="AF73" s="28"/>
      <c r="AG73" s="28"/>
      <c r="AH73" s="28"/>
      <c r="AI73" s="28"/>
      <c r="AJ73" s="28"/>
    </row>
    <row r="74" spans="1:36" x14ac:dyDescent="0.25">
      <c r="A74" s="298" t="str">
        <f>IF('Kwaliteit conversie'!$D$4='Prijs karton'!C74,"X"," ")</f>
        <v xml:space="preserve"> </v>
      </c>
      <c r="B74" s="331" t="s">
        <v>31</v>
      </c>
      <c r="C74" s="359"/>
      <c r="D74" s="366"/>
      <c r="E74" s="321"/>
      <c r="F74" s="925"/>
      <c r="G74" s="315"/>
      <c r="H74" s="315"/>
      <c r="I74" s="315"/>
      <c r="J74" s="315"/>
      <c r="K74" s="513"/>
      <c r="L74" s="926"/>
      <c r="M74" s="331"/>
      <c r="N74" s="366"/>
      <c r="O74" s="323"/>
      <c r="P74" s="386"/>
      <c r="Q74" s="323"/>
      <c r="R74" s="366"/>
      <c r="S74" s="378"/>
      <c r="T74" s="324"/>
      <c r="U74" s="386"/>
      <c r="V74" s="386"/>
      <c r="W74" s="386"/>
      <c r="X74" s="386"/>
      <c r="Y74" s="386"/>
      <c r="Z74" s="386"/>
      <c r="AA74" s="386"/>
      <c r="AB74" s="392"/>
      <c r="AC74" s="28"/>
      <c r="AD74" s="28"/>
      <c r="AE74" s="28"/>
      <c r="AF74" s="28"/>
      <c r="AG74" s="28"/>
      <c r="AH74" s="28"/>
      <c r="AI74" s="28"/>
      <c r="AJ74" s="28"/>
    </row>
    <row r="75" spans="1:36" x14ac:dyDescent="0.25">
      <c r="A75" s="298" t="str">
        <f>IF('Kwaliteit conversie'!$D$4='Prijs karton'!C75,"X"," ")</f>
        <v xml:space="preserve"> </v>
      </c>
      <c r="B75" s="331" t="s">
        <v>31</v>
      </c>
      <c r="C75" s="359"/>
      <c r="D75" s="366"/>
      <c r="E75" s="321"/>
      <c r="F75" s="925"/>
      <c r="G75" s="315"/>
      <c r="H75" s="315"/>
      <c r="I75" s="315"/>
      <c r="J75" s="315"/>
      <c r="K75" s="513"/>
      <c r="L75" s="926"/>
      <c r="M75" s="331"/>
      <c r="N75" s="366"/>
      <c r="O75" s="323"/>
      <c r="P75" s="386"/>
      <c r="Q75" s="323"/>
      <c r="R75" s="366"/>
      <c r="S75" s="378"/>
      <c r="T75" s="324"/>
      <c r="U75" s="386"/>
      <c r="V75" s="386"/>
      <c r="W75" s="386"/>
      <c r="X75" s="386"/>
      <c r="Y75" s="386"/>
      <c r="Z75" s="386"/>
      <c r="AA75" s="386"/>
      <c r="AB75" s="392"/>
      <c r="AC75" s="28"/>
      <c r="AD75" s="28"/>
      <c r="AE75" s="28"/>
      <c r="AF75" s="28"/>
      <c r="AG75" s="28"/>
      <c r="AH75" s="28"/>
      <c r="AI75" s="28"/>
      <c r="AJ75" s="28"/>
    </row>
    <row r="76" spans="1:36" x14ac:dyDescent="0.25">
      <c r="A76" s="298" t="str">
        <f>IF('Kwaliteit conversie'!$D$4='Prijs karton'!C76,"X"," ")</f>
        <v xml:space="preserve"> </v>
      </c>
      <c r="B76" s="331" t="s">
        <v>31</v>
      </c>
      <c r="C76" s="359"/>
      <c r="D76" s="366"/>
      <c r="E76" s="321"/>
      <c r="F76" s="925"/>
      <c r="G76" s="315"/>
      <c r="H76" s="315"/>
      <c r="I76" s="315"/>
      <c r="J76" s="315"/>
      <c r="K76" s="513"/>
      <c r="L76" s="926"/>
      <c r="M76" s="331"/>
      <c r="N76" s="366"/>
      <c r="O76" s="323"/>
      <c r="P76" s="386"/>
      <c r="Q76" s="323"/>
      <c r="R76" s="366"/>
      <c r="S76" s="378"/>
      <c r="T76" s="324"/>
      <c r="U76" s="386"/>
      <c r="V76" s="386"/>
      <c r="W76" s="386"/>
      <c r="X76" s="386"/>
      <c r="Y76" s="386"/>
      <c r="Z76" s="386"/>
      <c r="AA76" s="386"/>
      <c r="AB76" s="392"/>
      <c r="AC76" s="28"/>
      <c r="AD76" s="28"/>
      <c r="AE76" s="28"/>
      <c r="AF76" s="28"/>
      <c r="AG76" s="28"/>
      <c r="AH76" s="28"/>
      <c r="AI76" s="28"/>
      <c r="AJ76" s="28"/>
    </row>
    <row r="77" spans="1:36" s="320" customFormat="1" x14ac:dyDescent="0.25">
      <c r="A77" s="329" t="str">
        <f>IF('Kwaliteit conversie'!$D$4='Prijs karton'!C77,"X"," ")</f>
        <v xml:space="preserve"> </v>
      </c>
      <c r="B77" s="332" t="s">
        <v>31</v>
      </c>
      <c r="C77" s="360" t="s">
        <v>314</v>
      </c>
      <c r="D77" s="367">
        <v>0.5</v>
      </c>
      <c r="E77" s="322">
        <v>2.9</v>
      </c>
      <c r="F77" s="927">
        <v>0</v>
      </c>
      <c r="G77" s="319">
        <v>0</v>
      </c>
      <c r="H77" s="319">
        <v>0</v>
      </c>
      <c r="I77" s="319">
        <v>0</v>
      </c>
      <c r="J77" s="319">
        <v>0</v>
      </c>
      <c r="K77" s="928">
        <v>0</v>
      </c>
      <c r="L77" s="929" t="s">
        <v>315</v>
      </c>
      <c r="M77" s="379" t="s">
        <v>239</v>
      </c>
      <c r="N77" s="367" t="s">
        <v>239</v>
      </c>
      <c r="O77" s="325" t="s">
        <v>239</v>
      </c>
      <c r="P77" s="387" t="s">
        <v>239</v>
      </c>
      <c r="Q77" s="325" t="s">
        <v>239</v>
      </c>
      <c r="R77" s="367" t="s">
        <v>239</v>
      </c>
      <c r="S77" s="380" t="s">
        <v>239</v>
      </c>
      <c r="T77" s="326" t="s">
        <v>245</v>
      </c>
      <c r="U77" s="387">
        <v>250</v>
      </c>
      <c r="V77" s="387">
        <v>2450</v>
      </c>
      <c r="W77" s="387">
        <v>500</v>
      </c>
      <c r="X77" s="387">
        <v>6200</v>
      </c>
      <c r="Y77" s="387">
        <v>480</v>
      </c>
      <c r="Z77" s="387">
        <v>240</v>
      </c>
      <c r="AA77" s="387">
        <v>200</v>
      </c>
      <c r="AB77" s="393">
        <v>5</v>
      </c>
      <c r="AC77" s="34">
        <v>0</v>
      </c>
      <c r="AD77" s="34">
        <v>1</v>
      </c>
      <c r="AE77" s="34">
        <v>1</v>
      </c>
      <c r="AF77" s="34">
        <v>1</v>
      </c>
      <c r="AG77" s="34">
        <v>1</v>
      </c>
      <c r="AH77" s="34">
        <v>1</v>
      </c>
      <c r="AI77" s="34">
        <v>1</v>
      </c>
      <c r="AJ77" s="34">
        <v>1</v>
      </c>
    </row>
    <row r="78" spans="1:36" x14ac:dyDescent="0.25">
      <c r="A78" s="298" t="str">
        <f>IF('Kwaliteit conversie'!$D$4='Prijs karton'!C78,"X"," ")</f>
        <v xml:space="preserve"> </v>
      </c>
      <c r="B78" s="331"/>
      <c r="C78" s="359"/>
      <c r="D78" s="366"/>
      <c r="E78" s="321"/>
      <c r="F78" s="925"/>
      <c r="G78" s="315"/>
      <c r="H78" s="315"/>
      <c r="I78" s="315"/>
      <c r="J78" s="315"/>
      <c r="K78" s="513"/>
      <c r="L78" s="926"/>
      <c r="M78" s="331"/>
      <c r="N78" s="366"/>
      <c r="O78" s="323"/>
      <c r="P78" s="386"/>
      <c r="Q78" s="323"/>
      <c r="R78" s="366"/>
      <c r="S78" s="378"/>
      <c r="T78" s="324"/>
      <c r="U78" s="386"/>
      <c r="V78" s="386"/>
      <c r="W78" s="386"/>
      <c r="X78" s="386"/>
      <c r="Y78" s="386"/>
      <c r="Z78" s="386"/>
      <c r="AA78" s="386"/>
      <c r="AB78" s="392"/>
      <c r="AC78" s="28"/>
      <c r="AD78" s="28"/>
      <c r="AE78" s="28"/>
      <c r="AF78" s="28"/>
      <c r="AG78" s="28"/>
      <c r="AH78" s="28"/>
      <c r="AI78" s="28"/>
      <c r="AJ78" s="28"/>
    </row>
    <row r="79" spans="1:36" x14ac:dyDescent="0.25">
      <c r="A79" s="298" t="str">
        <f>IF('Kwaliteit conversie'!$D$4='Prijs karton'!C79,"X"," ")</f>
        <v xml:space="preserve"> </v>
      </c>
      <c r="B79" s="331"/>
      <c r="C79" s="359"/>
      <c r="D79" s="366"/>
      <c r="E79" s="321"/>
      <c r="F79" s="925"/>
      <c r="G79" s="315"/>
      <c r="H79" s="315"/>
      <c r="I79" s="315"/>
      <c r="J79" s="315"/>
      <c r="K79" s="513"/>
      <c r="L79" s="926"/>
      <c r="M79" s="331"/>
      <c r="N79" s="366"/>
      <c r="O79" s="323"/>
      <c r="P79" s="386"/>
      <c r="Q79" s="323"/>
      <c r="R79" s="366"/>
      <c r="S79" s="378"/>
      <c r="T79" s="324"/>
      <c r="U79" s="386"/>
      <c r="V79" s="386"/>
      <c r="W79" s="386"/>
      <c r="X79" s="386"/>
      <c r="Y79" s="386"/>
      <c r="Z79" s="386"/>
      <c r="AA79" s="386"/>
      <c r="AB79" s="392"/>
      <c r="AC79" s="28"/>
      <c r="AD79" s="28"/>
      <c r="AE79" s="28"/>
      <c r="AF79" s="28"/>
      <c r="AG79" s="28"/>
      <c r="AH79" s="28"/>
      <c r="AI79" s="28"/>
      <c r="AJ79" s="28"/>
    </row>
    <row r="80" spans="1:36" x14ac:dyDescent="0.25">
      <c r="A80" s="298" t="str">
        <f>IF('Kwaliteit conversie'!$D$4='Prijs karton'!C80,"X"," ")</f>
        <v xml:space="preserve"> </v>
      </c>
      <c r="B80" s="331"/>
      <c r="C80" s="359"/>
      <c r="D80" s="366"/>
      <c r="E80" s="321"/>
      <c r="F80" s="925"/>
      <c r="G80" s="315"/>
      <c r="H80" s="315"/>
      <c r="I80" s="315"/>
      <c r="J80" s="315"/>
      <c r="K80" s="513"/>
      <c r="L80" s="926"/>
      <c r="M80" s="331"/>
      <c r="N80" s="366"/>
      <c r="O80" s="323"/>
      <c r="P80" s="386"/>
      <c r="Q80" s="323"/>
      <c r="R80" s="366"/>
      <c r="S80" s="378"/>
      <c r="T80" s="324"/>
      <c r="U80" s="386"/>
      <c r="V80" s="386"/>
      <c r="W80" s="386"/>
      <c r="X80" s="386"/>
      <c r="Y80" s="386"/>
      <c r="Z80" s="386"/>
      <c r="AA80" s="386"/>
      <c r="AB80" s="392"/>
      <c r="AC80" s="28"/>
      <c r="AD80" s="28"/>
      <c r="AE80" s="28"/>
      <c r="AF80" s="28"/>
      <c r="AG80" s="28"/>
      <c r="AH80" s="28"/>
      <c r="AI80" s="28"/>
      <c r="AJ80" s="28"/>
    </row>
    <row r="81" spans="1:36" x14ac:dyDescent="0.25">
      <c r="A81" s="932" t="str">
        <f>IF('Kwaliteit conversie'!$D$4='Prijs karton'!C81,"X"," ")</f>
        <v xml:space="preserve"> </v>
      </c>
      <c r="B81" s="331" t="s">
        <v>36</v>
      </c>
      <c r="C81" s="359" t="s">
        <v>316</v>
      </c>
      <c r="D81" s="366">
        <v>0.56000000000000005</v>
      </c>
      <c r="E81" s="321">
        <v>5.6</v>
      </c>
      <c r="F81" s="925">
        <v>0</v>
      </c>
      <c r="G81" s="315">
        <v>57.7</v>
      </c>
      <c r="H81" s="315">
        <v>54.7</v>
      </c>
      <c r="I81" s="315">
        <v>54.2</v>
      </c>
      <c r="J81" s="315">
        <v>54.2</v>
      </c>
      <c r="K81" s="513">
        <v>53.7</v>
      </c>
      <c r="L81" s="926" t="s">
        <v>317</v>
      </c>
      <c r="M81" s="331" t="s">
        <v>318</v>
      </c>
      <c r="N81" s="366" t="s">
        <v>255</v>
      </c>
      <c r="O81" s="323" t="s">
        <v>244</v>
      </c>
      <c r="P81" s="386" t="s">
        <v>244</v>
      </c>
      <c r="Q81" s="323" t="s">
        <v>239</v>
      </c>
      <c r="R81" s="366" t="s">
        <v>239</v>
      </c>
      <c r="S81" s="378" t="s">
        <v>243</v>
      </c>
      <c r="T81" s="324" t="s">
        <v>245</v>
      </c>
      <c r="U81" s="386">
        <v>250</v>
      </c>
      <c r="V81" s="386">
        <v>2450</v>
      </c>
      <c r="W81" s="386">
        <v>500</v>
      </c>
      <c r="X81" s="386">
        <v>6200</v>
      </c>
      <c r="Y81" s="386">
        <v>180</v>
      </c>
      <c r="Z81" s="386">
        <v>90</v>
      </c>
      <c r="AA81" s="386">
        <v>200</v>
      </c>
      <c r="AB81" s="392">
        <v>6.6</v>
      </c>
      <c r="AC81" s="28">
        <v>0</v>
      </c>
      <c r="AD81" s="28">
        <v>1</v>
      </c>
      <c r="AE81" s="28">
        <v>1</v>
      </c>
      <c r="AF81" s="28">
        <v>1</v>
      </c>
      <c r="AG81" s="28">
        <v>1</v>
      </c>
      <c r="AH81" s="28">
        <v>1</v>
      </c>
      <c r="AI81" s="28">
        <v>1</v>
      </c>
      <c r="AJ81" s="28">
        <v>1</v>
      </c>
    </row>
    <row r="82" spans="1:36" x14ac:dyDescent="0.25">
      <c r="A82" s="298" t="str">
        <f>IF('Kwaliteit conversie'!$D$4='Prijs karton'!C82,"X"," ")</f>
        <v xml:space="preserve"> </v>
      </c>
      <c r="B82" s="331" t="s">
        <v>36</v>
      </c>
      <c r="C82" s="359" t="s">
        <v>319</v>
      </c>
      <c r="D82" s="366">
        <v>0.54</v>
      </c>
      <c r="E82" s="321">
        <v>5.6</v>
      </c>
      <c r="F82" s="925">
        <v>0</v>
      </c>
      <c r="G82" s="315">
        <v>45.5</v>
      </c>
      <c r="H82" s="315">
        <v>42.5</v>
      </c>
      <c r="I82" s="315">
        <v>42</v>
      </c>
      <c r="J82" s="315">
        <v>42</v>
      </c>
      <c r="K82" s="513">
        <v>41.5</v>
      </c>
      <c r="L82" s="926" t="s">
        <v>320</v>
      </c>
      <c r="M82" s="331" t="s">
        <v>249</v>
      </c>
      <c r="N82" s="366" t="s">
        <v>255</v>
      </c>
      <c r="O82" s="323" t="s">
        <v>244</v>
      </c>
      <c r="P82" s="386" t="s">
        <v>244</v>
      </c>
      <c r="Q82" s="323" t="s">
        <v>239</v>
      </c>
      <c r="R82" s="366" t="s">
        <v>239</v>
      </c>
      <c r="S82" s="378" t="s">
        <v>243</v>
      </c>
      <c r="T82" s="324" t="s">
        <v>245</v>
      </c>
      <c r="U82" s="386">
        <v>250</v>
      </c>
      <c r="V82" s="386">
        <v>2450</v>
      </c>
      <c r="W82" s="386">
        <v>500</v>
      </c>
      <c r="X82" s="386">
        <v>6200</v>
      </c>
      <c r="Y82" s="386">
        <v>180</v>
      </c>
      <c r="Z82" s="386">
        <v>90</v>
      </c>
      <c r="AA82" s="386">
        <v>200</v>
      </c>
      <c r="AB82" s="392">
        <v>6</v>
      </c>
      <c r="AC82" s="28">
        <v>10</v>
      </c>
      <c r="AD82" s="28">
        <v>1</v>
      </c>
      <c r="AE82" s="28">
        <v>1</v>
      </c>
      <c r="AF82" s="28">
        <v>1</v>
      </c>
      <c r="AG82" s="28">
        <v>1</v>
      </c>
      <c r="AH82" s="28">
        <v>1</v>
      </c>
      <c r="AI82" s="28">
        <v>1</v>
      </c>
      <c r="AJ82" s="28">
        <v>1</v>
      </c>
    </row>
    <row r="83" spans="1:36" x14ac:dyDescent="0.25">
      <c r="A83" s="298" t="str">
        <f>IF('Kwaliteit conversie'!$D$4='Prijs karton'!C83,"X"," ")</f>
        <v xml:space="preserve"> </v>
      </c>
      <c r="B83" s="331" t="s">
        <v>36</v>
      </c>
      <c r="C83" s="359" t="s">
        <v>321</v>
      </c>
      <c r="D83" s="366">
        <v>0.61799999999999999</v>
      </c>
      <c r="E83" s="321">
        <v>6.62</v>
      </c>
      <c r="F83" s="925">
        <v>0</v>
      </c>
      <c r="G83" s="315">
        <v>64.7</v>
      </c>
      <c r="H83" s="315">
        <v>61.7</v>
      </c>
      <c r="I83" s="315">
        <v>61.7</v>
      </c>
      <c r="J83" s="315">
        <v>59.7</v>
      </c>
      <c r="K83" s="513">
        <v>59.7</v>
      </c>
      <c r="L83" s="926" t="s">
        <v>322</v>
      </c>
      <c r="M83" s="331" t="s">
        <v>260</v>
      </c>
      <c r="N83" s="366" t="s">
        <v>323</v>
      </c>
      <c r="O83" s="323" t="s">
        <v>324</v>
      </c>
      <c r="P83" s="386" t="s">
        <v>323</v>
      </c>
      <c r="Q83" s="323" t="s">
        <v>239</v>
      </c>
      <c r="R83" s="366" t="s">
        <v>239</v>
      </c>
      <c r="S83" s="378" t="s">
        <v>260</v>
      </c>
      <c r="T83" s="324" t="s">
        <v>240</v>
      </c>
      <c r="U83" s="386">
        <v>240</v>
      </c>
      <c r="V83" s="386">
        <v>2450</v>
      </c>
      <c r="W83" s="386">
        <v>500</v>
      </c>
      <c r="X83" s="386">
        <v>6000</v>
      </c>
      <c r="Y83" s="386">
        <v>60</v>
      </c>
      <c r="Z83" s="386">
        <v>60</v>
      </c>
      <c r="AA83" s="386">
        <v>200</v>
      </c>
      <c r="AB83" s="392">
        <v>7.54</v>
      </c>
      <c r="AC83" s="28"/>
      <c r="AD83" s="28">
        <v>1</v>
      </c>
      <c r="AE83" s="28">
        <v>1</v>
      </c>
      <c r="AF83" s="28">
        <v>1</v>
      </c>
      <c r="AG83" s="28">
        <v>1</v>
      </c>
      <c r="AH83" s="28">
        <v>1</v>
      </c>
      <c r="AI83" s="28">
        <v>1</v>
      </c>
      <c r="AJ83" s="28">
        <v>1</v>
      </c>
    </row>
    <row r="84" spans="1:36" x14ac:dyDescent="0.25">
      <c r="A84" s="298" t="str">
        <f>IF('Kwaliteit conversie'!$D$4='Prijs karton'!C84,"X"," ")</f>
        <v xml:space="preserve"> </v>
      </c>
      <c r="B84" s="331" t="s">
        <v>36</v>
      </c>
      <c r="C84" s="359" t="s">
        <v>325</v>
      </c>
      <c r="D84" s="366">
        <v>0.62</v>
      </c>
      <c r="E84" s="321">
        <v>5.6</v>
      </c>
      <c r="F84" s="925">
        <v>0</v>
      </c>
      <c r="G84" s="315">
        <v>53.9</v>
      </c>
      <c r="H84" s="315">
        <v>50.9</v>
      </c>
      <c r="I84" s="315">
        <v>50.4</v>
      </c>
      <c r="J84" s="315">
        <v>50.4</v>
      </c>
      <c r="K84" s="513">
        <v>49.9</v>
      </c>
      <c r="L84" s="926" t="s">
        <v>326</v>
      </c>
      <c r="M84" s="331" t="s">
        <v>257</v>
      </c>
      <c r="N84" s="366" t="s">
        <v>255</v>
      </c>
      <c r="O84" s="323" t="s">
        <v>244</v>
      </c>
      <c r="P84" s="386" t="s">
        <v>285</v>
      </c>
      <c r="Q84" s="323" t="s">
        <v>239</v>
      </c>
      <c r="R84" s="366" t="s">
        <v>239</v>
      </c>
      <c r="S84" s="378" t="s">
        <v>249</v>
      </c>
      <c r="T84" s="324" t="s">
        <v>245</v>
      </c>
      <c r="U84" s="386">
        <v>250</v>
      </c>
      <c r="V84" s="386">
        <v>2450</v>
      </c>
      <c r="W84" s="386">
        <v>500</v>
      </c>
      <c r="X84" s="386">
        <v>6200</v>
      </c>
      <c r="Y84" s="386">
        <v>180</v>
      </c>
      <c r="Z84" s="386">
        <v>90</v>
      </c>
      <c r="AA84" s="386">
        <v>200</v>
      </c>
      <c r="AB84" s="392">
        <v>7.2</v>
      </c>
      <c r="AC84" s="28">
        <v>0</v>
      </c>
      <c r="AD84" s="28">
        <v>1</v>
      </c>
      <c r="AE84" s="28">
        <v>1</v>
      </c>
      <c r="AF84" s="28">
        <v>1</v>
      </c>
      <c r="AG84" s="28">
        <v>1</v>
      </c>
      <c r="AH84" s="28">
        <v>1</v>
      </c>
      <c r="AI84" s="28">
        <v>1</v>
      </c>
      <c r="AJ84" s="28">
        <v>1</v>
      </c>
    </row>
    <row r="85" spans="1:36" x14ac:dyDescent="0.25">
      <c r="A85" s="298" t="str">
        <f>IF('Kwaliteit conversie'!$D$4='Prijs karton'!C85,"X"," ")</f>
        <v xml:space="preserve"> </v>
      </c>
      <c r="B85" s="331" t="s">
        <v>36</v>
      </c>
      <c r="C85" s="359" t="s">
        <v>327</v>
      </c>
      <c r="D85" s="366">
        <v>0.58499999999999996</v>
      </c>
      <c r="E85" s="321">
        <v>5.6</v>
      </c>
      <c r="F85" s="925">
        <v>0</v>
      </c>
      <c r="G85" s="315">
        <v>47.4</v>
      </c>
      <c r="H85" s="315">
        <v>44.4</v>
      </c>
      <c r="I85" s="315">
        <v>43.9</v>
      </c>
      <c r="J85" s="315">
        <v>43.9</v>
      </c>
      <c r="K85" s="513">
        <v>43.4</v>
      </c>
      <c r="L85" s="926" t="s">
        <v>328</v>
      </c>
      <c r="M85" s="331" t="s">
        <v>257</v>
      </c>
      <c r="N85" s="366" t="s">
        <v>255</v>
      </c>
      <c r="O85" s="323" t="s">
        <v>244</v>
      </c>
      <c r="P85" s="386" t="s">
        <v>244</v>
      </c>
      <c r="Q85" s="323" t="s">
        <v>239</v>
      </c>
      <c r="R85" s="366" t="s">
        <v>239</v>
      </c>
      <c r="S85" s="378" t="s">
        <v>249</v>
      </c>
      <c r="T85" s="324" t="s">
        <v>245</v>
      </c>
      <c r="U85" s="386">
        <v>250</v>
      </c>
      <c r="V85" s="386">
        <v>2450</v>
      </c>
      <c r="W85" s="386">
        <v>500</v>
      </c>
      <c r="X85" s="386">
        <v>6200</v>
      </c>
      <c r="Y85" s="386">
        <v>180</v>
      </c>
      <c r="Z85" s="386">
        <v>90</v>
      </c>
      <c r="AA85" s="386">
        <v>200</v>
      </c>
      <c r="AB85" s="392">
        <v>6.6</v>
      </c>
      <c r="AC85" s="28">
        <v>0</v>
      </c>
      <c r="AD85" s="28">
        <v>1</v>
      </c>
      <c r="AE85" s="28">
        <v>1</v>
      </c>
      <c r="AF85" s="28">
        <v>1</v>
      </c>
      <c r="AG85" s="28">
        <v>1</v>
      </c>
      <c r="AH85" s="28">
        <v>1</v>
      </c>
      <c r="AI85" s="28">
        <v>1</v>
      </c>
      <c r="AJ85" s="28">
        <v>1</v>
      </c>
    </row>
    <row r="86" spans="1:36" x14ac:dyDescent="0.25">
      <c r="A86" s="298" t="str">
        <f>IF('Kwaliteit conversie'!$D$4='Prijs karton'!C86,"X"," ")</f>
        <v xml:space="preserve"> </v>
      </c>
      <c r="B86" s="331" t="s">
        <v>36</v>
      </c>
      <c r="C86" s="359" t="s">
        <v>329</v>
      </c>
      <c r="D86" s="366">
        <v>0.56999999999999995</v>
      </c>
      <c r="E86" s="321">
        <v>5.6</v>
      </c>
      <c r="F86" s="925">
        <v>0</v>
      </c>
      <c r="G86" s="315">
        <v>52.6</v>
      </c>
      <c r="H86" s="315">
        <v>49.6</v>
      </c>
      <c r="I86" s="315">
        <v>49.1</v>
      </c>
      <c r="J86" s="315">
        <v>49.1</v>
      </c>
      <c r="K86" s="513">
        <v>48.6</v>
      </c>
      <c r="L86" s="926" t="s">
        <v>330</v>
      </c>
      <c r="M86" s="331" t="s">
        <v>331</v>
      </c>
      <c r="N86" s="366" t="s">
        <v>255</v>
      </c>
      <c r="O86" s="323" t="s">
        <v>244</v>
      </c>
      <c r="P86" s="386" t="s">
        <v>244</v>
      </c>
      <c r="Q86" s="323" t="s">
        <v>239</v>
      </c>
      <c r="R86" s="366" t="s">
        <v>239</v>
      </c>
      <c r="S86" s="378" t="s">
        <v>249</v>
      </c>
      <c r="T86" s="324" t="s">
        <v>245</v>
      </c>
      <c r="U86" s="386">
        <v>250</v>
      </c>
      <c r="V86" s="386">
        <v>2450</v>
      </c>
      <c r="W86" s="386">
        <v>500</v>
      </c>
      <c r="X86" s="386">
        <v>6200</v>
      </c>
      <c r="Y86" s="386">
        <v>180</v>
      </c>
      <c r="Z86" s="386">
        <v>90</v>
      </c>
      <c r="AA86" s="386">
        <v>200</v>
      </c>
      <c r="AB86" s="392">
        <v>6.8</v>
      </c>
      <c r="AC86" s="28">
        <v>0</v>
      </c>
      <c r="AD86" s="28">
        <v>1</v>
      </c>
      <c r="AE86" s="28">
        <v>1</v>
      </c>
      <c r="AF86" s="28">
        <v>1</v>
      </c>
      <c r="AG86" s="28">
        <v>1</v>
      </c>
      <c r="AH86" s="28">
        <v>1</v>
      </c>
      <c r="AI86" s="28">
        <v>1</v>
      </c>
      <c r="AJ86" s="28">
        <v>1</v>
      </c>
    </row>
    <row r="87" spans="1:36" x14ac:dyDescent="0.25">
      <c r="A87" s="298" t="str">
        <f>IF('Kwaliteit conversie'!$D$4='Prijs karton'!C87,"X"," ")</f>
        <v xml:space="preserve"> </v>
      </c>
      <c r="B87" s="331" t="s">
        <v>36</v>
      </c>
      <c r="C87" s="359" t="s">
        <v>332</v>
      </c>
      <c r="D87" s="366">
        <v>0.56000000000000005</v>
      </c>
      <c r="E87" s="321">
        <v>5.6</v>
      </c>
      <c r="F87" s="925">
        <v>0</v>
      </c>
      <c r="G87" s="315">
        <v>59.4</v>
      </c>
      <c r="H87" s="315">
        <v>56.4</v>
      </c>
      <c r="I87" s="315">
        <v>55.9</v>
      </c>
      <c r="J87" s="315">
        <v>55.9</v>
      </c>
      <c r="K87" s="513">
        <v>55.4</v>
      </c>
      <c r="L87" s="926" t="s">
        <v>333</v>
      </c>
      <c r="M87" s="331" t="s">
        <v>289</v>
      </c>
      <c r="N87" s="366" t="s">
        <v>255</v>
      </c>
      <c r="O87" s="323" t="s">
        <v>244</v>
      </c>
      <c r="P87" s="386" t="s">
        <v>244</v>
      </c>
      <c r="Q87" s="323" t="s">
        <v>239</v>
      </c>
      <c r="R87" s="366" t="s">
        <v>239</v>
      </c>
      <c r="S87" s="378" t="s">
        <v>243</v>
      </c>
      <c r="T87" s="324" t="s">
        <v>245</v>
      </c>
      <c r="U87" s="386">
        <v>250</v>
      </c>
      <c r="V87" s="386">
        <v>2450</v>
      </c>
      <c r="W87" s="386">
        <v>500</v>
      </c>
      <c r="X87" s="386">
        <v>6200</v>
      </c>
      <c r="Y87" s="386">
        <v>180</v>
      </c>
      <c r="Z87" s="386">
        <v>90</v>
      </c>
      <c r="AA87" s="386">
        <v>200</v>
      </c>
      <c r="AB87" s="392">
        <v>6.5</v>
      </c>
      <c r="AC87" s="28">
        <v>0</v>
      </c>
      <c r="AD87" s="28">
        <v>1</v>
      </c>
      <c r="AE87" s="28">
        <v>1</v>
      </c>
      <c r="AF87" s="28">
        <v>1</v>
      </c>
      <c r="AG87" s="28">
        <v>1</v>
      </c>
      <c r="AH87" s="28">
        <v>1</v>
      </c>
      <c r="AI87" s="28">
        <v>1</v>
      </c>
      <c r="AJ87" s="28">
        <v>1</v>
      </c>
    </row>
    <row r="88" spans="1:36" x14ac:dyDescent="0.25">
      <c r="A88" s="298" t="str">
        <f>IF('Kwaliteit conversie'!$D$4='Prijs karton'!C88,"X"," ")</f>
        <v xml:space="preserve"> </v>
      </c>
      <c r="B88" s="331" t="s">
        <v>36</v>
      </c>
      <c r="C88" s="359" t="s">
        <v>334</v>
      </c>
      <c r="D88" s="366">
        <v>0.60399999999999998</v>
      </c>
      <c r="E88" s="321">
        <v>6.58</v>
      </c>
      <c r="F88" s="925">
        <v>0</v>
      </c>
      <c r="G88" s="315" t="s">
        <v>315</v>
      </c>
      <c r="H88" s="315">
        <v>69.099999999999994</v>
      </c>
      <c r="I88" s="315">
        <v>69.099999999999994</v>
      </c>
      <c r="J88" s="315">
        <v>68.099999999999994</v>
      </c>
      <c r="K88" s="513">
        <v>67.599999999999994</v>
      </c>
      <c r="L88" s="926" t="s">
        <v>335</v>
      </c>
      <c r="M88" s="331" t="s">
        <v>289</v>
      </c>
      <c r="N88" s="366" t="s">
        <v>238</v>
      </c>
      <c r="O88" s="323" t="s">
        <v>255</v>
      </c>
      <c r="P88" s="386" t="s">
        <v>238</v>
      </c>
      <c r="Q88" s="323" t="s">
        <v>239</v>
      </c>
      <c r="R88" s="366" t="s">
        <v>239</v>
      </c>
      <c r="S88" s="378" t="s">
        <v>260</v>
      </c>
      <c r="T88" s="324" t="s">
        <v>240</v>
      </c>
      <c r="U88" s="386">
        <v>240</v>
      </c>
      <c r="V88" s="386">
        <v>2450</v>
      </c>
      <c r="W88" s="386">
        <v>500</v>
      </c>
      <c r="X88" s="386">
        <v>6000</v>
      </c>
      <c r="Y88" s="386">
        <v>60</v>
      </c>
      <c r="Z88" s="386">
        <v>60</v>
      </c>
      <c r="AA88" s="386">
        <v>500</v>
      </c>
      <c r="AB88" s="392">
        <v>7.51</v>
      </c>
      <c r="AC88" s="28"/>
      <c r="AD88" s="28">
        <v>1</v>
      </c>
      <c r="AE88" s="28">
        <v>1</v>
      </c>
      <c r="AF88" s="28">
        <v>1</v>
      </c>
      <c r="AG88" s="28">
        <v>1</v>
      </c>
      <c r="AH88" s="28">
        <v>1</v>
      </c>
      <c r="AI88" s="28">
        <v>1</v>
      </c>
      <c r="AJ88" s="28">
        <v>1</v>
      </c>
    </row>
    <row r="89" spans="1:36" x14ac:dyDescent="0.25">
      <c r="A89" s="298" t="str">
        <f>IF('Kwaliteit conversie'!$D$4='Prijs karton'!C89,"X"," ")</f>
        <v xml:space="preserve"> </v>
      </c>
      <c r="B89" s="331" t="s">
        <v>36</v>
      </c>
      <c r="C89" s="359" t="s">
        <v>336</v>
      </c>
      <c r="D89" s="366">
        <v>0.64500000000000002</v>
      </c>
      <c r="E89" s="321">
        <v>5.6</v>
      </c>
      <c r="F89" s="925">
        <v>0</v>
      </c>
      <c r="G89" s="315">
        <v>56.4</v>
      </c>
      <c r="H89" s="315">
        <v>53.4</v>
      </c>
      <c r="I89" s="315">
        <v>52.9</v>
      </c>
      <c r="J89" s="315">
        <v>52.9</v>
      </c>
      <c r="K89" s="513">
        <v>52.4</v>
      </c>
      <c r="L89" s="926" t="s">
        <v>337</v>
      </c>
      <c r="M89" s="331" t="s">
        <v>274</v>
      </c>
      <c r="N89" s="366" t="s">
        <v>255</v>
      </c>
      <c r="O89" s="323" t="s">
        <v>244</v>
      </c>
      <c r="P89" s="386" t="s">
        <v>285</v>
      </c>
      <c r="Q89" s="323" t="s">
        <v>239</v>
      </c>
      <c r="R89" s="366" t="s">
        <v>239</v>
      </c>
      <c r="S89" s="378" t="s">
        <v>257</v>
      </c>
      <c r="T89" s="324" t="s">
        <v>245</v>
      </c>
      <c r="U89" s="386">
        <v>250</v>
      </c>
      <c r="V89" s="386">
        <v>2450</v>
      </c>
      <c r="W89" s="386">
        <v>500</v>
      </c>
      <c r="X89" s="386">
        <v>6200</v>
      </c>
      <c r="Y89" s="386">
        <v>180</v>
      </c>
      <c r="Z89" s="386">
        <v>90</v>
      </c>
      <c r="AA89" s="386">
        <v>200</v>
      </c>
      <c r="AB89" s="392">
        <v>8.1</v>
      </c>
      <c r="AC89" s="28">
        <v>10</v>
      </c>
      <c r="AD89" s="28">
        <v>1</v>
      </c>
      <c r="AE89" s="28">
        <v>1</v>
      </c>
      <c r="AF89" s="28">
        <v>1</v>
      </c>
      <c r="AG89" s="28">
        <v>1</v>
      </c>
      <c r="AH89" s="28">
        <v>1</v>
      </c>
      <c r="AI89" s="28">
        <v>1</v>
      </c>
      <c r="AJ89" s="28">
        <v>1</v>
      </c>
    </row>
    <row r="90" spans="1:36" x14ac:dyDescent="0.25">
      <c r="A90" s="298" t="str">
        <f>IF('Kwaliteit conversie'!$D$4='Prijs karton'!C90,"X"," ")</f>
        <v xml:space="preserve"> </v>
      </c>
      <c r="B90" s="331" t="s">
        <v>36</v>
      </c>
      <c r="C90" s="359" t="s">
        <v>338</v>
      </c>
      <c r="D90" s="366">
        <v>0.58899999999999997</v>
      </c>
      <c r="E90" s="321">
        <v>6.59</v>
      </c>
      <c r="F90" s="925">
        <v>0</v>
      </c>
      <c r="G90" s="315">
        <v>67.2</v>
      </c>
      <c r="H90" s="315">
        <v>64.2</v>
      </c>
      <c r="I90" s="315">
        <v>64.2</v>
      </c>
      <c r="J90" s="315">
        <v>63.7</v>
      </c>
      <c r="K90" s="513">
        <v>63.2</v>
      </c>
      <c r="L90" s="926" t="s">
        <v>339</v>
      </c>
      <c r="M90" s="331" t="s">
        <v>340</v>
      </c>
      <c r="N90" s="366" t="s">
        <v>238</v>
      </c>
      <c r="O90" s="323" t="s">
        <v>255</v>
      </c>
      <c r="P90" s="386" t="s">
        <v>238</v>
      </c>
      <c r="Q90" s="323" t="s">
        <v>239</v>
      </c>
      <c r="R90" s="366" t="s">
        <v>239</v>
      </c>
      <c r="S90" s="378" t="s">
        <v>260</v>
      </c>
      <c r="T90" s="324" t="s">
        <v>240</v>
      </c>
      <c r="U90" s="386">
        <v>240</v>
      </c>
      <c r="V90" s="386">
        <v>2450</v>
      </c>
      <c r="W90" s="386">
        <v>500</v>
      </c>
      <c r="X90" s="386">
        <v>6000</v>
      </c>
      <c r="Y90" s="386">
        <v>60</v>
      </c>
      <c r="Z90" s="386">
        <v>60</v>
      </c>
      <c r="AA90" s="386">
        <v>200</v>
      </c>
      <c r="AB90" s="392">
        <v>7.35</v>
      </c>
      <c r="AC90" s="28">
        <v>0</v>
      </c>
      <c r="AD90" s="28">
        <v>1</v>
      </c>
      <c r="AE90" s="28">
        <v>1</v>
      </c>
      <c r="AF90" s="28">
        <v>1</v>
      </c>
      <c r="AG90" s="28">
        <v>1</v>
      </c>
      <c r="AH90" s="28">
        <v>1</v>
      </c>
      <c r="AI90" s="28">
        <v>1</v>
      </c>
      <c r="AJ90" s="28">
        <v>1</v>
      </c>
    </row>
    <row r="91" spans="1:36" x14ac:dyDescent="0.25">
      <c r="A91" s="298" t="str">
        <f>IF('Kwaliteit conversie'!$D$4='Prijs karton'!C91,"X"," ")</f>
        <v xml:space="preserve"> </v>
      </c>
      <c r="B91" s="331" t="s">
        <v>36</v>
      </c>
      <c r="C91" s="359"/>
      <c r="D91" s="366"/>
      <c r="E91" s="321"/>
      <c r="F91" s="925"/>
      <c r="G91" s="315"/>
      <c r="H91" s="315"/>
      <c r="I91" s="315"/>
      <c r="J91" s="315"/>
      <c r="K91" s="513"/>
      <c r="L91" s="926"/>
      <c r="M91" s="331"/>
      <c r="N91" s="366"/>
      <c r="O91" s="323"/>
      <c r="P91" s="386"/>
      <c r="Q91" s="323"/>
      <c r="R91" s="366"/>
      <c r="S91" s="378"/>
      <c r="T91" s="324"/>
      <c r="U91" s="386"/>
      <c r="V91" s="386"/>
      <c r="W91" s="386"/>
      <c r="X91" s="386"/>
      <c r="Y91" s="386"/>
      <c r="Z91" s="386"/>
      <c r="AA91" s="386"/>
      <c r="AB91" s="392"/>
      <c r="AC91" s="28">
        <v>0</v>
      </c>
      <c r="AD91" s="28"/>
      <c r="AE91" s="28"/>
      <c r="AF91" s="28"/>
      <c r="AG91" s="28"/>
      <c r="AH91" s="28"/>
      <c r="AI91" s="28"/>
      <c r="AJ91" s="28"/>
    </row>
    <row r="92" spans="1:36" x14ac:dyDescent="0.25">
      <c r="A92" s="298" t="str">
        <f>IF('Kwaliteit conversie'!$D$4='Prijs karton'!C92,"X"," ")</f>
        <v xml:space="preserve"> </v>
      </c>
      <c r="B92" s="331" t="s">
        <v>36</v>
      </c>
      <c r="C92" s="359" t="s">
        <v>341</v>
      </c>
      <c r="D92" s="366">
        <v>0.61399999999999999</v>
      </c>
      <c r="E92" s="321">
        <v>6.62</v>
      </c>
      <c r="F92" s="925">
        <v>0</v>
      </c>
      <c r="G92" s="315">
        <v>72.2</v>
      </c>
      <c r="H92" s="315">
        <v>69.2</v>
      </c>
      <c r="I92" s="315">
        <v>69.2</v>
      </c>
      <c r="J92" s="315">
        <v>67.2</v>
      </c>
      <c r="K92" s="513">
        <v>67.2</v>
      </c>
      <c r="L92" s="926" t="s">
        <v>342</v>
      </c>
      <c r="M92" s="331" t="s">
        <v>277</v>
      </c>
      <c r="N92" s="366" t="s">
        <v>238</v>
      </c>
      <c r="O92" s="323" t="s">
        <v>255</v>
      </c>
      <c r="P92" s="386" t="s">
        <v>238</v>
      </c>
      <c r="Q92" s="323" t="s">
        <v>239</v>
      </c>
      <c r="R92" s="366" t="s">
        <v>239</v>
      </c>
      <c r="S92" s="378" t="s">
        <v>260</v>
      </c>
      <c r="T92" s="324" t="s">
        <v>240</v>
      </c>
      <c r="U92" s="386">
        <v>240</v>
      </c>
      <c r="V92" s="386">
        <v>2450</v>
      </c>
      <c r="W92" s="386">
        <v>500</v>
      </c>
      <c r="X92" s="386">
        <v>6000</v>
      </c>
      <c r="Y92" s="386">
        <v>60</v>
      </c>
      <c r="Z92" s="386">
        <v>60</v>
      </c>
      <c r="AA92" s="386">
        <v>200</v>
      </c>
      <c r="AB92" s="392">
        <v>7.7</v>
      </c>
      <c r="AC92" s="28">
        <v>0</v>
      </c>
      <c r="AD92" s="28">
        <v>1</v>
      </c>
      <c r="AE92" s="28">
        <v>1</v>
      </c>
      <c r="AF92" s="28">
        <v>1</v>
      </c>
      <c r="AG92" s="28">
        <v>1</v>
      </c>
      <c r="AH92" s="28">
        <v>1</v>
      </c>
      <c r="AI92" s="28">
        <v>1</v>
      </c>
      <c r="AJ92" s="28">
        <v>1</v>
      </c>
    </row>
    <row r="93" spans="1:36" x14ac:dyDescent="0.25">
      <c r="A93" s="298" t="str">
        <f>IF('Kwaliteit conversie'!$D$4='Prijs karton'!C93,"X"," ")</f>
        <v xml:space="preserve"> </v>
      </c>
      <c r="B93" s="331" t="s">
        <v>36</v>
      </c>
      <c r="C93" s="359" t="s">
        <v>343</v>
      </c>
      <c r="D93" s="366">
        <v>0.66500000000000004</v>
      </c>
      <c r="E93" s="321">
        <v>5.7</v>
      </c>
      <c r="F93" s="925">
        <v>0</v>
      </c>
      <c r="G93" s="315">
        <v>63.4</v>
      </c>
      <c r="H93" s="315">
        <v>60.4</v>
      </c>
      <c r="I93" s="315">
        <v>59.9</v>
      </c>
      <c r="J93" s="315">
        <v>59.9</v>
      </c>
      <c r="K93" s="513">
        <v>59.4</v>
      </c>
      <c r="L93" s="926" t="s">
        <v>344</v>
      </c>
      <c r="M93" s="331" t="s">
        <v>277</v>
      </c>
      <c r="N93" s="366" t="s">
        <v>255</v>
      </c>
      <c r="O93" s="323" t="s">
        <v>244</v>
      </c>
      <c r="P93" s="386" t="s">
        <v>265</v>
      </c>
      <c r="Q93" s="323" t="s">
        <v>239</v>
      </c>
      <c r="R93" s="366" t="s">
        <v>239</v>
      </c>
      <c r="S93" s="378" t="s">
        <v>257</v>
      </c>
      <c r="T93" s="324" t="s">
        <v>245</v>
      </c>
      <c r="U93" s="386">
        <v>250</v>
      </c>
      <c r="V93" s="386">
        <v>2450</v>
      </c>
      <c r="W93" s="386">
        <v>500</v>
      </c>
      <c r="X93" s="386">
        <v>6200</v>
      </c>
      <c r="Y93" s="386">
        <v>180</v>
      </c>
      <c r="Z93" s="386">
        <v>90</v>
      </c>
      <c r="AA93" s="386">
        <v>200</v>
      </c>
      <c r="AB93" s="392">
        <v>8.1</v>
      </c>
      <c r="AC93" s="28">
        <v>0</v>
      </c>
      <c r="AD93" s="28">
        <v>1</v>
      </c>
      <c r="AE93" s="28">
        <v>1</v>
      </c>
      <c r="AF93" s="28">
        <v>1</v>
      </c>
      <c r="AG93" s="28">
        <v>1</v>
      </c>
      <c r="AH93" s="28">
        <v>1</v>
      </c>
      <c r="AI93" s="28">
        <v>1</v>
      </c>
      <c r="AJ93" s="28">
        <v>1</v>
      </c>
    </row>
    <row r="94" spans="1:36" x14ac:dyDescent="0.25">
      <c r="A94" s="298" t="str">
        <f>IF('Kwaliteit conversie'!$D$4='Prijs karton'!C94,"X"," ")</f>
        <v xml:space="preserve"> </v>
      </c>
      <c r="B94" s="331" t="s">
        <v>36</v>
      </c>
      <c r="C94" s="359" t="s">
        <v>345</v>
      </c>
      <c r="D94" s="366">
        <v>0.69899999999999995</v>
      </c>
      <c r="E94" s="321">
        <v>6.75</v>
      </c>
      <c r="F94" s="925">
        <v>0</v>
      </c>
      <c r="G94" s="315">
        <v>77.900000000000006</v>
      </c>
      <c r="H94" s="315">
        <v>74.900000000000006</v>
      </c>
      <c r="I94" s="315">
        <v>74.900000000000006</v>
      </c>
      <c r="J94" s="315">
        <v>72.900000000000006</v>
      </c>
      <c r="K94" s="513">
        <v>72.900000000000006</v>
      </c>
      <c r="L94" s="926" t="s">
        <v>346</v>
      </c>
      <c r="M94" s="331" t="s">
        <v>300</v>
      </c>
      <c r="N94" s="366" t="s">
        <v>238</v>
      </c>
      <c r="O94" s="323" t="s">
        <v>255</v>
      </c>
      <c r="P94" s="386" t="s">
        <v>238</v>
      </c>
      <c r="Q94" s="323" t="s">
        <v>239</v>
      </c>
      <c r="R94" s="366" t="s">
        <v>239</v>
      </c>
      <c r="S94" s="378" t="s">
        <v>301</v>
      </c>
      <c r="T94" s="324" t="s">
        <v>240</v>
      </c>
      <c r="U94" s="386">
        <v>240</v>
      </c>
      <c r="V94" s="386">
        <v>2450</v>
      </c>
      <c r="W94" s="386">
        <v>500</v>
      </c>
      <c r="X94" s="386">
        <v>6000</v>
      </c>
      <c r="Y94" s="386">
        <v>60</v>
      </c>
      <c r="Z94" s="386">
        <v>60</v>
      </c>
      <c r="AA94" s="386">
        <v>200</v>
      </c>
      <c r="AB94" s="392">
        <v>8.49</v>
      </c>
      <c r="AC94" s="28"/>
      <c r="AD94" s="28">
        <v>1</v>
      </c>
      <c r="AE94" s="28">
        <v>1</v>
      </c>
      <c r="AF94" s="28">
        <v>1</v>
      </c>
      <c r="AG94" s="28">
        <v>1</v>
      </c>
      <c r="AH94" s="28">
        <v>1</v>
      </c>
      <c r="AI94" s="28">
        <v>1</v>
      </c>
      <c r="AJ94" s="28">
        <v>1</v>
      </c>
    </row>
    <row r="95" spans="1:36" x14ac:dyDescent="0.25">
      <c r="A95" s="298" t="str">
        <f>IF('Kwaliteit conversie'!$D$4='Prijs karton'!C95,"X"," ")</f>
        <v xml:space="preserve"> </v>
      </c>
      <c r="B95" s="331" t="s">
        <v>36</v>
      </c>
      <c r="C95" s="359" t="s">
        <v>347</v>
      </c>
      <c r="D95" s="366">
        <v>0.68500000000000005</v>
      </c>
      <c r="E95" s="321">
        <v>5.7</v>
      </c>
      <c r="F95" s="925">
        <v>0</v>
      </c>
      <c r="G95" s="315">
        <v>66.7</v>
      </c>
      <c r="H95" s="315">
        <v>63.7</v>
      </c>
      <c r="I95" s="315">
        <v>63.2</v>
      </c>
      <c r="J95" s="315">
        <v>63.2</v>
      </c>
      <c r="K95" s="513">
        <v>62.7</v>
      </c>
      <c r="L95" s="926" t="s">
        <v>348</v>
      </c>
      <c r="M95" s="331" t="s">
        <v>297</v>
      </c>
      <c r="N95" s="366" t="s">
        <v>255</v>
      </c>
      <c r="O95" s="323" t="s">
        <v>244</v>
      </c>
      <c r="P95" s="386" t="s">
        <v>285</v>
      </c>
      <c r="Q95" s="323" t="s">
        <v>239</v>
      </c>
      <c r="R95" s="366" t="s">
        <v>239</v>
      </c>
      <c r="S95" s="378" t="s">
        <v>274</v>
      </c>
      <c r="T95" s="324" t="s">
        <v>245</v>
      </c>
      <c r="U95" s="386">
        <v>250</v>
      </c>
      <c r="V95" s="386">
        <v>2450</v>
      </c>
      <c r="W95" s="386">
        <v>500</v>
      </c>
      <c r="X95" s="386">
        <v>6200</v>
      </c>
      <c r="Y95" s="386">
        <v>180</v>
      </c>
      <c r="Z95" s="386">
        <v>90</v>
      </c>
      <c r="AA95" s="386">
        <v>200</v>
      </c>
      <c r="AB95" s="392">
        <v>9</v>
      </c>
      <c r="AC95" s="28">
        <v>0</v>
      </c>
      <c r="AD95" s="28">
        <v>1</v>
      </c>
      <c r="AE95" s="28">
        <v>1</v>
      </c>
      <c r="AF95" s="28">
        <v>1</v>
      </c>
      <c r="AG95" s="28">
        <v>1</v>
      </c>
      <c r="AH95" s="28">
        <v>1</v>
      </c>
      <c r="AI95" s="28">
        <v>1</v>
      </c>
      <c r="AJ95" s="28">
        <v>1</v>
      </c>
    </row>
    <row r="96" spans="1:36" x14ac:dyDescent="0.25">
      <c r="A96" s="298" t="str">
        <f>IF('Kwaliteit conversie'!$D$4='Prijs karton'!C96,"X"," ")</f>
        <v xml:space="preserve"> </v>
      </c>
      <c r="B96" s="331" t="s">
        <v>36</v>
      </c>
      <c r="C96" s="359"/>
      <c r="D96" s="366"/>
      <c r="E96" s="321"/>
      <c r="F96" s="925"/>
      <c r="G96" s="315"/>
      <c r="H96" s="315"/>
      <c r="I96" s="315"/>
      <c r="J96" s="315"/>
      <c r="K96" s="513"/>
      <c r="L96" s="926"/>
      <c r="M96" s="331"/>
      <c r="N96" s="366"/>
      <c r="O96" s="323"/>
      <c r="P96" s="386"/>
      <c r="Q96" s="323"/>
      <c r="R96" s="366"/>
      <c r="S96" s="378"/>
      <c r="T96" s="324"/>
      <c r="U96" s="386"/>
      <c r="V96" s="386"/>
      <c r="W96" s="386"/>
      <c r="X96" s="386"/>
      <c r="Y96" s="386"/>
      <c r="Z96" s="386"/>
      <c r="AA96" s="386"/>
      <c r="AB96" s="392"/>
      <c r="AC96" s="28"/>
      <c r="AD96" s="28"/>
      <c r="AE96" s="28"/>
      <c r="AF96" s="28"/>
      <c r="AG96" s="28"/>
      <c r="AH96" s="28"/>
      <c r="AI96" s="28"/>
      <c r="AJ96" s="28"/>
    </row>
    <row r="97" spans="1:36" x14ac:dyDescent="0.25">
      <c r="A97" s="298" t="str">
        <f>IF('Kwaliteit conversie'!$D$4='Prijs karton'!C97,"X"," ")</f>
        <v xml:space="preserve"> </v>
      </c>
      <c r="B97" s="331" t="s">
        <v>36</v>
      </c>
      <c r="C97" s="359" t="s">
        <v>349</v>
      </c>
      <c r="D97" s="366">
        <v>0.71</v>
      </c>
      <c r="E97" s="321">
        <v>5.7</v>
      </c>
      <c r="F97" s="925">
        <v>0</v>
      </c>
      <c r="G97" s="315">
        <v>73</v>
      </c>
      <c r="H97" s="315">
        <v>70</v>
      </c>
      <c r="I97" s="315">
        <v>69.5</v>
      </c>
      <c r="J97" s="315">
        <v>69.5</v>
      </c>
      <c r="K97" s="513">
        <v>69</v>
      </c>
      <c r="L97" s="926" t="s">
        <v>350</v>
      </c>
      <c r="M97" s="331" t="s">
        <v>294</v>
      </c>
      <c r="N97" s="366" t="s">
        <v>255</v>
      </c>
      <c r="O97" s="323" t="s">
        <v>244</v>
      </c>
      <c r="P97" s="386" t="s">
        <v>265</v>
      </c>
      <c r="Q97" s="323" t="s">
        <v>239</v>
      </c>
      <c r="R97" s="366" t="s">
        <v>239</v>
      </c>
      <c r="S97" s="378" t="s">
        <v>274</v>
      </c>
      <c r="T97" s="324" t="s">
        <v>245</v>
      </c>
      <c r="U97" s="386">
        <v>250</v>
      </c>
      <c r="V97" s="386">
        <v>2450</v>
      </c>
      <c r="W97" s="386">
        <v>500</v>
      </c>
      <c r="X97" s="386">
        <v>6200</v>
      </c>
      <c r="Y97" s="386">
        <v>180</v>
      </c>
      <c r="Z97" s="386">
        <v>90</v>
      </c>
      <c r="AA97" s="386">
        <v>200</v>
      </c>
      <c r="AB97" s="392">
        <v>9.1</v>
      </c>
      <c r="AC97" s="28">
        <v>0</v>
      </c>
      <c r="AD97" s="28">
        <v>1</v>
      </c>
      <c r="AE97" s="28">
        <v>1</v>
      </c>
      <c r="AF97" s="28">
        <v>1</v>
      </c>
      <c r="AG97" s="28">
        <v>1</v>
      </c>
      <c r="AH97" s="28">
        <v>1</v>
      </c>
      <c r="AI97" s="28">
        <v>1</v>
      </c>
      <c r="AJ97" s="28">
        <v>1</v>
      </c>
    </row>
    <row r="98" spans="1:36" x14ac:dyDescent="0.25">
      <c r="A98" s="298" t="str">
        <f>IF('Kwaliteit conversie'!$D$4='Prijs karton'!C98,"X"," ")</f>
        <v xml:space="preserve"> </v>
      </c>
      <c r="B98" s="331" t="s">
        <v>36</v>
      </c>
      <c r="C98" s="359" t="s">
        <v>602</v>
      </c>
      <c r="D98" s="366">
        <v>0.745</v>
      </c>
      <c r="E98" s="321">
        <v>5.7</v>
      </c>
      <c r="F98" s="925">
        <v>0</v>
      </c>
      <c r="G98" s="315">
        <v>75.599999999999994</v>
      </c>
      <c r="H98" s="315">
        <v>72.599999999999994</v>
      </c>
      <c r="I98" s="315">
        <v>72.099999999999994</v>
      </c>
      <c r="J98" s="315">
        <v>72.099999999999994</v>
      </c>
      <c r="K98" s="513">
        <v>71.599999999999994</v>
      </c>
      <c r="L98" s="926" t="s">
        <v>976</v>
      </c>
      <c r="M98" s="331" t="s">
        <v>297</v>
      </c>
      <c r="N98" s="366" t="s">
        <v>255</v>
      </c>
      <c r="O98" s="323" t="s">
        <v>244</v>
      </c>
      <c r="P98" s="386" t="s">
        <v>265</v>
      </c>
      <c r="Q98" s="323" t="s">
        <v>239</v>
      </c>
      <c r="R98" s="366" t="s">
        <v>239</v>
      </c>
      <c r="S98" s="378" t="s">
        <v>297</v>
      </c>
      <c r="T98" s="324" t="s">
        <v>245</v>
      </c>
      <c r="U98" s="386">
        <v>250</v>
      </c>
      <c r="V98" s="386">
        <v>2450</v>
      </c>
      <c r="W98" s="386">
        <v>500</v>
      </c>
      <c r="X98" s="386">
        <v>6200</v>
      </c>
      <c r="Y98" s="386">
        <v>180</v>
      </c>
      <c r="Z98" s="386">
        <v>90</v>
      </c>
      <c r="AA98" s="386">
        <v>200</v>
      </c>
      <c r="AB98" s="392">
        <v>9.6</v>
      </c>
      <c r="AC98" s="28">
        <v>0</v>
      </c>
      <c r="AD98" s="28">
        <v>1</v>
      </c>
      <c r="AE98" s="28">
        <v>1</v>
      </c>
      <c r="AF98" s="28">
        <v>1</v>
      </c>
      <c r="AG98" s="28">
        <v>1</v>
      </c>
      <c r="AH98" s="28">
        <v>1</v>
      </c>
      <c r="AI98" s="28">
        <v>1</v>
      </c>
      <c r="AJ98" s="28">
        <v>1</v>
      </c>
    </row>
    <row r="99" spans="1:36" x14ac:dyDescent="0.25">
      <c r="A99" s="298" t="str">
        <f>IF('Kwaliteit conversie'!$D$4='Prijs karton'!C99,"X"," ")</f>
        <v xml:space="preserve"> </v>
      </c>
      <c r="B99" s="331" t="s">
        <v>36</v>
      </c>
      <c r="C99" s="359" t="s">
        <v>351</v>
      </c>
      <c r="D99" s="366">
        <v>0.745</v>
      </c>
      <c r="E99" s="321">
        <v>5.8</v>
      </c>
      <c r="F99" s="925">
        <v>0</v>
      </c>
      <c r="G99" s="315">
        <v>75.900000000000006</v>
      </c>
      <c r="H99" s="315">
        <v>72.900000000000006</v>
      </c>
      <c r="I99" s="315">
        <v>72.400000000000006</v>
      </c>
      <c r="J99" s="315">
        <v>72.400000000000006</v>
      </c>
      <c r="K99" s="513">
        <v>71.900000000000006</v>
      </c>
      <c r="L99" s="926" t="s">
        <v>352</v>
      </c>
      <c r="M99" s="331" t="s">
        <v>294</v>
      </c>
      <c r="N99" s="366" t="s">
        <v>255</v>
      </c>
      <c r="O99" s="323" t="s">
        <v>244</v>
      </c>
      <c r="P99" s="386" t="s">
        <v>265</v>
      </c>
      <c r="Q99" s="323" t="s">
        <v>239</v>
      </c>
      <c r="R99" s="366" t="s">
        <v>239</v>
      </c>
      <c r="S99" s="378" t="s">
        <v>294</v>
      </c>
      <c r="T99" s="324" t="s">
        <v>245</v>
      </c>
      <c r="U99" s="386">
        <v>250</v>
      </c>
      <c r="V99" s="386">
        <v>2450</v>
      </c>
      <c r="W99" s="386">
        <v>500</v>
      </c>
      <c r="X99" s="386">
        <v>6200</v>
      </c>
      <c r="Y99" s="386">
        <v>180</v>
      </c>
      <c r="Z99" s="386">
        <v>90</v>
      </c>
      <c r="AA99" s="386">
        <v>200</v>
      </c>
      <c r="AB99" s="392">
        <v>9.3000000000000007</v>
      </c>
      <c r="AC99" s="28">
        <v>10</v>
      </c>
      <c r="AD99" s="28">
        <v>1</v>
      </c>
      <c r="AE99" s="28">
        <v>1</v>
      </c>
      <c r="AF99" s="28">
        <v>1</v>
      </c>
      <c r="AG99" s="28">
        <v>1</v>
      </c>
      <c r="AH99" s="28">
        <v>1</v>
      </c>
      <c r="AI99" s="28">
        <v>1</v>
      </c>
      <c r="AJ99" s="28">
        <v>1</v>
      </c>
    </row>
    <row r="100" spans="1:36" x14ac:dyDescent="0.25">
      <c r="A100" s="298" t="str">
        <f>IF('Kwaliteit conversie'!$D$4='Prijs karton'!C100,"X"," ")</f>
        <v xml:space="preserve"> </v>
      </c>
      <c r="B100" s="331" t="s">
        <v>36</v>
      </c>
      <c r="C100" s="359" t="s">
        <v>353</v>
      </c>
      <c r="D100" s="366">
        <v>0.78400000000000003</v>
      </c>
      <c r="E100" s="321">
        <v>6.86</v>
      </c>
      <c r="F100" s="925">
        <v>0</v>
      </c>
      <c r="G100" s="315">
        <v>91.9</v>
      </c>
      <c r="H100" s="315">
        <v>88.9</v>
      </c>
      <c r="I100" s="315">
        <v>88.9</v>
      </c>
      <c r="J100" s="315">
        <v>86.9</v>
      </c>
      <c r="K100" s="513">
        <v>86.9</v>
      </c>
      <c r="L100" s="926" t="s">
        <v>354</v>
      </c>
      <c r="M100" s="331" t="s">
        <v>300</v>
      </c>
      <c r="N100" s="366" t="s">
        <v>238</v>
      </c>
      <c r="O100" s="323" t="s">
        <v>301</v>
      </c>
      <c r="P100" s="386" t="s">
        <v>238</v>
      </c>
      <c r="Q100" s="323" t="s">
        <v>239</v>
      </c>
      <c r="R100" s="366" t="s">
        <v>239</v>
      </c>
      <c r="S100" s="378" t="s">
        <v>300</v>
      </c>
      <c r="T100" s="324" t="s">
        <v>240</v>
      </c>
      <c r="U100" s="386">
        <v>240</v>
      </c>
      <c r="V100" s="386">
        <v>2450</v>
      </c>
      <c r="W100" s="386">
        <v>500</v>
      </c>
      <c r="X100" s="386">
        <v>6000</v>
      </c>
      <c r="Y100" s="386">
        <v>60</v>
      </c>
      <c r="Z100" s="386">
        <v>60</v>
      </c>
      <c r="AA100" s="386">
        <v>200</v>
      </c>
      <c r="AB100" s="392">
        <v>9.7100000000000009</v>
      </c>
      <c r="AC100" s="28">
        <v>0</v>
      </c>
      <c r="AD100" s="28">
        <v>1</v>
      </c>
      <c r="AE100" s="28">
        <v>1</v>
      </c>
      <c r="AF100" s="28">
        <v>1</v>
      </c>
      <c r="AG100" s="28">
        <v>1</v>
      </c>
      <c r="AH100" s="28">
        <v>1</v>
      </c>
      <c r="AI100" s="28">
        <v>1</v>
      </c>
      <c r="AJ100" s="28">
        <v>1</v>
      </c>
    </row>
    <row r="101" spans="1:36" x14ac:dyDescent="0.25">
      <c r="A101" s="298" t="str">
        <f>IF('Kwaliteit conversie'!$D$4='Prijs karton'!C101,"X"," ")</f>
        <v xml:space="preserve"> </v>
      </c>
      <c r="B101" s="331" t="s">
        <v>36</v>
      </c>
      <c r="C101" s="359"/>
      <c r="D101" s="366"/>
      <c r="E101" s="321"/>
      <c r="F101" s="925"/>
      <c r="G101" s="315"/>
      <c r="H101" s="315"/>
      <c r="I101" s="315"/>
      <c r="J101" s="315"/>
      <c r="K101" s="513"/>
      <c r="L101" s="926"/>
      <c r="M101" s="331"/>
      <c r="N101" s="366"/>
      <c r="O101" s="323"/>
      <c r="P101" s="386"/>
      <c r="Q101" s="323"/>
      <c r="R101" s="366"/>
      <c r="S101" s="378"/>
      <c r="T101" s="324"/>
      <c r="U101" s="386"/>
      <c r="V101" s="386"/>
      <c r="W101" s="386"/>
      <c r="X101" s="386"/>
      <c r="Y101" s="386"/>
      <c r="Z101" s="386"/>
      <c r="AA101" s="386"/>
      <c r="AB101" s="392"/>
      <c r="AC101" s="28"/>
      <c r="AD101" s="28"/>
      <c r="AE101" s="28"/>
      <c r="AF101" s="28"/>
      <c r="AG101" s="28"/>
      <c r="AH101" s="28"/>
      <c r="AI101" s="28"/>
      <c r="AJ101" s="28"/>
    </row>
    <row r="102" spans="1:36" x14ac:dyDescent="0.25">
      <c r="A102" s="298" t="str">
        <f>IF('Kwaliteit conversie'!$D$4='Prijs karton'!C102,"X"," ")</f>
        <v xml:space="preserve"> </v>
      </c>
      <c r="B102" s="331" t="s">
        <v>36</v>
      </c>
      <c r="C102" s="359" t="s">
        <v>355</v>
      </c>
      <c r="D102" s="366">
        <v>0.85</v>
      </c>
      <c r="E102" s="321">
        <v>5.9</v>
      </c>
      <c r="F102" s="925">
        <v>0</v>
      </c>
      <c r="G102" s="315">
        <v>78.3</v>
      </c>
      <c r="H102" s="315">
        <v>75.3</v>
      </c>
      <c r="I102" s="315">
        <v>74.8</v>
      </c>
      <c r="J102" s="315">
        <v>74.8</v>
      </c>
      <c r="K102" s="513">
        <v>74.3</v>
      </c>
      <c r="L102" s="926" t="s">
        <v>356</v>
      </c>
      <c r="M102" s="331" t="s">
        <v>294</v>
      </c>
      <c r="N102" s="366" t="s">
        <v>265</v>
      </c>
      <c r="O102" s="323" t="s">
        <v>249</v>
      </c>
      <c r="P102" s="386" t="s">
        <v>357</v>
      </c>
      <c r="Q102" s="323" t="s">
        <v>239</v>
      </c>
      <c r="R102" s="366" t="s">
        <v>239</v>
      </c>
      <c r="S102" s="378" t="s">
        <v>294</v>
      </c>
      <c r="T102" s="324" t="s">
        <v>245</v>
      </c>
      <c r="U102" s="386">
        <v>250</v>
      </c>
      <c r="V102" s="386">
        <v>2450</v>
      </c>
      <c r="W102" s="386">
        <v>500</v>
      </c>
      <c r="X102" s="386">
        <v>6200</v>
      </c>
      <c r="Y102" s="386">
        <v>180</v>
      </c>
      <c r="Z102" s="386">
        <v>90</v>
      </c>
      <c r="AA102" s="386">
        <v>200</v>
      </c>
      <c r="AB102" s="392">
        <v>10.9</v>
      </c>
      <c r="AC102" s="28">
        <v>10</v>
      </c>
      <c r="AD102" s="28">
        <v>1</v>
      </c>
      <c r="AE102" s="28">
        <v>1</v>
      </c>
      <c r="AF102" s="28">
        <v>1</v>
      </c>
      <c r="AG102" s="28">
        <v>1</v>
      </c>
      <c r="AH102" s="28">
        <v>1</v>
      </c>
      <c r="AI102" s="28">
        <v>1</v>
      </c>
      <c r="AJ102" s="28">
        <v>1</v>
      </c>
    </row>
    <row r="103" spans="1:36" x14ac:dyDescent="0.25">
      <c r="A103" s="298" t="str">
        <f>IF('Kwaliteit conversie'!$D$4='Prijs karton'!C103,"X"," ")</f>
        <v xml:space="preserve"> </v>
      </c>
      <c r="B103" s="331" t="s">
        <v>36</v>
      </c>
      <c r="C103" s="359" t="s">
        <v>358</v>
      </c>
      <c r="D103" s="366">
        <v>1.06</v>
      </c>
      <c r="E103" s="321">
        <v>6.7</v>
      </c>
      <c r="F103" s="925">
        <v>0</v>
      </c>
      <c r="G103" s="315">
        <v>114.6</v>
      </c>
      <c r="H103" s="315">
        <v>111.6</v>
      </c>
      <c r="I103" s="315">
        <v>111.1</v>
      </c>
      <c r="J103" s="315">
        <v>111.1</v>
      </c>
      <c r="K103" s="513">
        <v>110.6</v>
      </c>
      <c r="L103" s="926" t="s">
        <v>359</v>
      </c>
      <c r="M103" s="331" t="s">
        <v>360</v>
      </c>
      <c r="N103" s="366" t="s">
        <v>265</v>
      </c>
      <c r="O103" s="323" t="s">
        <v>285</v>
      </c>
      <c r="P103" s="386" t="s">
        <v>357</v>
      </c>
      <c r="Q103" s="323" t="s">
        <v>239</v>
      </c>
      <c r="R103" s="366" t="s">
        <v>239</v>
      </c>
      <c r="S103" s="378" t="s">
        <v>360</v>
      </c>
      <c r="T103" s="324" t="s">
        <v>245</v>
      </c>
      <c r="U103" s="386">
        <v>250</v>
      </c>
      <c r="V103" s="386">
        <v>2450</v>
      </c>
      <c r="W103" s="386">
        <v>500</v>
      </c>
      <c r="X103" s="386">
        <v>6200</v>
      </c>
      <c r="Y103" s="386">
        <v>170</v>
      </c>
      <c r="Z103" s="386">
        <v>90</v>
      </c>
      <c r="AA103" s="386">
        <v>200</v>
      </c>
      <c r="AB103" s="392">
        <v>14.2</v>
      </c>
      <c r="AC103" s="28">
        <v>0</v>
      </c>
      <c r="AD103" s="28">
        <v>0</v>
      </c>
      <c r="AE103" s="28">
        <v>1</v>
      </c>
      <c r="AF103" s="28">
        <v>0</v>
      </c>
      <c r="AG103" s="28">
        <v>0</v>
      </c>
      <c r="AH103" s="28">
        <v>1</v>
      </c>
      <c r="AI103" s="28">
        <v>1</v>
      </c>
      <c r="AJ103" s="28">
        <v>1</v>
      </c>
    </row>
    <row r="104" spans="1:36" x14ac:dyDescent="0.25">
      <c r="A104" s="298" t="str">
        <f>IF('Kwaliteit conversie'!$D$4='Prijs karton'!C104,"X"," ")</f>
        <v xml:space="preserve"> </v>
      </c>
      <c r="B104" s="331" t="s">
        <v>36</v>
      </c>
      <c r="C104" s="359" t="s">
        <v>361</v>
      </c>
      <c r="D104" s="366">
        <v>1.0900000000000001</v>
      </c>
      <c r="E104" s="321">
        <v>6.7</v>
      </c>
      <c r="F104" s="925">
        <v>0</v>
      </c>
      <c r="G104" s="315">
        <v>117</v>
      </c>
      <c r="H104" s="315">
        <v>114</v>
      </c>
      <c r="I104" s="315">
        <v>113.5</v>
      </c>
      <c r="J104" s="315">
        <v>113.5</v>
      </c>
      <c r="K104" s="513">
        <v>113</v>
      </c>
      <c r="L104" s="926" t="s">
        <v>362</v>
      </c>
      <c r="M104" s="331" t="s">
        <v>360</v>
      </c>
      <c r="N104" s="366" t="s">
        <v>357</v>
      </c>
      <c r="O104" s="323" t="s">
        <v>274</v>
      </c>
      <c r="P104" s="386" t="s">
        <v>357</v>
      </c>
      <c r="Q104" s="323" t="s">
        <v>239</v>
      </c>
      <c r="R104" s="366" t="s">
        <v>239</v>
      </c>
      <c r="S104" s="378" t="s">
        <v>360</v>
      </c>
      <c r="T104" s="324" t="s">
        <v>245</v>
      </c>
      <c r="U104" s="386">
        <v>250</v>
      </c>
      <c r="V104" s="386">
        <v>2450</v>
      </c>
      <c r="W104" s="386">
        <v>500</v>
      </c>
      <c r="X104" s="386">
        <v>6200</v>
      </c>
      <c r="Y104" s="386">
        <v>180</v>
      </c>
      <c r="Z104" s="386">
        <v>90</v>
      </c>
      <c r="AA104" s="386">
        <v>200</v>
      </c>
      <c r="AB104" s="392">
        <v>15.2</v>
      </c>
      <c r="AC104" s="28">
        <v>10</v>
      </c>
      <c r="AD104" s="28">
        <v>0</v>
      </c>
      <c r="AE104" s="28">
        <v>1</v>
      </c>
      <c r="AF104" s="28">
        <v>0</v>
      </c>
      <c r="AG104" s="28">
        <v>0</v>
      </c>
      <c r="AH104" s="28">
        <v>1</v>
      </c>
      <c r="AI104" s="28">
        <v>1</v>
      </c>
      <c r="AJ104" s="28">
        <v>1</v>
      </c>
    </row>
    <row r="105" spans="1:36" x14ac:dyDescent="0.25">
      <c r="A105" s="298" t="str">
        <f>IF('Kwaliteit conversie'!$D$4='Prijs karton'!C105,"X"," ")</f>
        <v xml:space="preserve"> </v>
      </c>
      <c r="B105" s="331" t="s">
        <v>36</v>
      </c>
      <c r="C105" s="359" t="s">
        <v>363</v>
      </c>
      <c r="D105" s="366">
        <v>1.028</v>
      </c>
      <c r="E105" s="321">
        <v>7.15</v>
      </c>
      <c r="F105" s="925">
        <v>0</v>
      </c>
      <c r="G105" s="315">
        <v>125</v>
      </c>
      <c r="H105" s="315">
        <v>122</v>
      </c>
      <c r="I105" s="315">
        <v>122</v>
      </c>
      <c r="J105" s="315">
        <v>120</v>
      </c>
      <c r="K105" s="513">
        <v>120</v>
      </c>
      <c r="L105" s="926" t="s">
        <v>364</v>
      </c>
      <c r="M105" s="331" t="s">
        <v>365</v>
      </c>
      <c r="N105" s="366" t="s">
        <v>260</v>
      </c>
      <c r="O105" s="323" t="s">
        <v>260</v>
      </c>
      <c r="P105" s="386" t="s">
        <v>260</v>
      </c>
      <c r="Q105" s="323" t="s">
        <v>239</v>
      </c>
      <c r="R105" s="366" t="s">
        <v>239</v>
      </c>
      <c r="S105" s="378" t="s">
        <v>365</v>
      </c>
      <c r="T105" s="324" t="s">
        <v>240</v>
      </c>
      <c r="U105" s="386">
        <v>240</v>
      </c>
      <c r="V105" s="386">
        <v>2450</v>
      </c>
      <c r="W105" s="386">
        <v>500</v>
      </c>
      <c r="X105" s="386">
        <v>6000</v>
      </c>
      <c r="Y105" s="386">
        <v>60</v>
      </c>
      <c r="Z105" s="386">
        <v>60</v>
      </c>
      <c r="AA105" s="386">
        <v>200</v>
      </c>
      <c r="AB105" s="392">
        <v>13.2</v>
      </c>
      <c r="AC105" s="28">
        <v>0</v>
      </c>
      <c r="AD105" s="28">
        <v>0</v>
      </c>
      <c r="AE105" s="28">
        <v>1</v>
      </c>
      <c r="AF105" s="28">
        <v>0</v>
      </c>
      <c r="AG105" s="28">
        <v>0</v>
      </c>
      <c r="AH105" s="28">
        <v>1</v>
      </c>
      <c r="AI105" s="28">
        <v>1</v>
      </c>
      <c r="AJ105" s="28">
        <v>1</v>
      </c>
    </row>
    <row r="106" spans="1:36" x14ac:dyDescent="0.25">
      <c r="A106" s="298" t="str">
        <f>IF('Kwaliteit conversie'!$D$4='Prijs karton'!C106,"X"," ")</f>
        <v xml:space="preserve"> </v>
      </c>
      <c r="B106" s="331" t="s">
        <v>36</v>
      </c>
      <c r="C106" s="359" t="s">
        <v>366</v>
      </c>
      <c r="D106" s="366">
        <v>1.25</v>
      </c>
      <c r="E106" s="321">
        <v>6.8</v>
      </c>
      <c r="F106" s="925">
        <v>0</v>
      </c>
      <c r="G106" s="315">
        <v>131</v>
      </c>
      <c r="H106" s="315">
        <v>128</v>
      </c>
      <c r="I106" s="315">
        <v>127.5</v>
      </c>
      <c r="J106" s="315">
        <v>127.5</v>
      </c>
      <c r="K106" s="513">
        <v>127</v>
      </c>
      <c r="L106" s="926" t="s">
        <v>367</v>
      </c>
      <c r="M106" s="331" t="s">
        <v>360</v>
      </c>
      <c r="N106" s="366" t="s">
        <v>357</v>
      </c>
      <c r="O106" s="323" t="s">
        <v>360</v>
      </c>
      <c r="P106" s="386" t="s">
        <v>357</v>
      </c>
      <c r="Q106" s="323" t="s">
        <v>239</v>
      </c>
      <c r="R106" s="366" t="s">
        <v>239</v>
      </c>
      <c r="S106" s="378" t="s">
        <v>360</v>
      </c>
      <c r="T106" s="324" t="s">
        <v>245</v>
      </c>
      <c r="U106" s="386">
        <v>250</v>
      </c>
      <c r="V106" s="386">
        <v>2450</v>
      </c>
      <c r="W106" s="386">
        <v>800</v>
      </c>
      <c r="X106" s="386">
        <v>6200</v>
      </c>
      <c r="Y106" s="386">
        <v>180</v>
      </c>
      <c r="Z106" s="386">
        <v>90</v>
      </c>
      <c r="AA106" s="386">
        <v>300</v>
      </c>
      <c r="AB106" s="392">
        <v>17.100000000000001</v>
      </c>
      <c r="AC106" s="28">
        <v>0</v>
      </c>
      <c r="AD106" s="28">
        <v>0</v>
      </c>
      <c r="AE106" s="28">
        <v>1</v>
      </c>
      <c r="AF106" s="28">
        <v>0</v>
      </c>
      <c r="AG106" s="28">
        <v>0</v>
      </c>
      <c r="AH106" s="28">
        <v>1</v>
      </c>
      <c r="AI106" s="28">
        <v>1</v>
      </c>
      <c r="AJ106" s="28">
        <v>1</v>
      </c>
    </row>
    <row r="107" spans="1:36" x14ac:dyDescent="0.25">
      <c r="A107" s="298" t="str">
        <f>IF('Kwaliteit conversie'!$D$4='Prijs karton'!C107,"X"," ")</f>
        <v xml:space="preserve"> </v>
      </c>
      <c r="B107" s="331" t="s">
        <v>36</v>
      </c>
      <c r="C107" s="359"/>
      <c r="D107" s="366"/>
      <c r="E107" s="321"/>
      <c r="F107" s="925"/>
      <c r="G107" s="315"/>
      <c r="H107" s="315"/>
      <c r="I107" s="315"/>
      <c r="J107" s="315"/>
      <c r="K107" s="513"/>
      <c r="L107" s="926"/>
      <c r="M107" s="331"/>
      <c r="N107" s="366"/>
      <c r="O107" s="323"/>
      <c r="P107" s="386"/>
      <c r="Q107" s="323"/>
      <c r="R107" s="366"/>
      <c r="S107" s="378"/>
      <c r="T107" s="324"/>
      <c r="U107" s="386"/>
      <c r="V107" s="386"/>
      <c r="W107" s="386"/>
      <c r="X107" s="386"/>
      <c r="Y107" s="386"/>
      <c r="Z107" s="386"/>
      <c r="AA107" s="386"/>
      <c r="AB107" s="392"/>
      <c r="AC107" s="28"/>
      <c r="AD107" s="28"/>
      <c r="AE107" s="28"/>
      <c r="AF107" s="28"/>
      <c r="AG107" s="28"/>
      <c r="AH107" s="28"/>
      <c r="AI107" s="28"/>
      <c r="AJ107" s="28"/>
    </row>
    <row r="108" spans="1:36" x14ac:dyDescent="0.25">
      <c r="A108" s="298" t="str">
        <f>IF('Kwaliteit conversie'!$D$4='Prijs karton'!C108,"X"," ")</f>
        <v xml:space="preserve"> </v>
      </c>
      <c r="B108" s="331" t="s">
        <v>36</v>
      </c>
      <c r="C108" s="359" t="s">
        <v>1375</v>
      </c>
      <c r="D108" s="366">
        <v>0.89700000000000002</v>
      </c>
      <c r="E108" s="321">
        <v>6.55</v>
      </c>
      <c r="F108" s="925">
        <v>0</v>
      </c>
      <c r="G108" s="315">
        <v>88.9</v>
      </c>
      <c r="H108" s="315">
        <v>87.4</v>
      </c>
      <c r="I108" s="315">
        <v>87.1</v>
      </c>
      <c r="J108" s="315">
        <v>86.8</v>
      </c>
      <c r="K108" s="513">
        <v>86.8</v>
      </c>
      <c r="L108" s="926" t="s">
        <v>1376</v>
      </c>
      <c r="M108" s="331" t="s">
        <v>1372</v>
      </c>
      <c r="N108" s="366" t="s">
        <v>265</v>
      </c>
      <c r="O108" s="323" t="s">
        <v>1367</v>
      </c>
      <c r="P108" s="386" t="s">
        <v>265</v>
      </c>
      <c r="Q108" s="323" t="s">
        <v>239</v>
      </c>
      <c r="R108" s="366" t="s">
        <v>239</v>
      </c>
      <c r="S108" s="378" t="s">
        <v>1372</v>
      </c>
      <c r="T108" s="324" t="s">
        <v>1364</v>
      </c>
      <c r="U108" s="386">
        <v>250</v>
      </c>
      <c r="V108" s="386">
        <v>2450</v>
      </c>
      <c r="W108" s="386">
        <v>600</v>
      </c>
      <c r="X108" s="386">
        <v>6000</v>
      </c>
      <c r="Y108" s="386">
        <v>130</v>
      </c>
      <c r="Z108" s="386">
        <v>65</v>
      </c>
      <c r="AA108" s="386">
        <v>200</v>
      </c>
      <c r="AB108" s="392">
        <v>11.12</v>
      </c>
      <c r="AC108" s="28">
        <v>0</v>
      </c>
      <c r="AD108" s="28">
        <v>1</v>
      </c>
      <c r="AE108" s="28">
        <v>1</v>
      </c>
      <c r="AF108" s="28">
        <v>1</v>
      </c>
      <c r="AG108" s="28">
        <v>1</v>
      </c>
      <c r="AH108" s="28">
        <v>1</v>
      </c>
      <c r="AI108" s="28">
        <v>1</v>
      </c>
      <c r="AJ108" s="28">
        <v>1</v>
      </c>
    </row>
    <row r="109" spans="1:36" x14ac:dyDescent="0.25">
      <c r="A109" s="298" t="str">
        <f>IF('Kwaliteit conversie'!$D$4='Prijs karton'!C109,"X"," ")</f>
        <v xml:space="preserve"> </v>
      </c>
      <c r="B109" s="331" t="s">
        <v>36</v>
      </c>
      <c r="C109" s="359" t="s">
        <v>1377</v>
      </c>
      <c r="D109" s="366">
        <v>1.03</v>
      </c>
      <c r="E109" s="321">
        <v>6.7</v>
      </c>
      <c r="F109" s="925">
        <v>0</v>
      </c>
      <c r="G109" s="315">
        <v>0</v>
      </c>
      <c r="H109" s="315">
        <v>119.7</v>
      </c>
      <c r="I109" s="315">
        <v>118.4</v>
      </c>
      <c r="J109" s="315">
        <v>118.4</v>
      </c>
      <c r="K109" s="513">
        <v>116.8</v>
      </c>
      <c r="L109" s="926" t="s">
        <v>1378</v>
      </c>
      <c r="M109" s="331" t="s">
        <v>360</v>
      </c>
      <c r="N109" s="366" t="s">
        <v>1379</v>
      </c>
      <c r="O109" s="323" t="s">
        <v>1367</v>
      </c>
      <c r="P109" s="386" t="s">
        <v>1379</v>
      </c>
      <c r="Q109" s="323" t="s">
        <v>239</v>
      </c>
      <c r="R109" s="366" t="s">
        <v>239</v>
      </c>
      <c r="S109" s="378" t="s">
        <v>360</v>
      </c>
      <c r="T109" s="324" t="s">
        <v>1364</v>
      </c>
      <c r="U109" s="386">
        <v>250</v>
      </c>
      <c r="V109" s="386">
        <v>2450</v>
      </c>
      <c r="W109" s="386">
        <v>600</v>
      </c>
      <c r="X109" s="386">
        <v>6000</v>
      </c>
      <c r="Y109" s="386">
        <v>130</v>
      </c>
      <c r="Z109" s="386">
        <v>65</v>
      </c>
      <c r="AA109" s="386">
        <v>500</v>
      </c>
      <c r="AB109" s="392">
        <v>13.5</v>
      </c>
      <c r="AC109" s="28">
        <v>0</v>
      </c>
      <c r="AD109" s="28">
        <v>0</v>
      </c>
      <c r="AE109" s="28">
        <v>1</v>
      </c>
      <c r="AF109" s="28">
        <v>0</v>
      </c>
      <c r="AG109" s="28">
        <v>0</v>
      </c>
      <c r="AH109" s="28">
        <v>1</v>
      </c>
      <c r="AI109" s="28">
        <v>1</v>
      </c>
      <c r="AJ109" s="28">
        <v>1</v>
      </c>
    </row>
    <row r="110" spans="1:36" x14ac:dyDescent="0.25">
      <c r="A110" s="298" t="str">
        <f>IF('Kwaliteit conversie'!$D$4='Prijs karton'!C110,"X"," ")</f>
        <v xml:space="preserve"> </v>
      </c>
      <c r="B110" s="331" t="s">
        <v>36</v>
      </c>
      <c r="C110" s="359" t="s">
        <v>1380</v>
      </c>
      <c r="D110" s="366">
        <v>0.626</v>
      </c>
      <c r="E110" s="321">
        <v>6.22</v>
      </c>
      <c r="F110" s="925">
        <v>0</v>
      </c>
      <c r="G110" s="315">
        <v>63.7</v>
      </c>
      <c r="H110" s="315">
        <v>62.4</v>
      </c>
      <c r="I110" s="315">
        <v>62.1</v>
      </c>
      <c r="J110" s="315">
        <v>61.8</v>
      </c>
      <c r="K110" s="513">
        <v>61.8</v>
      </c>
      <c r="L110" s="926" t="s">
        <v>1381</v>
      </c>
      <c r="M110" s="331" t="s">
        <v>289</v>
      </c>
      <c r="N110" s="366" t="s">
        <v>238</v>
      </c>
      <c r="O110" s="323" t="s">
        <v>244</v>
      </c>
      <c r="P110" s="386" t="s">
        <v>238</v>
      </c>
      <c r="Q110" s="323" t="s">
        <v>239</v>
      </c>
      <c r="R110" s="366" t="s">
        <v>239</v>
      </c>
      <c r="S110" s="378" t="s">
        <v>1363</v>
      </c>
      <c r="T110" s="324" t="s">
        <v>1364</v>
      </c>
      <c r="U110" s="386">
        <v>250</v>
      </c>
      <c r="V110" s="386">
        <v>2450</v>
      </c>
      <c r="W110" s="386">
        <v>600</v>
      </c>
      <c r="X110" s="386">
        <v>6000</v>
      </c>
      <c r="Y110" s="386">
        <v>130</v>
      </c>
      <c r="Z110" s="386">
        <v>65</v>
      </c>
      <c r="AA110" s="386">
        <v>200</v>
      </c>
      <c r="AB110" s="392">
        <v>7.76</v>
      </c>
      <c r="AC110" s="28">
        <v>0</v>
      </c>
      <c r="AD110" s="28">
        <v>1</v>
      </c>
      <c r="AE110" s="28">
        <v>1</v>
      </c>
      <c r="AF110" s="28">
        <v>1</v>
      </c>
      <c r="AG110" s="28">
        <v>1</v>
      </c>
      <c r="AH110" s="28">
        <v>1</v>
      </c>
      <c r="AI110" s="28">
        <v>1</v>
      </c>
      <c r="AJ110" s="28">
        <v>1</v>
      </c>
    </row>
    <row r="111" spans="1:36" x14ac:dyDescent="0.25">
      <c r="A111" s="298" t="str">
        <f>IF('Kwaliteit conversie'!$D$4='Prijs karton'!C111,"X"," ")</f>
        <v xml:space="preserve"> </v>
      </c>
      <c r="B111" s="331" t="s">
        <v>36</v>
      </c>
      <c r="C111" s="359" t="s">
        <v>1382</v>
      </c>
      <c r="D111" s="366">
        <v>0.61499999999999999</v>
      </c>
      <c r="E111" s="321">
        <v>6.24</v>
      </c>
      <c r="F111" s="925">
        <v>0</v>
      </c>
      <c r="G111" s="315">
        <v>57.4</v>
      </c>
      <c r="H111" s="315">
        <v>56</v>
      </c>
      <c r="I111" s="315">
        <v>55.7</v>
      </c>
      <c r="J111" s="315">
        <v>55.5</v>
      </c>
      <c r="K111" s="513">
        <v>55.5</v>
      </c>
      <c r="L111" s="926" t="s">
        <v>1383</v>
      </c>
      <c r="M111" s="331" t="s">
        <v>1362</v>
      </c>
      <c r="N111" s="366" t="s">
        <v>238</v>
      </c>
      <c r="O111" s="323" t="s">
        <v>244</v>
      </c>
      <c r="P111" s="386" t="s">
        <v>238</v>
      </c>
      <c r="Q111" s="323" t="s">
        <v>239</v>
      </c>
      <c r="R111" s="366" t="s">
        <v>239</v>
      </c>
      <c r="S111" s="378" t="s">
        <v>1363</v>
      </c>
      <c r="T111" s="324" t="s">
        <v>1364</v>
      </c>
      <c r="U111" s="386">
        <v>250</v>
      </c>
      <c r="V111" s="386">
        <v>2450</v>
      </c>
      <c r="W111" s="386">
        <v>600</v>
      </c>
      <c r="X111" s="386">
        <v>6000</v>
      </c>
      <c r="Y111" s="386">
        <v>130</v>
      </c>
      <c r="Z111" s="386">
        <v>65</v>
      </c>
      <c r="AA111" s="386">
        <v>200</v>
      </c>
      <c r="AB111" s="392">
        <v>7.59</v>
      </c>
      <c r="AC111" s="28">
        <v>0</v>
      </c>
      <c r="AD111" s="28">
        <v>1</v>
      </c>
      <c r="AE111" s="28">
        <v>1</v>
      </c>
      <c r="AF111" s="28">
        <v>1</v>
      </c>
      <c r="AG111" s="28">
        <v>1</v>
      </c>
      <c r="AH111" s="28">
        <v>1</v>
      </c>
      <c r="AI111" s="28">
        <v>1</v>
      </c>
      <c r="AJ111" s="28">
        <v>1</v>
      </c>
    </row>
    <row r="112" spans="1:36" x14ac:dyDescent="0.25">
      <c r="A112" s="298" t="str">
        <f>IF('Kwaliteit conversie'!$D$4='Prijs karton'!C112,"X"," ")</f>
        <v xml:space="preserve"> </v>
      </c>
      <c r="B112" s="331" t="s">
        <v>36</v>
      </c>
      <c r="C112" s="359" t="s">
        <v>1384</v>
      </c>
      <c r="D112" s="366">
        <v>0.65500000000000003</v>
      </c>
      <c r="E112" s="321">
        <v>6.3</v>
      </c>
      <c r="F112" s="925">
        <v>0</v>
      </c>
      <c r="G112" s="315">
        <v>60.7</v>
      </c>
      <c r="H112" s="315">
        <v>59.3</v>
      </c>
      <c r="I112" s="315">
        <v>59.1</v>
      </c>
      <c r="J112" s="315">
        <v>58.8</v>
      </c>
      <c r="K112" s="513">
        <v>58.8</v>
      </c>
      <c r="L112" s="926" t="s">
        <v>1385</v>
      </c>
      <c r="M112" s="331" t="s">
        <v>277</v>
      </c>
      <c r="N112" s="366" t="s">
        <v>238</v>
      </c>
      <c r="O112" s="323" t="s">
        <v>244</v>
      </c>
      <c r="P112" s="386" t="s">
        <v>238</v>
      </c>
      <c r="Q112" s="323" t="s">
        <v>239</v>
      </c>
      <c r="R112" s="366" t="s">
        <v>239</v>
      </c>
      <c r="S112" s="378" t="s">
        <v>1367</v>
      </c>
      <c r="T112" s="324" t="s">
        <v>1364</v>
      </c>
      <c r="U112" s="386">
        <v>250</v>
      </c>
      <c r="V112" s="386">
        <v>2450</v>
      </c>
      <c r="W112" s="386">
        <v>600</v>
      </c>
      <c r="X112" s="386">
        <v>6000</v>
      </c>
      <c r="Y112" s="386">
        <v>130</v>
      </c>
      <c r="Z112" s="386">
        <v>65</v>
      </c>
      <c r="AA112" s="386">
        <v>200</v>
      </c>
      <c r="AB112" s="392">
        <v>8.1</v>
      </c>
      <c r="AC112" s="28">
        <v>0</v>
      </c>
      <c r="AD112" s="28">
        <v>1</v>
      </c>
      <c r="AE112" s="28">
        <v>1</v>
      </c>
      <c r="AF112" s="28">
        <v>1</v>
      </c>
      <c r="AG112" s="28">
        <v>1</v>
      </c>
      <c r="AH112" s="28">
        <v>1</v>
      </c>
      <c r="AI112" s="28">
        <v>1</v>
      </c>
      <c r="AJ112" s="28">
        <v>1</v>
      </c>
    </row>
    <row r="113" spans="1:36" x14ac:dyDescent="0.25">
      <c r="A113" s="298" t="str">
        <f>IF('Kwaliteit conversie'!$D$4='Prijs karton'!C113,"X"," ")</f>
        <v xml:space="preserve"> </v>
      </c>
      <c r="B113" s="331" t="s">
        <v>36</v>
      </c>
      <c r="C113" s="359" t="s">
        <v>1386</v>
      </c>
      <c r="D113" s="366">
        <v>0.80100000000000005</v>
      </c>
      <c r="E113" s="321">
        <v>6.41</v>
      </c>
      <c r="F113" s="925">
        <v>0</v>
      </c>
      <c r="G113" s="315">
        <v>73.400000000000006</v>
      </c>
      <c r="H113" s="315">
        <v>71.900000000000006</v>
      </c>
      <c r="I113" s="315">
        <v>71.599999999999994</v>
      </c>
      <c r="J113" s="315">
        <v>71.400000000000006</v>
      </c>
      <c r="K113" s="513">
        <v>71.400000000000006</v>
      </c>
      <c r="L113" s="926" t="s">
        <v>1387</v>
      </c>
      <c r="M113" s="331" t="s">
        <v>1372</v>
      </c>
      <c r="N113" s="366" t="s">
        <v>265</v>
      </c>
      <c r="O113" s="323" t="s">
        <v>244</v>
      </c>
      <c r="P113" s="386" t="s">
        <v>265</v>
      </c>
      <c r="Q113" s="323" t="s">
        <v>239</v>
      </c>
      <c r="R113" s="366" t="s">
        <v>239</v>
      </c>
      <c r="S113" s="378" t="s">
        <v>1367</v>
      </c>
      <c r="T113" s="324" t="s">
        <v>1364</v>
      </c>
      <c r="U113" s="386">
        <v>250</v>
      </c>
      <c r="V113" s="386">
        <v>2450</v>
      </c>
      <c r="W113" s="386">
        <v>600</v>
      </c>
      <c r="X113" s="386">
        <v>6000</v>
      </c>
      <c r="Y113" s="386">
        <v>130</v>
      </c>
      <c r="Z113" s="386">
        <v>65</v>
      </c>
      <c r="AA113" s="386">
        <v>200</v>
      </c>
      <c r="AB113" s="392">
        <v>9.7799999999999994</v>
      </c>
      <c r="AC113" s="28">
        <v>0</v>
      </c>
      <c r="AD113" s="28">
        <v>1</v>
      </c>
      <c r="AE113" s="28">
        <v>1</v>
      </c>
      <c r="AF113" s="28">
        <v>1</v>
      </c>
      <c r="AG113" s="28">
        <v>1</v>
      </c>
      <c r="AH113" s="28">
        <v>1</v>
      </c>
      <c r="AI113" s="28">
        <v>1</v>
      </c>
      <c r="AJ113" s="28">
        <v>1</v>
      </c>
    </row>
    <row r="114" spans="1:36" x14ac:dyDescent="0.25">
      <c r="A114" s="298" t="str">
        <f>IF('Kwaliteit conversie'!$D$4='Prijs karton'!C114,"X"," ")</f>
        <v xml:space="preserve"> </v>
      </c>
      <c r="B114" s="331" t="s">
        <v>36</v>
      </c>
      <c r="C114" s="359" t="s">
        <v>1388</v>
      </c>
      <c r="D114" s="366">
        <v>0.6</v>
      </c>
      <c r="E114" s="321">
        <v>6.2</v>
      </c>
      <c r="F114" s="925">
        <v>0</v>
      </c>
      <c r="G114" s="315">
        <v>52.9</v>
      </c>
      <c r="H114" s="315">
        <v>51.6</v>
      </c>
      <c r="I114" s="315">
        <v>51.3</v>
      </c>
      <c r="J114" s="315">
        <v>51.1</v>
      </c>
      <c r="K114" s="513">
        <v>51.1</v>
      </c>
      <c r="L114" s="926" t="s">
        <v>1389</v>
      </c>
      <c r="M114" s="331" t="s">
        <v>1363</v>
      </c>
      <c r="N114" s="366" t="s">
        <v>238</v>
      </c>
      <c r="O114" s="323" t="s">
        <v>244</v>
      </c>
      <c r="P114" s="386" t="s">
        <v>238</v>
      </c>
      <c r="Q114" s="323" t="s">
        <v>239</v>
      </c>
      <c r="R114" s="366" t="s">
        <v>239</v>
      </c>
      <c r="S114" s="378" t="s">
        <v>1363</v>
      </c>
      <c r="T114" s="324" t="s">
        <v>1364</v>
      </c>
      <c r="U114" s="386">
        <v>250</v>
      </c>
      <c r="V114" s="386">
        <v>2450</v>
      </c>
      <c r="W114" s="386">
        <v>600</v>
      </c>
      <c r="X114" s="386">
        <v>6000</v>
      </c>
      <c r="Y114" s="386">
        <v>130</v>
      </c>
      <c r="Z114" s="386">
        <v>65</v>
      </c>
      <c r="AA114" s="386">
        <v>200</v>
      </c>
      <c r="AB114" s="392">
        <v>7.24</v>
      </c>
      <c r="AC114" s="28">
        <v>0</v>
      </c>
      <c r="AD114" s="28">
        <v>1</v>
      </c>
      <c r="AE114" s="28">
        <v>1</v>
      </c>
      <c r="AF114" s="28">
        <v>1</v>
      </c>
      <c r="AG114" s="28">
        <v>1</v>
      </c>
      <c r="AH114" s="28">
        <v>1</v>
      </c>
      <c r="AI114" s="28">
        <v>1</v>
      </c>
      <c r="AJ114" s="28">
        <v>1</v>
      </c>
    </row>
    <row r="115" spans="1:36" x14ac:dyDescent="0.25">
      <c r="A115" s="298" t="str">
        <f>IF('Kwaliteit conversie'!$D$4='Prijs karton'!C115,"X"," ")</f>
        <v xml:space="preserve"> </v>
      </c>
      <c r="B115" s="331" t="s">
        <v>36</v>
      </c>
      <c r="C115" s="359" t="s">
        <v>1411</v>
      </c>
      <c r="D115" s="366">
        <v>0.6</v>
      </c>
      <c r="E115" s="321">
        <v>6.2</v>
      </c>
      <c r="F115" s="925">
        <v>0</v>
      </c>
      <c r="G115" s="315">
        <v>50.3</v>
      </c>
      <c r="H115" s="315">
        <v>49</v>
      </c>
      <c r="I115" s="315">
        <v>48.8</v>
      </c>
      <c r="J115" s="315">
        <v>48.5</v>
      </c>
      <c r="K115" s="513">
        <v>48.5</v>
      </c>
      <c r="L115" s="926" t="s">
        <v>1412</v>
      </c>
      <c r="M115" s="331" t="s">
        <v>244</v>
      </c>
      <c r="N115" s="366" t="s">
        <v>244</v>
      </c>
      <c r="O115" s="323" t="s">
        <v>244</v>
      </c>
      <c r="P115" s="386" t="s">
        <v>244</v>
      </c>
      <c r="Q115" s="323" t="s">
        <v>239</v>
      </c>
      <c r="R115" s="366" t="s">
        <v>239</v>
      </c>
      <c r="S115" s="378" t="s">
        <v>244</v>
      </c>
      <c r="T115" s="324" t="s">
        <v>1364</v>
      </c>
      <c r="U115" s="386">
        <v>250</v>
      </c>
      <c r="V115" s="386">
        <v>2450</v>
      </c>
      <c r="W115" s="386">
        <v>600</v>
      </c>
      <c r="X115" s="386">
        <v>6000</v>
      </c>
      <c r="Y115" s="386">
        <v>130</v>
      </c>
      <c r="Z115" s="386">
        <v>65</v>
      </c>
      <c r="AA115" s="386">
        <v>200</v>
      </c>
      <c r="AB115" s="392">
        <v>7.03</v>
      </c>
      <c r="AC115" s="28">
        <v>0</v>
      </c>
      <c r="AD115" s="28">
        <v>1</v>
      </c>
      <c r="AE115" s="28">
        <v>1</v>
      </c>
      <c r="AF115" s="28">
        <v>1</v>
      </c>
      <c r="AG115" s="28">
        <v>1</v>
      </c>
      <c r="AH115" s="28">
        <v>1</v>
      </c>
      <c r="AI115" s="28">
        <v>1</v>
      </c>
      <c r="AJ115" s="28">
        <v>1</v>
      </c>
    </row>
    <row r="116" spans="1:36" x14ac:dyDescent="0.25">
      <c r="A116" s="298" t="str">
        <f>IF('Kwaliteit conversie'!$D$4='Prijs karton'!C116,"X"," ")</f>
        <v xml:space="preserve"> </v>
      </c>
      <c r="B116" s="331" t="s">
        <v>36</v>
      </c>
      <c r="C116" s="359"/>
      <c r="D116" s="366"/>
      <c r="E116" s="321"/>
      <c r="F116" s="925"/>
      <c r="G116" s="315"/>
      <c r="H116" s="315"/>
      <c r="I116" s="315"/>
      <c r="J116" s="315"/>
      <c r="K116" s="513"/>
      <c r="L116" s="926"/>
      <c r="M116" s="331"/>
      <c r="N116" s="366"/>
      <c r="O116" s="323"/>
      <c r="P116" s="386"/>
      <c r="Q116" s="323"/>
      <c r="R116" s="366"/>
      <c r="S116" s="378"/>
      <c r="T116" s="324"/>
      <c r="U116" s="386"/>
      <c r="V116" s="386"/>
      <c r="W116" s="386"/>
      <c r="X116" s="386"/>
      <c r="Y116" s="386"/>
      <c r="Z116" s="386"/>
      <c r="AA116" s="386"/>
      <c r="AB116" s="392"/>
      <c r="AC116" s="28"/>
      <c r="AD116" s="28"/>
      <c r="AE116" s="28"/>
      <c r="AF116" s="28"/>
      <c r="AG116" s="28"/>
      <c r="AH116" s="28"/>
      <c r="AI116" s="28"/>
      <c r="AJ116" s="28"/>
    </row>
    <row r="117" spans="1:36" x14ac:dyDescent="0.25">
      <c r="A117" s="298" t="str">
        <f>IF('Kwaliteit conversie'!$D$4='Prijs karton'!C117,"X"," ")</f>
        <v xml:space="preserve"> </v>
      </c>
      <c r="B117" s="331" t="s">
        <v>36</v>
      </c>
      <c r="C117" s="359"/>
      <c r="D117" s="366"/>
      <c r="E117" s="321"/>
      <c r="F117" s="925"/>
      <c r="G117" s="315"/>
      <c r="H117" s="315"/>
      <c r="I117" s="315"/>
      <c r="J117" s="315"/>
      <c r="K117" s="513"/>
      <c r="L117" s="926"/>
      <c r="M117" s="331"/>
      <c r="N117" s="366"/>
      <c r="O117" s="323"/>
      <c r="P117" s="386"/>
      <c r="Q117" s="323"/>
      <c r="R117" s="366"/>
      <c r="S117" s="378"/>
      <c r="T117" s="324"/>
      <c r="U117" s="386"/>
      <c r="V117" s="386"/>
      <c r="W117" s="386"/>
      <c r="X117" s="386"/>
      <c r="Y117" s="386"/>
      <c r="Z117" s="386"/>
      <c r="AA117" s="386"/>
      <c r="AB117" s="392"/>
      <c r="AC117" s="28"/>
      <c r="AD117" s="28"/>
      <c r="AE117" s="28"/>
      <c r="AF117" s="28"/>
      <c r="AG117" s="28"/>
      <c r="AH117" s="28"/>
      <c r="AI117" s="28"/>
      <c r="AJ117" s="28"/>
    </row>
    <row r="118" spans="1:36" x14ac:dyDescent="0.25">
      <c r="A118" s="298" t="str">
        <f>IF('Kwaliteit conversie'!$D$4='Prijs karton'!C118,"X"," ")</f>
        <v xml:space="preserve"> </v>
      </c>
      <c r="B118" s="331" t="s">
        <v>36</v>
      </c>
      <c r="C118" s="359"/>
      <c r="D118" s="366"/>
      <c r="E118" s="321"/>
      <c r="F118" s="925"/>
      <c r="G118" s="315"/>
      <c r="H118" s="315"/>
      <c r="I118" s="315"/>
      <c r="J118" s="315"/>
      <c r="K118" s="513"/>
      <c r="L118" s="926"/>
      <c r="M118" s="331"/>
      <c r="N118" s="366"/>
      <c r="O118" s="323"/>
      <c r="P118" s="386"/>
      <c r="Q118" s="323"/>
      <c r="R118" s="366"/>
      <c r="S118" s="378"/>
      <c r="T118" s="324"/>
      <c r="U118" s="386"/>
      <c r="V118" s="386"/>
      <c r="W118" s="386"/>
      <c r="X118" s="386"/>
      <c r="Y118" s="386"/>
      <c r="Z118" s="386"/>
      <c r="AA118" s="386"/>
      <c r="AB118" s="392"/>
      <c r="AC118" s="28"/>
      <c r="AD118" s="28"/>
      <c r="AE118" s="28"/>
      <c r="AF118" s="28"/>
      <c r="AG118" s="28"/>
      <c r="AH118" s="28"/>
      <c r="AI118" s="28"/>
      <c r="AJ118" s="28"/>
    </row>
    <row r="119" spans="1:36" x14ac:dyDescent="0.25">
      <c r="A119" s="298" t="str">
        <f>IF('Kwaliteit conversie'!$D$4='Prijs karton'!C119,"X"," ")</f>
        <v xml:space="preserve"> </v>
      </c>
      <c r="B119" s="331" t="s">
        <v>36</v>
      </c>
      <c r="C119" s="359"/>
      <c r="D119" s="366"/>
      <c r="E119" s="321"/>
      <c r="F119" s="925"/>
      <c r="G119" s="315"/>
      <c r="H119" s="315"/>
      <c r="I119" s="315"/>
      <c r="J119" s="315"/>
      <c r="K119" s="513"/>
      <c r="L119" s="926"/>
      <c r="M119" s="331"/>
      <c r="N119" s="366"/>
      <c r="O119" s="323"/>
      <c r="P119" s="386"/>
      <c r="Q119" s="323"/>
      <c r="R119" s="366"/>
      <c r="S119" s="378"/>
      <c r="T119" s="324"/>
      <c r="U119" s="386"/>
      <c r="V119" s="386"/>
      <c r="W119" s="386"/>
      <c r="X119" s="386"/>
      <c r="Y119" s="386"/>
      <c r="Z119" s="386"/>
      <c r="AA119" s="386"/>
      <c r="AB119" s="392"/>
      <c r="AC119" s="28"/>
      <c r="AD119" s="28"/>
      <c r="AE119" s="28"/>
      <c r="AF119" s="28"/>
      <c r="AG119" s="28"/>
      <c r="AH119" s="28"/>
      <c r="AI119" s="28"/>
      <c r="AJ119" s="28"/>
    </row>
    <row r="120" spans="1:36" x14ac:dyDescent="0.25">
      <c r="A120" s="298" t="str">
        <f>IF('Kwaliteit conversie'!$D$4='Prijs karton'!C120,"X"," ")</f>
        <v xml:space="preserve"> </v>
      </c>
      <c r="B120" s="331" t="s">
        <v>36</v>
      </c>
      <c r="C120" s="359"/>
      <c r="D120" s="366"/>
      <c r="E120" s="321"/>
      <c r="F120" s="925"/>
      <c r="G120" s="315"/>
      <c r="H120" s="315"/>
      <c r="I120" s="315"/>
      <c r="J120" s="315"/>
      <c r="K120" s="513"/>
      <c r="L120" s="926"/>
      <c r="M120" s="331"/>
      <c r="N120" s="366"/>
      <c r="O120" s="323"/>
      <c r="P120" s="386"/>
      <c r="Q120" s="323"/>
      <c r="R120" s="366"/>
      <c r="S120" s="378"/>
      <c r="T120" s="324"/>
      <c r="U120" s="386"/>
      <c r="V120" s="386"/>
      <c r="W120" s="386"/>
      <c r="X120" s="386"/>
      <c r="Y120" s="386"/>
      <c r="Z120" s="386"/>
      <c r="AA120" s="386"/>
      <c r="AB120" s="392"/>
      <c r="AC120" s="28"/>
      <c r="AD120" s="28"/>
      <c r="AE120" s="28"/>
      <c r="AF120" s="28"/>
      <c r="AG120" s="28"/>
      <c r="AH120" s="28"/>
      <c r="AI120" s="28"/>
      <c r="AJ120" s="28"/>
    </row>
    <row r="121" spans="1:36" x14ac:dyDescent="0.25">
      <c r="A121" s="298" t="str">
        <f>IF('Kwaliteit conversie'!$D$4='Prijs karton'!C121,"X"," ")</f>
        <v xml:space="preserve"> </v>
      </c>
      <c r="B121" s="331" t="s">
        <v>36</v>
      </c>
      <c r="C121" s="359"/>
      <c r="D121" s="366"/>
      <c r="E121" s="321"/>
      <c r="F121" s="925"/>
      <c r="G121" s="315"/>
      <c r="H121" s="315"/>
      <c r="I121" s="315"/>
      <c r="J121" s="315"/>
      <c r="K121" s="513"/>
      <c r="L121" s="926"/>
      <c r="M121" s="331"/>
      <c r="N121" s="366"/>
      <c r="O121" s="323"/>
      <c r="P121" s="386"/>
      <c r="Q121" s="323"/>
      <c r="R121" s="366"/>
      <c r="S121" s="378"/>
      <c r="T121" s="324"/>
      <c r="U121" s="386"/>
      <c r="V121" s="386"/>
      <c r="W121" s="386"/>
      <c r="X121" s="386"/>
      <c r="Y121" s="386"/>
      <c r="Z121" s="386"/>
      <c r="AA121" s="386"/>
      <c r="AB121" s="392"/>
      <c r="AC121" s="28"/>
      <c r="AD121" s="28"/>
      <c r="AE121" s="28"/>
      <c r="AF121" s="28"/>
      <c r="AG121" s="28"/>
      <c r="AH121" s="28"/>
      <c r="AI121" s="28"/>
      <c r="AJ121" s="28"/>
    </row>
    <row r="122" spans="1:36" x14ac:dyDescent="0.25">
      <c r="A122" s="298" t="str">
        <f>IF('Kwaliteit conversie'!$D$4='Prijs karton'!C122,"X"," ")</f>
        <v xml:space="preserve"> </v>
      </c>
      <c r="B122" s="331" t="s">
        <v>36</v>
      </c>
      <c r="C122" s="359"/>
      <c r="D122" s="366"/>
      <c r="E122" s="321"/>
      <c r="F122" s="925"/>
      <c r="G122" s="315"/>
      <c r="H122" s="315"/>
      <c r="I122" s="315"/>
      <c r="J122" s="315"/>
      <c r="K122" s="513"/>
      <c r="L122" s="926"/>
      <c r="M122" s="331"/>
      <c r="N122" s="366"/>
      <c r="O122" s="323"/>
      <c r="P122" s="386"/>
      <c r="Q122" s="323"/>
      <c r="R122" s="366"/>
      <c r="S122" s="378"/>
      <c r="T122" s="324"/>
      <c r="U122" s="386"/>
      <c r="V122" s="386"/>
      <c r="W122" s="386"/>
      <c r="X122" s="386"/>
      <c r="Y122" s="386"/>
      <c r="Z122" s="386"/>
      <c r="AA122" s="386"/>
      <c r="AB122" s="392"/>
      <c r="AC122" s="28"/>
      <c r="AD122" s="28"/>
      <c r="AE122" s="28"/>
      <c r="AF122" s="28"/>
      <c r="AG122" s="28"/>
      <c r="AH122" s="28"/>
      <c r="AI122" s="28"/>
      <c r="AJ122" s="28"/>
    </row>
    <row r="123" spans="1:36" s="320" customFormat="1" x14ac:dyDescent="0.25">
      <c r="A123" s="329" t="str">
        <f>IF('Kwaliteit conversie'!$D$4='Prijs karton'!C123,"X"," ")</f>
        <v xml:space="preserve"> </v>
      </c>
      <c r="B123" s="332" t="s">
        <v>36</v>
      </c>
      <c r="C123" s="360" t="s">
        <v>368</v>
      </c>
      <c r="D123" s="367">
        <v>0.75</v>
      </c>
      <c r="E123" s="322">
        <v>5.7</v>
      </c>
      <c r="F123" s="927">
        <v>0</v>
      </c>
      <c r="G123" s="319">
        <v>0</v>
      </c>
      <c r="H123" s="319">
        <v>0</v>
      </c>
      <c r="I123" s="319">
        <v>0</v>
      </c>
      <c r="J123" s="319">
        <v>0</v>
      </c>
      <c r="K123" s="928">
        <v>0</v>
      </c>
      <c r="L123" s="929" t="s">
        <v>239</v>
      </c>
      <c r="M123" s="379" t="s">
        <v>239</v>
      </c>
      <c r="N123" s="367" t="s">
        <v>239</v>
      </c>
      <c r="O123" s="325" t="s">
        <v>239</v>
      </c>
      <c r="P123" s="387" t="s">
        <v>239</v>
      </c>
      <c r="Q123" s="325" t="s">
        <v>239</v>
      </c>
      <c r="R123" s="367" t="s">
        <v>239</v>
      </c>
      <c r="S123" s="380" t="s">
        <v>239</v>
      </c>
      <c r="T123" s="326" t="s">
        <v>245</v>
      </c>
      <c r="U123" s="387">
        <v>250</v>
      </c>
      <c r="V123" s="387">
        <v>2450</v>
      </c>
      <c r="W123" s="387">
        <v>500</v>
      </c>
      <c r="X123" s="387">
        <v>6200</v>
      </c>
      <c r="Y123" s="387">
        <v>180</v>
      </c>
      <c r="Z123" s="387">
        <v>90</v>
      </c>
      <c r="AA123" s="387">
        <v>200</v>
      </c>
      <c r="AB123" s="393">
        <v>9</v>
      </c>
      <c r="AC123" s="34">
        <v>0</v>
      </c>
      <c r="AD123" s="34">
        <v>1</v>
      </c>
      <c r="AE123" s="34">
        <v>1</v>
      </c>
      <c r="AF123" s="34">
        <v>1</v>
      </c>
      <c r="AG123" s="34">
        <v>1</v>
      </c>
      <c r="AH123" s="34">
        <v>1</v>
      </c>
      <c r="AI123" s="34">
        <v>1</v>
      </c>
      <c r="AJ123" s="34">
        <v>1</v>
      </c>
    </row>
    <row r="124" spans="1:36" x14ac:dyDescent="0.25">
      <c r="A124" s="298" t="str">
        <f>IF('Kwaliteit conversie'!$D$4='Prijs karton'!C124,"X"," ")</f>
        <v xml:space="preserve"> </v>
      </c>
      <c r="B124" s="331"/>
      <c r="C124" s="359"/>
      <c r="D124" s="366"/>
      <c r="E124" s="321"/>
      <c r="F124" s="925"/>
      <c r="G124" s="315"/>
      <c r="H124" s="315"/>
      <c r="I124" s="315"/>
      <c r="J124" s="315"/>
      <c r="K124" s="513"/>
      <c r="L124" s="926"/>
      <c r="M124" s="331"/>
      <c r="N124" s="366"/>
      <c r="O124" s="323"/>
      <c r="P124" s="386"/>
      <c r="Q124" s="323"/>
      <c r="R124" s="366"/>
      <c r="S124" s="378"/>
      <c r="T124" s="324"/>
      <c r="U124" s="386"/>
      <c r="V124" s="386"/>
      <c r="W124" s="386"/>
      <c r="X124" s="386"/>
      <c r="Y124" s="386"/>
      <c r="Z124" s="386"/>
      <c r="AA124" s="386"/>
      <c r="AB124" s="392"/>
      <c r="AC124" s="28"/>
      <c r="AD124" s="28"/>
      <c r="AE124" s="28"/>
      <c r="AF124" s="28"/>
      <c r="AG124" s="28"/>
      <c r="AH124" s="28"/>
      <c r="AI124" s="28"/>
      <c r="AJ124" s="28"/>
    </row>
    <row r="125" spans="1:36" x14ac:dyDescent="0.25">
      <c r="A125" s="298" t="str">
        <f>IF('Kwaliteit conversie'!$D$4='Prijs karton'!C125,"X"," ")</f>
        <v xml:space="preserve"> </v>
      </c>
      <c r="B125" s="331"/>
      <c r="C125" s="359"/>
      <c r="D125" s="366"/>
      <c r="E125" s="321"/>
      <c r="F125" s="925"/>
      <c r="G125" s="315"/>
      <c r="H125" s="315"/>
      <c r="I125" s="315"/>
      <c r="J125" s="315"/>
      <c r="K125" s="513"/>
      <c r="L125" s="926"/>
      <c r="M125" s="331"/>
      <c r="N125" s="366"/>
      <c r="O125" s="323"/>
      <c r="P125" s="386"/>
      <c r="Q125" s="323"/>
      <c r="R125" s="366"/>
      <c r="S125" s="378"/>
      <c r="T125" s="324"/>
      <c r="U125" s="386"/>
      <c r="V125" s="386"/>
      <c r="W125" s="386"/>
      <c r="X125" s="386"/>
      <c r="Y125" s="386"/>
      <c r="Z125" s="386"/>
      <c r="AA125" s="386"/>
      <c r="AB125" s="392"/>
      <c r="AC125" s="28"/>
      <c r="AD125" s="28"/>
      <c r="AE125" s="28"/>
      <c r="AF125" s="28"/>
      <c r="AG125" s="28"/>
      <c r="AH125" s="28"/>
      <c r="AI125" s="28"/>
      <c r="AJ125" s="28"/>
    </row>
    <row r="126" spans="1:36" x14ac:dyDescent="0.25">
      <c r="A126" s="298" t="str">
        <f>IF('Kwaliteit conversie'!$D$4='Prijs karton'!C126,"X"," ")</f>
        <v xml:space="preserve"> </v>
      </c>
      <c r="B126" s="331"/>
      <c r="C126" s="359"/>
      <c r="D126" s="366"/>
      <c r="E126" s="321"/>
      <c r="F126" s="925"/>
      <c r="G126" s="315"/>
      <c r="H126" s="315"/>
      <c r="I126" s="315"/>
      <c r="J126" s="315"/>
      <c r="K126" s="513"/>
      <c r="L126" s="926"/>
      <c r="M126" s="331"/>
      <c r="N126" s="366"/>
      <c r="O126" s="323"/>
      <c r="P126" s="386"/>
      <c r="Q126" s="323"/>
      <c r="R126" s="366"/>
      <c r="S126" s="378"/>
      <c r="T126" s="324"/>
      <c r="U126" s="386"/>
      <c r="V126" s="386"/>
      <c r="W126" s="386"/>
      <c r="X126" s="386"/>
      <c r="Y126" s="386"/>
      <c r="Z126" s="386"/>
      <c r="AA126" s="386"/>
      <c r="AB126" s="392"/>
      <c r="AC126" s="28"/>
      <c r="AD126" s="28"/>
      <c r="AE126" s="28"/>
      <c r="AF126" s="28"/>
      <c r="AG126" s="28"/>
      <c r="AH126" s="28"/>
      <c r="AI126" s="28"/>
      <c r="AJ126" s="28"/>
    </row>
    <row r="127" spans="1:36" x14ac:dyDescent="0.25">
      <c r="A127" s="932" t="str">
        <f>IF('Kwaliteit conversie'!$D$4='Prijs karton'!C127,"X"," ")</f>
        <v xml:space="preserve"> </v>
      </c>
      <c r="B127" s="331" t="s">
        <v>32</v>
      </c>
      <c r="C127" s="359" t="s">
        <v>369</v>
      </c>
      <c r="D127" s="366">
        <v>0.36</v>
      </c>
      <c r="E127" s="321">
        <v>3.6</v>
      </c>
      <c r="F127" s="925">
        <v>0</v>
      </c>
      <c r="G127" s="315">
        <v>32.9</v>
      </c>
      <c r="H127" s="315">
        <v>29.9</v>
      </c>
      <c r="I127" s="315">
        <v>29.4</v>
      </c>
      <c r="J127" s="315">
        <v>29.4</v>
      </c>
      <c r="K127" s="513">
        <v>28.9</v>
      </c>
      <c r="L127" s="926" t="s">
        <v>370</v>
      </c>
      <c r="M127" s="331" t="s">
        <v>249</v>
      </c>
      <c r="N127" s="366" t="s">
        <v>244</v>
      </c>
      <c r="O127" s="323" t="s">
        <v>239</v>
      </c>
      <c r="P127" s="386" t="s">
        <v>239</v>
      </c>
      <c r="Q127" s="323" t="s">
        <v>239</v>
      </c>
      <c r="R127" s="366" t="s">
        <v>239</v>
      </c>
      <c r="S127" s="378" t="s">
        <v>249</v>
      </c>
      <c r="T127" s="324" t="s">
        <v>245</v>
      </c>
      <c r="U127" s="386">
        <v>250</v>
      </c>
      <c r="V127" s="386">
        <v>2450</v>
      </c>
      <c r="W127" s="386">
        <v>500</v>
      </c>
      <c r="X127" s="386">
        <v>6200</v>
      </c>
      <c r="Y127" s="386">
        <v>280</v>
      </c>
      <c r="Z127" s="386">
        <v>140</v>
      </c>
      <c r="AA127" s="386">
        <v>200</v>
      </c>
      <c r="AB127" s="392">
        <v>3.7</v>
      </c>
      <c r="AC127" s="28">
        <v>0</v>
      </c>
      <c r="AD127" s="28">
        <v>1</v>
      </c>
      <c r="AE127" s="28">
        <v>1</v>
      </c>
      <c r="AF127" s="28">
        <v>1</v>
      </c>
      <c r="AG127" s="28">
        <v>1</v>
      </c>
      <c r="AH127" s="28">
        <v>1</v>
      </c>
      <c r="AI127" s="28">
        <v>1</v>
      </c>
      <c r="AJ127" s="28">
        <v>1</v>
      </c>
    </row>
    <row r="128" spans="1:36" x14ac:dyDescent="0.25">
      <c r="A128" s="298" t="str">
        <f>IF('Kwaliteit conversie'!$D$4='Prijs karton'!C128,"X"," ")</f>
        <v xml:space="preserve"> </v>
      </c>
      <c r="B128" s="331" t="s">
        <v>32</v>
      </c>
      <c r="C128" s="359" t="s">
        <v>371</v>
      </c>
      <c r="D128" s="366">
        <v>0.38</v>
      </c>
      <c r="E128" s="321">
        <v>3.6</v>
      </c>
      <c r="F128" s="925">
        <v>0</v>
      </c>
      <c r="G128" s="315">
        <v>33.4</v>
      </c>
      <c r="H128" s="315">
        <v>30.4</v>
      </c>
      <c r="I128" s="315">
        <v>29.9</v>
      </c>
      <c r="J128" s="315">
        <v>29.9</v>
      </c>
      <c r="K128" s="513">
        <v>29.4</v>
      </c>
      <c r="L128" s="926" t="s">
        <v>372</v>
      </c>
      <c r="M128" s="331" t="s">
        <v>257</v>
      </c>
      <c r="N128" s="366" t="s">
        <v>244</v>
      </c>
      <c r="O128" s="323" t="s">
        <v>239</v>
      </c>
      <c r="P128" s="386" t="s">
        <v>239</v>
      </c>
      <c r="Q128" s="323" t="s">
        <v>239</v>
      </c>
      <c r="R128" s="366" t="s">
        <v>239</v>
      </c>
      <c r="S128" s="378" t="s">
        <v>249</v>
      </c>
      <c r="T128" s="324" t="s">
        <v>245</v>
      </c>
      <c r="U128" s="386">
        <v>250</v>
      </c>
      <c r="V128" s="386">
        <v>2450</v>
      </c>
      <c r="W128" s="386">
        <v>500</v>
      </c>
      <c r="X128" s="386">
        <v>6200</v>
      </c>
      <c r="Y128" s="386">
        <v>280</v>
      </c>
      <c r="Z128" s="386">
        <v>140</v>
      </c>
      <c r="AA128" s="386">
        <v>200</v>
      </c>
      <c r="AB128" s="392">
        <v>3.9</v>
      </c>
      <c r="AC128" s="28">
        <v>0</v>
      </c>
      <c r="AD128" s="28">
        <v>1</v>
      </c>
      <c r="AE128" s="28">
        <v>1</v>
      </c>
      <c r="AF128" s="28">
        <v>1</v>
      </c>
      <c r="AG128" s="28">
        <v>1</v>
      </c>
      <c r="AH128" s="28">
        <v>1</v>
      </c>
      <c r="AI128" s="28">
        <v>1</v>
      </c>
      <c r="AJ128" s="28">
        <v>1</v>
      </c>
    </row>
    <row r="129" spans="1:36" x14ac:dyDescent="0.25">
      <c r="A129" s="298" t="str">
        <f>IF('Kwaliteit conversie'!$D$4='Prijs karton'!C129,"X"," ")</f>
        <v xml:space="preserve"> </v>
      </c>
      <c r="B129" s="331" t="s">
        <v>32</v>
      </c>
      <c r="C129" s="359"/>
      <c r="D129" s="366"/>
      <c r="E129" s="321"/>
      <c r="F129" s="925"/>
      <c r="G129" s="315"/>
      <c r="H129" s="315"/>
      <c r="I129" s="315"/>
      <c r="J129" s="315"/>
      <c r="K129" s="513"/>
      <c r="L129" s="926"/>
      <c r="M129" s="331"/>
      <c r="N129" s="366"/>
      <c r="O129" s="323"/>
      <c r="P129" s="386"/>
      <c r="Q129" s="323"/>
      <c r="R129" s="366"/>
      <c r="S129" s="378"/>
      <c r="T129" s="324"/>
      <c r="U129" s="386"/>
      <c r="V129" s="386"/>
      <c r="W129" s="386"/>
      <c r="X129" s="386"/>
      <c r="Y129" s="386"/>
      <c r="Z129" s="386"/>
      <c r="AA129" s="386"/>
      <c r="AB129" s="392"/>
      <c r="AC129" s="28"/>
      <c r="AD129" s="28"/>
      <c r="AE129" s="28"/>
      <c r="AF129" s="28"/>
      <c r="AG129" s="28"/>
      <c r="AH129" s="28"/>
      <c r="AI129" s="28"/>
      <c r="AJ129" s="28"/>
    </row>
    <row r="130" spans="1:36" x14ac:dyDescent="0.25">
      <c r="A130" s="298" t="str">
        <f>IF('Kwaliteit conversie'!$D$4='Prijs karton'!C130,"X"," ")</f>
        <v xml:space="preserve"> </v>
      </c>
      <c r="B130" s="331" t="s">
        <v>32</v>
      </c>
      <c r="C130" s="359" t="s">
        <v>373</v>
      </c>
      <c r="D130" s="366">
        <v>0.435</v>
      </c>
      <c r="E130" s="321">
        <v>3.7</v>
      </c>
      <c r="F130" s="925">
        <v>0</v>
      </c>
      <c r="G130" s="315">
        <v>39.6</v>
      </c>
      <c r="H130" s="315">
        <v>36.6</v>
      </c>
      <c r="I130" s="315">
        <v>36.1</v>
      </c>
      <c r="J130" s="315">
        <v>36.1</v>
      </c>
      <c r="K130" s="513">
        <v>35.6</v>
      </c>
      <c r="L130" s="926" t="s">
        <v>374</v>
      </c>
      <c r="M130" s="331" t="s">
        <v>257</v>
      </c>
      <c r="N130" s="366" t="s">
        <v>285</v>
      </c>
      <c r="O130" s="323" t="s">
        <v>239</v>
      </c>
      <c r="P130" s="386" t="s">
        <v>239</v>
      </c>
      <c r="Q130" s="323" t="s">
        <v>239</v>
      </c>
      <c r="R130" s="366" t="s">
        <v>239</v>
      </c>
      <c r="S130" s="378" t="s">
        <v>257</v>
      </c>
      <c r="T130" s="324" t="s">
        <v>245</v>
      </c>
      <c r="U130" s="386">
        <v>250</v>
      </c>
      <c r="V130" s="386">
        <v>2450</v>
      </c>
      <c r="W130" s="386">
        <v>500</v>
      </c>
      <c r="X130" s="386">
        <v>6200</v>
      </c>
      <c r="Y130" s="386">
        <v>280</v>
      </c>
      <c r="Z130" s="386">
        <v>140</v>
      </c>
      <c r="AA130" s="386">
        <v>200</v>
      </c>
      <c r="AB130" s="392">
        <v>4.8</v>
      </c>
      <c r="AC130" s="28">
        <v>0</v>
      </c>
      <c r="AD130" s="28">
        <v>1</v>
      </c>
      <c r="AE130" s="28">
        <v>1</v>
      </c>
      <c r="AF130" s="28">
        <v>1</v>
      </c>
      <c r="AG130" s="28">
        <v>1</v>
      </c>
      <c r="AH130" s="28">
        <v>1</v>
      </c>
      <c r="AI130" s="28">
        <v>1</v>
      </c>
      <c r="AJ130" s="28">
        <v>1</v>
      </c>
    </row>
    <row r="131" spans="1:36" x14ac:dyDescent="0.25">
      <c r="A131" s="298" t="str">
        <f>IF('Kwaliteit conversie'!$D$4='Prijs karton'!C131,"X"," ")</f>
        <v xml:space="preserve"> </v>
      </c>
      <c r="B131" s="331" t="s">
        <v>32</v>
      </c>
      <c r="C131" s="359" t="s">
        <v>375</v>
      </c>
      <c r="D131" s="366">
        <v>0.5</v>
      </c>
      <c r="E131" s="321">
        <v>3.7</v>
      </c>
      <c r="F131" s="925">
        <v>0</v>
      </c>
      <c r="G131" s="315">
        <v>42.1</v>
      </c>
      <c r="H131" s="315">
        <v>39.1</v>
      </c>
      <c r="I131" s="315">
        <v>38.6</v>
      </c>
      <c r="J131" s="315">
        <v>38.6</v>
      </c>
      <c r="K131" s="513">
        <v>38.1</v>
      </c>
      <c r="L131" s="926" t="s">
        <v>376</v>
      </c>
      <c r="M131" s="331" t="s">
        <v>292</v>
      </c>
      <c r="N131" s="366" t="s">
        <v>265</v>
      </c>
      <c r="O131" s="323" t="s">
        <v>239</v>
      </c>
      <c r="P131" s="386" t="s">
        <v>239</v>
      </c>
      <c r="Q131" s="323" t="s">
        <v>239</v>
      </c>
      <c r="R131" s="366" t="s">
        <v>239</v>
      </c>
      <c r="S131" s="378" t="s">
        <v>257</v>
      </c>
      <c r="T131" s="324" t="s">
        <v>245</v>
      </c>
      <c r="U131" s="386">
        <v>250</v>
      </c>
      <c r="V131" s="386">
        <v>2450</v>
      </c>
      <c r="W131" s="386">
        <v>500</v>
      </c>
      <c r="X131" s="386">
        <v>6200</v>
      </c>
      <c r="Y131" s="386">
        <v>280</v>
      </c>
      <c r="Z131" s="386">
        <v>140</v>
      </c>
      <c r="AA131" s="386">
        <v>200</v>
      </c>
      <c r="AB131" s="392">
        <v>5.9</v>
      </c>
      <c r="AC131" s="28">
        <v>0</v>
      </c>
      <c r="AD131" s="28">
        <v>1</v>
      </c>
      <c r="AE131" s="28">
        <v>1</v>
      </c>
      <c r="AF131" s="28">
        <v>1</v>
      </c>
      <c r="AG131" s="28">
        <v>1</v>
      </c>
      <c r="AH131" s="28">
        <v>1</v>
      </c>
      <c r="AI131" s="28">
        <v>1</v>
      </c>
      <c r="AJ131" s="28">
        <v>1</v>
      </c>
    </row>
    <row r="132" spans="1:36" x14ac:dyDescent="0.25">
      <c r="A132" s="298" t="str">
        <f>IF('Kwaliteit conversie'!$D$4='Prijs karton'!C132,"X"," ")</f>
        <v xml:space="preserve"> </v>
      </c>
      <c r="B132" s="331" t="s">
        <v>32</v>
      </c>
      <c r="C132" s="359"/>
      <c r="D132" s="366"/>
      <c r="E132" s="321"/>
      <c r="F132" s="925"/>
      <c r="G132" s="315"/>
      <c r="H132" s="315"/>
      <c r="I132" s="315"/>
      <c r="J132" s="315"/>
      <c r="K132" s="513"/>
      <c r="L132" s="926"/>
      <c r="M132" s="331"/>
      <c r="N132" s="366"/>
      <c r="O132" s="323"/>
      <c r="P132" s="386"/>
      <c r="Q132" s="323"/>
      <c r="R132" s="366"/>
      <c r="S132" s="378"/>
      <c r="T132" s="324"/>
      <c r="U132" s="386"/>
      <c r="V132" s="386"/>
      <c r="W132" s="386"/>
      <c r="X132" s="386"/>
      <c r="Y132" s="386"/>
      <c r="Z132" s="386"/>
      <c r="AA132" s="386"/>
      <c r="AB132" s="392"/>
      <c r="AC132" s="28"/>
      <c r="AD132" s="28"/>
      <c r="AE132" s="28"/>
      <c r="AF132" s="28"/>
      <c r="AG132" s="28"/>
      <c r="AH132" s="28"/>
      <c r="AI132" s="28"/>
      <c r="AJ132" s="28"/>
    </row>
    <row r="133" spans="1:36" x14ac:dyDescent="0.25">
      <c r="A133" s="298" t="str">
        <f>IF('Kwaliteit conversie'!$D$4='Prijs karton'!C133,"X"," ")</f>
        <v xml:space="preserve"> </v>
      </c>
      <c r="B133" s="331" t="s">
        <v>32</v>
      </c>
      <c r="C133" s="359" t="s">
        <v>377</v>
      </c>
      <c r="D133" s="366">
        <v>0.40500000000000003</v>
      </c>
      <c r="E133" s="321">
        <v>3.6</v>
      </c>
      <c r="F133" s="925">
        <v>0</v>
      </c>
      <c r="G133" s="315">
        <v>41.5</v>
      </c>
      <c r="H133" s="315">
        <v>38.5</v>
      </c>
      <c r="I133" s="315">
        <v>38</v>
      </c>
      <c r="J133" s="315">
        <v>38</v>
      </c>
      <c r="K133" s="513">
        <v>37.5</v>
      </c>
      <c r="L133" s="926" t="s">
        <v>378</v>
      </c>
      <c r="M133" s="331" t="s">
        <v>274</v>
      </c>
      <c r="N133" s="366" t="s">
        <v>244</v>
      </c>
      <c r="O133" s="323" t="s">
        <v>239</v>
      </c>
      <c r="P133" s="386" t="s">
        <v>239</v>
      </c>
      <c r="Q133" s="323" t="s">
        <v>239</v>
      </c>
      <c r="R133" s="366" t="s">
        <v>239</v>
      </c>
      <c r="S133" s="378" t="s">
        <v>257</v>
      </c>
      <c r="T133" s="324" t="s">
        <v>245</v>
      </c>
      <c r="U133" s="386">
        <v>250</v>
      </c>
      <c r="V133" s="386">
        <v>2450</v>
      </c>
      <c r="W133" s="386">
        <v>500</v>
      </c>
      <c r="X133" s="386">
        <v>6200</v>
      </c>
      <c r="Y133" s="386">
        <v>280</v>
      </c>
      <c r="Z133" s="386">
        <v>140</v>
      </c>
      <c r="AA133" s="386">
        <v>200</v>
      </c>
      <c r="AB133" s="392">
        <v>4.5</v>
      </c>
      <c r="AC133" s="28">
        <v>0</v>
      </c>
      <c r="AD133" s="28">
        <v>1</v>
      </c>
      <c r="AE133" s="28">
        <v>1</v>
      </c>
      <c r="AF133" s="28">
        <v>1</v>
      </c>
      <c r="AG133" s="28">
        <v>1</v>
      </c>
      <c r="AH133" s="28">
        <v>1</v>
      </c>
      <c r="AI133" s="28">
        <v>1</v>
      </c>
      <c r="AJ133" s="28">
        <v>1</v>
      </c>
    </row>
    <row r="134" spans="1:36" x14ac:dyDescent="0.25">
      <c r="A134" s="298" t="str">
        <f>IF('Kwaliteit conversie'!$D$4='Prijs karton'!C134,"X"," ")</f>
        <v xml:space="preserve"> </v>
      </c>
      <c r="B134" s="331" t="s">
        <v>32</v>
      </c>
      <c r="C134" s="359" t="s">
        <v>379</v>
      </c>
      <c r="D134" s="366">
        <v>0.47</v>
      </c>
      <c r="E134" s="321">
        <v>3.7</v>
      </c>
      <c r="F134" s="925">
        <v>0</v>
      </c>
      <c r="G134" s="315">
        <v>47</v>
      </c>
      <c r="H134" s="315">
        <v>44</v>
      </c>
      <c r="I134" s="315">
        <v>43.5</v>
      </c>
      <c r="J134" s="315">
        <v>43.5</v>
      </c>
      <c r="K134" s="513">
        <v>43</v>
      </c>
      <c r="L134" s="926" t="s">
        <v>380</v>
      </c>
      <c r="M134" s="331" t="s">
        <v>274</v>
      </c>
      <c r="N134" s="366" t="s">
        <v>265</v>
      </c>
      <c r="O134" s="323" t="s">
        <v>239</v>
      </c>
      <c r="P134" s="386" t="s">
        <v>239</v>
      </c>
      <c r="Q134" s="323" t="s">
        <v>239</v>
      </c>
      <c r="R134" s="366" t="s">
        <v>239</v>
      </c>
      <c r="S134" s="378" t="s">
        <v>257</v>
      </c>
      <c r="T134" s="324" t="s">
        <v>245</v>
      </c>
      <c r="U134" s="386">
        <v>250</v>
      </c>
      <c r="V134" s="386">
        <v>2450</v>
      </c>
      <c r="W134" s="386">
        <v>500</v>
      </c>
      <c r="X134" s="386">
        <v>6200</v>
      </c>
      <c r="Y134" s="386">
        <v>280</v>
      </c>
      <c r="Z134" s="386">
        <v>140</v>
      </c>
      <c r="AA134" s="386">
        <v>200</v>
      </c>
      <c r="AB134" s="392">
        <v>5.6</v>
      </c>
      <c r="AC134" s="28">
        <v>0</v>
      </c>
      <c r="AD134" s="28">
        <v>1</v>
      </c>
      <c r="AE134" s="28">
        <v>1</v>
      </c>
      <c r="AF134" s="28">
        <v>1</v>
      </c>
      <c r="AG134" s="28">
        <v>1</v>
      </c>
      <c r="AH134" s="28">
        <v>1</v>
      </c>
      <c r="AI134" s="28">
        <v>1</v>
      </c>
      <c r="AJ134" s="28">
        <v>1</v>
      </c>
    </row>
    <row r="135" spans="1:36" x14ac:dyDescent="0.25">
      <c r="A135" s="298" t="str">
        <f>IF('Kwaliteit conversie'!$D$4='Prijs karton'!C135,"X"," ")</f>
        <v xml:space="preserve"> </v>
      </c>
      <c r="B135" s="331" t="s">
        <v>32</v>
      </c>
      <c r="C135" s="359"/>
      <c r="D135" s="366"/>
      <c r="E135" s="321"/>
      <c r="F135" s="925"/>
      <c r="G135" s="315"/>
      <c r="H135" s="315"/>
      <c r="I135" s="315"/>
      <c r="J135" s="315"/>
      <c r="K135" s="513"/>
      <c r="L135" s="926"/>
      <c r="M135" s="331"/>
      <c r="N135" s="366"/>
      <c r="O135" s="323"/>
      <c r="P135" s="386"/>
      <c r="Q135" s="323"/>
      <c r="R135" s="366"/>
      <c r="S135" s="378"/>
      <c r="T135" s="324"/>
      <c r="U135" s="386"/>
      <c r="V135" s="386"/>
      <c r="W135" s="386"/>
      <c r="X135" s="386"/>
      <c r="Y135" s="386"/>
      <c r="Z135" s="386"/>
      <c r="AA135" s="386"/>
      <c r="AB135" s="392"/>
      <c r="AC135" s="28"/>
      <c r="AD135" s="28"/>
      <c r="AE135" s="28"/>
      <c r="AF135" s="28"/>
      <c r="AG135" s="28"/>
      <c r="AH135" s="28"/>
      <c r="AI135" s="28"/>
      <c r="AJ135" s="28"/>
    </row>
    <row r="136" spans="1:36" x14ac:dyDescent="0.25">
      <c r="A136" s="298" t="str">
        <f>IF('Kwaliteit conversie'!$D$4='Prijs karton'!C136,"X"," ")</f>
        <v xml:space="preserve"> </v>
      </c>
      <c r="B136" s="331" t="s">
        <v>32</v>
      </c>
      <c r="C136" s="359" t="s">
        <v>381</v>
      </c>
      <c r="D136" s="366">
        <v>0.40300000000000002</v>
      </c>
      <c r="E136" s="321">
        <v>4.01</v>
      </c>
      <c r="F136" s="925">
        <v>0</v>
      </c>
      <c r="G136" s="315">
        <v>53.9</v>
      </c>
      <c r="H136" s="315">
        <v>50.9</v>
      </c>
      <c r="I136" s="315">
        <v>50.9</v>
      </c>
      <c r="J136" s="315">
        <v>48.9</v>
      </c>
      <c r="K136" s="513">
        <v>48.9</v>
      </c>
      <c r="L136" s="926" t="s">
        <v>382</v>
      </c>
      <c r="M136" s="331" t="s">
        <v>318</v>
      </c>
      <c r="N136" s="366" t="s">
        <v>238</v>
      </c>
      <c r="O136" s="323" t="s">
        <v>239</v>
      </c>
      <c r="P136" s="386" t="s">
        <v>239</v>
      </c>
      <c r="Q136" s="323" t="s">
        <v>239</v>
      </c>
      <c r="R136" s="366" t="s">
        <v>239</v>
      </c>
      <c r="S136" s="378" t="s">
        <v>260</v>
      </c>
      <c r="T136" s="324" t="s">
        <v>240</v>
      </c>
      <c r="U136" s="386">
        <v>240</v>
      </c>
      <c r="V136" s="386">
        <v>2450</v>
      </c>
      <c r="W136" s="386">
        <v>500</v>
      </c>
      <c r="X136" s="386">
        <v>6000</v>
      </c>
      <c r="Y136" s="386">
        <v>85</v>
      </c>
      <c r="Z136" s="386">
        <v>85</v>
      </c>
      <c r="AA136" s="386">
        <v>200</v>
      </c>
      <c r="AB136" s="392">
        <v>5.21</v>
      </c>
      <c r="AC136" s="28">
        <v>0</v>
      </c>
      <c r="AD136" s="28">
        <v>1</v>
      </c>
      <c r="AE136" s="28">
        <v>1</v>
      </c>
      <c r="AF136" s="28">
        <v>1</v>
      </c>
      <c r="AG136" s="28">
        <v>1</v>
      </c>
      <c r="AH136" s="28">
        <v>1</v>
      </c>
      <c r="AI136" s="28">
        <v>1</v>
      </c>
      <c r="AJ136" s="28">
        <v>1</v>
      </c>
    </row>
    <row r="137" spans="1:36" x14ac:dyDescent="0.25">
      <c r="A137" s="298" t="str">
        <f>IF('Kwaliteit conversie'!$D$4='Prijs karton'!C137,"X"," ")</f>
        <v xml:space="preserve"> </v>
      </c>
      <c r="B137" s="331" t="s">
        <v>32</v>
      </c>
      <c r="C137" s="359"/>
      <c r="D137" s="366"/>
      <c r="E137" s="321"/>
      <c r="F137" s="925"/>
      <c r="G137" s="315"/>
      <c r="H137" s="315"/>
      <c r="I137" s="315"/>
      <c r="J137" s="315"/>
      <c r="K137" s="513"/>
      <c r="L137" s="926"/>
      <c r="M137" s="331"/>
      <c r="N137" s="366"/>
      <c r="O137" s="323"/>
      <c r="P137" s="386"/>
      <c r="Q137" s="323"/>
      <c r="R137" s="366"/>
      <c r="S137" s="378"/>
      <c r="T137" s="324"/>
      <c r="U137" s="386"/>
      <c r="V137" s="386"/>
      <c r="W137" s="386"/>
      <c r="X137" s="386"/>
      <c r="Y137" s="386"/>
      <c r="Z137" s="386"/>
      <c r="AA137" s="386"/>
      <c r="AB137" s="392"/>
      <c r="AC137" s="28"/>
      <c r="AD137" s="28"/>
      <c r="AE137" s="28"/>
      <c r="AF137" s="28"/>
      <c r="AG137" s="28"/>
      <c r="AH137" s="28"/>
      <c r="AI137" s="28"/>
      <c r="AJ137" s="28"/>
    </row>
    <row r="138" spans="1:36" x14ac:dyDescent="0.25">
      <c r="A138" s="298" t="str">
        <f>IF('Kwaliteit conversie'!$D$4='Prijs karton'!C138,"X"," ")</f>
        <v xml:space="preserve"> </v>
      </c>
      <c r="B138" s="331" t="s">
        <v>32</v>
      </c>
      <c r="C138" s="359" t="s">
        <v>383</v>
      </c>
      <c r="D138" s="366">
        <v>0.46500000000000002</v>
      </c>
      <c r="E138" s="321">
        <v>3.7</v>
      </c>
      <c r="F138" s="925">
        <v>0</v>
      </c>
      <c r="G138" s="315">
        <v>48.8</v>
      </c>
      <c r="H138" s="315">
        <v>45.8</v>
      </c>
      <c r="I138" s="315">
        <v>45.3</v>
      </c>
      <c r="J138" s="315">
        <v>45.3</v>
      </c>
      <c r="K138" s="513">
        <v>44.8</v>
      </c>
      <c r="L138" s="926" t="s">
        <v>384</v>
      </c>
      <c r="M138" s="331" t="s">
        <v>277</v>
      </c>
      <c r="N138" s="366" t="s">
        <v>265</v>
      </c>
      <c r="O138" s="323" t="s">
        <v>239</v>
      </c>
      <c r="P138" s="386" t="s">
        <v>239</v>
      </c>
      <c r="Q138" s="323" t="s">
        <v>239</v>
      </c>
      <c r="R138" s="366" t="s">
        <v>239</v>
      </c>
      <c r="S138" s="378" t="s">
        <v>257</v>
      </c>
      <c r="T138" s="324" t="s">
        <v>245</v>
      </c>
      <c r="U138" s="386">
        <v>250</v>
      </c>
      <c r="V138" s="386">
        <v>2450</v>
      </c>
      <c r="W138" s="386">
        <v>500</v>
      </c>
      <c r="X138" s="386">
        <v>6200</v>
      </c>
      <c r="Y138" s="386">
        <v>280</v>
      </c>
      <c r="Z138" s="386">
        <v>140</v>
      </c>
      <c r="AA138" s="386">
        <v>200</v>
      </c>
      <c r="AB138" s="392">
        <v>5.4</v>
      </c>
      <c r="AC138" s="28">
        <v>0</v>
      </c>
      <c r="AD138" s="28">
        <v>1</v>
      </c>
      <c r="AE138" s="28">
        <v>1</v>
      </c>
      <c r="AF138" s="28">
        <v>1</v>
      </c>
      <c r="AG138" s="28">
        <v>1</v>
      </c>
      <c r="AH138" s="28">
        <v>1</v>
      </c>
      <c r="AI138" s="28">
        <v>1</v>
      </c>
      <c r="AJ138" s="28">
        <v>1</v>
      </c>
    </row>
    <row r="139" spans="1:36" x14ac:dyDescent="0.25">
      <c r="A139" s="298" t="str">
        <f>IF('Kwaliteit conversie'!$D$4='Prijs karton'!C139,"X"," ")</f>
        <v xml:space="preserve"> </v>
      </c>
      <c r="B139" s="331" t="s">
        <v>32</v>
      </c>
      <c r="C139" s="359"/>
      <c r="D139" s="366"/>
      <c r="E139" s="321"/>
      <c r="F139" s="925"/>
      <c r="G139" s="315"/>
      <c r="H139" s="315"/>
      <c r="I139" s="315"/>
      <c r="J139" s="315"/>
      <c r="K139" s="513"/>
      <c r="L139" s="926"/>
      <c r="M139" s="331"/>
      <c r="N139" s="366"/>
      <c r="O139" s="323" t="s">
        <v>239</v>
      </c>
      <c r="P139" s="386" t="s">
        <v>239</v>
      </c>
      <c r="Q139" s="323" t="s">
        <v>239</v>
      </c>
      <c r="R139" s="366" t="s">
        <v>239</v>
      </c>
      <c r="S139" s="378"/>
      <c r="T139" s="324"/>
      <c r="U139" s="386"/>
      <c r="V139" s="386"/>
      <c r="W139" s="386"/>
      <c r="X139" s="386"/>
      <c r="Y139" s="386"/>
      <c r="Z139" s="386"/>
      <c r="AA139" s="386"/>
      <c r="AB139" s="392"/>
      <c r="AC139" s="28"/>
      <c r="AD139" s="28"/>
      <c r="AE139" s="28"/>
      <c r="AF139" s="28"/>
      <c r="AG139" s="28"/>
      <c r="AH139" s="28"/>
      <c r="AI139" s="28"/>
      <c r="AJ139" s="28"/>
    </row>
    <row r="140" spans="1:36" x14ac:dyDescent="0.25">
      <c r="A140" s="298" t="str">
        <f>IF('Kwaliteit conversie'!$D$4='Prijs karton'!C140,"X"," ")</f>
        <v xml:space="preserve"> </v>
      </c>
      <c r="B140" s="331" t="s">
        <v>32</v>
      </c>
      <c r="C140" s="359" t="s">
        <v>385</v>
      </c>
      <c r="D140" s="366">
        <v>0.51</v>
      </c>
      <c r="E140" s="321">
        <v>3.7</v>
      </c>
      <c r="F140" s="925">
        <v>0</v>
      </c>
      <c r="G140" s="315">
        <v>55</v>
      </c>
      <c r="H140" s="315">
        <v>52</v>
      </c>
      <c r="I140" s="315">
        <v>51.5</v>
      </c>
      <c r="J140" s="315">
        <v>51.5</v>
      </c>
      <c r="K140" s="513">
        <v>51</v>
      </c>
      <c r="L140" s="926" t="s">
        <v>386</v>
      </c>
      <c r="M140" s="331" t="s">
        <v>294</v>
      </c>
      <c r="N140" s="366" t="s">
        <v>265</v>
      </c>
      <c r="O140" s="323" t="s">
        <v>239</v>
      </c>
      <c r="P140" s="386" t="s">
        <v>239</v>
      </c>
      <c r="Q140" s="323" t="s">
        <v>239</v>
      </c>
      <c r="R140" s="366" t="s">
        <v>239</v>
      </c>
      <c r="S140" s="378" t="s">
        <v>274</v>
      </c>
      <c r="T140" s="324" t="s">
        <v>245</v>
      </c>
      <c r="U140" s="386">
        <v>250</v>
      </c>
      <c r="V140" s="386">
        <v>2450</v>
      </c>
      <c r="W140" s="386">
        <v>500</v>
      </c>
      <c r="X140" s="386">
        <v>6200</v>
      </c>
      <c r="Y140" s="386">
        <v>280</v>
      </c>
      <c r="Z140" s="386">
        <v>140</v>
      </c>
      <c r="AA140" s="386">
        <v>200</v>
      </c>
      <c r="AB140" s="392">
        <v>6.3</v>
      </c>
      <c r="AC140" s="28">
        <v>0</v>
      </c>
      <c r="AD140" s="28">
        <v>1</v>
      </c>
      <c r="AE140" s="28">
        <v>1</v>
      </c>
      <c r="AF140" s="28">
        <v>1</v>
      </c>
      <c r="AG140" s="28">
        <v>1</v>
      </c>
      <c r="AH140" s="28">
        <v>1</v>
      </c>
      <c r="AI140" s="28">
        <v>1</v>
      </c>
      <c r="AJ140" s="28">
        <v>1</v>
      </c>
    </row>
    <row r="141" spans="1:36" x14ac:dyDescent="0.25">
      <c r="A141" s="298" t="str">
        <f>IF('Kwaliteit conversie'!$D$4='Prijs karton'!C141,"X"," ")</f>
        <v xml:space="preserve"> </v>
      </c>
      <c r="B141" s="331" t="s">
        <v>32</v>
      </c>
      <c r="C141" s="359" t="s">
        <v>387</v>
      </c>
      <c r="D141" s="366">
        <v>0.48299999999999998</v>
      </c>
      <c r="E141" s="321">
        <v>4.13</v>
      </c>
      <c r="F141" s="925">
        <v>0</v>
      </c>
      <c r="G141" s="315" t="s">
        <v>239</v>
      </c>
      <c r="H141" s="315">
        <v>60.5</v>
      </c>
      <c r="I141" s="315">
        <v>60.5</v>
      </c>
      <c r="J141" s="315">
        <v>58.5</v>
      </c>
      <c r="K141" s="513">
        <v>58.5</v>
      </c>
      <c r="L141" s="926" t="s">
        <v>388</v>
      </c>
      <c r="M141" s="331" t="s">
        <v>300</v>
      </c>
      <c r="N141" s="366" t="s">
        <v>238</v>
      </c>
      <c r="O141" s="323" t="s">
        <v>239</v>
      </c>
      <c r="P141" s="386" t="s">
        <v>239</v>
      </c>
      <c r="Q141" s="323" t="s">
        <v>239</v>
      </c>
      <c r="R141" s="366" t="s">
        <v>239</v>
      </c>
      <c r="S141" s="378" t="s">
        <v>389</v>
      </c>
      <c r="T141" s="324" t="s">
        <v>240</v>
      </c>
      <c r="U141" s="386">
        <v>240</v>
      </c>
      <c r="V141" s="386">
        <v>2450</v>
      </c>
      <c r="W141" s="386">
        <v>500</v>
      </c>
      <c r="X141" s="386">
        <v>6000</v>
      </c>
      <c r="Y141" s="386">
        <v>85</v>
      </c>
      <c r="Z141" s="386">
        <v>85</v>
      </c>
      <c r="AA141" s="386">
        <v>500</v>
      </c>
      <c r="AB141" s="392">
        <v>5.89</v>
      </c>
      <c r="AC141" s="28">
        <v>0</v>
      </c>
      <c r="AD141" s="28">
        <v>1</v>
      </c>
      <c r="AE141" s="28">
        <v>1</v>
      </c>
      <c r="AF141" s="28">
        <v>1</v>
      </c>
      <c r="AG141" s="28">
        <v>1</v>
      </c>
      <c r="AH141" s="28">
        <v>1</v>
      </c>
      <c r="AI141" s="28">
        <v>1</v>
      </c>
      <c r="AJ141" s="28">
        <v>1</v>
      </c>
    </row>
    <row r="142" spans="1:36" x14ac:dyDescent="0.25">
      <c r="A142" s="298" t="str">
        <f>IF('Kwaliteit conversie'!$D$4='Prijs karton'!C142,"X"," ")</f>
        <v xml:space="preserve"> </v>
      </c>
      <c r="B142" s="331" t="s">
        <v>32</v>
      </c>
      <c r="C142" s="359"/>
      <c r="D142" s="366"/>
      <c r="E142" s="321"/>
      <c r="F142" s="925"/>
      <c r="G142" s="315"/>
      <c r="H142" s="315"/>
      <c r="I142" s="315"/>
      <c r="J142" s="315"/>
      <c r="K142" s="513"/>
      <c r="L142" s="926"/>
      <c r="M142" s="331"/>
      <c r="N142" s="366"/>
      <c r="O142" s="323"/>
      <c r="P142" s="386"/>
      <c r="Q142" s="323"/>
      <c r="R142" s="366"/>
      <c r="S142" s="378"/>
      <c r="T142" s="324"/>
      <c r="U142" s="386"/>
      <c r="V142" s="386"/>
      <c r="W142" s="386"/>
      <c r="X142" s="386"/>
      <c r="Y142" s="386"/>
      <c r="Z142" s="386"/>
      <c r="AA142" s="386"/>
      <c r="AB142" s="392"/>
      <c r="AC142" s="28"/>
      <c r="AD142" s="28"/>
      <c r="AE142" s="28"/>
      <c r="AF142" s="28"/>
      <c r="AG142" s="28"/>
      <c r="AH142" s="28"/>
      <c r="AI142" s="28"/>
      <c r="AJ142" s="28"/>
    </row>
    <row r="143" spans="1:36" x14ac:dyDescent="0.25">
      <c r="A143" s="298" t="str">
        <f>IF('Kwaliteit conversie'!$D$4='Prijs karton'!C143,"X"," ")</f>
        <v xml:space="preserve"> </v>
      </c>
      <c r="B143" s="331" t="s">
        <v>32</v>
      </c>
      <c r="C143" s="359" t="s">
        <v>390</v>
      </c>
      <c r="D143" s="366">
        <v>0.47</v>
      </c>
      <c r="E143" s="321">
        <v>3.7</v>
      </c>
      <c r="F143" s="925">
        <v>0</v>
      </c>
      <c r="G143" s="315">
        <v>51.5</v>
      </c>
      <c r="H143" s="315">
        <v>48.5</v>
      </c>
      <c r="I143" s="315">
        <v>48</v>
      </c>
      <c r="J143" s="315">
        <v>48</v>
      </c>
      <c r="K143" s="513">
        <v>47.5</v>
      </c>
      <c r="L143" s="926" t="s">
        <v>391</v>
      </c>
      <c r="M143" s="331" t="s">
        <v>289</v>
      </c>
      <c r="N143" s="366" t="s">
        <v>357</v>
      </c>
      <c r="O143" s="323" t="s">
        <v>239</v>
      </c>
      <c r="P143" s="386" t="s">
        <v>239</v>
      </c>
      <c r="Q143" s="323" t="s">
        <v>239</v>
      </c>
      <c r="R143" s="366" t="s">
        <v>239</v>
      </c>
      <c r="S143" s="378" t="s">
        <v>257</v>
      </c>
      <c r="T143" s="324" t="s">
        <v>245</v>
      </c>
      <c r="U143" s="386">
        <v>250</v>
      </c>
      <c r="V143" s="386">
        <v>2450</v>
      </c>
      <c r="W143" s="386">
        <v>500</v>
      </c>
      <c r="X143" s="386">
        <v>6200</v>
      </c>
      <c r="Y143" s="386">
        <v>280</v>
      </c>
      <c r="Z143" s="386">
        <v>140</v>
      </c>
      <c r="AA143" s="386">
        <v>200</v>
      </c>
      <c r="AB143" s="392">
        <v>5.9</v>
      </c>
      <c r="AC143" s="28">
        <v>0</v>
      </c>
      <c r="AD143" s="28">
        <v>1</v>
      </c>
      <c r="AE143" s="28">
        <v>1</v>
      </c>
      <c r="AF143" s="28">
        <v>1</v>
      </c>
      <c r="AG143" s="28">
        <v>1</v>
      </c>
      <c r="AH143" s="28">
        <v>1</v>
      </c>
      <c r="AI143" s="28">
        <v>1</v>
      </c>
      <c r="AJ143" s="28">
        <v>1</v>
      </c>
    </row>
    <row r="144" spans="1:36" x14ac:dyDescent="0.25">
      <c r="A144" s="298" t="str">
        <f>IF('Kwaliteit conversie'!$D$4='Prijs karton'!C144,"X"," ")</f>
        <v xml:space="preserve"> </v>
      </c>
      <c r="B144" s="331" t="s">
        <v>32</v>
      </c>
      <c r="C144" s="359"/>
      <c r="D144" s="366"/>
      <c r="E144" s="321"/>
      <c r="F144" s="925"/>
      <c r="G144" s="315"/>
      <c r="H144" s="315"/>
      <c r="I144" s="315"/>
      <c r="J144" s="315"/>
      <c r="K144" s="513"/>
      <c r="L144" s="926"/>
      <c r="M144" s="331"/>
      <c r="N144" s="366"/>
      <c r="O144" s="323"/>
      <c r="P144" s="386"/>
      <c r="Q144" s="323"/>
      <c r="R144" s="366"/>
      <c r="S144" s="378"/>
      <c r="T144" s="324"/>
      <c r="U144" s="386"/>
      <c r="V144" s="386"/>
      <c r="W144" s="386"/>
      <c r="X144" s="386"/>
      <c r="Y144" s="386"/>
      <c r="Z144" s="386"/>
      <c r="AA144" s="386"/>
      <c r="AB144" s="392"/>
      <c r="AC144" s="28"/>
      <c r="AD144" s="28"/>
      <c r="AE144" s="28"/>
      <c r="AF144" s="28"/>
      <c r="AG144" s="28"/>
      <c r="AH144" s="28"/>
      <c r="AI144" s="28"/>
      <c r="AJ144" s="28"/>
    </row>
    <row r="145" spans="1:36" x14ac:dyDescent="0.25">
      <c r="A145" s="298" t="str">
        <f>IF('Kwaliteit conversie'!$D$4='Prijs karton'!C145,"X"," ")</f>
        <v xml:space="preserve"> </v>
      </c>
      <c r="B145" s="331" t="s">
        <v>32</v>
      </c>
      <c r="C145" s="359" t="s">
        <v>1413</v>
      </c>
      <c r="D145" s="366">
        <v>0.38</v>
      </c>
      <c r="E145" s="321">
        <v>3.75</v>
      </c>
      <c r="F145" s="925">
        <v>0</v>
      </c>
      <c r="G145" s="315">
        <v>36.5</v>
      </c>
      <c r="H145" s="315">
        <v>35</v>
      </c>
      <c r="I145" s="315">
        <v>34.700000000000003</v>
      </c>
      <c r="J145" s="315">
        <v>34.5</v>
      </c>
      <c r="K145" s="513">
        <v>34.5</v>
      </c>
      <c r="L145" s="926" t="s">
        <v>1414</v>
      </c>
      <c r="M145" s="331" t="s">
        <v>1363</v>
      </c>
      <c r="N145" s="366" t="s">
        <v>238</v>
      </c>
      <c r="O145" s="323" t="s">
        <v>239</v>
      </c>
      <c r="P145" s="386" t="s">
        <v>239</v>
      </c>
      <c r="Q145" s="323" t="s">
        <v>239</v>
      </c>
      <c r="R145" s="366" t="s">
        <v>239</v>
      </c>
      <c r="S145" s="378" t="s">
        <v>1363</v>
      </c>
      <c r="T145" s="324" t="s">
        <v>1364</v>
      </c>
      <c r="U145" s="386">
        <v>250</v>
      </c>
      <c r="V145" s="386">
        <v>2450</v>
      </c>
      <c r="W145" s="386">
        <v>600</v>
      </c>
      <c r="X145" s="386">
        <v>6000</v>
      </c>
      <c r="Y145" s="386">
        <v>210</v>
      </c>
      <c r="Z145" s="386">
        <v>105</v>
      </c>
      <c r="AA145" s="386">
        <v>200</v>
      </c>
      <c r="AB145" s="392">
        <v>4.21</v>
      </c>
      <c r="AC145" s="28">
        <v>0</v>
      </c>
      <c r="AD145" s="28">
        <v>1</v>
      </c>
      <c r="AE145" s="28">
        <v>1</v>
      </c>
      <c r="AF145" s="28">
        <v>1</v>
      </c>
      <c r="AG145" s="28">
        <v>1</v>
      </c>
      <c r="AH145" s="28">
        <v>1</v>
      </c>
      <c r="AI145" s="28">
        <v>1</v>
      </c>
      <c r="AJ145" s="28">
        <v>1</v>
      </c>
    </row>
    <row r="146" spans="1:36" x14ac:dyDescent="0.25">
      <c r="A146" s="298" t="str">
        <f>IF('Kwaliteit conversie'!$D$4='Prijs karton'!C146,"X"," ")</f>
        <v xml:space="preserve"> </v>
      </c>
      <c r="B146" s="331" t="s">
        <v>32</v>
      </c>
      <c r="C146" s="359" t="s">
        <v>1415</v>
      </c>
      <c r="D146" s="366">
        <v>0.46899999999999997</v>
      </c>
      <c r="E146" s="321">
        <v>3.91</v>
      </c>
      <c r="F146" s="925">
        <v>0</v>
      </c>
      <c r="G146" s="315">
        <v>44.2</v>
      </c>
      <c r="H146" s="315">
        <v>42.8</v>
      </c>
      <c r="I146" s="315">
        <v>42.5</v>
      </c>
      <c r="J146" s="315">
        <v>42.2</v>
      </c>
      <c r="K146" s="513">
        <v>42.2</v>
      </c>
      <c r="L146" s="926" t="s">
        <v>1416</v>
      </c>
      <c r="M146" s="331" t="s">
        <v>1363</v>
      </c>
      <c r="N146" s="366" t="s">
        <v>265</v>
      </c>
      <c r="O146" s="323" t="s">
        <v>239</v>
      </c>
      <c r="P146" s="386" t="s">
        <v>239</v>
      </c>
      <c r="Q146" s="323" t="s">
        <v>239</v>
      </c>
      <c r="R146" s="366" t="s">
        <v>239</v>
      </c>
      <c r="S146" s="378" t="s">
        <v>1367</v>
      </c>
      <c r="T146" s="324" t="s">
        <v>1364</v>
      </c>
      <c r="U146" s="386">
        <v>250</v>
      </c>
      <c r="V146" s="386">
        <v>2450</v>
      </c>
      <c r="W146" s="386">
        <v>600</v>
      </c>
      <c r="X146" s="386">
        <v>6000</v>
      </c>
      <c r="Y146" s="386">
        <v>210</v>
      </c>
      <c r="Z146" s="386">
        <v>105</v>
      </c>
      <c r="AA146" s="386">
        <v>200</v>
      </c>
      <c r="AB146" s="392">
        <v>5.34</v>
      </c>
      <c r="AC146" s="28">
        <v>0</v>
      </c>
      <c r="AD146" s="28">
        <v>1</v>
      </c>
      <c r="AE146" s="28">
        <v>1</v>
      </c>
      <c r="AF146" s="28">
        <v>1</v>
      </c>
      <c r="AG146" s="28">
        <v>1</v>
      </c>
      <c r="AH146" s="28">
        <v>1</v>
      </c>
      <c r="AI146" s="28">
        <v>1</v>
      </c>
      <c r="AJ146" s="28">
        <v>1</v>
      </c>
    </row>
    <row r="147" spans="1:36" x14ac:dyDescent="0.25">
      <c r="A147" s="298" t="str">
        <f>IF('Kwaliteit conversie'!$D$4='Prijs karton'!C147,"X"," ")</f>
        <v xml:space="preserve"> </v>
      </c>
      <c r="B147" s="331" t="s">
        <v>32</v>
      </c>
      <c r="C147" s="359" t="s">
        <v>1417</v>
      </c>
      <c r="D147" s="366">
        <v>0.39500000000000002</v>
      </c>
      <c r="E147" s="321">
        <v>3.77</v>
      </c>
      <c r="F147" s="925">
        <v>0</v>
      </c>
      <c r="G147" s="315">
        <v>41.3</v>
      </c>
      <c r="H147" s="315">
        <v>40</v>
      </c>
      <c r="I147" s="315">
        <v>39.700000000000003</v>
      </c>
      <c r="J147" s="315">
        <v>39.4</v>
      </c>
      <c r="K147" s="513">
        <v>39.4</v>
      </c>
      <c r="L147" s="926" t="s">
        <v>1418</v>
      </c>
      <c r="M147" s="331" t="s">
        <v>1362</v>
      </c>
      <c r="N147" s="366" t="s">
        <v>238</v>
      </c>
      <c r="O147" s="323" t="s">
        <v>239</v>
      </c>
      <c r="P147" s="386" t="s">
        <v>239</v>
      </c>
      <c r="Q147" s="323" t="s">
        <v>239</v>
      </c>
      <c r="R147" s="366" t="s">
        <v>239</v>
      </c>
      <c r="S147" s="378" t="s">
        <v>1363</v>
      </c>
      <c r="T147" s="324" t="s">
        <v>1364</v>
      </c>
      <c r="U147" s="386">
        <v>250</v>
      </c>
      <c r="V147" s="386">
        <v>2450</v>
      </c>
      <c r="W147" s="386">
        <v>600</v>
      </c>
      <c r="X147" s="386">
        <v>6000</v>
      </c>
      <c r="Y147" s="386">
        <v>210</v>
      </c>
      <c r="Z147" s="386">
        <v>105</v>
      </c>
      <c r="AA147" s="386">
        <v>200</v>
      </c>
      <c r="AB147" s="392">
        <v>4.6900000000000004</v>
      </c>
      <c r="AC147" s="28">
        <v>0</v>
      </c>
      <c r="AD147" s="28">
        <v>1</v>
      </c>
      <c r="AE147" s="28">
        <v>1</v>
      </c>
      <c r="AF147" s="28">
        <v>1</v>
      </c>
      <c r="AG147" s="28">
        <v>1</v>
      </c>
      <c r="AH147" s="28">
        <v>1</v>
      </c>
      <c r="AI147" s="28">
        <v>1</v>
      </c>
      <c r="AJ147" s="28">
        <v>1</v>
      </c>
    </row>
    <row r="148" spans="1:36" x14ac:dyDescent="0.25">
      <c r="A148" s="298" t="str">
        <f>IF('Kwaliteit conversie'!$D$4='Prijs karton'!C148,"X"," ")</f>
        <v xml:space="preserve"> </v>
      </c>
      <c r="B148" s="331" t="s">
        <v>32</v>
      </c>
      <c r="C148" s="359" t="s">
        <v>1419</v>
      </c>
      <c r="D148" s="366">
        <v>0.435</v>
      </c>
      <c r="E148" s="321">
        <v>3.83</v>
      </c>
      <c r="F148" s="925">
        <v>0</v>
      </c>
      <c r="G148" s="315">
        <v>43.1</v>
      </c>
      <c r="H148" s="315">
        <v>41.7</v>
      </c>
      <c r="I148" s="315">
        <v>41.5</v>
      </c>
      <c r="J148" s="315">
        <v>41.2</v>
      </c>
      <c r="K148" s="513">
        <v>41.2</v>
      </c>
      <c r="L148" s="926" t="s">
        <v>1420</v>
      </c>
      <c r="M148" s="331" t="s">
        <v>277</v>
      </c>
      <c r="N148" s="366" t="s">
        <v>238</v>
      </c>
      <c r="O148" s="323" t="s">
        <v>239</v>
      </c>
      <c r="P148" s="386" t="s">
        <v>239</v>
      </c>
      <c r="Q148" s="323" t="s">
        <v>239</v>
      </c>
      <c r="R148" s="366" t="s">
        <v>239</v>
      </c>
      <c r="S148" s="378" t="s">
        <v>1367</v>
      </c>
      <c r="T148" s="324" t="s">
        <v>1364</v>
      </c>
      <c r="U148" s="386">
        <v>250</v>
      </c>
      <c r="V148" s="386">
        <v>2450</v>
      </c>
      <c r="W148" s="386">
        <v>600</v>
      </c>
      <c r="X148" s="386">
        <v>6000</v>
      </c>
      <c r="Y148" s="386">
        <v>210</v>
      </c>
      <c r="Z148" s="386">
        <v>105</v>
      </c>
      <c r="AA148" s="386">
        <v>200</v>
      </c>
      <c r="AB148" s="392">
        <v>5.0999999999999996</v>
      </c>
      <c r="AC148" s="28">
        <v>0</v>
      </c>
      <c r="AD148" s="28">
        <v>1</v>
      </c>
      <c r="AE148" s="28">
        <v>1</v>
      </c>
      <c r="AF148" s="28">
        <v>1</v>
      </c>
      <c r="AG148" s="28">
        <v>1</v>
      </c>
      <c r="AH148" s="28">
        <v>1</v>
      </c>
      <c r="AI148" s="28">
        <v>1</v>
      </c>
      <c r="AJ148" s="28">
        <v>1</v>
      </c>
    </row>
    <row r="149" spans="1:36" x14ac:dyDescent="0.25">
      <c r="A149" s="298" t="str">
        <f>IF('Kwaliteit conversie'!$D$4='Prijs karton'!C149,"X"," ")</f>
        <v xml:space="preserve"> </v>
      </c>
      <c r="B149" s="331" t="s">
        <v>32</v>
      </c>
      <c r="C149" s="359" t="s">
        <v>1421</v>
      </c>
      <c r="D149" s="366">
        <v>0.495</v>
      </c>
      <c r="E149" s="321">
        <v>3.91</v>
      </c>
      <c r="F149" s="925">
        <v>0</v>
      </c>
      <c r="G149" s="315">
        <v>50.6</v>
      </c>
      <c r="H149" s="315">
        <v>49.3</v>
      </c>
      <c r="I149" s="315">
        <v>49</v>
      </c>
      <c r="J149" s="315">
        <v>48.7</v>
      </c>
      <c r="K149" s="513">
        <v>48.7</v>
      </c>
      <c r="L149" s="926" t="s">
        <v>1422</v>
      </c>
      <c r="M149" s="331" t="s">
        <v>1372</v>
      </c>
      <c r="N149" s="366" t="s">
        <v>265</v>
      </c>
      <c r="O149" s="323" t="s">
        <v>239</v>
      </c>
      <c r="P149" s="386" t="s">
        <v>239</v>
      </c>
      <c r="Q149" s="323" t="s">
        <v>239</v>
      </c>
      <c r="R149" s="366" t="s">
        <v>239</v>
      </c>
      <c r="S149" s="378" t="s">
        <v>1363</v>
      </c>
      <c r="T149" s="324" t="s">
        <v>1364</v>
      </c>
      <c r="U149" s="386">
        <v>250</v>
      </c>
      <c r="V149" s="386">
        <v>2450</v>
      </c>
      <c r="W149" s="386">
        <v>600</v>
      </c>
      <c r="X149" s="386">
        <v>6000</v>
      </c>
      <c r="Y149" s="386">
        <v>210</v>
      </c>
      <c r="Z149" s="386">
        <v>105</v>
      </c>
      <c r="AA149" s="386">
        <v>200</v>
      </c>
      <c r="AB149" s="392">
        <v>5.82</v>
      </c>
      <c r="AC149" s="28">
        <v>0</v>
      </c>
      <c r="AD149" s="28">
        <v>1</v>
      </c>
      <c r="AE149" s="28">
        <v>1</v>
      </c>
      <c r="AF149" s="28">
        <v>1</v>
      </c>
      <c r="AG149" s="28">
        <v>1</v>
      </c>
      <c r="AH149" s="28">
        <v>1</v>
      </c>
      <c r="AI149" s="28">
        <v>1</v>
      </c>
      <c r="AJ149" s="28">
        <v>1</v>
      </c>
    </row>
    <row r="150" spans="1:36" x14ac:dyDescent="0.25">
      <c r="A150" s="298" t="str">
        <f>IF('Kwaliteit conversie'!$D$4='Prijs karton'!C150,"X"," ")</f>
        <v xml:space="preserve"> </v>
      </c>
      <c r="B150" s="331" t="s">
        <v>32</v>
      </c>
      <c r="C150" s="359"/>
      <c r="D150" s="366"/>
      <c r="E150" s="321"/>
      <c r="F150" s="925"/>
      <c r="G150" s="315"/>
      <c r="H150" s="315"/>
      <c r="I150" s="315"/>
      <c r="J150" s="315"/>
      <c r="K150" s="513"/>
      <c r="L150" s="926"/>
      <c r="M150" s="331"/>
      <c r="N150" s="366"/>
      <c r="O150" s="323"/>
      <c r="P150" s="386"/>
      <c r="Q150" s="323"/>
      <c r="R150" s="366"/>
      <c r="S150" s="378"/>
      <c r="T150" s="324"/>
      <c r="U150" s="386"/>
      <c r="V150" s="386"/>
      <c r="W150" s="386"/>
      <c r="X150" s="386"/>
      <c r="Y150" s="386"/>
      <c r="Z150" s="386"/>
      <c r="AA150" s="386"/>
      <c r="AB150" s="392"/>
      <c r="AC150" s="28"/>
      <c r="AD150" s="28"/>
      <c r="AE150" s="28"/>
      <c r="AF150" s="28"/>
      <c r="AG150" s="28"/>
      <c r="AH150" s="28"/>
      <c r="AI150" s="28"/>
      <c r="AJ150" s="28"/>
    </row>
    <row r="151" spans="1:36" x14ac:dyDescent="0.25">
      <c r="A151" s="298" t="str">
        <f>IF('Kwaliteit conversie'!$D$4='Prijs karton'!C151,"X"," ")</f>
        <v xml:space="preserve"> </v>
      </c>
      <c r="B151" s="331" t="s">
        <v>32</v>
      </c>
      <c r="C151" s="359"/>
      <c r="D151" s="366"/>
      <c r="E151" s="321"/>
      <c r="F151" s="925"/>
      <c r="G151" s="315"/>
      <c r="H151" s="315"/>
      <c r="I151" s="315"/>
      <c r="J151" s="315"/>
      <c r="K151" s="513"/>
      <c r="L151" s="926"/>
      <c r="M151" s="331"/>
      <c r="N151" s="366"/>
      <c r="O151" s="323"/>
      <c r="P151" s="386"/>
      <c r="Q151" s="323"/>
      <c r="R151" s="366"/>
      <c r="S151" s="378"/>
      <c r="T151" s="324"/>
      <c r="U151" s="386"/>
      <c r="V151" s="386"/>
      <c r="W151" s="386"/>
      <c r="X151" s="386"/>
      <c r="Y151" s="386"/>
      <c r="Z151" s="386"/>
      <c r="AA151" s="386"/>
      <c r="AB151" s="392"/>
      <c r="AC151" s="28"/>
      <c r="AD151" s="28"/>
      <c r="AE151" s="28"/>
      <c r="AF151" s="28"/>
      <c r="AG151" s="28"/>
      <c r="AH151" s="28"/>
      <c r="AI151" s="28"/>
      <c r="AJ151" s="28"/>
    </row>
    <row r="152" spans="1:36" x14ac:dyDescent="0.25">
      <c r="A152" s="298" t="str">
        <f>IF('Kwaliteit conversie'!$D$4='Prijs karton'!C152,"X"," ")</f>
        <v xml:space="preserve"> </v>
      </c>
      <c r="B152" s="331" t="s">
        <v>32</v>
      </c>
      <c r="C152" s="359"/>
      <c r="D152" s="366"/>
      <c r="E152" s="321"/>
      <c r="F152" s="925"/>
      <c r="G152" s="315"/>
      <c r="H152" s="315"/>
      <c r="I152" s="315"/>
      <c r="J152" s="315"/>
      <c r="K152" s="513"/>
      <c r="L152" s="926"/>
      <c r="M152" s="331"/>
      <c r="N152" s="366"/>
      <c r="O152" s="323"/>
      <c r="P152" s="386"/>
      <c r="Q152" s="323"/>
      <c r="R152" s="366"/>
      <c r="S152" s="378"/>
      <c r="T152" s="324"/>
      <c r="U152" s="386"/>
      <c r="V152" s="386"/>
      <c r="W152" s="386"/>
      <c r="X152" s="386"/>
      <c r="Y152" s="386"/>
      <c r="Z152" s="386"/>
      <c r="AA152" s="386"/>
      <c r="AB152" s="392"/>
      <c r="AC152" s="28"/>
      <c r="AD152" s="28"/>
      <c r="AE152" s="28"/>
      <c r="AF152" s="28"/>
      <c r="AG152" s="28"/>
      <c r="AH152" s="28"/>
      <c r="AI152" s="28"/>
      <c r="AJ152" s="28"/>
    </row>
    <row r="153" spans="1:36" x14ac:dyDescent="0.25">
      <c r="A153" s="298" t="str">
        <f>IF('Kwaliteit conversie'!$D$4='Prijs karton'!C153,"X"," ")</f>
        <v xml:space="preserve"> </v>
      </c>
      <c r="B153" s="331" t="s">
        <v>32</v>
      </c>
      <c r="C153" s="359"/>
      <c r="D153" s="366"/>
      <c r="E153" s="321"/>
      <c r="F153" s="925"/>
      <c r="G153" s="315"/>
      <c r="H153" s="315"/>
      <c r="I153" s="315"/>
      <c r="J153" s="315"/>
      <c r="K153" s="513"/>
      <c r="L153" s="926"/>
      <c r="M153" s="331"/>
      <c r="N153" s="366"/>
      <c r="O153" s="323"/>
      <c r="P153" s="386"/>
      <c r="Q153" s="323"/>
      <c r="R153" s="366"/>
      <c r="S153" s="378"/>
      <c r="T153" s="324"/>
      <c r="U153" s="386"/>
      <c r="V153" s="386"/>
      <c r="W153" s="386"/>
      <c r="X153" s="386"/>
      <c r="Y153" s="386"/>
      <c r="Z153" s="386"/>
      <c r="AA153" s="386"/>
      <c r="AB153" s="392"/>
      <c r="AC153" s="28"/>
      <c r="AD153" s="28"/>
      <c r="AE153" s="28"/>
      <c r="AF153" s="28"/>
      <c r="AG153" s="28"/>
      <c r="AH153" s="28"/>
      <c r="AI153" s="28"/>
      <c r="AJ153" s="28"/>
    </row>
    <row r="154" spans="1:36" x14ac:dyDescent="0.25">
      <c r="A154" s="298" t="str">
        <f>IF('Kwaliteit conversie'!$D$4='Prijs karton'!C154,"X"," ")</f>
        <v xml:space="preserve"> </v>
      </c>
      <c r="B154" s="331" t="s">
        <v>32</v>
      </c>
      <c r="C154" s="359"/>
      <c r="D154" s="366"/>
      <c r="E154" s="321"/>
      <c r="F154" s="925"/>
      <c r="G154" s="315"/>
      <c r="H154" s="315"/>
      <c r="I154" s="315"/>
      <c r="J154" s="315"/>
      <c r="K154" s="513"/>
      <c r="L154" s="926"/>
      <c r="M154" s="331"/>
      <c r="N154" s="366"/>
      <c r="O154" s="323"/>
      <c r="P154" s="386"/>
      <c r="Q154" s="323"/>
      <c r="R154" s="366"/>
      <c r="S154" s="378"/>
      <c r="T154" s="324"/>
      <c r="U154" s="386"/>
      <c r="V154" s="386"/>
      <c r="W154" s="386"/>
      <c r="X154" s="386"/>
      <c r="Y154" s="386"/>
      <c r="Z154" s="386"/>
      <c r="AA154" s="386"/>
      <c r="AB154" s="392"/>
      <c r="AC154" s="28"/>
      <c r="AD154" s="28"/>
      <c r="AE154" s="28"/>
      <c r="AF154" s="28"/>
      <c r="AG154" s="28"/>
      <c r="AH154" s="28"/>
      <c r="AI154" s="28"/>
      <c r="AJ154" s="28"/>
    </row>
    <row r="155" spans="1:36" x14ac:dyDescent="0.25">
      <c r="A155" s="298" t="str">
        <f>IF('Kwaliteit conversie'!$D$4='Prijs karton'!C155,"X"," ")</f>
        <v xml:space="preserve"> </v>
      </c>
      <c r="B155" s="331" t="s">
        <v>32</v>
      </c>
      <c r="C155" s="359"/>
      <c r="D155" s="366"/>
      <c r="E155" s="321"/>
      <c r="F155" s="925"/>
      <c r="G155" s="315"/>
      <c r="H155" s="315"/>
      <c r="I155" s="315"/>
      <c r="J155" s="315"/>
      <c r="K155" s="513"/>
      <c r="L155" s="926"/>
      <c r="M155" s="331"/>
      <c r="N155" s="366"/>
      <c r="O155" s="323"/>
      <c r="P155" s="386"/>
      <c r="Q155" s="323"/>
      <c r="R155" s="366"/>
      <c r="S155" s="378"/>
      <c r="T155" s="324"/>
      <c r="U155" s="386"/>
      <c r="V155" s="386"/>
      <c r="W155" s="386"/>
      <c r="X155" s="386"/>
      <c r="Y155" s="386"/>
      <c r="Z155" s="386"/>
      <c r="AA155" s="386"/>
      <c r="AB155" s="392"/>
      <c r="AC155" s="28"/>
      <c r="AD155" s="28"/>
      <c r="AE155" s="28"/>
      <c r="AF155" s="28"/>
      <c r="AG155" s="28"/>
      <c r="AH155" s="28"/>
      <c r="AI155" s="28"/>
      <c r="AJ155" s="28"/>
    </row>
    <row r="156" spans="1:36" s="320" customFormat="1" x14ac:dyDescent="0.25">
      <c r="A156" s="329" t="str">
        <f>IF('Kwaliteit conversie'!$D$4='Prijs karton'!C156,"X"," ")</f>
        <v xml:space="preserve"> </v>
      </c>
      <c r="B156" s="332" t="s">
        <v>32</v>
      </c>
      <c r="C156" s="360" t="s">
        <v>392</v>
      </c>
      <c r="D156" s="367">
        <v>0.5</v>
      </c>
      <c r="E156" s="322">
        <v>3.8</v>
      </c>
      <c r="F156" s="927">
        <v>0</v>
      </c>
      <c r="G156" s="319">
        <v>0</v>
      </c>
      <c r="H156" s="319">
        <v>0</v>
      </c>
      <c r="I156" s="319">
        <v>0</v>
      </c>
      <c r="J156" s="319">
        <v>0</v>
      </c>
      <c r="K156" s="928">
        <v>0</v>
      </c>
      <c r="L156" s="929" t="s">
        <v>239</v>
      </c>
      <c r="M156" s="379" t="s">
        <v>239</v>
      </c>
      <c r="N156" s="367" t="s">
        <v>239</v>
      </c>
      <c r="O156" s="325" t="s">
        <v>239</v>
      </c>
      <c r="P156" s="387" t="s">
        <v>239</v>
      </c>
      <c r="Q156" s="325" t="s">
        <v>239</v>
      </c>
      <c r="R156" s="367" t="s">
        <v>239</v>
      </c>
      <c r="S156" s="380" t="s">
        <v>239</v>
      </c>
      <c r="T156" s="326" t="s">
        <v>245</v>
      </c>
      <c r="U156" s="387">
        <v>250</v>
      </c>
      <c r="V156" s="387">
        <v>2450</v>
      </c>
      <c r="W156" s="387">
        <v>500</v>
      </c>
      <c r="X156" s="387">
        <v>6200</v>
      </c>
      <c r="Y156" s="387">
        <v>280</v>
      </c>
      <c r="Z156" s="387">
        <v>140</v>
      </c>
      <c r="AA156" s="387">
        <v>200</v>
      </c>
      <c r="AB156" s="393">
        <v>5</v>
      </c>
      <c r="AC156" s="34">
        <v>0</v>
      </c>
      <c r="AD156" s="34">
        <v>1</v>
      </c>
      <c r="AE156" s="34">
        <v>1</v>
      </c>
      <c r="AF156" s="34">
        <v>1</v>
      </c>
      <c r="AG156" s="34">
        <v>1</v>
      </c>
      <c r="AH156" s="34">
        <v>1</v>
      </c>
      <c r="AI156" s="34">
        <v>1</v>
      </c>
      <c r="AJ156" s="34">
        <v>1</v>
      </c>
    </row>
    <row r="157" spans="1:36" x14ac:dyDescent="0.25">
      <c r="A157" s="298" t="str">
        <f>IF('Kwaliteit conversie'!$D$4='Prijs karton'!C157,"X"," ")</f>
        <v xml:space="preserve"> </v>
      </c>
      <c r="B157" s="331"/>
      <c r="C157" s="359"/>
      <c r="D157" s="366"/>
      <c r="E157" s="321"/>
      <c r="F157" s="925"/>
      <c r="G157" s="315"/>
      <c r="H157" s="315"/>
      <c r="I157" s="315"/>
      <c r="J157" s="315"/>
      <c r="K157" s="513"/>
      <c r="L157" s="926"/>
      <c r="M157" s="331"/>
      <c r="N157" s="366"/>
      <c r="O157" s="323"/>
      <c r="P157" s="386"/>
      <c r="Q157" s="323"/>
      <c r="R157" s="366"/>
      <c r="S157" s="378"/>
      <c r="T157" s="324"/>
      <c r="U157" s="386"/>
      <c r="V157" s="386"/>
      <c r="W157" s="386"/>
      <c r="X157" s="386"/>
      <c r="Y157" s="386"/>
      <c r="Z157" s="386"/>
      <c r="AA157" s="386"/>
      <c r="AB157" s="392"/>
      <c r="AC157" s="28"/>
      <c r="AD157" s="28"/>
      <c r="AE157" s="28"/>
      <c r="AF157" s="28"/>
      <c r="AG157" s="28"/>
      <c r="AH157" s="28"/>
      <c r="AI157" s="28"/>
      <c r="AJ157" s="28"/>
    </row>
    <row r="158" spans="1:36" x14ac:dyDescent="0.25">
      <c r="A158" s="298" t="str">
        <f>IF('Kwaliteit conversie'!$D$4='Prijs karton'!C158,"X"," ")</f>
        <v xml:space="preserve"> </v>
      </c>
      <c r="B158" s="331"/>
      <c r="C158" s="359"/>
      <c r="D158" s="366"/>
      <c r="E158" s="321"/>
      <c r="F158" s="925"/>
      <c r="G158" s="315"/>
      <c r="H158" s="315"/>
      <c r="I158" s="315"/>
      <c r="J158" s="315"/>
      <c r="K158" s="513"/>
      <c r="L158" s="926"/>
      <c r="M158" s="331"/>
      <c r="N158" s="366"/>
      <c r="O158" s="323"/>
      <c r="P158" s="386"/>
      <c r="Q158" s="323"/>
      <c r="R158" s="366"/>
      <c r="S158" s="378"/>
      <c r="T158" s="324"/>
      <c r="U158" s="386"/>
      <c r="V158" s="386"/>
      <c r="W158" s="386"/>
      <c r="X158" s="386"/>
      <c r="Y158" s="386"/>
      <c r="Z158" s="386"/>
      <c r="AA158" s="386"/>
      <c r="AB158" s="392"/>
      <c r="AC158" s="28"/>
      <c r="AD158" s="28"/>
      <c r="AE158" s="28"/>
      <c r="AF158" s="28"/>
      <c r="AG158" s="28"/>
      <c r="AH158" s="28"/>
      <c r="AI158" s="28"/>
      <c r="AJ158" s="28"/>
    </row>
    <row r="159" spans="1:36" x14ac:dyDescent="0.25">
      <c r="A159" s="298" t="str">
        <f>IF('Kwaliteit conversie'!$D$4='Prijs karton'!C159,"X"," ")</f>
        <v xml:space="preserve"> </v>
      </c>
      <c r="B159" s="331"/>
      <c r="C159" s="359"/>
      <c r="D159" s="366"/>
      <c r="E159" s="321"/>
      <c r="F159" s="925"/>
      <c r="G159" s="315"/>
      <c r="H159" s="315"/>
      <c r="I159" s="315"/>
      <c r="J159" s="315"/>
      <c r="K159" s="513"/>
      <c r="L159" s="926"/>
      <c r="M159" s="331"/>
      <c r="N159" s="366"/>
      <c r="O159" s="323"/>
      <c r="P159" s="386"/>
      <c r="Q159" s="323"/>
      <c r="R159" s="366"/>
      <c r="S159" s="378"/>
      <c r="T159" s="324"/>
      <c r="U159" s="386"/>
      <c r="V159" s="386"/>
      <c r="W159" s="386"/>
      <c r="X159" s="386"/>
      <c r="Y159" s="386"/>
      <c r="Z159" s="386"/>
      <c r="AA159" s="386"/>
      <c r="AB159" s="392"/>
      <c r="AC159" s="28"/>
      <c r="AD159" s="28"/>
      <c r="AE159" s="28"/>
      <c r="AF159" s="28"/>
      <c r="AG159" s="28"/>
      <c r="AH159" s="28"/>
      <c r="AI159" s="28"/>
      <c r="AJ159" s="28"/>
    </row>
    <row r="160" spans="1:36" x14ac:dyDescent="0.25">
      <c r="A160" s="298" t="str">
        <f>IF('Kwaliteit conversie'!$D$4='Prijs karton'!C160,"X"," ")</f>
        <v xml:space="preserve"> </v>
      </c>
      <c r="B160" s="331" t="s">
        <v>37</v>
      </c>
      <c r="C160" s="359"/>
      <c r="D160" s="366"/>
      <c r="E160" s="321"/>
      <c r="F160" s="925"/>
      <c r="G160" s="315"/>
      <c r="H160" s="315"/>
      <c r="I160" s="315"/>
      <c r="J160" s="315"/>
      <c r="K160" s="513"/>
      <c r="L160" s="926"/>
      <c r="M160" s="331"/>
      <c r="N160" s="366"/>
      <c r="O160" s="323"/>
      <c r="P160" s="386"/>
      <c r="Q160" s="323"/>
      <c r="R160" s="366"/>
      <c r="S160" s="378"/>
      <c r="T160" s="324"/>
      <c r="U160" s="386"/>
      <c r="V160" s="386"/>
      <c r="W160" s="386"/>
      <c r="X160" s="386"/>
      <c r="Y160" s="386"/>
      <c r="Z160" s="386"/>
      <c r="AA160" s="386"/>
      <c r="AB160" s="392"/>
      <c r="AC160" s="28"/>
      <c r="AD160" s="28"/>
      <c r="AE160" s="28"/>
      <c r="AF160" s="28"/>
      <c r="AG160" s="28"/>
      <c r="AH160" s="28"/>
      <c r="AI160" s="28"/>
      <c r="AJ160" s="28"/>
    </row>
    <row r="161" spans="1:36" x14ac:dyDescent="0.25">
      <c r="A161" s="932" t="str">
        <f>IF('Kwaliteit conversie'!$D$4='Prijs karton'!C161,"X"," ")</f>
        <v xml:space="preserve"> </v>
      </c>
      <c r="B161" s="331" t="s">
        <v>37</v>
      </c>
      <c r="C161" s="359" t="s">
        <v>393</v>
      </c>
      <c r="D161" s="366">
        <v>1.28</v>
      </c>
      <c r="E161" s="321">
        <v>8.6999999999999993</v>
      </c>
      <c r="F161" s="925">
        <v>0</v>
      </c>
      <c r="G161" s="315">
        <v>149</v>
      </c>
      <c r="H161" s="315">
        <v>146</v>
      </c>
      <c r="I161" s="315">
        <v>145.5</v>
      </c>
      <c r="J161" s="315">
        <v>145.5</v>
      </c>
      <c r="K161" s="513">
        <v>145</v>
      </c>
      <c r="L161" s="926" t="s">
        <v>394</v>
      </c>
      <c r="M161" s="331" t="s">
        <v>360</v>
      </c>
      <c r="N161" s="366" t="s">
        <v>357</v>
      </c>
      <c r="O161" s="323" t="s">
        <v>360</v>
      </c>
      <c r="P161" s="386" t="s">
        <v>357</v>
      </c>
      <c r="Q161" s="323" t="s">
        <v>239</v>
      </c>
      <c r="R161" s="366" t="s">
        <v>239</v>
      </c>
      <c r="S161" s="378" t="s">
        <v>360</v>
      </c>
      <c r="T161" s="324" t="s">
        <v>245</v>
      </c>
      <c r="U161" s="386">
        <v>250</v>
      </c>
      <c r="V161" s="386">
        <v>2450</v>
      </c>
      <c r="W161" s="386">
        <v>800</v>
      </c>
      <c r="X161" s="386">
        <v>6200</v>
      </c>
      <c r="Y161" s="386">
        <v>160</v>
      </c>
      <c r="Z161" s="386">
        <v>80</v>
      </c>
      <c r="AA161" s="386">
        <v>300</v>
      </c>
      <c r="AB161" s="392">
        <v>17.2</v>
      </c>
      <c r="AC161" s="28">
        <v>0</v>
      </c>
      <c r="AD161" s="28">
        <v>0</v>
      </c>
      <c r="AE161" s="28">
        <v>1</v>
      </c>
      <c r="AF161" s="28">
        <v>0</v>
      </c>
      <c r="AG161" s="28">
        <v>0</v>
      </c>
      <c r="AH161" s="28">
        <v>1</v>
      </c>
      <c r="AI161" s="28">
        <v>0</v>
      </c>
      <c r="AJ161" s="28">
        <v>1</v>
      </c>
    </row>
    <row r="162" spans="1:36" x14ac:dyDescent="0.25">
      <c r="A162" s="298" t="str">
        <f>IF('Kwaliteit conversie'!$D$4='Prijs karton'!C162,"X"," ")</f>
        <v xml:space="preserve"> </v>
      </c>
      <c r="B162" s="331" t="s">
        <v>37</v>
      </c>
      <c r="C162" s="359" t="s">
        <v>395</v>
      </c>
      <c r="D162" s="366">
        <v>1.415</v>
      </c>
      <c r="E162" s="321">
        <v>8.9</v>
      </c>
      <c r="F162" s="925">
        <v>0</v>
      </c>
      <c r="G162" s="315">
        <v>163.5</v>
      </c>
      <c r="H162" s="315">
        <v>160.5</v>
      </c>
      <c r="I162" s="315">
        <v>160</v>
      </c>
      <c r="J162" s="315">
        <v>160</v>
      </c>
      <c r="K162" s="513">
        <v>159.5</v>
      </c>
      <c r="L162" s="926" t="s">
        <v>396</v>
      </c>
      <c r="M162" s="331" t="s">
        <v>397</v>
      </c>
      <c r="N162" s="366" t="s">
        <v>398</v>
      </c>
      <c r="O162" s="323" t="s">
        <v>399</v>
      </c>
      <c r="P162" s="386" t="s">
        <v>398</v>
      </c>
      <c r="Q162" s="323" t="s">
        <v>239</v>
      </c>
      <c r="R162" s="366" t="s">
        <v>239</v>
      </c>
      <c r="S162" s="378" t="s">
        <v>397</v>
      </c>
      <c r="T162" s="324" t="s">
        <v>245</v>
      </c>
      <c r="U162" s="386">
        <v>250</v>
      </c>
      <c r="V162" s="386">
        <v>2450</v>
      </c>
      <c r="W162" s="386">
        <v>800</v>
      </c>
      <c r="X162" s="386">
        <v>6200</v>
      </c>
      <c r="Y162" s="386">
        <v>160</v>
      </c>
      <c r="Z162" s="386">
        <v>80</v>
      </c>
      <c r="AA162" s="386">
        <v>300</v>
      </c>
      <c r="AB162" s="392">
        <v>19.600000000000001</v>
      </c>
      <c r="AC162" s="28">
        <v>0</v>
      </c>
      <c r="AD162" s="28">
        <v>0</v>
      </c>
      <c r="AE162" s="28">
        <v>1</v>
      </c>
      <c r="AF162" s="28">
        <v>0</v>
      </c>
      <c r="AG162" s="28">
        <v>0</v>
      </c>
      <c r="AH162" s="28">
        <v>1</v>
      </c>
      <c r="AI162" s="28">
        <v>0</v>
      </c>
      <c r="AJ162" s="28">
        <v>1</v>
      </c>
    </row>
    <row r="163" spans="1:36" x14ac:dyDescent="0.25">
      <c r="A163" s="298" t="str">
        <f>IF('Kwaliteit conversie'!$D$4='Prijs karton'!C163,"X"," ")</f>
        <v xml:space="preserve"> </v>
      </c>
      <c r="B163" s="331" t="s">
        <v>37</v>
      </c>
      <c r="C163" s="359"/>
      <c r="D163" s="366"/>
      <c r="E163" s="321"/>
      <c r="F163" s="925"/>
      <c r="G163" s="315"/>
      <c r="H163" s="315"/>
      <c r="I163" s="315"/>
      <c r="J163" s="315"/>
      <c r="K163" s="513"/>
      <c r="L163" s="926"/>
      <c r="M163" s="331"/>
      <c r="N163" s="366"/>
      <c r="O163" s="323"/>
      <c r="P163" s="386"/>
      <c r="Q163" s="323"/>
      <c r="R163" s="366"/>
      <c r="S163" s="378"/>
      <c r="T163" s="324"/>
      <c r="U163" s="386"/>
      <c r="V163" s="386"/>
      <c r="W163" s="386"/>
      <c r="X163" s="386"/>
      <c r="Y163" s="386"/>
      <c r="Z163" s="386"/>
      <c r="AA163" s="386"/>
      <c r="AB163" s="392"/>
      <c r="AC163" s="28"/>
      <c r="AD163" s="28"/>
      <c r="AE163" s="28"/>
      <c r="AF163" s="28"/>
      <c r="AG163" s="28"/>
      <c r="AH163" s="28"/>
      <c r="AI163" s="28"/>
      <c r="AJ163" s="28"/>
    </row>
    <row r="164" spans="1:36" x14ac:dyDescent="0.25">
      <c r="A164" s="298" t="str">
        <f>IF('Kwaliteit conversie'!$D$4='Prijs karton'!C164,"X"," ")</f>
        <v xml:space="preserve"> </v>
      </c>
      <c r="B164" s="331" t="s">
        <v>37</v>
      </c>
      <c r="C164" s="359"/>
      <c r="D164" s="366"/>
      <c r="E164" s="321"/>
      <c r="F164" s="925"/>
      <c r="G164" s="315"/>
      <c r="H164" s="315"/>
      <c r="I164" s="315"/>
      <c r="J164" s="315"/>
      <c r="K164" s="513"/>
      <c r="L164" s="926"/>
      <c r="M164" s="331"/>
      <c r="N164" s="366"/>
      <c r="O164" s="323"/>
      <c r="P164" s="386"/>
      <c r="Q164" s="323"/>
      <c r="R164" s="366"/>
      <c r="S164" s="378"/>
      <c r="T164" s="324"/>
      <c r="U164" s="386"/>
      <c r="V164" s="386"/>
      <c r="W164" s="386"/>
      <c r="X164" s="386"/>
      <c r="Y164" s="386"/>
      <c r="Z164" s="386"/>
      <c r="AA164" s="386"/>
      <c r="AB164" s="392"/>
      <c r="AC164" s="28"/>
      <c r="AD164" s="28"/>
      <c r="AE164" s="28"/>
      <c r="AF164" s="28"/>
      <c r="AG164" s="28"/>
      <c r="AH164" s="28"/>
      <c r="AI164" s="28"/>
      <c r="AJ164" s="28"/>
    </row>
    <row r="165" spans="1:36" x14ac:dyDescent="0.25">
      <c r="A165" s="298" t="str">
        <f>IF('Kwaliteit conversie'!$D$4='Prijs karton'!C165,"X"," ")</f>
        <v xml:space="preserve"> </v>
      </c>
      <c r="B165" s="331" t="s">
        <v>37</v>
      </c>
      <c r="C165" s="359"/>
      <c r="D165" s="366"/>
      <c r="E165" s="321"/>
      <c r="F165" s="925"/>
      <c r="G165" s="315"/>
      <c r="H165" s="315"/>
      <c r="I165" s="315"/>
      <c r="J165" s="315"/>
      <c r="K165" s="513"/>
      <c r="L165" s="926"/>
      <c r="M165" s="331"/>
      <c r="N165" s="366"/>
      <c r="O165" s="323"/>
      <c r="P165" s="386"/>
      <c r="Q165" s="323"/>
      <c r="R165" s="366"/>
      <c r="S165" s="378"/>
      <c r="T165" s="324"/>
      <c r="U165" s="386"/>
      <c r="V165" s="386"/>
      <c r="W165" s="386"/>
      <c r="X165" s="386"/>
      <c r="Y165" s="386"/>
      <c r="Z165" s="386"/>
      <c r="AA165" s="386"/>
      <c r="AB165" s="392"/>
      <c r="AC165" s="28"/>
      <c r="AD165" s="28"/>
      <c r="AE165" s="28"/>
      <c r="AF165" s="28"/>
      <c r="AG165" s="28"/>
      <c r="AH165" s="28"/>
      <c r="AI165" s="28"/>
      <c r="AJ165" s="28"/>
    </row>
    <row r="166" spans="1:36" x14ac:dyDescent="0.25">
      <c r="A166" s="298" t="str">
        <f>IF('Kwaliteit conversie'!$D$4='Prijs karton'!C166,"X"," ")</f>
        <v xml:space="preserve"> </v>
      </c>
      <c r="B166" s="331" t="s">
        <v>37</v>
      </c>
      <c r="C166" s="359"/>
      <c r="D166" s="366"/>
      <c r="E166" s="321"/>
      <c r="F166" s="925"/>
      <c r="G166" s="315"/>
      <c r="H166" s="315"/>
      <c r="I166" s="315"/>
      <c r="J166" s="315"/>
      <c r="K166" s="513"/>
      <c r="L166" s="926"/>
      <c r="M166" s="331"/>
      <c r="N166" s="366"/>
      <c r="O166" s="323"/>
      <c r="P166" s="386"/>
      <c r="Q166" s="323"/>
      <c r="R166" s="366"/>
      <c r="S166" s="378"/>
      <c r="T166" s="324"/>
      <c r="U166" s="386"/>
      <c r="V166" s="386"/>
      <c r="W166" s="386"/>
      <c r="X166" s="386"/>
      <c r="Y166" s="386"/>
      <c r="Z166" s="386"/>
      <c r="AA166" s="386"/>
      <c r="AB166" s="392"/>
      <c r="AC166" s="28"/>
      <c r="AD166" s="28"/>
      <c r="AE166" s="28"/>
      <c r="AF166" s="28"/>
      <c r="AG166" s="28"/>
      <c r="AH166" s="28"/>
      <c r="AI166" s="28"/>
      <c r="AJ166" s="28"/>
    </row>
    <row r="167" spans="1:36" x14ac:dyDescent="0.25">
      <c r="A167" s="298" t="str">
        <f>IF('Kwaliteit conversie'!$D$4='Prijs karton'!C167,"X"," ")</f>
        <v xml:space="preserve"> </v>
      </c>
      <c r="B167" s="331" t="s">
        <v>37</v>
      </c>
      <c r="C167" s="359"/>
      <c r="D167" s="366"/>
      <c r="E167" s="321"/>
      <c r="F167" s="925"/>
      <c r="G167" s="315"/>
      <c r="H167" s="315"/>
      <c r="I167" s="315"/>
      <c r="J167" s="315"/>
      <c r="K167" s="513"/>
      <c r="L167" s="926"/>
      <c r="M167" s="331"/>
      <c r="N167" s="366"/>
      <c r="O167" s="323"/>
      <c r="P167" s="386"/>
      <c r="Q167" s="323"/>
      <c r="R167" s="366"/>
      <c r="S167" s="378"/>
      <c r="T167" s="324"/>
      <c r="U167" s="386"/>
      <c r="V167" s="386"/>
      <c r="W167" s="386"/>
      <c r="X167" s="386"/>
      <c r="Y167" s="386"/>
      <c r="Z167" s="386"/>
      <c r="AA167" s="386"/>
      <c r="AB167" s="392"/>
      <c r="AC167" s="28"/>
      <c r="AD167" s="28"/>
      <c r="AE167" s="28"/>
      <c r="AF167" s="28"/>
      <c r="AG167" s="28"/>
      <c r="AH167" s="28"/>
      <c r="AI167" s="28"/>
      <c r="AJ167" s="28"/>
    </row>
    <row r="168" spans="1:36" x14ac:dyDescent="0.25">
      <c r="A168" s="298" t="str">
        <f>IF('Kwaliteit conversie'!$D$4='Prijs karton'!C168,"X"," ")</f>
        <v xml:space="preserve"> </v>
      </c>
      <c r="B168" s="331" t="s">
        <v>37</v>
      </c>
      <c r="C168" s="359"/>
      <c r="D168" s="366"/>
      <c r="E168" s="321"/>
      <c r="F168" s="925"/>
      <c r="G168" s="315"/>
      <c r="H168" s="315"/>
      <c r="I168" s="315"/>
      <c r="J168" s="315"/>
      <c r="K168" s="513"/>
      <c r="L168" s="926"/>
      <c r="M168" s="331"/>
      <c r="N168" s="366"/>
      <c r="O168" s="323"/>
      <c r="P168" s="386"/>
      <c r="Q168" s="323"/>
      <c r="R168" s="366"/>
      <c r="S168" s="378"/>
      <c r="T168" s="324"/>
      <c r="U168" s="386"/>
      <c r="V168" s="386"/>
      <c r="W168" s="386"/>
      <c r="X168" s="386"/>
      <c r="Y168" s="386"/>
      <c r="Z168" s="386"/>
      <c r="AA168" s="386"/>
      <c r="AB168" s="392"/>
      <c r="AC168" s="28"/>
      <c r="AD168" s="28"/>
      <c r="AE168" s="28"/>
      <c r="AF168" s="28"/>
      <c r="AG168" s="28"/>
      <c r="AH168" s="28"/>
      <c r="AI168" s="28"/>
      <c r="AJ168" s="28"/>
    </row>
    <row r="169" spans="1:36" x14ac:dyDescent="0.25">
      <c r="A169" s="298" t="str">
        <f>IF('Kwaliteit conversie'!$D$4='Prijs karton'!C169,"X"," ")</f>
        <v xml:space="preserve"> </v>
      </c>
      <c r="B169" s="331" t="s">
        <v>37</v>
      </c>
      <c r="C169" s="359"/>
      <c r="D169" s="366"/>
      <c r="E169" s="321"/>
      <c r="F169" s="925"/>
      <c r="G169" s="315"/>
      <c r="H169" s="315"/>
      <c r="I169" s="315"/>
      <c r="J169" s="315"/>
      <c r="K169" s="513"/>
      <c r="L169" s="926"/>
      <c r="M169" s="331"/>
      <c r="N169" s="366"/>
      <c r="O169" s="323"/>
      <c r="P169" s="386"/>
      <c r="Q169" s="323"/>
      <c r="R169" s="366"/>
      <c r="S169" s="378"/>
      <c r="T169" s="324"/>
      <c r="U169" s="386"/>
      <c r="V169" s="386"/>
      <c r="W169" s="386"/>
      <c r="X169" s="386"/>
      <c r="Y169" s="386"/>
      <c r="Z169" s="386"/>
      <c r="AA169" s="386"/>
      <c r="AB169" s="392"/>
      <c r="AC169" s="28"/>
      <c r="AD169" s="28"/>
      <c r="AE169" s="28"/>
      <c r="AF169" s="28"/>
      <c r="AG169" s="28"/>
      <c r="AH169" s="28"/>
      <c r="AI169" s="28"/>
      <c r="AJ169" s="28"/>
    </row>
    <row r="170" spans="1:36" s="320" customFormat="1" x14ac:dyDescent="0.25">
      <c r="A170" s="329" t="str">
        <f>IF('Kwaliteit conversie'!$D$4='Prijs karton'!C170,"X"," ")</f>
        <v xml:space="preserve"> </v>
      </c>
      <c r="B170" s="332" t="s">
        <v>37</v>
      </c>
      <c r="C170" s="360"/>
      <c r="D170" s="367"/>
      <c r="E170" s="322"/>
      <c r="F170" s="927"/>
      <c r="G170" s="319"/>
      <c r="H170" s="319"/>
      <c r="I170" s="319"/>
      <c r="J170" s="319"/>
      <c r="K170" s="928"/>
      <c r="L170" s="929"/>
      <c r="M170" s="379"/>
      <c r="N170" s="367"/>
      <c r="O170" s="325"/>
      <c r="P170" s="387"/>
      <c r="Q170" s="325"/>
      <c r="R170" s="367"/>
      <c r="S170" s="380"/>
      <c r="T170" s="326"/>
      <c r="U170" s="387"/>
      <c r="V170" s="387"/>
      <c r="W170" s="387"/>
      <c r="X170" s="387"/>
      <c r="Y170" s="387"/>
      <c r="Z170" s="387"/>
      <c r="AA170" s="387"/>
      <c r="AB170" s="393"/>
      <c r="AC170" s="34"/>
      <c r="AD170" s="34"/>
      <c r="AE170" s="34"/>
      <c r="AF170" s="34"/>
      <c r="AG170" s="34"/>
      <c r="AH170" s="34"/>
      <c r="AI170" s="34"/>
      <c r="AJ170" s="34"/>
    </row>
    <row r="171" spans="1:36" x14ac:dyDescent="0.25">
      <c r="A171" s="298" t="str">
        <f>IF('Kwaliteit conversie'!$D$4='Prijs karton'!C171,"X"," ")</f>
        <v xml:space="preserve"> </v>
      </c>
      <c r="B171" s="331"/>
      <c r="C171" s="359"/>
      <c r="D171" s="366"/>
      <c r="E171" s="321"/>
      <c r="F171" s="925"/>
      <c r="G171" s="315"/>
      <c r="H171" s="315"/>
      <c r="I171" s="315"/>
      <c r="J171" s="315"/>
      <c r="K171" s="513"/>
      <c r="L171" s="926"/>
      <c r="M171" s="331"/>
      <c r="N171" s="366"/>
      <c r="O171" s="323"/>
      <c r="P171" s="386"/>
      <c r="Q171" s="323"/>
      <c r="R171" s="366"/>
      <c r="S171" s="378"/>
      <c r="T171" s="324"/>
      <c r="U171" s="386"/>
      <c r="V171" s="386"/>
      <c r="W171" s="386"/>
      <c r="X171" s="386"/>
      <c r="Y171" s="386"/>
      <c r="Z171" s="386"/>
      <c r="AA171" s="386"/>
      <c r="AB171" s="392"/>
      <c r="AC171" s="28"/>
      <c r="AD171" s="28"/>
      <c r="AE171" s="28"/>
      <c r="AF171" s="28"/>
      <c r="AG171" s="28"/>
      <c r="AH171" s="28"/>
      <c r="AI171" s="28"/>
      <c r="AJ171" s="28"/>
    </row>
    <row r="172" spans="1:36" x14ac:dyDescent="0.25">
      <c r="A172" s="298" t="str">
        <f>IF('Kwaliteit conversie'!$D$4='Prijs karton'!C172,"X"," ")</f>
        <v xml:space="preserve"> </v>
      </c>
      <c r="B172" s="331"/>
      <c r="C172" s="359"/>
      <c r="D172" s="366"/>
      <c r="E172" s="321"/>
      <c r="F172" s="925"/>
      <c r="G172" s="315"/>
      <c r="H172" s="315"/>
      <c r="I172" s="315"/>
      <c r="J172" s="315"/>
      <c r="K172" s="513"/>
      <c r="L172" s="926"/>
      <c r="M172" s="331"/>
      <c r="N172" s="366"/>
      <c r="O172" s="323"/>
      <c r="P172" s="386"/>
      <c r="Q172" s="323"/>
      <c r="R172" s="366"/>
      <c r="S172" s="378"/>
      <c r="T172" s="324"/>
      <c r="U172" s="386"/>
      <c r="V172" s="386"/>
      <c r="W172" s="386"/>
      <c r="X172" s="386"/>
      <c r="Y172" s="386"/>
      <c r="Z172" s="386"/>
      <c r="AA172" s="386"/>
      <c r="AB172" s="392"/>
      <c r="AC172" s="28"/>
      <c r="AD172" s="28"/>
      <c r="AE172" s="28"/>
      <c r="AF172" s="28"/>
      <c r="AG172" s="28"/>
      <c r="AH172" s="28"/>
      <c r="AI172" s="28"/>
      <c r="AJ172" s="28"/>
    </row>
    <row r="173" spans="1:36" x14ac:dyDescent="0.25">
      <c r="A173" s="298" t="str">
        <f>IF('Kwaliteit conversie'!$D$4='Prijs karton'!C173,"X"," ")</f>
        <v xml:space="preserve"> </v>
      </c>
      <c r="B173" s="331"/>
      <c r="C173" s="359"/>
      <c r="D173" s="366"/>
      <c r="E173" s="321"/>
      <c r="F173" s="925"/>
      <c r="G173" s="315"/>
      <c r="H173" s="315"/>
      <c r="I173" s="315"/>
      <c r="J173" s="315"/>
      <c r="K173" s="513"/>
      <c r="L173" s="926"/>
      <c r="M173" s="331"/>
      <c r="N173" s="366"/>
      <c r="O173" s="323"/>
      <c r="P173" s="386"/>
      <c r="Q173" s="323"/>
      <c r="R173" s="366"/>
      <c r="S173" s="378"/>
      <c r="T173" s="324"/>
      <c r="U173" s="386"/>
      <c r="V173" s="386"/>
      <c r="W173" s="386"/>
      <c r="X173" s="386"/>
      <c r="Y173" s="386"/>
      <c r="Z173" s="386"/>
      <c r="AA173" s="386"/>
      <c r="AB173" s="392"/>
      <c r="AC173" s="28"/>
      <c r="AD173" s="28"/>
      <c r="AE173" s="28"/>
      <c r="AF173" s="28"/>
      <c r="AG173" s="28"/>
      <c r="AH173" s="28"/>
      <c r="AI173" s="28"/>
      <c r="AJ173" s="28"/>
    </row>
    <row r="174" spans="1:36" x14ac:dyDescent="0.25">
      <c r="A174" s="932" t="str">
        <f>IF('Kwaliteit conversie'!$D$4='Prijs karton'!C174,"X"," ")</f>
        <v xml:space="preserve"> </v>
      </c>
      <c r="B174" s="331" t="s">
        <v>38</v>
      </c>
      <c r="C174" s="359" t="s">
        <v>400</v>
      </c>
      <c r="D174" s="366">
        <v>1.085</v>
      </c>
      <c r="E174" s="321">
        <v>12.5</v>
      </c>
      <c r="F174" s="925">
        <v>0</v>
      </c>
      <c r="G174" s="315">
        <v>123.9</v>
      </c>
      <c r="H174" s="315">
        <v>120.9</v>
      </c>
      <c r="I174" s="315">
        <v>120.4</v>
      </c>
      <c r="J174" s="315">
        <v>120.4</v>
      </c>
      <c r="K174" s="513">
        <v>119.9</v>
      </c>
      <c r="L174" s="926" t="s">
        <v>401</v>
      </c>
      <c r="M174" s="331" t="s">
        <v>277</v>
      </c>
      <c r="N174" s="366" t="s">
        <v>265</v>
      </c>
      <c r="O174" s="323" t="s">
        <v>285</v>
      </c>
      <c r="P174" s="386" t="s">
        <v>285</v>
      </c>
      <c r="Q174" s="323" t="s">
        <v>285</v>
      </c>
      <c r="R174" s="366" t="s">
        <v>285</v>
      </c>
      <c r="S174" s="378" t="s">
        <v>277</v>
      </c>
      <c r="T174" s="324" t="s">
        <v>245</v>
      </c>
      <c r="U174" s="386">
        <v>250</v>
      </c>
      <c r="V174" s="386">
        <v>2450</v>
      </c>
      <c r="W174" s="386">
        <v>800</v>
      </c>
      <c r="X174" s="386">
        <v>6200</v>
      </c>
      <c r="Y174" s="386">
        <v>130</v>
      </c>
      <c r="Z174" s="386">
        <v>65</v>
      </c>
      <c r="AA174" s="386">
        <v>300</v>
      </c>
      <c r="AB174" s="392">
        <v>13.1</v>
      </c>
      <c r="AC174" s="28">
        <v>0</v>
      </c>
      <c r="AD174" s="28">
        <v>0</v>
      </c>
      <c r="AE174" s="28">
        <v>1</v>
      </c>
      <c r="AF174" s="28">
        <v>0</v>
      </c>
      <c r="AG174" s="28">
        <v>0</v>
      </c>
      <c r="AH174" s="28">
        <v>0</v>
      </c>
      <c r="AI174" s="28">
        <v>0</v>
      </c>
      <c r="AJ174" s="28">
        <v>1</v>
      </c>
    </row>
    <row r="175" spans="1:36" x14ac:dyDescent="0.25">
      <c r="A175" s="298" t="str">
        <f>IF('Kwaliteit conversie'!$D$4='Prijs karton'!C175,"X"," ")</f>
        <v xml:space="preserve"> </v>
      </c>
      <c r="B175" s="331" t="s">
        <v>38</v>
      </c>
      <c r="C175" s="359" t="s">
        <v>402</v>
      </c>
      <c r="D175" s="366">
        <v>1.21</v>
      </c>
      <c r="E175" s="321">
        <v>12.7</v>
      </c>
      <c r="F175" s="925">
        <v>0</v>
      </c>
      <c r="G175" s="315">
        <v>141</v>
      </c>
      <c r="H175" s="315">
        <v>138</v>
      </c>
      <c r="I175" s="315">
        <v>137.5</v>
      </c>
      <c r="J175" s="315">
        <v>137.5</v>
      </c>
      <c r="K175" s="513">
        <v>137</v>
      </c>
      <c r="L175" s="926" t="s">
        <v>403</v>
      </c>
      <c r="M175" s="331" t="s">
        <v>294</v>
      </c>
      <c r="N175" s="366" t="s">
        <v>357</v>
      </c>
      <c r="O175" s="323" t="s">
        <v>285</v>
      </c>
      <c r="P175" s="386" t="s">
        <v>357</v>
      </c>
      <c r="Q175" s="323" t="s">
        <v>285</v>
      </c>
      <c r="R175" s="366" t="s">
        <v>285</v>
      </c>
      <c r="S175" s="378" t="s">
        <v>294</v>
      </c>
      <c r="T175" s="324" t="s">
        <v>245</v>
      </c>
      <c r="U175" s="386">
        <v>250</v>
      </c>
      <c r="V175" s="386">
        <v>2450</v>
      </c>
      <c r="W175" s="386">
        <v>800</v>
      </c>
      <c r="X175" s="386">
        <v>6200</v>
      </c>
      <c r="Y175" s="386">
        <v>130</v>
      </c>
      <c r="Z175" s="386">
        <v>65</v>
      </c>
      <c r="AA175" s="386">
        <v>300</v>
      </c>
      <c r="AB175" s="392">
        <v>15.5</v>
      </c>
      <c r="AC175" s="28">
        <v>0</v>
      </c>
      <c r="AD175" s="28">
        <v>0</v>
      </c>
      <c r="AE175" s="28">
        <v>1</v>
      </c>
      <c r="AF175" s="28">
        <v>0</v>
      </c>
      <c r="AG175" s="28">
        <v>0</v>
      </c>
      <c r="AH175" s="28">
        <v>0</v>
      </c>
      <c r="AI175" s="28">
        <v>0</v>
      </c>
      <c r="AJ175" s="28">
        <v>1</v>
      </c>
    </row>
    <row r="176" spans="1:36" x14ac:dyDescent="0.25">
      <c r="A176" s="298" t="str">
        <f>IF('Kwaliteit conversie'!$D$4='Prijs karton'!C176,"X"," ")</f>
        <v xml:space="preserve"> </v>
      </c>
      <c r="B176" s="331" t="s">
        <v>38</v>
      </c>
      <c r="C176" s="359" t="s">
        <v>404</v>
      </c>
      <c r="D176" s="366">
        <v>1.4</v>
      </c>
      <c r="E176" s="321">
        <v>12.9</v>
      </c>
      <c r="F176" s="925">
        <v>0</v>
      </c>
      <c r="G176" s="315">
        <v>161.19999999999999</v>
      </c>
      <c r="H176" s="315">
        <v>158.19999999999999</v>
      </c>
      <c r="I176" s="315">
        <v>157.69999999999999</v>
      </c>
      <c r="J176" s="315">
        <v>157.69999999999999</v>
      </c>
      <c r="K176" s="513">
        <v>157.19999999999999</v>
      </c>
      <c r="L176" s="926" t="s">
        <v>405</v>
      </c>
      <c r="M176" s="331" t="s">
        <v>360</v>
      </c>
      <c r="N176" s="366" t="s">
        <v>357</v>
      </c>
      <c r="O176" s="323" t="s">
        <v>398</v>
      </c>
      <c r="P176" s="386" t="s">
        <v>357</v>
      </c>
      <c r="Q176" s="323" t="s">
        <v>398</v>
      </c>
      <c r="R176" s="366" t="s">
        <v>357</v>
      </c>
      <c r="S176" s="378" t="s">
        <v>294</v>
      </c>
      <c r="T176" s="324" t="s">
        <v>245</v>
      </c>
      <c r="U176" s="386">
        <v>250</v>
      </c>
      <c r="V176" s="386">
        <v>2450</v>
      </c>
      <c r="W176" s="386">
        <v>800</v>
      </c>
      <c r="X176" s="386">
        <v>6200</v>
      </c>
      <c r="Y176" s="386">
        <v>130</v>
      </c>
      <c r="Z176" s="386">
        <v>65</v>
      </c>
      <c r="AA176" s="386">
        <v>300</v>
      </c>
      <c r="AB176" s="392">
        <v>19.3</v>
      </c>
      <c r="AC176" s="28">
        <v>0</v>
      </c>
      <c r="AD176" s="28">
        <v>0</v>
      </c>
      <c r="AE176" s="28">
        <v>1</v>
      </c>
      <c r="AF176" s="28">
        <v>0</v>
      </c>
      <c r="AG176" s="28">
        <v>0</v>
      </c>
      <c r="AH176" s="28">
        <v>0</v>
      </c>
      <c r="AI176" s="28">
        <v>0</v>
      </c>
      <c r="AJ176" s="28">
        <v>1</v>
      </c>
    </row>
    <row r="177" spans="1:36" x14ac:dyDescent="0.25">
      <c r="A177" s="298" t="str">
        <f>IF('Kwaliteit conversie'!$D$4='Prijs karton'!C177,"X"," ")</f>
        <v xml:space="preserve"> </v>
      </c>
      <c r="B177" s="331" t="s">
        <v>38</v>
      </c>
      <c r="C177" s="359" t="s">
        <v>406</v>
      </c>
      <c r="D177" s="366">
        <v>1.54</v>
      </c>
      <c r="E177" s="321">
        <v>13.1</v>
      </c>
      <c r="F177" s="925">
        <v>0</v>
      </c>
      <c r="G177" s="315">
        <v>180.8</v>
      </c>
      <c r="H177" s="315">
        <v>177.8</v>
      </c>
      <c r="I177" s="315">
        <v>177.3</v>
      </c>
      <c r="J177" s="315">
        <v>177.3</v>
      </c>
      <c r="K177" s="513">
        <v>176.8</v>
      </c>
      <c r="L177" s="926" t="s">
        <v>407</v>
      </c>
      <c r="M177" s="331" t="s">
        <v>360</v>
      </c>
      <c r="N177" s="366" t="s">
        <v>398</v>
      </c>
      <c r="O177" s="323" t="s">
        <v>398</v>
      </c>
      <c r="P177" s="386" t="s">
        <v>398</v>
      </c>
      <c r="Q177" s="323" t="s">
        <v>399</v>
      </c>
      <c r="R177" s="366" t="s">
        <v>357</v>
      </c>
      <c r="S177" s="378" t="s">
        <v>360</v>
      </c>
      <c r="T177" s="324" t="s">
        <v>245</v>
      </c>
      <c r="U177" s="386">
        <v>250</v>
      </c>
      <c r="V177" s="386">
        <v>2450</v>
      </c>
      <c r="W177" s="386">
        <v>800</v>
      </c>
      <c r="X177" s="386">
        <v>6200</v>
      </c>
      <c r="Y177" s="386">
        <v>130</v>
      </c>
      <c r="Z177" s="386">
        <v>65</v>
      </c>
      <c r="AA177" s="386">
        <v>300</v>
      </c>
      <c r="AB177" s="392">
        <v>22.8</v>
      </c>
      <c r="AC177" s="28">
        <v>0</v>
      </c>
      <c r="AD177" s="28">
        <v>0</v>
      </c>
      <c r="AE177" s="28">
        <v>1</v>
      </c>
      <c r="AF177" s="28">
        <v>0</v>
      </c>
      <c r="AG177" s="28">
        <v>0</v>
      </c>
      <c r="AH177" s="28">
        <v>0</v>
      </c>
      <c r="AI177" s="28">
        <v>0</v>
      </c>
      <c r="AJ177" s="28">
        <v>1</v>
      </c>
    </row>
    <row r="178" spans="1:36" x14ac:dyDescent="0.25">
      <c r="A178" s="298" t="str">
        <f>IF('Kwaliteit conversie'!$D$4='Prijs karton'!C178,"X"," ")</f>
        <v xml:space="preserve"> </v>
      </c>
      <c r="B178" s="331" t="s">
        <v>38</v>
      </c>
      <c r="C178" s="359" t="s">
        <v>408</v>
      </c>
      <c r="D178" s="366">
        <v>1.8149999999999999</v>
      </c>
      <c r="E178" s="321">
        <v>13.4</v>
      </c>
      <c r="F178" s="925">
        <v>0</v>
      </c>
      <c r="G178" s="315">
        <v>215.7</v>
      </c>
      <c r="H178" s="315">
        <v>212.7</v>
      </c>
      <c r="I178" s="315">
        <v>212.2</v>
      </c>
      <c r="J178" s="315">
        <v>212.2</v>
      </c>
      <c r="K178" s="513">
        <v>211.7</v>
      </c>
      <c r="L178" s="926" t="s">
        <v>409</v>
      </c>
      <c r="M178" s="331" t="s">
        <v>397</v>
      </c>
      <c r="N178" s="366" t="s">
        <v>398</v>
      </c>
      <c r="O178" s="323" t="s">
        <v>399</v>
      </c>
      <c r="P178" s="386" t="s">
        <v>398</v>
      </c>
      <c r="Q178" s="323" t="s">
        <v>399</v>
      </c>
      <c r="R178" s="366" t="s">
        <v>398</v>
      </c>
      <c r="S178" s="378" t="s">
        <v>397</v>
      </c>
      <c r="T178" s="324" t="s">
        <v>245</v>
      </c>
      <c r="U178" s="386">
        <v>250</v>
      </c>
      <c r="V178" s="386">
        <v>2450</v>
      </c>
      <c r="W178" s="386">
        <v>800</v>
      </c>
      <c r="X178" s="386">
        <v>6200</v>
      </c>
      <c r="Y178" s="386">
        <v>130</v>
      </c>
      <c r="Z178" s="386">
        <v>65</v>
      </c>
      <c r="AA178" s="386">
        <v>300</v>
      </c>
      <c r="AB178" s="392">
        <v>26.3</v>
      </c>
      <c r="AC178" s="28">
        <v>0</v>
      </c>
      <c r="AD178" s="28">
        <v>0</v>
      </c>
      <c r="AE178" s="28">
        <v>1</v>
      </c>
      <c r="AF178" s="28">
        <v>0</v>
      </c>
      <c r="AG178" s="28">
        <v>0</v>
      </c>
      <c r="AH178" s="28">
        <v>0</v>
      </c>
      <c r="AI178" s="28">
        <v>0</v>
      </c>
      <c r="AJ178" s="28">
        <v>1</v>
      </c>
    </row>
    <row r="179" spans="1:36" x14ac:dyDescent="0.25">
      <c r="A179" s="298" t="str">
        <f>IF('Kwaliteit conversie'!$D$4='Prijs karton'!C179,"X"," ")</f>
        <v xml:space="preserve"> </v>
      </c>
      <c r="B179" s="331" t="s">
        <v>38</v>
      </c>
      <c r="C179" s="359"/>
      <c r="D179" s="366"/>
      <c r="E179" s="321"/>
      <c r="F179" s="925"/>
      <c r="G179" s="315"/>
      <c r="H179" s="315"/>
      <c r="I179" s="315"/>
      <c r="J179" s="315"/>
      <c r="K179" s="513"/>
      <c r="L179" s="926"/>
      <c r="M179" s="331"/>
      <c r="N179" s="366"/>
      <c r="O179" s="323"/>
      <c r="P179" s="386"/>
      <c r="Q179" s="323"/>
      <c r="R179" s="366"/>
      <c r="S179" s="378"/>
      <c r="T179" s="324"/>
      <c r="U179" s="386"/>
      <c r="V179" s="386"/>
      <c r="W179" s="386"/>
      <c r="X179" s="386"/>
      <c r="Y179" s="386"/>
      <c r="Z179" s="386"/>
      <c r="AA179" s="386"/>
      <c r="AB179" s="392"/>
      <c r="AC179" s="28"/>
      <c r="AD179" s="28"/>
      <c r="AE179" s="28"/>
      <c r="AF179" s="28"/>
      <c r="AG179" s="28"/>
      <c r="AH179" s="28"/>
      <c r="AI179" s="28"/>
      <c r="AJ179" s="28"/>
    </row>
    <row r="180" spans="1:36" x14ac:dyDescent="0.25">
      <c r="A180" s="298" t="str">
        <f>IF('Kwaliteit conversie'!$D$4='Prijs karton'!C180,"X"," ")</f>
        <v xml:space="preserve"> </v>
      </c>
      <c r="B180" s="331" t="s">
        <v>38</v>
      </c>
      <c r="C180" s="359"/>
      <c r="D180" s="366"/>
      <c r="E180" s="321"/>
      <c r="F180" s="925"/>
      <c r="G180" s="315"/>
      <c r="H180" s="315"/>
      <c r="I180" s="315"/>
      <c r="J180" s="315"/>
      <c r="K180" s="513"/>
      <c r="L180" s="926"/>
      <c r="M180" s="331"/>
      <c r="N180" s="366"/>
      <c r="O180" s="323"/>
      <c r="P180" s="386"/>
      <c r="Q180" s="323"/>
      <c r="R180" s="366"/>
      <c r="S180" s="378"/>
      <c r="T180" s="324"/>
      <c r="U180" s="386"/>
      <c r="V180" s="386"/>
      <c r="W180" s="386"/>
      <c r="X180" s="386"/>
      <c r="Y180" s="386"/>
      <c r="Z180" s="386"/>
      <c r="AA180" s="386"/>
      <c r="AB180" s="392"/>
      <c r="AC180" s="28"/>
      <c r="AD180" s="28"/>
      <c r="AE180" s="28"/>
      <c r="AF180" s="28"/>
      <c r="AG180" s="28"/>
      <c r="AH180" s="28"/>
      <c r="AI180" s="28"/>
      <c r="AJ180" s="28"/>
    </row>
    <row r="181" spans="1:36" x14ac:dyDescent="0.25">
      <c r="A181" s="298" t="str">
        <f>IF('Kwaliteit conversie'!$D$4='Prijs karton'!C181,"X"," ")</f>
        <v xml:space="preserve"> </v>
      </c>
      <c r="B181" s="331" t="s">
        <v>38</v>
      </c>
      <c r="C181" s="359"/>
      <c r="D181" s="366"/>
      <c r="E181" s="321"/>
      <c r="F181" s="925"/>
      <c r="G181" s="315"/>
      <c r="H181" s="315"/>
      <c r="I181" s="315"/>
      <c r="J181" s="315"/>
      <c r="K181" s="513"/>
      <c r="L181" s="926"/>
      <c r="M181" s="331"/>
      <c r="N181" s="366"/>
      <c r="O181" s="323"/>
      <c r="P181" s="386"/>
      <c r="Q181" s="323"/>
      <c r="R181" s="366"/>
      <c r="S181" s="378"/>
      <c r="T181" s="324"/>
      <c r="U181" s="386"/>
      <c r="V181" s="386"/>
      <c r="W181" s="386"/>
      <c r="X181" s="386"/>
      <c r="Y181" s="386"/>
      <c r="Z181" s="386"/>
      <c r="AA181" s="386"/>
      <c r="AB181" s="392"/>
      <c r="AC181" s="28"/>
      <c r="AD181" s="28"/>
      <c r="AE181" s="28"/>
      <c r="AF181" s="28"/>
      <c r="AG181" s="28"/>
      <c r="AH181" s="28"/>
      <c r="AI181" s="28"/>
      <c r="AJ181" s="28"/>
    </row>
    <row r="182" spans="1:36" x14ac:dyDescent="0.25">
      <c r="A182" s="298" t="str">
        <f>IF('Kwaliteit conversie'!$D$4='Prijs karton'!C182,"X"," ")</f>
        <v xml:space="preserve"> </v>
      </c>
      <c r="B182" s="331" t="s">
        <v>38</v>
      </c>
      <c r="C182" s="359"/>
      <c r="D182" s="366"/>
      <c r="E182" s="321"/>
      <c r="F182" s="925"/>
      <c r="G182" s="315"/>
      <c r="H182" s="315"/>
      <c r="I182" s="315"/>
      <c r="J182" s="315"/>
      <c r="K182" s="513"/>
      <c r="L182" s="926"/>
      <c r="M182" s="331"/>
      <c r="N182" s="366"/>
      <c r="O182" s="323"/>
      <c r="P182" s="386"/>
      <c r="Q182" s="323"/>
      <c r="R182" s="366"/>
      <c r="S182" s="378"/>
      <c r="T182" s="324"/>
      <c r="U182" s="386"/>
      <c r="V182" s="386"/>
      <c r="W182" s="386"/>
      <c r="X182" s="386"/>
      <c r="Y182" s="386"/>
      <c r="Z182" s="386"/>
      <c r="AA182" s="386"/>
      <c r="AB182" s="392"/>
      <c r="AC182" s="28"/>
      <c r="AD182" s="28"/>
      <c r="AE182" s="28"/>
      <c r="AF182" s="28"/>
      <c r="AG182" s="28"/>
      <c r="AH182" s="28"/>
      <c r="AI182" s="28"/>
      <c r="AJ182" s="28"/>
    </row>
    <row r="183" spans="1:36" x14ac:dyDescent="0.25">
      <c r="A183" s="298" t="str">
        <f>IF('Kwaliteit conversie'!$D$4='Prijs karton'!C183,"X"," ")</f>
        <v xml:space="preserve"> </v>
      </c>
      <c r="B183" s="331" t="s">
        <v>38</v>
      </c>
      <c r="C183" s="359"/>
      <c r="D183" s="366"/>
      <c r="E183" s="321"/>
      <c r="F183" s="925"/>
      <c r="G183" s="315"/>
      <c r="H183" s="315"/>
      <c r="I183" s="315"/>
      <c r="J183" s="315"/>
      <c r="K183" s="513"/>
      <c r="L183" s="926"/>
      <c r="M183" s="331"/>
      <c r="N183" s="366"/>
      <c r="O183" s="323"/>
      <c r="P183" s="386"/>
      <c r="Q183" s="323"/>
      <c r="R183" s="366"/>
      <c r="S183" s="378"/>
      <c r="T183" s="324"/>
      <c r="U183" s="386"/>
      <c r="V183" s="386"/>
      <c r="W183" s="386"/>
      <c r="X183" s="386"/>
      <c r="Y183" s="386"/>
      <c r="Z183" s="386"/>
      <c r="AA183" s="386"/>
      <c r="AB183" s="392"/>
      <c r="AC183" s="28"/>
      <c r="AD183" s="28"/>
      <c r="AE183" s="28"/>
      <c r="AF183" s="28"/>
      <c r="AG183" s="28"/>
      <c r="AH183" s="28"/>
      <c r="AI183" s="28"/>
      <c r="AJ183" s="28"/>
    </row>
    <row r="184" spans="1:36" x14ac:dyDescent="0.25">
      <c r="A184" s="298" t="str">
        <f>IF('Kwaliteit conversie'!$D$4='Prijs karton'!C184,"X"," ")</f>
        <v xml:space="preserve"> </v>
      </c>
      <c r="B184" s="331" t="s">
        <v>38</v>
      </c>
      <c r="C184" s="359"/>
      <c r="D184" s="366"/>
      <c r="E184" s="321"/>
      <c r="F184" s="925"/>
      <c r="G184" s="315"/>
      <c r="H184" s="315"/>
      <c r="I184" s="315"/>
      <c r="J184" s="315"/>
      <c r="K184" s="513"/>
      <c r="L184" s="926"/>
      <c r="M184" s="331"/>
      <c r="N184" s="366"/>
      <c r="O184" s="323"/>
      <c r="P184" s="386"/>
      <c r="Q184" s="323"/>
      <c r="R184" s="366"/>
      <c r="S184" s="378"/>
      <c r="T184" s="324"/>
      <c r="U184" s="386"/>
      <c r="V184" s="386"/>
      <c r="W184" s="386"/>
      <c r="X184" s="386"/>
      <c r="Y184" s="386"/>
      <c r="Z184" s="386"/>
      <c r="AA184" s="386"/>
      <c r="AB184" s="392"/>
      <c r="AC184" s="28"/>
      <c r="AD184" s="28"/>
      <c r="AE184" s="28"/>
      <c r="AF184" s="28"/>
      <c r="AG184" s="28"/>
      <c r="AH184" s="28"/>
      <c r="AI184" s="28"/>
      <c r="AJ184" s="28"/>
    </row>
    <row r="185" spans="1:36" s="320" customFormat="1" x14ac:dyDescent="0.25">
      <c r="A185" s="329" t="str">
        <f>IF('Kwaliteit conversie'!$D$4='Prijs karton'!C185,"X"," ")</f>
        <v xml:space="preserve"> </v>
      </c>
      <c r="B185" s="332" t="s">
        <v>38</v>
      </c>
      <c r="C185" s="360"/>
      <c r="D185" s="367"/>
      <c r="E185" s="322"/>
      <c r="F185" s="927"/>
      <c r="G185" s="319"/>
      <c r="H185" s="319"/>
      <c r="I185" s="319"/>
      <c r="J185" s="319"/>
      <c r="K185" s="928"/>
      <c r="L185" s="929"/>
      <c r="M185" s="379"/>
      <c r="N185" s="367"/>
      <c r="O185" s="325"/>
      <c r="P185" s="387"/>
      <c r="Q185" s="325"/>
      <c r="R185" s="367"/>
      <c r="S185" s="380"/>
      <c r="T185" s="326"/>
      <c r="U185" s="387"/>
      <c r="V185" s="387"/>
      <c r="W185" s="387"/>
      <c r="X185" s="387"/>
      <c r="Y185" s="387"/>
      <c r="Z185" s="387"/>
      <c r="AA185" s="387"/>
      <c r="AB185" s="393"/>
      <c r="AC185" s="34"/>
      <c r="AD185" s="34"/>
      <c r="AE185" s="34"/>
      <c r="AF185" s="34"/>
      <c r="AG185" s="34"/>
      <c r="AH185" s="34"/>
      <c r="AI185" s="34"/>
      <c r="AJ185" s="34"/>
    </row>
    <row r="186" spans="1:36" x14ac:dyDescent="0.25">
      <c r="A186" s="298" t="str">
        <f>IF('Kwaliteit conversie'!$D$4='Prijs karton'!C186,"X"," ")</f>
        <v xml:space="preserve"> </v>
      </c>
      <c r="B186" s="331"/>
      <c r="C186" s="359"/>
      <c r="D186" s="366"/>
      <c r="E186" s="321"/>
      <c r="F186" s="925"/>
      <c r="G186" s="315"/>
      <c r="H186" s="315"/>
      <c r="I186" s="315"/>
      <c r="J186" s="315"/>
      <c r="K186" s="513"/>
      <c r="L186" s="926"/>
      <c r="M186" s="331"/>
      <c r="N186" s="366"/>
      <c r="O186" s="323"/>
      <c r="P186" s="386"/>
      <c r="Q186" s="323"/>
      <c r="R186" s="366"/>
      <c r="S186" s="378"/>
      <c r="T186" s="324"/>
      <c r="U186" s="386"/>
      <c r="V186" s="386"/>
      <c r="W186" s="386"/>
      <c r="X186" s="386"/>
      <c r="Y186" s="386"/>
      <c r="Z186" s="386"/>
      <c r="AA186" s="386"/>
      <c r="AB186" s="392"/>
      <c r="AC186" s="28"/>
      <c r="AD186" s="28"/>
      <c r="AE186" s="28"/>
      <c r="AF186" s="28"/>
      <c r="AG186" s="28"/>
      <c r="AH186" s="28"/>
      <c r="AI186" s="28"/>
      <c r="AJ186" s="28"/>
    </row>
    <row r="187" spans="1:36" x14ac:dyDescent="0.25">
      <c r="A187" s="298" t="str">
        <f>IF('Kwaliteit conversie'!$D$4='Prijs karton'!C187,"X"," ")</f>
        <v xml:space="preserve"> </v>
      </c>
      <c r="B187" s="331" t="s">
        <v>30</v>
      </c>
      <c r="C187" s="359" t="s">
        <v>1423</v>
      </c>
      <c r="D187" s="366">
        <v>0.29299999999999998</v>
      </c>
      <c r="E187" s="321">
        <v>1.46</v>
      </c>
      <c r="F187" s="925">
        <v>0</v>
      </c>
      <c r="G187" s="315">
        <v>30.9</v>
      </c>
      <c r="H187" s="315">
        <v>29.4</v>
      </c>
      <c r="I187" s="315">
        <v>29.1</v>
      </c>
      <c r="J187" s="315">
        <v>28.9</v>
      </c>
      <c r="K187" s="513">
        <v>28.9</v>
      </c>
      <c r="L187" s="926" t="s">
        <v>1424</v>
      </c>
      <c r="M187" s="331" t="s">
        <v>244</v>
      </c>
      <c r="N187" s="366" t="s">
        <v>244</v>
      </c>
      <c r="O187" s="323" t="s">
        <v>239</v>
      </c>
      <c r="P187" s="386" t="s">
        <v>239</v>
      </c>
      <c r="Q187" s="323" t="s">
        <v>239</v>
      </c>
      <c r="R187" s="366" t="s">
        <v>239</v>
      </c>
      <c r="S187" s="378" t="s">
        <v>244</v>
      </c>
      <c r="T187" s="324" t="s">
        <v>1364</v>
      </c>
      <c r="U187" s="386">
        <v>250</v>
      </c>
      <c r="V187" s="386">
        <v>2450</v>
      </c>
      <c r="W187" s="386">
        <v>600</v>
      </c>
      <c r="X187" s="386">
        <v>6000</v>
      </c>
      <c r="Y187" s="386">
        <v>500</v>
      </c>
      <c r="Z187" s="386">
        <v>250</v>
      </c>
      <c r="AA187" s="386">
        <v>200</v>
      </c>
      <c r="AB187" s="392">
        <v>3.11</v>
      </c>
      <c r="AC187" s="28">
        <v>0</v>
      </c>
      <c r="AD187" s="28">
        <v>1</v>
      </c>
      <c r="AE187" s="28">
        <v>1</v>
      </c>
      <c r="AF187" s="28">
        <v>0</v>
      </c>
      <c r="AG187" s="28">
        <v>1</v>
      </c>
      <c r="AH187" s="28">
        <v>1</v>
      </c>
      <c r="AI187" s="28">
        <v>1</v>
      </c>
      <c r="AJ187" s="28">
        <v>1</v>
      </c>
    </row>
    <row r="188" spans="1:36" x14ac:dyDescent="0.25">
      <c r="A188" s="298" t="str">
        <f>IF('Kwaliteit conversie'!$D$4='Prijs karton'!C188,"X"," ")</f>
        <v xml:space="preserve"> </v>
      </c>
      <c r="B188" s="331" t="s">
        <v>30</v>
      </c>
      <c r="C188" s="359" t="s">
        <v>1425</v>
      </c>
      <c r="D188" s="366">
        <v>0.35299999999999998</v>
      </c>
      <c r="E188" s="321">
        <v>1.55</v>
      </c>
      <c r="F188" s="925">
        <v>0</v>
      </c>
      <c r="G188" s="315">
        <v>34.4</v>
      </c>
      <c r="H188" s="315">
        <v>33.1</v>
      </c>
      <c r="I188" s="315">
        <v>32.799999999999997</v>
      </c>
      <c r="J188" s="315">
        <v>32.5</v>
      </c>
      <c r="K188" s="513">
        <v>32.5</v>
      </c>
      <c r="L188" s="926" t="s">
        <v>1426</v>
      </c>
      <c r="M188" s="331" t="s">
        <v>1363</v>
      </c>
      <c r="N188" s="366" t="s">
        <v>244</v>
      </c>
      <c r="O188" s="323" t="s">
        <v>239</v>
      </c>
      <c r="P188" s="386" t="s">
        <v>239</v>
      </c>
      <c r="Q188" s="323" t="s">
        <v>239</v>
      </c>
      <c r="R188" s="366" t="s">
        <v>239</v>
      </c>
      <c r="S188" s="378" t="s">
        <v>1363</v>
      </c>
      <c r="T188" s="324" t="s">
        <v>1364</v>
      </c>
      <c r="U188" s="386">
        <v>250</v>
      </c>
      <c r="V188" s="386">
        <v>2450</v>
      </c>
      <c r="W188" s="386">
        <v>600</v>
      </c>
      <c r="X188" s="386">
        <v>6000</v>
      </c>
      <c r="Y188" s="386">
        <v>500</v>
      </c>
      <c r="Z188" s="386">
        <v>250</v>
      </c>
      <c r="AA188" s="386">
        <v>200</v>
      </c>
      <c r="AB188" s="392">
        <v>4.17</v>
      </c>
      <c r="AC188" s="28">
        <v>0</v>
      </c>
      <c r="AD188" s="28">
        <v>1</v>
      </c>
      <c r="AE188" s="28">
        <v>1</v>
      </c>
      <c r="AF188" s="28">
        <v>0</v>
      </c>
      <c r="AG188" s="28">
        <v>1</v>
      </c>
      <c r="AH188" s="28">
        <v>1</v>
      </c>
      <c r="AI188" s="28">
        <v>1</v>
      </c>
      <c r="AJ188" s="28">
        <v>1</v>
      </c>
    </row>
    <row r="189" spans="1:36" x14ac:dyDescent="0.25">
      <c r="A189" s="932" t="str">
        <f>IF('Kwaliteit conversie'!$D$4='Prijs karton'!C189,"X"," ")</f>
        <v xml:space="preserve"> </v>
      </c>
      <c r="B189" s="331" t="s">
        <v>30</v>
      </c>
      <c r="C189" s="359" t="s">
        <v>410</v>
      </c>
      <c r="D189" s="366">
        <v>0.32500000000000001</v>
      </c>
      <c r="E189" s="321">
        <v>1.5</v>
      </c>
      <c r="F189" s="925">
        <v>0</v>
      </c>
      <c r="G189" s="315">
        <v>26.6</v>
      </c>
      <c r="H189" s="315">
        <v>23.6</v>
      </c>
      <c r="I189" s="315">
        <v>23.1</v>
      </c>
      <c r="J189" s="315">
        <v>23.1</v>
      </c>
      <c r="K189" s="513">
        <v>22.6</v>
      </c>
      <c r="L189" s="926" t="s">
        <v>411</v>
      </c>
      <c r="M189" s="331" t="s">
        <v>249</v>
      </c>
      <c r="N189" s="366" t="s">
        <v>412</v>
      </c>
      <c r="O189" s="323" t="s">
        <v>239</v>
      </c>
      <c r="P189" s="386" t="s">
        <v>239</v>
      </c>
      <c r="Q189" s="323" t="s">
        <v>239</v>
      </c>
      <c r="R189" s="366" t="s">
        <v>239</v>
      </c>
      <c r="S189" s="378" t="s">
        <v>249</v>
      </c>
      <c r="T189" s="324" t="s">
        <v>245</v>
      </c>
      <c r="U189" s="386">
        <v>250</v>
      </c>
      <c r="V189" s="386">
        <v>2450</v>
      </c>
      <c r="W189" s="386">
        <v>500</v>
      </c>
      <c r="X189" s="386">
        <v>6200</v>
      </c>
      <c r="Y189" s="386">
        <v>700</v>
      </c>
      <c r="Z189" s="386">
        <v>350</v>
      </c>
      <c r="AA189" s="386">
        <v>200</v>
      </c>
      <c r="AB189" s="392">
        <v>3.6</v>
      </c>
      <c r="AC189" s="28">
        <v>0</v>
      </c>
      <c r="AD189" s="28">
        <v>1</v>
      </c>
      <c r="AE189" s="28">
        <v>1</v>
      </c>
      <c r="AF189" s="28">
        <v>0</v>
      </c>
      <c r="AG189" s="28">
        <v>1</v>
      </c>
      <c r="AH189" s="28">
        <v>1</v>
      </c>
      <c r="AI189" s="28">
        <v>1</v>
      </c>
      <c r="AJ189" s="28">
        <v>1</v>
      </c>
    </row>
    <row r="190" spans="1:36" x14ac:dyDescent="0.25">
      <c r="A190" s="298" t="str">
        <f>IF('Kwaliteit conversie'!$D$4='Prijs karton'!C190,"X"," ")</f>
        <v xml:space="preserve"> </v>
      </c>
      <c r="B190" s="331" t="s">
        <v>30</v>
      </c>
      <c r="C190" s="359"/>
      <c r="D190" s="366"/>
      <c r="E190" s="321"/>
      <c r="F190" s="925"/>
      <c r="G190" s="315"/>
      <c r="H190" s="315"/>
      <c r="I190" s="315"/>
      <c r="J190" s="315"/>
      <c r="K190" s="513"/>
      <c r="L190" s="926"/>
      <c r="M190" s="331"/>
      <c r="N190" s="366"/>
      <c r="O190" s="323"/>
      <c r="P190" s="386"/>
      <c r="Q190" s="323"/>
      <c r="R190" s="366"/>
      <c r="S190" s="378"/>
      <c r="T190" s="324"/>
      <c r="U190" s="386"/>
      <c r="V190" s="386"/>
      <c r="W190" s="386"/>
      <c r="X190" s="386"/>
      <c r="Y190" s="386"/>
      <c r="Z190" s="386"/>
      <c r="AA190" s="386"/>
      <c r="AB190" s="392"/>
      <c r="AC190" s="28"/>
      <c r="AD190" s="28"/>
      <c r="AE190" s="28"/>
      <c r="AF190" s="28"/>
      <c r="AG190" s="28"/>
      <c r="AH190" s="28"/>
      <c r="AI190" s="28"/>
      <c r="AJ190" s="28"/>
    </row>
    <row r="191" spans="1:36" x14ac:dyDescent="0.25">
      <c r="A191" s="298" t="str">
        <f>IF('Kwaliteit conversie'!$D$4='Prijs karton'!C191,"X"," ")</f>
        <v xml:space="preserve"> </v>
      </c>
      <c r="B191" s="331" t="s">
        <v>30</v>
      </c>
      <c r="C191" s="359" t="s">
        <v>1427</v>
      </c>
      <c r="D191" s="366">
        <v>0.36799999999999999</v>
      </c>
      <c r="E191" s="321">
        <v>1.62</v>
      </c>
      <c r="F191" s="925">
        <v>0</v>
      </c>
      <c r="G191" s="315">
        <v>40</v>
      </c>
      <c r="H191" s="315">
        <v>38.5</v>
      </c>
      <c r="I191" s="315">
        <v>38.299999999999997</v>
      </c>
      <c r="J191" s="315">
        <v>38</v>
      </c>
      <c r="K191" s="513">
        <v>38</v>
      </c>
      <c r="L191" s="926" t="s">
        <v>1428</v>
      </c>
      <c r="M191" s="331" t="s">
        <v>1362</v>
      </c>
      <c r="N191" s="366" t="s">
        <v>244</v>
      </c>
      <c r="O191" s="323" t="s">
        <v>239</v>
      </c>
      <c r="P191" s="386" t="s">
        <v>239</v>
      </c>
      <c r="Q191" s="323" t="s">
        <v>239</v>
      </c>
      <c r="R191" s="366" t="s">
        <v>239</v>
      </c>
      <c r="S191" s="378" t="s">
        <v>1429</v>
      </c>
      <c r="T191" s="324" t="s">
        <v>1364</v>
      </c>
      <c r="U191" s="386">
        <v>250</v>
      </c>
      <c r="V191" s="386">
        <v>2450</v>
      </c>
      <c r="W191" s="386">
        <v>600</v>
      </c>
      <c r="X191" s="386">
        <v>6000</v>
      </c>
      <c r="Y191" s="386">
        <v>500</v>
      </c>
      <c r="Z191" s="386">
        <v>250</v>
      </c>
      <c r="AA191" s="386">
        <v>200</v>
      </c>
      <c r="AB191" s="392">
        <v>4.78</v>
      </c>
      <c r="AC191" s="28">
        <v>0</v>
      </c>
      <c r="AD191" s="28">
        <v>1</v>
      </c>
      <c r="AE191" s="28">
        <v>1</v>
      </c>
      <c r="AF191" s="28">
        <v>0</v>
      </c>
      <c r="AG191" s="28">
        <v>1</v>
      </c>
      <c r="AH191" s="28">
        <v>1</v>
      </c>
      <c r="AI191" s="28">
        <v>1</v>
      </c>
      <c r="AJ191" s="28">
        <v>1</v>
      </c>
    </row>
    <row r="192" spans="1:36" x14ac:dyDescent="0.25">
      <c r="A192" s="298" t="str">
        <f>IF('Kwaliteit conversie'!$D$4='Prijs karton'!C192,"X"," ")</f>
        <v xml:space="preserve"> </v>
      </c>
      <c r="B192" s="331" t="s">
        <v>30</v>
      </c>
      <c r="C192" s="359" t="s">
        <v>413</v>
      </c>
      <c r="D192" s="366">
        <v>0.37</v>
      </c>
      <c r="E192" s="321">
        <v>1.5</v>
      </c>
      <c r="F192" s="925">
        <v>0</v>
      </c>
      <c r="G192" s="315">
        <v>31.4</v>
      </c>
      <c r="H192" s="315">
        <v>28.4</v>
      </c>
      <c r="I192" s="315">
        <v>27.9</v>
      </c>
      <c r="J192" s="315">
        <v>27.9</v>
      </c>
      <c r="K192" s="513">
        <v>27.4</v>
      </c>
      <c r="L192" s="926" t="s">
        <v>414</v>
      </c>
      <c r="M192" s="331" t="s">
        <v>257</v>
      </c>
      <c r="N192" s="366" t="s">
        <v>244</v>
      </c>
      <c r="O192" s="323" t="s">
        <v>239</v>
      </c>
      <c r="P192" s="386" t="s">
        <v>239</v>
      </c>
      <c r="Q192" s="323" t="s">
        <v>239</v>
      </c>
      <c r="R192" s="366" t="s">
        <v>239</v>
      </c>
      <c r="S192" s="378" t="s">
        <v>249</v>
      </c>
      <c r="T192" s="324" t="s">
        <v>245</v>
      </c>
      <c r="U192" s="386">
        <v>250</v>
      </c>
      <c r="V192" s="386">
        <v>2450</v>
      </c>
      <c r="W192" s="386">
        <v>500</v>
      </c>
      <c r="X192" s="386">
        <v>6200</v>
      </c>
      <c r="Y192" s="386">
        <v>700</v>
      </c>
      <c r="Z192" s="386">
        <v>350</v>
      </c>
      <c r="AA192" s="386">
        <v>200</v>
      </c>
      <c r="AB192" s="392">
        <v>4.2</v>
      </c>
      <c r="AC192" s="28">
        <v>0</v>
      </c>
      <c r="AD192" s="28">
        <v>1</v>
      </c>
      <c r="AE192" s="28">
        <v>1</v>
      </c>
      <c r="AF192" s="28">
        <v>0</v>
      </c>
      <c r="AG192" s="28">
        <v>1</v>
      </c>
      <c r="AH192" s="28">
        <v>1</v>
      </c>
      <c r="AI192" s="28">
        <v>1</v>
      </c>
      <c r="AJ192" s="28">
        <v>1</v>
      </c>
    </row>
    <row r="193" spans="1:36" x14ac:dyDescent="0.25">
      <c r="A193" s="298" t="str">
        <f>IF('Kwaliteit conversie'!$D$4='Prijs karton'!C193,"X"," ")</f>
        <v xml:space="preserve"> </v>
      </c>
      <c r="B193" s="331" t="s">
        <v>30</v>
      </c>
      <c r="C193" s="359" t="s">
        <v>415</v>
      </c>
      <c r="D193" s="366">
        <v>0.372</v>
      </c>
      <c r="E193" s="321">
        <v>1.55</v>
      </c>
      <c r="F193" s="925">
        <v>0</v>
      </c>
      <c r="G193" s="315" t="s">
        <v>239</v>
      </c>
      <c r="H193" s="315">
        <v>47.9</v>
      </c>
      <c r="I193" s="315">
        <v>47.9</v>
      </c>
      <c r="J193" s="315">
        <v>45.9</v>
      </c>
      <c r="K193" s="513">
        <v>45.9</v>
      </c>
      <c r="L193" s="926" t="s">
        <v>416</v>
      </c>
      <c r="M193" s="331" t="s">
        <v>318</v>
      </c>
      <c r="N193" s="366" t="s">
        <v>244</v>
      </c>
      <c r="O193" s="323" t="s">
        <v>239</v>
      </c>
      <c r="P193" s="386" t="s">
        <v>239</v>
      </c>
      <c r="Q193" s="323" t="s">
        <v>239</v>
      </c>
      <c r="R193" s="366" t="s">
        <v>239</v>
      </c>
      <c r="S193" s="378" t="s">
        <v>260</v>
      </c>
      <c r="T193" s="324" t="s">
        <v>240</v>
      </c>
      <c r="U193" s="386">
        <v>240</v>
      </c>
      <c r="V193" s="386">
        <v>2450</v>
      </c>
      <c r="W193" s="386">
        <v>500</v>
      </c>
      <c r="X193" s="386">
        <v>6000</v>
      </c>
      <c r="Y193" s="386">
        <v>250</v>
      </c>
      <c r="Z193" s="386">
        <v>250</v>
      </c>
      <c r="AA193" s="386">
        <v>500</v>
      </c>
      <c r="AB193" s="392">
        <v>4.8600000000000003</v>
      </c>
      <c r="AC193" s="28">
        <v>0</v>
      </c>
      <c r="AD193" s="28">
        <v>1</v>
      </c>
      <c r="AE193" s="28">
        <v>1</v>
      </c>
      <c r="AF193" s="28">
        <v>0</v>
      </c>
      <c r="AG193" s="28">
        <v>1</v>
      </c>
      <c r="AH193" s="28">
        <v>1</v>
      </c>
      <c r="AI193" s="28">
        <v>1</v>
      </c>
      <c r="AJ193" s="28">
        <v>1</v>
      </c>
    </row>
    <row r="194" spans="1:36" x14ac:dyDescent="0.25">
      <c r="A194" s="298" t="str">
        <f>IF('Kwaliteit conversie'!$D$4='Prijs karton'!C194,"X"," ")</f>
        <v xml:space="preserve"> </v>
      </c>
      <c r="B194" s="331" t="s">
        <v>30</v>
      </c>
      <c r="C194" s="359" t="s">
        <v>417</v>
      </c>
      <c r="D194" s="366">
        <v>0.36499999999999999</v>
      </c>
      <c r="E194" s="321">
        <v>1.5</v>
      </c>
      <c r="F194" s="925">
        <v>0</v>
      </c>
      <c r="G194" s="315">
        <v>33.9</v>
      </c>
      <c r="H194" s="315">
        <v>30.9</v>
      </c>
      <c r="I194" s="315">
        <v>30.4</v>
      </c>
      <c r="J194" s="315">
        <v>30.4</v>
      </c>
      <c r="K194" s="513">
        <v>29.9</v>
      </c>
      <c r="L194" s="926" t="s">
        <v>418</v>
      </c>
      <c r="M194" s="331" t="s">
        <v>269</v>
      </c>
      <c r="N194" s="366" t="s">
        <v>412</v>
      </c>
      <c r="O194" s="323" t="s">
        <v>239</v>
      </c>
      <c r="P194" s="386" t="s">
        <v>239</v>
      </c>
      <c r="Q194" s="323" t="s">
        <v>239</v>
      </c>
      <c r="R194" s="366" t="s">
        <v>239</v>
      </c>
      <c r="S194" s="378" t="s">
        <v>257</v>
      </c>
      <c r="T194" s="324" t="s">
        <v>245</v>
      </c>
      <c r="U194" s="386">
        <v>250</v>
      </c>
      <c r="V194" s="386">
        <v>2450</v>
      </c>
      <c r="W194" s="386">
        <v>500</v>
      </c>
      <c r="X194" s="386">
        <v>6200</v>
      </c>
      <c r="Y194" s="386">
        <v>700</v>
      </c>
      <c r="Z194" s="386">
        <v>350</v>
      </c>
      <c r="AA194" s="386">
        <v>200</v>
      </c>
      <c r="AB194" s="392">
        <v>3.9</v>
      </c>
      <c r="AC194" s="28">
        <v>0</v>
      </c>
      <c r="AD194" s="28">
        <v>1</v>
      </c>
      <c r="AE194" s="28">
        <v>1</v>
      </c>
      <c r="AF194" s="28">
        <v>0</v>
      </c>
      <c r="AG194" s="28">
        <v>1</v>
      </c>
      <c r="AH194" s="28">
        <v>1</v>
      </c>
      <c r="AI194" s="28">
        <v>1</v>
      </c>
      <c r="AJ194" s="28">
        <v>1</v>
      </c>
    </row>
    <row r="195" spans="1:36" x14ac:dyDescent="0.25">
      <c r="A195" s="298" t="str">
        <f>IF('Kwaliteit conversie'!$D$4='Prijs karton'!C195,"X"," ")</f>
        <v xml:space="preserve"> </v>
      </c>
      <c r="B195" s="331" t="s">
        <v>419</v>
      </c>
      <c r="C195" s="359" t="s">
        <v>420</v>
      </c>
      <c r="D195" s="366">
        <v>0.35699999999999998</v>
      </c>
      <c r="E195" s="321">
        <v>1.5</v>
      </c>
      <c r="F195" s="925">
        <v>0</v>
      </c>
      <c r="G195" s="315" t="s">
        <v>239</v>
      </c>
      <c r="H195" s="315">
        <v>46.9</v>
      </c>
      <c r="I195" s="315">
        <v>46.9</v>
      </c>
      <c r="J195" s="315">
        <v>44.9</v>
      </c>
      <c r="K195" s="513">
        <v>44.9</v>
      </c>
      <c r="L195" s="926" t="s">
        <v>421</v>
      </c>
      <c r="M195" s="331" t="s">
        <v>289</v>
      </c>
      <c r="N195" s="366" t="s">
        <v>244</v>
      </c>
      <c r="O195" s="323" t="s">
        <v>239</v>
      </c>
      <c r="P195" s="386" t="s">
        <v>239</v>
      </c>
      <c r="Q195" s="323" t="s">
        <v>239</v>
      </c>
      <c r="R195" s="366" t="s">
        <v>239</v>
      </c>
      <c r="S195" s="378" t="s">
        <v>311</v>
      </c>
      <c r="T195" s="324" t="s">
        <v>240</v>
      </c>
      <c r="U195" s="386">
        <v>240</v>
      </c>
      <c r="V195" s="386">
        <v>2450</v>
      </c>
      <c r="W195" s="386">
        <v>500</v>
      </c>
      <c r="X195" s="386">
        <v>6000</v>
      </c>
      <c r="Y195" s="386">
        <v>250</v>
      </c>
      <c r="Z195" s="386">
        <v>250</v>
      </c>
      <c r="AA195" s="386">
        <v>500</v>
      </c>
      <c r="AB195" s="392">
        <v>4.55</v>
      </c>
      <c r="AC195" s="28">
        <v>0</v>
      </c>
      <c r="AD195" s="28">
        <v>1</v>
      </c>
      <c r="AE195" s="28">
        <v>1</v>
      </c>
      <c r="AF195" s="28">
        <v>0</v>
      </c>
      <c r="AG195" s="28">
        <v>1</v>
      </c>
      <c r="AH195" s="28">
        <v>1</v>
      </c>
      <c r="AI195" s="28">
        <v>1</v>
      </c>
      <c r="AJ195" s="28">
        <v>1</v>
      </c>
    </row>
    <row r="196" spans="1:36" x14ac:dyDescent="0.25">
      <c r="A196" s="298" t="str">
        <f>IF('Kwaliteit conversie'!$D$4='Prijs karton'!C196,"X"," ")</f>
        <v xml:space="preserve"> </v>
      </c>
      <c r="B196" s="331" t="s">
        <v>30</v>
      </c>
      <c r="C196" s="359" t="s">
        <v>422</v>
      </c>
      <c r="D196" s="366">
        <v>0.38200000000000001</v>
      </c>
      <c r="E196" s="321">
        <v>1.49</v>
      </c>
      <c r="F196" s="925">
        <v>0</v>
      </c>
      <c r="G196" s="315" t="s">
        <v>239</v>
      </c>
      <c r="H196" s="315">
        <v>50.5</v>
      </c>
      <c r="I196" s="315">
        <v>50.5</v>
      </c>
      <c r="J196" s="315">
        <v>48.5</v>
      </c>
      <c r="K196" s="513">
        <v>48.5</v>
      </c>
      <c r="L196" s="926" t="s">
        <v>423</v>
      </c>
      <c r="M196" s="331" t="s">
        <v>269</v>
      </c>
      <c r="N196" s="366" t="s">
        <v>244</v>
      </c>
      <c r="O196" s="323" t="s">
        <v>239</v>
      </c>
      <c r="P196" s="386" t="s">
        <v>239</v>
      </c>
      <c r="Q196" s="323" t="s">
        <v>239</v>
      </c>
      <c r="R196" s="366" t="s">
        <v>239</v>
      </c>
      <c r="S196" s="378" t="s">
        <v>269</v>
      </c>
      <c r="T196" s="324" t="s">
        <v>240</v>
      </c>
      <c r="U196" s="386">
        <v>240</v>
      </c>
      <c r="V196" s="386">
        <v>2450</v>
      </c>
      <c r="W196" s="386">
        <v>500</v>
      </c>
      <c r="X196" s="386">
        <v>6000</v>
      </c>
      <c r="Y196" s="386">
        <v>250</v>
      </c>
      <c r="Z196" s="386">
        <v>250</v>
      </c>
      <c r="AA196" s="386">
        <v>500</v>
      </c>
      <c r="AB196" s="392">
        <v>4.0199999999999996</v>
      </c>
      <c r="AC196" s="28">
        <v>0</v>
      </c>
      <c r="AD196" s="28">
        <v>1</v>
      </c>
      <c r="AE196" s="28">
        <v>1</v>
      </c>
      <c r="AF196" s="28">
        <v>0</v>
      </c>
      <c r="AG196" s="28">
        <v>1</v>
      </c>
      <c r="AH196" s="28">
        <v>1</v>
      </c>
      <c r="AI196" s="28">
        <v>1</v>
      </c>
      <c r="AJ196" s="28">
        <v>1</v>
      </c>
    </row>
    <row r="197" spans="1:36" x14ac:dyDescent="0.25">
      <c r="A197" s="298" t="str">
        <f>IF('Kwaliteit conversie'!$D$4='Prijs karton'!C197,"X"," ")</f>
        <v xml:space="preserve"> </v>
      </c>
      <c r="B197" s="331" t="s">
        <v>30</v>
      </c>
      <c r="C197" s="359" t="s">
        <v>1430</v>
      </c>
      <c r="D197" s="366">
        <v>0.35799999999999998</v>
      </c>
      <c r="E197" s="321">
        <v>1.56</v>
      </c>
      <c r="F197" s="925">
        <v>0</v>
      </c>
      <c r="G197" s="315">
        <v>40.700000000000003</v>
      </c>
      <c r="H197" s="315">
        <v>39.299999999999997</v>
      </c>
      <c r="I197" s="315">
        <v>39.1</v>
      </c>
      <c r="J197" s="315">
        <v>38.700000000000003</v>
      </c>
      <c r="K197" s="513">
        <v>38.700000000000003</v>
      </c>
      <c r="L197" s="926" t="s">
        <v>1431</v>
      </c>
      <c r="M197" s="331" t="s">
        <v>1400</v>
      </c>
      <c r="N197" s="366" t="s">
        <v>244</v>
      </c>
      <c r="O197" s="323" t="s">
        <v>239</v>
      </c>
      <c r="P197" s="386" t="s">
        <v>239</v>
      </c>
      <c r="Q197" s="323" t="s">
        <v>239</v>
      </c>
      <c r="R197" s="366" t="s">
        <v>239</v>
      </c>
      <c r="S197" s="378" t="s">
        <v>1363</v>
      </c>
      <c r="T197" s="324" t="s">
        <v>1364</v>
      </c>
      <c r="U197" s="386">
        <v>250</v>
      </c>
      <c r="V197" s="386">
        <v>2450</v>
      </c>
      <c r="W197" s="386">
        <v>600</v>
      </c>
      <c r="X197" s="386">
        <v>6000</v>
      </c>
      <c r="Y197" s="386">
        <v>500</v>
      </c>
      <c r="Z197" s="386">
        <v>250</v>
      </c>
      <c r="AA197" s="386">
        <v>200</v>
      </c>
      <c r="AB197" s="392">
        <v>4.2</v>
      </c>
      <c r="AC197" s="28">
        <v>0</v>
      </c>
      <c r="AD197" s="28">
        <v>1</v>
      </c>
      <c r="AE197" s="28">
        <v>1</v>
      </c>
      <c r="AF197" s="28">
        <v>0</v>
      </c>
      <c r="AG197" s="28">
        <v>1</v>
      </c>
      <c r="AH197" s="28">
        <v>1</v>
      </c>
      <c r="AI197" s="28">
        <v>1</v>
      </c>
      <c r="AJ197" s="28">
        <v>1</v>
      </c>
    </row>
    <row r="198" spans="1:36" x14ac:dyDescent="0.25">
      <c r="A198" s="298" t="str">
        <f>IF('Kwaliteit conversie'!$D$4='Prijs karton'!C198,"X"," ")</f>
        <v xml:space="preserve"> </v>
      </c>
      <c r="B198" s="331" t="s">
        <v>30</v>
      </c>
      <c r="C198" s="359" t="s">
        <v>424</v>
      </c>
      <c r="D198" s="366">
        <v>0.39</v>
      </c>
      <c r="E198" s="321">
        <v>1.5</v>
      </c>
      <c r="F198" s="925">
        <v>0</v>
      </c>
      <c r="G198" s="315">
        <v>43.8</v>
      </c>
      <c r="H198" s="315">
        <v>40.799999999999997</v>
      </c>
      <c r="I198" s="315">
        <v>40.299999999999997</v>
      </c>
      <c r="J198" s="315">
        <v>40.299999999999997</v>
      </c>
      <c r="K198" s="513">
        <v>39.799999999999997</v>
      </c>
      <c r="L198" s="926" t="s">
        <v>425</v>
      </c>
      <c r="M198" s="331" t="s">
        <v>277</v>
      </c>
      <c r="N198" s="366" t="s">
        <v>244</v>
      </c>
      <c r="O198" s="323" t="s">
        <v>239</v>
      </c>
      <c r="P198" s="386" t="s">
        <v>239</v>
      </c>
      <c r="Q198" s="323" t="s">
        <v>239</v>
      </c>
      <c r="R198" s="366" t="s">
        <v>239</v>
      </c>
      <c r="S198" s="378" t="s">
        <v>318</v>
      </c>
      <c r="T198" s="324" t="s">
        <v>245</v>
      </c>
      <c r="U198" s="386">
        <v>250</v>
      </c>
      <c r="V198" s="386">
        <v>2450</v>
      </c>
      <c r="W198" s="386">
        <v>500</v>
      </c>
      <c r="X198" s="386">
        <v>6200</v>
      </c>
      <c r="Y198" s="386">
        <v>700</v>
      </c>
      <c r="Z198" s="386">
        <v>350</v>
      </c>
      <c r="AA198" s="386">
        <v>200</v>
      </c>
      <c r="AB198" s="392">
        <v>4.8</v>
      </c>
      <c r="AC198" s="28">
        <v>0</v>
      </c>
      <c r="AD198" s="28">
        <v>1</v>
      </c>
      <c r="AE198" s="28">
        <v>1</v>
      </c>
      <c r="AF198" s="28">
        <v>0</v>
      </c>
      <c r="AG198" s="28">
        <v>1</v>
      </c>
      <c r="AH198" s="28">
        <v>1</v>
      </c>
      <c r="AI198" s="28">
        <v>1</v>
      </c>
      <c r="AJ198" s="28">
        <v>1</v>
      </c>
    </row>
    <row r="199" spans="1:36" x14ac:dyDescent="0.25">
      <c r="A199" s="298" t="str">
        <f>IF('Kwaliteit conversie'!$D$4='Prijs karton'!C199,"X"," ")</f>
        <v xml:space="preserve"> </v>
      </c>
      <c r="B199" s="331" t="s">
        <v>30</v>
      </c>
      <c r="C199" s="359" t="s">
        <v>426</v>
      </c>
      <c r="D199" s="366">
        <v>0.39</v>
      </c>
      <c r="E199" s="321">
        <v>1.5</v>
      </c>
      <c r="F199" s="925">
        <v>0</v>
      </c>
      <c r="G199" s="315">
        <v>35.1</v>
      </c>
      <c r="H199" s="315">
        <v>32.1</v>
      </c>
      <c r="I199" s="315">
        <v>31.6</v>
      </c>
      <c r="J199" s="315">
        <v>31.6</v>
      </c>
      <c r="K199" s="513">
        <v>31.1</v>
      </c>
      <c r="L199" s="926" t="s">
        <v>427</v>
      </c>
      <c r="M199" s="331" t="s">
        <v>269</v>
      </c>
      <c r="N199" s="366" t="s">
        <v>244</v>
      </c>
      <c r="O199" s="323" t="s">
        <v>239</v>
      </c>
      <c r="P199" s="386" t="s">
        <v>239</v>
      </c>
      <c r="Q199" s="323" t="s">
        <v>239</v>
      </c>
      <c r="R199" s="366" t="s">
        <v>239</v>
      </c>
      <c r="S199" s="378" t="s">
        <v>257</v>
      </c>
      <c r="T199" s="324" t="s">
        <v>245</v>
      </c>
      <c r="U199" s="386">
        <v>250</v>
      </c>
      <c r="V199" s="386">
        <v>2450</v>
      </c>
      <c r="W199" s="386">
        <v>500</v>
      </c>
      <c r="X199" s="386">
        <v>6200</v>
      </c>
      <c r="Y199" s="386">
        <v>700</v>
      </c>
      <c r="Z199" s="386">
        <v>350</v>
      </c>
      <c r="AA199" s="386">
        <v>200</v>
      </c>
      <c r="AB199" s="392">
        <v>4.2</v>
      </c>
      <c r="AC199" s="28">
        <v>0</v>
      </c>
      <c r="AD199" s="28">
        <v>1</v>
      </c>
      <c r="AE199" s="28">
        <v>1</v>
      </c>
      <c r="AF199" s="28">
        <v>0</v>
      </c>
      <c r="AG199" s="28">
        <v>1</v>
      </c>
      <c r="AH199" s="28">
        <v>1</v>
      </c>
      <c r="AI199" s="28">
        <v>1</v>
      </c>
      <c r="AJ199" s="28">
        <v>1</v>
      </c>
    </row>
    <row r="200" spans="1:36" x14ac:dyDescent="0.25">
      <c r="A200" s="298" t="str">
        <f>IF('Kwaliteit conversie'!$D$4='Prijs karton'!C200,"X"," ")</f>
        <v xml:space="preserve"> </v>
      </c>
      <c r="B200" s="331" t="s">
        <v>30</v>
      </c>
      <c r="C200" s="359" t="s">
        <v>428</v>
      </c>
      <c r="D200" s="366">
        <v>0.39</v>
      </c>
      <c r="E200" s="321">
        <v>1.5</v>
      </c>
      <c r="F200" s="925">
        <v>0</v>
      </c>
      <c r="G200" s="315">
        <v>41.3</v>
      </c>
      <c r="H200" s="315">
        <v>38.299999999999997</v>
      </c>
      <c r="I200" s="315">
        <v>37.799999999999997</v>
      </c>
      <c r="J200" s="315">
        <v>37.799999999999997</v>
      </c>
      <c r="K200" s="513">
        <v>37.299999999999997</v>
      </c>
      <c r="L200" s="926" t="s">
        <v>429</v>
      </c>
      <c r="M200" s="331" t="s">
        <v>269</v>
      </c>
      <c r="N200" s="366" t="s">
        <v>244</v>
      </c>
      <c r="O200" s="323" t="s">
        <v>239</v>
      </c>
      <c r="P200" s="386" t="s">
        <v>239</v>
      </c>
      <c r="Q200" s="323" t="s">
        <v>239</v>
      </c>
      <c r="R200" s="366" t="s">
        <v>239</v>
      </c>
      <c r="S200" s="378" t="s">
        <v>269</v>
      </c>
      <c r="T200" s="324" t="s">
        <v>245</v>
      </c>
      <c r="U200" s="386">
        <v>250</v>
      </c>
      <c r="V200" s="386">
        <v>2450</v>
      </c>
      <c r="W200" s="386">
        <v>500</v>
      </c>
      <c r="X200" s="386">
        <v>6200</v>
      </c>
      <c r="Y200" s="386">
        <v>700</v>
      </c>
      <c r="Z200" s="386">
        <v>350</v>
      </c>
      <c r="AA200" s="386">
        <v>200</v>
      </c>
      <c r="AB200" s="392">
        <v>4</v>
      </c>
      <c r="AC200" s="28">
        <v>0</v>
      </c>
      <c r="AD200" s="28">
        <v>1</v>
      </c>
      <c r="AE200" s="28">
        <v>1</v>
      </c>
      <c r="AF200" s="28">
        <v>0</v>
      </c>
      <c r="AG200" s="28">
        <v>1</v>
      </c>
      <c r="AH200" s="28">
        <v>1</v>
      </c>
      <c r="AI200" s="28">
        <v>1</v>
      </c>
      <c r="AJ200" s="28">
        <v>1</v>
      </c>
    </row>
    <row r="201" spans="1:36" x14ac:dyDescent="0.25">
      <c r="A201" s="298" t="str">
        <f>IF('Kwaliteit conversie'!$D$4='Prijs karton'!C201,"X"," ")</f>
        <v xml:space="preserve"> </v>
      </c>
      <c r="B201" s="331" t="s">
        <v>30</v>
      </c>
      <c r="C201" s="359" t="s">
        <v>430</v>
      </c>
      <c r="D201" s="366">
        <v>0.39</v>
      </c>
      <c r="E201" s="321">
        <v>1.5</v>
      </c>
      <c r="F201" s="925">
        <v>0</v>
      </c>
      <c r="G201" s="315">
        <v>44.4</v>
      </c>
      <c r="H201" s="315">
        <v>41.4</v>
      </c>
      <c r="I201" s="315">
        <v>40.9</v>
      </c>
      <c r="J201" s="315">
        <v>40.9</v>
      </c>
      <c r="K201" s="513">
        <v>40.4</v>
      </c>
      <c r="L201" s="926" t="s">
        <v>431</v>
      </c>
      <c r="M201" s="331" t="s">
        <v>289</v>
      </c>
      <c r="N201" s="366" t="s">
        <v>244</v>
      </c>
      <c r="O201" s="323" t="s">
        <v>239</v>
      </c>
      <c r="P201" s="386" t="s">
        <v>239</v>
      </c>
      <c r="Q201" s="323" t="s">
        <v>239</v>
      </c>
      <c r="R201" s="366" t="s">
        <v>239</v>
      </c>
      <c r="S201" s="378" t="s">
        <v>269</v>
      </c>
      <c r="T201" s="324" t="s">
        <v>245</v>
      </c>
      <c r="U201" s="386">
        <v>250</v>
      </c>
      <c r="V201" s="386">
        <v>2450</v>
      </c>
      <c r="W201" s="386">
        <v>500</v>
      </c>
      <c r="X201" s="386">
        <v>6200</v>
      </c>
      <c r="Y201" s="386">
        <v>700</v>
      </c>
      <c r="Z201" s="386">
        <v>350</v>
      </c>
      <c r="AA201" s="386">
        <v>200</v>
      </c>
      <c r="AB201" s="392">
        <v>4.5</v>
      </c>
      <c r="AC201" s="28">
        <v>0</v>
      </c>
      <c r="AD201" s="28">
        <v>1</v>
      </c>
      <c r="AE201" s="28">
        <v>1</v>
      </c>
      <c r="AF201" s="28">
        <v>0</v>
      </c>
      <c r="AG201" s="28">
        <v>1</v>
      </c>
      <c r="AH201" s="28">
        <v>1</v>
      </c>
      <c r="AI201" s="28">
        <v>1</v>
      </c>
      <c r="AJ201" s="28">
        <v>1</v>
      </c>
    </row>
    <row r="202" spans="1:36" x14ac:dyDescent="0.25">
      <c r="A202" s="298" t="str">
        <f>IF('Kwaliteit conversie'!$D$4='Prijs karton'!C202,"X"," ")</f>
        <v xml:space="preserve"> </v>
      </c>
      <c r="B202" s="331" t="s">
        <v>30</v>
      </c>
      <c r="C202" s="359" t="s">
        <v>1432</v>
      </c>
      <c r="D202" s="366">
        <v>0.36299999999999999</v>
      </c>
      <c r="E202" s="321">
        <v>1.53</v>
      </c>
      <c r="F202" s="925">
        <v>0</v>
      </c>
      <c r="G202" s="315">
        <v>43.9</v>
      </c>
      <c r="H202" s="315">
        <v>42.4</v>
      </c>
      <c r="I202" s="315">
        <v>42.1</v>
      </c>
      <c r="J202" s="315">
        <v>41.9</v>
      </c>
      <c r="K202" s="513">
        <v>41.9</v>
      </c>
      <c r="L202" s="926" t="s">
        <v>1433</v>
      </c>
      <c r="M202" s="331" t="s">
        <v>1400</v>
      </c>
      <c r="N202" s="366" t="s">
        <v>244</v>
      </c>
      <c r="O202" s="323" t="s">
        <v>239</v>
      </c>
      <c r="P202" s="386" t="s">
        <v>239</v>
      </c>
      <c r="Q202" s="323" t="s">
        <v>239</v>
      </c>
      <c r="R202" s="366" t="s">
        <v>239</v>
      </c>
      <c r="S202" s="378" t="s">
        <v>1400</v>
      </c>
      <c r="T202" s="324" t="s">
        <v>1364</v>
      </c>
      <c r="U202" s="394">
        <v>250</v>
      </c>
      <c r="V202" s="395">
        <v>2450</v>
      </c>
      <c r="W202" s="395">
        <v>600</v>
      </c>
      <c r="X202" s="394">
        <v>6000</v>
      </c>
      <c r="Y202" s="394">
        <v>500</v>
      </c>
      <c r="Z202" s="394">
        <v>250</v>
      </c>
      <c r="AA202" s="394">
        <v>200</v>
      </c>
      <c r="AB202" s="392">
        <v>3.96</v>
      </c>
      <c r="AC202" s="28">
        <v>0</v>
      </c>
      <c r="AD202" s="28">
        <v>1</v>
      </c>
      <c r="AE202" s="28">
        <v>1</v>
      </c>
      <c r="AF202" s="28">
        <v>0</v>
      </c>
      <c r="AG202" s="28">
        <v>1</v>
      </c>
      <c r="AH202" s="28">
        <v>1</v>
      </c>
      <c r="AI202" s="28">
        <v>1</v>
      </c>
      <c r="AJ202" s="28">
        <v>1</v>
      </c>
    </row>
    <row r="203" spans="1:36" x14ac:dyDescent="0.25">
      <c r="A203" s="298" t="str">
        <f>IF('Kwaliteit conversie'!$D$4='Prijs karton'!C203,"X"," ")</f>
        <v xml:space="preserve"> </v>
      </c>
      <c r="B203" s="331" t="s">
        <v>30</v>
      </c>
      <c r="C203" s="359" t="s">
        <v>1434</v>
      </c>
      <c r="D203" s="366">
        <v>0.38300000000000001</v>
      </c>
      <c r="E203" s="321">
        <v>1.51</v>
      </c>
      <c r="F203" s="925">
        <v>0</v>
      </c>
      <c r="G203" s="315"/>
      <c r="H203" s="315"/>
      <c r="I203" s="315"/>
      <c r="J203" s="315"/>
      <c r="K203" s="513">
        <v>0</v>
      </c>
      <c r="L203" s="926" t="s">
        <v>1435</v>
      </c>
      <c r="M203" s="331" t="s">
        <v>289</v>
      </c>
      <c r="N203" s="366" t="s">
        <v>244</v>
      </c>
      <c r="O203" s="323" t="s">
        <v>239</v>
      </c>
      <c r="P203" s="386" t="s">
        <v>239</v>
      </c>
      <c r="Q203" s="323" t="s">
        <v>239</v>
      </c>
      <c r="R203" s="366" t="s">
        <v>239</v>
      </c>
      <c r="S203" s="378" t="s">
        <v>289</v>
      </c>
      <c r="T203" s="324" t="s">
        <v>1364</v>
      </c>
      <c r="U203" s="394">
        <v>250</v>
      </c>
      <c r="V203" s="395">
        <v>2450</v>
      </c>
      <c r="W203" s="395">
        <v>600</v>
      </c>
      <c r="X203" s="394">
        <v>6000</v>
      </c>
      <c r="Y203" s="394">
        <v>500</v>
      </c>
      <c r="Z203" s="394">
        <v>250</v>
      </c>
      <c r="AA203" s="394">
        <v>200</v>
      </c>
      <c r="AB203" s="392"/>
      <c r="AC203" s="28">
        <v>0</v>
      </c>
      <c r="AD203" s="28">
        <v>1</v>
      </c>
      <c r="AE203" s="28">
        <v>1</v>
      </c>
      <c r="AF203" s="28">
        <v>0</v>
      </c>
      <c r="AG203" s="28">
        <v>1</v>
      </c>
      <c r="AH203" s="28">
        <v>1</v>
      </c>
      <c r="AI203" s="28">
        <v>1</v>
      </c>
      <c r="AJ203" s="28">
        <v>1</v>
      </c>
    </row>
    <row r="204" spans="1:36" x14ac:dyDescent="0.25">
      <c r="A204" s="298" t="str">
        <f>IF('Kwaliteit conversie'!$D$4='Prijs karton'!C204,"X"," ")</f>
        <v xml:space="preserve"> </v>
      </c>
      <c r="B204" s="331" t="s">
        <v>30</v>
      </c>
      <c r="C204" s="359"/>
      <c r="D204" s="366"/>
      <c r="E204" s="321"/>
      <c r="F204" s="925"/>
      <c r="G204" s="315"/>
      <c r="H204" s="315"/>
      <c r="I204" s="315"/>
      <c r="J204" s="315"/>
      <c r="K204" s="513"/>
      <c r="L204" s="926"/>
      <c r="M204" s="331"/>
      <c r="N204" s="366"/>
      <c r="O204" s="323"/>
      <c r="P204" s="386"/>
      <c r="Q204" s="323"/>
      <c r="R204" s="366"/>
      <c r="S204" s="378"/>
      <c r="T204" s="324"/>
      <c r="U204" s="394"/>
      <c r="V204" s="395"/>
      <c r="W204" s="395"/>
      <c r="X204" s="394"/>
      <c r="Y204" s="394"/>
      <c r="Z204" s="394"/>
      <c r="AA204" s="394"/>
      <c r="AB204" s="392"/>
      <c r="AC204" s="28"/>
      <c r="AD204" s="28"/>
      <c r="AE204" s="28"/>
      <c r="AF204" s="28"/>
      <c r="AG204" s="28"/>
      <c r="AH204" s="28"/>
      <c r="AI204" s="28"/>
      <c r="AJ204" s="28"/>
    </row>
    <row r="205" spans="1:36" s="320" customFormat="1" x14ac:dyDescent="0.25">
      <c r="A205" s="329" t="str">
        <f>IF('Kwaliteit conversie'!$D$4='Prijs karton'!C205,"X"," ")</f>
        <v xml:space="preserve"> </v>
      </c>
      <c r="B205" s="332" t="s">
        <v>30</v>
      </c>
      <c r="C205" s="360" t="s">
        <v>432</v>
      </c>
      <c r="D205" s="367"/>
      <c r="E205" s="322">
        <v>1.5</v>
      </c>
      <c r="F205" s="927">
        <v>0</v>
      </c>
      <c r="G205" s="319">
        <v>0</v>
      </c>
      <c r="H205" s="319">
        <v>0</v>
      </c>
      <c r="I205" s="319">
        <v>0</v>
      </c>
      <c r="J205" s="319">
        <v>0</v>
      </c>
      <c r="K205" s="928">
        <v>0</v>
      </c>
      <c r="L205" s="929" t="s">
        <v>239</v>
      </c>
      <c r="M205" s="379" t="s">
        <v>239</v>
      </c>
      <c r="N205" s="367" t="s">
        <v>239</v>
      </c>
      <c r="O205" s="325" t="s">
        <v>239</v>
      </c>
      <c r="P205" s="387" t="s">
        <v>239</v>
      </c>
      <c r="Q205" s="325" t="s">
        <v>239</v>
      </c>
      <c r="R205" s="367" t="s">
        <v>239</v>
      </c>
      <c r="S205" s="380" t="s">
        <v>239</v>
      </c>
      <c r="T205" s="326" t="s">
        <v>245</v>
      </c>
      <c r="U205" s="387">
        <v>250</v>
      </c>
      <c r="V205" s="387">
        <v>2450</v>
      </c>
      <c r="W205" s="387">
        <v>500</v>
      </c>
      <c r="X205" s="387">
        <v>6200</v>
      </c>
      <c r="Y205" s="387">
        <v>700</v>
      </c>
      <c r="Z205" s="387">
        <v>350</v>
      </c>
      <c r="AA205" s="387">
        <v>200</v>
      </c>
      <c r="AB205" s="393">
        <v>4.5</v>
      </c>
      <c r="AC205" s="34">
        <v>0</v>
      </c>
      <c r="AD205" s="34">
        <v>1</v>
      </c>
      <c r="AE205" s="34">
        <v>1</v>
      </c>
      <c r="AF205" s="34">
        <v>0</v>
      </c>
      <c r="AG205" s="34">
        <v>1</v>
      </c>
      <c r="AH205" s="34">
        <v>1</v>
      </c>
      <c r="AI205" s="34">
        <v>1</v>
      </c>
      <c r="AJ205" s="34">
        <v>1</v>
      </c>
    </row>
    <row r="206" spans="1:36" x14ac:dyDescent="0.25">
      <c r="A206" s="298" t="str">
        <f>IF('Kwaliteit conversie'!$D$4='Prijs karton'!C206,"X"," ")</f>
        <v xml:space="preserve"> </v>
      </c>
      <c r="B206" s="331"/>
      <c r="C206" s="359"/>
      <c r="D206" s="366"/>
      <c r="E206" s="321"/>
      <c r="F206" s="925"/>
      <c r="G206" s="315"/>
      <c r="H206" s="315"/>
      <c r="I206" s="315"/>
      <c r="J206" s="315"/>
      <c r="K206" s="513"/>
      <c r="L206" s="926"/>
      <c r="M206" s="331"/>
      <c r="N206" s="366"/>
      <c r="O206" s="323"/>
      <c r="P206" s="386"/>
      <c r="Q206" s="323"/>
      <c r="R206" s="366"/>
      <c r="S206" s="378"/>
      <c r="T206" s="324"/>
      <c r="U206" s="386"/>
      <c r="V206" s="386"/>
      <c r="W206" s="386"/>
      <c r="X206" s="386"/>
      <c r="Y206" s="386"/>
      <c r="Z206" s="386"/>
      <c r="AA206" s="386"/>
      <c r="AB206" s="392"/>
      <c r="AC206" s="28"/>
      <c r="AD206" s="28"/>
      <c r="AE206" s="28"/>
      <c r="AF206" s="28"/>
      <c r="AG206" s="28"/>
      <c r="AH206" s="28"/>
      <c r="AI206" s="28"/>
      <c r="AJ206" s="28"/>
    </row>
    <row r="207" spans="1:36" x14ac:dyDescent="0.25">
      <c r="A207" s="298" t="str">
        <f>IF('Kwaliteit conversie'!$D$4='Prijs karton'!C207,"X"," ")</f>
        <v xml:space="preserve"> </v>
      </c>
      <c r="B207" s="331"/>
      <c r="C207" s="359"/>
      <c r="D207" s="366"/>
      <c r="E207" s="321"/>
      <c r="F207" s="925"/>
      <c r="G207" s="315"/>
      <c r="H207" s="315"/>
      <c r="I207" s="315"/>
      <c r="J207" s="315"/>
      <c r="K207" s="513"/>
      <c r="L207" s="926"/>
      <c r="M207" s="331"/>
      <c r="N207" s="366"/>
      <c r="O207" s="323"/>
      <c r="P207" s="386"/>
      <c r="Q207" s="323"/>
      <c r="R207" s="366"/>
      <c r="S207" s="378"/>
      <c r="T207" s="324"/>
      <c r="U207" s="386"/>
      <c r="V207" s="386"/>
      <c r="W207" s="386"/>
      <c r="X207" s="386"/>
      <c r="Y207" s="386"/>
      <c r="Z207" s="386"/>
      <c r="AA207" s="386"/>
      <c r="AB207" s="392"/>
      <c r="AC207" s="28"/>
      <c r="AD207" s="28"/>
      <c r="AE207" s="28"/>
      <c r="AF207" s="28"/>
      <c r="AG207" s="28"/>
      <c r="AH207" s="28"/>
      <c r="AI207" s="28"/>
      <c r="AJ207" s="28"/>
    </row>
    <row r="208" spans="1:36" x14ac:dyDescent="0.25">
      <c r="A208" s="298" t="str">
        <f>IF('Kwaliteit conversie'!$D$4='Prijs karton'!C208,"X"," ")</f>
        <v xml:space="preserve"> </v>
      </c>
      <c r="B208" s="331"/>
      <c r="C208" s="359"/>
      <c r="D208" s="366"/>
      <c r="E208" s="321"/>
      <c r="F208" s="925"/>
      <c r="G208" s="315"/>
      <c r="H208" s="315"/>
      <c r="I208" s="315"/>
      <c r="J208" s="315"/>
      <c r="K208" s="513"/>
      <c r="L208" s="926"/>
      <c r="M208" s="331"/>
      <c r="N208" s="366"/>
      <c r="O208" s="323"/>
      <c r="P208" s="386"/>
      <c r="Q208" s="323"/>
      <c r="R208" s="366"/>
      <c r="S208" s="378"/>
      <c r="T208" s="324"/>
      <c r="U208" s="386"/>
      <c r="V208" s="386"/>
      <c r="W208" s="386"/>
      <c r="X208" s="386"/>
      <c r="Y208" s="386"/>
      <c r="Z208" s="386"/>
      <c r="AA208" s="386"/>
      <c r="AB208" s="392"/>
      <c r="AC208" s="28"/>
      <c r="AD208" s="28"/>
      <c r="AE208" s="28"/>
      <c r="AF208" s="28"/>
      <c r="AG208" s="28"/>
      <c r="AH208" s="28"/>
      <c r="AI208" s="28"/>
      <c r="AJ208" s="28"/>
    </row>
    <row r="209" spans="1:36" x14ac:dyDescent="0.25">
      <c r="A209" s="932" t="str">
        <f>IF('Kwaliteit conversie'!$D$4='Prijs karton'!C209,"X"," ")</f>
        <v xml:space="preserve"> </v>
      </c>
      <c r="B209" s="331" t="s">
        <v>33</v>
      </c>
      <c r="C209" s="359" t="s">
        <v>433</v>
      </c>
      <c r="D209" s="366">
        <v>0.57299999999999995</v>
      </c>
      <c r="E209" s="321">
        <v>4.18</v>
      </c>
      <c r="F209" s="925">
        <v>0</v>
      </c>
      <c r="G209" s="315">
        <v>63.5</v>
      </c>
      <c r="H209" s="315">
        <v>60.5</v>
      </c>
      <c r="I209" s="315">
        <v>60.5</v>
      </c>
      <c r="J209" s="315">
        <v>58.5</v>
      </c>
      <c r="K209" s="513">
        <v>58.5</v>
      </c>
      <c r="L209" s="926" t="s">
        <v>434</v>
      </c>
      <c r="M209" s="331" t="s">
        <v>260</v>
      </c>
      <c r="N209" s="366" t="s">
        <v>244</v>
      </c>
      <c r="O209" s="323" t="s">
        <v>255</v>
      </c>
      <c r="P209" s="386" t="s">
        <v>238</v>
      </c>
      <c r="Q209" s="323" t="s">
        <v>239</v>
      </c>
      <c r="R209" s="366" t="s">
        <v>239</v>
      </c>
      <c r="S209" s="378" t="s">
        <v>260</v>
      </c>
      <c r="T209" s="324" t="s">
        <v>240</v>
      </c>
      <c r="U209" s="386">
        <v>240</v>
      </c>
      <c r="V209" s="386">
        <v>2450</v>
      </c>
      <c r="W209" s="386">
        <v>500</v>
      </c>
      <c r="X209" s="386">
        <v>6000</v>
      </c>
      <c r="Y209" s="386">
        <v>85</v>
      </c>
      <c r="Z209" s="386">
        <v>85</v>
      </c>
      <c r="AA209" s="386">
        <v>200</v>
      </c>
      <c r="AB209" s="392">
        <v>7.15</v>
      </c>
      <c r="AC209" s="28">
        <v>0</v>
      </c>
      <c r="AD209" s="28">
        <v>1</v>
      </c>
      <c r="AE209" s="28">
        <v>1</v>
      </c>
      <c r="AF209" s="28">
        <v>1</v>
      </c>
      <c r="AG209" s="28">
        <v>1</v>
      </c>
      <c r="AH209" s="28">
        <v>1</v>
      </c>
      <c r="AI209" s="28">
        <v>1</v>
      </c>
      <c r="AJ209" s="28">
        <v>1</v>
      </c>
    </row>
    <row r="210" spans="1:36" x14ac:dyDescent="0.25">
      <c r="A210" s="298" t="str">
        <f>IF('Kwaliteit conversie'!$D$4='Prijs karton'!C210,"X"," ")</f>
        <v xml:space="preserve"> </v>
      </c>
      <c r="B210" s="331" t="s">
        <v>33</v>
      </c>
      <c r="C210" s="359" t="s">
        <v>435</v>
      </c>
      <c r="D210" s="366">
        <v>0.58299999999999996</v>
      </c>
      <c r="E210" s="321">
        <v>4.17</v>
      </c>
      <c r="F210" s="925">
        <v>0</v>
      </c>
      <c r="G210" s="315">
        <v>69.8</v>
      </c>
      <c r="H210" s="315">
        <v>66.8</v>
      </c>
      <c r="I210" s="315">
        <v>66.8</v>
      </c>
      <c r="J210" s="315">
        <v>64.8</v>
      </c>
      <c r="K210" s="513">
        <v>64.8</v>
      </c>
      <c r="L210" s="926" t="s">
        <v>436</v>
      </c>
      <c r="M210" s="331" t="s">
        <v>318</v>
      </c>
      <c r="N210" s="366" t="s">
        <v>244</v>
      </c>
      <c r="O210" s="323" t="s">
        <v>255</v>
      </c>
      <c r="P210" s="386" t="s">
        <v>238</v>
      </c>
      <c r="Q210" s="323" t="s">
        <v>239</v>
      </c>
      <c r="R210" s="366" t="s">
        <v>239</v>
      </c>
      <c r="S210" s="378" t="s">
        <v>260</v>
      </c>
      <c r="T210" s="324" t="s">
        <v>240</v>
      </c>
      <c r="U210" s="386">
        <v>240</v>
      </c>
      <c r="V210" s="386">
        <v>2450</v>
      </c>
      <c r="W210" s="386">
        <v>500</v>
      </c>
      <c r="X210" s="386">
        <v>6000</v>
      </c>
      <c r="Y210" s="386">
        <v>85</v>
      </c>
      <c r="Z210" s="386">
        <v>85</v>
      </c>
      <c r="AA210" s="386">
        <v>200</v>
      </c>
      <c r="AB210" s="392">
        <v>7.35</v>
      </c>
      <c r="AC210" s="28">
        <v>0</v>
      </c>
      <c r="AD210" s="28">
        <v>1</v>
      </c>
      <c r="AE210" s="28">
        <v>1</v>
      </c>
      <c r="AF210" s="28">
        <v>1</v>
      </c>
      <c r="AG210" s="28">
        <v>1</v>
      </c>
      <c r="AH210" s="28">
        <v>1</v>
      </c>
      <c r="AI210" s="28">
        <v>1</v>
      </c>
      <c r="AJ210" s="28">
        <v>1</v>
      </c>
    </row>
    <row r="211" spans="1:36" x14ac:dyDescent="0.25">
      <c r="A211" s="298" t="str">
        <f>IF('Kwaliteit conversie'!$D$4='Prijs karton'!C211,"X"," ")</f>
        <v xml:space="preserve"> </v>
      </c>
      <c r="B211" s="331" t="s">
        <v>33</v>
      </c>
      <c r="C211" s="359" t="s">
        <v>437</v>
      </c>
      <c r="D211" s="366">
        <v>0.62</v>
      </c>
      <c r="E211" s="321">
        <v>4.0999999999999996</v>
      </c>
      <c r="F211" s="925">
        <v>0</v>
      </c>
      <c r="G211" s="315">
        <v>58.5</v>
      </c>
      <c r="H211" s="315">
        <v>55.5</v>
      </c>
      <c r="I211" s="315">
        <v>55</v>
      </c>
      <c r="J211" s="315">
        <v>55</v>
      </c>
      <c r="K211" s="513">
        <v>54.5</v>
      </c>
      <c r="L211" s="926" t="s">
        <v>438</v>
      </c>
      <c r="M211" s="331" t="s">
        <v>277</v>
      </c>
      <c r="N211" s="366" t="s">
        <v>244</v>
      </c>
      <c r="O211" s="323" t="s">
        <v>244</v>
      </c>
      <c r="P211" s="386" t="s">
        <v>285</v>
      </c>
      <c r="Q211" s="323" t="s">
        <v>239</v>
      </c>
      <c r="R211" s="366" t="s">
        <v>239</v>
      </c>
      <c r="S211" s="378" t="s">
        <v>249</v>
      </c>
      <c r="T211" s="324" t="s">
        <v>245</v>
      </c>
      <c r="U211" s="386">
        <v>250</v>
      </c>
      <c r="V211" s="386">
        <v>2450</v>
      </c>
      <c r="W211" s="386">
        <v>500</v>
      </c>
      <c r="X211" s="386">
        <v>6200</v>
      </c>
      <c r="Y211" s="386">
        <v>250</v>
      </c>
      <c r="Z211" s="386">
        <v>125</v>
      </c>
      <c r="AA211" s="386">
        <v>200</v>
      </c>
      <c r="AB211" s="392">
        <v>8</v>
      </c>
      <c r="AC211" s="28">
        <v>0</v>
      </c>
      <c r="AD211" s="28">
        <v>1</v>
      </c>
      <c r="AE211" s="28">
        <v>1</v>
      </c>
      <c r="AF211" s="28">
        <v>1</v>
      </c>
      <c r="AG211" s="28">
        <v>1</v>
      </c>
      <c r="AH211" s="28">
        <v>1</v>
      </c>
      <c r="AI211" s="28">
        <v>1</v>
      </c>
      <c r="AJ211" s="28">
        <v>1</v>
      </c>
    </row>
    <row r="212" spans="1:36" x14ac:dyDescent="0.25">
      <c r="A212" s="298" t="str">
        <f>IF('Kwaliteit conversie'!$D$4='Prijs karton'!C212,"X"," ")</f>
        <v xml:space="preserve"> </v>
      </c>
      <c r="B212" s="331" t="s">
        <v>33</v>
      </c>
      <c r="C212" s="359" t="s">
        <v>439</v>
      </c>
      <c r="D212" s="366">
        <v>0.58299999999999996</v>
      </c>
      <c r="E212" s="321">
        <v>4.1500000000000004</v>
      </c>
      <c r="F212" s="925">
        <v>0</v>
      </c>
      <c r="G212" s="315" t="s">
        <v>239</v>
      </c>
      <c r="H212" s="315">
        <v>68.400000000000006</v>
      </c>
      <c r="I212" s="315">
        <v>68.400000000000006</v>
      </c>
      <c r="J212" s="315">
        <v>66.400000000000006</v>
      </c>
      <c r="K212" s="513">
        <v>66.400000000000006</v>
      </c>
      <c r="L212" s="926" t="s">
        <v>440</v>
      </c>
      <c r="M212" s="331" t="s">
        <v>289</v>
      </c>
      <c r="N212" s="366" t="s">
        <v>244</v>
      </c>
      <c r="O212" s="323" t="s">
        <v>255</v>
      </c>
      <c r="P212" s="386" t="s">
        <v>238</v>
      </c>
      <c r="Q212" s="323" t="s">
        <v>239</v>
      </c>
      <c r="R212" s="366" t="s">
        <v>239</v>
      </c>
      <c r="S212" s="378" t="s">
        <v>260</v>
      </c>
      <c r="T212" s="324" t="s">
        <v>240</v>
      </c>
      <c r="U212" s="386">
        <v>240</v>
      </c>
      <c r="V212" s="386">
        <v>2450</v>
      </c>
      <c r="W212" s="386">
        <v>500</v>
      </c>
      <c r="X212" s="386">
        <v>6000</v>
      </c>
      <c r="Y212" s="386">
        <v>85</v>
      </c>
      <c r="Z212" s="386">
        <v>85</v>
      </c>
      <c r="AA212" s="386">
        <v>500</v>
      </c>
      <c r="AB212" s="392">
        <v>7.47</v>
      </c>
      <c r="AC212" s="28">
        <v>0</v>
      </c>
      <c r="AD212" s="28">
        <v>1</v>
      </c>
      <c r="AE212" s="28">
        <v>1</v>
      </c>
      <c r="AF212" s="28">
        <v>1</v>
      </c>
      <c r="AG212" s="28">
        <v>1</v>
      </c>
      <c r="AH212" s="28">
        <v>1</v>
      </c>
      <c r="AI212" s="28">
        <v>1</v>
      </c>
      <c r="AJ212" s="28">
        <v>1</v>
      </c>
    </row>
    <row r="213" spans="1:36" x14ac:dyDescent="0.25">
      <c r="A213" s="298" t="str">
        <f>IF('Kwaliteit conversie'!$D$4='Prijs karton'!C213,"X"," ")</f>
        <v xml:space="preserve"> </v>
      </c>
      <c r="B213" s="331" t="s">
        <v>33</v>
      </c>
      <c r="C213" s="359" t="s">
        <v>441</v>
      </c>
      <c r="D213" s="366">
        <v>0.51500000000000001</v>
      </c>
      <c r="E213" s="321">
        <v>4</v>
      </c>
      <c r="F213" s="925">
        <v>0</v>
      </c>
      <c r="G213" s="315">
        <v>43.9</v>
      </c>
      <c r="H213" s="315">
        <v>40.9</v>
      </c>
      <c r="I213" s="315">
        <v>40.4</v>
      </c>
      <c r="J213" s="315">
        <v>40.4</v>
      </c>
      <c r="K213" s="513">
        <v>39.9</v>
      </c>
      <c r="L213" s="926" t="s">
        <v>442</v>
      </c>
      <c r="M213" s="331" t="s">
        <v>249</v>
      </c>
      <c r="N213" s="366" t="s">
        <v>412</v>
      </c>
      <c r="O213" s="323" t="s">
        <v>244</v>
      </c>
      <c r="P213" s="386" t="s">
        <v>244</v>
      </c>
      <c r="Q213" s="323" t="s">
        <v>239</v>
      </c>
      <c r="R213" s="366" t="s">
        <v>239</v>
      </c>
      <c r="S213" s="378" t="s">
        <v>243</v>
      </c>
      <c r="T213" s="324" t="s">
        <v>245</v>
      </c>
      <c r="U213" s="386">
        <v>250</v>
      </c>
      <c r="V213" s="386">
        <v>2450</v>
      </c>
      <c r="W213" s="386">
        <v>500</v>
      </c>
      <c r="X213" s="386">
        <v>6200</v>
      </c>
      <c r="Y213" s="386">
        <v>250</v>
      </c>
      <c r="Z213" s="386">
        <v>125</v>
      </c>
      <c r="AA213" s="386">
        <v>200</v>
      </c>
      <c r="AB213" s="392">
        <v>6</v>
      </c>
      <c r="AC213" s="28">
        <v>0</v>
      </c>
      <c r="AD213" s="28">
        <v>1</v>
      </c>
      <c r="AE213" s="28">
        <v>1</v>
      </c>
      <c r="AF213" s="28">
        <v>1</v>
      </c>
      <c r="AG213" s="28">
        <v>1</v>
      </c>
      <c r="AH213" s="28">
        <v>1</v>
      </c>
      <c r="AI213" s="28">
        <v>1</v>
      </c>
      <c r="AJ213" s="28">
        <v>1</v>
      </c>
    </row>
    <row r="214" spans="1:36" x14ac:dyDescent="0.25">
      <c r="A214" s="298" t="str">
        <f>IF('Kwaliteit conversie'!$D$4='Prijs karton'!C214,"X"," ")</f>
        <v xml:space="preserve"> </v>
      </c>
      <c r="B214" s="331" t="s">
        <v>33</v>
      </c>
      <c r="C214" s="359" t="s">
        <v>443</v>
      </c>
      <c r="D214" s="366">
        <v>0.53500000000000003</v>
      </c>
      <c r="E214" s="321">
        <v>4</v>
      </c>
      <c r="F214" s="925">
        <v>0</v>
      </c>
      <c r="G214" s="315">
        <v>54.7</v>
      </c>
      <c r="H214" s="315">
        <v>51.7</v>
      </c>
      <c r="I214" s="315">
        <v>51.2</v>
      </c>
      <c r="J214" s="315">
        <v>51.2</v>
      </c>
      <c r="K214" s="513">
        <v>50.7</v>
      </c>
      <c r="L214" s="926" t="s">
        <v>444</v>
      </c>
      <c r="M214" s="331" t="s">
        <v>269</v>
      </c>
      <c r="N214" s="366" t="s">
        <v>412</v>
      </c>
      <c r="O214" s="323" t="s">
        <v>244</v>
      </c>
      <c r="P214" s="386" t="s">
        <v>244</v>
      </c>
      <c r="Q214" s="323" t="s">
        <v>239</v>
      </c>
      <c r="R214" s="366" t="s">
        <v>239</v>
      </c>
      <c r="S214" s="378" t="s">
        <v>243</v>
      </c>
      <c r="T214" s="324" t="s">
        <v>245</v>
      </c>
      <c r="U214" s="386">
        <v>250</v>
      </c>
      <c r="V214" s="386">
        <v>2450</v>
      </c>
      <c r="W214" s="386">
        <v>500</v>
      </c>
      <c r="X214" s="386">
        <v>6200</v>
      </c>
      <c r="Y214" s="386">
        <v>250</v>
      </c>
      <c r="Z214" s="386">
        <v>125</v>
      </c>
      <c r="AA214" s="386">
        <v>200</v>
      </c>
      <c r="AB214" s="392">
        <v>6.1</v>
      </c>
      <c r="AC214" s="28">
        <v>0</v>
      </c>
      <c r="AD214" s="28">
        <v>1</v>
      </c>
      <c r="AE214" s="28">
        <v>1</v>
      </c>
      <c r="AF214" s="28">
        <v>1</v>
      </c>
      <c r="AG214" s="28">
        <v>1</v>
      </c>
      <c r="AH214" s="28">
        <v>1</v>
      </c>
      <c r="AI214" s="28">
        <v>1</v>
      </c>
      <c r="AJ214" s="28">
        <v>1</v>
      </c>
    </row>
    <row r="215" spans="1:36" x14ac:dyDescent="0.25">
      <c r="A215" s="298" t="str">
        <f>IF('Kwaliteit conversie'!$D$4='Prijs karton'!C215,"X"," ")</f>
        <v xml:space="preserve"> </v>
      </c>
      <c r="B215" s="331" t="s">
        <v>33</v>
      </c>
      <c r="C215" s="359" t="s">
        <v>445</v>
      </c>
      <c r="D215" s="366">
        <v>0.53500000000000003</v>
      </c>
      <c r="E215" s="321">
        <v>4</v>
      </c>
      <c r="F215" s="925">
        <v>0</v>
      </c>
      <c r="G215" s="315">
        <v>55.7</v>
      </c>
      <c r="H215" s="315">
        <v>52.7</v>
      </c>
      <c r="I215" s="315">
        <v>52.2</v>
      </c>
      <c r="J215" s="315">
        <v>52.2</v>
      </c>
      <c r="K215" s="513">
        <v>51.7</v>
      </c>
      <c r="L215" s="926" t="s">
        <v>446</v>
      </c>
      <c r="M215" s="331" t="s">
        <v>289</v>
      </c>
      <c r="N215" s="366" t="s">
        <v>412</v>
      </c>
      <c r="O215" s="323" t="s">
        <v>244</v>
      </c>
      <c r="P215" s="386" t="s">
        <v>244</v>
      </c>
      <c r="Q215" s="323" t="s">
        <v>239</v>
      </c>
      <c r="R215" s="366" t="s">
        <v>239</v>
      </c>
      <c r="S215" s="378" t="s">
        <v>243</v>
      </c>
      <c r="T215" s="324" t="s">
        <v>245</v>
      </c>
      <c r="U215" s="386">
        <v>250</v>
      </c>
      <c r="V215" s="386">
        <v>2450</v>
      </c>
      <c r="W215" s="386">
        <v>500</v>
      </c>
      <c r="X215" s="386">
        <v>6200</v>
      </c>
      <c r="Y215" s="386">
        <v>250</v>
      </c>
      <c r="Z215" s="386">
        <v>125</v>
      </c>
      <c r="AA215" s="386">
        <v>200</v>
      </c>
      <c r="AB215" s="392">
        <v>6.6</v>
      </c>
      <c r="AC215" s="28">
        <v>0</v>
      </c>
      <c r="AD215" s="28">
        <v>1</v>
      </c>
      <c r="AE215" s="28">
        <v>1</v>
      </c>
      <c r="AF215" s="28">
        <v>1</v>
      </c>
      <c r="AG215" s="28">
        <v>1</v>
      </c>
      <c r="AH215" s="28">
        <v>1</v>
      </c>
      <c r="AI215" s="28">
        <v>1</v>
      </c>
      <c r="AJ215" s="28">
        <v>1</v>
      </c>
    </row>
    <row r="216" spans="1:36" x14ac:dyDescent="0.25">
      <c r="A216" s="298" t="str">
        <f>IF('Kwaliteit conversie'!$D$4='Prijs karton'!C216,"X"," ")</f>
        <v xml:space="preserve"> </v>
      </c>
      <c r="B216" s="331" t="s">
        <v>33</v>
      </c>
      <c r="C216" s="359" t="s">
        <v>447</v>
      </c>
      <c r="D216" s="366">
        <v>0.54500000000000004</v>
      </c>
      <c r="E216" s="321">
        <v>4</v>
      </c>
      <c r="F216" s="925">
        <v>0</v>
      </c>
      <c r="G216" s="315">
        <v>50</v>
      </c>
      <c r="H216" s="315">
        <v>47</v>
      </c>
      <c r="I216" s="315">
        <v>46.5</v>
      </c>
      <c r="J216" s="315">
        <v>46.5</v>
      </c>
      <c r="K216" s="513">
        <v>46</v>
      </c>
      <c r="L216" s="926" t="s">
        <v>448</v>
      </c>
      <c r="M216" s="331" t="s">
        <v>331</v>
      </c>
      <c r="N216" s="366" t="s">
        <v>412</v>
      </c>
      <c r="O216" s="323" t="s">
        <v>244</v>
      </c>
      <c r="P216" s="386" t="s">
        <v>244</v>
      </c>
      <c r="Q216" s="323" t="s">
        <v>239</v>
      </c>
      <c r="R216" s="366" t="s">
        <v>239</v>
      </c>
      <c r="S216" s="378" t="s">
        <v>249</v>
      </c>
      <c r="T216" s="324" t="s">
        <v>245</v>
      </c>
      <c r="U216" s="386">
        <v>250</v>
      </c>
      <c r="V216" s="386">
        <v>2450</v>
      </c>
      <c r="W216" s="386">
        <v>500</v>
      </c>
      <c r="X216" s="386">
        <v>6200</v>
      </c>
      <c r="Y216" s="386">
        <v>250</v>
      </c>
      <c r="Z216" s="386">
        <v>125</v>
      </c>
      <c r="AA216" s="386">
        <v>200</v>
      </c>
      <c r="AB216" s="392">
        <v>6.9</v>
      </c>
      <c r="AC216" s="28">
        <v>0</v>
      </c>
      <c r="AD216" s="28">
        <v>1</v>
      </c>
      <c r="AE216" s="28">
        <v>1</v>
      </c>
      <c r="AF216" s="28">
        <v>1</v>
      </c>
      <c r="AG216" s="28">
        <v>1</v>
      </c>
      <c r="AH216" s="28">
        <v>1</v>
      </c>
      <c r="AI216" s="28">
        <v>1</v>
      </c>
      <c r="AJ216" s="28">
        <v>1</v>
      </c>
    </row>
    <row r="217" spans="1:36" x14ac:dyDescent="0.25">
      <c r="A217" s="298" t="str">
        <f>IF('Kwaliteit conversie'!$D$4='Prijs karton'!C217,"X"," ")</f>
        <v xml:space="preserve"> </v>
      </c>
      <c r="B217" s="331" t="s">
        <v>33</v>
      </c>
      <c r="C217" s="359" t="s">
        <v>449</v>
      </c>
      <c r="D217" s="366">
        <v>0.625</v>
      </c>
      <c r="E217" s="321">
        <v>4.0999999999999996</v>
      </c>
      <c r="F217" s="925">
        <v>0</v>
      </c>
      <c r="G217" s="315">
        <v>55.6</v>
      </c>
      <c r="H217" s="315">
        <v>52.6</v>
      </c>
      <c r="I217" s="315">
        <v>52.1</v>
      </c>
      <c r="J217" s="315">
        <v>52.1</v>
      </c>
      <c r="K217" s="513">
        <v>51.6</v>
      </c>
      <c r="L217" s="926" t="s">
        <v>450</v>
      </c>
      <c r="M217" s="331" t="s">
        <v>274</v>
      </c>
      <c r="N217" s="366" t="s">
        <v>244</v>
      </c>
      <c r="O217" s="323" t="s">
        <v>244</v>
      </c>
      <c r="P217" s="386" t="s">
        <v>285</v>
      </c>
      <c r="Q217" s="323" t="s">
        <v>239</v>
      </c>
      <c r="R217" s="366" t="s">
        <v>239</v>
      </c>
      <c r="S217" s="378" t="s">
        <v>249</v>
      </c>
      <c r="T217" s="324" t="s">
        <v>245</v>
      </c>
      <c r="U217" s="386">
        <v>250</v>
      </c>
      <c r="V217" s="386">
        <v>2450</v>
      </c>
      <c r="W217" s="386">
        <v>500</v>
      </c>
      <c r="X217" s="386">
        <v>6200</v>
      </c>
      <c r="Y217" s="386">
        <v>250</v>
      </c>
      <c r="Z217" s="386">
        <v>125</v>
      </c>
      <c r="AA217" s="386">
        <v>200</v>
      </c>
      <c r="AB217" s="392">
        <v>8.1</v>
      </c>
      <c r="AC217" s="28">
        <v>0</v>
      </c>
      <c r="AD217" s="28">
        <v>1</v>
      </c>
      <c r="AE217" s="28">
        <v>1</v>
      </c>
      <c r="AF217" s="28">
        <v>1</v>
      </c>
      <c r="AG217" s="28">
        <v>1</v>
      </c>
      <c r="AH217" s="28">
        <v>1</v>
      </c>
      <c r="AI217" s="28">
        <v>1</v>
      </c>
      <c r="AJ217" s="28">
        <v>1</v>
      </c>
    </row>
    <row r="218" spans="1:36" x14ac:dyDescent="0.25">
      <c r="A218" s="298" t="str">
        <f>IF('Kwaliteit conversie'!$D$4='Prijs karton'!C218,"X"," ")</f>
        <v xml:space="preserve"> </v>
      </c>
      <c r="B218" s="331" t="s">
        <v>33</v>
      </c>
      <c r="C218" s="359" t="s">
        <v>1436</v>
      </c>
      <c r="D218" s="366">
        <v>0.53</v>
      </c>
      <c r="E218" s="321">
        <v>4</v>
      </c>
      <c r="F218" s="925">
        <v>0</v>
      </c>
      <c r="G218" s="315">
        <v>48.1</v>
      </c>
      <c r="H218" s="315">
        <v>46.8</v>
      </c>
      <c r="I218" s="315">
        <v>46.6</v>
      </c>
      <c r="J218" s="315">
        <v>46.4</v>
      </c>
      <c r="K218" s="513">
        <v>46.4</v>
      </c>
      <c r="L218" s="926" t="s">
        <v>1437</v>
      </c>
      <c r="M218" s="331" t="s">
        <v>1392</v>
      </c>
      <c r="N218" s="366" t="s">
        <v>244</v>
      </c>
      <c r="O218" s="323" t="s">
        <v>244</v>
      </c>
      <c r="P218" s="386" t="s">
        <v>244</v>
      </c>
      <c r="Q218" s="323" t="s">
        <v>239</v>
      </c>
      <c r="R218" s="366" t="s">
        <v>239</v>
      </c>
      <c r="S218" s="378" t="s">
        <v>244</v>
      </c>
      <c r="T218" s="324" t="s">
        <v>1364</v>
      </c>
      <c r="U218" s="386">
        <v>250</v>
      </c>
      <c r="V218" s="386">
        <v>2450</v>
      </c>
      <c r="W218" s="386">
        <v>600</v>
      </c>
      <c r="X218" s="386">
        <v>6000</v>
      </c>
      <c r="Y218" s="386">
        <v>190</v>
      </c>
      <c r="Z218" s="386">
        <v>95</v>
      </c>
      <c r="AA218" s="386">
        <v>200</v>
      </c>
      <c r="AB218" s="392">
        <v>7.3</v>
      </c>
      <c r="AC218" s="28">
        <v>0</v>
      </c>
      <c r="AD218" s="28">
        <v>1</v>
      </c>
      <c r="AE218" s="28">
        <v>1</v>
      </c>
      <c r="AF218" s="28">
        <v>1</v>
      </c>
      <c r="AG218" s="28">
        <v>1</v>
      </c>
      <c r="AH218" s="28">
        <v>1</v>
      </c>
      <c r="AI218" s="28">
        <v>1</v>
      </c>
      <c r="AJ218" s="28">
        <v>1</v>
      </c>
    </row>
    <row r="219" spans="1:36" x14ac:dyDescent="0.25">
      <c r="A219" s="298" t="str">
        <f>IF('Kwaliteit conversie'!$D$4='Prijs karton'!C219,"X"," ")</f>
        <v xml:space="preserve"> </v>
      </c>
      <c r="B219" s="331" t="s">
        <v>33</v>
      </c>
      <c r="C219" s="359" t="s">
        <v>1390</v>
      </c>
      <c r="D219" s="366">
        <v>0.59</v>
      </c>
      <c r="E219" s="321">
        <v>4.0599999999999996</v>
      </c>
      <c r="F219" s="925">
        <v>0</v>
      </c>
      <c r="G219" s="315">
        <v>63.9</v>
      </c>
      <c r="H219" s="315">
        <v>62</v>
      </c>
      <c r="I219" s="315">
        <v>61.8</v>
      </c>
      <c r="J219" s="315">
        <v>61.5</v>
      </c>
      <c r="K219" s="513">
        <v>61.5</v>
      </c>
      <c r="L219" s="926" t="s">
        <v>1391</v>
      </c>
      <c r="M219" s="331" t="s">
        <v>289</v>
      </c>
      <c r="N219" s="366" t="s">
        <v>244</v>
      </c>
      <c r="O219" s="323" t="s">
        <v>244</v>
      </c>
      <c r="P219" s="386" t="s">
        <v>238</v>
      </c>
      <c r="Q219" s="323" t="s">
        <v>239</v>
      </c>
      <c r="R219" s="366" t="s">
        <v>239</v>
      </c>
      <c r="S219" s="378" t="s">
        <v>1392</v>
      </c>
      <c r="T219" s="324" t="s">
        <v>1364</v>
      </c>
      <c r="U219" s="386">
        <v>250</v>
      </c>
      <c r="V219" s="386">
        <v>2450</v>
      </c>
      <c r="W219" s="386">
        <v>600</v>
      </c>
      <c r="X219" s="386">
        <v>6000</v>
      </c>
      <c r="Y219" s="386">
        <v>190</v>
      </c>
      <c r="Z219" s="386">
        <v>95</v>
      </c>
      <c r="AA219" s="386">
        <v>200</v>
      </c>
      <c r="AB219" s="392">
        <v>8.1300000000000008</v>
      </c>
      <c r="AC219" s="28">
        <v>0</v>
      </c>
      <c r="AD219" s="28">
        <v>1</v>
      </c>
      <c r="AE219" s="28">
        <v>1</v>
      </c>
      <c r="AF219" s="28">
        <v>1</v>
      </c>
      <c r="AG219" s="28">
        <v>1</v>
      </c>
      <c r="AH219" s="28">
        <v>1</v>
      </c>
      <c r="AI219" s="28">
        <v>1</v>
      </c>
      <c r="AJ219" s="28">
        <v>1</v>
      </c>
    </row>
    <row r="220" spans="1:36" x14ac:dyDescent="0.25">
      <c r="A220" s="298" t="str">
        <f>IF('Kwaliteit conversie'!$D$4='Prijs karton'!C220,"X"," ")</f>
        <v xml:space="preserve"> </v>
      </c>
      <c r="B220" s="331" t="s">
        <v>33</v>
      </c>
      <c r="C220" s="359" t="s">
        <v>1393</v>
      </c>
      <c r="D220" s="366">
        <v>0.58799999999999997</v>
      </c>
      <c r="E220" s="321">
        <v>4.07</v>
      </c>
      <c r="F220" s="925">
        <v>0</v>
      </c>
      <c r="G220" s="315">
        <v>52.6</v>
      </c>
      <c r="H220" s="315">
        <v>51.2</v>
      </c>
      <c r="I220" s="315">
        <v>50.9</v>
      </c>
      <c r="J220" s="315">
        <v>50.8</v>
      </c>
      <c r="K220" s="513">
        <v>50.8</v>
      </c>
      <c r="L220" s="926" t="s">
        <v>1394</v>
      </c>
      <c r="M220" s="331" t="s">
        <v>1362</v>
      </c>
      <c r="N220" s="366" t="s">
        <v>244</v>
      </c>
      <c r="O220" s="323" t="s">
        <v>244</v>
      </c>
      <c r="P220" s="386" t="s">
        <v>238</v>
      </c>
      <c r="Q220" s="323" t="s">
        <v>239</v>
      </c>
      <c r="R220" s="366" t="s">
        <v>239</v>
      </c>
      <c r="S220" s="378" t="s">
        <v>1392</v>
      </c>
      <c r="T220" s="324" t="s">
        <v>1364</v>
      </c>
      <c r="U220" s="386">
        <v>250</v>
      </c>
      <c r="V220" s="386">
        <v>2450</v>
      </c>
      <c r="W220" s="386">
        <v>600</v>
      </c>
      <c r="X220" s="386">
        <v>6000</v>
      </c>
      <c r="Y220" s="386">
        <v>190</v>
      </c>
      <c r="Z220" s="386">
        <v>95</v>
      </c>
      <c r="AA220" s="386">
        <v>200</v>
      </c>
      <c r="AB220" s="392">
        <v>7.8</v>
      </c>
      <c r="AC220" s="28">
        <v>0</v>
      </c>
      <c r="AD220" s="28">
        <v>1</v>
      </c>
      <c r="AE220" s="28">
        <v>1</v>
      </c>
      <c r="AF220" s="28">
        <v>1</v>
      </c>
      <c r="AG220" s="28">
        <v>1</v>
      </c>
      <c r="AH220" s="28">
        <v>1</v>
      </c>
      <c r="AI220" s="28">
        <v>1</v>
      </c>
      <c r="AJ220" s="28">
        <v>1</v>
      </c>
    </row>
    <row r="221" spans="1:36" x14ac:dyDescent="0.25">
      <c r="A221" s="298" t="str">
        <f>IF('Kwaliteit conversie'!$D$4='Prijs karton'!C221,"X"," ")</f>
        <v xml:space="preserve"> </v>
      </c>
      <c r="B221" s="331" t="s">
        <v>33</v>
      </c>
      <c r="C221" s="359" t="s">
        <v>1395</v>
      </c>
      <c r="D221" s="366">
        <v>0.57799999999999996</v>
      </c>
      <c r="E221" s="321">
        <v>4.1100000000000003</v>
      </c>
      <c r="F221" s="925">
        <v>0</v>
      </c>
      <c r="G221" s="315">
        <v>59.2</v>
      </c>
      <c r="H221" s="315">
        <v>57.8</v>
      </c>
      <c r="I221" s="315">
        <v>57.5</v>
      </c>
      <c r="J221" s="315">
        <v>57.2</v>
      </c>
      <c r="K221" s="513">
        <v>57.2</v>
      </c>
      <c r="L221" s="926" t="s">
        <v>1396</v>
      </c>
      <c r="M221" s="331" t="s">
        <v>1397</v>
      </c>
      <c r="N221" s="366" t="s">
        <v>244</v>
      </c>
      <c r="O221" s="323" t="s">
        <v>244</v>
      </c>
      <c r="P221" s="386" t="s">
        <v>238</v>
      </c>
      <c r="Q221" s="323" t="s">
        <v>239</v>
      </c>
      <c r="R221" s="366" t="s">
        <v>239</v>
      </c>
      <c r="S221" s="378" t="s">
        <v>1392</v>
      </c>
      <c r="T221" s="324" t="s">
        <v>1364</v>
      </c>
      <c r="U221" s="386">
        <v>250</v>
      </c>
      <c r="V221" s="386">
        <v>2450</v>
      </c>
      <c r="W221" s="386">
        <v>600</v>
      </c>
      <c r="X221" s="386">
        <v>6000</v>
      </c>
      <c r="Y221" s="386">
        <v>190</v>
      </c>
      <c r="Z221" s="386">
        <v>95</v>
      </c>
      <c r="AA221" s="386">
        <v>200</v>
      </c>
      <c r="AB221" s="392">
        <v>7.7</v>
      </c>
      <c r="AC221" s="28">
        <v>0</v>
      </c>
      <c r="AD221" s="28">
        <v>1</v>
      </c>
      <c r="AE221" s="28">
        <v>1</v>
      </c>
      <c r="AF221" s="28">
        <v>1</v>
      </c>
      <c r="AG221" s="28">
        <v>1</v>
      </c>
      <c r="AH221" s="28">
        <v>1</v>
      </c>
      <c r="AI221" s="28">
        <v>1</v>
      </c>
      <c r="AJ221" s="28">
        <v>1</v>
      </c>
    </row>
    <row r="222" spans="1:36" x14ac:dyDescent="0.25">
      <c r="A222" s="298" t="str">
        <f>IF('Kwaliteit conversie'!$D$4='Prijs karton'!C222,"X"," ")</f>
        <v xml:space="preserve"> </v>
      </c>
      <c r="B222" s="331" t="s">
        <v>33</v>
      </c>
      <c r="C222" s="359" t="s">
        <v>1398</v>
      </c>
      <c r="D222" s="366">
        <v>0.72899999999999998</v>
      </c>
      <c r="E222" s="321">
        <v>4.18</v>
      </c>
      <c r="F222" s="925">
        <v>0</v>
      </c>
      <c r="G222" s="315">
        <v>70.7</v>
      </c>
      <c r="H222" s="315">
        <v>69.2</v>
      </c>
      <c r="I222" s="315">
        <v>68.900000000000006</v>
      </c>
      <c r="J222" s="315">
        <v>68.599999999999994</v>
      </c>
      <c r="K222" s="513">
        <v>68.599999999999994</v>
      </c>
      <c r="L222" s="926" t="s">
        <v>1399</v>
      </c>
      <c r="M222" s="331" t="s">
        <v>277</v>
      </c>
      <c r="N222" s="366" t="s">
        <v>265</v>
      </c>
      <c r="O222" s="323" t="s">
        <v>244</v>
      </c>
      <c r="P222" s="386" t="s">
        <v>265</v>
      </c>
      <c r="Q222" s="323" t="s">
        <v>239</v>
      </c>
      <c r="R222" s="366" t="s">
        <v>239</v>
      </c>
      <c r="S222" s="378" t="s">
        <v>1367</v>
      </c>
      <c r="T222" s="324" t="s">
        <v>1364</v>
      </c>
      <c r="U222" s="386">
        <v>250</v>
      </c>
      <c r="V222" s="386">
        <v>2450</v>
      </c>
      <c r="W222" s="386">
        <v>600</v>
      </c>
      <c r="X222" s="386">
        <v>6000</v>
      </c>
      <c r="Y222" s="386">
        <v>190</v>
      </c>
      <c r="Z222" s="386">
        <v>95</v>
      </c>
      <c r="AA222" s="386">
        <v>200</v>
      </c>
      <c r="AB222" s="392">
        <v>9.6999999999999993</v>
      </c>
      <c r="AC222" s="28">
        <v>0</v>
      </c>
      <c r="AD222" s="28">
        <v>1</v>
      </c>
      <c r="AE222" s="28">
        <v>1</v>
      </c>
      <c r="AF222" s="28">
        <v>1</v>
      </c>
      <c r="AG222" s="28">
        <v>1</v>
      </c>
      <c r="AH222" s="28">
        <v>1</v>
      </c>
      <c r="AI222" s="28">
        <v>1</v>
      </c>
      <c r="AJ222" s="28">
        <v>1</v>
      </c>
    </row>
    <row r="223" spans="1:36" x14ac:dyDescent="0.25">
      <c r="A223" s="298" t="str">
        <f>IF('Kwaliteit conversie'!$D$4='Prijs karton'!C223,"X"," ")</f>
        <v xml:space="preserve"> </v>
      </c>
      <c r="B223" s="331" t="s">
        <v>33</v>
      </c>
      <c r="C223" s="359"/>
      <c r="D223" s="366"/>
      <c r="E223" s="321"/>
      <c r="F223" s="925">
        <v>0</v>
      </c>
      <c r="G223" s="315"/>
      <c r="H223" s="315"/>
      <c r="I223" s="315"/>
      <c r="J223" s="315"/>
      <c r="K223" s="513"/>
      <c r="L223" s="926"/>
      <c r="M223" s="331"/>
      <c r="N223" s="366"/>
      <c r="O223" s="323"/>
      <c r="P223" s="386"/>
      <c r="Q223" s="323"/>
      <c r="R223" s="366"/>
      <c r="S223" s="378"/>
      <c r="T223" s="324"/>
      <c r="U223" s="386"/>
      <c r="V223" s="386"/>
      <c r="W223" s="386"/>
      <c r="X223" s="386"/>
      <c r="Y223" s="386"/>
      <c r="Z223" s="386"/>
      <c r="AA223" s="386"/>
      <c r="AB223" s="392"/>
      <c r="AC223" s="28"/>
      <c r="AD223" s="28"/>
      <c r="AE223" s="28"/>
      <c r="AF223" s="28"/>
      <c r="AG223" s="28"/>
      <c r="AH223" s="28"/>
      <c r="AI223" s="28"/>
      <c r="AJ223" s="28"/>
    </row>
    <row r="224" spans="1:36" x14ac:dyDescent="0.25">
      <c r="A224" s="298" t="str">
        <f>IF('Kwaliteit conversie'!$D$4='Prijs karton'!C224,"X"," ")</f>
        <v xml:space="preserve"> </v>
      </c>
      <c r="B224" s="331" t="s">
        <v>33</v>
      </c>
      <c r="C224" s="359" t="s">
        <v>1438</v>
      </c>
      <c r="D224" s="366">
        <v>0.56999999999999995</v>
      </c>
      <c r="E224" s="321">
        <v>4.05</v>
      </c>
      <c r="F224" s="925">
        <v>0</v>
      </c>
      <c r="G224" s="315">
        <v>49.1</v>
      </c>
      <c r="H224" s="315">
        <v>47.8</v>
      </c>
      <c r="I224" s="315">
        <v>47.6</v>
      </c>
      <c r="J224" s="315">
        <v>47.3</v>
      </c>
      <c r="K224" s="513">
        <v>47.3</v>
      </c>
      <c r="L224" s="926" t="s">
        <v>1439</v>
      </c>
      <c r="M224" s="331" t="s">
        <v>1392</v>
      </c>
      <c r="N224" s="366" t="s">
        <v>244</v>
      </c>
      <c r="O224" s="323" t="s">
        <v>244</v>
      </c>
      <c r="P224" s="386" t="s">
        <v>244</v>
      </c>
      <c r="Q224" s="323" t="s">
        <v>239</v>
      </c>
      <c r="R224" s="366" t="s">
        <v>239</v>
      </c>
      <c r="S224" s="378" t="s">
        <v>1392</v>
      </c>
      <c r="T224" s="324" t="s">
        <v>1364</v>
      </c>
      <c r="U224" s="386">
        <v>250</v>
      </c>
      <c r="V224" s="386">
        <v>2450</v>
      </c>
      <c r="W224" s="386">
        <v>600</v>
      </c>
      <c r="X224" s="386">
        <v>6000</v>
      </c>
      <c r="Y224" s="386">
        <v>190</v>
      </c>
      <c r="Z224" s="386">
        <v>95</v>
      </c>
      <c r="AA224" s="386">
        <v>200</v>
      </c>
      <c r="AB224" s="392">
        <v>7.56</v>
      </c>
      <c r="AC224" s="28">
        <v>0</v>
      </c>
      <c r="AD224" s="28">
        <v>1</v>
      </c>
      <c r="AE224" s="28">
        <v>1</v>
      </c>
      <c r="AF224" s="28">
        <v>1</v>
      </c>
      <c r="AG224" s="28">
        <v>1</v>
      </c>
      <c r="AH224" s="28">
        <v>1</v>
      </c>
      <c r="AI224" s="28">
        <v>1</v>
      </c>
      <c r="AJ224" s="28">
        <v>1</v>
      </c>
    </row>
    <row r="225" spans="1:36" x14ac:dyDescent="0.25">
      <c r="A225" s="298" t="str">
        <f>IF('Kwaliteit conversie'!$D$4='Prijs karton'!C225,"X"," ")</f>
        <v xml:space="preserve"> </v>
      </c>
      <c r="B225" s="331" t="s">
        <v>33</v>
      </c>
      <c r="C225" s="359"/>
      <c r="D225" s="366"/>
      <c r="E225" s="321"/>
      <c r="F225" s="925"/>
      <c r="G225" s="315"/>
      <c r="H225" s="315"/>
      <c r="I225" s="315"/>
      <c r="J225" s="315"/>
      <c r="K225" s="513"/>
      <c r="L225" s="926"/>
      <c r="M225" s="331"/>
      <c r="N225" s="366"/>
      <c r="O225" s="323"/>
      <c r="P225" s="386"/>
      <c r="Q225" s="323"/>
      <c r="R225" s="366"/>
      <c r="S225" s="378"/>
      <c r="T225" s="324"/>
      <c r="U225" s="386"/>
      <c r="V225" s="386"/>
      <c r="W225" s="386"/>
      <c r="X225" s="386"/>
      <c r="Y225" s="386"/>
      <c r="Z225" s="386"/>
      <c r="AA225" s="386"/>
      <c r="AB225" s="392"/>
      <c r="AC225" s="28"/>
      <c r="AD225" s="28"/>
      <c r="AE225" s="28"/>
      <c r="AF225" s="28"/>
      <c r="AG225" s="28"/>
      <c r="AH225" s="28"/>
      <c r="AI225" s="28"/>
      <c r="AJ225" s="28"/>
    </row>
    <row r="226" spans="1:36" s="320" customFormat="1" x14ac:dyDescent="0.25">
      <c r="A226" s="329" t="str">
        <f>IF('Kwaliteit conversie'!$D$4='Prijs karton'!C226,"X"," ")</f>
        <v xml:space="preserve"> </v>
      </c>
      <c r="B226" s="332" t="s">
        <v>33</v>
      </c>
      <c r="C226" s="360" t="s">
        <v>451</v>
      </c>
      <c r="D226" s="367"/>
      <c r="E226" s="322">
        <v>4</v>
      </c>
      <c r="F226" s="927">
        <v>0</v>
      </c>
      <c r="G226" s="319">
        <v>0</v>
      </c>
      <c r="H226" s="319"/>
      <c r="I226" s="319">
        <v>0</v>
      </c>
      <c r="J226" s="319">
        <v>0</v>
      </c>
      <c r="K226" s="928">
        <v>0</v>
      </c>
      <c r="L226" s="929" t="s">
        <v>239</v>
      </c>
      <c r="M226" s="379" t="s">
        <v>239</v>
      </c>
      <c r="N226" s="367" t="s">
        <v>239</v>
      </c>
      <c r="O226" s="325" t="s">
        <v>239</v>
      </c>
      <c r="P226" s="387" t="s">
        <v>239</v>
      </c>
      <c r="Q226" s="325" t="s">
        <v>239</v>
      </c>
      <c r="R226" s="367" t="s">
        <v>239</v>
      </c>
      <c r="S226" s="380" t="s">
        <v>239</v>
      </c>
      <c r="T226" s="326" t="s">
        <v>245</v>
      </c>
      <c r="U226" s="387">
        <v>250</v>
      </c>
      <c r="V226" s="387">
        <v>2450</v>
      </c>
      <c r="W226" s="387">
        <v>500</v>
      </c>
      <c r="X226" s="387">
        <v>6200</v>
      </c>
      <c r="Y226" s="387">
        <v>250</v>
      </c>
      <c r="Z226" s="387">
        <v>125</v>
      </c>
      <c r="AA226" s="387">
        <v>200</v>
      </c>
      <c r="AB226" s="393">
        <v>6</v>
      </c>
      <c r="AC226" s="34">
        <v>0</v>
      </c>
      <c r="AD226" s="34">
        <v>1</v>
      </c>
      <c r="AE226" s="34">
        <v>1</v>
      </c>
      <c r="AF226" s="34">
        <v>1</v>
      </c>
      <c r="AG226" s="34">
        <v>1</v>
      </c>
      <c r="AH226" s="34">
        <v>1</v>
      </c>
      <c r="AI226" s="34">
        <v>1</v>
      </c>
      <c r="AJ226" s="34">
        <v>1</v>
      </c>
    </row>
    <row r="227" spans="1:36" x14ac:dyDescent="0.25">
      <c r="A227" s="298" t="str">
        <f>IF('Kwaliteit conversie'!$D$4='Prijs karton'!C227,"X"," ")</f>
        <v xml:space="preserve"> </v>
      </c>
      <c r="B227" s="331"/>
      <c r="C227" s="359"/>
      <c r="D227" s="366"/>
      <c r="E227" s="321"/>
      <c r="F227" s="925"/>
      <c r="G227" s="315"/>
      <c r="H227" s="315"/>
      <c r="I227" s="315"/>
      <c r="J227" s="315"/>
      <c r="K227" s="513"/>
      <c r="L227" s="926"/>
      <c r="M227" s="331"/>
      <c r="N227" s="366"/>
      <c r="O227" s="323"/>
      <c r="P227" s="386"/>
      <c r="Q227" s="323"/>
      <c r="R227" s="366"/>
      <c r="S227" s="378"/>
      <c r="T227" s="324"/>
      <c r="U227" s="386"/>
      <c r="V227" s="386"/>
      <c r="W227" s="386"/>
      <c r="X227" s="386"/>
      <c r="Y227" s="386"/>
      <c r="Z227" s="386"/>
      <c r="AA227" s="386"/>
      <c r="AB227" s="392"/>
      <c r="AC227" s="28"/>
      <c r="AD227" s="28"/>
      <c r="AE227" s="28"/>
      <c r="AF227" s="28"/>
      <c r="AG227" s="28"/>
      <c r="AH227" s="28"/>
      <c r="AI227" s="28"/>
      <c r="AJ227" s="28"/>
    </row>
    <row r="228" spans="1:36" x14ac:dyDescent="0.25">
      <c r="A228" s="298" t="str">
        <f>IF('Kwaliteit conversie'!$D$4='Prijs karton'!C228,"X"," ")</f>
        <v xml:space="preserve"> </v>
      </c>
      <c r="B228" s="331"/>
      <c r="C228" s="359"/>
      <c r="D228" s="366"/>
      <c r="E228" s="321"/>
      <c r="F228" s="925"/>
      <c r="G228" s="315"/>
      <c r="H228" s="315"/>
      <c r="I228" s="315"/>
      <c r="J228" s="315"/>
      <c r="K228" s="513"/>
      <c r="L228" s="926"/>
      <c r="M228" s="331"/>
      <c r="N228" s="366"/>
      <c r="O228" s="323"/>
      <c r="P228" s="386"/>
      <c r="Q228" s="323"/>
      <c r="R228" s="366"/>
      <c r="S228" s="378"/>
      <c r="T228" s="324"/>
      <c r="U228" s="386"/>
      <c r="V228" s="386"/>
      <c r="W228" s="386"/>
      <c r="X228" s="386"/>
      <c r="Y228" s="386"/>
      <c r="Z228" s="386"/>
      <c r="AA228" s="386"/>
      <c r="AB228" s="392"/>
      <c r="AC228" s="28"/>
      <c r="AD228" s="28"/>
      <c r="AE228" s="28"/>
      <c r="AF228" s="28"/>
      <c r="AG228" s="28"/>
      <c r="AH228" s="28"/>
      <c r="AI228" s="28"/>
      <c r="AJ228" s="28"/>
    </row>
    <row r="229" spans="1:36" x14ac:dyDescent="0.25">
      <c r="A229" s="298" t="str">
        <f>IF('Kwaliteit conversie'!$D$4='Prijs karton'!C229,"X"," ")</f>
        <v xml:space="preserve"> </v>
      </c>
      <c r="B229" s="331"/>
      <c r="C229" s="359"/>
      <c r="D229" s="366"/>
      <c r="E229" s="321"/>
      <c r="F229" s="925"/>
      <c r="G229" s="315"/>
      <c r="H229" s="315"/>
      <c r="I229" s="315"/>
      <c r="J229" s="315"/>
      <c r="K229" s="513"/>
      <c r="L229" s="926"/>
      <c r="M229" s="331"/>
      <c r="N229" s="366"/>
      <c r="O229" s="323"/>
      <c r="P229" s="386"/>
      <c r="Q229" s="323"/>
      <c r="R229" s="366"/>
      <c r="S229" s="378"/>
      <c r="T229" s="324"/>
      <c r="U229" s="386"/>
      <c r="V229" s="386"/>
      <c r="W229" s="386"/>
      <c r="X229" s="386"/>
      <c r="Y229" s="386"/>
      <c r="Z229" s="386"/>
      <c r="AA229" s="386"/>
      <c r="AB229" s="392"/>
      <c r="AC229" s="28"/>
      <c r="AD229" s="28"/>
      <c r="AE229" s="28"/>
      <c r="AF229" s="28"/>
      <c r="AG229" s="28"/>
      <c r="AH229" s="28"/>
      <c r="AI229" s="28"/>
      <c r="AJ229" s="28"/>
    </row>
    <row r="230" spans="1:36" x14ac:dyDescent="0.25">
      <c r="A230" s="932" t="str">
        <f>IF('Kwaliteit conversie'!$D$4='Prijs karton'!C230,"X"," ")</f>
        <v xml:space="preserve"> </v>
      </c>
      <c r="B230" s="331" t="s">
        <v>35</v>
      </c>
      <c r="C230" s="359" t="s">
        <v>452</v>
      </c>
      <c r="D230" s="366">
        <v>0.51500000000000001</v>
      </c>
      <c r="E230" s="321">
        <v>3.5</v>
      </c>
      <c r="F230" s="925">
        <v>0</v>
      </c>
      <c r="G230" s="315">
        <v>43.7</v>
      </c>
      <c r="H230" s="315">
        <v>40.700000000000003</v>
      </c>
      <c r="I230" s="315">
        <v>40.200000000000003</v>
      </c>
      <c r="J230" s="315">
        <v>40.200000000000003</v>
      </c>
      <c r="K230" s="513">
        <v>39.700000000000003</v>
      </c>
      <c r="L230" s="926" t="s">
        <v>453</v>
      </c>
      <c r="M230" s="331" t="s">
        <v>249</v>
      </c>
      <c r="N230" s="366" t="s">
        <v>255</v>
      </c>
      <c r="O230" s="323" t="s">
        <v>244</v>
      </c>
      <c r="P230" s="386" t="s">
        <v>255</v>
      </c>
      <c r="Q230" s="323" t="s">
        <v>239</v>
      </c>
      <c r="R230" s="366" t="s">
        <v>239</v>
      </c>
      <c r="S230" s="378" t="s">
        <v>243</v>
      </c>
      <c r="T230" s="324" t="s">
        <v>245</v>
      </c>
      <c r="U230" s="386">
        <v>250</v>
      </c>
      <c r="V230" s="386">
        <v>2450</v>
      </c>
      <c r="W230" s="386">
        <v>500</v>
      </c>
      <c r="X230" s="386">
        <v>6200</v>
      </c>
      <c r="Y230" s="386">
        <v>300</v>
      </c>
      <c r="Z230" s="386">
        <v>150</v>
      </c>
      <c r="AA230" s="386">
        <v>200</v>
      </c>
      <c r="AB230" s="392">
        <v>6.1</v>
      </c>
      <c r="AC230" s="28">
        <v>0</v>
      </c>
      <c r="AD230" s="28">
        <v>1</v>
      </c>
      <c r="AE230" s="28">
        <v>1</v>
      </c>
      <c r="AF230" s="28">
        <v>1</v>
      </c>
      <c r="AG230" s="28">
        <v>1</v>
      </c>
      <c r="AH230" s="28">
        <v>1</v>
      </c>
      <c r="AI230" s="28">
        <v>1</v>
      </c>
      <c r="AJ230" s="28">
        <v>1</v>
      </c>
    </row>
    <row r="231" spans="1:36" x14ac:dyDescent="0.25">
      <c r="A231" s="298" t="str">
        <f>IF('Kwaliteit conversie'!$D$4='Prijs karton'!C231,"X"," ")</f>
        <v xml:space="preserve"> </v>
      </c>
      <c r="B231" s="331" t="s">
        <v>35</v>
      </c>
      <c r="C231" s="359" t="s">
        <v>454</v>
      </c>
      <c r="D231" s="366">
        <v>0.54500000000000004</v>
      </c>
      <c r="E231" s="321">
        <v>3.5</v>
      </c>
      <c r="F231" s="925">
        <v>0</v>
      </c>
      <c r="G231" s="315">
        <v>49.8</v>
      </c>
      <c r="H231" s="315">
        <v>46.8</v>
      </c>
      <c r="I231" s="315">
        <v>46.3</v>
      </c>
      <c r="J231" s="315">
        <v>46.3</v>
      </c>
      <c r="K231" s="513">
        <v>45.8</v>
      </c>
      <c r="L231" s="926" t="s">
        <v>455</v>
      </c>
      <c r="M231" s="331" t="s">
        <v>331</v>
      </c>
      <c r="N231" s="366" t="s">
        <v>255</v>
      </c>
      <c r="O231" s="323" t="s">
        <v>244</v>
      </c>
      <c r="P231" s="386" t="s">
        <v>255</v>
      </c>
      <c r="Q231" s="323" t="s">
        <v>239</v>
      </c>
      <c r="R231" s="366" t="s">
        <v>239</v>
      </c>
      <c r="S231" s="378" t="s">
        <v>249</v>
      </c>
      <c r="T231" s="324" t="s">
        <v>245</v>
      </c>
      <c r="U231" s="386">
        <v>250</v>
      </c>
      <c r="V231" s="386">
        <v>2450</v>
      </c>
      <c r="W231" s="386">
        <v>500</v>
      </c>
      <c r="X231" s="386">
        <v>6200</v>
      </c>
      <c r="Y231" s="386">
        <v>300</v>
      </c>
      <c r="Z231" s="386">
        <v>150</v>
      </c>
      <c r="AA231" s="386">
        <v>200</v>
      </c>
      <c r="AB231" s="392">
        <v>6.9</v>
      </c>
      <c r="AC231" s="28">
        <v>10</v>
      </c>
      <c r="AD231" s="28">
        <v>1</v>
      </c>
      <c r="AE231" s="28">
        <v>1</v>
      </c>
      <c r="AF231" s="28">
        <v>1</v>
      </c>
      <c r="AG231" s="28">
        <v>1</v>
      </c>
      <c r="AH231" s="28">
        <v>1</v>
      </c>
      <c r="AI231" s="28">
        <v>1</v>
      </c>
      <c r="AJ231" s="28">
        <v>1</v>
      </c>
    </row>
    <row r="232" spans="1:36" x14ac:dyDescent="0.25">
      <c r="A232" s="298" t="str">
        <f>IF('Kwaliteit conversie'!$D$4='Prijs karton'!C232,"X"," ")</f>
        <v xml:space="preserve"> </v>
      </c>
      <c r="B232" s="331" t="s">
        <v>35</v>
      </c>
      <c r="C232" s="359" t="s">
        <v>456</v>
      </c>
      <c r="D232" s="366">
        <v>0.53500000000000003</v>
      </c>
      <c r="E232" s="321">
        <v>3.5</v>
      </c>
      <c r="F232" s="925">
        <v>0</v>
      </c>
      <c r="G232" s="315">
        <v>55.5</v>
      </c>
      <c r="H232" s="315">
        <v>52.5</v>
      </c>
      <c r="I232" s="315">
        <v>52</v>
      </c>
      <c r="J232" s="315">
        <v>52</v>
      </c>
      <c r="K232" s="513">
        <v>51.5</v>
      </c>
      <c r="L232" s="926" t="s">
        <v>457</v>
      </c>
      <c r="M232" s="331" t="s">
        <v>289</v>
      </c>
      <c r="N232" s="366" t="s">
        <v>255</v>
      </c>
      <c r="O232" s="323" t="s">
        <v>244</v>
      </c>
      <c r="P232" s="386" t="s">
        <v>255</v>
      </c>
      <c r="Q232" s="323" t="s">
        <v>239</v>
      </c>
      <c r="R232" s="366" t="s">
        <v>239</v>
      </c>
      <c r="S232" s="378" t="s">
        <v>243</v>
      </c>
      <c r="T232" s="324" t="s">
        <v>245</v>
      </c>
      <c r="U232" s="386">
        <v>250</v>
      </c>
      <c r="V232" s="386">
        <v>2450</v>
      </c>
      <c r="W232" s="386">
        <v>500</v>
      </c>
      <c r="X232" s="386">
        <v>6200</v>
      </c>
      <c r="Y232" s="386">
        <v>300</v>
      </c>
      <c r="Z232" s="386">
        <v>150</v>
      </c>
      <c r="AA232" s="386">
        <v>200</v>
      </c>
      <c r="AB232" s="392">
        <v>6.7</v>
      </c>
      <c r="AC232" s="28">
        <v>0</v>
      </c>
      <c r="AD232" s="28">
        <v>1</v>
      </c>
      <c r="AE232" s="28">
        <v>1</v>
      </c>
      <c r="AF232" s="28">
        <v>1</v>
      </c>
      <c r="AG232" s="28">
        <v>1</v>
      </c>
      <c r="AH232" s="28">
        <v>1</v>
      </c>
      <c r="AI232" s="28">
        <v>1</v>
      </c>
      <c r="AJ232" s="28">
        <v>1</v>
      </c>
    </row>
    <row r="233" spans="1:36" x14ac:dyDescent="0.25">
      <c r="A233" s="298" t="str">
        <f>IF('Kwaliteit conversie'!$D$4='Prijs karton'!C233,"X"," ")</f>
        <v xml:space="preserve"> </v>
      </c>
      <c r="B233" s="331" t="s">
        <v>35</v>
      </c>
      <c r="C233" s="359" t="s">
        <v>458</v>
      </c>
      <c r="D233" s="366">
        <v>0.64500000000000002</v>
      </c>
      <c r="E233" s="321">
        <v>3.6</v>
      </c>
      <c r="F233" s="925">
        <v>0</v>
      </c>
      <c r="G233" s="315">
        <v>59.5</v>
      </c>
      <c r="H233" s="315">
        <v>56.5</v>
      </c>
      <c r="I233" s="315">
        <v>56</v>
      </c>
      <c r="J233" s="315">
        <v>56</v>
      </c>
      <c r="K233" s="513">
        <v>55.5</v>
      </c>
      <c r="L233" s="926" t="s">
        <v>459</v>
      </c>
      <c r="M233" s="331" t="s">
        <v>274</v>
      </c>
      <c r="N233" s="366" t="s">
        <v>285</v>
      </c>
      <c r="O233" s="323" t="s">
        <v>244</v>
      </c>
      <c r="P233" s="386" t="s">
        <v>244</v>
      </c>
      <c r="Q233" s="323" t="s">
        <v>239</v>
      </c>
      <c r="R233" s="366" t="s">
        <v>239</v>
      </c>
      <c r="S233" s="378" t="s">
        <v>257</v>
      </c>
      <c r="T233" s="324" t="s">
        <v>245</v>
      </c>
      <c r="U233" s="386">
        <v>250</v>
      </c>
      <c r="V233" s="386">
        <v>2450</v>
      </c>
      <c r="W233" s="386">
        <v>500</v>
      </c>
      <c r="X233" s="386">
        <v>6200</v>
      </c>
      <c r="Y233" s="386">
        <v>300</v>
      </c>
      <c r="Z233" s="386">
        <v>150</v>
      </c>
      <c r="AA233" s="386">
        <v>200</v>
      </c>
      <c r="AB233" s="392">
        <v>9.1</v>
      </c>
      <c r="AC233" s="28">
        <v>0</v>
      </c>
      <c r="AD233" s="28">
        <v>1</v>
      </c>
      <c r="AE233" s="28">
        <v>1</v>
      </c>
      <c r="AF233" s="28">
        <v>1</v>
      </c>
      <c r="AG233" s="28">
        <v>1</v>
      </c>
      <c r="AH233" s="28">
        <v>1</v>
      </c>
      <c r="AI233" s="28">
        <v>1</v>
      </c>
      <c r="AJ233" s="28">
        <v>1</v>
      </c>
    </row>
    <row r="234" spans="1:36" x14ac:dyDescent="0.25">
      <c r="A234" s="298" t="str">
        <f>IF('Kwaliteit conversie'!$D$4='Prijs karton'!C234,"X"," ")</f>
        <v xml:space="preserve"> </v>
      </c>
      <c r="B234" s="331" t="s">
        <v>35</v>
      </c>
      <c r="C234" s="359" t="s">
        <v>460</v>
      </c>
      <c r="D234" s="366">
        <v>0.64</v>
      </c>
      <c r="E234" s="321">
        <v>3.6</v>
      </c>
      <c r="F234" s="925">
        <v>0</v>
      </c>
      <c r="G234" s="315">
        <v>58.4</v>
      </c>
      <c r="H234" s="315">
        <v>55.4</v>
      </c>
      <c r="I234" s="315">
        <v>54.9</v>
      </c>
      <c r="J234" s="315">
        <v>54.9</v>
      </c>
      <c r="K234" s="513">
        <v>54.4</v>
      </c>
      <c r="L234" s="926" t="s">
        <v>461</v>
      </c>
      <c r="M234" s="331" t="s">
        <v>277</v>
      </c>
      <c r="N234" s="366" t="s">
        <v>285</v>
      </c>
      <c r="O234" s="323" t="s">
        <v>244</v>
      </c>
      <c r="P234" s="386" t="s">
        <v>244</v>
      </c>
      <c r="Q234" s="323" t="s">
        <v>239</v>
      </c>
      <c r="R234" s="366" t="s">
        <v>239</v>
      </c>
      <c r="S234" s="378" t="s">
        <v>257</v>
      </c>
      <c r="T234" s="324" t="s">
        <v>245</v>
      </c>
      <c r="U234" s="386">
        <v>250</v>
      </c>
      <c r="V234" s="386">
        <v>2450</v>
      </c>
      <c r="W234" s="386">
        <v>500</v>
      </c>
      <c r="X234" s="386">
        <v>6200</v>
      </c>
      <c r="Y234" s="386">
        <v>300</v>
      </c>
      <c r="Z234" s="386">
        <v>150</v>
      </c>
      <c r="AA234" s="386">
        <v>200</v>
      </c>
      <c r="AB234" s="392">
        <v>8.6999999999999993</v>
      </c>
      <c r="AC234" s="28">
        <v>0</v>
      </c>
      <c r="AD234" s="28">
        <v>1</v>
      </c>
      <c r="AE234" s="28">
        <v>1</v>
      </c>
      <c r="AF234" s="28">
        <v>1</v>
      </c>
      <c r="AG234" s="28">
        <v>1</v>
      </c>
      <c r="AH234" s="28">
        <v>1</v>
      </c>
      <c r="AI234" s="28">
        <v>1</v>
      </c>
      <c r="AJ234" s="28">
        <v>1</v>
      </c>
    </row>
    <row r="235" spans="1:36" x14ac:dyDescent="0.25">
      <c r="A235" s="298" t="str">
        <f>IF('Kwaliteit conversie'!$D$4='Prijs karton'!C235,"X"," ")</f>
        <v xml:space="preserve"> </v>
      </c>
      <c r="B235" s="331" t="s">
        <v>35</v>
      </c>
      <c r="C235" s="359"/>
      <c r="D235" s="366"/>
      <c r="E235" s="321"/>
      <c r="F235" s="925"/>
      <c r="G235" s="315"/>
      <c r="H235" s="315"/>
      <c r="I235" s="315"/>
      <c r="J235" s="315"/>
      <c r="K235" s="513"/>
      <c r="L235" s="926"/>
      <c r="M235" s="331"/>
      <c r="N235" s="366"/>
      <c r="O235" s="323"/>
      <c r="P235" s="386"/>
      <c r="Q235" s="323"/>
      <c r="R235" s="366"/>
      <c r="S235" s="378"/>
      <c r="T235" s="324"/>
      <c r="U235" s="386"/>
      <c r="V235" s="386"/>
      <c r="W235" s="386"/>
      <c r="X235" s="386"/>
      <c r="Y235" s="386"/>
      <c r="Z235" s="386"/>
      <c r="AA235" s="386"/>
      <c r="AB235" s="392"/>
      <c r="AC235" s="28"/>
      <c r="AD235" s="28"/>
      <c r="AE235" s="28"/>
      <c r="AF235" s="28"/>
      <c r="AG235" s="28"/>
      <c r="AH235" s="28"/>
      <c r="AI235" s="28"/>
      <c r="AJ235" s="28"/>
    </row>
    <row r="236" spans="1:36" x14ac:dyDescent="0.25">
      <c r="A236" s="298" t="str">
        <f>IF('Kwaliteit conversie'!$D$4='Prijs karton'!C236,"X"," ")</f>
        <v xml:space="preserve"> </v>
      </c>
      <c r="B236" s="331" t="s">
        <v>35</v>
      </c>
      <c r="C236" s="359"/>
      <c r="D236" s="366"/>
      <c r="E236" s="321"/>
      <c r="F236" s="925"/>
      <c r="G236" s="315"/>
      <c r="H236" s="315"/>
      <c r="I236" s="315"/>
      <c r="J236" s="315"/>
      <c r="K236" s="513"/>
      <c r="L236" s="926"/>
      <c r="M236" s="331"/>
      <c r="N236" s="366"/>
      <c r="O236" s="323"/>
      <c r="P236" s="386"/>
      <c r="Q236" s="323"/>
      <c r="R236" s="366"/>
      <c r="S236" s="378"/>
      <c r="T236" s="324"/>
      <c r="U236" s="386"/>
      <c r="V236" s="386"/>
      <c r="W236" s="386"/>
      <c r="X236" s="386"/>
      <c r="Y236" s="386"/>
      <c r="Z236" s="386"/>
      <c r="AA236" s="386"/>
      <c r="AB236" s="392"/>
      <c r="AC236" s="28"/>
      <c r="AD236" s="28"/>
      <c r="AE236" s="28"/>
      <c r="AF236" s="28"/>
      <c r="AG236" s="28"/>
      <c r="AH236" s="28"/>
      <c r="AI236" s="28"/>
      <c r="AJ236" s="28"/>
    </row>
    <row r="237" spans="1:36" x14ac:dyDescent="0.25">
      <c r="A237" s="298" t="str">
        <f>IF('Kwaliteit conversie'!$D$4='Prijs karton'!C237,"X"," ")</f>
        <v xml:space="preserve"> </v>
      </c>
      <c r="B237" s="331" t="s">
        <v>35</v>
      </c>
      <c r="C237" s="359"/>
      <c r="D237" s="366"/>
      <c r="E237" s="321"/>
      <c r="F237" s="925"/>
      <c r="G237" s="315"/>
      <c r="H237" s="315"/>
      <c r="I237" s="315"/>
      <c r="J237" s="315"/>
      <c r="K237" s="513"/>
      <c r="L237" s="926"/>
      <c r="M237" s="331"/>
      <c r="N237" s="366"/>
      <c r="O237" s="323"/>
      <c r="P237" s="386"/>
      <c r="Q237" s="323"/>
      <c r="R237" s="366"/>
      <c r="S237" s="378"/>
      <c r="T237" s="324"/>
      <c r="U237" s="386"/>
      <c r="V237" s="386"/>
      <c r="W237" s="386"/>
      <c r="X237" s="386"/>
      <c r="Y237" s="386"/>
      <c r="Z237" s="386"/>
      <c r="AA237" s="386"/>
      <c r="AB237" s="392"/>
      <c r="AC237" s="28"/>
      <c r="AD237" s="28"/>
      <c r="AE237" s="28"/>
      <c r="AF237" s="28"/>
      <c r="AG237" s="28"/>
      <c r="AH237" s="28"/>
      <c r="AI237" s="28"/>
      <c r="AJ237" s="28"/>
    </row>
    <row r="238" spans="1:36" x14ac:dyDescent="0.25">
      <c r="A238" s="298" t="str">
        <f>IF('Kwaliteit conversie'!$D$4='Prijs karton'!C238,"X"," ")</f>
        <v xml:space="preserve"> </v>
      </c>
      <c r="B238" s="331" t="s">
        <v>35</v>
      </c>
      <c r="C238" s="359"/>
      <c r="D238" s="366"/>
      <c r="E238" s="321"/>
      <c r="F238" s="925"/>
      <c r="G238" s="315"/>
      <c r="H238" s="315"/>
      <c r="I238" s="315"/>
      <c r="J238" s="315"/>
      <c r="K238" s="513"/>
      <c r="L238" s="926"/>
      <c r="M238" s="331"/>
      <c r="N238" s="366"/>
      <c r="O238" s="323"/>
      <c r="P238" s="386"/>
      <c r="Q238" s="323"/>
      <c r="R238" s="366"/>
      <c r="S238" s="378"/>
      <c r="T238" s="324"/>
      <c r="U238" s="386"/>
      <c r="V238" s="386"/>
      <c r="W238" s="386"/>
      <c r="X238" s="386"/>
      <c r="Y238" s="386"/>
      <c r="Z238" s="386"/>
      <c r="AA238" s="386"/>
      <c r="AB238" s="392"/>
      <c r="AC238" s="28"/>
      <c r="AD238" s="28"/>
      <c r="AE238" s="28"/>
      <c r="AF238" s="28"/>
      <c r="AG238" s="28"/>
      <c r="AH238" s="28"/>
      <c r="AI238" s="28"/>
      <c r="AJ238" s="28"/>
    </row>
    <row r="239" spans="1:36" x14ac:dyDescent="0.25">
      <c r="A239" s="298" t="str">
        <f>IF('Kwaliteit conversie'!$D$4='Prijs karton'!C239,"X"," ")</f>
        <v xml:space="preserve"> </v>
      </c>
      <c r="B239" s="331" t="s">
        <v>35</v>
      </c>
      <c r="C239" s="359"/>
      <c r="D239" s="366"/>
      <c r="E239" s="321"/>
      <c r="F239" s="925"/>
      <c r="G239" s="315"/>
      <c r="H239" s="315"/>
      <c r="I239" s="315"/>
      <c r="J239" s="315"/>
      <c r="K239" s="513"/>
      <c r="L239" s="926"/>
      <c r="M239" s="331"/>
      <c r="N239" s="366"/>
      <c r="O239" s="323"/>
      <c r="P239" s="386"/>
      <c r="Q239" s="323"/>
      <c r="R239" s="366"/>
      <c r="S239" s="378"/>
      <c r="T239" s="324"/>
      <c r="U239" s="386"/>
      <c r="V239" s="386"/>
      <c r="W239" s="386"/>
      <c r="X239" s="386"/>
      <c r="Y239" s="386"/>
      <c r="Z239" s="386"/>
      <c r="AA239" s="386"/>
      <c r="AB239" s="392"/>
      <c r="AC239" s="28"/>
      <c r="AD239" s="28"/>
      <c r="AE239" s="28"/>
      <c r="AF239" s="28"/>
      <c r="AG239" s="28"/>
      <c r="AH239" s="28"/>
      <c r="AI239" s="28"/>
      <c r="AJ239" s="28"/>
    </row>
    <row r="240" spans="1:36" x14ac:dyDescent="0.25">
      <c r="A240" s="298" t="str">
        <f>IF('Kwaliteit conversie'!$D$4='Prijs karton'!C240,"X"," ")</f>
        <v xml:space="preserve"> </v>
      </c>
      <c r="B240" s="331" t="s">
        <v>35</v>
      </c>
      <c r="C240" s="359"/>
      <c r="D240" s="366"/>
      <c r="E240" s="321"/>
      <c r="F240" s="925"/>
      <c r="G240" s="315"/>
      <c r="H240" s="315"/>
      <c r="I240" s="315"/>
      <c r="J240" s="315"/>
      <c r="K240" s="513"/>
      <c r="L240" s="926"/>
      <c r="M240" s="331"/>
      <c r="N240" s="366"/>
      <c r="O240" s="323"/>
      <c r="P240" s="386"/>
      <c r="Q240" s="323"/>
      <c r="R240" s="366"/>
      <c r="S240" s="378"/>
      <c r="T240" s="324"/>
      <c r="U240" s="386"/>
      <c r="V240" s="386"/>
      <c r="W240" s="386"/>
      <c r="X240" s="386"/>
      <c r="Y240" s="386"/>
      <c r="Z240" s="386"/>
      <c r="AA240" s="386"/>
      <c r="AB240" s="392"/>
      <c r="AC240" s="28"/>
      <c r="AD240" s="28"/>
      <c r="AE240" s="28"/>
      <c r="AF240" s="28"/>
      <c r="AG240" s="28"/>
      <c r="AH240" s="28"/>
      <c r="AI240" s="28"/>
      <c r="AJ240" s="28"/>
    </row>
    <row r="241" spans="1:36" s="320" customFormat="1" x14ac:dyDescent="0.25">
      <c r="A241" s="329" t="str">
        <f>IF('Kwaliteit conversie'!$D$4='Prijs karton'!C241,"X"," ")</f>
        <v xml:space="preserve"> </v>
      </c>
      <c r="B241" s="332" t="s">
        <v>35</v>
      </c>
      <c r="C241" s="360" t="s">
        <v>462</v>
      </c>
      <c r="D241" s="367"/>
      <c r="E241" s="322">
        <v>3.6</v>
      </c>
      <c r="F241" s="927">
        <v>0</v>
      </c>
      <c r="G241" s="319">
        <v>0</v>
      </c>
      <c r="H241" s="319">
        <v>0</v>
      </c>
      <c r="I241" s="319">
        <v>0</v>
      </c>
      <c r="J241" s="319">
        <v>0</v>
      </c>
      <c r="K241" s="928">
        <v>0</v>
      </c>
      <c r="L241" s="929" t="s">
        <v>239</v>
      </c>
      <c r="M241" s="379" t="s">
        <v>239</v>
      </c>
      <c r="N241" s="367" t="s">
        <v>239</v>
      </c>
      <c r="O241" s="325" t="s">
        <v>239</v>
      </c>
      <c r="P241" s="387" t="s">
        <v>239</v>
      </c>
      <c r="Q241" s="325" t="s">
        <v>239</v>
      </c>
      <c r="R241" s="367" t="s">
        <v>239</v>
      </c>
      <c r="S241" s="380" t="s">
        <v>239</v>
      </c>
      <c r="T241" s="326" t="s">
        <v>245</v>
      </c>
      <c r="U241" s="387">
        <v>250</v>
      </c>
      <c r="V241" s="387">
        <v>2450</v>
      </c>
      <c r="W241" s="387">
        <v>500</v>
      </c>
      <c r="X241" s="387">
        <v>6200</v>
      </c>
      <c r="Y241" s="387">
        <v>300</v>
      </c>
      <c r="Z241" s="387">
        <v>150</v>
      </c>
      <c r="AA241" s="387">
        <v>200</v>
      </c>
      <c r="AB241" s="393">
        <v>7</v>
      </c>
      <c r="AC241" s="34">
        <v>0</v>
      </c>
      <c r="AD241" s="34">
        <v>1</v>
      </c>
      <c r="AE241" s="34">
        <v>1</v>
      </c>
      <c r="AF241" s="34">
        <v>1</v>
      </c>
      <c r="AG241" s="34">
        <v>1</v>
      </c>
      <c r="AH241" s="34">
        <v>1</v>
      </c>
      <c r="AI241" s="34">
        <v>1</v>
      </c>
      <c r="AJ241" s="34">
        <v>1</v>
      </c>
    </row>
    <row r="242" spans="1:36" x14ac:dyDescent="0.25">
      <c r="A242" s="298" t="str">
        <f>IF('Kwaliteit conversie'!$D$4='Prijs karton'!C242,"X"," ")</f>
        <v xml:space="preserve"> </v>
      </c>
      <c r="B242" s="331"/>
      <c r="C242" s="359"/>
      <c r="D242" s="366"/>
      <c r="E242" s="321"/>
      <c r="F242" s="925"/>
      <c r="G242" s="315"/>
      <c r="H242" s="315"/>
      <c r="I242" s="315"/>
      <c r="J242" s="315"/>
      <c r="K242" s="513"/>
      <c r="L242" s="926"/>
      <c r="M242" s="331"/>
      <c r="N242" s="366"/>
      <c r="O242" s="323"/>
      <c r="P242" s="386"/>
      <c r="Q242" s="323"/>
      <c r="R242" s="366"/>
      <c r="S242" s="378"/>
      <c r="T242" s="324"/>
      <c r="U242" s="386"/>
      <c r="V242" s="386"/>
      <c r="W242" s="386"/>
      <c r="X242" s="386"/>
      <c r="Y242" s="386"/>
      <c r="Z242" s="386"/>
      <c r="AA242" s="386"/>
      <c r="AB242" s="392"/>
      <c r="AC242" s="28"/>
      <c r="AD242" s="28"/>
      <c r="AE242" s="28"/>
      <c r="AF242" s="28"/>
      <c r="AG242" s="28"/>
      <c r="AH242" s="28"/>
      <c r="AI242" s="28"/>
      <c r="AJ242" s="28"/>
    </row>
    <row r="243" spans="1:36" x14ac:dyDescent="0.25">
      <c r="A243" s="298" t="str">
        <f>IF('Kwaliteit conversie'!$D$4='Prijs karton'!C243,"X"," ")</f>
        <v xml:space="preserve"> </v>
      </c>
      <c r="B243" s="331"/>
      <c r="C243" s="359"/>
      <c r="D243" s="366"/>
      <c r="E243" s="321"/>
      <c r="F243" s="925"/>
      <c r="G243" s="315"/>
      <c r="H243" s="315"/>
      <c r="I243" s="315"/>
      <c r="J243" s="315"/>
      <c r="K243" s="513"/>
      <c r="L243" s="926"/>
      <c r="M243" s="331"/>
      <c r="N243" s="366"/>
      <c r="O243" s="323"/>
      <c r="P243" s="386"/>
      <c r="Q243" s="323"/>
      <c r="R243" s="366"/>
      <c r="S243" s="378"/>
      <c r="T243" s="324"/>
      <c r="U243" s="386"/>
      <c r="V243" s="386"/>
      <c r="W243" s="386"/>
      <c r="X243" s="386"/>
      <c r="Y243" s="386"/>
      <c r="Z243" s="386"/>
      <c r="AA243" s="386"/>
      <c r="AB243" s="392"/>
      <c r="AC243" s="28"/>
      <c r="AD243" s="28"/>
      <c r="AE243" s="28"/>
      <c r="AF243" s="28"/>
      <c r="AG243" s="28"/>
      <c r="AH243" s="28"/>
      <c r="AI243" s="28"/>
      <c r="AJ243" s="28"/>
    </row>
    <row r="244" spans="1:36" x14ac:dyDescent="0.25">
      <c r="A244" s="298" t="str">
        <f>IF('Kwaliteit conversie'!$D$4='Prijs karton'!C244,"X"," ")</f>
        <v xml:space="preserve"> </v>
      </c>
      <c r="B244" s="331"/>
      <c r="C244" s="359"/>
      <c r="D244" s="366"/>
      <c r="E244" s="321"/>
      <c r="F244" s="925"/>
      <c r="G244" s="315"/>
      <c r="H244" s="315"/>
      <c r="I244" s="315"/>
      <c r="J244" s="315"/>
      <c r="K244" s="513"/>
      <c r="L244" s="926"/>
      <c r="M244" s="331"/>
      <c r="N244" s="366"/>
      <c r="O244" s="323"/>
      <c r="P244" s="386"/>
      <c r="Q244" s="323"/>
      <c r="R244" s="366"/>
      <c r="S244" s="378"/>
      <c r="T244" s="324"/>
      <c r="U244" s="386"/>
      <c r="V244" s="386"/>
      <c r="W244" s="386"/>
      <c r="X244" s="386"/>
      <c r="Y244" s="386"/>
      <c r="Z244" s="386"/>
      <c r="AA244" s="386"/>
      <c r="AB244" s="392"/>
      <c r="AC244" s="28"/>
      <c r="AD244" s="28"/>
      <c r="AE244" s="28"/>
      <c r="AF244" s="28"/>
      <c r="AG244" s="28"/>
      <c r="AH244" s="28"/>
      <c r="AI244" s="28"/>
      <c r="AJ244" s="28"/>
    </row>
    <row r="245" spans="1:36" x14ac:dyDescent="0.25">
      <c r="A245" s="298" t="str">
        <f>IF('Kwaliteit conversie'!$D$4='Prijs karton'!C245,"X"," ")</f>
        <v xml:space="preserve"> </v>
      </c>
      <c r="B245" s="331" t="s">
        <v>34</v>
      </c>
      <c r="C245" s="359"/>
      <c r="D245" s="366"/>
      <c r="E245" s="321"/>
      <c r="F245" s="925"/>
      <c r="G245" s="315"/>
      <c r="H245" s="315"/>
      <c r="I245" s="315"/>
      <c r="J245" s="315"/>
      <c r="K245" s="513"/>
      <c r="L245" s="926"/>
      <c r="M245" s="331"/>
      <c r="N245" s="366"/>
      <c r="O245" s="323"/>
      <c r="P245" s="386"/>
      <c r="Q245" s="323"/>
      <c r="R245" s="366"/>
      <c r="S245" s="378"/>
      <c r="T245" s="324"/>
      <c r="U245" s="386"/>
      <c r="V245" s="386"/>
      <c r="W245" s="386"/>
      <c r="X245" s="386"/>
      <c r="Y245" s="386"/>
      <c r="Z245" s="386"/>
      <c r="AA245" s="386"/>
      <c r="AB245" s="392"/>
      <c r="AC245" s="28"/>
      <c r="AD245" s="28"/>
      <c r="AE245" s="28"/>
      <c r="AF245" s="28"/>
      <c r="AG245" s="28"/>
      <c r="AH245" s="28"/>
      <c r="AI245" s="28"/>
      <c r="AJ245" s="28"/>
    </row>
    <row r="246" spans="1:36" x14ac:dyDescent="0.25">
      <c r="A246" s="932" t="str">
        <f>IF('Kwaliteit conversie'!$D$4='Prijs karton'!C246,"X"," ")</f>
        <v xml:space="preserve"> </v>
      </c>
      <c r="B246" s="331" t="s">
        <v>34</v>
      </c>
      <c r="C246" s="359" t="s">
        <v>463</v>
      </c>
      <c r="D246" s="366">
        <v>0.56299999999999994</v>
      </c>
      <c r="E246" s="321">
        <v>2.83</v>
      </c>
      <c r="F246" s="925">
        <v>0</v>
      </c>
      <c r="G246" s="315" t="s">
        <v>239</v>
      </c>
      <c r="H246" s="315">
        <v>68.099999999999994</v>
      </c>
      <c r="I246" s="315">
        <v>68.099999999999994</v>
      </c>
      <c r="J246" s="315">
        <v>66.099999999999994</v>
      </c>
      <c r="K246" s="513">
        <v>66.099999999999994</v>
      </c>
      <c r="L246" s="926" t="s">
        <v>464</v>
      </c>
      <c r="M246" s="331" t="s">
        <v>289</v>
      </c>
      <c r="N246" s="366" t="s">
        <v>244</v>
      </c>
      <c r="O246" s="323" t="s">
        <v>255</v>
      </c>
      <c r="P246" s="386" t="s">
        <v>244</v>
      </c>
      <c r="Q246" s="323" t="s">
        <v>239</v>
      </c>
      <c r="R246" s="366" t="s">
        <v>239</v>
      </c>
      <c r="S246" s="378" t="s">
        <v>260</v>
      </c>
      <c r="T246" s="324" t="s">
        <v>240</v>
      </c>
      <c r="U246" s="386">
        <v>240</v>
      </c>
      <c r="V246" s="386">
        <v>2450</v>
      </c>
      <c r="W246" s="386">
        <v>500</v>
      </c>
      <c r="X246" s="386">
        <v>6000</v>
      </c>
      <c r="Y246" s="386">
        <v>125</v>
      </c>
      <c r="Z246" s="386">
        <v>125</v>
      </c>
      <c r="AA246" s="386">
        <v>500</v>
      </c>
      <c r="AB246" s="392">
        <v>7.26</v>
      </c>
      <c r="AC246" s="28">
        <v>0</v>
      </c>
      <c r="AD246" s="28">
        <v>1</v>
      </c>
      <c r="AE246" s="28">
        <v>1</v>
      </c>
      <c r="AF246" s="28">
        <v>1</v>
      </c>
      <c r="AG246" s="28">
        <v>1</v>
      </c>
      <c r="AH246" s="28">
        <v>1</v>
      </c>
      <c r="AI246" s="28">
        <v>1</v>
      </c>
      <c r="AJ246" s="28">
        <v>1</v>
      </c>
    </row>
    <row r="247" spans="1:36" x14ac:dyDescent="0.25">
      <c r="A247" s="298" t="str">
        <f>IF('Kwaliteit conversie'!$D$4='Prijs karton'!C247,"X"," ")</f>
        <v xml:space="preserve"> </v>
      </c>
      <c r="B247" s="331" t="s">
        <v>34</v>
      </c>
      <c r="C247" s="359" t="s">
        <v>465</v>
      </c>
      <c r="D247" s="366">
        <v>0.60799999999999998</v>
      </c>
      <c r="E247" s="321">
        <v>2.91</v>
      </c>
      <c r="F247" s="925">
        <v>0</v>
      </c>
      <c r="G247" s="315" t="s">
        <v>239</v>
      </c>
      <c r="H247" s="315">
        <v>69.8</v>
      </c>
      <c r="I247" s="315">
        <v>69.8</v>
      </c>
      <c r="J247" s="315">
        <v>67.8</v>
      </c>
      <c r="K247" s="513">
        <v>65.8</v>
      </c>
      <c r="L247" s="926" t="s">
        <v>466</v>
      </c>
      <c r="M247" s="331" t="s">
        <v>318</v>
      </c>
      <c r="N247" s="366" t="s">
        <v>244</v>
      </c>
      <c r="O247" s="323" t="s">
        <v>255</v>
      </c>
      <c r="P247" s="386" t="s">
        <v>244</v>
      </c>
      <c r="Q247" s="323" t="s">
        <v>239</v>
      </c>
      <c r="R247" s="366" t="s">
        <v>239</v>
      </c>
      <c r="S247" s="378" t="s">
        <v>260</v>
      </c>
      <c r="T247" s="324" t="s">
        <v>240</v>
      </c>
      <c r="U247" s="386">
        <v>240</v>
      </c>
      <c r="V247" s="386">
        <v>2450</v>
      </c>
      <c r="W247" s="386">
        <v>500</v>
      </c>
      <c r="X247" s="386">
        <v>6000</v>
      </c>
      <c r="Y247" s="386">
        <v>125</v>
      </c>
      <c r="Z247" s="386">
        <v>125</v>
      </c>
      <c r="AA247" s="386">
        <v>500</v>
      </c>
      <c r="AB247" s="392">
        <v>7.61</v>
      </c>
      <c r="AC247" s="28">
        <v>0</v>
      </c>
      <c r="AD247" s="28">
        <v>1</v>
      </c>
      <c r="AE247" s="28">
        <v>1</v>
      </c>
      <c r="AF247" s="28">
        <v>1</v>
      </c>
      <c r="AG247" s="28">
        <v>1</v>
      </c>
      <c r="AH247" s="28">
        <v>1</v>
      </c>
      <c r="AI247" s="28">
        <v>1</v>
      </c>
      <c r="AJ247" s="28">
        <v>1</v>
      </c>
    </row>
    <row r="248" spans="1:36" x14ac:dyDescent="0.25">
      <c r="A248" s="298" t="str">
        <f>IF('Kwaliteit conversie'!$D$4='Prijs karton'!C248,"X"," ")</f>
        <v xml:space="preserve"> </v>
      </c>
      <c r="B248" s="331" t="s">
        <v>34</v>
      </c>
      <c r="C248" s="359" t="s">
        <v>467</v>
      </c>
      <c r="D248" s="366">
        <v>0.55300000000000005</v>
      </c>
      <c r="E248" s="321">
        <v>2.86</v>
      </c>
      <c r="F248" s="925">
        <v>0</v>
      </c>
      <c r="G248" s="315">
        <v>60.8</v>
      </c>
      <c r="H248" s="315">
        <v>58.8</v>
      </c>
      <c r="I248" s="315">
        <v>58.8</v>
      </c>
      <c r="J248" s="315">
        <v>57.3</v>
      </c>
      <c r="K248" s="513">
        <v>56.8</v>
      </c>
      <c r="L248" s="926" t="s">
        <v>468</v>
      </c>
      <c r="M248" s="331" t="s">
        <v>260</v>
      </c>
      <c r="N248" s="366" t="s">
        <v>244</v>
      </c>
      <c r="O248" s="323" t="s">
        <v>255</v>
      </c>
      <c r="P248" s="386" t="s">
        <v>244</v>
      </c>
      <c r="Q248" s="323" t="s">
        <v>239</v>
      </c>
      <c r="R248" s="366" t="s">
        <v>239</v>
      </c>
      <c r="S248" s="378" t="s">
        <v>260</v>
      </c>
      <c r="T248" s="324" t="s">
        <v>240</v>
      </c>
      <c r="U248" s="386">
        <v>240</v>
      </c>
      <c r="V248" s="386">
        <v>2450</v>
      </c>
      <c r="W248" s="386">
        <v>500</v>
      </c>
      <c r="X248" s="386">
        <v>6000</v>
      </c>
      <c r="Y248" s="386">
        <v>125</v>
      </c>
      <c r="Z248" s="386">
        <v>125</v>
      </c>
      <c r="AA248" s="386">
        <v>200</v>
      </c>
      <c r="AB248" s="392">
        <v>6.94</v>
      </c>
      <c r="AC248" s="28">
        <v>0</v>
      </c>
      <c r="AD248" s="28">
        <v>1</v>
      </c>
      <c r="AE248" s="28">
        <v>1</v>
      </c>
      <c r="AF248" s="28">
        <v>1</v>
      </c>
      <c r="AG248" s="28">
        <v>1</v>
      </c>
      <c r="AH248" s="28">
        <v>1</v>
      </c>
      <c r="AI248" s="28">
        <v>1</v>
      </c>
      <c r="AJ248" s="28">
        <v>1</v>
      </c>
    </row>
    <row r="249" spans="1:36" x14ac:dyDescent="0.25">
      <c r="A249" s="298" t="str">
        <f>IF('Kwaliteit conversie'!$D$4='Prijs karton'!C249,"X"," ")</f>
        <v xml:space="preserve"> </v>
      </c>
      <c r="B249" s="331" t="s">
        <v>34</v>
      </c>
      <c r="C249" s="359" t="s">
        <v>1401</v>
      </c>
      <c r="D249" s="366">
        <v>0.56999999999999995</v>
      </c>
      <c r="E249" s="321">
        <v>2.86</v>
      </c>
      <c r="F249" s="925">
        <v>0</v>
      </c>
      <c r="G249" s="315">
        <v>55.4</v>
      </c>
      <c r="H249" s="315">
        <v>54</v>
      </c>
      <c r="I249" s="315">
        <v>53.7</v>
      </c>
      <c r="J249" s="315">
        <v>53.5</v>
      </c>
      <c r="K249" s="513">
        <v>53.5</v>
      </c>
      <c r="L249" s="926" t="s">
        <v>1402</v>
      </c>
      <c r="M249" s="331" t="s">
        <v>1362</v>
      </c>
      <c r="N249" s="366" t="s">
        <v>244</v>
      </c>
      <c r="O249" s="323" t="s">
        <v>244</v>
      </c>
      <c r="P249" s="386" t="s">
        <v>244</v>
      </c>
      <c r="Q249" s="323" t="s">
        <v>239</v>
      </c>
      <c r="R249" s="366" t="s">
        <v>239</v>
      </c>
      <c r="S249" s="378" t="s">
        <v>1363</v>
      </c>
      <c r="T249" s="324" t="s">
        <v>1364</v>
      </c>
      <c r="U249" s="386">
        <v>250</v>
      </c>
      <c r="V249" s="386">
        <v>2450</v>
      </c>
      <c r="W249" s="386">
        <v>600</v>
      </c>
      <c r="X249" s="386">
        <v>6000</v>
      </c>
      <c r="Y249" s="386">
        <v>270</v>
      </c>
      <c r="Z249" s="386">
        <v>135</v>
      </c>
      <c r="AA249" s="386">
        <v>200</v>
      </c>
      <c r="AB249" s="392">
        <v>8.39</v>
      </c>
      <c r="AC249" s="28">
        <v>0</v>
      </c>
      <c r="AD249" s="28">
        <v>1</v>
      </c>
      <c r="AE249" s="28">
        <v>1</v>
      </c>
      <c r="AF249" s="28">
        <v>1</v>
      </c>
      <c r="AG249" s="28">
        <v>1</v>
      </c>
      <c r="AH249" s="28">
        <v>1</v>
      </c>
      <c r="AI249" s="28">
        <v>1</v>
      </c>
      <c r="AJ249" s="28">
        <v>1</v>
      </c>
    </row>
    <row r="250" spans="1:36" x14ac:dyDescent="0.25">
      <c r="A250" s="298" t="str">
        <f>IF('Kwaliteit conversie'!$D$4='Prijs karton'!C250,"X"," ")</f>
        <v xml:space="preserve"> </v>
      </c>
      <c r="B250" s="331" t="s">
        <v>34</v>
      </c>
      <c r="C250" s="359" t="s">
        <v>1403</v>
      </c>
      <c r="D250" s="366">
        <v>0.55500000000000005</v>
      </c>
      <c r="E250" s="321">
        <v>2.77</v>
      </c>
      <c r="F250" s="925">
        <v>0</v>
      </c>
      <c r="G250" s="315">
        <v>53.6</v>
      </c>
      <c r="H250" s="315">
        <v>52.1</v>
      </c>
      <c r="I250" s="315">
        <v>51.9</v>
      </c>
      <c r="J250" s="315">
        <v>51.9</v>
      </c>
      <c r="K250" s="513">
        <v>51.9</v>
      </c>
      <c r="L250" s="926" t="s">
        <v>1404</v>
      </c>
      <c r="M250" s="331" t="s">
        <v>1363</v>
      </c>
      <c r="N250" s="366" t="s">
        <v>244</v>
      </c>
      <c r="O250" s="323" t="s">
        <v>244</v>
      </c>
      <c r="P250" s="386" t="s">
        <v>244</v>
      </c>
      <c r="Q250" s="323" t="s">
        <v>239</v>
      </c>
      <c r="R250" s="366" t="s">
        <v>239</v>
      </c>
      <c r="S250" s="378" t="s">
        <v>1363</v>
      </c>
      <c r="T250" s="324" t="s">
        <v>1364</v>
      </c>
      <c r="U250" s="386">
        <v>250</v>
      </c>
      <c r="V250" s="386">
        <v>2450</v>
      </c>
      <c r="W250" s="386">
        <v>600</v>
      </c>
      <c r="X250" s="386">
        <v>6000</v>
      </c>
      <c r="Y250" s="386">
        <v>270</v>
      </c>
      <c r="Z250" s="386">
        <v>135</v>
      </c>
      <c r="AA250" s="386">
        <v>200</v>
      </c>
      <c r="AB250" s="392">
        <v>7.33</v>
      </c>
      <c r="AC250" s="28">
        <v>0</v>
      </c>
      <c r="AD250" s="28">
        <v>1</v>
      </c>
      <c r="AE250" s="28">
        <v>1</v>
      </c>
      <c r="AF250" s="28">
        <v>1</v>
      </c>
      <c r="AG250" s="28">
        <v>1</v>
      </c>
      <c r="AH250" s="28">
        <v>1</v>
      </c>
      <c r="AI250" s="28">
        <v>1</v>
      </c>
      <c r="AJ250" s="28">
        <v>1</v>
      </c>
    </row>
    <row r="251" spans="1:36" x14ac:dyDescent="0.25">
      <c r="A251" s="298" t="str">
        <f>IF('Kwaliteit conversie'!$D$4='Prijs karton'!C251,"X"," ")</f>
        <v xml:space="preserve"> </v>
      </c>
      <c r="B251" s="331" t="s">
        <v>34</v>
      </c>
      <c r="C251" s="359" t="s">
        <v>1440</v>
      </c>
      <c r="D251" s="366">
        <v>0.56999999999999995</v>
      </c>
      <c r="E251" s="321">
        <v>2.74</v>
      </c>
      <c r="F251" s="925">
        <v>0</v>
      </c>
      <c r="G251" s="315">
        <v>62.9</v>
      </c>
      <c r="H251" s="315">
        <v>61.5</v>
      </c>
      <c r="I251" s="315">
        <v>61.2</v>
      </c>
      <c r="J251" s="315">
        <v>60.9</v>
      </c>
      <c r="K251" s="513">
        <v>60.9</v>
      </c>
      <c r="L251" s="926" t="s">
        <v>1441</v>
      </c>
      <c r="M251" s="331" t="s">
        <v>289</v>
      </c>
      <c r="N251" s="366" t="s">
        <v>244</v>
      </c>
      <c r="O251" s="323" t="s">
        <v>244</v>
      </c>
      <c r="P251" s="386" t="s">
        <v>244</v>
      </c>
      <c r="Q251" s="323" t="s">
        <v>239</v>
      </c>
      <c r="R251" s="366" t="s">
        <v>239</v>
      </c>
      <c r="S251" s="378" t="s">
        <v>1363</v>
      </c>
      <c r="T251" s="324" t="s">
        <v>1364</v>
      </c>
      <c r="U251" s="386">
        <v>250</v>
      </c>
      <c r="V251" s="386">
        <v>2450</v>
      </c>
      <c r="W251" s="386">
        <v>600</v>
      </c>
      <c r="X251" s="386">
        <v>6000</v>
      </c>
      <c r="Y251" s="386">
        <v>270</v>
      </c>
      <c r="Z251" s="386">
        <v>135</v>
      </c>
      <c r="AA251" s="386">
        <v>200</v>
      </c>
      <c r="AB251" s="392">
        <v>8.19</v>
      </c>
      <c r="AC251" s="28">
        <v>0</v>
      </c>
      <c r="AD251" s="28">
        <v>1</v>
      </c>
      <c r="AE251" s="28">
        <v>1</v>
      </c>
      <c r="AF251" s="28">
        <v>1</v>
      </c>
      <c r="AG251" s="28">
        <v>1</v>
      </c>
      <c r="AH251" s="28">
        <v>1</v>
      </c>
      <c r="AI251" s="28">
        <v>1</v>
      </c>
      <c r="AJ251" s="28">
        <v>1</v>
      </c>
    </row>
    <row r="252" spans="1:36" x14ac:dyDescent="0.25">
      <c r="A252" s="298" t="str">
        <f>IF('Kwaliteit conversie'!$D$4='Prijs karton'!C252,"X"," ")</f>
        <v xml:space="preserve"> </v>
      </c>
      <c r="B252" s="331" t="s">
        <v>34</v>
      </c>
      <c r="C252" s="359" t="s">
        <v>1442</v>
      </c>
      <c r="D252" s="366">
        <v>0.60799999999999998</v>
      </c>
      <c r="E252" s="321">
        <v>2.84</v>
      </c>
      <c r="F252" s="925">
        <v>0</v>
      </c>
      <c r="G252" s="315" t="s">
        <v>315</v>
      </c>
      <c r="H252" s="315">
        <v>62.8</v>
      </c>
      <c r="I252" s="315">
        <v>62.8</v>
      </c>
      <c r="J252" s="315">
        <v>62.8</v>
      </c>
      <c r="K252" s="513">
        <v>62.8</v>
      </c>
      <c r="L252" s="926" t="s">
        <v>1443</v>
      </c>
      <c r="M252" s="331" t="s">
        <v>289</v>
      </c>
      <c r="N252" s="366" t="s">
        <v>238</v>
      </c>
      <c r="O252" s="323" t="s">
        <v>244</v>
      </c>
      <c r="P252" s="386" t="s">
        <v>238</v>
      </c>
      <c r="Q252" s="323" t="s">
        <v>239</v>
      </c>
      <c r="R252" s="366" t="s">
        <v>239</v>
      </c>
      <c r="S252" s="378" t="s">
        <v>289</v>
      </c>
      <c r="T252" s="324" t="s">
        <v>1364</v>
      </c>
      <c r="U252" s="386">
        <v>250</v>
      </c>
      <c r="V252" s="386">
        <v>2450</v>
      </c>
      <c r="W252" s="386">
        <v>600</v>
      </c>
      <c r="X252" s="386">
        <v>6000</v>
      </c>
      <c r="Y252" s="386">
        <v>270</v>
      </c>
      <c r="Z252" s="386">
        <v>135</v>
      </c>
      <c r="AA252" s="386">
        <v>500</v>
      </c>
      <c r="AB252" s="392">
        <v>9.2799999999999994</v>
      </c>
      <c r="AC252" s="28">
        <v>0</v>
      </c>
      <c r="AD252" s="28">
        <v>1</v>
      </c>
      <c r="AE252" s="28">
        <v>1</v>
      </c>
      <c r="AF252" s="28">
        <v>1</v>
      </c>
      <c r="AG252" s="28">
        <v>1</v>
      </c>
      <c r="AH252" s="28">
        <v>1</v>
      </c>
      <c r="AI252" s="28">
        <v>1</v>
      </c>
      <c r="AJ252" s="28">
        <v>1</v>
      </c>
    </row>
    <row r="253" spans="1:36" x14ac:dyDescent="0.25">
      <c r="A253" s="298" t="str">
        <f>IF('Kwaliteit conversie'!$D$4='Prijs karton'!C253,"X"," ")</f>
        <v xml:space="preserve"> </v>
      </c>
      <c r="B253" s="331" t="s">
        <v>34</v>
      </c>
      <c r="C253" s="359"/>
      <c r="D253" s="366"/>
      <c r="E253" s="321"/>
      <c r="F253" s="925"/>
      <c r="G253" s="315"/>
      <c r="H253" s="315"/>
      <c r="I253" s="315"/>
      <c r="J253" s="315"/>
      <c r="K253" s="513"/>
      <c r="L253" s="926"/>
      <c r="M253" s="331"/>
      <c r="N253" s="366"/>
      <c r="O253" s="323"/>
      <c r="P253" s="386"/>
      <c r="Q253" s="323"/>
      <c r="R253" s="366"/>
      <c r="S253" s="378"/>
      <c r="T253" s="324"/>
      <c r="U253" s="386"/>
      <c r="V253" s="386"/>
      <c r="W253" s="386"/>
      <c r="X253" s="386"/>
      <c r="Y253" s="386"/>
      <c r="Z253" s="386"/>
      <c r="AA253" s="386"/>
      <c r="AB253" s="392"/>
      <c r="AC253" s="28"/>
      <c r="AD253" s="28"/>
      <c r="AE253" s="28"/>
      <c r="AF253" s="28"/>
      <c r="AG253" s="28"/>
      <c r="AH253" s="28"/>
      <c r="AI253" s="28"/>
      <c r="AJ253" s="28"/>
    </row>
    <row r="254" spans="1:36" s="320" customFormat="1" ht="15.75" thickBot="1" x14ac:dyDescent="0.3">
      <c r="A254" s="329" t="str">
        <f>IF('Kwaliteit conversie'!$D$4='Prijs karton'!C254,"X"," ")</f>
        <v xml:space="preserve"> </v>
      </c>
      <c r="B254" s="332" t="s">
        <v>34</v>
      </c>
      <c r="C254" s="360" t="s">
        <v>469</v>
      </c>
      <c r="D254" s="367"/>
      <c r="E254" s="322">
        <v>3</v>
      </c>
      <c r="F254" s="930">
        <v>0</v>
      </c>
      <c r="G254" s="369">
        <v>0</v>
      </c>
      <c r="H254" s="369">
        <v>0</v>
      </c>
      <c r="I254" s="369">
        <v>0</v>
      </c>
      <c r="J254" s="369">
        <v>0</v>
      </c>
      <c r="K254" s="931">
        <v>0</v>
      </c>
      <c r="L254" s="929" t="s">
        <v>239</v>
      </c>
      <c r="M254" s="379" t="s">
        <v>239</v>
      </c>
      <c r="N254" s="367" t="s">
        <v>239</v>
      </c>
      <c r="O254" s="325" t="s">
        <v>239</v>
      </c>
      <c r="P254" s="387" t="s">
        <v>239</v>
      </c>
      <c r="Q254" s="325" t="s">
        <v>239</v>
      </c>
      <c r="R254" s="367" t="s">
        <v>239</v>
      </c>
      <c r="S254" s="380" t="s">
        <v>239</v>
      </c>
      <c r="T254" s="326" t="s">
        <v>240</v>
      </c>
      <c r="U254" s="387">
        <v>240</v>
      </c>
      <c r="V254" s="387">
        <v>2450</v>
      </c>
      <c r="W254" s="387">
        <v>500</v>
      </c>
      <c r="X254" s="387">
        <v>6000</v>
      </c>
      <c r="Y254" s="387">
        <v>125</v>
      </c>
      <c r="Z254" s="387">
        <v>125</v>
      </c>
      <c r="AA254" s="387">
        <v>500</v>
      </c>
      <c r="AB254" s="393">
        <v>7</v>
      </c>
      <c r="AC254" s="34">
        <v>0</v>
      </c>
      <c r="AD254" s="34">
        <v>1</v>
      </c>
      <c r="AE254" s="34">
        <v>1</v>
      </c>
      <c r="AF254" s="34">
        <v>1</v>
      </c>
      <c r="AG254" s="34">
        <v>1</v>
      </c>
      <c r="AH254" s="34">
        <v>1</v>
      </c>
      <c r="AI254" s="34">
        <v>1</v>
      </c>
      <c r="AJ254" s="34">
        <v>1</v>
      </c>
    </row>
    <row r="255" spans="1:36" x14ac:dyDescent="0.25">
      <c r="B255" s="298"/>
      <c r="C255" s="312"/>
      <c r="D255" s="298"/>
      <c r="E255" s="311"/>
      <c r="U255" s="310"/>
      <c r="V255" s="310"/>
      <c r="W255" s="310"/>
      <c r="X255" s="310"/>
      <c r="Y255" s="310"/>
      <c r="Z255" s="310"/>
      <c r="AA255" s="310"/>
    </row>
    <row r="256" spans="1:36" x14ac:dyDescent="0.25">
      <c r="B256" s="298"/>
      <c r="C256" s="298"/>
      <c r="D256" s="298"/>
      <c r="E256" s="311"/>
      <c r="U256" s="310"/>
      <c r="V256" s="310"/>
      <c r="W256" s="310"/>
      <c r="X256" s="310"/>
      <c r="Y256" s="310"/>
      <c r="Z256" s="310"/>
      <c r="AA256" s="310"/>
    </row>
    <row r="257" spans="2:5" x14ac:dyDescent="0.25">
      <c r="B257" s="298"/>
      <c r="C257" s="298"/>
      <c r="D257" s="298"/>
      <c r="E257" s="311"/>
    </row>
    <row r="258" spans="2:5" x14ac:dyDescent="0.25">
      <c r="B258" s="298"/>
      <c r="C258" s="298"/>
      <c r="D258" s="298"/>
      <c r="E258" s="31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0C6C-6ABA-49FA-821F-F6B410FE3544}">
  <dimension ref="B1:AJ118"/>
  <sheetViews>
    <sheetView workbookViewId="0">
      <selection activeCell="L34" sqref="L34"/>
    </sheetView>
  </sheetViews>
  <sheetFormatPr defaultRowHeight="15" x14ac:dyDescent="0.25"/>
  <cols>
    <col min="2" max="2" customWidth="true" width="20.5703125"/>
    <col min="3" max="3" customWidth="true" width="16.85546875"/>
    <col min="4" max="4" customWidth="true" width="11.28515625"/>
    <col min="5" max="5" customWidth="true" width="13.28515625"/>
    <col min="6" max="6" customWidth="true" width="13.85546875"/>
    <col min="7" max="7" customWidth="true" width="12.42578125"/>
    <col min="8" max="8" customWidth="true" width="13.42578125"/>
    <col min="9" max="9" customWidth="true" width="10.42578125"/>
    <col min="10" max="10" customWidth="true" width="11.42578125"/>
    <col min="11" max="11" customWidth="true" width="13.7109375"/>
    <col min="12" max="12" customWidth="true" width="13.5703125"/>
    <col min="15" max="15" customWidth="true" width="10.42578125"/>
    <col min="22" max="22" bestFit="true" customWidth="true" width="9.5703125"/>
  </cols>
  <sheetData>
    <row r="1" spans="2:11" x14ac:dyDescent="0.25">
      <c r="H1" s="1185">
        <v>0</v>
      </c>
      <c r="I1" s="1186"/>
      <c r="J1" s="1187">
        <v>0.01</v>
      </c>
      <c r="K1" t="s">
        <v>1284</v>
      </c>
    </row>
    <row r="2" spans="2:11" x14ac:dyDescent="0.25">
      <c r="H2" s="1185">
        <v>-0.06</v>
      </c>
      <c r="I2" s="1186"/>
      <c r="J2" s="1187">
        <v>-0.04</v>
      </c>
      <c r="K2" t="s">
        <v>1285</v>
      </c>
    </row>
    <row r="3" spans="2:11" x14ac:dyDescent="0.25">
      <c r="B3" s="404"/>
      <c r="C3" s="43"/>
      <c r="D3" s="43"/>
      <c r="E3" s="473">
        <f>IF(OR('Rekenblad (4)'!E362=1,'Rekenblad (4)'!F362=1),1,0)</f>
        <v>1</v>
      </c>
      <c r="F3" s="38">
        <f>IF(E3=1,0,1)</f>
        <v>0</v>
      </c>
    </row>
    <row r="4" spans="2:11" x14ac:dyDescent="0.25">
      <c r="B4" s="41"/>
      <c r="C4" s="1317" t="s">
        <v>863</v>
      </c>
      <c r="D4" s="1318"/>
      <c r="E4" s="399" t="s">
        <v>864</v>
      </c>
      <c r="F4" s="399" t="s">
        <v>865</v>
      </c>
      <c r="H4" s="417" t="s">
        <v>144</v>
      </c>
      <c r="I4" s="399" t="s">
        <v>866</v>
      </c>
      <c r="J4" s="399" t="s">
        <v>867</v>
      </c>
    </row>
    <row r="5" spans="2:11" x14ac:dyDescent="0.25">
      <c r="B5" s="52"/>
      <c r="C5" s="1319" t="s">
        <v>868</v>
      </c>
      <c r="D5" s="1320"/>
      <c r="E5" s="120" t="s">
        <v>721</v>
      </c>
      <c r="F5" s="120" t="s">
        <v>721</v>
      </c>
      <c r="H5" s="227" t="s">
        <v>864</v>
      </c>
      <c r="I5" s="804" t="s">
        <v>869</v>
      </c>
      <c r="J5" s="120" t="s">
        <v>870</v>
      </c>
    </row>
    <row r="6" spans="2:11" x14ac:dyDescent="0.25">
      <c r="B6" s="442" t="str">
        <f t="shared" ref="B6:B65" si="0">IF(AND($B$73&gt;C6,$B$73&lt;=D6),1,"")</f>
        <v/>
      </c>
      <c r="C6" s="417">
        <v>1</v>
      </c>
      <c r="D6" s="406">
        <v>25</v>
      </c>
      <c r="E6" s="805">
        <f>I6+H6</f>
        <v>0.74</v>
      </c>
      <c r="F6" s="806">
        <f>J6+I6</f>
        <v>0.75</v>
      </c>
      <c r="H6" s="807">
        <v>-0.06</v>
      </c>
      <c r="I6" s="1190">
        <v>0.8</v>
      </c>
      <c r="J6" s="807">
        <v>-0.05</v>
      </c>
    </row>
    <row r="7" spans="2:11" x14ac:dyDescent="0.25">
      <c r="B7" s="12" t="str">
        <f t="shared" si="0"/>
        <v/>
      </c>
      <c r="C7" s="227">
        <v>25</v>
      </c>
      <c r="D7" s="78">
        <v>50</v>
      </c>
      <c r="E7" s="808">
        <f t="shared" ref="E7:F38" si="1">I7+H7</f>
        <v>0.34</v>
      </c>
      <c r="F7" s="809">
        <f t="shared" si="1"/>
        <v>0.35000000000000003</v>
      </c>
      <c r="H7" s="807">
        <v>-0.06</v>
      </c>
      <c r="I7" s="1191">
        <v>0.4</v>
      </c>
      <c r="J7" s="807">
        <v>-0.05</v>
      </c>
    </row>
    <row r="8" spans="2:11" x14ac:dyDescent="0.25">
      <c r="B8" s="12" t="str">
        <f t="shared" si="0"/>
        <v/>
      </c>
      <c r="C8" s="227">
        <v>50</v>
      </c>
      <c r="D8" s="78">
        <v>55</v>
      </c>
      <c r="E8" s="808">
        <f t="shared" si="1"/>
        <v>0.31</v>
      </c>
      <c r="F8" s="809">
        <f t="shared" si="1"/>
        <v>0.32</v>
      </c>
      <c r="H8" s="807">
        <v>-0.06</v>
      </c>
      <c r="I8" s="1191">
        <v>0.37</v>
      </c>
      <c r="J8" s="807">
        <v>-0.05</v>
      </c>
    </row>
    <row r="9" spans="2:11" x14ac:dyDescent="0.25">
      <c r="B9" s="12" t="str">
        <f t="shared" si="0"/>
        <v/>
      </c>
      <c r="C9" s="227">
        <v>55</v>
      </c>
      <c r="D9" s="78">
        <v>60</v>
      </c>
      <c r="E9" s="808">
        <f t="shared" si="1"/>
        <v>0.28999999999999998</v>
      </c>
      <c r="F9" s="809">
        <f t="shared" si="1"/>
        <v>0.3</v>
      </c>
      <c r="H9" s="807">
        <v>-0.06</v>
      </c>
      <c r="I9" s="1191">
        <v>0.35</v>
      </c>
      <c r="J9" s="807">
        <v>-0.05</v>
      </c>
    </row>
    <row r="10" spans="2:11" x14ac:dyDescent="0.25">
      <c r="B10" s="12" t="str">
        <f t="shared" si="0"/>
        <v/>
      </c>
      <c r="C10" s="227">
        <v>60</v>
      </c>
      <c r="D10" s="78">
        <v>65</v>
      </c>
      <c r="E10" s="808">
        <f t="shared" si="1"/>
        <v>0.22999999999999998</v>
      </c>
      <c r="F10" s="809">
        <f t="shared" si="1"/>
        <v>0.24</v>
      </c>
      <c r="H10" s="807">
        <v>-0.06</v>
      </c>
      <c r="I10" s="1191">
        <v>0.28999999999999998</v>
      </c>
      <c r="J10" s="807">
        <v>-0.05</v>
      </c>
    </row>
    <row r="11" spans="2:11" x14ac:dyDescent="0.25">
      <c r="B11" s="12" t="str">
        <f t="shared" si="0"/>
        <v/>
      </c>
      <c r="C11" s="227">
        <v>65</v>
      </c>
      <c r="D11" s="78">
        <v>70</v>
      </c>
      <c r="E11" s="808">
        <f t="shared" si="1"/>
        <v>0.22000000000000003</v>
      </c>
      <c r="F11" s="809">
        <f t="shared" si="1"/>
        <v>0.23000000000000004</v>
      </c>
      <c r="H11" s="807">
        <v>-0.06</v>
      </c>
      <c r="I11" s="1191">
        <v>0.28000000000000003</v>
      </c>
      <c r="J11" s="807">
        <v>-0.05</v>
      </c>
    </row>
    <row r="12" spans="2:11" x14ac:dyDescent="0.25">
      <c r="B12" s="12" t="str">
        <f t="shared" si="0"/>
        <v/>
      </c>
      <c r="C12" s="227">
        <v>70</v>
      </c>
      <c r="D12" s="78">
        <v>75</v>
      </c>
      <c r="E12" s="808">
        <f t="shared" si="1"/>
        <v>0.21000000000000002</v>
      </c>
      <c r="F12" s="809">
        <f t="shared" si="1"/>
        <v>0.22000000000000003</v>
      </c>
      <c r="H12" s="807">
        <v>-0.06</v>
      </c>
      <c r="I12" s="1191">
        <v>0.27</v>
      </c>
      <c r="J12" s="807">
        <v>-0.05</v>
      </c>
    </row>
    <row r="13" spans="2:11" x14ac:dyDescent="0.25">
      <c r="B13" s="12" t="str">
        <f t="shared" si="0"/>
        <v/>
      </c>
      <c r="C13" s="227">
        <v>75</v>
      </c>
      <c r="D13" s="78">
        <v>80</v>
      </c>
      <c r="E13" s="808">
        <f t="shared" si="1"/>
        <v>0.2</v>
      </c>
      <c r="F13" s="809">
        <f t="shared" si="1"/>
        <v>0.21000000000000002</v>
      </c>
      <c r="H13" s="807">
        <v>-0.06</v>
      </c>
      <c r="I13" s="1191">
        <v>0.26</v>
      </c>
      <c r="J13" s="807">
        <v>-0.05</v>
      </c>
    </row>
    <row r="14" spans="2:11" x14ac:dyDescent="0.25">
      <c r="B14" s="12" t="str">
        <f t="shared" si="0"/>
        <v/>
      </c>
      <c r="C14" s="227">
        <v>80</v>
      </c>
      <c r="D14" s="78">
        <v>85</v>
      </c>
      <c r="E14" s="808">
        <f t="shared" si="1"/>
        <v>0.19</v>
      </c>
      <c r="F14" s="809">
        <f t="shared" si="1"/>
        <v>0.2</v>
      </c>
      <c r="H14" s="807">
        <v>-0.06</v>
      </c>
      <c r="I14" s="1191">
        <v>0.25</v>
      </c>
      <c r="J14" s="807">
        <v>-0.05</v>
      </c>
    </row>
    <row r="15" spans="2:11" x14ac:dyDescent="0.25">
      <c r="B15" s="12" t="str">
        <f t="shared" si="0"/>
        <v/>
      </c>
      <c r="C15" s="227">
        <v>85</v>
      </c>
      <c r="D15" s="78">
        <v>90</v>
      </c>
      <c r="E15" s="808">
        <f t="shared" si="1"/>
        <v>0.18</v>
      </c>
      <c r="F15" s="809">
        <f t="shared" si="1"/>
        <v>0.19</v>
      </c>
      <c r="H15" s="807">
        <v>-0.06</v>
      </c>
      <c r="I15" s="1191">
        <v>0.24</v>
      </c>
      <c r="J15" s="807">
        <v>-0.05</v>
      </c>
    </row>
    <row r="16" spans="2:11" x14ac:dyDescent="0.25">
      <c r="B16" s="12" t="str">
        <f t="shared" si="0"/>
        <v/>
      </c>
      <c r="C16" s="227">
        <v>90</v>
      </c>
      <c r="D16" s="78">
        <v>95</v>
      </c>
      <c r="E16" s="808">
        <f t="shared" si="1"/>
        <v>0.17</v>
      </c>
      <c r="F16" s="809">
        <f t="shared" si="1"/>
        <v>0.18</v>
      </c>
      <c r="H16" s="807">
        <v>-0.06</v>
      </c>
      <c r="I16" s="1191">
        <v>0.23</v>
      </c>
      <c r="J16" s="807">
        <v>-0.05</v>
      </c>
    </row>
    <row r="17" spans="2:10" x14ac:dyDescent="0.25">
      <c r="B17" s="12" t="str">
        <f t="shared" si="0"/>
        <v/>
      </c>
      <c r="C17" s="26">
        <v>95</v>
      </c>
      <c r="D17" s="2">
        <v>100</v>
      </c>
      <c r="E17" s="808">
        <f t="shared" si="1"/>
        <v>0.16</v>
      </c>
      <c r="F17" s="809">
        <f t="shared" si="1"/>
        <v>0.16999999999999998</v>
      </c>
      <c r="H17" s="807">
        <v>-0.06</v>
      </c>
      <c r="I17" s="1191">
        <v>0.22</v>
      </c>
      <c r="J17" s="807">
        <v>-0.05</v>
      </c>
    </row>
    <row r="18" spans="2:10" x14ac:dyDescent="0.25">
      <c r="B18" s="12" t="str">
        <f t="shared" si="0"/>
        <v/>
      </c>
      <c r="C18" s="26">
        <v>100</v>
      </c>
      <c r="D18" s="2">
        <v>105</v>
      </c>
      <c r="E18" s="808">
        <f t="shared" si="1"/>
        <v>0.15</v>
      </c>
      <c r="F18" s="809">
        <f t="shared" si="1"/>
        <v>0.15999999999999998</v>
      </c>
      <c r="H18" s="807">
        <v>-0.06</v>
      </c>
      <c r="I18" s="1191">
        <v>0.21</v>
      </c>
      <c r="J18" s="807">
        <v>-0.05</v>
      </c>
    </row>
    <row r="19" spans="2:10" x14ac:dyDescent="0.25">
      <c r="B19" s="12" t="str">
        <f t="shared" si="0"/>
        <v/>
      </c>
      <c r="C19" s="26">
        <v>105</v>
      </c>
      <c r="D19" s="2">
        <v>110</v>
      </c>
      <c r="E19" s="808">
        <f t="shared" si="1"/>
        <v>0.14499999999999999</v>
      </c>
      <c r="F19" s="809">
        <f t="shared" si="1"/>
        <v>0.15499999999999997</v>
      </c>
      <c r="H19" s="807">
        <v>-0.06</v>
      </c>
      <c r="I19" s="1191">
        <v>0.20499999999999999</v>
      </c>
      <c r="J19" s="807">
        <v>-0.05</v>
      </c>
    </row>
    <row r="20" spans="2:10" x14ac:dyDescent="0.25">
      <c r="B20" s="12" t="str">
        <f t="shared" si="0"/>
        <v/>
      </c>
      <c r="C20" s="26">
        <v>110</v>
      </c>
      <c r="D20" s="2">
        <v>115</v>
      </c>
      <c r="E20" s="808">
        <f t="shared" si="1"/>
        <v>0.14000000000000001</v>
      </c>
      <c r="F20" s="809">
        <f t="shared" si="1"/>
        <v>0.15000000000000002</v>
      </c>
      <c r="H20" s="807">
        <v>-0.06</v>
      </c>
      <c r="I20" s="1191">
        <v>0.2</v>
      </c>
      <c r="J20" s="807">
        <v>-0.05</v>
      </c>
    </row>
    <row r="21" spans="2:10" x14ac:dyDescent="0.25">
      <c r="B21" s="12" t="str">
        <f t="shared" si="0"/>
        <v/>
      </c>
      <c r="C21" s="26">
        <v>115</v>
      </c>
      <c r="D21" s="2">
        <v>120</v>
      </c>
      <c r="E21" s="808">
        <f t="shared" si="1"/>
        <v>0.13500000000000001</v>
      </c>
      <c r="F21" s="809">
        <f t="shared" si="1"/>
        <v>0.14500000000000002</v>
      </c>
      <c r="H21" s="807">
        <v>-0.06</v>
      </c>
      <c r="I21" s="1191">
        <v>0.19500000000000001</v>
      </c>
      <c r="J21" s="807">
        <v>-0.05</v>
      </c>
    </row>
    <row r="22" spans="2:10" x14ac:dyDescent="0.25">
      <c r="B22" s="12" t="str">
        <f t="shared" si="0"/>
        <v/>
      </c>
      <c r="C22" s="26">
        <v>120</v>
      </c>
      <c r="D22" s="2">
        <v>130</v>
      </c>
      <c r="E22" s="808">
        <f t="shared" si="1"/>
        <v>0.13</v>
      </c>
      <c r="F22" s="809">
        <f t="shared" si="1"/>
        <v>0.14000000000000001</v>
      </c>
      <c r="H22" s="807">
        <v>-0.06</v>
      </c>
      <c r="I22" s="1191">
        <v>0.19</v>
      </c>
      <c r="J22" s="807">
        <v>-0.05</v>
      </c>
    </row>
    <row r="23" spans="2:10" x14ac:dyDescent="0.25">
      <c r="B23" s="12" t="str">
        <f t="shared" si="0"/>
        <v/>
      </c>
      <c r="C23" s="26">
        <v>130</v>
      </c>
      <c r="D23" s="2">
        <v>140</v>
      </c>
      <c r="E23" s="808">
        <f t="shared" si="1"/>
        <v>0.125</v>
      </c>
      <c r="F23" s="809">
        <f t="shared" si="1"/>
        <v>0.13500000000000001</v>
      </c>
      <c r="H23" s="807">
        <v>-0.06</v>
      </c>
      <c r="I23" s="1191">
        <v>0.185</v>
      </c>
      <c r="J23" s="807">
        <v>-0.05</v>
      </c>
    </row>
    <row r="24" spans="2:10" x14ac:dyDescent="0.25">
      <c r="B24" s="12" t="str">
        <f t="shared" si="0"/>
        <v/>
      </c>
      <c r="C24" s="26">
        <v>140</v>
      </c>
      <c r="D24" s="2">
        <v>150</v>
      </c>
      <c r="E24" s="808">
        <f t="shared" si="1"/>
        <v>0.12</v>
      </c>
      <c r="F24" s="809">
        <f t="shared" si="1"/>
        <v>0.13</v>
      </c>
      <c r="H24" s="807">
        <v>-0.06</v>
      </c>
      <c r="I24" s="1191">
        <v>0.18</v>
      </c>
      <c r="J24" s="807">
        <v>-0.05</v>
      </c>
    </row>
    <row r="25" spans="2:10" x14ac:dyDescent="0.25">
      <c r="B25" s="12" t="str">
        <f t="shared" si="0"/>
        <v/>
      </c>
      <c r="C25" s="26">
        <v>150</v>
      </c>
      <c r="D25" s="2">
        <v>160</v>
      </c>
      <c r="E25" s="808">
        <f t="shared" si="1"/>
        <v>0.11499999999999999</v>
      </c>
      <c r="F25" s="809">
        <f t="shared" si="1"/>
        <v>0.12499999999999999</v>
      </c>
      <c r="H25" s="807">
        <v>-0.06</v>
      </c>
      <c r="I25" s="1191">
        <v>0.17499999999999999</v>
      </c>
      <c r="J25" s="807">
        <v>-0.05</v>
      </c>
    </row>
    <row r="26" spans="2:10" x14ac:dyDescent="0.25">
      <c r="B26" s="12" t="str">
        <f t="shared" si="0"/>
        <v/>
      </c>
      <c r="C26" s="26">
        <v>160</v>
      </c>
      <c r="D26" s="2">
        <v>170</v>
      </c>
      <c r="E26" s="808">
        <f t="shared" si="1"/>
        <v>0.11000000000000001</v>
      </c>
      <c r="F26" s="809">
        <f t="shared" si="1"/>
        <v>0.12000000000000001</v>
      </c>
      <c r="H26" s="807">
        <v>-0.06</v>
      </c>
      <c r="I26" s="1191">
        <v>0.17</v>
      </c>
      <c r="J26" s="807">
        <v>-0.05</v>
      </c>
    </row>
    <row r="27" spans="2:10" x14ac:dyDescent="0.25">
      <c r="B27" s="12" t="str">
        <f t="shared" si="0"/>
        <v/>
      </c>
      <c r="C27" s="26">
        <v>170</v>
      </c>
      <c r="D27" s="2">
        <v>180</v>
      </c>
      <c r="E27" s="808">
        <f t="shared" si="1"/>
        <v>0.10500000000000001</v>
      </c>
      <c r="F27" s="809">
        <f t="shared" si="1"/>
        <v>0.115</v>
      </c>
      <c r="H27" s="807">
        <v>-0.06</v>
      </c>
      <c r="I27" s="1191">
        <v>0.16500000000000001</v>
      </c>
      <c r="J27" s="807">
        <v>-0.05</v>
      </c>
    </row>
    <row r="28" spans="2:10" x14ac:dyDescent="0.25">
      <c r="B28" s="12" t="str">
        <f t="shared" si="0"/>
        <v/>
      </c>
      <c r="C28" s="26">
        <v>180</v>
      </c>
      <c r="D28" s="2">
        <v>190</v>
      </c>
      <c r="E28" s="808">
        <f t="shared" si="1"/>
        <v>0.1</v>
      </c>
      <c r="F28" s="809">
        <f t="shared" si="1"/>
        <v>0.11</v>
      </c>
      <c r="H28" s="807">
        <v>-0.06</v>
      </c>
      <c r="I28" s="1191">
        <v>0.16</v>
      </c>
      <c r="J28" s="807">
        <v>-0.05</v>
      </c>
    </row>
    <row r="29" spans="2:10" x14ac:dyDescent="0.25">
      <c r="B29" s="12">
        <f t="shared" si="0"/>
        <v>1</v>
      </c>
      <c r="C29" s="26">
        <v>190</v>
      </c>
      <c r="D29" s="2">
        <v>200</v>
      </c>
      <c r="E29" s="808">
        <f t="shared" si="1"/>
        <v>9.5000000000000001E-2</v>
      </c>
      <c r="F29" s="809">
        <f t="shared" si="1"/>
        <v>0.105</v>
      </c>
      <c r="H29" s="807">
        <v>-0.06</v>
      </c>
      <c r="I29" s="1191">
        <v>0.155</v>
      </c>
      <c r="J29" s="807">
        <v>-0.05</v>
      </c>
    </row>
    <row r="30" spans="2:10" x14ac:dyDescent="0.25">
      <c r="B30" s="12" t="str">
        <f t="shared" si="0"/>
        <v/>
      </c>
      <c r="C30" s="26">
        <v>200</v>
      </c>
      <c r="D30" s="2">
        <v>220</v>
      </c>
      <c r="E30" s="808">
        <f t="shared" si="1"/>
        <v>0.09</v>
      </c>
      <c r="F30" s="809">
        <f t="shared" si="1"/>
        <v>9.9999999999999992E-2</v>
      </c>
      <c r="H30" s="807">
        <v>-0.06</v>
      </c>
      <c r="I30" s="1190">
        <v>0.15</v>
      </c>
      <c r="J30" s="807">
        <v>-0.05</v>
      </c>
    </row>
    <row r="31" spans="2:10" x14ac:dyDescent="0.25">
      <c r="B31" s="12" t="str">
        <f t="shared" si="0"/>
        <v/>
      </c>
      <c r="C31" s="26">
        <v>220</v>
      </c>
      <c r="D31" s="2">
        <v>240</v>
      </c>
      <c r="E31" s="808">
        <f t="shared" si="1"/>
        <v>8.4999999999999992E-2</v>
      </c>
      <c r="F31" s="809">
        <f t="shared" si="1"/>
        <v>9.4999999999999987E-2</v>
      </c>
      <c r="H31" s="807">
        <v>-0.06</v>
      </c>
      <c r="I31" s="1191">
        <v>0.14499999999999999</v>
      </c>
      <c r="J31" s="807">
        <v>-0.05</v>
      </c>
    </row>
    <row r="32" spans="2:10" x14ac:dyDescent="0.25">
      <c r="B32" s="12" t="str">
        <f t="shared" si="0"/>
        <v/>
      </c>
      <c r="C32" s="26">
        <v>240</v>
      </c>
      <c r="D32" s="2">
        <v>260</v>
      </c>
      <c r="E32" s="808">
        <f t="shared" si="1"/>
        <v>8.0000000000000016E-2</v>
      </c>
      <c r="F32" s="809">
        <f t="shared" si="1"/>
        <v>9.0000000000000011E-2</v>
      </c>
      <c r="H32" s="807">
        <v>-0.06</v>
      </c>
      <c r="I32" s="1191">
        <v>0.14000000000000001</v>
      </c>
      <c r="J32" s="807">
        <v>-0.05</v>
      </c>
    </row>
    <row r="33" spans="2:10" x14ac:dyDescent="0.25">
      <c r="B33" s="12" t="str">
        <f t="shared" si="0"/>
        <v/>
      </c>
      <c r="C33" s="26">
        <v>260</v>
      </c>
      <c r="D33" s="2">
        <v>280</v>
      </c>
      <c r="E33" s="808">
        <f t="shared" si="1"/>
        <v>7.5000000000000011E-2</v>
      </c>
      <c r="F33" s="809">
        <f t="shared" si="1"/>
        <v>8.5000000000000006E-2</v>
      </c>
      <c r="H33" s="807">
        <v>-0.06</v>
      </c>
      <c r="I33" s="1191">
        <v>0.13500000000000001</v>
      </c>
      <c r="J33" s="807">
        <v>-0.05</v>
      </c>
    </row>
    <row r="34" spans="2:10" x14ac:dyDescent="0.25">
      <c r="B34" s="12" t="str">
        <f t="shared" si="0"/>
        <v/>
      </c>
      <c r="C34" s="26">
        <v>280</v>
      </c>
      <c r="D34" s="2">
        <v>300</v>
      </c>
      <c r="E34" s="808">
        <f t="shared" si="1"/>
        <v>7.0000000000000007E-2</v>
      </c>
      <c r="F34" s="809">
        <f t="shared" si="1"/>
        <v>0.08</v>
      </c>
      <c r="H34" s="807">
        <v>-0.06</v>
      </c>
      <c r="I34" s="1191">
        <v>0.13</v>
      </c>
      <c r="J34" s="807">
        <v>-0.05</v>
      </c>
    </row>
    <row r="35" spans="2:10" x14ac:dyDescent="0.25">
      <c r="B35" s="12" t="str">
        <f t="shared" si="0"/>
        <v/>
      </c>
      <c r="C35" s="26">
        <v>300</v>
      </c>
      <c r="D35" s="2">
        <v>325</v>
      </c>
      <c r="E35" s="808">
        <f t="shared" si="1"/>
        <v>6.9500000000000006E-2</v>
      </c>
      <c r="F35" s="809">
        <f t="shared" si="1"/>
        <v>7.9500000000000001E-2</v>
      </c>
      <c r="H35" s="807">
        <v>-0.06</v>
      </c>
      <c r="I35" s="1191">
        <v>0.1295</v>
      </c>
      <c r="J35" s="807">
        <v>-0.05</v>
      </c>
    </row>
    <row r="36" spans="2:10" x14ac:dyDescent="0.25">
      <c r="B36" s="12" t="str">
        <f t="shared" si="0"/>
        <v/>
      </c>
      <c r="C36" s="26">
        <v>325</v>
      </c>
      <c r="D36" s="2">
        <v>350</v>
      </c>
      <c r="E36" s="808">
        <f t="shared" si="1"/>
        <v>6.9000000000000006E-2</v>
      </c>
      <c r="F36" s="809">
        <f t="shared" si="1"/>
        <v>7.9000000000000001E-2</v>
      </c>
      <c r="H36" s="807">
        <v>-0.06</v>
      </c>
      <c r="I36" s="1191">
        <v>0.129</v>
      </c>
      <c r="J36" s="807">
        <v>-0.05</v>
      </c>
    </row>
    <row r="37" spans="2:10" x14ac:dyDescent="0.25">
      <c r="B37" s="12" t="str">
        <f t="shared" si="0"/>
        <v/>
      </c>
      <c r="C37" s="26">
        <v>350</v>
      </c>
      <c r="D37" s="2">
        <v>400</v>
      </c>
      <c r="E37" s="808">
        <f t="shared" si="1"/>
        <v>6.8500000000000005E-2</v>
      </c>
      <c r="F37" s="809">
        <f t="shared" si="1"/>
        <v>7.85E-2</v>
      </c>
      <c r="H37" s="807">
        <v>-0.06</v>
      </c>
      <c r="I37" s="1191">
        <v>0.1285</v>
      </c>
      <c r="J37" s="807">
        <v>-0.05</v>
      </c>
    </row>
    <row r="38" spans="2:10" x14ac:dyDescent="0.25">
      <c r="B38" s="12" t="str">
        <f t="shared" si="0"/>
        <v/>
      </c>
      <c r="C38" s="26">
        <v>400</v>
      </c>
      <c r="D38" s="2">
        <v>450</v>
      </c>
      <c r="E38" s="808">
        <f t="shared" si="1"/>
        <v>6.8000000000000005E-2</v>
      </c>
      <c r="F38" s="809">
        <f t="shared" si="1"/>
        <v>7.8E-2</v>
      </c>
      <c r="H38" s="807">
        <v>-0.06</v>
      </c>
      <c r="I38" s="1192">
        <v>0.128</v>
      </c>
      <c r="J38" s="807">
        <v>-0.05</v>
      </c>
    </row>
    <row r="39" spans="2:10" x14ac:dyDescent="0.25">
      <c r="B39" s="12" t="str">
        <f t="shared" si="0"/>
        <v/>
      </c>
      <c r="C39" s="26">
        <v>450</v>
      </c>
      <c r="D39" s="2">
        <v>500</v>
      </c>
      <c r="E39" s="808">
        <f t="shared" ref="E39:F65" si="2">I39+H39</f>
        <v>6.7500000000000004E-2</v>
      </c>
      <c r="F39" s="809">
        <f t="shared" si="2"/>
        <v>7.7499999999999999E-2</v>
      </c>
      <c r="H39" s="807">
        <v>-0.06</v>
      </c>
      <c r="I39" s="1191">
        <v>0.1275</v>
      </c>
      <c r="J39" s="807">
        <v>-0.05</v>
      </c>
    </row>
    <row r="40" spans="2:10" x14ac:dyDescent="0.25">
      <c r="B40" s="12" t="str">
        <f t="shared" si="0"/>
        <v/>
      </c>
      <c r="C40" s="26">
        <v>500</v>
      </c>
      <c r="D40" s="2">
        <v>550</v>
      </c>
      <c r="E40" s="808">
        <f t="shared" si="2"/>
        <v>6.7000000000000004E-2</v>
      </c>
      <c r="F40" s="809">
        <f t="shared" si="2"/>
        <v>7.6999999999999999E-2</v>
      </c>
      <c r="H40" s="807">
        <v>-0.06</v>
      </c>
      <c r="I40" s="1191">
        <v>0.127</v>
      </c>
      <c r="J40" s="807">
        <v>-0.05</v>
      </c>
    </row>
    <row r="41" spans="2:10" x14ac:dyDescent="0.25">
      <c r="B41" s="12" t="str">
        <f t="shared" si="0"/>
        <v/>
      </c>
      <c r="C41" s="26">
        <v>550</v>
      </c>
      <c r="D41" s="2">
        <v>600</v>
      </c>
      <c r="E41" s="808">
        <f t="shared" si="2"/>
        <v>6.6500000000000004E-2</v>
      </c>
      <c r="F41" s="809">
        <f t="shared" si="2"/>
        <v>7.6499999999999999E-2</v>
      </c>
      <c r="H41" s="807">
        <v>-0.06</v>
      </c>
      <c r="I41" s="1191">
        <v>0.1265</v>
      </c>
      <c r="J41" s="807">
        <v>-0.05</v>
      </c>
    </row>
    <row r="42" spans="2:10" x14ac:dyDescent="0.25">
      <c r="B42" s="12" t="str">
        <f t="shared" si="0"/>
        <v/>
      </c>
      <c r="C42" s="26">
        <v>600</v>
      </c>
      <c r="D42" s="2">
        <v>650</v>
      </c>
      <c r="E42" s="808">
        <f t="shared" si="2"/>
        <v>6.6000000000000003E-2</v>
      </c>
      <c r="F42" s="809">
        <f t="shared" si="2"/>
        <v>7.5999999999999998E-2</v>
      </c>
      <c r="H42" s="807">
        <v>-0.06</v>
      </c>
      <c r="I42" s="1191">
        <v>0.126</v>
      </c>
      <c r="J42" s="807">
        <v>-0.05</v>
      </c>
    </row>
    <row r="43" spans="2:10" x14ac:dyDescent="0.25">
      <c r="B43" s="12" t="str">
        <f t="shared" si="0"/>
        <v/>
      </c>
      <c r="C43" s="26">
        <v>650</v>
      </c>
      <c r="D43" s="2">
        <v>700</v>
      </c>
      <c r="E43" s="808">
        <f t="shared" si="2"/>
        <v>6.5500000000000003E-2</v>
      </c>
      <c r="F43" s="809">
        <f t="shared" si="2"/>
        <v>7.5499999999999998E-2</v>
      </c>
      <c r="H43" s="807">
        <v>-0.06</v>
      </c>
      <c r="I43" s="1191">
        <v>0.1255</v>
      </c>
      <c r="J43" s="807">
        <v>-0.05</v>
      </c>
    </row>
    <row r="44" spans="2:10" x14ac:dyDescent="0.25">
      <c r="B44" s="12" t="str">
        <f t="shared" si="0"/>
        <v/>
      </c>
      <c r="C44" s="26">
        <v>700</v>
      </c>
      <c r="D44" s="2">
        <v>750</v>
      </c>
      <c r="E44" s="808">
        <f t="shared" si="2"/>
        <v>6.5000000000000002E-2</v>
      </c>
      <c r="F44" s="809">
        <f t="shared" si="2"/>
        <v>7.4999999999999997E-2</v>
      </c>
      <c r="H44" s="807">
        <v>-0.06</v>
      </c>
      <c r="I44" s="1191">
        <v>0.125</v>
      </c>
      <c r="J44" s="807">
        <v>-0.05</v>
      </c>
    </row>
    <row r="45" spans="2:10" x14ac:dyDescent="0.25">
      <c r="B45" s="12" t="str">
        <f t="shared" si="0"/>
        <v/>
      </c>
      <c r="C45" s="26">
        <v>750</v>
      </c>
      <c r="D45" s="2">
        <v>800</v>
      </c>
      <c r="E45" s="808">
        <f t="shared" si="2"/>
        <v>6.4500000000000002E-2</v>
      </c>
      <c r="F45" s="809">
        <f t="shared" si="2"/>
        <v>7.4499999999999997E-2</v>
      </c>
      <c r="H45" s="807">
        <v>-0.06</v>
      </c>
      <c r="I45" s="1191">
        <v>0.1245</v>
      </c>
      <c r="J45" s="807">
        <v>-0.05</v>
      </c>
    </row>
    <row r="46" spans="2:10" x14ac:dyDescent="0.25">
      <c r="B46" s="12" t="str">
        <f t="shared" si="0"/>
        <v/>
      </c>
      <c r="C46" s="26">
        <v>800</v>
      </c>
      <c r="D46" s="2">
        <v>850</v>
      </c>
      <c r="E46" s="808">
        <f t="shared" si="2"/>
        <v>6.3500000000000001E-2</v>
      </c>
      <c r="F46" s="809">
        <f t="shared" si="2"/>
        <v>7.3499999999999996E-2</v>
      </c>
      <c r="H46" s="807">
        <v>-0.06</v>
      </c>
      <c r="I46" s="1191">
        <v>0.1235</v>
      </c>
      <c r="J46" s="807">
        <v>-0.05</v>
      </c>
    </row>
    <row r="47" spans="2:10" x14ac:dyDescent="0.25">
      <c r="B47" s="12" t="str">
        <f t="shared" si="0"/>
        <v/>
      </c>
      <c r="C47" s="26">
        <v>850</v>
      </c>
      <c r="D47" s="2">
        <v>900</v>
      </c>
      <c r="E47" s="808">
        <f t="shared" si="2"/>
        <v>6.25E-2</v>
      </c>
      <c r="F47" s="809">
        <f t="shared" si="2"/>
        <v>7.2499999999999995E-2</v>
      </c>
      <c r="H47" s="807">
        <v>-0.06</v>
      </c>
      <c r="I47" s="1191">
        <v>0.1225</v>
      </c>
      <c r="J47" s="807">
        <v>-0.05</v>
      </c>
    </row>
    <row r="48" spans="2:10" x14ac:dyDescent="0.25">
      <c r="B48" s="12" t="str">
        <f t="shared" si="0"/>
        <v/>
      </c>
      <c r="C48" s="26">
        <v>900</v>
      </c>
      <c r="D48" s="2">
        <v>950</v>
      </c>
      <c r="E48" s="808">
        <f t="shared" si="2"/>
        <v>6.1700000000000005E-2</v>
      </c>
      <c r="F48" s="809">
        <f t="shared" si="2"/>
        <v>7.17E-2</v>
      </c>
      <c r="H48" s="807">
        <v>-0.06</v>
      </c>
      <c r="I48" s="1191">
        <v>0.1217</v>
      </c>
      <c r="J48" s="807">
        <v>-0.05</v>
      </c>
    </row>
    <row r="49" spans="2:10" x14ac:dyDescent="0.25">
      <c r="B49" s="12" t="str">
        <f t="shared" si="0"/>
        <v/>
      </c>
      <c r="C49" s="26">
        <v>950</v>
      </c>
      <c r="D49" s="2">
        <v>1000</v>
      </c>
      <c r="E49" s="808">
        <f t="shared" si="2"/>
        <v>6.0800000000000007E-2</v>
      </c>
      <c r="F49" s="809">
        <f t="shared" si="2"/>
        <v>7.0800000000000002E-2</v>
      </c>
      <c r="H49" s="807">
        <v>-0.06</v>
      </c>
      <c r="I49" s="1191">
        <v>0.1208</v>
      </c>
      <c r="J49" s="807">
        <v>-0.05</v>
      </c>
    </row>
    <row r="50" spans="2:10" x14ac:dyDescent="0.25">
      <c r="B50" s="12" t="str">
        <f t="shared" si="0"/>
        <v/>
      </c>
      <c r="C50" s="26">
        <v>1000</v>
      </c>
      <c r="D50" s="2">
        <v>1200</v>
      </c>
      <c r="E50" s="808">
        <f t="shared" si="2"/>
        <v>0.06</v>
      </c>
      <c r="F50" s="809">
        <f t="shared" si="2"/>
        <v>6.9999999999999993E-2</v>
      </c>
      <c r="H50" s="807">
        <v>-0.06</v>
      </c>
      <c r="I50" s="1190">
        <v>0.12</v>
      </c>
      <c r="J50" s="807">
        <v>-0.05</v>
      </c>
    </row>
    <row r="51" spans="2:10" x14ac:dyDescent="0.25">
      <c r="B51" s="12" t="str">
        <f t="shared" si="0"/>
        <v/>
      </c>
      <c r="C51" s="26">
        <v>1200</v>
      </c>
      <c r="D51" s="2">
        <v>1400</v>
      </c>
      <c r="E51" s="808">
        <f t="shared" si="2"/>
        <v>5.8900000000000008E-2</v>
      </c>
      <c r="F51" s="809">
        <f t="shared" si="2"/>
        <v>6.8900000000000003E-2</v>
      </c>
      <c r="H51" s="807">
        <v>-0.06</v>
      </c>
      <c r="I51" s="1191">
        <v>0.11890000000000001</v>
      </c>
      <c r="J51" s="807">
        <v>-0.05</v>
      </c>
    </row>
    <row r="52" spans="2:10" x14ac:dyDescent="0.25">
      <c r="B52" s="12" t="str">
        <f t="shared" si="0"/>
        <v/>
      </c>
      <c r="C52" s="26">
        <v>1400</v>
      </c>
      <c r="D52" s="2">
        <v>1600</v>
      </c>
      <c r="E52" s="808">
        <f t="shared" si="2"/>
        <v>5.7499999999999996E-2</v>
      </c>
      <c r="F52" s="809">
        <f t="shared" si="2"/>
        <v>6.7499999999999991E-2</v>
      </c>
      <c r="H52" s="807">
        <v>-0.06</v>
      </c>
      <c r="I52" s="1191">
        <v>0.11749999999999999</v>
      </c>
      <c r="J52" s="807">
        <v>-0.05</v>
      </c>
    </row>
    <row r="53" spans="2:10" x14ac:dyDescent="0.25">
      <c r="B53" s="12" t="str">
        <f t="shared" si="0"/>
        <v/>
      </c>
      <c r="C53" s="26">
        <v>1600</v>
      </c>
      <c r="D53" s="2">
        <v>1800</v>
      </c>
      <c r="E53" s="808">
        <f t="shared" si="2"/>
        <v>5.6400000000000006E-2</v>
      </c>
      <c r="F53" s="809">
        <f t="shared" si="2"/>
        <v>6.6400000000000001E-2</v>
      </c>
      <c r="H53" s="807">
        <v>-0.06</v>
      </c>
      <c r="I53" s="1191">
        <v>0.1164</v>
      </c>
      <c r="J53" s="807">
        <v>-0.05</v>
      </c>
    </row>
    <row r="54" spans="2:10" x14ac:dyDescent="0.25">
      <c r="B54" s="12" t="str">
        <f t="shared" si="0"/>
        <v/>
      </c>
      <c r="C54" s="26">
        <v>1800</v>
      </c>
      <c r="D54" s="2">
        <v>2000</v>
      </c>
      <c r="E54" s="808">
        <f t="shared" si="2"/>
        <v>5.5000000000000007E-2</v>
      </c>
      <c r="F54" s="809">
        <f t="shared" si="2"/>
        <v>6.5000000000000002E-2</v>
      </c>
      <c r="H54" s="807">
        <v>-0.06</v>
      </c>
      <c r="I54" s="1192">
        <v>0.115</v>
      </c>
      <c r="J54" s="807">
        <v>-0.05</v>
      </c>
    </row>
    <row r="55" spans="2:10" x14ac:dyDescent="0.25">
      <c r="B55" s="12" t="str">
        <f t="shared" si="0"/>
        <v/>
      </c>
      <c r="C55" s="26">
        <v>2000</v>
      </c>
      <c r="D55" s="2">
        <v>2250</v>
      </c>
      <c r="E55" s="808">
        <f t="shared" si="2"/>
        <v>5.3699999999999998E-2</v>
      </c>
      <c r="F55" s="809">
        <f t="shared" si="2"/>
        <v>6.3699999999999993E-2</v>
      </c>
      <c r="H55" s="807">
        <v>-0.06</v>
      </c>
      <c r="I55" s="1190">
        <v>0.1137</v>
      </c>
      <c r="J55" s="807">
        <v>-0.05</v>
      </c>
    </row>
    <row r="56" spans="2:10" x14ac:dyDescent="0.25">
      <c r="B56" s="12" t="str">
        <f t="shared" si="0"/>
        <v/>
      </c>
      <c r="C56" s="26">
        <v>2250</v>
      </c>
      <c r="D56" s="2">
        <v>2500</v>
      </c>
      <c r="E56" s="808">
        <f t="shared" si="2"/>
        <v>5.2500000000000005E-2</v>
      </c>
      <c r="F56" s="809">
        <f t="shared" si="2"/>
        <v>6.25E-2</v>
      </c>
      <c r="H56" s="807">
        <v>-0.06</v>
      </c>
      <c r="I56" s="1191">
        <v>0.1125</v>
      </c>
      <c r="J56" s="807">
        <v>-0.05</v>
      </c>
    </row>
    <row r="57" spans="2:10" x14ac:dyDescent="0.25">
      <c r="B57" s="12" t="str">
        <f t="shared" si="0"/>
        <v/>
      </c>
      <c r="C57" s="26">
        <v>2500</v>
      </c>
      <c r="D57" s="2">
        <v>2750</v>
      </c>
      <c r="E57" s="808">
        <f t="shared" si="2"/>
        <v>5.1299999999999998E-2</v>
      </c>
      <c r="F57" s="809">
        <f t="shared" si="2"/>
        <v>6.1299999999999993E-2</v>
      </c>
      <c r="H57" s="807">
        <v>-0.06</v>
      </c>
      <c r="I57" s="1191">
        <v>0.1113</v>
      </c>
      <c r="J57" s="807">
        <v>-0.05</v>
      </c>
    </row>
    <row r="58" spans="2:10" x14ac:dyDescent="0.25">
      <c r="B58" s="12" t="str">
        <f t="shared" si="0"/>
        <v/>
      </c>
      <c r="C58" s="26">
        <v>2750</v>
      </c>
      <c r="D58" s="2">
        <v>3000</v>
      </c>
      <c r="E58" s="808">
        <f t="shared" si="2"/>
        <v>0.05</v>
      </c>
      <c r="F58" s="809">
        <f t="shared" si="2"/>
        <v>0.06</v>
      </c>
      <c r="H58" s="807">
        <v>-0.06</v>
      </c>
      <c r="I58" s="1191">
        <v>0.11</v>
      </c>
      <c r="J58" s="807">
        <v>-0.05</v>
      </c>
    </row>
    <row r="59" spans="2:10" x14ac:dyDescent="0.25">
      <c r="B59" s="12" t="str">
        <f t="shared" si="0"/>
        <v/>
      </c>
      <c r="C59" s="26">
        <v>3000</v>
      </c>
      <c r="D59" s="2">
        <v>3500</v>
      </c>
      <c r="E59" s="808">
        <f t="shared" si="2"/>
        <v>4.4999999999999998E-2</v>
      </c>
      <c r="F59" s="809">
        <f t="shared" si="2"/>
        <v>5.4999999999999993E-2</v>
      </c>
      <c r="H59" s="807">
        <v>-0.06</v>
      </c>
      <c r="I59" s="1191">
        <v>0.105</v>
      </c>
      <c r="J59" s="807">
        <v>-0.05</v>
      </c>
    </row>
    <row r="60" spans="2:10" x14ac:dyDescent="0.25">
      <c r="B60" s="12" t="str">
        <f t="shared" si="0"/>
        <v/>
      </c>
      <c r="C60" s="26">
        <v>3500</v>
      </c>
      <c r="D60" s="2">
        <v>4000</v>
      </c>
      <c r="E60" s="808">
        <f t="shared" si="2"/>
        <v>4.0000000000000008E-2</v>
      </c>
      <c r="F60" s="809">
        <f t="shared" si="2"/>
        <v>0.05</v>
      </c>
      <c r="H60" s="807">
        <v>-0.06</v>
      </c>
      <c r="I60" s="1192">
        <v>0.1</v>
      </c>
      <c r="J60" s="807">
        <v>-0.05</v>
      </c>
    </row>
    <row r="61" spans="2:10" x14ac:dyDescent="0.25">
      <c r="B61" s="12" t="str">
        <f t="shared" si="0"/>
        <v/>
      </c>
      <c r="C61" s="26">
        <v>4000</v>
      </c>
      <c r="D61" s="2">
        <v>5000</v>
      </c>
      <c r="E61" s="808">
        <f t="shared" si="2"/>
        <v>3.8000000000000006E-2</v>
      </c>
      <c r="F61" s="809">
        <f t="shared" si="2"/>
        <v>4.8000000000000001E-2</v>
      </c>
      <c r="H61" s="807">
        <v>-0.06</v>
      </c>
      <c r="I61" s="1191">
        <v>9.8000000000000004E-2</v>
      </c>
      <c r="J61" s="807">
        <v>-0.05</v>
      </c>
    </row>
    <row r="62" spans="2:10" x14ac:dyDescent="0.25">
      <c r="B62" s="12" t="str">
        <f t="shared" si="0"/>
        <v/>
      </c>
      <c r="C62" s="26">
        <v>5000</v>
      </c>
      <c r="D62" s="2">
        <v>6000</v>
      </c>
      <c r="E62" s="808">
        <f t="shared" si="2"/>
        <v>3.6000000000000004E-2</v>
      </c>
      <c r="F62" s="809">
        <f t="shared" si="2"/>
        <v>4.5999999999999999E-2</v>
      </c>
      <c r="H62" s="807">
        <v>-0.06</v>
      </c>
      <c r="I62" s="1191">
        <v>9.6000000000000002E-2</v>
      </c>
      <c r="J62" s="807">
        <v>-0.05</v>
      </c>
    </row>
    <row r="63" spans="2:10" x14ac:dyDescent="0.25">
      <c r="B63" s="12" t="str">
        <f t="shared" si="0"/>
        <v/>
      </c>
      <c r="C63" s="26">
        <v>6000</v>
      </c>
      <c r="D63" s="2">
        <v>7000</v>
      </c>
      <c r="E63" s="808">
        <f t="shared" si="2"/>
        <v>3.4000000000000002E-2</v>
      </c>
      <c r="F63" s="809">
        <f t="shared" si="2"/>
        <v>4.3999999999999997E-2</v>
      </c>
      <c r="H63" s="807">
        <v>-0.06</v>
      </c>
      <c r="I63" s="1191">
        <v>9.4E-2</v>
      </c>
      <c r="J63" s="807">
        <v>-0.05</v>
      </c>
    </row>
    <row r="64" spans="2:10" x14ac:dyDescent="0.25">
      <c r="B64" s="12" t="str">
        <f t="shared" si="0"/>
        <v/>
      </c>
      <c r="C64" s="26">
        <v>7000</v>
      </c>
      <c r="D64" s="2">
        <v>8000</v>
      </c>
      <c r="E64" s="808">
        <f t="shared" si="2"/>
        <v>3.2000000000000001E-2</v>
      </c>
      <c r="F64" s="809">
        <f t="shared" si="2"/>
        <v>4.1999999999999996E-2</v>
      </c>
      <c r="H64" s="807">
        <v>-0.06</v>
      </c>
      <c r="I64" s="1191">
        <v>9.1999999999999998E-2</v>
      </c>
      <c r="J64" s="807">
        <v>-0.05</v>
      </c>
    </row>
    <row r="65" spans="2:15" x14ac:dyDescent="0.25">
      <c r="B65" s="13" t="str">
        <f t="shared" si="0"/>
        <v/>
      </c>
      <c r="C65" s="432">
        <v>8000</v>
      </c>
      <c r="D65" s="343">
        <v>1000000</v>
      </c>
      <c r="E65" s="812">
        <f t="shared" si="2"/>
        <v>0.03</v>
      </c>
      <c r="F65" s="804">
        <f t="shared" si="2"/>
        <v>3.9999999999999994E-2</v>
      </c>
      <c r="H65" s="807">
        <v>-0.06</v>
      </c>
      <c r="I65" s="1192">
        <v>0.09</v>
      </c>
      <c r="J65" s="807">
        <v>-0.05</v>
      </c>
    </row>
    <row r="66" spans="2:15" x14ac:dyDescent="0.25">
      <c r="B66" s="213"/>
      <c r="C66" s="43"/>
      <c r="D66" s="43"/>
      <c r="E66" s="621">
        <f>VLOOKUP(1,B6:F65,4,FALSE)</f>
        <v>9.5000000000000001E-2</v>
      </c>
      <c r="F66" s="621">
        <f>VLOOKUP(1,B6:F65,5,FALSE)</f>
        <v>0.105</v>
      </c>
    </row>
    <row r="68" spans="2:15" ht="15.75" thickBot="1" x14ac:dyDescent="0.3">
      <c r="E68" s="2" t="s">
        <v>886</v>
      </c>
      <c r="F68" s="2"/>
      <c r="G68" s="2"/>
      <c r="H68" s="2"/>
    </row>
    <row r="69" spans="2:15" x14ac:dyDescent="0.25">
      <c r="B69" s="213"/>
      <c r="C69" s="472"/>
      <c r="D69" s="514">
        <v>1</v>
      </c>
      <c r="E69" s="473"/>
      <c r="F69" s="473">
        <f>'Rekenblad (4)'!J372</f>
        <v>0</v>
      </c>
      <c r="G69" s="38">
        <f>'Rekenblad (4)'!J373</f>
        <v>0</v>
      </c>
      <c r="H69" s="38">
        <f>H79</f>
        <v>0</v>
      </c>
      <c r="I69" s="473">
        <f>IF(AND('Rekenblad (4)'!C2='Rekenblad (4)'!B50,'Rekenblad (4)'!J365=1),1,IF(AND('Rekenblad (4)'!C2='Rekenblad (4)'!B50,'Rekenblad (4)'!J369=1),1,0))</f>
        <v>0</v>
      </c>
      <c r="J69" s="473">
        <f>C83</f>
        <v>0</v>
      </c>
      <c r="K69" s="208">
        <f>IF(AND('Rekenblad (4)'!F347=1,U93=1,J69=0),1,0)</f>
        <v>0</v>
      </c>
      <c r="L69" s="208">
        <v>0</v>
      </c>
      <c r="M69" s="951">
        <v>0</v>
      </c>
      <c r="N69" s="23">
        <v>0</v>
      </c>
      <c r="O69" s="580"/>
    </row>
    <row r="70" spans="2:15" x14ac:dyDescent="0.25">
      <c r="B70" s="6" t="s">
        <v>674</v>
      </c>
      <c r="C70" s="12" t="s">
        <v>872</v>
      </c>
      <c r="D70" s="25" t="s">
        <v>871</v>
      </c>
      <c r="E70" s="12" t="s">
        <v>871</v>
      </c>
      <c r="F70" s="442" t="s">
        <v>874</v>
      </c>
      <c r="G70" s="442" t="s">
        <v>874</v>
      </c>
      <c r="H70" s="442" t="s">
        <v>875</v>
      </c>
      <c r="I70" s="404" t="s">
        <v>876</v>
      </c>
      <c r="J70" s="7" t="s">
        <v>997</v>
      </c>
      <c r="K70" s="6" t="s">
        <v>1013</v>
      </c>
      <c r="L70" s="6"/>
      <c r="M70" s="41"/>
      <c r="O70" s="819" t="s">
        <v>177</v>
      </c>
    </row>
    <row r="71" spans="2:15" x14ac:dyDescent="0.25">
      <c r="B71" s="415"/>
      <c r="C71" s="52"/>
      <c r="D71" s="436" t="s">
        <v>2</v>
      </c>
      <c r="E71" s="13" t="s">
        <v>873</v>
      </c>
      <c r="F71" s="13" t="s">
        <v>569</v>
      </c>
      <c r="G71" s="13" t="s">
        <v>570</v>
      </c>
      <c r="H71" s="13" t="s">
        <v>63</v>
      </c>
      <c r="I71" s="52" t="s">
        <v>877</v>
      </c>
      <c r="J71" s="7" t="s">
        <v>64</v>
      </c>
      <c r="K71" s="6" t="s">
        <v>64</v>
      </c>
      <c r="L71" s="6"/>
      <c r="M71" s="41"/>
      <c r="O71" s="446" t="s">
        <v>643</v>
      </c>
    </row>
    <row r="72" spans="2:15" x14ac:dyDescent="0.25">
      <c r="B72" s="52"/>
      <c r="C72" s="814">
        <f>IF(SUM(B6:B65)&gt;0,HLOOKUP(1,E3:F66,64,FALSE),0)</f>
        <v>9.5000000000000001E-2</v>
      </c>
      <c r="D72" s="821">
        <f>'Rekenblad (4)'!AU46</f>
        <v>0</v>
      </c>
      <c r="E72" s="815">
        <v>0.03</v>
      </c>
      <c r="F72" s="815">
        <v>0.03</v>
      </c>
      <c r="G72" s="815">
        <v>0.03</v>
      </c>
      <c r="H72" s="815">
        <v>0.1</v>
      </c>
      <c r="I72" s="815">
        <v>0.08</v>
      </c>
      <c r="J72" s="1032">
        <f>D85*H107</f>
        <v>0</v>
      </c>
      <c r="K72" s="1066">
        <f>HLOOKUP(1,Q97:AI100,4,FALSE)</f>
        <v>7.0000000000000007E-2</v>
      </c>
      <c r="L72" s="817"/>
      <c r="M72" s="1035"/>
      <c r="N72" s="1036"/>
      <c r="O72" s="1037"/>
    </row>
    <row r="73" spans="2:15" ht="15.75" thickBot="1" x14ac:dyDescent="0.3">
      <c r="B73" s="813">
        <f>'Rekenblad (4)'!C1085</f>
        <v>192.89636876000003</v>
      </c>
      <c r="C73" s="813">
        <f>B73*C72</f>
        <v>18.325155032200001</v>
      </c>
      <c r="D73" s="816">
        <f>IF(D72&gt;0,D72*B73*D69,0)</f>
        <v>0</v>
      </c>
      <c r="E73" s="816">
        <f>IF(E72&gt;0,E72*B73*E69,0)</f>
        <v>0</v>
      </c>
      <c r="F73" s="816">
        <f>IF(F72&gt;0,F72*B73*F69,0)</f>
        <v>0</v>
      </c>
      <c r="G73" s="816">
        <f>IF(G72&gt;0,G72*B73*G69,0)</f>
        <v>0</v>
      </c>
      <c r="H73" s="816">
        <f>IF(H72&gt;0,H72*B73*H69,0)</f>
        <v>0</v>
      </c>
      <c r="I73" s="816">
        <f>IF(I72&gt;0,I72*B73*I69,0)</f>
        <v>0</v>
      </c>
      <c r="J73" s="816">
        <f>IF(J72&gt;0,J72*B73*J69,0)</f>
        <v>0</v>
      </c>
      <c r="K73" s="818">
        <f>IF(K72&gt;0,K72*B73*K69,0)</f>
        <v>0</v>
      </c>
      <c r="L73" s="818">
        <f>IF(L72&gt;0,L72*B73*L69,0)</f>
        <v>0</v>
      </c>
      <c r="M73" s="818">
        <f>IF(M72&gt;0,M72*B73*M69,0)</f>
        <v>0</v>
      </c>
      <c r="N73" s="818">
        <f>IF(N72&gt;0,N72*B73*N69,0)</f>
        <v>0</v>
      </c>
      <c r="O73" s="1038">
        <f>SUM(C73:N73)</f>
        <v>18.325155032200001</v>
      </c>
    </row>
    <row r="75" spans="2:15" ht="15.75" thickBot="1" x14ac:dyDescent="0.3"/>
    <row r="76" spans="2:15" x14ac:dyDescent="0.25">
      <c r="B76" s="404"/>
      <c r="C76" s="551">
        <f>'Rekenblad (4)'!B228</f>
        <v>361</v>
      </c>
      <c r="D76" s="551">
        <f>'Rekenblad (4)'!C228</f>
        <v>1150</v>
      </c>
      <c r="E76" s="484">
        <v>0</v>
      </c>
      <c r="F76" s="473">
        <f>'Rekenblad (4)'!C7</f>
        <v>250</v>
      </c>
      <c r="G76" s="213"/>
      <c r="H76" s="222"/>
    </row>
    <row r="77" spans="2:15" x14ac:dyDescent="0.25">
      <c r="B77" s="41"/>
      <c r="C77" s="41" t="s">
        <v>880</v>
      </c>
      <c r="D77" s="41" t="s">
        <v>879</v>
      </c>
      <c r="E77" s="12" t="s">
        <v>881</v>
      </c>
      <c r="F77" s="41" t="s">
        <v>883</v>
      </c>
      <c r="G77" s="431" t="s">
        <v>884</v>
      </c>
      <c r="H77" s="224" t="s">
        <v>885</v>
      </c>
    </row>
    <row r="78" spans="2:15" x14ac:dyDescent="0.25">
      <c r="B78" s="52"/>
      <c r="C78" s="34">
        <v>280</v>
      </c>
      <c r="D78" s="34">
        <v>690</v>
      </c>
      <c r="E78" s="13" t="s">
        <v>882</v>
      </c>
      <c r="F78" s="28">
        <v>125</v>
      </c>
      <c r="G78" s="432" t="s">
        <v>63</v>
      </c>
      <c r="H78" s="224" t="s">
        <v>63</v>
      </c>
    </row>
    <row r="79" spans="2:15" ht="15.75" thickBot="1" x14ac:dyDescent="0.3">
      <c r="B79" s="472" t="s">
        <v>878</v>
      </c>
      <c r="C79" s="208">
        <f>IF(C76&lt;C78,1,0)</f>
        <v>0</v>
      </c>
      <c r="D79" s="473">
        <f>IF(D76&lt;D78,1,0)</f>
        <v>0</v>
      </c>
      <c r="E79" s="473">
        <f>IF(SUM(C79:D79)=E76,0,1)</f>
        <v>0</v>
      </c>
      <c r="F79" s="473">
        <f>IF(F76&lt;F78,1,0)</f>
        <v>0</v>
      </c>
      <c r="G79" s="208">
        <f>'Rekenblad (4)'!J367</f>
        <v>1</v>
      </c>
      <c r="H79" s="500">
        <f>IF(AND(G79=1,SUM(E79:F79)&gt;1),1,0)</f>
        <v>0</v>
      </c>
    </row>
    <row r="82" spans="2:36" ht="15.75" thickBot="1" x14ac:dyDescent="0.3">
      <c r="B82" t="s">
        <v>998</v>
      </c>
    </row>
    <row r="83" spans="2:36" ht="15.75" thickBot="1" x14ac:dyDescent="0.3">
      <c r="B83" s="14" t="s">
        <v>1014</v>
      </c>
      <c r="C83" s="3">
        <f>IF(AND('Rekenblad (4)'!F347,'Rekenblad (4)'!AA46=1,SUM(B86:B100)+SUM(E83:N83)=2),1,0)</f>
        <v>0</v>
      </c>
      <c r="D83" s="1029">
        <f>IF(AND(SUM(B86:B100)=1,SUM(E83:N83)=1),HLOOKUP(1,E83:N101,19,FALSE),0)</f>
        <v>0</v>
      </c>
      <c r="E83" s="23" t="str">
        <f>IF(AND($C$85&gt;E84,$C$85&lt;=E85),1," ")</f>
        <v xml:space="preserve"> </v>
      </c>
      <c r="F83" s="23" t="str">
        <f t="shared" ref="F83:N83" si="3">IF(AND($C$85&gt;F84,$C$85&lt;=F85),1," ")</f>
        <v xml:space="preserve"> </v>
      </c>
      <c r="G83" s="23" t="str">
        <f t="shared" si="3"/>
        <v xml:space="preserve"> </v>
      </c>
      <c r="H83" s="23" t="str">
        <f t="shared" si="3"/>
        <v xml:space="preserve"> </v>
      </c>
      <c r="I83" s="23" t="str">
        <f t="shared" si="3"/>
        <v xml:space="preserve"> </v>
      </c>
      <c r="J83" s="23">
        <f t="shared" si="3"/>
        <v>1</v>
      </c>
      <c r="K83" s="23" t="str">
        <f t="shared" si="3"/>
        <v xml:space="preserve"> </v>
      </c>
      <c r="L83" s="23" t="str">
        <f t="shared" si="3"/>
        <v xml:space="preserve"> </v>
      </c>
      <c r="M83" s="23" t="str">
        <f t="shared" si="3"/>
        <v xml:space="preserve"> </v>
      </c>
      <c r="N83" s="1008" t="str">
        <f t="shared" si="3"/>
        <v xml:space="preserve"> </v>
      </c>
      <c r="Q83" s="670" t="s">
        <v>801</v>
      </c>
      <c r="R83" s="1028">
        <f>HLOOKUP(1,R84:AJ87,4,FALSE)</f>
        <v>1</v>
      </c>
      <c r="S83" s="2"/>
      <c r="T83" s="1027"/>
      <c r="U83" s="1027"/>
      <c r="V83" s="1027"/>
      <c r="W83" s="1027"/>
      <c r="X83" s="1027"/>
      <c r="Y83" s="1027"/>
      <c r="Z83" s="1027"/>
      <c r="AA83" s="1027"/>
      <c r="AB83" s="1027"/>
      <c r="AC83" s="1027"/>
      <c r="AD83" s="1027"/>
      <c r="AE83" s="1027"/>
      <c r="AF83" s="2"/>
      <c r="AG83" s="2"/>
      <c r="AH83" s="2"/>
      <c r="AI83" s="2"/>
      <c r="AJ83" s="2"/>
    </row>
    <row r="84" spans="2:36" ht="15.75" thickBot="1" x14ac:dyDescent="0.3">
      <c r="B84" s="950" t="s">
        <v>23</v>
      </c>
      <c r="C84" s="951">
        <f>'Rekenblad (4)'!C645</f>
        <v>361</v>
      </c>
      <c r="D84" s="1030">
        <f>R83</f>
        <v>1</v>
      </c>
      <c r="E84" s="449">
        <v>0</v>
      </c>
      <c r="F84" s="449">
        <v>700</v>
      </c>
      <c r="G84" s="449">
        <v>800</v>
      </c>
      <c r="H84" s="449">
        <v>900</v>
      </c>
      <c r="I84" s="1009">
        <v>1000</v>
      </c>
      <c r="J84" s="1009">
        <v>1100</v>
      </c>
      <c r="K84" s="1009">
        <v>1200</v>
      </c>
      <c r="L84" s="1009">
        <v>1300</v>
      </c>
      <c r="M84" s="1009">
        <v>1450</v>
      </c>
      <c r="N84" s="1010">
        <v>1600</v>
      </c>
      <c r="Q84" s="341" t="s">
        <v>999</v>
      </c>
      <c r="R84" s="202">
        <f>IF(AND($Q$86&gt;=R85,$Q$86&lt;R86),1,0)</f>
        <v>1</v>
      </c>
      <c r="S84" s="1021">
        <f t="shared" ref="S84:AJ84" si="4">IF(AND($Q$86&gt;=S85,$Q$86&lt;S86),1,0)</f>
        <v>0</v>
      </c>
      <c r="T84" s="1021">
        <f t="shared" si="4"/>
        <v>0</v>
      </c>
      <c r="U84" s="1021">
        <f t="shared" si="4"/>
        <v>0</v>
      </c>
      <c r="V84" s="1021">
        <f t="shared" si="4"/>
        <v>0</v>
      </c>
      <c r="W84" s="1021">
        <f t="shared" si="4"/>
        <v>0</v>
      </c>
      <c r="X84" s="1021">
        <f t="shared" si="4"/>
        <v>0</v>
      </c>
      <c r="Y84" s="1021">
        <f t="shared" si="4"/>
        <v>0</v>
      </c>
      <c r="Z84" s="1021">
        <f t="shared" si="4"/>
        <v>0</v>
      </c>
      <c r="AA84" s="1021">
        <f t="shared" si="4"/>
        <v>0</v>
      </c>
      <c r="AB84" s="1021">
        <f t="shared" si="4"/>
        <v>0</v>
      </c>
      <c r="AC84" s="1021">
        <f t="shared" si="4"/>
        <v>0</v>
      </c>
      <c r="AD84" s="1021">
        <f t="shared" si="4"/>
        <v>0</v>
      </c>
      <c r="AE84" s="1021">
        <f t="shared" si="4"/>
        <v>0</v>
      </c>
      <c r="AF84" s="1021">
        <f t="shared" si="4"/>
        <v>0</v>
      </c>
      <c r="AG84" s="1021">
        <f t="shared" si="4"/>
        <v>0</v>
      </c>
      <c r="AH84" s="1021">
        <f t="shared" si="4"/>
        <v>0</v>
      </c>
      <c r="AI84" s="1021">
        <f t="shared" si="4"/>
        <v>0</v>
      </c>
      <c r="AJ84" s="1021">
        <f t="shared" si="4"/>
        <v>0</v>
      </c>
    </row>
    <row r="85" spans="2:36" ht="15.75" thickBot="1" x14ac:dyDescent="0.3">
      <c r="B85" s="6" t="s">
        <v>24</v>
      </c>
      <c r="C85" s="432">
        <f>'Rekenblad (4)'!C646</f>
        <v>1150</v>
      </c>
      <c r="D85" s="1031">
        <f>D83*D84</f>
        <v>0</v>
      </c>
      <c r="E85" s="965">
        <v>700</v>
      </c>
      <c r="F85" s="965">
        <v>800</v>
      </c>
      <c r="G85" s="965">
        <v>900</v>
      </c>
      <c r="H85" s="965">
        <v>1000</v>
      </c>
      <c r="I85" s="1011">
        <v>1100</v>
      </c>
      <c r="J85" s="1011">
        <v>1200</v>
      </c>
      <c r="K85" s="1011">
        <v>1300</v>
      </c>
      <c r="L85" s="1011">
        <v>1450</v>
      </c>
      <c r="M85" s="1011">
        <v>1600</v>
      </c>
      <c r="N85" s="1012">
        <v>1700</v>
      </c>
      <c r="Q85" s="399" t="s">
        <v>1000</v>
      </c>
      <c r="R85" s="399">
        <v>0</v>
      </c>
      <c r="S85" s="442">
        <v>200</v>
      </c>
      <c r="T85" s="1022">
        <v>500</v>
      </c>
      <c r="U85" s="1022">
        <v>750</v>
      </c>
      <c r="V85" s="1022">
        <v>1000</v>
      </c>
      <c r="W85" s="1022">
        <v>1250</v>
      </c>
      <c r="X85" s="1022">
        <v>1500</v>
      </c>
      <c r="Y85" s="1022">
        <v>1750</v>
      </c>
      <c r="Z85" s="1022">
        <v>2000</v>
      </c>
      <c r="AA85" s="1022">
        <v>2250</v>
      </c>
      <c r="AB85" s="1022">
        <v>2500</v>
      </c>
      <c r="AC85" s="1022">
        <v>2750</v>
      </c>
      <c r="AD85" s="1022">
        <v>3000</v>
      </c>
      <c r="AE85" s="1022">
        <v>3500</v>
      </c>
      <c r="AF85" s="1022">
        <v>4000</v>
      </c>
      <c r="AG85" s="1022">
        <v>5000</v>
      </c>
      <c r="AH85" s="1022">
        <v>6000</v>
      </c>
      <c r="AI85" s="1022">
        <v>8000</v>
      </c>
      <c r="AJ85" s="1022">
        <v>10000</v>
      </c>
    </row>
    <row r="86" spans="2:36" x14ac:dyDescent="0.25">
      <c r="B86" s="1013">
        <f>IF(AND($C$84&gt;C86,$C$84&lt;=D86),1," ")</f>
        <v>1</v>
      </c>
      <c r="C86" s="2">
        <v>0</v>
      </c>
      <c r="D86" s="25">
        <v>400</v>
      </c>
      <c r="E86" s="1014">
        <v>0</v>
      </c>
      <c r="F86" s="1014">
        <v>0</v>
      </c>
      <c r="G86" s="1014">
        <v>0</v>
      </c>
      <c r="H86" s="1014">
        <v>0</v>
      </c>
      <c r="I86" s="1015">
        <v>0</v>
      </c>
      <c r="J86" s="1015">
        <v>0</v>
      </c>
      <c r="K86" s="1015">
        <v>0</v>
      </c>
      <c r="L86" s="1015">
        <v>0</v>
      </c>
      <c r="M86" s="1015">
        <v>0</v>
      </c>
      <c r="N86" s="1016">
        <v>0</v>
      </c>
      <c r="Q86" s="1024">
        <f>'Rekenblad (4)'!I108</f>
        <v>197.05546000000001</v>
      </c>
      <c r="R86" s="202">
        <v>200</v>
      </c>
      <c r="S86" s="13">
        <v>500</v>
      </c>
      <c r="T86" s="1023">
        <v>750</v>
      </c>
      <c r="U86" s="1023">
        <v>1000</v>
      </c>
      <c r="V86" s="1023">
        <v>1250</v>
      </c>
      <c r="W86" s="1023">
        <v>1500</v>
      </c>
      <c r="X86" s="1023">
        <v>1750</v>
      </c>
      <c r="Y86" s="1023">
        <v>2000</v>
      </c>
      <c r="Z86" s="1023">
        <v>2250</v>
      </c>
      <c r="AA86" s="1023">
        <v>2500</v>
      </c>
      <c r="AB86" s="1023">
        <v>2750</v>
      </c>
      <c r="AC86" s="1023">
        <v>3000</v>
      </c>
      <c r="AD86" s="1023">
        <v>3500</v>
      </c>
      <c r="AE86" s="1023">
        <v>4000</v>
      </c>
      <c r="AF86" s="1023">
        <v>5000</v>
      </c>
      <c r="AG86" s="1023">
        <v>6000</v>
      </c>
      <c r="AH86" s="1023">
        <v>8000</v>
      </c>
      <c r="AI86" s="1023">
        <v>10000</v>
      </c>
      <c r="AJ86" s="1023">
        <v>99999999</v>
      </c>
    </row>
    <row r="87" spans="2:36" x14ac:dyDescent="0.25">
      <c r="B87" s="990" t="str">
        <f t="shared" ref="B87:B100" si="5">IF(AND($C$84&gt;C87,$C$84&lt;=D87),1," ")</f>
        <v xml:space="preserve"> </v>
      </c>
      <c r="C87" s="2">
        <v>400</v>
      </c>
      <c r="D87" s="25">
        <v>450</v>
      </c>
      <c r="E87" s="1014">
        <v>0.03</v>
      </c>
      <c r="F87" s="1014">
        <v>0</v>
      </c>
      <c r="G87" s="1014">
        <v>0</v>
      </c>
      <c r="H87" s="1014">
        <v>0</v>
      </c>
      <c r="I87" s="1015">
        <v>0</v>
      </c>
      <c r="J87" s="1015">
        <v>0</v>
      </c>
      <c r="K87" s="1015">
        <v>0</v>
      </c>
      <c r="L87" s="1015">
        <v>0</v>
      </c>
      <c r="M87" s="1015">
        <v>0</v>
      </c>
      <c r="N87" s="1016">
        <v>0</v>
      </c>
      <c r="Q87" s="1020" t="s">
        <v>801</v>
      </c>
      <c r="R87" s="1025">
        <v>1</v>
      </c>
      <c r="S87" s="1026">
        <v>1</v>
      </c>
      <c r="T87" s="1026">
        <v>1</v>
      </c>
      <c r="U87" s="1026">
        <v>1</v>
      </c>
      <c r="V87" s="1026">
        <v>1</v>
      </c>
      <c r="W87" s="1026">
        <v>1</v>
      </c>
      <c r="X87" s="1026">
        <v>1</v>
      </c>
      <c r="Y87" s="1026">
        <v>1</v>
      </c>
      <c r="Z87" s="1026">
        <v>1</v>
      </c>
      <c r="AA87" s="1026">
        <v>1</v>
      </c>
      <c r="AB87" s="1026">
        <v>0.9</v>
      </c>
      <c r="AC87" s="1026">
        <v>0.8</v>
      </c>
      <c r="AD87" s="1026">
        <v>0.7</v>
      </c>
      <c r="AE87" s="1026">
        <v>0.6</v>
      </c>
      <c r="AF87" s="1026">
        <v>0.6</v>
      </c>
      <c r="AG87" s="1026">
        <v>0.6</v>
      </c>
      <c r="AH87" s="1026">
        <v>0.6</v>
      </c>
      <c r="AI87" s="1026">
        <v>0.6</v>
      </c>
      <c r="AJ87" s="1026">
        <v>0.6</v>
      </c>
    </row>
    <row r="88" spans="2:36" x14ac:dyDescent="0.25">
      <c r="B88" s="990" t="str">
        <f t="shared" si="5"/>
        <v xml:space="preserve"> </v>
      </c>
      <c r="C88" s="2">
        <v>450</v>
      </c>
      <c r="D88" s="25">
        <v>500</v>
      </c>
      <c r="E88" s="1014">
        <v>0.05</v>
      </c>
      <c r="F88" s="1014">
        <v>0.03</v>
      </c>
      <c r="G88" s="1014">
        <v>0</v>
      </c>
      <c r="H88" s="1014">
        <v>0</v>
      </c>
      <c r="I88" s="1015">
        <v>0</v>
      </c>
      <c r="J88" s="1015">
        <v>0</v>
      </c>
      <c r="K88" s="1015">
        <v>0</v>
      </c>
      <c r="L88" s="1015">
        <v>0</v>
      </c>
      <c r="M88" s="1015">
        <v>0</v>
      </c>
      <c r="N88" s="1016">
        <v>0</v>
      </c>
    </row>
    <row r="89" spans="2:36" x14ac:dyDescent="0.25">
      <c r="B89" s="990" t="str">
        <f t="shared" si="5"/>
        <v xml:space="preserve"> </v>
      </c>
      <c r="C89" s="2">
        <v>500</v>
      </c>
      <c r="D89" s="25">
        <v>550</v>
      </c>
      <c r="E89" s="1014">
        <v>0.05</v>
      </c>
      <c r="F89" s="1014">
        <v>0.05</v>
      </c>
      <c r="G89" s="1014">
        <v>0.03</v>
      </c>
      <c r="H89" s="1014">
        <v>0.02</v>
      </c>
      <c r="I89" s="1015">
        <v>0.01</v>
      </c>
      <c r="J89" s="1015">
        <v>0</v>
      </c>
      <c r="K89" s="1015">
        <v>0</v>
      </c>
      <c r="L89" s="1015">
        <v>0</v>
      </c>
      <c r="M89" s="1015">
        <v>0</v>
      </c>
      <c r="N89" s="1016">
        <v>0</v>
      </c>
    </row>
    <row r="90" spans="2:36" x14ac:dyDescent="0.25">
      <c r="B90" s="990" t="str">
        <f t="shared" si="5"/>
        <v xml:space="preserve"> </v>
      </c>
      <c r="C90" s="2">
        <v>550</v>
      </c>
      <c r="D90" s="25">
        <v>600</v>
      </c>
      <c r="E90" s="1014">
        <v>0.1</v>
      </c>
      <c r="F90" s="1014">
        <v>0.08</v>
      </c>
      <c r="G90" s="1014">
        <v>0.05</v>
      </c>
      <c r="H90" s="1014">
        <v>0.03</v>
      </c>
      <c r="I90" s="1015">
        <v>0.02</v>
      </c>
      <c r="J90" s="1015">
        <v>0.01</v>
      </c>
      <c r="K90" s="1015">
        <v>0</v>
      </c>
      <c r="L90" s="1015">
        <v>0</v>
      </c>
      <c r="M90" s="1015">
        <v>0</v>
      </c>
      <c r="N90" s="1016">
        <v>0</v>
      </c>
    </row>
    <row r="91" spans="2:36" x14ac:dyDescent="0.25">
      <c r="B91" s="990" t="str">
        <f t="shared" si="5"/>
        <v xml:space="preserve"> </v>
      </c>
      <c r="C91" s="2">
        <v>600</v>
      </c>
      <c r="D91" s="25">
        <v>700</v>
      </c>
      <c r="E91" s="1014">
        <v>0.15</v>
      </c>
      <c r="F91" s="1014">
        <v>0.1</v>
      </c>
      <c r="G91" s="1014">
        <v>0.08</v>
      </c>
      <c r="H91" s="1014">
        <v>0.06</v>
      </c>
      <c r="I91" s="1015">
        <v>0.04</v>
      </c>
      <c r="J91" s="1015">
        <v>0.02</v>
      </c>
      <c r="K91" s="1015">
        <v>0.02</v>
      </c>
      <c r="L91" s="1015">
        <v>0.01</v>
      </c>
      <c r="M91" s="1015">
        <v>0</v>
      </c>
      <c r="N91" s="1016">
        <v>0</v>
      </c>
      <c r="Q91" t="s">
        <v>1015</v>
      </c>
    </row>
    <row r="92" spans="2:36" x14ac:dyDescent="0.25">
      <c r="B92" s="990" t="str">
        <f t="shared" si="5"/>
        <v xml:space="preserve"> </v>
      </c>
      <c r="C92" s="2">
        <v>700</v>
      </c>
      <c r="D92" s="25">
        <v>800</v>
      </c>
      <c r="E92" s="1014">
        <v>0.16</v>
      </c>
      <c r="F92" s="1014">
        <v>0.13</v>
      </c>
      <c r="G92" s="1014">
        <v>0.12</v>
      </c>
      <c r="H92" s="1014">
        <v>0.08</v>
      </c>
      <c r="I92" s="1015">
        <v>0.06</v>
      </c>
      <c r="J92" s="1015">
        <v>0.04</v>
      </c>
      <c r="K92" s="1015">
        <v>0.03</v>
      </c>
      <c r="L92" s="1015">
        <v>0.02</v>
      </c>
      <c r="M92" s="1015">
        <v>0.01</v>
      </c>
      <c r="N92" s="1016">
        <v>0</v>
      </c>
      <c r="Q92" s="208" t="s">
        <v>19</v>
      </c>
      <c r="R92" s="23" t="s">
        <v>9</v>
      </c>
      <c r="S92" s="208">
        <f>C84</f>
        <v>361</v>
      </c>
      <c r="T92" s="38">
        <f>C85</f>
        <v>1150</v>
      </c>
      <c r="U92" s="951" t="s">
        <v>1016</v>
      </c>
      <c r="V92" s="1062" t="s">
        <v>731</v>
      </c>
    </row>
    <row r="93" spans="2:36" x14ac:dyDescent="0.25">
      <c r="B93" s="990" t="str">
        <f t="shared" si="5"/>
        <v xml:space="preserve"> </v>
      </c>
      <c r="C93" s="2">
        <v>800</v>
      </c>
      <c r="D93" s="25">
        <v>900</v>
      </c>
      <c r="E93" s="1014">
        <v>0.17</v>
      </c>
      <c r="F93" s="1014">
        <v>0.15</v>
      </c>
      <c r="G93" s="1014">
        <v>0.13</v>
      </c>
      <c r="H93" s="1014">
        <v>0.1</v>
      </c>
      <c r="I93" s="1015">
        <v>0.08</v>
      </c>
      <c r="J93" s="1015">
        <v>0.06</v>
      </c>
      <c r="K93" s="1015">
        <v>0.04</v>
      </c>
      <c r="L93" s="1015">
        <v>0.03</v>
      </c>
      <c r="M93" s="1015">
        <v>0.02</v>
      </c>
      <c r="N93" s="1016">
        <v>0.01</v>
      </c>
      <c r="Q93" s="649">
        <v>1100</v>
      </c>
      <c r="R93" s="1039">
        <v>2420</v>
      </c>
      <c r="S93" s="432">
        <f>IF(S92&gt;Q93,1,0)</f>
        <v>0</v>
      </c>
      <c r="T93" s="966">
        <f>IF(T92&gt;R93,1,0)</f>
        <v>0</v>
      </c>
      <c r="U93" s="13">
        <f>IF(SUM(S93:T93)&gt;0,1,0)</f>
        <v>0</v>
      </c>
      <c r="V93" s="1065">
        <v>7.0000000000000007E-2</v>
      </c>
    </row>
    <row r="94" spans="2:36" x14ac:dyDescent="0.25">
      <c r="B94" s="990" t="str">
        <f t="shared" si="5"/>
        <v xml:space="preserve"> </v>
      </c>
      <c r="C94" s="2">
        <v>900</v>
      </c>
      <c r="D94" s="25">
        <v>1000</v>
      </c>
      <c r="E94" s="1014">
        <v>0.18</v>
      </c>
      <c r="F94" s="1014">
        <v>0.16</v>
      </c>
      <c r="G94" s="1014">
        <v>0.14000000000000001</v>
      </c>
      <c r="H94" s="1014">
        <v>0.12</v>
      </c>
      <c r="I94" s="1015">
        <v>0.1</v>
      </c>
      <c r="J94" s="1015">
        <v>0.08</v>
      </c>
      <c r="K94" s="1015">
        <v>0.06</v>
      </c>
      <c r="L94" s="1015">
        <v>0.05</v>
      </c>
      <c r="M94" s="1015">
        <v>0.03</v>
      </c>
      <c r="N94" s="1016">
        <v>0.03</v>
      </c>
    </row>
    <row r="95" spans="2:36" x14ac:dyDescent="0.25">
      <c r="B95" s="990" t="str">
        <f t="shared" si="5"/>
        <v xml:space="preserve"> </v>
      </c>
      <c r="C95" s="2">
        <v>1000</v>
      </c>
      <c r="D95" s="25">
        <v>1150</v>
      </c>
      <c r="E95" s="1014">
        <v>0.2</v>
      </c>
      <c r="F95" s="1014">
        <v>0.2</v>
      </c>
      <c r="G95" s="1014">
        <v>0.16</v>
      </c>
      <c r="H95" s="1014">
        <v>0.14000000000000001</v>
      </c>
      <c r="I95" s="1015">
        <v>0.12</v>
      </c>
      <c r="J95" s="1015">
        <v>0.1</v>
      </c>
      <c r="K95" s="1015">
        <v>0.08</v>
      </c>
      <c r="L95" s="1015">
        <v>7.0000000000000007E-2</v>
      </c>
      <c r="M95" s="1015">
        <v>0.05</v>
      </c>
      <c r="N95" s="1016">
        <v>0.04</v>
      </c>
    </row>
    <row r="96" spans="2:36" x14ac:dyDescent="0.25">
      <c r="B96" s="990" t="str">
        <f t="shared" si="5"/>
        <v xml:space="preserve"> </v>
      </c>
      <c r="C96" s="2">
        <v>1150</v>
      </c>
      <c r="D96" s="25">
        <v>1300</v>
      </c>
      <c r="E96" s="1014">
        <v>0.2</v>
      </c>
      <c r="F96" s="1014">
        <v>0.2</v>
      </c>
      <c r="G96" s="1014">
        <v>0.18</v>
      </c>
      <c r="H96" s="1014">
        <v>0.16</v>
      </c>
      <c r="I96" s="1015">
        <v>0.14000000000000001</v>
      </c>
      <c r="J96" s="1015">
        <v>0.12</v>
      </c>
      <c r="K96" s="1015">
        <v>0.1</v>
      </c>
      <c r="L96" s="1015">
        <v>0.09</v>
      </c>
      <c r="M96" s="1015">
        <v>7.0000000000000007E-2</v>
      </c>
      <c r="N96" s="1016">
        <v>0.06</v>
      </c>
      <c r="Q96" s="1059">
        <v>1</v>
      </c>
      <c r="R96" s="952">
        <v>1</v>
      </c>
      <c r="S96" s="1060">
        <v>1</v>
      </c>
      <c r="T96" s="1060">
        <v>1</v>
      </c>
      <c r="U96" s="1060">
        <v>1</v>
      </c>
      <c r="V96" s="1060">
        <v>1</v>
      </c>
      <c r="W96" s="1060">
        <v>1</v>
      </c>
      <c r="X96" s="1060">
        <v>1</v>
      </c>
      <c r="Y96" s="1060">
        <v>1</v>
      </c>
      <c r="Z96" s="1060">
        <v>0.7</v>
      </c>
      <c r="AA96" s="1060">
        <v>0.3</v>
      </c>
      <c r="AB96" s="1060">
        <v>0</v>
      </c>
      <c r="AC96" s="1060">
        <v>0</v>
      </c>
      <c r="AD96" s="1060">
        <v>0</v>
      </c>
      <c r="AE96" s="952">
        <v>0</v>
      </c>
      <c r="AF96" s="952">
        <v>0</v>
      </c>
      <c r="AG96" s="952">
        <v>0</v>
      </c>
      <c r="AH96" s="952">
        <v>0</v>
      </c>
      <c r="AI96" s="952">
        <v>0</v>
      </c>
    </row>
    <row r="97" spans="2:35" x14ac:dyDescent="0.25">
      <c r="B97" s="990" t="str">
        <f t="shared" si="5"/>
        <v xml:space="preserve"> </v>
      </c>
      <c r="C97" s="2">
        <v>1300</v>
      </c>
      <c r="D97" s="25">
        <v>1450</v>
      </c>
      <c r="E97" s="1014">
        <v>0.2</v>
      </c>
      <c r="F97" s="1014">
        <v>0.2</v>
      </c>
      <c r="G97" s="1014">
        <v>0.2</v>
      </c>
      <c r="H97" s="1014">
        <v>0.18</v>
      </c>
      <c r="I97" s="1015">
        <v>0.16</v>
      </c>
      <c r="J97" s="1015">
        <v>0.16</v>
      </c>
      <c r="K97" s="1015">
        <v>0.12</v>
      </c>
      <c r="L97" s="1015">
        <v>0.11</v>
      </c>
      <c r="M97" s="1015">
        <v>0.09</v>
      </c>
      <c r="N97" s="1016">
        <v>0.08</v>
      </c>
      <c r="Q97" s="1021">
        <f>IF(AND($Q$86&gt;=Q98,$Q$86&lt;Q99),1,0)</f>
        <v>1</v>
      </c>
      <c r="R97" s="1021">
        <f t="shared" ref="R97:AI97" si="6">IF(AND($Q$86&gt;=R98,$Q$86&lt;R99),1,0)</f>
        <v>0</v>
      </c>
      <c r="S97" s="1021">
        <f t="shared" si="6"/>
        <v>0</v>
      </c>
      <c r="T97" s="1021">
        <f t="shared" si="6"/>
        <v>0</v>
      </c>
      <c r="U97" s="1021">
        <f t="shared" si="6"/>
        <v>0</v>
      </c>
      <c r="V97" s="1021">
        <f t="shared" si="6"/>
        <v>0</v>
      </c>
      <c r="W97" s="1021">
        <f t="shared" si="6"/>
        <v>0</v>
      </c>
      <c r="X97" s="1021">
        <f t="shared" si="6"/>
        <v>0</v>
      </c>
      <c r="Y97" s="1021">
        <f t="shared" si="6"/>
        <v>0</v>
      </c>
      <c r="Z97" s="1021">
        <f t="shared" si="6"/>
        <v>0</v>
      </c>
      <c r="AA97" s="1021">
        <f t="shared" si="6"/>
        <v>0</v>
      </c>
      <c r="AB97" s="1021">
        <f t="shared" si="6"/>
        <v>0</v>
      </c>
      <c r="AC97" s="1021">
        <f t="shared" si="6"/>
        <v>0</v>
      </c>
      <c r="AD97" s="1021">
        <f t="shared" si="6"/>
        <v>0</v>
      </c>
      <c r="AE97" s="1021">
        <f t="shared" si="6"/>
        <v>0</v>
      </c>
      <c r="AF97" s="1021">
        <f t="shared" si="6"/>
        <v>0</v>
      </c>
      <c r="AG97" s="1021">
        <f t="shared" si="6"/>
        <v>0</v>
      </c>
      <c r="AH97" s="1021">
        <f t="shared" si="6"/>
        <v>0</v>
      </c>
      <c r="AI97" s="1021">
        <f t="shared" si="6"/>
        <v>0</v>
      </c>
    </row>
    <row r="98" spans="2:35" x14ac:dyDescent="0.25">
      <c r="B98" s="990" t="str">
        <f t="shared" si="5"/>
        <v xml:space="preserve"> </v>
      </c>
      <c r="C98" s="2">
        <v>1450</v>
      </c>
      <c r="D98" s="25">
        <v>1600</v>
      </c>
      <c r="E98" s="1014">
        <v>0.2</v>
      </c>
      <c r="F98" s="1014">
        <v>0.2</v>
      </c>
      <c r="G98" s="1014">
        <v>0.2</v>
      </c>
      <c r="H98" s="1014">
        <v>0.2</v>
      </c>
      <c r="I98" s="1015">
        <v>0.2</v>
      </c>
      <c r="J98" s="1015">
        <v>0.18</v>
      </c>
      <c r="K98" s="1015">
        <v>0.16</v>
      </c>
      <c r="L98" s="1015">
        <v>0.13</v>
      </c>
      <c r="M98" s="1015">
        <v>0.11</v>
      </c>
      <c r="N98" s="1016">
        <v>0.1</v>
      </c>
      <c r="Q98" s="1061">
        <v>0</v>
      </c>
      <c r="R98" s="1062">
        <v>200</v>
      </c>
      <c r="S98" s="1063">
        <v>500</v>
      </c>
      <c r="T98" s="1063">
        <v>750</v>
      </c>
      <c r="U98" s="1063">
        <v>1000</v>
      </c>
      <c r="V98" s="1063">
        <v>1250</v>
      </c>
      <c r="W98" s="1063">
        <v>1500</v>
      </c>
      <c r="X98" s="1063">
        <v>1750</v>
      </c>
      <c r="Y98" s="1063">
        <v>2000</v>
      </c>
      <c r="Z98" s="1063">
        <v>2250</v>
      </c>
      <c r="AA98" s="1063">
        <v>2500</v>
      </c>
      <c r="AB98" s="1063">
        <v>2750</v>
      </c>
      <c r="AC98" s="1063">
        <v>3000</v>
      </c>
      <c r="AD98" s="1063">
        <v>3500</v>
      </c>
      <c r="AE98" s="1063">
        <v>4000</v>
      </c>
      <c r="AF98" s="1063">
        <v>5000</v>
      </c>
      <c r="AG98" s="1063">
        <v>6000</v>
      </c>
      <c r="AH98" s="1063">
        <v>8000</v>
      </c>
      <c r="AI98" s="1063">
        <v>10000</v>
      </c>
    </row>
    <row r="99" spans="2:35" x14ac:dyDescent="0.25">
      <c r="B99" s="990" t="str">
        <f t="shared" si="5"/>
        <v xml:space="preserve"> </v>
      </c>
      <c r="C99" s="2">
        <v>1600</v>
      </c>
      <c r="D99" s="25">
        <v>1750</v>
      </c>
      <c r="E99" s="1014">
        <v>0.25</v>
      </c>
      <c r="F99" s="1014">
        <v>0.25</v>
      </c>
      <c r="G99" s="1014">
        <v>0.25</v>
      </c>
      <c r="H99" s="1014">
        <v>0.25</v>
      </c>
      <c r="I99" s="1015">
        <v>0.25</v>
      </c>
      <c r="J99" s="1015">
        <v>0.22</v>
      </c>
      <c r="K99" s="1015">
        <v>0.2</v>
      </c>
      <c r="L99" s="1015">
        <v>0.17</v>
      </c>
      <c r="M99" s="1015">
        <v>0.14000000000000001</v>
      </c>
      <c r="N99" s="1016">
        <v>0.13</v>
      </c>
      <c r="Q99" s="202">
        <v>200</v>
      </c>
      <c r="R99" s="13">
        <v>500</v>
      </c>
      <c r="S99" s="1023">
        <v>750</v>
      </c>
      <c r="T99" s="1023">
        <v>1000</v>
      </c>
      <c r="U99" s="1023">
        <v>1250</v>
      </c>
      <c r="V99" s="1023">
        <v>1500</v>
      </c>
      <c r="W99" s="1023">
        <v>1750</v>
      </c>
      <c r="X99" s="1023">
        <v>2000</v>
      </c>
      <c r="Y99" s="1023">
        <v>2250</v>
      </c>
      <c r="Z99" s="1023">
        <v>2500</v>
      </c>
      <c r="AA99" s="1023">
        <v>2750</v>
      </c>
      <c r="AB99" s="1023">
        <v>3000</v>
      </c>
      <c r="AC99" s="1023">
        <v>3500</v>
      </c>
      <c r="AD99" s="1023">
        <v>4000</v>
      </c>
      <c r="AE99" s="1023">
        <v>5000</v>
      </c>
      <c r="AF99" s="1023">
        <v>6000</v>
      </c>
      <c r="AG99" s="1023">
        <v>8000</v>
      </c>
      <c r="AH99" s="1023">
        <v>10000</v>
      </c>
      <c r="AI99" s="1023">
        <v>99999999</v>
      </c>
    </row>
    <row r="100" spans="2:35" x14ac:dyDescent="0.25">
      <c r="B100" s="991" t="str">
        <f t="shared" si="5"/>
        <v xml:space="preserve"> </v>
      </c>
      <c r="C100" s="965">
        <v>1750</v>
      </c>
      <c r="D100" s="966">
        <v>9999</v>
      </c>
      <c r="E100" s="1014">
        <v>0.25</v>
      </c>
      <c r="F100" s="1014">
        <v>0.25</v>
      </c>
      <c r="G100" s="1014">
        <v>0.25</v>
      </c>
      <c r="H100" s="1014">
        <v>0.25</v>
      </c>
      <c r="I100" s="1015">
        <v>0.25</v>
      </c>
      <c r="J100" s="1015">
        <v>0.25</v>
      </c>
      <c r="K100" s="1015">
        <v>0.25</v>
      </c>
      <c r="L100" s="1015">
        <v>0.2</v>
      </c>
      <c r="M100" s="1015">
        <v>0.18</v>
      </c>
      <c r="N100" s="1016">
        <v>0.16</v>
      </c>
      <c r="Q100" s="1064">
        <f>$V$93*Q96</f>
        <v>7.0000000000000007E-2</v>
      </c>
      <c r="R100" s="1064">
        <f t="shared" ref="R100:AI100" si="7">$V$93*R96</f>
        <v>7.0000000000000007E-2</v>
      </c>
      <c r="S100" s="1064">
        <f t="shared" si="7"/>
        <v>7.0000000000000007E-2</v>
      </c>
      <c r="T100" s="1064">
        <f t="shared" si="7"/>
        <v>7.0000000000000007E-2</v>
      </c>
      <c r="U100" s="1064">
        <f t="shared" si="7"/>
        <v>7.0000000000000007E-2</v>
      </c>
      <c r="V100" s="1064">
        <f t="shared" si="7"/>
        <v>7.0000000000000007E-2</v>
      </c>
      <c r="W100" s="1064">
        <f t="shared" si="7"/>
        <v>7.0000000000000007E-2</v>
      </c>
      <c r="X100" s="1064">
        <f t="shared" si="7"/>
        <v>7.0000000000000007E-2</v>
      </c>
      <c r="Y100" s="1064">
        <f t="shared" si="7"/>
        <v>7.0000000000000007E-2</v>
      </c>
      <c r="Z100" s="1064">
        <f t="shared" si="7"/>
        <v>4.9000000000000002E-2</v>
      </c>
      <c r="AA100" s="1064">
        <f t="shared" si="7"/>
        <v>2.1000000000000001E-2</v>
      </c>
      <c r="AB100" s="1064">
        <f t="shared" si="7"/>
        <v>0</v>
      </c>
      <c r="AC100" s="1064">
        <f t="shared" si="7"/>
        <v>0</v>
      </c>
      <c r="AD100" s="1064">
        <f t="shared" si="7"/>
        <v>0</v>
      </c>
      <c r="AE100" s="1064">
        <f t="shared" si="7"/>
        <v>0</v>
      </c>
      <c r="AF100" s="1064">
        <f t="shared" si="7"/>
        <v>0</v>
      </c>
      <c r="AG100" s="1064">
        <f t="shared" si="7"/>
        <v>0</v>
      </c>
      <c r="AH100" s="1064">
        <f t="shared" si="7"/>
        <v>0</v>
      </c>
      <c r="AI100" s="1064">
        <f t="shared" si="7"/>
        <v>0</v>
      </c>
    </row>
    <row r="101" spans="2:35" x14ac:dyDescent="0.25">
      <c r="B101" s="415"/>
      <c r="C101" s="43"/>
      <c r="D101" s="43"/>
      <c r="E101" s="1017">
        <f>IF(SUM($B$86:$B$100)=1,VLOOKUP(1,$B$86:$N$100,4,FALSE),0)</f>
        <v>0</v>
      </c>
      <c r="F101" s="1018">
        <f>IF(SUM($B$86:$B$100)=1,VLOOKUP(1,$B$86:$N$100,5,FALSE),0)</f>
        <v>0</v>
      </c>
      <c r="G101" s="1018">
        <f>IF(SUM($B$86:$B$100)=1,VLOOKUP(1,$B$86:$N$100,6,FALSE),0)</f>
        <v>0</v>
      </c>
      <c r="H101" s="1018">
        <f>IF(SUM($B$86:$B$100)=1,VLOOKUP(1,$B$86:$N$100,7,FALSE),0)</f>
        <v>0</v>
      </c>
      <c r="I101" s="1018">
        <f>IF(SUM($B$86:$B$100)=1,VLOOKUP(1,$B$86:$N$100,8,FALSE),0)</f>
        <v>0</v>
      </c>
      <c r="J101" s="1018">
        <f>IF(SUM($B$86:$B$100)=1,VLOOKUP(1,$B$86:$N$100,9,FALSE),0)</f>
        <v>0</v>
      </c>
      <c r="K101" s="1018">
        <f>IF(SUM($B$86:$B$100)=1,VLOOKUP(1,$B$86:$N$100,10,FALSE),0)</f>
        <v>0</v>
      </c>
      <c r="L101" s="1018">
        <f>IF(SUM($B$86:$B$100)=1,VLOOKUP(1,$B$86:$N$100,11,FALSE),0)</f>
        <v>0</v>
      </c>
      <c r="M101" s="1018">
        <f>IF(SUM($B$86:$B$100)=1,VLOOKUP(1,$B$86:$N$100,12,FALSE),0)</f>
        <v>0</v>
      </c>
      <c r="N101" s="1019">
        <f>IF(SUM($B$86:$B$100)=1,VLOOKUP(1,$B$86:$N$100,13,FALSE),0)</f>
        <v>0</v>
      </c>
    </row>
    <row r="104" spans="2:35" x14ac:dyDescent="0.25">
      <c r="B104" s="1188" t="str">
        <f>IF(AND($C$85&gt;B105,$C$85&lt;=B106),1," ")</f>
        <v xml:space="preserve"> </v>
      </c>
      <c r="C104" s="1188" t="str">
        <f t="shared" ref="C104:G104" si="8">IF(AND($C$85&gt;C105,$C$85&lt;=C106),1," ")</f>
        <v xml:space="preserve"> </v>
      </c>
      <c r="D104" s="1188" t="str">
        <f t="shared" si="8"/>
        <v xml:space="preserve"> </v>
      </c>
      <c r="E104" s="1188" t="str">
        <f t="shared" si="8"/>
        <v xml:space="preserve"> </v>
      </c>
      <c r="F104" s="1188" t="str">
        <f t="shared" si="8"/>
        <v xml:space="preserve"> </v>
      </c>
      <c r="G104" s="1188">
        <f t="shared" si="8"/>
        <v>1</v>
      </c>
      <c r="H104" s="1029"/>
      <c r="I104" s="479"/>
      <c r="J104" s="479"/>
      <c r="K104" s="479"/>
      <c r="L104" s="479"/>
      <c r="M104" s="479"/>
      <c r="N104" s="479"/>
      <c r="P104" s="479"/>
      <c r="Q104" s="479"/>
      <c r="R104" s="479"/>
      <c r="S104" s="479"/>
      <c r="T104" s="479"/>
      <c r="U104" s="479"/>
      <c r="V104" s="479"/>
      <c r="W104" s="479"/>
      <c r="X104" s="479"/>
      <c r="Y104" s="479"/>
    </row>
    <row r="105" spans="2:35" x14ac:dyDescent="0.25">
      <c r="B105" s="1022">
        <v>0</v>
      </c>
      <c r="C105" s="442">
        <v>800</v>
      </c>
      <c r="D105" s="1022">
        <v>850</v>
      </c>
      <c r="E105" s="1022">
        <v>900</v>
      </c>
      <c r="F105" s="1022">
        <v>950</v>
      </c>
      <c r="G105" s="1022">
        <v>1000</v>
      </c>
      <c r="H105" s="864"/>
      <c r="I105" s="479"/>
      <c r="J105" s="479"/>
      <c r="K105" s="479"/>
      <c r="L105" s="479"/>
      <c r="M105" s="479"/>
      <c r="N105" s="479"/>
      <c r="P105" s="479"/>
      <c r="Q105" s="479"/>
      <c r="R105" s="479"/>
      <c r="S105" s="479"/>
      <c r="T105" s="479"/>
      <c r="U105" s="479"/>
      <c r="V105" s="479"/>
      <c r="W105" s="479"/>
      <c r="X105" s="479"/>
      <c r="Y105" s="479"/>
    </row>
    <row r="106" spans="2:35" x14ac:dyDescent="0.25">
      <c r="B106" s="1023">
        <v>800</v>
      </c>
      <c r="C106" s="13">
        <v>850</v>
      </c>
      <c r="D106" s="1023">
        <v>900</v>
      </c>
      <c r="E106" s="1023">
        <v>950</v>
      </c>
      <c r="F106" s="1023">
        <v>1000</v>
      </c>
      <c r="G106" s="1023">
        <v>9999999</v>
      </c>
      <c r="H106" s="864"/>
      <c r="I106" s="479"/>
      <c r="J106" s="479"/>
      <c r="K106" s="479"/>
      <c r="L106" s="479"/>
      <c r="M106" s="479"/>
      <c r="N106" s="479"/>
      <c r="P106" s="479"/>
      <c r="Q106" s="479"/>
      <c r="R106" s="479"/>
      <c r="S106" s="479"/>
      <c r="T106" s="479"/>
      <c r="U106" s="479"/>
      <c r="V106" s="479"/>
      <c r="W106" s="479"/>
      <c r="X106" s="479"/>
      <c r="Y106" s="479"/>
    </row>
    <row r="107" spans="2:35" x14ac:dyDescent="0.25">
      <c r="B107" s="1189">
        <v>1</v>
      </c>
      <c r="C107" s="1189">
        <v>0.8</v>
      </c>
      <c r="D107" s="1189">
        <v>0.6</v>
      </c>
      <c r="E107" s="1189">
        <v>0.4</v>
      </c>
      <c r="F107" s="1189">
        <v>0.2</v>
      </c>
      <c r="G107" s="1189">
        <v>0</v>
      </c>
      <c r="H107" s="1029">
        <f>IF(SUM(B104:G104)&gt;0,HLOOKUP(1,B104:G107,4,FALSE),0)</f>
        <v>0</v>
      </c>
      <c r="I107" s="479"/>
      <c r="J107" s="479"/>
      <c r="K107" s="479"/>
      <c r="L107" s="479"/>
      <c r="M107" s="479"/>
      <c r="N107" s="479"/>
      <c r="P107" s="479"/>
      <c r="Q107" s="479"/>
      <c r="R107" s="479"/>
      <c r="S107" s="479"/>
      <c r="T107" s="479"/>
      <c r="U107" s="479"/>
      <c r="V107" s="479"/>
      <c r="W107" s="479"/>
      <c r="X107" s="479"/>
      <c r="Y107" s="479"/>
    </row>
    <row r="108" spans="2:35" x14ac:dyDescent="0.25">
      <c r="E108" s="479"/>
      <c r="F108" s="479"/>
      <c r="G108" s="479"/>
      <c r="H108" s="479"/>
      <c r="I108" s="479"/>
      <c r="J108" s="479"/>
      <c r="K108" s="479"/>
      <c r="L108" s="479"/>
      <c r="M108" s="479"/>
      <c r="N108" s="479"/>
      <c r="P108" s="479"/>
      <c r="Q108" s="479"/>
      <c r="R108" s="479"/>
      <c r="S108" s="479"/>
      <c r="T108" s="479"/>
      <c r="U108" s="479"/>
      <c r="V108" s="479"/>
      <c r="W108" s="479"/>
      <c r="X108" s="479"/>
      <c r="Y108" s="479"/>
    </row>
    <row r="109" spans="2:35" x14ac:dyDescent="0.25">
      <c r="E109" s="479"/>
      <c r="F109" s="479"/>
      <c r="G109" s="479"/>
      <c r="H109" s="479"/>
      <c r="I109" s="479"/>
      <c r="J109" s="479"/>
      <c r="K109" s="479"/>
      <c r="L109" s="479"/>
      <c r="M109" s="479"/>
      <c r="N109" s="479"/>
      <c r="P109" s="479"/>
      <c r="Q109" s="479"/>
      <c r="R109" s="479"/>
      <c r="S109" s="479"/>
      <c r="T109" s="479"/>
      <c r="U109" s="479"/>
      <c r="V109" s="479"/>
      <c r="W109" s="479"/>
      <c r="X109" s="479"/>
      <c r="Y109" s="479"/>
    </row>
    <row r="110" spans="2:35" x14ac:dyDescent="0.25">
      <c r="E110" s="479"/>
      <c r="F110" s="479"/>
      <c r="G110" s="479"/>
      <c r="H110" s="479"/>
      <c r="I110" s="479"/>
      <c r="J110" s="479"/>
      <c r="K110" s="479"/>
      <c r="L110" s="479"/>
      <c r="M110" s="479"/>
      <c r="N110" s="479"/>
      <c r="P110" s="479"/>
      <c r="Q110" s="479"/>
      <c r="R110" s="479"/>
      <c r="S110" s="479"/>
      <c r="T110" s="479"/>
      <c r="U110" s="479"/>
      <c r="V110" s="479"/>
      <c r="W110" s="479"/>
      <c r="X110" s="479"/>
      <c r="Y110" s="479"/>
    </row>
    <row r="111" spans="2:35" x14ac:dyDescent="0.25">
      <c r="E111" s="479"/>
      <c r="F111" s="479"/>
      <c r="G111" s="479"/>
      <c r="H111" s="479"/>
      <c r="I111" s="479"/>
      <c r="J111" s="479"/>
      <c r="K111" s="479"/>
      <c r="L111" s="479"/>
      <c r="M111" s="479"/>
      <c r="N111" s="479"/>
      <c r="P111" s="479"/>
      <c r="Q111" s="479"/>
      <c r="R111" s="479"/>
      <c r="S111" s="479"/>
      <c r="T111" s="479"/>
      <c r="U111" s="479"/>
      <c r="V111" s="479"/>
      <c r="W111" s="479"/>
      <c r="X111" s="479"/>
      <c r="Y111" s="479"/>
    </row>
    <row r="112" spans="2:35" x14ac:dyDescent="0.25">
      <c r="E112" s="479"/>
      <c r="F112" s="479"/>
      <c r="G112" s="479"/>
      <c r="H112" s="479"/>
      <c r="I112" s="479"/>
      <c r="J112" s="479"/>
      <c r="K112" s="479"/>
      <c r="L112" s="479"/>
      <c r="M112" s="479"/>
      <c r="N112" s="479"/>
      <c r="P112" s="479"/>
      <c r="Q112" s="479"/>
      <c r="R112" s="479"/>
      <c r="S112" s="479"/>
      <c r="T112" s="479"/>
      <c r="U112" s="479"/>
      <c r="V112" s="479"/>
      <c r="W112" s="479"/>
      <c r="X112" s="479"/>
      <c r="Y112" s="479"/>
    </row>
    <row r="113" spans="5:25" x14ac:dyDescent="0.25">
      <c r="E113" s="479"/>
      <c r="F113" s="479"/>
      <c r="G113" s="479"/>
      <c r="H113" s="479"/>
      <c r="I113" s="479"/>
      <c r="J113" s="479"/>
      <c r="K113" s="479"/>
      <c r="L113" s="479"/>
      <c r="M113" s="479"/>
      <c r="N113" s="479"/>
      <c r="P113" s="479"/>
      <c r="Q113" s="479"/>
      <c r="R113" s="479"/>
      <c r="S113" s="479"/>
      <c r="T113" s="479"/>
      <c r="U113" s="479"/>
      <c r="V113" s="479"/>
      <c r="W113" s="479"/>
      <c r="X113" s="479"/>
      <c r="Y113" s="479"/>
    </row>
    <row r="114" spans="5:25" x14ac:dyDescent="0.25">
      <c r="E114" s="479"/>
      <c r="F114" s="479"/>
      <c r="G114" s="479"/>
      <c r="H114" s="479"/>
      <c r="I114" s="479"/>
      <c r="J114" s="479"/>
      <c r="K114" s="479"/>
      <c r="L114" s="479"/>
      <c r="M114" s="479"/>
      <c r="N114" s="479"/>
      <c r="P114" s="479"/>
      <c r="Q114" s="479"/>
      <c r="R114" s="479"/>
      <c r="S114" s="479"/>
      <c r="T114" s="479"/>
      <c r="U114" s="479"/>
      <c r="V114" s="479"/>
      <c r="W114" s="479"/>
      <c r="X114" s="479"/>
      <c r="Y114" s="479"/>
    </row>
    <row r="115" spans="5:25" x14ac:dyDescent="0.25">
      <c r="E115" s="479"/>
      <c r="F115" s="479"/>
      <c r="G115" s="479"/>
      <c r="H115" s="479"/>
      <c r="I115" s="479"/>
      <c r="J115" s="479"/>
      <c r="K115" s="479"/>
      <c r="L115" s="479"/>
      <c r="M115" s="479"/>
      <c r="N115" s="479"/>
      <c r="P115" s="479"/>
      <c r="Q115" s="479"/>
      <c r="R115" s="479"/>
      <c r="S115" s="479"/>
      <c r="T115" s="479"/>
      <c r="U115" s="479"/>
      <c r="V115" s="479"/>
      <c r="W115" s="479"/>
      <c r="X115" s="479"/>
      <c r="Y115" s="479"/>
    </row>
    <row r="116" spans="5:25" x14ac:dyDescent="0.25">
      <c r="E116" s="479"/>
      <c r="F116" s="479"/>
      <c r="G116" s="479"/>
      <c r="H116" s="479"/>
      <c r="I116" s="479"/>
      <c r="J116" s="479"/>
      <c r="K116" s="479"/>
      <c r="L116" s="479"/>
      <c r="M116" s="479"/>
      <c r="N116" s="479"/>
      <c r="P116" s="479"/>
      <c r="Q116" s="479"/>
      <c r="R116" s="479"/>
      <c r="S116" s="479"/>
      <c r="T116" s="479"/>
      <c r="U116" s="479"/>
      <c r="V116" s="479"/>
      <c r="W116" s="479"/>
      <c r="X116" s="479"/>
      <c r="Y116" s="479"/>
    </row>
    <row r="117" spans="5:25" x14ac:dyDescent="0.25">
      <c r="E117" s="479"/>
      <c r="F117" s="479"/>
      <c r="G117" s="479"/>
      <c r="H117" s="479"/>
      <c r="I117" s="479"/>
      <c r="J117" s="479"/>
      <c r="K117" s="479"/>
      <c r="L117" s="479"/>
      <c r="M117" s="479"/>
      <c r="N117" s="479"/>
      <c r="P117" s="479"/>
      <c r="Q117" s="479"/>
      <c r="R117" s="479"/>
      <c r="S117" s="479"/>
      <c r="T117" s="479"/>
      <c r="U117" s="479"/>
      <c r="V117" s="479"/>
      <c r="W117" s="479"/>
      <c r="X117" s="479"/>
      <c r="Y117" s="479"/>
    </row>
    <row r="118" spans="5:25" x14ac:dyDescent="0.25">
      <c r="E118" s="479"/>
      <c r="F118" s="479"/>
      <c r="G118" s="479"/>
      <c r="H118" s="479"/>
      <c r="I118" s="479"/>
      <c r="J118" s="479"/>
      <c r="K118" s="479"/>
      <c r="L118" s="479"/>
      <c r="M118" s="479"/>
      <c r="N118" s="479"/>
      <c r="P118" s="479"/>
      <c r="Q118" s="479"/>
      <c r="R118" s="479"/>
      <c r="S118" s="479"/>
      <c r="T118" s="479"/>
      <c r="U118" s="479"/>
      <c r="V118" s="479"/>
      <c r="W118" s="479"/>
      <c r="X118" s="479"/>
      <c r="Y118" s="479"/>
    </row>
  </sheetData>
  <mergeCells count="2">
    <mergeCell ref="C4:D4"/>
    <mergeCell ref="C5:D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D232-281F-4063-B69C-0BD030475D6B}">
  <dimension ref="B1:AQ196"/>
  <sheetViews>
    <sheetView workbookViewId="0"/>
  </sheetViews>
  <sheetFormatPr defaultRowHeight="15" x14ac:dyDescent="0.25"/>
  <cols>
    <col min="2" max="2" customWidth="true" width="9.28515625"/>
    <col min="3" max="3" customWidth="true" width="31.5703125"/>
    <col min="4" max="4" bestFit="true" customWidth="true" width="9.42578125"/>
    <col min="12" max="12" style="468" width="8.7109375"/>
    <col min="13" max="13" customWidth="true" width="10.85546875"/>
    <col min="14" max="14" bestFit="true" customWidth="true" style="2" width="9.42578125"/>
    <col min="15" max="15" customWidth="true" width="10.85546875"/>
    <col min="16" max="17" customWidth="true" width="10.28515625"/>
    <col min="22" max="22" customWidth="true" width="9.7109375"/>
    <col min="23" max="23" customWidth="true" width="10.0"/>
    <col min="29" max="29" bestFit="true" customWidth="true" width="16.7109375"/>
    <col min="36" max="36" customWidth="true" width="11.0"/>
  </cols>
  <sheetData>
    <row r="1" spans="3:29" x14ac:dyDescent="0.25">
      <c r="C1" t="s">
        <v>995</v>
      </c>
      <c r="D1" s="2">
        <f>IF(SUM('Rekenblad (4)'!C362:I362)=0,0,1)</f>
        <v>1</v>
      </c>
    </row>
    <row r="2" spans="3:29" x14ac:dyDescent="0.25">
      <c r="T2" s="2"/>
      <c r="U2" s="2"/>
      <c r="V2" s="2"/>
      <c r="W2" s="2"/>
      <c r="X2" s="2"/>
      <c r="Y2" s="2"/>
      <c r="Z2" s="2"/>
      <c r="AA2" s="2"/>
      <c r="AB2" s="2"/>
      <c r="AC2" s="2"/>
    </row>
    <row r="3" spans="3:29" x14ac:dyDescent="0.25">
      <c r="C3" t="s">
        <v>893</v>
      </c>
      <c r="D3" s="2">
        <f>'Rekenblad (4)'!F108</f>
        <v>361</v>
      </c>
      <c r="E3" t="s">
        <v>25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3:29" x14ac:dyDescent="0.25">
      <c r="C4" t="s">
        <v>894</v>
      </c>
      <c r="D4" s="2">
        <f>'Rekenblad (4)'!G108</f>
        <v>557</v>
      </c>
      <c r="E4" t="s">
        <v>25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3:29" x14ac:dyDescent="0.25">
      <c r="C5" t="s">
        <v>916</v>
      </c>
      <c r="D5" s="2">
        <f>(D3/1000)*(D4/1000)</f>
        <v>0.20107700000000001</v>
      </c>
      <c r="E5" t="s">
        <v>508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3:29" x14ac:dyDescent="0.25">
      <c r="D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3:29" x14ac:dyDescent="0.25">
      <c r="C7" s="473" t="s">
        <v>31</v>
      </c>
      <c r="D7" s="23" t="s">
        <v>912</v>
      </c>
      <c r="E7" s="472"/>
      <c r="F7" s="23"/>
      <c r="G7" s="47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3:29" x14ac:dyDescent="0.25">
      <c r="C8" s="431">
        <f>IF(AND($D$3&gt;E8,$D$3&lt;=F8),1,0)</f>
        <v>0</v>
      </c>
      <c r="D8" s="442">
        <f>IF(AND($D$4&gt;E8,$D$4&lt;=F8),1,0)</f>
        <v>0</v>
      </c>
      <c r="E8" s="854">
        <v>0</v>
      </c>
      <c r="F8" s="854">
        <v>100</v>
      </c>
      <c r="G8" s="857">
        <v>30</v>
      </c>
      <c r="T8" s="2"/>
      <c r="U8" s="2"/>
      <c r="V8" s="2"/>
      <c r="W8" s="2"/>
      <c r="X8" s="2"/>
      <c r="Y8" s="2"/>
      <c r="Z8" s="2"/>
      <c r="AA8" s="2"/>
      <c r="AB8" s="2"/>
      <c r="AC8" s="2"/>
    </row>
    <row r="9" spans="3:29" x14ac:dyDescent="0.25">
      <c r="C9" s="26">
        <f t="shared" ref="C9:C23" si="0">IF(AND($D$3&gt;E9,$D$3&lt;=F9),1,0)</f>
        <v>0</v>
      </c>
      <c r="D9" s="12">
        <f t="shared" ref="D9:D23" si="1">IF(AND($D$4&gt;E9,$D$4&lt;=F9),1,0)</f>
        <v>0</v>
      </c>
      <c r="E9" s="855">
        <v>100</v>
      </c>
      <c r="F9" s="855">
        <v>200</v>
      </c>
      <c r="G9" s="851">
        <v>40</v>
      </c>
      <c r="T9" s="2"/>
      <c r="U9" s="2"/>
      <c r="V9" s="2"/>
      <c r="W9" s="2"/>
      <c r="X9" s="2"/>
      <c r="Y9" s="2"/>
      <c r="Z9" s="2"/>
      <c r="AA9" s="2"/>
      <c r="AB9" s="2"/>
      <c r="AC9" s="2"/>
    </row>
    <row r="10" spans="3:29" x14ac:dyDescent="0.25">
      <c r="C10" s="26">
        <f t="shared" si="0"/>
        <v>0</v>
      </c>
      <c r="D10" s="12">
        <f t="shared" si="1"/>
        <v>0</v>
      </c>
      <c r="E10" s="855">
        <v>200</v>
      </c>
      <c r="F10" s="855">
        <v>300</v>
      </c>
      <c r="G10" s="851">
        <v>50</v>
      </c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3:29" x14ac:dyDescent="0.25">
      <c r="C11" s="26">
        <f t="shared" si="0"/>
        <v>1</v>
      </c>
      <c r="D11" s="12">
        <f t="shared" si="1"/>
        <v>0</v>
      </c>
      <c r="E11" s="855">
        <v>300</v>
      </c>
      <c r="F11" s="855">
        <v>400</v>
      </c>
      <c r="G11" s="851">
        <v>60</v>
      </c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3:29" x14ac:dyDescent="0.25">
      <c r="C12" s="26">
        <f t="shared" si="0"/>
        <v>0</v>
      </c>
      <c r="D12" s="12">
        <f t="shared" si="1"/>
        <v>0</v>
      </c>
      <c r="E12" s="855">
        <v>400</v>
      </c>
      <c r="F12" s="855">
        <v>500</v>
      </c>
      <c r="G12" s="851">
        <v>70</v>
      </c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3:29" x14ac:dyDescent="0.25">
      <c r="C13" s="26">
        <f t="shared" si="0"/>
        <v>0</v>
      </c>
      <c r="D13" s="12">
        <f t="shared" si="1"/>
        <v>1</v>
      </c>
      <c r="E13" s="855">
        <v>500</v>
      </c>
      <c r="F13" s="855">
        <v>600</v>
      </c>
      <c r="G13" s="851">
        <v>80</v>
      </c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3:29" x14ac:dyDescent="0.25">
      <c r="C14" s="26">
        <f t="shared" si="0"/>
        <v>0</v>
      </c>
      <c r="D14" s="12">
        <f t="shared" si="1"/>
        <v>0</v>
      </c>
      <c r="E14" s="855">
        <v>600</v>
      </c>
      <c r="F14" s="855">
        <v>700</v>
      </c>
      <c r="G14" s="851">
        <v>100</v>
      </c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3:29" x14ac:dyDescent="0.25">
      <c r="C15" s="26">
        <f t="shared" si="0"/>
        <v>0</v>
      </c>
      <c r="D15" s="12">
        <f t="shared" si="1"/>
        <v>0</v>
      </c>
      <c r="E15" s="855">
        <v>700</v>
      </c>
      <c r="F15" s="855">
        <v>800</v>
      </c>
      <c r="G15" s="851">
        <v>120</v>
      </c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3:29" x14ac:dyDescent="0.25">
      <c r="C16" s="26">
        <f t="shared" si="0"/>
        <v>0</v>
      </c>
      <c r="D16" s="12">
        <f t="shared" si="1"/>
        <v>0</v>
      </c>
      <c r="E16" s="855">
        <v>800</v>
      </c>
      <c r="F16" s="855">
        <v>900</v>
      </c>
      <c r="G16" s="851">
        <v>140</v>
      </c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3:29" x14ac:dyDescent="0.25">
      <c r="C17" s="26">
        <f t="shared" si="0"/>
        <v>0</v>
      </c>
      <c r="D17" s="12">
        <f t="shared" si="1"/>
        <v>0</v>
      </c>
      <c r="E17" s="855">
        <v>900</v>
      </c>
      <c r="F17" s="855">
        <v>1000</v>
      </c>
      <c r="G17" s="851">
        <v>160</v>
      </c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3:29" x14ac:dyDescent="0.25">
      <c r="C18" s="26">
        <f t="shared" si="0"/>
        <v>0</v>
      </c>
      <c r="D18" s="12">
        <f t="shared" si="1"/>
        <v>0</v>
      </c>
      <c r="E18" s="855">
        <v>1000</v>
      </c>
      <c r="F18" s="855">
        <v>1200</v>
      </c>
      <c r="G18" s="851">
        <v>180</v>
      </c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3:29" x14ac:dyDescent="0.25">
      <c r="C19" s="26">
        <f t="shared" si="0"/>
        <v>0</v>
      </c>
      <c r="D19" s="12">
        <f t="shared" si="1"/>
        <v>0</v>
      </c>
      <c r="E19" s="855">
        <v>1200</v>
      </c>
      <c r="F19" s="855">
        <v>1400</v>
      </c>
      <c r="G19" s="851">
        <v>190</v>
      </c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3:29" x14ac:dyDescent="0.25">
      <c r="C20" s="26">
        <f t="shared" si="0"/>
        <v>0</v>
      </c>
      <c r="D20" s="12">
        <f t="shared" si="1"/>
        <v>0</v>
      </c>
      <c r="E20" s="855">
        <v>1400</v>
      </c>
      <c r="F20" s="855">
        <v>1600</v>
      </c>
      <c r="G20" s="851">
        <v>200</v>
      </c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3:29" x14ac:dyDescent="0.25">
      <c r="C21" s="26">
        <f t="shared" si="0"/>
        <v>0</v>
      </c>
      <c r="D21" s="12">
        <f t="shared" si="1"/>
        <v>0</v>
      </c>
      <c r="E21" s="855">
        <v>1600</v>
      </c>
      <c r="F21" s="855">
        <v>1800</v>
      </c>
      <c r="G21" s="851">
        <v>210</v>
      </c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3:29" x14ac:dyDescent="0.25">
      <c r="C22" s="26">
        <f t="shared" si="0"/>
        <v>0</v>
      </c>
      <c r="D22" s="12">
        <f t="shared" si="1"/>
        <v>0</v>
      </c>
      <c r="E22" s="855">
        <v>1800</v>
      </c>
      <c r="F22" s="855">
        <v>2000</v>
      </c>
      <c r="G22" s="851">
        <v>220</v>
      </c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3:29" x14ac:dyDescent="0.25">
      <c r="C23" s="432">
        <f t="shared" si="0"/>
        <v>0</v>
      </c>
      <c r="D23" s="13">
        <f t="shared" si="1"/>
        <v>0</v>
      </c>
      <c r="E23" s="856">
        <v>2000</v>
      </c>
      <c r="F23" s="856">
        <v>99999</v>
      </c>
      <c r="G23" s="853">
        <v>240</v>
      </c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3:29" x14ac:dyDescent="0.25">
      <c r="C24" s="208">
        <f>VLOOKUP(1,C8:G23,5,FALSE)</f>
        <v>60</v>
      </c>
      <c r="D24" s="473">
        <f>VLOOKUP(1,D8:G23,4,FALSE)</f>
        <v>80</v>
      </c>
      <c r="E24" s="43"/>
      <c r="F24" s="23"/>
      <c r="G24" s="44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3:29" x14ac:dyDescent="0.25">
      <c r="D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3:29" x14ac:dyDescent="0.25">
      <c r="D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3:29" x14ac:dyDescent="0.25">
      <c r="D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3:29" x14ac:dyDescent="0.25">
      <c r="C28" s="213"/>
      <c r="D28" s="23"/>
      <c r="E28" s="873">
        <v>1</v>
      </c>
      <c r="F28" s="873">
        <v>2</v>
      </c>
      <c r="G28" s="873">
        <v>3</v>
      </c>
      <c r="H28" s="873">
        <v>4</v>
      </c>
      <c r="I28" s="873">
        <v>5</v>
      </c>
      <c r="J28" s="873">
        <v>6</v>
      </c>
      <c r="K28" s="873">
        <v>7</v>
      </c>
      <c r="L28" s="873">
        <v>8</v>
      </c>
      <c r="M28" s="873">
        <v>9</v>
      </c>
      <c r="N28" s="873">
        <v>10</v>
      </c>
      <c r="O28" s="873">
        <v>11</v>
      </c>
      <c r="P28" s="873">
        <v>12</v>
      </c>
      <c r="Q28" s="873">
        <v>13</v>
      </c>
      <c r="R28" s="873">
        <v>14</v>
      </c>
      <c r="S28" s="873">
        <v>15</v>
      </c>
      <c r="T28" s="873">
        <v>16</v>
      </c>
      <c r="U28" s="873">
        <v>17</v>
      </c>
      <c r="V28" s="873">
        <v>18</v>
      </c>
      <c r="W28" s="873">
        <v>19</v>
      </c>
      <c r="X28" s="873">
        <v>20</v>
      </c>
      <c r="Y28" s="873">
        <v>21</v>
      </c>
      <c r="Z28" s="873">
        <v>22</v>
      </c>
      <c r="AA28" s="873">
        <v>23</v>
      </c>
      <c r="AB28" s="873">
        <v>24</v>
      </c>
      <c r="AC28" s="874">
        <v>25</v>
      </c>
    </row>
    <row r="29" spans="3:29" x14ac:dyDescent="0.25">
      <c r="C29" s="845" t="s">
        <v>922</v>
      </c>
      <c r="D29" s="845" t="s">
        <v>898</v>
      </c>
      <c r="E29" s="845" t="s">
        <v>108</v>
      </c>
      <c r="F29" s="845" t="s">
        <v>61</v>
      </c>
      <c r="G29" s="846" t="s">
        <v>899</v>
      </c>
      <c r="H29" s="845" t="s">
        <v>898</v>
      </c>
      <c r="I29" s="845" t="s">
        <v>898</v>
      </c>
      <c r="J29" s="845" t="s">
        <v>898</v>
      </c>
      <c r="L29" s="859" t="s">
        <v>905</v>
      </c>
      <c r="M29" s="845" t="s">
        <v>907</v>
      </c>
      <c r="N29" s="442" t="s">
        <v>910</v>
      </c>
      <c r="O29" s="404" t="s">
        <v>911</v>
      </c>
      <c r="P29" s="442" t="s">
        <v>913</v>
      </c>
      <c r="Q29" s="442" t="s">
        <v>6</v>
      </c>
      <c r="S29" s="845" t="s">
        <v>906</v>
      </c>
      <c r="T29" s="845" t="s">
        <v>907</v>
      </c>
      <c r="U29" s="442" t="s">
        <v>801</v>
      </c>
      <c r="V29" s="404" t="s">
        <v>911</v>
      </c>
      <c r="W29" s="442" t="s">
        <v>913</v>
      </c>
      <c r="X29" s="442" t="s">
        <v>6</v>
      </c>
      <c r="Y29" s="2"/>
      <c r="Z29" s="442" t="s">
        <v>915</v>
      </c>
      <c r="AA29" s="442" t="s">
        <v>605</v>
      </c>
      <c r="AB29" s="442" t="s">
        <v>919</v>
      </c>
      <c r="AC29" s="442" t="s">
        <v>898</v>
      </c>
    </row>
    <row r="30" spans="3:29" x14ac:dyDescent="0.25">
      <c r="C30" s="848">
        <f>MAX(C31:C69)</f>
        <v>39</v>
      </c>
      <c r="D30" s="848" t="s">
        <v>900</v>
      </c>
      <c r="E30" s="848" t="s">
        <v>901</v>
      </c>
      <c r="F30" s="848" t="s">
        <v>810</v>
      </c>
      <c r="G30" s="849" t="s">
        <v>902</v>
      </c>
      <c r="H30" s="848" t="s">
        <v>903</v>
      </c>
      <c r="I30" s="848" t="s">
        <v>897</v>
      </c>
      <c r="J30" s="848" t="s">
        <v>904</v>
      </c>
      <c r="L30" s="342"/>
      <c r="M30" s="52"/>
      <c r="N30" s="13"/>
      <c r="O30" s="52"/>
      <c r="P30" s="13" t="s">
        <v>911</v>
      </c>
      <c r="Q30" s="13" t="s">
        <v>914</v>
      </c>
      <c r="S30" s="13"/>
      <c r="T30" s="52"/>
      <c r="U30" s="13"/>
      <c r="V30" s="52"/>
      <c r="W30" s="13" t="s">
        <v>911</v>
      </c>
      <c r="X30" s="13" t="s">
        <v>914</v>
      </c>
      <c r="Y30" s="2"/>
      <c r="Z30" s="13" t="s">
        <v>898</v>
      </c>
      <c r="AA30" s="13" t="s">
        <v>920</v>
      </c>
      <c r="AB30" s="13" t="s">
        <v>918</v>
      </c>
      <c r="AC30" s="13" t="s">
        <v>921</v>
      </c>
    </row>
    <row r="31" spans="3:29" x14ac:dyDescent="0.25">
      <c r="C31" s="845">
        <f>IF(Z31&gt;0,1,0)</f>
        <v>1</v>
      </c>
      <c r="D31" s="851">
        <v>10</v>
      </c>
      <c r="E31" s="845">
        <v>1</v>
      </c>
      <c r="F31" s="851">
        <v>1</v>
      </c>
      <c r="G31" s="851">
        <v>1200</v>
      </c>
      <c r="H31" s="851">
        <v>800</v>
      </c>
      <c r="I31" s="851">
        <v>1</v>
      </c>
      <c r="J31" s="851">
        <v>0</v>
      </c>
      <c r="L31" s="340">
        <f t="shared" ref="L31:L69" si="2">G31/$D$4</f>
        <v>2.1543985637342908</v>
      </c>
      <c r="M31" s="12">
        <f>FLOOR(L31,1)</f>
        <v>2</v>
      </c>
      <c r="N31" s="860">
        <f>(1-(L31-M31))</f>
        <v>0.84560143626570916</v>
      </c>
      <c r="O31" s="861">
        <f>$D$4-((L31-M31)*$D$4)</f>
        <v>471</v>
      </c>
      <c r="P31" s="846">
        <f>$D$24*2</f>
        <v>160</v>
      </c>
      <c r="Q31" s="861">
        <f>IF(P31&gt;=O31,M31+1,M31)</f>
        <v>2</v>
      </c>
      <c r="S31" s="340">
        <f t="shared" ref="S31:S69" si="3">H31/$D$3</f>
        <v>2.21606648199446</v>
      </c>
      <c r="T31" s="12">
        <f>FLOOR(S31,1)</f>
        <v>2</v>
      </c>
      <c r="U31" s="860">
        <f>(1-(S31-T31))</f>
        <v>0.78393351800554001</v>
      </c>
      <c r="V31" s="861">
        <f>$D$3-((S31-T31)*$D$3)</f>
        <v>282.99999999999994</v>
      </c>
      <c r="W31" s="846">
        <f>$C$24*2</f>
        <v>120</v>
      </c>
      <c r="X31" s="861">
        <f>IF(W31&gt;=V31,T31+1,T31)</f>
        <v>2</v>
      </c>
      <c r="Y31" s="2"/>
      <c r="Z31" s="12">
        <f>Q31*X31</f>
        <v>4</v>
      </c>
      <c r="AA31" s="12">
        <f>Z31*$D$5</f>
        <v>0.80430800000000002</v>
      </c>
      <c r="AB31" s="12">
        <f>(G31/1000)*(H31/1000)</f>
        <v>0.96</v>
      </c>
      <c r="AC31" s="864">
        <f>IF(Z31&gt;0,AA31/AB31,0)</f>
        <v>0.83782083333333335</v>
      </c>
    </row>
    <row r="32" spans="3:29" x14ac:dyDescent="0.25">
      <c r="C32" s="850">
        <f>IF(Z32&gt;0,MAX(C31)+1,0)</f>
        <v>2</v>
      </c>
      <c r="D32" s="851">
        <v>20</v>
      </c>
      <c r="E32" s="850">
        <v>2</v>
      </c>
      <c r="F32" s="851">
        <v>1</v>
      </c>
      <c r="G32" s="851">
        <v>1200</v>
      </c>
      <c r="H32" s="851">
        <v>1000</v>
      </c>
      <c r="I32" s="851">
        <v>0</v>
      </c>
      <c r="J32" s="851">
        <v>1</v>
      </c>
      <c r="L32" s="340">
        <f t="shared" si="2"/>
        <v>2.1543985637342908</v>
      </c>
      <c r="M32" s="12">
        <f t="shared" ref="M32:M69" si="4">FLOOR(L32,1)</f>
        <v>2</v>
      </c>
      <c r="N32" s="860">
        <f t="shared" ref="N32:N69" si="5">(1-(L32-M32))</f>
        <v>0.84560143626570916</v>
      </c>
      <c r="O32" s="861">
        <f>$D$4-((L32-M32)*$D$4)</f>
        <v>471</v>
      </c>
      <c r="P32" s="861">
        <f t="shared" ref="P32:P69" si="6">$D$24*2</f>
        <v>160</v>
      </c>
      <c r="Q32" s="861">
        <f t="shared" ref="Q32:Q69" si="7">IF(P32&gt;=O32,M32+1,M32)</f>
        <v>2</v>
      </c>
      <c r="S32" s="340">
        <f t="shared" si="3"/>
        <v>2.770083102493075</v>
      </c>
      <c r="T32" s="12">
        <f t="shared" ref="T32:T69" si="8">FLOOR(S32,1)</f>
        <v>2</v>
      </c>
      <c r="U32" s="860">
        <f t="shared" ref="U32:U69" si="9">(1-(S32-T32))</f>
        <v>0.22991689750692501</v>
      </c>
      <c r="V32" s="861">
        <f t="shared" ref="V32:V69" si="10">$D$3-((S32-T32)*$D$3)</f>
        <v>82.999999999999943</v>
      </c>
      <c r="W32" s="861">
        <f t="shared" ref="W32:W69" si="11">$C$24*2</f>
        <v>120</v>
      </c>
      <c r="X32" s="861">
        <f t="shared" ref="X32:X69" si="12">IF(W32&gt;=V32,T32+1,T32)</f>
        <v>3</v>
      </c>
      <c r="Y32" s="2"/>
      <c r="Z32" s="12">
        <f t="shared" ref="Z32:Z69" si="13">Q32*X32</f>
        <v>6</v>
      </c>
      <c r="AA32" s="12">
        <f>Z32*$D$5</f>
        <v>1.2064620000000001</v>
      </c>
      <c r="AB32" s="12">
        <f t="shared" ref="AB32:AB69" si="14">(G32/1000)*(H32/1000)</f>
        <v>1.2</v>
      </c>
      <c r="AC32" s="864">
        <f t="shared" ref="AC32:AC69" si="15">IF(Z32&gt;0,AA32/AB32,0)</f>
        <v>1.0053850000000002</v>
      </c>
    </row>
    <row r="33" spans="3:29" x14ac:dyDescent="0.25">
      <c r="C33" s="850">
        <f>IF(Z33&gt;0,MAX(C31:C32)+1,0)</f>
        <v>3</v>
      </c>
      <c r="D33" s="851">
        <v>10</v>
      </c>
      <c r="E33" s="850">
        <v>3</v>
      </c>
      <c r="F33" s="851">
        <v>2</v>
      </c>
      <c r="G33" s="852">
        <v>1600</v>
      </c>
      <c r="H33" s="851">
        <v>1200</v>
      </c>
      <c r="I33" s="851">
        <v>2</v>
      </c>
      <c r="J33" s="851">
        <v>0</v>
      </c>
      <c r="L33" s="340">
        <f t="shared" si="2"/>
        <v>2.8725314183123878</v>
      </c>
      <c r="M33" s="12">
        <f t="shared" si="4"/>
        <v>2</v>
      </c>
      <c r="N33" s="860">
        <f t="shared" si="5"/>
        <v>0.12746858168761221</v>
      </c>
      <c r="O33" s="861">
        <f t="shared" ref="O33:O68" si="16">$D$4-((L33-M33)*$D$4)</f>
        <v>71</v>
      </c>
      <c r="P33" s="861">
        <f t="shared" si="6"/>
        <v>160</v>
      </c>
      <c r="Q33" s="861">
        <f t="shared" si="7"/>
        <v>3</v>
      </c>
      <c r="S33" s="340">
        <f t="shared" si="3"/>
        <v>3.3240997229916895</v>
      </c>
      <c r="T33" s="12">
        <f t="shared" si="8"/>
        <v>3</v>
      </c>
      <c r="U33" s="860">
        <f t="shared" si="9"/>
        <v>0.67590027700831046</v>
      </c>
      <c r="V33" s="861">
        <f t="shared" si="10"/>
        <v>244.00000000000006</v>
      </c>
      <c r="W33" s="861">
        <f t="shared" si="11"/>
        <v>120</v>
      </c>
      <c r="X33" s="861">
        <f t="shared" si="12"/>
        <v>3</v>
      </c>
      <c r="Y33" s="2"/>
      <c r="Z33" s="12">
        <f t="shared" si="13"/>
        <v>9</v>
      </c>
      <c r="AA33" s="12">
        <f t="shared" ref="AA33:AA69" si="17">Z33*$D$5</f>
        <v>1.809693</v>
      </c>
      <c r="AB33" s="12">
        <f t="shared" si="14"/>
        <v>1.92</v>
      </c>
      <c r="AC33" s="864">
        <f t="shared" si="15"/>
        <v>0.94254843750000006</v>
      </c>
    </row>
    <row r="34" spans="3:29" x14ac:dyDescent="0.25">
      <c r="C34" s="850">
        <f>IF(Z34&gt;0,MAX(C31:C33)+1,0)</f>
        <v>4</v>
      </c>
      <c r="D34" s="851">
        <v>10</v>
      </c>
      <c r="E34" s="850">
        <v>4</v>
      </c>
      <c r="F34" s="851">
        <v>2</v>
      </c>
      <c r="G34" s="851">
        <v>2400</v>
      </c>
      <c r="H34" s="851">
        <v>800</v>
      </c>
      <c r="I34" s="851">
        <v>2</v>
      </c>
      <c r="J34" s="851">
        <v>0</v>
      </c>
      <c r="L34" s="340">
        <f t="shared" si="2"/>
        <v>4.3087971274685817</v>
      </c>
      <c r="M34" s="12">
        <f t="shared" si="4"/>
        <v>4</v>
      </c>
      <c r="N34" s="860">
        <f t="shared" si="5"/>
        <v>0.69120287253141832</v>
      </c>
      <c r="O34" s="861">
        <f t="shared" si="16"/>
        <v>385</v>
      </c>
      <c r="P34" s="861">
        <f t="shared" si="6"/>
        <v>160</v>
      </c>
      <c r="Q34" s="861">
        <f t="shared" si="7"/>
        <v>4</v>
      </c>
      <c r="S34" s="340">
        <f t="shared" si="3"/>
        <v>2.21606648199446</v>
      </c>
      <c r="T34" s="12">
        <f t="shared" si="8"/>
        <v>2</v>
      </c>
      <c r="U34" s="860">
        <f t="shared" si="9"/>
        <v>0.78393351800554001</v>
      </c>
      <c r="V34" s="861">
        <f t="shared" si="10"/>
        <v>282.99999999999994</v>
      </c>
      <c r="W34" s="861">
        <f t="shared" si="11"/>
        <v>120</v>
      </c>
      <c r="X34" s="861">
        <f t="shared" si="12"/>
        <v>2</v>
      </c>
      <c r="Y34" s="2"/>
      <c r="Z34" s="12">
        <f t="shared" si="13"/>
        <v>8</v>
      </c>
      <c r="AA34" s="12">
        <f t="shared" si="17"/>
        <v>1.608616</v>
      </c>
      <c r="AB34" s="12">
        <f t="shared" si="14"/>
        <v>1.92</v>
      </c>
      <c r="AC34" s="864">
        <f t="shared" si="15"/>
        <v>0.83782083333333335</v>
      </c>
    </row>
    <row r="35" spans="3:29" x14ac:dyDescent="0.25">
      <c r="C35" s="850">
        <f>IF(Z35&gt;0,MAX(C31:C34)+1,0)</f>
        <v>5</v>
      </c>
      <c r="D35" s="851">
        <v>20</v>
      </c>
      <c r="E35" s="850">
        <v>5</v>
      </c>
      <c r="F35" s="851">
        <v>2</v>
      </c>
      <c r="G35" s="851">
        <v>2000</v>
      </c>
      <c r="H35" s="851">
        <v>1200</v>
      </c>
      <c r="I35" s="851">
        <v>0</v>
      </c>
      <c r="J35" s="851">
        <v>2</v>
      </c>
      <c r="L35" s="340">
        <f t="shared" si="2"/>
        <v>3.5906642728904847</v>
      </c>
      <c r="M35" s="12">
        <f t="shared" si="4"/>
        <v>3</v>
      </c>
      <c r="N35" s="860">
        <f t="shared" si="5"/>
        <v>0.40933572710951527</v>
      </c>
      <c r="O35" s="861">
        <f t="shared" si="16"/>
        <v>228</v>
      </c>
      <c r="P35" s="861">
        <f t="shared" si="6"/>
        <v>160</v>
      </c>
      <c r="Q35" s="861">
        <f t="shared" si="7"/>
        <v>3</v>
      </c>
      <c r="S35" s="340">
        <f t="shared" si="3"/>
        <v>3.3240997229916895</v>
      </c>
      <c r="T35" s="12">
        <f t="shared" si="8"/>
        <v>3</v>
      </c>
      <c r="U35" s="860">
        <f t="shared" si="9"/>
        <v>0.67590027700831046</v>
      </c>
      <c r="V35" s="861">
        <f t="shared" si="10"/>
        <v>244.00000000000006</v>
      </c>
      <c r="W35" s="861">
        <f t="shared" si="11"/>
        <v>120</v>
      </c>
      <c r="X35" s="861">
        <f t="shared" si="12"/>
        <v>3</v>
      </c>
      <c r="Y35" s="2"/>
      <c r="Z35" s="12">
        <f t="shared" si="13"/>
        <v>9</v>
      </c>
      <c r="AA35" s="12">
        <f t="shared" si="17"/>
        <v>1.809693</v>
      </c>
      <c r="AB35" s="12">
        <f t="shared" si="14"/>
        <v>2.4</v>
      </c>
      <c r="AC35" s="864">
        <f t="shared" si="15"/>
        <v>0.75403874999999998</v>
      </c>
    </row>
    <row r="36" spans="3:29" x14ac:dyDescent="0.25">
      <c r="C36" s="850">
        <f>IF(Z36&gt;0,MAX(C31:C35)+1,0)</f>
        <v>6</v>
      </c>
      <c r="D36" s="851">
        <v>20</v>
      </c>
      <c r="E36" s="850">
        <v>6</v>
      </c>
      <c r="F36" s="851">
        <v>2</v>
      </c>
      <c r="G36" s="851">
        <v>2400</v>
      </c>
      <c r="H36" s="851">
        <v>1000</v>
      </c>
      <c r="I36" s="851">
        <v>0</v>
      </c>
      <c r="J36" s="851">
        <v>2</v>
      </c>
      <c r="L36" s="340">
        <f t="shared" si="2"/>
        <v>4.3087971274685817</v>
      </c>
      <c r="M36" s="12">
        <f t="shared" si="4"/>
        <v>4</v>
      </c>
      <c r="N36" s="860">
        <f t="shared" si="5"/>
        <v>0.69120287253141832</v>
      </c>
      <c r="O36" s="861">
        <f t="shared" si="16"/>
        <v>385</v>
      </c>
      <c r="P36" s="861">
        <f t="shared" si="6"/>
        <v>160</v>
      </c>
      <c r="Q36" s="861">
        <f t="shared" si="7"/>
        <v>4</v>
      </c>
      <c r="S36" s="340">
        <f t="shared" si="3"/>
        <v>2.770083102493075</v>
      </c>
      <c r="T36" s="12">
        <f t="shared" si="8"/>
        <v>2</v>
      </c>
      <c r="U36" s="860">
        <f t="shared" si="9"/>
        <v>0.22991689750692501</v>
      </c>
      <c r="V36" s="861">
        <f t="shared" si="10"/>
        <v>82.999999999999943</v>
      </c>
      <c r="W36" s="861">
        <f t="shared" si="11"/>
        <v>120</v>
      </c>
      <c r="X36" s="861">
        <f t="shared" si="12"/>
        <v>3</v>
      </c>
      <c r="Y36" s="2"/>
      <c r="Z36" s="12">
        <f t="shared" si="13"/>
        <v>12</v>
      </c>
      <c r="AA36" s="12">
        <f t="shared" si="17"/>
        <v>2.4129240000000003</v>
      </c>
      <c r="AB36" s="12">
        <f t="shared" si="14"/>
        <v>2.4</v>
      </c>
      <c r="AC36" s="864">
        <f t="shared" si="15"/>
        <v>1.0053850000000002</v>
      </c>
    </row>
    <row r="37" spans="3:29" x14ac:dyDescent="0.25">
      <c r="C37" s="850">
        <f>IF(Z37&gt;0,MAX(C31:C36)+1,0)</f>
        <v>7</v>
      </c>
      <c r="D37" s="851">
        <v>10</v>
      </c>
      <c r="E37" s="850">
        <v>7</v>
      </c>
      <c r="F37" s="851">
        <v>3</v>
      </c>
      <c r="G37" s="851">
        <v>2400</v>
      </c>
      <c r="H37" s="851">
        <v>1200</v>
      </c>
      <c r="I37" s="851">
        <v>3</v>
      </c>
      <c r="J37" s="851">
        <v>0</v>
      </c>
      <c r="L37" s="340">
        <f t="shared" si="2"/>
        <v>4.3087971274685817</v>
      </c>
      <c r="M37" s="12">
        <f t="shared" si="4"/>
        <v>4</v>
      </c>
      <c r="N37" s="860">
        <f t="shared" si="5"/>
        <v>0.69120287253141832</v>
      </c>
      <c r="O37" s="861">
        <f t="shared" si="16"/>
        <v>385</v>
      </c>
      <c r="P37" s="861">
        <f t="shared" si="6"/>
        <v>160</v>
      </c>
      <c r="Q37" s="861">
        <f t="shared" si="7"/>
        <v>4</v>
      </c>
      <c r="S37" s="340">
        <f t="shared" si="3"/>
        <v>3.3240997229916895</v>
      </c>
      <c r="T37" s="12">
        <f t="shared" si="8"/>
        <v>3</v>
      </c>
      <c r="U37" s="860">
        <f t="shared" si="9"/>
        <v>0.67590027700831046</v>
      </c>
      <c r="V37" s="861">
        <f t="shared" si="10"/>
        <v>244.00000000000006</v>
      </c>
      <c r="W37" s="861">
        <f t="shared" si="11"/>
        <v>120</v>
      </c>
      <c r="X37" s="861">
        <f t="shared" si="12"/>
        <v>3</v>
      </c>
      <c r="Y37" s="2"/>
      <c r="Z37" s="12">
        <f t="shared" si="13"/>
        <v>12</v>
      </c>
      <c r="AA37" s="12">
        <f t="shared" si="17"/>
        <v>2.4129240000000003</v>
      </c>
      <c r="AB37" s="12">
        <f t="shared" si="14"/>
        <v>2.88</v>
      </c>
      <c r="AC37" s="864">
        <f t="shared" si="15"/>
        <v>0.83782083333333346</v>
      </c>
    </row>
    <row r="38" spans="3:29" x14ac:dyDescent="0.25">
      <c r="C38" s="850">
        <f>IF(Z38&gt;0,MAX(C31:C37)+1,0)</f>
        <v>8</v>
      </c>
      <c r="D38" s="851">
        <v>10</v>
      </c>
      <c r="E38" s="850">
        <v>8</v>
      </c>
      <c r="F38" s="851">
        <v>3</v>
      </c>
      <c r="G38" s="851">
        <v>3600</v>
      </c>
      <c r="H38" s="851">
        <v>800</v>
      </c>
      <c r="I38" s="851">
        <v>3</v>
      </c>
      <c r="J38" s="851">
        <v>0</v>
      </c>
      <c r="L38" s="340">
        <f t="shared" si="2"/>
        <v>6.4631956912028725</v>
      </c>
      <c r="M38" s="12">
        <f t="shared" si="4"/>
        <v>6</v>
      </c>
      <c r="N38" s="860">
        <f t="shared" si="5"/>
        <v>0.53680430879712748</v>
      </c>
      <c r="O38" s="861">
        <f t="shared" si="16"/>
        <v>299</v>
      </c>
      <c r="P38" s="861">
        <f t="shared" si="6"/>
        <v>160</v>
      </c>
      <c r="Q38" s="861">
        <f t="shared" si="7"/>
        <v>6</v>
      </c>
      <c r="S38" s="340">
        <f t="shared" si="3"/>
        <v>2.21606648199446</v>
      </c>
      <c r="T38" s="12">
        <f t="shared" si="8"/>
        <v>2</v>
      </c>
      <c r="U38" s="860">
        <f t="shared" si="9"/>
        <v>0.78393351800554001</v>
      </c>
      <c r="V38" s="861">
        <f t="shared" si="10"/>
        <v>282.99999999999994</v>
      </c>
      <c r="W38" s="861">
        <f t="shared" si="11"/>
        <v>120</v>
      </c>
      <c r="X38" s="861">
        <f t="shared" si="12"/>
        <v>2</v>
      </c>
      <c r="Y38" s="2"/>
      <c r="Z38" s="12">
        <f t="shared" si="13"/>
        <v>12</v>
      </c>
      <c r="AA38" s="12">
        <f t="shared" si="17"/>
        <v>2.4129240000000003</v>
      </c>
      <c r="AB38" s="12">
        <f t="shared" si="14"/>
        <v>2.8800000000000003</v>
      </c>
      <c r="AC38" s="864">
        <f t="shared" si="15"/>
        <v>0.83782083333333335</v>
      </c>
    </row>
    <row r="39" spans="3:29" x14ac:dyDescent="0.25">
      <c r="C39" s="850">
        <f>IF(Z39&gt;0,MAX(C31:C38)+1,0)</f>
        <v>9</v>
      </c>
      <c r="D39" s="851">
        <v>20</v>
      </c>
      <c r="E39" s="850">
        <v>9</v>
      </c>
      <c r="F39" s="851">
        <v>3</v>
      </c>
      <c r="G39" s="851">
        <v>3000</v>
      </c>
      <c r="H39" s="851">
        <v>1200</v>
      </c>
      <c r="I39" s="851">
        <v>0</v>
      </c>
      <c r="J39" s="851">
        <v>3</v>
      </c>
      <c r="L39" s="340">
        <f t="shared" si="2"/>
        <v>5.3859964093357275</v>
      </c>
      <c r="M39" s="12">
        <f t="shared" si="4"/>
        <v>5</v>
      </c>
      <c r="N39" s="860">
        <f t="shared" si="5"/>
        <v>0.61400359066427246</v>
      </c>
      <c r="O39" s="861">
        <f t="shared" si="16"/>
        <v>341.99999999999977</v>
      </c>
      <c r="P39" s="861">
        <f t="shared" si="6"/>
        <v>160</v>
      </c>
      <c r="Q39" s="861">
        <f t="shared" si="7"/>
        <v>5</v>
      </c>
      <c r="S39" s="340">
        <f t="shared" si="3"/>
        <v>3.3240997229916895</v>
      </c>
      <c r="T39" s="12">
        <f t="shared" si="8"/>
        <v>3</v>
      </c>
      <c r="U39" s="860">
        <f t="shared" si="9"/>
        <v>0.67590027700831046</v>
      </c>
      <c r="V39" s="861">
        <f t="shared" si="10"/>
        <v>244.00000000000006</v>
      </c>
      <c r="W39" s="861">
        <f t="shared" si="11"/>
        <v>120</v>
      </c>
      <c r="X39" s="861">
        <f t="shared" si="12"/>
        <v>3</v>
      </c>
      <c r="Y39" s="2"/>
      <c r="Z39" s="12">
        <f t="shared" si="13"/>
        <v>15</v>
      </c>
      <c r="AA39" s="12">
        <f t="shared" si="17"/>
        <v>3.0161549999999999</v>
      </c>
      <c r="AB39" s="12">
        <f t="shared" si="14"/>
        <v>3.5999999999999996</v>
      </c>
      <c r="AC39" s="864">
        <f t="shared" si="15"/>
        <v>0.83782083333333335</v>
      </c>
    </row>
    <row r="40" spans="3:29" x14ac:dyDescent="0.25">
      <c r="C40" s="850">
        <f>IF(Z40&gt;0,MAX(C31:C39)+1,0)</f>
        <v>10</v>
      </c>
      <c r="D40" s="851">
        <v>20</v>
      </c>
      <c r="E40" s="850">
        <v>10</v>
      </c>
      <c r="F40" s="851">
        <v>3</v>
      </c>
      <c r="G40" s="851">
        <v>3600</v>
      </c>
      <c r="H40" s="851">
        <v>1000</v>
      </c>
      <c r="I40" s="851">
        <v>0</v>
      </c>
      <c r="J40" s="851">
        <v>3</v>
      </c>
      <c r="L40" s="340">
        <f t="shared" si="2"/>
        <v>6.4631956912028725</v>
      </c>
      <c r="M40" s="12">
        <f t="shared" si="4"/>
        <v>6</v>
      </c>
      <c r="N40" s="860">
        <f t="shared" si="5"/>
        <v>0.53680430879712748</v>
      </c>
      <c r="O40" s="861">
        <f t="shared" si="16"/>
        <v>299</v>
      </c>
      <c r="P40" s="861">
        <f t="shared" si="6"/>
        <v>160</v>
      </c>
      <c r="Q40" s="861">
        <f t="shared" si="7"/>
        <v>6</v>
      </c>
      <c r="S40" s="340">
        <f t="shared" si="3"/>
        <v>2.770083102493075</v>
      </c>
      <c r="T40" s="12">
        <f t="shared" si="8"/>
        <v>2</v>
      </c>
      <c r="U40" s="860">
        <f t="shared" si="9"/>
        <v>0.22991689750692501</v>
      </c>
      <c r="V40" s="861">
        <f t="shared" si="10"/>
        <v>82.999999999999943</v>
      </c>
      <c r="W40" s="861">
        <f t="shared" si="11"/>
        <v>120</v>
      </c>
      <c r="X40" s="861">
        <f t="shared" si="12"/>
        <v>3</v>
      </c>
      <c r="Y40" s="2"/>
      <c r="Z40" s="12">
        <f t="shared" si="13"/>
        <v>18</v>
      </c>
      <c r="AA40" s="12">
        <f t="shared" si="17"/>
        <v>3.619386</v>
      </c>
      <c r="AB40" s="12">
        <f t="shared" si="14"/>
        <v>3.6</v>
      </c>
      <c r="AC40" s="864">
        <f t="shared" si="15"/>
        <v>1.005385</v>
      </c>
    </row>
    <row r="41" spans="3:29" x14ac:dyDescent="0.25">
      <c r="C41" s="850">
        <f>IF(Z41&gt;0,MAX(C31:C40)+1,0)</f>
        <v>11</v>
      </c>
      <c r="D41" s="851">
        <v>10</v>
      </c>
      <c r="E41" s="850">
        <v>11</v>
      </c>
      <c r="F41" s="851">
        <v>4</v>
      </c>
      <c r="G41" s="851">
        <v>2400</v>
      </c>
      <c r="H41" s="851">
        <v>1600</v>
      </c>
      <c r="I41" s="851">
        <v>4</v>
      </c>
      <c r="J41" s="851">
        <v>0</v>
      </c>
      <c r="L41" s="340">
        <f t="shared" si="2"/>
        <v>4.3087971274685817</v>
      </c>
      <c r="M41" s="12">
        <f t="shared" si="4"/>
        <v>4</v>
      </c>
      <c r="N41" s="860">
        <f t="shared" si="5"/>
        <v>0.69120287253141832</v>
      </c>
      <c r="O41" s="861">
        <f t="shared" si="16"/>
        <v>385</v>
      </c>
      <c r="P41" s="861">
        <f t="shared" si="6"/>
        <v>160</v>
      </c>
      <c r="Q41" s="861">
        <f t="shared" si="7"/>
        <v>4</v>
      </c>
      <c r="S41" s="340">
        <f t="shared" si="3"/>
        <v>4.43213296398892</v>
      </c>
      <c r="T41" s="12">
        <f t="shared" si="8"/>
        <v>4</v>
      </c>
      <c r="U41" s="860">
        <f t="shared" si="9"/>
        <v>0.56786703601108002</v>
      </c>
      <c r="V41" s="861">
        <f t="shared" si="10"/>
        <v>204.99999999999989</v>
      </c>
      <c r="W41" s="861">
        <f t="shared" si="11"/>
        <v>120</v>
      </c>
      <c r="X41" s="861">
        <f t="shared" si="12"/>
        <v>4</v>
      </c>
      <c r="Y41" s="2"/>
      <c r="Z41" s="12">
        <f t="shared" si="13"/>
        <v>16</v>
      </c>
      <c r="AA41" s="12">
        <f t="shared" si="17"/>
        <v>3.2172320000000001</v>
      </c>
      <c r="AB41" s="12">
        <f t="shared" si="14"/>
        <v>3.84</v>
      </c>
      <c r="AC41" s="864">
        <f t="shared" si="15"/>
        <v>0.83782083333333335</v>
      </c>
    </row>
    <row r="42" spans="3:29" x14ac:dyDescent="0.25">
      <c r="C42" s="850">
        <f>IF(Z42&gt;0,MAX(C31:C41)+1,0)</f>
        <v>12</v>
      </c>
      <c r="D42" s="851">
        <v>10</v>
      </c>
      <c r="E42" s="850">
        <v>12</v>
      </c>
      <c r="F42" s="851">
        <v>4</v>
      </c>
      <c r="G42" s="851">
        <v>3200</v>
      </c>
      <c r="H42" s="851">
        <v>1200</v>
      </c>
      <c r="I42" s="851">
        <v>4</v>
      </c>
      <c r="J42" s="851">
        <v>0</v>
      </c>
      <c r="L42" s="340">
        <f t="shared" si="2"/>
        <v>5.7450628366247756</v>
      </c>
      <c r="M42" s="12">
        <f t="shared" si="4"/>
        <v>5</v>
      </c>
      <c r="N42" s="860">
        <f t="shared" si="5"/>
        <v>0.25493716337522443</v>
      </c>
      <c r="O42" s="861">
        <f t="shared" si="16"/>
        <v>142</v>
      </c>
      <c r="P42" s="861">
        <f t="shared" si="6"/>
        <v>160</v>
      </c>
      <c r="Q42" s="861">
        <f t="shared" si="7"/>
        <v>6</v>
      </c>
      <c r="S42" s="340">
        <f t="shared" si="3"/>
        <v>3.3240997229916895</v>
      </c>
      <c r="T42" s="12">
        <f t="shared" si="8"/>
        <v>3</v>
      </c>
      <c r="U42" s="860">
        <f t="shared" si="9"/>
        <v>0.67590027700831046</v>
      </c>
      <c r="V42" s="861">
        <f t="shared" si="10"/>
        <v>244.00000000000006</v>
      </c>
      <c r="W42" s="861">
        <f t="shared" si="11"/>
        <v>120</v>
      </c>
      <c r="X42" s="861">
        <f t="shared" si="12"/>
        <v>3</v>
      </c>
      <c r="Y42" s="2"/>
      <c r="Z42" s="12">
        <f t="shared" si="13"/>
        <v>18</v>
      </c>
      <c r="AA42" s="12">
        <f t="shared" si="17"/>
        <v>3.619386</v>
      </c>
      <c r="AB42" s="12">
        <f t="shared" si="14"/>
        <v>3.84</v>
      </c>
      <c r="AC42" s="864">
        <f t="shared" si="15"/>
        <v>0.94254843750000006</v>
      </c>
    </row>
    <row r="43" spans="3:29" x14ac:dyDescent="0.25">
      <c r="C43" s="850">
        <f>IF(Z43&gt;0,MAX(C31:C42)+1,0)</f>
        <v>13</v>
      </c>
      <c r="D43" s="851">
        <v>10</v>
      </c>
      <c r="E43" s="850">
        <v>13</v>
      </c>
      <c r="F43" s="851">
        <v>4</v>
      </c>
      <c r="G43" s="851">
        <v>4800</v>
      </c>
      <c r="H43" s="851">
        <v>800</v>
      </c>
      <c r="I43" s="851">
        <v>4</v>
      </c>
      <c r="J43" s="851">
        <v>0</v>
      </c>
      <c r="L43" s="340">
        <f t="shared" si="2"/>
        <v>8.6175942549371634</v>
      </c>
      <c r="M43" s="12">
        <f t="shared" si="4"/>
        <v>8</v>
      </c>
      <c r="N43" s="860">
        <f t="shared" si="5"/>
        <v>0.38240574506283664</v>
      </c>
      <c r="O43" s="861">
        <f t="shared" si="16"/>
        <v>213</v>
      </c>
      <c r="P43" s="861">
        <f t="shared" si="6"/>
        <v>160</v>
      </c>
      <c r="Q43" s="861">
        <f t="shared" si="7"/>
        <v>8</v>
      </c>
      <c r="S43" s="340">
        <f t="shared" si="3"/>
        <v>2.21606648199446</v>
      </c>
      <c r="T43" s="12">
        <f t="shared" si="8"/>
        <v>2</v>
      </c>
      <c r="U43" s="860">
        <f t="shared" si="9"/>
        <v>0.78393351800554001</v>
      </c>
      <c r="V43" s="861">
        <f t="shared" si="10"/>
        <v>282.99999999999994</v>
      </c>
      <c r="W43" s="861">
        <f t="shared" si="11"/>
        <v>120</v>
      </c>
      <c r="X43" s="861">
        <f t="shared" si="12"/>
        <v>2</v>
      </c>
      <c r="Y43" s="2"/>
      <c r="Z43" s="12">
        <f t="shared" si="13"/>
        <v>16</v>
      </c>
      <c r="AA43" s="12">
        <f t="shared" si="17"/>
        <v>3.2172320000000001</v>
      </c>
      <c r="AB43" s="12">
        <f t="shared" si="14"/>
        <v>3.84</v>
      </c>
      <c r="AC43" s="864">
        <f t="shared" si="15"/>
        <v>0.83782083333333335</v>
      </c>
    </row>
    <row r="44" spans="3:29" x14ac:dyDescent="0.25">
      <c r="C44" s="850">
        <f>IF(Z44&gt;0,MAX(C31:C43)+1,0)</f>
        <v>14</v>
      </c>
      <c r="D44" s="851">
        <v>20</v>
      </c>
      <c r="E44" s="850">
        <v>14</v>
      </c>
      <c r="F44" s="851">
        <v>4</v>
      </c>
      <c r="G44" s="851">
        <v>2400</v>
      </c>
      <c r="H44" s="851">
        <v>2000</v>
      </c>
      <c r="I44" s="851">
        <v>0</v>
      </c>
      <c r="J44" s="851">
        <v>4</v>
      </c>
      <c r="L44" s="340">
        <f t="shared" si="2"/>
        <v>4.3087971274685817</v>
      </c>
      <c r="M44" s="12">
        <f t="shared" si="4"/>
        <v>4</v>
      </c>
      <c r="N44" s="860">
        <f t="shared" si="5"/>
        <v>0.69120287253141832</v>
      </c>
      <c r="O44" s="861">
        <f t="shared" si="16"/>
        <v>385</v>
      </c>
      <c r="P44" s="861">
        <f t="shared" si="6"/>
        <v>160</v>
      </c>
      <c r="Q44" s="861">
        <f t="shared" si="7"/>
        <v>4</v>
      </c>
      <c r="S44" s="340">
        <f t="shared" si="3"/>
        <v>5.54016620498615</v>
      </c>
      <c r="T44" s="12">
        <f t="shared" si="8"/>
        <v>5</v>
      </c>
      <c r="U44" s="860">
        <f t="shared" si="9"/>
        <v>0.45983379501385002</v>
      </c>
      <c r="V44" s="861">
        <f t="shared" si="10"/>
        <v>165.99999999999986</v>
      </c>
      <c r="W44" s="861">
        <f t="shared" si="11"/>
        <v>120</v>
      </c>
      <c r="X44" s="861">
        <f t="shared" si="12"/>
        <v>5</v>
      </c>
      <c r="Y44" s="2"/>
      <c r="Z44" s="12">
        <f t="shared" si="13"/>
        <v>20</v>
      </c>
      <c r="AA44" s="12">
        <f t="shared" si="17"/>
        <v>4.0215399999999999</v>
      </c>
      <c r="AB44" s="12">
        <f t="shared" si="14"/>
        <v>4.8</v>
      </c>
      <c r="AC44" s="864">
        <f t="shared" si="15"/>
        <v>0.83782083333333335</v>
      </c>
    </row>
    <row r="45" spans="3:29" x14ac:dyDescent="0.25">
      <c r="C45" s="850">
        <f>IF(Z45&gt;0,MAX(C31:C44)+1,0)</f>
        <v>15</v>
      </c>
      <c r="D45" s="851">
        <v>20</v>
      </c>
      <c r="E45" s="850">
        <v>15</v>
      </c>
      <c r="F45" s="851">
        <v>4</v>
      </c>
      <c r="G45" s="851">
        <v>4000</v>
      </c>
      <c r="H45" s="851">
        <v>1200</v>
      </c>
      <c r="I45" s="851">
        <v>0</v>
      </c>
      <c r="J45" s="851">
        <v>4</v>
      </c>
      <c r="L45" s="340">
        <f t="shared" si="2"/>
        <v>7.1813285457809695</v>
      </c>
      <c r="M45" s="12">
        <f t="shared" si="4"/>
        <v>7</v>
      </c>
      <c r="N45" s="860">
        <f t="shared" si="5"/>
        <v>0.81867145421903054</v>
      </c>
      <c r="O45" s="861">
        <f t="shared" si="16"/>
        <v>456</v>
      </c>
      <c r="P45" s="861">
        <f t="shared" si="6"/>
        <v>160</v>
      </c>
      <c r="Q45" s="861">
        <f t="shared" si="7"/>
        <v>7</v>
      </c>
      <c r="S45" s="340">
        <f t="shared" si="3"/>
        <v>3.3240997229916895</v>
      </c>
      <c r="T45" s="12">
        <f t="shared" si="8"/>
        <v>3</v>
      </c>
      <c r="U45" s="860">
        <f t="shared" si="9"/>
        <v>0.67590027700831046</v>
      </c>
      <c r="V45" s="861">
        <f t="shared" si="10"/>
        <v>244.00000000000006</v>
      </c>
      <c r="W45" s="861">
        <f t="shared" si="11"/>
        <v>120</v>
      </c>
      <c r="X45" s="861">
        <f t="shared" si="12"/>
        <v>3</v>
      </c>
      <c r="Y45" s="2"/>
      <c r="Z45" s="12">
        <f t="shared" si="13"/>
        <v>21</v>
      </c>
      <c r="AA45" s="12">
        <f t="shared" si="17"/>
        <v>4.2226170000000005</v>
      </c>
      <c r="AB45" s="12">
        <f t="shared" si="14"/>
        <v>4.8</v>
      </c>
      <c r="AC45" s="864">
        <f t="shared" si="15"/>
        <v>0.87971187500000014</v>
      </c>
    </row>
    <row r="46" spans="3:29" x14ac:dyDescent="0.25">
      <c r="C46" s="850">
        <f>IF(Z46&gt;0,MAX(C31:C45)+1,0)</f>
        <v>16</v>
      </c>
      <c r="D46" s="851">
        <v>10</v>
      </c>
      <c r="E46" s="850">
        <v>16</v>
      </c>
      <c r="F46" s="851">
        <v>5</v>
      </c>
      <c r="G46" s="851">
        <v>4000</v>
      </c>
      <c r="H46" s="851">
        <v>1200</v>
      </c>
      <c r="I46" s="851">
        <v>5</v>
      </c>
      <c r="J46" s="851">
        <v>0</v>
      </c>
      <c r="L46" s="340">
        <f t="shared" si="2"/>
        <v>7.1813285457809695</v>
      </c>
      <c r="M46" s="12">
        <f t="shared" si="4"/>
        <v>7</v>
      </c>
      <c r="N46" s="860">
        <f t="shared" si="5"/>
        <v>0.81867145421903054</v>
      </c>
      <c r="O46" s="861">
        <f t="shared" si="16"/>
        <v>456</v>
      </c>
      <c r="P46" s="861">
        <f t="shared" si="6"/>
        <v>160</v>
      </c>
      <c r="Q46" s="861">
        <f t="shared" si="7"/>
        <v>7</v>
      </c>
      <c r="S46" s="340">
        <f t="shared" si="3"/>
        <v>3.3240997229916895</v>
      </c>
      <c r="T46" s="12">
        <f t="shared" si="8"/>
        <v>3</v>
      </c>
      <c r="U46" s="860">
        <f t="shared" si="9"/>
        <v>0.67590027700831046</v>
      </c>
      <c r="V46" s="861">
        <f t="shared" si="10"/>
        <v>244.00000000000006</v>
      </c>
      <c r="W46" s="861">
        <f t="shared" si="11"/>
        <v>120</v>
      </c>
      <c r="X46" s="861">
        <f t="shared" si="12"/>
        <v>3</v>
      </c>
      <c r="Y46" s="2"/>
      <c r="Z46" s="12">
        <f t="shared" si="13"/>
        <v>21</v>
      </c>
      <c r="AA46" s="12">
        <f t="shared" si="17"/>
        <v>4.2226170000000005</v>
      </c>
      <c r="AB46" s="12">
        <f t="shared" si="14"/>
        <v>4.8</v>
      </c>
      <c r="AC46" s="864">
        <f t="shared" si="15"/>
        <v>0.87971187500000014</v>
      </c>
    </row>
    <row r="47" spans="3:29" x14ac:dyDescent="0.25">
      <c r="C47" s="850">
        <f>IF(Z47&gt;0,MAX(C31:C46)+1,0)</f>
        <v>17</v>
      </c>
      <c r="D47" s="851">
        <v>20</v>
      </c>
      <c r="E47" s="850">
        <v>17</v>
      </c>
      <c r="F47" s="851">
        <v>4</v>
      </c>
      <c r="G47" s="851">
        <v>4800</v>
      </c>
      <c r="H47" s="851">
        <v>1000</v>
      </c>
      <c r="I47" s="851">
        <v>0</v>
      </c>
      <c r="J47" s="851">
        <v>4</v>
      </c>
      <c r="L47" s="340">
        <f t="shared" si="2"/>
        <v>8.6175942549371634</v>
      </c>
      <c r="M47" s="12">
        <f t="shared" si="4"/>
        <v>8</v>
      </c>
      <c r="N47" s="860">
        <f t="shared" si="5"/>
        <v>0.38240574506283664</v>
      </c>
      <c r="O47" s="861">
        <f t="shared" si="16"/>
        <v>213</v>
      </c>
      <c r="P47" s="861">
        <f t="shared" si="6"/>
        <v>160</v>
      </c>
      <c r="Q47" s="861">
        <f t="shared" si="7"/>
        <v>8</v>
      </c>
      <c r="S47" s="340">
        <f t="shared" si="3"/>
        <v>2.770083102493075</v>
      </c>
      <c r="T47" s="12">
        <f t="shared" si="8"/>
        <v>2</v>
      </c>
      <c r="U47" s="860">
        <f t="shared" si="9"/>
        <v>0.22991689750692501</v>
      </c>
      <c r="V47" s="861">
        <f t="shared" si="10"/>
        <v>82.999999999999943</v>
      </c>
      <c r="W47" s="861">
        <f t="shared" si="11"/>
        <v>120</v>
      </c>
      <c r="X47" s="861">
        <f t="shared" si="12"/>
        <v>3</v>
      </c>
      <c r="Y47" s="2"/>
      <c r="Z47" s="12">
        <f t="shared" si="13"/>
        <v>24</v>
      </c>
      <c r="AA47" s="12">
        <f t="shared" si="17"/>
        <v>4.8258480000000006</v>
      </c>
      <c r="AB47" s="12">
        <f t="shared" si="14"/>
        <v>4.8</v>
      </c>
      <c r="AC47" s="864">
        <f t="shared" si="15"/>
        <v>1.0053850000000002</v>
      </c>
    </row>
    <row r="48" spans="3:29" x14ac:dyDescent="0.25">
      <c r="C48" s="850">
        <f>IF(Z48&gt;0,MAX(C31:C47)+1,0)</f>
        <v>18</v>
      </c>
      <c r="D48" s="851">
        <v>10</v>
      </c>
      <c r="E48" s="850">
        <v>18</v>
      </c>
      <c r="F48" s="851">
        <v>5</v>
      </c>
      <c r="G48" s="851">
        <v>6000</v>
      </c>
      <c r="H48" s="851">
        <v>800</v>
      </c>
      <c r="I48" s="851">
        <v>5</v>
      </c>
      <c r="J48" s="851">
        <v>0</v>
      </c>
      <c r="L48" s="340">
        <f t="shared" si="2"/>
        <v>10.771992818671455</v>
      </c>
      <c r="M48" s="12">
        <f t="shared" si="4"/>
        <v>10</v>
      </c>
      <c r="N48" s="860">
        <f t="shared" si="5"/>
        <v>0.22800718132854492</v>
      </c>
      <c r="O48" s="861">
        <f t="shared" si="16"/>
        <v>126.99999999999955</v>
      </c>
      <c r="P48" s="861">
        <f t="shared" si="6"/>
        <v>160</v>
      </c>
      <c r="Q48" s="861">
        <f t="shared" si="7"/>
        <v>11</v>
      </c>
      <c r="S48" s="340">
        <f t="shared" si="3"/>
        <v>2.21606648199446</v>
      </c>
      <c r="T48" s="12">
        <f t="shared" si="8"/>
        <v>2</v>
      </c>
      <c r="U48" s="860">
        <f t="shared" si="9"/>
        <v>0.78393351800554001</v>
      </c>
      <c r="V48" s="861">
        <f t="shared" si="10"/>
        <v>282.99999999999994</v>
      </c>
      <c r="W48" s="861">
        <f t="shared" si="11"/>
        <v>120</v>
      </c>
      <c r="X48" s="861">
        <f t="shared" si="12"/>
        <v>2</v>
      </c>
      <c r="Y48" s="2"/>
      <c r="Z48" s="12">
        <f t="shared" si="13"/>
        <v>22</v>
      </c>
      <c r="AA48" s="12">
        <f t="shared" si="17"/>
        <v>4.4236940000000002</v>
      </c>
      <c r="AB48" s="12">
        <f t="shared" si="14"/>
        <v>4.8000000000000007</v>
      </c>
      <c r="AC48" s="864">
        <f t="shared" si="15"/>
        <v>0.92160291666666661</v>
      </c>
    </row>
    <row r="49" spans="3:29" x14ac:dyDescent="0.25">
      <c r="C49" s="850">
        <f>IF(Z49&gt;0,MAX(C31:C48)+1,0)</f>
        <v>19</v>
      </c>
      <c r="D49" s="851">
        <v>10</v>
      </c>
      <c r="E49" s="850">
        <v>19</v>
      </c>
      <c r="F49" s="851">
        <v>6</v>
      </c>
      <c r="G49" s="851">
        <v>2400</v>
      </c>
      <c r="H49" s="851">
        <v>2400</v>
      </c>
      <c r="I49" s="851">
        <v>6</v>
      </c>
      <c r="J49" s="851">
        <v>0</v>
      </c>
      <c r="L49" s="340">
        <f t="shared" si="2"/>
        <v>4.3087971274685817</v>
      </c>
      <c r="M49" s="12">
        <f t="shared" si="4"/>
        <v>4</v>
      </c>
      <c r="N49" s="860">
        <f t="shared" si="5"/>
        <v>0.69120287253141832</v>
      </c>
      <c r="O49" s="861">
        <f t="shared" si="16"/>
        <v>385</v>
      </c>
      <c r="P49" s="861">
        <f t="shared" si="6"/>
        <v>160</v>
      </c>
      <c r="Q49" s="861">
        <f t="shared" si="7"/>
        <v>4</v>
      </c>
      <c r="S49" s="340">
        <f t="shared" si="3"/>
        <v>6.6481994459833791</v>
      </c>
      <c r="T49" s="12">
        <f t="shared" si="8"/>
        <v>6</v>
      </c>
      <c r="U49" s="860">
        <f t="shared" si="9"/>
        <v>0.35180055401662091</v>
      </c>
      <c r="V49" s="861">
        <f t="shared" si="10"/>
        <v>127.00000000000014</v>
      </c>
      <c r="W49" s="861">
        <f t="shared" si="11"/>
        <v>120</v>
      </c>
      <c r="X49" s="861">
        <f t="shared" si="12"/>
        <v>6</v>
      </c>
      <c r="Y49" s="2"/>
      <c r="Z49" s="12">
        <f t="shared" si="13"/>
        <v>24</v>
      </c>
      <c r="AA49" s="12">
        <f t="shared" si="17"/>
        <v>4.8258480000000006</v>
      </c>
      <c r="AB49" s="12">
        <f t="shared" si="14"/>
        <v>5.76</v>
      </c>
      <c r="AC49" s="864">
        <f t="shared" si="15"/>
        <v>0.83782083333333346</v>
      </c>
    </row>
    <row r="50" spans="3:29" x14ac:dyDescent="0.25">
      <c r="C50" s="850">
        <f>IF(Z50&gt;0,MAX(C31:C49)+1,0)</f>
        <v>20</v>
      </c>
      <c r="D50" s="851">
        <v>10</v>
      </c>
      <c r="E50" s="850">
        <v>20</v>
      </c>
      <c r="F50" s="851">
        <v>6</v>
      </c>
      <c r="G50" s="851">
        <v>4800</v>
      </c>
      <c r="H50" s="851">
        <v>1200</v>
      </c>
      <c r="I50" s="851">
        <v>6</v>
      </c>
      <c r="J50" s="851">
        <v>0</v>
      </c>
      <c r="L50" s="340">
        <f t="shared" si="2"/>
        <v>8.6175942549371634</v>
      </c>
      <c r="M50" s="12">
        <f t="shared" si="4"/>
        <v>8</v>
      </c>
      <c r="N50" s="860">
        <f t="shared" si="5"/>
        <v>0.38240574506283664</v>
      </c>
      <c r="O50" s="861">
        <f t="shared" si="16"/>
        <v>213</v>
      </c>
      <c r="P50" s="861">
        <f t="shared" si="6"/>
        <v>160</v>
      </c>
      <c r="Q50" s="861">
        <f t="shared" si="7"/>
        <v>8</v>
      </c>
      <c r="S50" s="340">
        <f t="shared" si="3"/>
        <v>3.3240997229916895</v>
      </c>
      <c r="T50" s="12">
        <f t="shared" si="8"/>
        <v>3</v>
      </c>
      <c r="U50" s="860">
        <f t="shared" si="9"/>
        <v>0.67590027700831046</v>
      </c>
      <c r="V50" s="861">
        <f t="shared" si="10"/>
        <v>244.00000000000006</v>
      </c>
      <c r="W50" s="861">
        <f t="shared" si="11"/>
        <v>120</v>
      </c>
      <c r="X50" s="861">
        <f t="shared" si="12"/>
        <v>3</v>
      </c>
      <c r="Y50" s="2"/>
      <c r="Z50" s="12">
        <f t="shared" si="13"/>
        <v>24</v>
      </c>
      <c r="AA50" s="12">
        <f t="shared" si="17"/>
        <v>4.8258480000000006</v>
      </c>
      <c r="AB50" s="12">
        <f t="shared" si="14"/>
        <v>5.76</v>
      </c>
      <c r="AC50" s="864">
        <f t="shared" si="15"/>
        <v>0.83782083333333346</v>
      </c>
    </row>
    <row r="51" spans="3:29" x14ac:dyDescent="0.25">
      <c r="C51" s="850">
        <f>IF(Z51&gt;0,MAX(C31:C50)+1,0)</f>
        <v>21</v>
      </c>
      <c r="D51" s="851">
        <v>10</v>
      </c>
      <c r="E51" s="850">
        <v>21</v>
      </c>
      <c r="F51" s="851">
        <v>6</v>
      </c>
      <c r="G51" s="851">
        <v>3600</v>
      </c>
      <c r="H51" s="851">
        <v>1600</v>
      </c>
      <c r="I51" s="851">
        <v>6</v>
      </c>
      <c r="J51" s="851">
        <v>0</v>
      </c>
      <c r="L51" s="340">
        <f t="shared" si="2"/>
        <v>6.4631956912028725</v>
      </c>
      <c r="M51" s="12">
        <f t="shared" si="4"/>
        <v>6</v>
      </c>
      <c r="N51" s="860">
        <f t="shared" si="5"/>
        <v>0.53680430879712748</v>
      </c>
      <c r="O51" s="861">
        <f t="shared" si="16"/>
        <v>299</v>
      </c>
      <c r="P51" s="861">
        <f t="shared" si="6"/>
        <v>160</v>
      </c>
      <c r="Q51" s="861">
        <f t="shared" si="7"/>
        <v>6</v>
      </c>
      <c r="S51" s="340">
        <f t="shared" si="3"/>
        <v>4.43213296398892</v>
      </c>
      <c r="T51" s="12">
        <f t="shared" si="8"/>
        <v>4</v>
      </c>
      <c r="U51" s="860">
        <f t="shared" si="9"/>
        <v>0.56786703601108002</v>
      </c>
      <c r="V51" s="861">
        <f t="shared" si="10"/>
        <v>204.99999999999989</v>
      </c>
      <c r="W51" s="861">
        <f t="shared" si="11"/>
        <v>120</v>
      </c>
      <c r="X51" s="861">
        <f t="shared" si="12"/>
        <v>4</v>
      </c>
      <c r="Y51" s="2"/>
      <c r="Z51" s="12">
        <f t="shared" si="13"/>
        <v>24</v>
      </c>
      <c r="AA51" s="12">
        <f t="shared" si="17"/>
        <v>4.8258480000000006</v>
      </c>
      <c r="AB51" s="12">
        <f t="shared" si="14"/>
        <v>5.7600000000000007</v>
      </c>
      <c r="AC51" s="864">
        <f t="shared" si="15"/>
        <v>0.83782083333333335</v>
      </c>
    </row>
    <row r="52" spans="3:29" x14ac:dyDescent="0.25">
      <c r="C52" s="850">
        <f>IF(Z52&gt;0,MAX(C31:C51)+1,0)</f>
        <v>22</v>
      </c>
      <c r="D52" s="851">
        <v>20</v>
      </c>
      <c r="E52" s="850">
        <v>22</v>
      </c>
      <c r="F52" s="851">
        <v>5</v>
      </c>
      <c r="G52" s="851">
        <v>5000</v>
      </c>
      <c r="H52" s="851">
        <v>1200</v>
      </c>
      <c r="I52" s="851">
        <v>0</v>
      </c>
      <c r="J52" s="851">
        <v>5</v>
      </c>
      <c r="L52" s="340">
        <f t="shared" si="2"/>
        <v>8.9766606822262123</v>
      </c>
      <c r="M52" s="12">
        <f t="shared" si="4"/>
        <v>8</v>
      </c>
      <c r="N52" s="860">
        <f t="shared" si="5"/>
        <v>2.3339317773787727E-2</v>
      </c>
      <c r="O52" s="861">
        <f t="shared" si="16"/>
        <v>12.999999999999773</v>
      </c>
      <c r="P52" s="861">
        <f t="shared" si="6"/>
        <v>160</v>
      </c>
      <c r="Q52" s="861">
        <f t="shared" si="7"/>
        <v>9</v>
      </c>
      <c r="S52" s="340">
        <f t="shared" si="3"/>
        <v>3.3240997229916895</v>
      </c>
      <c r="T52" s="12">
        <f t="shared" si="8"/>
        <v>3</v>
      </c>
      <c r="U52" s="860">
        <f t="shared" si="9"/>
        <v>0.67590027700831046</v>
      </c>
      <c r="V52" s="861">
        <f t="shared" si="10"/>
        <v>244.00000000000006</v>
      </c>
      <c r="W52" s="861">
        <f t="shared" si="11"/>
        <v>120</v>
      </c>
      <c r="X52" s="861">
        <f t="shared" si="12"/>
        <v>3</v>
      </c>
      <c r="Y52" s="2"/>
      <c r="Z52" s="12">
        <f t="shared" si="13"/>
        <v>27</v>
      </c>
      <c r="AA52" s="12">
        <f t="shared" si="17"/>
        <v>5.4290789999999998</v>
      </c>
      <c r="AB52" s="12">
        <f t="shared" si="14"/>
        <v>6</v>
      </c>
      <c r="AC52" s="864">
        <f t="shared" si="15"/>
        <v>0.9048465</v>
      </c>
    </row>
    <row r="53" spans="3:29" x14ac:dyDescent="0.25">
      <c r="C53" s="850">
        <f>IF(Z53&gt;0,MAX(C31:C52)+1,0)</f>
        <v>23</v>
      </c>
      <c r="D53" s="851">
        <v>20</v>
      </c>
      <c r="E53" s="850">
        <v>23</v>
      </c>
      <c r="F53" s="851">
        <v>5</v>
      </c>
      <c r="G53" s="851">
        <v>6000</v>
      </c>
      <c r="H53" s="851">
        <v>1000</v>
      </c>
      <c r="I53" s="851">
        <v>0</v>
      </c>
      <c r="J53" s="851">
        <v>5</v>
      </c>
      <c r="L53" s="340">
        <f t="shared" si="2"/>
        <v>10.771992818671455</v>
      </c>
      <c r="M53" s="12">
        <f t="shared" si="4"/>
        <v>10</v>
      </c>
      <c r="N53" s="860">
        <f t="shared" si="5"/>
        <v>0.22800718132854492</v>
      </c>
      <c r="O53" s="861">
        <f t="shared" si="16"/>
        <v>126.99999999999955</v>
      </c>
      <c r="P53" s="861">
        <f t="shared" si="6"/>
        <v>160</v>
      </c>
      <c r="Q53" s="861">
        <f t="shared" si="7"/>
        <v>11</v>
      </c>
      <c r="S53" s="340">
        <f t="shared" si="3"/>
        <v>2.770083102493075</v>
      </c>
      <c r="T53" s="12">
        <f t="shared" si="8"/>
        <v>2</v>
      </c>
      <c r="U53" s="860">
        <f t="shared" si="9"/>
        <v>0.22991689750692501</v>
      </c>
      <c r="V53" s="861">
        <f t="shared" si="10"/>
        <v>82.999999999999943</v>
      </c>
      <c r="W53" s="861">
        <f t="shared" si="11"/>
        <v>120</v>
      </c>
      <c r="X53" s="861">
        <f t="shared" si="12"/>
        <v>3</v>
      </c>
      <c r="Y53" s="2"/>
      <c r="Z53" s="12">
        <f t="shared" si="13"/>
        <v>33</v>
      </c>
      <c r="AA53" s="12">
        <f t="shared" si="17"/>
        <v>6.6355409999999999</v>
      </c>
      <c r="AB53" s="12">
        <f t="shared" si="14"/>
        <v>6</v>
      </c>
      <c r="AC53" s="864">
        <f t="shared" si="15"/>
        <v>1.1059235000000001</v>
      </c>
    </row>
    <row r="54" spans="3:29" x14ac:dyDescent="0.25">
      <c r="C54" s="850">
        <f>IF(Z54&gt;0,MAX(C31:C53)+1,0)</f>
        <v>24</v>
      </c>
      <c r="D54" s="851">
        <v>20</v>
      </c>
      <c r="E54" s="850">
        <v>24</v>
      </c>
      <c r="F54" s="851">
        <v>6</v>
      </c>
      <c r="G54" s="851">
        <v>6000</v>
      </c>
      <c r="H54" s="851">
        <v>1200</v>
      </c>
      <c r="I54" s="851">
        <v>0</v>
      </c>
      <c r="J54" s="851">
        <v>6</v>
      </c>
      <c r="L54" s="340">
        <f t="shared" si="2"/>
        <v>10.771992818671455</v>
      </c>
      <c r="M54" s="12">
        <f t="shared" si="4"/>
        <v>10</v>
      </c>
      <c r="N54" s="860">
        <f t="shared" si="5"/>
        <v>0.22800718132854492</v>
      </c>
      <c r="O54" s="861">
        <f t="shared" si="16"/>
        <v>126.99999999999955</v>
      </c>
      <c r="P54" s="861">
        <f t="shared" si="6"/>
        <v>160</v>
      </c>
      <c r="Q54" s="861">
        <f t="shared" si="7"/>
        <v>11</v>
      </c>
      <c r="S54" s="340">
        <f t="shared" si="3"/>
        <v>3.3240997229916895</v>
      </c>
      <c r="T54" s="12">
        <f t="shared" si="8"/>
        <v>3</v>
      </c>
      <c r="U54" s="860">
        <f t="shared" si="9"/>
        <v>0.67590027700831046</v>
      </c>
      <c r="V54" s="861">
        <f t="shared" si="10"/>
        <v>244.00000000000006</v>
      </c>
      <c r="W54" s="861">
        <f t="shared" si="11"/>
        <v>120</v>
      </c>
      <c r="X54" s="861">
        <f t="shared" si="12"/>
        <v>3</v>
      </c>
      <c r="Y54" s="2"/>
      <c r="Z54" s="12">
        <f t="shared" si="13"/>
        <v>33</v>
      </c>
      <c r="AA54" s="12">
        <f t="shared" si="17"/>
        <v>6.6355409999999999</v>
      </c>
      <c r="AB54" s="12">
        <f t="shared" si="14"/>
        <v>7.1999999999999993</v>
      </c>
      <c r="AC54" s="864">
        <f t="shared" si="15"/>
        <v>0.92160291666666672</v>
      </c>
    </row>
    <row r="55" spans="3:29" x14ac:dyDescent="0.25">
      <c r="C55" s="850">
        <f>IF(Z55&gt;0,MAX(C31:C54)+1,0)</f>
        <v>25</v>
      </c>
      <c r="D55" s="851">
        <v>20</v>
      </c>
      <c r="E55" s="850">
        <v>25</v>
      </c>
      <c r="F55" s="851">
        <v>6</v>
      </c>
      <c r="G55" s="851">
        <v>3000</v>
      </c>
      <c r="H55" s="851">
        <v>2400</v>
      </c>
      <c r="I55" s="851">
        <v>0</v>
      </c>
      <c r="J55" s="851">
        <v>6</v>
      </c>
      <c r="L55" s="340">
        <f t="shared" si="2"/>
        <v>5.3859964093357275</v>
      </c>
      <c r="M55" s="12">
        <f t="shared" si="4"/>
        <v>5</v>
      </c>
      <c r="N55" s="860">
        <f t="shared" si="5"/>
        <v>0.61400359066427246</v>
      </c>
      <c r="O55" s="861">
        <f t="shared" si="16"/>
        <v>341.99999999999977</v>
      </c>
      <c r="P55" s="861">
        <f t="shared" si="6"/>
        <v>160</v>
      </c>
      <c r="Q55" s="861">
        <f t="shared" si="7"/>
        <v>5</v>
      </c>
      <c r="S55" s="340">
        <f t="shared" si="3"/>
        <v>6.6481994459833791</v>
      </c>
      <c r="T55" s="12">
        <f t="shared" si="8"/>
        <v>6</v>
      </c>
      <c r="U55" s="860">
        <f t="shared" si="9"/>
        <v>0.35180055401662091</v>
      </c>
      <c r="V55" s="861">
        <f t="shared" si="10"/>
        <v>127.00000000000014</v>
      </c>
      <c r="W55" s="861">
        <f t="shared" si="11"/>
        <v>120</v>
      </c>
      <c r="X55" s="861">
        <f t="shared" si="12"/>
        <v>6</v>
      </c>
      <c r="Y55" s="2"/>
      <c r="Z55" s="12">
        <f t="shared" si="13"/>
        <v>30</v>
      </c>
      <c r="AA55" s="12">
        <f t="shared" si="17"/>
        <v>6.0323099999999998</v>
      </c>
      <c r="AB55" s="12">
        <f t="shared" si="14"/>
        <v>7.1999999999999993</v>
      </c>
      <c r="AC55" s="864">
        <f t="shared" si="15"/>
        <v>0.83782083333333335</v>
      </c>
    </row>
    <row r="56" spans="3:29" x14ac:dyDescent="0.25">
      <c r="C56" s="850">
        <f>IF(Z56&gt;0,MAX(C31:C55)+1,0)</f>
        <v>26</v>
      </c>
      <c r="D56" s="851">
        <v>20</v>
      </c>
      <c r="E56" s="850">
        <v>26</v>
      </c>
      <c r="F56" s="851">
        <v>6</v>
      </c>
      <c r="G56" s="851">
        <v>3600</v>
      </c>
      <c r="H56" s="851">
        <v>2000</v>
      </c>
      <c r="I56" s="851">
        <v>0</v>
      </c>
      <c r="J56" s="851">
        <v>6</v>
      </c>
      <c r="L56" s="340">
        <f t="shared" si="2"/>
        <v>6.4631956912028725</v>
      </c>
      <c r="M56" s="12">
        <f t="shared" si="4"/>
        <v>6</v>
      </c>
      <c r="N56" s="860">
        <f t="shared" si="5"/>
        <v>0.53680430879712748</v>
      </c>
      <c r="O56" s="861">
        <f t="shared" si="16"/>
        <v>299</v>
      </c>
      <c r="P56" s="861">
        <f t="shared" si="6"/>
        <v>160</v>
      </c>
      <c r="Q56" s="861">
        <f t="shared" si="7"/>
        <v>6</v>
      </c>
      <c r="S56" s="340">
        <f t="shared" si="3"/>
        <v>5.54016620498615</v>
      </c>
      <c r="T56" s="12">
        <f t="shared" si="8"/>
        <v>5</v>
      </c>
      <c r="U56" s="860">
        <f t="shared" si="9"/>
        <v>0.45983379501385002</v>
      </c>
      <c r="V56" s="861">
        <f t="shared" si="10"/>
        <v>165.99999999999986</v>
      </c>
      <c r="W56" s="861">
        <f t="shared" si="11"/>
        <v>120</v>
      </c>
      <c r="X56" s="861">
        <f t="shared" si="12"/>
        <v>5</v>
      </c>
      <c r="Y56" s="2"/>
      <c r="Z56" s="12">
        <f t="shared" si="13"/>
        <v>30</v>
      </c>
      <c r="AA56" s="12">
        <f t="shared" si="17"/>
        <v>6.0323099999999998</v>
      </c>
      <c r="AB56" s="12">
        <f t="shared" si="14"/>
        <v>7.2</v>
      </c>
      <c r="AC56" s="864">
        <f t="shared" si="15"/>
        <v>0.83782083333333324</v>
      </c>
    </row>
    <row r="57" spans="3:29" x14ac:dyDescent="0.25">
      <c r="C57" s="850">
        <f>IF(Z57&gt;0,MAX(C31:C56)+1,0)</f>
        <v>27</v>
      </c>
      <c r="D57" s="851">
        <v>10</v>
      </c>
      <c r="E57" s="850">
        <v>27</v>
      </c>
      <c r="F57" s="851">
        <v>8</v>
      </c>
      <c r="G57" s="851">
        <v>6400</v>
      </c>
      <c r="H57" s="851">
        <v>1200</v>
      </c>
      <c r="I57" s="851">
        <v>8</v>
      </c>
      <c r="J57" s="851">
        <v>0</v>
      </c>
      <c r="L57" s="340">
        <f t="shared" si="2"/>
        <v>11.490125673249551</v>
      </c>
      <c r="M57" s="12">
        <f t="shared" si="4"/>
        <v>11</v>
      </c>
      <c r="N57" s="860">
        <f t="shared" si="5"/>
        <v>0.50987432675044886</v>
      </c>
      <c r="O57" s="861">
        <f t="shared" si="16"/>
        <v>284</v>
      </c>
      <c r="P57" s="861">
        <f t="shared" si="6"/>
        <v>160</v>
      </c>
      <c r="Q57" s="861">
        <f t="shared" si="7"/>
        <v>11</v>
      </c>
      <c r="S57" s="340">
        <f t="shared" si="3"/>
        <v>3.3240997229916895</v>
      </c>
      <c r="T57" s="12">
        <f t="shared" si="8"/>
        <v>3</v>
      </c>
      <c r="U57" s="860">
        <f t="shared" si="9"/>
        <v>0.67590027700831046</v>
      </c>
      <c r="V57" s="861">
        <f t="shared" si="10"/>
        <v>244.00000000000006</v>
      </c>
      <c r="W57" s="861">
        <f t="shared" si="11"/>
        <v>120</v>
      </c>
      <c r="X57" s="861">
        <f t="shared" si="12"/>
        <v>3</v>
      </c>
      <c r="Y57" s="2"/>
      <c r="Z57" s="12">
        <f t="shared" si="13"/>
        <v>33</v>
      </c>
      <c r="AA57" s="12">
        <f t="shared" si="17"/>
        <v>6.6355409999999999</v>
      </c>
      <c r="AB57" s="12">
        <f t="shared" si="14"/>
        <v>7.68</v>
      </c>
      <c r="AC57" s="864">
        <f t="shared" si="15"/>
        <v>0.86400273437499997</v>
      </c>
    </row>
    <row r="58" spans="3:29" x14ac:dyDescent="0.25">
      <c r="C58" s="850">
        <f>IF(Z58&gt;0,MAX(C31:C57)+1,0)</f>
        <v>28</v>
      </c>
      <c r="D58" s="851">
        <v>10</v>
      </c>
      <c r="E58" s="850">
        <v>28</v>
      </c>
      <c r="F58" s="851">
        <v>8</v>
      </c>
      <c r="G58" s="851">
        <v>3200</v>
      </c>
      <c r="H58" s="851">
        <v>2400</v>
      </c>
      <c r="I58" s="851">
        <v>8</v>
      </c>
      <c r="J58" s="851">
        <v>0</v>
      </c>
      <c r="L58" s="340">
        <f t="shared" si="2"/>
        <v>5.7450628366247756</v>
      </c>
      <c r="M58" s="12">
        <f t="shared" si="4"/>
        <v>5</v>
      </c>
      <c r="N58" s="860">
        <f t="shared" si="5"/>
        <v>0.25493716337522443</v>
      </c>
      <c r="O58" s="861">
        <f t="shared" si="16"/>
        <v>142</v>
      </c>
      <c r="P58" s="861">
        <f t="shared" si="6"/>
        <v>160</v>
      </c>
      <c r="Q58" s="861">
        <f t="shared" si="7"/>
        <v>6</v>
      </c>
      <c r="S58" s="340">
        <f t="shared" si="3"/>
        <v>6.6481994459833791</v>
      </c>
      <c r="T58" s="12">
        <f t="shared" si="8"/>
        <v>6</v>
      </c>
      <c r="U58" s="860">
        <f t="shared" si="9"/>
        <v>0.35180055401662091</v>
      </c>
      <c r="V58" s="861">
        <f t="shared" si="10"/>
        <v>127.00000000000014</v>
      </c>
      <c r="W58" s="861">
        <f t="shared" si="11"/>
        <v>120</v>
      </c>
      <c r="X58" s="861">
        <f t="shared" si="12"/>
        <v>6</v>
      </c>
      <c r="Y58" s="2"/>
      <c r="Z58" s="12">
        <f t="shared" si="13"/>
        <v>36</v>
      </c>
      <c r="AA58" s="12">
        <f t="shared" si="17"/>
        <v>7.238772</v>
      </c>
      <c r="AB58" s="12">
        <f t="shared" si="14"/>
        <v>7.68</v>
      </c>
      <c r="AC58" s="864">
        <f t="shared" si="15"/>
        <v>0.94254843750000006</v>
      </c>
    </row>
    <row r="59" spans="3:29" x14ac:dyDescent="0.25">
      <c r="C59" s="850">
        <f>IF(Z59&gt;0,MAX(C41:C58)+1,0)</f>
        <v>29</v>
      </c>
      <c r="D59" s="851">
        <v>10</v>
      </c>
      <c r="E59" s="850">
        <v>29</v>
      </c>
      <c r="F59" s="851">
        <v>8</v>
      </c>
      <c r="G59" s="851">
        <v>4800</v>
      </c>
      <c r="H59" s="851">
        <v>1600</v>
      </c>
      <c r="I59" s="851">
        <v>8</v>
      </c>
      <c r="J59" s="851">
        <v>0</v>
      </c>
      <c r="L59" s="340">
        <f t="shared" si="2"/>
        <v>8.6175942549371634</v>
      </c>
      <c r="M59" s="12">
        <f t="shared" si="4"/>
        <v>8</v>
      </c>
      <c r="N59" s="860">
        <f t="shared" si="5"/>
        <v>0.38240574506283664</v>
      </c>
      <c r="O59" s="861">
        <f t="shared" si="16"/>
        <v>213</v>
      </c>
      <c r="P59" s="861">
        <f t="shared" si="6"/>
        <v>160</v>
      </c>
      <c r="Q59" s="861">
        <f t="shared" si="7"/>
        <v>8</v>
      </c>
      <c r="S59" s="340">
        <f t="shared" si="3"/>
        <v>4.43213296398892</v>
      </c>
      <c r="T59" s="12">
        <f t="shared" si="8"/>
        <v>4</v>
      </c>
      <c r="U59" s="860">
        <f t="shared" si="9"/>
        <v>0.56786703601108002</v>
      </c>
      <c r="V59" s="861">
        <f t="shared" si="10"/>
        <v>204.99999999999989</v>
      </c>
      <c r="W59" s="861">
        <f t="shared" si="11"/>
        <v>120</v>
      </c>
      <c r="X59" s="861">
        <f t="shared" si="12"/>
        <v>4</v>
      </c>
      <c r="Y59" s="2"/>
      <c r="Z59" s="12">
        <f t="shared" si="13"/>
        <v>32</v>
      </c>
      <c r="AA59" s="12">
        <f t="shared" si="17"/>
        <v>6.4344640000000002</v>
      </c>
      <c r="AB59" s="12">
        <f t="shared" si="14"/>
        <v>7.68</v>
      </c>
      <c r="AC59" s="864">
        <f t="shared" si="15"/>
        <v>0.83782083333333335</v>
      </c>
    </row>
    <row r="60" spans="3:29" x14ac:dyDescent="0.25">
      <c r="C60" s="850">
        <f>IF(Z60&gt;0,MAX(C31:C59)+1,0)</f>
        <v>30</v>
      </c>
      <c r="D60" s="851">
        <v>20</v>
      </c>
      <c r="E60" s="850">
        <v>30</v>
      </c>
      <c r="F60" s="851">
        <v>8</v>
      </c>
      <c r="G60" s="851">
        <v>4800</v>
      </c>
      <c r="H60" s="851">
        <v>2000</v>
      </c>
      <c r="I60" s="851">
        <v>0</v>
      </c>
      <c r="J60" s="851">
        <v>8</v>
      </c>
      <c r="L60" s="340">
        <f t="shared" si="2"/>
        <v>8.6175942549371634</v>
      </c>
      <c r="M60" s="12">
        <f t="shared" si="4"/>
        <v>8</v>
      </c>
      <c r="N60" s="860">
        <f t="shared" si="5"/>
        <v>0.38240574506283664</v>
      </c>
      <c r="O60" s="861">
        <f t="shared" si="16"/>
        <v>213</v>
      </c>
      <c r="P60" s="861">
        <f t="shared" si="6"/>
        <v>160</v>
      </c>
      <c r="Q60" s="861">
        <f t="shared" si="7"/>
        <v>8</v>
      </c>
      <c r="S60" s="340">
        <f t="shared" si="3"/>
        <v>5.54016620498615</v>
      </c>
      <c r="T60" s="12">
        <f t="shared" si="8"/>
        <v>5</v>
      </c>
      <c r="U60" s="860">
        <f t="shared" si="9"/>
        <v>0.45983379501385002</v>
      </c>
      <c r="V60" s="861">
        <f t="shared" si="10"/>
        <v>165.99999999999986</v>
      </c>
      <c r="W60" s="861">
        <f t="shared" si="11"/>
        <v>120</v>
      </c>
      <c r="X60" s="861">
        <f t="shared" si="12"/>
        <v>5</v>
      </c>
      <c r="Y60" s="2"/>
      <c r="Z60" s="12">
        <f t="shared" si="13"/>
        <v>40</v>
      </c>
      <c r="AA60" s="12">
        <f t="shared" si="17"/>
        <v>8.0430799999999998</v>
      </c>
      <c r="AB60" s="12">
        <f t="shared" si="14"/>
        <v>9.6</v>
      </c>
      <c r="AC60" s="864">
        <f t="shared" si="15"/>
        <v>0.83782083333333335</v>
      </c>
    </row>
    <row r="61" spans="3:29" x14ac:dyDescent="0.25">
      <c r="C61" s="850">
        <f>IF(Z61&gt;0,MAX(C31:C60)+1,0)</f>
        <v>31</v>
      </c>
      <c r="D61" s="851">
        <v>20</v>
      </c>
      <c r="E61" s="850">
        <v>31</v>
      </c>
      <c r="F61" s="851">
        <v>8</v>
      </c>
      <c r="G61" s="851">
        <v>4000</v>
      </c>
      <c r="H61" s="851">
        <v>2400</v>
      </c>
      <c r="I61" s="851">
        <v>0</v>
      </c>
      <c r="J61" s="851">
        <v>8</v>
      </c>
      <c r="L61" s="340">
        <f t="shared" si="2"/>
        <v>7.1813285457809695</v>
      </c>
      <c r="M61" s="12">
        <f t="shared" si="4"/>
        <v>7</v>
      </c>
      <c r="N61" s="860">
        <f t="shared" si="5"/>
        <v>0.81867145421903054</v>
      </c>
      <c r="O61" s="861">
        <f t="shared" si="16"/>
        <v>456</v>
      </c>
      <c r="P61" s="861">
        <f t="shared" si="6"/>
        <v>160</v>
      </c>
      <c r="Q61" s="861">
        <f t="shared" si="7"/>
        <v>7</v>
      </c>
      <c r="S61" s="340">
        <f t="shared" si="3"/>
        <v>6.6481994459833791</v>
      </c>
      <c r="T61" s="12">
        <f t="shared" si="8"/>
        <v>6</v>
      </c>
      <c r="U61" s="860">
        <f t="shared" si="9"/>
        <v>0.35180055401662091</v>
      </c>
      <c r="V61" s="861">
        <f t="shared" si="10"/>
        <v>127.00000000000014</v>
      </c>
      <c r="W61" s="861">
        <f t="shared" si="11"/>
        <v>120</v>
      </c>
      <c r="X61" s="861">
        <f t="shared" si="12"/>
        <v>6</v>
      </c>
      <c r="Y61" s="2"/>
      <c r="Z61" s="12">
        <f t="shared" si="13"/>
        <v>42</v>
      </c>
      <c r="AA61" s="12">
        <f t="shared" si="17"/>
        <v>8.445234000000001</v>
      </c>
      <c r="AB61" s="12">
        <f t="shared" si="14"/>
        <v>9.6</v>
      </c>
      <c r="AC61" s="864">
        <f t="shared" si="15"/>
        <v>0.87971187500000014</v>
      </c>
    </row>
    <row r="62" spans="3:29" x14ac:dyDescent="0.25">
      <c r="C62" s="850">
        <f>IF(Z62&gt;0,MAX(C31:C61)+1,0)</f>
        <v>32</v>
      </c>
      <c r="D62" s="851">
        <v>10</v>
      </c>
      <c r="E62" s="850">
        <v>32</v>
      </c>
      <c r="F62" s="851">
        <v>10</v>
      </c>
      <c r="G62" s="851">
        <v>4000</v>
      </c>
      <c r="H62" s="851">
        <v>2400</v>
      </c>
      <c r="I62" s="851">
        <v>10</v>
      </c>
      <c r="J62" s="851">
        <v>0</v>
      </c>
      <c r="L62" s="340">
        <f t="shared" si="2"/>
        <v>7.1813285457809695</v>
      </c>
      <c r="M62" s="12">
        <f t="shared" si="4"/>
        <v>7</v>
      </c>
      <c r="N62" s="860">
        <f t="shared" si="5"/>
        <v>0.81867145421903054</v>
      </c>
      <c r="O62" s="861">
        <f t="shared" si="16"/>
        <v>456</v>
      </c>
      <c r="P62" s="861">
        <f t="shared" si="6"/>
        <v>160</v>
      </c>
      <c r="Q62" s="861">
        <f t="shared" si="7"/>
        <v>7</v>
      </c>
      <c r="S62" s="340">
        <f t="shared" si="3"/>
        <v>6.6481994459833791</v>
      </c>
      <c r="T62" s="12">
        <f t="shared" si="8"/>
        <v>6</v>
      </c>
      <c r="U62" s="860">
        <f t="shared" si="9"/>
        <v>0.35180055401662091</v>
      </c>
      <c r="V62" s="861">
        <f t="shared" si="10"/>
        <v>127.00000000000014</v>
      </c>
      <c r="W62" s="861">
        <f t="shared" si="11"/>
        <v>120</v>
      </c>
      <c r="X62" s="861">
        <f t="shared" si="12"/>
        <v>6</v>
      </c>
      <c r="Y62" s="2"/>
      <c r="Z62" s="12">
        <f t="shared" si="13"/>
        <v>42</v>
      </c>
      <c r="AA62" s="12">
        <f t="shared" si="17"/>
        <v>8.445234000000001</v>
      </c>
      <c r="AB62" s="12">
        <f t="shared" si="14"/>
        <v>9.6</v>
      </c>
      <c r="AC62" s="864">
        <f t="shared" si="15"/>
        <v>0.87971187500000014</v>
      </c>
    </row>
    <row r="63" spans="3:29" x14ac:dyDescent="0.25">
      <c r="C63" s="850">
        <f>IF(Z63&gt;0,MAX(C31:C62)+1,0)</f>
        <v>33</v>
      </c>
      <c r="D63" s="851">
        <v>10</v>
      </c>
      <c r="E63" s="850">
        <v>33</v>
      </c>
      <c r="F63" s="851">
        <v>10</v>
      </c>
      <c r="G63" s="851">
        <v>6000</v>
      </c>
      <c r="H63" s="851">
        <v>1600</v>
      </c>
      <c r="I63" s="851">
        <v>10</v>
      </c>
      <c r="J63" s="851">
        <v>0</v>
      </c>
      <c r="L63" s="340">
        <f t="shared" si="2"/>
        <v>10.771992818671455</v>
      </c>
      <c r="M63" s="12">
        <f t="shared" si="4"/>
        <v>10</v>
      </c>
      <c r="N63" s="860">
        <f t="shared" si="5"/>
        <v>0.22800718132854492</v>
      </c>
      <c r="O63" s="861">
        <f t="shared" si="16"/>
        <v>126.99999999999955</v>
      </c>
      <c r="P63" s="861">
        <f t="shared" si="6"/>
        <v>160</v>
      </c>
      <c r="Q63" s="861">
        <f t="shared" si="7"/>
        <v>11</v>
      </c>
      <c r="S63" s="340">
        <f t="shared" si="3"/>
        <v>4.43213296398892</v>
      </c>
      <c r="T63" s="12">
        <f t="shared" si="8"/>
        <v>4</v>
      </c>
      <c r="U63" s="860">
        <f t="shared" si="9"/>
        <v>0.56786703601108002</v>
      </c>
      <c r="V63" s="861">
        <f t="shared" si="10"/>
        <v>204.99999999999989</v>
      </c>
      <c r="W63" s="861">
        <f t="shared" si="11"/>
        <v>120</v>
      </c>
      <c r="X63" s="861">
        <f t="shared" si="12"/>
        <v>4</v>
      </c>
      <c r="Y63" s="2"/>
      <c r="Z63" s="12">
        <f t="shared" si="13"/>
        <v>44</v>
      </c>
      <c r="AA63" s="12">
        <f t="shared" si="17"/>
        <v>8.8473880000000005</v>
      </c>
      <c r="AB63" s="12">
        <f t="shared" si="14"/>
        <v>9.6000000000000014</v>
      </c>
      <c r="AC63" s="864">
        <f t="shared" si="15"/>
        <v>0.92160291666666661</v>
      </c>
    </row>
    <row r="64" spans="3:29" x14ac:dyDescent="0.25">
      <c r="C64" s="850">
        <f>IF(Z64&gt;0,MAX(C31:C63)+1,0)</f>
        <v>34</v>
      </c>
      <c r="D64" s="851">
        <v>10</v>
      </c>
      <c r="E64" s="850">
        <v>34</v>
      </c>
      <c r="F64" s="851">
        <v>12</v>
      </c>
      <c r="G64" s="851">
        <v>4800</v>
      </c>
      <c r="H64" s="851">
        <v>2400</v>
      </c>
      <c r="I64" s="851">
        <v>12</v>
      </c>
      <c r="J64" s="851">
        <v>0</v>
      </c>
      <c r="L64" s="340">
        <f t="shared" si="2"/>
        <v>8.6175942549371634</v>
      </c>
      <c r="M64" s="12">
        <f t="shared" si="4"/>
        <v>8</v>
      </c>
      <c r="N64" s="860">
        <f t="shared" si="5"/>
        <v>0.38240574506283664</v>
      </c>
      <c r="O64" s="861">
        <f t="shared" si="16"/>
        <v>213</v>
      </c>
      <c r="P64" s="861">
        <f t="shared" si="6"/>
        <v>160</v>
      </c>
      <c r="Q64" s="861">
        <f t="shared" si="7"/>
        <v>8</v>
      </c>
      <c r="S64" s="340">
        <f t="shared" si="3"/>
        <v>6.6481994459833791</v>
      </c>
      <c r="T64" s="12">
        <f t="shared" si="8"/>
        <v>6</v>
      </c>
      <c r="U64" s="860">
        <f t="shared" si="9"/>
        <v>0.35180055401662091</v>
      </c>
      <c r="V64" s="861">
        <f t="shared" si="10"/>
        <v>127.00000000000014</v>
      </c>
      <c r="W64" s="861">
        <f t="shared" si="11"/>
        <v>120</v>
      </c>
      <c r="X64" s="861">
        <f t="shared" si="12"/>
        <v>6</v>
      </c>
      <c r="Y64" s="2"/>
      <c r="Z64" s="12">
        <f t="shared" si="13"/>
        <v>48</v>
      </c>
      <c r="AA64" s="12">
        <f t="shared" si="17"/>
        <v>9.6516960000000012</v>
      </c>
      <c r="AB64" s="12">
        <f t="shared" si="14"/>
        <v>11.52</v>
      </c>
      <c r="AC64" s="864">
        <f t="shared" si="15"/>
        <v>0.83782083333333346</v>
      </c>
    </row>
    <row r="65" spans="3:29" x14ac:dyDescent="0.25">
      <c r="C65" s="850">
        <f>IF(Z65&gt;0,MAX(C31:C64)+1,0)</f>
        <v>35</v>
      </c>
      <c r="D65" s="851">
        <v>20</v>
      </c>
      <c r="E65" s="850">
        <v>35</v>
      </c>
      <c r="F65" s="851">
        <v>10</v>
      </c>
      <c r="G65" s="851">
        <v>5000</v>
      </c>
      <c r="H65" s="851">
        <v>2400</v>
      </c>
      <c r="I65" s="851">
        <v>0</v>
      </c>
      <c r="J65" s="851">
        <v>10</v>
      </c>
      <c r="L65" s="340">
        <f t="shared" si="2"/>
        <v>8.9766606822262123</v>
      </c>
      <c r="M65" s="12">
        <f t="shared" si="4"/>
        <v>8</v>
      </c>
      <c r="N65" s="860">
        <f t="shared" si="5"/>
        <v>2.3339317773787727E-2</v>
      </c>
      <c r="O65" s="861">
        <f t="shared" si="16"/>
        <v>12.999999999999773</v>
      </c>
      <c r="P65" s="861">
        <f t="shared" si="6"/>
        <v>160</v>
      </c>
      <c r="Q65" s="861">
        <f t="shared" si="7"/>
        <v>9</v>
      </c>
      <c r="S65" s="340">
        <f t="shared" si="3"/>
        <v>6.6481994459833791</v>
      </c>
      <c r="T65" s="12">
        <f t="shared" si="8"/>
        <v>6</v>
      </c>
      <c r="U65" s="860">
        <f t="shared" si="9"/>
        <v>0.35180055401662091</v>
      </c>
      <c r="V65" s="861">
        <f t="shared" si="10"/>
        <v>127.00000000000014</v>
      </c>
      <c r="W65" s="861">
        <f t="shared" si="11"/>
        <v>120</v>
      </c>
      <c r="X65" s="861">
        <f t="shared" si="12"/>
        <v>6</v>
      </c>
      <c r="Y65" s="2"/>
      <c r="Z65" s="12">
        <f t="shared" si="13"/>
        <v>54</v>
      </c>
      <c r="AA65" s="12">
        <f t="shared" si="17"/>
        <v>10.858158</v>
      </c>
      <c r="AB65" s="12">
        <f t="shared" si="14"/>
        <v>12</v>
      </c>
      <c r="AC65" s="864">
        <f t="shared" si="15"/>
        <v>0.9048465</v>
      </c>
    </row>
    <row r="66" spans="3:29" x14ac:dyDescent="0.25">
      <c r="C66" s="850">
        <f>IF(Z66&gt;0,MAX(C31:C65)+1,0)</f>
        <v>36</v>
      </c>
      <c r="D66" s="851">
        <v>20</v>
      </c>
      <c r="E66" s="850">
        <v>36</v>
      </c>
      <c r="F66" s="851">
        <v>10</v>
      </c>
      <c r="G66" s="851">
        <v>6000</v>
      </c>
      <c r="H66" s="851">
        <v>2000</v>
      </c>
      <c r="I66" s="851">
        <v>0</v>
      </c>
      <c r="J66" s="851">
        <v>10</v>
      </c>
      <c r="L66" s="340">
        <f t="shared" si="2"/>
        <v>10.771992818671455</v>
      </c>
      <c r="M66" s="12">
        <f t="shared" si="4"/>
        <v>10</v>
      </c>
      <c r="N66" s="860">
        <f t="shared" si="5"/>
        <v>0.22800718132854492</v>
      </c>
      <c r="O66" s="861">
        <f t="shared" si="16"/>
        <v>126.99999999999955</v>
      </c>
      <c r="P66" s="861">
        <f t="shared" si="6"/>
        <v>160</v>
      </c>
      <c r="Q66" s="861">
        <f t="shared" si="7"/>
        <v>11</v>
      </c>
      <c r="S66" s="340">
        <f t="shared" si="3"/>
        <v>5.54016620498615</v>
      </c>
      <c r="T66" s="12">
        <f t="shared" si="8"/>
        <v>5</v>
      </c>
      <c r="U66" s="860">
        <f t="shared" si="9"/>
        <v>0.45983379501385002</v>
      </c>
      <c r="V66" s="861">
        <f t="shared" si="10"/>
        <v>165.99999999999986</v>
      </c>
      <c r="W66" s="861">
        <f t="shared" si="11"/>
        <v>120</v>
      </c>
      <c r="X66" s="861">
        <f t="shared" si="12"/>
        <v>5</v>
      </c>
      <c r="Y66" s="2"/>
      <c r="Z66" s="12">
        <f t="shared" si="13"/>
        <v>55</v>
      </c>
      <c r="AA66" s="12">
        <f t="shared" si="17"/>
        <v>11.059235000000001</v>
      </c>
      <c r="AB66" s="12">
        <f t="shared" si="14"/>
        <v>12</v>
      </c>
      <c r="AC66" s="864">
        <f t="shared" si="15"/>
        <v>0.92160291666666672</v>
      </c>
    </row>
    <row r="67" spans="3:29" x14ac:dyDescent="0.25">
      <c r="C67" s="850">
        <f>IF(Z67&gt;0,MAX(C31:C66)+1,0)</f>
        <v>37</v>
      </c>
      <c r="D67" s="851">
        <v>10</v>
      </c>
      <c r="E67" s="850">
        <v>37</v>
      </c>
      <c r="F67" s="851">
        <v>14</v>
      </c>
      <c r="G67" s="851">
        <v>5600</v>
      </c>
      <c r="H67" s="851">
        <v>2400</v>
      </c>
      <c r="I67" s="851">
        <v>14</v>
      </c>
      <c r="J67" s="851">
        <v>0</v>
      </c>
      <c r="L67" s="340">
        <f t="shared" si="2"/>
        <v>10.053859964093357</v>
      </c>
      <c r="M67" s="12">
        <f t="shared" si="4"/>
        <v>10</v>
      </c>
      <c r="N67" s="860">
        <f t="shared" si="5"/>
        <v>0.94614003590664275</v>
      </c>
      <c r="O67" s="861">
        <f t="shared" si="16"/>
        <v>527</v>
      </c>
      <c r="P67" s="861">
        <f t="shared" si="6"/>
        <v>160</v>
      </c>
      <c r="Q67" s="861">
        <f t="shared" si="7"/>
        <v>10</v>
      </c>
      <c r="S67" s="340">
        <f t="shared" si="3"/>
        <v>6.6481994459833791</v>
      </c>
      <c r="T67" s="12">
        <f t="shared" si="8"/>
        <v>6</v>
      </c>
      <c r="U67" s="860">
        <f t="shared" si="9"/>
        <v>0.35180055401662091</v>
      </c>
      <c r="V67" s="861">
        <f t="shared" si="10"/>
        <v>127.00000000000014</v>
      </c>
      <c r="W67" s="861">
        <f t="shared" si="11"/>
        <v>120</v>
      </c>
      <c r="X67" s="861">
        <f t="shared" si="12"/>
        <v>6</v>
      </c>
      <c r="Y67" s="2"/>
      <c r="Z67" s="12">
        <f t="shared" si="13"/>
        <v>60</v>
      </c>
      <c r="AA67" s="12">
        <f t="shared" si="17"/>
        <v>12.06462</v>
      </c>
      <c r="AB67" s="12">
        <f t="shared" si="14"/>
        <v>13.44</v>
      </c>
      <c r="AC67" s="864">
        <f t="shared" si="15"/>
        <v>0.89766517857142858</v>
      </c>
    </row>
    <row r="68" spans="3:29" x14ac:dyDescent="0.25">
      <c r="C68" s="850">
        <f>IF(Z68&gt;0,MAX(C31:C67)+1,0)</f>
        <v>38</v>
      </c>
      <c r="D68" s="851">
        <v>20</v>
      </c>
      <c r="E68" s="850">
        <v>38</v>
      </c>
      <c r="F68" s="851">
        <v>12</v>
      </c>
      <c r="G68" s="851">
        <v>6000</v>
      </c>
      <c r="H68" s="851">
        <v>2400</v>
      </c>
      <c r="I68" s="851">
        <v>0</v>
      </c>
      <c r="J68" s="851">
        <v>12</v>
      </c>
      <c r="L68" s="340">
        <f t="shared" si="2"/>
        <v>10.771992818671455</v>
      </c>
      <c r="M68" s="12">
        <f t="shared" si="4"/>
        <v>10</v>
      </c>
      <c r="N68" s="860">
        <f t="shared" si="5"/>
        <v>0.22800718132854492</v>
      </c>
      <c r="O68" s="861">
        <f t="shared" si="16"/>
        <v>126.99999999999955</v>
      </c>
      <c r="P68" s="861">
        <f t="shared" si="6"/>
        <v>160</v>
      </c>
      <c r="Q68" s="861">
        <f t="shared" si="7"/>
        <v>11</v>
      </c>
      <c r="S68" s="340">
        <f t="shared" si="3"/>
        <v>6.6481994459833791</v>
      </c>
      <c r="T68" s="12">
        <f t="shared" si="8"/>
        <v>6</v>
      </c>
      <c r="U68" s="860">
        <f t="shared" si="9"/>
        <v>0.35180055401662091</v>
      </c>
      <c r="V68" s="861">
        <f t="shared" si="10"/>
        <v>127.00000000000014</v>
      </c>
      <c r="W68" s="861">
        <f t="shared" si="11"/>
        <v>120</v>
      </c>
      <c r="X68" s="861">
        <f t="shared" si="12"/>
        <v>6</v>
      </c>
      <c r="Y68" s="2"/>
      <c r="Z68" s="12">
        <f t="shared" si="13"/>
        <v>66</v>
      </c>
      <c r="AA68" s="12">
        <f t="shared" si="17"/>
        <v>13.271082</v>
      </c>
      <c r="AB68" s="12">
        <f t="shared" si="14"/>
        <v>14.399999999999999</v>
      </c>
      <c r="AC68" s="864">
        <f t="shared" si="15"/>
        <v>0.92160291666666672</v>
      </c>
    </row>
    <row r="69" spans="3:29" x14ac:dyDescent="0.25">
      <c r="C69" s="848">
        <f>IF(Z69&gt;0,MAX(C31:C68)+1,0)</f>
        <v>39</v>
      </c>
      <c r="D69" s="853">
        <v>10</v>
      </c>
      <c r="E69" s="848">
        <v>39</v>
      </c>
      <c r="F69" s="853">
        <v>16</v>
      </c>
      <c r="G69" s="853">
        <v>6400</v>
      </c>
      <c r="H69" s="853">
        <v>2400</v>
      </c>
      <c r="I69" s="853">
        <v>16</v>
      </c>
      <c r="J69" s="853">
        <v>0</v>
      </c>
      <c r="L69" s="342">
        <f t="shared" si="2"/>
        <v>11.490125673249551</v>
      </c>
      <c r="M69" s="13">
        <f t="shared" si="4"/>
        <v>11</v>
      </c>
      <c r="N69" s="862">
        <f t="shared" si="5"/>
        <v>0.50987432675044886</v>
      </c>
      <c r="O69" s="849">
        <f>$D$4-((L69-M69)*$D$4)</f>
        <v>284</v>
      </c>
      <c r="P69" s="849">
        <f t="shared" si="6"/>
        <v>160</v>
      </c>
      <c r="Q69" s="849">
        <f t="shared" si="7"/>
        <v>11</v>
      </c>
      <c r="S69" s="342">
        <f t="shared" si="3"/>
        <v>6.6481994459833791</v>
      </c>
      <c r="T69" s="13">
        <f t="shared" si="8"/>
        <v>6</v>
      </c>
      <c r="U69" s="862">
        <f t="shared" si="9"/>
        <v>0.35180055401662091</v>
      </c>
      <c r="V69" s="849">
        <f t="shared" si="10"/>
        <v>127.00000000000014</v>
      </c>
      <c r="W69" s="849">
        <f t="shared" si="11"/>
        <v>120</v>
      </c>
      <c r="X69" s="849">
        <f t="shared" si="12"/>
        <v>6</v>
      </c>
      <c r="Y69" s="2"/>
      <c r="Z69" s="13">
        <f t="shared" si="13"/>
        <v>66</v>
      </c>
      <c r="AA69" s="13">
        <f t="shared" si="17"/>
        <v>13.271082</v>
      </c>
      <c r="AB69" s="13">
        <f t="shared" si="14"/>
        <v>15.36</v>
      </c>
      <c r="AC69" s="865">
        <f t="shared" si="15"/>
        <v>0.86400273437499997</v>
      </c>
    </row>
    <row r="70" spans="3:29" x14ac:dyDescent="0.25">
      <c r="C70" s="6"/>
      <c r="D70" s="2"/>
      <c r="S70" s="2"/>
      <c r="U70" s="2"/>
      <c r="V70" s="2"/>
      <c r="W70" s="2"/>
      <c r="X70" s="2"/>
      <c r="Y70" s="2"/>
      <c r="Z70" s="2"/>
      <c r="AA70" s="2"/>
      <c r="AB70" s="2"/>
      <c r="AC70" s="25"/>
    </row>
    <row r="71" spans="3:29" x14ac:dyDescent="0.25">
      <c r="C71" s="845" t="s">
        <v>922</v>
      </c>
      <c r="D71" s="845" t="s">
        <v>898</v>
      </c>
      <c r="E71" s="845" t="s">
        <v>108</v>
      </c>
      <c r="F71" s="845" t="s">
        <v>61</v>
      </c>
      <c r="G71" s="846" t="s">
        <v>899</v>
      </c>
      <c r="H71" s="845" t="s">
        <v>898</v>
      </c>
      <c r="I71" s="845" t="s">
        <v>898</v>
      </c>
      <c r="J71" s="845" t="s">
        <v>898</v>
      </c>
      <c r="L71" s="859" t="s">
        <v>908</v>
      </c>
      <c r="M71" s="845" t="s">
        <v>907</v>
      </c>
      <c r="N71" s="442" t="s">
        <v>910</v>
      </c>
      <c r="O71" s="404" t="s">
        <v>911</v>
      </c>
      <c r="P71" s="442" t="s">
        <v>913</v>
      </c>
      <c r="Q71" s="442" t="s">
        <v>6</v>
      </c>
      <c r="S71" s="845" t="s">
        <v>909</v>
      </c>
      <c r="T71" s="845" t="s">
        <v>907</v>
      </c>
      <c r="U71" s="442" t="s">
        <v>801</v>
      </c>
      <c r="V71" s="404" t="s">
        <v>911</v>
      </c>
      <c r="W71" s="442" t="s">
        <v>913</v>
      </c>
      <c r="X71" s="442" t="s">
        <v>6</v>
      </c>
      <c r="Y71" s="2"/>
      <c r="Z71" s="442" t="s">
        <v>915</v>
      </c>
      <c r="AA71" s="442" t="s">
        <v>605</v>
      </c>
      <c r="AB71" s="442" t="s">
        <v>917</v>
      </c>
      <c r="AC71" s="442" t="s">
        <v>898</v>
      </c>
    </row>
    <row r="72" spans="3:29" x14ac:dyDescent="0.25">
      <c r="C72" s="848">
        <f>MAX(C73:C111)</f>
        <v>39</v>
      </c>
      <c r="D72" s="848" t="s">
        <v>900</v>
      </c>
      <c r="E72" s="848" t="s">
        <v>901</v>
      </c>
      <c r="F72" s="848" t="s">
        <v>810</v>
      </c>
      <c r="G72" s="849" t="s">
        <v>902</v>
      </c>
      <c r="H72" s="848" t="s">
        <v>903</v>
      </c>
      <c r="I72" s="848" t="s">
        <v>897</v>
      </c>
      <c r="J72" s="848" t="s">
        <v>904</v>
      </c>
      <c r="L72" s="342"/>
      <c r="M72" s="52"/>
      <c r="N72" s="13"/>
      <c r="O72" s="52"/>
      <c r="P72" s="13" t="s">
        <v>911</v>
      </c>
      <c r="Q72" s="13" t="s">
        <v>914</v>
      </c>
      <c r="S72" s="13"/>
      <c r="T72" s="52"/>
      <c r="U72" s="13"/>
      <c r="V72" s="13"/>
      <c r="W72" s="13" t="s">
        <v>911</v>
      </c>
      <c r="X72" s="13" t="s">
        <v>914</v>
      </c>
      <c r="Y72" s="2"/>
      <c r="Z72" s="13" t="s">
        <v>898</v>
      </c>
      <c r="AA72" s="13" t="s">
        <v>920</v>
      </c>
      <c r="AB72" s="13" t="s">
        <v>918</v>
      </c>
      <c r="AC72" s="13" t="s">
        <v>921</v>
      </c>
    </row>
    <row r="73" spans="3:29" x14ac:dyDescent="0.25">
      <c r="C73" s="845">
        <f>IF(Z73&gt;0,1,0)</f>
        <v>1</v>
      </c>
      <c r="D73" s="866">
        <v>10</v>
      </c>
      <c r="E73" s="845">
        <v>101</v>
      </c>
      <c r="F73" s="868">
        <v>1</v>
      </c>
      <c r="G73" s="851">
        <v>1200</v>
      </c>
      <c r="H73" s="851">
        <v>800</v>
      </c>
      <c r="I73" s="851">
        <v>1</v>
      </c>
      <c r="J73" s="851">
        <v>0</v>
      </c>
      <c r="L73" s="340">
        <f t="shared" ref="L73:L111" si="18">G73/$D$3</f>
        <v>3.3240997229916895</v>
      </c>
      <c r="M73" s="12">
        <f>FLOOR(L73,1)</f>
        <v>3</v>
      </c>
      <c r="N73" s="860">
        <f t="shared" ref="N73:N111" si="19">(1-(L73-M73))</f>
        <v>0.67590027700831046</v>
      </c>
      <c r="O73" s="861">
        <f>$D$3-((L73-M73)*$D$3)</f>
        <v>244.00000000000006</v>
      </c>
      <c r="P73" s="846">
        <f>$C$24*2</f>
        <v>120</v>
      </c>
      <c r="Q73" s="861">
        <f t="shared" ref="Q73:Q111" si="20">IF(P73&gt;=O73,M73+1,M73)</f>
        <v>3</v>
      </c>
      <c r="S73" s="340">
        <f t="shared" ref="S73:S111" si="21">H73/$D$4</f>
        <v>1.4362657091561939</v>
      </c>
      <c r="T73" s="12">
        <f>FLOOR(S73,1)</f>
        <v>1</v>
      </c>
      <c r="U73" s="860">
        <f t="shared" ref="U73:U111" si="22">(1-(S73-T73))</f>
        <v>0.56373429084380611</v>
      </c>
      <c r="V73" s="861">
        <f>$D$4-((S73-T73)*$D$4)</f>
        <v>314</v>
      </c>
      <c r="W73" s="846">
        <f>$D$24*2</f>
        <v>160</v>
      </c>
      <c r="X73" s="861">
        <f t="shared" ref="X73:X111" si="23">IF(W73&gt;=V73,T73+1,T73)</f>
        <v>1</v>
      </c>
      <c r="Y73" s="2"/>
      <c r="Z73" s="12">
        <f t="shared" ref="Z73:Z111" si="24">Q73*X73</f>
        <v>3</v>
      </c>
      <c r="AA73" s="12">
        <f t="shared" ref="AA73:AA111" si="25">Z73*$D$5</f>
        <v>0.60323100000000007</v>
      </c>
      <c r="AB73" s="12">
        <f t="shared" ref="AB73:AB111" si="26">(G73/1000)*(H73/1000)</f>
        <v>0.96</v>
      </c>
      <c r="AC73" s="864">
        <f t="shared" ref="AC73:AC111" si="27">IF(Z73&gt;0,AA73/AB73,0)</f>
        <v>0.62836562500000015</v>
      </c>
    </row>
    <row r="74" spans="3:29" x14ac:dyDescent="0.25">
      <c r="C74" s="850">
        <f>IF(Z74&gt;0,MAX(C73)+1,0)</f>
        <v>2</v>
      </c>
      <c r="D74" s="866">
        <v>20</v>
      </c>
      <c r="E74" s="850">
        <v>102</v>
      </c>
      <c r="F74" s="868">
        <v>1</v>
      </c>
      <c r="G74" s="851">
        <v>1200</v>
      </c>
      <c r="H74" s="851">
        <v>1000</v>
      </c>
      <c r="I74" s="851">
        <v>0</v>
      </c>
      <c r="J74" s="851">
        <v>1</v>
      </c>
      <c r="L74" s="340">
        <f t="shared" si="18"/>
        <v>3.3240997229916895</v>
      </c>
      <c r="M74" s="12">
        <f t="shared" ref="M74:M111" si="28">FLOOR(L74,1)</f>
        <v>3</v>
      </c>
      <c r="N74" s="860">
        <f t="shared" si="19"/>
        <v>0.67590027700831046</v>
      </c>
      <c r="O74" s="861">
        <f t="shared" ref="O74:O111" si="29">$D$3-((L74-M74)*$D$3)</f>
        <v>244.00000000000006</v>
      </c>
      <c r="P74" s="861">
        <f t="shared" ref="P74:P111" si="30">$C$24*2</f>
        <v>120</v>
      </c>
      <c r="Q74" s="861">
        <f t="shared" si="20"/>
        <v>3</v>
      </c>
      <c r="S74" s="340">
        <f t="shared" si="21"/>
        <v>1.7953321364452424</v>
      </c>
      <c r="T74" s="12">
        <f t="shared" ref="T74:T111" si="31">FLOOR(S74,1)</f>
        <v>1</v>
      </c>
      <c r="U74" s="860">
        <f t="shared" si="22"/>
        <v>0.20466786355475763</v>
      </c>
      <c r="V74" s="861">
        <f t="shared" ref="V74:V111" si="32">$D$4-((S74-T74)*$D$4)</f>
        <v>114</v>
      </c>
      <c r="W74" s="861">
        <f t="shared" ref="W74:W111" si="33">$D$24*2</f>
        <v>160</v>
      </c>
      <c r="X74" s="861">
        <f t="shared" si="23"/>
        <v>2</v>
      </c>
      <c r="Y74" s="2"/>
      <c r="Z74" s="12">
        <f t="shared" si="24"/>
        <v>6</v>
      </c>
      <c r="AA74" s="12">
        <f t="shared" si="25"/>
        <v>1.2064620000000001</v>
      </c>
      <c r="AB74" s="12">
        <f t="shared" si="26"/>
        <v>1.2</v>
      </c>
      <c r="AC74" s="864">
        <f t="shared" si="27"/>
        <v>1.0053850000000002</v>
      </c>
    </row>
    <row r="75" spans="3:29" x14ac:dyDescent="0.25">
      <c r="C75" s="850">
        <f>IF(Z75&gt;0,MAX(C73:C74)+1,0)</f>
        <v>3</v>
      </c>
      <c r="D75" s="866">
        <v>10</v>
      </c>
      <c r="E75" s="850">
        <v>103</v>
      </c>
      <c r="F75" s="868">
        <v>2</v>
      </c>
      <c r="G75" s="852">
        <v>1600</v>
      </c>
      <c r="H75" s="851">
        <v>1200</v>
      </c>
      <c r="I75" s="851">
        <v>2</v>
      </c>
      <c r="J75" s="851">
        <v>0</v>
      </c>
      <c r="L75" s="340">
        <f t="shared" si="18"/>
        <v>4.43213296398892</v>
      </c>
      <c r="M75" s="12">
        <f t="shared" si="28"/>
        <v>4</v>
      </c>
      <c r="N75" s="860">
        <f t="shared" si="19"/>
        <v>0.56786703601108002</v>
      </c>
      <c r="O75" s="861">
        <f t="shared" si="29"/>
        <v>204.99999999999989</v>
      </c>
      <c r="P75" s="861">
        <f t="shared" si="30"/>
        <v>120</v>
      </c>
      <c r="Q75" s="861">
        <f t="shared" si="20"/>
        <v>4</v>
      </c>
      <c r="S75" s="340">
        <f t="shared" si="21"/>
        <v>2.1543985637342908</v>
      </c>
      <c r="T75" s="12">
        <f t="shared" si="31"/>
        <v>2</v>
      </c>
      <c r="U75" s="860">
        <f t="shared" si="22"/>
        <v>0.84560143626570916</v>
      </c>
      <c r="V75" s="861">
        <f t="shared" si="32"/>
        <v>471</v>
      </c>
      <c r="W75" s="861">
        <f t="shared" si="33"/>
        <v>160</v>
      </c>
      <c r="X75" s="861">
        <f t="shared" si="23"/>
        <v>2</v>
      </c>
      <c r="Y75" s="2"/>
      <c r="Z75" s="12">
        <f t="shared" si="24"/>
        <v>8</v>
      </c>
      <c r="AA75" s="12">
        <f t="shared" si="25"/>
        <v>1.608616</v>
      </c>
      <c r="AB75" s="12">
        <f t="shared" si="26"/>
        <v>1.92</v>
      </c>
      <c r="AC75" s="864">
        <f t="shared" si="27"/>
        <v>0.83782083333333335</v>
      </c>
    </row>
    <row r="76" spans="3:29" x14ac:dyDescent="0.25">
      <c r="C76" s="850">
        <f>IF(Z76&gt;0,MAX(C73:C75)+1,0)</f>
        <v>4</v>
      </c>
      <c r="D76" s="866">
        <v>10</v>
      </c>
      <c r="E76" s="850">
        <v>104</v>
      </c>
      <c r="F76" s="868">
        <v>2</v>
      </c>
      <c r="G76" s="851">
        <v>2400</v>
      </c>
      <c r="H76" s="851">
        <v>800</v>
      </c>
      <c r="I76" s="851">
        <v>2</v>
      </c>
      <c r="J76" s="851">
        <v>0</v>
      </c>
      <c r="L76" s="340">
        <f t="shared" si="18"/>
        <v>6.6481994459833791</v>
      </c>
      <c r="M76" s="12">
        <f t="shared" si="28"/>
        <v>6</v>
      </c>
      <c r="N76" s="860">
        <f t="shared" si="19"/>
        <v>0.35180055401662091</v>
      </c>
      <c r="O76" s="861">
        <f t="shared" si="29"/>
        <v>127.00000000000014</v>
      </c>
      <c r="P76" s="861">
        <f t="shared" si="30"/>
        <v>120</v>
      </c>
      <c r="Q76" s="861">
        <f t="shared" si="20"/>
        <v>6</v>
      </c>
      <c r="S76" s="340">
        <f t="shared" si="21"/>
        <v>1.4362657091561939</v>
      </c>
      <c r="T76" s="12">
        <f t="shared" si="31"/>
        <v>1</v>
      </c>
      <c r="U76" s="860">
        <f t="shared" si="22"/>
        <v>0.56373429084380611</v>
      </c>
      <c r="V76" s="861">
        <f t="shared" si="32"/>
        <v>314</v>
      </c>
      <c r="W76" s="861">
        <f t="shared" si="33"/>
        <v>160</v>
      </c>
      <c r="X76" s="861">
        <f t="shared" si="23"/>
        <v>1</v>
      </c>
      <c r="Y76" s="2"/>
      <c r="Z76" s="12">
        <f t="shared" si="24"/>
        <v>6</v>
      </c>
      <c r="AA76" s="12">
        <f t="shared" si="25"/>
        <v>1.2064620000000001</v>
      </c>
      <c r="AB76" s="12">
        <f t="shared" si="26"/>
        <v>1.92</v>
      </c>
      <c r="AC76" s="864">
        <f t="shared" si="27"/>
        <v>0.62836562500000015</v>
      </c>
    </row>
    <row r="77" spans="3:29" x14ac:dyDescent="0.25">
      <c r="C77" s="850">
        <f>IF(Z77&gt;0,MAX(C73:C76)+1,0)</f>
        <v>5</v>
      </c>
      <c r="D77" s="866">
        <v>20</v>
      </c>
      <c r="E77" s="850">
        <v>105</v>
      </c>
      <c r="F77" s="868">
        <v>2</v>
      </c>
      <c r="G77" s="851">
        <v>2000</v>
      </c>
      <c r="H77" s="851">
        <v>1200</v>
      </c>
      <c r="I77" s="851">
        <v>0</v>
      </c>
      <c r="J77" s="851">
        <v>2</v>
      </c>
      <c r="L77" s="340">
        <f t="shared" si="18"/>
        <v>5.54016620498615</v>
      </c>
      <c r="M77" s="12">
        <f t="shared" si="28"/>
        <v>5</v>
      </c>
      <c r="N77" s="860">
        <f t="shared" si="19"/>
        <v>0.45983379501385002</v>
      </c>
      <c r="O77" s="861">
        <f t="shared" si="29"/>
        <v>165.99999999999986</v>
      </c>
      <c r="P77" s="861">
        <f t="shared" si="30"/>
        <v>120</v>
      </c>
      <c r="Q77" s="861">
        <f t="shared" si="20"/>
        <v>5</v>
      </c>
      <c r="S77" s="340">
        <f t="shared" si="21"/>
        <v>2.1543985637342908</v>
      </c>
      <c r="T77" s="12">
        <f t="shared" si="31"/>
        <v>2</v>
      </c>
      <c r="U77" s="860">
        <f t="shared" si="22"/>
        <v>0.84560143626570916</v>
      </c>
      <c r="V77" s="861">
        <f t="shared" si="32"/>
        <v>471</v>
      </c>
      <c r="W77" s="861">
        <f t="shared" si="33"/>
        <v>160</v>
      </c>
      <c r="X77" s="861">
        <f t="shared" si="23"/>
        <v>2</v>
      </c>
      <c r="Y77" s="2"/>
      <c r="Z77" s="12">
        <f t="shared" si="24"/>
        <v>10</v>
      </c>
      <c r="AA77" s="12">
        <f t="shared" si="25"/>
        <v>2.0107699999999999</v>
      </c>
      <c r="AB77" s="12">
        <f t="shared" si="26"/>
        <v>2.4</v>
      </c>
      <c r="AC77" s="864">
        <f t="shared" si="27"/>
        <v>0.83782083333333335</v>
      </c>
    </row>
    <row r="78" spans="3:29" x14ac:dyDescent="0.25">
      <c r="C78" s="850">
        <f>IF(Z78&gt;0,MAX(C73:C77)+1,0)</f>
        <v>6</v>
      </c>
      <c r="D78" s="866">
        <v>20</v>
      </c>
      <c r="E78" s="850">
        <v>106</v>
      </c>
      <c r="F78" s="868">
        <v>2</v>
      </c>
      <c r="G78" s="851">
        <v>2400</v>
      </c>
      <c r="H78" s="851">
        <v>1000</v>
      </c>
      <c r="I78" s="851">
        <v>0</v>
      </c>
      <c r="J78" s="851">
        <v>2</v>
      </c>
      <c r="L78" s="340">
        <f t="shared" si="18"/>
        <v>6.6481994459833791</v>
      </c>
      <c r="M78" s="12">
        <f t="shared" si="28"/>
        <v>6</v>
      </c>
      <c r="N78" s="860">
        <f t="shared" si="19"/>
        <v>0.35180055401662091</v>
      </c>
      <c r="O78" s="861">
        <f t="shared" si="29"/>
        <v>127.00000000000014</v>
      </c>
      <c r="P78" s="861">
        <f t="shared" si="30"/>
        <v>120</v>
      </c>
      <c r="Q78" s="861">
        <f t="shared" si="20"/>
        <v>6</v>
      </c>
      <c r="S78" s="340">
        <f t="shared" si="21"/>
        <v>1.7953321364452424</v>
      </c>
      <c r="T78" s="12">
        <f t="shared" si="31"/>
        <v>1</v>
      </c>
      <c r="U78" s="860">
        <f t="shared" si="22"/>
        <v>0.20466786355475763</v>
      </c>
      <c r="V78" s="861">
        <f t="shared" si="32"/>
        <v>114</v>
      </c>
      <c r="W78" s="861">
        <f t="shared" si="33"/>
        <v>160</v>
      </c>
      <c r="X78" s="861">
        <f t="shared" si="23"/>
        <v>2</v>
      </c>
      <c r="Y78" s="2"/>
      <c r="Z78" s="12">
        <f t="shared" si="24"/>
        <v>12</v>
      </c>
      <c r="AA78" s="12">
        <f t="shared" si="25"/>
        <v>2.4129240000000003</v>
      </c>
      <c r="AB78" s="12">
        <f t="shared" si="26"/>
        <v>2.4</v>
      </c>
      <c r="AC78" s="864">
        <f t="shared" si="27"/>
        <v>1.0053850000000002</v>
      </c>
    </row>
    <row r="79" spans="3:29" x14ac:dyDescent="0.25">
      <c r="C79" s="850">
        <f>IF(Z79&gt;0,MAX(C73:C78)+1,0)</f>
        <v>7</v>
      </c>
      <c r="D79" s="866">
        <v>10</v>
      </c>
      <c r="E79" s="850">
        <v>107</v>
      </c>
      <c r="F79" s="868">
        <v>3</v>
      </c>
      <c r="G79" s="851">
        <v>2400</v>
      </c>
      <c r="H79" s="851">
        <v>1200</v>
      </c>
      <c r="I79" s="851">
        <v>3</v>
      </c>
      <c r="J79" s="851">
        <v>0</v>
      </c>
      <c r="L79" s="340">
        <f t="shared" si="18"/>
        <v>6.6481994459833791</v>
      </c>
      <c r="M79" s="12">
        <f t="shared" si="28"/>
        <v>6</v>
      </c>
      <c r="N79" s="860">
        <f t="shared" si="19"/>
        <v>0.35180055401662091</v>
      </c>
      <c r="O79" s="861">
        <f t="shared" si="29"/>
        <v>127.00000000000014</v>
      </c>
      <c r="P79" s="861">
        <f t="shared" si="30"/>
        <v>120</v>
      </c>
      <c r="Q79" s="861">
        <f t="shared" si="20"/>
        <v>6</v>
      </c>
      <c r="S79" s="340">
        <f t="shared" si="21"/>
        <v>2.1543985637342908</v>
      </c>
      <c r="T79" s="12">
        <f t="shared" si="31"/>
        <v>2</v>
      </c>
      <c r="U79" s="860">
        <f t="shared" si="22"/>
        <v>0.84560143626570916</v>
      </c>
      <c r="V79" s="861">
        <f t="shared" si="32"/>
        <v>471</v>
      </c>
      <c r="W79" s="861">
        <f t="shared" si="33"/>
        <v>160</v>
      </c>
      <c r="X79" s="861">
        <f t="shared" si="23"/>
        <v>2</v>
      </c>
      <c r="Y79" s="2"/>
      <c r="Z79" s="12">
        <f t="shared" si="24"/>
        <v>12</v>
      </c>
      <c r="AA79" s="12">
        <f t="shared" si="25"/>
        <v>2.4129240000000003</v>
      </c>
      <c r="AB79" s="12">
        <f t="shared" si="26"/>
        <v>2.88</v>
      </c>
      <c r="AC79" s="864">
        <f t="shared" si="27"/>
        <v>0.83782083333333346</v>
      </c>
    </row>
    <row r="80" spans="3:29" x14ac:dyDescent="0.25">
      <c r="C80" s="850">
        <f>IF(Z80&gt;0,MAX(C73:C79)+1,0)</f>
        <v>8</v>
      </c>
      <c r="D80" s="866">
        <v>10</v>
      </c>
      <c r="E80" s="850">
        <v>108</v>
      </c>
      <c r="F80" s="868">
        <v>3</v>
      </c>
      <c r="G80" s="851">
        <v>3600</v>
      </c>
      <c r="H80" s="851">
        <v>800</v>
      </c>
      <c r="I80" s="851">
        <v>3</v>
      </c>
      <c r="J80" s="851">
        <v>0</v>
      </c>
      <c r="L80" s="340">
        <f t="shared" si="18"/>
        <v>9.97229916897507</v>
      </c>
      <c r="M80" s="12">
        <f t="shared" si="28"/>
        <v>9</v>
      </c>
      <c r="N80" s="860">
        <f t="shared" si="19"/>
        <v>2.7700831024930039E-2</v>
      </c>
      <c r="O80" s="861">
        <f t="shared" si="29"/>
        <v>9.9999999999997726</v>
      </c>
      <c r="P80" s="861">
        <f t="shared" si="30"/>
        <v>120</v>
      </c>
      <c r="Q80" s="861">
        <f t="shared" si="20"/>
        <v>10</v>
      </c>
      <c r="S80" s="340">
        <f t="shared" si="21"/>
        <v>1.4362657091561939</v>
      </c>
      <c r="T80" s="12">
        <f t="shared" si="31"/>
        <v>1</v>
      </c>
      <c r="U80" s="860">
        <f t="shared" si="22"/>
        <v>0.56373429084380611</v>
      </c>
      <c r="V80" s="861">
        <f t="shared" si="32"/>
        <v>314</v>
      </c>
      <c r="W80" s="861">
        <f t="shared" si="33"/>
        <v>160</v>
      </c>
      <c r="X80" s="861">
        <f t="shared" si="23"/>
        <v>1</v>
      </c>
      <c r="Y80" s="2"/>
      <c r="Z80" s="12">
        <f t="shared" si="24"/>
        <v>10</v>
      </c>
      <c r="AA80" s="12">
        <f t="shared" si="25"/>
        <v>2.0107699999999999</v>
      </c>
      <c r="AB80" s="12">
        <f t="shared" si="26"/>
        <v>2.8800000000000003</v>
      </c>
      <c r="AC80" s="864">
        <f t="shared" si="27"/>
        <v>0.69818402777777766</v>
      </c>
    </row>
    <row r="81" spans="3:29" x14ac:dyDescent="0.25">
      <c r="C81" s="850">
        <f>IF(Z81&gt;0,MAX(C73:C80)+1,0)</f>
        <v>9</v>
      </c>
      <c r="D81" s="866">
        <v>20</v>
      </c>
      <c r="E81" s="850">
        <v>109</v>
      </c>
      <c r="F81" s="868">
        <v>3</v>
      </c>
      <c r="G81" s="851">
        <v>3000</v>
      </c>
      <c r="H81" s="851">
        <v>1200</v>
      </c>
      <c r="I81" s="851">
        <v>0</v>
      </c>
      <c r="J81" s="851">
        <v>3</v>
      </c>
      <c r="L81" s="340">
        <f t="shared" si="18"/>
        <v>8.310249307479225</v>
      </c>
      <c r="M81" s="12">
        <f t="shared" si="28"/>
        <v>8</v>
      </c>
      <c r="N81" s="860">
        <f t="shared" si="19"/>
        <v>0.68975069252077503</v>
      </c>
      <c r="O81" s="861">
        <f t="shared" si="29"/>
        <v>248.99999999999977</v>
      </c>
      <c r="P81" s="861">
        <f t="shared" si="30"/>
        <v>120</v>
      </c>
      <c r="Q81" s="861">
        <f t="shared" si="20"/>
        <v>8</v>
      </c>
      <c r="S81" s="340">
        <f t="shared" si="21"/>
        <v>2.1543985637342908</v>
      </c>
      <c r="T81" s="12">
        <f t="shared" si="31"/>
        <v>2</v>
      </c>
      <c r="U81" s="860">
        <f t="shared" si="22"/>
        <v>0.84560143626570916</v>
      </c>
      <c r="V81" s="861">
        <f t="shared" si="32"/>
        <v>471</v>
      </c>
      <c r="W81" s="861">
        <f t="shared" si="33"/>
        <v>160</v>
      </c>
      <c r="X81" s="861">
        <f t="shared" si="23"/>
        <v>2</v>
      </c>
      <c r="Y81" s="2"/>
      <c r="Z81" s="12">
        <f t="shared" si="24"/>
        <v>16</v>
      </c>
      <c r="AA81" s="12">
        <f t="shared" si="25"/>
        <v>3.2172320000000001</v>
      </c>
      <c r="AB81" s="12">
        <f t="shared" si="26"/>
        <v>3.5999999999999996</v>
      </c>
      <c r="AC81" s="864">
        <f t="shared" si="27"/>
        <v>0.89367555555555567</v>
      </c>
    </row>
    <row r="82" spans="3:29" x14ac:dyDescent="0.25">
      <c r="C82" s="850">
        <f>IF(Z82&gt;0,MAX(C73:C81)+1,0)</f>
        <v>10</v>
      </c>
      <c r="D82" s="866">
        <v>20</v>
      </c>
      <c r="E82" s="850">
        <v>110</v>
      </c>
      <c r="F82" s="868">
        <v>3</v>
      </c>
      <c r="G82" s="851">
        <v>3600</v>
      </c>
      <c r="H82" s="851">
        <v>1000</v>
      </c>
      <c r="I82" s="851">
        <v>0</v>
      </c>
      <c r="J82" s="851">
        <v>3</v>
      </c>
      <c r="L82" s="340">
        <f t="shared" si="18"/>
        <v>9.97229916897507</v>
      </c>
      <c r="M82" s="12">
        <f t="shared" si="28"/>
        <v>9</v>
      </c>
      <c r="N82" s="860">
        <f t="shared" si="19"/>
        <v>2.7700831024930039E-2</v>
      </c>
      <c r="O82" s="861">
        <f t="shared" si="29"/>
        <v>9.9999999999997726</v>
      </c>
      <c r="P82" s="861">
        <f t="shared" si="30"/>
        <v>120</v>
      </c>
      <c r="Q82" s="861">
        <f t="shared" si="20"/>
        <v>10</v>
      </c>
      <c r="S82" s="340">
        <f t="shared" si="21"/>
        <v>1.7953321364452424</v>
      </c>
      <c r="T82" s="12">
        <f t="shared" si="31"/>
        <v>1</v>
      </c>
      <c r="U82" s="860">
        <f t="shared" si="22"/>
        <v>0.20466786355475763</v>
      </c>
      <c r="V82" s="861">
        <f t="shared" si="32"/>
        <v>114</v>
      </c>
      <c r="W82" s="861">
        <f t="shared" si="33"/>
        <v>160</v>
      </c>
      <c r="X82" s="861">
        <f t="shared" si="23"/>
        <v>2</v>
      </c>
      <c r="Z82" s="12">
        <f t="shared" si="24"/>
        <v>20</v>
      </c>
      <c r="AA82" s="12">
        <f t="shared" si="25"/>
        <v>4.0215399999999999</v>
      </c>
      <c r="AB82" s="12">
        <f t="shared" si="26"/>
        <v>3.6</v>
      </c>
      <c r="AC82" s="864">
        <f t="shared" si="27"/>
        <v>1.1170944444444444</v>
      </c>
    </row>
    <row r="83" spans="3:29" x14ac:dyDescent="0.25">
      <c r="C83" s="850">
        <f>IF(Z83&gt;0,MAX(C73:C82)+1,0)</f>
        <v>11</v>
      </c>
      <c r="D83" s="866">
        <v>10</v>
      </c>
      <c r="E83" s="850">
        <v>111</v>
      </c>
      <c r="F83" s="868">
        <v>4</v>
      </c>
      <c r="G83" s="851">
        <v>2400</v>
      </c>
      <c r="H83" s="851">
        <v>1600</v>
      </c>
      <c r="I83" s="851">
        <v>4</v>
      </c>
      <c r="J83" s="851">
        <v>0</v>
      </c>
      <c r="L83" s="340">
        <f t="shared" si="18"/>
        <v>6.6481994459833791</v>
      </c>
      <c r="M83" s="12">
        <f t="shared" si="28"/>
        <v>6</v>
      </c>
      <c r="N83" s="860">
        <f t="shared" si="19"/>
        <v>0.35180055401662091</v>
      </c>
      <c r="O83" s="861">
        <f t="shared" si="29"/>
        <v>127.00000000000014</v>
      </c>
      <c r="P83" s="861">
        <f t="shared" si="30"/>
        <v>120</v>
      </c>
      <c r="Q83" s="861">
        <f t="shared" si="20"/>
        <v>6</v>
      </c>
      <c r="S83" s="340">
        <f t="shared" si="21"/>
        <v>2.8725314183123878</v>
      </c>
      <c r="T83" s="12">
        <f t="shared" si="31"/>
        <v>2</v>
      </c>
      <c r="U83" s="860">
        <f t="shared" si="22"/>
        <v>0.12746858168761221</v>
      </c>
      <c r="V83" s="861">
        <f t="shared" si="32"/>
        <v>71</v>
      </c>
      <c r="W83" s="861">
        <f t="shared" si="33"/>
        <v>160</v>
      </c>
      <c r="X83" s="861">
        <f t="shared" si="23"/>
        <v>3</v>
      </c>
      <c r="Z83" s="12">
        <f t="shared" si="24"/>
        <v>18</v>
      </c>
      <c r="AA83" s="12">
        <f t="shared" si="25"/>
        <v>3.619386</v>
      </c>
      <c r="AB83" s="12">
        <f t="shared" si="26"/>
        <v>3.84</v>
      </c>
      <c r="AC83" s="864">
        <f t="shared" si="27"/>
        <v>0.94254843750000006</v>
      </c>
    </row>
    <row r="84" spans="3:29" x14ac:dyDescent="0.25">
      <c r="C84" s="850">
        <f>IF(Z84&gt;0,MAX(C73:C83)+1,0)</f>
        <v>12</v>
      </c>
      <c r="D84" s="866">
        <v>10</v>
      </c>
      <c r="E84" s="850">
        <v>112</v>
      </c>
      <c r="F84" s="868">
        <v>4</v>
      </c>
      <c r="G84" s="851">
        <v>3200</v>
      </c>
      <c r="H84" s="851">
        <v>1200</v>
      </c>
      <c r="I84" s="851">
        <v>4</v>
      </c>
      <c r="J84" s="851">
        <v>0</v>
      </c>
      <c r="L84" s="340">
        <f t="shared" si="18"/>
        <v>8.86426592797784</v>
      </c>
      <c r="M84" s="12">
        <f t="shared" si="28"/>
        <v>8</v>
      </c>
      <c r="N84" s="860">
        <f t="shared" si="19"/>
        <v>0.13573407202216003</v>
      </c>
      <c r="O84" s="861">
        <f t="shared" si="29"/>
        <v>48.999999999999773</v>
      </c>
      <c r="P84" s="861">
        <f t="shared" si="30"/>
        <v>120</v>
      </c>
      <c r="Q84" s="861">
        <f t="shared" si="20"/>
        <v>9</v>
      </c>
      <c r="S84" s="340">
        <f t="shared" si="21"/>
        <v>2.1543985637342908</v>
      </c>
      <c r="T84" s="12">
        <f t="shared" si="31"/>
        <v>2</v>
      </c>
      <c r="U84" s="860">
        <f t="shared" si="22"/>
        <v>0.84560143626570916</v>
      </c>
      <c r="V84" s="861">
        <f t="shared" si="32"/>
        <v>471</v>
      </c>
      <c r="W84" s="861">
        <f t="shared" si="33"/>
        <v>160</v>
      </c>
      <c r="X84" s="861">
        <f t="shared" si="23"/>
        <v>2</v>
      </c>
      <c r="Z84" s="12">
        <f t="shared" si="24"/>
        <v>18</v>
      </c>
      <c r="AA84" s="12">
        <f t="shared" si="25"/>
        <v>3.619386</v>
      </c>
      <c r="AB84" s="12">
        <f t="shared" si="26"/>
        <v>3.84</v>
      </c>
      <c r="AC84" s="864">
        <f t="shared" si="27"/>
        <v>0.94254843750000006</v>
      </c>
    </row>
    <row r="85" spans="3:29" x14ac:dyDescent="0.25">
      <c r="C85" s="850">
        <f>IF(Z85&gt;0,MAX(C73:C84)+1,0)</f>
        <v>13</v>
      </c>
      <c r="D85" s="866">
        <v>10</v>
      </c>
      <c r="E85" s="850">
        <v>113</v>
      </c>
      <c r="F85" s="868">
        <v>4</v>
      </c>
      <c r="G85" s="851">
        <v>4800</v>
      </c>
      <c r="H85" s="851">
        <v>800</v>
      </c>
      <c r="I85" s="851">
        <v>4</v>
      </c>
      <c r="J85" s="851">
        <v>0</v>
      </c>
      <c r="L85" s="340">
        <f t="shared" si="18"/>
        <v>13.296398891966758</v>
      </c>
      <c r="M85" s="12">
        <f t="shared" si="28"/>
        <v>13</v>
      </c>
      <c r="N85" s="860">
        <f t="shared" si="19"/>
        <v>0.70360110803324183</v>
      </c>
      <c r="O85" s="861">
        <f t="shared" si="29"/>
        <v>254.00000000000028</v>
      </c>
      <c r="P85" s="861">
        <f t="shared" si="30"/>
        <v>120</v>
      </c>
      <c r="Q85" s="861">
        <f t="shared" si="20"/>
        <v>13</v>
      </c>
      <c r="S85" s="340">
        <f t="shared" si="21"/>
        <v>1.4362657091561939</v>
      </c>
      <c r="T85" s="12">
        <f t="shared" si="31"/>
        <v>1</v>
      </c>
      <c r="U85" s="860">
        <f t="shared" si="22"/>
        <v>0.56373429084380611</v>
      </c>
      <c r="V85" s="861">
        <f t="shared" si="32"/>
        <v>314</v>
      </c>
      <c r="W85" s="861">
        <f t="shared" si="33"/>
        <v>160</v>
      </c>
      <c r="X85" s="861">
        <f t="shared" si="23"/>
        <v>1</v>
      </c>
      <c r="Z85" s="12">
        <f t="shared" si="24"/>
        <v>13</v>
      </c>
      <c r="AA85" s="12">
        <f t="shared" si="25"/>
        <v>2.614001</v>
      </c>
      <c r="AB85" s="12">
        <f t="shared" si="26"/>
        <v>3.84</v>
      </c>
      <c r="AC85" s="864">
        <f t="shared" si="27"/>
        <v>0.68072942708333339</v>
      </c>
    </row>
    <row r="86" spans="3:29" x14ac:dyDescent="0.25">
      <c r="C86" s="850">
        <f>IF(Z86&gt;0,MAX(C73:C85)+1,0)</f>
        <v>14</v>
      </c>
      <c r="D86" s="866">
        <v>20</v>
      </c>
      <c r="E86" s="850">
        <v>114</v>
      </c>
      <c r="F86" s="868">
        <v>4</v>
      </c>
      <c r="G86" s="851">
        <v>2400</v>
      </c>
      <c r="H86" s="851">
        <v>2000</v>
      </c>
      <c r="I86" s="851">
        <v>0</v>
      </c>
      <c r="J86" s="851">
        <v>4</v>
      </c>
      <c r="L86" s="340">
        <f t="shared" si="18"/>
        <v>6.6481994459833791</v>
      </c>
      <c r="M86" s="12">
        <f t="shared" si="28"/>
        <v>6</v>
      </c>
      <c r="N86" s="860">
        <f t="shared" si="19"/>
        <v>0.35180055401662091</v>
      </c>
      <c r="O86" s="861">
        <f t="shared" si="29"/>
        <v>127.00000000000014</v>
      </c>
      <c r="P86" s="861">
        <f t="shared" si="30"/>
        <v>120</v>
      </c>
      <c r="Q86" s="861">
        <f t="shared" si="20"/>
        <v>6</v>
      </c>
      <c r="S86" s="340">
        <f t="shared" si="21"/>
        <v>3.5906642728904847</v>
      </c>
      <c r="T86" s="12">
        <f t="shared" si="31"/>
        <v>3</v>
      </c>
      <c r="U86" s="860">
        <f t="shared" si="22"/>
        <v>0.40933572710951527</v>
      </c>
      <c r="V86" s="861">
        <f t="shared" si="32"/>
        <v>228</v>
      </c>
      <c r="W86" s="861">
        <f t="shared" si="33"/>
        <v>160</v>
      </c>
      <c r="X86" s="861">
        <f t="shared" si="23"/>
        <v>3</v>
      </c>
      <c r="Z86" s="12">
        <f t="shared" si="24"/>
        <v>18</v>
      </c>
      <c r="AA86" s="12">
        <f t="shared" si="25"/>
        <v>3.619386</v>
      </c>
      <c r="AB86" s="12">
        <f t="shared" si="26"/>
        <v>4.8</v>
      </c>
      <c r="AC86" s="864">
        <f t="shared" si="27"/>
        <v>0.75403874999999998</v>
      </c>
    </row>
    <row r="87" spans="3:29" x14ac:dyDescent="0.25">
      <c r="C87" s="850">
        <f>IF(Z87&gt;0,MAX(C73:C86)+1,0)</f>
        <v>15</v>
      </c>
      <c r="D87" s="866">
        <v>20</v>
      </c>
      <c r="E87" s="850">
        <v>115</v>
      </c>
      <c r="F87" s="868">
        <v>4</v>
      </c>
      <c r="G87" s="851">
        <v>4000</v>
      </c>
      <c r="H87" s="851">
        <v>1200</v>
      </c>
      <c r="I87" s="851">
        <v>0</v>
      </c>
      <c r="J87" s="851">
        <v>4</v>
      </c>
      <c r="L87" s="340">
        <f t="shared" si="18"/>
        <v>11.0803324099723</v>
      </c>
      <c r="M87" s="12">
        <f t="shared" si="28"/>
        <v>11</v>
      </c>
      <c r="N87" s="860">
        <f t="shared" si="19"/>
        <v>0.91966759002770004</v>
      </c>
      <c r="O87" s="861">
        <f t="shared" si="29"/>
        <v>331.99999999999972</v>
      </c>
      <c r="P87" s="861">
        <f t="shared" si="30"/>
        <v>120</v>
      </c>
      <c r="Q87" s="861">
        <f t="shared" si="20"/>
        <v>11</v>
      </c>
      <c r="S87" s="340">
        <f t="shared" si="21"/>
        <v>2.1543985637342908</v>
      </c>
      <c r="T87" s="12">
        <f t="shared" si="31"/>
        <v>2</v>
      </c>
      <c r="U87" s="860">
        <f t="shared" si="22"/>
        <v>0.84560143626570916</v>
      </c>
      <c r="V87" s="861">
        <f t="shared" si="32"/>
        <v>471</v>
      </c>
      <c r="W87" s="861">
        <f t="shared" si="33"/>
        <v>160</v>
      </c>
      <c r="X87" s="861">
        <f t="shared" si="23"/>
        <v>2</v>
      </c>
      <c r="Z87" s="12">
        <f t="shared" si="24"/>
        <v>22</v>
      </c>
      <c r="AA87" s="12">
        <f t="shared" si="25"/>
        <v>4.4236940000000002</v>
      </c>
      <c r="AB87" s="12">
        <f t="shared" si="26"/>
        <v>4.8</v>
      </c>
      <c r="AC87" s="864">
        <f t="shared" si="27"/>
        <v>0.92160291666666672</v>
      </c>
    </row>
    <row r="88" spans="3:29" x14ac:dyDescent="0.25">
      <c r="C88" s="850">
        <f>IF(Z88&gt;0,MAX(C73:C87)+1,0)</f>
        <v>16</v>
      </c>
      <c r="D88" s="866">
        <v>10</v>
      </c>
      <c r="E88" s="850">
        <v>116</v>
      </c>
      <c r="F88" s="868">
        <v>5</v>
      </c>
      <c r="G88" s="851">
        <v>4000</v>
      </c>
      <c r="H88" s="851">
        <v>1200</v>
      </c>
      <c r="I88" s="851">
        <v>5</v>
      </c>
      <c r="J88" s="851">
        <v>0</v>
      </c>
      <c r="L88" s="340">
        <f t="shared" si="18"/>
        <v>11.0803324099723</v>
      </c>
      <c r="M88" s="12">
        <f t="shared" si="28"/>
        <v>11</v>
      </c>
      <c r="N88" s="860">
        <f t="shared" si="19"/>
        <v>0.91966759002770004</v>
      </c>
      <c r="O88" s="861">
        <f t="shared" si="29"/>
        <v>331.99999999999972</v>
      </c>
      <c r="P88" s="861">
        <f t="shared" si="30"/>
        <v>120</v>
      </c>
      <c r="Q88" s="861">
        <f t="shared" si="20"/>
        <v>11</v>
      </c>
      <c r="S88" s="340">
        <f t="shared" si="21"/>
        <v>2.1543985637342908</v>
      </c>
      <c r="T88" s="12">
        <f t="shared" si="31"/>
        <v>2</v>
      </c>
      <c r="U88" s="860">
        <f t="shared" si="22"/>
        <v>0.84560143626570916</v>
      </c>
      <c r="V88" s="861">
        <f t="shared" si="32"/>
        <v>471</v>
      </c>
      <c r="W88" s="861">
        <f t="shared" si="33"/>
        <v>160</v>
      </c>
      <c r="X88" s="861">
        <f t="shared" si="23"/>
        <v>2</v>
      </c>
      <c r="Z88" s="12">
        <f t="shared" si="24"/>
        <v>22</v>
      </c>
      <c r="AA88" s="12">
        <f t="shared" si="25"/>
        <v>4.4236940000000002</v>
      </c>
      <c r="AB88" s="12">
        <f t="shared" si="26"/>
        <v>4.8</v>
      </c>
      <c r="AC88" s="864">
        <f t="shared" si="27"/>
        <v>0.92160291666666672</v>
      </c>
    </row>
    <row r="89" spans="3:29" x14ac:dyDescent="0.25">
      <c r="C89" s="850">
        <f>IF(Z89&gt;0,MAX(C73:C88)+1,0)</f>
        <v>17</v>
      </c>
      <c r="D89" s="866">
        <v>20</v>
      </c>
      <c r="E89" s="850">
        <v>117</v>
      </c>
      <c r="F89" s="868">
        <v>4</v>
      </c>
      <c r="G89" s="851">
        <v>4800</v>
      </c>
      <c r="H89" s="851">
        <v>1000</v>
      </c>
      <c r="I89" s="851">
        <v>0</v>
      </c>
      <c r="J89" s="851">
        <v>4</v>
      </c>
      <c r="L89" s="340">
        <f t="shared" si="18"/>
        <v>13.296398891966758</v>
      </c>
      <c r="M89" s="12">
        <f t="shared" si="28"/>
        <v>13</v>
      </c>
      <c r="N89" s="860">
        <f t="shared" si="19"/>
        <v>0.70360110803324183</v>
      </c>
      <c r="O89" s="861">
        <f t="shared" si="29"/>
        <v>254.00000000000028</v>
      </c>
      <c r="P89" s="861">
        <f t="shared" si="30"/>
        <v>120</v>
      </c>
      <c r="Q89" s="861">
        <f t="shared" si="20"/>
        <v>13</v>
      </c>
      <c r="S89" s="340">
        <f t="shared" si="21"/>
        <v>1.7953321364452424</v>
      </c>
      <c r="T89" s="12">
        <f t="shared" si="31"/>
        <v>1</v>
      </c>
      <c r="U89" s="860">
        <f t="shared" si="22"/>
        <v>0.20466786355475763</v>
      </c>
      <c r="V89" s="861">
        <f t="shared" si="32"/>
        <v>114</v>
      </c>
      <c r="W89" s="861">
        <f t="shared" si="33"/>
        <v>160</v>
      </c>
      <c r="X89" s="861">
        <f t="shared" si="23"/>
        <v>2</v>
      </c>
      <c r="Z89" s="12">
        <f t="shared" si="24"/>
        <v>26</v>
      </c>
      <c r="AA89" s="12">
        <f t="shared" si="25"/>
        <v>5.228002</v>
      </c>
      <c r="AB89" s="12">
        <f t="shared" si="26"/>
        <v>4.8</v>
      </c>
      <c r="AC89" s="864">
        <f t="shared" si="27"/>
        <v>1.0891670833333333</v>
      </c>
    </row>
    <row r="90" spans="3:29" x14ac:dyDescent="0.25">
      <c r="C90" s="850">
        <f>IF(Z90&gt;0,MAX(C73:C89)+1,0)</f>
        <v>18</v>
      </c>
      <c r="D90" s="866">
        <v>10</v>
      </c>
      <c r="E90" s="850">
        <v>118</v>
      </c>
      <c r="F90" s="868">
        <v>5</v>
      </c>
      <c r="G90" s="851">
        <v>6000</v>
      </c>
      <c r="H90" s="851">
        <v>800</v>
      </c>
      <c r="I90" s="851">
        <v>5</v>
      </c>
      <c r="J90" s="851">
        <v>0</v>
      </c>
      <c r="L90" s="340">
        <f t="shared" si="18"/>
        <v>16.62049861495845</v>
      </c>
      <c r="M90" s="12">
        <f t="shared" si="28"/>
        <v>16</v>
      </c>
      <c r="N90" s="860">
        <f t="shared" si="19"/>
        <v>0.37950138504155007</v>
      </c>
      <c r="O90" s="861">
        <f t="shared" si="29"/>
        <v>136.99999999999957</v>
      </c>
      <c r="P90" s="861">
        <f t="shared" si="30"/>
        <v>120</v>
      </c>
      <c r="Q90" s="861">
        <f t="shared" si="20"/>
        <v>16</v>
      </c>
      <c r="S90" s="340">
        <f t="shared" si="21"/>
        <v>1.4362657091561939</v>
      </c>
      <c r="T90" s="12">
        <f t="shared" si="31"/>
        <v>1</v>
      </c>
      <c r="U90" s="860">
        <f t="shared" si="22"/>
        <v>0.56373429084380611</v>
      </c>
      <c r="V90" s="861">
        <f t="shared" si="32"/>
        <v>314</v>
      </c>
      <c r="W90" s="861">
        <f t="shared" si="33"/>
        <v>160</v>
      </c>
      <c r="X90" s="861">
        <f t="shared" si="23"/>
        <v>1</v>
      </c>
      <c r="Z90" s="12">
        <f t="shared" si="24"/>
        <v>16</v>
      </c>
      <c r="AA90" s="12">
        <f t="shared" si="25"/>
        <v>3.2172320000000001</v>
      </c>
      <c r="AB90" s="12">
        <f t="shared" si="26"/>
        <v>4.8000000000000007</v>
      </c>
      <c r="AC90" s="864">
        <f t="shared" si="27"/>
        <v>0.67025666666666661</v>
      </c>
    </row>
    <row r="91" spans="3:29" x14ac:dyDescent="0.25">
      <c r="C91" s="850">
        <f>IF(Z91&gt;0,MAX(C73:C90)+1,0)</f>
        <v>19</v>
      </c>
      <c r="D91" s="866">
        <v>10</v>
      </c>
      <c r="E91" s="850">
        <v>119</v>
      </c>
      <c r="F91" s="868">
        <v>6</v>
      </c>
      <c r="G91" s="851">
        <v>2400</v>
      </c>
      <c r="H91" s="851">
        <v>2400</v>
      </c>
      <c r="I91" s="851">
        <v>6</v>
      </c>
      <c r="J91" s="851">
        <v>0</v>
      </c>
      <c r="L91" s="340">
        <f t="shared" si="18"/>
        <v>6.6481994459833791</v>
      </c>
      <c r="M91" s="12">
        <f t="shared" si="28"/>
        <v>6</v>
      </c>
      <c r="N91" s="860">
        <f t="shared" si="19"/>
        <v>0.35180055401662091</v>
      </c>
      <c r="O91" s="861">
        <f t="shared" si="29"/>
        <v>127.00000000000014</v>
      </c>
      <c r="P91" s="861">
        <f t="shared" si="30"/>
        <v>120</v>
      </c>
      <c r="Q91" s="861">
        <f t="shared" si="20"/>
        <v>6</v>
      </c>
      <c r="S91" s="340">
        <f t="shared" si="21"/>
        <v>4.3087971274685817</v>
      </c>
      <c r="T91" s="12">
        <f t="shared" si="31"/>
        <v>4</v>
      </c>
      <c r="U91" s="860">
        <f t="shared" si="22"/>
        <v>0.69120287253141832</v>
      </c>
      <c r="V91" s="861">
        <f t="shared" si="32"/>
        <v>385</v>
      </c>
      <c r="W91" s="861">
        <f t="shared" si="33"/>
        <v>160</v>
      </c>
      <c r="X91" s="861">
        <f t="shared" si="23"/>
        <v>4</v>
      </c>
      <c r="Z91" s="12">
        <f t="shared" si="24"/>
        <v>24</v>
      </c>
      <c r="AA91" s="12">
        <f t="shared" si="25"/>
        <v>4.8258480000000006</v>
      </c>
      <c r="AB91" s="12">
        <f t="shared" si="26"/>
        <v>5.76</v>
      </c>
      <c r="AC91" s="864">
        <f t="shared" si="27"/>
        <v>0.83782083333333346</v>
      </c>
    </row>
    <row r="92" spans="3:29" x14ac:dyDescent="0.25">
      <c r="C92" s="850">
        <f>IF(Z92&gt;0,MAX(C73:C91)+1,0)</f>
        <v>20</v>
      </c>
      <c r="D92" s="866">
        <v>10</v>
      </c>
      <c r="E92" s="850">
        <v>120</v>
      </c>
      <c r="F92" s="868">
        <v>6</v>
      </c>
      <c r="G92" s="851">
        <v>4800</v>
      </c>
      <c r="H92" s="851">
        <v>1200</v>
      </c>
      <c r="I92" s="851">
        <v>6</v>
      </c>
      <c r="J92" s="851">
        <v>0</v>
      </c>
      <c r="L92" s="340">
        <f t="shared" si="18"/>
        <v>13.296398891966758</v>
      </c>
      <c r="M92" s="12">
        <f t="shared" si="28"/>
        <v>13</v>
      </c>
      <c r="N92" s="860">
        <f t="shared" si="19"/>
        <v>0.70360110803324183</v>
      </c>
      <c r="O92" s="861">
        <f t="shared" si="29"/>
        <v>254.00000000000028</v>
      </c>
      <c r="P92" s="861">
        <f t="shared" si="30"/>
        <v>120</v>
      </c>
      <c r="Q92" s="861">
        <f t="shared" si="20"/>
        <v>13</v>
      </c>
      <c r="S92" s="340">
        <f t="shared" si="21"/>
        <v>2.1543985637342908</v>
      </c>
      <c r="T92" s="12">
        <f t="shared" si="31"/>
        <v>2</v>
      </c>
      <c r="U92" s="860">
        <f t="shared" si="22"/>
        <v>0.84560143626570916</v>
      </c>
      <c r="V92" s="861">
        <f t="shared" si="32"/>
        <v>471</v>
      </c>
      <c r="W92" s="861">
        <f t="shared" si="33"/>
        <v>160</v>
      </c>
      <c r="X92" s="861">
        <f t="shared" si="23"/>
        <v>2</v>
      </c>
      <c r="Z92" s="12">
        <f t="shared" si="24"/>
        <v>26</v>
      </c>
      <c r="AA92" s="12">
        <f t="shared" si="25"/>
        <v>5.228002</v>
      </c>
      <c r="AB92" s="12">
        <f t="shared" si="26"/>
        <v>5.76</v>
      </c>
      <c r="AC92" s="864">
        <f t="shared" si="27"/>
        <v>0.90763923611111119</v>
      </c>
    </row>
    <row r="93" spans="3:29" x14ac:dyDescent="0.25">
      <c r="C93" s="850">
        <f>IF(Z93&gt;0,MAX(C73:C92)+1,0)</f>
        <v>21</v>
      </c>
      <c r="D93" s="866">
        <v>10</v>
      </c>
      <c r="E93" s="850">
        <v>121</v>
      </c>
      <c r="F93" s="868">
        <v>6</v>
      </c>
      <c r="G93" s="851">
        <v>3600</v>
      </c>
      <c r="H93" s="851">
        <v>1600</v>
      </c>
      <c r="I93" s="851">
        <v>6</v>
      </c>
      <c r="J93" s="851">
        <v>0</v>
      </c>
      <c r="L93" s="340">
        <f t="shared" si="18"/>
        <v>9.97229916897507</v>
      </c>
      <c r="M93" s="12">
        <f t="shared" si="28"/>
        <v>9</v>
      </c>
      <c r="N93" s="860">
        <f t="shared" si="19"/>
        <v>2.7700831024930039E-2</v>
      </c>
      <c r="O93" s="861">
        <f t="shared" si="29"/>
        <v>9.9999999999997726</v>
      </c>
      <c r="P93" s="861">
        <f t="shared" si="30"/>
        <v>120</v>
      </c>
      <c r="Q93" s="861">
        <f t="shared" si="20"/>
        <v>10</v>
      </c>
      <c r="S93" s="340">
        <f t="shared" si="21"/>
        <v>2.8725314183123878</v>
      </c>
      <c r="T93" s="12">
        <f t="shared" si="31"/>
        <v>2</v>
      </c>
      <c r="U93" s="860">
        <f t="shared" si="22"/>
        <v>0.12746858168761221</v>
      </c>
      <c r="V93" s="861">
        <f t="shared" si="32"/>
        <v>71</v>
      </c>
      <c r="W93" s="861">
        <f t="shared" si="33"/>
        <v>160</v>
      </c>
      <c r="X93" s="861">
        <f t="shared" si="23"/>
        <v>3</v>
      </c>
      <c r="Z93" s="12">
        <f t="shared" si="24"/>
        <v>30</v>
      </c>
      <c r="AA93" s="12">
        <f t="shared" si="25"/>
        <v>6.0323099999999998</v>
      </c>
      <c r="AB93" s="12">
        <f t="shared" si="26"/>
        <v>5.7600000000000007</v>
      </c>
      <c r="AC93" s="864">
        <f t="shared" si="27"/>
        <v>1.0472760416666664</v>
      </c>
    </row>
    <row r="94" spans="3:29" x14ac:dyDescent="0.25">
      <c r="C94" s="850">
        <f>IF(Z94&gt;0,MAX(C73:C93)+1,0)</f>
        <v>22</v>
      </c>
      <c r="D94" s="866">
        <v>20</v>
      </c>
      <c r="E94" s="850">
        <v>122</v>
      </c>
      <c r="F94" s="868">
        <v>5</v>
      </c>
      <c r="G94" s="851">
        <v>5000</v>
      </c>
      <c r="H94" s="851">
        <v>1200</v>
      </c>
      <c r="I94" s="851">
        <v>0</v>
      </c>
      <c r="J94" s="851">
        <v>5</v>
      </c>
      <c r="L94" s="340">
        <f t="shared" si="18"/>
        <v>13.850415512465373</v>
      </c>
      <c r="M94" s="12">
        <f t="shared" si="28"/>
        <v>13</v>
      </c>
      <c r="N94" s="860">
        <f t="shared" si="19"/>
        <v>0.14958448753462683</v>
      </c>
      <c r="O94" s="861">
        <f t="shared" si="29"/>
        <v>54.000000000000284</v>
      </c>
      <c r="P94" s="861">
        <f t="shared" si="30"/>
        <v>120</v>
      </c>
      <c r="Q94" s="861">
        <f t="shared" si="20"/>
        <v>14</v>
      </c>
      <c r="S94" s="340">
        <f t="shared" si="21"/>
        <v>2.1543985637342908</v>
      </c>
      <c r="T94" s="12">
        <f t="shared" si="31"/>
        <v>2</v>
      </c>
      <c r="U94" s="860">
        <f t="shared" si="22"/>
        <v>0.84560143626570916</v>
      </c>
      <c r="V94" s="861">
        <f t="shared" si="32"/>
        <v>471</v>
      </c>
      <c r="W94" s="861">
        <f t="shared" si="33"/>
        <v>160</v>
      </c>
      <c r="X94" s="861">
        <f t="shared" si="23"/>
        <v>2</v>
      </c>
      <c r="Z94" s="12">
        <f t="shared" si="24"/>
        <v>28</v>
      </c>
      <c r="AA94" s="12">
        <f t="shared" si="25"/>
        <v>5.6301560000000004</v>
      </c>
      <c r="AB94" s="12">
        <f t="shared" si="26"/>
        <v>6</v>
      </c>
      <c r="AC94" s="864">
        <f t="shared" si="27"/>
        <v>0.93835933333333343</v>
      </c>
    </row>
    <row r="95" spans="3:29" x14ac:dyDescent="0.25">
      <c r="C95" s="850">
        <f>IF(Z95&gt;0,MAX(C73:C94)+1,0)</f>
        <v>23</v>
      </c>
      <c r="D95" s="866">
        <v>20</v>
      </c>
      <c r="E95" s="850">
        <v>123</v>
      </c>
      <c r="F95" s="868">
        <v>5</v>
      </c>
      <c r="G95" s="851">
        <v>6000</v>
      </c>
      <c r="H95" s="851">
        <v>1000</v>
      </c>
      <c r="I95" s="851">
        <v>0</v>
      </c>
      <c r="J95" s="851">
        <v>5</v>
      </c>
      <c r="L95" s="340">
        <f t="shared" si="18"/>
        <v>16.62049861495845</v>
      </c>
      <c r="M95" s="12">
        <f t="shared" si="28"/>
        <v>16</v>
      </c>
      <c r="N95" s="860">
        <f t="shared" si="19"/>
        <v>0.37950138504155007</v>
      </c>
      <c r="O95" s="861">
        <f t="shared" si="29"/>
        <v>136.99999999999957</v>
      </c>
      <c r="P95" s="861">
        <f t="shared" si="30"/>
        <v>120</v>
      </c>
      <c r="Q95" s="861">
        <f t="shared" si="20"/>
        <v>16</v>
      </c>
      <c r="S95" s="340">
        <f t="shared" si="21"/>
        <v>1.7953321364452424</v>
      </c>
      <c r="T95" s="12">
        <f t="shared" si="31"/>
        <v>1</v>
      </c>
      <c r="U95" s="860">
        <f t="shared" si="22"/>
        <v>0.20466786355475763</v>
      </c>
      <c r="V95" s="861">
        <f t="shared" si="32"/>
        <v>114</v>
      </c>
      <c r="W95" s="861">
        <f t="shared" si="33"/>
        <v>160</v>
      </c>
      <c r="X95" s="861">
        <f t="shared" si="23"/>
        <v>2</v>
      </c>
      <c r="Z95" s="12">
        <f t="shared" si="24"/>
        <v>32</v>
      </c>
      <c r="AA95" s="12">
        <f t="shared" si="25"/>
        <v>6.4344640000000002</v>
      </c>
      <c r="AB95" s="12">
        <f t="shared" si="26"/>
        <v>6</v>
      </c>
      <c r="AC95" s="864">
        <f t="shared" si="27"/>
        <v>1.0724106666666666</v>
      </c>
    </row>
    <row r="96" spans="3:29" x14ac:dyDescent="0.25">
      <c r="C96" s="850">
        <f>IF(Z96&gt;0,MAX(C73:C95)+1,0)</f>
        <v>24</v>
      </c>
      <c r="D96" s="866">
        <v>20</v>
      </c>
      <c r="E96" s="850">
        <v>124</v>
      </c>
      <c r="F96" s="868">
        <v>6</v>
      </c>
      <c r="G96" s="851">
        <v>6000</v>
      </c>
      <c r="H96" s="851">
        <v>1200</v>
      </c>
      <c r="I96" s="851">
        <v>0</v>
      </c>
      <c r="J96" s="851">
        <v>6</v>
      </c>
      <c r="L96" s="340">
        <f t="shared" si="18"/>
        <v>16.62049861495845</v>
      </c>
      <c r="M96" s="12">
        <f t="shared" si="28"/>
        <v>16</v>
      </c>
      <c r="N96" s="860">
        <f t="shared" si="19"/>
        <v>0.37950138504155007</v>
      </c>
      <c r="O96" s="861">
        <f t="shared" si="29"/>
        <v>136.99999999999957</v>
      </c>
      <c r="P96" s="861">
        <f t="shared" si="30"/>
        <v>120</v>
      </c>
      <c r="Q96" s="861">
        <f t="shared" si="20"/>
        <v>16</v>
      </c>
      <c r="S96" s="340">
        <f t="shared" si="21"/>
        <v>2.1543985637342908</v>
      </c>
      <c r="T96" s="12">
        <f t="shared" si="31"/>
        <v>2</v>
      </c>
      <c r="U96" s="860">
        <f t="shared" si="22"/>
        <v>0.84560143626570916</v>
      </c>
      <c r="V96" s="861">
        <f t="shared" si="32"/>
        <v>471</v>
      </c>
      <c r="W96" s="861">
        <f t="shared" si="33"/>
        <v>160</v>
      </c>
      <c r="X96" s="861">
        <f t="shared" si="23"/>
        <v>2</v>
      </c>
      <c r="Z96" s="12">
        <f t="shared" si="24"/>
        <v>32</v>
      </c>
      <c r="AA96" s="12">
        <f t="shared" si="25"/>
        <v>6.4344640000000002</v>
      </c>
      <c r="AB96" s="12">
        <f t="shared" si="26"/>
        <v>7.1999999999999993</v>
      </c>
      <c r="AC96" s="864">
        <f t="shared" si="27"/>
        <v>0.89367555555555567</v>
      </c>
    </row>
    <row r="97" spans="3:29" x14ac:dyDescent="0.25">
      <c r="C97" s="850">
        <f>IF(Z97&gt;0,MAX(C73:C96)+1,0)</f>
        <v>25</v>
      </c>
      <c r="D97" s="866">
        <v>20</v>
      </c>
      <c r="E97" s="850">
        <v>125</v>
      </c>
      <c r="F97" s="868">
        <v>6</v>
      </c>
      <c r="G97" s="851">
        <v>3000</v>
      </c>
      <c r="H97" s="851">
        <v>2400</v>
      </c>
      <c r="I97" s="851">
        <v>0</v>
      </c>
      <c r="J97" s="851">
        <v>6</v>
      </c>
      <c r="L97" s="340">
        <f t="shared" si="18"/>
        <v>8.310249307479225</v>
      </c>
      <c r="M97" s="12">
        <f t="shared" si="28"/>
        <v>8</v>
      </c>
      <c r="N97" s="860">
        <f t="shared" si="19"/>
        <v>0.68975069252077503</v>
      </c>
      <c r="O97" s="861">
        <f t="shared" si="29"/>
        <v>248.99999999999977</v>
      </c>
      <c r="P97" s="861">
        <f t="shared" si="30"/>
        <v>120</v>
      </c>
      <c r="Q97" s="861">
        <f t="shared" si="20"/>
        <v>8</v>
      </c>
      <c r="S97" s="340">
        <f t="shared" si="21"/>
        <v>4.3087971274685817</v>
      </c>
      <c r="T97" s="12">
        <f t="shared" si="31"/>
        <v>4</v>
      </c>
      <c r="U97" s="860">
        <f t="shared" si="22"/>
        <v>0.69120287253141832</v>
      </c>
      <c r="V97" s="861">
        <f t="shared" si="32"/>
        <v>385</v>
      </c>
      <c r="W97" s="861">
        <f t="shared" si="33"/>
        <v>160</v>
      </c>
      <c r="X97" s="861">
        <f t="shared" si="23"/>
        <v>4</v>
      </c>
      <c r="Z97" s="12">
        <f t="shared" si="24"/>
        <v>32</v>
      </c>
      <c r="AA97" s="12">
        <f t="shared" si="25"/>
        <v>6.4344640000000002</v>
      </c>
      <c r="AB97" s="12">
        <f t="shared" si="26"/>
        <v>7.1999999999999993</v>
      </c>
      <c r="AC97" s="864">
        <f t="shared" si="27"/>
        <v>0.89367555555555567</v>
      </c>
    </row>
    <row r="98" spans="3:29" x14ac:dyDescent="0.25">
      <c r="C98" s="850">
        <f>IF(Z98&gt;0,MAX(C73:C97)+1,0)</f>
        <v>26</v>
      </c>
      <c r="D98" s="866">
        <v>20</v>
      </c>
      <c r="E98" s="850">
        <v>126</v>
      </c>
      <c r="F98" s="868">
        <v>6</v>
      </c>
      <c r="G98" s="851">
        <v>3600</v>
      </c>
      <c r="H98" s="851">
        <v>2000</v>
      </c>
      <c r="I98" s="851">
        <v>0</v>
      </c>
      <c r="J98" s="851">
        <v>6</v>
      </c>
      <c r="L98" s="340">
        <f t="shared" si="18"/>
        <v>9.97229916897507</v>
      </c>
      <c r="M98" s="12">
        <f t="shared" si="28"/>
        <v>9</v>
      </c>
      <c r="N98" s="860">
        <f t="shared" si="19"/>
        <v>2.7700831024930039E-2</v>
      </c>
      <c r="O98" s="861">
        <f t="shared" si="29"/>
        <v>9.9999999999997726</v>
      </c>
      <c r="P98" s="861">
        <f t="shared" si="30"/>
        <v>120</v>
      </c>
      <c r="Q98" s="861">
        <f t="shared" si="20"/>
        <v>10</v>
      </c>
      <c r="S98" s="340">
        <f t="shared" si="21"/>
        <v>3.5906642728904847</v>
      </c>
      <c r="T98" s="12">
        <f t="shared" si="31"/>
        <v>3</v>
      </c>
      <c r="U98" s="860">
        <f t="shared" si="22"/>
        <v>0.40933572710951527</v>
      </c>
      <c r="V98" s="861">
        <f t="shared" si="32"/>
        <v>228</v>
      </c>
      <c r="W98" s="861">
        <f t="shared" si="33"/>
        <v>160</v>
      </c>
      <c r="X98" s="861">
        <f t="shared" si="23"/>
        <v>3</v>
      </c>
      <c r="Z98" s="12">
        <f t="shared" si="24"/>
        <v>30</v>
      </c>
      <c r="AA98" s="12">
        <f t="shared" si="25"/>
        <v>6.0323099999999998</v>
      </c>
      <c r="AB98" s="12">
        <f t="shared" si="26"/>
        <v>7.2</v>
      </c>
      <c r="AC98" s="864">
        <f t="shared" si="27"/>
        <v>0.83782083333333324</v>
      </c>
    </row>
    <row r="99" spans="3:29" x14ac:dyDescent="0.25">
      <c r="C99" s="850">
        <f>IF(Z99&gt;0,MAX(C73:C98)+1,0)</f>
        <v>27</v>
      </c>
      <c r="D99" s="866">
        <v>10</v>
      </c>
      <c r="E99" s="850">
        <v>127</v>
      </c>
      <c r="F99" s="868">
        <v>8</v>
      </c>
      <c r="G99" s="851">
        <v>6400</v>
      </c>
      <c r="H99" s="851">
        <v>1200</v>
      </c>
      <c r="I99" s="851">
        <v>8</v>
      </c>
      <c r="J99" s="851">
        <v>0</v>
      </c>
      <c r="L99" s="340">
        <f t="shared" si="18"/>
        <v>17.72853185595568</v>
      </c>
      <c r="M99" s="12">
        <f t="shared" si="28"/>
        <v>17</v>
      </c>
      <c r="N99" s="860">
        <f t="shared" si="19"/>
        <v>0.27146814404432007</v>
      </c>
      <c r="O99" s="861">
        <f t="shared" si="29"/>
        <v>97.999999999999545</v>
      </c>
      <c r="P99" s="861">
        <f t="shared" si="30"/>
        <v>120</v>
      </c>
      <c r="Q99" s="861">
        <f t="shared" si="20"/>
        <v>18</v>
      </c>
      <c r="S99" s="340">
        <f t="shared" si="21"/>
        <v>2.1543985637342908</v>
      </c>
      <c r="T99" s="12">
        <f t="shared" si="31"/>
        <v>2</v>
      </c>
      <c r="U99" s="860">
        <f t="shared" si="22"/>
        <v>0.84560143626570916</v>
      </c>
      <c r="V99" s="861">
        <f t="shared" si="32"/>
        <v>471</v>
      </c>
      <c r="W99" s="861">
        <f t="shared" si="33"/>
        <v>160</v>
      </c>
      <c r="X99" s="861">
        <f t="shared" si="23"/>
        <v>2</v>
      </c>
      <c r="Z99" s="12">
        <f t="shared" si="24"/>
        <v>36</v>
      </c>
      <c r="AA99" s="12">
        <f t="shared" si="25"/>
        <v>7.238772</v>
      </c>
      <c r="AB99" s="12">
        <f t="shared" si="26"/>
        <v>7.68</v>
      </c>
      <c r="AC99" s="864">
        <f t="shared" si="27"/>
        <v>0.94254843750000006</v>
      </c>
    </row>
    <row r="100" spans="3:29" x14ac:dyDescent="0.25">
      <c r="C100" s="850">
        <f>IF(Z100&gt;0,MAX(C73:C99)+1,0)</f>
        <v>28</v>
      </c>
      <c r="D100" s="866">
        <v>10</v>
      </c>
      <c r="E100" s="850">
        <v>128</v>
      </c>
      <c r="F100" s="868">
        <v>8</v>
      </c>
      <c r="G100" s="851">
        <v>3200</v>
      </c>
      <c r="H100" s="851">
        <v>2400</v>
      </c>
      <c r="I100" s="851">
        <v>8</v>
      </c>
      <c r="J100" s="851">
        <v>0</v>
      </c>
      <c r="L100" s="340">
        <f t="shared" si="18"/>
        <v>8.86426592797784</v>
      </c>
      <c r="M100" s="12">
        <f t="shared" si="28"/>
        <v>8</v>
      </c>
      <c r="N100" s="860">
        <f t="shared" si="19"/>
        <v>0.13573407202216003</v>
      </c>
      <c r="O100" s="861">
        <f t="shared" si="29"/>
        <v>48.999999999999773</v>
      </c>
      <c r="P100" s="861">
        <f t="shared" si="30"/>
        <v>120</v>
      </c>
      <c r="Q100" s="861">
        <f t="shared" si="20"/>
        <v>9</v>
      </c>
      <c r="S100" s="340">
        <f t="shared" si="21"/>
        <v>4.3087971274685817</v>
      </c>
      <c r="T100" s="12">
        <f t="shared" si="31"/>
        <v>4</v>
      </c>
      <c r="U100" s="860">
        <f t="shared" si="22"/>
        <v>0.69120287253141832</v>
      </c>
      <c r="V100" s="861">
        <f t="shared" si="32"/>
        <v>385</v>
      </c>
      <c r="W100" s="861">
        <f t="shared" si="33"/>
        <v>160</v>
      </c>
      <c r="X100" s="861">
        <f t="shared" si="23"/>
        <v>4</v>
      </c>
      <c r="Z100" s="12">
        <f t="shared" si="24"/>
        <v>36</v>
      </c>
      <c r="AA100" s="12">
        <f t="shared" si="25"/>
        <v>7.238772</v>
      </c>
      <c r="AB100" s="12">
        <f t="shared" si="26"/>
        <v>7.68</v>
      </c>
      <c r="AC100" s="864">
        <f t="shared" si="27"/>
        <v>0.94254843750000006</v>
      </c>
    </row>
    <row r="101" spans="3:29" x14ac:dyDescent="0.25">
      <c r="C101" s="850">
        <f>IF(Z101&gt;0,MAX(C83:C100)+1,0)</f>
        <v>29</v>
      </c>
      <c r="D101" s="866">
        <v>10</v>
      </c>
      <c r="E101" s="850">
        <v>129</v>
      </c>
      <c r="F101" s="868">
        <v>8</v>
      </c>
      <c r="G101" s="851">
        <v>4800</v>
      </c>
      <c r="H101" s="851">
        <v>1600</v>
      </c>
      <c r="I101" s="851">
        <v>8</v>
      </c>
      <c r="J101" s="851">
        <v>0</v>
      </c>
      <c r="L101" s="340">
        <f t="shared" si="18"/>
        <v>13.296398891966758</v>
      </c>
      <c r="M101" s="12">
        <f t="shared" si="28"/>
        <v>13</v>
      </c>
      <c r="N101" s="860">
        <f t="shared" si="19"/>
        <v>0.70360110803324183</v>
      </c>
      <c r="O101" s="861">
        <f t="shared" si="29"/>
        <v>254.00000000000028</v>
      </c>
      <c r="P101" s="861">
        <f t="shared" si="30"/>
        <v>120</v>
      </c>
      <c r="Q101" s="861">
        <f t="shared" si="20"/>
        <v>13</v>
      </c>
      <c r="S101" s="340">
        <f t="shared" si="21"/>
        <v>2.8725314183123878</v>
      </c>
      <c r="T101" s="12">
        <f t="shared" si="31"/>
        <v>2</v>
      </c>
      <c r="U101" s="860">
        <f t="shared" si="22"/>
        <v>0.12746858168761221</v>
      </c>
      <c r="V101" s="861">
        <f t="shared" si="32"/>
        <v>71</v>
      </c>
      <c r="W101" s="861">
        <f t="shared" si="33"/>
        <v>160</v>
      </c>
      <c r="X101" s="861">
        <f t="shared" si="23"/>
        <v>3</v>
      </c>
      <c r="Z101" s="12">
        <f t="shared" si="24"/>
        <v>39</v>
      </c>
      <c r="AA101" s="12">
        <f t="shared" si="25"/>
        <v>7.8420030000000001</v>
      </c>
      <c r="AB101" s="12">
        <f t="shared" si="26"/>
        <v>7.68</v>
      </c>
      <c r="AC101" s="864">
        <f t="shared" si="27"/>
        <v>1.021094140625</v>
      </c>
    </row>
    <row r="102" spans="3:29" x14ac:dyDescent="0.25">
      <c r="C102" s="850">
        <f>IF(Z102&gt;0,MAX(C73:C101)+1,0)</f>
        <v>30</v>
      </c>
      <c r="D102" s="866">
        <v>20</v>
      </c>
      <c r="E102" s="850">
        <v>130</v>
      </c>
      <c r="F102" s="868">
        <v>8</v>
      </c>
      <c r="G102" s="851">
        <v>4800</v>
      </c>
      <c r="H102" s="851">
        <v>2000</v>
      </c>
      <c r="I102" s="851">
        <v>0</v>
      </c>
      <c r="J102" s="851">
        <v>8</v>
      </c>
      <c r="L102" s="340">
        <f t="shared" si="18"/>
        <v>13.296398891966758</v>
      </c>
      <c r="M102" s="12">
        <f t="shared" si="28"/>
        <v>13</v>
      </c>
      <c r="N102" s="860">
        <f t="shared" si="19"/>
        <v>0.70360110803324183</v>
      </c>
      <c r="O102" s="861">
        <f t="shared" si="29"/>
        <v>254.00000000000028</v>
      </c>
      <c r="P102" s="861">
        <f t="shared" si="30"/>
        <v>120</v>
      </c>
      <c r="Q102" s="861">
        <f t="shared" si="20"/>
        <v>13</v>
      </c>
      <c r="S102" s="340">
        <f t="shared" si="21"/>
        <v>3.5906642728904847</v>
      </c>
      <c r="T102" s="12">
        <f t="shared" si="31"/>
        <v>3</v>
      </c>
      <c r="U102" s="860">
        <f t="shared" si="22"/>
        <v>0.40933572710951527</v>
      </c>
      <c r="V102" s="861">
        <f t="shared" si="32"/>
        <v>228</v>
      </c>
      <c r="W102" s="861">
        <f t="shared" si="33"/>
        <v>160</v>
      </c>
      <c r="X102" s="861">
        <f t="shared" si="23"/>
        <v>3</v>
      </c>
      <c r="Z102" s="12">
        <f t="shared" si="24"/>
        <v>39</v>
      </c>
      <c r="AA102" s="12">
        <f t="shared" si="25"/>
        <v>7.8420030000000001</v>
      </c>
      <c r="AB102" s="12">
        <f t="shared" si="26"/>
        <v>9.6</v>
      </c>
      <c r="AC102" s="864">
        <f t="shared" si="27"/>
        <v>0.81687531250000001</v>
      </c>
    </row>
    <row r="103" spans="3:29" x14ac:dyDescent="0.25">
      <c r="C103" s="850">
        <f>IF(Z103&gt;0,MAX(C73:C102)+1,0)</f>
        <v>31</v>
      </c>
      <c r="D103" s="866">
        <v>20</v>
      </c>
      <c r="E103" s="850">
        <v>131</v>
      </c>
      <c r="F103" s="868">
        <v>8</v>
      </c>
      <c r="G103" s="851">
        <v>4000</v>
      </c>
      <c r="H103" s="851">
        <v>2400</v>
      </c>
      <c r="I103" s="851">
        <v>0</v>
      </c>
      <c r="J103" s="851">
        <v>8</v>
      </c>
      <c r="L103" s="340">
        <f t="shared" si="18"/>
        <v>11.0803324099723</v>
      </c>
      <c r="M103" s="12">
        <f t="shared" si="28"/>
        <v>11</v>
      </c>
      <c r="N103" s="860">
        <f t="shared" si="19"/>
        <v>0.91966759002770004</v>
      </c>
      <c r="O103" s="861">
        <f t="shared" si="29"/>
        <v>331.99999999999972</v>
      </c>
      <c r="P103" s="861">
        <f t="shared" si="30"/>
        <v>120</v>
      </c>
      <c r="Q103" s="861">
        <f t="shared" si="20"/>
        <v>11</v>
      </c>
      <c r="S103" s="340">
        <f t="shared" si="21"/>
        <v>4.3087971274685817</v>
      </c>
      <c r="T103" s="12">
        <f t="shared" si="31"/>
        <v>4</v>
      </c>
      <c r="U103" s="860">
        <f t="shared" si="22"/>
        <v>0.69120287253141832</v>
      </c>
      <c r="V103" s="861">
        <f t="shared" si="32"/>
        <v>385</v>
      </c>
      <c r="W103" s="861">
        <f t="shared" si="33"/>
        <v>160</v>
      </c>
      <c r="X103" s="861">
        <f t="shared" si="23"/>
        <v>4</v>
      </c>
      <c r="Z103" s="12">
        <f t="shared" si="24"/>
        <v>44</v>
      </c>
      <c r="AA103" s="12">
        <f t="shared" si="25"/>
        <v>8.8473880000000005</v>
      </c>
      <c r="AB103" s="12">
        <f t="shared" si="26"/>
        <v>9.6</v>
      </c>
      <c r="AC103" s="864">
        <f t="shared" si="27"/>
        <v>0.92160291666666672</v>
      </c>
    </row>
    <row r="104" spans="3:29" x14ac:dyDescent="0.25">
      <c r="C104" s="850">
        <f>IF(Z104&gt;0,MAX(C73:C103)+1,0)</f>
        <v>32</v>
      </c>
      <c r="D104" s="866">
        <v>10</v>
      </c>
      <c r="E104" s="850">
        <v>132</v>
      </c>
      <c r="F104" s="868">
        <v>10</v>
      </c>
      <c r="G104" s="851">
        <v>4000</v>
      </c>
      <c r="H104" s="851">
        <v>2400</v>
      </c>
      <c r="I104" s="851">
        <v>10</v>
      </c>
      <c r="J104" s="851">
        <v>0</v>
      </c>
      <c r="L104" s="340">
        <f t="shared" si="18"/>
        <v>11.0803324099723</v>
      </c>
      <c r="M104" s="12">
        <f t="shared" si="28"/>
        <v>11</v>
      </c>
      <c r="N104" s="860">
        <f t="shared" si="19"/>
        <v>0.91966759002770004</v>
      </c>
      <c r="O104" s="861">
        <f t="shared" si="29"/>
        <v>331.99999999999972</v>
      </c>
      <c r="P104" s="861">
        <f t="shared" si="30"/>
        <v>120</v>
      </c>
      <c r="Q104" s="861">
        <f t="shared" si="20"/>
        <v>11</v>
      </c>
      <c r="S104" s="340">
        <f t="shared" si="21"/>
        <v>4.3087971274685817</v>
      </c>
      <c r="T104" s="12">
        <f t="shared" si="31"/>
        <v>4</v>
      </c>
      <c r="U104" s="860">
        <f t="shared" si="22"/>
        <v>0.69120287253141832</v>
      </c>
      <c r="V104" s="861">
        <f t="shared" si="32"/>
        <v>385</v>
      </c>
      <c r="W104" s="861">
        <f t="shared" si="33"/>
        <v>160</v>
      </c>
      <c r="X104" s="861">
        <f t="shared" si="23"/>
        <v>4</v>
      </c>
      <c r="Z104" s="12">
        <f t="shared" si="24"/>
        <v>44</v>
      </c>
      <c r="AA104" s="12">
        <f t="shared" si="25"/>
        <v>8.8473880000000005</v>
      </c>
      <c r="AB104" s="12">
        <f t="shared" si="26"/>
        <v>9.6</v>
      </c>
      <c r="AC104" s="864">
        <f t="shared" si="27"/>
        <v>0.92160291666666672</v>
      </c>
    </row>
    <row r="105" spans="3:29" x14ac:dyDescent="0.25">
      <c r="C105" s="850">
        <f>IF(Z105&gt;0,MAX(C73:C104)+1,0)</f>
        <v>33</v>
      </c>
      <c r="D105" s="866">
        <v>10</v>
      </c>
      <c r="E105" s="850">
        <v>133</v>
      </c>
      <c r="F105" s="868">
        <v>10</v>
      </c>
      <c r="G105" s="851">
        <v>6000</v>
      </c>
      <c r="H105" s="851">
        <v>1600</v>
      </c>
      <c r="I105" s="851">
        <v>10</v>
      </c>
      <c r="J105" s="851">
        <v>0</v>
      </c>
      <c r="L105" s="340">
        <f t="shared" si="18"/>
        <v>16.62049861495845</v>
      </c>
      <c r="M105" s="12">
        <f t="shared" si="28"/>
        <v>16</v>
      </c>
      <c r="N105" s="860">
        <f t="shared" si="19"/>
        <v>0.37950138504155007</v>
      </c>
      <c r="O105" s="861">
        <f t="shared" si="29"/>
        <v>136.99999999999957</v>
      </c>
      <c r="P105" s="861">
        <f t="shared" si="30"/>
        <v>120</v>
      </c>
      <c r="Q105" s="861">
        <f t="shared" si="20"/>
        <v>16</v>
      </c>
      <c r="S105" s="340">
        <f t="shared" si="21"/>
        <v>2.8725314183123878</v>
      </c>
      <c r="T105" s="12">
        <f t="shared" si="31"/>
        <v>2</v>
      </c>
      <c r="U105" s="860">
        <f t="shared" si="22"/>
        <v>0.12746858168761221</v>
      </c>
      <c r="V105" s="861">
        <f t="shared" si="32"/>
        <v>71</v>
      </c>
      <c r="W105" s="861">
        <f t="shared" si="33"/>
        <v>160</v>
      </c>
      <c r="X105" s="861">
        <f t="shared" si="23"/>
        <v>3</v>
      </c>
      <c r="Z105" s="12">
        <f t="shared" si="24"/>
        <v>48</v>
      </c>
      <c r="AA105" s="12">
        <f t="shared" si="25"/>
        <v>9.6516960000000012</v>
      </c>
      <c r="AB105" s="12">
        <f t="shared" si="26"/>
        <v>9.6000000000000014</v>
      </c>
      <c r="AC105" s="864">
        <f t="shared" si="27"/>
        <v>1.005385</v>
      </c>
    </row>
    <row r="106" spans="3:29" x14ac:dyDescent="0.25">
      <c r="C106" s="850">
        <f>IF(Z106&gt;0,MAX(C73:C105)+1,0)</f>
        <v>34</v>
      </c>
      <c r="D106" s="866">
        <v>10</v>
      </c>
      <c r="E106" s="850">
        <v>134</v>
      </c>
      <c r="F106" s="868">
        <v>12</v>
      </c>
      <c r="G106" s="851">
        <v>4800</v>
      </c>
      <c r="H106" s="851">
        <v>2400</v>
      </c>
      <c r="I106" s="851">
        <v>12</v>
      </c>
      <c r="J106" s="851">
        <v>0</v>
      </c>
      <c r="L106" s="340">
        <f t="shared" si="18"/>
        <v>13.296398891966758</v>
      </c>
      <c r="M106" s="12">
        <f t="shared" si="28"/>
        <v>13</v>
      </c>
      <c r="N106" s="860">
        <f t="shared" si="19"/>
        <v>0.70360110803324183</v>
      </c>
      <c r="O106" s="861">
        <f t="shared" si="29"/>
        <v>254.00000000000028</v>
      </c>
      <c r="P106" s="861">
        <f t="shared" si="30"/>
        <v>120</v>
      </c>
      <c r="Q106" s="861">
        <f t="shared" si="20"/>
        <v>13</v>
      </c>
      <c r="S106" s="340">
        <f t="shared" si="21"/>
        <v>4.3087971274685817</v>
      </c>
      <c r="T106" s="12">
        <f t="shared" si="31"/>
        <v>4</v>
      </c>
      <c r="U106" s="860">
        <f t="shared" si="22"/>
        <v>0.69120287253141832</v>
      </c>
      <c r="V106" s="861">
        <f t="shared" si="32"/>
        <v>385</v>
      </c>
      <c r="W106" s="861">
        <f t="shared" si="33"/>
        <v>160</v>
      </c>
      <c r="X106" s="861">
        <f t="shared" si="23"/>
        <v>4</v>
      </c>
      <c r="Z106" s="12">
        <f t="shared" si="24"/>
        <v>52</v>
      </c>
      <c r="AA106" s="12">
        <f t="shared" si="25"/>
        <v>10.456004</v>
      </c>
      <c r="AB106" s="12">
        <f t="shared" si="26"/>
        <v>11.52</v>
      </c>
      <c r="AC106" s="864">
        <f t="shared" si="27"/>
        <v>0.90763923611111119</v>
      </c>
    </row>
    <row r="107" spans="3:29" x14ac:dyDescent="0.25">
      <c r="C107" s="850">
        <f>IF(Z107&gt;0,MAX(C73:C106)+1,0)</f>
        <v>35</v>
      </c>
      <c r="D107" s="866">
        <v>20</v>
      </c>
      <c r="E107" s="850">
        <v>135</v>
      </c>
      <c r="F107" s="868">
        <v>10</v>
      </c>
      <c r="G107" s="851">
        <v>5000</v>
      </c>
      <c r="H107" s="851">
        <v>2400</v>
      </c>
      <c r="I107" s="851">
        <v>0</v>
      </c>
      <c r="J107" s="851">
        <v>10</v>
      </c>
      <c r="L107" s="340">
        <f t="shared" si="18"/>
        <v>13.850415512465373</v>
      </c>
      <c r="M107" s="12">
        <f t="shared" si="28"/>
        <v>13</v>
      </c>
      <c r="N107" s="860">
        <f t="shared" si="19"/>
        <v>0.14958448753462683</v>
      </c>
      <c r="O107" s="861">
        <f t="shared" si="29"/>
        <v>54.000000000000284</v>
      </c>
      <c r="P107" s="861">
        <f t="shared" si="30"/>
        <v>120</v>
      </c>
      <c r="Q107" s="861">
        <f t="shared" si="20"/>
        <v>14</v>
      </c>
      <c r="S107" s="340">
        <f t="shared" si="21"/>
        <v>4.3087971274685817</v>
      </c>
      <c r="T107" s="12">
        <f t="shared" si="31"/>
        <v>4</v>
      </c>
      <c r="U107" s="860">
        <f t="shared" si="22"/>
        <v>0.69120287253141832</v>
      </c>
      <c r="V107" s="861">
        <f t="shared" si="32"/>
        <v>385</v>
      </c>
      <c r="W107" s="861">
        <f t="shared" si="33"/>
        <v>160</v>
      </c>
      <c r="X107" s="861">
        <f t="shared" si="23"/>
        <v>4</v>
      </c>
      <c r="Z107" s="12">
        <f t="shared" si="24"/>
        <v>56</v>
      </c>
      <c r="AA107" s="12">
        <f t="shared" si="25"/>
        <v>11.260312000000001</v>
      </c>
      <c r="AB107" s="12">
        <f t="shared" si="26"/>
        <v>12</v>
      </c>
      <c r="AC107" s="864">
        <f t="shared" si="27"/>
        <v>0.93835933333333343</v>
      </c>
    </row>
    <row r="108" spans="3:29" x14ac:dyDescent="0.25">
      <c r="C108" s="850">
        <f>IF(Z108&gt;0,MAX(C73:C107)+1,0)</f>
        <v>36</v>
      </c>
      <c r="D108" s="866">
        <v>20</v>
      </c>
      <c r="E108" s="850">
        <v>136</v>
      </c>
      <c r="F108" s="868">
        <v>10</v>
      </c>
      <c r="G108" s="851">
        <v>6000</v>
      </c>
      <c r="H108" s="851">
        <v>2000</v>
      </c>
      <c r="I108" s="851">
        <v>0</v>
      </c>
      <c r="J108" s="851">
        <v>10</v>
      </c>
      <c r="L108" s="340">
        <f t="shared" si="18"/>
        <v>16.62049861495845</v>
      </c>
      <c r="M108" s="12">
        <f t="shared" si="28"/>
        <v>16</v>
      </c>
      <c r="N108" s="860">
        <f t="shared" si="19"/>
        <v>0.37950138504155007</v>
      </c>
      <c r="O108" s="861">
        <f t="shared" si="29"/>
        <v>136.99999999999957</v>
      </c>
      <c r="P108" s="861">
        <f t="shared" si="30"/>
        <v>120</v>
      </c>
      <c r="Q108" s="861">
        <f t="shared" si="20"/>
        <v>16</v>
      </c>
      <c r="S108" s="340">
        <f t="shared" si="21"/>
        <v>3.5906642728904847</v>
      </c>
      <c r="T108" s="12">
        <f t="shared" si="31"/>
        <v>3</v>
      </c>
      <c r="U108" s="860">
        <f t="shared" si="22"/>
        <v>0.40933572710951527</v>
      </c>
      <c r="V108" s="861">
        <f t="shared" si="32"/>
        <v>228</v>
      </c>
      <c r="W108" s="861">
        <f t="shared" si="33"/>
        <v>160</v>
      </c>
      <c r="X108" s="861">
        <f t="shared" si="23"/>
        <v>3</v>
      </c>
      <c r="Z108" s="12">
        <f t="shared" si="24"/>
        <v>48</v>
      </c>
      <c r="AA108" s="12">
        <f t="shared" si="25"/>
        <v>9.6516960000000012</v>
      </c>
      <c r="AB108" s="12">
        <f t="shared" si="26"/>
        <v>12</v>
      </c>
      <c r="AC108" s="864">
        <f t="shared" si="27"/>
        <v>0.80430800000000013</v>
      </c>
    </row>
    <row r="109" spans="3:29" x14ac:dyDescent="0.25">
      <c r="C109" s="850">
        <f>IF(Z109&gt;0,MAX(C73:C108)+1,0)</f>
        <v>37</v>
      </c>
      <c r="D109" s="866">
        <v>10</v>
      </c>
      <c r="E109" s="850">
        <v>137</v>
      </c>
      <c r="F109" s="868">
        <v>14</v>
      </c>
      <c r="G109" s="851">
        <v>5600</v>
      </c>
      <c r="H109" s="851">
        <v>2400</v>
      </c>
      <c r="I109" s="851">
        <v>14</v>
      </c>
      <c r="J109" s="851">
        <v>0</v>
      </c>
      <c r="L109" s="340">
        <f t="shared" si="18"/>
        <v>15.512465373961218</v>
      </c>
      <c r="M109" s="12">
        <f t="shared" si="28"/>
        <v>15</v>
      </c>
      <c r="N109" s="860">
        <f t="shared" si="19"/>
        <v>0.48753462603878184</v>
      </c>
      <c r="O109" s="861">
        <f t="shared" si="29"/>
        <v>176.00000000000026</v>
      </c>
      <c r="P109" s="861">
        <f t="shared" si="30"/>
        <v>120</v>
      </c>
      <c r="Q109" s="861">
        <f t="shared" si="20"/>
        <v>15</v>
      </c>
      <c r="S109" s="340">
        <f t="shared" si="21"/>
        <v>4.3087971274685817</v>
      </c>
      <c r="T109" s="12">
        <f t="shared" si="31"/>
        <v>4</v>
      </c>
      <c r="U109" s="860">
        <f t="shared" si="22"/>
        <v>0.69120287253141832</v>
      </c>
      <c r="V109" s="861">
        <f t="shared" si="32"/>
        <v>385</v>
      </c>
      <c r="W109" s="861">
        <f t="shared" si="33"/>
        <v>160</v>
      </c>
      <c r="X109" s="861">
        <f t="shared" si="23"/>
        <v>4</v>
      </c>
      <c r="Z109" s="12">
        <f t="shared" si="24"/>
        <v>60</v>
      </c>
      <c r="AA109" s="12">
        <f t="shared" si="25"/>
        <v>12.06462</v>
      </c>
      <c r="AB109" s="12">
        <f t="shared" si="26"/>
        <v>13.44</v>
      </c>
      <c r="AC109" s="864">
        <f t="shared" si="27"/>
        <v>0.89766517857142858</v>
      </c>
    </row>
    <row r="110" spans="3:29" x14ac:dyDescent="0.25">
      <c r="C110" s="850">
        <f>IF(Z110&gt;0,MAX(C73:C109)+1,0)</f>
        <v>38</v>
      </c>
      <c r="D110" s="866">
        <v>20</v>
      </c>
      <c r="E110" s="850">
        <v>138</v>
      </c>
      <c r="F110" s="868">
        <v>12</v>
      </c>
      <c r="G110" s="851">
        <v>6000</v>
      </c>
      <c r="H110" s="851">
        <v>2400</v>
      </c>
      <c r="I110" s="851">
        <v>0</v>
      </c>
      <c r="J110" s="851">
        <v>12</v>
      </c>
      <c r="L110" s="340">
        <f t="shared" si="18"/>
        <v>16.62049861495845</v>
      </c>
      <c r="M110" s="12">
        <f t="shared" si="28"/>
        <v>16</v>
      </c>
      <c r="N110" s="860">
        <f t="shared" si="19"/>
        <v>0.37950138504155007</v>
      </c>
      <c r="O110" s="861">
        <f t="shared" si="29"/>
        <v>136.99999999999957</v>
      </c>
      <c r="P110" s="861">
        <f t="shared" si="30"/>
        <v>120</v>
      </c>
      <c r="Q110" s="861">
        <f t="shared" si="20"/>
        <v>16</v>
      </c>
      <c r="S110" s="340">
        <f t="shared" si="21"/>
        <v>4.3087971274685817</v>
      </c>
      <c r="T110" s="12">
        <f t="shared" si="31"/>
        <v>4</v>
      </c>
      <c r="U110" s="860">
        <f t="shared" si="22"/>
        <v>0.69120287253141832</v>
      </c>
      <c r="V110" s="861">
        <f t="shared" si="32"/>
        <v>385</v>
      </c>
      <c r="W110" s="861">
        <f t="shared" si="33"/>
        <v>160</v>
      </c>
      <c r="X110" s="861">
        <f t="shared" si="23"/>
        <v>4</v>
      </c>
      <c r="Z110" s="12">
        <f t="shared" si="24"/>
        <v>64</v>
      </c>
      <c r="AA110" s="12">
        <f t="shared" si="25"/>
        <v>12.868928</v>
      </c>
      <c r="AB110" s="12">
        <f t="shared" si="26"/>
        <v>14.399999999999999</v>
      </c>
      <c r="AC110" s="864">
        <f t="shared" si="27"/>
        <v>0.89367555555555567</v>
      </c>
    </row>
    <row r="111" spans="3:29" x14ac:dyDescent="0.25">
      <c r="C111" s="848">
        <f>IF(Z111&gt;0,MAX(C73:C110)+1,0)</f>
        <v>39</v>
      </c>
      <c r="D111" s="867">
        <v>10</v>
      </c>
      <c r="E111" s="848">
        <v>139</v>
      </c>
      <c r="F111" s="869">
        <v>16</v>
      </c>
      <c r="G111" s="853">
        <v>6400</v>
      </c>
      <c r="H111" s="853">
        <v>2400</v>
      </c>
      <c r="I111" s="853">
        <v>16</v>
      </c>
      <c r="J111" s="853">
        <v>0</v>
      </c>
      <c r="K111" s="320"/>
      <c r="L111" s="342">
        <f t="shared" si="18"/>
        <v>17.72853185595568</v>
      </c>
      <c r="M111" s="13">
        <f t="shared" si="28"/>
        <v>17</v>
      </c>
      <c r="N111" s="862">
        <f t="shared" si="19"/>
        <v>0.27146814404432007</v>
      </c>
      <c r="O111" s="849">
        <f t="shared" si="29"/>
        <v>97.999999999999545</v>
      </c>
      <c r="P111" s="849">
        <f t="shared" si="30"/>
        <v>120</v>
      </c>
      <c r="Q111" s="849">
        <f t="shared" si="20"/>
        <v>18</v>
      </c>
      <c r="R111" s="320"/>
      <c r="S111" s="342">
        <f t="shared" si="21"/>
        <v>4.3087971274685817</v>
      </c>
      <c r="T111" s="13">
        <f t="shared" si="31"/>
        <v>4</v>
      </c>
      <c r="U111" s="862">
        <f t="shared" si="22"/>
        <v>0.69120287253141832</v>
      </c>
      <c r="V111" s="849">
        <f t="shared" si="32"/>
        <v>385</v>
      </c>
      <c r="W111" s="849">
        <f t="shared" si="33"/>
        <v>160</v>
      </c>
      <c r="X111" s="849">
        <f t="shared" si="23"/>
        <v>4</v>
      </c>
      <c r="Y111" s="320"/>
      <c r="Z111" s="13">
        <f t="shared" si="24"/>
        <v>72</v>
      </c>
      <c r="AA111" s="13">
        <f t="shared" si="25"/>
        <v>14.477544</v>
      </c>
      <c r="AB111" s="13">
        <f t="shared" si="26"/>
        <v>15.36</v>
      </c>
      <c r="AC111" s="865">
        <f t="shared" si="27"/>
        <v>0.94254843750000006</v>
      </c>
    </row>
    <row r="113" spans="2:43" x14ac:dyDescent="0.25">
      <c r="Q113" s="1321" t="s">
        <v>925</v>
      </c>
      <c r="R113" s="1321"/>
    </row>
    <row r="114" spans="2:43" x14ac:dyDescent="0.25">
      <c r="Q114" s="879">
        <v>0</v>
      </c>
      <c r="R114" s="880">
        <v>10</v>
      </c>
    </row>
    <row r="115" spans="2:43" x14ac:dyDescent="0.25">
      <c r="Q115" s="639">
        <v>0.5</v>
      </c>
      <c r="R115" s="557">
        <v>20</v>
      </c>
    </row>
    <row r="116" spans="2:43" x14ac:dyDescent="0.25">
      <c r="Q116" s="639">
        <v>0.7</v>
      </c>
      <c r="R116" s="557">
        <v>25</v>
      </c>
    </row>
    <row r="117" spans="2:43" x14ac:dyDescent="0.25">
      <c r="Q117" s="639">
        <v>0.85</v>
      </c>
      <c r="R117" s="557">
        <v>35</v>
      </c>
    </row>
    <row r="118" spans="2:43" x14ac:dyDescent="0.25">
      <c r="Q118" s="639">
        <v>0.9</v>
      </c>
      <c r="R118" s="557">
        <v>40</v>
      </c>
    </row>
    <row r="119" spans="2:43" x14ac:dyDescent="0.25">
      <c r="Q119" s="639">
        <v>0.95</v>
      </c>
      <c r="R119" s="557">
        <v>45</v>
      </c>
    </row>
    <row r="120" spans="2:43" x14ac:dyDescent="0.25">
      <c r="Q120" s="639">
        <v>1</v>
      </c>
      <c r="R120" s="557">
        <v>50</v>
      </c>
    </row>
    <row r="121" spans="2:43" x14ac:dyDescent="0.25">
      <c r="Q121" s="639">
        <v>1.05</v>
      </c>
      <c r="R121" s="557">
        <v>50</v>
      </c>
    </row>
    <row r="122" spans="2:43" x14ac:dyDescent="0.25">
      <c r="Q122" s="639">
        <v>1.1000000000000001</v>
      </c>
      <c r="R122" s="557">
        <v>45</v>
      </c>
    </row>
    <row r="123" spans="2:43" x14ac:dyDescent="0.25">
      <c r="Q123" s="639">
        <v>1.1499999999999999</v>
      </c>
      <c r="R123" s="557">
        <v>35</v>
      </c>
    </row>
    <row r="124" spans="2:43" x14ac:dyDescent="0.25">
      <c r="Q124" s="639">
        <v>1.3</v>
      </c>
      <c r="R124" s="557">
        <v>20</v>
      </c>
    </row>
    <row r="125" spans="2:43" x14ac:dyDescent="0.25">
      <c r="Q125" s="640">
        <v>1.5</v>
      </c>
      <c r="R125" s="559">
        <v>5</v>
      </c>
    </row>
    <row r="127" spans="2:43" x14ac:dyDescent="0.25">
      <c r="B127" s="404"/>
      <c r="C127" s="845"/>
      <c r="D127" s="858" t="s">
        <v>898</v>
      </c>
      <c r="E127" s="1312" t="s">
        <v>898</v>
      </c>
      <c r="F127" s="1303"/>
      <c r="G127" s="1312" t="s">
        <v>923</v>
      </c>
      <c r="H127" s="1303"/>
      <c r="I127" s="1312" t="s">
        <v>915</v>
      </c>
      <c r="J127" s="1303"/>
      <c r="K127" s="442" t="s">
        <v>61</v>
      </c>
      <c r="L127" s="451" t="s">
        <v>61</v>
      </c>
      <c r="M127" s="442" t="s">
        <v>605</v>
      </c>
      <c r="N127" s="442" t="s">
        <v>605</v>
      </c>
      <c r="O127" s="404" t="s">
        <v>489</v>
      </c>
      <c r="P127" s="486">
        <v>50</v>
      </c>
      <c r="Q127" s="486">
        <v>50</v>
      </c>
      <c r="R127" s="476"/>
      <c r="S127" s="442"/>
      <c r="T127" s="883"/>
      <c r="U127" s="486">
        <v>25</v>
      </c>
      <c r="V127" s="404"/>
      <c r="X127" s="845"/>
      <c r="Y127" s="858" t="s">
        <v>898</v>
      </c>
      <c r="Z127" s="476" t="s">
        <v>898</v>
      </c>
      <c r="AA127" s="433"/>
      <c r="AB127" s="476" t="s">
        <v>923</v>
      </c>
      <c r="AC127" s="433"/>
      <c r="AD127" s="476" t="s">
        <v>915</v>
      </c>
      <c r="AE127" s="433"/>
      <c r="AF127" s="442" t="s">
        <v>61</v>
      </c>
      <c r="AG127" s="451" t="s">
        <v>61</v>
      </c>
      <c r="AH127" s="442" t="s">
        <v>605</v>
      </c>
      <c r="AI127" s="442" t="s">
        <v>605</v>
      </c>
      <c r="AJ127" s="404" t="s">
        <v>489</v>
      </c>
      <c r="AK127" s="486">
        <v>50</v>
      </c>
      <c r="AL127" s="486">
        <v>50</v>
      </c>
      <c r="AM127" s="404"/>
      <c r="AN127" s="404"/>
      <c r="AO127" s="883"/>
      <c r="AP127" s="486">
        <v>25</v>
      </c>
      <c r="AQ127" s="404"/>
    </row>
    <row r="128" spans="2:43" x14ac:dyDescent="0.25">
      <c r="B128" s="41" t="s">
        <v>522</v>
      </c>
      <c r="C128" s="850"/>
      <c r="D128" s="847" t="s">
        <v>901</v>
      </c>
      <c r="E128" s="432" t="s">
        <v>558</v>
      </c>
      <c r="F128" s="436" t="s">
        <v>9</v>
      </c>
      <c r="G128" s="432" t="s">
        <v>558</v>
      </c>
      <c r="H128" s="436" t="s">
        <v>9</v>
      </c>
      <c r="I128" s="432" t="s">
        <v>18</v>
      </c>
      <c r="J128" s="436" t="s">
        <v>9</v>
      </c>
      <c r="K128" s="13" t="s">
        <v>914</v>
      </c>
      <c r="L128" s="342" t="s">
        <v>810</v>
      </c>
      <c r="M128" s="13" t="s">
        <v>918</v>
      </c>
      <c r="N128" s="13" t="s">
        <v>920</v>
      </c>
      <c r="O128" s="13" t="s">
        <v>921</v>
      </c>
      <c r="P128" s="13" t="s">
        <v>924</v>
      </c>
      <c r="Q128" s="13" t="s">
        <v>915</v>
      </c>
      <c r="R128" s="432" t="s">
        <v>925</v>
      </c>
      <c r="S128" s="13" t="s">
        <v>926</v>
      </c>
      <c r="T128" s="884"/>
      <c r="U128" s="12" t="s">
        <v>927</v>
      </c>
      <c r="V128" s="13" t="s">
        <v>39</v>
      </c>
      <c r="X128" s="850" t="s">
        <v>523</v>
      </c>
      <c r="Y128" s="847" t="s">
        <v>901</v>
      </c>
      <c r="Z128" s="432" t="s">
        <v>558</v>
      </c>
      <c r="AA128" s="436" t="s">
        <v>9</v>
      </c>
      <c r="AB128" s="432" t="s">
        <v>558</v>
      </c>
      <c r="AC128" s="436" t="s">
        <v>9</v>
      </c>
      <c r="AD128" s="432" t="s">
        <v>18</v>
      </c>
      <c r="AE128" s="436" t="s">
        <v>9</v>
      </c>
      <c r="AF128" s="13" t="s">
        <v>914</v>
      </c>
      <c r="AG128" s="342" t="s">
        <v>810</v>
      </c>
      <c r="AH128" s="13" t="s">
        <v>918</v>
      </c>
      <c r="AI128" s="13" t="s">
        <v>920</v>
      </c>
      <c r="AJ128" s="13" t="s">
        <v>921</v>
      </c>
      <c r="AK128" s="13" t="s">
        <v>924</v>
      </c>
      <c r="AL128" s="13" t="s">
        <v>915</v>
      </c>
      <c r="AM128" s="13" t="s">
        <v>925</v>
      </c>
      <c r="AN128" s="13" t="s">
        <v>926</v>
      </c>
      <c r="AO128" s="884"/>
      <c r="AP128" s="12" t="s">
        <v>927</v>
      </c>
      <c r="AQ128" s="13" t="s">
        <v>39</v>
      </c>
    </row>
    <row r="129" spans="2:43" x14ac:dyDescent="0.25">
      <c r="B129" s="472"/>
      <c r="C129" s="870">
        <f>C30</f>
        <v>39</v>
      </c>
      <c r="D129" s="871"/>
      <c r="E129" s="6"/>
      <c r="F129" s="7"/>
      <c r="G129" s="6"/>
      <c r="H129" s="7"/>
      <c r="I129" s="6"/>
      <c r="J129" s="7"/>
      <c r="K129" s="473">
        <f>MAX(K130:K134)</f>
        <v>6</v>
      </c>
      <c r="L129" s="12">
        <f>MIN(L130:L134)</f>
        <v>1</v>
      </c>
      <c r="M129" s="472"/>
      <c r="N129" s="13"/>
      <c r="P129" s="472"/>
      <c r="Q129" s="472"/>
      <c r="R129" s="213"/>
      <c r="S129" s="442">
        <f>MAX(S130:S134)</f>
        <v>150</v>
      </c>
      <c r="T129" s="885">
        <f>MIN(T130:T134)</f>
        <v>1.2</v>
      </c>
      <c r="U129" s="472"/>
      <c r="V129" s="442">
        <f>MAX(V130:V134)</f>
        <v>175</v>
      </c>
      <c r="X129" s="870"/>
      <c r="Y129" s="858"/>
      <c r="Z129" s="6"/>
      <c r="AA129" s="7"/>
      <c r="AB129" s="6"/>
      <c r="AC129" s="7"/>
      <c r="AD129" s="6"/>
      <c r="AE129" s="7"/>
      <c r="AF129" s="473">
        <f>MAX(AF130:AF131)</f>
        <v>6</v>
      </c>
      <c r="AG129" s="12">
        <f>MIN(AG130:AG131)</f>
        <v>1</v>
      </c>
      <c r="AH129" s="472"/>
      <c r="AI129" s="13"/>
      <c r="AK129" s="404"/>
      <c r="AL129" s="404"/>
      <c r="AM129" s="404"/>
      <c r="AN129" s="442">
        <f>MAX(AN130:AN131)</f>
        <v>150</v>
      </c>
      <c r="AO129" s="885">
        <f>MIN(AO130:AO131)</f>
        <v>1.2</v>
      </c>
      <c r="AP129" s="472"/>
      <c r="AQ129" s="442">
        <f>MAX(AQ130:AQ134)</f>
        <v>175</v>
      </c>
    </row>
    <row r="130" spans="2:43" x14ac:dyDescent="0.25">
      <c r="B130" s="12">
        <f>IF(AND(SUM(D130:D134)&gt;0,V130=$V$129),1,0)</f>
        <v>0</v>
      </c>
      <c r="C130" s="845">
        <v>1</v>
      </c>
      <c r="D130" s="858">
        <f>IF($C$129&gt;=C130,VLOOKUP(C130,$C$31:$J$69,3,FALSE),0)</f>
        <v>1</v>
      </c>
      <c r="E130" s="431">
        <f>IF($D130&gt;0,VLOOKUP($D130,$E$31:$AC$111,4,FALSE),0)</f>
        <v>800</v>
      </c>
      <c r="F130" s="435">
        <f>IF($D130&gt;0,VLOOKUP($D130,$E$31:$AC$111,3,FALSE),0)</f>
        <v>1200</v>
      </c>
      <c r="G130" s="431">
        <f>IF(D130&gt;0,$D$3)</f>
        <v>361</v>
      </c>
      <c r="H130" s="449">
        <f>IF(D130&gt;0,$D$4)</f>
        <v>557</v>
      </c>
      <c r="I130" s="431">
        <f>IF($D130&gt;0,VLOOKUP($D130,$E$31:$AC$111,20,FALSE),0)</f>
        <v>2</v>
      </c>
      <c r="J130" s="435">
        <f>IF($D130&gt;0,VLOOKUP($D130,$E$31:$AC$111,13,FALSE),0)</f>
        <v>2</v>
      </c>
      <c r="K130" s="26">
        <f>IF(AND(D130&gt;0,L130=$L$129),J130*I130,0)</f>
        <v>4</v>
      </c>
      <c r="L130" s="431">
        <f>IF($D130&gt;0,VLOOKUP($D130,$E$31:$AC$111,2,FALSE),0)</f>
        <v>1</v>
      </c>
      <c r="M130" s="431">
        <f>IF($D130&gt;0,VLOOKUP($D130,$E$31:$AC$111,24,FALSE),0)</f>
        <v>0.96</v>
      </c>
      <c r="N130" s="442">
        <f>IF($D130&gt;0,VLOOKUP($D130,$E$31:$AC$111,23,FALSE),0)</f>
        <v>0.80430800000000002</v>
      </c>
      <c r="O130" s="875">
        <f>IF($D130&gt;0,VLOOKUP($D130,$E$31:$AC$111,25,FALSE),0)</f>
        <v>0.83782083333333335</v>
      </c>
      <c r="P130" s="431">
        <f>IF(AND(D130&gt;0,L130=$L$129),$P$127,0)</f>
        <v>50</v>
      </c>
      <c r="Q130" s="442">
        <f>IF(AND(D130&gt;0,K130=$K$129),$Q$127,0)</f>
        <v>0</v>
      </c>
      <c r="R130" s="431">
        <f>IF(D130&gt;0,VLOOKUP(O130,$Q$114:$R$125,2),0)</f>
        <v>25</v>
      </c>
      <c r="S130" s="442">
        <f>IF(D130&gt;0,SUM(P130:R130),0)</f>
        <v>75</v>
      </c>
      <c r="T130" s="340">
        <f>IF(AND(D130&gt;0,S130=$S$129),M130,9999)</f>
        <v>9999</v>
      </c>
      <c r="U130" s="26">
        <f>IF(AND(D130&gt;0,T130=$T$129),$U$127,0)</f>
        <v>0</v>
      </c>
      <c r="V130" s="442">
        <f>IF(D130&gt;0,S130+U130,0)</f>
        <v>75</v>
      </c>
      <c r="X130" s="858">
        <f>IF(AQ130=AQ129,1,0)</f>
        <v>1</v>
      </c>
      <c r="Y130" s="858">
        <f>IF(SUM(B130:B134)&gt;0,VLOOKUP(1,B130:V134,3,FALSE),0)</f>
        <v>2</v>
      </c>
      <c r="Z130" s="431">
        <f>IF($Y$130&gt;0,VLOOKUP($Y$130,$D$130:$V$134,2,FALSE),0)</f>
        <v>1000</v>
      </c>
      <c r="AA130" s="449">
        <f>IF($Y$130&gt;0,VLOOKUP($Y$130,$D$130:$V$134,3,FALSE),0)</f>
        <v>1200</v>
      </c>
      <c r="AB130" s="431">
        <f>IF($Y$130&gt;0,VLOOKUP($Y$130,$D$130:$V$134,4,FALSE),0)</f>
        <v>361</v>
      </c>
      <c r="AC130" s="449">
        <f>IF($Y$130&gt;0,VLOOKUP($Y$130,$D$130:$V$134,5,FALSE),0)</f>
        <v>557</v>
      </c>
      <c r="AD130" s="431">
        <f>IF($Y$130&gt;0,VLOOKUP($Y$130,$D$130:$V$134,6,FALSE),0)</f>
        <v>3</v>
      </c>
      <c r="AE130" s="435">
        <f>IF($Y$130&gt;0,VLOOKUP($Y$130,$D$130:$V$134,7,FALSE),0)</f>
        <v>2</v>
      </c>
      <c r="AF130" s="442">
        <f>IF(AND(Y130&gt;0,AG130=$AG$129),AE130*AD130,0)</f>
        <v>6</v>
      </c>
      <c r="AG130" s="435">
        <f>IF($Y$130&gt;0,VLOOKUP($Y$130,$D$130:$V$134,9,FALSE),0)</f>
        <v>1</v>
      </c>
      <c r="AH130" s="435">
        <f>IF($Y$130&gt;0,VLOOKUP($Y$130,$D$130:$V$134,10,FALSE),0)</f>
        <v>1.2</v>
      </c>
      <c r="AI130" s="910">
        <f>IF($Y$130&gt;0,VLOOKUP($Y$130,$D$130:$V$134,11,FALSE),0)</f>
        <v>1.2064620000000001</v>
      </c>
      <c r="AJ130" s="881">
        <f>IF($Y$130&gt;0,VLOOKUP($Y$130,$D$130:$V$134,12,FALSE),0)</f>
        <v>1.0053850000000002</v>
      </c>
      <c r="AK130" s="431">
        <f>IF(AND(Y130&gt;0,AG130=$AG$129),$AK$127,0)</f>
        <v>50</v>
      </c>
      <c r="AL130" s="431">
        <f>IF(AND(Y130&gt;0,AF130=$AF$129),$AL$127,0)</f>
        <v>50</v>
      </c>
      <c r="AM130" s="431">
        <f>IF(Y130&gt;0,VLOOKUP(AJ130,$Q$114:$R$125,2),0)</f>
        <v>50</v>
      </c>
      <c r="AN130" s="442">
        <f>IF(Y130&gt;0,SUM(AK130:AM130),0)</f>
        <v>150</v>
      </c>
      <c r="AO130" s="451">
        <f>IF(AND(Y130&gt;0,AN130=$AN$129),AH130,9999)</f>
        <v>1.2</v>
      </c>
      <c r="AP130" s="431">
        <f>IF(AND(Y130&gt;0,AO130=$AO$129),$AP$127,0)</f>
        <v>25</v>
      </c>
      <c r="AQ130" s="442">
        <f>IF(Y130&gt;0,AN130+AP130,0)</f>
        <v>175</v>
      </c>
    </row>
    <row r="131" spans="2:43" x14ac:dyDescent="0.25">
      <c r="B131" s="12">
        <f>IF(AND(SUM(D130:D134)&gt;0,V131=$V$129),1,0)</f>
        <v>1</v>
      </c>
      <c r="C131" s="850">
        <v>2</v>
      </c>
      <c r="D131" s="847">
        <f>IF($C$129&gt;=C131,VLOOKUP(C131,$C$31:$J$69,3,FALSE),0)</f>
        <v>2</v>
      </c>
      <c r="E131" s="26">
        <f>IF(D131&gt;0,VLOOKUP(D131,$E$31:$AC$111,4,FALSE),0)</f>
        <v>1000</v>
      </c>
      <c r="F131" s="25">
        <f>IF(D131&gt;0,VLOOKUP(D131,$E$31:$AC$111,3,FALSE),0)</f>
        <v>1200</v>
      </c>
      <c r="G131" s="26">
        <f t="shared" ref="G131:G134" si="34">IF(D131&gt;0,$D$3)</f>
        <v>361</v>
      </c>
      <c r="H131" s="2">
        <f t="shared" ref="H131:H134" si="35">IF(D131&gt;0,$D$4)</f>
        <v>557</v>
      </c>
      <c r="I131" s="26">
        <f t="shared" ref="I131:I134" si="36">IF($D131&gt;0,VLOOKUP($D131,$E$31:$AC$111,20,FALSE),0)</f>
        <v>3</v>
      </c>
      <c r="J131" s="25">
        <f t="shared" ref="J131:J134" si="37">IF($D131&gt;0,VLOOKUP($D131,$E$31:$AC$111,13,FALSE),0)</f>
        <v>2</v>
      </c>
      <c r="K131" s="26">
        <f t="shared" ref="K131:K134" si="38">IF(AND(D131&gt;0,L131=$L$129),J131*I131,0)</f>
        <v>6</v>
      </c>
      <c r="L131" s="26">
        <f t="shared" ref="L131:L134" si="39">IF($D131&gt;0,VLOOKUP($D131,$E$31:$AC$111,2,FALSE),0)</f>
        <v>1</v>
      </c>
      <c r="M131" s="26">
        <f t="shared" ref="M131:M140" si="40">IF($D131&gt;0,VLOOKUP($D131,$E$31:$AC$111,24,FALSE),0)</f>
        <v>1.2</v>
      </c>
      <c r="N131" s="12">
        <f t="shared" ref="N131:N134" si="41">IF($D131&gt;0,VLOOKUP($D131,$E$31:$AC$111,23,FALSE),0)</f>
        <v>1.2064620000000001</v>
      </c>
      <c r="O131" s="479">
        <f t="shared" ref="O131:O134" si="42">IF($D131&gt;0,VLOOKUP($D131,$E$31:$AC$111,25,FALSE),0)</f>
        <v>1.0053850000000002</v>
      </c>
      <c r="P131" s="26">
        <f>IF(AND(D131&gt;0,L131=$L$129),$P$127,0)</f>
        <v>50</v>
      </c>
      <c r="Q131" s="12">
        <f t="shared" ref="Q131:Q134" si="43">IF(AND(D131&gt;0,K131=$K$129),$Q$127,0)</f>
        <v>50</v>
      </c>
      <c r="R131" s="26">
        <f t="shared" ref="R131:R140" si="44">IF(D131&gt;0,VLOOKUP(O131,$Q$114:$R$125,2),0)</f>
        <v>50</v>
      </c>
      <c r="S131" s="12">
        <f t="shared" ref="S131:S134" si="45">IF(D131&gt;0,SUM(P131:R131),0)</f>
        <v>150</v>
      </c>
      <c r="T131" s="340">
        <f t="shared" ref="T131:T134" si="46">IF(AND(D131&gt;0,S131=$S$129),M131,9999)</f>
        <v>1.2</v>
      </c>
      <c r="U131" s="26">
        <f t="shared" ref="U131:U134" si="47">IF(AND(D131&gt;0,T131=$T$129),$U$127,0)</f>
        <v>25</v>
      </c>
      <c r="V131" s="12">
        <f t="shared" ref="V131:V134" si="48">IF(D131&gt;0,S131+U131,0)</f>
        <v>175</v>
      </c>
      <c r="X131" s="432">
        <f>IF(AQ131=AQ129,1,0)</f>
        <v>1</v>
      </c>
      <c r="Y131" s="872">
        <f>IF(SUM(B136:B140)&gt;0,VLOOKUP(1,B136:V140,3,FALSE),0)</f>
        <v>102</v>
      </c>
      <c r="Z131" s="432">
        <f>IF($Y$131&gt;0,VLOOKUP($Y$131,$D$136:$V$140,2,FALSE),0)</f>
        <v>1000</v>
      </c>
      <c r="AA131" s="343">
        <f>IF($Y$131&gt;0,VLOOKUP($Y$131,$D$136:$V$140,3,FALSE),0)</f>
        <v>1200</v>
      </c>
      <c r="AB131" s="432">
        <f>IF($Y$131&gt;0,VLOOKUP($Y$131,$D$136:$V$140,4,FALSE),0)</f>
        <v>557</v>
      </c>
      <c r="AC131" s="343">
        <f>IF($Y$131&gt;0,VLOOKUP($Y$131,$D$136:$V$140,5,FALSE),0)</f>
        <v>361</v>
      </c>
      <c r="AD131" s="432">
        <f>IF($Y$131&gt;0,VLOOKUP($Y$131,$D$136:$V$140,6,FALSE),0)</f>
        <v>2</v>
      </c>
      <c r="AE131" s="436">
        <f>IF($Y$131&gt;0,VLOOKUP($Y$131,$D$136:$V$140,7,FALSE),0)</f>
        <v>3</v>
      </c>
      <c r="AF131" s="13">
        <f>IF(AND(Y131&gt;0,AG131=$AG$129),AE131*AD131,0)</f>
        <v>6</v>
      </c>
      <c r="AG131" s="436">
        <f>IF($Y$131&gt;0,VLOOKUP($Y$131,$D$136:$V$140,9,FALSE),0)</f>
        <v>1</v>
      </c>
      <c r="AH131" s="436">
        <f>IF($Y$131&gt;0,VLOOKUP($Y$131,$D$136:$V$140,10,FALSE),0)</f>
        <v>1.2</v>
      </c>
      <c r="AI131" s="911">
        <f>IF($Y$131&gt;0,VLOOKUP($Y$131,$D$136:$V$140,11,FALSE),0)</f>
        <v>1.2064620000000001</v>
      </c>
      <c r="AJ131" s="882">
        <f>IF($Y$131&gt;0,VLOOKUP($Y$131,$D$136:$V$140,12,FALSE),0)</f>
        <v>1.0053850000000002</v>
      </c>
      <c r="AK131" s="432">
        <f>IF(AND(Y131&gt;0,AG131=$AG$129),$AK$127,0)</f>
        <v>50</v>
      </c>
      <c r="AL131" s="432">
        <f>IF(AND(Y131&gt;0,AF131=$AF$129),$AL$127,0)</f>
        <v>50</v>
      </c>
      <c r="AM131" s="432">
        <f>IF(Y131&gt;0,VLOOKUP(AJ131,$Q$114:$R$125,2),0)</f>
        <v>50</v>
      </c>
      <c r="AN131" s="13">
        <f>IF(Y131&gt;0,SUM(AK131:AM131),0)</f>
        <v>150</v>
      </c>
      <c r="AO131" s="342">
        <f>IF(AND(Y131&gt;0,AN131=$AN$129),AH131,9999)</f>
        <v>1.2</v>
      </c>
      <c r="AP131" s="432">
        <f>IF(AND(Y131&gt;0,AO131=$AO$129),$AP$127,0)</f>
        <v>25</v>
      </c>
      <c r="AQ131" s="13">
        <f>IF(Y131&gt;0,AN131+AP131,0)</f>
        <v>175</v>
      </c>
    </row>
    <row r="132" spans="2:43" x14ac:dyDescent="0.25">
      <c r="B132" s="12">
        <f>IF(AND(SUM(D130:D134)&gt;0,V132=$V$129),1,0)</f>
        <v>0</v>
      </c>
      <c r="C132" s="850">
        <v>3</v>
      </c>
      <c r="D132" s="847">
        <f>IF($C$129&gt;=C132,VLOOKUP(C132,$C$31:$J$69,3,FALSE),0)</f>
        <v>3</v>
      </c>
      <c r="E132" s="26">
        <f>IF(D132&gt;0,VLOOKUP(D132,$E$31:$AC$111,4,FALSE),0)</f>
        <v>1200</v>
      </c>
      <c r="F132" s="25">
        <f>IF(D132&gt;0,VLOOKUP(D132,$E$31:$AC$111,3,FALSE),0)</f>
        <v>1600</v>
      </c>
      <c r="G132" s="26">
        <f t="shared" si="34"/>
        <v>361</v>
      </c>
      <c r="H132" s="2">
        <f t="shared" si="35"/>
        <v>557</v>
      </c>
      <c r="I132" s="26">
        <f t="shared" si="36"/>
        <v>3</v>
      </c>
      <c r="J132" s="25">
        <f t="shared" si="37"/>
        <v>3</v>
      </c>
      <c r="K132" s="26">
        <f t="shared" si="38"/>
        <v>0</v>
      </c>
      <c r="L132" s="26">
        <f t="shared" si="39"/>
        <v>2</v>
      </c>
      <c r="M132" s="26">
        <f t="shared" si="40"/>
        <v>1.92</v>
      </c>
      <c r="N132" s="12">
        <f t="shared" si="41"/>
        <v>1.809693</v>
      </c>
      <c r="O132" s="479">
        <f t="shared" si="42"/>
        <v>0.94254843750000006</v>
      </c>
      <c r="P132" s="26">
        <f t="shared" ref="P132:P134" si="49">IF(AND(D132&gt;0,L132=$L$129),$P$127,0)</f>
        <v>0</v>
      </c>
      <c r="Q132" s="12">
        <f t="shared" si="43"/>
        <v>0</v>
      </c>
      <c r="R132" s="26">
        <f t="shared" si="44"/>
        <v>40</v>
      </c>
      <c r="S132" s="12">
        <f t="shared" si="45"/>
        <v>40</v>
      </c>
      <c r="T132" s="340">
        <f t="shared" si="46"/>
        <v>9999</v>
      </c>
      <c r="U132" s="26">
        <f t="shared" si="47"/>
        <v>0</v>
      </c>
      <c r="V132" s="12">
        <f t="shared" si="48"/>
        <v>40</v>
      </c>
    </row>
    <row r="133" spans="2:43" x14ac:dyDescent="0.25">
      <c r="B133" s="12">
        <f>IF(AND(SUM(D130:D134)&gt;0,V133=$V$129),1,0)</f>
        <v>0</v>
      </c>
      <c r="C133" s="850">
        <v>4</v>
      </c>
      <c r="D133" s="847">
        <f>IF($C$129&gt;=C133,VLOOKUP(C133,$C$31:$J$69,3,FALSE),0)</f>
        <v>4</v>
      </c>
      <c r="E133" s="26">
        <f>IF(D133&gt;0,VLOOKUP(D133,$E$31:$AC$111,4,FALSE),0)</f>
        <v>800</v>
      </c>
      <c r="F133" s="25">
        <f>IF(D133&gt;0,VLOOKUP(D133,$E$31:$AC$111,3,FALSE),0)</f>
        <v>2400</v>
      </c>
      <c r="G133" s="26">
        <f t="shared" si="34"/>
        <v>361</v>
      </c>
      <c r="H133" s="2">
        <f t="shared" si="35"/>
        <v>557</v>
      </c>
      <c r="I133" s="26">
        <f t="shared" si="36"/>
        <v>2</v>
      </c>
      <c r="J133" s="25">
        <f t="shared" si="37"/>
        <v>4</v>
      </c>
      <c r="K133" s="26">
        <f t="shared" si="38"/>
        <v>0</v>
      </c>
      <c r="L133" s="26">
        <f t="shared" si="39"/>
        <v>2</v>
      </c>
      <c r="M133" s="26">
        <f t="shared" si="40"/>
        <v>1.92</v>
      </c>
      <c r="N133" s="12">
        <f t="shared" si="41"/>
        <v>1.608616</v>
      </c>
      <c r="O133" s="479">
        <f t="shared" si="42"/>
        <v>0.83782083333333335</v>
      </c>
      <c r="P133" s="26">
        <f t="shared" si="49"/>
        <v>0</v>
      </c>
      <c r="Q133" s="12">
        <f t="shared" si="43"/>
        <v>0</v>
      </c>
      <c r="R133" s="26">
        <f t="shared" si="44"/>
        <v>25</v>
      </c>
      <c r="S133" s="12">
        <f t="shared" si="45"/>
        <v>25</v>
      </c>
      <c r="T133" s="340">
        <f t="shared" si="46"/>
        <v>9999</v>
      </c>
      <c r="U133" s="26">
        <f t="shared" si="47"/>
        <v>0</v>
      </c>
      <c r="V133" s="12">
        <f t="shared" si="48"/>
        <v>25</v>
      </c>
      <c r="X133" t="s">
        <v>928</v>
      </c>
      <c r="Z133" s="473">
        <f>VLOOKUP(1,X130:Y131,2,FALSE)</f>
        <v>2</v>
      </c>
    </row>
    <row r="134" spans="2:43" x14ac:dyDescent="0.25">
      <c r="B134" s="12">
        <f>IF(AND(SUM(D130:D134)&gt;0,V134=$V$129),1,0)</f>
        <v>0</v>
      </c>
      <c r="C134" s="848">
        <v>5</v>
      </c>
      <c r="D134" s="872">
        <f>IF($C$129&gt;=C134,VLOOKUP(C134,$C$31:$J$69,3,FALSE),0)</f>
        <v>5</v>
      </c>
      <c r="E134" s="432">
        <f>IF(D134&gt;0,VLOOKUP(D134,$E$31:$AC$111,4,FALSE),0)</f>
        <v>1200</v>
      </c>
      <c r="F134" s="436">
        <f>IF(D134&gt;0,VLOOKUP(D134,$E$31:$AC$111,3,FALSE),0)</f>
        <v>2000</v>
      </c>
      <c r="G134" s="432">
        <f t="shared" si="34"/>
        <v>361</v>
      </c>
      <c r="H134" s="343">
        <f t="shared" si="35"/>
        <v>557</v>
      </c>
      <c r="I134" s="432">
        <f t="shared" si="36"/>
        <v>3</v>
      </c>
      <c r="J134" s="436">
        <f t="shared" si="37"/>
        <v>3</v>
      </c>
      <c r="K134" s="26">
        <f t="shared" si="38"/>
        <v>0</v>
      </c>
      <c r="L134" s="432">
        <f t="shared" si="39"/>
        <v>2</v>
      </c>
      <c r="M134" s="432">
        <f t="shared" si="40"/>
        <v>2.4</v>
      </c>
      <c r="N134" s="13">
        <f t="shared" si="41"/>
        <v>1.809693</v>
      </c>
      <c r="O134" s="876">
        <f t="shared" si="42"/>
        <v>0.75403874999999998</v>
      </c>
      <c r="P134" s="432">
        <f t="shared" si="49"/>
        <v>0</v>
      </c>
      <c r="Q134" s="13">
        <f t="shared" si="43"/>
        <v>0</v>
      </c>
      <c r="R134" s="432">
        <f t="shared" si="44"/>
        <v>25</v>
      </c>
      <c r="S134" s="13">
        <f t="shared" si="45"/>
        <v>25</v>
      </c>
      <c r="T134" s="340">
        <f t="shared" si="46"/>
        <v>9999</v>
      </c>
      <c r="U134" s="26">
        <f t="shared" si="47"/>
        <v>0</v>
      </c>
      <c r="V134" s="13">
        <f t="shared" si="48"/>
        <v>25</v>
      </c>
    </row>
    <row r="135" spans="2:43" x14ac:dyDescent="0.25">
      <c r="B135" s="472"/>
      <c r="C135" s="870">
        <f>C72</f>
        <v>39</v>
      </c>
      <c r="D135" s="871"/>
      <c r="E135" s="26"/>
      <c r="F135" s="25"/>
      <c r="G135" s="6"/>
      <c r="H135" s="7"/>
      <c r="I135" s="6"/>
      <c r="J135" s="7"/>
      <c r="K135" s="442">
        <f>MAX(K136:K140)</f>
        <v>6</v>
      </c>
      <c r="L135" s="12">
        <f>MIN(L136:L140)</f>
        <v>1</v>
      </c>
      <c r="M135" s="473"/>
      <c r="O135" s="472"/>
      <c r="Q135" s="472"/>
      <c r="R135" s="213"/>
      <c r="S135" s="442">
        <f>MAX(S136:S140)</f>
        <v>150</v>
      </c>
      <c r="T135" s="885">
        <f>MIN(T136:T140)</f>
        <v>1.2</v>
      </c>
      <c r="U135" s="472"/>
      <c r="V135" s="12">
        <f>MAX(V136:V140)</f>
        <v>175</v>
      </c>
    </row>
    <row r="136" spans="2:43" x14ac:dyDescent="0.25">
      <c r="B136" s="442">
        <f>IF(AND(SUM(D136:D140)&gt;0,V136=$V$135),1,0)</f>
        <v>0</v>
      </c>
      <c r="C136" s="850">
        <v>1</v>
      </c>
      <c r="D136" s="858">
        <f>IF($C$135&gt;=C136,VLOOKUP(C136,$C$73:$J$111,3,FALSE),0)</f>
        <v>101</v>
      </c>
      <c r="E136" s="431">
        <f>IF(D136&gt;0,VLOOKUP(D136,$E$31:$AC$111,4,FALSE),0)</f>
        <v>800</v>
      </c>
      <c r="F136" s="435">
        <f>IF(D136&gt;0,VLOOKUP(D136,$E$31:$AC$111,3,FALSE),0)</f>
        <v>1200</v>
      </c>
      <c r="G136" s="431">
        <f>IF(D136&gt;0,$D$4)</f>
        <v>557</v>
      </c>
      <c r="H136" s="449">
        <f>IF(D136&gt;0,$D$3)</f>
        <v>361</v>
      </c>
      <c r="I136" s="431">
        <f>IF($D136&gt;0,VLOOKUP($D136,$E$31:$AC$111,20,FALSE),0)</f>
        <v>1</v>
      </c>
      <c r="J136" s="449">
        <f>IF($D136&gt;0,VLOOKUP($D136,$E$31:$AC$111,13,FALSE),0)</f>
        <v>3</v>
      </c>
      <c r="K136" s="442">
        <f>IF(AND(D136&gt;0,L136=$L$135),J136*I136,0)</f>
        <v>3</v>
      </c>
      <c r="L136" s="449">
        <f>IF($D136&gt;0,VLOOKUP($D136,$E$31:$AC$111,2,FALSE),0)</f>
        <v>1</v>
      </c>
      <c r="M136" s="442">
        <f t="shared" si="40"/>
        <v>0.96</v>
      </c>
      <c r="N136" s="442">
        <f>IF($D136&gt;0,VLOOKUP($D136,$E$31:$AC$111,23,FALSE),0)</f>
        <v>0.60323100000000007</v>
      </c>
      <c r="O136" s="877">
        <f>IF($D136&gt;0,VLOOKUP($D136,$E$31:$AC$111,25,FALSE),0)</f>
        <v>0.62836562500000015</v>
      </c>
      <c r="P136" s="431">
        <f>IF(AND(D136&gt;0,L136=$L$135),$P$127,0)</f>
        <v>50</v>
      </c>
      <c r="Q136" s="442">
        <f>IF(AND(D136&gt;0,K136=$K$135),$Q$127,0)</f>
        <v>0</v>
      </c>
      <c r="R136" s="431">
        <f t="shared" si="44"/>
        <v>20</v>
      </c>
      <c r="S136" s="442">
        <f>IF(D136&gt;0,SUM(P136:R136),0)</f>
        <v>70</v>
      </c>
      <c r="T136" s="340">
        <f>IF(AND(D136&gt;0,S136=$S$135),M136,9999)</f>
        <v>9999</v>
      </c>
      <c r="U136" s="431">
        <f>IF(AND(D136&gt;0,T136=$T$135),$U$127,0)</f>
        <v>0</v>
      </c>
      <c r="V136" s="442">
        <f>IF(D136&gt;0,S136+U136,0)</f>
        <v>70</v>
      </c>
    </row>
    <row r="137" spans="2:43" x14ac:dyDescent="0.25">
      <c r="B137" s="12">
        <f>IF(AND(SUM(D136:D140)&gt;0,V137=$V$135),1,0)</f>
        <v>1</v>
      </c>
      <c r="C137" s="850">
        <v>2</v>
      </c>
      <c r="D137" s="847">
        <f>IF($C$135&gt;=C137,VLOOKUP(C137,$C$73:$J$111,3,FALSE),0)</f>
        <v>102</v>
      </c>
      <c r="E137" s="26">
        <f>IF(D137&gt;0,VLOOKUP(D137,$E$31:$AC$111,4,FALSE),0)</f>
        <v>1000</v>
      </c>
      <c r="F137" s="25">
        <f>IF(D137&gt;0,VLOOKUP(D137,$E$31:$AC$111,3,FALSE),0)</f>
        <v>1200</v>
      </c>
      <c r="G137" s="26">
        <f t="shared" ref="G137:G140" si="50">IF(D137&gt;0,$D$4)</f>
        <v>557</v>
      </c>
      <c r="H137" s="2">
        <f t="shared" ref="H137:H140" si="51">IF(D137&gt;0,$D$3)</f>
        <v>361</v>
      </c>
      <c r="I137" s="26">
        <f t="shared" ref="I137:I140" si="52">IF($D137&gt;0,VLOOKUP($D137,$E$31:$AC$111,20,FALSE),0)</f>
        <v>2</v>
      </c>
      <c r="J137" s="2">
        <f t="shared" ref="J137:J140" si="53">IF($D137&gt;0,VLOOKUP($D137,$E$31:$AC$111,13,FALSE),0)</f>
        <v>3</v>
      </c>
      <c r="K137" s="12">
        <f t="shared" ref="K137:K140" si="54">IF(AND(D137&gt;0,L137=$L$135),J137*I137,0)</f>
        <v>6</v>
      </c>
      <c r="L137" s="2">
        <f t="shared" ref="L137:L140" si="55">IF($D137&gt;0,VLOOKUP($D137,$E$31:$AC$111,2,FALSE),0)</f>
        <v>1</v>
      </c>
      <c r="M137" s="12">
        <f t="shared" si="40"/>
        <v>1.2</v>
      </c>
      <c r="N137" s="12">
        <f t="shared" ref="N137:N140" si="56">IF($D137&gt;0,VLOOKUP($D137,$E$31:$AC$111,23,FALSE),0)</f>
        <v>1.2064620000000001</v>
      </c>
      <c r="O137" s="863">
        <f t="shared" ref="O137:O140" si="57">IF($D137&gt;0,VLOOKUP($D137,$E$31:$AC$111,25,FALSE),0)</f>
        <v>1.0053850000000002</v>
      </c>
      <c r="P137" s="26">
        <f t="shared" ref="P137:P140" si="58">IF(AND(D137&gt;0,L137=$L$135),$P$127,0)</f>
        <v>50</v>
      </c>
      <c r="Q137" s="12">
        <f t="shared" ref="Q137:Q140" si="59">IF(AND(D137&gt;0,K137=$K$135),$Q$127,0)</f>
        <v>50</v>
      </c>
      <c r="R137" s="26">
        <f t="shared" si="44"/>
        <v>50</v>
      </c>
      <c r="S137" s="12">
        <f t="shared" ref="S137:S140" si="60">IF(D137&gt;0,SUM(P137:R137),0)</f>
        <v>150</v>
      </c>
      <c r="T137" s="340">
        <f t="shared" ref="T137:T140" si="61">IF(AND(D137&gt;0,S137=$S$135),M137,9999)</f>
        <v>1.2</v>
      </c>
      <c r="U137" s="26">
        <f t="shared" ref="U137:U140" si="62">IF(AND(D137&gt;0,T137=$T$135),$U$127,0)</f>
        <v>25</v>
      </c>
      <c r="V137" s="12">
        <f t="shared" ref="V137:V140" si="63">IF(D137&gt;0,S137+U137,0)</f>
        <v>175</v>
      </c>
    </row>
    <row r="138" spans="2:43" x14ac:dyDescent="0.25">
      <c r="B138" s="12">
        <f>IF(AND(SUM(D136:D140)&gt;0,V138=$V$135),1,0)</f>
        <v>0</v>
      </c>
      <c r="C138" s="850">
        <v>3</v>
      </c>
      <c r="D138" s="847">
        <f>IF($C$135&gt;=C138,VLOOKUP(C138,$C$73:$J$111,3,FALSE),0)</f>
        <v>103</v>
      </c>
      <c r="E138" s="26">
        <f>IF(D138&gt;0,VLOOKUP(D138,$E$31:$AC$111,4,FALSE),0)</f>
        <v>1200</v>
      </c>
      <c r="F138" s="25">
        <f>IF(D138&gt;0,VLOOKUP(D138,$E$31:$AC$111,3,FALSE),0)</f>
        <v>1600</v>
      </c>
      <c r="G138" s="26">
        <f t="shared" si="50"/>
        <v>557</v>
      </c>
      <c r="H138" s="2">
        <f t="shared" si="51"/>
        <v>361</v>
      </c>
      <c r="I138" s="26">
        <f t="shared" si="52"/>
        <v>2</v>
      </c>
      <c r="J138" s="2">
        <f t="shared" si="53"/>
        <v>4</v>
      </c>
      <c r="K138" s="12">
        <f t="shared" si="54"/>
        <v>0</v>
      </c>
      <c r="L138" s="2">
        <f t="shared" si="55"/>
        <v>2</v>
      </c>
      <c r="M138" s="12">
        <f t="shared" si="40"/>
        <v>1.92</v>
      </c>
      <c r="N138" s="12">
        <f t="shared" si="56"/>
        <v>1.608616</v>
      </c>
      <c r="O138" s="863">
        <f t="shared" si="57"/>
        <v>0.83782083333333335</v>
      </c>
      <c r="P138" s="26">
        <f t="shared" si="58"/>
        <v>0</v>
      </c>
      <c r="Q138" s="12">
        <f t="shared" si="59"/>
        <v>0</v>
      </c>
      <c r="R138" s="26">
        <f t="shared" si="44"/>
        <v>25</v>
      </c>
      <c r="S138" s="12">
        <f t="shared" si="60"/>
        <v>25</v>
      </c>
      <c r="T138" s="340">
        <f t="shared" si="61"/>
        <v>9999</v>
      </c>
      <c r="U138" s="26">
        <f t="shared" si="62"/>
        <v>0</v>
      </c>
      <c r="V138" s="12">
        <f t="shared" si="63"/>
        <v>25</v>
      </c>
    </row>
    <row r="139" spans="2:43" x14ac:dyDescent="0.25">
      <c r="B139" s="12">
        <f>IF(AND(SUM(D136:D140)&gt;0,V139=$V$135),1,0)</f>
        <v>0</v>
      </c>
      <c r="C139" s="850">
        <v>4</v>
      </c>
      <c r="D139" s="847">
        <f>IF($C$135&gt;=C139,VLOOKUP(C139,$C$73:$J$111,3,FALSE),0)</f>
        <v>104</v>
      </c>
      <c r="E139" s="26">
        <f>IF(D139&gt;0,VLOOKUP(D139,$E$31:$AC$111,4,FALSE),0)</f>
        <v>800</v>
      </c>
      <c r="F139" s="25">
        <f>IF(D139&gt;0,VLOOKUP(D139,$E$31:$AC$111,3,FALSE),0)</f>
        <v>2400</v>
      </c>
      <c r="G139" s="26">
        <f t="shared" si="50"/>
        <v>557</v>
      </c>
      <c r="H139" s="2">
        <f t="shared" si="51"/>
        <v>361</v>
      </c>
      <c r="I139" s="26">
        <f t="shared" si="52"/>
        <v>1</v>
      </c>
      <c r="J139" s="2">
        <f t="shared" si="53"/>
        <v>6</v>
      </c>
      <c r="K139" s="12">
        <f t="shared" si="54"/>
        <v>0</v>
      </c>
      <c r="L139" s="2">
        <f t="shared" si="55"/>
        <v>2</v>
      </c>
      <c r="M139" s="12">
        <f t="shared" si="40"/>
        <v>1.92</v>
      </c>
      <c r="N139" s="12">
        <f t="shared" si="56"/>
        <v>1.2064620000000001</v>
      </c>
      <c r="O139" s="863">
        <f t="shared" si="57"/>
        <v>0.62836562500000015</v>
      </c>
      <c r="P139" s="26">
        <f t="shared" si="58"/>
        <v>0</v>
      </c>
      <c r="Q139" s="12">
        <f t="shared" si="59"/>
        <v>0</v>
      </c>
      <c r="R139" s="26">
        <f t="shared" si="44"/>
        <v>20</v>
      </c>
      <c r="S139" s="12">
        <f t="shared" si="60"/>
        <v>20</v>
      </c>
      <c r="T139" s="340">
        <f t="shared" si="61"/>
        <v>9999</v>
      </c>
      <c r="U139" s="26">
        <f t="shared" si="62"/>
        <v>0</v>
      </c>
      <c r="V139" s="12">
        <f t="shared" si="63"/>
        <v>20</v>
      </c>
    </row>
    <row r="140" spans="2:43" x14ac:dyDescent="0.25">
      <c r="B140" s="13">
        <f>IF(AND(SUM(D136:D140)&gt;0,V140=$V$135),1,0)</f>
        <v>0</v>
      </c>
      <c r="C140" s="848">
        <v>5</v>
      </c>
      <c r="D140" s="872">
        <f>IF($C$135&gt;=C140,VLOOKUP(C140,$C$73:$J$111,3,FALSE),0)</f>
        <v>105</v>
      </c>
      <c r="E140" s="432">
        <f>IF(D140&gt;0,VLOOKUP(D140,$E$31:$AC$111,4,FALSE),0)</f>
        <v>1200</v>
      </c>
      <c r="F140" s="436">
        <f>IF(D140&gt;0,VLOOKUP(D140,$E$31:$AC$111,3,FALSE),0)</f>
        <v>2000</v>
      </c>
      <c r="G140" s="432">
        <f t="shared" si="50"/>
        <v>557</v>
      </c>
      <c r="H140" s="343">
        <f t="shared" si="51"/>
        <v>361</v>
      </c>
      <c r="I140" s="432">
        <f t="shared" si="52"/>
        <v>2</v>
      </c>
      <c r="J140" s="343">
        <f t="shared" si="53"/>
        <v>5</v>
      </c>
      <c r="K140" s="13">
        <f t="shared" si="54"/>
        <v>0</v>
      </c>
      <c r="L140" s="343">
        <f t="shared" si="55"/>
        <v>2</v>
      </c>
      <c r="M140" s="13">
        <f t="shared" si="40"/>
        <v>2.4</v>
      </c>
      <c r="N140" s="13">
        <f t="shared" si="56"/>
        <v>2.0107699999999999</v>
      </c>
      <c r="O140" s="878">
        <f t="shared" si="57"/>
        <v>0.83782083333333335</v>
      </c>
      <c r="P140" s="432">
        <f t="shared" si="58"/>
        <v>0</v>
      </c>
      <c r="Q140" s="13">
        <f t="shared" si="59"/>
        <v>0</v>
      </c>
      <c r="R140" s="432">
        <f t="shared" si="44"/>
        <v>25</v>
      </c>
      <c r="S140" s="13">
        <f t="shared" si="60"/>
        <v>25</v>
      </c>
      <c r="T140" s="342">
        <f t="shared" si="61"/>
        <v>9999</v>
      </c>
      <c r="U140" s="432">
        <f t="shared" si="62"/>
        <v>0</v>
      </c>
      <c r="V140" s="13">
        <f t="shared" si="63"/>
        <v>25</v>
      </c>
    </row>
    <row r="141" spans="2:43" x14ac:dyDescent="0.25">
      <c r="S141" s="2"/>
    </row>
    <row r="145" spans="3:6" x14ac:dyDescent="0.25">
      <c r="C145" t="s">
        <v>801</v>
      </c>
      <c r="D145" s="442">
        <f>'Rekenblad (4)'!E108</f>
        <v>2</v>
      </c>
      <c r="E145" t="s">
        <v>25</v>
      </c>
    </row>
    <row r="146" spans="3:6" x14ac:dyDescent="0.25">
      <c r="C146" t="s">
        <v>895</v>
      </c>
      <c r="D146" s="473">
        <f>'Rekenblad (4)'!C13</f>
        <v>3</v>
      </c>
      <c r="E146" t="s">
        <v>25</v>
      </c>
    </row>
    <row r="147" spans="3:6" x14ac:dyDescent="0.25">
      <c r="C147" t="s">
        <v>896</v>
      </c>
      <c r="D147" s="13">
        <f>D146*D145</f>
        <v>6</v>
      </c>
      <c r="E147" t="s">
        <v>25</v>
      </c>
    </row>
    <row r="149" spans="3:6" x14ac:dyDescent="0.25">
      <c r="C149" t="s">
        <v>929</v>
      </c>
      <c r="D149" s="431">
        <f>VLOOKUP($Z$133,$D$130:$V$140,2,FALSE)</f>
        <v>1000</v>
      </c>
      <c r="E149" s="442">
        <f>VLOOKUP($Z$133,$D$130:$V$140,3,FALSE)</f>
        <v>1200</v>
      </c>
      <c r="F149" t="s">
        <v>25</v>
      </c>
    </row>
    <row r="150" spans="3:6" x14ac:dyDescent="0.25">
      <c r="C150" t="s">
        <v>930</v>
      </c>
      <c r="D150" s="208">
        <f>VLOOKUP($Z$133,$D$130:$V$140,4,FALSE)*VLOOKUP($Z$133,$D$130:$V$140,6,FALSE)</f>
        <v>1083</v>
      </c>
      <c r="E150" s="473">
        <f>VLOOKUP($Z$133,$D$130:$V$140,5,FALSE)*VLOOKUP($Z$133,$D$130:$V$140,7,FALSE)</f>
        <v>1114</v>
      </c>
      <c r="F150" t="s">
        <v>25</v>
      </c>
    </row>
    <row r="151" spans="3:6" x14ac:dyDescent="0.25">
      <c r="C151" t="s">
        <v>931</v>
      </c>
      <c r="D151" s="432">
        <f>MAX(D149:D150)</f>
        <v>1083</v>
      </c>
      <c r="E151" s="13">
        <f>MAX(E149:E150)</f>
        <v>1200</v>
      </c>
      <c r="F151" t="s">
        <v>25</v>
      </c>
    </row>
    <row r="152" spans="3:6" x14ac:dyDescent="0.25">
      <c r="D152" s="2"/>
      <c r="E152" s="2"/>
    </row>
    <row r="153" spans="3:6" x14ac:dyDescent="0.25">
      <c r="C153" t="s">
        <v>959</v>
      </c>
      <c r="D153" s="473">
        <f>IF(D160&gt;0,VLOOKUP($Z$133,$D$130:$V$140,9,FALSE),0)</f>
        <v>1</v>
      </c>
      <c r="E153" s="2"/>
    </row>
    <row r="154" spans="3:6" x14ac:dyDescent="0.25">
      <c r="C154" t="s">
        <v>960</v>
      </c>
      <c r="D154" s="473">
        <f>D153*D174</f>
        <v>1</v>
      </c>
      <c r="E154" s="2"/>
    </row>
    <row r="155" spans="3:6" x14ac:dyDescent="0.25">
      <c r="C155" t="s">
        <v>962</v>
      </c>
      <c r="D155" s="796">
        <f>D154*'Tarieven (4)'!C14</f>
        <v>4</v>
      </c>
      <c r="E155" s="2"/>
    </row>
    <row r="156" spans="3:6" x14ac:dyDescent="0.25">
      <c r="D156" s="2"/>
      <c r="E156" s="2"/>
    </row>
    <row r="158" spans="3:6" x14ac:dyDescent="0.25">
      <c r="C158" t="s">
        <v>933</v>
      </c>
      <c r="D158" s="473">
        <f>'Rekenblad (4)'!K362</f>
        <v>1950</v>
      </c>
      <c r="E158" t="s">
        <v>25</v>
      </c>
    </row>
    <row r="159" spans="3:6" x14ac:dyDescent="0.25">
      <c r="C159" t="s">
        <v>934</v>
      </c>
      <c r="D159" s="473">
        <f>'Rekenblad (4)'!C17</f>
        <v>2100</v>
      </c>
      <c r="E159" t="s">
        <v>25</v>
      </c>
    </row>
    <row r="160" spans="3:6" x14ac:dyDescent="0.25">
      <c r="C160" t="s">
        <v>935</v>
      </c>
      <c r="D160" s="473">
        <f>MIN(D158:D159)</f>
        <v>1950</v>
      </c>
      <c r="E160" t="s">
        <v>25</v>
      </c>
    </row>
    <row r="161" spans="3:5" x14ac:dyDescent="0.25">
      <c r="C161" t="s">
        <v>932</v>
      </c>
      <c r="D161" s="484">
        <v>150</v>
      </c>
      <c r="E161" t="s">
        <v>25</v>
      </c>
    </row>
    <row r="162" spans="3:5" x14ac:dyDescent="0.25">
      <c r="C162" t="s">
        <v>936</v>
      </c>
      <c r="D162" s="473">
        <f>IF(D160&gt;0,D160-D161,0)</f>
        <v>1800</v>
      </c>
      <c r="E162" t="s">
        <v>25</v>
      </c>
    </row>
    <row r="164" spans="3:5" x14ac:dyDescent="0.25">
      <c r="C164" t="s">
        <v>937</v>
      </c>
      <c r="D164" s="473">
        <f>CEILING(D162/D147,5)</f>
        <v>300</v>
      </c>
      <c r="E164" s="59" t="s">
        <v>754</v>
      </c>
    </row>
    <row r="165" spans="3:5" x14ac:dyDescent="0.25">
      <c r="C165" t="s">
        <v>942</v>
      </c>
      <c r="D165" s="473">
        <f>IF(OR('Rekenblad (4)'!C988=1,'Rekenblad (4)'!E362=1,'Rekenblad (4)'!F362=1),1,0)</f>
        <v>1</v>
      </c>
      <c r="E165" s="59"/>
    </row>
    <row r="166" spans="3:5" x14ac:dyDescent="0.25">
      <c r="C166" t="s">
        <v>939</v>
      </c>
      <c r="D166" s="473">
        <f>'Rekenblad (4)'!K145</f>
        <v>25</v>
      </c>
      <c r="E166" t="s">
        <v>754</v>
      </c>
    </row>
    <row r="167" spans="3:5" x14ac:dyDescent="0.25">
      <c r="C167" t="s">
        <v>940</v>
      </c>
      <c r="D167" s="473">
        <f>FLOOR(D164/D166,1)*D166</f>
        <v>300</v>
      </c>
      <c r="E167" t="s">
        <v>754</v>
      </c>
    </row>
    <row r="168" spans="3:5" x14ac:dyDescent="0.25">
      <c r="C168" t="s">
        <v>941</v>
      </c>
      <c r="D168" s="473">
        <f>IF(D165=0,D164,D167)</f>
        <v>300</v>
      </c>
      <c r="E168" t="s">
        <v>754</v>
      </c>
    </row>
    <row r="169" spans="3:5" x14ac:dyDescent="0.25">
      <c r="D169" s="2"/>
    </row>
    <row r="170" spans="3:5" x14ac:dyDescent="0.25">
      <c r="C170" t="s">
        <v>943</v>
      </c>
      <c r="D170" s="473">
        <f>IF(D160&gt;0,VLOOKUP($Z$133,$D$130:$V$140,8,FALSE),0)</f>
        <v>6</v>
      </c>
      <c r="E170" t="s">
        <v>754</v>
      </c>
    </row>
    <row r="171" spans="3:5" x14ac:dyDescent="0.25">
      <c r="C171" t="s">
        <v>944</v>
      </c>
      <c r="D171" s="473">
        <f>D170*D168</f>
        <v>1800</v>
      </c>
      <c r="E171" t="s">
        <v>754</v>
      </c>
    </row>
    <row r="173" spans="3:5" x14ac:dyDescent="0.25">
      <c r="C173" t="s">
        <v>945</v>
      </c>
      <c r="D173" s="473">
        <f>'Rekenblad (4)'!C3</f>
        <v>490</v>
      </c>
      <c r="E173" t="s">
        <v>754</v>
      </c>
    </row>
    <row r="174" spans="3:5" x14ac:dyDescent="0.25">
      <c r="C174" t="s">
        <v>946</v>
      </c>
      <c r="D174" s="473">
        <f>IF(D160&gt;0,CEILING(D173/D171,1),0)</f>
        <v>1</v>
      </c>
      <c r="E174" t="s">
        <v>754</v>
      </c>
    </row>
    <row r="175" spans="3:5" x14ac:dyDescent="0.25">
      <c r="D175" s="2"/>
    </row>
    <row r="176" spans="3:5" x14ac:dyDescent="0.25">
      <c r="D176" s="2"/>
    </row>
    <row r="177" spans="3:5" x14ac:dyDescent="0.25">
      <c r="C177" s="888" t="s">
        <v>949</v>
      </c>
      <c r="D177" s="2"/>
    </row>
    <row r="179" spans="3:5" x14ac:dyDescent="0.25">
      <c r="C179" t="s">
        <v>947</v>
      </c>
      <c r="D179" s="484">
        <v>1150</v>
      </c>
    </row>
    <row r="180" spans="3:5" x14ac:dyDescent="0.25">
      <c r="C180" t="s">
        <v>948</v>
      </c>
      <c r="D180" s="2">
        <f>IF(D162&gt;=D179,1,2)</f>
        <v>1</v>
      </c>
    </row>
    <row r="181" spans="3:5" x14ac:dyDescent="0.25">
      <c r="C181" t="s">
        <v>9</v>
      </c>
      <c r="D181" s="2">
        <f>E151</f>
        <v>1200</v>
      </c>
      <c r="E181" t="s">
        <v>25</v>
      </c>
    </row>
    <row r="182" spans="3:5" x14ac:dyDescent="0.25">
      <c r="C182" t="s">
        <v>903</v>
      </c>
      <c r="D182" s="2">
        <f>D151</f>
        <v>1083</v>
      </c>
      <c r="E182" t="s">
        <v>25</v>
      </c>
    </row>
    <row r="183" spans="3:5" x14ac:dyDescent="0.25">
      <c r="C183" t="s">
        <v>963</v>
      </c>
      <c r="D183" s="2">
        <f>D174/D180</f>
        <v>1</v>
      </c>
    </row>
    <row r="184" spans="3:5" x14ac:dyDescent="0.25">
      <c r="D184" s="2"/>
    </row>
    <row r="185" spans="3:5" x14ac:dyDescent="0.25">
      <c r="C185" t="s">
        <v>951</v>
      </c>
      <c r="D185" s="909">
        <f>(((D181/1000)*(D182/1000))/2.4)*D183</f>
        <v>0.54149999999999998</v>
      </c>
      <c r="E185" t="s">
        <v>950</v>
      </c>
    </row>
    <row r="187" spans="3:5" x14ac:dyDescent="0.25">
      <c r="C187" t="s">
        <v>952</v>
      </c>
      <c r="D187" s="22">
        <v>13.2</v>
      </c>
      <c r="E187" t="s">
        <v>950</v>
      </c>
    </row>
    <row r="190" spans="3:5" x14ac:dyDescent="0.25">
      <c r="C190" s="899" t="s">
        <v>953</v>
      </c>
      <c r="D190" s="900">
        <f>FLOOR(D185/D187,1)</f>
        <v>0</v>
      </c>
      <c r="E190" s="903">
        <f>IF(D190&gt;0,'Transport tarieven (4)'!C81*D190,0)</f>
        <v>0</v>
      </c>
    </row>
    <row r="191" spans="3:5" x14ac:dyDescent="0.25">
      <c r="C191" s="899" t="s">
        <v>954</v>
      </c>
      <c r="D191" s="901">
        <f>D185-(D190*D187)</f>
        <v>0.54149999999999998</v>
      </c>
      <c r="E191" s="904">
        <f>'Transport tarieven (4)'!C82</f>
        <v>63.03</v>
      </c>
    </row>
    <row r="192" spans="3:5" x14ac:dyDescent="0.25">
      <c r="C192" s="899" t="s">
        <v>955</v>
      </c>
      <c r="D192" s="901"/>
      <c r="E192" s="904">
        <f>SUM(E190:E191)</f>
        <v>63.03</v>
      </c>
    </row>
    <row r="193" spans="3:6" x14ac:dyDescent="0.25">
      <c r="C193" s="899" t="s">
        <v>956</v>
      </c>
      <c r="D193" s="901"/>
      <c r="E193" s="904">
        <f>E192*'Tarieven (4)'!C15</f>
        <v>12.290850000000001</v>
      </c>
    </row>
    <row r="194" spans="3:6" x14ac:dyDescent="0.25">
      <c r="C194" s="899" t="s">
        <v>957</v>
      </c>
      <c r="D194" s="901"/>
      <c r="E194" s="904">
        <f>SUM(E192:E193)</f>
        <v>75.320850000000007</v>
      </c>
      <c r="F194" s="1171" t="s">
        <v>986</v>
      </c>
    </row>
    <row r="195" spans="3:6" x14ac:dyDescent="0.25">
      <c r="C195" s="899"/>
      <c r="D195" s="901"/>
      <c r="E195" s="904"/>
    </row>
    <row r="196" spans="3:6" x14ac:dyDescent="0.25">
      <c r="C196" s="899" t="s">
        <v>958</v>
      </c>
      <c r="D196" s="902"/>
      <c r="E196" s="905">
        <f>E194/D173</f>
        <v>0.15371602040816329</v>
      </c>
    </row>
  </sheetData>
  <mergeCells count="4">
    <mergeCell ref="Q113:R113"/>
    <mergeCell ref="E127:F127"/>
    <mergeCell ref="G127:H127"/>
    <mergeCell ref="I127:J12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DEA1-715B-44E2-8454-0CCF5CCB9262}">
  <dimension ref="A4:AF83"/>
  <sheetViews>
    <sheetView workbookViewId="0"/>
  </sheetViews>
  <sheetFormatPr defaultRowHeight="15" x14ac:dyDescent="0.25"/>
  <cols>
    <col min="1" max="1" customWidth="true" width="25.140625"/>
    <col min="2" max="3" customWidth="true" width="13.42578125"/>
    <col min="4" max="4" customWidth="true" width="16.7109375"/>
    <col min="9" max="9" customWidth="true" width="13.28515625"/>
    <col min="10" max="10" customWidth="true" width="13.140625"/>
    <col min="11" max="11" customWidth="true" width="14.42578125"/>
    <col min="13" max="13" customWidth="true" width="15.85546875"/>
  </cols>
  <sheetData>
    <row r="4" spans="1:32" s="71" customFormat="1" ht="12.75" x14ac:dyDescent="0.2">
      <c r="A4" s="71" t="s">
        <v>118</v>
      </c>
      <c r="B4" s="72"/>
      <c r="C4" s="72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32" s="71" customFormat="1" ht="12.75" x14ac:dyDescent="0.2">
      <c r="B5" s="893"/>
      <c r="C5" s="72"/>
      <c r="E5" s="74"/>
      <c r="F5" s="74"/>
      <c r="G5" s="75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</row>
    <row r="6" spans="1:32" s="71" customFormat="1" x14ac:dyDescent="0.25">
      <c r="A6" s="891" t="s">
        <v>119</v>
      </c>
      <c r="B6" s="2">
        <f>'Pallet en transport (4)'!D191</f>
        <v>0.54149999999999998</v>
      </c>
      <c r="C6" s="892" t="s">
        <v>120</v>
      </c>
      <c r="D6" s="76"/>
      <c r="E6" s="77"/>
      <c r="F6" s="77"/>
      <c r="G6" s="78"/>
      <c r="H6" s="79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</row>
    <row r="7" spans="1:32" s="71" customFormat="1" ht="12.75" x14ac:dyDescent="0.2">
      <c r="B7" s="894"/>
      <c r="C7" s="72"/>
      <c r="E7" s="80"/>
      <c r="F7" s="80"/>
      <c r="G7" s="81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</row>
    <row r="8" spans="1:32" s="71" customFormat="1" ht="12.75" x14ac:dyDescent="0.2">
      <c r="B8" s="73"/>
      <c r="C8" s="72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82"/>
      <c r="W8" s="82"/>
    </row>
    <row r="9" spans="1:32" s="71" customFormat="1" ht="12.75" x14ac:dyDescent="0.2">
      <c r="A9" s="74"/>
      <c r="B9" s="75"/>
      <c r="C9" s="8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82"/>
      <c r="W9" s="82"/>
    </row>
    <row r="10" spans="1:32" s="71" customFormat="1" x14ac:dyDescent="0.25">
      <c r="A10" s="84"/>
      <c r="B10" s="484">
        <v>1</v>
      </c>
      <c r="C10" s="484">
        <v>0</v>
      </c>
      <c r="D10" s="86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87"/>
      <c r="W10" s="82"/>
    </row>
    <row r="11" spans="1:32" s="71" customFormat="1" ht="12.75" x14ac:dyDescent="0.2">
      <c r="A11" s="88" t="s">
        <v>121</v>
      </c>
      <c r="B11" s="889" t="s">
        <v>122</v>
      </c>
      <c r="C11" s="889" t="s">
        <v>35</v>
      </c>
      <c r="D11" s="86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90"/>
      <c r="V11" s="91"/>
      <c r="W11" s="92"/>
    </row>
    <row r="12" spans="1:32" s="71" customFormat="1" x14ac:dyDescent="0.25">
      <c r="A12" s="93" t="s">
        <v>123</v>
      </c>
      <c r="B12" s="34">
        <v>3030</v>
      </c>
      <c r="C12" s="34">
        <v>8080</v>
      </c>
      <c r="D12" s="86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94"/>
      <c r="W12" s="82"/>
    </row>
    <row r="13" spans="1:32" s="71" customFormat="1" ht="12.75" x14ac:dyDescent="0.2">
      <c r="A13" s="80"/>
      <c r="B13" s="95"/>
      <c r="C13" s="95"/>
      <c r="E13" s="74"/>
      <c r="F13" s="74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82"/>
      <c r="W13" s="82"/>
      <c r="X13" s="74"/>
      <c r="AA13" s="82"/>
      <c r="AB13" s="82"/>
      <c r="AC13" s="96"/>
      <c r="AD13" s="97"/>
      <c r="AE13" s="97"/>
      <c r="AF13" s="98"/>
    </row>
    <row r="14" spans="1:32" s="71" customFormat="1" ht="12.75" x14ac:dyDescent="0.2">
      <c r="B14" s="83"/>
      <c r="C14" s="83"/>
      <c r="D14" s="99"/>
      <c r="E14" s="100">
        <v>4</v>
      </c>
      <c r="F14" s="101">
        <v>5</v>
      </c>
      <c r="G14" s="101">
        <v>6</v>
      </c>
      <c r="H14" s="102">
        <v>7</v>
      </c>
      <c r="I14" s="103">
        <v>8</v>
      </c>
      <c r="J14" s="104">
        <v>9</v>
      </c>
      <c r="K14" s="105">
        <v>10</v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86"/>
      <c r="AA14" s="82"/>
      <c r="AB14" s="82"/>
      <c r="AC14" s="96"/>
      <c r="AD14" s="97"/>
      <c r="AE14" s="97"/>
      <c r="AF14" s="98"/>
    </row>
    <row r="15" spans="1:32" s="71" customFormat="1" ht="12.75" x14ac:dyDescent="0.2">
      <c r="A15" s="76"/>
      <c r="B15" s="106"/>
      <c r="C15" s="107"/>
      <c r="D15" s="108"/>
      <c r="E15" s="105" t="str">
        <f><![CDATA[IF(AND($B$10=1,$B$12>=E17,$B$12<=E18),1,IF(AND($B$10=1,$B$12>=E19,$B$12<=E20),1,IF(AND($B$10=1,$B$12>=E21,$B$12<=E22),1,IF(AND($B$10=1,$B$12>=E23,$B$12<=E24),1,IF(AND($B$10=1,$B$12>=E25,$B$12<=E26),1,IF(AND($B$10=1,$B$12>=E27,$B$12<=E28),1,IF(AND($B$10=1,$B$12>=E29,$B$12<=E30),1,IF(AND($B$10=1,$B$12>=E31,$B$12<=E32),1,IF(AND($B$10=1,$B$12>=E33,$B$12<=E34),1," ")))))))))]]></f>
        <v xml:space="preserve"> </v>
      </c>
      <c r="F15" s="105" t="str">
        <f><![CDATA[IF(AND($B$10=1,$B$12>=F17,$B$12<=F18),1,IF(AND($B$10=1,$B$12>=F19,$B$12<=F20),1,IF(AND($B$10=1,$B$12>=F21,$B$12<=F22),1,IF(AND($B$10=1,$B$12>=F23,$B$12<=F24),1,IF(AND($B$10=1,$B$12>=F25,$B$12<=F26),1,IF(AND($B$10=1,$B$12>=F27,$B$12<=F28),1,IF(AND($B$10=1,$B$12>=F29,$B$12<=F30),1,IF(AND($B$10=1,$B$12>=F31,$B$12<=F32),1,IF(AND($B$10=1,$B$12>=F33,$B$12<=F34),1," ")))))))))]]></f>
        <v xml:space="preserve"> </v>
      </c>
      <c r="G15" s="105">
        <f><![CDATA[IF(AND($B$10=1,$B$12>=G17,$B$12<=G18),1,IF(AND($B$10=1,$B$12>=G19,$B$12<=G20),1,IF(AND($B$10=1,$B$12>=G21,$B$12<=G22),1,IF(AND($B$10=1,$B$12>=G23,$B$12<=G24),1,IF(AND($B$10=1,$B$12>=G25,$B$12<=G26),1,IF(AND($B$10=1,$B$12>=G27,$B$12<=G28),1,IF(AND($B$10=1,$B$12>=G29,$B$12<=G30),1,IF(AND($B$10=1,$B$12>=G31,$B$12<=G32),1,IF(AND($B$10=1,$B$12>=G33,$B$12<=G34),1," ")))))))))]]></f>
        <v>1</v>
      </c>
      <c r="H15" s="109" t="str">
        <f><![CDATA[IF(AND($B$10=1,$B$12>=H17,$B$12<=H18),1,IF(AND($B$10=1,$B$12>=H19,$B$12<=H20),1,IF(AND($B$10=1,$B$12>=H21,$B$12<=H22),1,IF(AND($B$10=1,$B$12>=H23,$B$12<=H24),1,IF(AND($B$10=1,$B$12>=H25,$B$12<=H26),1,IF(AND($B$10=1,$B$12>=H27,$B$12<=H28),1,IF(AND($B$10=1,$B$12>=H29,$B$12<=H30),1,IF(AND($B$10=1,$B$12>=H31,$B$12<=H32),1,IF(AND($B$10=1,$B$12>=H33,$B$12<=H34),1," ")))))))))]]></f>
        <v xml:space="preserve"> </v>
      </c>
      <c r="I15" s="110" t="str">
        <f><![CDATA[IF(AND($C$10=1,$C$12>=I17,$C$12<=I18),1,IF(AND($C$10=1,$C$12>=I19,$C$12<=I20),1,IF(AND($C$10=1,$C$12>=I21,$C$12<=I22),1,IF(AND($C$10=1,$C$12>=I23,$C$12<=I24),1,IF(AND($C$10=1,$C$12>=I25,$C$12<=I26),1,IF(AND($C$10=1,$C$12>=I27,$C$12<=I28),1,IF(AND($C$10=1,$C$12>=I29,$C$12<=I30),1,IF(AND($C$10=1,$C$12>=I31,$C$12<=I32),1,IF(AND($C$10=1,$C$12>=I33,$C$12<=I34),1," ")))))))))]]></f>
        <v xml:space="preserve"> </v>
      </c>
      <c r="J15" s="110" t="str">
        <f><![CDATA[IF(AND($C$10=1,$C$12>=J17,$C$12<=J18),1,IF(AND($C$10=1,$C$12>=J19,$C$12<=J20),1,IF(AND($C$10=1,$C$12>=J21,$C$12<=J22),1,IF(AND($C$10=1,$C$12>=J23,$C$12<=J24),1,IF(AND($C$10=1,$C$12>=J25,$C$12<=J26),1,IF(AND($C$10=1,$C$12>=J27,$C$12<=J28),1,IF(AND($C$10=1,$C$12>=J29,$C$12<=J30),1,IF(AND($C$10=1,$C$12>=J31,$C$12<=J32),1,IF(AND($C$10=1,$C$12>=J33,$C$12<=J34),1," ")))))))))]]></f>
        <v xml:space="preserve"> </v>
      </c>
      <c r="K15" s="85" t="str">
        <f><![CDATA[IF(AND($C$10=1,$C$12>=K17,$C$12<=K18),1,IF(AND($C$10=1,$C$12>=K19,$C$12<=K20),1,IF(AND($C$10=1,$C$12>=K21,$C$12<=K22),1,IF(AND($C$10=1,$C$12>=K23,$C$12<=K24),1,IF(AND($C$10=1,$C$12>=K25,$C$12<=K26),1,IF(AND($C$10=1,$C$12>=K27,$C$12<=K28),1,IF(AND($C$10=1,$C$12>=K29,$C$12<=K30),1,IF(AND($C$10=1,$C$12>=K31,$C$12<=K32),1,IF(AND($C$10=1,$C$12>=K33,$C$12<=K34),1," ")))))))))]]></f>
        <v xml:space="preserve"> </v>
      </c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86"/>
      <c r="AA15" s="82"/>
      <c r="AB15" s="82"/>
      <c r="AC15" s="96"/>
      <c r="AD15" s="97"/>
      <c r="AE15" s="97"/>
      <c r="AF15" s="98"/>
    </row>
    <row r="16" spans="1:32" s="71" customFormat="1" ht="12.75" x14ac:dyDescent="0.2">
      <c r="A16" s="76"/>
      <c r="B16" s="112" t="s">
        <v>124</v>
      </c>
      <c r="C16" s="113" t="s">
        <v>125</v>
      </c>
      <c r="D16" s="114" t="s">
        <v>126</v>
      </c>
      <c r="E16" s="115" t="s">
        <v>127</v>
      </c>
      <c r="F16" s="105" t="s">
        <v>128</v>
      </c>
      <c r="G16" s="105" t="s">
        <v>129</v>
      </c>
      <c r="H16" s="116" t="s">
        <v>130</v>
      </c>
      <c r="I16" s="103" t="s">
        <v>131</v>
      </c>
      <c r="J16" s="103" t="s">
        <v>132</v>
      </c>
      <c r="K16" s="117" t="s">
        <v>133</v>
      </c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86"/>
      <c r="AA16" s="82"/>
      <c r="AB16" s="82"/>
      <c r="AC16" s="96"/>
      <c r="AD16" s="97"/>
      <c r="AE16" s="97"/>
      <c r="AF16" s="98"/>
    </row>
    <row r="17" spans="1:32" s="71" customFormat="1" ht="12.75" x14ac:dyDescent="0.2">
      <c r="A17" s="76"/>
      <c r="B17" s="118"/>
      <c r="C17" s="119"/>
      <c r="D17" s="120" t="s">
        <v>134</v>
      </c>
      <c r="E17" s="121">
        <v>5000</v>
      </c>
      <c r="F17" s="122">
        <v>5100</v>
      </c>
      <c r="G17" s="122">
        <v>1000</v>
      </c>
      <c r="H17" s="123">
        <v>1500</v>
      </c>
      <c r="I17" s="124">
        <v>2300</v>
      </c>
      <c r="J17" s="125">
        <v>1000</v>
      </c>
      <c r="K17" s="125">
        <v>4700</v>
      </c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86"/>
      <c r="AA17" s="82"/>
      <c r="AB17" s="82"/>
      <c r="AC17" s="96"/>
      <c r="AD17" s="97"/>
      <c r="AE17" s="97"/>
      <c r="AF17" s="98"/>
    </row>
    <row r="18" spans="1:32" s="71" customFormat="1" ht="12.75" x14ac:dyDescent="0.2">
      <c r="A18" s="76"/>
      <c r="B18" s="126"/>
      <c r="C18" s="127"/>
      <c r="D18" s="128"/>
      <c r="E18" s="129">
        <v>5099</v>
      </c>
      <c r="F18" s="130">
        <v>5499</v>
      </c>
      <c r="G18" s="130">
        <v>1499</v>
      </c>
      <c r="H18" s="131">
        <v>1999</v>
      </c>
      <c r="I18" s="132">
        <v>2399</v>
      </c>
      <c r="J18" s="132">
        <v>2299</v>
      </c>
      <c r="K18" s="133">
        <v>4999</v>
      </c>
      <c r="L18" s="134"/>
      <c r="M18" s="111"/>
      <c r="N18" s="111"/>
      <c r="O18" s="111"/>
      <c r="P18" s="111"/>
      <c r="Q18" s="111"/>
      <c r="R18" s="111"/>
      <c r="S18" s="111"/>
      <c r="T18" s="111"/>
      <c r="U18" s="111"/>
      <c r="V18" s="86"/>
      <c r="AA18" s="82"/>
      <c r="AB18" s="82"/>
      <c r="AC18" s="96"/>
      <c r="AD18" s="97"/>
      <c r="AE18" s="97"/>
      <c r="AF18" s="98"/>
    </row>
    <row r="19" spans="1:32" s="71" customFormat="1" ht="12.75" x14ac:dyDescent="0.2">
      <c r="A19" s="76"/>
      <c r="B19" s="135"/>
      <c r="C19" s="136"/>
      <c r="D19" s="137" t="s">
        <v>135</v>
      </c>
      <c r="E19" s="138">
        <v>5500</v>
      </c>
      <c r="F19" s="139">
        <v>5700</v>
      </c>
      <c r="G19" s="139">
        <v>2000</v>
      </c>
      <c r="H19" s="140">
        <v>4500</v>
      </c>
      <c r="I19" s="141">
        <v>2400</v>
      </c>
      <c r="J19" s="141">
        <v>2500</v>
      </c>
      <c r="K19" s="125">
        <v>5500</v>
      </c>
      <c r="L19" s="134"/>
      <c r="M19" s="111"/>
      <c r="N19" s="111"/>
      <c r="O19" s="111"/>
      <c r="P19" s="111"/>
      <c r="Q19" s="111"/>
      <c r="R19" s="111"/>
      <c r="S19" s="111"/>
      <c r="T19" s="111"/>
      <c r="U19" s="111"/>
      <c r="V19" s="86"/>
      <c r="AA19" s="82"/>
      <c r="AB19" s="82"/>
      <c r="AC19" s="96"/>
      <c r="AD19" s="97"/>
      <c r="AE19" s="97"/>
      <c r="AF19" s="98"/>
    </row>
    <row r="20" spans="1:32" s="71" customFormat="1" ht="12.75" x14ac:dyDescent="0.2">
      <c r="A20" s="76"/>
      <c r="B20" s="142"/>
      <c r="C20" s="143"/>
      <c r="D20" s="128"/>
      <c r="E20" s="144">
        <v>5599</v>
      </c>
      <c r="F20" s="130">
        <v>6099</v>
      </c>
      <c r="G20" s="130">
        <v>4499</v>
      </c>
      <c r="H20" s="131">
        <v>4599</v>
      </c>
      <c r="I20" s="132">
        <v>2499</v>
      </c>
      <c r="J20" s="132">
        <v>2899</v>
      </c>
      <c r="K20" s="133">
        <v>5999</v>
      </c>
      <c r="L20" s="134"/>
      <c r="M20" s="111"/>
      <c r="N20" s="111"/>
      <c r="O20" s="111"/>
      <c r="P20" s="111"/>
      <c r="Q20" s="111"/>
      <c r="R20" s="111"/>
      <c r="S20" s="111"/>
      <c r="T20" s="111"/>
      <c r="U20" s="111"/>
      <c r="V20" s="86"/>
      <c r="AA20" s="82"/>
      <c r="AB20" s="82"/>
      <c r="AC20" s="96"/>
      <c r="AD20" s="97"/>
      <c r="AE20" s="97"/>
      <c r="AF20" s="98"/>
    </row>
    <row r="21" spans="1:32" s="71" customFormat="1" ht="12.75" x14ac:dyDescent="0.2">
      <c r="A21" s="76"/>
      <c r="B21" s="142"/>
      <c r="C21" s="143"/>
      <c r="D21" s="137" t="s">
        <v>136</v>
      </c>
      <c r="E21" s="138">
        <v>5600</v>
      </c>
      <c r="F21" s="139"/>
      <c r="G21" s="139">
        <v>4600</v>
      </c>
      <c r="H21" s="140">
        <v>7000</v>
      </c>
      <c r="I21" s="141">
        <v>2900</v>
      </c>
      <c r="J21" s="141">
        <v>3000</v>
      </c>
      <c r="K21" s="125">
        <v>6400</v>
      </c>
      <c r="L21" s="134"/>
      <c r="M21" s="111"/>
      <c r="N21" s="111"/>
      <c r="O21" s="111"/>
      <c r="P21" s="111"/>
      <c r="Q21" s="111"/>
      <c r="R21" s="111"/>
      <c r="S21" s="111"/>
      <c r="T21" s="111"/>
      <c r="U21" s="111"/>
      <c r="V21" s="86"/>
      <c r="AA21" s="82"/>
      <c r="AB21" s="82"/>
      <c r="AC21" s="96"/>
      <c r="AD21" s="97"/>
      <c r="AE21" s="97"/>
      <c r="AF21" s="98"/>
    </row>
    <row r="22" spans="1:32" s="71" customFormat="1" ht="12.75" x14ac:dyDescent="0.2">
      <c r="A22" s="76"/>
      <c r="B22" s="142"/>
      <c r="C22" s="143"/>
      <c r="D22" s="145"/>
      <c r="E22" s="144">
        <v>5699</v>
      </c>
      <c r="F22" s="130"/>
      <c r="G22" s="130">
        <v>4999</v>
      </c>
      <c r="H22" s="131">
        <v>9999</v>
      </c>
      <c r="I22" s="132">
        <v>2999</v>
      </c>
      <c r="J22" s="132">
        <v>3499</v>
      </c>
      <c r="K22" s="133">
        <v>6499</v>
      </c>
      <c r="L22" s="134"/>
      <c r="M22" s="111"/>
      <c r="N22" s="111"/>
      <c r="O22" s="111"/>
      <c r="P22" s="111"/>
      <c r="Q22" s="111"/>
      <c r="R22" s="111"/>
      <c r="S22" s="111"/>
      <c r="T22" s="111"/>
      <c r="U22" s="111"/>
      <c r="V22" s="86"/>
      <c r="AA22" s="82"/>
      <c r="AB22" s="82"/>
      <c r="AC22" s="96"/>
      <c r="AD22" s="97"/>
      <c r="AE22" s="97"/>
      <c r="AF22" s="98"/>
    </row>
    <row r="23" spans="1:32" s="71" customFormat="1" ht="12.75" x14ac:dyDescent="0.2">
      <c r="A23" s="76"/>
      <c r="B23" s="142"/>
      <c r="C23" s="143"/>
      <c r="D23" s="137" t="s">
        <v>137</v>
      </c>
      <c r="E23" s="146"/>
      <c r="F23" s="147"/>
      <c r="G23" s="147">
        <v>6100</v>
      </c>
      <c r="H23" s="148"/>
      <c r="I23" s="149">
        <v>3500</v>
      </c>
      <c r="J23" s="149">
        <v>3800</v>
      </c>
      <c r="K23" s="122"/>
      <c r="L23" s="134"/>
      <c r="M23" s="111"/>
      <c r="N23" s="111"/>
      <c r="O23" s="111"/>
      <c r="P23" s="111"/>
      <c r="Q23" s="111"/>
      <c r="R23" s="111"/>
      <c r="S23" s="111"/>
      <c r="T23" s="111"/>
      <c r="U23" s="111"/>
      <c r="V23" s="86"/>
      <c r="AA23" s="82"/>
      <c r="AB23" s="82"/>
      <c r="AC23" s="96"/>
      <c r="AD23" s="97"/>
      <c r="AE23" s="97"/>
      <c r="AF23" s="98"/>
    </row>
    <row r="24" spans="1:32" s="71" customFormat="1" ht="12.75" x14ac:dyDescent="0.2">
      <c r="A24" s="76"/>
      <c r="B24" s="142"/>
      <c r="C24" s="143"/>
      <c r="D24" s="145"/>
      <c r="E24" s="146"/>
      <c r="F24" s="147"/>
      <c r="G24" s="147">
        <v>6999</v>
      </c>
      <c r="H24" s="148"/>
      <c r="I24" s="149">
        <v>3599</v>
      </c>
      <c r="J24" s="149">
        <v>3899</v>
      </c>
      <c r="K24" s="122"/>
      <c r="L24" s="134"/>
      <c r="M24" s="111"/>
      <c r="N24" s="111"/>
      <c r="O24" s="111"/>
      <c r="P24" s="111"/>
      <c r="Q24" s="111"/>
      <c r="R24" s="111"/>
      <c r="S24" s="111"/>
      <c r="T24" s="111"/>
      <c r="U24" s="111"/>
      <c r="V24" s="86"/>
      <c r="AA24" s="82"/>
      <c r="AB24" s="82"/>
      <c r="AC24" s="96"/>
      <c r="AD24" s="97"/>
      <c r="AE24" s="97"/>
      <c r="AF24" s="98"/>
    </row>
    <row r="25" spans="1:32" s="71" customFormat="1" ht="12.75" x14ac:dyDescent="0.2">
      <c r="A25" s="76"/>
      <c r="B25" s="142"/>
      <c r="C25" s="143"/>
      <c r="D25" s="137" t="s">
        <v>138</v>
      </c>
      <c r="E25" s="138"/>
      <c r="F25" s="139"/>
      <c r="G25" s="139"/>
      <c r="H25" s="140"/>
      <c r="I25" s="141">
        <v>3600</v>
      </c>
      <c r="J25" s="141">
        <v>4000</v>
      </c>
      <c r="K25" s="125"/>
      <c r="L25" s="134"/>
      <c r="M25" s="111"/>
      <c r="N25" s="111"/>
      <c r="O25" s="111"/>
      <c r="P25" s="111"/>
      <c r="Q25" s="111"/>
      <c r="R25" s="111"/>
      <c r="S25" s="111"/>
      <c r="T25" s="111"/>
      <c r="U25" s="111"/>
      <c r="V25" s="86"/>
      <c r="AA25" s="82"/>
      <c r="AB25" s="82"/>
      <c r="AC25" s="96"/>
      <c r="AD25" s="97"/>
      <c r="AE25" s="97"/>
      <c r="AF25" s="98"/>
    </row>
    <row r="26" spans="1:32" s="71" customFormat="1" ht="12.75" x14ac:dyDescent="0.2">
      <c r="A26" s="76"/>
      <c r="B26" s="142"/>
      <c r="C26" s="143"/>
      <c r="D26" s="145"/>
      <c r="E26" s="144"/>
      <c r="F26" s="130"/>
      <c r="G26" s="130"/>
      <c r="H26" s="131"/>
      <c r="I26" s="132">
        <v>3699</v>
      </c>
      <c r="J26" s="132">
        <v>4699</v>
      </c>
      <c r="K26" s="133"/>
      <c r="L26" s="134"/>
      <c r="M26" s="111"/>
      <c r="N26" s="111"/>
      <c r="O26" s="111"/>
      <c r="P26" s="111"/>
      <c r="Q26" s="111"/>
      <c r="R26" s="111"/>
      <c r="S26" s="111"/>
      <c r="T26" s="111"/>
      <c r="U26" s="111"/>
      <c r="V26" s="86"/>
      <c r="AA26" s="82"/>
      <c r="AB26" s="82"/>
      <c r="AC26" s="96"/>
      <c r="AD26" s="97"/>
      <c r="AE26" s="97"/>
      <c r="AF26" s="98"/>
    </row>
    <row r="27" spans="1:32" s="71" customFormat="1" ht="12.75" x14ac:dyDescent="0.2">
      <c r="A27" s="76"/>
      <c r="B27" s="142"/>
      <c r="C27" s="143"/>
      <c r="D27" s="137" t="s">
        <v>139</v>
      </c>
      <c r="E27" s="138"/>
      <c r="F27" s="139"/>
      <c r="G27" s="139"/>
      <c r="H27" s="140"/>
      <c r="I27" s="141">
        <v>3700</v>
      </c>
      <c r="J27" s="141">
        <v>5000</v>
      </c>
      <c r="K27" s="125"/>
      <c r="L27" s="134"/>
      <c r="M27" s="111"/>
      <c r="N27" s="111"/>
      <c r="O27" s="111"/>
      <c r="P27" s="111"/>
      <c r="Q27" s="111"/>
      <c r="R27" s="111"/>
      <c r="S27" s="111"/>
      <c r="T27" s="111"/>
      <c r="U27" s="111"/>
      <c r="V27" s="86"/>
      <c r="AA27" s="82"/>
      <c r="AB27" s="82"/>
      <c r="AC27" s="96"/>
      <c r="AD27" s="97"/>
      <c r="AE27" s="97"/>
      <c r="AF27" s="98"/>
    </row>
    <row r="28" spans="1:32" s="71" customFormat="1" ht="12.75" x14ac:dyDescent="0.2">
      <c r="A28" s="76"/>
      <c r="B28" s="142"/>
      <c r="C28" s="143"/>
      <c r="D28" s="145"/>
      <c r="E28" s="144"/>
      <c r="F28" s="130"/>
      <c r="G28" s="130"/>
      <c r="H28" s="131"/>
      <c r="I28" s="132">
        <v>3799</v>
      </c>
      <c r="J28" s="132">
        <v>5499</v>
      </c>
      <c r="K28" s="133"/>
      <c r="L28" s="134"/>
      <c r="M28" s="111"/>
      <c r="N28" s="111"/>
      <c r="O28" s="111"/>
      <c r="P28" s="111"/>
      <c r="Q28" s="111"/>
      <c r="R28" s="111"/>
      <c r="S28" s="111"/>
      <c r="T28" s="111"/>
      <c r="U28" s="111"/>
      <c r="V28" s="86"/>
      <c r="AA28" s="82"/>
      <c r="AB28" s="82"/>
      <c r="AC28" s="96"/>
      <c r="AD28" s="97"/>
      <c r="AE28" s="97"/>
      <c r="AF28" s="98"/>
    </row>
    <row r="29" spans="1:32" s="71" customFormat="1" ht="12.75" x14ac:dyDescent="0.2">
      <c r="A29" s="76"/>
      <c r="B29" s="142"/>
      <c r="C29" s="143"/>
      <c r="D29" s="137" t="s">
        <v>140</v>
      </c>
      <c r="E29" s="138"/>
      <c r="F29" s="139"/>
      <c r="G29" s="139"/>
      <c r="H29" s="140"/>
      <c r="I29" s="141">
        <v>3900</v>
      </c>
      <c r="J29" s="141">
        <v>6000</v>
      </c>
      <c r="K29" s="125"/>
      <c r="L29" s="134"/>
      <c r="M29" s="111"/>
      <c r="N29" s="111"/>
      <c r="O29" s="111"/>
      <c r="P29" s="111"/>
      <c r="Q29" s="111"/>
      <c r="R29" s="111"/>
      <c r="S29" s="111"/>
      <c r="T29" s="111"/>
      <c r="U29" s="111"/>
      <c r="V29" s="86"/>
      <c r="AA29" s="82"/>
      <c r="AB29" s="82"/>
      <c r="AC29" s="96"/>
      <c r="AD29" s="97"/>
      <c r="AE29" s="97"/>
      <c r="AF29" s="98"/>
    </row>
    <row r="30" spans="1:32" s="71" customFormat="1" ht="12.75" x14ac:dyDescent="0.2">
      <c r="A30" s="76"/>
      <c r="B30" s="142"/>
      <c r="C30" s="143"/>
      <c r="D30" s="145"/>
      <c r="E30" s="144"/>
      <c r="F30" s="130"/>
      <c r="G30" s="130"/>
      <c r="H30" s="131"/>
      <c r="I30" s="132">
        <v>3999</v>
      </c>
      <c r="J30" s="132">
        <v>6399</v>
      </c>
      <c r="K30" s="133"/>
      <c r="L30" s="134"/>
      <c r="M30" s="111"/>
      <c r="N30" s="111"/>
      <c r="O30" s="111"/>
      <c r="P30" s="111"/>
      <c r="Q30" s="111"/>
      <c r="R30" s="111"/>
      <c r="S30" s="111"/>
      <c r="T30" s="111"/>
      <c r="U30" s="111"/>
      <c r="V30" s="86"/>
      <c r="AA30" s="82"/>
      <c r="AB30" s="82"/>
      <c r="AC30" s="96"/>
      <c r="AD30" s="97"/>
      <c r="AE30" s="97"/>
      <c r="AF30" s="98"/>
    </row>
    <row r="31" spans="1:32" s="71" customFormat="1" ht="12.75" x14ac:dyDescent="0.2">
      <c r="A31" s="76"/>
      <c r="B31" s="142"/>
      <c r="C31" s="143"/>
      <c r="D31" s="137" t="s">
        <v>141</v>
      </c>
      <c r="E31" s="138"/>
      <c r="F31" s="139"/>
      <c r="G31" s="139"/>
      <c r="H31" s="140"/>
      <c r="I31" s="141"/>
      <c r="J31" s="141">
        <v>7000</v>
      </c>
      <c r="K31" s="125"/>
      <c r="L31" s="134"/>
      <c r="M31" s="111"/>
      <c r="N31" s="111" t="s">
        <v>122</v>
      </c>
      <c r="O31" s="111" t="s">
        <v>35</v>
      </c>
      <c r="P31" s="111"/>
      <c r="Q31" s="111"/>
      <c r="R31" s="111"/>
      <c r="S31" s="111"/>
      <c r="T31" s="111"/>
      <c r="U31" s="111"/>
      <c r="V31" s="86"/>
      <c r="AA31" s="82"/>
      <c r="AB31" s="82"/>
      <c r="AC31" s="96"/>
      <c r="AD31" s="97"/>
      <c r="AE31" s="97"/>
      <c r="AF31" s="98"/>
    </row>
    <row r="32" spans="1:32" s="71" customFormat="1" x14ac:dyDescent="0.25">
      <c r="A32" s="76"/>
      <c r="B32" s="142"/>
      <c r="C32" s="143"/>
      <c r="D32" s="145"/>
      <c r="E32" s="144"/>
      <c r="F32" s="130"/>
      <c r="G32" s="130"/>
      <c r="H32" s="131"/>
      <c r="I32" s="132"/>
      <c r="J32" s="132">
        <v>9999</v>
      </c>
      <c r="K32" s="133"/>
      <c r="L32" s="134"/>
      <c r="M32" s="111" t="s">
        <v>142</v>
      </c>
      <c r="N32" s="885">
        <v>1</v>
      </c>
      <c r="O32" s="885">
        <v>1</v>
      </c>
      <c r="P32" s="111"/>
      <c r="Q32" s="111"/>
      <c r="R32" s="111"/>
      <c r="S32" s="111"/>
      <c r="T32" s="111"/>
      <c r="U32" s="111"/>
      <c r="V32" s="86"/>
      <c r="W32" s="74"/>
      <c r="X32" s="74"/>
      <c r="AA32" s="82"/>
      <c r="AB32" s="82"/>
      <c r="AC32" s="96"/>
      <c r="AD32" s="97"/>
      <c r="AE32" s="97"/>
      <c r="AF32" s="98"/>
    </row>
    <row r="33" spans="1:32" s="71" customFormat="1" ht="12.75" x14ac:dyDescent="0.2">
      <c r="A33" s="76"/>
      <c r="B33" s="142"/>
      <c r="C33" s="143"/>
      <c r="D33" s="150" t="s">
        <v>143</v>
      </c>
      <c r="E33" s="151"/>
      <c r="F33" s="147"/>
      <c r="G33" s="147"/>
      <c r="H33" s="148"/>
      <c r="I33" s="149"/>
      <c r="J33" s="149"/>
      <c r="K33" s="122"/>
      <c r="L33" s="134"/>
      <c r="M33" s="111"/>
      <c r="N33" s="111"/>
      <c r="O33" s="111"/>
      <c r="P33" s="111"/>
      <c r="Q33" s="111"/>
      <c r="R33" s="111"/>
      <c r="S33" s="111"/>
      <c r="T33" s="111"/>
      <c r="U33" s="111" t="s">
        <v>144</v>
      </c>
      <c r="V33" s="152" t="s">
        <v>145</v>
      </c>
      <c r="W33" s="77"/>
      <c r="X33" s="78"/>
      <c r="Y33" s="86"/>
      <c r="AA33" s="82"/>
      <c r="AB33" s="82"/>
      <c r="AC33" s="96"/>
      <c r="AD33" s="97"/>
      <c r="AE33" s="97"/>
      <c r="AF33" s="98"/>
    </row>
    <row r="34" spans="1:32" s="71" customFormat="1" ht="13.5" thickBot="1" x14ac:dyDescent="0.25">
      <c r="A34" s="76"/>
      <c r="B34" s="153"/>
      <c r="C34" s="154"/>
      <c r="D34" s="145"/>
      <c r="E34" s="151"/>
      <c r="F34" s="147"/>
      <c r="G34" s="147"/>
      <c r="H34" s="148"/>
      <c r="I34" s="149"/>
      <c r="J34" s="149"/>
      <c r="K34" s="122"/>
      <c r="L34" s="134"/>
      <c r="M34" s="155" t="s">
        <v>127</v>
      </c>
      <c r="N34" s="156" t="s">
        <v>128</v>
      </c>
      <c r="O34" s="117" t="s">
        <v>129</v>
      </c>
      <c r="P34" s="116" t="s">
        <v>130</v>
      </c>
      <c r="Q34" s="103" t="s">
        <v>131</v>
      </c>
      <c r="R34" s="103" t="s">
        <v>132</v>
      </c>
      <c r="S34" s="117" t="s">
        <v>133</v>
      </c>
      <c r="T34" s="111"/>
      <c r="U34" s="111" t="s">
        <v>146</v>
      </c>
      <c r="V34" s="152" t="s">
        <v>127</v>
      </c>
      <c r="W34" s="77"/>
      <c r="X34" s="78"/>
      <c r="Y34" s="86"/>
      <c r="AA34" s="82"/>
      <c r="AB34" s="82"/>
      <c r="AC34" s="96"/>
      <c r="AD34" s="97"/>
      <c r="AE34" s="97"/>
      <c r="AF34" s="98"/>
    </row>
    <row r="35" spans="1:32" s="71" customFormat="1" ht="12.75" x14ac:dyDescent="0.2">
      <c r="A35" s="76"/>
      <c r="B35" s="118"/>
      <c r="C35" s="89" t="str">
        <f>IF(AND($B$6&gt;0,$B$6&lt;=D35),"D"," ")</f>
        <v xml:space="preserve"> </v>
      </c>
      <c r="D35" s="157">
        <v>0.2</v>
      </c>
      <c r="E35" s="158">
        <f t="shared" ref="E35:H75" si="0">M35*$N$32</f>
        <v>26.605</v>
      </c>
      <c r="F35" s="159">
        <f t="shared" si="0"/>
        <v>34.700000000000003</v>
      </c>
      <c r="G35" s="159">
        <f t="shared" si="0"/>
        <v>38.1</v>
      </c>
      <c r="H35" s="160">
        <f t="shared" si="0"/>
        <v>47.62</v>
      </c>
      <c r="I35" s="159">
        <f t="shared" ref="I35:K75" si="1">Q35*$O$32</f>
        <v>43.66</v>
      </c>
      <c r="J35" s="161">
        <f t="shared" si="1"/>
        <v>53.42</v>
      </c>
      <c r="K35" s="161">
        <f t="shared" si="1"/>
        <v>65.319999999999993</v>
      </c>
      <c r="L35" s="162"/>
      <c r="M35" s="163">
        <f>U35*V35</f>
        <v>26.605</v>
      </c>
      <c r="N35" s="164">
        <v>34.700000000000003</v>
      </c>
      <c r="O35" s="164">
        <v>38.1</v>
      </c>
      <c r="P35" s="165">
        <v>47.62</v>
      </c>
      <c r="Q35" s="164">
        <v>43.66</v>
      </c>
      <c r="R35" s="166">
        <v>53.42</v>
      </c>
      <c r="S35" s="166">
        <v>65.319999999999993</v>
      </c>
      <c r="T35" s="162"/>
      <c r="U35" s="167">
        <v>0.85</v>
      </c>
      <c r="V35" s="168">
        <v>31.3</v>
      </c>
      <c r="W35" s="169"/>
      <c r="X35" s="162"/>
      <c r="Y35" s="86"/>
      <c r="AA35" s="82"/>
      <c r="AB35" s="82"/>
      <c r="AC35" s="96"/>
      <c r="AD35" s="97"/>
      <c r="AE35" s="97"/>
      <c r="AF35" s="98"/>
    </row>
    <row r="36" spans="1:32" s="71" customFormat="1" ht="12.75" x14ac:dyDescent="0.2">
      <c r="A36" s="76"/>
      <c r="B36" s="170"/>
      <c r="C36" s="171" t="str">
        <f t="shared" ref="C36:C68" si="2">IF(AND($B$6&gt;0,$B$6&gt;D35,$B$6&lt;=D36),"D"," ")</f>
        <v xml:space="preserve"> </v>
      </c>
      <c r="D36" s="157">
        <v>0.4</v>
      </c>
      <c r="E36" s="172">
        <f t="shared" si="0"/>
        <v>32.499299999999998</v>
      </c>
      <c r="F36" s="173">
        <f t="shared" si="0"/>
        <v>42.52</v>
      </c>
      <c r="G36" s="173">
        <f t="shared" si="0"/>
        <v>46.93</v>
      </c>
      <c r="H36" s="174">
        <f t="shared" si="0"/>
        <v>52.37</v>
      </c>
      <c r="I36" s="173">
        <f t="shared" si="1"/>
        <v>50.22</v>
      </c>
      <c r="J36" s="175">
        <f t="shared" si="1"/>
        <v>63.35</v>
      </c>
      <c r="K36" s="175">
        <f t="shared" si="1"/>
        <v>77.2</v>
      </c>
      <c r="L36" s="162"/>
      <c r="M36" s="176">
        <f t="shared" ref="M36:M56" si="3">U36*V36</f>
        <v>32.499299999999998</v>
      </c>
      <c r="N36" s="177">
        <v>42.52</v>
      </c>
      <c r="O36" s="177">
        <v>46.93</v>
      </c>
      <c r="P36" s="178">
        <v>52.37</v>
      </c>
      <c r="Q36" s="177">
        <v>50.22</v>
      </c>
      <c r="R36" s="179">
        <v>63.35</v>
      </c>
      <c r="S36" s="179">
        <v>77.2</v>
      </c>
      <c r="T36" s="162"/>
      <c r="U36" s="180">
        <v>0.85299999999999998</v>
      </c>
      <c r="V36" s="181">
        <v>38.1</v>
      </c>
      <c r="W36" s="169"/>
      <c r="X36" s="162"/>
      <c r="Y36" s="86"/>
      <c r="AA36" s="82"/>
      <c r="AB36" s="82"/>
      <c r="AC36" s="96"/>
      <c r="AD36" s="97"/>
      <c r="AE36" s="97"/>
      <c r="AF36" s="98"/>
    </row>
    <row r="37" spans="1:32" s="71" customFormat="1" ht="12.75" x14ac:dyDescent="0.2">
      <c r="A37" s="76"/>
      <c r="B37" s="170"/>
      <c r="C37" s="171" t="str">
        <f t="shared" si="2"/>
        <v xml:space="preserve"> </v>
      </c>
      <c r="D37" s="157">
        <v>0.5</v>
      </c>
      <c r="E37" s="172">
        <f t="shared" si="0"/>
        <v>36.653919999999999</v>
      </c>
      <c r="F37" s="173">
        <f t="shared" si="0"/>
        <v>48.9</v>
      </c>
      <c r="G37" s="173">
        <f t="shared" si="0"/>
        <v>54.98</v>
      </c>
      <c r="H37" s="174">
        <f t="shared" si="0"/>
        <v>63.07</v>
      </c>
      <c r="I37" s="173">
        <f t="shared" si="1"/>
        <v>58.83</v>
      </c>
      <c r="J37" s="175">
        <f t="shared" si="1"/>
        <v>74.59</v>
      </c>
      <c r="K37" s="175">
        <f t="shared" si="1"/>
        <v>91.39</v>
      </c>
      <c r="L37" s="162"/>
      <c r="M37" s="176">
        <f t="shared" si="3"/>
        <v>36.653919999999999</v>
      </c>
      <c r="N37" s="177">
        <v>48.9</v>
      </c>
      <c r="O37" s="177">
        <v>54.98</v>
      </c>
      <c r="P37" s="178">
        <v>63.07</v>
      </c>
      <c r="Q37" s="177">
        <v>58.83</v>
      </c>
      <c r="R37" s="179">
        <v>74.59</v>
      </c>
      <c r="S37" s="179">
        <v>91.39</v>
      </c>
      <c r="T37" s="162"/>
      <c r="U37" s="180">
        <v>0.85599999999999998</v>
      </c>
      <c r="V37" s="181">
        <v>42.82</v>
      </c>
      <c r="W37" s="169"/>
      <c r="X37" s="162"/>
      <c r="Y37" s="86"/>
      <c r="AA37" s="82"/>
      <c r="AB37" s="82"/>
      <c r="AC37" s="96"/>
      <c r="AD37" s="97"/>
      <c r="AE37" s="97"/>
      <c r="AF37" s="98"/>
    </row>
    <row r="38" spans="1:32" s="71" customFormat="1" ht="12.75" x14ac:dyDescent="0.2">
      <c r="A38" s="76"/>
      <c r="B38" s="170"/>
      <c r="C38" s="171" t="str">
        <f t="shared" si="2"/>
        <v>D</v>
      </c>
      <c r="D38" s="157">
        <v>0.6</v>
      </c>
      <c r="E38" s="172">
        <f t="shared" si="0"/>
        <v>40.836860000000001</v>
      </c>
      <c r="F38" s="173">
        <f t="shared" si="0"/>
        <v>55.29</v>
      </c>
      <c r="G38" s="173">
        <f t="shared" si="0"/>
        <v>63.03</v>
      </c>
      <c r="H38" s="174">
        <f t="shared" si="0"/>
        <v>73.760000000000005</v>
      </c>
      <c r="I38" s="173">
        <f t="shared" si="1"/>
        <v>67.44</v>
      </c>
      <c r="J38" s="175">
        <f t="shared" si="1"/>
        <v>85.82</v>
      </c>
      <c r="K38" s="175">
        <f t="shared" si="1"/>
        <v>105.58</v>
      </c>
      <c r="L38" s="162"/>
      <c r="M38" s="176">
        <f t="shared" si="3"/>
        <v>40.836860000000001</v>
      </c>
      <c r="N38" s="177">
        <v>55.29</v>
      </c>
      <c r="O38" s="177">
        <v>63.03</v>
      </c>
      <c r="P38" s="178">
        <v>73.760000000000005</v>
      </c>
      <c r="Q38" s="177">
        <v>67.44</v>
      </c>
      <c r="R38" s="179">
        <v>85.82</v>
      </c>
      <c r="S38" s="179">
        <v>105.58</v>
      </c>
      <c r="T38" s="162"/>
      <c r="U38" s="180">
        <v>0.85899999999999999</v>
      </c>
      <c r="V38" s="181">
        <v>47.54</v>
      </c>
      <c r="W38" s="169"/>
      <c r="X38" s="162"/>
      <c r="Y38" s="86"/>
    </row>
    <row r="39" spans="1:32" s="71" customFormat="1" ht="12.75" x14ac:dyDescent="0.2">
      <c r="A39" s="76"/>
      <c r="B39" s="170"/>
      <c r="C39" s="171" t="str">
        <f t="shared" si="2"/>
        <v xml:space="preserve"> </v>
      </c>
      <c r="D39" s="157">
        <v>0.7</v>
      </c>
      <c r="E39" s="172">
        <f t="shared" si="0"/>
        <v>45.056740000000005</v>
      </c>
      <c r="F39" s="173">
        <f t="shared" si="0"/>
        <v>51.67</v>
      </c>
      <c r="G39" s="173">
        <f t="shared" si="0"/>
        <v>71.08</v>
      </c>
      <c r="H39" s="174">
        <f t="shared" si="0"/>
        <v>84.46</v>
      </c>
      <c r="I39" s="173">
        <f t="shared" si="1"/>
        <v>76.06</v>
      </c>
      <c r="J39" s="175">
        <f t="shared" si="1"/>
        <v>97.06</v>
      </c>
      <c r="K39" s="175">
        <f t="shared" si="1"/>
        <v>119.77</v>
      </c>
      <c r="L39" s="162"/>
      <c r="M39" s="176">
        <f t="shared" si="3"/>
        <v>45.056740000000005</v>
      </c>
      <c r="N39" s="177">
        <v>51.67</v>
      </c>
      <c r="O39" s="177">
        <v>71.08</v>
      </c>
      <c r="P39" s="178">
        <v>84.46</v>
      </c>
      <c r="Q39" s="177">
        <v>76.06</v>
      </c>
      <c r="R39" s="179">
        <v>97.06</v>
      </c>
      <c r="S39" s="179">
        <v>119.77</v>
      </c>
      <c r="T39" s="162"/>
      <c r="U39" s="180">
        <v>0.86199999999999999</v>
      </c>
      <c r="V39" s="181">
        <v>52.27</v>
      </c>
      <c r="W39" s="169"/>
      <c r="X39" s="162"/>
      <c r="Y39" s="86"/>
    </row>
    <row r="40" spans="1:32" s="71" customFormat="1" ht="12.75" x14ac:dyDescent="0.2">
      <c r="A40" s="76"/>
      <c r="B40" s="170"/>
      <c r="C40" s="171" t="str">
        <f t="shared" si="2"/>
        <v xml:space="preserve"> </v>
      </c>
      <c r="D40" s="157">
        <v>0.8</v>
      </c>
      <c r="E40" s="172">
        <f t="shared" si="0"/>
        <v>49.296350000000004</v>
      </c>
      <c r="F40" s="173">
        <f t="shared" si="0"/>
        <v>68.06</v>
      </c>
      <c r="G40" s="173">
        <f t="shared" si="0"/>
        <v>79.13</v>
      </c>
      <c r="H40" s="174">
        <f t="shared" si="0"/>
        <v>95.15</v>
      </c>
      <c r="I40" s="173">
        <f t="shared" si="1"/>
        <v>84.67</v>
      </c>
      <c r="J40" s="175">
        <f t="shared" si="1"/>
        <v>108.3</v>
      </c>
      <c r="K40" s="175">
        <f t="shared" si="1"/>
        <v>133.94999999999999</v>
      </c>
      <c r="L40" s="162"/>
      <c r="M40" s="176">
        <f t="shared" si="3"/>
        <v>49.296350000000004</v>
      </c>
      <c r="N40" s="177">
        <v>68.06</v>
      </c>
      <c r="O40" s="177">
        <v>79.13</v>
      </c>
      <c r="P40" s="178">
        <v>95.15</v>
      </c>
      <c r="Q40" s="177">
        <v>84.67</v>
      </c>
      <c r="R40" s="179">
        <v>108.3</v>
      </c>
      <c r="S40" s="179">
        <v>133.94999999999999</v>
      </c>
      <c r="T40" s="162"/>
      <c r="U40" s="180">
        <v>0.86499999999999999</v>
      </c>
      <c r="V40" s="181">
        <v>56.99</v>
      </c>
      <c r="W40" s="169"/>
      <c r="X40" s="162"/>
      <c r="Y40" s="86"/>
    </row>
    <row r="41" spans="1:32" s="71" customFormat="1" ht="12.75" x14ac:dyDescent="0.2">
      <c r="A41" s="76"/>
      <c r="B41" s="170"/>
      <c r="C41" s="171" t="str">
        <f t="shared" si="2"/>
        <v xml:space="preserve"> </v>
      </c>
      <c r="D41" s="157">
        <v>0.9</v>
      </c>
      <c r="E41" s="172">
        <f t="shared" si="0"/>
        <v>53.564280000000004</v>
      </c>
      <c r="F41" s="173">
        <f t="shared" si="0"/>
        <v>74.44</v>
      </c>
      <c r="G41" s="173">
        <f t="shared" si="0"/>
        <v>87.18</v>
      </c>
      <c r="H41" s="174">
        <f t="shared" si="0"/>
        <v>105.85</v>
      </c>
      <c r="I41" s="173">
        <f t="shared" si="1"/>
        <v>93.28</v>
      </c>
      <c r="J41" s="175">
        <f t="shared" si="1"/>
        <v>119.53</v>
      </c>
      <c r="K41" s="175">
        <f t="shared" si="1"/>
        <v>148.13999999999999</v>
      </c>
      <c r="L41" s="162"/>
      <c r="M41" s="176">
        <f t="shared" si="3"/>
        <v>53.564280000000004</v>
      </c>
      <c r="N41" s="177">
        <v>74.44</v>
      </c>
      <c r="O41" s="177">
        <v>87.18</v>
      </c>
      <c r="P41" s="178">
        <v>105.85</v>
      </c>
      <c r="Q41" s="177">
        <v>93.28</v>
      </c>
      <c r="R41" s="179">
        <v>119.53</v>
      </c>
      <c r="S41" s="179">
        <v>148.13999999999999</v>
      </c>
      <c r="T41" s="162"/>
      <c r="U41" s="180">
        <v>0.86799999999999999</v>
      </c>
      <c r="V41" s="181">
        <v>61.71</v>
      </c>
      <c r="W41" s="169"/>
      <c r="X41" s="162"/>
      <c r="Y41" s="86"/>
    </row>
    <row r="42" spans="1:32" s="71" customFormat="1" ht="12.75" x14ac:dyDescent="0.2">
      <c r="A42" s="76"/>
      <c r="B42" s="170"/>
      <c r="C42" s="171" t="str">
        <f t="shared" si="2"/>
        <v xml:space="preserve"> </v>
      </c>
      <c r="D42" s="157">
        <v>1</v>
      </c>
      <c r="E42" s="172">
        <f t="shared" si="0"/>
        <v>57.860530000000004</v>
      </c>
      <c r="F42" s="173">
        <f t="shared" si="0"/>
        <v>80.83</v>
      </c>
      <c r="G42" s="173">
        <f t="shared" si="0"/>
        <v>95.23</v>
      </c>
      <c r="H42" s="174">
        <f t="shared" si="0"/>
        <v>116.54</v>
      </c>
      <c r="I42" s="173">
        <f t="shared" si="1"/>
        <v>101.89</v>
      </c>
      <c r="J42" s="175">
        <f t="shared" si="1"/>
        <v>130.77000000000001</v>
      </c>
      <c r="K42" s="175">
        <f t="shared" si="1"/>
        <v>162.33000000000001</v>
      </c>
      <c r="L42" s="162"/>
      <c r="M42" s="176">
        <f t="shared" si="3"/>
        <v>57.860530000000004</v>
      </c>
      <c r="N42" s="177">
        <v>80.83</v>
      </c>
      <c r="O42" s="177">
        <v>95.23</v>
      </c>
      <c r="P42" s="178">
        <v>116.54</v>
      </c>
      <c r="Q42" s="177">
        <v>101.89</v>
      </c>
      <c r="R42" s="179">
        <v>130.77000000000001</v>
      </c>
      <c r="S42" s="179">
        <v>162.33000000000001</v>
      </c>
      <c r="T42" s="162"/>
      <c r="U42" s="180">
        <v>0.871</v>
      </c>
      <c r="V42" s="181">
        <v>66.430000000000007</v>
      </c>
      <c r="W42" s="169"/>
      <c r="X42" s="162"/>
      <c r="Y42" s="86"/>
    </row>
    <row r="43" spans="1:32" s="71" customFormat="1" ht="12.75" x14ac:dyDescent="0.2">
      <c r="A43" s="76"/>
      <c r="B43" s="170"/>
      <c r="C43" s="171" t="str">
        <f t="shared" si="2"/>
        <v xml:space="preserve"> </v>
      </c>
      <c r="D43" s="157">
        <v>1.2</v>
      </c>
      <c r="E43" s="172">
        <f t="shared" si="0"/>
        <v>64.999380000000002</v>
      </c>
      <c r="F43" s="173">
        <f t="shared" si="0"/>
        <v>90.92</v>
      </c>
      <c r="G43" s="173">
        <f t="shared" si="0"/>
        <v>107.47</v>
      </c>
      <c r="H43" s="174">
        <f t="shared" si="0"/>
        <v>132.41</v>
      </c>
      <c r="I43" s="173">
        <f t="shared" si="1"/>
        <v>114.99</v>
      </c>
      <c r="J43" s="175">
        <f t="shared" si="1"/>
        <v>148.58000000000001</v>
      </c>
      <c r="K43" s="175">
        <f t="shared" si="1"/>
        <v>179.75</v>
      </c>
      <c r="L43" s="162"/>
      <c r="M43" s="176">
        <f t="shared" si="3"/>
        <v>64.999380000000002</v>
      </c>
      <c r="N43" s="177">
        <v>90.92</v>
      </c>
      <c r="O43" s="177">
        <v>107.47</v>
      </c>
      <c r="P43" s="178">
        <v>132.41</v>
      </c>
      <c r="Q43" s="177">
        <v>114.99</v>
      </c>
      <c r="R43" s="179">
        <v>148.58000000000001</v>
      </c>
      <c r="S43" s="179">
        <v>179.75</v>
      </c>
      <c r="T43" s="162"/>
      <c r="U43" s="180">
        <v>0.874</v>
      </c>
      <c r="V43" s="181">
        <v>74.37</v>
      </c>
      <c r="W43" s="169"/>
      <c r="X43" s="162"/>
      <c r="Y43" s="86"/>
    </row>
    <row r="44" spans="1:32" s="71" customFormat="1" ht="12.75" x14ac:dyDescent="0.2">
      <c r="A44" s="76"/>
      <c r="B44" s="170"/>
      <c r="C44" s="171" t="str">
        <f t="shared" si="2"/>
        <v xml:space="preserve"> </v>
      </c>
      <c r="D44" s="157">
        <v>1.4</v>
      </c>
      <c r="E44" s="172">
        <f t="shared" si="0"/>
        <v>72.185870000000008</v>
      </c>
      <c r="F44" s="173">
        <f t="shared" si="0"/>
        <v>101.01</v>
      </c>
      <c r="G44" s="173">
        <f t="shared" si="0"/>
        <v>119.72</v>
      </c>
      <c r="H44" s="174">
        <f t="shared" si="0"/>
        <v>148.28</v>
      </c>
      <c r="I44" s="173">
        <f t="shared" si="1"/>
        <v>128.09</v>
      </c>
      <c r="J44" s="175">
        <f t="shared" si="1"/>
        <v>166.38</v>
      </c>
      <c r="K44" s="175">
        <f t="shared" si="1"/>
        <v>197.17</v>
      </c>
      <c r="L44" s="162"/>
      <c r="M44" s="176">
        <f t="shared" si="3"/>
        <v>72.185870000000008</v>
      </c>
      <c r="N44" s="177">
        <v>101.01</v>
      </c>
      <c r="O44" s="177">
        <v>119.72</v>
      </c>
      <c r="P44" s="178">
        <v>148.28</v>
      </c>
      <c r="Q44" s="177">
        <v>128.09</v>
      </c>
      <c r="R44" s="179">
        <v>166.38</v>
      </c>
      <c r="S44" s="179">
        <v>197.17</v>
      </c>
      <c r="T44" s="162"/>
      <c r="U44" s="180">
        <v>0.877</v>
      </c>
      <c r="V44" s="181">
        <v>82.31</v>
      </c>
      <c r="W44" s="169"/>
      <c r="X44" s="162"/>
      <c r="Y44" s="86"/>
    </row>
    <row r="45" spans="1:32" s="71" customFormat="1" ht="12.75" x14ac:dyDescent="0.2">
      <c r="A45" s="76"/>
      <c r="B45" s="170"/>
      <c r="C45" s="171" t="str">
        <f t="shared" si="2"/>
        <v xml:space="preserve"> </v>
      </c>
      <c r="D45" s="157">
        <v>1.6</v>
      </c>
      <c r="E45" s="172">
        <f t="shared" si="0"/>
        <v>79.411199999999994</v>
      </c>
      <c r="F45" s="173">
        <f t="shared" si="0"/>
        <v>111.1</v>
      </c>
      <c r="G45" s="173">
        <f t="shared" si="0"/>
        <v>131.96</v>
      </c>
      <c r="H45" s="174">
        <f t="shared" si="0"/>
        <v>164.14</v>
      </c>
      <c r="I45" s="173">
        <f t="shared" si="1"/>
        <v>141.19999999999999</v>
      </c>
      <c r="J45" s="175">
        <f t="shared" si="1"/>
        <v>184.19</v>
      </c>
      <c r="K45" s="175">
        <f t="shared" si="1"/>
        <v>214.58</v>
      </c>
      <c r="L45" s="162"/>
      <c r="M45" s="176">
        <f t="shared" si="3"/>
        <v>79.411199999999994</v>
      </c>
      <c r="N45" s="177">
        <v>111.1</v>
      </c>
      <c r="O45" s="177">
        <v>131.96</v>
      </c>
      <c r="P45" s="178">
        <v>164.14</v>
      </c>
      <c r="Q45" s="177">
        <v>141.19999999999999</v>
      </c>
      <c r="R45" s="179">
        <v>184.19</v>
      </c>
      <c r="S45" s="179">
        <v>214.58</v>
      </c>
      <c r="T45" s="162"/>
      <c r="U45" s="180">
        <v>0.88</v>
      </c>
      <c r="V45" s="181">
        <v>90.24</v>
      </c>
      <c r="W45" s="169"/>
      <c r="X45" s="162"/>
      <c r="Y45" s="86"/>
    </row>
    <row r="46" spans="1:32" s="71" customFormat="1" ht="12.75" x14ac:dyDescent="0.2">
      <c r="A46" s="76"/>
      <c r="B46" s="170"/>
      <c r="C46" s="171" t="str">
        <f t="shared" si="2"/>
        <v xml:space="preserve"> </v>
      </c>
      <c r="D46" s="157">
        <v>1.8</v>
      </c>
      <c r="E46" s="172">
        <f t="shared" si="0"/>
        <v>86.692940000000007</v>
      </c>
      <c r="F46" s="173">
        <f t="shared" si="0"/>
        <v>121.19</v>
      </c>
      <c r="G46" s="173">
        <f t="shared" si="0"/>
        <v>144.21</v>
      </c>
      <c r="H46" s="174">
        <f t="shared" si="0"/>
        <v>180.01</v>
      </c>
      <c r="I46" s="173">
        <f t="shared" si="1"/>
        <v>154.30000000000001</v>
      </c>
      <c r="J46" s="175">
        <f t="shared" si="1"/>
        <v>201.99</v>
      </c>
      <c r="K46" s="175">
        <f t="shared" si="1"/>
        <v>232</v>
      </c>
      <c r="L46" s="162"/>
      <c r="M46" s="176">
        <f t="shared" si="3"/>
        <v>86.692940000000007</v>
      </c>
      <c r="N46" s="177">
        <v>121.19</v>
      </c>
      <c r="O46" s="177">
        <v>144.21</v>
      </c>
      <c r="P46" s="178">
        <v>180.01</v>
      </c>
      <c r="Q46" s="177">
        <v>154.30000000000001</v>
      </c>
      <c r="R46" s="179">
        <v>201.99</v>
      </c>
      <c r="S46" s="179">
        <v>232</v>
      </c>
      <c r="T46" s="162"/>
      <c r="U46" s="180">
        <v>0.88300000000000001</v>
      </c>
      <c r="V46" s="181">
        <v>98.18</v>
      </c>
      <c r="W46" s="169"/>
      <c r="X46" s="162"/>
      <c r="Y46" s="86"/>
    </row>
    <row r="47" spans="1:32" s="71" customFormat="1" ht="12.75" x14ac:dyDescent="0.2">
      <c r="A47" s="76"/>
      <c r="B47" s="170"/>
      <c r="C47" s="171" t="str">
        <f t="shared" si="2"/>
        <v xml:space="preserve"> </v>
      </c>
      <c r="D47" s="157">
        <v>2</v>
      </c>
      <c r="E47" s="172">
        <f t="shared" si="0"/>
        <v>94.022320000000008</v>
      </c>
      <c r="F47" s="173">
        <f t="shared" si="0"/>
        <v>131.29</v>
      </c>
      <c r="G47" s="173">
        <f t="shared" si="0"/>
        <v>156.44999999999999</v>
      </c>
      <c r="H47" s="174">
        <f t="shared" si="0"/>
        <v>195.88</v>
      </c>
      <c r="I47" s="173">
        <f t="shared" si="1"/>
        <v>167.4</v>
      </c>
      <c r="J47" s="175">
        <f t="shared" si="1"/>
        <v>219.8</v>
      </c>
      <c r="K47" s="175">
        <f t="shared" si="1"/>
        <v>249.42</v>
      </c>
      <c r="L47" s="162"/>
      <c r="M47" s="176">
        <f t="shared" si="3"/>
        <v>94.022320000000008</v>
      </c>
      <c r="N47" s="177">
        <v>131.29</v>
      </c>
      <c r="O47" s="177">
        <v>156.44999999999999</v>
      </c>
      <c r="P47" s="178">
        <v>195.88</v>
      </c>
      <c r="Q47" s="177">
        <v>167.4</v>
      </c>
      <c r="R47" s="179">
        <v>219.8</v>
      </c>
      <c r="S47" s="179">
        <v>249.42</v>
      </c>
      <c r="T47" s="162"/>
      <c r="U47" s="180">
        <v>0.88600000000000001</v>
      </c>
      <c r="V47" s="181">
        <v>106.12</v>
      </c>
      <c r="W47" s="169"/>
      <c r="X47" s="162"/>
      <c r="Y47" s="86"/>
    </row>
    <row r="48" spans="1:32" s="71" customFormat="1" ht="12.75" x14ac:dyDescent="0.2">
      <c r="A48" s="76"/>
      <c r="B48" s="170"/>
      <c r="C48" s="171" t="str">
        <f t="shared" si="2"/>
        <v xml:space="preserve"> </v>
      </c>
      <c r="D48" s="157">
        <v>2.4</v>
      </c>
      <c r="E48" s="172">
        <f t="shared" si="0"/>
        <v>99.79025</v>
      </c>
      <c r="F48" s="173">
        <f t="shared" si="0"/>
        <v>138.63</v>
      </c>
      <c r="G48" s="173">
        <f t="shared" si="0"/>
        <v>165.01</v>
      </c>
      <c r="H48" s="174">
        <f t="shared" si="0"/>
        <v>206.38</v>
      </c>
      <c r="I48" s="173">
        <f t="shared" si="1"/>
        <v>176.28</v>
      </c>
      <c r="J48" s="175">
        <f t="shared" si="1"/>
        <v>231.29</v>
      </c>
      <c r="K48" s="175">
        <f t="shared" si="1"/>
        <v>264.33999999999997</v>
      </c>
      <c r="L48" s="162"/>
      <c r="M48" s="176">
        <f t="shared" si="3"/>
        <v>99.79025</v>
      </c>
      <c r="N48" s="177">
        <v>138.63</v>
      </c>
      <c r="O48" s="177">
        <v>165.01</v>
      </c>
      <c r="P48" s="178">
        <v>206.38</v>
      </c>
      <c r="Q48" s="177">
        <v>176.28</v>
      </c>
      <c r="R48" s="179">
        <v>231.29</v>
      </c>
      <c r="S48" s="179">
        <v>264.33999999999997</v>
      </c>
      <c r="T48" s="162"/>
      <c r="U48" s="180">
        <v>0.88900000000000001</v>
      </c>
      <c r="V48" s="181">
        <v>112.25</v>
      </c>
      <c r="W48" s="169"/>
      <c r="X48" s="162"/>
      <c r="Y48" s="86"/>
    </row>
    <row r="49" spans="1:25" s="71" customFormat="1" ht="12.75" x14ac:dyDescent="0.2">
      <c r="A49" s="76"/>
      <c r="B49" s="170"/>
      <c r="C49" s="171" t="str">
        <f t="shared" si="2"/>
        <v xml:space="preserve"> </v>
      </c>
      <c r="D49" s="157">
        <v>2.8</v>
      </c>
      <c r="E49" s="172">
        <f t="shared" si="0"/>
        <v>105.59496</v>
      </c>
      <c r="F49" s="173">
        <f t="shared" si="0"/>
        <v>145.97</v>
      </c>
      <c r="G49" s="173">
        <f t="shared" si="0"/>
        <v>173.56</v>
      </c>
      <c r="H49" s="174">
        <f t="shared" si="0"/>
        <v>216.88</v>
      </c>
      <c r="I49" s="173">
        <f t="shared" si="1"/>
        <v>185.16</v>
      </c>
      <c r="J49" s="175">
        <f t="shared" si="1"/>
        <v>242.79</v>
      </c>
      <c r="K49" s="175">
        <f t="shared" si="1"/>
        <v>279.26</v>
      </c>
      <c r="L49" s="162"/>
      <c r="M49" s="176">
        <f t="shared" si="3"/>
        <v>105.59496</v>
      </c>
      <c r="N49" s="177">
        <v>145.97</v>
      </c>
      <c r="O49" s="177">
        <v>173.56</v>
      </c>
      <c r="P49" s="178">
        <v>216.88</v>
      </c>
      <c r="Q49" s="177">
        <v>185.16</v>
      </c>
      <c r="R49" s="179">
        <v>242.79</v>
      </c>
      <c r="S49" s="179">
        <v>279.26</v>
      </c>
      <c r="T49" s="162"/>
      <c r="U49" s="180">
        <v>0.89200000000000002</v>
      </c>
      <c r="V49" s="181">
        <v>118.38</v>
      </c>
      <c r="W49" s="169"/>
      <c r="X49" s="162"/>
      <c r="Y49" s="86"/>
    </row>
    <row r="50" spans="1:25" s="71" customFormat="1" ht="12.75" x14ac:dyDescent="0.2">
      <c r="A50" s="76"/>
      <c r="B50" s="170"/>
      <c r="C50" s="171" t="str">
        <f t="shared" si="2"/>
        <v xml:space="preserve"> </v>
      </c>
      <c r="D50" s="157">
        <v>3.2</v>
      </c>
      <c r="E50" s="172">
        <f t="shared" si="0"/>
        <v>111.43645000000001</v>
      </c>
      <c r="F50" s="173">
        <f t="shared" si="0"/>
        <v>153.31</v>
      </c>
      <c r="G50" s="173">
        <f t="shared" si="0"/>
        <v>182.12</v>
      </c>
      <c r="H50" s="174">
        <f t="shared" si="0"/>
        <v>227.38</v>
      </c>
      <c r="I50" s="173">
        <f t="shared" si="1"/>
        <v>194.04</v>
      </c>
      <c r="J50" s="175">
        <f t="shared" si="1"/>
        <v>254.28</v>
      </c>
      <c r="K50" s="175">
        <f t="shared" si="1"/>
        <v>294.18</v>
      </c>
      <c r="L50" s="162"/>
      <c r="M50" s="176">
        <f t="shared" si="3"/>
        <v>111.43645000000001</v>
      </c>
      <c r="N50" s="177">
        <v>153.31</v>
      </c>
      <c r="O50" s="177">
        <v>182.12</v>
      </c>
      <c r="P50" s="178">
        <v>227.38</v>
      </c>
      <c r="Q50" s="177">
        <v>194.04</v>
      </c>
      <c r="R50" s="179">
        <v>254.28</v>
      </c>
      <c r="S50" s="179">
        <v>294.18</v>
      </c>
      <c r="T50" s="162"/>
      <c r="U50" s="180">
        <v>0.89500000000000002</v>
      </c>
      <c r="V50" s="181">
        <v>124.51</v>
      </c>
      <c r="W50" s="169"/>
      <c r="X50" s="162"/>
      <c r="Y50" s="86"/>
    </row>
    <row r="51" spans="1:25" s="71" customFormat="1" ht="12.75" x14ac:dyDescent="0.2">
      <c r="A51" s="76"/>
      <c r="B51" s="170"/>
      <c r="C51" s="171" t="str">
        <f t="shared" si="2"/>
        <v xml:space="preserve"> </v>
      </c>
      <c r="D51" s="157">
        <v>3.6</v>
      </c>
      <c r="E51" s="172">
        <f t="shared" si="0"/>
        <v>117.31471999999999</v>
      </c>
      <c r="F51" s="173">
        <f t="shared" si="0"/>
        <v>160.66</v>
      </c>
      <c r="G51" s="173">
        <f t="shared" si="0"/>
        <v>190.68</v>
      </c>
      <c r="H51" s="174">
        <f t="shared" si="0"/>
        <v>237.88</v>
      </c>
      <c r="I51" s="173">
        <f t="shared" si="1"/>
        <v>202.92</v>
      </c>
      <c r="J51" s="175">
        <f t="shared" si="1"/>
        <v>265.77</v>
      </c>
      <c r="K51" s="175">
        <f t="shared" si="1"/>
        <v>309.10000000000002</v>
      </c>
      <c r="L51" s="162"/>
      <c r="M51" s="176">
        <f t="shared" si="3"/>
        <v>117.31471999999999</v>
      </c>
      <c r="N51" s="177">
        <v>160.66</v>
      </c>
      <c r="O51" s="177">
        <v>190.68</v>
      </c>
      <c r="P51" s="178">
        <v>237.88</v>
      </c>
      <c r="Q51" s="177">
        <v>202.92</v>
      </c>
      <c r="R51" s="179">
        <v>265.77</v>
      </c>
      <c r="S51" s="179">
        <v>309.10000000000002</v>
      </c>
      <c r="T51" s="162"/>
      <c r="U51" s="180">
        <v>0.89800000000000002</v>
      </c>
      <c r="V51" s="181">
        <v>130.63999999999999</v>
      </c>
      <c r="W51" s="169"/>
      <c r="X51" s="162"/>
      <c r="Y51" s="86"/>
    </row>
    <row r="52" spans="1:25" s="71" customFormat="1" ht="12.75" x14ac:dyDescent="0.2">
      <c r="A52" s="76"/>
      <c r="B52" s="170"/>
      <c r="C52" s="171" t="str">
        <f t="shared" si="2"/>
        <v xml:space="preserve"> </v>
      </c>
      <c r="D52" s="157">
        <v>4</v>
      </c>
      <c r="E52" s="172">
        <f t="shared" si="0"/>
        <v>123.09300000000002</v>
      </c>
      <c r="F52" s="173">
        <f t="shared" si="0"/>
        <v>168</v>
      </c>
      <c r="G52" s="173">
        <f t="shared" si="0"/>
        <v>199.23</v>
      </c>
      <c r="H52" s="174">
        <f t="shared" si="0"/>
        <v>248.38</v>
      </c>
      <c r="I52" s="173">
        <f t="shared" si="1"/>
        <v>211.8</v>
      </c>
      <c r="J52" s="175">
        <f t="shared" si="1"/>
        <v>277.26</v>
      </c>
      <c r="K52" s="175">
        <f t="shared" si="1"/>
        <v>324.02</v>
      </c>
      <c r="L52" s="162"/>
      <c r="M52" s="176">
        <f t="shared" si="3"/>
        <v>123.09300000000002</v>
      </c>
      <c r="N52" s="177">
        <v>168</v>
      </c>
      <c r="O52" s="177">
        <v>199.23</v>
      </c>
      <c r="P52" s="178">
        <v>248.38</v>
      </c>
      <c r="Q52" s="177">
        <v>211.8</v>
      </c>
      <c r="R52" s="179">
        <v>277.26</v>
      </c>
      <c r="S52" s="179">
        <v>324.02</v>
      </c>
      <c r="T52" s="162"/>
      <c r="U52" s="180">
        <v>0.9</v>
      </c>
      <c r="V52" s="181">
        <v>136.77000000000001</v>
      </c>
      <c r="W52" s="169"/>
      <c r="X52" s="162"/>
      <c r="Y52" s="86"/>
    </row>
    <row r="53" spans="1:25" s="71" customFormat="1" ht="12.75" x14ac:dyDescent="0.2">
      <c r="A53" s="76"/>
      <c r="B53" s="170"/>
      <c r="C53" s="171" t="str">
        <f t="shared" si="2"/>
        <v xml:space="preserve"> </v>
      </c>
      <c r="D53" s="157">
        <v>4.4000000000000004</v>
      </c>
      <c r="E53" s="172">
        <f t="shared" si="0"/>
        <v>131.46800000000002</v>
      </c>
      <c r="F53" s="173">
        <f t="shared" si="0"/>
        <v>175.34</v>
      </c>
      <c r="G53" s="173">
        <f t="shared" si="0"/>
        <v>207.79</v>
      </c>
      <c r="H53" s="174">
        <f t="shared" si="0"/>
        <v>258.88</v>
      </c>
      <c r="I53" s="173">
        <f t="shared" si="1"/>
        <v>220.68</v>
      </c>
      <c r="J53" s="175">
        <f t="shared" si="1"/>
        <v>288.76</v>
      </c>
      <c r="K53" s="175">
        <f t="shared" si="1"/>
        <v>338.94</v>
      </c>
      <c r="L53" s="182"/>
      <c r="M53" s="176">
        <f t="shared" si="3"/>
        <v>131.46800000000002</v>
      </c>
      <c r="N53" s="177">
        <v>175.34</v>
      </c>
      <c r="O53" s="183">
        <v>207.79</v>
      </c>
      <c r="P53" s="178">
        <v>258.88</v>
      </c>
      <c r="Q53" s="183">
        <v>220.68</v>
      </c>
      <c r="R53" s="184">
        <v>288.76</v>
      </c>
      <c r="S53" s="184">
        <v>338.94</v>
      </c>
      <c r="T53" s="162"/>
      <c r="U53" s="180">
        <v>0.92</v>
      </c>
      <c r="V53" s="185">
        <v>142.9</v>
      </c>
      <c r="W53" s="169"/>
      <c r="X53" s="182"/>
      <c r="Y53" s="86"/>
    </row>
    <row r="54" spans="1:25" s="71" customFormat="1" ht="12.75" x14ac:dyDescent="0.2">
      <c r="A54" s="76"/>
      <c r="B54" s="170"/>
      <c r="C54" s="171" t="str">
        <f t="shared" si="2"/>
        <v xml:space="preserve"> </v>
      </c>
      <c r="D54" s="157">
        <v>4.8</v>
      </c>
      <c r="E54" s="172">
        <f t="shared" si="0"/>
        <v>140.0882</v>
      </c>
      <c r="F54" s="173">
        <f t="shared" si="0"/>
        <v>182.69</v>
      </c>
      <c r="G54" s="173">
        <f t="shared" si="0"/>
        <v>216.35</v>
      </c>
      <c r="H54" s="174">
        <f t="shared" si="0"/>
        <v>269.39</v>
      </c>
      <c r="I54" s="173">
        <f t="shared" si="1"/>
        <v>229.56</v>
      </c>
      <c r="J54" s="175">
        <f t="shared" si="1"/>
        <v>300.25</v>
      </c>
      <c r="K54" s="175">
        <f t="shared" si="1"/>
        <v>353.86</v>
      </c>
      <c r="L54" s="162"/>
      <c r="M54" s="176">
        <f t="shared" si="3"/>
        <v>140.0882</v>
      </c>
      <c r="N54" s="177">
        <v>182.69</v>
      </c>
      <c r="O54" s="183">
        <v>216.35</v>
      </c>
      <c r="P54" s="178">
        <v>269.39</v>
      </c>
      <c r="Q54" s="183">
        <v>229.56</v>
      </c>
      <c r="R54" s="184">
        <v>300.25</v>
      </c>
      <c r="S54" s="184">
        <v>353.86</v>
      </c>
      <c r="T54" s="162"/>
      <c r="U54" s="180">
        <v>0.94</v>
      </c>
      <c r="V54" s="185">
        <v>149.03</v>
      </c>
      <c r="W54" s="169"/>
      <c r="X54" s="182"/>
      <c r="Y54" s="86"/>
    </row>
    <row r="55" spans="1:25" s="71" customFormat="1" ht="12.75" x14ac:dyDescent="0.2">
      <c r="A55" s="76"/>
      <c r="B55" s="170"/>
      <c r="C55" s="171" t="str">
        <f t="shared" si="2"/>
        <v xml:space="preserve"> </v>
      </c>
      <c r="D55" s="157">
        <v>5.2</v>
      </c>
      <c r="E55" s="172">
        <f t="shared" si="0"/>
        <v>148.95359999999999</v>
      </c>
      <c r="F55" s="173">
        <f t="shared" si="0"/>
        <v>190.03</v>
      </c>
      <c r="G55" s="173">
        <f t="shared" si="0"/>
        <v>224.9</v>
      </c>
      <c r="H55" s="174">
        <f t="shared" si="0"/>
        <v>279.89</v>
      </c>
      <c r="I55" s="173">
        <f t="shared" si="1"/>
        <v>238.43</v>
      </c>
      <c r="J55" s="175">
        <f t="shared" si="1"/>
        <v>311.74</v>
      </c>
      <c r="K55" s="175">
        <f t="shared" si="1"/>
        <v>368.78</v>
      </c>
      <c r="L55" s="182"/>
      <c r="M55" s="176">
        <f t="shared" si="3"/>
        <v>148.95359999999999</v>
      </c>
      <c r="N55" s="177">
        <v>190.03</v>
      </c>
      <c r="O55" s="183">
        <v>224.9</v>
      </c>
      <c r="P55" s="178">
        <v>279.89</v>
      </c>
      <c r="Q55" s="183">
        <v>238.43</v>
      </c>
      <c r="R55" s="184">
        <v>311.74</v>
      </c>
      <c r="S55" s="184">
        <v>368.78</v>
      </c>
      <c r="T55" s="162"/>
      <c r="U55" s="180">
        <v>0.96</v>
      </c>
      <c r="V55" s="185">
        <v>155.16</v>
      </c>
      <c r="W55" s="169"/>
      <c r="X55" s="162"/>
      <c r="Y55" s="86"/>
    </row>
    <row r="56" spans="1:25" s="71" customFormat="1" ht="13.5" thickBot="1" x14ac:dyDescent="0.25">
      <c r="A56" s="76"/>
      <c r="B56" s="170"/>
      <c r="C56" s="171" t="str">
        <f t="shared" si="2"/>
        <v xml:space="preserve"> </v>
      </c>
      <c r="D56" s="157">
        <v>5.6</v>
      </c>
      <c r="E56" s="186">
        <f t="shared" si="0"/>
        <v>158.0642</v>
      </c>
      <c r="F56" s="173">
        <f t="shared" si="0"/>
        <v>197.37</v>
      </c>
      <c r="G56" s="173">
        <f t="shared" si="0"/>
        <v>233.46</v>
      </c>
      <c r="H56" s="174">
        <f t="shared" si="0"/>
        <v>290.39</v>
      </c>
      <c r="I56" s="173">
        <f t="shared" si="1"/>
        <v>247.31</v>
      </c>
      <c r="J56" s="175">
        <f t="shared" si="1"/>
        <v>323.24</v>
      </c>
      <c r="K56" s="175">
        <f t="shared" si="1"/>
        <v>383.7</v>
      </c>
      <c r="L56" s="162"/>
      <c r="M56" s="187">
        <f t="shared" si="3"/>
        <v>158.0642</v>
      </c>
      <c r="N56" s="177">
        <v>197.37</v>
      </c>
      <c r="O56" s="183">
        <v>233.46</v>
      </c>
      <c r="P56" s="178">
        <v>290.39</v>
      </c>
      <c r="Q56" s="183">
        <v>247.31</v>
      </c>
      <c r="R56" s="184">
        <v>323.24</v>
      </c>
      <c r="S56" s="184">
        <v>383.7</v>
      </c>
      <c r="T56" s="162"/>
      <c r="U56" s="188">
        <v>0.98</v>
      </c>
      <c r="V56" s="189">
        <v>161.29</v>
      </c>
      <c r="W56" s="169"/>
      <c r="X56" s="182"/>
      <c r="Y56" s="86"/>
    </row>
    <row r="57" spans="1:25" s="71" customFormat="1" ht="12.75" x14ac:dyDescent="0.2">
      <c r="A57" s="76"/>
      <c r="B57" s="170"/>
      <c r="C57" s="171" t="str">
        <f t="shared" si="2"/>
        <v xml:space="preserve"> </v>
      </c>
      <c r="D57" s="157">
        <v>6</v>
      </c>
      <c r="E57" s="190">
        <f t="shared" si="0"/>
        <v>167.42</v>
      </c>
      <c r="F57" s="175">
        <f t="shared" si="0"/>
        <v>204.72</v>
      </c>
      <c r="G57" s="173">
        <f t="shared" si="0"/>
        <v>242.01</v>
      </c>
      <c r="H57" s="174">
        <f t="shared" si="0"/>
        <v>300.89</v>
      </c>
      <c r="I57" s="173">
        <f t="shared" si="1"/>
        <v>256.19</v>
      </c>
      <c r="J57" s="175">
        <f t="shared" si="1"/>
        <v>334.73</v>
      </c>
      <c r="K57" s="175">
        <f t="shared" si="1"/>
        <v>398.62</v>
      </c>
      <c r="L57" s="182"/>
      <c r="M57" s="191">
        <v>167.42</v>
      </c>
      <c r="N57" s="184">
        <v>204.72</v>
      </c>
      <c r="O57" s="183">
        <v>242.01</v>
      </c>
      <c r="P57" s="178">
        <v>300.89</v>
      </c>
      <c r="Q57" s="183">
        <v>256.19</v>
      </c>
      <c r="R57" s="184">
        <v>334.73</v>
      </c>
      <c r="S57" s="184">
        <v>398.62</v>
      </c>
      <c r="T57" s="162"/>
      <c r="U57" s="162"/>
      <c r="V57" s="192"/>
      <c r="W57" s="77"/>
      <c r="X57" s="77"/>
      <c r="Y57" s="86"/>
    </row>
    <row r="58" spans="1:25" s="71" customFormat="1" ht="12.75" x14ac:dyDescent="0.2">
      <c r="A58" s="76"/>
      <c r="B58" s="170"/>
      <c r="C58" s="171" t="str">
        <f t="shared" si="2"/>
        <v xml:space="preserve"> </v>
      </c>
      <c r="D58" s="157">
        <v>6.4</v>
      </c>
      <c r="E58" s="190">
        <f t="shared" si="0"/>
        <v>173.55</v>
      </c>
      <c r="F58" s="175">
        <f t="shared" si="0"/>
        <v>212.06</v>
      </c>
      <c r="G58" s="173">
        <f t="shared" si="0"/>
        <v>250.57</v>
      </c>
      <c r="H58" s="174">
        <f t="shared" si="0"/>
        <v>311.39</v>
      </c>
      <c r="I58" s="173">
        <f t="shared" si="1"/>
        <v>265.07</v>
      </c>
      <c r="J58" s="175">
        <f t="shared" si="1"/>
        <v>346.22</v>
      </c>
      <c r="K58" s="175">
        <f t="shared" si="1"/>
        <v>413.54</v>
      </c>
      <c r="L58" s="162"/>
      <c r="M58" s="191">
        <v>173.55</v>
      </c>
      <c r="N58" s="179">
        <v>212.06</v>
      </c>
      <c r="O58" s="183">
        <v>250.57</v>
      </c>
      <c r="P58" s="178">
        <v>311.39</v>
      </c>
      <c r="Q58" s="183">
        <v>265.07</v>
      </c>
      <c r="R58" s="184">
        <v>346.22</v>
      </c>
      <c r="S58" s="184">
        <v>413.54</v>
      </c>
      <c r="T58" s="162"/>
      <c r="U58" s="162"/>
      <c r="V58" s="86"/>
      <c r="W58" s="80"/>
      <c r="X58" s="80"/>
    </row>
    <row r="59" spans="1:25" s="71" customFormat="1" ht="12.75" x14ac:dyDescent="0.2">
      <c r="A59" s="76"/>
      <c r="B59" s="170"/>
      <c r="C59" s="171" t="str">
        <f t="shared" si="2"/>
        <v xml:space="preserve"> </v>
      </c>
      <c r="D59" s="157">
        <v>6.8</v>
      </c>
      <c r="E59" s="190">
        <f t="shared" si="0"/>
        <v>179.68</v>
      </c>
      <c r="F59" s="175">
        <f t="shared" si="0"/>
        <v>219.4</v>
      </c>
      <c r="G59" s="173">
        <f t="shared" si="0"/>
        <v>259.13</v>
      </c>
      <c r="H59" s="174">
        <f t="shared" si="0"/>
        <v>321.89</v>
      </c>
      <c r="I59" s="173">
        <f t="shared" si="1"/>
        <v>273.95</v>
      </c>
      <c r="J59" s="175">
        <f t="shared" si="1"/>
        <v>357.71</v>
      </c>
      <c r="K59" s="175">
        <f t="shared" si="1"/>
        <v>428.46</v>
      </c>
      <c r="L59" s="182"/>
      <c r="M59" s="191">
        <v>179.68</v>
      </c>
      <c r="N59" s="184">
        <v>219.4</v>
      </c>
      <c r="O59" s="183">
        <v>259.13</v>
      </c>
      <c r="P59" s="178">
        <v>321.89</v>
      </c>
      <c r="Q59" s="183">
        <v>273.95</v>
      </c>
      <c r="R59" s="184">
        <v>357.71</v>
      </c>
      <c r="S59" s="184">
        <v>428.46</v>
      </c>
      <c r="T59" s="162"/>
      <c r="U59" s="162"/>
      <c r="V59" s="86"/>
    </row>
    <row r="60" spans="1:25" s="71" customFormat="1" ht="12.75" x14ac:dyDescent="0.2">
      <c r="A60" s="76"/>
      <c r="B60" s="170"/>
      <c r="C60" s="171" t="str">
        <f t="shared" si="2"/>
        <v xml:space="preserve"> </v>
      </c>
      <c r="D60" s="157">
        <v>7.2</v>
      </c>
      <c r="E60" s="190">
        <f t="shared" si="0"/>
        <v>185.81</v>
      </c>
      <c r="F60" s="175">
        <f t="shared" si="0"/>
        <v>226.74</v>
      </c>
      <c r="G60" s="173">
        <f t="shared" si="0"/>
        <v>267.68</v>
      </c>
      <c r="H60" s="174">
        <f t="shared" si="0"/>
        <v>332.29</v>
      </c>
      <c r="I60" s="173">
        <f t="shared" si="1"/>
        <v>282.83</v>
      </c>
      <c r="J60" s="175">
        <f t="shared" si="1"/>
        <v>369.21</v>
      </c>
      <c r="K60" s="175">
        <f t="shared" si="1"/>
        <v>443.38</v>
      </c>
      <c r="L60" s="162"/>
      <c r="M60" s="191">
        <v>185.81</v>
      </c>
      <c r="N60" s="184">
        <v>226.74</v>
      </c>
      <c r="O60" s="183">
        <v>267.68</v>
      </c>
      <c r="P60" s="178">
        <v>332.29</v>
      </c>
      <c r="Q60" s="183">
        <v>282.83</v>
      </c>
      <c r="R60" s="184">
        <v>369.21</v>
      </c>
      <c r="S60" s="184">
        <v>443.38</v>
      </c>
      <c r="T60" s="162"/>
      <c r="U60" s="162"/>
      <c r="V60" s="86"/>
    </row>
    <row r="61" spans="1:25" s="71" customFormat="1" ht="12.75" x14ac:dyDescent="0.2">
      <c r="A61" s="76"/>
      <c r="B61" s="170"/>
      <c r="C61" s="171" t="str">
        <f t="shared" si="2"/>
        <v xml:space="preserve"> </v>
      </c>
      <c r="D61" s="157">
        <v>7.6</v>
      </c>
      <c r="E61" s="190">
        <f t="shared" si="0"/>
        <v>191.94</v>
      </c>
      <c r="F61" s="175">
        <f t="shared" si="0"/>
        <v>234.09</v>
      </c>
      <c r="G61" s="173">
        <f t="shared" si="0"/>
        <v>276.24</v>
      </c>
      <c r="H61" s="174">
        <f t="shared" si="0"/>
        <v>342.89</v>
      </c>
      <c r="I61" s="173">
        <f t="shared" si="1"/>
        <v>291.70999999999998</v>
      </c>
      <c r="J61" s="175">
        <f t="shared" si="1"/>
        <v>380.7</v>
      </c>
      <c r="K61" s="175">
        <f t="shared" si="1"/>
        <v>458.3</v>
      </c>
      <c r="L61" s="182"/>
      <c r="M61" s="191">
        <v>191.94</v>
      </c>
      <c r="N61" s="179">
        <v>234.09</v>
      </c>
      <c r="O61" s="183">
        <v>276.24</v>
      </c>
      <c r="P61" s="178">
        <v>342.89</v>
      </c>
      <c r="Q61" s="183">
        <v>291.70999999999998</v>
      </c>
      <c r="R61" s="184">
        <v>380.7</v>
      </c>
      <c r="S61" s="184">
        <v>458.3</v>
      </c>
      <c r="T61" s="162"/>
      <c r="U61" s="162"/>
      <c r="V61" s="86"/>
    </row>
    <row r="62" spans="1:25" s="71" customFormat="1" ht="12.75" x14ac:dyDescent="0.2">
      <c r="A62" s="76"/>
      <c r="B62" s="170"/>
      <c r="C62" s="171" t="str">
        <f t="shared" si="2"/>
        <v xml:space="preserve"> </v>
      </c>
      <c r="D62" s="157">
        <v>8</v>
      </c>
      <c r="E62" s="190">
        <f t="shared" si="0"/>
        <v>198.06</v>
      </c>
      <c r="F62" s="175">
        <f t="shared" si="0"/>
        <v>241.43</v>
      </c>
      <c r="G62" s="173">
        <f t="shared" si="0"/>
        <v>284.8</v>
      </c>
      <c r="H62" s="174">
        <f t="shared" si="0"/>
        <v>353.39</v>
      </c>
      <c r="I62" s="173">
        <f t="shared" si="1"/>
        <v>300.58999999999997</v>
      </c>
      <c r="J62" s="175">
        <f t="shared" si="1"/>
        <v>392.19</v>
      </c>
      <c r="K62" s="175">
        <f t="shared" si="1"/>
        <v>473.22</v>
      </c>
      <c r="L62" s="162"/>
      <c r="M62" s="191">
        <v>198.06</v>
      </c>
      <c r="N62" s="184">
        <v>241.43</v>
      </c>
      <c r="O62" s="183">
        <v>284.8</v>
      </c>
      <c r="P62" s="178">
        <v>353.39</v>
      </c>
      <c r="Q62" s="183">
        <v>300.58999999999997</v>
      </c>
      <c r="R62" s="184">
        <v>392.19</v>
      </c>
      <c r="S62" s="184">
        <v>473.22</v>
      </c>
      <c r="T62" s="162"/>
      <c r="U62" s="162"/>
      <c r="V62" s="86"/>
    </row>
    <row r="63" spans="1:25" s="71" customFormat="1" ht="12.75" x14ac:dyDescent="0.2">
      <c r="A63" s="76"/>
      <c r="B63" s="170"/>
      <c r="C63" s="171" t="str">
        <f t="shared" si="2"/>
        <v xml:space="preserve"> </v>
      </c>
      <c r="D63" s="157">
        <v>8.4</v>
      </c>
      <c r="E63" s="190">
        <f t="shared" si="0"/>
        <v>204.19</v>
      </c>
      <c r="F63" s="175">
        <f t="shared" si="0"/>
        <v>248.77</v>
      </c>
      <c r="G63" s="173">
        <f t="shared" si="0"/>
        <v>293.35000000000002</v>
      </c>
      <c r="H63" s="174">
        <f t="shared" si="0"/>
        <v>363.89</v>
      </c>
      <c r="I63" s="173">
        <f t="shared" si="1"/>
        <v>309.47000000000003</v>
      </c>
      <c r="J63" s="175">
        <f t="shared" si="1"/>
        <v>403.69</v>
      </c>
      <c r="K63" s="175">
        <f t="shared" si="1"/>
        <v>488.14</v>
      </c>
      <c r="L63" s="182"/>
      <c r="M63" s="191">
        <v>204.19</v>
      </c>
      <c r="N63" s="184">
        <v>248.77</v>
      </c>
      <c r="O63" s="183">
        <v>293.35000000000002</v>
      </c>
      <c r="P63" s="178">
        <v>363.89</v>
      </c>
      <c r="Q63" s="183">
        <v>309.47000000000003</v>
      </c>
      <c r="R63" s="184">
        <v>403.69</v>
      </c>
      <c r="S63" s="184">
        <v>488.14</v>
      </c>
      <c r="T63" s="162"/>
      <c r="U63" s="162"/>
      <c r="V63" s="86"/>
    </row>
    <row r="64" spans="1:25" s="71" customFormat="1" ht="12.75" x14ac:dyDescent="0.2">
      <c r="A64" s="76"/>
      <c r="B64" s="170"/>
      <c r="C64" s="171" t="str">
        <f t="shared" si="2"/>
        <v xml:space="preserve"> </v>
      </c>
      <c r="D64" s="157">
        <v>8.8000000000000007</v>
      </c>
      <c r="E64" s="190">
        <f t="shared" si="0"/>
        <v>210.32</v>
      </c>
      <c r="F64" s="175">
        <f t="shared" si="0"/>
        <v>256.12</v>
      </c>
      <c r="G64" s="173">
        <f t="shared" si="0"/>
        <v>301.91000000000003</v>
      </c>
      <c r="H64" s="174">
        <f t="shared" si="0"/>
        <v>374.39</v>
      </c>
      <c r="I64" s="173">
        <f t="shared" si="1"/>
        <v>318.35000000000002</v>
      </c>
      <c r="J64" s="175">
        <f t="shared" si="1"/>
        <v>415.18</v>
      </c>
      <c r="K64" s="175">
        <f t="shared" si="1"/>
        <v>503.06</v>
      </c>
      <c r="L64" s="162"/>
      <c r="M64" s="191">
        <v>210.32</v>
      </c>
      <c r="N64" s="179">
        <v>256.12</v>
      </c>
      <c r="O64" s="183">
        <v>301.91000000000003</v>
      </c>
      <c r="P64" s="178">
        <v>374.39</v>
      </c>
      <c r="Q64" s="183">
        <v>318.35000000000002</v>
      </c>
      <c r="R64" s="184">
        <v>415.18</v>
      </c>
      <c r="S64" s="184">
        <v>503.06</v>
      </c>
      <c r="T64" s="162"/>
      <c r="U64" s="162"/>
      <c r="V64" s="86"/>
    </row>
    <row r="65" spans="1:24" s="71" customFormat="1" ht="12.75" x14ac:dyDescent="0.2">
      <c r="A65" s="76"/>
      <c r="B65" s="170"/>
      <c r="C65" s="171" t="str">
        <f t="shared" si="2"/>
        <v xml:space="preserve"> </v>
      </c>
      <c r="D65" s="157">
        <v>9.1999999999999993</v>
      </c>
      <c r="E65" s="190">
        <f t="shared" si="0"/>
        <v>216.45</v>
      </c>
      <c r="F65" s="175">
        <f t="shared" si="0"/>
        <v>263.45999999999998</v>
      </c>
      <c r="G65" s="173">
        <f t="shared" si="0"/>
        <v>310.47000000000003</v>
      </c>
      <c r="H65" s="174">
        <f t="shared" si="0"/>
        <v>384.89</v>
      </c>
      <c r="I65" s="173">
        <f t="shared" si="1"/>
        <v>327.23</v>
      </c>
      <c r="J65" s="175">
        <f t="shared" si="1"/>
        <v>426.67</v>
      </c>
      <c r="K65" s="175">
        <f t="shared" si="1"/>
        <v>517.98</v>
      </c>
      <c r="L65" s="182"/>
      <c r="M65" s="191">
        <v>216.45</v>
      </c>
      <c r="N65" s="184">
        <v>263.45999999999998</v>
      </c>
      <c r="O65" s="183">
        <v>310.47000000000003</v>
      </c>
      <c r="P65" s="178">
        <v>384.89</v>
      </c>
      <c r="Q65" s="183">
        <v>327.23</v>
      </c>
      <c r="R65" s="184">
        <v>426.67</v>
      </c>
      <c r="S65" s="184">
        <v>517.98</v>
      </c>
      <c r="T65" s="162"/>
      <c r="U65" s="162"/>
      <c r="V65" s="86"/>
    </row>
    <row r="66" spans="1:24" s="71" customFormat="1" ht="12.75" x14ac:dyDescent="0.2">
      <c r="A66" s="76"/>
      <c r="B66" s="170"/>
      <c r="C66" s="171" t="str">
        <f t="shared" si="2"/>
        <v xml:space="preserve"> </v>
      </c>
      <c r="D66" s="157">
        <v>9.6</v>
      </c>
      <c r="E66" s="190">
        <f t="shared" si="0"/>
        <v>222.58</v>
      </c>
      <c r="F66" s="175">
        <f t="shared" si="0"/>
        <v>270.8</v>
      </c>
      <c r="G66" s="173">
        <f t="shared" si="0"/>
        <v>319.02</v>
      </c>
      <c r="H66" s="174">
        <f t="shared" si="0"/>
        <v>395.39</v>
      </c>
      <c r="I66" s="173">
        <f t="shared" si="1"/>
        <v>336.11</v>
      </c>
      <c r="J66" s="175">
        <f t="shared" si="1"/>
        <v>438.16</v>
      </c>
      <c r="K66" s="175">
        <f t="shared" si="1"/>
        <v>532.9</v>
      </c>
      <c r="L66" s="162"/>
      <c r="M66" s="191">
        <v>222.58</v>
      </c>
      <c r="N66" s="184">
        <v>270.8</v>
      </c>
      <c r="O66" s="183">
        <v>319.02</v>
      </c>
      <c r="P66" s="178">
        <v>395.39</v>
      </c>
      <c r="Q66" s="183">
        <v>336.11</v>
      </c>
      <c r="R66" s="184">
        <v>438.16</v>
      </c>
      <c r="S66" s="184">
        <v>532.9</v>
      </c>
      <c r="T66" s="162"/>
      <c r="U66" s="162"/>
      <c r="V66" s="86"/>
    </row>
    <row r="67" spans="1:24" s="71" customFormat="1" ht="12.75" x14ac:dyDescent="0.2">
      <c r="A67" s="76"/>
      <c r="B67" s="170"/>
      <c r="C67" s="171" t="str">
        <f t="shared" si="2"/>
        <v xml:space="preserve"> </v>
      </c>
      <c r="D67" s="157">
        <v>10</v>
      </c>
      <c r="E67" s="190">
        <f t="shared" si="0"/>
        <v>228.71</v>
      </c>
      <c r="F67" s="175">
        <f t="shared" si="0"/>
        <v>278.14999999999998</v>
      </c>
      <c r="G67" s="173">
        <f t="shared" si="0"/>
        <v>327.58</v>
      </c>
      <c r="H67" s="174">
        <f t="shared" si="0"/>
        <v>405.89</v>
      </c>
      <c r="I67" s="173">
        <f t="shared" si="1"/>
        <v>344.96899999999999</v>
      </c>
      <c r="J67" s="175">
        <f t="shared" si="1"/>
        <v>449.66</v>
      </c>
      <c r="K67" s="175">
        <f t="shared" si="1"/>
        <v>547.82000000000005</v>
      </c>
      <c r="L67" s="182"/>
      <c r="M67" s="191">
        <v>228.71</v>
      </c>
      <c r="N67" s="179">
        <v>278.14999999999998</v>
      </c>
      <c r="O67" s="183">
        <v>327.58</v>
      </c>
      <c r="P67" s="178">
        <v>405.89</v>
      </c>
      <c r="Q67" s="183">
        <v>344.96899999999999</v>
      </c>
      <c r="R67" s="184">
        <v>449.66</v>
      </c>
      <c r="S67" s="184">
        <v>547.82000000000005</v>
      </c>
      <c r="T67" s="162"/>
      <c r="U67" s="162"/>
      <c r="V67" s="86"/>
    </row>
    <row r="68" spans="1:24" s="71" customFormat="1" ht="12.75" x14ac:dyDescent="0.2">
      <c r="A68" s="76"/>
      <c r="B68" s="170"/>
      <c r="C68" s="171" t="str">
        <f t="shared" si="2"/>
        <v xml:space="preserve"> </v>
      </c>
      <c r="D68" s="157">
        <v>10.4</v>
      </c>
      <c r="E68" s="190">
        <f t="shared" si="0"/>
        <v>234.84</v>
      </c>
      <c r="F68" s="175">
        <f t="shared" si="0"/>
        <v>285.49</v>
      </c>
      <c r="G68" s="173">
        <f t="shared" si="0"/>
        <v>336.14</v>
      </c>
      <c r="H68" s="174">
        <f t="shared" si="0"/>
        <v>416.4</v>
      </c>
      <c r="I68" s="173">
        <f t="shared" si="1"/>
        <v>353.87</v>
      </c>
      <c r="J68" s="175">
        <f t="shared" si="1"/>
        <v>461.15</v>
      </c>
      <c r="K68" s="175">
        <f t="shared" si="1"/>
        <v>562.74</v>
      </c>
      <c r="L68" s="162"/>
      <c r="M68" s="191">
        <v>234.84</v>
      </c>
      <c r="N68" s="184">
        <v>285.49</v>
      </c>
      <c r="O68" s="183">
        <v>336.14</v>
      </c>
      <c r="P68" s="178">
        <v>416.4</v>
      </c>
      <c r="Q68" s="183">
        <v>353.87</v>
      </c>
      <c r="R68" s="184">
        <v>461.15</v>
      </c>
      <c r="S68" s="184">
        <v>562.74</v>
      </c>
      <c r="T68" s="162"/>
      <c r="U68" s="162"/>
      <c r="V68" s="86"/>
    </row>
    <row r="69" spans="1:24" s="71" customFormat="1" ht="12.75" x14ac:dyDescent="0.2">
      <c r="A69" s="76"/>
      <c r="B69" s="170"/>
      <c r="C69" s="171"/>
      <c r="D69" s="157">
        <v>10.8</v>
      </c>
      <c r="E69" s="190">
        <f t="shared" si="0"/>
        <v>240.97</v>
      </c>
      <c r="F69" s="175">
        <f t="shared" si="0"/>
        <v>282.83</v>
      </c>
      <c r="G69" s="173">
        <f t="shared" si="0"/>
        <v>344.69</v>
      </c>
      <c r="H69" s="174">
        <f t="shared" si="0"/>
        <v>426.9</v>
      </c>
      <c r="I69" s="173">
        <f t="shared" si="1"/>
        <v>362.74</v>
      </c>
      <c r="J69" s="175">
        <f t="shared" si="1"/>
        <v>472.64</v>
      </c>
      <c r="K69" s="175">
        <f t="shared" si="1"/>
        <v>577.66</v>
      </c>
      <c r="L69" s="162"/>
      <c r="M69" s="191">
        <v>240.97</v>
      </c>
      <c r="N69" s="184">
        <v>282.83</v>
      </c>
      <c r="O69" s="183">
        <v>344.69</v>
      </c>
      <c r="P69" s="178">
        <v>426.9</v>
      </c>
      <c r="Q69" s="183">
        <v>362.74</v>
      </c>
      <c r="R69" s="184">
        <v>472.64</v>
      </c>
      <c r="S69" s="184">
        <v>577.66</v>
      </c>
      <c r="T69" s="162"/>
      <c r="U69" s="162"/>
      <c r="V69" s="86"/>
    </row>
    <row r="70" spans="1:24" s="71" customFormat="1" ht="12.75" x14ac:dyDescent="0.2">
      <c r="A70" s="76"/>
      <c r="B70" s="170"/>
      <c r="C70" s="171"/>
      <c r="D70" s="157">
        <v>11.2</v>
      </c>
      <c r="E70" s="190">
        <f t="shared" si="0"/>
        <v>247.1</v>
      </c>
      <c r="F70" s="175">
        <f t="shared" si="0"/>
        <v>300.17</v>
      </c>
      <c r="G70" s="173">
        <f t="shared" si="0"/>
        <v>353.25</v>
      </c>
      <c r="H70" s="174">
        <f t="shared" si="0"/>
        <v>437.4</v>
      </c>
      <c r="I70" s="173">
        <f t="shared" si="1"/>
        <v>371.62</v>
      </c>
      <c r="J70" s="175">
        <f t="shared" si="1"/>
        <v>484.14</v>
      </c>
      <c r="K70" s="175">
        <f t="shared" si="1"/>
        <v>592.58000000000004</v>
      </c>
      <c r="L70" s="162"/>
      <c r="M70" s="191">
        <v>247.1</v>
      </c>
      <c r="N70" s="184">
        <v>300.17</v>
      </c>
      <c r="O70" s="183">
        <v>353.25</v>
      </c>
      <c r="P70" s="178">
        <v>437.4</v>
      </c>
      <c r="Q70" s="183">
        <v>371.62</v>
      </c>
      <c r="R70" s="184">
        <v>484.14</v>
      </c>
      <c r="S70" s="184">
        <v>592.58000000000004</v>
      </c>
      <c r="T70" s="162"/>
      <c r="U70" s="162"/>
      <c r="V70" s="86"/>
    </row>
    <row r="71" spans="1:24" s="71" customFormat="1" ht="12.75" x14ac:dyDescent="0.2">
      <c r="A71" s="76"/>
      <c r="B71" s="170"/>
      <c r="C71" s="171"/>
      <c r="D71" s="157">
        <v>11.6</v>
      </c>
      <c r="E71" s="190">
        <f t="shared" si="0"/>
        <v>253.23</v>
      </c>
      <c r="F71" s="175">
        <f t="shared" si="0"/>
        <v>307.52</v>
      </c>
      <c r="G71" s="173">
        <f t="shared" si="0"/>
        <v>361.8</v>
      </c>
      <c r="H71" s="174">
        <f t="shared" si="0"/>
        <v>447.9</v>
      </c>
      <c r="I71" s="173">
        <f t="shared" si="1"/>
        <v>380.5</v>
      </c>
      <c r="J71" s="175">
        <f t="shared" si="1"/>
        <v>495.63</v>
      </c>
      <c r="K71" s="175">
        <f t="shared" si="1"/>
        <v>607.5</v>
      </c>
      <c r="L71" s="162"/>
      <c r="M71" s="191">
        <v>253.23</v>
      </c>
      <c r="N71" s="184">
        <v>307.52</v>
      </c>
      <c r="O71" s="183">
        <v>361.8</v>
      </c>
      <c r="P71" s="178">
        <v>447.9</v>
      </c>
      <c r="Q71" s="183">
        <v>380.5</v>
      </c>
      <c r="R71" s="184">
        <v>495.63</v>
      </c>
      <c r="S71" s="184">
        <v>607.5</v>
      </c>
      <c r="T71" s="162"/>
      <c r="U71" s="162"/>
      <c r="V71" s="86"/>
    </row>
    <row r="72" spans="1:24" s="71" customFormat="1" ht="12.75" x14ac:dyDescent="0.2">
      <c r="A72" s="76"/>
      <c r="B72" s="170"/>
      <c r="C72" s="171"/>
      <c r="D72" s="157">
        <v>12</v>
      </c>
      <c r="E72" s="190">
        <f t="shared" si="0"/>
        <v>259.36</v>
      </c>
      <c r="F72" s="175">
        <f t="shared" si="0"/>
        <v>314.86</v>
      </c>
      <c r="G72" s="173">
        <f t="shared" si="0"/>
        <v>370.36</v>
      </c>
      <c r="H72" s="174">
        <f t="shared" si="0"/>
        <v>458.4</v>
      </c>
      <c r="I72" s="173">
        <f t="shared" si="1"/>
        <v>389.38</v>
      </c>
      <c r="J72" s="175">
        <f t="shared" si="1"/>
        <v>507.12</v>
      </c>
      <c r="K72" s="175">
        <f t="shared" si="1"/>
        <v>622.41999999999996</v>
      </c>
      <c r="L72" s="162"/>
      <c r="M72" s="191">
        <v>259.36</v>
      </c>
      <c r="N72" s="184">
        <v>314.86</v>
      </c>
      <c r="O72" s="183">
        <v>370.36</v>
      </c>
      <c r="P72" s="178">
        <v>458.4</v>
      </c>
      <c r="Q72" s="183">
        <v>389.38</v>
      </c>
      <c r="R72" s="184">
        <v>507.12</v>
      </c>
      <c r="S72" s="184">
        <v>622.41999999999996</v>
      </c>
      <c r="T72" s="162"/>
      <c r="U72" s="162"/>
      <c r="V72" s="86"/>
    </row>
    <row r="73" spans="1:24" s="71" customFormat="1" ht="12.75" x14ac:dyDescent="0.2">
      <c r="A73" s="76"/>
      <c r="B73" s="170"/>
      <c r="C73" s="171" t="str">
        <f>IF(AND($B$6&gt;0,$B$6&gt;D68,$B$6&lt;=D73),"D"," ")</f>
        <v xml:space="preserve"> </v>
      </c>
      <c r="D73" s="157">
        <v>12.4</v>
      </c>
      <c r="E73" s="190">
        <f t="shared" si="0"/>
        <v>265.49</v>
      </c>
      <c r="F73" s="175">
        <f t="shared" si="0"/>
        <v>322.2</v>
      </c>
      <c r="G73" s="173">
        <f t="shared" si="0"/>
        <v>378.92</v>
      </c>
      <c r="H73" s="174">
        <f t="shared" si="0"/>
        <v>468.9</v>
      </c>
      <c r="I73" s="173">
        <f t="shared" si="1"/>
        <v>398.26</v>
      </c>
      <c r="J73" s="175">
        <f t="shared" si="1"/>
        <v>518.61</v>
      </c>
      <c r="K73" s="175">
        <f t="shared" si="1"/>
        <v>637.34</v>
      </c>
      <c r="L73" s="182"/>
      <c r="M73" s="191">
        <v>265.49</v>
      </c>
      <c r="N73" s="184">
        <v>322.2</v>
      </c>
      <c r="O73" s="183">
        <v>378.92</v>
      </c>
      <c r="P73" s="178">
        <v>468.9</v>
      </c>
      <c r="Q73" s="183">
        <v>398.26</v>
      </c>
      <c r="R73" s="184">
        <v>518.61</v>
      </c>
      <c r="S73" s="184">
        <v>637.34</v>
      </c>
      <c r="T73" s="162"/>
      <c r="U73" s="162"/>
      <c r="V73" s="86"/>
    </row>
    <row r="74" spans="1:24" s="71" customFormat="1" ht="12.75" x14ac:dyDescent="0.2">
      <c r="A74" s="76"/>
      <c r="B74" s="170"/>
      <c r="C74" s="171"/>
      <c r="D74" s="157">
        <v>12.8</v>
      </c>
      <c r="E74" s="190">
        <f t="shared" si="0"/>
        <v>271.62</v>
      </c>
      <c r="F74" s="175">
        <f t="shared" si="0"/>
        <v>329.55</v>
      </c>
      <c r="G74" s="173">
        <f t="shared" si="0"/>
        <v>387.47</v>
      </c>
      <c r="H74" s="174">
        <f t="shared" si="0"/>
        <v>479.4</v>
      </c>
      <c r="I74" s="173">
        <f t="shared" si="1"/>
        <v>407.14</v>
      </c>
      <c r="J74" s="175">
        <f t="shared" si="1"/>
        <v>530.11</v>
      </c>
      <c r="K74" s="175">
        <f t="shared" si="1"/>
        <v>652.26</v>
      </c>
      <c r="L74" s="182"/>
      <c r="M74" s="191">
        <v>271.62</v>
      </c>
      <c r="N74" s="184">
        <v>329.55</v>
      </c>
      <c r="O74" s="183">
        <v>387.47</v>
      </c>
      <c r="P74" s="178">
        <v>479.4</v>
      </c>
      <c r="Q74" s="183">
        <v>407.14</v>
      </c>
      <c r="R74" s="184">
        <v>530.11</v>
      </c>
      <c r="S74" s="184">
        <v>652.26</v>
      </c>
      <c r="T74" s="162"/>
      <c r="U74" s="162"/>
      <c r="V74" s="86"/>
    </row>
    <row r="75" spans="1:24" s="71" customFormat="1" ht="12.75" x14ac:dyDescent="0.2">
      <c r="A75" s="76"/>
      <c r="B75" s="193" t="s">
        <v>147</v>
      </c>
      <c r="C75" s="171" t="str">
        <f>IF(AND($B$6&gt;0,$B$6&gt;D73,$B$6&lt;=D75),"D"," ")</f>
        <v xml:space="preserve"> </v>
      </c>
      <c r="D75" s="157">
        <v>13.2</v>
      </c>
      <c r="E75" s="190">
        <f t="shared" si="0"/>
        <v>277.75</v>
      </c>
      <c r="F75" s="175">
        <f t="shared" si="0"/>
        <v>336.89</v>
      </c>
      <c r="G75" s="173">
        <f t="shared" si="0"/>
        <v>396.03</v>
      </c>
      <c r="H75" s="174">
        <f t="shared" si="0"/>
        <v>489.9</v>
      </c>
      <c r="I75" s="173">
        <f t="shared" si="1"/>
        <v>416.2</v>
      </c>
      <c r="J75" s="175">
        <f t="shared" si="1"/>
        <v>541.6</v>
      </c>
      <c r="K75" s="175">
        <f t="shared" si="1"/>
        <v>667.18</v>
      </c>
      <c r="L75" s="162"/>
      <c r="M75" s="191">
        <v>277.75</v>
      </c>
      <c r="N75" s="179">
        <v>336.89</v>
      </c>
      <c r="O75" s="183">
        <v>396.03</v>
      </c>
      <c r="P75" s="178">
        <v>489.9</v>
      </c>
      <c r="Q75" s="183">
        <v>416.2</v>
      </c>
      <c r="R75" s="184">
        <v>541.6</v>
      </c>
      <c r="S75" s="184">
        <v>667.18</v>
      </c>
      <c r="T75" s="162"/>
      <c r="U75" s="162"/>
      <c r="V75" s="86"/>
    </row>
    <row r="76" spans="1:24" s="71" customFormat="1" ht="12.75" x14ac:dyDescent="0.2">
      <c r="A76" s="76"/>
      <c r="B76" s="194"/>
      <c r="C76" s="194" t="str">
        <f>IF(AND($B$6&gt;0,$B$6&gt;D75,$B$6&lt;=D76),"D"," ")</f>
        <v xml:space="preserve"> </v>
      </c>
      <c r="D76" s="195"/>
      <c r="E76" s="196"/>
      <c r="F76" s="197"/>
      <c r="G76" s="198"/>
      <c r="H76" s="199"/>
      <c r="I76" s="198"/>
      <c r="J76" s="198"/>
      <c r="K76" s="197"/>
      <c r="L76" s="182"/>
      <c r="M76" s="196"/>
      <c r="N76" s="197"/>
      <c r="O76" s="198"/>
      <c r="P76" s="200"/>
      <c r="Q76" s="198"/>
      <c r="R76" s="197"/>
      <c r="S76" s="197"/>
      <c r="T76" s="162"/>
      <c r="U76" s="162"/>
      <c r="V76" s="86"/>
    </row>
    <row r="77" spans="1:24" s="71" customFormat="1" ht="12.75" x14ac:dyDescent="0.2">
      <c r="A77" s="76"/>
      <c r="B77" s="95"/>
      <c r="C77" s="201"/>
      <c r="D77" s="110" t="s">
        <v>147</v>
      </c>
      <c r="E77" s="895">
        <f t="shared" ref="E77:K77" si="4">VLOOKUP("V",$B$35:$U$76,E14,FALSE)</f>
        <v>277.75</v>
      </c>
      <c r="F77" s="896">
        <f t="shared" si="4"/>
        <v>336.89</v>
      </c>
      <c r="G77" s="895">
        <f t="shared" si="4"/>
        <v>396.03</v>
      </c>
      <c r="H77" s="897">
        <f t="shared" si="4"/>
        <v>489.9</v>
      </c>
      <c r="I77" s="898">
        <f t="shared" si="4"/>
        <v>416.2</v>
      </c>
      <c r="J77" s="895">
        <f t="shared" si="4"/>
        <v>541.6</v>
      </c>
      <c r="K77" s="895">
        <f t="shared" si="4"/>
        <v>667.18</v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86"/>
    </row>
    <row r="78" spans="1:24" s="71" customFormat="1" ht="12.75" x14ac:dyDescent="0.2">
      <c r="A78" s="76"/>
      <c r="B78" s="72"/>
      <c r="C78" s="203"/>
      <c r="D78" s="204" t="s">
        <v>148</v>
      </c>
      <c r="E78" s="895">
        <f t="shared" ref="E78:K78" si="5">IF($B$6&gt;0,VLOOKUP("D",$C$35:$U$76,E14-1,FALSE)," ")</f>
        <v>40.836860000000001</v>
      </c>
      <c r="F78" s="895">
        <f t="shared" si="5"/>
        <v>55.29</v>
      </c>
      <c r="G78" s="895">
        <f t="shared" si="5"/>
        <v>63.03</v>
      </c>
      <c r="H78" s="897">
        <f t="shared" si="5"/>
        <v>73.760000000000005</v>
      </c>
      <c r="I78" s="898">
        <f t="shared" si="5"/>
        <v>67.44</v>
      </c>
      <c r="J78" s="895">
        <f t="shared" si="5"/>
        <v>85.82</v>
      </c>
      <c r="K78" s="895">
        <f t="shared" si="5"/>
        <v>105.58</v>
      </c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86"/>
    </row>
    <row r="79" spans="1:24" s="71" customFormat="1" ht="12.75" x14ac:dyDescent="0.2">
      <c r="B79" s="72"/>
      <c r="C79" s="72"/>
      <c r="D79" s="80"/>
      <c r="E79" s="80"/>
      <c r="F79" s="80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X79" s="80"/>
    </row>
    <row r="80" spans="1:24" s="71" customFormat="1" ht="12.75" x14ac:dyDescent="0.2">
      <c r="B80" s="72"/>
      <c r="C80" s="72"/>
      <c r="M80" s="79"/>
      <c r="N80" s="73"/>
      <c r="O80" s="73"/>
      <c r="P80" s="73"/>
      <c r="Q80" s="73"/>
      <c r="R80" s="73"/>
      <c r="S80" s="73"/>
      <c r="T80" s="73"/>
      <c r="U80" s="73"/>
    </row>
    <row r="81" spans="1:21" s="71" customFormat="1" ht="12.75" x14ac:dyDescent="0.2">
      <c r="A81" s="71" t="s">
        <v>124</v>
      </c>
      <c r="B81" s="73" t="s">
        <v>147</v>
      </c>
      <c r="C81" s="890">
        <f>IF(SUM(E15:U15)&gt;0,HLOOKUP(1,E15:K78,63,FALSE))</f>
        <v>396.03</v>
      </c>
      <c r="M81" s="79"/>
      <c r="N81" s="73"/>
      <c r="O81" s="73"/>
      <c r="P81" s="73"/>
      <c r="Q81" s="73"/>
      <c r="R81" s="73"/>
      <c r="S81" s="73"/>
      <c r="T81" s="73"/>
      <c r="U81" s="73"/>
    </row>
    <row r="82" spans="1:21" s="71" customFormat="1" ht="12.75" x14ac:dyDescent="0.2">
      <c r="A82" s="71" t="s">
        <v>125</v>
      </c>
      <c r="B82" s="73" t="s">
        <v>148</v>
      </c>
      <c r="C82" s="890">
        <f>IF(SUM(E15:U15)&gt;0,HLOOKUP(1,E15:K78,64,FALSE))</f>
        <v>63.03</v>
      </c>
      <c r="M82" s="79"/>
      <c r="N82" s="73"/>
      <c r="O82" s="73"/>
      <c r="P82" s="73"/>
      <c r="Q82" s="73"/>
      <c r="R82" s="73"/>
      <c r="S82" s="73"/>
      <c r="T82" s="73"/>
      <c r="U82" s="73"/>
    </row>
    <row r="83" spans="1:21" s="71" customFormat="1" ht="12.75" x14ac:dyDescent="0.2">
      <c r="B83" s="72"/>
      <c r="C83" s="72"/>
      <c r="M83" s="79"/>
      <c r="N83" s="73"/>
      <c r="O83" s="73"/>
      <c r="P83" s="73"/>
      <c r="Q83" s="73"/>
      <c r="R83" s="73"/>
      <c r="S83" s="73"/>
      <c r="T83" s="73"/>
      <c r="U83" s="7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AA96-4E95-42CD-BCE7-989424E1C8AE}">
  <dimension ref="A1:D27"/>
  <sheetViews>
    <sheetView workbookViewId="0"/>
  </sheetViews>
  <sheetFormatPr defaultRowHeight="15" x14ac:dyDescent="0.25"/>
  <cols>
    <col min="2" max="2" customWidth="true" width="24.0"/>
    <col min="3" max="3" customWidth="true" width="47.85546875"/>
  </cols>
  <sheetData>
    <row r="1" spans="1:4" x14ac:dyDescent="0.25">
      <c r="A1" t="s">
        <v>1082</v>
      </c>
      <c r="B1" t="s">
        <v>1083</v>
      </c>
      <c r="C1" t="s">
        <v>1084</v>
      </c>
      <c r="D1" t="s">
        <v>1029</v>
      </c>
    </row>
    <row r="2" spans="1:4" ht="45" x14ac:dyDescent="0.25">
      <c r="A2">
        <v>1</v>
      </c>
      <c r="B2" t="s">
        <v>1085</v>
      </c>
      <c r="C2" s="1124" t="s">
        <v>1086</v>
      </c>
    </row>
    <row r="3" spans="1:4" x14ac:dyDescent="0.25">
      <c r="A3">
        <v>2</v>
      </c>
      <c r="B3" t="s">
        <v>1140</v>
      </c>
      <c r="C3" t="s">
        <v>1141</v>
      </c>
    </row>
    <row r="4" spans="1:4" x14ac:dyDescent="0.25">
      <c r="A4">
        <v>3</v>
      </c>
      <c r="B4" t="s">
        <v>1142</v>
      </c>
      <c r="C4" t="s">
        <v>1143</v>
      </c>
    </row>
    <row r="5" spans="1:4" x14ac:dyDescent="0.25">
      <c r="A5">
        <v>4</v>
      </c>
      <c r="B5" t="s">
        <v>1144</v>
      </c>
      <c r="C5" s="1124" t="s">
        <v>1153</v>
      </c>
    </row>
    <row r="6" spans="1:4" x14ac:dyDescent="0.25">
      <c r="A6">
        <v>5</v>
      </c>
      <c r="B6" t="s">
        <v>1145</v>
      </c>
      <c r="C6" s="1124" t="s">
        <v>1153</v>
      </c>
    </row>
    <row r="7" spans="1:4" ht="30" x14ac:dyDescent="0.25">
      <c r="A7">
        <v>6</v>
      </c>
      <c r="B7" t="s">
        <v>1154</v>
      </c>
      <c r="C7" s="1124" t="s">
        <v>1155</v>
      </c>
    </row>
    <row r="8" spans="1:4" x14ac:dyDescent="0.25">
      <c r="A8">
        <v>7</v>
      </c>
      <c r="B8" t="s">
        <v>1220</v>
      </c>
    </row>
    <row r="9" spans="1:4" x14ac:dyDescent="0.25">
      <c r="A9">
        <v>8</v>
      </c>
      <c r="B9" t="s">
        <v>1221</v>
      </c>
    </row>
    <row r="10" spans="1:4" x14ac:dyDescent="0.25">
      <c r="A10">
        <v>9</v>
      </c>
      <c r="B10" t="s">
        <v>1222</v>
      </c>
    </row>
    <row r="11" spans="1:4" x14ac:dyDescent="0.25">
      <c r="A11">
        <v>10</v>
      </c>
      <c r="B11" t="s">
        <v>1234</v>
      </c>
      <c r="C11" t="s">
        <v>1233</v>
      </c>
    </row>
    <row r="12" spans="1:4" x14ac:dyDescent="0.25">
      <c r="A12">
        <v>11</v>
      </c>
      <c r="B12" t="s">
        <v>1256</v>
      </c>
      <c r="C12" t="s">
        <v>1257</v>
      </c>
    </row>
    <row r="13" spans="1:4" x14ac:dyDescent="0.25">
      <c r="A13">
        <v>12</v>
      </c>
      <c r="B13" t="s">
        <v>1259</v>
      </c>
      <c r="C13" t="s">
        <v>1260</v>
      </c>
      <c r="D13" t="s">
        <v>1258</v>
      </c>
    </row>
    <row r="14" spans="1:4" x14ac:dyDescent="0.25">
      <c r="A14">
        <v>13</v>
      </c>
      <c r="B14" t="s">
        <v>1261</v>
      </c>
      <c r="C14" t="s">
        <v>1262</v>
      </c>
    </row>
    <row r="15" spans="1:4" x14ac:dyDescent="0.25">
      <c r="A15">
        <v>14</v>
      </c>
      <c r="B15" t="s">
        <v>1263</v>
      </c>
      <c r="C15" t="s">
        <v>1264</v>
      </c>
    </row>
    <row r="16" spans="1:4" x14ac:dyDescent="0.25">
      <c r="A16">
        <v>15</v>
      </c>
      <c r="B16" t="s">
        <v>1265</v>
      </c>
      <c r="C16" t="s">
        <v>1266</v>
      </c>
    </row>
    <row r="17" spans="1:3" x14ac:dyDescent="0.25">
      <c r="A17">
        <v>16</v>
      </c>
      <c r="B17">
        <v>471</v>
      </c>
      <c r="C17" t="s">
        <v>1267</v>
      </c>
    </row>
    <row r="18" spans="1:3" x14ac:dyDescent="0.25">
      <c r="A18">
        <v>17</v>
      </c>
      <c r="B18" t="s">
        <v>1256</v>
      </c>
      <c r="C18" t="s">
        <v>1277</v>
      </c>
    </row>
    <row r="19" spans="1:3" x14ac:dyDescent="0.25">
      <c r="A19">
        <v>18</v>
      </c>
      <c r="B19" t="s">
        <v>1278</v>
      </c>
      <c r="C19" t="s">
        <v>1279</v>
      </c>
    </row>
    <row r="20" spans="1:3" x14ac:dyDescent="0.25">
      <c r="A20">
        <v>19</v>
      </c>
      <c r="B20" t="s">
        <v>1280</v>
      </c>
      <c r="C20" t="s">
        <v>1281</v>
      </c>
    </row>
    <row r="21" spans="1:3" x14ac:dyDescent="0.25">
      <c r="A21">
        <v>20</v>
      </c>
      <c r="B21" t="s">
        <v>869</v>
      </c>
      <c r="C21" t="s">
        <v>1283</v>
      </c>
    </row>
    <row r="22" spans="1:3" x14ac:dyDescent="0.25">
      <c r="A22">
        <v>21</v>
      </c>
      <c r="B22" t="s">
        <v>1344</v>
      </c>
      <c r="C22" t="s">
        <v>1346</v>
      </c>
    </row>
    <row r="23" spans="1:3" x14ac:dyDescent="0.25">
      <c r="A23">
        <v>22</v>
      </c>
      <c r="B23" t="s">
        <v>1352</v>
      </c>
    </row>
    <row r="24" spans="1:3" x14ac:dyDescent="0.25">
      <c r="A24">
        <v>23</v>
      </c>
      <c r="B24" t="s">
        <v>1353</v>
      </c>
    </row>
    <row r="25" spans="1:3" x14ac:dyDescent="0.25">
      <c r="A25">
        <v>24</v>
      </c>
      <c r="B25" t="s">
        <v>1355</v>
      </c>
    </row>
    <row r="26" spans="1:3" x14ac:dyDescent="0.25">
      <c r="A26">
        <v>25</v>
      </c>
      <c r="B26" t="s">
        <v>1357</v>
      </c>
    </row>
    <row r="27" spans="1:3" x14ac:dyDescent="0.25">
      <c r="A27">
        <v>26</v>
      </c>
      <c r="B27" t="s">
        <v>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38</vt:i4>
      </vt:variant>
      <vt:variant>
        <vt:lpstr>Benoemde bereiken</vt:lpstr>
      </vt:variant>
      <vt:variant>
        <vt:i4>7</vt:i4>
      </vt:variant>
    </vt:vector>
  </HeadingPairs>
  <TitlesOfParts>
    <vt:vector size="45" baseType="lpstr">
      <vt:lpstr>BLO</vt:lpstr>
      <vt:lpstr>Mastersheet</vt:lpstr>
      <vt:lpstr>Digitaaldruk</vt:lpstr>
      <vt:lpstr>Plot</vt:lpstr>
      <vt:lpstr>Input</vt:lpstr>
      <vt:lpstr>Rekenblad</vt:lpstr>
      <vt:lpstr>Kwaliteit conversie</vt:lpstr>
      <vt:lpstr>Tarieven</vt:lpstr>
      <vt:lpstr>Prijs karton</vt:lpstr>
      <vt:lpstr>Marge tabel</vt:lpstr>
      <vt:lpstr>Pallet en transport</vt:lpstr>
      <vt:lpstr>Transport tarieven</vt:lpstr>
      <vt:lpstr>Versiebeheer</vt:lpstr>
      <vt:lpstr>Input (2)</vt:lpstr>
      <vt:lpstr>Rekenblad (2)</vt:lpstr>
      <vt:lpstr>Kwaliteit conversie (2)</vt:lpstr>
      <vt:lpstr>Tarieven (2)</vt:lpstr>
      <vt:lpstr>Prijs karton (2)</vt:lpstr>
      <vt:lpstr>Marge tabel (2)</vt:lpstr>
      <vt:lpstr>Pallet en transport (2)</vt:lpstr>
      <vt:lpstr>Transport tarieven (2)</vt:lpstr>
      <vt:lpstr>Input (3)</vt:lpstr>
      <vt:lpstr>Rekenblad (3)</vt:lpstr>
      <vt:lpstr>Kwaliteit conversie (3)</vt:lpstr>
      <vt:lpstr>Tarieven (3)</vt:lpstr>
      <vt:lpstr>Prijs karton (3)</vt:lpstr>
      <vt:lpstr>Marge tabel (3)</vt:lpstr>
      <vt:lpstr>Pallet en transport (3)</vt:lpstr>
      <vt:lpstr>Transport tarieven (3)</vt:lpstr>
      <vt:lpstr>Input (4)</vt:lpstr>
      <vt:lpstr>Rekenblad (4)</vt:lpstr>
      <vt:lpstr>Kwaliteit conversie (4)</vt:lpstr>
      <vt:lpstr>Tarieven (4)</vt:lpstr>
      <vt:lpstr>Prijs karton (4)</vt:lpstr>
      <vt:lpstr>Marge tabel (4)</vt:lpstr>
      <vt:lpstr>Pallet en transport (4)</vt:lpstr>
      <vt:lpstr>Transport tarieven (4)</vt:lpstr>
      <vt:lpstr>Logboek Jaap</vt:lpstr>
      <vt:lpstr>Plot!FEFCO_plot</vt:lpstr>
      <vt:lpstr>FEFCOGEENPRIJS</vt:lpstr>
      <vt:lpstr>Plot!Kwaliteit_plot</vt:lpstr>
      <vt:lpstr>Plot!Snelheid_plot</vt:lpstr>
      <vt:lpstr>Plot!Tape_aantal_plot</vt:lpstr>
      <vt:lpstr>Plot!Tape_prijs_plot</vt:lpstr>
      <vt:lpstr>Plot!Tapen_plot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2023-10-03T11:13:30Z</dcterms:created>
  <dc:creator>Remco Hoskens</dc:creator>
  <cp:lastModifiedBy>Jaap van der Heijden</cp:lastModifiedBy>
  <dcterms:modified xsi:type="dcterms:W3CDTF">2026-01-05T20:54:27Z</dcterms:modified>
</cp:coreProperties>
</file>