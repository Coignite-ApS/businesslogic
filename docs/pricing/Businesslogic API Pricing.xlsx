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51200" windowHeight="26400" tabRatio="600" firstSheet="0" activeTab="0" autoFilterDateGrouping="1"/>
  </bookViews>
  <sheets>
    <sheet name="Quote" sheetId="1" state="visible" r:id="rId1"/>
    <sheet name="Catalog" sheetId="2" state="visible" r:id="rId2"/>
    <sheet name="Currency" sheetId="3" state="visible" r:id="rId3"/>
    <sheet name="Scenarios" sheetId="4" state="visible" r:id="rId4"/>
    <sheet name="COGS (internal)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\€#,##0"/>
    <numFmt numFmtId="165" formatCode="\€#,##0.00"/>
    <numFmt numFmtId="166" formatCode="0.000"/>
    <numFmt numFmtId="167" formatCode="#,##0.00\ [$EUR]"/>
    <numFmt numFmtId="168" formatCode="#,##0\ [$EUR]"/>
    <numFmt numFmtId="169" formatCode="\$#,##0.00"/>
    <numFmt numFmtId="170" formatCode="0.0&quot;×&quot;"/>
    <numFmt numFmtId="171" formatCode="0.0000"/>
    <numFmt numFmtId="172" formatCode="\€#,##0.00000"/>
    <numFmt numFmtId="173" formatCode="\€#,##0.0000"/>
    <numFmt numFmtId="174" formatCode="#,##0.00\ &quot;EUR&quot;"/>
    <numFmt numFmtId="175" formatCode="€#,##0.00"/>
    <numFmt numFmtId="176" formatCode="€#,##0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i val="1"/>
      <color rgb="FF595959"/>
      <sz val="9"/>
    </font>
    <font>
      <name val="Calibri"/>
      <b val="1"/>
      <sz val="11"/>
    </font>
    <font>
      <name val="Calibri"/>
      <b val="1"/>
      <color rgb="FFFFFFFF"/>
      <sz val="16"/>
    </font>
    <font>
      <name val="Calibri"/>
      <b val="1"/>
      <sz val="10"/>
    </font>
    <font>
      <name val="Calibri"/>
      <b val="1"/>
      <color rgb="FFFFFFFF"/>
      <sz val="12"/>
    </font>
    <font>
      <name val="Calibri"/>
      <b val="1"/>
      <color rgb="FFFFFFFF"/>
      <sz val="14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2E7D32"/>
      </patternFill>
    </fill>
    <fill>
      <patternFill patternType="solid">
        <fgColor rgb="FFC00000"/>
      </patternFill>
    </fill>
    <fill>
      <patternFill patternType="solid">
        <fgColor rgb="FFFCE4D6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5" fillId="4" borderId="1" pivotButton="0" quotePrefix="0" xfId="0"/>
    <xf numFmtId="49" fontId="2" fillId="4" borderId="1" pivotButton="0" quotePrefix="0" xfId="0"/>
    <xf numFmtId="0" fontId="0" fillId="0" borderId="1" pivotButton="0" quotePrefix="0" xfId="0"/>
    <xf numFmtId="0" fontId="3" fillId="5" borderId="1" pivotButton="0" quotePrefix="0" xfId="0"/>
    <xf numFmtId="0" fontId="2" fillId="0" borderId="0" pivotButton="0" quotePrefix="0" xfId="0"/>
    <xf numFmtId="9" fontId="3" fillId="5" borderId="1" pivotButton="0" quotePrefix="0" xfId="0"/>
    <xf numFmtId="0" fontId="3" fillId="0" borderId="1" pivotButton="0" quotePrefix="0" xfId="0"/>
    <xf numFmtId="3" fontId="0" fillId="0" borderId="1" pivotButton="0" quotePrefix="0" xfId="0"/>
    <xf numFmtId="3" fontId="3" fillId="5" borderId="1" pivotButton="0" quotePrefix="0" xfId="0"/>
    <xf numFmtId="164" fontId="0" fillId="0" borderId="1" pivotButton="0" quotePrefix="0" xfId="0"/>
    <xf numFmtId="165" fontId="3" fillId="3" borderId="1" pivotButton="0" quotePrefix="0" xfId="0"/>
    <xf numFmtId="166" fontId="3" fillId="5" borderId="1" pivotButton="0" quotePrefix="0" xfId="0"/>
    <xf numFmtId="165" fontId="0" fillId="0" borderId="1" pivotButton="0" quotePrefix="0" xfId="0"/>
    <xf numFmtId="165" fontId="3" fillId="0" borderId="1" pivotButton="0" quotePrefix="0" xfId="0"/>
    <xf numFmtId="9" fontId="0" fillId="0" borderId="1" pivotButton="0" quotePrefix="0" xfId="0"/>
    <xf numFmtId="0" fontId="6" fillId="6" borderId="1" pivotButton="0" quotePrefix="0" xfId="0"/>
    <xf numFmtId="167" fontId="6" fillId="6" borderId="1" pivotButton="0" quotePrefix="0" xfId="0"/>
    <xf numFmtId="0" fontId="6" fillId="6" borderId="1" applyAlignment="1" pivotButton="0" quotePrefix="0" xfId="0">
      <alignment horizontal="left"/>
    </xf>
    <xf numFmtId="168" fontId="6" fillId="6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center"/>
    </xf>
    <xf numFmtId="169" fontId="0" fillId="0" borderId="1" pivotButton="0" quotePrefix="0" xfId="0"/>
    <xf numFmtId="170" fontId="0" fillId="0" borderId="1" pivotButton="0" quotePrefix="0" xfId="0"/>
    <xf numFmtId="171" fontId="0" fillId="0" borderId="1" pivotButton="0" quotePrefix="0" xfId="0"/>
    <xf numFmtId="171" fontId="3" fillId="3" borderId="1" pivotButton="0" quotePrefix="0" xfId="0"/>
    <xf numFmtId="0" fontId="3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0" fontId="0" fillId="0" borderId="0" pivotButton="0" quotePrefix="0" xfId="0"/>
    <xf numFmtId="9" fontId="0" fillId="0" borderId="0" pivotButton="0" quotePrefix="0" xfId="0"/>
    <xf numFmtId="174" fontId="3" fillId="3" borderId="1" pivotButton="0" quotePrefix="0" xfId="0"/>
    <xf numFmtId="0" fontId="3" fillId="0" borderId="1" applyAlignment="1" pivotButton="0" quotePrefix="0" xfId="0">
      <alignment horizontal="left"/>
    </xf>
    <xf numFmtId="0" fontId="5" fillId="4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8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0" fillId="0" borderId="6" pivotButton="0" quotePrefix="0" xfId="0"/>
    <xf numFmtId="175" fontId="0" fillId="0" borderId="6" pivotButton="0" quotePrefix="0" xfId="0"/>
    <xf numFmtId="176" fontId="0" fillId="0" borderId="6" pivotButton="0" quotePrefix="0" xfId="0"/>
    <xf numFmtId="9" fontId="0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tabSelected="1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5"/>
  <cols>
    <col width="36" customWidth="1" style="38" min="1" max="1"/>
    <col width="16" customWidth="1" style="38" min="2" max="2"/>
    <col width="12" customWidth="1" style="38" min="3" max="3"/>
    <col width="30" customWidth="1" style="38" min="4" max="4"/>
    <col width="18" customWidth="1" style="38" min="5" max="5"/>
    <col width="16" customWidth="1" style="38" min="6" max="6"/>
  </cols>
  <sheetData>
    <row r="1" ht="32" customHeight="1" s="38">
      <c r="A1" s="37" t="inlineStr">
        <is>
          <t>BusinessLogic — Pricing Quote (v2 modular)</t>
        </is>
      </c>
    </row>
    <row r="3">
      <c r="A3" s="34" t="inlineStr">
        <is>
          <t>Setting</t>
        </is>
      </c>
      <c r="B3" s="2">
        <f>B5</f>
        <v/>
      </c>
      <c r="C3" s="34" t="inlineStr">
        <is>
          <t>Notes</t>
        </is>
      </c>
    </row>
    <row r="4">
      <c r="A4" s="3" t="inlineStr">
        <is>
          <t>Quote prepared</t>
        </is>
      </c>
      <c r="B4" s="3" t="inlineStr">
        <is>
          <t>2026-04-17</t>
        </is>
      </c>
    </row>
    <row r="5">
      <c r="A5" s="3" t="inlineStr">
        <is>
          <t>Display currency</t>
        </is>
      </c>
      <c r="B5" s="4" t="inlineStr">
        <is>
          <t>EUR</t>
        </is>
      </c>
      <c r="C5" s="5" t="inlineStr">
        <is>
          <t>EUR / USD / DKK</t>
        </is>
      </c>
    </row>
    <row r="6">
      <c r="A6" s="3" t="inlineStr">
        <is>
          <t>Billing cycle</t>
        </is>
      </c>
      <c r="B6" s="4" t="inlineStr">
        <is>
          <t>Monthly</t>
        </is>
      </c>
      <c r="C6" s="5" t="inlineStr">
        <is>
          <t>Monthly / Annual</t>
        </is>
      </c>
    </row>
    <row r="7">
      <c r="A7" s="3" t="inlineStr">
        <is>
          <t>Annual discount</t>
        </is>
      </c>
      <c r="B7" s="6" t="n">
        <v>0.17</v>
      </c>
      <c r="C7" s="5" t="inlineStr">
        <is>
          <t>Default 17% (12 for 10)</t>
        </is>
      </c>
    </row>
    <row r="9">
      <c r="A9" s="34" t="inlineStr">
        <is>
          <t>CALCULATORS</t>
        </is>
      </c>
      <c r="B9" s="35" t="n"/>
      <c r="C9" s="35" t="n"/>
      <c r="D9" s="35" t="n"/>
      <c r="E9" s="35" t="n"/>
      <c r="F9" s="36" t="n"/>
    </row>
    <row r="10">
      <c r="A10" s="3" t="inlineStr">
        <is>
          <t>Tier</t>
        </is>
      </c>
      <c r="B10" s="4" t="inlineStr">
        <is>
          <t>Growth</t>
        </is>
      </c>
      <c r="C10" s="5" t="inlineStr">
        <is>
          <t>None / Starter / Growth / Scale</t>
        </is>
      </c>
      <c r="D10" s="7" t="inlineStr">
        <is>
          <t>Slots used</t>
        </is>
      </c>
      <c r="E10" s="8">
        <f>B11*1+B12*3+B13*8+B14*20</f>
        <v/>
      </c>
    </row>
    <row r="11">
      <c r="A11" s="3" t="inlineStr">
        <is>
          <t># XS calculators (1 slot each)</t>
        </is>
      </c>
      <c r="B11" s="9" t="n">
        <v>0</v>
      </c>
      <c r="D11" s="7" t="inlineStr">
        <is>
          <t>Tier slot allowance</t>
        </is>
      </c>
      <c r="E11" s="8">
        <f>SUMIFS(Catalog!D:D,Catalog!A:A,"Calculators",Catalog!B:B,B10)</f>
        <v/>
      </c>
    </row>
    <row r="12">
      <c r="A12" s="3" t="inlineStr">
        <is>
          <t># S calculators (3 slots each)</t>
        </is>
      </c>
      <c r="B12" s="9" t="n">
        <v>0</v>
      </c>
      <c r="D12" s="7" t="inlineStr">
        <is>
          <t>Tier request allowance</t>
        </is>
      </c>
      <c r="E12" s="8">
        <f>SUMIFS(Catalog!E:E,Catalog!A:A,"Calculators",Catalog!B:B,B10)</f>
        <v/>
      </c>
    </row>
    <row r="13">
      <c r="A13" s="3" t="inlineStr">
        <is>
          <t># M calculators (8 slots each)</t>
        </is>
      </c>
      <c r="B13" s="9" t="n">
        <v>0</v>
      </c>
      <c r="D13" s="7" t="inlineStr">
        <is>
          <t>Tier always-on allowance</t>
        </is>
      </c>
      <c r="E13" s="8">
        <f>SUMIFS(Catalog!F:F,Catalog!A:A,"Calculators",Catalog!B:B,B10)</f>
        <v/>
      </c>
    </row>
    <row r="14">
      <c r="A14" s="3" t="inlineStr">
        <is>
          <t># L calculators (20 slots each)</t>
        </is>
      </c>
      <c r="B14" s="9" t="n">
        <v>0</v>
      </c>
      <c r="D14" s="7" t="inlineStr">
        <is>
          <t>Tier base (EUR/mo)</t>
        </is>
      </c>
      <c r="E14" s="10">
        <f>SUMIFS(Catalog!C:C,Catalog!A:A,"Calculators",Catalog!B:B,B10)</f>
        <v/>
      </c>
    </row>
    <row r="15">
      <c r="A15" s="3" t="inlineStr">
        <is>
          <t>Always-on slots used</t>
        </is>
      </c>
      <c r="B15" s="9" t="n">
        <v>0</v>
      </c>
      <c r="D15" s="7" t="inlineStr">
        <is>
          <t>Slot overage</t>
        </is>
      </c>
      <c r="E15" s="8">
        <f>MAX(0,E10-E11)</f>
        <v/>
      </c>
    </row>
    <row r="16">
      <c r="A16" s="3" t="inlineStr">
        <is>
          <t>Monthly request volume</t>
        </is>
      </c>
      <c r="B16" s="9" t="n">
        <v>0</v>
      </c>
      <c r="D16" s="7" t="inlineStr">
        <is>
          <t>Request overage</t>
        </is>
      </c>
      <c r="E16" s="8">
        <f>MAX(0,B16-E12)</f>
        <v/>
      </c>
    </row>
    <row r="17">
      <c r="D17" s="7" t="inlineStr">
        <is>
          <t>Always-on overage</t>
        </is>
      </c>
      <c r="E17" s="8">
        <f>MAX(0,B15-E13)</f>
        <v/>
      </c>
    </row>
    <row r="18">
      <c r="D18" s="7" t="inlineStr">
        <is>
          <t>Slot packs (×25 @ €15)</t>
        </is>
      </c>
      <c r="E18" s="8">
        <f>IF(E15&gt;0,CEILING(E15/25,1),0)</f>
        <v/>
      </c>
    </row>
    <row r="19">
      <c r="D19" s="7" t="inlineStr">
        <is>
          <t>Always-on packs (×10 @ €25)</t>
        </is>
      </c>
      <c r="E19" s="8">
        <f>IF(E17&gt;0,CEILING(E17/10,1),0)</f>
        <v/>
      </c>
    </row>
    <row r="20">
      <c r="D20" s="7" t="inlineStr">
        <is>
          <t>Request packs (best fit)</t>
        </is>
      </c>
      <c r="E20" s="8">
        <f>IF(E16=0,0,IF(E16&gt;=1000000,CEILING(E16/1000000,1),CEILING(E16/100000,1)))</f>
        <v/>
      </c>
    </row>
    <row r="21">
      <c r="D21" s="34" t="inlineStr">
        <is>
          <t>Calculators subtotal (EUR/mo)</t>
        </is>
      </c>
      <c r="E21" s="11">
        <f>E14+E18*15+E19*25</f>
        <v/>
      </c>
    </row>
    <row r="23">
      <c r="A23" s="34" t="inlineStr">
        <is>
          <t>KNOWLEDGE BASE</t>
        </is>
      </c>
      <c r="B23" s="35" t="n"/>
      <c r="C23" s="35" t="n"/>
      <c r="D23" s="35" t="n"/>
      <c r="E23" s="35" t="n"/>
      <c r="F23" s="36" t="n"/>
    </row>
    <row r="24">
      <c r="A24" s="3" t="inlineStr">
        <is>
          <t>Tier</t>
        </is>
      </c>
      <c r="B24" s="4" t="inlineStr">
        <is>
          <t>None</t>
        </is>
      </c>
      <c r="C24" s="5" t="inlineStr">
        <is>
          <t>None / Starter / Growth / Scale</t>
        </is>
      </c>
      <c r="D24" s="7" t="inlineStr">
        <is>
          <t>Tier base (EUR/mo)</t>
        </is>
      </c>
      <c r="E24" s="10">
        <f>SUMIFS(Catalog!C:C,Catalog!A:A,"KB",Catalog!B:B,B24)</f>
        <v/>
      </c>
    </row>
    <row r="25">
      <c r="A25" s="3" t="inlineStr">
        <is>
          <t>KB storage used (MB)</t>
        </is>
      </c>
      <c r="B25" s="9" t="n">
        <v>0</v>
      </c>
      <c r="D25" s="7" t="inlineStr">
        <is>
          <t>Tier storage allowance (MB)</t>
        </is>
      </c>
      <c r="E25" s="8">
        <f>SUMIFS(Catalog!G:G,Catalog!A:A,"KB",Catalog!B:B,B24)</f>
        <v/>
      </c>
    </row>
    <row r="26">
      <c r="A26" s="3" t="inlineStr">
        <is>
          <t>Monthly Q&amp;A queries</t>
        </is>
      </c>
      <c r="B26" s="9" t="n">
        <v>0</v>
      </c>
      <c r="C26" s="5" t="inlineStr">
        <is>
          <t>Q&amp;A draws from AI Wallet — not billed here</t>
        </is>
      </c>
      <c r="D26" s="7" t="inlineStr">
        <is>
          <t>Storage overage (MB)</t>
        </is>
      </c>
      <c r="E26" s="8">
        <f>MAX(0,B25-E25)</f>
        <v/>
      </c>
    </row>
    <row r="27">
      <c r="D27" s="7" t="inlineStr">
        <is>
          <t>Storage packs (×1 GB @ €10)</t>
        </is>
      </c>
      <c r="E27" s="8">
        <f>IF(E26&gt;0,CEILING(E26/1024,1),0)</f>
        <v/>
      </c>
    </row>
    <row r="28">
      <c r="D28" s="34" t="inlineStr">
        <is>
          <t>KB subtotal (EUR/mo)</t>
        </is>
      </c>
      <c r="E28" s="11">
        <f>E24+E27*10</f>
        <v/>
      </c>
    </row>
    <row r="30">
      <c r="A30" s="34" t="inlineStr">
        <is>
          <t>FLOWS</t>
        </is>
      </c>
      <c r="B30" s="35" t="n"/>
      <c r="C30" s="35" t="n"/>
      <c r="D30" s="35" t="n"/>
      <c r="E30" s="35" t="n"/>
      <c r="F30" s="36" t="n"/>
    </row>
    <row r="31">
      <c r="A31" s="3" t="inlineStr">
        <is>
          <t>Tier</t>
        </is>
      </c>
      <c r="B31" s="4" t="inlineStr">
        <is>
          <t>None</t>
        </is>
      </c>
      <c r="C31" s="5" t="inlineStr">
        <is>
          <t>None / Starter / Growth / Scale</t>
        </is>
      </c>
      <c r="D31" s="7" t="inlineStr">
        <is>
          <t>Tier base (EUR/mo)</t>
        </is>
      </c>
      <c r="E31" s="10">
        <f>SUMIFS(Catalog!C:C,Catalog!A:A,"Flows",Catalog!B:B,B31)</f>
        <v/>
      </c>
    </row>
    <row r="32">
      <c r="A32" s="3" t="inlineStr">
        <is>
          <t>Monthly executions</t>
        </is>
      </c>
      <c r="B32" s="9" t="n">
        <v>0</v>
      </c>
      <c r="D32" s="7" t="inlineStr">
        <is>
          <t>Tier execution allowance</t>
        </is>
      </c>
      <c r="E32" s="8">
        <f>SUMIFS(Catalog!I:I,Catalog!A:A,"Flows",Catalog!B:B,B31)</f>
        <v/>
      </c>
    </row>
    <row r="33">
      <c r="D33" s="7" t="inlineStr">
        <is>
          <t>Execution overage</t>
        </is>
      </c>
      <c r="E33" s="8">
        <f>MAX(0,B32-E32)</f>
        <v/>
      </c>
    </row>
    <row r="34">
      <c r="D34" s="7" t="inlineStr">
        <is>
          <t>Execution packs (best fit)</t>
        </is>
      </c>
      <c r="E34" s="8">
        <f>IF(E33=0,0,IF(E33&gt;=50000,CEILING(E33/50000,1),CEILING(E33/5000,1)))</f>
        <v/>
      </c>
    </row>
    <row r="35">
      <c r="D35" s="34" t="inlineStr">
        <is>
          <t>Flows subtotal (EUR/mo)</t>
        </is>
      </c>
      <c r="E35" s="11">
        <f>E31</f>
        <v/>
      </c>
    </row>
    <row r="37">
      <c r="A37" s="34" t="inlineStr">
        <is>
          <t>AI WALLET (usage-based, EUR)</t>
        </is>
      </c>
      <c r="B37" s="35" t="n"/>
      <c r="C37" s="35" t="n"/>
      <c r="D37" s="35" t="n"/>
      <c r="E37" s="35" t="n"/>
      <c r="F37" s="36" t="n"/>
    </row>
    <row r="38">
      <c r="A38" s="5" t="inlineStr">
        <is>
          <t>Enter projected monthly token consumption per model. Wallet draws from top-ups (€20/€50/€200, 12-mo expiry).</t>
        </is>
      </c>
    </row>
    <row r="39">
      <c r="A39" s="34" t="inlineStr">
        <is>
          <t>Model</t>
        </is>
      </c>
      <c r="B39" s="34" t="inlineStr">
        <is>
          <t>Input M tok</t>
        </is>
      </c>
      <c r="C39" s="34" t="inlineStr">
        <is>
          <t>Output M tok</t>
        </is>
      </c>
      <c r="D39" s="34" t="inlineStr">
        <is>
          <t>EUR in/M</t>
        </is>
      </c>
      <c r="E39" s="34" t="inlineStr">
        <is>
          <t>EUR out/M</t>
        </is>
      </c>
      <c r="F39" s="34" t="inlineStr">
        <is>
          <t>EUR cost</t>
        </is>
      </c>
    </row>
    <row r="40">
      <c r="A40" s="3" t="inlineStr">
        <is>
          <t>Claude Haiku 4.5</t>
        </is>
      </c>
      <c r="B40" s="12" t="n">
        <v>0</v>
      </c>
      <c r="C40" s="12" t="n">
        <v>0</v>
      </c>
      <c r="D40" s="13">
        <f>VLOOKUP(A40,Catalog!A39:F42,2,FALSE)*VLOOKUP(A40,Catalog!A39:F42,4,FALSE)*Currency!$B$12</f>
        <v/>
      </c>
      <c r="E40" s="13">
        <f>VLOOKUP(A40,Catalog!A39:F42,3,FALSE)*VLOOKUP(A40,Catalog!A39:F42,4,FALSE)*Currency!$B$12</f>
        <v/>
      </c>
      <c r="F40" s="13">
        <f>B40*D40+C40*E40</f>
        <v/>
      </c>
    </row>
    <row r="41">
      <c r="A41" s="3" t="inlineStr">
        <is>
          <t>Claude Sonnet 4.6</t>
        </is>
      </c>
      <c r="B41" s="12" t="n">
        <v>0</v>
      </c>
      <c r="C41" s="12" t="n">
        <v>0</v>
      </c>
      <c r="D41" s="13">
        <f>VLOOKUP(A41,Catalog!A39:F42,2,FALSE)*VLOOKUP(A41,Catalog!A39:F42,4,FALSE)*Currency!$B$12</f>
        <v/>
      </c>
      <c r="E41" s="13">
        <f>VLOOKUP(A41,Catalog!A39:F42,3,FALSE)*VLOOKUP(A41,Catalog!A39:F42,4,FALSE)*Currency!$B$12</f>
        <v/>
      </c>
      <c r="F41" s="13">
        <f>B41*D41+C41*E41</f>
        <v/>
      </c>
    </row>
    <row r="42">
      <c r="A42" s="3" t="inlineStr">
        <is>
          <t>Claude Opus 4.7</t>
        </is>
      </c>
      <c r="B42" s="12" t="n">
        <v>0</v>
      </c>
      <c r="C42" s="12" t="n">
        <v>0</v>
      </c>
      <c r="D42" s="13">
        <f>VLOOKUP(A42,Catalog!A39:F42,2,FALSE)*VLOOKUP(A42,Catalog!A39:F42,4,FALSE)*Currency!$B$12</f>
        <v/>
      </c>
      <c r="E42" s="13">
        <f>VLOOKUP(A42,Catalog!A39:F42,3,FALSE)*VLOOKUP(A42,Catalog!A39:F42,4,FALSE)*Currency!$B$12</f>
        <v/>
      </c>
      <c r="F42" s="13">
        <f>B42*D42+C42*E42</f>
        <v/>
      </c>
    </row>
    <row r="43">
      <c r="A43" s="3" t="inlineStr">
        <is>
          <t>GPT-5 (est.)</t>
        </is>
      </c>
      <c r="B43" s="12" t="n">
        <v>0</v>
      </c>
      <c r="C43" s="12" t="n">
        <v>0</v>
      </c>
      <c r="D43" s="13">
        <f>VLOOKUP(A43,Catalog!A39:F42,2,FALSE)*VLOOKUP(A43,Catalog!A39:F42,4,FALSE)*Currency!$B$12</f>
        <v/>
      </c>
      <c r="E43" s="13">
        <f>VLOOKUP(A43,Catalog!A39:F42,3,FALSE)*VLOOKUP(A43,Catalog!A39:F42,4,FALSE)*Currency!$B$12</f>
        <v/>
      </c>
      <c r="F43" s="13">
        <f>B43*D43+C43*E43</f>
        <v/>
      </c>
    </row>
    <row r="44">
      <c r="E44" s="34" t="inlineStr">
        <is>
          <t>AI Wallet subtotal (EUR/mo)</t>
        </is>
      </c>
      <c r="F44" s="11">
        <f>SUM(F40:F43)</f>
        <v/>
      </c>
    </row>
    <row r="46">
      <c r="A46" s="34" t="inlineStr">
        <is>
          <t>TOTALS</t>
        </is>
      </c>
      <c r="B46" s="35" t="n"/>
      <c r="C46" s="35" t="n"/>
      <c r="D46" s="35" t="n"/>
      <c r="E46" s="35" t="n"/>
      <c r="F46" s="36" t="n"/>
    </row>
    <row r="47">
      <c r="A47" s="3" t="inlineStr">
        <is>
          <t>Calculators (EUR/mo)</t>
        </is>
      </c>
      <c r="B47" s="13">
        <f>E21</f>
        <v/>
      </c>
    </row>
    <row r="48">
      <c r="A48" s="3" t="inlineStr">
        <is>
          <t>Knowledge Base (EUR/mo)</t>
        </is>
      </c>
      <c r="B48" s="13">
        <f>E28</f>
        <v/>
      </c>
    </row>
    <row r="49">
      <c r="A49" s="3" t="inlineStr">
        <is>
          <t>Flows (EUR/mo)</t>
        </is>
      </c>
      <c r="B49" s="13">
        <f>E35</f>
        <v/>
      </c>
    </row>
    <row r="50">
      <c r="A50" s="3" t="inlineStr">
        <is>
          <t>AI Wallet (EUR/mo)</t>
        </is>
      </c>
      <c r="B50" s="13">
        <f>F44</f>
        <v/>
      </c>
    </row>
    <row r="52">
      <c r="A52" s="7" t="inlineStr">
        <is>
          <t>Subtotal monthly (EUR)</t>
        </is>
      </c>
      <c r="B52" s="14">
        <f>B47+B48+B49+B50</f>
        <v/>
      </c>
    </row>
    <row r="53">
      <c r="A53" s="3" t="inlineStr">
        <is>
          <t>Recurring monthly (excl. AI Wallet)</t>
        </is>
      </c>
      <c r="B53" s="13">
        <f>B47+B48+B49</f>
        <v/>
      </c>
    </row>
    <row r="54">
      <c r="A54" s="3" t="inlineStr">
        <is>
          <t>Annual discount applied</t>
        </is>
      </c>
      <c r="B54" s="15">
        <f>IF($B$6="Annual",B7,0)</f>
        <v/>
      </c>
    </row>
    <row r="55">
      <c r="A55" s="3" t="inlineStr">
        <is>
          <t>Effective monthly recurring (after discount)</t>
        </is>
      </c>
      <c r="B55" s="13">
        <f>B53*(1-B54)</f>
        <v/>
      </c>
    </row>
    <row r="57" ht="16" customHeight="1" s="38">
      <c r="A57" s="16" t="inlineStr">
        <is>
          <t>TOTAL MONTHLY</t>
        </is>
      </c>
      <c r="B57" s="17">
        <f>(B55+B50)*Currency!$B$8</f>
        <v/>
      </c>
      <c r="C57" s="18">
        <f>Quote!$B$5</f>
        <v/>
      </c>
    </row>
    <row r="58" ht="16" customHeight="1" s="38">
      <c r="A58" s="16" t="inlineStr">
        <is>
          <t>TOTAL ANNUAL (if billed annually)</t>
        </is>
      </c>
      <c r="B58" s="19">
        <f>B55*12*Currency!$B$8 + B50*12*Currency!$B$8</f>
        <v/>
      </c>
      <c r="C58" s="18">
        <f>Quote!$B$5</f>
        <v/>
      </c>
    </row>
    <row r="60">
      <c r="A60" s="5" t="inlineStr">
        <is>
          <t>Total monthly = recurring subscriptions + projected AI Wallet burn. One-time packs (below) are purchased as-needed with 12-mo expiry.</t>
        </is>
      </c>
    </row>
    <row r="62">
      <c r="A62" s="39" t="inlineStr">
        <is>
          <t>ONE-TIME PACKS NEEDED (12-month expiry — buy once, not monthly)</t>
        </is>
      </c>
    </row>
    <row r="63">
      <c r="A63" s="3" t="inlineStr">
        <is>
          <t>Calculator request packs (×100k @ €10 / ×1M @ €60)</t>
        </is>
      </c>
      <c r="B63" s="13">
        <f>IF(E16=0,0,IF(E16&gt;=1000000,E20*60,E20*10))</f>
        <v/>
      </c>
    </row>
    <row r="64">
      <c r="A64" s="3" t="inlineStr">
        <is>
          <t>Flow execution packs (×5k @ €15 / ×50k @ €100)</t>
        </is>
      </c>
      <c r="B64" s="13">
        <f>IF(E33=0,0,IF(E33&gt;=50000,E34*100,E34*15))</f>
        <v/>
      </c>
    </row>
    <row r="65">
      <c r="A65" s="3" t="inlineStr">
        <is>
          <t>AI Wallet top-up (recommended based on projected burn)</t>
        </is>
      </c>
      <c r="B65" s="13">
        <f>IF(F44=0,0,IF(F44&lt;=20,20,IF(F44&lt;=50,50,IF(F44&lt;=200,200,CEILING(F44/200,1)*200))))</f>
        <v/>
      </c>
    </row>
    <row r="66">
      <c r="A66" s="7" t="inlineStr">
        <is>
          <t>TOTAL ONE-TIME (setup / monthly top-up)</t>
        </is>
      </c>
      <c r="B66" s="32">
        <f>(B63+B64+B65)*Currency!$B$8</f>
        <v/>
      </c>
      <c r="C66" s="33">
        <f>Quote!$B$5</f>
        <v/>
      </c>
    </row>
  </sheetData>
  <mergeCells count="7">
    <mergeCell ref="A46:F46"/>
    <mergeCell ref="A1:F1"/>
    <mergeCell ref="A37:F37"/>
    <mergeCell ref="A9:F9"/>
    <mergeCell ref="A23:F23"/>
    <mergeCell ref="A62:F62"/>
    <mergeCell ref="A30:F30"/>
  </mergeCells>
  <dataValidations count="3">
    <dataValidation sqref="B5" showDropDown="0" showInputMessage="0" showErrorMessage="0" allowBlank="0" type="list">
      <formula1>"EUR,USD,DKK"</formula1>
    </dataValidation>
    <dataValidation sqref="B6" showDropDown="0" showInputMessage="0" showErrorMessage="0" allowBlank="0" type="list">
      <formula1>"Monthly,Annual"</formula1>
    </dataValidation>
    <dataValidation sqref="B10 B24 B31" showDropDown="0" showInputMessage="0" showErrorMessage="0" allowBlank="0" type="list">
      <formula1>"None,Starter,Growth,Scale"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8" customWidth="1" style="38" min="1" max="1"/>
    <col width="22" customWidth="1" style="38" min="2" max="2"/>
    <col width="16" customWidth="1" style="38" min="3" max="3"/>
    <col width="14" customWidth="1" style="38" min="4" max="4"/>
    <col width="18" customWidth="1" style="38" min="5" max="6"/>
    <col width="14" customWidth="1" style="38" min="7" max="7"/>
    <col width="18" customWidth="1" style="38" min="8" max="8"/>
    <col width="16" customWidth="1" style="38" min="9" max="10"/>
    <col width="36" customWidth="1" style="38" min="11" max="11"/>
  </cols>
  <sheetData>
    <row r="1">
      <c r="A1" s="20" t="inlineStr">
        <is>
          <t>Module</t>
        </is>
      </c>
      <c r="B1" s="20" t="inlineStr">
        <is>
          <t>Tier</t>
        </is>
      </c>
      <c r="C1" s="20" t="inlineStr">
        <is>
          <t>EUR / month</t>
        </is>
      </c>
      <c r="D1" s="20" t="inlineStr">
        <is>
          <t>Slots</t>
        </is>
      </c>
      <c r="E1" s="20" t="inlineStr">
        <is>
          <t>Requests / mo</t>
        </is>
      </c>
      <c r="F1" s="20" t="inlineStr">
        <is>
          <t>Always-on slots</t>
        </is>
      </c>
      <c r="G1" s="20" t="inlineStr">
        <is>
          <t>Storage MB</t>
        </is>
      </c>
      <c r="H1" s="20" t="inlineStr">
        <is>
          <t>Embed tokens (M)</t>
        </is>
      </c>
      <c r="I1" s="20" t="inlineStr">
        <is>
          <t>Executions / mo</t>
        </is>
      </c>
      <c r="J1" s="20" t="inlineStr">
        <is>
          <t>Concurrent runs</t>
        </is>
      </c>
      <c r="K1" s="20" t="inlineStr">
        <is>
          <t>Notes</t>
        </is>
      </c>
    </row>
    <row r="2">
      <c r="A2" s="3" t="inlineStr">
        <is>
          <t>Calculators</t>
        </is>
      </c>
      <c r="B2" s="3" t="inlineStr">
        <is>
          <t>None</t>
        </is>
      </c>
      <c r="C2" s="10" t="n">
        <v>0</v>
      </c>
      <c r="D2" s="8" t="n">
        <v>0</v>
      </c>
      <c r="E2" s="8" t="n">
        <v>0</v>
      </c>
      <c r="F2" s="8" t="n">
        <v>0</v>
      </c>
      <c r="G2" s="8" t="n"/>
      <c r="H2" s="3" t="n"/>
      <c r="I2" s="8" t="n"/>
      <c r="J2" s="3" t="n"/>
      <c r="K2" s="21" t="inlineStr">
        <is>
          <t>Module disabled</t>
        </is>
      </c>
    </row>
    <row r="3">
      <c r="A3" s="3" t="inlineStr">
        <is>
          <t>Calculators</t>
        </is>
      </c>
      <c r="B3" s="3" t="inlineStr">
        <is>
          <t>Starter</t>
        </is>
      </c>
      <c r="C3" s="10" t="n">
        <v>19</v>
      </c>
      <c r="D3" s="8" t="n">
        <v>10</v>
      </c>
      <c r="E3" s="8" t="n">
        <v>10000</v>
      </c>
      <c r="F3" s="8" t="n">
        <v>2</v>
      </c>
      <c r="G3" s="8" t="n"/>
      <c r="H3" s="3" t="n"/>
      <c r="I3" s="8" t="n"/>
      <c r="J3" s="3" t="n"/>
      <c r="K3" s="21" t="inlineStr">
        <is>
          <t>3 API keys, 5 users</t>
        </is>
      </c>
    </row>
    <row r="4">
      <c r="A4" s="3" t="inlineStr">
        <is>
          <t>Calculators</t>
        </is>
      </c>
      <c r="B4" s="3" t="inlineStr">
        <is>
          <t>Growth</t>
        </is>
      </c>
      <c r="C4" s="10" t="n">
        <v>79</v>
      </c>
      <c r="D4" s="8" t="n">
        <v>50</v>
      </c>
      <c r="E4" s="8" t="n">
        <v>100000</v>
      </c>
      <c r="F4" s="8" t="n">
        <v>10</v>
      </c>
      <c r="G4" s="8" t="n"/>
      <c r="H4" s="3" t="n"/>
      <c r="I4" s="8" t="n"/>
      <c r="J4" s="3" t="n"/>
      <c r="K4" s="21" t="inlineStr">
        <is>
          <t>10 keys, per-key sub-limits</t>
        </is>
      </c>
    </row>
    <row r="5">
      <c r="A5" s="3" t="inlineStr">
        <is>
          <t>Calculators</t>
        </is>
      </c>
      <c r="B5" s="3" t="inlineStr">
        <is>
          <t>Scale</t>
        </is>
      </c>
      <c r="C5" s="10" t="n">
        <v>299</v>
      </c>
      <c r="D5" s="8" t="n">
        <v>250</v>
      </c>
      <c r="E5" s="8" t="n">
        <v>1000000</v>
      </c>
      <c r="F5" s="8" t="n">
        <v>50</v>
      </c>
      <c r="G5" s="8" t="n"/>
      <c r="H5" s="3" t="n"/>
      <c r="I5" s="8" t="n"/>
      <c r="J5" s="3" t="n"/>
      <c r="K5" s="21" t="inlineStr">
        <is>
          <t>Unlimited keys, 99.95% SLA</t>
        </is>
      </c>
    </row>
    <row r="6">
      <c r="A6" s="3" t="inlineStr">
        <is>
          <t>KB</t>
        </is>
      </c>
      <c r="B6" s="3" t="inlineStr">
        <is>
          <t>None</t>
        </is>
      </c>
      <c r="C6" s="10" t="n">
        <v>0</v>
      </c>
      <c r="D6" s="8" t="n"/>
      <c r="E6" s="8" t="n"/>
      <c r="F6" s="8" t="n"/>
      <c r="G6" s="8" t="n">
        <v>0</v>
      </c>
      <c r="H6" s="3" t="n">
        <v>0</v>
      </c>
      <c r="I6" s="8" t="n"/>
      <c r="J6" s="3" t="n"/>
      <c r="K6" s="21" t="inlineStr">
        <is>
          <t>Module disabled</t>
        </is>
      </c>
    </row>
    <row r="7">
      <c r="A7" s="3" t="inlineStr">
        <is>
          <t>KB</t>
        </is>
      </c>
      <c r="B7" s="3" t="inlineStr">
        <is>
          <t>Starter</t>
        </is>
      </c>
      <c r="C7" s="10" t="n">
        <v>15</v>
      </c>
      <c r="D7" s="8" t="n"/>
      <c r="E7" s="8" t="n"/>
      <c r="F7" s="8" t="n"/>
      <c r="G7" s="8" t="n">
        <v>200</v>
      </c>
      <c r="H7" s="3" t="n">
        <v>1</v>
      </c>
      <c r="I7" s="8" t="n"/>
      <c r="J7" s="3" t="n"/>
      <c r="K7" s="21" t="inlineStr">
        <is>
          <t>50 docs included</t>
        </is>
      </c>
    </row>
    <row r="8">
      <c r="A8" s="3" t="inlineStr">
        <is>
          <t>KB</t>
        </is>
      </c>
      <c r="B8" s="3" t="inlineStr">
        <is>
          <t>Growth</t>
        </is>
      </c>
      <c r="C8" s="10" t="n">
        <v>49</v>
      </c>
      <c r="D8" s="8" t="n"/>
      <c r="E8" s="8" t="n"/>
      <c r="F8" s="8" t="n"/>
      <c r="G8" s="8" t="n">
        <v>2000</v>
      </c>
      <c r="H8" s="3" t="n">
        <v>10</v>
      </c>
      <c r="I8" s="8" t="n"/>
      <c r="J8" s="3" t="n"/>
      <c r="K8" s="21" t="inlineStr">
        <is>
          <t>500 docs included</t>
        </is>
      </c>
    </row>
    <row r="9">
      <c r="A9" s="3" t="inlineStr">
        <is>
          <t>KB</t>
        </is>
      </c>
      <c r="B9" s="3" t="inlineStr">
        <is>
          <t>Scale</t>
        </is>
      </c>
      <c r="C9" s="10" t="n">
        <v>199</v>
      </c>
      <c r="D9" s="8" t="n"/>
      <c r="E9" s="8" t="n"/>
      <c r="F9" s="8" t="n"/>
      <c r="G9" s="8" t="n">
        <v>20000</v>
      </c>
      <c r="H9" s="3" t="n">
        <v>100</v>
      </c>
      <c r="I9" s="8" t="n"/>
      <c r="J9" s="3" t="n"/>
      <c r="K9" s="21" t="inlineStr">
        <is>
          <t>5000 docs, audit log 1y</t>
        </is>
      </c>
    </row>
    <row r="10">
      <c r="A10" s="3" t="inlineStr">
        <is>
          <t>Flows</t>
        </is>
      </c>
      <c r="B10" s="3" t="inlineStr">
        <is>
          <t>None</t>
        </is>
      </c>
      <c r="C10" s="10" t="n">
        <v>0</v>
      </c>
      <c r="D10" s="8" t="n"/>
      <c r="E10" s="8" t="n"/>
      <c r="F10" s="8" t="n"/>
      <c r="G10" s="8" t="n"/>
      <c r="H10" s="3" t="n"/>
      <c r="I10" s="8" t="n">
        <v>0</v>
      </c>
      <c r="J10" s="3" t="n">
        <v>0</v>
      </c>
      <c r="K10" s="21" t="inlineStr">
        <is>
          <t>Module disabled</t>
        </is>
      </c>
    </row>
    <row r="11">
      <c r="A11" s="3" t="inlineStr">
        <is>
          <t>Flows</t>
        </is>
      </c>
      <c r="B11" s="3" t="inlineStr">
        <is>
          <t>Starter</t>
        </is>
      </c>
      <c r="C11" s="10" t="n">
        <v>19</v>
      </c>
      <c r="D11" s="8" t="n"/>
      <c r="E11" s="8" t="n"/>
      <c r="F11" s="8" t="n"/>
      <c r="G11" s="8" t="n"/>
      <c r="H11" s="3" t="n"/>
      <c r="I11" s="8" t="n">
        <v>1000</v>
      </c>
      <c r="J11" s="3" t="n">
        <v>2</v>
      </c>
      <c r="K11" s="21" t="inlineStr">
        <is>
          <t>20 steps/exec, 5 schedules</t>
        </is>
      </c>
    </row>
    <row r="12">
      <c r="A12" s="3" t="inlineStr">
        <is>
          <t>Flows</t>
        </is>
      </c>
      <c r="B12" s="3" t="inlineStr">
        <is>
          <t>Growth</t>
        </is>
      </c>
      <c r="C12" s="10" t="n">
        <v>59</v>
      </c>
      <c r="D12" s="8" t="n"/>
      <c r="E12" s="8" t="n"/>
      <c r="F12" s="8" t="n"/>
      <c r="G12" s="8" t="n"/>
      <c r="H12" s="3" t="n"/>
      <c r="I12" s="8" t="n">
        <v>10000</v>
      </c>
      <c r="J12" s="3" t="n">
        <v>10</v>
      </c>
      <c r="K12" s="21" t="inlineStr">
        <is>
          <t>50 steps/exec, 50 schedules</t>
        </is>
      </c>
    </row>
    <row r="13">
      <c r="A13" s="3" t="inlineStr">
        <is>
          <t>Flows</t>
        </is>
      </c>
      <c r="B13" s="3" t="inlineStr">
        <is>
          <t>Scale</t>
        </is>
      </c>
      <c r="C13" s="10" t="n">
        <v>249</v>
      </c>
      <c r="D13" s="8" t="n"/>
      <c r="E13" s="8" t="n"/>
      <c r="F13" s="8" t="n"/>
      <c r="G13" s="8" t="n"/>
      <c r="H13" s="3" t="n"/>
      <c r="I13" s="8" t="n">
        <v>100000</v>
      </c>
      <c r="J13" s="3" t="n">
        <v>50</v>
      </c>
      <c r="K13" s="21" t="inlineStr">
        <is>
          <t>200 steps/exec, unlimited</t>
        </is>
      </c>
    </row>
    <row r="16">
      <c r="A16" s="20" t="inlineStr">
        <is>
          <t>Size class</t>
        </is>
      </c>
      <c r="B16" s="20" t="inlineStr">
        <is>
          <t>Built RSS (MB)</t>
        </is>
      </c>
      <c r="C16" s="20" t="inlineStr">
        <is>
          <t>Sheets</t>
        </is>
      </c>
      <c r="D16" s="20" t="inlineStr">
        <is>
          <t>Formulas</t>
        </is>
      </c>
      <c r="E16" s="20" t="inlineStr">
        <is>
          <t>Slots</t>
        </is>
      </c>
    </row>
    <row r="17">
      <c r="A17" s="22" t="inlineStr">
        <is>
          <t>XS</t>
        </is>
      </c>
      <c r="B17" s="22" t="inlineStr">
        <is>
          <t>≤ 10</t>
        </is>
      </c>
      <c r="C17" s="22" t="inlineStr">
        <is>
          <t>≤ 5</t>
        </is>
      </c>
      <c r="D17" s="22" t="inlineStr">
        <is>
          <t>≤ 500</t>
        </is>
      </c>
      <c r="E17" s="22" t="n">
        <v>1</v>
      </c>
    </row>
    <row r="18">
      <c r="A18" s="22" t="inlineStr">
        <is>
          <t>S</t>
        </is>
      </c>
      <c r="B18" s="22" t="inlineStr">
        <is>
          <t>≤ 30</t>
        </is>
      </c>
      <c r="C18" s="22" t="inlineStr">
        <is>
          <t>≤ 15</t>
        </is>
      </c>
      <c r="D18" s="22" t="inlineStr">
        <is>
          <t>≤ 5,000</t>
        </is>
      </c>
      <c r="E18" s="22" t="n">
        <v>3</v>
      </c>
    </row>
    <row r="19">
      <c r="A19" s="22" t="inlineStr">
        <is>
          <t>M</t>
        </is>
      </c>
      <c r="B19" s="22" t="inlineStr">
        <is>
          <t>≤ 80</t>
        </is>
      </c>
      <c r="C19" s="22" t="inlineStr">
        <is>
          <t>≤ 30</t>
        </is>
      </c>
      <c r="D19" s="22" t="inlineStr">
        <is>
          <t>≤ 20,000</t>
        </is>
      </c>
      <c r="E19" s="22" t="n">
        <v>8</v>
      </c>
    </row>
    <row r="20">
      <c r="A20" s="22" t="inlineStr">
        <is>
          <t>L</t>
        </is>
      </c>
      <c r="B20" s="22" t="inlineStr">
        <is>
          <t>≤ 200</t>
        </is>
      </c>
      <c r="C20" s="22" t="inlineStr">
        <is>
          <t>≤ 60</t>
        </is>
      </c>
      <c r="D20" s="22" t="inlineStr">
        <is>
          <t>≤ 50,000</t>
        </is>
      </c>
      <c r="E20" s="22" t="n">
        <v>20</v>
      </c>
    </row>
    <row r="21">
      <c r="A21" s="22" t="inlineStr">
        <is>
          <t>XL</t>
        </is>
      </c>
      <c r="B21" s="22" t="inlineStr">
        <is>
          <t>&gt; 200</t>
        </is>
      </c>
      <c r="C21" s="22" t="inlineStr">
        <is>
          <t>&gt; 60</t>
        </is>
      </c>
      <c r="D21" s="22" t="inlineStr">
        <is>
          <t>&gt; 50,000</t>
        </is>
      </c>
      <c r="E21" s="22" t="inlineStr">
        <is>
          <t>Enterprise</t>
        </is>
      </c>
    </row>
    <row r="24">
      <c r="A24" s="20" t="inlineStr">
        <is>
          <t>Module</t>
        </is>
      </c>
      <c r="B24" s="20" t="inlineStr">
        <is>
          <t>Add-on key</t>
        </is>
      </c>
      <c r="C24" s="20" t="inlineStr">
        <is>
          <t>EUR</t>
        </is>
      </c>
      <c r="D24" s="20" t="inlineStr">
        <is>
          <t>Type</t>
        </is>
      </c>
      <c r="E24" s="20" t="inlineStr">
        <is>
          <t>Adds</t>
        </is>
      </c>
      <c r="F24" s="20" t="inlineStr">
        <is>
          <t>Expiry</t>
        </is>
      </c>
    </row>
    <row r="25">
      <c r="A25" s="3" t="inlineStr">
        <is>
          <t>Calculators</t>
        </is>
      </c>
      <c r="B25" s="3" t="inlineStr">
        <is>
          <t>calc_slots_25</t>
        </is>
      </c>
      <c r="C25" s="10" t="n">
        <v>15</v>
      </c>
      <c r="D25" s="3" t="inlineStr">
        <is>
          <t>recurring</t>
        </is>
      </c>
      <c r="E25" s="3" t="inlineStr">
        <is>
          <t>+25 slots</t>
        </is>
      </c>
      <c r="F25" s="3" t="inlineStr">
        <is>
          <t>Recurring</t>
        </is>
      </c>
    </row>
    <row r="26">
      <c r="A26" s="3" t="inlineStr">
        <is>
          <t>Calculators</t>
        </is>
      </c>
      <c r="B26" s="3" t="inlineStr">
        <is>
          <t>calc_alwayson_10</t>
        </is>
      </c>
      <c r="C26" s="10" t="n">
        <v>25</v>
      </c>
      <c r="D26" s="3" t="inlineStr">
        <is>
          <t>recurring</t>
        </is>
      </c>
      <c r="E26" s="3" t="inlineStr">
        <is>
          <t>+10 always-on slots</t>
        </is>
      </c>
      <c r="F26" s="3" t="inlineStr">
        <is>
          <t>Recurring</t>
        </is>
      </c>
    </row>
    <row r="27">
      <c r="A27" s="3" t="inlineStr">
        <is>
          <t>Calculators</t>
        </is>
      </c>
      <c r="B27" s="3" t="inlineStr">
        <is>
          <t>calc_requests_100k</t>
        </is>
      </c>
      <c r="C27" s="10" t="n">
        <v>10</v>
      </c>
      <c r="D27" s="3" t="inlineStr">
        <is>
          <t>one-time</t>
        </is>
      </c>
      <c r="E27" s="3" t="inlineStr">
        <is>
          <t>+100,000 requests</t>
        </is>
      </c>
      <c r="F27" s="3" t="inlineStr">
        <is>
          <t>12 months</t>
        </is>
      </c>
    </row>
    <row r="28">
      <c r="A28" s="3" t="inlineStr">
        <is>
          <t>Calculators</t>
        </is>
      </c>
      <c r="B28" s="3" t="inlineStr">
        <is>
          <t>calc_requests_1m</t>
        </is>
      </c>
      <c r="C28" s="10" t="n">
        <v>60</v>
      </c>
      <c r="D28" s="3" t="inlineStr">
        <is>
          <t>one-time</t>
        </is>
      </c>
      <c r="E28" s="3" t="inlineStr">
        <is>
          <t>+1,000,000 requests</t>
        </is>
      </c>
      <c r="F28" s="3" t="inlineStr">
        <is>
          <t>12 months</t>
        </is>
      </c>
    </row>
    <row r="29">
      <c r="A29" s="3" t="inlineStr">
        <is>
          <t>KB</t>
        </is>
      </c>
      <c r="B29" s="3" t="inlineStr">
        <is>
          <t>kb_storage_1gb</t>
        </is>
      </c>
      <c r="C29" s="10" t="n">
        <v>10</v>
      </c>
      <c r="D29" s="3" t="inlineStr">
        <is>
          <t>recurring</t>
        </is>
      </c>
      <c r="E29" s="3" t="inlineStr">
        <is>
          <t>+1 GB storage</t>
        </is>
      </c>
      <c r="F29" s="3" t="inlineStr">
        <is>
          <t>Recurring</t>
        </is>
      </c>
    </row>
    <row r="30">
      <c r="A30" s="3" t="inlineStr">
        <is>
          <t>KB</t>
        </is>
      </c>
      <c r="B30" s="3" t="inlineStr">
        <is>
          <t>kb_embed_10m</t>
        </is>
      </c>
      <c r="C30" s="10" t="n">
        <v>8</v>
      </c>
      <c r="D30" s="3" t="inlineStr">
        <is>
          <t>one-time</t>
        </is>
      </c>
      <c r="E30" s="3" t="inlineStr">
        <is>
          <t>+10M embed tokens</t>
        </is>
      </c>
      <c r="F30" s="3" t="inlineStr">
        <is>
          <t>12 months</t>
        </is>
      </c>
    </row>
    <row r="31">
      <c r="A31" s="3" t="inlineStr">
        <is>
          <t>Flows</t>
        </is>
      </c>
      <c r="B31" s="3" t="inlineStr">
        <is>
          <t>flows_exec_5k</t>
        </is>
      </c>
      <c r="C31" s="10" t="n">
        <v>15</v>
      </c>
      <c r="D31" s="3" t="inlineStr">
        <is>
          <t>one-time</t>
        </is>
      </c>
      <c r="E31" s="3" t="inlineStr">
        <is>
          <t>+5,000 executions</t>
        </is>
      </c>
      <c r="F31" s="3" t="inlineStr">
        <is>
          <t>12 months</t>
        </is>
      </c>
    </row>
    <row r="32">
      <c r="A32" s="3" t="inlineStr">
        <is>
          <t>Flows</t>
        </is>
      </c>
      <c r="B32" s="3" t="inlineStr">
        <is>
          <t>flows_exec_50k</t>
        </is>
      </c>
      <c r="C32" s="10" t="n">
        <v>100</v>
      </c>
      <c r="D32" s="3" t="inlineStr">
        <is>
          <t>one-time</t>
        </is>
      </c>
      <c r="E32" s="3" t="inlineStr">
        <is>
          <t>+50,000 executions</t>
        </is>
      </c>
      <c r="F32" s="3" t="inlineStr">
        <is>
          <t>12 months</t>
        </is>
      </c>
    </row>
    <row r="33">
      <c r="A33" s="3" t="inlineStr">
        <is>
          <t>AI Wallet</t>
        </is>
      </c>
      <c r="B33" s="3" t="inlineStr">
        <is>
          <t>wallet_topup_20</t>
        </is>
      </c>
      <c r="C33" s="10" t="n">
        <v>20</v>
      </c>
      <c r="D33" s="3" t="inlineStr">
        <is>
          <t>one-time</t>
        </is>
      </c>
      <c r="E33" s="3" t="inlineStr">
        <is>
          <t>€20 wallet credit</t>
        </is>
      </c>
      <c r="F33" s="3" t="inlineStr">
        <is>
          <t>12 months</t>
        </is>
      </c>
    </row>
    <row r="34">
      <c r="A34" s="3" t="inlineStr">
        <is>
          <t>AI Wallet</t>
        </is>
      </c>
      <c r="B34" s="3" t="inlineStr">
        <is>
          <t>wallet_topup_50</t>
        </is>
      </c>
      <c r="C34" s="10" t="n">
        <v>50</v>
      </c>
      <c r="D34" s="3" t="inlineStr">
        <is>
          <t>one-time</t>
        </is>
      </c>
      <c r="E34" s="3" t="inlineStr">
        <is>
          <t>€50 wallet credit</t>
        </is>
      </c>
      <c r="F34" s="3" t="inlineStr">
        <is>
          <t>12 months</t>
        </is>
      </c>
    </row>
    <row r="35">
      <c r="A35" s="3" t="inlineStr">
        <is>
          <t>AI Wallet</t>
        </is>
      </c>
      <c r="B35" s="3" t="inlineStr">
        <is>
          <t>wallet_topup_200</t>
        </is>
      </c>
      <c r="C35" s="10" t="n">
        <v>200</v>
      </c>
      <c r="D35" s="3" t="inlineStr">
        <is>
          <t>one-time</t>
        </is>
      </c>
      <c r="E35" s="3" t="inlineStr">
        <is>
          <t>€200 wallet credit</t>
        </is>
      </c>
      <c r="F35" s="3" t="inlineStr">
        <is>
          <t>12 months</t>
        </is>
      </c>
    </row>
    <row r="38">
      <c r="A38" s="20" t="inlineStr">
        <is>
          <t>Model</t>
        </is>
      </c>
      <c r="B38" s="20" t="inlineStr">
        <is>
          <t>Wholesale USD in / M tok</t>
        </is>
      </c>
      <c r="C38" s="20" t="inlineStr">
        <is>
          <t>Wholesale USD out / M tok</t>
        </is>
      </c>
      <c r="D38" s="20" t="inlineStr">
        <is>
          <t>Markup</t>
        </is>
      </c>
      <c r="E38" s="20" t="inlineStr">
        <is>
          <t>BL EUR in / M tok</t>
        </is>
      </c>
      <c r="F38" s="20" t="inlineStr">
        <is>
          <t>BL EUR out / M tok</t>
        </is>
      </c>
    </row>
    <row r="39">
      <c r="A39" s="3" t="inlineStr">
        <is>
          <t>Claude Haiku 4.5</t>
        </is>
      </c>
      <c r="B39" s="23" t="n">
        <v>1</v>
      </c>
      <c r="C39" s="23" t="n">
        <v>5</v>
      </c>
      <c r="D39" s="24" t="n">
        <v>1.5</v>
      </c>
      <c r="E39" s="13">
        <f>B39*D39*Currency!$B$12</f>
        <v/>
      </c>
      <c r="F39" s="13">
        <f>C39*D39*Currency!$B$12</f>
        <v/>
      </c>
    </row>
    <row r="40">
      <c r="A40" s="3" t="inlineStr">
        <is>
          <t>Claude Sonnet 4.6</t>
        </is>
      </c>
      <c r="B40" s="23" t="n">
        <v>3</v>
      </c>
      <c r="C40" s="23" t="n">
        <v>15</v>
      </c>
      <c r="D40" s="24" t="n">
        <v>1.5</v>
      </c>
      <c r="E40" s="13">
        <f>B40*D40*Currency!$B$12</f>
        <v/>
      </c>
      <c r="F40" s="13">
        <f>C40*D40*Currency!$B$12</f>
        <v/>
      </c>
    </row>
    <row r="41">
      <c r="A41" s="3" t="inlineStr">
        <is>
          <t>Claude Opus 4.7</t>
        </is>
      </c>
      <c r="B41" s="23" t="n">
        <v>15</v>
      </c>
      <c r="C41" s="23" t="n">
        <v>75</v>
      </c>
      <c r="D41" s="24" t="n">
        <v>1.5</v>
      </c>
      <c r="E41" s="13">
        <f>B41*D41*Currency!$B$12</f>
        <v/>
      </c>
      <c r="F41" s="13">
        <f>C41*D41*Currency!$B$12</f>
        <v/>
      </c>
    </row>
    <row r="42">
      <c r="A42" s="3" t="inlineStr">
        <is>
          <t>GPT-5 (est.)</t>
        </is>
      </c>
      <c r="B42" s="23" t="n">
        <v>5</v>
      </c>
      <c r="C42" s="23" t="n">
        <v>15</v>
      </c>
      <c r="D42" s="24" t="n">
        <v>1.5</v>
      </c>
      <c r="E42" s="13">
        <f>B42*D42*Currency!$B$12</f>
        <v/>
      </c>
      <c r="F42" s="13">
        <f>C42*D42*Currency!$B$12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10" defaultColWidth="8.83203125" defaultRowHeight="15"/>
  <cols>
    <col width="36" customWidth="1" style="38" min="1" max="1"/>
    <col width="18" customWidth="1" style="38" min="2" max="2"/>
    <col width="12" customWidth="1" style="38" min="3" max="3"/>
  </cols>
  <sheetData>
    <row r="1">
      <c r="A1" s="20" t="inlineStr">
        <is>
          <t>Currency</t>
        </is>
      </c>
      <c r="B1" s="20" t="inlineStr">
        <is>
          <t>Rate (1 EUR = ?)</t>
        </is>
      </c>
      <c r="C1" s="20" t="inlineStr">
        <is>
          <t>Symbol</t>
        </is>
      </c>
    </row>
    <row r="2">
      <c r="A2" s="3" t="inlineStr">
        <is>
          <t>EUR</t>
        </is>
      </c>
      <c r="B2" s="25" t="n">
        <v>1</v>
      </c>
      <c r="C2" s="3" t="inlineStr">
        <is>
          <t>€</t>
        </is>
      </c>
    </row>
    <row r="3">
      <c r="A3" s="3" t="inlineStr">
        <is>
          <t>USD</t>
        </is>
      </c>
      <c r="B3" s="25" t="n">
        <v>1.0865</v>
      </c>
      <c r="C3" s="3" t="inlineStr">
        <is>
          <t>$</t>
        </is>
      </c>
    </row>
    <row r="4">
      <c r="A4" s="3" t="inlineStr">
        <is>
          <t>DKK</t>
        </is>
      </c>
      <c r="B4" s="25" t="n">
        <v>7.46</v>
      </c>
      <c r="C4" s="3" t="inlineStr">
        <is>
          <t>kr</t>
        </is>
      </c>
    </row>
    <row r="6">
      <c r="A6" s="5" t="inlineStr">
        <is>
          <t>Last updated:</t>
        </is>
      </c>
      <c r="B6" s="5" t="inlineStr">
        <is>
          <t>2026-04-17</t>
        </is>
      </c>
    </row>
    <row r="8">
      <c r="A8" s="5" t="inlineStr">
        <is>
          <t>Selected currency rate (used in formulas):</t>
        </is>
      </c>
      <c r="B8" s="26">
        <f>VLOOKUP(Quote!$B$3,A2:B4,2,FALSE)</f>
        <v/>
      </c>
    </row>
    <row r="10">
      <c r="A10" s="5" t="inlineStr">
        <is>
          <t>AI Wallet rates use the EUR base rate (Currency!B3 above) — display rates are converted on the Quote sheet.</t>
        </is>
      </c>
    </row>
    <row r="12">
      <c r="A12" s="5" t="inlineStr">
        <is>
          <t>USD → EUR (AI wholesale)</t>
        </is>
      </c>
      <c r="B12" s="26" t="n">
        <v>0.92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10" defaultColWidth="8.83203125" defaultRowHeight="15"/>
  <cols>
    <col width="30" customWidth="1" style="38" min="1" max="1"/>
    <col width="12" customWidth="1" style="38" min="2" max="2"/>
    <col width="32" customWidth="1" style="38" min="3" max="3"/>
    <col width="18" customWidth="1" style="38" min="4" max="4"/>
    <col width="22" customWidth="1" style="38" min="5" max="6"/>
    <col width="14" customWidth="1" style="38" min="7" max="7"/>
  </cols>
  <sheetData>
    <row r="1" ht="28" customHeight="1" s="38">
      <c r="A1" s="40" t="inlineStr">
        <is>
          <t>Worked Examples — see businesslogic-api-pricing.md §11 for full descriptions</t>
        </is>
      </c>
    </row>
    <row r="3">
      <c r="A3" s="20" t="inlineStr">
        <is>
          <t>Scenario</t>
        </is>
      </c>
      <c r="B3" s="20" t="inlineStr">
        <is>
          <t>Calc tier</t>
        </is>
      </c>
      <c r="C3" s="20" t="inlineStr">
        <is>
          <t>Calc usage</t>
        </is>
      </c>
      <c r="D3" s="20" t="inlineStr">
        <is>
          <t>KB tier / GB</t>
        </is>
      </c>
      <c r="E3" s="20" t="inlineStr">
        <is>
          <t>Flows tier / exec</t>
        </is>
      </c>
      <c r="F3" s="20" t="inlineStr">
        <is>
          <t>AI Wallet projected</t>
        </is>
      </c>
      <c r="G3" s="20" t="inlineStr">
        <is>
          <t>Total EUR/mo</t>
        </is>
      </c>
    </row>
    <row r="4">
      <c r="A4" s="3" t="inlineStr">
        <is>
          <t>A — Solo consultant</t>
        </is>
      </c>
      <c r="B4" s="3" t="inlineStr">
        <is>
          <t>Starter</t>
        </is>
      </c>
      <c r="C4" s="3" t="inlineStr">
        <is>
          <t>1×M (8 slots), 3.5k req</t>
        </is>
      </c>
      <c r="D4" s="3" t="inlineStr">
        <is>
          <t>None</t>
        </is>
      </c>
      <c r="E4" s="3" t="inlineStr">
        <is>
          <t>None</t>
        </is>
      </c>
      <c r="F4" s="3" t="inlineStr">
        <is>
          <t>—</t>
        </is>
      </c>
      <c r="G4" s="3" t="inlineStr">
        <is>
          <t>€19</t>
        </is>
      </c>
    </row>
    <row r="5">
      <c r="A5" s="3" t="inlineStr">
        <is>
          <t>B — SMB calc + AI assistant</t>
        </is>
      </c>
      <c r="B5" s="3" t="inlineStr">
        <is>
          <t>Growth</t>
        </is>
      </c>
      <c r="C5" s="3" t="inlineStr">
        <is>
          <t>3 calcs (~18 slots), 45k req</t>
        </is>
      </c>
      <c r="D5" s="3" t="inlineStr">
        <is>
          <t>None</t>
        </is>
      </c>
      <c r="E5" s="3" t="inlineStr">
        <is>
          <t>None</t>
        </is>
      </c>
      <c r="F5" s="3" t="inlineStr">
        <is>
          <t>~€30</t>
        </is>
      </c>
      <c r="G5" s="3" t="inlineStr">
        <is>
          <t>~€109</t>
        </is>
      </c>
    </row>
    <row r="6">
      <c r="A6" s="3" t="inlineStr">
        <is>
          <t>C — KB-driven support team</t>
        </is>
      </c>
      <c r="B6" s="3" t="inlineStr">
        <is>
          <t>None</t>
        </is>
      </c>
      <c r="C6" s="3" t="inlineStr">
        <is>
          <t>—</t>
        </is>
      </c>
      <c r="D6" s="3" t="inlineStr">
        <is>
          <t>Growth/1.2GB</t>
        </is>
      </c>
      <c r="E6" s="3" t="inlineStr">
        <is>
          <t>None</t>
        </is>
      </c>
      <c r="F6" s="3" t="inlineStr">
        <is>
          <t>~€40</t>
        </is>
      </c>
      <c r="G6" s="3" t="inlineStr">
        <is>
          <t>~€89</t>
        </is>
      </c>
    </row>
    <row r="7">
      <c r="A7" s="3" t="inlineStr">
        <is>
          <t>D — Full platform user</t>
        </is>
      </c>
      <c r="B7" s="3" t="inlineStr">
        <is>
          <t>Scale</t>
        </is>
      </c>
      <c r="C7" s="3" t="inlineStr">
        <is>
          <t>60 slots, 700k req</t>
        </is>
      </c>
      <c r="D7" s="3" t="inlineStr">
        <is>
          <t>Growth/1.5GB</t>
        </is>
      </c>
      <c r="E7" s="3" t="inlineStr">
        <is>
          <t>Growth/4k exec</t>
        </is>
      </c>
      <c r="F7" s="3" t="inlineStr">
        <is>
          <t>~€130</t>
        </is>
      </c>
      <c r="G7" s="3" t="inlineStr">
        <is>
          <t>~€537</t>
        </is>
      </c>
    </row>
    <row r="8">
      <c r="A8" s="3" t="inlineStr">
        <is>
          <t>E — Large calc, always-on</t>
        </is>
      </c>
      <c r="B8" s="3" t="inlineStr">
        <is>
          <t>Growth</t>
        </is>
      </c>
      <c r="C8" s="3" t="inlineStr">
        <is>
          <t>1×L (20 slots) always-on (10 over)</t>
        </is>
      </c>
      <c r="D8" s="3" t="inlineStr">
        <is>
          <t>None</t>
        </is>
      </c>
      <c r="E8" s="3" t="inlineStr">
        <is>
          <t>None</t>
        </is>
      </c>
      <c r="F8" s="3" t="inlineStr">
        <is>
          <t>—</t>
        </is>
      </c>
      <c r="G8" s="3" t="inlineStr">
        <is>
          <t>€104</t>
        </is>
      </c>
    </row>
    <row r="10">
      <c r="A10" s="5" t="inlineStr">
        <is>
          <t>These are static reference scenarios. Use the Quote sheet to compute live.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10" defaultColWidth="8.83203125" defaultRowHeight="15"/>
  <cols>
    <col width="24" customWidth="1" style="38" min="1" max="1"/>
    <col width="18" customWidth="1" style="38" min="2" max="3"/>
    <col width="14" customWidth="1" style="38" min="4" max="4"/>
    <col width="16" customWidth="1" style="38" min="5" max="6"/>
    <col width="12" customWidth="1" style="38" min="7" max="7"/>
  </cols>
  <sheetData>
    <row r="1" ht="28" customHeight="1" s="38">
      <c r="A1" s="41" t="inlineStr">
        <is>
          <t>Internal COGS reference — do NOT show to customers</t>
        </is>
      </c>
    </row>
    <row r="3">
      <c r="A3" s="27" t="inlineStr">
        <is>
          <t>Hetzner CCX23 reference</t>
        </is>
      </c>
      <c r="B3" t="inlineStr">
        <is>
          <t>4 vCPU, 16 GB RAM, ≈ €30/mo</t>
        </is>
      </c>
    </row>
    <row r="4">
      <c r="A4" t="inlineStr">
        <is>
          <t>Memory cost per MB-month</t>
        </is>
      </c>
      <c r="B4" s="28">
        <f>30/16384</f>
        <v/>
      </c>
    </row>
    <row r="5">
      <c r="A5" t="inlineStr">
        <is>
          <t>CPU cost per CPU-hour</t>
        </is>
      </c>
      <c r="B5" s="29">
        <f>30/(4*730)</f>
        <v/>
      </c>
    </row>
    <row r="7">
      <c r="A7" s="20" t="inlineStr">
        <is>
          <t>Tier</t>
        </is>
      </c>
      <c r="B7" s="20" t="inlineStr">
        <is>
          <t>Memory cost (€)</t>
        </is>
      </c>
      <c r="C7" s="20" t="inlineStr">
        <is>
          <t>Compute cost (€)</t>
        </is>
      </c>
      <c r="D7" s="20" t="inlineStr">
        <is>
          <t>Misc (€)</t>
        </is>
      </c>
      <c r="E7" s="20" t="inlineStr">
        <is>
          <t>Est. COGS (€)</t>
        </is>
      </c>
      <c r="F7" s="20" t="inlineStr">
        <is>
          <t>Tier price (€)</t>
        </is>
      </c>
      <c r="G7" s="20" t="inlineStr">
        <is>
          <t>Margin %</t>
        </is>
      </c>
    </row>
    <row r="8">
      <c r="A8" s="42" t="inlineStr">
        <is>
          <t>Calc Starter</t>
        </is>
      </c>
      <c r="B8" s="43" t="n">
        <v>0.16</v>
      </c>
      <c r="C8" s="43" t="n">
        <v>0.1</v>
      </c>
      <c r="D8" s="43" t="n">
        <v>0.14</v>
      </c>
      <c r="E8" s="43">
        <f>B8+C8+D8</f>
        <v/>
      </c>
      <c r="F8" s="44" t="n">
        <v>19</v>
      </c>
      <c r="G8" s="45">
        <f>(F8-E8)/F8</f>
        <v/>
      </c>
    </row>
    <row r="9">
      <c r="A9" s="42" t="inlineStr">
        <is>
          <t>Calc Growth</t>
        </is>
      </c>
      <c r="B9" s="43" t="n">
        <v>0.8</v>
      </c>
      <c r="C9" s="43" t="n">
        <v>1.1</v>
      </c>
      <c r="D9" s="43" t="n">
        <v>0.2</v>
      </c>
      <c r="E9" s="43">
        <f>B9+C9+D9</f>
        <v/>
      </c>
      <c r="F9" s="44" t="n">
        <v>79</v>
      </c>
      <c r="G9" s="45">
        <f>(F9-E9)/F9</f>
        <v/>
      </c>
    </row>
    <row r="10">
      <c r="A10" s="42" t="inlineStr">
        <is>
          <t>Calc Scale</t>
        </is>
      </c>
      <c r="B10" s="43" t="n">
        <v>4.1</v>
      </c>
      <c r="C10" s="43" t="n">
        <v>5.5</v>
      </c>
      <c r="D10" s="43" t="n">
        <v>0.9</v>
      </c>
      <c r="E10" s="43">
        <f>B10+C10+D10</f>
        <v/>
      </c>
      <c r="F10" s="44" t="n">
        <v>299</v>
      </c>
      <c r="G10" s="45">
        <f>(F10-E10)/F10</f>
        <v/>
      </c>
    </row>
    <row r="11">
      <c r="A11" s="42" t="inlineStr">
        <is>
          <t>KB Starter</t>
        </is>
      </c>
      <c r="B11" s="43" t="n">
        <v>0.02</v>
      </c>
      <c r="C11" s="43" t="n">
        <v>0.1</v>
      </c>
      <c r="D11" s="43" t="n">
        <v>0.03</v>
      </c>
      <c r="E11" s="43">
        <f>B11+C11+D11</f>
        <v/>
      </c>
      <c r="F11" s="44" t="n">
        <v>15</v>
      </c>
      <c r="G11" s="45">
        <f>(F11-E11)/F11</f>
        <v/>
      </c>
    </row>
    <row r="12">
      <c r="A12" s="42" t="inlineStr">
        <is>
          <t>KB Growth</t>
        </is>
      </c>
      <c r="B12" s="43" t="n">
        <v>0.2</v>
      </c>
      <c r="C12" s="43" t="n">
        <v>1</v>
      </c>
      <c r="D12" s="43" t="n">
        <v>0.3</v>
      </c>
      <c r="E12" s="43">
        <f>B12+C12+D12</f>
        <v/>
      </c>
      <c r="F12" s="44" t="n">
        <v>49</v>
      </c>
      <c r="G12" s="45">
        <f>(F12-E12)/F12</f>
        <v/>
      </c>
    </row>
    <row r="13">
      <c r="A13" s="42" t="inlineStr">
        <is>
          <t>KB Scale</t>
        </is>
      </c>
      <c r="B13" s="43" t="n">
        <v>2</v>
      </c>
      <c r="C13" s="43" t="n">
        <v>10</v>
      </c>
      <c r="D13" s="43" t="n">
        <v>1</v>
      </c>
      <c r="E13" s="43">
        <f>B13+C13+D13</f>
        <v/>
      </c>
      <c r="F13" s="44" t="n">
        <v>199</v>
      </c>
      <c r="G13" s="45">
        <f>(F13-E13)/F13</f>
        <v/>
      </c>
    </row>
    <row r="14">
      <c r="A14" s="42" t="inlineStr">
        <is>
          <t>Flows Starter</t>
        </is>
      </c>
      <c r="B14" s="43" t="n">
        <v>0.05</v>
      </c>
      <c r="C14" s="43" t="n">
        <v>0.2</v>
      </c>
      <c r="D14" s="43" t="n">
        <v>0.05</v>
      </c>
      <c r="E14" s="43">
        <f>B14+C14+D14</f>
        <v/>
      </c>
      <c r="F14" s="44" t="n">
        <v>19</v>
      </c>
      <c r="G14" s="45">
        <f>(F14-E14)/F14</f>
        <v/>
      </c>
    </row>
    <row r="15">
      <c r="A15" s="42" t="inlineStr">
        <is>
          <t>Flows Growth</t>
        </is>
      </c>
      <c r="B15" s="43" t="n">
        <v>0.2</v>
      </c>
      <c r="C15" s="43" t="n">
        <v>1.1</v>
      </c>
      <c r="D15" s="43" t="n">
        <v>0.2</v>
      </c>
      <c r="E15" s="43">
        <f>B15+C15+D15</f>
        <v/>
      </c>
      <c r="F15" s="44" t="n">
        <v>59</v>
      </c>
      <c r="G15" s="45">
        <f>(F15-E15)/F15</f>
        <v/>
      </c>
    </row>
    <row r="16">
      <c r="A16" s="42" t="inlineStr">
        <is>
          <t>Flows Scale</t>
        </is>
      </c>
      <c r="B16" s="43" t="n">
        <v>2</v>
      </c>
      <c r="C16" s="43" t="n">
        <v>5.5</v>
      </c>
      <c r="D16" s="43" t="n">
        <v>0.5</v>
      </c>
      <c r="E16" s="43">
        <f>B16+C16+D16</f>
        <v/>
      </c>
      <c r="F16" s="44" t="n">
        <v>249</v>
      </c>
      <c r="G16" s="45">
        <f>(F16-E16)/F16</f>
        <v/>
      </c>
    </row>
    <row r="18">
      <c r="A18" s="27" t="inlineStr">
        <is>
          <t>AI Wallet</t>
        </is>
      </c>
    </row>
    <row r="19">
      <c r="A19" t="inlineStr">
        <is>
          <t>Markup factor</t>
        </is>
      </c>
      <c r="B19" s="30" t="n">
        <v>1.5</v>
      </c>
    </row>
    <row r="20">
      <c r="A20" t="inlineStr">
        <is>
          <t>Gross margin on AI Wallet revenue</t>
        </is>
      </c>
      <c r="B20" s="31">
        <f>(B19-1)/B19</f>
        <v/>
      </c>
    </row>
    <row r="21">
      <c r="A21" t="inlineStr">
        <is>
          <t>After overhead (~5% of revenue)</t>
        </is>
      </c>
      <c r="B21" s="31">
        <f>B20-0.05</f>
        <v/>
      </c>
    </row>
    <row r="23">
      <c r="A23" s="5" t="inlineStr">
        <is>
          <t>Healthy revenue mix target: AI Wallet 25–40% of total. Modules carry margin; AI carries engagement.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2026-04-17T20:16:56Z</dcterms:created>
  <dcterms:modified xsi:type="dcterms:W3CDTF">2026-04-17T21:44:34Z</dcterms:modified>
  <cp:lastModifiedBy>Danila Mouzytchenko</cp:lastModifiedBy>
</cp:coreProperties>
</file>