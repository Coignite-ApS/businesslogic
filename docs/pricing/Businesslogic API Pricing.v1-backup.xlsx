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ropsi/Downloads/"/>
    </mc:Choice>
  </mc:AlternateContent>
  <xr:revisionPtr revIDLastSave="0" documentId="8_{8E2DF7F7-6F9A-0948-979B-5854F9D91A37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Pricing" sheetId="1" r:id="rId1"/>
    <sheet name="Webservices" sheetId="2" r:id="rId2"/>
    <sheet name="Webservice calls" sheetId="3" r:id="rId3"/>
    <sheet name="Valuta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B17" i="3"/>
  <c r="B16" i="3"/>
  <c r="B15" i="3"/>
  <c r="I8" i="3"/>
  <c r="H8" i="3" s="1"/>
  <c r="F8" i="3"/>
  <c r="I7" i="3"/>
  <c r="H7" i="3" s="1"/>
  <c r="F7" i="3"/>
  <c r="D7" i="3"/>
  <c r="C7" i="3"/>
  <c r="I6" i="3"/>
  <c r="H6" i="3" s="1"/>
  <c r="F6" i="3"/>
  <c r="D6" i="3"/>
  <c r="C6" i="3"/>
  <c r="I5" i="3"/>
  <c r="H5" i="3" s="1"/>
  <c r="F5" i="3"/>
  <c r="D5" i="3"/>
  <c r="C5" i="3"/>
  <c r="I4" i="3"/>
  <c r="H4" i="3" s="1"/>
  <c r="F4" i="3"/>
  <c r="D4" i="3"/>
  <c r="C4" i="3"/>
  <c r="I3" i="3"/>
  <c r="H3" i="3" s="1"/>
  <c r="F3" i="3"/>
  <c r="D3" i="3"/>
  <c r="C3" i="3"/>
  <c r="I2" i="3"/>
  <c r="I10" i="3" s="1"/>
  <c r="F2" i="3"/>
  <c r="H8" i="2"/>
  <c r="I8" i="2" s="1"/>
  <c r="D8" i="2"/>
  <c r="C8" i="2"/>
  <c r="H7" i="2"/>
  <c r="I7" i="2" s="1"/>
  <c r="D7" i="2"/>
  <c r="C7" i="2"/>
  <c r="H6" i="2"/>
  <c r="I6" i="2" s="1"/>
  <c r="D6" i="2"/>
  <c r="C6" i="2"/>
  <c r="H5" i="2"/>
  <c r="I5" i="2" s="1"/>
  <c r="D5" i="2"/>
  <c r="C5" i="2"/>
  <c r="H4" i="2"/>
  <c r="I4" i="2" s="1"/>
  <c r="D4" i="2"/>
  <c r="C4" i="2"/>
  <c r="H3" i="2"/>
  <c r="D3" i="2"/>
  <c r="C3" i="2"/>
  <c r="H2" i="2"/>
  <c r="I2" i="2" s="1"/>
  <c r="H10" i="2" l="1"/>
  <c r="I3" i="2"/>
  <c r="I10" i="2" s="1"/>
  <c r="B8" i="1" s="1"/>
  <c r="B13" i="1" s="1"/>
  <c r="H2" i="3"/>
  <c r="H10" i="3" s="1"/>
  <c r="B9" i="1" s="1"/>
  <c r="B14" i="1" l="1"/>
  <c r="C14" i="1" s="1"/>
  <c r="C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0"/>
            <color rgb="FF000000"/>
            <rFont val="Calibri"/>
            <scheme val="minor"/>
          </rPr>
          <t>INPUT: Number of microservices to subscribe to. Tiered pricing applies (see 'Webservices' sheet): 1–4 = 20 DKK/unit, 5–24 = 19 DKK/unit, 25–49 = 18 DKK/unit, etc.</t>
        </r>
      </text>
    </comment>
    <comment ref="D3" authorId="0" shapeId="0" xr:uid="{00000000-0006-0000-0000-000002000000}">
      <text>
        <r>
          <rPr>
            <sz val="10"/>
            <color rgb="FF000000"/>
            <rFont val="Calibri"/>
            <scheme val="minor"/>
          </rPr>
          <t>INPUT: Discount applied when paying annually instead of monthly. Applied as: Monthly price × (1 - Yearly saving) × 12. Default = 15%.</t>
        </r>
      </text>
    </comment>
    <comment ref="E3" authorId="0" shapeId="0" xr:uid="{00000000-0006-0000-0000-000003000000}">
      <text>
        <r>
          <rPr>
            <sz val="10"/>
            <color rgb="FF000000"/>
            <rFont val="Calibri"/>
            <scheme val="minor"/>
          </rPr>
          <t>INPUT: Multiplier for on-premise server deployment vs. cloud hosting. 1000% = 10× the cloud price. This covers dedicated hardware, setup, and support costs. Review this value carefully before sharing with customers.</t>
        </r>
      </text>
    </comment>
    <comment ref="F3" authorId="0" shapeId="0" xr:uid="{00000000-0006-0000-0000-000004000000}">
      <text>
        <r>
          <rPr>
            <sz val="10"/>
            <color rgb="FF000000"/>
            <rFont val="Calibri"/>
            <scheme val="minor"/>
          </rPr>
          <t>INPUT: Output currency for all prices. Options: DKK, Euro, USD. Exchange rates are defined in the 'Valuta' sheet — update those rates periodically as they are hardcoded.</t>
        </r>
      </text>
    </comment>
    <comment ref="B4" authorId="0" shapeId="0" xr:uid="{00000000-0006-0000-0000-000005000000}">
      <text>
        <r>
          <rPr>
            <sz val="10"/>
            <color rgb="FF000000"/>
            <rFont val="Calibri"/>
            <scheme val="minor"/>
          </rPr>
          <t>INPUT: Estimated total monthly API calls. Tiered pricing applies (see 'Webservice calls' sheet): first 10K at 0.002 DKK/call, next 50K at 0.0015 DKK/call, etc. Prices are in DKK and converted via the Valuta sheet.</t>
        </r>
      </text>
    </comment>
    <comment ref="B8" authorId="0" shapeId="0" xr:uid="{00000000-0006-0000-0000-000006000000}">
      <text>
        <r>
          <rPr>
            <sz val="10"/>
            <color rgb="FF000000"/>
            <rFont val="Calibri"/>
            <scheme val="minor"/>
          </rPr>
          <t>CALC: Monthly cost for microservices in selected currency. Pulled from Webservices!I9 (sum of tiered microservice costs). Base prices are in DKK; converted using Valuta sheet.</t>
        </r>
      </text>
    </comment>
    <comment ref="B9" authorId="0" shapeId="0" xr:uid="{00000000-0006-0000-0000-000007000000}">
      <text>
        <r>
          <rPr>
            <sz val="10"/>
            <color rgb="FF000000"/>
            <rFont val="Calibri"/>
            <scheme val="minor"/>
          </rPr>
          <t>CALC: Monthly cost for API calls in selected currency. Pulled from 'Webservice calls'!H9 (sum of tiered call costs). Uses bracket/progressive pricing — each tier is charged at its own per-call rate.</t>
        </r>
      </text>
    </comment>
    <comment ref="B13" authorId="0" shapeId="0" xr:uid="{00000000-0006-0000-0000-000008000000}">
      <text>
        <r>
          <rPr>
            <sz val="10"/>
            <color rgb="FF000000"/>
            <rFont val="Calibri"/>
            <scheme val="minor"/>
          </rPr>
          <t>OUTPUT: Total monthly cloud-hosted price = Microservice cost + API call cost. Formula: ROUND(SUM(B8:B9))</t>
        </r>
      </text>
    </comment>
    <comment ref="C13" authorId="0" shapeId="0" xr:uid="{00000000-0006-0000-0000-000009000000}">
      <text>
        <r>
          <rPr>
            <sz val="10"/>
            <color rgb="FF000000"/>
            <rFont val="Calibri"/>
            <scheme val="minor"/>
          </rPr>
          <t>OUTPUT: Annual cloud price with yearly discount. Formula: ROUND(Monthly × (1 - Yearly saving%) × 12). Saves the customer the yearly saving% compared to paying monthly.</t>
        </r>
      </text>
    </comment>
    <comment ref="B14" authorId="0" shapeId="0" xr:uid="{00000000-0006-0000-0000-00000A000000}">
      <text>
        <r>
          <rPr>
            <sz val="10"/>
            <color rgb="FF000000"/>
            <rFont val="Calibri"/>
            <scheme val="minor"/>
          </rPr>
          <t>OUTPUT: Monthly price for on-premise server deployment. Formula: ROUND(Cloud monthly × Server price%). The Server price% multiplier (E3) accounts for dedicated infrastructure and support costs.</t>
        </r>
      </text>
    </comment>
    <comment ref="C14" authorId="0" shapeId="0" xr:uid="{00000000-0006-0000-0000-00000B000000}">
      <text>
        <r>
          <rPr>
            <sz val="10"/>
            <color rgb="FF000000"/>
            <rFont val="Calibri"/>
            <scheme val="minor"/>
          </rPr>
          <t>OUTPUT: Annual server price with yearly discount. Formula: ROUND(Server monthly × (1 - Yearly saving%) × 12).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FOR REFERENCE ONLY — not used in price calculation. Shows the % reduction in unit price compared to the previous tier (e.g. from 20 to 19 DKK = 5% step discount).</t>
        </r>
      </text>
    </comment>
    <comment ref="D1" authorId="0" shapeId="0" xr:uid="{00000000-0006-0000-0100-000002000000}">
      <text>
        <r>
          <rPr>
            <sz val="10"/>
            <color rgb="FF000000"/>
            <rFont val="Calibri"/>
            <scheme val="minor"/>
          </rPr>
          <t>FOR REFERENCE ONLY — not used in price calculation. Shows cumulative discount vs. the base (tier 1) price.</t>
        </r>
      </text>
    </comment>
    <comment ref="H1" authorId="0" shapeId="0" xr:uid="{00000000-0006-0000-0100-000003000000}">
      <text>
        <r>
          <rPr>
            <sz val="10"/>
            <color rgb="FF000000"/>
            <rFont val="Calibri"/>
            <scheme val="minor"/>
          </rPr>
          <t>CALC: How many of the user's microservices fall into this tier. Uses progressive/bracket logic — leftover units spill into the next tier. Row 10 shows the total (should equal Pricing!B3).</t>
        </r>
      </text>
    </comment>
    <comment ref="I1" authorId="0" shapeId="0" xr:uid="{00000000-0006-0000-0100-000004000000}">
      <text>
        <r>
          <rPr>
            <sz val="10"/>
            <color rgb="FF000000"/>
            <rFont val="Calibri"/>
            <scheme val="minor"/>
          </rPr>
          <t>CALC: Cost for this tier in the selected currency. Formula: Price/unit (DKK) × Units in tier × exchange rate. Row 10 = total — this is the value used in Pricing!B8.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0"/>
            <color rgb="FF000000"/>
            <rFont val="Calibri"/>
            <scheme val="minor"/>
          </rPr>
          <t>FOR REFERENCE ONLY — not used in price calculation. Shows the % reduction in per-call price vs. the previous tier.</t>
        </r>
      </text>
    </comment>
    <comment ref="D1" authorId="0" shapeId="0" xr:uid="{00000000-0006-0000-0200-000002000000}">
      <text>
        <r>
          <rPr>
            <sz val="10"/>
            <color rgb="FF000000"/>
            <rFont val="Calibri"/>
            <scheme val="minor"/>
          </rPr>
          <t>FOR REFERENCE ONLY — not used in price calculation. Shows cumulative discount vs. tier 1 (base) price.</t>
        </r>
      </text>
    </comment>
    <comment ref="F1" authorId="0" shapeId="0" xr:uid="{00000000-0006-0000-0200-000003000000}">
      <text>
        <r>
          <rPr>
            <sz val="10"/>
            <color rgb="FF000000"/>
            <rFont val="Calibri"/>
            <scheme val="minor"/>
          </rPr>
          <t>FOR REFERENCE ONLY — the hypothetical cost if a full tier's worth of calls were used at this tier's rate. Not directly used in final pricing (actual calls may partially fill a tier).</t>
        </r>
      </text>
    </comment>
    <comment ref="H1" authorId="0" shapeId="0" xr:uid="{00000000-0006-0000-0200-000004000000}">
      <text>
        <r>
          <rPr>
            <sz val="10"/>
            <color rgb="FF000000"/>
            <rFont val="Calibri"/>
            <scheme val="minor"/>
          </rPr>
          <t>CALC: Cost for this tier in the selected currency. Formula: Price/call (DKK) × Calls in tier × exchange rate. Row 10 = total — this is the value used in Pricing!B9.</t>
        </r>
      </text>
    </comment>
    <comment ref="I1" authorId="0" shapeId="0" xr:uid="{00000000-0006-0000-0200-000005000000}">
      <text>
        <r>
          <rPr>
            <sz val="10"/>
            <color rgb="FF000000"/>
            <rFont val="Calibri"/>
            <scheme val="minor"/>
          </rPr>
          <t>INTERMEDIATE CALC: Calls in this tier × currency exchange rate. Used to compute H (cost). The row 10 total (I10) is NOT a meaningful number — it is an artefact of the formula structure, not total calls.</t>
        </r>
      </text>
    </comment>
    <comment ref="B14" authorId="0" shapeId="0" xr:uid="{00000000-0006-0000-0200-000006000000}">
      <text>
        <r>
          <rPr>
            <sz val="10"/>
            <color rgb="FF000000"/>
            <rFont val="Calibri"/>
            <scheme val="minor"/>
          </rPr>
          <t>REFERENCE TABLE — for illustration only. Shows what 10,000 calls would cost (in DKK) if priced at each tier's rate. Hardcoded to A2 (10,000 calls) — does NOT respond to Pricing inputs.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0"/>
            <color rgb="FF000000"/>
            <rFont val="Calibri"/>
            <scheme val="minor"/>
          </rPr>
          <t>Exchange rates relative to DKK (1 DKK = ? currency). Row 1 = currency code (used by HLOOKUP in pricing sheets). Row 2 = exchange rate (hardcoded — update periodically). Row 3 = last updated date. Tip: you can use =GOOGLEFINANCE("CURRENCY:DKKUSD") to make rates live.</t>
        </r>
      </text>
    </comment>
    <comment ref="B2" authorId="0" shapeId="0" xr:uid="{00000000-0006-0000-0300-000002000000}">
      <text>
        <r>
          <rPr>
            <sz val="10"/>
            <color rgb="FF000000"/>
            <rFont val="Calibri"/>
            <scheme val="minor"/>
          </rPr>
          <t>1 DKK = 0.13 EUR (approx). Hardcoded — update when needed. To make live: =GOOGLEFINANCE("CURRENCY:DKKEUR")</t>
        </r>
      </text>
    </comment>
    <comment ref="C2" authorId="0" shapeId="0" xr:uid="{00000000-0006-0000-0300-000003000000}">
      <text>
        <r>
          <rPr>
            <sz val="10"/>
            <color rgb="FF000000"/>
            <rFont val="Calibri"/>
            <scheme val="minor"/>
          </rPr>
          <t>1 DKK = 0.14 USD (approx, updated Apr 2026). Hardcoded — update when needed. To make live: =GOOGLEFINANCE("CURRENCY:DKKUSD")</t>
        </r>
      </text>
    </comment>
  </commentList>
</comments>
</file>

<file path=xl/sharedStrings.xml><?xml version="1.0" encoding="utf-8"?>
<sst xmlns="http://schemas.openxmlformats.org/spreadsheetml/2006/main" count="24" uniqueCount="20">
  <si>
    <t>Package</t>
  </si>
  <si>
    <t>Yearly saving</t>
  </si>
  <si>
    <t>Server price</t>
  </si>
  <si>
    <t>Valuta</t>
  </si>
  <si>
    <t>Microservice</t>
  </si>
  <si>
    <t>USD</t>
  </si>
  <si>
    <t>Calls</t>
  </si>
  <si>
    <t>Prices</t>
  </si>
  <si>
    <t>Monthly</t>
  </si>
  <si>
    <t>Yearly</t>
  </si>
  <si>
    <t>Cloud price</t>
  </si>
  <si>
    <t xml:space="preserve">Tier max (units)	Price/unit (DKK)	Step discount	Cumul. discount	</t>
  </si>
  <si>
    <t>Units in tier	Cost (selected currency)</t>
  </si>
  <si>
    <t xml:space="preserve">Tier max (calls)	Price/call (DKK)	Step discount	Cumul. discount	</t>
  </si>
  <si>
    <t xml:space="preserve">Max cost if tier full (DKK)	</t>
  </si>
  <si>
    <t>Cost (selected currency)	Calls × rate (intermediate)</t>
  </si>
  <si>
    <t>Price for 10.000</t>
  </si>
  <si>
    <t>DKK</t>
  </si>
  <si>
    <t>Euro</t>
  </si>
  <si>
    <t>Last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</si>
</sst>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mmm\ yyyy"/>
  </numFmts>
  <fonts count="3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2" fontId="1" fillId="0" borderId="0" xfId="0" applyNumberFormat="1" applyFont="1"/>
    <xf numFmtId="4" fontId="1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190500</xdr:colOff>
      <xdr:row>3</xdr:row>
      <xdr:rowOff>127000</xdr:rowOff>
    </xdr:from>
    <xdr:to>
      <xdr:col>6</xdr:col>
      <xdr:colOff>190500</xdr:colOff>
      <xdr:row>9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49FEC0D1-B77A-BA45-3F7C-2C251EF98F3A}"/>
            </a:ext>
          </a:extLst>
        </xdr:cNvPr>
        <xdr:cNvSpPr txBox="1">
          <a:spLocks noChangeArrowheads="1"/>
        </xdr:cNvSpPr>
      </xdr:nvSpPr>
      <xdr:spPr bwMode="auto">
        <a:xfrm>
          <a:off x="2019300" y="698500"/>
          <a:ext cx="36576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190500</xdr:colOff>
      <xdr:row>4</xdr:row>
      <xdr:rowOff>127000</xdr:rowOff>
    </xdr:from>
    <xdr:to>
      <xdr:col>6</xdr:col>
      <xdr:colOff>190500</xdr:colOff>
      <xdr:row>10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415B339-1F54-269E-3EA5-A31A60CC0052}"/>
            </a:ext>
          </a:extLst>
        </xdr:cNvPr>
        <xdr:cNvSpPr txBox="1">
          <a:spLocks noChangeArrowheads="1"/>
        </xdr:cNvSpPr>
      </xdr:nvSpPr>
      <xdr:spPr bwMode="auto">
        <a:xfrm>
          <a:off x="2019300" y="889000"/>
          <a:ext cx="36576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190500</xdr:colOff>
      <xdr:row>3</xdr:row>
      <xdr:rowOff>127000</xdr:rowOff>
    </xdr:from>
    <xdr:to>
      <xdr:col>10</xdr:col>
      <xdr:colOff>190500</xdr:colOff>
      <xdr:row>9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34F77117-E4B9-B4C1-E06E-7A1852AC43D7}"/>
            </a:ext>
          </a:extLst>
        </xdr:cNvPr>
        <xdr:cNvSpPr txBox="1">
          <a:spLocks noChangeArrowheads="1"/>
        </xdr:cNvSpPr>
      </xdr:nvSpPr>
      <xdr:spPr bwMode="auto">
        <a:xfrm>
          <a:off x="5676900" y="698500"/>
          <a:ext cx="36576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B3" sqref="B3"/>
    </sheetView>
  </sheetViews>
  <sheetFormatPr baseColWidth="10" defaultColWidth="14.3984375" defaultRowHeight="15" customHeight="1" x14ac:dyDescent="0.2"/>
  <cols>
    <col min="1" max="6" width="14.3984375" customWidth="1"/>
  </cols>
  <sheetData>
    <row r="1" spans="1:6" ht="15.75" customHeight="1" x14ac:dyDescent="0.2"/>
    <row r="2" spans="1:6" ht="15.75" customHeight="1" x14ac:dyDescent="0.2">
      <c r="A2" s="1" t="s">
        <v>0</v>
      </c>
      <c r="D2" s="1" t="s">
        <v>1</v>
      </c>
      <c r="E2" s="1" t="s">
        <v>2</v>
      </c>
      <c r="F2" s="1" t="s">
        <v>3</v>
      </c>
    </row>
    <row r="3" spans="1:6" ht="15.75" customHeight="1" x14ac:dyDescent="0.2">
      <c r="A3" s="1" t="s">
        <v>4</v>
      </c>
      <c r="B3" s="2">
        <v>1</v>
      </c>
      <c r="D3" s="3">
        <v>0.15</v>
      </c>
      <c r="E3" s="3">
        <v>10</v>
      </c>
      <c r="F3" s="1" t="s">
        <v>5</v>
      </c>
    </row>
    <row r="4" spans="1:6" ht="15.75" customHeight="1" x14ac:dyDescent="0.2">
      <c r="A4" s="1" t="s">
        <v>6</v>
      </c>
      <c r="B4" s="2">
        <v>1000000</v>
      </c>
    </row>
    <row r="5" spans="1:6" ht="15.75" customHeight="1" x14ac:dyDescent="0.2"/>
    <row r="6" spans="1:6" ht="15.75" customHeight="1" x14ac:dyDescent="0.2"/>
    <row r="7" spans="1:6" ht="15.75" customHeight="1" x14ac:dyDescent="0.2">
      <c r="A7" s="4" t="s">
        <v>7</v>
      </c>
      <c r="B7" s="1"/>
      <c r="C7" s="1"/>
    </row>
    <row r="8" spans="1:6" ht="15.75" customHeight="1" x14ac:dyDescent="0.2">
      <c r="A8" s="1" t="s">
        <v>4</v>
      </c>
      <c r="B8" s="5">
        <f>Webservices!I10</f>
        <v>2.8000000000000003</v>
      </c>
    </row>
    <row r="9" spans="1:6" ht="15.75" customHeight="1" x14ac:dyDescent="0.2">
      <c r="A9" s="1" t="s">
        <v>6</v>
      </c>
      <c r="B9" s="5">
        <f>'Webservice calls'!H10</f>
        <v>97.860000000000014</v>
      </c>
    </row>
    <row r="10" spans="1:6" ht="15.75" customHeight="1" x14ac:dyDescent="0.2">
      <c r="B10" s="5"/>
    </row>
    <row r="11" spans="1:6" ht="15.75" customHeight="1" x14ac:dyDescent="0.2">
      <c r="B11" s="5"/>
    </row>
    <row r="12" spans="1:6" ht="15.75" customHeight="1" x14ac:dyDescent="0.2">
      <c r="B12" s="5" t="s">
        <v>8</v>
      </c>
      <c r="C12" s="1" t="s">
        <v>9</v>
      </c>
    </row>
    <row r="13" spans="1:6" ht="15.75" customHeight="1" x14ac:dyDescent="0.2">
      <c r="A13" s="4" t="s">
        <v>10</v>
      </c>
      <c r="B13" s="5">
        <f>ROUND(SUM(B8:B9),0)</f>
        <v>101</v>
      </c>
      <c r="C13" s="6">
        <f t="shared" ref="C13:C14" si="0">ROUND(B13*(100%-$D$3)*12,0)</f>
        <v>1030</v>
      </c>
    </row>
    <row r="14" spans="1:6" ht="15.75" customHeight="1" x14ac:dyDescent="0.2">
      <c r="A14" s="4" t="s">
        <v>2</v>
      </c>
      <c r="B14" s="6">
        <f>ROUND(B13*E3,0)</f>
        <v>1010</v>
      </c>
      <c r="C14" s="6">
        <f t="shared" si="0"/>
        <v>10302</v>
      </c>
    </row>
    <row r="15" spans="1:6" ht="15.75" customHeight="1" x14ac:dyDescent="0.2"/>
    <row r="16" spans="1:6" ht="15.75" customHeight="1" x14ac:dyDescent="0.2"/>
    <row r="17" spans="1:7" ht="15.75" customHeight="1" x14ac:dyDescent="0.2"/>
    <row r="18" spans="1:7" ht="15.75" customHeight="1" x14ac:dyDescent="0.2">
      <c r="G18" s="1"/>
    </row>
    <row r="19" spans="1:7" ht="15.75" customHeight="1" x14ac:dyDescent="0.2"/>
    <row r="20" spans="1:7" ht="15.75" customHeight="1" x14ac:dyDescent="0.2">
      <c r="A20" s="1"/>
    </row>
    <row r="21" spans="1:7" ht="15.75" customHeight="1" x14ac:dyDescent="0.2">
      <c r="A21" s="2"/>
      <c r="B21" s="6"/>
      <c r="C21" s="6"/>
      <c r="D21" s="3"/>
    </row>
    <row r="22" spans="1:7" ht="15.75" customHeight="1" x14ac:dyDescent="0.2">
      <c r="A22" s="2"/>
      <c r="B22" s="6"/>
      <c r="C22" s="6"/>
      <c r="D22" s="3"/>
    </row>
    <row r="23" spans="1:7" ht="15.75" customHeight="1" x14ac:dyDescent="0.2">
      <c r="A23" s="2"/>
      <c r="B23" s="6"/>
      <c r="C23" s="6"/>
      <c r="D23" s="3"/>
    </row>
    <row r="24" spans="1:7" ht="15.75" customHeight="1" x14ac:dyDescent="0.2">
      <c r="A24" s="2"/>
      <c r="B24" s="6"/>
      <c r="C24" s="6"/>
      <c r="D24" s="3"/>
    </row>
    <row r="25" spans="1:7" ht="15.75" customHeight="1" x14ac:dyDescent="0.2">
      <c r="A25" s="2"/>
      <c r="B25" s="6"/>
      <c r="C25" s="6"/>
      <c r="D25" s="3"/>
    </row>
    <row r="26" spans="1:7" ht="15.75" customHeight="1" x14ac:dyDescent="0.2">
      <c r="A26" s="2"/>
      <c r="B26" s="6"/>
      <c r="C26" s="6"/>
      <c r="D26" s="3"/>
    </row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Valuta!$1:$1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/>
  </sheetViews>
  <sheetFormatPr baseColWidth="10" defaultColWidth="14.3984375" defaultRowHeight="15" customHeight="1" x14ac:dyDescent="0.2"/>
  <cols>
    <col min="1" max="6" width="14.3984375" customWidth="1"/>
  </cols>
  <sheetData>
    <row r="1" spans="1:26" ht="15.75" customHeight="1" x14ac:dyDescent="0.2">
      <c r="A1" s="7" t="s">
        <v>11</v>
      </c>
      <c r="B1" s="8"/>
      <c r="C1" s="9"/>
      <c r="D1" s="9"/>
      <c r="E1" s="4"/>
      <c r="F1" s="8"/>
      <c r="G1" s="4"/>
      <c r="H1" s="7" t="s">
        <v>12</v>
      </c>
      <c r="I1" s="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2">
        <v>1</v>
      </c>
      <c r="B2" s="6">
        <v>20</v>
      </c>
      <c r="C2" s="3">
        <v>0</v>
      </c>
      <c r="D2" s="3">
        <v>0</v>
      </c>
      <c r="F2" s="6"/>
      <c r="G2" s="1"/>
      <c r="H2" s="2">
        <f>IF(Pricing!$B$3-SUM($A$2:A2)&gt;=0,A2,0)</f>
        <v>1</v>
      </c>
      <c r="I2" s="6">
        <f>B2*H2*HLOOKUP(Pricing!$F$3,Valuta!$1:$2, 2, FALSE)</f>
        <v>2.8000000000000003</v>
      </c>
    </row>
    <row r="3" spans="1:26" ht="15.75" customHeight="1" x14ac:dyDescent="0.2">
      <c r="A3" s="2">
        <v>5</v>
      </c>
      <c r="B3" s="6">
        <v>19</v>
      </c>
      <c r="C3" s="3">
        <f t="shared" ref="C3:C8" si="0">100%-B3/B2</f>
        <v>5.0000000000000044E-2</v>
      </c>
      <c r="D3" s="3">
        <f t="shared" ref="D3:D8" si="1">100%-B3/$B$2</f>
        <v>5.0000000000000044E-2</v>
      </c>
      <c r="F3" s="6"/>
      <c r="H3" s="2">
        <f>IF(Pricing!$B$3-SUM($A$2:A3)&gt;=0,A3,IF(Pricing!$B$3-SUM($A$2:A2)&gt;=0,Pricing!$B$3-SUM($A$2:A2),0))</f>
        <v>0</v>
      </c>
      <c r="I3" s="6">
        <f>B3*H3*HLOOKUP(Pricing!$F$3,Valuta!$1:$2, 2, FALSE)</f>
        <v>0</v>
      </c>
    </row>
    <row r="4" spans="1:26" ht="15.75" customHeight="1" x14ac:dyDescent="0.2">
      <c r="A4" s="2">
        <v>25</v>
      </c>
      <c r="B4" s="6">
        <v>18</v>
      </c>
      <c r="C4" s="3">
        <f t="shared" si="0"/>
        <v>5.2631578947368474E-2</v>
      </c>
      <c r="D4" s="3">
        <f t="shared" si="1"/>
        <v>9.9999999999999978E-2</v>
      </c>
      <c r="F4" s="6"/>
      <c r="H4" s="1">
        <f>IF(Pricing!$B$3-SUM($A$2:A4)&gt;=0,A4,IF(Pricing!$B$3-SUM($A$2:A3)&gt;=0,Pricing!$B$3-SUM($A$2:A3),0))</f>
        <v>0</v>
      </c>
      <c r="I4" s="6">
        <f>B4*H4*HLOOKUP(Pricing!$F$3,Valuta!$1:$2, 2, FALSE)</f>
        <v>0</v>
      </c>
    </row>
    <row r="5" spans="1:26" ht="15.75" customHeight="1" x14ac:dyDescent="0.2">
      <c r="A5" s="2">
        <v>50</v>
      </c>
      <c r="B5" s="6">
        <v>17</v>
      </c>
      <c r="C5" s="3">
        <f t="shared" si="0"/>
        <v>5.555555555555558E-2</v>
      </c>
      <c r="D5" s="3">
        <f t="shared" si="1"/>
        <v>0.15000000000000002</v>
      </c>
      <c r="F5" s="6"/>
      <c r="H5" s="1">
        <f>IF(Pricing!$B$3-SUM($A$2:A5)&gt;=0,A5,IF(Pricing!$B$3-SUM($A$2:A4)&gt;=0,Pricing!$B$3-SUM($A$2:A4),0))</f>
        <v>0</v>
      </c>
      <c r="I5" s="6">
        <f>B5*H5*HLOOKUP(Pricing!$F$3,Valuta!$1:$2, 2, FALSE)</f>
        <v>0</v>
      </c>
    </row>
    <row r="6" spans="1:26" ht="15.75" customHeight="1" x14ac:dyDescent="0.2">
      <c r="A6" s="2">
        <v>100</v>
      </c>
      <c r="B6" s="6">
        <v>16</v>
      </c>
      <c r="C6" s="3">
        <f t="shared" si="0"/>
        <v>5.8823529411764719E-2</v>
      </c>
      <c r="D6" s="3">
        <f t="shared" si="1"/>
        <v>0.19999999999999996</v>
      </c>
      <c r="F6" s="6"/>
      <c r="H6" s="1">
        <f>IF(Pricing!$B$3-SUM($A$2:A6)&gt;=0,A6,IF(Pricing!$B$3-SUM($A$2:A5)&gt;=0,Pricing!$B$3-SUM($A$2:A5),0))</f>
        <v>0</v>
      </c>
      <c r="I6" s="6">
        <f>B6*H6*HLOOKUP(Pricing!$F$3,Valuta!$1:$2, 2, FALSE)</f>
        <v>0</v>
      </c>
    </row>
    <row r="7" spans="1:26" ht="15.75" customHeight="1" x14ac:dyDescent="0.2">
      <c r="A7" s="2">
        <v>500</v>
      </c>
      <c r="B7" s="6">
        <v>15</v>
      </c>
      <c r="C7" s="3">
        <f t="shared" si="0"/>
        <v>6.25E-2</v>
      </c>
      <c r="D7" s="3">
        <f t="shared" si="1"/>
        <v>0.25</v>
      </c>
      <c r="F7" s="6"/>
      <c r="H7" s="1">
        <f>IF(Pricing!$B$3-SUM($A$2:A7)&gt;=0,A7,IF(Pricing!$B$3-SUM($A$2:A6)&gt;=0,Pricing!$B$3-SUM($A$2:A6),0))</f>
        <v>0</v>
      </c>
      <c r="I7" s="6">
        <f>B7*H7*HLOOKUP(Pricing!$F$3,Valuta!$1:$2, 2, FALSE)</f>
        <v>0</v>
      </c>
    </row>
    <row r="8" spans="1:26" ht="15.75" customHeight="1" x14ac:dyDescent="0.2">
      <c r="A8" s="2">
        <v>1000000000</v>
      </c>
      <c r="B8" s="6">
        <v>14</v>
      </c>
      <c r="C8" s="3">
        <f t="shared" si="0"/>
        <v>6.6666666666666652E-2</v>
      </c>
      <c r="D8" s="3">
        <f t="shared" si="1"/>
        <v>0.30000000000000004</v>
      </c>
      <c r="F8" s="6"/>
      <c r="H8" s="1">
        <f>IF(Pricing!$B$3-SUM($A$2:A8)&gt;=0,A8,IF(Pricing!$B$3-SUM($A$2:A7)&gt;=0,Pricing!$B$3-SUM($A$2:A7),0))</f>
        <v>0</v>
      </c>
      <c r="I8" s="6">
        <f>B8*H8*HLOOKUP(Pricing!$F$3,Valuta!$1:$2, 2, FALSE)</f>
        <v>0</v>
      </c>
    </row>
    <row r="9" spans="1:26" ht="15.75" customHeight="1" x14ac:dyDescent="0.2">
      <c r="A9" s="2"/>
      <c r="B9" s="6"/>
      <c r="C9" s="3"/>
      <c r="D9" s="3"/>
      <c r="F9" s="6"/>
      <c r="I9" s="6"/>
    </row>
    <row r="10" spans="1:26" ht="15.75" customHeight="1" x14ac:dyDescent="0.2">
      <c r="A10" s="2"/>
      <c r="B10" s="6"/>
      <c r="D10" s="3"/>
      <c r="F10" s="6"/>
      <c r="H10" s="2">
        <f t="shared" ref="H10:I10" si="2">SUM(H2:H8)</f>
        <v>1</v>
      </c>
      <c r="I10" s="6">
        <f t="shared" si="2"/>
        <v>2.8000000000000003</v>
      </c>
    </row>
    <row r="11" spans="1:26" ht="15.75" customHeight="1" x14ac:dyDescent="0.2">
      <c r="A11" s="2"/>
      <c r="B11" s="6"/>
      <c r="D11" s="3"/>
      <c r="F11" s="6"/>
      <c r="I11" s="1"/>
    </row>
    <row r="12" spans="1:26" ht="15.75" customHeight="1" x14ac:dyDescent="0.2">
      <c r="A12" s="2"/>
      <c r="B12" s="6"/>
      <c r="D12" s="3"/>
      <c r="F12" s="6"/>
    </row>
    <row r="13" spans="1:26" ht="15.75" customHeight="1" x14ac:dyDescent="0.2">
      <c r="A13" s="2"/>
      <c r="B13" s="6"/>
      <c r="D13" s="3"/>
      <c r="F13" s="6"/>
    </row>
    <row r="14" spans="1:26" ht="15.75" customHeight="1" x14ac:dyDescent="0.2">
      <c r="A14" s="2"/>
      <c r="B14" s="6"/>
      <c r="D14" s="3"/>
      <c r="F14" s="6"/>
    </row>
    <row r="15" spans="1:26" ht="15.75" customHeight="1" x14ac:dyDescent="0.2">
      <c r="A15" s="2"/>
      <c r="B15" s="6"/>
      <c r="D15" s="3"/>
      <c r="F15" s="6"/>
    </row>
    <row r="16" spans="1:26" ht="15.75" customHeight="1" x14ac:dyDescent="0.2">
      <c r="A16" s="2"/>
      <c r="B16" s="6"/>
      <c r="D16" s="3"/>
      <c r="F16" s="6"/>
    </row>
    <row r="17" spans="1:6" ht="15.75" customHeight="1" x14ac:dyDescent="0.2">
      <c r="A17" s="2"/>
      <c r="B17" s="6"/>
      <c r="D17" s="3"/>
      <c r="F17" s="6"/>
    </row>
    <row r="18" spans="1:6" ht="15.75" customHeight="1" x14ac:dyDescent="0.2">
      <c r="A18" s="2"/>
      <c r="B18" s="6"/>
      <c r="D18" s="3"/>
      <c r="F18" s="6"/>
    </row>
    <row r="19" spans="1:6" ht="15.75" customHeight="1" x14ac:dyDescent="0.2">
      <c r="A19" s="2"/>
      <c r="B19" s="6"/>
      <c r="D19" s="3"/>
      <c r="F19" s="6"/>
    </row>
    <row r="20" spans="1:6" ht="15.75" customHeight="1" x14ac:dyDescent="0.2">
      <c r="A20" s="2"/>
      <c r="B20" s="6"/>
      <c r="D20" s="3"/>
      <c r="F20" s="6"/>
    </row>
    <row r="21" spans="1:6" ht="15.75" customHeight="1" x14ac:dyDescent="0.2">
      <c r="A21" s="2"/>
      <c r="B21" s="6"/>
      <c r="C21" s="6"/>
      <c r="D21" s="3"/>
      <c r="F21" s="6"/>
    </row>
    <row r="22" spans="1:6" ht="15.75" customHeight="1" x14ac:dyDescent="0.2">
      <c r="F22" s="6"/>
    </row>
    <row r="23" spans="1:6" ht="15.75" customHeight="1" x14ac:dyDescent="0.2">
      <c r="F23" s="6"/>
    </row>
    <row r="24" spans="1:6" ht="15.75" customHeight="1" x14ac:dyDescent="0.2">
      <c r="F24" s="6"/>
    </row>
    <row r="25" spans="1:6" ht="15.75" customHeight="1" x14ac:dyDescent="0.2">
      <c r="F25" s="6"/>
    </row>
    <row r="26" spans="1:6" ht="15.75" customHeight="1" x14ac:dyDescent="0.2">
      <c r="F26" s="6"/>
    </row>
    <row r="27" spans="1:6" ht="15.75" customHeight="1" x14ac:dyDescent="0.2">
      <c r="F27" s="6"/>
    </row>
    <row r="28" spans="1:6" ht="15.75" customHeight="1" x14ac:dyDescent="0.2">
      <c r="A28" s="2"/>
      <c r="B28" s="6"/>
      <c r="C28" s="6"/>
      <c r="D28" s="3"/>
      <c r="F28" s="6"/>
    </row>
    <row r="29" spans="1:6" ht="15.75" customHeight="1" x14ac:dyDescent="0.2">
      <c r="A29" s="2"/>
      <c r="B29" s="6"/>
      <c r="D29" s="3"/>
      <c r="F29" s="6"/>
    </row>
    <row r="30" spans="1:6" ht="15.75" customHeight="1" x14ac:dyDescent="0.2">
      <c r="A30" s="2"/>
      <c r="B30" s="6"/>
      <c r="D30" s="3"/>
      <c r="F30" s="6"/>
    </row>
    <row r="31" spans="1:6" ht="15.75" customHeight="1" x14ac:dyDescent="0.2">
      <c r="A31" s="2"/>
      <c r="B31" s="6"/>
      <c r="D31" s="3"/>
      <c r="F31" s="6"/>
    </row>
    <row r="32" spans="1:6" ht="15.75" customHeight="1" x14ac:dyDescent="0.2">
      <c r="A32" s="2"/>
      <c r="B32" s="6"/>
      <c r="D32" s="3"/>
      <c r="F32" s="6"/>
    </row>
    <row r="33" spans="1:6" ht="15.75" customHeight="1" x14ac:dyDescent="0.2">
      <c r="A33" s="2"/>
      <c r="B33" s="6"/>
      <c r="D33" s="3"/>
      <c r="F33" s="6"/>
    </row>
    <row r="34" spans="1:6" ht="15.75" customHeight="1" x14ac:dyDescent="0.2">
      <c r="A34" s="2"/>
      <c r="B34" s="6"/>
      <c r="D34" s="3"/>
      <c r="F34" s="6"/>
    </row>
    <row r="35" spans="1:6" ht="15.75" customHeight="1" x14ac:dyDescent="0.2">
      <c r="A35" s="2"/>
      <c r="B35" s="6"/>
      <c r="D35" s="3"/>
      <c r="F35" s="6"/>
    </row>
    <row r="36" spans="1:6" ht="15.75" customHeight="1" x14ac:dyDescent="0.2">
      <c r="A36" s="2"/>
      <c r="B36" s="6"/>
      <c r="D36" s="3"/>
      <c r="F36" s="6"/>
    </row>
    <row r="37" spans="1:6" ht="15.75" customHeight="1" x14ac:dyDescent="0.2">
      <c r="A37" s="2"/>
      <c r="B37" s="6"/>
      <c r="D37" s="3"/>
      <c r="F37" s="6"/>
    </row>
    <row r="38" spans="1:6" ht="15.75" customHeight="1" x14ac:dyDescent="0.2">
      <c r="A38" s="2"/>
      <c r="B38" s="6"/>
      <c r="D38" s="3"/>
      <c r="F38" s="6"/>
    </row>
    <row r="39" spans="1:6" ht="15.75" customHeight="1" x14ac:dyDescent="0.2">
      <c r="A39" s="2"/>
      <c r="B39" s="6"/>
      <c r="D39" s="3"/>
      <c r="F39" s="6"/>
    </row>
    <row r="40" spans="1:6" ht="15.75" customHeight="1" x14ac:dyDescent="0.2">
      <c r="A40" s="2"/>
      <c r="B40" s="6"/>
      <c r="D40" s="3"/>
      <c r="F40" s="6"/>
    </row>
    <row r="41" spans="1:6" ht="15.75" customHeight="1" x14ac:dyDescent="0.2">
      <c r="A41" s="2"/>
      <c r="B41" s="6"/>
      <c r="D41" s="3"/>
      <c r="F41" s="6"/>
    </row>
    <row r="42" spans="1:6" ht="15.75" customHeight="1" x14ac:dyDescent="0.2">
      <c r="A42" s="2"/>
      <c r="B42" s="6"/>
      <c r="D42" s="3"/>
      <c r="F42" s="6"/>
    </row>
    <row r="43" spans="1:6" ht="15.75" customHeight="1" x14ac:dyDescent="0.2">
      <c r="A43" s="2"/>
      <c r="B43" s="6"/>
      <c r="D43" s="3"/>
      <c r="F43" s="6"/>
    </row>
    <row r="44" spans="1:6" ht="15.75" customHeight="1" x14ac:dyDescent="0.2">
      <c r="A44" s="2"/>
      <c r="B44" s="6"/>
      <c r="D44" s="3"/>
      <c r="F44" s="6"/>
    </row>
    <row r="45" spans="1:6" ht="15.75" customHeight="1" x14ac:dyDescent="0.2">
      <c r="A45" s="2"/>
      <c r="B45" s="6"/>
      <c r="D45" s="3"/>
      <c r="F45" s="6"/>
    </row>
    <row r="46" spans="1:6" ht="15.75" customHeight="1" x14ac:dyDescent="0.2">
      <c r="A46" s="2"/>
      <c r="B46" s="6"/>
      <c r="D46" s="3"/>
      <c r="F46" s="6"/>
    </row>
    <row r="47" spans="1:6" ht="15.75" customHeight="1" x14ac:dyDescent="0.2">
      <c r="A47" s="2"/>
      <c r="B47" s="6"/>
      <c r="D47" s="3"/>
      <c r="F47" s="6"/>
    </row>
    <row r="48" spans="1:6" ht="15.75" customHeight="1" x14ac:dyDescent="0.2">
      <c r="A48" s="2"/>
      <c r="B48" s="6"/>
      <c r="D48" s="3"/>
      <c r="F48" s="6"/>
    </row>
    <row r="49" spans="1:6" ht="15.75" customHeight="1" x14ac:dyDescent="0.2">
      <c r="A49" s="2"/>
      <c r="B49" s="6"/>
      <c r="D49" s="3"/>
      <c r="F49" s="6"/>
    </row>
    <row r="50" spans="1:6" ht="15.75" customHeight="1" x14ac:dyDescent="0.2">
      <c r="A50" s="2"/>
      <c r="B50" s="6"/>
      <c r="D50" s="3"/>
      <c r="F50" s="6"/>
    </row>
    <row r="51" spans="1:6" ht="15.75" customHeight="1" x14ac:dyDescent="0.2">
      <c r="A51" s="2"/>
      <c r="B51" s="6"/>
      <c r="D51" s="3"/>
      <c r="F51" s="6"/>
    </row>
    <row r="52" spans="1:6" ht="15.75" customHeight="1" x14ac:dyDescent="0.2">
      <c r="A52" s="2"/>
      <c r="B52" s="6"/>
      <c r="D52" s="3"/>
      <c r="F52" s="6"/>
    </row>
    <row r="53" spans="1:6" ht="15.75" customHeight="1" x14ac:dyDescent="0.2">
      <c r="A53" s="2"/>
      <c r="B53" s="6"/>
      <c r="D53" s="3"/>
      <c r="F53" s="6"/>
    </row>
    <row r="54" spans="1:6" ht="15.75" customHeight="1" x14ac:dyDescent="0.2">
      <c r="A54" s="2"/>
      <c r="B54" s="6"/>
      <c r="D54" s="3"/>
      <c r="F54" s="6"/>
    </row>
    <row r="55" spans="1:6" ht="15.75" customHeight="1" x14ac:dyDescent="0.2">
      <c r="A55" s="2"/>
      <c r="B55" s="6"/>
      <c r="D55" s="3"/>
      <c r="F55" s="6"/>
    </row>
    <row r="56" spans="1:6" ht="15.75" customHeight="1" x14ac:dyDescent="0.2">
      <c r="A56" s="2"/>
      <c r="B56" s="6"/>
      <c r="D56" s="3"/>
      <c r="F56" s="6"/>
    </row>
    <row r="57" spans="1:6" ht="15.75" customHeight="1" x14ac:dyDescent="0.2">
      <c r="A57" s="2"/>
      <c r="B57" s="6"/>
      <c r="D57" s="3"/>
      <c r="F57" s="6"/>
    </row>
    <row r="58" spans="1:6" ht="15.75" customHeight="1" x14ac:dyDescent="0.2">
      <c r="A58" s="2"/>
      <c r="B58" s="6"/>
      <c r="D58" s="3"/>
      <c r="F58" s="6"/>
    </row>
    <row r="59" spans="1:6" ht="15.75" customHeight="1" x14ac:dyDescent="0.2">
      <c r="A59" s="2"/>
      <c r="B59" s="6"/>
      <c r="D59" s="3"/>
      <c r="F59" s="6"/>
    </row>
    <row r="60" spans="1:6" ht="15.75" customHeight="1" x14ac:dyDescent="0.2">
      <c r="A60" s="2"/>
      <c r="B60" s="6"/>
      <c r="D60" s="3"/>
      <c r="F60" s="6"/>
    </row>
    <row r="61" spans="1:6" ht="15.75" customHeight="1" x14ac:dyDescent="0.2">
      <c r="A61" s="2"/>
      <c r="B61" s="6"/>
      <c r="D61" s="3"/>
      <c r="F61" s="6"/>
    </row>
    <row r="62" spans="1:6" ht="15.75" customHeight="1" x14ac:dyDescent="0.2">
      <c r="A62" s="2"/>
      <c r="B62" s="6"/>
      <c r="D62" s="3"/>
      <c r="F62" s="6"/>
    </row>
    <row r="63" spans="1:6" ht="15.75" customHeight="1" x14ac:dyDescent="0.2">
      <c r="A63" s="2"/>
      <c r="B63" s="6"/>
      <c r="D63" s="3"/>
      <c r="F63" s="6"/>
    </row>
    <row r="64" spans="1:6" ht="15.75" customHeight="1" x14ac:dyDescent="0.2">
      <c r="A64" s="2"/>
      <c r="B64" s="6"/>
      <c r="D64" s="3"/>
      <c r="F64" s="6"/>
    </row>
    <row r="65" spans="1:6" ht="15.75" customHeight="1" x14ac:dyDescent="0.2">
      <c r="A65" s="2"/>
      <c r="B65" s="6"/>
      <c r="D65" s="3"/>
      <c r="F65" s="6"/>
    </row>
    <row r="66" spans="1:6" ht="15.75" customHeight="1" x14ac:dyDescent="0.2">
      <c r="A66" s="2"/>
      <c r="B66" s="6"/>
      <c r="D66" s="3"/>
      <c r="F66" s="6"/>
    </row>
    <row r="67" spans="1:6" ht="15.75" customHeight="1" x14ac:dyDescent="0.2">
      <c r="A67" s="2"/>
      <c r="B67" s="6"/>
      <c r="D67" s="3"/>
      <c r="F67" s="6"/>
    </row>
    <row r="68" spans="1:6" ht="15.75" customHeight="1" x14ac:dyDescent="0.2">
      <c r="A68" s="2"/>
      <c r="B68" s="6"/>
      <c r="D68" s="3"/>
      <c r="F68" s="6"/>
    </row>
    <row r="69" spans="1:6" ht="15.75" customHeight="1" x14ac:dyDescent="0.2">
      <c r="A69" s="2"/>
      <c r="B69" s="6"/>
      <c r="D69" s="3"/>
      <c r="F69" s="6"/>
    </row>
    <row r="70" spans="1:6" ht="15.75" customHeight="1" x14ac:dyDescent="0.2">
      <c r="A70" s="2"/>
      <c r="B70" s="6"/>
      <c r="D70" s="3"/>
      <c r="F70" s="6"/>
    </row>
    <row r="71" spans="1:6" ht="15.75" customHeight="1" x14ac:dyDescent="0.2">
      <c r="A71" s="2"/>
      <c r="B71" s="6"/>
      <c r="D71" s="3"/>
      <c r="F71" s="6"/>
    </row>
    <row r="72" spans="1:6" ht="15.75" customHeight="1" x14ac:dyDescent="0.2">
      <c r="A72" s="2"/>
      <c r="B72" s="6"/>
      <c r="D72" s="3"/>
      <c r="F72" s="6"/>
    </row>
    <row r="73" spans="1:6" ht="15.75" customHeight="1" x14ac:dyDescent="0.2">
      <c r="A73" s="2"/>
      <c r="B73" s="6"/>
      <c r="D73" s="3"/>
      <c r="F73" s="6"/>
    </row>
    <row r="74" spans="1:6" ht="15.75" customHeight="1" x14ac:dyDescent="0.2">
      <c r="A74" s="2"/>
      <c r="B74" s="6"/>
      <c r="D74" s="3"/>
      <c r="F74" s="6"/>
    </row>
    <row r="75" spans="1:6" ht="15.75" customHeight="1" x14ac:dyDescent="0.2">
      <c r="A75" s="2"/>
      <c r="B75" s="6"/>
      <c r="D75" s="3"/>
      <c r="F75" s="6"/>
    </row>
    <row r="76" spans="1:6" ht="15.75" customHeight="1" x14ac:dyDescent="0.2">
      <c r="A76" s="2"/>
      <c r="B76" s="6"/>
      <c r="D76" s="3"/>
      <c r="F76" s="6"/>
    </row>
    <row r="77" spans="1:6" ht="15.75" customHeight="1" x14ac:dyDescent="0.2">
      <c r="A77" s="2"/>
      <c r="B77" s="6"/>
      <c r="D77" s="3"/>
      <c r="F77" s="6"/>
    </row>
    <row r="78" spans="1:6" ht="15.75" customHeight="1" x14ac:dyDescent="0.2">
      <c r="A78" s="2"/>
      <c r="B78" s="6"/>
      <c r="D78" s="3"/>
      <c r="F78" s="6"/>
    </row>
    <row r="79" spans="1:6" ht="15.75" customHeight="1" x14ac:dyDescent="0.2">
      <c r="A79" s="2"/>
      <c r="B79" s="6"/>
      <c r="D79" s="3"/>
      <c r="F79" s="6"/>
    </row>
    <row r="80" spans="1:6" ht="15.75" customHeight="1" x14ac:dyDescent="0.2">
      <c r="A80" s="2"/>
      <c r="B80" s="6"/>
      <c r="D80" s="3"/>
      <c r="F80" s="6"/>
    </row>
    <row r="81" spans="1:6" ht="15.75" customHeight="1" x14ac:dyDescent="0.2">
      <c r="A81" s="2"/>
      <c r="B81" s="6"/>
      <c r="D81" s="3"/>
      <c r="F81" s="6"/>
    </row>
    <row r="82" spans="1:6" ht="15.75" customHeight="1" x14ac:dyDescent="0.2">
      <c r="A82" s="2"/>
      <c r="B82" s="6"/>
      <c r="D82" s="3"/>
      <c r="F82" s="6"/>
    </row>
    <row r="83" spans="1:6" ht="15.75" customHeight="1" x14ac:dyDescent="0.2">
      <c r="A83" s="2"/>
      <c r="B83" s="6"/>
      <c r="D83" s="3"/>
      <c r="F83" s="6"/>
    </row>
    <row r="84" spans="1:6" ht="15.75" customHeight="1" x14ac:dyDescent="0.2">
      <c r="A84" s="2"/>
      <c r="B84" s="6"/>
      <c r="D84" s="3"/>
      <c r="F84" s="6"/>
    </row>
    <row r="85" spans="1:6" ht="15.75" customHeight="1" x14ac:dyDescent="0.2">
      <c r="A85" s="2"/>
      <c r="B85" s="6"/>
      <c r="D85" s="3"/>
      <c r="F85" s="6"/>
    </row>
    <row r="86" spans="1:6" ht="15.75" customHeight="1" x14ac:dyDescent="0.2">
      <c r="A86" s="2"/>
      <c r="B86" s="6"/>
      <c r="D86" s="3"/>
      <c r="F86" s="6"/>
    </row>
    <row r="87" spans="1:6" ht="15.75" customHeight="1" x14ac:dyDescent="0.2">
      <c r="A87" s="2"/>
      <c r="B87" s="6"/>
      <c r="D87" s="3"/>
      <c r="F87" s="6"/>
    </row>
    <row r="88" spans="1:6" ht="15.75" customHeight="1" x14ac:dyDescent="0.2">
      <c r="A88" s="2"/>
      <c r="B88" s="6"/>
      <c r="D88" s="3"/>
      <c r="F88" s="6"/>
    </row>
    <row r="89" spans="1:6" ht="15.75" customHeight="1" x14ac:dyDescent="0.2">
      <c r="A89" s="2"/>
      <c r="B89" s="6"/>
      <c r="D89" s="3"/>
      <c r="F89" s="6"/>
    </row>
    <row r="90" spans="1:6" ht="15.75" customHeight="1" x14ac:dyDescent="0.2">
      <c r="A90" s="2"/>
      <c r="B90" s="6"/>
      <c r="D90" s="3"/>
      <c r="F90" s="6"/>
    </row>
    <row r="91" spans="1:6" ht="15.75" customHeight="1" x14ac:dyDescent="0.2">
      <c r="A91" s="2"/>
      <c r="B91" s="6"/>
      <c r="D91" s="3"/>
      <c r="F91" s="6"/>
    </row>
    <row r="92" spans="1:6" ht="15.75" customHeight="1" x14ac:dyDescent="0.2">
      <c r="A92" s="2"/>
      <c r="B92" s="6"/>
      <c r="D92" s="3"/>
      <c r="F92" s="6"/>
    </row>
    <row r="93" spans="1:6" ht="15.75" customHeight="1" x14ac:dyDescent="0.2">
      <c r="A93" s="2"/>
      <c r="B93" s="6"/>
      <c r="D93" s="3"/>
      <c r="F93" s="6"/>
    </row>
    <row r="94" spans="1:6" ht="15.75" customHeight="1" x14ac:dyDescent="0.2">
      <c r="A94" s="2"/>
      <c r="B94" s="6"/>
      <c r="D94" s="3"/>
      <c r="F94" s="6"/>
    </row>
    <row r="95" spans="1:6" ht="15.75" customHeight="1" x14ac:dyDescent="0.2">
      <c r="A95" s="2"/>
      <c r="B95" s="6"/>
      <c r="D95" s="3"/>
      <c r="F95" s="6"/>
    </row>
    <row r="96" spans="1:6" ht="15.75" customHeight="1" x14ac:dyDescent="0.2">
      <c r="A96" s="2"/>
      <c r="B96" s="6"/>
      <c r="D96" s="3"/>
      <c r="F96" s="6"/>
    </row>
    <row r="97" spans="1:6" ht="15.75" customHeight="1" x14ac:dyDescent="0.2">
      <c r="A97" s="2"/>
      <c r="B97" s="6"/>
      <c r="D97" s="3"/>
      <c r="F97" s="6"/>
    </row>
    <row r="98" spans="1:6" ht="15.75" customHeight="1" x14ac:dyDescent="0.2">
      <c r="A98" s="2"/>
      <c r="B98" s="6"/>
      <c r="D98" s="3"/>
      <c r="F98" s="6"/>
    </row>
    <row r="99" spans="1:6" ht="15.75" customHeight="1" x14ac:dyDescent="0.2">
      <c r="A99" s="2"/>
      <c r="B99" s="6"/>
      <c r="D99" s="3"/>
      <c r="F99" s="6"/>
    </row>
    <row r="100" spans="1:6" ht="15.75" customHeight="1" x14ac:dyDescent="0.2">
      <c r="A100" s="2"/>
      <c r="B100" s="6"/>
      <c r="D100" s="3"/>
      <c r="F100" s="6"/>
    </row>
    <row r="101" spans="1:6" ht="15.75" customHeight="1" x14ac:dyDescent="0.2">
      <c r="A101" s="2"/>
      <c r="B101" s="6"/>
      <c r="D101" s="3"/>
      <c r="F101" s="6"/>
    </row>
    <row r="102" spans="1:6" ht="15.75" customHeight="1" x14ac:dyDescent="0.2">
      <c r="A102" s="2"/>
      <c r="B102" s="6"/>
      <c r="D102" s="3"/>
      <c r="F102" s="6"/>
    </row>
    <row r="103" spans="1:6" ht="15.75" customHeight="1" x14ac:dyDescent="0.2">
      <c r="A103" s="2"/>
      <c r="B103" s="6"/>
      <c r="D103" s="3"/>
      <c r="F103" s="6"/>
    </row>
    <row r="104" spans="1:6" ht="15.75" customHeight="1" x14ac:dyDescent="0.2">
      <c r="A104" s="2"/>
      <c r="B104" s="6"/>
      <c r="D104" s="3"/>
      <c r="F104" s="6"/>
    </row>
    <row r="105" spans="1:6" ht="15.75" customHeight="1" x14ac:dyDescent="0.2">
      <c r="A105" s="2"/>
      <c r="B105" s="6"/>
      <c r="D105" s="3"/>
      <c r="F105" s="6"/>
    </row>
    <row r="106" spans="1:6" ht="15.75" customHeight="1" x14ac:dyDescent="0.2">
      <c r="A106" s="2"/>
      <c r="B106" s="6"/>
      <c r="D106" s="3"/>
      <c r="F106" s="6"/>
    </row>
    <row r="107" spans="1:6" ht="15.75" customHeight="1" x14ac:dyDescent="0.2">
      <c r="A107" s="2"/>
      <c r="B107" s="6"/>
      <c r="D107" s="3"/>
      <c r="F107" s="6"/>
    </row>
    <row r="108" spans="1:6" ht="15.75" customHeight="1" x14ac:dyDescent="0.2">
      <c r="A108" s="2"/>
      <c r="B108" s="6"/>
      <c r="D108" s="3"/>
      <c r="F108" s="6"/>
    </row>
    <row r="109" spans="1:6" ht="15.75" customHeight="1" x14ac:dyDescent="0.2">
      <c r="A109" s="2"/>
      <c r="B109" s="6"/>
      <c r="D109" s="3"/>
      <c r="F109" s="6"/>
    </row>
    <row r="110" spans="1:6" ht="15.75" customHeight="1" x14ac:dyDescent="0.2">
      <c r="A110" s="2"/>
      <c r="B110" s="6"/>
      <c r="D110" s="3"/>
      <c r="F110" s="6"/>
    </row>
    <row r="111" spans="1:6" ht="15.75" customHeight="1" x14ac:dyDescent="0.2">
      <c r="A111" s="2"/>
      <c r="B111" s="6"/>
      <c r="D111" s="3"/>
      <c r="F111" s="6"/>
    </row>
    <row r="112" spans="1:6" ht="15.75" customHeight="1" x14ac:dyDescent="0.2">
      <c r="A112" s="2"/>
      <c r="B112" s="6"/>
      <c r="D112" s="3"/>
      <c r="F112" s="6"/>
    </row>
    <row r="113" spans="1:6" ht="15.75" customHeight="1" x14ac:dyDescent="0.2">
      <c r="A113" s="2"/>
      <c r="B113" s="6"/>
      <c r="D113" s="3"/>
      <c r="F113" s="6"/>
    </row>
    <row r="114" spans="1:6" ht="15.75" customHeight="1" x14ac:dyDescent="0.2">
      <c r="A114" s="2"/>
      <c r="B114" s="6"/>
      <c r="D114" s="3"/>
      <c r="F114" s="6"/>
    </row>
    <row r="115" spans="1:6" ht="15.75" customHeight="1" x14ac:dyDescent="0.2">
      <c r="A115" s="2"/>
      <c r="B115" s="6"/>
      <c r="D115" s="3"/>
      <c r="F115" s="6"/>
    </row>
    <row r="116" spans="1:6" ht="15.75" customHeight="1" x14ac:dyDescent="0.2">
      <c r="A116" s="2"/>
      <c r="B116" s="6"/>
      <c r="D116" s="3"/>
      <c r="F116" s="6"/>
    </row>
    <row r="117" spans="1:6" ht="15.75" customHeight="1" x14ac:dyDescent="0.2">
      <c r="A117" s="2"/>
      <c r="B117" s="6"/>
      <c r="D117" s="3"/>
      <c r="F117" s="6"/>
    </row>
    <row r="118" spans="1:6" ht="15.75" customHeight="1" x14ac:dyDescent="0.2">
      <c r="A118" s="2"/>
      <c r="B118" s="6"/>
      <c r="D118" s="3"/>
      <c r="F118" s="6"/>
    </row>
    <row r="119" spans="1:6" ht="15.75" customHeight="1" x14ac:dyDescent="0.2">
      <c r="A119" s="2"/>
      <c r="B119" s="6"/>
      <c r="D119" s="3"/>
      <c r="F119" s="6"/>
    </row>
    <row r="120" spans="1:6" ht="15.75" customHeight="1" x14ac:dyDescent="0.2">
      <c r="A120" s="2"/>
      <c r="B120" s="6"/>
      <c r="D120" s="3"/>
      <c r="F120" s="6"/>
    </row>
    <row r="121" spans="1:6" ht="15.75" customHeight="1" x14ac:dyDescent="0.2">
      <c r="A121" s="2"/>
      <c r="B121" s="6"/>
      <c r="D121" s="3"/>
      <c r="F121" s="6"/>
    </row>
    <row r="122" spans="1:6" ht="15.75" customHeight="1" x14ac:dyDescent="0.2">
      <c r="A122" s="2"/>
      <c r="B122" s="6"/>
      <c r="D122" s="3"/>
      <c r="F122" s="6"/>
    </row>
    <row r="123" spans="1:6" ht="15.75" customHeight="1" x14ac:dyDescent="0.2">
      <c r="A123" s="2"/>
      <c r="B123" s="6"/>
      <c r="D123" s="3"/>
      <c r="F123" s="6"/>
    </row>
    <row r="124" spans="1:6" ht="15.75" customHeight="1" x14ac:dyDescent="0.2">
      <c r="A124" s="2"/>
      <c r="B124" s="6"/>
      <c r="D124" s="3"/>
      <c r="F124" s="6"/>
    </row>
    <row r="125" spans="1:6" ht="15.75" customHeight="1" x14ac:dyDescent="0.2">
      <c r="A125" s="2"/>
      <c r="B125" s="6"/>
      <c r="D125" s="3"/>
      <c r="F125" s="6"/>
    </row>
    <row r="126" spans="1:6" ht="15.75" customHeight="1" x14ac:dyDescent="0.2">
      <c r="A126" s="2"/>
      <c r="B126" s="6"/>
      <c r="D126" s="3"/>
      <c r="F126" s="6"/>
    </row>
    <row r="127" spans="1:6" ht="15.75" customHeight="1" x14ac:dyDescent="0.2">
      <c r="A127" s="2"/>
      <c r="B127" s="6"/>
      <c r="D127" s="3"/>
      <c r="F127" s="6"/>
    </row>
    <row r="128" spans="1:6" ht="15.75" customHeight="1" x14ac:dyDescent="0.2">
      <c r="A128" s="2"/>
      <c r="B128" s="6"/>
      <c r="D128" s="3"/>
      <c r="F128" s="6"/>
    </row>
    <row r="129" spans="1:6" ht="15.75" customHeight="1" x14ac:dyDescent="0.2">
      <c r="A129" s="2"/>
      <c r="B129" s="6"/>
      <c r="D129" s="3"/>
      <c r="F129" s="6"/>
    </row>
    <row r="130" spans="1:6" ht="15.75" customHeight="1" x14ac:dyDescent="0.2">
      <c r="A130" s="2"/>
      <c r="B130" s="6"/>
      <c r="D130" s="3"/>
      <c r="F130" s="6"/>
    </row>
    <row r="131" spans="1:6" ht="15.75" customHeight="1" x14ac:dyDescent="0.2">
      <c r="A131" s="2"/>
      <c r="B131" s="6"/>
      <c r="D131" s="3"/>
      <c r="F131" s="6"/>
    </row>
    <row r="132" spans="1:6" ht="15.75" customHeight="1" x14ac:dyDescent="0.2">
      <c r="A132" s="2"/>
      <c r="B132" s="6"/>
      <c r="D132" s="3"/>
      <c r="F132" s="6"/>
    </row>
    <row r="133" spans="1:6" ht="15.75" customHeight="1" x14ac:dyDescent="0.2">
      <c r="A133" s="2"/>
      <c r="B133" s="6"/>
      <c r="D133" s="3"/>
      <c r="F133" s="6"/>
    </row>
    <row r="134" spans="1:6" ht="15.75" customHeight="1" x14ac:dyDescent="0.2">
      <c r="A134" s="2"/>
      <c r="B134" s="6"/>
      <c r="D134" s="3"/>
      <c r="F134" s="6"/>
    </row>
    <row r="135" spans="1:6" ht="15.75" customHeight="1" x14ac:dyDescent="0.2">
      <c r="A135" s="2"/>
      <c r="B135" s="6"/>
      <c r="D135" s="3"/>
      <c r="F135" s="6"/>
    </row>
    <row r="136" spans="1:6" ht="15.75" customHeight="1" x14ac:dyDescent="0.2">
      <c r="A136" s="2"/>
      <c r="B136" s="6"/>
      <c r="D136" s="3"/>
      <c r="F136" s="6"/>
    </row>
    <row r="137" spans="1:6" ht="15.75" customHeight="1" x14ac:dyDescent="0.2">
      <c r="A137" s="2"/>
      <c r="B137" s="6"/>
      <c r="D137" s="3"/>
      <c r="F137" s="6"/>
    </row>
    <row r="138" spans="1:6" ht="15.75" customHeight="1" x14ac:dyDescent="0.2">
      <c r="A138" s="2"/>
      <c r="B138" s="6"/>
      <c r="D138" s="3"/>
      <c r="F138" s="6"/>
    </row>
    <row r="139" spans="1:6" ht="15.75" customHeight="1" x14ac:dyDescent="0.2">
      <c r="A139" s="2"/>
      <c r="B139" s="6"/>
      <c r="D139" s="3"/>
      <c r="F139" s="6"/>
    </row>
    <row r="140" spans="1:6" ht="15.75" customHeight="1" x14ac:dyDescent="0.2">
      <c r="A140" s="2"/>
      <c r="B140" s="6"/>
      <c r="D140" s="3"/>
      <c r="F140" s="6"/>
    </row>
    <row r="141" spans="1:6" ht="15.75" customHeight="1" x14ac:dyDescent="0.2">
      <c r="A141" s="2"/>
      <c r="B141" s="6"/>
      <c r="D141" s="3"/>
      <c r="F141" s="6"/>
    </row>
    <row r="142" spans="1:6" ht="15.75" customHeight="1" x14ac:dyDescent="0.2">
      <c r="A142" s="2"/>
      <c r="B142" s="6"/>
      <c r="D142" s="3"/>
      <c r="F142" s="6"/>
    </row>
    <row r="143" spans="1:6" ht="15.75" customHeight="1" x14ac:dyDescent="0.2">
      <c r="A143" s="2"/>
      <c r="B143" s="6"/>
      <c r="D143" s="3"/>
      <c r="F143" s="6"/>
    </row>
    <row r="144" spans="1:6" ht="15.75" customHeight="1" x14ac:dyDescent="0.2">
      <c r="A144" s="2"/>
      <c r="B144" s="6"/>
      <c r="D144" s="3"/>
      <c r="F144" s="6"/>
    </row>
    <row r="145" spans="1:6" ht="15.75" customHeight="1" x14ac:dyDescent="0.2">
      <c r="A145" s="2"/>
      <c r="B145" s="6"/>
      <c r="D145" s="3"/>
      <c r="F145" s="6"/>
    </row>
    <row r="146" spans="1:6" ht="15.75" customHeight="1" x14ac:dyDescent="0.2">
      <c r="A146" s="2"/>
      <c r="B146" s="6"/>
      <c r="D146" s="3"/>
      <c r="F146" s="6"/>
    </row>
    <row r="147" spans="1:6" ht="15.75" customHeight="1" x14ac:dyDescent="0.2">
      <c r="A147" s="2"/>
      <c r="B147" s="6"/>
      <c r="D147" s="3"/>
      <c r="F147" s="6"/>
    </row>
    <row r="148" spans="1:6" ht="15.75" customHeight="1" x14ac:dyDescent="0.2">
      <c r="A148" s="2"/>
      <c r="B148" s="6"/>
      <c r="D148" s="3"/>
      <c r="F148" s="6"/>
    </row>
    <row r="149" spans="1:6" ht="15.75" customHeight="1" x14ac:dyDescent="0.2">
      <c r="A149" s="2"/>
      <c r="B149" s="6"/>
      <c r="D149" s="3"/>
      <c r="F149" s="6"/>
    </row>
    <row r="150" spans="1:6" ht="15.75" customHeight="1" x14ac:dyDescent="0.2">
      <c r="A150" s="2"/>
      <c r="B150" s="6"/>
      <c r="D150" s="3"/>
      <c r="F150" s="6"/>
    </row>
    <row r="151" spans="1:6" ht="15.75" customHeight="1" x14ac:dyDescent="0.2">
      <c r="A151" s="2"/>
      <c r="B151" s="6"/>
      <c r="D151" s="3"/>
      <c r="F151" s="6"/>
    </row>
    <row r="152" spans="1:6" ht="15.75" customHeight="1" x14ac:dyDescent="0.2">
      <c r="A152" s="2"/>
      <c r="B152" s="6"/>
      <c r="D152" s="3"/>
      <c r="F152" s="6"/>
    </row>
    <row r="153" spans="1:6" ht="15.75" customHeight="1" x14ac:dyDescent="0.2">
      <c r="A153" s="2"/>
      <c r="B153" s="6"/>
      <c r="D153" s="3"/>
      <c r="F153" s="6"/>
    </row>
    <row r="154" spans="1:6" ht="15.75" customHeight="1" x14ac:dyDescent="0.2">
      <c r="A154" s="2"/>
      <c r="B154" s="6"/>
      <c r="D154" s="3"/>
      <c r="F154" s="6"/>
    </row>
    <row r="155" spans="1:6" ht="15.75" customHeight="1" x14ac:dyDescent="0.2">
      <c r="A155" s="2"/>
      <c r="B155" s="6"/>
      <c r="D155" s="3"/>
      <c r="F155" s="6"/>
    </row>
    <row r="156" spans="1:6" ht="15.75" customHeight="1" x14ac:dyDescent="0.2">
      <c r="A156" s="2"/>
      <c r="B156" s="6"/>
      <c r="D156" s="3"/>
      <c r="F156" s="6"/>
    </row>
    <row r="157" spans="1:6" ht="15.75" customHeight="1" x14ac:dyDescent="0.2">
      <c r="A157" s="2"/>
      <c r="B157" s="6"/>
      <c r="D157" s="3"/>
      <c r="F157" s="6"/>
    </row>
    <row r="158" spans="1:6" ht="15.75" customHeight="1" x14ac:dyDescent="0.2">
      <c r="A158" s="2"/>
      <c r="B158" s="6"/>
      <c r="D158" s="3"/>
      <c r="F158" s="6"/>
    </row>
    <row r="159" spans="1:6" ht="15.75" customHeight="1" x14ac:dyDescent="0.2">
      <c r="A159" s="2"/>
      <c r="B159" s="6"/>
      <c r="D159" s="3"/>
      <c r="F159" s="6"/>
    </row>
    <row r="160" spans="1:6" ht="15.75" customHeight="1" x14ac:dyDescent="0.2">
      <c r="A160" s="2"/>
      <c r="B160" s="6"/>
      <c r="D160" s="3"/>
      <c r="F160" s="6"/>
    </row>
    <row r="161" spans="1:6" ht="15.75" customHeight="1" x14ac:dyDescent="0.2">
      <c r="A161" s="2"/>
      <c r="B161" s="6"/>
      <c r="D161" s="3"/>
      <c r="F161" s="6"/>
    </row>
    <row r="162" spans="1:6" ht="15.75" customHeight="1" x14ac:dyDescent="0.2">
      <c r="A162" s="2"/>
      <c r="B162" s="6"/>
      <c r="D162" s="3"/>
      <c r="F162" s="6"/>
    </row>
    <row r="163" spans="1:6" ht="15.75" customHeight="1" x14ac:dyDescent="0.2">
      <c r="A163" s="2"/>
      <c r="B163" s="6"/>
      <c r="D163" s="3"/>
      <c r="F163" s="6"/>
    </row>
    <row r="164" spans="1:6" ht="15.75" customHeight="1" x14ac:dyDescent="0.2">
      <c r="A164" s="2"/>
      <c r="B164" s="6"/>
      <c r="D164" s="3"/>
      <c r="F164" s="6"/>
    </row>
    <row r="165" spans="1:6" ht="15.75" customHeight="1" x14ac:dyDescent="0.2">
      <c r="A165" s="2"/>
      <c r="B165" s="6"/>
      <c r="D165" s="3"/>
      <c r="F165" s="6"/>
    </row>
    <row r="166" spans="1:6" ht="15.75" customHeight="1" x14ac:dyDescent="0.2">
      <c r="A166" s="2"/>
      <c r="B166" s="6"/>
      <c r="D166" s="3"/>
      <c r="F166" s="6"/>
    </row>
    <row r="167" spans="1:6" ht="15.75" customHeight="1" x14ac:dyDescent="0.2">
      <c r="A167" s="2"/>
      <c r="B167" s="6"/>
      <c r="D167" s="3"/>
      <c r="F167" s="6"/>
    </row>
    <row r="168" spans="1:6" ht="15.75" customHeight="1" x14ac:dyDescent="0.2">
      <c r="A168" s="2"/>
      <c r="B168" s="6"/>
      <c r="D168" s="3"/>
      <c r="F168" s="6"/>
    </row>
    <row r="169" spans="1:6" ht="15.75" customHeight="1" x14ac:dyDescent="0.2">
      <c r="A169" s="2"/>
      <c r="B169" s="6"/>
      <c r="D169" s="3"/>
      <c r="F169" s="6"/>
    </row>
    <row r="170" spans="1:6" ht="15.75" customHeight="1" x14ac:dyDescent="0.2">
      <c r="A170" s="2"/>
      <c r="B170" s="6"/>
      <c r="D170" s="3"/>
      <c r="F170" s="6"/>
    </row>
    <row r="171" spans="1:6" ht="15.75" customHeight="1" x14ac:dyDescent="0.2">
      <c r="A171" s="2"/>
      <c r="B171" s="6"/>
      <c r="D171" s="3"/>
      <c r="F171" s="6"/>
    </row>
    <row r="172" spans="1:6" ht="15.75" customHeight="1" x14ac:dyDescent="0.2">
      <c r="A172" s="2"/>
      <c r="B172" s="6"/>
      <c r="D172" s="3"/>
      <c r="F172" s="6"/>
    </row>
    <row r="173" spans="1:6" ht="15.75" customHeight="1" x14ac:dyDescent="0.2">
      <c r="A173" s="2"/>
      <c r="B173" s="6"/>
      <c r="D173" s="3"/>
      <c r="F173" s="6"/>
    </row>
    <row r="174" spans="1:6" ht="15.75" customHeight="1" x14ac:dyDescent="0.2">
      <c r="A174" s="2"/>
      <c r="B174" s="6"/>
      <c r="D174" s="3"/>
      <c r="F174" s="6"/>
    </row>
    <row r="175" spans="1:6" ht="15.75" customHeight="1" x14ac:dyDescent="0.2">
      <c r="A175" s="2"/>
      <c r="B175" s="6"/>
      <c r="D175" s="3"/>
      <c r="F175" s="6"/>
    </row>
    <row r="176" spans="1:6" ht="15.75" customHeight="1" x14ac:dyDescent="0.2">
      <c r="A176" s="2"/>
      <c r="B176" s="6"/>
      <c r="D176" s="3"/>
      <c r="F176" s="6"/>
    </row>
    <row r="177" spans="1:6" ht="15.75" customHeight="1" x14ac:dyDescent="0.2">
      <c r="A177" s="2"/>
      <c r="B177" s="6"/>
      <c r="D177" s="3"/>
      <c r="F177" s="6"/>
    </row>
    <row r="178" spans="1:6" ht="15.75" customHeight="1" x14ac:dyDescent="0.2">
      <c r="A178" s="2"/>
      <c r="B178" s="6"/>
      <c r="D178" s="3"/>
      <c r="F178" s="6"/>
    </row>
    <row r="179" spans="1:6" ht="15.75" customHeight="1" x14ac:dyDescent="0.2">
      <c r="A179" s="2"/>
      <c r="B179" s="6"/>
      <c r="D179" s="3"/>
      <c r="F179" s="6"/>
    </row>
    <row r="180" spans="1:6" ht="15.75" customHeight="1" x14ac:dyDescent="0.2">
      <c r="A180" s="2"/>
      <c r="B180" s="6"/>
      <c r="D180" s="3"/>
      <c r="F180" s="6"/>
    </row>
    <row r="181" spans="1:6" ht="15.75" customHeight="1" x14ac:dyDescent="0.2">
      <c r="A181" s="2"/>
      <c r="B181" s="6"/>
      <c r="D181" s="3"/>
      <c r="F181" s="6"/>
    </row>
    <row r="182" spans="1:6" ht="15.75" customHeight="1" x14ac:dyDescent="0.2">
      <c r="A182" s="2"/>
      <c r="B182" s="6"/>
      <c r="D182" s="3"/>
      <c r="F182" s="6"/>
    </row>
    <row r="183" spans="1:6" ht="15.75" customHeight="1" x14ac:dyDescent="0.2">
      <c r="A183" s="2"/>
      <c r="B183" s="6"/>
      <c r="D183" s="3"/>
      <c r="F183" s="6"/>
    </row>
    <row r="184" spans="1:6" ht="15.75" customHeight="1" x14ac:dyDescent="0.2">
      <c r="A184" s="2"/>
      <c r="B184" s="6"/>
      <c r="D184" s="3"/>
      <c r="F184" s="6"/>
    </row>
    <row r="185" spans="1:6" ht="15.75" customHeight="1" x14ac:dyDescent="0.2">
      <c r="A185" s="2"/>
      <c r="B185" s="6"/>
      <c r="D185" s="3"/>
      <c r="F185" s="6"/>
    </row>
    <row r="186" spans="1:6" ht="15.75" customHeight="1" x14ac:dyDescent="0.2">
      <c r="A186" s="2"/>
      <c r="B186" s="6"/>
      <c r="D186" s="3"/>
      <c r="F186" s="6"/>
    </row>
    <row r="187" spans="1:6" ht="15.75" customHeight="1" x14ac:dyDescent="0.2">
      <c r="A187" s="2"/>
      <c r="B187" s="6"/>
      <c r="D187" s="3"/>
      <c r="F187" s="6"/>
    </row>
    <row r="188" spans="1:6" ht="15.75" customHeight="1" x14ac:dyDescent="0.2">
      <c r="A188" s="2"/>
      <c r="B188" s="6"/>
      <c r="D188" s="3"/>
      <c r="F188" s="6"/>
    </row>
    <row r="189" spans="1:6" ht="15.75" customHeight="1" x14ac:dyDescent="0.2">
      <c r="A189" s="2"/>
      <c r="B189" s="6"/>
      <c r="D189" s="3"/>
      <c r="F189" s="6"/>
    </row>
    <row r="190" spans="1:6" ht="15.75" customHeight="1" x14ac:dyDescent="0.2">
      <c r="A190" s="2"/>
      <c r="B190" s="6"/>
      <c r="D190" s="3"/>
      <c r="F190" s="6"/>
    </row>
    <row r="191" spans="1:6" ht="15.75" customHeight="1" x14ac:dyDescent="0.2">
      <c r="A191" s="2"/>
      <c r="B191" s="6"/>
      <c r="D191" s="3"/>
      <c r="F191" s="6"/>
    </row>
    <row r="192" spans="1:6" ht="15.75" customHeight="1" x14ac:dyDescent="0.2">
      <c r="A192" s="2"/>
      <c r="B192" s="6"/>
      <c r="D192" s="3"/>
      <c r="F192" s="6"/>
    </row>
    <row r="193" spans="1:6" ht="15.75" customHeight="1" x14ac:dyDescent="0.2">
      <c r="A193" s="2"/>
      <c r="B193" s="6"/>
      <c r="D193" s="3"/>
      <c r="F193" s="6"/>
    </row>
    <row r="194" spans="1:6" ht="15.75" customHeight="1" x14ac:dyDescent="0.2">
      <c r="A194" s="2"/>
      <c r="B194" s="6"/>
      <c r="D194" s="3"/>
      <c r="F194" s="6"/>
    </row>
    <row r="195" spans="1:6" ht="15.75" customHeight="1" x14ac:dyDescent="0.2">
      <c r="A195" s="2"/>
      <c r="B195" s="6"/>
      <c r="D195" s="3"/>
      <c r="F195" s="6"/>
    </row>
    <row r="196" spans="1:6" ht="15.75" customHeight="1" x14ac:dyDescent="0.2">
      <c r="A196" s="2"/>
      <c r="B196" s="6"/>
      <c r="D196" s="3"/>
      <c r="F196" s="6"/>
    </row>
    <row r="197" spans="1:6" ht="15.75" customHeight="1" x14ac:dyDescent="0.2">
      <c r="A197" s="2"/>
      <c r="B197" s="6"/>
      <c r="D197" s="3"/>
      <c r="F197" s="6"/>
    </row>
    <row r="198" spans="1:6" ht="15.75" customHeight="1" x14ac:dyDescent="0.2">
      <c r="A198" s="2"/>
      <c r="B198" s="6"/>
      <c r="D198" s="3"/>
      <c r="F198" s="6"/>
    </row>
    <row r="199" spans="1:6" ht="15.75" customHeight="1" x14ac:dyDescent="0.2">
      <c r="A199" s="2"/>
      <c r="B199" s="6"/>
      <c r="D199" s="3"/>
      <c r="F199" s="6"/>
    </row>
    <row r="200" spans="1:6" ht="15.75" customHeight="1" x14ac:dyDescent="0.2">
      <c r="A200" s="2"/>
      <c r="B200" s="6"/>
      <c r="D200" s="3"/>
      <c r="F200" s="6"/>
    </row>
    <row r="201" spans="1:6" ht="15.75" customHeight="1" x14ac:dyDescent="0.2">
      <c r="A201" s="2"/>
      <c r="B201" s="6"/>
      <c r="D201" s="3"/>
      <c r="F201" s="6"/>
    </row>
    <row r="202" spans="1:6" ht="15.75" customHeight="1" x14ac:dyDescent="0.2">
      <c r="A202" s="2"/>
      <c r="B202" s="6"/>
      <c r="D202" s="3"/>
      <c r="F202" s="6"/>
    </row>
    <row r="203" spans="1:6" ht="15.75" customHeight="1" x14ac:dyDescent="0.2">
      <c r="A203" s="2"/>
      <c r="B203" s="6"/>
      <c r="D203" s="3"/>
      <c r="F203" s="6"/>
    </row>
    <row r="204" spans="1:6" ht="15.75" customHeight="1" x14ac:dyDescent="0.2">
      <c r="A204" s="2"/>
      <c r="B204" s="6"/>
      <c r="D204" s="3"/>
      <c r="F204" s="6"/>
    </row>
    <row r="205" spans="1:6" ht="15.75" customHeight="1" x14ac:dyDescent="0.2">
      <c r="A205" s="2"/>
      <c r="B205" s="6"/>
      <c r="D205" s="3"/>
      <c r="F205" s="6"/>
    </row>
    <row r="206" spans="1:6" ht="15.75" customHeight="1" x14ac:dyDescent="0.2">
      <c r="A206" s="2"/>
      <c r="B206" s="6"/>
      <c r="D206" s="3"/>
      <c r="F206" s="6"/>
    </row>
    <row r="207" spans="1:6" ht="15.75" customHeight="1" x14ac:dyDescent="0.2">
      <c r="A207" s="2"/>
      <c r="B207" s="6"/>
      <c r="D207" s="3"/>
      <c r="F207" s="6"/>
    </row>
    <row r="208" spans="1:6" ht="15.75" customHeight="1" x14ac:dyDescent="0.2">
      <c r="A208" s="2"/>
      <c r="B208" s="6"/>
      <c r="D208" s="3"/>
      <c r="F208" s="6"/>
    </row>
    <row r="209" spans="1:6" ht="15.75" customHeight="1" x14ac:dyDescent="0.2">
      <c r="A209" s="2"/>
      <c r="B209" s="6"/>
      <c r="D209" s="3"/>
      <c r="F209" s="6"/>
    </row>
    <row r="210" spans="1:6" ht="15.75" customHeight="1" x14ac:dyDescent="0.2">
      <c r="A210" s="2"/>
      <c r="B210" s="6"/>
      <c r="D210" s="3"/>
      <c r="F210" s="6"/>
    </row>
    <row r="211" spans="1:6" ht="15.75" customHeight="1" x14ac:dyDescent="0.2">
      <c r="A211" s="2"/>
      <c r="B211" s="6"/>
      <c r="D211" s="3"/>
      <c r="F211" s="6"/>
    </row>
    <row r="212" spans="1:6" ht="15.75" customHeight="1" x14ac:dyDescent="0.2">
      <c r="A212" s="2"/>
      <c r="B212" s="6"/>
      <c r="D212" s="3"/>
      <c r="F212" s="6"/>
    </row>
    <row r="213" spans="1:6" ht="15.75" customHeight="1" x14ac:dyDescent="0.2">
      <c r="A213" s="2"/>
      <c r="B213" s="6"/>
      <c r="D213" s="3"/>
      <c r="F213" s="6"/>
    </row>
    <row r="214" spans="1:6" ht="15.75" customHeight="1" x14ac:dyDescent="0.2">
      <c r="A214" s="2"/>
      <c r="B214" s="6"/>
      <c r="D214" s="3"/>
      <c r="F214" s="6"/>
    </row>
    <row r="215" spans="1:6" ht="15.75" customHeight="1" x14ac:dyDescent="0.2">
      <c r="A215" s="2"/>
      <c r="B215" s="6"/>
      <c r="D215" s="3"/>
      <c r="F215" s="6"/>
    </row>
    <row r="216" spans="1:6" ht="15.75" customHeight="1" x14ac:dyDescent="0.2">
      <c r="A216" s="2"/>
      <c r="B216" s="6"/>
      <c r="D216" s="3"/>
      <c r="F216" s="6"/>
    </row>
    <row r="217" spans="1:6" ht="15.75" customHeight="1" x14ac:dyDescent="0.2">
      <c r="A217" s="2"/>
      <c r="B217" s="6"/>
      <c r="D217" s="3"/>
      <c r="F217" s="6"/>
    </row>
    <row r="218" spans="1:6" ht="15.75" customHeight="1" x14ac:dyDescent="0.2">
      <c r="A218" s="2"/>
      <c r="B218" s="6"/>
      <c r="D218" s="3"/>
      <c r="F218" s="6"/>
    </row>
    <row r="219" spans="1:6" ht="15.75" customHeight="1" x14ac:dyDescent="0.2">
      <c r="A219" s="2"/>
      <c r="B219" s="6"/>
      <c r="D219" s="3"/>
      <c r="F219" s="6"/>
    </row>
    <row r="220" spans="1:6" ht="15.75" customHeight="1" x14ac:dyDescent="0.2">
      <c r="A220" s="2"/>
      <c r="B220" s="6"/>
      <c r="D220" s="3"/>
      <c r="F220" s="6"/>
    </row>
    <row r="221" spans="1:6" ht="15.75" customHeight="1" x14ac:dyDescent="0.2">
      <c r="A221" s="2"/>
      <c r="B221" s="6"/>
      <c r="D221" s="3"/>
      <c r="F221" s="6"/>
    </row>
    <row r="222" spans="1:6" ht="15.75" customHeight="1" x14ac:dyDescent="0.2"/>
    <row r="223" spans="1:6" ht="15.75" customHeight="1" x14ac:dyDescent="0.2"/>
    <row r="224" spans="1: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/>
  </sheetViews>
  <sheetFormatPr baseColWidth="10" defaultColWidth="14.3984375" defaultRowHeight="15" customHeight="1" x14ac:dyDescent="0.2"/>
  <cols>
    <col min="1" max="6" width="14.3984375" customWidth="1"/>
  </cols>
  <sheetData>
    <row r="1" spans="1:26" ht="15.75" customHeight="1" x14ac:dyDescent="0.2">
      <c r="A1" s="7" t="s">
        <v>13</v>
      </c>
      <c r="B1" s="10"/>
      <c r="C1" s="9"/>
      <c r="D1" s="9"/>
      <c r="E1" s="4"/>
      <c r="F1" s="8" t="s">
        <v>14</v>
      </c>
      <c r="G1" s="4"/>
      <c r="H1" s="4" t="s">
        <v>15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2">
        <v>10000</v>
      </c>
      <c r="B2" s="11">
        <v>2E-3</v>
      </c>
      <c r="C2" s="3">
        <v>0</v>
      </c>
      <c r="D2" s="3">
        <v>0</v>
      </c>
      <c r="F2" s="6">
        <f t="shared" ref="F2:F8" si="0">A2*B2</f>
        <v>20</v>
      </c>
      <c r="H2" s="1">
        <f t="shared" ref="H2:H8" si="1">B2*I2</f>
        <v>2.8000000000000007</v>
      </c>
      <c r="I2" s="1">
        <f>IF(Pricing!$B$4-SUM($A$2:A2)&gt;=0,A2,0)*HLOOKUP(Pricing!$F$3,Valuta!$1:$2, 2, FALSE)</f>
        <v>1400.0000000000002</v>
      </c>
    </row>
    <row r="3" spans="1:26" ht="15.75" customHeight="1" x14ac:dyDescent="0.2">
      <c r="A3" s="2">
        <v>50000</v>
      </c>
      <c r="B3" s="11">
        <v>1.5E-3</v>
      </c>
      <c r="C3" s="3">
        <f t="shared" ref="C3:C7" si="2">100%-B3/B2</f>
        <v>0.25</v>
      </c>
      <c r="D3" s="3">
        <f t="shared" ref="D3:D7" si="3">100%-B3/$B$2</f>
        <v>0.25</v>
      </c>
      <c r="F3" s="6">
        <f t="shared" si="0"/>
        <v>75</v>
      </c>
      <c r="H3" s="1">
        <f t="shared" si="1"/>
        <v>10.500000000000002</v>
      </c>
      <c r="I3" s="2">
        <f>IF(Pricing!$B$4-SUM($A$2:A3)&gt;=0,A3,IF(Pricing!$B$4-SUM($A$2:A2)&gt;=0,Pricing!$B$4-SUM($A$2:A2),0))*HLOOKUP(Pricing!$F$3,Valuta!$1:$2, 2, FALSE)</f>
        <v>7000.0000000000009</v>
      </c>
    </row>
    <row r="4" spans="1:26" ht="15.75" customHeight="1" x14ac:dyDescent="0.2">
      <c r="A4" s="2">
        <v>100000</v>
      </c>
      <c r="B4" s="11">
        <v>1E-3</v>
      </c>
      <c r="C4" s="3">
        <f t="shared" si="2"/>
        <v>0.33333333333333337</v>
      </c>
      <c r="D4" s="3">
        <f t="shared" si="3"/>
        <v>0.5</v>
      </c>
      <c r="F4" s="6">
        <f t="shared" si="0"/>
        <v>100</v>
      </c>
      <c r="H4" s="1">
        <f t="shared" si="1"/>
        <v>14.000000000000002</v>
      </c>
      <c r="I4" s="2">
        <f>IF(Pricing!$B$4-SUM($A$2:A4)&gt;=0,A4,IF(Pricing!$B$4-SUM($A$2:A3)&gt;=0,Pricing!$B$4-SUM($A$2:A3),0))*HLOOKUP(Pricing!$F$3,Valuta!$1:$2, 2, FALSE)</f>
        <v>14000.000000000002</v>
      </c>
    </row>
    <row r="5" spans="1:26" ht="15.75" customHeight="1" x14ac:dyDescent="0.2">
      <c r="A5" s="2">
        <v>1000000</v>
      </c>
      <c r="B5" s="11">
        <v>5.9999999999999995E-4</v>
      </c>
      <c r="C5" s="3">
        <f t="shared" si="2"/>
        <v>0.4</v>
      </c>
      <c r="D5" s="3">
        <f t="shared" si="3"/>
        <v>0.7</v>
      </c>
      <c r="F5" s="6">
        <f t="shared" si="0"/>
        <v>600</v>
      </c>
      <c r="H5" s="1">
        <f t="shared" si="1"/>
        <v>70.56</v>
      </c>
      <c r="I5" s="2">
        <f>IF(Pricing!$B$4-SUM($A$2:A5)&gt;=0,A5,IF(Pricing!$B$4-SUM($A$2:A4)&gt;=0,Pricing!$B$4-SUM($A$2:A4),0))*HLOOKUP(Pricing!$F$3,Valuta!$1:$2, 2, FALSE)</f>
        <v>117600.00000000001</v>
      </c>
    </row>
    <row r="6" spans="1:26" ht="15.75" customHeight="1" x14ac:dyDescent="0.2">
      <c r="A6" s="2">
        <v>5000000</v>
      </c>
      <c r="B6" s="11">
        <v>4.0000000000000002E-4</v>
      </c>
      <c r="C6" s="3">
        <f t="shared" si="2"/>
        <v>0.33333333333333326</v>
      </c>
      <c r="D6" s="3">
        <f t="shared" si="3"/>
        <v>0.8</v>
      </c>
      <c r="F6" s="6">
        <f t="shared" si="0"/>
        <v>2000</v>
      </c>
      <c r="H6" s="1">
        <f t="shared" si="1"/>
        <v>0</v>
      </c>
      <c r="I6" s="2">
        <f>IF(Pricing!$B$4-SUM($A$2:A6)&gt;=0,A6,IF(Pricing!$B$4-SUM($A$2:A5)&gt;=0,Pricing!$B$4-SUM($A$2:A5),0))*HLOOKUP(Pricing!$F$3,Valuta!$1:$2, 2, FALSE)</f>
        <v>0</v>
      </c>
    </row>
    <row r="7" spans="1:26" ht="15.75" customHeight="1" x14ac:dyDescent="0.2">
      <c r="A7" s="2">
        <v>1000000000</v>
      </c>
      <c r="B7" s="11">
        <v>2.9999999999999997E-4</v>
      </c>
      <c r="C7" s="3">
        <f t="shared" si="2"/>
        <v>0.25000000000000011</v>
      </c>
      <c r="D7" s="3">
        <f t="shared" si="3"/>
        <v>0.85</v>
      </c>
      <c r="F7" s="6">
        <f t="shared" si="0"/>
        <v>300000</v>
      </c>
      <c r="H7" s="1">
        <f t="shared" si="1"/>
        <v>0</v>
      </c>
      <c r="I7" s="2">
        <f>IF(Pricing!$B$4-SUM($A$2:A7)&gt;=0,A7,IF(Pricing!$B$4-SUM($A$2:A6)&gt;=0,Pricing!$B$4-SUM($A$2:A6),0))*HLOOKUP(Pricing!$F$3,Valuta!$1:$2, 2, FALSE)</f>
        <v>0</v>
      </c>
    </row>
    <row r="8" spans="1:26" ht="15.75" customHeight="1" x14ac:dyDescent="0.2">
      <c r="B8" s="11"/>
      <c r="C8" s="3"/>
      <c r="D8" s="3"/>
      <c r="F8" s="6">
        <f t="shared" si="0"/>
        <v>0</v>
      </c>
      <c r="H8" s="1">
        <f t="shared" si="1"/>
        <v>0</v>
      </c>
      <c r="I8" s="2">
        <f>IF(Pricing!$B$4-SUM($A$2:A8)&gt;=0,A8,IF(Pricing!$B$4-SUM($A$2:A7)&gt;=0,Pricing!$B$4-SUM($A$2:A7),0))*HLOOKUP(Pricing!$F$3,Valuta!$1:$2, 2, FALSE)</f>
        <v>0</v>
      </c>
    </row>
    <row r="9" spans="1:26" ht="15.75" customHeight="1" x14ac:dyDescent="0.2">
      <c r="B9" s="11"/>
    </row>
    <row r="10" spans="1:26" ht="15.75" customHeight="1" x14ac:dyDescent="0.2">
      <c r="B10" s="11"/>
      <c r="H10" s="1">
        <f t="shared" ref="H10:I10" si="4">SUM(H2:H8)</f>
        <v>97.860000000000014</v>
      </c>
      <c r="I10" s="1">
        <f t="shared" si="4"/>
        <v>140000.00000000003</v>
      </c>
      <c r="J10" s="1"/>
    </row>
    <row r="11" spans="1:26" ht="15.75" customHeight="1" x14ac:dyDescent="0.2">
      <c r="B11" s="11"/>
      <c r="H11" s="1"/>
    </row>
    <row r="12" spans="1:26" ht="15.75" customHeight="1" x14ac:dyDescent="0.2">
      <c r="B12" s="11"/>
    </row>
    <row r="13" spans="1:26" ht="15.75" customHeight="1" x14ac:dyDescent="0.2">
      <c r="B13" s="11"/>
    </row>
    <row r="14" spans="1:26" ht="15.75" customHeight="1" x14ac:dyDescent="0.2">
      <c r="B14" s="11" t="s">
        <v>16</v>
      </c>
    </row>
    <row r="15" spans="1:26" ht="15.75" customHeight="1" x14ac:dyDescent="0.2">
      <c r="B15" s="11">
        <f t="shared" ref="B15:B20" si="5">$A$2*B2</f>
        <v>20</v>
      </c>
    </row>
    <row r="16" spans="1:26" ht="15.75" customHeight="1" x14ac:dyDescent="0.2">
      <c r="B16" s="11">
        <f t="shared" si="5"/>
        <v>15</v>
      </c>
    </row>
    <row r="17" spans="2:2" ht="15.75" customHeight="1" x14ac:dyDescent="0.2">
      <c r="B17" s="11">
        <f t="shared" si="5"/>
        <v>10</v>
      </c>
    </row>
    <row r="18" spans="2:2" ht="15.75" customHeight="1" x14ac:dyDescent="0.2">
      <c r="B18" s="11">
        <f t="shared" si="5"/>
        <v>5.9999999999999991</v>
      </c>
    </row>
    <row r="19" spans="2:2" ht="15.75" customHeight="1" x14ac:dyDescent="0.2">
      <c r="B19" s="11">
        <f t="shared" si="5"/>
        <v>4</v>
      </c>
    </row>
    <row r="20" spans="2:2" ht="15.75" customHeight="1" x14ac:dyDescent="0.2">
      <c r="B20" s="11">
        <f t="shared" si="5"/>
        <v>2.9999999999999996</v>
      </c>
    </row>
    <row r="21" spans="2:2" ht="15.75" customHeight="1" x14ac:dyDescent="0.2">
      <c r="B21" s="11"/>
    </row>
    <row r="22" spans="2:2" ht="15.75" customHeight="1" x14ac:dyDescent="0.2">
      <c r="B22" s="11"/>
    </row>
    <row r="23" spans="2:2" ht="15.75" customHeight="1" x14ac:dyDescent="0.2">
      <c r="B23" s="11"/>
    </row>
    <row r="24" spans="2:2" ht="15.75" customHeight="1" x14ac:dyDescent="0.2">
      <c r="B24" s="11"/>
    </row>
    <row r="25" spans="2:2" ht="15.75" customHeight="1" x14ac:dyDescent="0.2">
      <c r="B25" s="11"/>
    </row>
    <row r="26" spans="2:2" ht="15.75" customHeight="1" x14ac:dyDescent="0.2">
      <c r="B26" s="11"/>
    </row>
    <row r="27" spans="2:2" ht="15.75" customHeight="1" x14ac:dyDescent="0.2">
      <c r="B27" s="11"/>
    </row>
    <row r="28" spans="2:2" ht="15.75" customHeight="1" x14ac:dyDescent="0.2">
      <c r="B28" s="11"/>
    </row>
    <row r="29" spans="2:2" ht="15.75" customHeight="1" x14ac:dyDescent="0.2">
      <c r="B29" s="11"/>
    </row>
    <row r="30" spans="2:2" ht="15.75" customHeight="1" x14ac:dyDescent="0.2">
      <c r="B30" s="11"/>
    </row>
    <row r="31" spans="2:2" ht="15.75" customHeight="1" x14ac:dyDescent="0.2">
      <c r="B31" s="11"/>
    </row>
    <row r="32" spans="2:2" ht="15.75" customHeight="1" x14ac:dyDescent="0.2">
      <c r="B32" s="11"/>
    </row>
    <row r="33" spans="2:2" ht="15.75" customHeight="1" x14ac:dyDescent="0.2">
      <c r="B33" s="11"/>
    </row>
    <row r="34" spans="2:2" ht="15.75" customHeight="1" x14ac:dyDescent="0.2">
      <c r="B34" s="11"/>
    </row>
    <row r="35" spans="2:2" ht="15.75" customHeight="1" x14ac:dyDescent="0.2">
      <c r="B35" s="11"/>
    </row>
    <row r="36" spans="2:2" ht="15.75" customHeight="1" x14ac:dyDescent="0.2">
      <c r="B36" s="11"/>
    </row>
    <row r="37" spans="2:2" ht="15.75" customHeight="1" x14ac:dyDescent="0.2">
      <c r="B37" s="11"/>
    </row>
    <row r="38" spans="2:2" ht="15.75" customHeight="1" x14ac:dyDescent="0.2">
      <c r="B38" s="11"/>
    </row>
    <row r="39" spans="2:2" ht="15.75" customHeight="1" x14ac:dyDescent="0.2">
      <c r="B39" s="11"/>
    </row>
    <row r="40" spans="2:2" ht="15.75" customHeight="1" x14ac:dyDescent="0.2">
      <c r="B40" s="11"/>
    </row>
    <row r="41" spans="2:2" ht="15.75" customHeight="1" x14ac:dyDescent="0.2">
      <c r="B41" s="11"/>
    </row>
    <row r="42" spans="2:2" ht="15.75" customHeight="1" x14ac:dyDescent="0.2">
      <c r="B42" s="11"/>
    </row>
    <row r="43" spans="2:2" ht="15.75" customHeight="1" x14ac:dyDescent="0.2">
      <c r="B43" s="11"/>
    </row>
    <row r="44" spans="2:2" ht="15.75" customHeight="1" x14ac:dyDescent="0.2">
      <c r="B44" s="11"/>
    </row>
    <row r="45" spans="2:2" ht="15.75" customHeight="1" x14ac:dyDescent="0.2">
      <c r="B45" s="11"/>
    </row>
    <row r="46" spans="2:2" ht="15.75" customHeight="1" x14ac:dyDescent="0.2">
      <c r="B46" s="11"/>
    </row>
    <row r="47" spans="2:2" ht="15.75" customHeight="1" x14ac:dyDescent="0.2">
      <c r="B47" s="11"/>
    </row>
    <row r="48" spans="2:2" ht="15.75" customHeight="1" x14ac:dyDescent="0.2">
      <c r="B48" s="11"/>
    </row>
    <row r="49" spans="2:2" ht="15.75" customHeight="1" x14ac:dyDescent="0.2">
      <c r="B49" s="11"/>
    </row>
    <row r="50" spans="2:2" ht="15.75" customHeight="1" x14ac:dyDescent="0.2">
      <c r="B50" s="11"/>
    </row>
    <row r="51" spans="2:2" ht="15.75" customHeight="1" x14ac:dyDescent="0.2">
      <c r="B51" s="11"/>
    </row>
    <row r="52" spans="2:2" ht="15.75" customHeight="1" x14ac:dyDescent="0.2">
      <c r="B52" s="11"/>
    </row>
    <row r="53" spans="2:2" ht="15.75" customHeight="1" x14ac:dyDescent="0.2">
      <c r="B53" s="11"/>
    </row>
    <row r="54" spans="2:2" ht="15.75" customHeight="1" x14ac:dyDescent="0.2">
      <c r="B54" s="11"/>
    </row>
    <row r="55" spans="2:2" ht="15.75" customHeight="1" x14ac:dyDescent="0.2">
      <c r="B55" s="11"/>
    </row>
    <row r="56" spans="2:2" ht="15.75" customHeight="1" x14ac:dyDescent="0.2">
      <c r="B56" s="11"/>
    </row>
    <row r="57" spans="2:2" ht="15.75" customHeight="1" x14ac:dyDescent="0.2">
      <c r="B57" s="11"/>
    </row>
    <row r="58" spans="2:2" ht="15.75" customHeight="1" x14ac:dyDescent="0.2">
      <c r="B58" s="11"/>
    </row>
    <row r="59" spans="2:2" ht="15.75" customHeight="1" x14ac:dyDescent="0.2">
      <c r="B59" s="11"/>
    </row>
    <row r="60" spans="2:2" ht="15.75" customHeight="1" x14ac:dyDescent="0.2">
      <c r="B60" s="11"/>
    </row>
    <row r="61" spans="2:2" ht="15.75" customHeight="1" x14ac:dyDescent="0.2">
      <c r="B61" s="11"/>
    </row>
    <row r="62" spans="2:2" ht="15.75" customHeight="1" x14ac:dyDescent="0.2">
      <c r="B62" s="11"/>
    </row>
    <row r="63" spans="2:2" ht="15.75" customHeight="1" x14ac:dyDescent="0.2">
      <c r="B63" s="11"/>
    </row>
    <row r="64" spans="2:2" ht="15.75" customHeight="1" x14ac:dyDescent="0.2">
      <c r="B64" s="11"/>
    </row>
    <row r="65" spans="2:2" ht="15.75" customHeight="1" x14ac:dyDescent="0.2">
      <c r="B65" s="11"/>
    </row>
    <row r="66" spans="2:2" ht="15.75" customHeight="1" x14ac:dyDescent="0.2">
      <c r="B66" s="11"/>
    </row>
    <row r="67" spans="2:2" ht="15.75" customHeight="1" x14ac:dyDescent="0.2">
      <c r="B67" s="11"/>
    </row>
    <row r="68" spans="2:2" ht="15.75" customHeight="1" x14ac:dyDescent="0.2">
      <c r="B68" s="11"/>
    </row>
    <row r="69" spans="2:2" ht="15.75" customHeight="1" x14ac:dyDescent="0.2">
      <c r="B69" s="11"/>
    </row>
    <row r="70" spans="2:2" ht="15.75" customHeight="1" x14ac:dyDescent="0.2">
      <c r="B70" s="11"/>
    </row>
    <row r="71" spans="2:2" ht="15.75" customHeight="1" x14ac:dyDescent="0.2">
      <c r="B71" s="11"/>
    </row>
    <row r="72" spans="2:2" ht="15.75" customHeight="1" x14ac:dyDescent="0.2">
      <c r="B72" s="11"/>
    </row>
    <row r="73" spans="2:2" ht="15.75" customHeight="1" x14ac:dyDescent="0.2">
      <c r="B73" s="11"/>
    </row>
    <row r="74" spans="2:2" ht="15.75" customHeight="1" x14ac:dyDescent="0.2">
      <c r="B74" s="11"/>
    </row>
    <row r="75" spans="2:2" ht="15.75" customHeight="1" x14ac:dyDescent="0.2">
      <c r="B75" s="11"/>
    </row>
    <row r="76" spans="2:2" ht="15.75" customHeight="1" x14ac:dyDescent="0.2">
      <c r="B76" s="11"/>
    </row>
    <row r="77" spans="2:2" ht="15.75" customHeight="1" x14ac:dyDescent="0.2">
      <c r="B77" s="11"/>
    </row>
    <row r="78" spans="2:2" ht="15.75" customHeight="1" x14ac:dyDescent="0.2">
      <c r="B78" s="11"/>
    </row>
    <row r="79" spans="2:2" ht="15.75" customHeight="1" x14ac:dyDescent="0.2">
      <c r="B79" s="11"/>
    </row>
    <row r="80" spans="2:2" ht="15.75" customHeight="1" x14ac:dyDescent="0.2">
      <c r="B80" s="11"/>
    </row>
    <row r="81" spans="2:2" ht="15.75" customHeight="1" x14ac:dyDescent="0.2">
      <c r="B81" s="11"/>
    </row>
    <row r="82" spans="2:2" ht="15.75" customHeight="1" x14ac:dyDescent="0.2">
      <c r="B82" s="11"/>
    </row>
    <row r="83" spans="2:2" ht="15.75" customHeight="1" x14ac:dyDescent="0.2">
      <c r="B83" s="11"/>
    </row>
    <row r="84" spans="2:2" ht="15.75" customHeight="1" x14ac:dyDescent="0.2">
      <c r="B84" s="11"/>
    </row>
    <row r="85" spans="2:2" ht="15.75" customHeight="1" x14ac:dyDescent="0.2">
      <c r="B85" s="11"/>
    </row>
    <row r="86" spans="2:2" ht="15.75" customHeight="1" x14ac:dyDescent="0.2">
      <c r="B86" s="11"/>
    </row>
    <row r="87" spans="2:2" ht="15.75" customHeight="1" x14ac:dyDescent="0.2">
      <c r="B87" s="11"/>
    </row>
    <row r="88" spans="2:2" ht="15.75" customHeight="1" x14ac:dyDescent="0.2">
      <c r="B88" s="11"/>
    </row>
    <row r="89" spans="2:2" ht="15.75" customHeight="1" x14ac:dyDescent="0.2">
      <c r="B89" s="11"/>
    </row>
    <row r="90" spans="2:2" ht="15.75" customHeight="1" x14ac:dyDescent="0.2">
      <c r="B90" s="11"/>
    </row>
    <row r="91" spans="2:2" ht="15.75" customHeight="1" x14ac:dyDescent="0.2">
      <c r="B91" s="11"/>
    </row>
    <row r="92" spans="2:2" ht="15.75" customHeight="1" x14ac:dyDescent="0.2">
      <c r="B92" s="11"/>
    </row>
    <row r="93" spans="2:2" ht="15.75" customHeight="1" x14ac:dyDescent="0.2">
      <c r="B93" s="11"/>
    </row>
    <row r="94" spans="2:2" ht="15.75" customHeight="1" x14ac:dyDescent="0.2">
      <c r="B94" s="11"/>
    </row>
    <row r="95" spans="2:2" ht="15.75" customHeight="1" x14ac:dyDescent="0.2">
      <c r="B95" s="11"/>
    </row>
    <row r="96" spans="2:2" ht="15.75" customHeight="1" x14ac:dyDescent="0.2">
      <c r="B96" s="11"/>
    </row>
    <row r="97" spans="2:2" ht="15.75" customHeight="1" x14ac:dyDescent="0.2">
      <c r="B97" s="11"/>
    </row>
    <row r="98" spans="2:2" ht="15.75" customHeight="1" x14ac:dyDescent="0.2">
      <c r="B98" s="11"/>
    </row>
    <row r="99" spans="2:2" ht="15.75" customHeight="1" x14ac:dyDescent="0.2">
      <c r="B99" s="11"/>
    </row>
    <row r="100" spans="2:2" ht="15.75" customHeight="1" x14ac:dyDescent="0.2">
      <c r="B100" s="11"/>
    </row>
    <row r="101" spans="2:2" ht="15.75" customHeight="1" x14ac:dyDescent="0.2">
      <c r="B101" s="11"/>
    </row>
    <row r="102" spans="2:2" ht="15.75" customHeight="1" x14ac:dyDescent="0.2">
      <c r="B102" s="11"/>
    </row>
    <row r="103" spans="2:2" ht="15.75" customHeight="1" x14ac:dyDescent="0.2">
      <c r="B103" s="11"/>
    </row>
    <row r="104" spans="2:2" ht="15.75" customHeight="1" x14ac:dyDescent="0.2">
      <c r="B104" s="11"/>
    </row>
    <row r="105" spans="2:2" ht="15.75" customHeight="1" x14ac:dyDescent="0.2">
      <c r="B105" s="11"/>
    </row>
    <row r="106" spans="2:2" ht="15.75" customHeight="1" x14ac:dyDescent="0.2">
      <c r="B106" s="11"/>
    </row>
    <row r="107" spans="2:2" ht="15.75" customHeight="1" x14ac:dyDescent="0.2">
      <c r="B107" s="11"/>
    </row>
    <row r="108" spans="2:2" ht="15.75" customHeight="1" x14ac:dyDescent="0.2">
      <c r="B108" s="11"/>
    </row>
    <row r="109" spans="2:2" ht="15.75" customHeight="1" x14ac:dyDescent="0.2">
      <c r="B109" s="11"/>
    </row>
    <row r="110" spans="2:2" ht="15.75" customHeight="1" x14ac:dyDescent="0.2">
      <c r="B110" s="11"/>
    </row>
    <row r="111" spans="2:2" ht="15.75" customHeight="1" x14ac:dyDescent="0.2">
      <c r="B111" s="11"/>
    </row>
    <row r="112" spans="2:2" ht="15.75" customHeight="1" x14ac:dyDescent="0.2">
      <c r="B112" s="11"/>
    </row>
    <row r="113" spans="2:2" ht="15.75" customHeight="1" x14ac:dyDescent="0.2">
      <c r="B113" s="11"/>
    </row>
    <row r="114" spans="2:2" ht="15.75" customHeight="1" x14ac:dyDescent="0.2">
      <c r="B114" s="11"/>
    </row>
    <row r="115" spans="2:2" ht="15.75" customHeight="1" x14ac:dyDescent="0.2">
      <c r="B115" s="11"/>
    </row>
    <row r="116" spans="2:2" ht="15.75" customHeight="1" x14ac:dyDescent="0.2">
      <c r="B116" s="11"/>
    </row>
    <row r="117" spans="2:2" ht="15.75" customHeight="1" x14ac:dyDescent="0.2">
      <c r="B117" s="11"/>
    </row>
    <row r="118" spans="2:2" ht="15.75" customHeight="1" x14ac:dyDescent="0.2">
      <c r="B118" s="11"/>
    </row>
    <row r="119" spans="2:2" ht="15.75" customHeight="1" x14ac:dyDescent="0.2">
      <c r="B119" s="11"/>
    </row>
    <row r="120" spans="2:2" ht="15.75" customHeight="1" x14ac:dyDescent="0.2">
      <c r="B120" s="11"/>
    </row>
    <row r="121" spans="2:2" ht="15.75" customHeight="1" x14ac:dyDescent="0.2">
      <c r="B121" s="11"/>
    </row>
    <row r="122" spans="2:2" ht="15.75" customHeight="1" x14ac:dyDescent="0.2">
      <c r="B122" s="11"/>
    </row>
    <row r="123" spans="2:2" ht="15.75" customHeight="1" x14ac:dyDescent="0.2">
      <c r="B123" s="11"/>
    </row>
    <row r="124" spans="2:2" ht="15.75" customHeight="1" x14ac:dyDescent="0.2">
      <c r="B124" s="11"/>
    </row>
    <row r="125" spans="2:2" ht="15.75" customHeight="1" x14ac:dyDescent="0.2">
      <c r="B125" s="11"/>
    </row>
    <row r="126" spans="2:2" ht="15.75" customHeight="1" x14ac:dyDescent="0.2">
      <c r="B126" s="11"/>
    </row>
    <row r="127" spans="2:2" ht="15.75" customHeight="1" x14ac:dyDescent="0.2">
      <c r="B127" s="11"/>
    </row>
    <row r="128" spans="2:2" ht="15.75" customHeight="1" x14ac:dyDescent="0.2">
      <c r="B128" s="11"/>
    </row>
    <row r="129" spans="2:2" ht="15.75" customHeight="1" x14ac:dyDescent="0.2">
      <c r="B129" s="11"/>
    </row>
    <row r="130" spans="2:2" ht="15.75" customHeight="1" x14ac:dyDescent="0.2">
      <c r="B130" s="11"/>
    </row>
    <row r="131" spans="2:2" ht="15.75" customHeight="1" x14ac:dyDescent="0.2">
      <c r="B131" s="11"/>
    </row>
    <row r="132" spans="2:2" ht="15.75" customHeight="1" x14ac:dyDescent="0.2">
      <c r="B132" s="11"/>
    </row>
    <row r="133" spans="2:2" ht="15.75" customHeight="1" x14ac:dyDescent="0.2">
      <c r="B133" s="11"/>
    </row>
    <row r="134" spans="2:2" ht="15.75" customHeight="1" x14ac:dyDescent="0.2">
      <c r="B134" s="11"/>
    </row>
    <row r="135" spans="2:2" ht="15.75" customHeight="1" x14ac:dyDescent="0.2">
      <c r="B135" s="11"/>
    </row>
    <row r="136" spans="2:2" ht="15.75" customHeight="1" x14ac:dyDescent="0.2">
      <c r="B136" s="11"/>
    </row>
    <row r="137" spans="2:2" ht="15.75" customHeight="1" x14ac:dyDescent="0.2">
      <c r="B137" s="11"/>
    </row>
    <row r="138" spans="2:2" ht="15.75" customHeight="1" x14ac:dyDescent="0.2">
      <c r="B138" s="11"/>
    </row>
    <row r="139" spans="2:2" ht="15.75" customHeight="1" x14ac:dyDescent="0.2">
      <c r="B139" s="11"/>
    </row>
    <row r="140" spans="2:2" ht="15.75" customHeight="1" x14ac:dyDescent="0.2">
      <c r="B140" s="11"/>
    </row>
    <row r="141" spans="2:2" ht="15.75" customHeight="1" x14ac:dyDescent="0.2">
      <c r="B141" s="11"/>
    </row>
    <row r="142" spans="2:2" ht="15.75" customHeight="1" x14ac:dyDescent="0.2">
      <c r="B142" s="11"/>
    </row>
    <row r="143" spans="2:2" ht="15.75" customHeight="1" x14ac:dyDescent="0.2">
      <c r="B143" s="11"/>
    </row>
    <row r="144" spans="2:2" ht="15.75" customHeight="1" x14ac:dyDescent="0.2">
      <c r="B144" s="11"/>
    </row>
    <row r="145" spans="2:2" ht="15.75" customHeight="1" x14ac:dyDescent="0.2">
      <c r="B145" s="11"/>
    </row>
    <row r="146" spans="2:2" ht="15.75" customHeight="1" x14ac:dyDescent="0.2">
      <c r="B146" s="11"/>
    </row>
    <row r="147" spans="2:2" ht="15.75" customHeight="1" x14ac:dyDescent="0.2">
      <c r="B147" s="11"/>
    </row>
    <row r="148" spans="2:2" ht="15.75" customHeight="1" x14ac:dyDescent="0.2">
      <c r="B148" s="11"/>
    </row>
    <row r="149" spans="2:2" ht="15.75" customHeight="1" x14ac:dyDescent="0.2">
      <c r="B149" s="11"/>
    </row>
    <row r="150" spans="2:2" ht="15.75" customHeight="1" x14ac:dyDescent="0.2">
      <c r="B150" s="11"/>
    </row>
    <row r="151" spans="2:2" ht="15.75" customHeight="1" x14ac:dyDescent="0.2">
      <c r="B151" s="11"/>
    </row>
    <row r="152" spans="2:2" ht="15.75" customHeight="1" x14ac:dyDescent="0.2">
      <c r="B152" s="11"/>
    </row>
    <row r="153" spans="2:2" ht="15.75" customHeight="1" x14ac:dyDescent="0.2">
      <c r="B153" s="11"/>
    </row>
    <row r="154" spans="2:2" ht="15.75" customHeight="1" x14ac:dyDescent="0.2">
      <c r="B154" s="11"/>
    </row>
    <row r="155" spans="2:2" ht="15.75" customHeight="1" x14ac:dyDescent="0.2">
      <c r="B155" s="11"/>
    </row>
    <row r="156" spans="2:2" ht="15.75" customHeight="1" x14ac:dyDescent="0.2">
      <c r="B156" s="11"/>
    </row>
    <row r="157" spans="2:2" ht="15.75" customHeight="1" x14ac:dyDescent="0.2">
      <c r="B157" s="11"/>
    </row>
    <row r="158" spans="2:2" ht="15.75" customHeight="1" x14ac:dyDescent="0.2">
      <c r="B158" s="11"/>
    </row>
    <row r="159" spans="2:2" ht="15.75" customHeight="1" x14ac:dyDescent="0.2">
      <c r="B159" s="11"/>
    </row>
    <row r="160" spans="2:2" ht="15.75" customHeight="1" x14ac:dyDescent="0.2">
      <c r="B160" s="11"/>
    </row>
    <row r="161" spans="2:2" ht="15.75" customHeight="1" x14ac:dyDescent="0.2">
      <c r="B161" s="11"/>
    </row>
    <row r="162" spans="2:2" ht="15.75" customHeight="1" x14ac:dyDescent="0.2">
      <c r="B162" s="11"/>
    </row>
    <row r="163" spans="2:2" ht="15.75" customHeight="1" x14ac:dyDescent="0.2">
      <c r="B163" s="11"/>
    </row>
    <row r="164" spans="2:2" ht="15.75" customHeight="1" x14ac:dyDescent="0.2">
      <c r="B164" s="11"/>
    </row>
    <row r="165" spans="2:2" ht="15.75" customHeight="1" x14ac:dyDescent="0.2">
      <c r="B165" s="11"/>
    </row>
    <row r="166" spans="2:2" ht="15.75" customHeight="1" x14ac:dyDescent="0.2">
      <c r="B166" s="11"/>
    </row>
    <row r="167" spans="2:2" ht="15.75" customHeight="1" x14ac:dyDescent="0.2">
      <c r="B167" s="11"/>
    </row>
    <row r="168" spans="2:2" ht="15.75" customHeight="1" x14ac:dyDescent="0.2">
      <c r="B168" s="11"/>
    </row>
    <row r="169" spans="2:2" ht="15.75" customHeight="1" x14ac:dyDescent="0.2">
      <c r="B169" s="11"/>
    </row>
    <row r="170" spans="2:2" ht="15.75" customHeight="1" x14ac:dyDescent="0.2">
      <c r="B170" s="11"/>
    </row>
    <row r="171" spans="2:2" ht="15.75" customHeight="1" x14ac:dyDescent="0.2">
      <c r="B171" s="11"/>
    </row>
    <row r="172" spans="2:2" ht="15.75" customHeight="1" x14ac:dyDescent="0.2">
      <c r="B172" s="11"/>
    </row>
    <row r="173" spans="2:2" ht="15.75" customHeight="1" x14ac:dyDescent="0.2">
      <c r="B173" s="11"/>
    </row>
    <row r="174" spans="2:2" ht="15.75" customHeight="1" x14ac:dyDescent="0.2">
      <c r="B174" s="11"/>
    </row>
    <row r="175" spans="2:2" ht="15.75" customHeight="1" x14ac:dyDescent="0.2">
      <c r="B175" s="11"/>
    </row>
    <row r="176" spans="2:2" ht="15.75" customHeight="1" x14ac:dyDescent="0.2">
      <c r="B176" s="11"/>
    </row>
    <row r="177" spans="2:2" ht="15.75" customHeight="1" x14ac:dyDescent="0.2">
      <c r="B177" s="11"/>
    </row>
    <row r="178" spans="2:2" ht="15.75" customHeight="1" x14ac:dyDescent="0.2">
      <c r="B178" s="11"/>
    </row>
    <row r="179" spans="2:2" ht="15.75" customHeight="1" x14ac:dyDescent="0.2">
      <c r="B179" s="11"/>
    </row>
    <row r="180" spans="2:2" ht="15.75" customHeight="1" x14ac:dyDescent="0.2">
      <c r="B180" s="11"/>
    </row>
    <row r="181" spans="2:2" ht="15.75" customHeight="1" x14ac:dyDescent="0.2">
      <c r="B181" s="11"/>
    </row>
    <row r="182" spans="2:2" ht="15.75" customHeight="1" x14ac:dyDescent="0.2">
      <c r="B182" s="11"/>
    </row>
    <row r="183" spans="2:2" ht="15.75" customHeight="1" x14ac:dyDescent="0.2">
      <c r="B183" s="11"/>
    </row>
    <row r="184" spans="2:2" ht="15.75" customHeight="1" x14ac:dyDescent="0.2">
      <c r="B184" s="11"/>
    </row>
    <row r="185" spans="2:2" ht="15.75" customHeight="1" x14ac:dyDescent="0.2">
      <c r="B185" s="11"/>
    </row>
    <row r="186" spans="2:2" ht="15.75" customHeight="1" x14ac:dyDescent="0.2">
      <c r="B186" s="11"/>
    </row>
    <row r="187" spans="2:2" ht="15.75" customHeight="1" x14ac:dyDescent="0.2">
      <c r="B187" s="11"/>
    </row>
    <row r="188" spans="2:2" ht="15.75" customHeight="1" x14ac:dyDescent="0.2">
      <c r="B188" s="11"/>
    </row>
    <row r="189" spans="2:2" ht="15.75" customHeight="1" x14ac:dyDescent="0.2">
      <c r="B189" s="11"/>
    </row>
    <row r="190" spans="2:2" ht="15.75" customHeight="1" x14ac:dyDescent="0.2">
      <c r="B190" s="11"/>
    </row>
    <row r="191" spans="2:2" ht="15.75" customHeight="1" x14ac:dyDescent="0.2">
      <c r="B191" s="11"/>
    </row>
    <row r="192" spans="2:2" ht="15.75" customHeight="1" x14ac:dyDescent="0.2">
      <c r="B192" s="11"/>
    </row>
    <row r="193" spans="2:2" ht="15.75" customHeight="1" x14ac:dyDescent="0.2">
      <c r="B193" s="11"/>
    </row>
    <row r="194" spans="2:2" ht="15.75" customHeight="1" x14ac:dyDescent="0.2">
      <c r="B194" s="11"/>
    </row>
    <row r="195" spans="2:2" ht="15.75" customHeight="1" x14ac:dyDescent="0.2">
      <c r="B195" s="11"/>
    </row>
    <row r="196" spans="2:2" ht="15.75" customHeight="1" x14ac:dyDescent="0.2">
      <c r="B196" s="11"/>
    </row>
    <row r="197" spans="2:2" ht="15.75" customHeight="1" x14ac:dyDescent="0.2">
      <c r="B197" s="11"/>
    </row>
    <row r="198" spans="2:2" ht="15.75" customHeight="1" x14ac:dyDescent="0.2">
      <c r="B198" s="11"/>
    </row>
    <row r="199" spans="2:2" ht="15.75" customHeight="1" x14ac:dyDescent="0.2">
      <c r="B199" s="11"/>
    </row>
    <row r="200" spans="2:2" ht="15.75" customHeight="1" x14ac:dyDescent="0.2">
      <c r="B200" s="11"/>
    </row>
    <row r="201" spans="2:2" ht="15.75" customHeight="1" x14ac:dyDescent="0.2">
      <c r="B201" s="11"/>
    </row>
    <row r="202" spans="2:2" ht="15.75" customHeight="1" x14ac:dyDescent="0.2">
      <c r="B202" s="11"/>
    </row>
    <row r="203" spans="2:2" ht="15.75" customHeight="1" x14ac:dyDescent="0.2">
      <c r="B203" s="11"/>
    </row>
    <row r="204" spans="2:2" ht="15.75" customHeight="1" x14ac:dyDescent="0.2">
      <c r="B204" s="11"/>
    </row>
    <row r="205" spans="2:2" ht="15.75" customHeight="1" x14ac:dyDescent="0.2">
      <c r="B205" s="11"/>
    </row>
    <row r="206" spans="2:2" ht="15.75" customHeight="1" x14ac:dyDescent="0.2">
      <c r="B206" s="11"/>
    </row>
    <row r="207" spans="2:2" ht="15.75" customHeight="1" x14ac:dyDescent="0.2">
      <c r="B207" s="11"/>
    </row>
    <row r="208" spans="2:2" ht="15.75" customHeight="1" x14ac:dyDescent="0.2">
      <c r="B208" s="11"/>
    </row>
    <row r="209" spans="2:2" ht="15.75" customHeight="1" x14ac:dyDescent="0.2">
      <c r="B209" s="11"/>
    </row>
    <row r="210" spans="2:2" ht="15.75" customHeight="1" x14ac:dyDescent="0.2">
      <c r="B210" s="11"/>
    </row>
    <row r="211" spans="2:2" ht="15.75" customHeight="1" x14ac:dyDescent="0.2">
      <c r="B211" s="11"/>
    </row>
    <row r="212" spans="2:2" ht="15.75" customHeight="1" x14ac:dyDescent="0.2">
      <c r="B212" s="11"/>
    </row>
    <row r="213" spans="2:2" ht="15.75" customHeight="1" x14ac:dyDescent="0.2">
      <c r="B213" s="11"/>
    </row>
    <row r="214" spans="2:2" ht="15.75" customHeight="1" x14ac:dyDescent="0.2">
      <c r="B214" s="11"/>
    </row>
    <row r="215" spans="2:2" ht="15.75" customHeight="1" x14ac:dyDescent="0.2">
      <c r="B215" s="11"/>
    </row>
    <row r="216" spans="2:2" ht="15.75" customHeight="1" x14ac:dyDescent="0.2">
      <c r="B216" s="11"/>
    </row>
    <row r="217" spans="2:2" ht="15.75" customHeight="1" x14ac:dyDescent="0.2">
      <c r="B217" s="11"/>
    </row>
    <row r="218" spans="2:2" ht="15.75" customHeight="1" x14ac:dyDescent="0.2">
      <c r="B218" s="11"/>
    </row>
    <row r="219" spans="2:2" ht="15.75" customHeight="1" x14ac:dyDescent="0.2">
      <c r="B219" s="11"/>
    </row>
    <row r="220" spans="2:2" ht="15.75" customHeight="1" x14ac:dyDescent="0.2">
      <c r="B220" s="11"/>
    </row>
    <row r="221" spans="2:2" ht="15.75" customHeight="1" x14ac:dyDescent="0.2">
      <c r="B221" s="11"/>
    </row>
    <row r="222" spans="2:2" ht="15.75" customHeight="1" x14ac:dyDescent="0.2"/>
    <row r="223" spans="2:2" ht="15.75" customHeight="1" x14ac:dyDescent="0.2"/>
    <row r="224" spans="2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baseColWidth="10" defaultColWidth="14.3984375" defaultRowHeight="15" customHeight="1" x14ac:dyDescent="0.2"/>
  <cols>
    <col min="1" max="6" width="14.3984375" customWidth="1"/>
  </cols>
  <sheetData>
    <row r="1" spans="1:3" ht="15.75" customHeight="1" x14ac:dyDescent="0.2">
      <c r="A1" s="1" t="s">
        <v>17</v>
      </c>
      <c r="B1" s="1" t="s">
        <v>18</v>
      </c>
      <c r="C1" s="1" t="s">
        <v>5</v>
      </c>
    </row>
    <row r="2" spans="1:3" ht="15.75" customHeight="1" x14ac:dyDescent="0.2">
      <c r="A2" s="1">
        <v>1</v>
      </c>
      <c r="B2" s="1">
        <v>0.13</v>
      </c>
      <c r="C2" s="1">
        <v>0.14000000000000001</v>
      </c>
    </row>
    <row r="3" spans="1:3" ht="15.75" customHeight="1" x14ac:dyDescent="0.2">
      <c r="A3" s="1" t="s">
        <v>19</v>
      </c>
      <c r="B3" s="12">
        <v>46113</v>
      </c>
      <c r="C3" s="12">
        <v>46113</v>
      </c>
    </row>
    <row r="4" spans="1:3" ht="15.75" customHeight="1" x14ac:dyDescent="0.2"/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Pricing</vt:lpstr>
      <vt:lpstr>Webservices</vt:lpstr>
      <vt:lpstr>Webservice calls</vt:lpstr>
      <vt:lpstr>Valuta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Danila Mouzytchenko</cp:lastModifiedBy>
  <dcterms:created xsi:type="dcterms:W3CDTF">2026-04-07T15:32:36Z</dcterms:created>
  <dcterms:modified xsi:type="dcterms:W3CDTF">2026-04-07T15:32:36Z</dcterms:modified>
</cp:coreProperties>
</file>